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ierre\Downloads\GCOH\GCOHFilesTicketsEtc\"/>
    </mc:Choice>
  </mc:AlternateContent>
  <xr:revisionPtr revIDLastSave="0" documentId="13_ncr:1_{4565471E-1B0A-4A10-B65B-C988C594985A}" xr6:coauthVersionLast="47" xr6:coauthVersionMax="47" xr10:uidLastSave="{00000000-0000-0000-0000-000000000000}"/>
  <bookViews>
    <workbookView xWindow="-28920" yWindow="-120" windowWidth="29040" windowHeight="15720" xr2:uid="{80C8A05A-9E58-4E13-A9E8-45F5FF6FDF14}"/>
  </bookViews>
  <sheets>
    <sheet name="STUCT1" sheetId="2" r:id="rId1"/>
    <sheet name="Sheet11" sheetId="46" r:id="rId2"/>
    <sheet name="Sheet10" sheetId="45" r:id="rId3"/>
    <sheet name="Sheet9" sheetId="44" r:id="rId4"/>
    <sheet name="Sheet7" sheetId="42" r:id="rId5"/>
    <sheet name="Sheet6" sheetId="41" r:id="rId6"/>
    <sheet name="Sheet5" sheetId="40" r:id="rId7"/>
    <sheet name="Sheet4" sheetId="39" r:id="rId8"/>
    <sheet name="Sheet3" sheetId="38" r:id="rId9"/>
    <sheet name="Sheet2" sheetId="37" r:id="rId10"/>
    <sheet name="Sheet1" sheetId="36" r:id="rId11"/>
    <sheet name="People" sheetId="27" r:id="rId12"/>
    <sheet name="2023" sheetId="35" state="hidden" r:id="rId13"/>
    <sheet name="Sectors" sheetId="12" r:id="rId14"/>
    <sheet name="Okey" sheetId="9" r:id="rId15"/>
    <sheet name="Sheet8" sheetId="43" r:id="rId16"/>
    <sheet name="Pvt" sheetId="8" r:id="rId17"/>
    <sheet name="KPI" sheetId="11" r:id="rId18"/>
  </sheets>
  <definedNames>
    <definedName name="_xlnm._FilterDatabase" localSheetId="12" hidden="1">'2023'!$A$1:$M$1</definedName>
    <definedName name="_xlnm._FilterDatabase" localSheetId="11" hidden="1">People!$A$1:$B$1</definedName>
    <definedName name="_xlnm._FilterDatabase" localSheetId="16" hidden="1">Pvt!$A$3:$C$36</definedName>
    <definedName name="_xlnm._FilterDatabase" localSheetId="4" hidden="1">Sheet7!$A$1:$D$1</definedName>
    <definedName name="_xlnm._FilterDatabase" localSheetId="0" hidden="1">STUCT1!#REF!</definedName>
  </definedNames>
  <calcPr calcId="181029"/>
  <pivotCaches>
    <pivotCache cacheId="3" r:id="rId1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912" i="2" l="1"/>
  <c r="H3911" i="2"/>
  <c r="H3910" i="2"/>
  <c r="H3909" i="2"/>
  <c r="H3908" i="2"/>
  <c r="H3907" i="2"/>
  <c r="H3906" i="2"/>
  <c r="H3905" i="2"/>
  <c r="H3904" i="2"/>
  <c r="H3903" i="2"/>
  <c r="H3902" i="2"/>
  <c r="H3901" i="2"/>
  <c r="H3893" i="2"/>
  <c r="H3892" i="2"/>
  <c r="H3891" i="2"/>
  <c r="H3890" i="2"/>
  <c r="H3889" i="2"/>
  <c r="H3888" i="2"/>
  <c r="H3887" i="2"/>
  <c r="H3782" i="2"/>
  <c r="H3723" i="2"/>
  <c r="H3722" i="2"/>
  <c r="H3721" i="2"/>
  <c r="H3720" i="2"/>
  <c r="H3719" i="2"/>
  <c r="H3718" i="2"/>
  <c r="H3717" i="2"/>
  <c r="H3714" i="2"/>
  <c r="H3713" i="2"/>
  <c r="H3712" i="2"/>
  <c r="H3919" i="2"/>
  <c r="J3919" i="2"/>
  <c r="H3917" i="2"/>
  <c r="H3918" i="2"/>
  <c r="J3917" i="2"/>
  <c r="J3918" i="2"/>
  <c r="H3914" i="2"/>
  <c r="H3915" i="2"/>
  <c r="H3916" i="2"/>
  <c r="J3914" i="2"/>
  <c r="J3915" i="2"/>
  <c r="J3916" i="2"/>
  <c r="H3913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01" i="2"/>
  <c r="H3900" i="2"/>
  <c r="J3900" i="2"/>
  <c r="H3895" i="2"/>
  <c r="H3896" i="2"/>
  <c r="H3897" i="2"/>
  <c r="H3898" i="2"/>
  <c r="H3899" i="2"/>
  <c r="J3895" i="2"/>
  <c r="J3896" i="2"/>
  <c r="J3897" i="2"/>
  <c r="J3898" i="2"/>
  <c r="J3899" i="2"/>
  <c r="H3894" i="2"/>
  <c r="J3894" i="2"/>
  <c r="J3888" i="2"/>
  <c r="J3889" i="2"/>
  <c r="J3890" i="2"/>
  <c r="J3891" i="2"/>
  <c r="J3892" i="2"/>
  <c r="J3893" i="2"/>
  <c r="J3887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82" i="2"/>
  <c r="H3777" i="2"/>
  <c r="H3778" i="2"/>
  <c r="H3779" i="2"/>
  <c r="H3780" i="2"/>
  <c r="H3781" i="2"/>
  <c r="J3777" i="2"/>
  <c r="J3778" i="2"/>
  <c r="J3779" i="2"/>
  <c r="J3780" i="2"/>
  <c r="J3781" i="2"/>
  <c r="H3776" i="2"/>
  <c r="J3776" i="2"/>
  <c r="H3775" i="2"/>
  <c r="J3775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H3741" i="2"/>
  <c r="H3742" i="2"/>
  <c r="J3741" i="2"/>
  <c r="J3742" i="2"/>
  <c r="H3735" i="2"/>
  <c r="H3736" i="2"/>
  <c r="H3737" i="2"/>
  <c r="H3738" i="2"/>
  <c r="H3739" i="2"/>
  <c r="H3740" i="2"/>
  <c r="J3735" i="2"/>
  <c r="J3736" i="2"/>
  <c r="J3737" i="2"/>
  <c r="J3738" i="2"/>
  <c r="J3739" i="2"/>
  <c r="J3740" i="2"/>
  <c r="H3734" i="2"/>
  <c r="J3734" i="2"/>
  <c r="H3732" i="2"/>
  <c r="H3733" i="2"/>
  <c r="J3732" i="2"/>
  <c r="J3733" i="2"/>
  <c r="H3731" i="2"/>
  <c r="J3731" i="2"/>
  <c r="H3729" i="2"/>
  <c r="H3730" i="2"/>
  <c r="J3729" i="2"/>
  <c r="J3730" i="2"/>
  <c r="H3725" i="2"/>
  <c r="H3726" i="2"/>
  <c r="H3727" i="2"/>
  <c r="H3728" i="2"/>
  <c r="J3725" i="2"/>
  <c r="J3726" i="2"/>
  <c r="J3727" i="2"/>
  <c r="J3728" i="2"/>
  <c r="H3724" i="2"/>
  <c r="J3724" i="2"/>
  <c r="J3718" i="2"/>
  <c r="J3719" i="2"/>
  <c r="J3720" i="2"/>
  <c r="J3721" i="2"/>
  <c r="J3722" i="2"/>
  <c r="J3723" i="2"/>
  <c r="J3717" i="2"/>
  <c r="H3716" i="2"/>
  <c r="J3716" i="2"/>
  <c r="H3715" i="2"/>
  <c r="J3715" i="2"/>
  <c r="J3713" i="2"/>
  <c r="J3714" i="2"/>
  <c r="J3712" i="2"/>
  <c r="H3711" i="2"/>
  <c r="J3711" i="2"/>
  <c r="H3701" i="2"/>
  <c r="H3702" i="2"/>
  <c r="H3703" i="2"/>
  <c r="H3704" i="2"/>
  <c r="H3705" i="2"/>
  <c r="H3706" i="2"/>
  <c r="H3707" i="2"/>
  <c r="H3708" i="2"/>
  <c r="H3709" i="2"/>
  <c r="H3710" i="2"/>
  <c r="J3701" i="2"/>
  <c r="J3702" i="2"/>
  <c r="J3703" i="2"/>
  <c r="J3704" i="2"/>
  <c r="J3705" i="2"/>
  <c r="J3706" i="2"/>
  <c r="J3707" i="2"/>
  <c r="J3708" i="2"/>
  <c r="J3709" i="2"/>
  <c r="J3710" i="2"/>
  <c r="H3697" i="2"/>
  <c r="H3698" i="2"/>
  <c r="H3699" i="2"/>
  <c r="H3700" i="2"/>
  <c r="J3697" i="2"/>
  <c r="J3698" i="2"/>
  <c r="J3699" i="2"/>
  <c r="J3700" i="2"/>
  <c r="H3696" i="2"/>
  <c r="J3696" i="2"/>
  <c r="H3694" i="2"/>
  <c r="H3695" i="2"/>
  <c r="J3694" i="2"/>
  <c r="J3695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A2050" i="2" s="1"/>
  <c r="A2051" i="2" s="1"/>
  <c r="A2052" i="2" s="1"/>
  <c r="A2053" i="2" s="1"/>
  <c r="A2054" i="2" s="1"/>
  <c r="A2055" i="2" s="1"/>
  <c r="A2056" i="2" s="1"/>
  <c r="A2057" i="2" s="1"/>
  <c r="A2058" i="2" s="1"/>
  <c r="A2059" i="2" s="1"/>
  <c r="A2060" i="2" s="1"/>
  <c r="A2061" i="2" s="1"/>
  <c r="A2062" i="2" s="1"/>
  <c r="A2063" i="2" s="1"/>
  <c r="A2064" i="2" s="1"/>
  <c r="A2065" i="2" s="1"/>
  <c r="A2066" i="2" s="1"/>
  <c r="A2067" i="2" s="1"/>
  <c r="A2068" i="2" s="1"/>
  <c r="A2069" i="2" s="1"/>
  <c r="A2070" i="2" s="1"/>
  <c r="A2071" i="2" s="1"/>
  <c r="A2072" i="2" s="1"/>
  <c r="A2073" i="2" s="1"/>
  <c r="A2074" i="2" s="1"/>
  <c r="A2075" i="2" s="1"/>
  <c r="A2076" i="2" s="1"/>
  <c r="A2077" i="2" s="1"/>
  <c r="A2078" i="2" s="1"/>
  <c r="A2079" i="2" s="1"/>
  <c r="A2080" i="2" s="1"/>
  <c r="A2081" i="2" s="1"/>
  <c r="A2082" i="2" s="1"/>
  <c r="A2083" i="2" s="1"/>
  <c r="A2084" i="2" s="1"/>
  <c r="A2085" i="2" s="1"/>
  <c r="A2086" i="2" s="1"/>
  <c r="A2087" i="2" s="1"/>
  <c r="A2088" i="2" s="1"/>
  <c r="A2089" i="2" s="1"/>
  <c r="A2090" i="2" s="1"/>
  <c r="A2091" i="2" s="1"/>
  <c r="A2092" i="2" s="1"/>
  <c r="A2093" i="2" s="1"/>
  <c r="A2094" i="2" s="1"/>
  <c r="A2095" i="2" s="1"/>
  <c r="A2096" i="2" s="1"/>
  <c r="A2097" i="2" s="1"/>
  <c r="A2098" i="2" s="1"/>
  <c r="A2099" i="2" s="1"/>
  <c r="A2100" i="2" s="1"/>
  <c r="A2101" i="2" s="1"/>
  <c r="A2102" i="2" s="1"/>
  <c r="A2103" i="2" s="1"/>
  <c r="A2104" i="2" s="1"/>
  <c r="A2105" i="2" s="1"/>
  <c r="A2106" i="2" s="1"/>
  <c r="A2107" i="2" s="1"/>
  <c r="A2108" i="2" s="1"/>
  <c r="A2109" i="2" s="1"/>
  <c r="A2110" i="2" s="1"/>
  <c r="A2111" i="2" s="1"/>
  <c r="A2112" i="2" s="1"/>
  <c r="A2113" i="2" s="1"/>
  <c r="A2114" i="2" s="1"/>
  <c r="A2115" i="2" s="1"/>
  <c r="A2116" i="2" s="1"/>
  <c r="A2117" i="2" s="1"/>
  <c r="A2118" i="2" s="1"/>
  <c r="A2119" i="2" s="1"/>
  <c r="A2120" i="2" s="1"/>
  <c r="A2121" i="2" s="1"/>
  <c r="A2122" i="2" s="1"/>
  <c r="A2123" i="2" s="1"/>
  <c r="A2124" i="2" s="1"/>
  <c r="A2125" i="2" s="1"/>
  <c r="A2126" i="2" s="1"/>
  <c r="A2127" i="2" s="1"/>
  <c r="A2128" i="2" s="1"/>
  <c r="A2129" i="2" s="1"/>
  <c r="A2130" i="2" s="1"/>
  <c r="A2131" i="2" s="1"/>
  <c r="A2132" i="2" s="1"/>
  <c r="A2133" i="2" s="1"/>
  <c r="A2134" i="2" s="1"/>
  <c r="A2135" i="2" s="1"/>
  <c r="A2136" i="2" s="1"/>
  <c r="A2137" i="2" s="1"/>
  <c r="A2138" i="2" s="1"/>
  <c r="A2139" i="2" s="1"/>
  <c r="A2140" i="2" s="1"/>
  <c r="A2141" i="2" s="1"/>
  <c r="A2142" i="2" s="1"/>
  <c r="A2143" i="2" s="1"/>
  <c r="A2144" i="2" s="1"/>
  <c r="A2145" i="2" s="1"/>
  <c r="A2146" i="2" s="1"/>
  <c r="A2147" i="2" s="1"/>
  <c r="A2148" i="2" s="1"/>
  <c r="A2149" i="2" s="1"/>
  <c r="A2150" i="2" s="1"/>
  <c r="A2151" i="2" s="1"/>
  <c r="A2152" i="2" s="1"/>
  <c r="A2153" i="2" s="1"/>
  <c r="A2154" i="2" s="1"/>
  <c r="A2155" i="2" s="1"/>
  <c r="A2156" i="2" s="1"/>
  <c r="A2157" i="2" s="1"/>
  <c r="A2158" i="2" s="1"/>
  <c r="A2159" i="2" s="1"/>
  <c r="A2160" i="2" s="1"/>
  <c r="A2161" i="2" s="1"/>
  <c r="A2162" i="2" s="1"/>
  <c r="A2163" i="2" s="1"/>
  <c r="A2164" i="2" s="1"/>
  <c r="A2165" i="2" s="1"/>
  <c r="A2166" i="2" s="1"/>
  <c r="A2167" i="2" s="1"/>
  <c r="A2168" i="2" s="1"/>
  <c r="A2169" i="2" s="1"/>
  <c r="A2170" i="2" s="1"/>
  <c r="A2171" i="2" s="1"/>
  <c r="A2172" i="2" s="1"/>
  <c r="A2173" i="2" s="1"/>
  <c r="A2174" i="2" s="1"/>
  <c r="A2175" i="2" s="1"/>
  <c r="A2176" i="2" s="1"/>
  <c r="A2177" i="2" s="1"/>
  <c r="A2178" i="2" s="1"/>
  <c r="A2179" i="2" s="1"/>
  <c r="A2180" i="2" s="1"/>
  <c r="A2181" i="2" s="1"/>
  <c r="A2182" i="2" s="1"/>
  <c r="A2183" i="2" s="1"/>
  <c r="A2184" i="2" s="1"/>
  <c r="A2185" i="2" s="1"/>
  <c r="A2186" i="2" s="1"/>
  <c r="A2187" i="2" s="1"/>
  <c r="A2188" i="2" s="1"/>
  <c r="A2189" i="2" s="1"/>
  <c r="A2190" i="2" s="1"/>
  <c r="A2191" i="2" s="1"/>
  <c r="A2192" i="2" s="1"/>
  <c r="A2193" i="2" s="1"/>
  <c r="A2194" i="2" s="1"/>
  <c r="A2195" i="2" s="1"/>
  <c r="A2196" i="2" s="1"/>
  <c r="A2197" i="2" s="1"/>
  <c r="A2198" i="2" s="1"/>
  <c r="A2199" i="2" s="1"/>
  <c r="A2200" i="2" s="1"/>
  <c r="A2201" i="2" s="1"/>
  <c r="A2202" i="2" s="1"/>
  <c r="A2203" i="2" s="1"/>
  <c r="A2204" i="2" s="1"/>
  <c r="A2205" i="2" s="1"/>
  <c r="A2206" i="2" s="1"/>
  <c r="A2207" i="2" s="1"/>
  <c r="A2208" i="2" s="1"/>
  <c r="A2209" i="2" s="1"/>
  <c r="A2210" i="2" s="1"/>
  <c r="A2211" i="2" s="1"/>
  <c r="A2212" i="2" s="1"/>
  <c r="A2213" i="2" s="1"/>
  <c r="A2214" i="2" s="1"/>
  <c r="A2215" i="2" s="1"/>
  <c r="A2216" i="2" s="1"/>
  <c r="A2217" i="2" s="1"/>
  <c r="A2218" i="2" s="1"/>
  <c r="A2219" i="2" s="1"/>
  <c r="A2220" i="2" s="1"/>
  <c r="A2221" i="2" s="1"/>
  <c r="A2222" i="2" s="1"/>
  <c r="A2223" i="2" s="1"/>
  <c r="A2224" i="2" s="1"/>
  <c r="A2225" i="2" s="1"/>
  <c r="A2226" i="2" s="1"/>
  <c r="A2227" i="2" s="1"/>
  <c r="A2228" i="2" s="1"/>
  <c r="A2229" i="2" s="1"/>
  <c r="A2230" i="2" s="1"/>
  <c r="A2231" i="2" s="1"/>
  <c r="A2232" i="2" s="1"/>
  <c r="A2233" i="2" s="1"/>
  <c r="A2234" i="2" s="1"/>
  <c r="A2235" i="2" s="1"/>
  <c r="A2236" i="2" s="1"/>
  <c r="A2237" i="2" s="1"/>
  <c r="A2238" i="2" s="1"/>
  <c r="A2239" i="2" s="1"/>
  <c r="A2240" i="2" s="1"/>
  <c r="A2241" i="2" s="1"/>
  <c r="A2242" i="2" s="1"/>
  <c r="A2243" i="2" s="1"/>
  <c r="A2244" i="2" s="1"/>
  <c r="A2245" i="2" s="1"/>
  <c r="A2246" i="2" s="1"/>
  <c r="A2247" i="2" s="1"/>
  <c r="A2248" i="2" s="1"/>
  <c r="A2249" i="2" s="1"/>
  <c r="A2250" i="2" s="1"/>
  <c r="A2251" i="2" s="1"/>
  <c r="A2252" i="2" s="1"/>
  <c r="A2253" i="2" s="1"/>
  <c r="A2254" i="2" s="1"/>
  <c r="A2255" i="2" s="1"/>
  <c r="A2256" i="2" s="1"/>
  <c r="A2257" i="2" s="1"/>
  <c r="A2258" i="2" s="1"/>
  <c r="A2259" i="2" s="1"/>
  <c r="A2260" i="2" s="1"/>
  <c r="A2261" i="2" s="1"/>
  <c r="A2262" i="2" s="1"/>
  <c r="A2263" i="2" s="1"/>
  <c r="A2264" i="2" s="1"/>
  <c r="A2265" i="2" s="1"/>
  <c r="A2266" i="2" s="1"/>
  <c r="A2267" i="2" s="1"/>
  <c r="A2268" i="2" s="1"/>
  <c r="A2269" i="2" s="1"/>
  <c r="A2270" i="2" s="1"/>
  <c r="A2271" i="2" s="1"/>
  <c r="A2272" i="2" s="1"/>
  <c r="A2273" i="2" s="1"/>
  <c r="A2274" i="2" s="1"/>
  <c r="A2275" i="2" s="1"/>
  <c r="A2276" i="2" s="1"/>
  <c r="A2277" i="2" s="1"/>
  <c r="A2278" i="2" s="1"/>
  <c r="A2279" i="2" s="1"/>
  <c r="A2280" i="2" s="1"/>
  <c r="A2281" i="2" s="1"/>
  <c r="A2282" i="2" s="1"/>
  <c r="A2283" i="2" s="1"/>
  <c r="A2284" i="2" s="1"/>
  <c r="A2285" i="2" s="1"/>
  <c r="A2286" i="2" s="1"/>
  <c r="A2287" i="2" s="1"/>
  <c r="A2288" i="2" s="1"/>
  <c r="A2289" i="2" s="1"/>
  <c r="A2290" i="2" s="1"/>
  <c r="A2291" i="2" s="1"/>
  <c r="A2292" i="2" s="1"/>
  <c r="A2293" i="2" s="1"/>
  <c r="A2294" i="2" s="1"/>
  <c r="A2295" i="2" s="1"/>
  <c r="A2296" i="2" s="1"/>
  <c r="A2297" i="2" s="1"/>
  <c r="A2298" i="2" s="1"/>
  <c r="A2299" i="2" s="1"/>
  <c r="A2300" i="2" s="1"/>
  <c r="A2301" i="2" s="1"/>
  <c r="A2302" i="2" s="1"/>
  <c r="A2303" i="2" s="1"/>
  <c r="A2304" i="2" s="1"/>
  <c r="A2305" i="2" s="1"/>
  <c r="A2306" i="2" s="1"/>
  <c r="A2307" i="2" s="1"/>
  <c r="A2308" i="2" s="1"/>
  <c r="A2309" i="2" s="1"/>
  <c r="A2310" i="2" s="1"/>
  <c r="A2311" i="2" s="1"/>
  <c r="A2312" i="2" s="1"/>
  <c r="A2313" i="2" s="1"/>
  <c r="A2314" i="2" s="1"/>
  <c r="A2315" i="2" s="1"/>
  <c r="A2316" i="2" s="1"/>
  <c r="A2317" i="2" s="1"/>
  <c r="A2318" i="2" s="1"/>
  <c r="A2319" i="2" s="1"/>
  <c r="A2320" i="2" s="1"/>
  <c r="A2321" i="2" s="1"/>
  <c r="A2322" i="2" s="1"/>
  <c r="A2323" i="2" s="1"/>
  <c r="A2324" i="2" s="1"/>
  <c r="A2325" i="2" s="1"/>
  <c r="A2326" i="2" s="1"/>
  <c r="A2327" i="2" s="1"/>
  <c r="A2328" i="2" s="1"/>
  <c r="A2329" i="2" s="1"/>
  <c r="A2330" i="2" s="1"/>
  <c r="A2331" i="2" s="1"/>
  <c r="A2332" i="2" s="1"/>
  <c r="A2333" i="2" s="1"/>
  <c r="A2334" i="2" s="1"/>
  <c r="A2335" i="2" s="1"/>
  <c r="A2336" i="2" s="1"/>
  <c r="A2337" i="2" s="1"/>
  <c r="A2338" i="2" s="1"/>
  <c r="A2339" i="2" s="1"/>
  <c r="A2340" i="2" s="1"/>
  <c r="A2341" i="2" s="1"/>
  <c r="A2342" i="2" s="1"/>
  <c r="A2343" i="2" s="1"/>
  <c r="A2344" i="2" s="1"/>
  <c r="A2345" i="2" s="1"/>
  <c r="A2346" i="2" s="1"/>
  <c r="A2347" i="2" s="1"/>
  <c r="A2348" i="2" s="1"/>
  <c r="A2349" i="2" s="1"/>
  <c r="A2350" i="2" s="1"/>
  <c r="A2351" i="2" s="1"/>
  <c r="A2352" i="2" s="1"/>
  <c r="A2353" i="2" s="1"/>
  <c r="A2354" i="2" s="1"/>
  <c r="A2355" i="2" s="1"/>
  <c r="A2356" i="2" s="1"/>
  <c r="A2357" i="2" s="1"/>
  <c r="A2358" i="2" s="1"/>
  <c r="A2359" i="2" s="1"/>
  <c r="A2360" i="2" s="1"/>
  <c r="A2361" i="2" s="1"/>
  <c r="A2362" i="2" s="1"/>
  <c r="A2363" i="2" s="1"/>
  <c r="A2364" i="2" s="1"/>
  <c r="A2365" i="2" s="1"/>
  <c r="A2366" i="2" s="1"/>
  <c r="A2367" i="2" s="1"/>
  <c r="A2368" i="2" s="1"/>
  <c r="A2369" i="2" s="1"/>
  <c r="A2370" i="2" s="1"/>
  <c r="A2371" i="2" s="1"/>
  <c r="A2372" i="2" s="1"/>
  <c r="A2373" i="2" s="1"/>
  <c r="A2374" i="2" s="1"/>
  <c r="A2375" i="2" s="1"/>
  <c r="A2376" i="2" s="1"/>
  <c r="A2377" i="2" s="1"/>
  <c r="A2378" i="2" s="1"/>
  <c r="A2379" i="2" s="1"/>
  <c r="A2380" i="2" s="1"/>
  <c r="A2381" i="2" s="1"/>
  <c r="A2382" i="2" s="1"/>
  <c r="A2383" i="2" s="1"/>
  <c r="A2384" i="2" s="1"/>
  <c r="A2385" i="2" s="1"/>
  <c r="A2386" i="2" s="1"/>
  <c r="A2387" i="2" s="1"/>
  <c r="A2388" i="2" s="1"/>
  <c r="A2389" i="2" s="1"/>
  <c r="A2390" i="2" s="1"/>
  <c r="A2391" i="2" s="1"/>
  <c r="A2392" i="2" s="1"/>
  <c r="A2393" i="2" s="1"/>
  <c r="A2394" i="2" s="1"/>
  <c r="A2395" i="2" s="1"/>
  <c r="A2396" i="2" s="1"/>
  <c r="A2397" i="2" s="1"/>
  <c r="A2398" i="2" s="1"/>
  <c r="A2399" i="2" s="1"/>
  <c r="A2400" i="2" s="1"/>
  <c r="A2401" i="2" s="1"/>
  <c r="A2402" i="2" s="1"/>
  <c r="A2403" i="2" s="1"/>
  <c r="A2404" i="2" s="1"/>
  <c r="A2405" i="2" s="1"/>
  <c r="A2406" i="2" s="1"/>
  <c r="A2407" i="2" s="1"/>
  <c r="A2408" i="2" s="1"/>
  <c r="A2409" i="2" s="1"/>
  <c r="A2410" i="2" s="1"/>
  <c r="A2411" i="2" s="1"/>
  <c r="A2412" i="2" s="1"/>
  <c r="A2413" i="2" s="1"/>
  <c r="A2414" i="2" s="1"/>
  <c r="A2415" i="2" s="1"/>
  <c r="A2416" i="2" s="1"/>
  <c r="A2417" i="2" s="1"/>
  <c r="A2418" i="2" s="1"/>
  <c r="A2419" i="2" s="1"/>
  <c r="A2420" i="2" s="1"/>
  <c r="A2421" i="2" s="1"/>
  <c r="A2422" i="2" s="1"/>
  <c r="A2423" i="2" s="1"/>
  <c r="A2424" i="2" s="1"/>
  <c r="A2425" i="2" s="1"/>
  <c r="A2426" i="2" s="1"/>
  <c r="A2427" i="2" s="1"/>
  <c r="A2428" i="2" s="1"/>
  <c r="A2429" i="2" s="1"/>
  <c r="A2430" i="2" s="1"/>
  <c r="A2431" i="2" s="1"/>
  <c r="A2432" i="2" s="1"/>
  <c r="A2433" i="2" s="1"/>
  <c r="A2434" i="2" s="1"/>
  <c r="A2435" i="2" s="1"/>
  <c r="A2436" i="2" s="1"/>
  <c r="A2437" i="2" s="1"/>
  <c r="A2438" i="2" s="1"/>
  <c r="A2439" i="2" s="1"/>
  <c r="A2440" i="2" s="1"/>
  <c r="A2441" i="2" s="1"/>
  <c r="A2442" i="2" s="1"/>
  <c r="A2443" i="2" s="1"/>
  <c r="A2444" i="2" s="1"/>
  <c r="A2445" i="2" s="1"/>
  <c r="A2446" i="2" s="1"/>
  <c r="A2447" i="2" s="1"/>
  <c r="A2448" i="2" s="1"/>
  <c r="A2449" i="2" s="1"/>
  <c r="A2450" i="2" s="1"/>
  <c r="A2451" i="2" s="1"/>
  <c r="A2452" i="2" s="1"/>
  <c r="A2453" i="2" s="1"/>
  <c r="A2454" i="2" s="1"/>
  <c r="A2455" i="2" s="1"/>
  <c r="A2456" i="2" s="1"/>
  <c r="A2457" i="2" s="1"/>
  <c r="A2458" i="2" s="1"/>
  <c r="A2459" i="2" s="1"/>
  <c r="A2460" i="2" s="1"/>
  <c r="A2461" i="2" s="1"/>
  <c r="A2462" i="2" s="1"/>
  <c r="A2463" i="2" s="1"/>
  <c r="A2464" i="2" s="1"/>
  <c r="A2465" i="2" s="1"/>
  <c r="A2466" i="2" s="1"/>
  <c r="A2467" i="2" s="1"/>
  <c r="A2468" i="2" s="1"/>
  <c r="A2469" i="2" s="1"/>
  <c r="A2470" i="2" s="1"/>
  <c r="A2471" i="2" s="1"/>
  <c r="A2472" i="2" s="1"/>
  <c r="A2473" i="2" s="1"/>
  <c r="A2474" i="2" s="1"/>
  <c r="A2475" i="2" s="1"/>
  <c r="A2476" i="2" s="1"/>
  <c r="A2477" i="2" s="1"/>
  <c r="A2478" i="2" s="1"/>
  <c r="A2479" i="2" s="1"/>
  <c r="A2480" i="2" s="1"/>
  <c r="A2481" i="2" s="1"/>
  <c r="A2482" i="2" s="1"/>
  <c r="A2483" i="2" s="1"/>
  <c r="A2484" i="2" s="1"/>
  <c r="A2485" i="2" s="1"/>
  <c r="A2486" i="2" s="1"/>
  <c r="A2487" i="2" s="1"/>
  <c r="A2488" i="2" s="1"/>
  <c r="A2489" i="2" s="1"/>
  <c r="A2490" i="2" s="1"/>
  <c r="A2491" i="2" s="1"/>
  <c r="A2492" i="2" s="1"/>
  <c r="A2493" i="2" s="1"/>
  <c r="A2494" i="2" s="1"/>
  <c r="A2495" i="2" s="1"/>
  <c r="A2496" i="2" s="1"/>
  <c r="A2497" i="2" s="1"/>
  <c r="A2498" i="2" s="1"/>
  <c r="A2499" i="2" s="1"/>
  <c r="A2500" i="2" s="1"/>
  <c r="A2501" i="2" s="1"/>
  <c r="A2502" i="2" s="1"/>
  <c r="A2503" i="2" s="1"/>
  <c r="A2504" i="2" s="1"/>
  <c r="A2505" i="2" s="1"/>
  <c r="A2506" i="2" s="1"/>
  <c r="A2507" i="2" s="1"/>
  <c r="A2508" i="2" s="1"/>
  <c r="A2509" i="2" s="1"/>
  <c r="A2510" i="2" s="1"/>
  <c r="A2511" i="2" s="1"/>
  <c r="A2512" i="2" s="1"/>
  <c r="A2513" i="2" s="1"/>
  <c r="A2514" i="2" s="1"/>
  <c r="A2515" i="2" s="1"/>
  <c r="A2516" i="2" s="1"/>
  <c r="A2517" i="2" s="1"/>
  <c r="A2518" i="2" s="1"/>
  <c r="A2519" i="2" s="1"/>
  <c r="A2520" i="2" s="1"/>
  <c r="A2521" i="2" s="1"/>
  <c r="A2522" i="2" s="1"/>
  <c r="A2523" i="2" s="1"/>
  <c r="A2524" i="2" s="1"/>
  <c r="A2525" i="2" s="1"/>
  <c r="A2526" i="2" s="1"/>
  <c r="A2527" i="2" s="1"/>
  <c r="A2528" i="2" s="1"/>
  <c r="A2529" i="2" s="1"/>
  <c r="A2530" i="2" s="1"/>
  <c r="A2531" i="2" s="1"/>
  <c r="A2532" i="2" s="1"/>
  <c r="A2533" i="2" s="1"/>
  <c r="A2534" i="2" s="1"/>
  <c r="A2535" i="2" s="1"/>
  <c r="A2536" i="2" s="1"/>
  <c r="A2537" i="2" s="1"/>
  <c r="A2538" i="2" s="1"/>
  <c r="A2539" i="2" s="1"/>
  <c r="A2540" i="2" s="1"/>
  <c r="A2541" i="2" s="1"/>
  <c r="A2542" i="2" s="1"/>
  <c r="A2543" i="2" s="1"/>
  <c r="A2544" i="2" s="1"/>
  <c r="A2545" i="2" s="1"/>
  <c r="A2546" i="2" s="1"/>
  <c r="A2547" i="2" s="1"/>
  <c r="A2548" i="2" s="1"/>
  <c r="A2549" i="2" s="1"/>
  <c r="A2550" i="2" s="1"/>
  <c r="A2551" i="2" s="1"/>
  <c r="A2552" i="2" s="1"/>
  <c r="A2553" i="2" s="1"/>
  <c r="A2554" i="2" s="1"/>
  <c r="A2555" i="2" s="1"/>
  <c r="A2556" i="2" s="1"/>
  <c r="A2557" i="2" s="1"/>
  <c r="A2558" i="2" s="1"/>
  <c r="A2559" i="2" s="1"/>
  <c r="A2560" i="2" s="1"/>
  <c r="A2561" i="2" s="1"/>
  <c r="A2562" i="2" s="1"/>
  <c r="A2563" i="2" s="1"/>
  <c r="A2564" i="2" s="1"/>
  <c r="A2565" i="2" s="1"/>
  <c r="A2566" i="2" s="1"/>
  <c r="A2567" i="2" s="1"/>
  <c r="A2568" i="2" s="1"/>
  <c r="A2569" i="2" s="1"/>
  <c r="A2570" i="2" s="1"/>
  <c r="A2571" i="2" s="1"/>
  <c r="A2572" i="2" s="1"/>
  <c r="A2573" i="2" s="1"/>
  <c r="A2574" i="2" s="1"/>
  <c r="A2575" i="2" s="1"/>
  <c r="A2576" i="2" s="1"/>
  <c r="A2577" i="2" s="1"/>
  <c r="A2578" i="2" s="1"/>
  <c r="A2579" i="2" s="1"/>
  <c r="A2580" i="2" s="1"/>
  <c r="A2581" i="2" s="1"/>
  <c r="A2582" i="2" s="1"/>
  <c r="A2583" i="2" s="1"/>
  <c r="A2584" i="2" s="1"/>
  <c r="A2585" i="2" s="1"/>
  <c r="A2586" i="2" s="1"/>
  <c r="A2587" i="2" s="1"/>
  <c r="A2588" i="2" s="1"/>
  <c r="A2589" i="2" s="1"/>
  <c r="A2590" i="2" s="1"/>
  <c r="A2591" i="2" s="1"/>
  <c r="A2592" i="2" s="1"/>
  <c r="A2593" i="2" s="1"/>
  <c r="A2594" i="2" s="1"/>
  <c r="A2595" i="2" s="1"/>
  <c r="A2596" i="2" s="1"/>
  <c r="A2597" i="2" s="1"/>
  <c r="A2598" i="2" s="1"/>
  <c r="A2599" i="2" s="1"/>
  <c r="A2600" i="2" s="1"/>
  <c r="A2601" i="2" s="1"/>
  <c r="A2602" i="2" s="1"/>
  <c r="A2603" i="2" s="1"/>
  <c r="A2604" i="2" s="1"/>
  <c r="A2605" i="2" s="1"/>
  <c r="A2606" i="2" s="1"/>
  <c r="A2607" i="2" s="1"/>
  <c r="A2608" i="2" s="1"/>
  <c r="A2609" i="2" s="1"/>
  <c r="A2610" i="2" s="1"/>
  <c r="A2611" i="2" s="1"/>
  <c r="A2612" i="2" s="1"/>
  <c r="A2613" i="2" s="1"/>
  <c r="A2614" i="2" s="1"/>
  <c r="A2615" i="2" s="1"/>
  <c r="A2616" i="2" s="1"/>
  <c r="A2617" i="2" s="1"/>
  <c r="A2618" i="2" s="1"/>
  <c r="A2619" i="2" s="1"/>
  <c r="A2620" i="2" s="1"/>
  <c r="A2621" i="2" s="1"/>
  <c r="A2622" i="2" s="1"/>
  <c r="A2623" i="2" s="1"/>
  <c r="A2624" i="2" s="1"/>
  <c r="A2625" i="2" s="1"/>
  <c r="A2626" i="2" s="1"/>
  <c r="A2627" i="2" s="1"/>
  <c r="A2628" i="2" s="1"/>
  <c r="A2629" i="2" s="1"/>
  <c r="A2630" i="2" s="1"/>
  <c r="A2631" i="2" s="1"/>
  <c r="A2632" i="2" s="1"/>
  <c r="A2633" i="2" s="1"/>
  <c r="A2634" i="2" s="1"/>
  <c r="A2635" i="2" s="1"/>
  <c r="A2636" i="2" s="1"/>
  <c r="A2637" i="2" s="1"/>
  <c r="A2638" i="2" s="1"/>
  <c r="A2639" i="2" s="1"/>
  <c r="A2640" i="2" s="1"/>
  <c r="A2641" i="2" s="1"/>
  <c r="A2642" i="2" s="1"/>
  <c r="A2643" i="2" s="1"/>
  <c r="A2644" i="2" s="1"/>
  <c r="A2645" i="2" s="1"/>
  <c r="A2646" i="2" s="1"/>
  <c r="A2647" i="2" s="1"/>
  <c r="A2648" i="2" s="1"/>
  <c r="A2649" i="2" s="1"/>
  <c r="A2650" i="2" s="1"/>
  <c r="A2651" i="2" s="1"/>
  <c r="A2652" i="2" s="1"/>
  <c r="A2653" i="2" s="1"/>
  <c r="A2654" i="2" s="1"/>
  <c r="A2655" i="2" s="1"/>
  <c r="A2656" i="2" s="1"/>
  <c r="A2657" i="2" s="1"/>
  <c r="A2658" i="2" s="1"/>
  <c r="A2659" i="2" s="1"/>
  <c r="A2660" i="2" s="1"/>
  <c r="A2661" i="2" s="1"/>
  <c r="A2662" i="2" s="1"/>
  <c r="A2663" i="2" s="1"/>
  <c r="A2664" i="2" s="1"/>
  <c r="A2665" i="2" s="1"/>
  <c r="A2666" i="2" s="1"/>
  <c r="A2667" i="2" s="1"/>
  <c r="A2668" i="2" s="1"/>
  <c r="A2669" i="2" s="1"/>
  <c r="A2670" i="2" s="1"/>
  <c r="A2671" i="2" s="1"/>
  <c r="A2672" i="2" s="1"/>
  <c r="A2673" i="2" s="1"/>
  <c r="A2674" i="2" s="1"/>
  <c r="A2675" i="2" s="1"/>
  <c r="A2676" i="2" s="1"/>
  <c r="A2677" i="2" s="1"/>
  <c r="A2678" i="2" s="1"/>
  <c r="A2679" i="2" s="1"/>
  <c r="A2680" i="2" s="1"/>
  <c r="A2681" i="2" s="1"/>
  <c r="A2682" i="2" s="1"/>
  <c r="A2683" i="2" s="1"/>
  <c r="A2684" i="2" s="1"/>
  <c r="A2685" i="2" s="1"/>
  <c r="A2686" i="2" s="1"/>
  <c r="A2687" i="2" s="1"/>
  <c r="A2688" i="2" s="1"/>
  <c r="A2689" i="2" s="1"/>
  <c r="A2690" i="2" s="1"/>
  <c r="A2691" i="2" s="1"/>
  <c r="A2692" i="2" s="1"/>
  <c r="A2693" i="2" s="1"/>
  <c r="A2694" i="2" s="1"/>
  <c r="A2695" i="2" s="1"/>
  <c r="A2696" i="2" s="1"/>
  <c r="A2697" i="2" s="1"/>
  <c r="A2698" i="2" s="1"/>
  <c r="A2699" i="2" s="1"/>
  <c r="A2700" i="2" s="1"/>
  <c r="A2701" i="2" s="1"/>
  <c r="A2702" i="2" s="1"/>
  <c r="A2703" i="2" s="1"/>
  <c r="A2704" i="2" s="1"/>
  <c r="A2705" i="2" s="1"/>
  <c r="A2706" i="2" s="1"/>
  <c r="A2707" i="2" s="1"/>
  <c r="A2708" i="2" s="1"/>
  <c r="A2709" i="2" s="1"/>
  <c r="A2710" i="2" s="1"/>
  <c r="A2711" i="2" s="1"/>
  <c r="A2712" i="2" s="1"/>
  <c r="A2713" i="2" s="1"/>
  <c r="A2714" i="2" s="1"/>
  <c r="A2715" i="2" s="1"/>
  <c r="A2716" i="2" s="1"/>
  <c r="A2717" i="2" s="1"/>
  <c r="A2718" i="2" s="1"/>
  <c r="A2719" i="2" s="1"/>
  <c r="A2720" i="2" s="1"/>
  <c r="A2721" i="2" s="1"/>
  <c r="A2722" i="2" s="1"/>
  <c r="A2723" i="2" s="1"/>
  <c r="A2724" i="2" s="1"/>
  <c r="A2725" i="2" s="1"/>
  <c r="A2726" i="2" s="1"/>
  <c r="A2727" i="2" s="1"/>
  <c r="A2728" i="2" s="1"/>
  <c r="A2729" i="2" s="1"/>
  <c r="A2730" i="2" s="1"/>
  <c r="A2731" i="2" s="1"/>
  <c r="A2732" i="2" s="1"/>
  <c r="A2733" i="2" s="1"/>
  <c r="A2734" i="2" s="1"/>
  <c r="A2735" i="2" s="1"/>
  <c r="A2736" i="2" s="1"/>
  <c r="A2737" i="2" s="1"/>
  <c r="A2738" i="2" s="1"/>
  <c r="A2739" i="2" s="1"/>
  <c r="A2740" i="2" s="1"/>
  <c r="A2741" i="2" s="1"/>
  <c r="A2742" i="2" s="1"/>
  <c r="A2743" i="2" s="1"/>
  <c r="A2744" i="2" s="1"/>
  <c r="A2745" i="2" s="1"/>
  <c r="A2746" i="2" s="1"/>
  <c r="A2747" i="2" s="1"/>
  <c r="A2748" i="2" s="1"/>
  <c r="A2749" i="2" s="1"/>
  <c r="A2750" i="2" s="1"/>
  <c r="A2751" i="2" s="1"/>
  <c r="A2752" i="2" s="1"/>
  <c r="A2753" i="2" s="1"/>
  <c r="A2754" i="2" s="1"/>
  <c r="A2755" i="2" s="1"/>
  <c r="A2756" i="2" s="1"/>
  <c r="A2757" i="2" s="1"/>
  <c r="A2758" i="2" s="1"/>
  <c r="A2759" i="2" s="1"/>
  <c r="A2760" i="2" s="1"/>
  <c r="A2761" i="2" s="1"/>
  <c r="A2762" i="2" s="1"/>
  <c r="A2763" i="2" s="1"/>
  <c r="A2764" i="2" s="1"/>
  <c r="A2765" i="2" s="1"/>
  <c r="A2766" i="2" s="1"/>
  <c r="A2767" i="2" s="1"/>
  <c r="A2768" i="2" s="1"/>
  <c r="A2769" i="2" s="1"/>
  <c r="A2770" i="2" s="1"/>
  <c r="A2771" i="2" s="1"/>
  <c r="A2772" i="2" s="1"/>
  <c r="A2773" i="2" s="1"/>
  <c r="A2774" i="2" s="1"/>
  <c r="A2775" i="2" s="1"/>
  <c r="A2776" i="2" s="1"/>
  <c r="A2777" i="2" s="1"/>
  <c r="A2778" i="2" s="1"/>
  <c r="A2779" i="2" s="1"/>
  <c r="A2780" i="2" s="1"/>
  <c r="A2781" i="2" s="1"/>
  <c r="A2782" i="2" s="1"/>
  <c r="A2783" i="2" s="1"/>
  <c r="A2784" i="2" s="1"/>
  <c r="A2785" i="2" s="1"/>
  <c r="A2786" i="2" s="1"/>
  <c r="A2787" i="2" s="1"/>
  <c r="A2788" i="2" s="1"/>
  <c r="A2789" i="2" s="1"/>
  <c r="A2790" i="2" s="1"/>
  <c r="A2791" i="2" s="1"/>
  <c r="A2792" i="2" s="1"/>
  <c r="A2793" i="2" s="1"/>
  <c r="A2794" i="2" s="1"/>
  <c r="A2795" i="2" s="1"/>
  <c r="A2796" i="2" s="1"/>
  <c r="A2797" i="2" s="1"/>
  <c r="A2798" i="2" s="1"/>
  <c r="A2799" i="2" s="1"/>
  <c r="A2800" i="2" s="1"/>
  <c r="A2801" i="2" s="1"/>
  <c r="A2802" i="2" s="1"/>
  <c r="A2803" i="2" s="1"/>
  <c r="A2804" i="2" s="1"/>
  <c r="A2805" i="2" s="1"/>
  <c r="A2806" i="2" s="1"/>
  <c r="A2807" i="2" s="1"/>
  <c r="A2808" i="2" s="1"/>
  <c r="A2809" i="2" s="1"/>
  <c r="A2810" i="2" s="1"/>
  <c r="A2811" i="2" s="1"/>
  <c r="A2812" i="2" s="1"/>
  <c r="A2813" i="2" s="1"/>
  <c r="A2814" i="2" s="1"/>
  <c r="A2815" i="2" s="1"/>
  <c r="A2816" i="2" s="1"/>
  <c r="A2817" i="2" s="1"/>
  <c r="A2818" i="2" s="1"/>
  <c r="A2819" i="2" s="1"/>
  <c r="A2820" i="2" s="1"/>
  <c r="A2821" i="2" s="1"/>
  <c r="A2822" i="2" s="1"/>
  <c r="A2823" i="2" s="1"/>
  <c r="A2824" i="2" s="1"/>
  <c r="A2825" i="2" s="1"/>
  <c r="A2826" i="2" s="1"/>
  <c r="A2827" i="2" s="1"/>
  <c r="A2828" i="2" s="1"/>
  <c r="A2829" i="2" s="1"/>
  <c r="A2830" i="2" s="1"/>
  <c r="A2831" i="2" s="1"/>
  <c r="A2832" i="2" s="1"/>
  <c r="A2833" i="2" s="1"/>
  <c r="A2834" i="2" s="1"/>
  <c r="A2835" i="2" s="1"/>
  <c r="A2836" i="2" s="1"/>
  <c r="A2837" i="2" s="1"/>
  <c r="A2838" i="2" s="1"/>
  <c r="A2839" i="2" s="1"/>
  <c r="A2840" i="2" s="1"/>
  <c r="A2841" i="2" s="1"/>
  <c r="A2842" i="2" s="1"/>
  <c r="A2843" i="2" s="1"/>
  <c r="A2844" i="2" s="1"/>
  <c r="A2845" i="2" s="1"/>
  <c r="A2846" i="2" s="1"/>
  <c r="A2847" i="2" s="1"/>
  <c r="A2848" i="2" s="1"/>
  <c r="A2849" i="2" s="1"/>
  <c r="A2850" i="2" s="1"/>
  <c r="A2851" i="2" s="1"/>
  <c r="A2852" i="2" s="1"/>
  <c r="A2853" i="2" s="1"/>
  <c r="A2854" i="2" s="1"/>
  <c r="A2855" i="2" s="1"/>
  <c r="A2856" i="2" s="1"/>
  <c r="A2857" i="2" s="1"/>
  <c r="A2858" i="2" s="1"/>
  <c r="A2859" i="2" s="1"/>
  <c r="A2860" i="2" s="1"/>
  <c r="A2861" i="2" s="1"/>
  <c r="A2862" i="2" s="1"/>
  <c r="A2863" i="2" s="1"/>
  <c r="A2864" i="2" s="1"/>
  <c r="A2865" i="2" s="1"/>
  <c r="A2866" i="2" s="1"/>
  <c r="A2867" i="2" s="1"/>
  <c r="A2868" i="2" s="1"/>
  <c r="A2869" i="2" s="1"/>
  <c r="A2870" i="2" s="1"/>
  <c r="A2871" i="2" s="1"/>
  <c r="A2872" i="2" s="1"/>
  <c r="A2873" i="2" s="1"/>
  <c r="A2874" i="2" s="1"/>
  <c r="A2875" i="2" s="1"/>
  <c r="A2876" i="2" s="1"/>
  <c r="A2877" i="2" s="1"/>
  <c r="A2878" i="2" s="1"/>
  <c r="A2879" i="2" s="1"/>
  <c r="A2880" i="2" s="1"/>
  <c r="A2881" i="2" s="1"/>
  <c r="A2882" i="2" s="1"/>
  <c r="A2883" i="2" s="1"/>
  <c r="A2884" i="2" s="1"/>
  <c r="A2885" i="2" s="1"/>
  <c r="A2886" i="2" s="1"/>
  <c r="A2887" i="2" s="1"/>
  <c r="A2888" i="2" s="1"/>
  <c r="A2889" i="2" s="1"/>
  <c r="A2890" i="2" s="1"/>
  <c r="A2891" i="2" s="1"/>
  <c r="A2892" i="2" s="1"/>
  <c r="A2893" i="2" s="1"/>
  <c r="A2894" i="2" s="1"/>
  <c r="A2895" i="2" s="1"/>
  <c r="A2896" i="2" s="1"/>
  <c r="A2897" i="2" s="1"/>
  <c r="A2898" i="2" s="1"/>
  <c r="A2899" i="2" s="1"/>
  <c r="A2900" i="2" s="1"/>
  <c r="A2901" i="2" s="1"/>
  <c r="A2902" i="2" s="1"/>
  <c r="A2903" i="2" s="1"/>
  <c r="A2904" i="2" s="1"/>
  <c r="A2905" i="2" s="1"/>
  <c r="A2906" i="2" s="1"/>
  <c r="A2907" i="2" s="1"/>
  <c r="A2908" i="2" s="1"/>
  <c r="A2909" i="2" s="1"/>
  <c r="A2910" i="2" s="1"/>
  <c r="A2911" i="2" s="1"/>
  <c r="A2912" i="2" s="1"/>
  <c r="A2913" i="2" s="1"/>
  <c r="A2914" i="2" s="1"/>
  <c r="A2915" i="2" s="1"/>
  <c r="A2916" i="2" s="1"/>
  <c r="A2917" i="2" s="1"/>
  <c r="A2918" i="2" s="1"/>
  <c r="A2919" i="2" s="1"/>
  <c r="A2920" i="2" s="1"/>
  <c r="A2921" i="2" s="1"/>
  <c r="A2922" i="2" s="1"/>
  <c r="A2923" i="2" s="1"/>
  <c r="A2924" i="2" s="1"/>
  <c r="A2925" i="2" s="1"/>
  <c r="A2926" i="2" s="1"/>
  <c r="A2927" i="2" s="1"/>
  <c r="A2928" i="2" s="1"/>
  <c r="A2929" i="2" s="1"/>
  <c r="A2930" i="2" s="1"/>
  <c r="A2931" i="2" s="1"/>
  <c r="A2932" i="2" s="1"/>
  <c r="A2933" i="2" s="1"/>
  <c r="A2934" i="2" s="1"/>
  <c r="A2935" i="2" s="1"/>
  <c r="A2936" i="2" s="1"/>
  <c r="A2937" i="2" s="1"/>
  <c r="A2938" i="2" s="1"/>
  <c r="A2939" i="2" s="1"/>
  <c r="A2940" i="2" s="1"/>
  <c r="A2941" i="2" s="1"/>
  <c r="A2942" i="2" s="1"/>
  <c r="A2943" i="2" s="1"/>
  <c r="A2944" i="2" s="1"/>
  <c r="A2945" i="2" s="1"/>
  <c r="A2946" i="2" s="1"/>
  <c r="A2947" i="2" s="1"/>
  <c r="A2948" i="2" s="1"/>
  <c r="A2949" i="2" s="1"/>
  <c r="A2950" i="2" s="1"/>
  <c r="A2951" i="2" s="1"/>
  <c r="A2952" i="2" s="1"/>
  <c r="A2953" i="2" s="1"/>
  <c r="A2954" i="2" s="1"/>
  <c r="A2955" i="2" s="1"/>
  <c r="A2956" i="2" s="1"/>
  <c r="A2957" i="2" s="1"/>
  <c r="A2958" i="2" s="1"/>
  <c r="A2959" i="2" s="1"/>
  <c r="A2960" i="2" s="1"/>
  <c r="A2961" i="2" s="1"/>
  <c r="A2962" i="2" s="1"/>
  <c r="A2963" i="2" s="1"/>
  <c r="A2964" i="2" s="1"/>
  <c r="A2965" i="2" s="1"/>
  <c r="A2966" i="2" s="1"/>
  <c r="A2967" i="2" s="1"/>
  <c r="A2968" i="2" s="1"/>
  <c r="A2969" i="2" s="1"/>
  <c r="A2970" i="2" s="1"/>
  <c r="A2971" i="2" s="1"/>
  <c r="A2972" i="2" s="1"/>
  <c r="A2973" i="2" s="1"/>
  <c r="A2974" i="2" s="1"/>
  <c r="A2975" i="2" s="1"/>
  <c r="A2976" i="2" s="1"/>
  <c r="A2977" i="2" s="1"/>
  <c r="A2978" i="2" s="1"/>
  <c r="A2979" i="2" s="1"/>
  <c r="A2980" i="2" s="1"/>
  <c r="A2981" i="2" s="1"/>
  <c r="A2982" i="2" s="1"/>
  <c r="A2983" i="2" s="1"/>
  <c r="A2984" i="2" s="1"/>
  <c r="A2985" i="2" s="1"/>
  <c r="A2986" i="2" s="1"/>
  <c r="A2987" i="2" s="1"/>
  <c r="A2988" i="2" s="1"/>
  <c r="A2989" i="2" s="1"/>
  <c r="A2990" i="2" s="1"/>
  <c r="A2991" i="2" s="1"/>
  <c r="A2992" i="2" s="1"/>
  <c r="A2993" i="2" s="1"/>
  <c r="A2994" i="2" s="1"/>
  <c r="A2995" i="2" s="1"/>
  <c r="A2996" i="2" s="1"/>
  <c r="A2997" i="2" s="1"/>
  <c r="A2998" i="2" s="1"/>
  <c r="A2999" i="2" s="1"/>
  <c r="A3000" i="2" s="1"/>
  <c r="A3001" i="2" s="1"/>
  <c r="A3002" i="2" s="1"/>
  <c r="A3003" i="2" s="1"/>
  <c r="A3004" i="2" s="1"/>
  <c r="A3005" i="2" s="1"/>
  <c r="A3006" i="2" s="1"/>
  <c r="A3007" i="2" s="1"/>
  <c r="A3008" i="2" s="1"/>
  <c r="A3009" i="2" s="1"/>
  <c r="A3010" i="2" s="1"/>
  <c r="A3011" i="2" s="1"/>
  <c r="A3012" i="2" s="1"/>
  <c r="A3013" i="2" s="1"/>
  <c r="A3014" i="2" s="1"/>
  <c r="A3015" i="2" s="1"/>
  <c r="A3016" i="2" s="1"/>
  <c r="A3017" i="2" s="1"/>
  <c r="A3018" i="2" s="1"/>
  <c r="A3019" i="2" s="1"/>
  <c r="A3020" i="2" s="1"/>
  <c r="A3021" i="2" s="1"/>
  <c r="A3022" i="2" s="1"/>
  <c r="A3023" i="2" s="1"/>
  <c r="A3024" i="2" s="1"/>
  <c r="A3025" i="2" s="1"/>
  <c r="A3026" i="2" s="1"/>
  <c r="A3027" i="2" s="1"/>
  <c r="A3028" i="2" s="1"/>
  <c r="A3029" i="2" s="1"/>
  <c r="A3030" i="2" s="1"/>
  <c r="A3031" i="2" s="1"/>
  <c r="A3032" i="2" s="1"/>
  <c r="A3033" i="2" s="1"/>
  <c r="A3034" i="2" s="1"/>
  <c r="A3035" i="2" s="1"/>
  <c r="A3036" i="2" s="1"/>
  <c r="A3037" i="2" s="1"/>
  <c r="A3038" i="2" s="1"/>
  <c r="A3039" i="2" s="1"/>
  <c r="A3040" i="2" s="1"/>
  <c r="A3041" i="2" s="1"/>
  <c r="A3042" i="2" s="1"/>
  <c r="A3043" i="2" s="1"/>
  <c r="A3044" i="2" s="1"/>
  <c r="A3045" i="2" s="1"/>
  <c r="A3046" i="2" s="1"/>
  <c r="A3047" i="2" s="1"/>
  <c r="A3048" i="2" s="1"/>
  <c r="A3049" i="2" s="1"/>
  <c r="A3050" i="2" s="1"/>
  <c r="A3051" i="2" s="1"/>
  <c r="A3052" i="2" s="1"/>
  <c r="A3053" i="2" s="1"/>
  <c r="A3054" i="2" s="1"/>
  <c r="A3055" i="2" s="1"/>
  <c r="A3056" i="2" s="1"/>
  <c r="A3057" i="2" s="1"/>
  <c r="A3058" i="2" s="1"/>
  <c r="A3059" i="2" s="1"/>
  <c r="A3060" i="2" s="1"/>
  <c r="A3061" i="2" s="1"/>
  <c r="A3062" i="2" s="1"/>
  <c r="A3063" i="2" s="1"/>
  <c r="A3064" i="2" s="1"/>
  <c r="A3065" i="2" s="1"/>
  <c r="A3066" i="2" s="1"/>
  <c r="A3067" i="2" s="1"/>
  <c r="A3068" i="2" s="1"/>
  <c r="A3069" i="2" s="1"/>
  <c r="A3070" i="2" s="1"/>
  <c r="A3071" i="2" s="1"/>
  <c r="A3072" i="2" s="1"/>
  <c r="A3073" i="2" s="1"/>
  <c r="A3074" i="2" s="1"/>
  <c r="A3075" i="2" s="1"/>
  <c r="A3076" i="2" s="1"/>
  <c r="A3077" i="2" s="1"/>
  <c r="A3078" i="2" s="1"/>
  <c r="A3079" i="2" s="1"/>
  <c r="A3080" i="2" s="1"/>
  <c r="A3081" i="2" s="1"/>
  <c r="A3082" i="2" s="1"/>
  <c r="A3083" i="2" s="1"/>
  <c r="A3084" i="2" s="1"/>
  <c r="A3085" i="2" s="1"/>
  <c r="A3086" i="2" s="1"/>
  <c r="A3087" i="2" s="1"/>
  <c r="A3088" i="2" s="1"/>
  <c r="A3089" i="2" s="1"/>
  <c r="A3090" i="2" s="1"/>
  <c r="A3091" i="2" s="1"/>
  <c r="A3092" i="2" s="1"/>
  <c r="A3093" i="2" s="1"/>
  <c r="A3094" i="2" s="1"/>
  <c r="A3095" i="2" s="1"/>
  <c r="A3096" i="2" s="1"/>
  <c r="A3097" i="2" s="1"/>
  <c r="A3098" i="2" s="1"/>
  <c r="A3099" i="2" s="1"/>
  <c r="A3100" i="2" s="1"/>
  <c r="A3101" i="2" s="1"/>
  <c r="A3102" i="2" s="1"/>
  <c r="A3103" i="2" s="1"/>
  <c r="A3104" i="2" s="1"/>
  <c r="A3105" i="2" s="1"/>
  <c r="A3106" i="2" s="1"/>
  <c r="A3107" i="2" s="1"/>
  <c r="A3108" i="2" s="1"/>
  <c r="A3109" i="2" s="1"/>
  <c r="A3110" i="2" s="1"/>
  <c r="A3111" i="2" s="1"/>
  <c r="A3112" i="2" s="1"/>
  <c r="A3113" i="2" s="1"/>
  <c r="A3114" i="2" s="1"/>
  <c r="A3115" i="2" s="1"/>
  <c r="A3116" i="2" s="1"/>
  <c r="A3117" i="2" s="1"/>
  <c r="A3118" i="2" s="1"/>
  <c r="A3119" i="2" s="1"/>
  <c r="A3120" i="2" s="1"/>
  <c r="A3121" i="2" s="1"/>
  <c r="A3122" i="2" s="1"/>
  <c r="A3123" i="2" s="1"/>
  <c r="A3124" i="2" s="1"/>
  <c r="A3125" i="2" s="1"/>
  <c r="A3126" i="2" s="1"/>
  <c r="A3127" i="2" s="1"/>
  <c r="A3128" i="2" s="1"/>
  <c r="A3129" i="2" s="1"/>
  <c r="A3130" i="2" s="1"/>
  <c r="A3131" i="2" s="1"/>
  <c r="A3132" i="2" s="1"/>
  <c r="A3133" i="2" s="1"/>
  <c r="A3134" i="2" s="1"/>
  <c r="A3135" i="2" s="1"/>
  <c r="A3136" i="2" s="1"/>
  <c r="A3137" i="2" s="1"/>
  <c r="A3138" i="2" s="1"/>
  <c r="A3139" i="2" s="1"/>
  <c r="A3140" i="2" s="1"/>
  <c r="A3141" i="2" s="1"/>
  <c r="A3142" i="2" s="1"/>
  <c r="A3143" i="2" s="1"/>
  <c r="A3144" i="2" s="1"/>
  <c r="A3145" i="2" s="1"/>
  <c r="A3146" i="2" s="1"/>
  <c r="A3147" i="2" s="1"/>
  <c r="A3148" i="2" s="1"/>
  <c r="A3149" i="2" s="1"/>
  <c r="A3150" i="2" s="1"/>
  <c r="A3151" i="2" s="1"/>
  <c r="A3152" i="2" s="1"/>
  <c r="A3153" i="2" s="1"/>
  <c r="A3154" i="2" s="1"/>
  <c r="A3155" i="2" s="1"/>
  <c r="A3156" i="2" s="1"/>
  <c r="A3157" i="2" s="1"/>
  <c r="A3158" i="2" s="1"/>
  <c r="A3159" i="2" s="1"/>
  <c r="A3160" i="2" s="1"/>
  <c r="A3161" i="2" s="1"/>
  <c r="A3162" i="2" s="1"/>
  <c r="A3163" i="2" s="1"/>
  <c r="A3164" i="2" s="1"/>
  <c r="A3165" i="2" s="1"/>
  <c r="A3166" i="2" s="1"/>
  <c r="A3167" i="2" s="1"/>
  <c r="A3168" i="2" s="1"/>
  <c r="A3169" i="2" s="1"/>
  <c r="A3170" i="2" s="1"/>
  <c r="A3171" i="2" s="1"/>
  <c r="A3172" i="2" s="1"/>
  <c r="A3173" i="2" s="1"/>
  <c r="A3174" i="2" s="1"/>
  <c r="A3175" i="2" s="1"/>
  <c r="A3176" i="2" s="1"/>
  <c r="A3177" i="2" s="1"/>
  <c r="A3178" i="2" s="1"/>
  <c r="A3179" i="2" s="1"/>
  <c r="A3180" i="2" s="1"/>
  <c r="A3181" i="2" s="1"/>
  <c r="A3182" i="2" s="1"/>
  <c r="A3183" i="2" s="1"/>
  <c r="A3184" i="2" s="1"/>
  <c r="A3185" i="2" s="1"/>
  <c r="A3186" i="2" s="1"/>
  <c r="A3187" i="2" s="1"/>
  <c r="A3188" i="2" s="1"/>
  <c r="A3189" i="2" s="1"/>
  <c r="A3190" i="2" s="1"/>
  <c r="A3191" i="2" s="1"/>
  <c r="A3192" i="2" s="1"/>
  <c r="A3193" i="2" s="1"/>
  <c r="A3194" i="2" s="1"/>
  <c r="A3195" i="2" s="1"/>
  <c r="A3196" i="2" s="1"/>
  <c r="A3197" i="2" s="1"/>
  <c r="A3198" i="2" s="1"/>
  <c r="A3199" i="2" s="1"/>
  <c r="A3200" i="2" s="1"/>
  <c r="A3201" i="2" s="1"/>
  <c r="A3202" i="2" s="1"/>
  <c r="A3203" i="2" s="1"/>
  <c r="A3204" i="2" s="1"/>
  <c r="A3205" i="2" s="1"/>
  <c r="A3206" i="2" s="1"/>
  <c r="A3207" i="2" s="1"/>
  <c r="A3208" i="2" s="1"/>
  <c r="A3209" i="2" s="1"/>
  <c r="A3210" i="2" s="1"/>
  <c r="A3211" i="2" s="1"/>
  <c r="A3212" i="2" s="1"/>
  <c r="A3213" i="2" s="1"/>
  <c r="A3214" i="2" s="1"/>
  <c r="A3215" i="2" s="1"/>
  <c r="A3216" i="2" s="1"/>
  <c r="A3217" i="2" s="1"/>
  <c r="A3218" i="2" s="1"/>
  <c r="A3219" i="2" s="1"/>
  <c r="A3220" i="2" s="1"/>
  <c r="A3221" i="2" s="1"/>
  <c r="A3222" i="2" s="1"/>
  <c r="A3223" i="2" s="1"/>
  <c r="A3224" i="2" s="1"/>
  <c r="A3225" i="2" s="1"/>
  <c r="A3226" i="2" s="1"/>
  <c r="A3227" i="2" s="1"/>
  <c r="A3228" i="2" s="1"/>
  <c r="A3229" i="2" s="1"/>
  <c r="A3230" i="2" s="1"/>
  <c r="A3231" i="2" s="1"/>
  <c r="A3232" i="2" s="1"/>
  <c r="A3233" i="2" s="1"/>
  <c r="A3234" i="2" s="1"/>
  <c r="A3235" i="2" s="1"/>
  <c r="A3236" i="2" s="1"/>
  <c r="A3237" i="2" s="1"/>
  <c r="A3238" i="2" s="1"/>
  <c r="A3239" i="2" s="1"/>
  <c r="A3240" i="2" s="1"/>
  <c r="A3241" i="2" s="1"/>
  <c r="A3242" i="2" s="1"/>
  <c r="A3243" i="2" s="1"/>
  <c r="A3244" i="2" s="1"/>
  <c r="A3245" i="2" s="1"/>
  <c r="A3246" i="2" s="1"/>
  <c r="A3247" i="2" s="1"/>
  <c r="A3248" i="2" s="1"/>
  <c r="A3249" i="2" s="1"/>
  <c r="A3250" i="2" s="1"/>
  <c r="A3251" i="2" s="1"/>
  <c r="A3252" i="2" s="1"/>
  <c r="A3253" i="2" s="1"/>
  <c r="A3254" i="2" s="1"/>
  <c r="A3255" i="2" s="1"/>
  <c r="A3256" i="2" s="1"/>
  <c r="A3257" i="2" s="1"/>
  <c r="A3258" i="2" s="1"/>
  <c r="A3259" i="2" s="1"/>
  <c r="A3260" i="2" s="1"/>
  <c r="A3261" i="2" s="1"/>
  <c r="A3262" i="2" s="1"/>
  <c r="A3263" i="2" s="1"/>
  <c r="A3264" i="2" s="1"/>
  <c r="A3265" i="2" s="1"/>
  <c r="A3266" i="2" s="1"/>
  <c r="A3267" i="2" s="1"/>
  <c r="A3268" i="2" s="1"/>
  <c r="A3269" i="2" s="1"/>
  <c r="A3270" i="2" s="1"/>
  <c r="A3271" i="2" s="1"/>
  <c r="A3272" i="2" s="1"/>
  <c r="A3273" i="2" s="1"/>
  <c r="A3274" i="2" s="1"/>
  <c r="A3275" i="2" s="1"/>
  <c r="A3276" i="2" s="1"/>
  <c r="A3277" i="2" s="1"/>
  <c r="A3278" i="2" s="1"/>
  <c r="A3279" i="2" s="1"/>
  <c r="A3280" i="2" s="1"/>
  <c r="A3281" i="2" s="1"/>
  <c r="A3282" i="2" s="1"/>
  <c r="A3283" i="2" s="1"/>
  <c r="A3284" i="2" s="1"/>
  <c r="A3285" i="2" s="1"/>
  <c r="A3286" i="2" s="1"/>
  <c r="A3287" i="2" s="1"/>
  <c r="A3288" i="2" s="1"/>
  <c r="A3289" i="2" s="1"/>
  <c r="A3290" i="2" s="1"/>
  <c r="A3291" i="2" s="1"/>
  <c r="A3292" i="2" s="1"/>
  <c r="A3293" i="2" s="1"/>
  <c r="A3294" i="2" s="1"/>
  <c r="A3295" i="2" s="1"/>
  <c r="A3296" i="2" s="1"/>
  <c r="A3297" i="2" s="1"/>
  <c r="A3298" i="2" s="1"/>
  <c r="A3299" i="2" s="1"/>
  <c r="A3300" i="2" s="1"/>
  <c r="A3301" i="2" s="1"/>
  <c r="A3302" i="2" s="1"/>
  <c r="A3303" i="2" s="1"/>
  <c r="A3304" i="2" s="1"/>
  <c r="A3305" i="2" s="1"/>
  <c r="A3306" i="2" s="1"/>
  <c r="A3307" i="2" s="1"/>
  <c r="A3308" i="2" s="1"/>
  <c r="A3309" i="2" s="1"/>
  <c r="A3310" i="2" s="1"/>
  <c r="A3311" i="2" s="1"/>
  <c r="A3312" i="2" s="1"/>
  <c r="A3313" i="2" s="1"/>
  <c r="A3314" i="2" s="1"/>
  <c r="A3315" i="2" s="1"/>
  <c r="A3316" i="2" s="1"/>
  <c r="A3317" i="2" s="1"/>
  <c r="A3318" i="2" s="1"/>
  <c r="A3319" i="2" s="1"/>
  <c r="A3320" i="2" s="1"/>
  <c r="A3321" i="2" s="1"/>
  <c r="A3322" i="2" s="1"/>
  <c r="A3323" i="2" s="1"/>
  <c r="A3324" i="2" s="1"/>
  <c r="A3325" i="2" s="1"/>
  <c r="A3326" i="2" s="1"/>
  <c r="A3327" i="2" s="1"/>
  <c r="A3328" i="2" s="1"/>
  <c r="A3329" i="2" s="1"/>
  <c r="A3330" i="2" s="1"/>
  <c r="A3331" i="2" s="1"/>
  <c r="A3332" i="2" s="1"/>
  <c r="A3333" i="2" s="1"/>
  <c r="A3334" i="2" s="1"/>
  <c r="A3335" i="2" s="1"/>
  <c r="A3336" i="2" s="1"/>
  <c r="A3337" i="2" s="1"/>
  <c r="A3338" i="2" s="1"/>
  <c r="A3339" i="2" s="1"/>
  <c r="A3340" i="2" s="1"/>
  <c r="A3341" i="2" s="1"/>
  <c r="A3342" i="2" s="1"/>
  <c r="A3343" i="2" s="1"/>
  <c r="A3344" i="2" s="1"/>
  <c r="A3345" i="2" s="1"/>
  <c r="A3346" i="2" s="1"/>
  <c r="A3347" i="2" s="1"/>
  <c r="A3348" i="2" s="1"/>
  <c r="A3349" i="2" s="1"/>
  <c r="A3350" i="2" s="1"/>
  <c r="A3351" i="2" s="1"/>
  <c r="A3352" i="2" s="1"/>
  <c r="A3353" i="2" s="1"/>
  <c r="A3354" i="2" s="1"/>
  <c r="A3355" i="2" s="1"/>
  <c r="A3356" i="2" s="1"/>
  <c r="A3357" i="2" s="1"/>
  <c r="A3358" i="2" s="1"/>
  <c r="A3359" i="2" s="1"/>
  <c r="A3360" i="2" s="1"/>
  <c r="A3361" i="2" s="1"/>
  <c r="A3362" i="2" s="1"/>
  <c r="A3363" i="2" s="1"/>
  <c r="A3364" i="2" s="1"/>
  <c r="A3365" i="2" s="1"/>
  <c r="A3366" i="2" s="1"/>
  <c r="A3367" i="2" s="1"/>
  <c r="A3368" i="2" s="1"/>
  <c r="A3369" i="2" s="1"/>
  <c r="A3370" i="2" s="1"/>
  <c r="A3371" i="2" s="1"/>
  <c r="A3372" i="2" s="1"/>
  <c r="A3373" i="2" s="1"/>
  <c r="A3374" i="2" s="1"/>
  <c r="A3375" i="2" s="1"/>
  <c r="A3376" i="2" s="1"/>
  <c r="A3377" i="2" s="1"/>
  <c r="A3378" i="2" s="1"/>
  <c r="A3379" i="2" s="1"/>
  <c r="A3380" i="2" s="1"/>
  <c r="A3381" i="2" s="1"/>
  <c r="A3382" i="2" s="1"/>
  <c r="A3383" i="2" s="1"/>
  <c r="A3384" i="2" s="1"/>
  <c r="A3385" i="2" s="1"/>
  <c r="A3386" i="2" s="1"/>
  <c r="A3387" i="2" s="1"/>
  <c r="A3388" i="2" s="1"/>
  <c r="A3389" i="2" s="1"/>
  <c r="A3390" i="2" s="1"/>
  <c r="A3391" i="2" s="1"/>
  <c r="A3392" i="2" s="1"/>
  <c r="A3393" i="2" s="1"/>
  <c r="A3394" i="2" s="1"/>
  <c r="A3395" i="2" s="1"/>
  <c r="A3396" i="2" s="1"/>
  <c r="A3397" i="2" s="1"/>
  <c r="A3398" i="2" s="1"/>
  <c r="A3399" i="2" s="1"/>
  <c r="A3400" i="2" s="1"/>
  <c r="A3401" i="2" s="1"/>
  <c r="A3402" i="2" s="1"/>
  <c r="A3403" i="2" s="1"/>
  <c r="A3404" i="2" s="1"/>
  <c r="A3405" i="2" s="1"/>
  <c r="A3406" i="2" s="1"/>
  <c r="A3407" i="2" s="1"/>
  <c r="A3408" i="2" s="1"/>
  <c r="A3409" i="2" s="1"/>
  <c r="A3410" i="2" s="1"/>
  <c r="A3411" i="2" s="1"/>
  <c r="A3412" i="2" s="1"/>
  <c r="A3413" i="2" s="1"/>
  <c r="A3414" i="2" s="1"/>
  <c r="A3415" i="2" s="1"/>
  <c r="A3416" i="2" s="1"/>
  <c r="A3417" i="2" s="1"/>
  <c r="A3418" i="2" s="1"/>
  <c r="A3419" i="2" s="1"/>
  <c r="A3420" i="2" s="1"/>
  <c r="A3421" i="2" s="1"/>
  <c r="A3422" i="2" s="1"/>
  <c r="A3423" i="2" s="1"/>
  <c r="A3424" i="2" s="1"/>
  <c r="A3425" i="2" s="1"/>
  <c r="A3426" i="2" s="1"/>
  <c r="A3427" i="2" s="1"/>
  <c r="A3428" i="2" s="1"/>
  <c r="A3429" i="2" s="1"/>
  <c r="A3430" i="2" s="1"/>
  <c r="A3431" i="2" s="1"/>
  <c r="A3432" i="2" s="1"/>
  <c r="A3433" i="2" s="1"/>
  <c r="A3434" i="2" s="1"/>
  <c r="A3435" i="2" s="1"/>
  <c r="A3436" i="2" s="1"/>
  <c r="A3437" i="2" s="1"/>
  <c r="A3438" i="2" s="1"/>
  <c r="A3439" i="2" s="1"/>
  <c r="A3440" i="2" s="1"/>
  <c r="A3441" i="2" s="1"/>
  <c r="A3442" i="2" s="1"/>
  <c r="A3443" i="2" s="1"/>
  <c r="A3444" i="2" s="1"/>
  <c r="A3445" i="2" s="1"/>
  <c r="A3446" i="2" s="1"/>
  <c r="A3447" i="2" s="1"/>
  <c r="A3448" i="2" s="1"/>
  <c r="A3449" i="2" s="1"/>
  <c r="A3450" i="2" s="1"/>
  <c r="A3451" i="2" s="1"/>
  <c r="A3452" i="2" s="1"/>
  <c r="A3453" i="2" s="1"/>
  <c r="A3454" i="2" s="1"/>
  <c r="A3455" i="2" s="1"/>
  <c r="A3456" i="2" s="1"/>
  <c r="A3457" i="2" s="1"/>
  <c r="A3458" i="2" s="1"/>
  <c r="A3459" i="2" s="1"/>
  <c r="A3460" i="2" s="1"/>
  <c r="A3461" i="2" s="1"/>
  <c r="A3462" i="2" s="1"/>
  <c r="A3463" i="2" s="1"/>
  <c r="A3464" i="2" s="1"/>
  <c r="A3465" i="2" s="1"/>
  <c r="A3466" i="2" s="1"/>
  <c r="A3467" i="2" s="1"/>
  <c r="A3468" i="2" s="1"/>
  <c r="A3469" i="2" s="1"/>
  <c r="A3470" i="2" s="1"/>
  <c r="A3471" i="2" s="1"/>
  <c r="A3472" i="2" s="1"/>
  <c r="A3473" i="2" s="1"/>
  <c r="A3474" i="2" s="1"/>
  <c r="A3475" i="2" s="1"/>
  <c r="A3476" i="2" s="1"/>
  <c r="A3477" i="2" s="1"/>
  <c r="A3478" i="2" s="1"/>
  <c r="A3479" i="2" s="1"/>
  <c r="A3480" i="2" s="1"/>
  <c r="A3481" i="2" s="1"/>
  <c r="A3482" i="2" s="1"/>
  <c r="A3483" i="2" s="1"/>
  <c r="A3484" i="2" s="1"/>
  <c r="A3485" i="2" s="1"/>
  <c r="A3486" i="2" s="1"/>
  <c r="A3487" i="2" s="1"/>
  <c r="A3488" i="2" s="1"/>
  <c r="A3489" i="2" s="1"/>
  <c r="A3490" i="2" s="1"/>
  <c r="A3491" i="2" s="1"/>
  <c r="A3492" i="2" s="1"/>
  <c r="A3493" i="2" s="1"/>
  <c r="A3494" i="2" s="1"/>
  <c r="A3495" i="2" s="1"/>
  <c r="A3496" i="2" s="1"/>
  <c r="A3497" i="2" s="1"/>
  <c r="A3498" i="2" s="1"/>
  <c r="A3499" i="2" s="1"/>
  <c r="A3500" i="2" s="1"/>
  <c r="A3501" i="2" s="1"/>
  <c r="A3502" i="2" s="1"/>
  <c r="A3503" i="2" s="1"/>
  <c r="A3504" i="2" s="1"/>
  <c r="A3505" i="2" s="1"/>
  <c r="A3506" i="2" s="1"/>
  <c r="A3507" i="2" s="1"/>
  <c r="A3508" i="2" s="1"/>
  <c r="A3509" i="2" s="1"/>
  <c r="A3510" i="2" s="1"/>
  <c r="A3511" i="2" s="1"/>
  <c r="A3512" i="2" s="1"/>
  <c r="A3513" i="2" s="1"/>
  <c r="A3514" i="2" s="1"/>
  <c r="A3515" i="2" s="1"/>
  <c r="A3516" i="2" s="1"/>
  <c r="A3517" i="2" s="1"/>
  <c r="A3518" i="2" s="1"/>
  <c r="A3519" i="2" s="1"/>
  <c r="A3520" i="2" s="1"/>
  <c r="A3521" i="2" s="1"/>
  <c r="A3522" i="2" s="1"/>
  <c r="A3523" i="2" s="1"/>
  <c r="A3524" i="2" s="1"/>
  <c r="A3525" i="2" s="1"/>
  <c r="A3526" i="2" s="1"/>
  <c r="A3527" i="2" s="1"/>
  <c r="A3528" i="2" s="1"/>
  <c r="A3529" i="2" s="1"/>
  <c r="A3530" i="2" s="1"/>
  <c r="A3531" i="2" s="1"/>
  <c r="A3532" i="2" s="1"/>
  <c r="A3533" i="2" s="1"/>
  <c r="A3534" i="2" s="1"/>
  <c r="A3535" i="2" s="1"/>
  <c r="A3536" i="2" s="1"/>
  <c r="A3537" i="2" s="1"/>
  <c r="A3538" i="2" s="1"/>
  <c r="A3539" i="2" s="1"/>
  <c r="A3540" i="2" s="1"/>
  <c r="A3541" i="2" s="1"/>
  <c r="A3542" i="2" s="1"/>
  <c r="A3543" i="2" s="1"/>
  <c r="A3544" i="2" s="1"/>
  <c r="A3545" i="2" s="1"/>
  <c r="A3546" i="2" s="1"/>
  <c r="A3547" i="2" s="1"/>
  <c r="A3548" i="2" s="1"/>
  <c r="A3549" i="2" s="1"/>
  <c r="A3550" i="2" s="1"/>
  <c r="A3551" i="2" s="1"/>
  <c r="A3552" i="2" s="1"/>
  <c r="A3553" i="2" s="1"/>
  <c r="A3554" i="2" s="1"/>
  <c r="A3555" i="2" s="1"/>
  <c r="A3556" i="2" s="1"/>
  <c r="A3557" i="2" s="1"/>
  <c r="A3558" i="2" s="1"/>
  <c r="A3559" i="2" s="1"/>
  <c r="A3560" i="2" s="1"/>
  <c r="A3561" i="2" s="1"/>
  <c r="A3562" i="2" s="1"/>
  <c r="A3563" i="2" s="1"/>
  <c r="A3564" i="2" s="1"/>
  <c r="A3565" i="2" s="1"/>
  <c r="A3566" i="2" s="1"/>
  <c r="A3567" i="2" s="1"/>
  <c r="A3568" i="2" s="1"/>
  <c r="A3569" i="2" s="1"/>
  <c r="A3570" i="2" s="1"/>
  <c r="A3571" i="2" s="1"/>
  <c r="A3572" i="2" s="1"/>
  <c r="A3573" i="2" s="1"/>
  <c r="A3574" i="2" s="1"/>
  <c r="A3575" i="2" s="1"/>
  <c r="A3576" i="2" s="1"/>
  <c r="A3577" i="2" s="1"/>
  <c r="A3578" i="2" s="1"/>
  <c r="A3579" i="2" s="1"/>
  <c r="A3580" i="2" s="1"/>
  <c r="A3581" i="2" s="1"/>
  <c r="A3582" i="2" s="1"/>
  <c r="A3583" i="2" s="1"/>
  <c r="A3584" i="2" s="1"/>
  <c r="A3585" i="2" s="1"/>
  <c r="A3586" i="2" s="1"/>
  <c r="A3587" i="2" s="1"/>
  <c r="A3588" i="2" s="1"/>
  <c r="A3589" i="2" s="1"/>
  <c r="A3590" i="2" s="1"/>
  <c r="A3591" i="2" s="1"/>
  <c r="A3592" i="2" s="1"/>
  <c r="A3593" i="2" s="1"/>
  <c r="A3594" i="2" s="1"/>
  <c r="A3595" i="2" s="1"/>
  <c r="A3596" i="2" s="1"/>
  <c r="A3597" i="2" s="1"/>
  <c r="A3598" i="2" s="1"/>
  <c r="A3599" i="2" s="1"/>
  <c r="A3600" i="2" s="1"/>
  <c r="A3601" i="2" s="1"/>
  <c r="A3602" i="2" s="1"/>
  <c r="A3603" i="2" s="1"/>
  <c r="A3604" i="2" s="1"/>
  <c r="A3605" i="2" s="1"/>
  <c r="A3606" i="2" s="1"/>
  <c r="A3607" i="2" s="1"/>
  <c r="A3608" i="2" s="1"/>
  <c r="A3609" i="2" s="1"/>
  <c r="A3610" i="2" s="1"/>
  <c r="A3611" i="2" s="1"/>
  <c r="A3612" i="2" s="1"/>
  <c r="A3613" i="2" s="1"/>
  <c r="A3614" i="2" s="1"/>
  <c r="A3615" i="2" s="1"/>
  <c r="A3616" i="2" s="1"/>
  <c r="A3617" i="2" s="1"/>
  <c r="A3618" i="2" s="1"/>
  <c r="A3619" i="2" s="1"/>
  <c r="A3620" i="2" s="1"/>
  <c r="A3621" i="2" s="1"/>
  <c r="A3622" i="2" s="1"/>
  <c r="A3623" i="2" s="1"/>
  <c r="A3624" i="2" s="1"/>
  <c r="A3625" i="2" s="1"/>
  <c r="A3626" i="2" s="1"/>
  <c r="A3627" i="2" s="1"/>
  <c r="A3628" i="2" s="1"/>
  <c r="A3629" i="2" s="1"/>
  <c r="A3630" i="2" s="1"/>
  <c r="A3631" i="2" s="1"/>
  <c r="A3632" i="2" s="1"/>
  <c r="A3633" i="2" s="1"/>
  <c r="A3634" i="2" s="1"/>
  <c r="A3635" i="2" s="1"/>
  <c r="A3636" i="2" s="1"/>
  <c r="A3637" i="2" s="1"/>
  <c r="A3638" i="2" s="1"/>
  <c r="A3639" i="2" s="1"/>
  <c r="A3640" i="2" s="1"/>
  <c r="A3641" i="2" s="1"/>
  <c r="A3642" i="2" s="1"/>
  <c r="A3643" i="2" s="1"/>
  <c r="A3644" i="2" s="1"/>
  <c r="A3645" i="2" s="1"/>
  <c r="A3646" i="2" s="1"/>
  <c r="A3647" i="2" s="1"/>
  <c r="A3648" i="2" s="1"/>
  <c r="A3649" i="2" s="1"/>
  <c r="A3650" i="2" s="1"/>
  <c r="A3651" i="2" s="1"/>
  <c r="A3652" i="2" s="1"/>
  <c r="A3653" i="2" s="1"/>
  <c r="A3654" i="2" s="1"/>
  <c r="A3655" i="2" s="1"/>
  <c r="A3656" i="2" s="1"/>
  <c r="A3657" i="2" s="1"/>
  <c r="A3658" i="2" s="1"/>
  <c r="A3659" i="2" s="1"/>
  <c r="A3660" i="2" s="1"/>
  <c r="A3661" i="2" s="1"/>
  <c r="A3662" i="2" s="1"/>
  <c r="A3663" i="2" s="1"/>
  <c r="A3664" i="2" s="1"/>
  <c r="A3665" i="2" s="1"/>
  <c r="A3666" i="2" s="1"/>
  <c r="A3667" i="2" s="1"/>
  <c r="A3668" i="2" s="1"/>
  <c r="A3669" i="2" s="1"/>
  <c r="A3670" i="2" s="1"/>
  <c r="A3671" i="2" s="1"/>
  <c r="A3672" i="2" s="1"/>
  <c r="A3673" i="2" s="1"/>
  <c r="A3674" i="2" s="1"/>
  <c r="A3675" i="2" s="1"/>
  <c r="A3676" i="2" s="1"/>
  <c r="A3677" i="2" s="1"/>
  <c r="A3678" i="2" s="1"/>
  <c r="A3679" i="2" s="1"/>
  <c r="A3680" i="2" s="1"/>
  <c r="A3681" i="2" s="1"/>
  <c r="A3682" i="2" s="1"/>
  <c r="A3683" i="2" s="1"/>
  <c r="A3684" i="2" s="1"/>
  <c r="A3685" i="2" s="1"/>
  <c r="A3686" i="2" s="1"/>
  <c r="A3687" i="2" s="1"/>
  <c r="A3688" i="2" s="1"/>
  <c r="A3689" i="2" s="1"/>
  <c r="A3690" i="2" s="1"/>
  <c r="A3691" i="2" s="1"/>
  <c r="A3692" i="2" s="1"/>
  <c r="A3693" i="2" s="1"/>
  <c r="A3694" i="2" s="1"/>
  <c r="A3695" i="2" s="1"/>
  <c r="A3696" i="2" s="1"/>
  <c r="A3697" i="2" s="1"/>
  <c r="A3698" i="2" s="1"/>
  <c r="A3699" i="2" s="1"/>
  <c r="A3700" i="2" s="1"/>
  <c r="A3701" i="2" s="1"/>
  <c r="A3702" i="2" s="1"/>
  <c r="A3703" i="2" s="1"/>
  <c r="A3704" i="2" s="1"/>
  <c r="A3705" i="2" s="1"/>
  <c r="A3706" i="2" s="1"/>
  <c r="A3707" i="2" s="1"/>
  <c r="A3708" i="2" s="1"/>
  <c r="A3709" i="2" s="1"/>
  <c r="A3710" i="2" s="1"/>
  <c r="A3711" i="2" s="1"/>
  <c r="A3712" i="2" s="1"/>
  <c r="A3713" i="2" s="1"/>
  <c r="A3714" i="2" s="1"/>
  <c r="A3715" i="2" s="1"/>
  <c r="A3716" i="2" s="1"/>
  <c r="A3717" i="2" s="1"/>
  <c r="A3718" i="2" s="1"/>
  <c r="A3719" i="2" s="1"/>
  <c r="A3720" i="2" s="1"/>
  <c r="A3721" i="2" s="1"/>
  <c r="A3722" i="2" s="1"/>
  <c r="A3723" i="2" s="1"/>
  <c r="A3724" i="2" s="1"/>
  <c r="A3725" i="2" s="1"/>
  <c r="A3726" i="2" s="1"/>
  <c r="A3727" i="2" s="1"/>
  <c r="A3728" i="2" s="1"/>
  <c r="A3729" i="2" s="1"/>
  <c r="A3730" i="2" s="1"/>
  <c r="A3731" i="2" s="1"/>
  <c r="A3732" i="2" s="1"/>
  <c r="A3733" i="2" s="1"/>
  <c r="A3734" i="2" s="1"/>
  <c r="A3735" i="2" s="1"/>
  <c r="A3736" i="2" s="1"/>
  <c r="A3737" i="2" s="1"/>
  <c r="A3738" i="2" s="1"/>
  <c r="A3739" i="2" s="1"/>
  <c r="A3740" i="2" s="1"/>
  <c r="A3741" i="2" s="1"/>
  <c r="A3742" i="2" s="1"/>
  <c r="A3743" i="2" s="1"/>
  <c r="A3744" i="2" s="1"/>
  <c r="A3745" i="2" s="1"/>
  <c r="A3746" i="2" s="1"/>
  <c r="A3747" i="2" s="1"/>
  <c r="A3748" i="2" s="1"/>
  <c r="A3749" i="2" s="1"/>
  <c r="A3750" i="2" s="1"/>
  <c r="A3751" i="2" s="1"/>
  <c r="A3752" i="2" s="1"/>
  <c r="A3753" i="2" s="1"/>
  <c r="A3754" i="2" s="1"/>
  <c r="A3755" i="2" s="1"/>
  <c r="A3756" i="2" s="1"/>
  <c r="A3757" i="2" s="1"/>
  <c r="A3758" i="2" s="1"/>
  <c r="A3759" i="2" s="1"/>
  <c r="A3760" i="2" s="1"/>
  <c r="A3761" i="2" s="1"/>
  <c r="A3762" i="2" s="1"/>
  <c r="A3763" i="2" s="1"/>
  <c r="A3764" i="2" s="1"/>
  <c r="A3765" i="2" s="1"/>
  <c r="A3766" i="2" s="1"/>
  <c r="A3767" i="2" s="1"/>
  <c r="A3768" i="2" s="1"/>
  <c r="A3769" i="2" s="1"/>
  <c r="A3770" i="2" s="1"/>
  <c r="A3771" i="2" s="1"/>
  <c r="A3772" i="2" s="1"/>
  <c r="A3773" i="2" s="1"/>
  <c r="A3774" i="2" s="1"/>
  <c r="A3775" i="2" s="1"/>
  <c r="A3776" i="2" s="1"/>
  <c r="A3777" i="2" s="1"/>
  <c r="A3778" i="2" s="1"/>
  <c r="A3779" i="2" s="1"/>
  <c r="A3780" i="2" s="1"/>
  <c r="A3781" i="2" s="1"/>
  <c r="A3782" i="2" s="1"/>
  <c r="A3783" i="2" s="1"/>
  <c r="A3784" i="2" s="1"/>
  <c r="A3785" i="2" s="1"/>
  <c r="A3786" i="2" s="1"/>
  <c r="A3787" i="2" s="1"/>
  <c r="A3788" i="2" s="1"/>
  <c r="A3789" i="2" s="1"/>
  <c r="A3790" i="2" s="1"/>
  <c r="A3791" i="2" s="1"/>
  <c r="A3792" i="2" s="1"/>
  <c r="A3793" i="2" s="1"/>
  <c r="A3794" i="2" s="1"/>
  <c r="A3795" i="2" s="1"/>
  <c r="A3796" i="2" s="1"/>
  <c r="A3797" i="2" s="1"/>
  <c r="A3798" i="2" s="1"/>
  <c r="A3799" i="2" s="1"/>
  <c r="A3800" i="2" s="1"/>
  <c r="A3801" i="2" s="1"/>
  <c r="A3802" i="2" s="1"/>
  <c r="A3803" i="2" s="1"/>
  <c r="A3804" i="2" s="1"/>
  <c r="A3805" i="2" s="1"/>
  <c r="A3806" i="2" s="1"/>
  <c r="A3807" i="2" s="1"/>
  <c r="A3808" i="2" s="1"/>
  <c r="A3809" i="2" s="1"/>
  <c r="A3810" i="2" s="1"/>
  <c r="A3811" i="2" s="1"/>
  <c r="A3812" i="2" s="1"/>
  <c r="A3813" i="2" s="1"/>
  <c r="A3814" i="2" s="1"/>
  <c r="A3815" i="2" s="1"/>
  <c r="A3816" i="2" s="1"/>
  <c r="A3817" i="2" s="1"/>
  <c r="A3818" i="2" s="1"/>
  <c r="A3819" i="2" s="1"/>
  <c r="A3820" i="2" s="1"/>
  <c r="A3821" i="2" s="1"/>
  <c r="A3822" i="2" s="1"/>
  <c r="A3823" i="2" s="1"/>
  <c r="A3824" i="2" s="1"/>
  <c r="A3825" i="2" s="1"/>
  <c r="A3826" i="2" s="1"/>
  <c r="A3827" i="2" s="1"/>
  <c r="A3828" i="2" s="1"/>
  <c r="A3829" i="2" s="1"/>
  <c r="A3830" i="2" s="1"/>
  <c r="A3831" i="2" s="1"/>
  <c r="A3832" i="2" s="1"/>
  <c r="A3833" i="2" s="1"/>
  <c r="A3834" i="2" s="1"/>
  <c r="A3835" i="2" s="1"/>
  <c r="A3836" i="2" s="1"/>
  <c r="A3837" i="2" s="1"/>
  <c r="A3838" i="2" s="1"/>
  <c r="A3839" i="2" s="1"/>
  <c r="A3840" i="2" s="1"/>
  <c r="A3841" i="2" s="1"/>
  <c r="A3842" i="2" s="1"/>
  <c r="A3843" i="2" s="1"/>
  <c r="A3844" i="2" s="1"/>
  <c r="A3845" i="2" s="1"/>
  <c r="A3846" i="2" s="1"/>
  <c r="A3847" i="2" s="1"/>
  <c r="A3848" i="2" s="1"/>
  <c r="A3849" i="2" s="1"/>
  <c r="A3850" i="2" s="1"/>
  <c r="A3851" i="2" s="1"/>
  <c r="A3852" i="2" s="1"/>
  <c r="A3853" i="2" s="1"/>
  <c r="A3854" i="2" s="1"/>
  <c r="A3855" i="2" s="1"/>
  <c r="A3856" i="2" s="1"/>
  <c r="A3857" i="2" s="1"/>
  <c r="A3858" i="2" s="1"/>
  <c r="A3859" i="2" s="1"/>
  <c r="A3860" i="2" s="1"/>
  <c r="A3861" i="2" s="1"/>
  <c r="A3862" i="2" s="1"/>
  <c r="A3863" i="2" s="1"/>
  <c r="A3864" i="2" s="1"/>
  <c r="A3865" i="2" s="1"/>
  <c r="A3866" i="2" s="1"/>
  <c r="A3867" i="2" s="1"/>
  <c r="A3868" i="2" s="1"/>
  <c r="A3869" i="2" s="1"/>
  <c r="A3870" i="2" s="1"/>
  <c r="A3871" i="2" s="1"/>
  <c r="A3872" i="2" s="1"/>
  <c r="A3873" i="2" s="1"/>
  <c r="A3874" i="2" s="1"/>
  <c r="A3875" i="2" s="1"/>
  <c r="A3876" i="2" s="1"/>
  <c r="A3877" i="2" s="1"/>
  <c r="A3878" i="2" s="1"/>
  <c r="A3879" i="2" s="1"/>
  <c r="A3880" i="2" s="1"/>
  <c r="A3881" i="2" s="1"/>
  <c r="A3882" i="2" s="1"/>
  <c r="A3883" i="2" s="1"/>
  <c r="A3884" i="2" s="1"/>
  <c r="A3885" i="2" s="1"/>
  <c r="A3886" i="2" s="1"/>
  <c r="A3887" i="2" s="1"/>
  <c r="A3888" i="2" s="1"/>
  <c r="A3889" i="2" s="1"/>
  <c r="A3890" i="2" s="1"/>
  <c r="A3891" i="2" s="1"/>
  <c r="A3892" i="2" s="1"/>
  <c r="A3893" i="2" s="1"/>
  <c r="A3894" i="2" s="1"/>
  <c r="A3895" i="2" s="1"/>
  <c r="A3896" i="2" s="1"/>
  <c r="A3897" i="2" s="1"/>
  <c r="A3898" i="2" s="1"/>
  <c r="A3899" i="2" s="1"/>
  <c r="A3900" i="2" s="1"/>
  <c r="A3901" i="2" s="1"/>
  <c r="A3902" i="2" s="1"/>
  <c r="A3903" i="2" s="1"/>
  <c r="A3904" i="2" s="1"/>
  <c r="A3905" i="2" s="1"/>
  <c r="A3906" i="2" s="1"/>
  <c r="A3907" i="2" s="1"/>
  <c r="A3908" i="2" s="1"/>
  <c r="A3909" i="2" s="1"/>
  <c r="A3910" i="2" s="1"/>
  <c r="A3911" i="2" s="1"/>
  <c r="A3912" i="2" s="1"/>
  <c r="A3913" i="2" s="1"/>
  <c r="A3914" i="2" s="1"/>
  <c r="A3915" i="2" s="1"/>
  <c r="A3916" i="2" s="1"/>
  <c r="A3917" i="2" s="1"/>
  <c r="A3918" i="2" s="1"/>
  <c r="A3919" i="2" s="1"/>
  <c r="H3690" i="2"/>
  <c r="H3691" i="2"/>
  <c r="H3692" i="2"/>
  <c r="H3693" i="2"/>
  <c r="J3690" i="2"/>
  <c r="J3691" i="2"/>
  <c r="J3692" i="2"/>
  <c r="J3693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H3620" i="2"/>
  <c r="J3620" i="2"/>
  <c r="H3619" i="2"/>
  <c r="J3619" i="2"/>
  <c r="H3611" i="2"/>
  <c r="H3612" i="2"/>
  <c r="H3613" i="2"/>
  <c r="H3614" i="2"/>
  <c r="H3615" i="2"/>
  <c r="H3616" i="2"/>
  <c r="H3617" i="2"/>
  <c r="H3618" i="2"/>
  <c r="J3611" i="2"/>
  <c r="J3612" i="2"/>
  <c r="J3613" i="2"/>
  <c r="J3614" i="2"/>
  <c r="J3615" i="2"/>
  <c r="J3616" i="2"/>
  <c r="J3617" i="2"/>
  <c r="J3618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H3574" i="2"/>
  <c r="H3575" i="2"/>
  <c r="J3574" i="2"/>
  <c r="J3575" i="2"/>
  <c r="H3564" i="2"/>
  <c r="H3565" i="2"/>
  <c r="H3566" i="2"/>
  <c r="H3567" i="2"/>
  <c r="H3568" i="2"/>
  <c r="H3569" i="2"/>
  <c r="H3570" i="2"/>
  <c r="H3571" i="2"/>
  <c r="H3572" i="2"/>
  <c r="H3573" i="2"/>
  <c r="J3564" i="2"/>
  <c r="J3565" i="2"/>
  <c r="J3566" i="2"/>
  <c r="J3567" i="2"/>
  <c r="J3568" i="2"/>
  <c r="J3569" i="2"/>
  <c r="J3570" i="2"/>
  <c r="J3571" i="2"/>
  <c r="J3572" i="2"/>
  <c r="J3573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H3537" i="2"/>
  <c r="J3537" i="2"/>
  <c r="H3530" i="2"/>
  <c r="H3531" i="2"/>
  <c r="H3532" i="2"/>
  <c r="H3533" i="2"/>
  <c r="H3534" i="2"/>
  <c r="H3535" i="2"/>
  <c r="H3536" i="2"/>
  <c r="J3530" i="2"/>
  <c r="J3531" i="2"/>
  <c r="J3532" i="2"/>
  <c r="J3533" i="2"/>
  <c r="J3534" i="2"/>
  <c r="J3535" i="2"/>
  <c r="J3536" i="2"/>
  <c r="H3527" i="2"/>
  <c r="H3528" i="2"/>
  <c r="H3529" i="2"/>
  <c r="J3527" i="2"/>
  <c r="J3528" i="2"/>
  <c r="J3529" i="2"/>
  <c r="H3524" i="2"/>
  <c r="H3525" i="2"/>
  <c r="H3526" i="2"/>
  <c r="J3524" i="2"/>
  <c r="J3525" i="2"/>
  <c r="J3526" i="2"/>
  <c r="H3523" i="2"/>
  <c r="J3523" i="2"/>
  <c r="H3516" i="2"/>
  <c r="H3517" i="2"/>
  <c r="H3518" i="2"/>
  <c r="H3519" i="2"/>
  <c r="H3520" i="2"/>
  <c r="H3521" i="2"/>
  <c r="H3522" i="2"/>
  <c r="J3516" i="2"/>
  <c r="J3517" i="2"/>
  <c r="J3518" i="2"/>
  <c r="J3519" i="2"/>
  <c r="J3520" i="2"/>
  <c r="J3521" i="2"/>
  <c r="J3522" i="2"/>
  <c r="H3515" i="2"/>
  <c r="J3515" i="2"/>
  <c r="H3512" i="2"/>
  <c r="H3513" i="2"/>
  <c r="H3514" i="2"/>
  <c r="J3512" i="2"/>
  <c r="J3513" i="2"/>
  <c r="J3514" i="2"/>
  <c r="H3511" i="2"/>
  <c r="J3511" i="2"/>
  <c r="H3510" i="2"/>
  <c r="J3510" i="2"/>
  <c r="H3509" i="2"/>
  <c r="J3509" i="2"/>
  <c r="H3508" i="2"/>
  <c r="J3508" i="2"/>
  <c r="H3507" i="2"/>
  <c r="J3507" i="2"/>
  <c r="H3506" i="2"/>
  <c r="J3506" i="2"/>
  <c r="J3505" i="2"/>
  <c r="H3505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H3450" i="2"/>
  <c r="J3450" i="2"/>
  <c r="H3449" i="2"/>
  <c r="H3448" i="2"/>
  <c r="H3447" i="2"/>
  <c r="H3446" i="2"/>
  <c r="H3445" i="2"/>
  <c r="H3444" i="2"/>
  <c r="H3443" i="2"/>
  <c r="H3442" i="2"/>
  <c r="H3441" i="2"/>
  <c r="H3440" i="2"/>
  <c r="H3439" i="2"/>
  <c r="H3438" i="2"/>
  <c r="H3437" i="2"/>
  <c r="H3436" i="2"/>
  <c r="H3435" i="2"/>
  <c r="H3434" i="2"/>
  <c r="H3433" i="2"/>
  <c r="H3432" i="2"/>
  <c r="H3431" i="2"/>
  <c r="H3430" i="2"/>
  <c r="H3429" i="2"/>
  <c r="H3428" i="2"/>
  <c r="H3427" i="2"/>
  <c r="H3426" i="2"/>
  <c r="H3425" i="2"/>
  <c r="H3424" i="2"/>
  <c r="H3423" i="2"/>
  <c r="H3422" i="2"/>
  <c r="H3421" i="2"/>
  <c r="H3420" i="2"/>
  <c r="H3419" i="2"/>
  <c r="H3418" i="2"/>
  <c r="H3417" i="2"/>
  <c r="H3416" i="2"/>
  <c r="H3415" i="2"/>
  <c r="H3414" i="2"/>
  <c r="H3413" i="2"/>
  <c r="H3412" i="2"/>
  <c r="H3411" i="2"/>
  <c r="H3410" i="2"/>
  <c r="H3409" i="2"/>
  <c r="H3408" i="2"/>
  <c r="H3407" i="2"/>
  <c r="H3406" i="2"/>
  <c r="H3405" i="2"/>
  <c r="H3404" i="2"/>
  <c r="H3403" i="2"/>
  <c r="H3402" i="2"/>
  <c r="H3401" i="2"/>
  <c r="H3400" i="2"/>
  <c r="H3399" i="2"/>
  <c r="H3398" i="2"/>
  <c r="H3397" i="2"/>
  <c r="H3396" i="2"/>
  <c r="H3395" i="2"/>
  <c r="H3394" i="2"/>
  <c r="H3393" i="2"/>
  <c r="H3392" i="2"/>
  <c r="H3391" i="2"/>
  <c r="H3390" i="2"/>
  <c r="H3389" i="2"/>
  <c r="H3388" i="2"/>
  <c r="H3387" i="2"/>
  <c r="H3386" i="2"/>
  <c r="H3385" i="2"/>
  <c r="H3384" i="2"/>
  <c r="H3383" i="2"/>
  <c r="H3382" i="2"/>
  <c r="H3381" i="2"/>
  <c r="H3380" i="2"/>
  <c r="H3379" i="2"/>
  <c r="H3378" i="2"/>
  <c r="H3377" i="2"/>
  <c r="H3376" i="2"/>
  <c r="H3375" i="2"/>
  <c r="H3374" i="2"/>
  <c r="H3373" i="2"/>
  <c r="H3372" i="2"/>
  <c r="H3371" i="2"/>
  <c r="H3370" i="2"/>
  <c r="H3369" i="2"/>
  <c r="H3368" i="2"/>
  <c r="H3367" i="2"/>
  <c r="H3366" i="2"/>
  <c r="H3365" i="2"/>
  <c r="H3364" i="2"/>
  <c r="H3363" i="2"/>
  <c r="H3362" i="2"/>
  <c r="H3361" i="2"/>
  <c r="H3360" i="2"/>
  <c r="H3359" i="2"/>
  <c r="H3358" i="2"/>
  <c r="H3357" i="2"/>
  <c r="H3356" i="2"/>
  <c r="H3355" i="2"/>
  <c r="H3354" i="2"/>
  <c r="H3353" i="2"/>
  <c r="H3352" i="2"/>
  <c r="H3351" i="2"/>
  <c r="H3350" i="2"/>
  <c r="H3349" i="2"/>
  <c r="H3348" i="2"/>
  <c r="H3347" i="2"/>
  <c r="H3346" i="2"/>
  <c r="H3345" i="2"/>
  <c r="H3344" i="2"/>
  <c r="H3343" i="2"/>
  <c r="H3342" i="2"/>
  <c r="H3341" i="2"/>
  <c r="H3340" i="2"/>
  <c r="H3339" i="2"/>
  <c r="H3338" i="2"/>
  <c r="H3337" i="2"/>
  <c r="H3336" i="2"/>
  <c r="H3335" i="2"/>
  <c r="H3334" i="2"/>
  <c r="H3333" i="2"/>
  <c r="H3332" i="2"/>
  <c r="H3331" i="2"/>
  <c r="H3330" i="2"/>
  <c r="H3329" i="2"/>
  <c r="H3328" i="2"/>
  <c r="H3327" i="2"/>
  <c r="H3326" i="2"/>
  <c r="H3325" i="2"/>
  <c r="H3324" i="2"/>
  <c r="H3323" i="2"/>
  <c r="H3322" i="2"/>
  <c r="H3321" i="2"/>
  <c r="H3320" i="2"/>
  <c r="H3319" i="2"/>
  <c r="H3318" i="2"/>
  <c r="H3317" i="2"/>
  <c r="H3316" i="2"/>
  <c r="H3315" i="2"/>
  <c r="H3314" i="2"/>
  <c r="H3313" i="2"/>
  <c r="H3312" i="2"/>
  <c r="H3311" i="2"/>
  <c r="H3310" i="2"/>
  <c r="H3309" i="2"/>
  <c r="H3308" i="2"/>
  <c r="H3307" i="2"/>
  <c r="H3306" i="2"/>
  <c r="H3305" i="2"/>
  <c r="H3304" i="2"/>
  <c r="H3303" i="2"/>
  <c r="H3302" i="2"/>
  <c r="H3301" i="2"/>
  <c r="H3300" i="2"/>
  <c r="H3299" i="2"/>
  <c r="H3298" i="2"/>
  <c r="H3297" i="2"/>
  <c r="H3296" i="2"/>
  <c r="H3295" i="2"/>
  <c r="H3294" i="2"/>
  <c r="H3293" i="2"/>
  <c r="H3292" i="2"/>
  <c r="H3291" i="2"/>
  <c r="H3290" i="2"/>
  <c r="H3289" i="2"/>
  <c r="H3288" i="2"/>
  <c r="H3287" i="2"/>
  <c r="H3286" i="2"/>
  <c r="H3285" i="2"/>
  <c r="H3284" i="2"/>
  <c r="H3283" i="2"/>
  <c r="H3282" i="2"/>
  <c r="H3281" i="2"/>
  <c r="H3280" i="2"/>
  <c r="H3279" i="2"/>
  <c r="H3278" i="2"/>
  <c r="H3277" i="2"/>
  <c r="H3276" i="2"/>
  <c r="H3275" i="2"/>
  <c r="H3274" i="2"/>
  <c r="H3273" i="2"/>
  <c r="H3272" i="2"/>
  <c r="H3271" i="2"/>
  <c r="H3270" i="2"/>
  <c r="H3269" i="2"/>
  <c r="H3268" i="2"/>
  <c r="H3267" i="2"/>
  <c r="H3266" i="2"/>
  <c r="H3265" i="2"/>
  <c r="H3264" i="2"/>
  <c r="H3263" i="2"/>
  <c r="H3262" i="2"/>
  <c r="H3261" i="2"/>
  <c r="H3260" i="2"/>
  <c r="H3259" i="2"/>
  <c r="H3258" i="2"/>
  <c r="H3257" i="2"/>
  <c r="H3256" i="2"/>
  <c r="H3255" i="2"/>
  <c r="H3254" i="2"/>
  <c r="H3253" i="2"/>
  <c r="H3252" i="2"/>
  <c r="H3251" i="2"/>
  <c r="H3250" i="2"/>
  <c r="H3249" i="2"/>
  <c r="H3248" i="2"/>
  <c r="H3247" i="2"/>
  <c r="H3246" i="2"/>
  <c r="H3245" i="2"/>
  <c r="H3244" i="2"/>
  <c r="H3243" i="2"/>
  <c r="H3242" i="2"/>
  <c r="H3241" i="2"/>
  <c r="H3240" i="2"/>
  <c r="H3239" i="2"/>
  <c r="H3238" i="2"/>
  <c r="H3237" i="2"/>
  <c r="H3236" i="2"/>
  <c r="H3235" i="2"/>
  <c r="H3234" i="2"/>
  <c r="H3233" i="2"/>
  <c r="H3232" i="2"/>
  <c r="H3231" i="2"/>
  <c r="H3230" i="2"/>
  <c r="H3229" i="2"/>
  <c r="H3228" i="2"/>
  <c r="H3227" i="2"/>
  <c r="H3226" i="2"/>
  <c r="H3225" i="2"/>
  <c r="H3224" i="2"/>
  <c r="H3223" i="2"/>
  <c r="H3222" i="2"/>
  <c r="H3221" i="2"/>
  <c r="H3220" i="2"/>
  <c r="H3219" i="2"/>
  <c r="H3218" i="2"/>
  <c r="H3217" i="2"/>
  <c r="H3216" i="2"/>
  <c r="H3215" i="2"/>
  <c r="H3214" i="2"/>
  <c r="H3213" i="2"/>
  <c r="H3212" i="2"/>
  <c r="H3211" i="2"/>
  <c r="H3210" i="2"/>
  <c r="H3209" i="2"/>
  <c r="H3208" i="2"/>
  <c r="H3207" i="2"/>
  <c r="H3206" i="2"/>
  <c r="H3205" i="2"/>
  <c r="H3204" i="2"/>
  <c r="H3203" i="2"/>
  <c r="H3202" i="2"/>
  <c r="H3201" i="2"/>
  <c r="H3200" i="2"/>
  <c r="H3199" i="2"/>
  <c r="H3198" i="2"/>
  <c r="H3197" i="2"/>
  <c r="H3196" i="2"/>
  <c r="H3195" i="2"/>
  <c r="H3194" i="2"/>
  <c r="H3193" i="2"/>
  <c r="H3192" i="2"/>
  <c r="H3191" i="2"/>
  <c r="H3190" i="2"/>
  <c r="H3189" i="2"/>
  <c r="H3188" i="2"/>
  <c r="H3187" i="2"/>
  <c r="H3186" i="2"/>
  <c r="H3185" i="2"/>
  <c r="H3184" i="2"/>
  <c r="H3183" i="2"/>
  <c r="H3182" i="2"/>
  <c r="H3181" i="2"/>
  <c r="H3180" i="2"/>
  <c r="H3179" i="2"/>
  <c r="H3178" i="2"/>
  <c r="H3177" i="2"/>
  <c r="H3176" i="2"/>
  <c r="H3175" i="2"/>
  <c r="H3174" i="2"/>
  <c r="H3173" i="2"/>
  <c r="H3172" i="2"/>
  <c r="H3171" i="2"/>
  <c r="H3170" i="2"/>
  <c r="H3169" i="2"/>
  <c r="H3168" i="2"/>
  <c r="H3167" i="2"/>
  <c r="H3166" i="2"/>
  <c r="H3165" i="2"/>
  <c r="H3164" i="2"/>
  <c r="H3163" i="2"/>
  <c r="H3162" i="2"/>
  <c r="H3161" i="2"/>
  <c r="H3160" i="2"/>
  <c r="H3159" i="2"/>
  <c r="H3158" i="2"/>
  <c r="H3157" i="2"/>
  <c r="H3156" i="2"/>
  <c r="H3155" i="2"/>
  <c r="H3154" i="2"/>
  <c r="H3153" i="2"/>
  <c r="H3152" i="2"/>
  <c r="H3151" i="2"/>
  <c r="H3150" i="2"/>
  <c r="H3149" i="2"/>
  <c r="H3148" i="2"/>
  <c r="H3147" i="2"/>
  <c r="H3146" i="2"/>
  <c r="H3145" i="2"/>
  <c r="H3144" i="2"/>
  <c r="H3143" i="2"/>
  <c r="H3142" i="2"/>
  <c r="H3141" i="2"/>
  <c r="H3140" i="2"/>
  <c r="H3139" i="2"/>
  <c r="H3138" i="2"/>
  <c r="H3137" i="2"/>
  <c r="H3136" i="2"/>
  <c r="H3135" i="2"/>
  <c r="H3134" i="2"/>
  <c r="H3133" i="2"/>
  <c r="H3132" i="2"/>
  <c r="H3131" i="2"/>
  <c r="H3130" i="2"/>
  <c r="H3129" i="2"/>
  <c r="H3128" i="2"/>
  <c r="H3127" i="2"/>
  <c r="H3126" i="2"/>
  <c r="H3125" i="2"/>
  <c r="H3124" i="2"/>
  <c r="H3123" i="2"/>
  <c r="H3122" i="2"/>
  <c r="H3121" i="2"/>
  <c r="H3120" i="2"/>
  <c r="H3119" i="2"/>
  <c r="H3118" i="2"/>
  <c r="H3117" i="2"/>
  <c r="H3116" i="2"/>
  <c r="H3115" i="2"/>
  <c r="H3114" i="2"/>
  <c r="H3113" i="2"/>
  <c r="H3112" i="2"/>
  <c r="H3111" i="2"/>
  <c r="H3110" i="2"/>
  <c r="H3109" i="2"/>
  <c r="H3108" i="2"/>
  <c r="H3107" i="2"/>
  <c r="H3106" i="2"/>
  <c r="H3105" i="2"/>
  <c r="H3104" i="2"/>
  <c r="H3103" i="2"/>
  <c r="H3102" i="2"/>
  <c r="H3101" i="2"/>
  <c r="H3100" i="2"/>
  <c r="H3099" i="2"/>
  <c r="H3098" i="2"/>
  <c r="H3097" i="2"/>
  <c r="H3096" i="2"/>
  <c r="H3095" i="2"/>
  <c r="H3094" i="2"/>
  <c r="H3093" i="2"/>
  <c r="H3092" i="2"/>
  <c r="H3091" i="2"/>
  <c r="H3090" i="2"/>
  <c r="H3089" i="2"/>
  <c r="H3088" i="2"/>
  <c r="H3087" i="2"/>
  <c r="H3086" i="2"/>
  <c r="H3085" i="2"/>
  <c r="H3084" i="2"/>
  <c r="H3083" i="2"/>
  <c r="H3082" i="2"/>
  <c r="H3081" i="2"/>
  <c r="H3080" i="2"/>
  <c r="H3079" i="2"/>
  <c r="H3078" i="2"/>
  <c r="H3077" i="2"/>
  <c r="H3076" i="2"/>
  <c r="H3075" i="2"/>
  <c r="H3074" i="2"/>
  <c r="H3073" i="2"/>
  <c r="H3072" i="2"/>
  <c r="H3071" i="2"/>
  <c r="H3070" i="2"/>
  <c r="H3069" i="2"/>
  <c r="H3068" i="2"/>
  <c r="H3067" i="2"/>
  <c r="H3066" i="2"/>
  <c r="H3065" i="2"/>
  <c r="H3064" i="2"/>
  <c r="H3063" i="2"/>
  <c r="H3062" i="2"/>
  <c r="H3061" i="2"/>
  <c r="H3060" i="2"/>
  <c r="H3059" i="2"/>
  <c r="H3058" i="2"/>
  <c r="H3057" i="2"/>
  <c r="H3056" i="2"/>
  <c r="H3055" i="2"/>
  <c r="H3054" i="2"/>
  <c r="H3053" i="2"/>
  <c r="H3052" i="2"/>
  <c r="H3051" i="2"/>
  <c r="H3050" i="2"/>
  <c r="H3049" i="2"/>
  <c r="H3048" i="2"/>
  <c r="H3047" i="2"/>
  <c r="H3046" i="2"/>
  <c r="H3045" i="2"/>
  <c r="H3044" i="2"/>
  <c r="H3043" i="2"/>
  <c r="H3042" i="2"/>
  <c r="H3041" i="2"/>
  <c r="H3040" i="2"/>
  <c r="H3039" i="2"/>
  <c r="H3038" i="2"/>
  <c r="H3037" i="2"/>
  <c r="H3036" i="2"/>
  <c r="H3035" i="2"/>
  <c r="H3034" i="2"/>
  <c r="H3033" i="2"/>
  <c r="H3032" i="2"/>
  <c r="H3031" i="2"/>
  <c r="H3030" i="2"/>
  <c r="H3029" i="2"/>
  <c r="H3028" i="2"/>
  <c r="H3027" i="2"/>
  <c r="H3026" i="2"/>
  <c r="H3025" i="2"/>
  <c r="H3024" i="2"/>
  <c r="H3023" i="2"/>
  <c r="H3022" i="2"/>
  <c r="H3021" i="2"/>
  <c r="H3020" i="2"/>
  <c r="H3019" i="2"/>
  <c r="H3018" i="2"/>
  <c r="H3017" i="2"/>
  <c r="H3016" i="2"/>
  <c r="H3015" i="2"/>
  <c r="H3014" i="2"/>
  <c r="H3013" i="2"/>
  <c r="H3012" i="2"/>
  <c r="H3011" i="2"/>
  <c r="H3010" i="2"/>
  <c r="H3009" i="2"/>
  <c r="H3008" i="2"/>
  <c r="H3007" i="2"/>
  <c r="H3006" i="2"/>
  <c r="H3005" i="2"/>
  <c r="H3004" i="2"/>
  <c r="H3003" i="2"/>
  <c r="H3002" i="2"/>
  <c r="H3001" i="2"/>
  <c r="H3000" i="2"/>
  <c r="H2999" i="2"/>
  <c r="H2998" i="2"/>
  <c r="H2997" i="2"/>
  <c r="H2996" i="2"/>
  <c r="H2995" i="2"/>
  <c r="H2994" i="2"/>
  <c r="H2993" i="2"/>
  <c r="H2992" i="2"/>
  <c r="H2991" i="2"/>
  <c r="H2990" i="2"/>
  <c r="H2989" i="2"/>
  <c r="H2988" i="2"/>
  <c r="H2987" i="2"/>
  <c r="H2986" i="2"/>
  <c r="H2985" i="2"/>
  <c r="H2984" i="2"/>
  <c r="H2983" i="2"/>
  <c r="H2982" i="2"/>
  <c r="H2981" i="2"/>
  <c r="H2980" i="2"/>
  <c r="H2979" i="2"/>
  <c r="H2978" i="2"/>
  <c r="H2977" i="2"/>
  <c r="H2976" i="2"/>
  <c r="H2975" i="2"/>
  <c r="H2974" i="2"/>
  <c r="H2973" i="2"/>
  <c r="H2972" i="2"/>
  <c r="H2971" i="2"/>
  <c r="H2970" i="2"/>
  <c r="H2969" i="2"/>
  <c r="H2968" i="2"/>
  <c r="H2967" i="2"/>
  <c r="H2966" i="2"/>
  <c r="H2965" i="2"/>
  <c r="H2964" i="2"/>
  <c r="H2963" i="2"/>
  <c r="H2962" i="2"/>
  <c r="H2961" i="2"/>
  <c r="H2960" i="2"/>
  <c r="H2959" i="2"/>
  <c r="H2958" i="2"/>
  <c r="H2957" i="2"/>
  <c r="H2956" i="2"/>
  <c r="H2955" i="2"/>
  <c r="H2954" i="2"/>
  <c r="H2953" i="2"/>
  <c r="H2952" i="2"/>
  <c r="H2951" i="2"/>
  <c r="H2950" i="2"/>
  <c r="H2949" i="2"/>
  <c r="H2948" i="2"/>
  <c r="H2947" i="2"/>
  <c r="H2946" i="2"/>
  <c r="H2945" i="2"/>
  <c r="H2944" i="2"/>
  <c r="H2943" i="2"/>
  <c r="H2942" i="2"/>
  <c r="H2941" i="2"/>
  <c r="H2940" i="2"/>
  <c r="H2939" i="2"/>
  <c r="H2938" i="2"/>
  <c r="H2937" i="2"/>
  <c r="H2936" i="2"/>
  <c r="H2935" i="2"/>
  <c r="H2934" i="2"/>
  <c r="H2933" i="2"/>
  <c r="H2932" i="2"/>
  <c r="H2931" i="2"/>
  <c r="H2930" i="2"/>
  <c r="H2929" i="2"/>
  <c r="H2928" i="2"/>
  <c r="H2927" i="2"/>
  <c r="H2926" i="2"/>
  <c r="H2925" i="2"/>
  <c r="H2924" i="2"/>
  <c r="H2923" i="2"/>
  <c r="H2922" i="2"/>
  <c r="H2921" i="2"/>
  <c r="H2920" i="2"/>
  <c r="H2919" i="2"/>
  <c r="H2918" i="2"/>
  <c r="H2917" i="2"/>
  <c r="H2916" i="2"/>
  <c r="H2915" i="2"/>
  <c r="H2914" i="2"/>
  <c r="H2913" i="2"/>
  <c r="H2912" i="2"/>
  <c r="H2911" i="2"/>
  <c r="H2910" i="2"/>
  <c r="H2909" i="2"/>
  <c r="H2908" i="2"/>
  <c r="H2907" i="2"/>
  <c r="H2906" i="2"/>
  <c r="H2905" i="2"/>
  <c r="H2904" i="2"/>
  <c r="H2903" i="2"/>
  <c r="H2902" i="2"/>
  <c r="H2901" i="2"/>
  <c r="H2900" i="2"/>
  <c r="H2899" i="2"/>
  <c r="H2898" i="2"/>
  <c r="H2897" i="2"/>
  <c r="H2896" i="2"/>
  <c r="H2895" i="2"/>
  <c r="H2894" i="2"/>
  <c r="H2893" i="2"/>
  <c r="H2892" i="2"/>
  <c r="H2891" i="2"/>
  <c r="H2890" i="2"/>
  <c r="H2889" i="2"/>
  <c r="H2888" i="2"/>
  <c r="H2887" i="2"/>
  <c r="H2886" i="2"/>
  <c r="H2885" i="2"/>
  <c r="H2884" i="2"/>
  <c r="H2883" i="2"/>
  <c r="H2882" i="2"/>
  <c r="H2881" i="2"/>
  <c r="H2880" i="2"/>
  <c r="H2879" i="2"/>
  <c r="H2878" i="2"/>
  <c r="H2877" i="2"/>
  <c r="H2876" i="2"/>
  <c r="H2875" i="2"/>
  <c r="H2874" i="2"/>
  <c r="H2873" i="2"/>
  <c r="H2872" i="2"/>
  <c r="H2871" i="2"/>
  <c r="H2870" i="2"/>
  <c r="H2869" i="2"/>
  <c r="H2868" i="2"/>
  <c r="H2867" i="2"/>
  <c r="H2866" i="2"/>
  <c r="H2865" i="2"/>
  <c r="H2864" i="2"/>
  <c r="H2863" i="2"/>
  <c r="H2862" i="2"/>
  <c r="H2861" i="2"/>
  <c r="H2860" i="2"/>
  <c r="H2859" i="2"/>
  <c r="H2858" i="2"/>
  <c r="H2857" i="2"/>
  <c r="H2856" i="2"/>
  <c r="H2855" i="2"/>
  <c r="H2854" i="2"/>
  <c r="H2853" i="2"/>
  <c r="H2852" i="2"/>
  <c r="H2851" i="2"/>
  <c r="H2850" i="2"/>
  <c r="H2849" i="2"/>
  <c r="H2848" i="2"/>
  <c r="H2847" i="2"/>
  <c r="H2846" i="2"/>
  <c r="H2845" i="2"/>
  <c r="H2844" i="2"/>
  <c r="H2843" i="2"/>
  <c r="H2842" i="2"/>
  <c r="H2841" i="2"/>
  <c r="H2840" i="2"/>
  <c r="H2839" i="2"/>
  <c r="H2838" i="2"/>
  <c r="H2837" i="2"/>
  <c r="H2836" i="2"/>
  <c r="H2835" i="2"/>
  <c r="H2834" i="2"/>
  <c r="H2833" i="2"/>
  <c r="H2832" i="2"/>
  <c r="H2831" i="2"/>
  <c r="H2830" i="2"/>
  <c r="H2829" i="2"/>
  <c r="H2828" i="2"/>
  <c r="H2827" i="2"/>
  <c r="H2826" i="2"/>
  <c r="H2825" i="2"/>
  <c r="H2824" i="2"/>
  <c r="H2823" i="2"/>
  <c r="H2822" i="2"/>
  <c r="H2821" i="2"/>
  <c r="H2820" i="2"/>
  <c r="H2819" i="2"/>
  <c r="H2818" i="2"/>
  <c r="H2817" i="2"/>
  <c r="H2816" i="2"/>
  <c r="H2815" i="2"/>
  <c r="H2814" i="2"/>
  <c r="H2813" i="2"/>
  <c r="H2812" i="2"/>
  <c r="H2811" i="2"/>
  <c r="H2810" i="2"/>
  <c r="H2809" i="2"/>
  <c r="H2808" i="2"/>
  <c r="H2807" i="2"/>
  <c r="H2806" i="2"/>
  <c r="H2805" i="2"/>
  <c r="H2804" i="2"/>
  <c r="H2803" i="2"/>
  <c r="H2802" i="2"/>
  <c r="H2801" i="2"/>
  <c r="H2800" i="2"/>
  <c r="H2799" i="2"/>
  <c r="H2798" i="2"/>
  <c r="H2797" i="2"/>
  <c r="H2796" i="2"/>
  <c r="H2795" i="2"/>
  <c r="H2794" i="2"/>
  <c r="H2793" i="2"/>
  <c r="H2792" i="2"/>
  <c r="H2791" i="2"/>
  <c r="H2790" i="2"/>
  <c r="H2789" i="2"/>
  <c r="H2788" i="2"/>
  <c r="H2787" i="2"/>
  <c r="H2786" i="2"/>
  <c r="H2785" i="2"/>
  <c r="H2784" i="2"/>
  <c r="H2783" i="2"/>
  <c r="H2782" i="2"/>
  <c r="H2781" i="2"/>
  <c r="H2780" i="2"/>
  <c r="H2779" i="2"/>
  <c r="H2778" i="2"/>
  <c r="H2777" i="2"/>
  <c r="H2776" i="2"/>
  <c r="H2775" i="2"/>
  <c r="H2774" i="2"/>
  <c r="H2773" i="2"/>
  <c r="H2772" i="2"/>
  <c r="H2771" i="2"/>
  <c r="H2770" i="2"/>
  <c r="H2769" i="2"/>
  <c r="H2768" i="2"/>
  <c r="H2767" i="2"/>
  <c r="H2766" i="2"/>
  <c r="H2765" i="2"/>
  <c r="H2764" i="2"/>
  <c r="H2763" i="2"/>
  <c r="H2762" i="2"/>
  <c r="H2761" i="2"/>
  <c r="H2760" i="2"/>
  <c r="H2759" i="2"/>
  <c r="H2758" i="2"/>
  <c r="H2757" i="2"/>
  <c r="H2756" i="2"/>
  <c r="H2755" i="2"/>
  <c r="H2754" i="2"/>
  <c r="H2753" i="2"/>
  <c r="H2752" i="2"/>
  <c r="H2751" i="2"/>
  <c r="H2750" i="2"/>
  <c r="H2749" i="2"/>
  <c r="H2748" i="2"/>
  <c r="H2747" i="2"/>
  <c r="H2746" i="2"/>
  <c r="H2745" i="2"/>
  <c r="H2744" i="2"/>
  <c r="H2743" i="2"/>
  <c r="H2742" i="2"/>
  <c r="H2741" i="2"/>
  <c r="H2740" i="2"/>
  <c r="H2739" i="2"/>
  <c r="H2738" i="2"/>
  <c r="H2737" i="2"/>
  <c r="H2736" i="2"/>
  <c r="H2735" i="2"/>
  <c r="H2734" i="2"/>
  <c r="H2733" i="2"/>
  <c r="H2732" i="2"/>
  <c r="H2731" i="2"/>
  <c r="H2730" i="2"/>
  <c r="H2729" i="2"/>
  <c r="H2728" i="2"/>
  <c r="H2727" i="2"/>
  <c r="H2726" i="2"/>
  <c r="H2725" i="2"/>
  <c r="H2724" i="2"/>
  <c r="H2723" i="2"/>
  <c r="H2722" i="2"/>
  <c r="H2721" i="2"/>
  <c r="H2720" i="2"/>
  <c r="H2719" i="2"/>
  <c r="H2718" i="2"/>
  <c r="H2717" i="2"/>
  <c r="H2716" i="2"/>
  <c r="H2715" i="2"/>
  <c r="H2714" i="2"/>
  <c r="H2713" i="2"/>
  <c r="H2712" i="2"/>
  <c r="H2711" i="2"/>
  <c r="H2710" i="2"/>
  <c r="H2709" i="2"/>
  <c r="H2708" i="2"/>
  <c r="H2707" i="2"/>
  <c r="H2706" i="2"/>
  <c r="H2705" i="2"/>
  <c r="H2704" i="2"/>
  <c r="H2703" i="2"/>
  <c r="H2702" i="2"/>
  <c r="H2701" i="2"/>
  <c r="H2700" i="2"/>
  <c r="H2699" i="2"/>
  <c r="H2698" i="2"/>
  <c r="H2697" i="2"/>
  <c r="H2696" i="2"/>
  <c r="H2695" i="2"/>
  <c r="H2694" i="2"/>
  <c r="H2693" i="2"/>
  <c r="H2692" i="2"/>
  <c r="H2691" i="2"/>
  <c r="H2690" i="2"/>
  <c r="H2689" i="2"/>
  <c r="H2688" i="2"/>
  <c r="H2687" i="2"/>
  <c r="H2686" i="2"/>
  <c r="H2685" i="2"/>
  <c r="H2684" i="2"/>
  <c r="H2683" i="2"/>
  <c r="H2682" i="2"/>
  <c r="H2681" i="2"/>
  <c r="H2680" i="2"/>
  <c r="H2679" i="2"/>
  <c r="H2678" i="2"/>
  <c r="H2677" i="2"/>
  <c r="H2676" i="2"/>
  <c r="H2675" i="2"/>
  <c r="H2674" i="2"/>
  <c r="H2673" i="2"/>
  <c r="H2672" i="2"/>
  <c r="H2671" i="2"/>
  <c r="H2670" i="2"/>
  <c r="H2669" i="2"/>
  <c r="H2668" i="2"/>
  <c r="H2667" i="2"/>
  <c r="H2666" i="2"/>
  <c r="H2665" i="2"/>
  <c r="H2664" i="2"/>
  <c r="H2663" i="2"/>
  <c r="H2662" i="2"/>
  <c r="H2661" i="2"/>
  <c r="H2660" i="2"/>
  <c r="H2659" i="2"/>
  <c r="H2658" i="2"/>
  <c r="H2657" i="2"/>
  <c r="H2656" i="2"/>
  <c r="H2655" i="2"/>
  <c r="H2654" i="2"/>
  <c r="H2653" i="2"/>
  <c r="H2652" i="2"/>
  <c r="H2651" i="2"/>
  <c r="H2650" i="2"/>
  <c r="H2649" i="2"/>
  <c r="H2648" i="2"/>
  <c r="H2647" i="2"/>
  <c r="H2646" i="2"/>
  <c r="H2645" i="2"/>
  <c r="H2644" i="2"/>
  <c r="H2643" i="2"/>
  <c r="H2642" i="2"/>
  <c r="H2641" i="2"/>
  <c r="H2640" i="2"/>
  <c r="H2639" i="2"/>
  <c r="H2638" i="2"/>
  <c r="H2637" i="2"/>
  <c r="H2636" i="2"/>
  <c r="H2635" i="2"/>
  <c r="H2634" i="2"/>
  <c r="H2633" i="2"/>
  <c r="H2632" i="2"/>
  <c r="H2631" i="2"/>
  <c r="H2630" i="2"/>
  <c r="H2629" i="2"/>
  <c r="H2628" i="2"/>
  <c r="H2627" i="2"/>
  <c r="H2626" i="2"/>
  <c r="H2625" i="2"/>
  <c r="H2624" i="2"/>
  <c r="H2623" i="2"/>
  <c r="H2622" i="2"/>
  <c r="H2621" i="2"/>
  <c r="H2620" i="2"/>
  <c r="H2619" i="2"/>
  <c r="H2618" i="2"/>
  <c r="H2617" i="2"/>
  <c r="H2616" i="2"/>
  <c r="H2615" i="2"/>
  <c r="H2614" i="2"/>
  <c r="H2613" i="2"/>
  <c r="H2612" i="2"/>
  <c r="H2611" i="2"/>
  <c r="H2610" i="2"/>
  <c r="H2609" i="2"/>
  <c r="H2608" i="2"/>
  <c r="H2607" i="2"/>
  <c r="H2606" i="2"/>
  <c r="H2605" i="2"/>
  <c r="H2604" i="2"/>
  <c r="H2603" i="2"/>
  <c r="H2602" i="2"/>
  <c r="H2601" i="2"/>
  <c r="H2600" i="2"/>
  <c r="H2599" i="2"/>
  <c r="H2598" i="2"/>
  <c r="H2597" i="2"/>
  <c r="H2596" i="2"/>
  <c r="H2595" i="2"/>
  <c r="H2594" i="2"/>
  <c r="H2593" i="2"/>
  <c r="H2592" i="2"/>
  <c r="H2591" i="2"/>
  <c r="H2590" i="2"/>
  <c r="H2589" i="2"/>
  <c r="H2588" i="2"/>
  <c r="H2587" i="2"/>
  <c r="H2586" i="2"/>
  <c r="H2585" i="2"/>
  <c r="H2584" i="2"/>
  <c r="H2583" i="2"/>
  <c r="H2582" i="2"/>
  <c r="H2581" i="2"/>
  <c r="H2580" i="2"/>
  <c r="H2579" i="2"/>
  <c r="H2578" i="2"/>
  <c r="H2577" i="2"/>
  <c r="H2576" i="2"/>
  <c r="H2575" i="2"/>
  <c r="H2574" i="2"/>
  <c r="H2573" i="2"/>
  <c r="H2572" i="2"/>
  <c r="H2571" i="2"/>
  <c r="H2570" i="2"/>
  <c r="H2569" i="2"/>
  <c r="H2568" i="2"/>
  <c r="H2567" i="2"/>
  <c r="H2566" i="2"/>
  <c r="H2565" i="2"/>
  <c r="H2564" i="2"/>
  <c r="H2563" i="2"/>
  <c r="H2562" i="2"/>
  <c r="H2561" i="2"/>
  <c r="H2560" i="2"/>
  <c r="H2559" i="2"/>
  <c r="H2558" i="2"/>
  <c r="H2557" i="2"/>
  <c r="H2556" i="2"/>
  <c r="H2555" i="2"/>
  <c r="H2554" i="2"/>
  <c r="H2553" i="2"/>
  <c r="H2552" i="2"/>
  <c r="H2551" i="2"/>
  <c r="H2550" i="2"/>
  <c r="H2549" i="2"/>
  <c r="H2548" i="2"/>
  <c r="H2547" i="2"/>
  <c r="H2546" i="2"/>
  <c r="H2545" i="2"/>
  <c r="H2544" i="2"/>
  <c r="H2543" i="2"/>
  <c r="H2542" i="2"/>
  <c r="H2541" i="2"/>
  <c r="H2540" i="2"/>
  <c r="H2539" i="2"/>
  <c r="H2538" i="2"/>
  <c r="H2537" i="2"/>
  <c r="H2536" i="2"/>
  <c r="H2535" i="2"/>
  <c r="H2534" i="2"/>
  <c r="H2533" i="2"/>
  <c r="H2532" i="2"/>
  <c r="H2531" i="2"/>
  <c r="H2530" i="2"/>
  <c r="H2529" i="2"/>
  <c r="H2528" i="2"/>
  <c r="H2527" i="2"/>
  <c r="H2526" i="2"/>
  <c r="H2525" i="2"/>
  <c r="H2524" i="2"/>
  <c r="H2523" i="2"/>
  <c r="H2522" i="2"/>
  <c r="H2521" i="2"/>
  <c r="H2520" i="2"/>
  <c r="H2519" i="2"/>
  <c r="H2518" i="2"/>
  <c r="H2517" i="2"/>
  <c r="H2516" i="2"/>
  <c r="H2515" i="2"/>
  <c r="H2514" i="2"/>
  <c r="H2513" i="2"/>
  <c r="H2512" i="2"/>
  <c r="H2511" i="2"/>
  <c r="H2510" i="2"/>
  <c r="H2509" i="2"/>
  <c r="H2508" i="2"/>
  <c r="H2507" i="2"/>
  <c r="H2506" i="2"/>
  <c r="H2505" i="2"/>
  <c r="H2504" i="2"/>
  <c r="H2503" i="2"/>
  <c r="H2502" i="2"/>
  <c r="H2501" i="2"/>
  <c r="H2500" i="2"/>
  <c r="H2499" i="2"/>
  <c r="H2498" i="2"/>
  <c r="H2497" i="2"/>
  <c r="H2496" i="2"/>
  <c r="H2495" i="2"/>
  <c r="H2494" i="2"/>
  <c r="H2493" i="2"/>
  <c r="H2492" i="2"/>
  <c r="H2491" i="2"/>
  <c r="H2490" i="2"/>
  <c r="H2489" i="2"/>
  <c r="H2488" i="2"/>
  <c r="H2487" i="2"/>
  <c r="H2486" i="2"/>
  <c r="H2485" i="2"/>
  <c r="H2484" i="2"/>
  <c r="H2483" i="2"/>
  <c r="H2482" i="2"/>
  <c r="H2481" i="2"/>
  <c r="H2480" i="2"/>
  <c r="H2479" i="2"/>
  <c r="H2478" i="2"/>
  <c r="H2477" i="2"/>
  <c r="H2476" i="2"/>
  <c r="H2475" i="2"/>
  <c r="H2474" i="2"/>
  <c r="H2473" i="2"/>
  <c r="H2472" i="2"/>
  <c r="H2471" i="2"/>
  <c r="H2470" i="2"/>
  <c r="H2469" i="2"/>
  <c r="H2468" i="2"/>
  <c r="H2467" i="2"/>
  <c r="H2466" i="2"/>
  <c r="H2465" i="2"/>
  <c r="H2464" i="2"/>
  <c r="H2463" i="2"/>
  <c r="H2462" i="2"/>
  <c r="H2461" i="2"/>
  <c r="H2460" i="2"/>
  <c r="H2459" i="2"/>
  <c r="H2458" i="2"/>
  <c r="H2457" i="2"/>
  <c r="H2456" i="2"/>
  <c r="H2455" i="2"/>
  <c r="H2454" i="2"/>
  <c r="H2453" i="2"/>
  <c r="H2452" i="2"/>
  <c r="H2451" i="2"/>
  <c r="H2450" i="2"/>
  <c r="H2449" i="2"/>
  <c r="H2448" i="2"/>
  <c r="H2447" i="2"/>
  <c r="H2446" i="2"/>
  <c r="H2445" i="2"/>
  <c r="H2444" i="2"/>
  <c r="H2443" i="2"/>
  <c r="H2442" i="2"/>
  <c r="H2441" i="2"/>
  <c r="H2440" i="2"/>
  <c r="H2439" i="2"/>
  <c r="H2438" i="2"/>
  <c r="H2437" i="2"/>
  <c r="H2436" i="2"/>
  <c r="H2435" i="2"/>
  <c r="H2434" i="2"/>
  <c r="H2433" i="2"/>
  <c r="H2432" i="2"/>
  <c r="H2431" i="2"/>
  <c r="H2430" i="2"/>
  <c r="H2429" i="2"/>
  <c r="H2428" i="2"/>
  <c r="H2427" i="2"/>
  <c r="H2426" i="2"/>
  <c r="H2425" i="2"/>
  <c r="H2424" i="2"/>
  <c r="H2423" i="2"/>
  <c r="H2422" i="2"/>
  <c r="H2421" i="2"/>
  <c r="H2420" i="2"/>
  <c r="H2419" i="2"/>
  <c r="H2418" i="2"/>
  <c r="H2417" i="2"/>
  <c r="H2416" i="2"/>
  <c r="H2415" i="2"/>
  <c r="H2414" i="2"/>
  <c r="H2413" i="2"/>
  <c r="H2412" i="2"/>
  <c r="H2411" i="2"/>
  <c r="H2410" i="2"/>
  <c r="H2409" i="2"/>
  <c r="H2408" i="2"/>
  <c r="H2407" i="2"/>
  <c r="H2406" i="2"/>
  <c r="H2405" i="2"/>
  <c r="H2404" i="2"/>
  <c r="H2403" i="2"/>
  <c r="H2402" i="2"/>
  <c r="H2401" i="2"/>
  <c r="H2400" i="2"/>
  <c r="H2399" i="2"/>
  <c r="H2398" i="2"/>
  <c r="H2397" i="2"/>
  <c r="H2396" i="2"/>
  <c r="H2395" i="2"/>
  <c r="H2394" i="2"/>
  <c r="H2393" i="2"/>
  <c r="H2392" i="2"/>
  <c r="H2391" i="2"/>
  <c r="H2390" i="2"/>
  <c r="H2389" i="2"/>
  <c r="H2388" i="2"/>
  <c r="H2387" i="2"/>
  <c r="H2386" i="2"/>
  <c r="H2385" i="2"/>
  <c r="H2384" i="2"/>
  <c r="H2383" i="2"/>
  <c r="H2382" i="2"/>
  <c r="H2381" i="2"/>
  <c r="H2380" i="2"/>
  <c r="H2379" i="2"/>
  <c r="H2378" i="2"/>
  <c r="H2377" i="2"/>
  <c r="H2376" i="2"/>
  <c r="H2375" i="2"/>
  <c r="H2374" i="2"/>
  <c r="H2373" i="2"/>
  <c r="H2372" i="2"/>
  <c r="H2371" i="2"/>
  <c r="H2370" i="2"/>
  <c r="H2369" i="2"/>
  <c r="H2368" i="2"/>
  <c r="H2367" i="2"/>
  <c r="H2366" i="2"/>
  <c r="H2365" i="2"/>
  <c r="H2364" i="2"/>
  <c r="H2363" i="2"/>
  <c r="H2362" i="2"/>
  <c r="H2361" i="2"/>
  <c r="H2360" i="2"/>
  <c r="H2359" i="2"/>
  <c r="H2358" i="2"/>
  <c r="H2357" i="2"/>
  <c r="H2356" i="2"/>
  <c r="H2355" i="2"/>
  <c r="H2354" i="2"/>
  <c r="H2353" i="2"/>
  <c r="H2352" i="2"/>
  <c r="H2351" i="2"/>
  <c r="H2350" i="2"/>
  <c r="H2349" i="2"/>
  <c r="H2348" i="2"/>
  <c r="H2347" i="2"/>
  <c r="H2346" i="2"/>
  <c r="H2345" i="2"/>
  <c r="H2344" i="2"/>
  <c r="H2343" i="2"/>
  <c r="H2342" i="2"/>
  <c r="H2341" i="2"/>
  <c r="H2340" i="2"/>
  <c r="H2339" i="2"/>
  <c r="H2338" i="2"/>
  <c r="H2337" i="2"/>
  <c r="H2336" i="2"/>
  <c r="H2335" i="2"/>
  <c r="H2334" i="2"/>
  <c r="H2333" i="2"/>
  <c r="H2332" i="2"/>
  <c r="H2331" i="2"/>
  <c r="H2330" i="2"/>
  <c r="H2329" i="2"/>
  <c r="H2328" i="2"/>
  <c r="H2327" i="2"/>
  <c r="H2326" i="2"/>
  <c r="H2325" i="2"/>
  <c r="H2324" i="2"/>
  <c r="H2323" i="2"/>
  <c r="H2322" i="2"/>
  <c r="H2321" i="2"/>
  <c r="H2320" i="2"/>
  <c r="H2319" i="2"/>
  <c r="H2318" i="2"/>
  <c r="H2317" i="2"/>
  <c r="H2316" i="2"/>
  <c r="H2315" i="2"/>
  <c r="H2314" i="2"/>
  <c r="H2313" i="2"/>
  <c r="H2312" i="2"/>
  <c r="H2311" i="2"/>
  <c r="H2310" i="2"/>
  <c r="H2309" i="2"/>
  <c r="H2308" i="2"/>
  <c r="H2307" i="2"/>
  <c r="H2306" i="2"/>
  <c r="H2305" i="2"/>
  <c r="H2304" i="2"/>
  <c r="H2303" i="2"/>
  <c r="H2302" i="2"/>
  <c r="H2301" i="2"/>
  <c r="H2300" i="2"/>
  <c r="H2299" i="2"/>
  <c r="H2298" i="2"/>
  <c r="H2297" i="2"/>
  <c r="H2296" i="2"/>
  <c r="H2295" i="2"/>
  <c r="H2294" i="2"/>
  <c r="H2293" i="2"/>
  <c r="H2292" i="2"/>
  <c r="H2291" i="2"/>
  <c r="H2290" i="2"/>
  <c r="H2289" i="2"/>
  <c r="H2288" i="2"/>
  <c r="H2287" i="2"/>
  <c r="H2286" i="2"/>
  <c r="H2285" i="2"/>
  <c r="H2284" i="2"/>
  <c r="H2283" i="2"/>
  <c r="H2282" i="2"/>
  <c r="H2281" i="2"/>
  <c r="H2280" i="2"/>
  <c r="H2279" i="2"/>
  <c r="H2278" i="2"/>
  <c r="H2277" i="2"/>
  <c r="H2276" i="2"/>
  <c r="H2275" i="2"/>
  <c r="H2274" i="2"/>
  <c r="H2273" i="2"/>
  <c r="H2272" i="2"/>
  <c r="H2271" i="2"/>
  <c r="H2270" i="2"/>
  <c r="H2269" i="2"/>
  <c r="H2268" i="2"/>
  <c r="H2267" i="2"/>
  <c r="H2266" i="2"/>
  <c r="H2265" i="2"/>
  <c r="H2264" i="2"/>
  <c r="H2263" i="2"/>
  <c r="H2262" i="2"/>
  <c r="H2261" i="2"/>
  <c r="H2260" i="2"/>
  <c r="H2259" i="2"/>
  <c r="H2258" i="2"/>
  <c r="H2257" i="2"/>
  <c r="H2256" i="2"/>
  <c r="H2255" i="2"/>
  <c r="H2254" i="2"/>
  <c r="H2253" i="2"/>
  <c r="H2252" i="2"/>
  <c r="H2251" i="2"/>
  <c r="H2250" i="2"/>
  <c r="H2249" i="2"/>
  <c r="H2248" i="2"/>
  <c r="H2247" i="2"/>
  <c r="H2246" i="2"/>
  <c r="H2245" i="2"/>
  <c r="H2244" i="2"/>
  <c r="H2243" i="2"/>
  <c r="H2242" i="2"/>
  <c r="H2241" i="2"/>
  <c r="H2240" i="2"/>
  <c r="H2239" i="2"/>
  <c r="H2238" i="2"/>
  <c r="H2237" i="2"/>
  <c r="H2236" i="2"/>
  <c r="H2235" i="2"/>
  <c r="H2234" i="2"/>
  <c r="H2233" i="2"/>
  <c r="H2232" i="2"/>
  <c r="H2231" i="2"/>
  <c r="H2230" i="2"/>
  <c r="H2229" i="2"/>
  <c r="H2228" i="2"/>
  <c r="H2227" i="2"/>
  <c r="H2226" i="2"/>
  <c r="H2225" i="2"/>
  <c r="H2224" i="2"/>
  <c r="H2223" i="2"/>
  <c r="H2222" i="2"/>
  <c r="H2221" i="2"/>
  <c r="H2220" i="2"/>
  <c r="H2219" i="2"/>
  <c r="H2218" i="2"/>
  <c r="H2217" i="2"/>
  <c r="H2216" i="2"/>
  <c r="H2215" i="2"/>
  <c r="H2214" i="2"/>
  <c r="H2213" i="2"/>
  <c r="H2212" i="2"/>
  <c r="H2211" i="2"/>
  <c r="H2210" i="2"/>
  <c r="H2209" i="2"/>
  <c r="H2208" i="2"/>
  <c r="H2207" i="2"/>
  <c r="H2206" i="2"/>
  <c r="H2205" i="2"/>
  <c r="H2204" i="2"/>
  <c r="H2203" i="2"/>
  <c r="H2202" i="2"/>
  <c r="H2201" i="2"/>
  <c r="H2200" i="2"/>
  <c r="H2199" i="2"/>
  <c r="H2198" i="2"/>
  <c r="H2197" i="2"/>
  <c r="H2196" i="2"/>
  <c r="H2195" i="2"/>
  <c r="H2194" i="2"/>
  <c r="H2193" i="2"/>
  <c r="H2192" i="2"/>
  <c r="H2191" i="2"/>
  <c r="H2190" i="2"/>
  <c r="H2189" i="2"/>
  <c r="H2188" i="2"/>
  <c r="H2187" i="2"/>
  <c r="H2186" i="2"/>
  <c r="H2185" i="2"/>
  <c r="H2184" i="2"/>
  <c r="H2183" i="2"/>
  <c r="H2182" i="2"/>
  <c r="H2181" i="2"/>
  <c r="H2180" i="2"/>
  <c r="H2179" i="2"/>
  <c r="H2178" i="2"/>
  <c r="H2177" i="2"/>
  <c r="H2176" i="2"/>
  <c r="H2175" i="2"/>
  <c r="H2174" i="2"/>
  <c r="H2173" i="2"/>
  <c r="H2172" i="2"/>
  <c r="H2171" i="2"/>
  <c r="H2170" i="2"/>
  <c r="H2169" i="2"/>
  <c r="H2168" i="2"/>
  <c r="H2167" i="2"/>
  <c r="H2166" i="2"/>
  <c r="H2165" i="2"/>
  <c r="H2164" i="2"/>
  <c r="H2163" i="2"/>
  <c r="H2162" i="2"/>
  <c r="H2161" i="2"/>
  <c r="H2160" i="2"/>
  <c r="H2159" i="2"/>
  <c r="H2158" i="2"/>
  <c r="H2157" i="2"/>
  <c r="H2156" i="2"/>
  <c r="H2155" i="2"/>
  <c r="H2154" i="2"/>
  <c r="H2153" i="2"/>
  <c r="H2152" i="2"/>
  <c r="H2151" i="2"/>
  <c r="H2150" i="2"/>
  <c r="H2149" i="2"/>
  <c r="H2148" i="2"/>
  <c r="H2147" i="2"/>
  <c r="H2146" i="2"/>
  <c r="H2145" i="2"/>
  <c r="H2144" i="2"/>
  <c r="H2143" i="2"/>
  <c r="H2142" i="2"/>
  <c r="H2141" i="2"/>
  <c r="H2140" i="2"/>
  <c r="H2139" i="2"/>
  <c r="H2138" i="2"/>
  <c r="H2137" i="2"/>
  <c r="H2136" i="2"/>
  <c r="H2135" i="2"/>
  <c r="H2134" i="2"/>
  <c r="H2133" i="2"/>
  <c r="H2132" i="2"/>
  <c r="H2131" i="2"/>
  <c r="H2130" i="2"/>
  <c r="H2129" i="2"/>
  <c r="H2128" i="2"/>
  <c r="H2127" i="2"/>
  <c r="H2126" i="2"/>
  <c r="H2125" i="2"/>
  <c r="H2124" i="2"/>
  <c r="H2123" i="2"/>
  <c r="H2122" i="2"/>
  <c r="H2121" i="2"/>
  <c r="H2120" i="2"/>
  <c r="H2119" i="2"/>
  <c r="H2118" i="2"/>
  <c r="H2117" i="2"/>
  <c r="H2116" i="2"/>
  <c r="H2115" i="2"/>
  <c r="H2114" i="2"/>
  <c r="H2113" i="2"/>
  <c r="H2112" i="2"/>
  <c r="H2111" i="2"/>
  <c r="H2110" i="2"/>
  <c r="H2109" i="2"/>
  <c r="H2108" i="2"/>
  <c r="H2107" i="2"/>
  <c r="H2106" i="2"/>
  <c r="H2105" i="2"/>
  <c r="H2104" i="2"/>
  <c r="H2103" i="2"/>
  <c r="H2102" i="2"/>
  <c r="H2101" i="2"/>
  <c r="H2100" i="2"/>
  <c r="H2099" i="2"/>
  <c r="H2098" i="2"/>
  <c r="H2097" i="2"/>
  <c r="H2096" i="2"/>
  <c r="H2095" i="2"/>
  <c r="H2094" i="2"/>
  <c r="H2093" i="2"/>
  <c r="H2092" i="2"/>
  <c r="H2091" i="2"/>
  <c r="H2090" i="2"/>
  <c r="H2089" i="2"/>
  <c r="H2088" i="2"/>
  <c r="H2087" i="2"/>
  <c r="H2086" i="2"/>
  <c r="H2085" i="2"/>
  <c r="H2084" i="2"/>
  <c r="H2083" i="2"/>
  <c r="H2082" i="2"/>
  <c r="H2081" i="2"/>
  <c r="H2080" i="2"/>
  <c r="H2079" i="2"/>
  <c r="H2078" i="2"/>
  <c r="H2077" i="2"/>
  <c r="H2076" i="2"/>
  <c r="H2075" i="2"/>
  <c r="H2074" i="2"/>
  <c r="H2073" i="2"/>
  <c r="H2072" i="2"/>
  <c r="H2071" i="2"/>
  <c r="H2070" i="2"/>
  <c r="H2069" i="2"/>
  <c r="H2068" i="2"/>
  <c r="H2067" i="2"/>
  <c r="H2066" i="2"/>
  <c r="H2065" i="2"/>
  <c r="H2064" i="2"/>
  <c r="H2063" i="2"/>
  <c r="H2062" i="2"/>
  <c r="H2061" i="2"/>
  <c r="H2060" i="2"/>
  <c r="H2059" i="2"/>
  <c r="H2058" i="2"/>
  <c r="H2057" i="2"/>
  <c r="H2056" i="2"/>
  <c r="H2055" i="2"/>
  <c r="H2054" i="2"/>
  <c r="H2053" i="2"/>
  <c r="H2052" i="2"/>
  <c r="H2051" i="2"/>
  <c r="H2050" i="2"/>
  <c r="H2049" i="2"/>
  <c r="H2048" i="2"/>
  <c r="H2047" i="2"/>
  <c r="H2046" i="2"/>
  <c r="H2045" i="2"/>
  <c r="H2044" i="2"/>
  <c r="H2043" i="2"/>
  <c r="H2042" i="2"/>
  <c r="H2041" i="2"/>
  <c r="H2040" i="2"/>
  <c r="H2039" i="2"/>
  <c r="H2038" i="2"/>
  <c r="H2037" i="2"/>
  <c r="H2036" i="2"/>
  <c r="H2035" i="2"/>
  <c r="H2034" i="2"/>
  <c r="H2033" i="2"/>
  <c r="H2032" i="2"/>
  <c r="H2031" i="2"/>
  <c r="H2030" i="2"/>
  <c r="H2029" i="2"/>
  <c r="H2028" i="2"/>
  <c r="H2027" i="2"/>
  <c r="H2026" i="2"/>
  <c r="H2025" i="2"/>
  <c r="H2024" i="2"/>
  <c r="H2023" i="2"/>
  <c r="H2022" i="2"/>
  <c r="H2021" i="2"/>
  <c r="H2020" i="2"/>
  <c r="H2019" i="2"/>
  <c r="H2018" i="2"/>
  <c r="H2017" i="2"/>
  <c r="H2016" i="2"/>
  <c r="H2015" i="2"/>
  <c r="H2014" i="2"/>
  <c r="H2013" i="2"/>
  <c r="H2012" i="2"/>
  <c r="H2011" i="2"/>
  <c r="H2010" i="2"/>
  <c r="H2009" i="2"/>
  <c r="H2008" i="2"/>
  <c r="H2007" i="2"/>
  <c r="H2006" i="2"/>
  <c r="H2005" i="2"/>
  <c r="H2004" i="2"/>
  <c r="H2003" i="2"/>
  <c r="H2002" i="2"/>
  <c r="H2001" i="2"/>
  <c r="H2000" i="2"/>
  <c r="H1999" i="2"/>
  <c r="H1998" i="2"/>
  <c r="H1997" i="2"/>
  <c r="H1996" i="2"/>
  <c r="H1995" i="2"/>
  <c r="H1994" i="2"/>
  <c r="H1993" i="2"/>
  <c r="H1992" i="2"/>
  <c r="H1991" i="2"/>
  <c r="H1990" i="2"/>
  <c r="H1989" i="2"/>
  <c r="H1988" i="2"/>
  <c r="H1987" i="2"/>
  <c r="H1986" i="2"/>
  <c r="H1985" i="2"/>
  <c r="H1984" i="2"/>
  <c r="H1983" i="2"/>
  <c r="H1982" i="2"/>
  <c r="H1981" i="2"/>
  <c r="H1980" i="2"/>
  <c r="H1979" i="2"/>
  <c r="H1978" i="2"/>
  <c r="H1977" i="2"/>
  <c r="H1976" i="2"/>
  <c r="H1975" i="2"/>
  <c r="H1974" i="2"/>
  <c r="H1973" i="2"/>
  <c r="H1972" i="2"/>
  <c r="H1971" i="2"/>
  <c r="H1970" i="2"/>
  <c r="H1969" i="2"/>
  <c r="H1968" i="2"/>
  <c r="H1967" i="2"/>
  <c r="H1966" i="2"/>
  <c r="H1965" i="2"/>
  <c r="H1964" i="2"/>
  <c r="H1963" i="2"/>
  <c r="H1962" i="2"/>
  <c r="H1961" i="2"/>
  <c r="H1960" i="2"/>
  <c r="H1959" i="2"/>
  <c r="H1958" i="2"/>
  <c r="H1957" i="2"/>
  <c r="H1956" i="2"/>
  <c r="H1955" i="2"/>
  <c r="H1954" i="2"/>
  <c r="H1953" i="2"/>
  <c r="H1952" i="2"/>
  <c r="H1951" i="2"/>
  <c r="H1950" i="2"/>
  <c r="H1949" i="2"/>
  <c r="H1948" i="2"/>
  <c r="H1947" i="2"/>
  <c r="H1946" i="2"/>
  <c r="H1945" i="2"/>
  <c r="H1944" i="2"/>
  <c r="H1943" i="2"/>
  <c r="H1942" i="2"/>
  <c r="H1941" i="2"/>
  <c r="H1940" i="2"/>
  <c r="H1939" i="2"/>
  <c r="H1938" i="2"/>
  <c r="H1937" i="2"/>
  <c r="H1936" i="2"/>
  <c r="H1935" i="2"/>
  <c r="H1934" i="2"/>
  <c r="H1933" i="2"/>
  <c r="H1932" i="2"/>
  <c r="H1931" i="2"/>
  <c r="H1930" i="2"/>
  <c r="H1929" i="2"/>
  <c r="H1928" i="2"/>
  <c r="H1927" i="2"/>
  <c r="H1926" i="2"/>
  <c r="H1925" i="2"/>
  <c r="H1924" i="2"/>
  <c r="H1923" i="2"/>
  <c r="H1922" i="2"/>
  <c r="H1921" i="2"/>
  <c r="H1920" i="2"/>
  <c r="H1919" i="2"/>
  <c r="H1918" i="2"/>
  <c r="H1917" i="2"/>
  <c r="H1916" i="2"/>
  <c r="H1915" i="2"/>
  <c r="H1914" i="2"/>
  <c r="H1913" i="2"/>
  <c r="H1912" i="2"/>
  <c r="H1911" i="2"/>
  <c r="H1910" i="2"/>
  <c r="H1909" i="2"/>
  <c r="H1908" i="2"/>
  <c r="H1907" i="2"/>
  <c r="H1906" i="2"/>
  <c r="H1905" i="2"/>
  <c r="H1904" i="2"/>
  <c r="H1903" i="2"/>
  <c r="H1902" i="2"/>
  <c r="H1901" i="2"/>
  <c r="H1900" i="2"/>
  <c r="H1899" i="2"/>
  <c r="H1898" i="2"/>
  <c r="H1897" i="2"/>
  <c r="H1896" i="2"/>
  <c r="H1895" i="2"/>
  <c r="H1894" i="2"/>
  <c r="H1893" i="2"/>
  <c r="H1892" i="2"/>
  <c r="H1891" i="2"/>
  <c r="H1890" i="2"/>
  <c r="H1889" i="2"/>
  <c r="H1888" i="2"/>
  <c r="H1887" i="2"/>
  <c r="H1886" i="2"/>
  <c r="H1885" i="2"/>
  <c r="H1884" i="2"/>
  <c r="H1883" i="2"/>
  <c r="H1882" i="2"/>
  <c r="H1881" i="2"/>
  <c r="H1880" i="2"/>
  <c r="H1879" i="2"/>
  <c r="H1878" i="2"/>
  <c r="H1877" i="2"/>
  <c r="H1876" i="2"/>
  <c r="H1875" i="2"/>
  <c r="H1874" i="2"/>
  <c r="H1873" i="2"/>
  <c r="H1872" i="2"/>
  <c r="H1871" i="2"/>
  <c r="H1870" i="2"/>
  <c r="H1869" i="2"/>
  <c r="H1868" i="2"/>
  <c r="H1867" i="2"/>
  <c r="H1866" i="2"/>
  <c r="H1865" i="2"/>
  <c r="H1864" i="2"/>
  <c r="H1863" i="2"/>
  <c r="H1862" i="2"/>
  <c r="H1861" i="2"/>
  <c r="H1860" i="2"/>
  <c r="H1859" i="2"/>
  <c r="H1858" i="2"/>
  <c r="H1857" i="2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J3448" i="2"/>
  <c r="J3449" i="2"/>
  <c r="J3447" i="2"/>
  <c r="J3440" i="2"/>
  <c r="J3441" i="2"/>
  <c r="J3442" i="2"/>
  <c r="J3443" i="2"/>
  <c r="J3444" i="2"/>
  <c r="J3445" i="2"/>
  <c r="J3446" i="2"/>
  <c r="J3437" i="2"/>
  <c r="J3438" i="2"/>
  <c r="J3439" i="2"/>
  <c r="J3436" i="2"/>
  <c r="J3426" i="2"/>
  <c r="J3427" i="2"/>
  <c r="J3428" i="2"/>
  <c r="J3429" i="2"/>
  <c r="J3430" i="2"/>
  <c r="J3431" i="2"/>
  <c r="J3432" i="2"/>
  <c r="J3433" i="2"/>
  <c r="J3434" i="2"/>
  <c r="J3435" i="2"/>
  <c r="J3423" i="2"/>
  <c r="J3424" i="2"/>
  <c r="J3425" i="2"/>
  <c r="J3420" i="2"/>
  <c r="J3421" i="2"/>
  <c r="J3422" i="2"/>
  <c r="J3413" i="2"/>
  <c r="J3414" i="2"/>
  <c r="J3415" i="2"/>
  <c r="J3416" i="2"/>
  <c r="J3417" i="2"/>
  <c r="J3418" i="2"/>
  <c r="J3419" i="2"/>
  <c r="J3412" i="2"/>
  <c r="J3411" i="2"/>
  <c r="J3409" i="2"/>
  <c r="J3410" i="2"/>
  <c r="J3408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274" i="2"/>
  <c r="J3275" i="2"/>
  <c r="J3276" i="2"/>
  <c r="J3277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40" i="2"/>
  <c r="J3406" i="2"/>
  <c r="J3407" i="2"/>
  <c r="J3403" i="2"/>
  <c r="J3404" i="2"/>
  <c r="J3405" i="2"/>
  <c r="J3402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389" i="2"/>
  <c r="J3387" i="2"/>
  <c r="J3388" i="2"/>
  <c r="J3238" i="2"/>
  <c r="J3239" i="2"/>
  <c r="J3237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183" i="2"/>
  <c r="J3184" i="2"/>
  <c r="J3185" i="2"/>
  <c r="J3186" i="2"/>
  <c r="J3187" i="2"/>
  <c r="J3188" i="2"/>
  <c r="J3173" i="2"/>
  <c r="J3174" i="2"/>
  <c r="J3175" i="2"/>
  <c r="J3176" i="2"/>
  <c r="J3177" i="2"/>
  <c r="J3178" i="2"/>
  <c r="J3179" i="2"/>
  <c r="J3180" i="2"/>
  <c r="J3181" i="2"/>
  <c r="J3182" i="2"/>
  <c r="J3172" i="2"/>
  <c r="J3171" i="2"/>
  <c r="J3167" i="2"/>
  <c r="J3168" i="2"/>
  <c r="J3169" i="2"/>
  <c r="J3170" i="2"/>
  <c r="J3156" i="2"/>
  <c r="J3157" i="2"/>
  <c r="J3158" i="2"/>
  <c r="J3159" i="2"/>
  <c r="J3160" i="2"/>
  <c r="J3161" i="2"/>
  <c r="J3162" i="2"/>
  <c r="J3163" i="2"/>
  <c r="J3164" i="2"/>
  <c r="J3165" i="2"/>
  <c r="J3166" i="2"/>
  <c r="J3155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64" i="2"/>
  <c r="J2965" i="2"/>
  <c r="J2963" i="2"/>
  <c r="J2961" i="2"/>
  <c r="J2962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39" i="2"/>
  <c r="J2940" i="2"/>
  <c r="J2941" i="2"/>
  <c r="J2942" i="2"/>
  <c r="J2943" i="2"/>
  <c r="J2938" i="2"/>
  <c r="J2928" i="2"/>
  <c r="J2929" i="2"/>
  <c r="J2930" i="2"/>
  <c r="J2931" i="2"/>
  <c r="J2932" i="2"/>
  <c r="J2933" i="2"/>
  <c r="J2934" i="2"/>
  <c r="J2935" i="2"/>
  <c r="J2936" i="2"/>
  <c r="J2937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13" i="2"/>
  <c r="J2914" i="2"/>
  <c r="J2915" i="2"/>
  <c r="J2912" i="2"/>
  <c r="J2911" i="2"/>
  <c r="J2910" i="2"/>
  <c r="J2903" i="2"/>
  <c r="J2904" i="2"/>
  <c r="J2905" i="2"/>
  <c r="J2906" i="2"/>
  <c r="J2907" i="2"/>
  <c r="J2908" i="2"/>
  <c r="J2909" i="2"/>
  <c r="J2902" i="2"/>
  <c r="J2901" i="2"/>
  <c r="J2899" i="2"/>
  <c r="J2900" i="2"/>
  <c r="J2898" i="2"/>
  <c r="J2897" i="2"/>
  <c r="J2896" i="2"/>
  <c r="J2893" i="2"/>
  <c r="J2894" i="2"/>
  <c r="J2895" i="2"/>
  <c r="J2892" i="2"/>
  <c r="J2891" i="2"/>
  <c r="J2888" i="2"/>
  <c r="J2889" i="2"/>
  <c r="J2890" i="2"/>
  <c r="J2887" i="2"/>
  <c r="J2886" i="2"/>
  <c r="J2885" i="2"/>
  <c r="J2883" i="2"/>
  <c r="J2884" i="2"/>
  <c r="J2882" i="2"/>
  <c r="J2881" i="2"/>
  <c r="J2880" i="2"/>
  <c r="J2877" i="2"/>
  <c r="J2878" i="2"/>
  <c r="J2879" i="2"/>
  <c r="J2876" i="2"/>
  <c r="J2875" i="2"/>
  <c r="J2874" i="2"/>
  <c r="J2873" i="2"/>
  <c r="J2869" i="2"/>
  <c r="J2870" i="2"/>
  <c r="J2871" i="2"/>
  <c r="J2872" i="2"/>
  <c r="J2868" i="2"/>
  <c r="J2867" i="2"/>
  <c r="J2866" i="2"/>
  <c r="J2865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48" i="2"/>
  <c r="J2849" i="2"/>
  <c r="J2850" i="2"/>
  <c r="J2851" i="2"/>
  <c r="J2847" i="2"/>
  <c r="J2837" i="2"/>
  <c r="J2838" i="2"/>
  <c r="J2839" i="2"/>
  <c r="J2840" i="2"/>
  <c r="J2841" i="2"/>
  <c r="J2842" i="2"/>
  <c r="J2843" i="2"/>
  <c r="J2844" i="2"/>
  <c r="J2845" i="2"/>
  <c r="J2846" i="2"/>
  <c r="J2836" i="2"/>
  <c r="J2835" i="2"/>
  <c r="J2824" i="2"/>
  <c r="J2825" i="2"/>
  <c r="J2826" i="2"/>
  <c r="J2827" i="2"/>
  <c r="J2828" i="2"/>
  <c r="J2829" i="2"/>
  <c r="J2830" i="2"/>
  <c r="J2831" i="2"/>
  <c r="J2832" i="2"/>
  <c r="J2833" i="2"/>
  <c r="J2834" i="2"/>
  <c r="J2823" i="2"/>
  <c r="J2821" i="2"/>
  <c r="J2822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418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255" i="2"/>
  <c r="J2254" i="2"/>
  <c r="J2253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22" i="2"/>
  <c r="J2223" i="2"/>
  <c r="J2224" i="2"/>
  <c r="J2225" i="2"/>
  <c r="J2226" i="2"/>
  <c r="J2227" i="2"/>
  <c r="J2228" i="2"/>
  <c r="J2229" i="2"/>
  <c r="J2230" i="2"/>
  <c r="J2231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03" i="2"/>
  <c r="J2204" i="2"/>
  <c r="J2197" i="2"/>
  <c r="J2198" i="2"/>
  <c r="J2199" i="2"/>
  <c r="J2200" i="2"/>
  <c r="J2201" i="2"/>
  <c r="J2202" i="2"/>
  <c r="J2196" i="2"/>
  <c r="J2195" i="2"/>
  <c r="J2188" i="2"/>
  <c r="J2189" i="2"/>
  <c r="J2190" i="2"/>
  <c r="J2191" i="2"/>
  <c r="J2192" i="2"/>
  <c r="J2193" i="2"/>
  <c r="J2194" i="2"/>
  <c r="J2187" i="2"/>
  <c r="J2186" i="2"/>
  <c r="J2181" i="2"/>
  <c r="J2182" i="2"/>
  <c r="J2183" i="2"/>
  <c r="J2184" i="2"/>
  <c r="J2185" i="2"/>
  <c r="J2180" i="2"/>
  <c r="J2179" i="2"/>
  <c r="J2176" i="2"/>
  <c r="J2177" i="2"/>
  <c r="J2178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62" i="2"/>
  <c r="J2161" i="2"/>
  <c r="J2160" i="2"/>
  <c r="J2159" i="2"/>
  <c r="J2158" i="2"/>
  <c r="J2157" i="2"/>
  <c r="J2156" i="2"/>
  <c r="J2155" i="2"/>
  <c r="J2154" i="2"/>
  <c r="J2153" i="2"/>
  <c r="J2152" i="2"/>
  <c r="J2151" i="2"/>
  <c r="J2150" i="2"/>
  <c r="J2149" i="2"/>
  <c r="J2148" i="2"/>
  <c r="J2147" i="2"/>
  <c r="J2146" i="2"/>
  <c r="J2145" i="2"/>
  <c r="J2144" i="2"/>
  <c r="J2143" i="2"/>
  <c r="J2142" i="2"/>
  <c r="J2141" i="2"/>
  <c r="J2140" i="2"/>
  <c r="J2139" i="2"/>
  <c r="J2138" i="2"/>
  <c r="J2137" i="2"/>
  <c r="J2136" i="2"/>
  <c r="J2135" i="2"/>
  <c r="J2134" i="2"/>
  <c r="J2133" i="2"/>
  <c r="J2132" i="2"/>
  <c r="J2131" i="2"/>
  <c r="J2130" i="2"/>
  <c r="J2129" i="2"/>
  <c r="J2128" i="2"/>
  <c r="J2127" i="2"/>
  <c r="J2126" i="2"/>
  <c r="J2125" i="2"/>
  <c r="J2124" i="2"/>
  <c r="J2123" i="2"/>
  <c r="J2122" i="2"/>
  <c r="J2121" i="2"/>
  <c r="J2120" i="2"/>
  <c r="J2119" i="2"/>
  <c r="J2118" i="2"/>
  <c r="J2117" i="2"/>
  <c r="J2116" i="2"/>
  <c r="J2115" i="2"/>
  <c r="J2114" i="2"/>
  <c r="J2113" i="2"/>
  <c r="J2108" i="2"/>
  <c r="J2109" i="2"/>
  <c r="J2110" i="2"/>
  <c r="J2111" i="2"/>
  <c r="J2112" i="2"/>
  <c r="J2107" i="2"/>
  <c r="J2106" i="2"/>
  <c r="J2105" i="2"/>
  <c r="J2104" i="2"/>
  <c r="J2103" i="2"/>
  <c r="J2098" i="2"/>
  <c r="J2099" i="2"/>
  <c r="J2100" i="2"/>
  <c r="J2101" i="2"/>
  <c r="J2102" i="2"/>
  <c r="J2094" i="2"/>
  <c r="J2095" i="2"/>
  <c r="J2096" i="2"/>
  <c r="J2097" i="2"/>
  <c r="J2093" i="2"/>
  <c r="J2091" i="2"/>
  <c r="J2092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1680" i="2"/>
  <c r="J1681" i="2"/>
  <c r="J1682" i="2"/>
  <c r="J1683" i="2"/>
  <c r="J1684" i="2"/>
  <c r="J1685" i="2"/>
  <c r="J1686" i="2"/>
  <c r="J1687" i="2"/>
  <c r="J1688" i="2"/>
  <c r="J1689" i="2"/>
  <c r="J1690" i="2"/>
  <c r="J1673" i="2"/>
  <c r="J1674" i="2"/>
  <c r="J1675" i="2"/>
  <c r="J1676" i="2"/>
  <c r="J1677" i="2"/>
  <c r="J1678" i="2"/>
  <c r="J1679" i="2"/>
  <c r="J1672" i="2"/>
  <c r="J1671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465" i="2"/>
  <c r="J1466" i="2"/>
  <c r="J1481" i="2"/>
  <c r="J1482" i="2"/>
  <c r="J1497" i="2"/>
  <c r="J1498" i="2"/>
  <c r="J1505" i="2"/>
  <c r="J1514" i="2"/>
  <c r="J1521" i="2"/>
  <c r="J1529" i="2"/>
  <c r="J1530" i="2"/>
  <c r="J1537" i="2"/>
  <c r="J1545" i="2"/>
  <c r="J1546" i="2"/>
  <c r="J1553" i="2"/>
  <c r="J1561" i="2"/>
  <c r="J1562" i="2"/>
  <c r="J1569" i="2"/>
  <c r="J1577" i="2"/>
  <c r="J1578" i="2"/>
  <c r="J1585" i="2"/>
  <c r="J1593" i="2"/>
  <c r="J1594" i="2"/>
  <c r="J1601" i="2"/>
  <c r="J1606" i="2"/>
  <c r="J1609" i="2"/>
  <c r="J1610" i="2"/>
  <c r="J1617" i="2"/>
  <c r="J1621" i="2"/>
  <c r="J1625" i="2"/>
  <c r="J1626" i="2"/>
  <c r="J1633" i="2"/>
  <c r="J1638" i="2"/>
  <c r="J1639" i="2"/>
  <c r="J1642" i="2"/>
  <c r="J1643" i="2"/>
  <c r="J1644" i="2"/>
  <c r="J1648" i="2"/>
  <c r="J1649" i="2"/>
  <c r="J1652" i="2"/>
  <c r="J1645" i="2"/>
  <c r="J1646" i="2"/>
  <c r="J1647" i="2"/>
  <c r="J1650" i="2"/>
  <c r="J1651" i="2"/>
  <c r="J1641" i="2"/>
  <c r="J1640" i="2"/>
  <c r="J2" i="2"/>
  <c r="H2" i="2"/>
  <c r="J1637" i="2"/>
  <c r="J1630" i="2"/>
  <c r="J1631" i="2"/>
  <c r="J1632" i="2"/>
  <c r="J1634" i="2"/>
  <c r="J1635" i="2"/>
  <c r="J1636" i="2"/>
  <c r="J1629" i="2"/>
  <c r="J1528" i="2"/>
  <c r="J1531" i="2"/>
  <c r="J1532" i="2"/>
  <c r="J1533" i="2"/>
  <c r="J1534" i="2"/>
  <c r="J1535" i="2"/>
  <c r="J1536" i="2"/>
  <c r="J1538" i="2"/>
  <c r="J1539" i="2"/>
  <c r="J1540" i="2"/>
  <c r="J1541" i="2"/>
  <c r="J1542" i="2"/>
  <c r="J1543" i="2"/>
  <c r="J1544" i="2"/>
  <c r="J1547" i="2"/>
  <c r="J1548" i="2"/>
  <c r="J1549" i="2"/>
  <c r="J1550" i="2"/>
  <c r="J1551" i="2"/>
  <c r="J1552" i="2"/>
  <c r="J1554" i="2"/>
  <c r="J1555" i="2"/>
  <c r="J1556" i="2"/>
  <c r="J1557" i="2"/>
  <c r="J1558" i="2"/>
  <c r="J1559" i="2"/>
  <c r="J1560" i="2"/>
  <c r="J1563" i="2"/>
  <c r="J1564" i="2"/>
  <c r="J1565" i="2"/>
  <c r="J1566" i="2"/>
  <c r="J1567" i="2"/>
  <c r="J1568" i="2"/>
  <c r="J1570" i="2"/>
  <c r="J1571" i="2"/>
  <c r="J1572" i="2"/>
  <c r="J1573" i="2"/>
  <c r="J1574" i="2"/>
  <c r="J1575" i="2"/>
  <c r="J1576" i="2"/>
  <c r="J1579" i="2"/>
  <c r="J1580" i="2"/>
  <c r="J1581" i="2"/>
  <c r="J1582" i="2"/>
  <c r="J1583" i="2"/>
  <c r="J1584" i="2"/>
  <c r="J1586" i="2"/>
  <c r="J1587" i="2"/>
  <c r="J1588" i="2"/>
  <c r="J1589" i="2"/>
  <c r="J1590" i="2"/>
  <c r="J1591" i="2"/>
  <c r="J1592" i="2"/>
  <c r="J1595" i="2"/>
  <c r="J1596" i="2"/>
  <c r="J1597" i="2"/>
  <c r="J1598" i="2"/>
  <c r="J1599" i="2"/>
  <c r="J1600" i="2"/>
  <c r="J1602" i="2"/>
  <c r="J1603" i="2"/>
  <c r="J1604" i="2"/>
  <c r="J1605" i="2"/>
  <c r="J1607" i="2"/>
  <c r="J1608" i="2"/>
  <c r="J1611" i="2"/>
  <c r="J1612" i="2"/>
  <c r="J1613" i="2"/>
  <c r="J1614" i="2"/>
  <c r="J1615" i="2"/>
  <c r="J1616" i="2"/>
  <c r="J1618" i="2"/>
  <c r="J1619" i="2"/>
  <c r="J1620" i="2"/>
  <c r="J1622" i="2"/>
  <c r="J1623" i="2"/>
  <c r="J1624" i="2"/>
  <c r="J1627" i="2"/>
  <c r="J1628" i="2"/>
  <c r="J1458" i="2"/>
  <c r="J1459" i="2"/>
  <c r="J1460" i="2"/>
  <c r="J1461" i="2"/>
  <c r="J1462" i="2"/>
  <c r="J1463" i="2"/>
  <c r="J1464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9" i="2"/>
  <c r="J1500" i="2"/>
  <c r="J1501" i="2"/>
  <c r="J1502" i="2"/>
  <c r="J1503" i="2"/>
  <c r="J1504" i="2"/>
  <c r="J1522" i="2"/>
  <c r="J1523" i="2"/>
  <c r="J1520" i="2"/>
  <c r="J1519" i="2"/>
  <c r="J1527" i="2"/>
  <c r="J1526" i="2"/>
  <c r="J1517" i="2"/>
  <c r="J1518" i="2"/>
  <c r="J1506" i="2"/>
  <c r="J1525" i="2"/>
  <c r="J1516" i="2"/>
  <c r="J1507" i="2"/>
  <c r="J1509" i="2"/>
  <c r="J1511" i="2"/>
  <c r="J1515" i="2"/>
  <c r="J1508" i="2"/>
  <c r="J1510" i="2"/>
  <c r="J1512" i="2"/>
  <c r="J1513" i="2"/>
  <c r="J1524" i="2"/>
  <c r="J1425" i="2"/>
  <c r="J1422" i="2"/>
  <c r="J1423" i="2"/>
  <c r="J1424" i="2"/>
  <c r="J1431" i="2"/>
  <c r="J1442" i="2"/>
  <c r="J1443" i="2"/>
  <c r="J1438" i="2"/>
  <c r="J1439" i="2"/>
  <c r="J1440" i="2"/>
  <c r="J1441" i="2"/>
  <c r="J1427" i="2"/>
  <c r="J1428" i="2"/>
  <c r="J1429" i="2"/>
  <c r="J1430" i="2"/>
  <c r="J1421" i="2"/>
  <c r="J1432" i="2"/>
  <c r="J1433" i="2"/>
  <c r="J1434" i="2"/>
  <c r="J1435" i="2"/>
  <c r="J1436" i="2"/>
  <c r="J1437" i="2"/>
  <c r="J1426" i="2"/>
  <c r="J1457" i="2"/>
  <c r="J1444" i="2"/>
  <c r="J1445" i="2"/>
  <c r="J1446" i="2"/>
  <c r="J1447" i="2"/>
  <c r="J1448" i="2"/>
  <c r="J1454" i="2"/>
  <c r="J1455" i="2"/>
  <c r="J1456" i="2"/>
  <c r="J1449" i="2"/>
  <c r="J1452" i="2"/>
  <c r="J1453" i="2"/>
  <c r="J1450" i="2"/>
  <c r="J1451" i="2"/>
  <c r="J1418" i="2"/>
  <c r="J1419" i="2"/>
  <c r="J1420" i="2"/>
  <c r="J1416" i="2"/>
  <c r="J1417" i="2"/>
  <c r="J1414" i="2"/>
  <c r="J1415" i="2"/>
  <c r="J1413" i="2"/>
  <c r="J1408" i="2"/>
  <c r="J1409" i="2"/>
  <c r="J1410" i="2"/>
  <c r="J1411" i="2"/>
  <c r="J1412" i="2"/>
  <c r="J1404" i="2"/>
  <c r="J1405" i="2"/>
  <c r="J1406" i="2"/>
  <c r="J1407" i="2"/>
  <c r="J2782" i="35"/>
  <c r="H2782" i="35"/>
  <c r="J2781" i="35"/>
  <c r="H2781" i="35"/>
  <c r="J2780" i="35"/>
  <c r="H2780" i="35"/>
  <c r="J2779" i="35"/>
  <c r="H2779" i="35"/>
  <c r="J2778" i="35"/>
  <c r="H2778" i="35"/>
  <c r="J2777" i="35"/>
  <c r="H2777" i="35"/>
  <c r="J2776" i="35"/>
  <c r="H2776" i="35"/>
  <c r="J2775" i="35"/>
  <c r="H2775" i="35"/>
  <c r="J2774" i="35"/>
  <c r="H2774" i="35"/>
  <c r="J2773" i="35"/>
  <c r="H2773" i="35"/>
  <c r="J2772" i="35"/>
  <c r="H2772" i="35"/>
  <c r="J2771" i="35"/>
  <c r="H2771" i="35"/>
  <c r="J2770" i="35"/>
  <c r="H2770" i="35"/>
  <c r="J2769" i="35"/>
  <c r="H2769" i="35"/>
  <c r="J2768" i="35"/>
  <c r="H2768" i="35"/>
  <c r="J2767" i="35"/>
  <c r="H2767" i="35"/>
  <c r="J2766" i="35"/>
  <c r="H2766" i="35"/>
  <c r="J2765" i="35"/>
  <c r="H2765" i="35"/>
  <c r="J2764" i="35"/>
  <c r="H2764" i="35"/>
  <c r="J2763" i="35"/>
  <c r="H2763" i="35"/>
  <c r="J2762" i="35"/>
  <c r="H2762" i="35"/>
  <c r="J2761" i="35"/>
  <c r="H2761" i="35"/>
  <c r="J2760" i="35"/>
  <c r="H2760" i="35"/>
  <c r="J2759" i="35"/>
  <c r="H2759" i="35"/>
  <c r="J2758" i="35"/>
  <c r="H2758" i="35"/>
  <c r="J2757" i="35"/>
  <c r="H2757" i="35"/>
  <c r="J2756" i="35"/>
  <c r="H2756" i="35"/>
  <c r="J2755" i="35"/>
  <c r="H2755" i="35"/>
  <c r="J2754" i="35"/>
  <c r="H2754" i="35"/>
  <c r="J2753" i="35"/>
  <c r="H2753" i="35"/>
  <c r="J2752" i="35"/>
  <c r="H2752" i="35"/>
  <c r="J2751" i="35"/>
  <c r="H2751" i="35"/>
  <c r="J2750" i="35"/>
  <c r="H2750" i="35"/>
  <c r="J2749" i="35"/>
  <c r="H2749" i="35"/>
  <c r="J2748" i="35"/>
  <c r="H2748" i="35"/>
  <c r="J2747" i="35"/>
  <c r="H2747" i="35"/>
  <c r="J2746" i="35"/>
  <c r="H2746" i="35"/>
  <c r="J2745" i="35"/>
  <c r="H2745" i="35"/>
  <c r="J2744" i="35"/>
  <c r="H2744" i="35"/>
  <c r="J2743" i="35"/>
  <c r="H2743" i="35"/>
  <c r="J2742" i="35"/>
  <c r="H2742" i="35"/>
  <c r="J2741" i="35"/>
  <c r="H2741" i="35"/>
  <c r="J2740" i="35"/>
  <c r="H2740" i="35"/>
  <c r="J2739" i="35"/>
  <c r="H2739" i="35"/>
  <c r="J2738" i="35"/>
  <c r="H2738" i="35"/>
  <c r="J2737" i="35"/>
  <c r="H2737" i="35"/>
  <c r="J2736" i="35"/>
  <c r="H2736" i="35"/>
  <c r="J2735" i="35"/>
  <c r="H2735" i="35"/>
  <c r="J2734" i="35"/>
  <c r="H2734" i="35"/>
  <c r="J2733" i="35"/>
  <c r="H2733" i="35"/>
  <c r="J2732" i="35"/>
  <c r="H2732" i="35"/>
  <c r="J2731" i="35"/>
  <c r="H2731" i="35"/>
  <c r="J2730" i="35"/>
  <c r="H2730" i="35"/>
  <c r="J2729" i="35"/>
  <c r="H2729" i="35"/>
  <c r="J2728" i="35"/>
  <c r="H2728" i="35"/>
  <c r="J2727" i="35"/>
  <c r="H2727" i="35"/>
  <c r="J2726" i="35"/>
  <c r="H2726" i="35"/>
  <c r="J2725" i="35"/>
  <c r="H2725" i="35"/>
  <c r="J2724" i="35"/>
  <c r="H2724" i="35"/>
  <c r="J2723" i="35"/>
  <c r="H2723" i="35"/>
  <c r="J2722" i="35"/>
  <c r="H2722" i="35"/>
  <c r="J2721" i="35"/>
  <c r="H2721" i="35"/>
  <c r="J2720" i="35"/>
  <c r="H2720" i="35"/>
  <c r="J2719" i="35"/>
  <c r="H2719" i="35"/>
  <c r="J2718" i="35"/>
  <c r="H2718" i="35"/>
  <c r="J2717" i="35"/>
  <c r="H2717" i="35"/>
  <c r="J2716" i="35"/>
  <c r="H2716" i="35"/>
  <c r="J2715" i="35"/>
  <c r="H2715" i="35"/>
  <c r="J2714" i="35"/>
  <c r="H2714" i="35"/>
  <c r="J2713" i="35"/>
  <c r="H2713" i="35"/>
  <c r="J2712" i="35"/>
  <c r="H2712" i="35"/>
  <c r="J2711" i="35"/>
  <c r="H2711" i="35"/>
  <c r="J2710" i="35"/>
  <c r="H2710" i="35"/>
  <c r="J2709" i="35"/>
  <c r="H2709" i="35"/>
  <c r="J2708" i="35"/>
  <c r="H2708" i="35"/>
  <c r="J2707" i="35"/>
  <c r="H2707" i="35"/>
  <c r="J2706" i="35"/>
  <c r="H2706" i="35"/>
  <c r="J2705" i="35"/>
  <c r="H2705" i="35"/>
  <c r="J2704" i="35"/>
  <c r="H2704" i="35"/>
  <c r="J2703" i="35"/>
  <c r="H2703" i="35"/>
  <c r="J2702" i="35"/>
  <c r="H2702" i="35"/>
  <c r="J2701" i="35"/>
  <c r="H2701" i="35"/>
  <c r="J2700" i="35"/>
  <c r="H2700" i="35"/>
  <c r="J2699" i="35"/>
  <c r="H2699" i="35"/>
  <c r="J2698" i="35"/>
  <c r="H2698" i="35"/>
  <c r="J2697" i="35"/>
  <c r="H2697" i="35"/>
  <c r="J2696" i="35"/>
  <c r="H2696" i="35"/>
  <c r="J2695" i="35"/>
  <c r="H2695" i="35"/>
  <c r="J2694" i="35"/>
  <c r="H2694" i="35"/>
  <c r="J2693" i="35"/>
  <c r="H2693" i="35"/>
  <c r="J2692" i="35"/>
  <c r="H2692" i="35"/>
  <c r="J2691" i="35"/>
  <c r="H2691" i="35"/>
  <c r="J2690" i="35"/>
  <c r="H2690" i="35"/>
  <c r="J2689" i="35"/>
  <c r="H2689" i="35"/>
  <c r="J2688" i="35"/>
  <c r="H2688" i="35"/>
  <c r="J2687" i="35"/>
  <c r="H2687" i="35"/>
  <c r="J2686" i="35"/>
  <c r="H2686" i="35"/>
  <c r="J2685" i="35"/>
  <c r="H2685" i="35"/>
  <c r="J2684" i="35"/>
  <c r="H2684" i="35"/>
  <c r="J2683" i="35"/>
  <c r="H2683" i="35"/>
  <c r="J2682" i="35"/>
  <c r="H2682" i="35"/>
  <c r="J2681" i="35"/>
  <c r="H2681" i="35"/>
  <c r="J2680" i="35"/>
  <c r="H2680" i="35"/>
  <c r="J2679" i="35"/>
  <c r="H2679" i="35"/>
  <c r="J2678" i="35"/>
  <c r="H2678" i="35"/>
  <c r="J2677" i="35"/>
  <c r="H2677" i="35"/>
  <c r="J2676" i="35"/>
  <c r="H2676" i="35"/>
  <c r="J2675" i="35"/>
  <c r="H2675" i="35"/>
  <c r="J2674" i="35"/>
  <c r="H2674" i="35"/>
  <c r="J2673" i="35"/>
  <c r="H2673" i="35"/>
  <c r="J2672" i="35"/>
  <c r="H2672" i="35"/>
  <c r="J2671" i="35"/>
  <c r="H2671" i="35"/>
  <c r="J2670" i="35"/>
  <c r="H2670" i="35"/>
  <c r="J2669" i="35"/>
  <c r="H2669" i="35"/>
  <c r="J2668" i="35"/>
  <c r="H2668" i="35"/>
  <c r="J2667" i="35"/>
  <c r="H2667" i="35"/>
  <c r="J2666" i="35"/>
  <c r="H2666" i="35"/>
  <c r="J2665" i="35"/>
  <c r="H2665" i="35"/>
  <c r="J2664" i="35"/>
  <c r="H2664" i="35"/>
  <c r="J2663" i="35"/>
  <c r="H2663" i="35"/>
  <c r="J2662" i="35"/>
  <c r="H2662" i="35"/>
  <c r="J2661" i="35"/>
  <c r="H2661" i="35"/>
  <c r="J2660" i="35"/>
  <c r="H2660" i="35"/>
  <c r="J2659" i="35"/>
  <c r="H2659" i="35"/>
  <c r="J2658" i="35"/>
  <c r="H2658" i="35"/>
  <c r="J2657" i="35"/>
  <c r="H2657" i="35"/>
  <c r="J2656" i="35"/>
  <c r="H2656" i="35"/>
  <c r="J2655" i="35"/>
  <c r="H2655" i="35"/>
  <c r="J2654" i="35"/>
  <c r="H2654" i="35"/>
  <c r="J2653" i="35"/>
  <c r="H2653" i="35"/>
  <c r="J2652" i="35"/>
  <c r="H2652" i="35"/>
  <c r="J2651" i="35"/>
  <c r="H2651" i="35"/>
  <c r="J2650" i="35"/>
  <c r="H2650" i="35"/>
  <c r="J2649" i="35"/>
  <c r="H2649" i="35"/>
  <c r="J2648" i="35"/>
  <c r="H2648" i="35"/>
  <c r="J2647" i="35"/>
  <c r="H2647" i="35"/>
  <c r="J2646" i="35"/>
  <c r="H2646" i="35"/>
  <c r="J2645" i="35"/>
  <c r="H2645" i="35"/>
  <c r="J2644" i="35"/>
  <c r="H2644" i="35"/>
  <c r="J2643" i="35"/>
  <c r="H2643" i="35"/>
  <c r="J2642" i="35"/>
  <c r="H2642" i="35"/>
  <c r="J2641" i="35"/>
  <c r="H2641" i="35"/>
  <c r="J2640" i="35"/>
  <c r="H2640" i="35"/>
  <c r="J2639" i="35"/>
  <c r="H2639" i="35"/>
  <c r="J2638" i="35"/>
  <c r="H2638" i="35"/>
  <c r="J2637" i="35"/>
  <c r="H2637" i="35"/>
  <c r="J2636" i="35"/>
  <c r="H2636" i="35"/>
  <c r="J2635" i="35"/>
  <c r="H2635" i="35"/>
  <c r="J2634" i="35"/>
  <c r="H2634" i="35"/>
  <c r="J2633" i="35"/>
  <c r="H2633" i="35"/>
  <c r="J2632" i="35"/>
  <c r="H2632" i="35"/>
  <c r="J2631" i="35"/>
  <c r="H2631" i="35"/>
  <c r="J2630" i="35"/>
  <c r="H2630" i="35"/>
  <c r="J2629" i="35"/>
  <c r="H2629" i="35"/>
  <c r="J2628" i="35"/>
  <c r="H2628" i="35"/>
  <c r="J2627" i="35"/>
  <c r="H2627" i="35"/>
  <c r="J2626" i="35"/>
  <c r="H2626" i="35"/>
  <c r="J2625" i="35"/>
  <c r="H2625" i="35"/>
  <c r="J2624" i="35"/>
  <c r="H2624" i="35"/>
  <c r="J2623" i="35"/>
  <c r="H2623" i="35"/>
  <c r="J2622" i="35"/>
  <c r="H2622" i="35"/>
  <c r="J2621" i="35"/>
  <c r="H2621" i="35"/>
  <c r="J2620" i="35"/>
  <c r="H2620" i="35"/>
  <c r="J2619" i="35"/>
  <c r="H2619" i="35"/>
  <c r="J2618" i="35"/>
  <c r="H2618" i="35"/>
  <c r="J2617" i="35"/>
  <c r="H2617" i="35"/>
  <c r="J2616" i="35"/>
  <c r="H2616" i="35"/>
  <c r="J2615" i="35"/>
  <c r="H2615" i="35"/>
  <c r="J2614" i="35"/>
  <c r="H2614" i="35"/>
  <c r="J2613" i="35"/>
  <c r="H2613" i="35"/>
  <c r="J2612" i="35"/>
  <c r="H2612" i="35"/>
  <c r="J2611" i="35"/>
  <c r="H2611" i="35"/>
  <c r="J2610" i="35"/>
  <c r="H2610" i="35"/>
  <c r="J2609" i="35"/>
  <c r="H2609" i="35"/>
  <c r="J2608" i="35"/>
  <c r="H2608" i="35"/>
  <c r="J2607" i="35"/>
  <c r="H2607" i="35"/>
  <c r="J2606" i="35"/>
  <c r="H2606" i="35"/>
  <c r="J2605" i="35"/>
  <c r="H2605" i="35"/>
  <c r="J2604" i="35"/>
  <c r="H2604" i="35"/>
  <c r="J2603" i="35"/>
  <c r="H2603" i="35"/>
  <c r="J2602" i="35"/>
  <c r="H2602" i="35"/>
  <c r="J2601" i="35"/>
  <c r="H2601" i="35"/>
  <c r="J2600" i="35"/>
  <c r="H2600" i="35"/>
  <c r="J2599" i="35"/>
  <c r="H2599" i="35"/>
  <c r="J2598" i="35"/>
  <c r="H2598" i="35"/>
  <c r="J2597" i="35"/>
  <c r="H2597" i="35"/>
  <c r="J2596" i="35"/>
  <c r="H2596" i="35"/>
  <c r="J2595" i="35"/>
  <c r="H2595" i="35"/>
  <c r="J2594" i="35"/>
  <c r="H2594" i="35"/>
  <c r="J2593" i="35"/>
  <c r="H2593" i="35"/>
  <c r="J2592" i="35"/>
  <c r="H2592" i="35"/>
  <c r="J2591" i="35"/>
  <c r="H2591" i="35"/>
  <c r="J2590" i="35"/>
  <c r="H2590" i="35"/>
  <c r="J2589" i="35"/>
  <c r="H2589" i="35"/>
  <c r="J2588" i="35"/>
  <c r="H2588" i="35"/>
  <c r="J2587" i="35"/>
  <c r="H2587" i="35"/>
  <c r="J2586" i="35"/>
  <c r="H2586" i="35"/>
  <c r="J2585" i="35"/>
  <c r="H2585" i="35"/>
  <c r="J2584" i="35"/>
  <c r="H2584" i="35"/>
  <c r="J2583" i="35"/>
  <c r="H2583" i="35"/>
  <c r="J2582" i="35"/>
  <c r="H2582" i="35"/>
  <c r="J2581" i="35"/>
  <c r="H2581" i="35"/>
  <c r="J2580" i="35"/>
  <c r="H2580" i="35"/>
  <c r="J2579" i="35"/>
  <c r="H2579" i="35"/>
  <c r="J2578" i="35"/>
  <c r="H2578" i="35"/>
  <c r="J2577" i="35"/>
  <c r="H2577" i="35"/>
  <c r="J2576" i="35"/>
  <c r="H2576" i="35"/>
  <c r="J2575" i="35"/>
  <c r="H2575" i="35"/>
  <c r="J2574" i="35"/>
  <c r="H2574" i="35"/>
  <c r="J2573" i="35"/>
  <c r="H2573" i="35"/>
  <c r="J2572" i="35"/>
  <c r="H2572" i="35"/>
  <c r="J2571" i="35"/>
  <c r="H2571" i="35"/>
  <c r="J2570" i="35"/>
  <c r="H2570" i="35"/>
  <c r="J2569" i="35"/>
  <c r="H2569" i="35"/>
  <c r="J2568" i="35"/>
  <c r="H2568" i="35"/>
  <c r="J2567" i="35"/>
  <c r="H2567" i="35"/>
  <c r="J2566" i="35"/>
  <c r="H2566" i="35"/>
  <c r="J2565" i="35"/>
  <c r="H2565" i="35"/>
  <c r="J2564" i="35"/>
  <c r="H2564" i="35"/>
  <c r="J2563" i="35"/>
  <c r="H2563" i="35"/>
  <c r="J2562" i="35"/>
  <c r="H2562" i="35"/>
  <c r="J2561" i="35"/>
  <c r="H2561" i="35"/>
  <c r="J2560" i="35"/>
  <c r="H2560" i="35"/>
  <c r="J2559" i="35"/>
  <c r="H2559" i="35"/>
  <c r="J2558" i="35"/>
  <c r="H2558" i="35"/>
  <c r="J2557" i="35"/>
  <c r="H2557" i="35"/>
  <c r="J2556" i="35"/>
  <c r="H2556" i="35"/>
  <c r="J2555" i="35"/>
  <c r="H2555" i="35"/>
  <c r="J2554" i="35"/>
  <c r="H2554" i="35"/>
  <c r="J2553" i="35"/>
  <c r="H2553" i="35"/>
  <c r="J2552" i="35"/>
  <c r="H2552" i="35"/>
  <c r="J2551" i="35"/>
  <c r="H2551" i="35"/>
  <c r="J2550" i="35"/>
  <c r="H2550" i="35"/>
  <c r="J2549" i="35"/>
  <c r="H2549" i="35"/>
  <c r="J2548" i="35"/>
  <c r="H2548" i="35"/>
  <c r="J2547" i="35"/>
  <c r="H2547" i="35"/>
  <c r="J2546" i="35"/>
  <c r="H2546" i="35"/>
  <c r="J2545" i="35"/>
  <c r="H2545" i="35"/>
  <c r="J2544" i="35"/>
  <c r="H2544" i="35"/>
  <c r="J2543" i="35"/>
  <c r="H2543" i="35"/>
  <c r="J2542" i="35"/>
  <c r="H2542" i="35"/>
  <c r="J2541" i="35"/>
  <c r="H2541" i="35"/>
  <c r="J2540" i="35"/>
  <c r="H2540" i="35"/>
  <c r="J2539" i="35"/>
  <c r="H2539" i="35"/>
  <c r="J2538" i="35"/>
  <c r="H2538" i="35"/>
  <c r="J2537" i="35"/>
  <c r="H2537" i="35"/>
  <c r="J2536" i="35"/>
  <c r="H2536" i="35"/>
  <c r="J2535" i="35"/>
  <c r="H2535" i="35"/>
  <c r="J2534" i="35"/>
  <c r="H2534" i="35"/>
  <c r="J2533" i="35"/>
  <c r="H2533" i="35"/>
  <c r="J2532" i="35"/>
  <c r="H2532" i="35"/>
  <c r="J2531" i="35"/>
  <c r="H2531" i="35"/>
  <c r="J2530" i="35"/>
  <c r="H2530" i="35"/>
  <c r="J2529" i="35"/>
  <c r="H2529" i="35"/>
  <c r="J2528" i="35"/>
  <c r="H2528" i="35"/>
  <c r="J2527" i="35"/>
  <c r="H2527" i="35"/>
  <c r="J2526" i="35"/>
  <c r="H2526" i="35"/>
  <c r="J2525" i="35"/>
  <c r="H2525" i="35"/>
  <c r="J2524" i="35"/>
  <c r="H2524" i="35"/>
  <c r="J2523" i="35"/>
  <c r="H2523" i="35"/>
  <c r="J2522" i="35"/>
  <c r="H2522" i="35"/>
  <c r="J2521" i="35"/>
  <c r="H2521" i="35"/>
  <c r="J2520" i="35"/>
  <c r="H2520" i="35"/>
  <c r="J2519" i="35"/>
  <c r="H2519" i="35"/>
  <c r="J2518" i="35"/>
  <c r="H2518" i="35"/>
  <c r="J2517" i="35"/>
  <c r="H2517" i="35"/>
  <c r="J2516" i="35"/>
  <c r="H2516" i="35"/>
  <c r="J2515" i="35"/>
  <c r="H2515" i="35"/>
  <c r="J2514" i="35"/>
  <c r="H2514" i="35"/>
  <c r="J2513" i="35"/>
  <c r="H2513" i="35"/>
  <c r="J2512" i="35"/>
  <c r="H2512" i="35"/>
  <c r="J2511" i="35"/>
  <c r="H2511" i="35"/>
  <c r="J2510" i="35"/>
  <c r="H2510" i="35"/>
  <c r="J2509" i="35"/>
  <c r="H2509" i="35"/>
  <c r="J2508" i="35"/>
  <c r="H2508" i="35"/>
  <c r="J2507" i="35"/>
  <c r="H2507" i="35"/>
  <c r="J2506" i="35"/>
  <c r="H2506" i="35"/>
  <c r="J2505" i="35"/>
  <c r="H2505" i="35"/>
  <c r="J2504" i="35"/>
  <c r="H2504" i="35"/>
  <c r="J2503" i="35"/>
  <c r="H2503" i="35"/>
  <c r="J2502" i="35"/>
  <c r="H2502" i="35"/>
  <c r="J2501" i="35"/>
  <c r="H2501" i="35"/>
  <c r="J2500" i="35"/>
  <c r="H2500" i="35"/>
  <c r="J2499" i="35"/>
  <c r="H2499" i="35"/>
  <c r="J2498" i="35"/>
  <c r="H2498" i="35"/>
  <c r="J2497" i="35"/>
  <c r="H2497" i="35"/>
  <c r="J2496" i="35"/>
  <c r="H2496" i="35"/>
  <c r="J2495" i="35"/>
  <c r="H2495" i="35"/>
  <c r="J2494" i="35"/>
  <c r="H2494" i="35"/>
  <c r="J2493" i="35"/>
  <c r="H2493" i="35"/>
  <c r="J2492" i="35"/>
  <c r="H2492" i="35"/>
  <c r="J2491" i="35"/>
  <c r="H2491" i="35"/>
  <c r="J2490" i="35"/>
  <c r="H2490" i="35"/>
  <c r="J2489" i="35"/>
  <c r="H2489" i="35"/>
  <c r="J2488" i="35"/>
  <c r="H2488" i="35"/>
  <c r="J2487" i="35"/>
  <c r="H2487" i="35"/>
  <c r="J2486" i="35"/>
  <c r="H2486" i="35"/>
  <c r="J2485" i="35"/>
  <c r="H2485" i="35"/>
  <c r="J2484" i="35"/>
  <c r="H2484" i="35"/>
  <c r="J2483" i="35"/>
  <c r="H2483" i="35"/>
  <c r="J2482" i="35"/>
  <c r="H2482" i="35"/>
  <c r="J2481" i="35"/>
  <c r="H2481" i="35"/>
  <c r="J2480" i="35"/>
  <c r="H2480" i="35"/>
  <c r="J2479" i="35"/>
  <c r="H2479" i="35"/>
  <c r="J2478" i="35"/>
  <c r="H2478" i="35"/>
  <c r="J2477" i="35"/>
  <c r="H2477" i="35"/>
  <c r="J2476" i="35"/>
  <c r="H2476" i="35"/>
  <c r="J2475" i="35"/>
  <c r="H2475" i="35"/>
  <c r="J2474" i="35"/>
  <c r="H2474" i="35"/>
  <c r="J2473" i="35"/>
  <c r="H2473" i="35"/>
  <c r="J2472" i="35"/>
  <c r="H2472" i="35"/>
  <c r="J2471" i="35"/>
  <c r="H2471" i="35"/>
  <c r="J2470" i="35"/>
  <c r="H2470" i="35"/>
  <c r="J2469" i="35"/>
  <c r="H2469" i="35"/>
  <c r="J2468" i="35"/>
  <c r="H2468" i="35"/>
  <c r="J2467" i="35"/>
  <c r="H2467" i="35"/>
  <c r="J2466" i="35"/>
  <c r="H2466" i="35"/>
  <c r="J2465" i="35"/>
  <c r="H2465" i="35"/>
  <c r="J2464" i="35"/>
  <c r="H2464" i="35"/>
  <c r="J2463" i="35"/>
  <c r="H2463" i="35"/>
  <c r="J2462" i="35"/>
  <c r="H2462" i="35"/>
  <c r="J2461" i="35"/>
  <c r="H2461" i="35"/>
  <c r="J2460" i="35"/>
  <c r="H2460" i="35"/>
  <c r="J2459" i="35"/>
  <c r="H2459" i="35"/>
  <c r="J2458" i="35"/>
  <c r="H2458" i="35"/>
  <c r="J2457" i="35"/>
  <c r="H2457" i="35"/>
  <c r="J2456" i="35"/>
  <c r="H2456" i="35"/>
  <c r="J2455" i="35"/>
  <c r="H2455" i="35"/>
  <c r="J2454" i="35"/>
  <c r="H2454" i="35"/>
  <c r="J2453" i="35"/>
  <c r="H2453" i="35"/>
  <c r="J2452" i="35"/>
  <c r="H2452" i="35"/>
  <c r="J2451" i="35"/>
  <c r="H2451" i="35"/>
  <c r="J2450" i="35"/>
  <c r="H2450" i="35"/>
  <c r="J2449" i="35"/>
  <c r="H2449" i="35"/>
  <c r="J2448" i="35"/>
  <c r="H2448" i="35"/>
  <c r="J2447" i="35"/>
  <c r="H2447" i="35"/>
  <c r="J2446" i="35"/>
  <c r="H2446" i="35"/>
  <c r="J2445" i="35"/>
  <c r="H2445" i="35"/>
  <c r="J2444" i="35"/>
  <c r="H2444" i="35"/>
  <c r="J2443" i="35"/>
  <c r="H2443" i="35"/>
  <c r="J2442" i="35"/>
  <c r="H2442" i="35"/>
  <c r="J2441" i="35"/>
  <c r="H2441" i="35"/>
  <c r="J2440" i="35"/>
  <c r="H2440" i="35"/>
  <c r="J2439" i="35"/>
  <c r="H2439" i="35"/>
  <c r="J2438" i="35"/>
  <c r="H2438" i="35"/>
  <c r="J2437" i="35"/>
  <c r="H2437" i="35"/>
  <c r="J2436" i="35"/>
  <c r="H2436" i="35"/>
  <c r="J2435" i="35"/>
  <c r="H2435" i="35"/>
  <c r="J2434" i="35"/>
  <c r="H2434" i="35"/>
  <c r="J2433" i="35"/>
  <c r="H2433" i="35"/>
  <c r="J2432" i="35"/>
  <c r="H2432" i="35"/>
  <c r="J2431" i="35"/>
  <c r="H2431" i="35"/>
  <c r="J2430" i="35"/>
  <c r="H2430" i="35"/>
  <c r="J2429" i="35"/>
  <c r="H2429" i="35"/>
  <c r="J2428" i="35"/>
  <c r="H2428" i="35"/>
  <c r="J2427" i="35"/>
  <c r="H2427" i="35"/>
  <c r="J2426" i="35"/>
  <c r="H2426" i="35"/>
  <c r="J2425" i="35"/>
  <c r="H2425" i="35"/>
  <c r="J2424" i="35"/>
  <c r="H2424" i="35"/>
  <c r="J2423" i="35"/>
  <c r="H2423" i="35"/>
  <c r="J2422" i="35"/>
  <c r="H2422" i="35"/>
  <c r="J2421" i="35"/>
  <c r="H2421" i="35"/>
  <c r="J2420" i="35"/>
  <c r="H2420" i="35"/>
  <c r="J2419" i="35"/>
  <c r="H2419" i="35"/>
  <c r="J2418" i="35"/>
  <c r="H2418" i="35"/>
  <c r="J2417" i="35"/>
  <c r="H2417" i="35"/>
  <c r="J2416" i="35"/>
  <c r="H2416" i="35"/>
  <c r="J2415" i="35"/>
  <c r="H2415" i="35"/>
  <c r="J2414" i="35"/>
  <c r="H2414" i="35"/>
  <c r="J2413" i="35"/>
  <c r="H2413" i="35"/>
  <c r="J2412" i="35"/>
  <c r="H2412" i="35"/>
  <c r="J2411" i="35"/>
  <c r="H2411" i="35"/>
  <c r="J2410" i="35"/>
  <c r="H2410" i="35"/>
  <c r="J2409" i="35"/>
  <c r="H2409" i="35"/>
  <c r="J2408" i="35"/>
  <c r="H2408" i="35"/>
  <c r="J2407" i="35"/>
  <c r="H2407" i="35"/>
  <c r="J2406" i="35"/>
  <c r="H2406" i="35"/>
  <c r="J2405" i="35"/>
  <c r="H2405" i="35"/>
  <c r="J2404" i="35"/>
  <c r="H2404" i="35"/>
  <c r="J2403" i="35"/>
  <c r="H2403" i="35"/>
  <c r="J2402" i="35"/>
  <c r="H2402" i="35"/>
  <c r="J2401" i="35"/>
  <c r="H2401" i="35"/>
  <c r="J2400" i="35"/>
  <c r="H2400" i="35"/>
  <c r="J2399" i="35"/>
  <c r="H2399" i="35"/>
  <c r="J2398" i="35"/>
  <c r="H2398" i="35"/>
  <c r="J2397" i="35"/>
  <c r="H2397" i="35"/>
  <c r="J2396" i="35"/>
  <c r="H2396" i="35"/>
  <c r="J2395" i="35"/>
  <c r="H2395" i="35"/>
  <c r="J2394" i="35"/>
  <c r="H2394" i="35"/>
  <c r="J2393" i="35"/>
  <c r="H2393" i="35"/>
  <c r="J2392" i="35"/>
  <c r="H2392" i="35"/>
  <c r="J2391" i="35"/>
  <c r="H2391" i="35"/>
  <c r="J2390" i="35"/>
  <c r="H2390" i="35"/>
  <c r="J2389" i="35"/>
  <c r="H2389" i="35"/>
  <c r="J2388" i="35"/>
  <c r="H2388" i="35"/>
  <c r="J2387" i="35"/>
  <c r="H2387" i="35"/>
  <c r="J2386" i="35"/>
  <c r="H2386" i="35"/>
  <c r="J2385" i="35"/>
  <c r="H2385" i="35"/>
  <c r="J2384" i="35"/>
  <c r="H2384" i="35"/>
  <c r="J2383" i="35"/>
  <c r="H2383" i="35"/>
  <c r="J2382" i="35"/>
  <c r="H2382" i="35"/>
  <c r="J2381" i="35"/>
  <c r="H2381" i="35"/>
  <c r="J2380" i="35"/>
  <c r="H2380" i="35"/>
  <c r="J2379" i="35"/>
  <c r="H2379" i="35"/>
  <c r="J2378" i="35"/>
  <c r="H2378" i="35"/>
  <c r="J2377" i="35"/>
  <c r="H2377" i="35"/>
  <c r="J2376" i="35"/>
  <c r="H2376" i="35"/>
  <c r="J2375" i="35"/>
  <c r="H2375" i="35"/>
  <c r="J2374" i="35"/>
  <c r="H2374" i="35"/>
  <c r="J2373" i="35"/>
  <c r="H2373" i="35"/>
  <c r="J2372" i="35"/>
  <c r="H2372" i="35"/>
  <c r="J2371" i="35"/>
  <c r="H2371" i="35"/>
  <c r="J2370" i="35"/>
  <c r="H2370" i="35"/>
  <c r="J2369" i="35"/>
  <c r="H2369" i="35"/>
  <c r="J2368" i="35"/>
  <c r="H2368" i="35"/>
  <c r="J2367" i="35"/>
  <c r="H2367" i="35"/>
  <c r="J2366" i="35"/>
  <c r="H2366" i="35"/>
  <c r="J2365" i="35"/>
  <c r="H2365" i="35"/>
  <c r="J2364" i="35"/>
  <c r="H2364" i="35"/>
  <c r="J2363" i="35"/>
  <c r="H2363" i="35"/>
  <c r="J2362" i="35"/>
  <c r="H2362" i="35"/>
  <c r="J2361" i="35"/>
  <c r="H2361" i="35"/>
  <c r="J2360" i="35"/>
  <c r="H2360" i="35"/>
  <c r="J2359" i="35"/>
  <c r="H2359" i="35"/>
  <c r="J2358" i="35"/>
  <c r="H2358" i="35"/>
  <c r="J2357" i="35"/>
  <c r="H2357" i="35"/>
  <c r="J2356" i="35"/>
  <c r="H2356" i="35"/>
  <c r="J2355" i="35"/>
  <c r="H2355" i="35"/>
  <c r="J2354" i="35"/>
  <c r="H2354" i="35"/>
  <c r="J2353" i="35"/>
  <c r="H2353" i="35"/>
  <c r="J2352" i="35"/>
  <c r="H2352" i="35"/>
  <c r="J2351" i="35"/>
  <c r="H2351" i="35"/>
  <c r="J2350" i="35"/>
  <c r="H2350" i="35"/>
  <c r="J2349" i="35"/>
  <c r="H2349" i="35"/>
  <c r="J2348" i="35"/>
  <c r="H2348" i="35"/>
  <c r="J2347" i="35"/>
  <c r="H2347" i="35"/>
  <c r="J2346" i="35"/>
  <c r="H2346" i="35"/>
  <c r="J2345" i="35"/>
  <c r="H2345" i="35"/>
  <c r="J2344" i="35"/>
  <c r="H2344" i="35"/>
  <c r="J2343" i="35"/>
  <c r="H2343" i="35"/>
  <c r="J2342" i="35"/>
  <c r="H2342" i="35"/>
  <c r="J2341" i="35"/>
  <c r="H2341" i="35"/>
  <c r="J2340" i="35"/>
  <c r="H2340" i="35"/>
  <c r="J2339" i="35"/>
  <c r="H2339" i="35"/>
  <c r="J2338" i="35"/>
  <c r="H2338" i="35"/>
  <c r="J2337" i="35"/>
  <c r="H2337" i="35"/>
  <c r="J2336" i="35"/>
  <c r="H2336" i="35"/>
  <c r="J2335" i="35"/>
  <c r="H2335" i="35"/>
  <c r="J2334" i="35"/>
  <c r="H2334" i="35"/>
  <c r="J2333" i="35"/>
  <c r="H2333" i="35"/>
  <c r="J2332" i="35"/>
  <c r="H2332" i="35"/>
  <c r="J2331" i="35"/>
  <c r="H2331" i="35"/>
  <c r="J2330" i="35"/>
  <c r="H2330" i="35"/>
  <c r="J2329" i="35"/>
  <c r="H2329" i="35"/>
  <c r="J2328" i="35"/>
  <c r="H2328" i="35"/>
  <c r="J2327" i="35"/>
  <c r="H2327" i="35"/>
  <c r="J2326" i="35"/>
  <c r="H2326" i="35"/>
  <c r="J2325" i="35"/>
  <c r="H2325" i="35"/>
  <c r="J2324" i="35"/>
  <c r="H2324" i="35"/>
  <c r="J2323" i="35"/>
  <c r="H2323" i="35"/>
  <c r="J2322" i="35"/>
  <c r="H2322" i="35"/>
  <c r="J2321" i="35"/>
  <c r="H2321" i="35"/>
  <c r="J2320" i="35"/>
  <c r="H2320" i="35"/>
  <c r="J2319" i="35"/>
  <c r="H2319" i="35"/>
  <c r="J2318" i="35"/>
  <c r="H2318" i="35"/>
  <c r="J2317" i="35"/>
  <c r="H2317" i="35"/>
  <c r="J2316" i="35"/>
  <c r="H2316" i="35"/>
  <c r="J2315" i="35"/>
  <c r="H2315" i="35"/>
  <c r="J2314" i="35"/>
  <c r="H2314" i="35"/>
  <c r="J2313" i="35"/>
  <c r="H2313" i="35"/>
  <c r="J2312" i="35"/>
  <c r="H2312" i="35"/>
  <c r="J2311" i="35"/>
  <c r="H2311" i="35"/>
  <c r="J2310" i="35"/>
  <c r="H2310" i="35"/>
  <c r="J2309" i="35"/>
  <c r="H2309" i="35"/>
  <c r="J2308" i="35"/>
  <c r="H2308" i="35"/>
  <c r="J2307" i="35"/>
  <c r="H2307" i="35"/>
  <c r="J2306" i="35"/>
  <c r="H2306" i="35"/>
  <c r="J2305" i="35"/>
  <c r="H2305" i="35"/>
  <c r="J2304" i="35"/>
  <c r="H2304" i="35"/>
  <c r="J2303" i="35"/>
  <c r="H2303" i="35"/>
  <c r="J2302" i="35"/>
  <c r="H2302" i="35"/>
  <c r="J2301" i="35"/>
  <c r="H2301" i="35"/>
  <c r="J2300" i="35"/>
  <c r="H2300" i="35"/>
  <c r="J2299" i="35"/>
  <c r="H2299" i="35"/>
  <c r="J2298" i="35"/>
  <c r="H2298" i="35"/>
  <c r="J2297" i="35"/>
  <c r="H2297" i="35"/>
  <c r="J2296" i="35"/>
  <c r="H2296" i="35"/>
  <c r="J2295" i="35"/>
  <c r="H2295" i="35"/>
  <c r="J2294" i="35"/>
  <c r="H2294" i="35"/>
  <c r="J2293" i="35"/>
  <c r="H2293" i="35"/>
  <c r="J2292" i="35"/>
  <c r="H2292" i="35"/>
  <c r="J2291" i="35"/>
  <c r="H2291" i="35"/>
  <c r="J2290" i="35"/>
  <c r="H2290" i="35"/>
  <c r="J2289" i="35"/>
  <c r="H2289" i="35"/>
  <c r="J2288" i="35"/>
  <c r="H2288" i="35"/>
  <c r="J2287" i="35"/>
  <c r="H2287" i="35"/>
  <c r="J2286" i="35"/>
  <c r="H2286" i="35"/>
  <c r="J2285" i="35"/>
  <c r="H2285" i="35"/>
  <c r="J2284" i="35"/>
  <c r="H2284" i="35"/>
  <c r="J2283" i="35"/>
  <c r="H2283" i="35"/>
  <c r="J2282" i="35"/>
  <c r="H2282" i="35"/>
  <c r="J2281" i="35"/>
  <c r="H2281" i="35"/>
  <c r="J2280" i="35"/>
  <c r="H2280" i="35"/>
  <c r="J2279" i="35"/>
  <c r="H2279" i="35"/>
  <c r="J2278" i="35"/>
  <c r="H2278" i="35"/>
  <c r="J2277" i="35"/>
  <c r="H2277" i="35"/>
  <c r="J2276" i="35"/>
  <c r="H2276" i="35"/>
  <c r="J2275" i="35"/>
  <c r="H2275" i="35"/>
  <c r="J2274" i="35"/>
  <c r="H2274" i="35"/>
  <c r="J2273" i="35"/>
  <c r="H2273" i="35"/>
  <c r="J2272" i="35"/>
  <c r="H2272" i="35"/>
  <c r="J2271" i="35"/>
  <c r="H2271" i="35"/>
  <c r="J2270" i="35"/>
  <c r="H2270" i="35"/>
  <c r="J2269" i="35"/>
  <c r="H2269" i="35"/>
  <c r="J2268" i="35"/>
  <c r="H2268" i="35"/>
  <c r="J2267" i="35"/>
  <c r="H2267" i="35"/>
  <c r="J2266" i="35"/>
  <c r="H2266" i="35"/>
  <c r="J2265" i="35"/>
  <c r="H2265" i="35"/>
  <c r="J2264" i="35"/>
  <c r="H2264" i="35"/>
  <c r="J2263" i="35"/>
  <c r="H2263" i="35"/>
  <c r="J2262" i="35"/>
  <c r="H2262" i="35"/>
  <c r="J2261" i="35"/>
  <c r="H2261" i="35"/>
  <c r="J2260" i="35"/>
  <c r="H2260" i="35"/>
  <c r="J2259" i="35"/>
  <c r="H2259" i="35"/>
  <c r="J2258" i="35"/>
  <c r="H2258" i="35"/>
  <c r="J2257" i="35"/>
  <c r="H2257" i="35"/>
  <c r="J2256" i="35"/>
  <c r="H2256" i="35"/>
  <c r="J2255" i="35"/>
  <c r="H2255" i="35"/>
  <c r="J2254" i="35"/>
  <c r="H2254" i="35"/>
  <c r="J2253" i="35"/>
  <c r="H2253" i="35"/>
  <c r="J2252" i="35"/>
  <c r="H2252" i="35"/>
  <c r="J2251" i="35"/>
  <c r="H2251" i="35"/>
  <c r="J2250" i="35"/>
  <c r="H2250" i="35"/>
  <c r="J2249" i="35"/>
  <c r="H2249" i="35"/>
  <c r="J2248" i="35"/>
  <c r="H2248" i="35"/>
  <c r="J2247" i="35"/>
  <c r="H2247" i="35"/>
  <c r="J2246" i="35"/>
  <c r="H2246" i="35"/>
  <c r="J2245" i="35"/>
  <c r="H2245" i="35"/>
  <c r="J2244" i="35"/>
  <c r="H2244" i="35"/>
  <c r="J2243" i="35"/>
  <c r="H2243" i="35"/>
  <c r="J2242" i="35"/>
  <c r="H2242" i="35"/>
  <c r="J2241" i="35"/>
  <c r="H2241" i="35"/>
  <c r="J2240" i="35"/>
  <c r="H2240" i="35"/>
  <c r="J2239" i="35"/>
  <c r="H2239" i="35"/>
  <c r="J2238" i="35"/>
  <c r="H2238" i="35"/>
  <c r="J2237" i="35"/>
  <c r="H2237" i="35"/>
  <c r="J2236" i="35"/>
  <c r="H2236" i="35"/>
  <c r="J2235" i="35"/>
  <c r="H2235" i="35"/>
  <c r="J2234" i="35"/>
  <c r="H2234" i="35"/>
  <c r="J2233" i="35"/>
  <c r="H2233" i="35"/>
  <c r="J2232" i="35"/>
  <c r="H2232" i="35"/>
  <c r="J2231" i="35"/>
  <c r="H2231" i="35"/>
  <c r="J2230" i="35"/>
  <c r="H2230" i="35"/>
  <c r="J2229" i="35"/>
  <c r="H2229" i="35"/>
  <c r="J2228" i="35"/>
  <c r="H2228" i="35"/>
  <c r="J2227" i="35"/>
  <c r="H2227" i="35"/>
  <c r="J2226" i="35"/>
  <c r="H2226" i="35"/>
  <c r="J2225" i="35"/>
  <c r="H2225" i="35"/>
  <c r="J2224" i="35"/>
  <c r="H2224" i="35"/>
  <c r="J2223" i="35"/>
  <c r="H2223" i="35"/>
  <c r="J2222" i="35"/>
  <c r="H2222" i="35"/>
  <c r="J2221" i="35"/>
  <c r="H2221" i="35"/>
  <c r="J2220" i="35"/>
  <c r="H2220" i="35"/>
  <c r="J2219" i="35"/>
  <c r="H2219" i="35"/>
  <c r="J2218" i="35"/>
  <c r="H2218" i="35"/>
  <c r="J2217" i="35"/>
  <c r="H2217" i="35"/>
  <c r="J2216" i="35"/>
  <c r="H2216" i="35"/>
  <c r="J2215" i="35"/>
  <c r="H2215" i="35"/>
  <c r="J2214" i="35"/>
  <c r="H2214" i="35"/>
  <c r="J2213" i="35"/>
  <c r="H2213" i="35"/>
  <c r="J2212" i="35"/>
  <c r="H2212" i="35"/>
  <c r="J2211" i="35"/>
  <c r="H2211" i="35"/>
  <c r="J2210" i="35"/>
  <c r="H2210" i="35"/>
  <c r="J2209" i="35"/>
  <c r="H2209" i="35"/>
  <c r="J2208" i="35"/>
  <c r="H2208" i="35"/>
  <c r="J2207" i="35"/>
  <c r="H2207" i="35"/>
  <c r="J2206" i="35"/>
  <c r="H2206" i="35"/>
  <c r="J2205" i="35"/>
  <c r="H2205" i="35"/>
  <c r="J2204" i="35"/>
  <c r="H2204" i="35"/>
  <c r="J2203" i="35"/>
  <c r="H2203" i="35"/>
  <c r="J2202" i="35"/>
  <c r="H2202" i="35"/>
  <c r="J2201" i="35"/>
  <c r="H2201" i="35"/>
  <c r="J2200" i="35"/>
  <c r="H2200" i="35"/>
  <c r="J2199" i="35"/>
  <c r="H2199" i="35"/>
  <c r="J2198" i="35"/>
  <c r="H2198" i="35"/>
  <c r="J2197" i="35"/>
  <c r="H2197" i="35"/>
  <c r="J2196" i="35"/>
  <c r="H2196" i="35"/>
  <c r="J2195" i="35"/>
  <c r="H2195" i="35"/>
  <c r="J2194" i="35"/>
  <c r="H2194" i="35"/>
  <c r="J2193" i="35"/>
  <c r="H2193" i="35"/>
  <c r="J2192" i="35"/>
  <c r="H2192" i="35"/>
  <c r="J2191" i="35"/>
  <c r="H2191" i="35"/>
  <c r="J2190" i="35"/>
  <c r="H2190" i="35"/>
  <c r="J2189" i="35"/>
  <c r="H2189" i="35"/>
  <c r="J2188" i="35"/>
  <c r="H2188" i="35"/>
  <c r="J2187" i="35"/>
  <c r="H2187" i="35"/>
  <c r="J2186" i="35"/>
  <c r="H2186" i="35"/>
  <c r="J2185" i="35"/>
  <c r="H2185" i="35"/>
  <c r="J2184" i="35"/>
  <c r="H2184" i="35"/>
  <c r="J2183" i="35"/>
  <c r="H2183" i="35"/>
  <c r="J2182" i="35"/>
  <c r="H2182" i="35"/>
  <c r="J2181" i="35"/>
  <c r="H2181" i="35"/>
  <c r="J2180" i="35"/>
  <c r="H2180" i="35"/>
  <c r="J2179" i="35"/>
  <c r="H2179" i="35"/>
  <c r="J2178" i="35"/>
  <c r="H2178" i="35"/>
  <c r="J2177" i="35"/>
  <c r="H2177" i="35"/>
  <c r="J2176" i="35"/>
  <c r="H2176" i="35"/>
  <c r="J2175" i="35"/>
  <c r="H2175" i="35"/>
  <c r="J2174" i="35"/>
  <c r="H2174" i="35"/>
  <c r="J2173" i="35"/>
  <c r="H2173" i="35"/>
  <c r="J2172" i="35"/>
  <c r="H2172" i="35"/>
  <c r="J2171" i="35"/>
  <c r="H2171" i="35"/>
  <c r="J2170" i="35"/>
  <c r="H2170" i="35"/>
  <c r="J2169" i="35"/>
  <c r="H2169" i="35"/>
  <c r="J2168" i="35"/>
  <c r="H2168" i="35"/>
  <c r="J2167" i="35"/>
  <c r="H2167" i="35"/>
  <c r="J2166" i="35"/>
  <c r="H2166" i="35"/>
  <c r="J2165" i="35"/>
  <c r="H2165" i="35"/>
  <c r="J2164" i="35"/>
  <c r="H2164" i="35"/>
  <c r="J2163" i="35"/>
  <c r="H2163" i="35"/>
  <c r="J2162" i="35"/>
  <c r="H2162" i="35"/>
  <c r="J2161" i="35"/>
  <c r="H2161" i="35"/>
  <c r="J2160" i="35"/>
  <c r="H2160" i="35"/>
  <c r="J2159" i="35"/>
  <c r="H2159" i="35"/>
  <c r="J2158" i="35"/>
  <c r="H2158" i="35"/>
  <c r="J2157" i="35"/>
  <c r="H2157" i="35"/>
  <c r="J2156" i="35"/>
  <c r="H2156" i="35"/>
  <c r="J2155" i="35"/>
  <c r="H2155" i="35"/>
  <c r="J2154" i="35"/>
  <c r="H2154" i="35"/>
  <c r="J2153" i="35"/>
  <c r="H2153" i="35"/>
  <c r="J2152" i="35"/>
  <c r="H2152" i="35"/>
  <c r="J2151" i="35"/>
  <c r="H2151" i="35"/>
  <c r="J2150" i="35"/>
  <c r="H2150" i="35"/>
  <c r="J2149" i="35"/>
  <c r="H2149" i="35"/>
  <c r="J2148" i="35"/>
  <c r="H2148" i="35"/>
  <c r="J2147" i="35"/>
  <c r="H2147" i="35"/>
  <c r="J2146" i="35"/>
  <c r="H2146" i="35"/>
  <c r="J2145" i="35"/>
  <c r="H2145" i="35"/>
  <c r="J2144" i="35"/>
  <c r="H2144" i="35"/>
  <c r="J2143" i="35"/>
  <c r="H2143" i="35"/>
  <c r="J2142" i="35"/>
  <c r="H2142" i="35"/>
  <c r="J2141" i="35"/>
  <c r="H2141" i="35"/>
  <c r="J2140" i="35"/>
  <c r="H2140" i="35"/>
  <c r="J2139" i="35"/>
  <c r="H2139" i="35"/>
  <c r="J2138" i="35"/>
  <c r="H2138" i="35"/>
  <c r="J2137" i="35"/>
  <c r="H2137" i="35"/>
  <c r="J2136" i="35"/>
  <c r="H2136" i="35"/>
  <c r="J2135" i="35"/>
  <c r="H2135" i="35"/>
  <c r="J2134" i="35"/>
  <c r="H2134" i="35"/>
  <c r="J2133" i="35"/>
  <c r="H2133" i="35"/>
  <c r="J2132" i="35"/>
  <c r="H2132" i="35"/>
  <c r="J2131" i="35"/>
  <c r="H2131" i="35"/>
  <c r="J2130" i="35"/>
  <c r="H2130" i="35"/>
  <c r="J2129" i="35"/>
  <c r="H2129" i="35"/>
  <c r="J2128" i="35"/>
  <c r="H2128" i="35"/>
  <c r="J2127" i="35"/>
  <c r="H2127" i="35"/>
  <c r="J2126" i="35"/>
  <c r="H2126" i="35"/>
  <c r="J2125" i="35"/>
  <c r="H2125" i="35"/>
  <c r="J2124" i="35"/>
  <c r="H2124" i="35"/>
  <c r="J2123" i="35"/>
  <c r="H2123" i="35"/>
  <c r="J2122" i="35"/>
  <c r="H2122" i="35"/>
  <c r="J2121" i="35"/>
  <c r="H2121" i="35"/>
  <c r="J2120" i="35"/>
  <c r="H2120" i="35"/>
  <c r="J2119" i="35"/>
  <c r="H2119" i="35"/>
  <c r="J2118" i="35"/>
  <c r="H2118" i="35"/>
  <c r="J2117" i="35"/>
  <c r="H2117" i="35"/>
  <c r="J2116" i="35"/>
  <c r="H2116" i="35"/>
  <c r="J2115" i="35"/>
  <c r="H2115" i="35"/>
  <c r="J2114" i="35"/>
  <c r="H2114" i="35"/>
  <c r="J2113" i="35"/>
  <c r="H2113" i="35"/>
  <c r="J2112" i="35"/>
  <c r="H2112" i="35"/>
  <c r="J2111" i="35"/>
  <c r="H2111" i="35"/>
  <c r="J2110" i="35"/>
  <c r="H2110" i="35"/>
  <c r="J2109" i="35"/>
  <c r="H2109" i="35"/>
  <c r="J2108" i="35"/>
  <c r="H2108" i="35"/>
  <c r="J2107" i="35"/>
  <c r="H2107" i="35"/>
  <c r="J2106" i="35"/>
  <c r="H2106" i="35"/>
  <c r="J2105" i="35"/>
  <c r="H2105" i="35"/>
  <c r="J2104" i="35"/>
  <c r="H2104" i="35"/>
  <c r="J2103" i="35"/>
  <c r="H2103" i="35"/>
  <c r="J2102" i="35"/>
  <c r="H2102" i="35"/>
  <c r="J2101" i="35"/>
  <c r="H2101" i="35"/>
  <c r="J2100" i="35"/>
  <c r="H2100" i="35"/>
  <c r="J2099" i="35"/>
  <c r="H2099" i="35"/>
  <c r="J2098" i="35"/>
  <c r="H2098" i="35"/>
  <c r="J2097" i="35"/>
  <c r="H2097" i="35"/>
  <c r="J2096" i="35"/>
  <c r="H2096" i="35"/>
  <c r="J2095" i="35"/>
  <c r="H2095" i="35"/>
  <c r="J2094" i="35"/>
  <c r="H2094" i="35"/>
  <c r="J2093" i="35"/>
  <c r="H2093" i="35"/>
  <c r="J2092" i="35"/>
  <c r="H2092" i="35"/>
  <c r="J2091" i="35"/>
  <c r="H2091" i="35"/>
  <c r="J2090" i="35"/>
  <c r="H2090" i="35"/>
  <c r="J2089" i="35"/>
  <c r="H2089" i="35"/>
  <c r="J2088" i="35"/>
  <c r="H2088" i="35"/>
  <c r="J2087" i="35"/>
  <c r="H2087" i="35"/>
  <c r="J2086" i="35"/>
  <c r="H2086" i="35"/>
  <c r="J2085" i="35"/>
  <c r="H2085" i="35"/>
  <c r="J2084" i="35"/>
  <c r="H2084" i="35"/>
  <c r="J2083" i="35"/>
  <c r="H2083" i="35"/>
  <c r="J2082" i="35"/>
  <c r="H2082" i="35"/>
  <c r="J2081" i="35"/>
  <c r="H2081" i="35"/>
  <c r="J2080" i="35"/>
  <c r="H2080" i="35"/>
  <c r="J2079" i="35"/>
  <c r="H2079" i="35"/>
  <c r="J2078" i="35"/>
  <c r="H2078" i="35"/>
  <c r="J2077" i="35"/>
  <c r="H2077" i="35"/>
  <c r="J2076" i="35"/>
  <c r="H2076" i="35"/>
  <c r="J2075" i="35"/>
  <c r="H2075" i="35"/>
  <c r="J2074" i="35"/>
  <c r="H2074" i="35"/>
  <c r="J2073" i="35"/>
  <c r="H2073" i="35"/>
  <c r="J2072" i="35"/>
  <c r="H2072" i="35"/>
  <c r="J2071" i="35"/>
  <c r="H2071" i="35"/>
  <c r="J2070" i="35"/>
  <c r="H2070" i="35"/>
  <c r="J2069" i="35"/>
  <c r="H2069" i="35"/>
  <c r="J2068" i="35"/>
  <c r="H2068" i="35"/>
  <c r="J2067" i="35"/>
  <c r="H2067" i="35"/>
  <c r="J2066" i="35"/>
  <c r="H2066" i="35"/>
  <c r="J2065" i="35"/>
  <c r="H2065" i="35"/>
  <c r="J2064" i="35"/>
  <c r="H2064" i="35"/>
  <c r="J2063" i="35"/>
  <c r="H2063" i="35"/>
  <c r="J2062" i="35"/>
  <c r="H2062" i="35"/>
  <c r="J2061" i="35"/>
  <c r="H2061" i="35"/>
  <c r="J2060" i="35"/>
  <c r="H2060" i="35"/>
  <c r="J2059" i="35"/>
  <c r="H2059" i="35"/>
  <c r="J2058" i="35"/>
  <c r="H2058" i="35"/>
  <c r="J2057" i="35"/>
  <c r="H2057" i="35"/>
  <c r="J2056" i="35"/>
  <c r="H2056" i="35"/>
  <c r="J2055" i="35"/>
  <c r="H2055" i="35"/>
  <c r="J2054" i="35"/>
  <c r="H2054" i="35"/>
  <c r="J2053" i="35"/>
  <c r="H2053" i="35"/>
  <c r="J2052" i="35"/>
  <c r="H2052" i="35"/>
  <c r="J2051" i="35"/>
  <c r="H2051" i="35"/>
  <c r="J2050" i="35"/>
  <c r="H2050" i="35"/>
  <c r="J2049" i="35"/>
  <c r="H2049" i="35"/>
  <c r="J2048" i="35"/>
  <c r="H2048" i="35"/>
  <c r="J2047" i="35"/>
  <c r="H2047" i="35"/>
  <c r="J2046" i="35"/>
  <c r="H2046" i="35"/>
  <c r="J2045" i="35"/>
  <c r="H2045" i="35"/>
  <c r="J2044" i="35"/>
  <c r="H2044" i="35"/>
  <c r="J2043" i="35"/>
  <c r="H2043" i="35"/>
  <c r="J2042" i="35"/>
  <c r="H2042" i="35"/>
  <c r="J2041" i="35"/>
  <c r="H2041" i="35"/>
  <c r="J2040" i="35"/>
  <c r="H2040" i="35"/>
  <c r="J2039" i="35"/>
  <c r="H2039" i="35"/>
  <c r="J2038" i="35"/>
  <c r="H2038" i="35"/>
  <c r="J2037" i="35"/>
  <c r="H2037" i="35"/>
  <c r="J2036" i="35"/>
  <c r="H2036" i="35"/>
  <c r="J2035" i="35"/>
  <c r="H2035" i="35"/>
  <c r="J2034" i="35"/>
  <c r="H2034" i="35"/>
  <c r="J2033" i="35"/>
  <c r="H2033" i="35"/>
  <c r="J2032" i="35"/>
  <c r="H2032" i="35"/>
  <c r="J2031" i="35"/>
  <c r="H2031" i="35"/>
  <c r="J2030" i="35"/>
  <c r="H2030" i="35"/>
  <c r="J2029" i="35"/>
  <c r="H2029" i="35"/>
  <c r="J2028" i="35"/>
  <c r="H2028" i="35"/>
  <c r="J2027" i="35"/>
  <c r="H2027" i="35"/>
  <c r="J2026" i="35"/>
  <c r="H2026" i="35"/>
  <c r="J2025" i="35"/>
  <c r="H2025" i="35"/>
  <c r="J2024" i="35"/>
  <c r="H2024" i="35"/>
  <c r="J2023" i="35"/>
  <c r="H2023" i="35"/>
  <c r="J2022" i="35"/>
  <c r="H2022" i="35"/>
  <c r="J2021" i="35"/>
  <c r="H2021" i="35"/>
  <c r="J2020" i="35"/>
  <c r="H2020" i="35"/>
  <c r="J2019" i="35"/>
  <c r="H2019" i="35"/>
  <c r="J2018" i="35"/>
  <c r="H2018" i="35"/>
  <c r="J2017" i="35"/>
  <c r="H2017" i="35"/>
  <c r="J2016" i="35"/>
  <c r="H2016" i="35"/>
  <c r="J2015" i="35"/>
  <c r="H2015" i="35"/>
  <c r="J2014" i="35"/>
  <c r="H2014" i="35"/>
  <c r="J2013" i="35"/>
  <c r="H2013" i="35"/>
  <c r="J2012" i="35"/>
  <c r="H2012" i="35"/>
  <c r="J2011" i="35"/>
  <c r="H2011" i="35"/>
  <c r="J2010" i="35"/>
  <c r="H2010" i="35"/>
  <c r="J2009" i="35"/>
  <c r="H2009" i="35"/>
  <c r="J2008" i="35"/>
  <c r="H2008" i="35"/>
  <c r="J2007" i="35"/>
  <c r="H2007" i="35"/>
  <c r="J2006" i="35"/>
  <c r="H2006" i="35"/>
  <c r="J2005" i="35"/>
  <c r="H2005" i="35"/>
  <c r="J2004" i="35"/>
  <c r="H2004" i="35"/>
  <c r="J2003" i="35"/>
  <c r="H2003" i="35"/>
  <c r="J2002" i="35"/>
  <c r="H2002" i="35"/>
  <c r="J2001" i="35"/>
  <c r="H2001" i="35"/>
  <c r="J2000" i="35"/>
  <c r="H2000" i="35"/>
  <c r="J1999" i="35"/>
  <c r="H1999" i="35"/>
  <c r="J1998" i="35"/>
  <c r="H1998" i="35"/>
  <c r="J1997" i="35"/>
  <c r="H1997" i="35"/>
  <c r="J1996" i="35"/>
  <c r="H1996" i="35"/>
  <c r="J1995" i="35"/>
  <c r="H1995" i="35"/>
  <c r="J1994" i="35"/>
  <c r="H1994" i="35"/>
  <c r="J1993" i="35"/>
  <c r="H1993" i="35"/>
  <c r="J1992" i="35"/>
  <c r="H1992" i="35"/>
  <c r="J1991" i="35"/>
  <c r="H1991" i="35"/>
  <c r="J1990" i="35"/>
  <c r="H1990" i="35"/>
  <c r="J1989" i="35"/>
  <c r="H1989" i="35"/>
  <c r="J1988" i="35"/>
  <c r="H1988" i="35"/>
  <c r="J1987" i="35"/>
  <c r="H1987" i="35"/>
  <c r="J1986" i="35"/>
  <c r="H1986" i="35"/>
  <c r="J1985" i="35"/>
  <c r="H1985" i="35"/>
  <c r="J1984" i="35"/>
  <c r="H1984" i="35"/>
  <c r="J1983" i="35"/>
  <c r="H1983" i="35"/>
  <c r="J1982" i="35"/>
  <c r="H1982" i="35"/>
  <c r="J1981" i="35"/>
  <c r="H1981" i="35"/>
  <c r="J1980" i="35"/>
  <c r="H1980" i="35"/>
  <c r="J1979" i="35"/>
  <c r="H1979" i="35"/>
  <c r="J1978" i="35"/>
  <c r="H1978" i="35"/>
  <c r="J1977" i="35"/>
  <c r="H1977" i="35"/>
  <c r="J1976" i="35"/>
  <c r="H1976" i="35"/>
  <c r="J1975" i="35"/>
  <c r="H1975" i="35"/>
  <c r="J1974" i="35"/>
  <c r="H1974" i="35"/>
  <c r="J1973" i="35"/>
  <c r="H1973" i="35"/>
  <c r="J1972" i="35"/>
  <c r="H1972" i="35"/>
  <c r="J1971" i="35"/>
  <c r="H1971" i="35"/>
  <c r="J1970" i="35"/>
  <c r="H1970" i="35"/>
  <c r="J1969" i="35"/>
  <c r="H1969" i="35"/>
  <c r="J1968" i="35"/>
  <c r="H1968" i="35"/>
  <c r="J1967" i="35"/>
  <c r="H1967" i="35"/>
  <c r="J1966" i="35"/>
  <c r="H1966" i="35"/>
  <c r="J1965" i="35"/>
  <c r="H1965" i="35"/>
  <c r="J1964" i="35"/>
  <c r="H1964" i="35"/>
  <c r="J1963" i="35"/>
  <c r="H1963" i="35"/>
  <c r="J1962" i="35"/>
  <c r="H1962" i="35"/>
  <c r="J1961" i="35"/>
  <c r="H1961" i="35"/>
  <c r="J1960" i="35"/>
  <c r="H1960" i="35"/>
  <c r="J1959" i="35"/>
  <c r="H1959" i="35"/>
  <c r="J1958" i="35"/>
  <c r="H1958" i="35"/>
  <c r="J1957" i="35"/>
  <c r="H1957" i="35"/>
  <c r="J1956" i="35"/>
  <c r="H1956" i="35"/>
  <c r="J1955" i="35"/>
  <c r="H1955" i="35"/>
  <c r="J1954" i="35"/>
  <c r="H1954" i="35"/>
  <c r="J1953" i="35"/>
  <c r="H1953" i="35"/>
  <c r="J1952" i="35"/>
  <c r="H1952" i="35"/>
  <c r="J1951" i="35"/>
  <c r="H1951" i="35"/>
  <c r="J1950" i="35"/>
  <c r="H1950" i="35"/>
  <c r="J1949" i="35"/>
  <c r="H1949" i="35"/>
  <c r="J1948" i="35"/>
  <c r="H1948" i="35"/>
  <c r="J1947" i="35"/>
  <c r="H1947" i="35"/>
  <c r="J1946" i="35"/>
  <c r="H1946" i="35"/>
  <c r="J1945" i="35"/>
  <c r="H1945" i="35"/>
  <c r="J1944" i="35"/>
  <c r="H1944" i="35"/>
  <c r="J1943" i="35"/>
  <c r="H1943" i="35"/>
  <c r="J1942" i="35"/>
  <c r="H1942" i="35"/>
  <c r="J1941" i="35"/>
  <c r="H1941" i="35"/>
  <c r="J1940" i="35"/>
  <c r="H1940" i="35"/>
  <c r="J1939" i="35"/>
  <c r="H1939" i="35"/>
  <c r="J1938" i="35"/>
  <c r="H1938" i="35"/>
  <c r="J1937" i="35"/>
  <c r="H1937" i="35"/>
  <c r="J1936" i="35"/>
  <c r="H1936" i="35"/>
  <c r="J1935" i="35"/>
  <c r="H1935" i="35"/>
  <c r="J1934" i="35"/>
  <c r="H1934" i="35"/>
  <c r="J1933" i="35"/>
  <c r="H1933" i="35"/>
  <c r="J1932" i="35"/>
  <c r="H1932" i="35"/>
  <c r="J1931" i="35"/>
  <c r="H1931" i="35"/>
  <c r="J1930" i="35"/>
  <c r="H1930" i="35"/>
  <c r="J1929" i="35"/>
  <c r="H1929" i="35"/>
  <c r="J1928" i="35"/>
  <c r="H1928" i="35"/>
  <c r="J1927" i="35"/>
  <c r="H1927" i="35"/>
  <c r="J1926" i="35"/>
  <c r="H1926" i="35"/>
  <c r="J1925" i="35"/>
  <c r="H1925" i="35"/>
  <c r="J1924" i="35"/>
  <c r="H1924" i="35"/>
  <c r="J1923" i="35"/>
  <c r="H1923" i="35"/>
  <c r="J1922" i="35"/>
  <c r="H1922" i="35"/>
  <c r="J1921" i="35"/>
  <c r="H1921" i="35"/>
  <c r="J1920" i="35"/>
  <c r="H1920" i="35"/>
  <c r="J1919" i="35"/>
  <c r="H1919" i="35"/>
  <c r="J1918" i="35"/>
  <c r="H1918" i="35"/>
  <c r="J1917" i="35"/>
  <c r="H1917" i="35"/>
  <c r="J1916" i="35"/>
  <c r="H1916" i="35"/>
  <c r="J1915" i="35"/>
  <c r="H1915" i="35"/>
  <c r="J1914" i="35"/>
  <c r="H1914" i="35"/>
  <c r="J1913" i="35"/>
  <c r="H1913" i="35"/>
  <c r="J1912" i="35"/>
  <c r="H1912" i="35"/>
  <c r="J1911" i="35"/>
  <c r="H1911" i="35"/>
  <c r="J1910" i="35"/>
  <c r="H1910" i="35"/>
  <c r="J1909" i="35"/>
  <c r="H1909" i="35"/>
  <c r="J1908" i="35"/>
  <c r="H1908" i="35"/>
  <c r="J1907" i="35"/>
  <c r="H1907" i="35"/>
  <c r="J1906" i="35"/>
  <c r="H1906" i="35"/>
  <c r="J1905" i="35"/>
  <c r="H1905" i="35"/>
  <c r="J1904" i="35"/>
  <c r="H1904" i="35"/>
  <c r="J1903" i="35"/>
  <c r="H1903" i="35"/>
  <c r="J1902" i="35"/>
  <c r="H1902" i="35"/>
  <c r="J1901" i="35"/>
  <c r="H1901" i="35"/>
  <c r="J1900" i="35"/>
  <c r="H1900" i="35"/>
  <c r="J1899" i="35"/>
  <c r="H1899" i="35"/>
  <c r="J1898" i="35"/>
  <c r="H1898" i="35"/>
  <c r="J1897" i="35"/>
  <c r="H1897" i="35"/>
  <c r="J1896" i="35"/>
  <c r="H1896" i="35"/>
  <c r="J1895" i="35"/>
  <c r="H1895" i="35"/>
  <c r="J1894" i="35"/>
  <c r="H1894" i="35"/>
  <c r="J1893" i="35"/>
  <c r="H1893" i="35"/>
  <c r="J1892" i="35"/>
  <c r="H1892" i="35"/>
  <c r="J1891" i="35"/>
  <c r="H1891" i="35"/>
  <c r="J1890" i="35"/>
  <c r="H1890" i="35"/>
  <c r="J1889" i="35"/>
  <c r="H1889" i="35"/>
  <c r="J1888" i="35"/>
  <c r="H1888" i="35"/>
  <c r="J1887" i="35"/>
  <c r="H1887" i="35"/>
  <c r="J1886" i="35"/>
  <c r="H1886" i="35"/>
  <c r="J1885" i="35"/>
  <c r="H1885" i="35"/>
  <c r="J1884" i="35"/>
  <c r="H1884" i="35"/>
  <c r="J1883" i="35"/>
  <c r="H1883" i="35"/>
  <c r="J1882" i="35"/>
  <c r="H1882" i="35"/>
  <c r="J1881" i="35"/>
  <c r="H1881" i="35"/>
  <c r="J1880" i="35"/>
  <c r="H1880" i="35"/>
  <c r="J1879" i="35"/>
  <c r="H1879" i="35"/>
  <c r="J1878" i="35"/>
  <c r="H1878" i="35"/>
  <c r="J1877" i="35"/>
  <c r="H1877" i="35"/>
  <c r="J1876" i="35"/>
  <c r="H1876" i="35"/>
  <c r="J1875" i="35"/>
  <c r="H1875" i="35"/>
  <c r="J1874" i="35"/>
  <c r="H1874" i="35"/>
  <c r="J1873" i="35"/>
  <c r="H1873" i="35"/>
  <c r="J1872" i="35"/>
  <c r="H1872" i="35"/>
  <c r="J1871" i="35"/>
  <c r="H1871" i="35"/>
  <c r="J1870" i="35"/>
  <c r="H1870" i="35"/>
  <c r="J1869" i="35"/>
  <c r="H1869" i="35"/>
  <c r="J1868" i="35"/>
  <c r="H1868" i="35"/>
  <c r="J1867" i="35"/>
  <c r="H1867" i="35"/>
  <c r="J1866" i="35"/>
  <c r="H1866" i="35"/>
  <c r="J1865" i="35"/>
  <c r="H1865" i="35"/>
  <c r="J1864" i="35"/>
  <c r="H1864" i="35"/>
  <c r="J1863" i="35"/>
  <c r="H1863" i="35"/>
  <c r="J1862" i="35"/>
  <c r="H1862" i="35"/>
  <c r="J1861" i="35"/>
  <c r="H1861" i="35"/>
  <c r="J1860" i="35"/>
  <c r="H1860" i="35"/>
  <c r="J1859" i="35"/>
  <c r="H1859" i="35"/>
  <c r="J1858" i="35"/>
  <c r="H1858" i="35"/>
  <c r="J1857" i="35"/>
  <c r="H1857" i="35"/>
  <c r="J1856" i="35"/>
  <c r="H1856" i="35"/>
  <c r="J1855" i="35"/>
  <c r="H1855" i="35"/>
  <c r="J1854" i="35"/>
  <c r="H1854" i="35"/>
  <c r="J1853" i="35"/>
  <c r="H1853" i="35"/>
  <c r="J1852" i="35"/>
  <c r="H1852" i="35"/>
  <c r="J1851" i="35"/>
  <c r="H1851" i="35"/>
  <c r="J1850" i="35"/>
  <c r="H1850" i="35"/>
  <c r="J1849" i="35"/>
  <c r="H1849" i="35"/>
  <c r="J1848" i="35"/>
  <c r="H1848" i="35"/>
  <c r="J1847" i="35"/>
  <c r="H1847" i="35"/>
  <c r="J1846" i="35"/>
  <c r="H1846" i="35"/>
  <c r="J1845" i="35"/>
  <c r="H1845" i="35"/>
  <c r="J1844" i="35"/>
  <c r="H1844" i="35"/>
  <c r="J1843" i="35"/>
  <c r="H1843" i="35"/>
  <c r="J1842" i="35"/>
  <c r="H1842" i="35"/>
  <c r="J1841" i="35"/>
  <c r="H1841" i="35"/>
  <c r="J1840" i="35"/>
  <c r="H1840" i="35"/>
  <c r="J1839" i="35"/>
  <c r="H1839" i="35"/>
  <c r="J1838" i="35"/>
  <c r="H1838" i="35"/>
  <c r="J1837" i="35"/>
  <c r="H1837" i="35"/>
  <c r="J1836" i="35"/>
  <c r="H1836" i="35"/>
  <c r="J1835" i="35"/>
  <c r="H1835" i="35"/>
  <c r="J1834" i="35"/>
  <c r="H1834" i="35"/>
  <c r="J1833" i="35"/>
  <c r="H1833" i="35"/>
  <c r="J1832" i="35"/>
  <c r="H1832" i="35"/>
  <c r="J1831" i="35"/>
  <c r="H1831" i="35"/>
  <c r="J1830" i="35"/>
  <c r="H1830" i="35"/>
  <c r="J1829" i="35"/>
  <c r="H1829" i="35"/>
  <c r="J1828" i="35"/>
  <c r="H1828" i="35"/>
  <c r="J1827" i="35"/>
  <c r="H1827" i="35"/>
  <c r="J1826" i="35"/>
  <c r="H1826" i="35"/>
  <c r="J1825" i="35"/>
  <c r="H1825" i="35"/>
  <c r="J1824" i="35"/>
  <c r="H1824" i="35"/>
  <c r="J1823" i="35"/>
  <c r="H1823" i="35"/>
  <c r="J1822" i="35"/>
  <c r="H1822" i="35"/>
  <c r="J1821" i="35"/>
  <c r="H1821" i="35"/>
  <c r="J1820" i="35"/>
  <c r="H1820" i="35"/>
  <c r="J1819" i="35"/>
  <c r="H1819" i="35"/>
  <c r="J1818" i="35"/>
  <c r="H1818" i="35"/>
  <c r="J1817" i="35"/>
  <c r="H1817" i="35"/>
  <c r="J1816" i="35"/>
  <c r="H1816" i="35"/>
  <c r="J1815" i="35"/>
  <c r="H1815" i="35"/>
  <c r="J1814" i="35"/>
  <c r="H1814" i="35"/>
  <c r="J1813" i="35"/>
  <c r="H1813" i="35"/>
  <c r="J1812" i="35"/>
  <c r="H1812" i="35"/>
  <c r="J1811" i="35"/>
  <c r="H1811" i="35"/>
  <c r="J1810" i="35"/>
  <c r="H1810" i="35"/>
  <c r="J1809" i="35"/>
  <c r="H1809" i="35"/>
  <c r="J1808" i="35"/>
  <c r="H1808" i="35"/>
  <c r="J1807" i="35"/>
  <c r="H1807" i="35"/>
  <c r="J1806" i="35"/>
  <c r="H1806" i="35"/>
  <c r="J1805" i="35"/>
  <c r="H1805" i="35"/>
  <c r="J1804" i="35"/>
  <c r="H1804" i="35"/>
  <c r="J1803" i="35"/>
  <c r="H1803" i="35"/>
  <c r="J1802" i="35"/>
  <c r="H1802" i="35"/>
  <c r="J1801" i="35"/>
  <c r="H1801" i="35"/>
  <c r="J1800" i="35"/>
  <c r="H1800" i="35"/>
  <c r="J1799" i="35"/>
  <c r="H1799" i="35"/>
  <c r="J1798" i="35"/>
  <c r="H1798" i="35"/>
  <c r="J1797" i="35"/>
  <c r="H1797" i="35"/>
  <c r="J1796" i="35"/>
  <c r="H1796" i="35"/>
  <c r="J1795" i="35"/>
  <c r="H1795" i="35"/>
  <c r="J1794" i="35"/>
  <c r="H1794" i="35"/>
  <c r="J1793" i="35"/>
  <c r="H1793" i="35"/>
  <c r="J1792" i="35"/>
  <c r="H1792" i="35"/>
  <c r="J1791" i="35"/>
  <c r="H1791" i="35"/>
  <c r="J1790" i="35"/>
  <c r="H1790" i="35"/>
  <c r="J1789" i="35"/>
  <c r="H1789" i="35"/>
  <c r="J1788" i="35"/>
  <c r="H1788" i="35"/>
  <c r="J1787" i="35"/>
  <c r="H1787" i="35"/>
  <c r="J1786" i="35"/>
  <c r="H1786" i="35"/>
  <c r="J1785" i="35"/>
  <c r="H1785" i="35"/>
  <c r="J1784" i="35"/>
  <c r="H1784" i="35"/>
  <c r="J1783" i="35"/>
  <c r="H1783" i="35"/>
  <c r="J1782" i="35"/>
  <c r="H1782" i="35"/>
  <c r="J1781" i="35"/>
  <c r="H1781" i="35"/>
  <c r="J1780" i="35"/>
  <c r="H1780" i="35"/>
  <c r="J1779" i="35"/>
  <c r="H1779" i="35"/>
  <c r="J1778" i="35"/>
  <c r="H1778" i="35"/>
  <c r="J1777" i="35"/>
  <c r="H1777" i="35"/>
  <c r="J1776" i="35"/>
  <c r="H1776" i="35"/>
  <c r="J1775" i="35"/>
  <c r="H1775" i="35"/>
  <c r="J1774" i="35"/>
  <c r="H1774" i="35"/>
  <c r="J1773" i="35"/>
  <c r="H1773" i="35"/>
  <c r="J1772" i="35"/>
  <c r="H1772" i="35"/>
  <c r="J1771" i="35"/>
  <c r="H1771" i="35"/>
  <c r="J1770" i="35"/>
  <c r="H1770" i="35"/>
  <c r="J1769" i="35"/>
  <c r="H1769" i="35"/>
  <c r="J1768" i="35"/>
  <c r="H1768" i="35"/>
  <c r="J1767" i="35"/>
  <c r="H1767" i="35"/>
  <c r="J1766" i="35"/>
  <c r="H1766" i="35"/>
  <c r="J1765" i="35"/>
  <c r="H1765" i="35"/>
  <c r="J1764" i="35"/>
  <c r="H1764" i="35"/>
  <c r="J1763" i="35"/>
  <c r="H1763" i="35"/>
  <c r="J1762" i="35"/>
  <c r="H1762" i="35"/>
  <c r="J1761" i="35"/>
  <c r="H1761" i="35"/>
  <c r="J1760" i="35"/>
  <c r="H1760" i="35"/>
  <c r="J1759" i="35"/>
  <c r="H1759" i="35"/>
  <c r="J1758" i="35"/>
  <c r="H1758" i="35"/>
  <c r="J1757" i="35"/>
  <c r="H1757" i="35"/>
  <c r="J1756" i="35"/>
  <c r="H1756" i="35"/>
  <c r="J1755" i="35"/>
  <c r="H1755" i="35"/>
  <c r="J1754" i="35"/>
  <c r="H1754" i="35"/>
  <c r="J1753" i="35"/>
  <c r="H1753" i="35"/>
  <c r="J1752" i="35"/>
  <c r="H1752" i="35"/>
  <c r="J1751" i="35"/>
  <c r="H1751" i="35"/>
  <c r="J1750" i="35"/>
  <c r="H1750" i="35"/>
  <c r="J1749" i="35"/>
  <c r="H1749" i="35"/>
  <c r="J1748" i="35"/>
  <c r="H1748" i="35"/>
  <c r="J1747" i="35"/>
  <c r="H1747" i="35"/>
  <c r="J1746" i="35"/>
  <c r="H1746" i="35"/>
  <c r="J1745" i="35"/>
  <c r="H1745" i="35"/>
  <c r="J1744" i="35"/>
  <c r="H1744" i="35"/>
  <c r="J1743" i="35"/>
  <c r="H1743" i="35"/>
  <c r="J1742" i="35"/>
  <c r="H1742" i="35"/>
  <c r="J1741" i="35"/>
  <c r="H1741" i="35"/>
  <c r="J1740" i="35"/>
  <c r="H1740" i="35"/>
  <c r="J1739" i="35"/>
  <c r="H1739" i="35"/>
  <c r="J1738" i="35"/>
  <c r="H1738" i="35"/>
  <c r="J1737" i="35"/>
  <c r="H1737" i="35"/>
  <c r="J1736" i="35"/>
  <c r="H1736" i="35"/>
  <c r="J1735" i="35"/>
  <c r="H1735" i="35"/>
  <c r="J1734" i="35"/>
  <c r="H1734" i="35"/>
  <c r="J1733" i="35"/>
  <c r="H1733" i="35"/>
  <c r="J1732" i="35"/>
  <c r="H1732" i="35"/>
  <c r="J1731" i="35"/>
  <c r="H1731" i="35"/>
  <c r="J1730" i="35"/>
  <c r="H1730" i="35"/>
  <c r="J1729" i="35"/>
  <c r="H1729" i="35"/>
  <c r="J1728" i="35"/>
  <c r="H1728" i="35"/>
  <c r="J1727" i="35"/>
  <c r="H1727" i="35"/>
  <c r="J1726" i="35"/>
  <c r="H1726" i="35"/>
  <c r="J1725" i="35"/>
  <c r="H1725" i="35"/>
  <c r="J1724" i="35"/>
  <c r="H1724" i="35"/>
  <c r="J1723" i="35"/>
  <c r="H1723" i="35"/>
  <c r="J1722" i="35"/>
  <c r="H1722" i="35"/>
  <c r="J1721" i="35"/>
  <c r="H1721" i="35"/>
  <c r="J1720" i="35"/>
  <c r="H1720" i="35"/>
  <c r="J1719" i="35"/>
  <c r="H1719" i="35"/>
  <c r="J1718" i="35"/>
  <c r="H1718" i="35"/>
  <c r="J1717" i="35"/>
  <c r="H1717" i="35"/>
  <c r="J1716" i="35"/>
  <c r="H1716" i="35"/>
  <c r="J1715" i="35"/>
  <c r="H1715" i="35"/>
  <c r="J1714" i="35"/>
  <c r="H1714" i="35"/>
  <c r="J1713" i="35"/>
  <c r="H1713" i="35"/>
  <c r="J1712" i="35"/>
  <c r="H1712" i="35"/>
  <c r="J1711" i="35"/>
  <c r="H1711" i="35"/>
  <c r="J1710" i="35"/>
  <c r="H1710" i="35"/>
  <c r="J1709" i="35"/>
  <c r="H1709" i="35"/>
  <c r="J1708" i="35"/>
  <c r="H1708" i="35"/>
  <c r="J1707" i="35"/>
  <c r="H1707" i="35"/>
  <c r="J1706" i="35"/>
  <c r="H1706" i="35"/>
  <c r="J1705" i="35"/>
  <c r="H1705" i="35"/>
  <c r="J1704" i="35"/>
  <c r="H1704" i="35"/>
  <c r="J1703" i="35"/>
  <c r="H1703" i="35"/>
  <c r="J1702" i="35"/>
  <c r="H1702" i="35"/>
  <c r="J1701" i="35"/>
  <c r="H1701" i="35"/>
  <c r="J1700" i="35"/>
  <c r="H1700" i="35"/>
  <c r="J1699" i="35"/>
  <c r="H1699" i="35"/>
  <c r="J1698" i="35"/>
  <c r="H1698" i="35"/>
  <c r="J1697" i="35"/>
  <c r="H1697" i="35"/>
  <c r="J1696" i="35"/>
  <c r="H1696" i="35"/>
  <c r="J1695" i="35"/>
  <c r="H1695" i="35"/>
  <c r="J1694" i="35"/>
  <c r="H1694" i="35"/>
  <c r="J1693" i="35"/>
  <c r="H1693" i="35"/>
  <c r="J1692" i="35"/>
  <c r="H1692" i="35"/>
  <c r="J1691" i="35"/>
  <c r="H1691" i="35"/>
  <c r="J1690" i="35"/>
  <c r="H1690" i="35"/>
  <c r="J1689" i="35"/>
  <c r="H1689" i="35"/>
  <c r="J1688" i="35"/>
  <c r="H1688" i="35"/>
  <c r="J1687" i="35"/>
  <c r="H1687" i="35"/>
  <c r="J1686" i="35"/>
  <c r="H1686" i="35"/>
  <c r="J1685" i="35"/>
  <c r="H1685" i="35"/>
  <c r="J1684" i="35"/>
  <c r="H1684" i="35"/>
  <c r="J1683" i="35"/>
  <c r="H1683" i="35"/>
  <c r="J1682" i="35"/>
  <c r="H1682" i="35"/>
  <c r="J1681" i="35"/>
  <c r="H1681" i="35"/>
  <c r="J1680" i="35"/>
  <c r="H1680" i="35"/>
  <c r="J1679" i="35"/>
  <c r="H1679" i="35"/>
  <c r="J1678" i="35"/>
  <c r="H1678" i="35"/>
  <c r="J1677" i="35"/>
  <c r="H1677" i="35"/>
  <c r="J1676" i="35"/>
  <c r="H1676" i="35"/>
  <c r="J1675" i="35"/>
  <c r="H1675" i="35"/>
  <c r="J1674" i="35"/>
  <c r="H1674" i="35"/>
  <c r="J1673" i="35"/>
  <c r="H1673" i="35"/>
  <c r="J1672" i="35"/>
  <c r="H1672" i="35"/>
  <c r="J1671" i="35"/>
  <c r="H1671" i="35"/>
  <c r="J1670" i="35"/>
  <c r="H1670" i="35"/>
  <c r="J1669" i="35"/>
  <c r="H1669" i="35"/>
  <c r="J1668" i="35"/>
  <c r="H1668" i="35"/>
  <c r="J1667" i="35"/>
  <c r="H1667" i="35"/>
  <c r="J1666" i="35"/>
  <c r="H1666" i="35"/>
  <c r="J1665" i="35"/>
  <c r="H1665" i="35"/>
  <c r="J1664" i="35"/>
  <c r="H1664" i="35"/>
  <c r="J1663" i="35"/>
  <c r="H1663" i="35"/>
  <c r="J1662" i="35"/>
  <c r="H1662" i="35"/>
  <c r="J1661" i="35"/>
  <c r="H1661" i="35"/>
  <c r="J1660" i="35"/>
  <c r="H1660" i="35"/>
  <c r="J1659" i="35"/>
  <c r="H1659" i="35"/>
  <c r="J1658" i="35"/>
  <c r="H1658" i="35"/>
  <c r="J1657" i="35"/>
  <c r="H1657" i="35"/>
  <c r="J1656" i="35"/>
  <c r="H1656" i="35"/>
  <c r="J1655" i="35"/>
  <c r="H1655" i="35"/>
  <c r="J1654" i="35"/>
  <c r="H1654" i="35"/>
  <c r="J1653" i="35"/>
  <c r="H1653" i="35"/>
  <c r="J1652" i="35"/>
  <c r="H1652" i="35"/>
  <c r="J1651" i="35"/>
  <c r="H1651" i="35"/>
  <c r="J1650" i="35"/>
  <c r="H1650" i="35"/>
  <c r="J1649" i="35"/>
  <c r="H1649" i="35"/>
  <c r="J1648" i="35"/>
  <c r="H1648" i="35"/>
  <c r="J1647" i="35"/>
  <c r="H1647" i="35"/>
  <c r="J1646" i="35"/>
  <c r="H1646" i="35"/>
  <c r="J1645" i="35"/>
  <c r="H1645" i="35"/>
  <c r="J1644" i="35"/>
  <c r="H1644" i="35"/>
  <c r="J1643" i="35"/>
  <c r="H1643" i="35"/>
  <c r="J1642" i="35"/>
  <c r="H1642" i="35"/>
  <c r="J1641" i="35"/>
  <c r="H1641" i="35"/>
  <c r="J1640" i="35"/>
  <c r="H1640" i="35"/>
  <c r="J1639" i="35"/>
  <c r="H1639" i="35"/>
  <c r="J1638" i="35"/>
  <c r="H1638" i="35"/>
  <c r="J1637" i="35"/>
  <c r="H1637" i="35"/>
  <c r="J1636" i="35"/>
  <c r="H1636" i="35"/>
  <c r="J1635" i="35"/>
  <c r="H1635" i="35"/>
  <c r="J1634" i="35"/>
  <c r="H1634" i="35"/>
  <c r="J1633" i="35"/>
  <c r="H1633" i="35"/>
  <c r="J1632" i="35"/>
  <c r="H1632" i="35"/>
  <c r="J1631" i="35"/>
  <c r="H1631" i="35"/>
  <c r="J1630" i="35"/>
  <c r="H1630" i="35"/>
  <c r="J1629" i="35"/>
  <c r="H1629" i="35"/>
  <c r="J1628" i="35"/>
  <c r="H1628" i="35"/>
  <c r="J1627" i="35"/>
  <c r="H1627" i="35"/>
  <c r="J1626" i="35"/>
  <c r="H1626" i="35"/>
  <c r="J1625" i="35"/>
  <c r="H1625" i="35"/>
  <c r="J1624" i="35"/>
  <c r="H1624" i="35"/>
  <c r="J1623" i="35"/>
  <c r="H1623" i="35"/>
  <c r="J1622" i="35"/>
  <c r="H1622" i="35"/>
  <c r="J1621" i="35"/>
  <c r="H1621" i="35"/>
  <c r="J1620" i="35"/>
  <c r="H1620" i="35"/>
  <c r="J1619" i="35"/>
  <c r="H1619" i="35"/>
  <c r="J1618" i="35"/>
  <c r="H1618" i="35"/>
  <c r="J1617" i="35"/>
  <c r="H1617" i="35"/>
  <c r="J1616" i="35"/>
  <c r="H1616" i="35"/>
  <c r="J1615" i="35"/>
  <c r="H1615" i="35"/>
  <c r="J1614" i="35"/>
  <c r="H1614" i="35"/>
  <c r="J1613" i="35"/>
  <c r="H1613" i="35"/>
  <c r="J1612" i="35"/>
  <c r="H1612" i="35"/>
  <c r="J1611" i="35"/>
  <c r="H1611" i="35"/>
  <c r="J1610" i="35"/>
  <c r="H1610" i="35"/>
  <c r="J1609" i="35"/>
  <c r="H1609" i="35"/>
  <c r="J1608" i="35"/>
  <c r="H1608" i="35"/>
  <c r="J1607" i="35"/>
  <c r="H1607" i="35"/>
  <c r="J1606" i="35"/>
  <c r="H1606" i="35"/>
  <c r="J1605" i="35"/>
  <c r="H1605" i="35"/>
  <c r="J1604" i="35"/>
  <c r="H1604" i="35"/>
  <c r="J1603" i="35"/>
  <c r="H1603" i="35"/>
  <c r="J1602" i="35"/>
  <c r="H1602" i="35"/>
  <c r="J1601" i="35"/>
  <c r="H1601" i="35"/>
  <c r="J1600" i="35"/>
  <c r="H1600" i="35"/>
  <c r="J1599" i="35"/>
  <c r="H1599" i="35"/>
  <c r="J1598" i="35"/>
  <c r="H1598" i="35"/>
  <c r="J1597" i="35"/>
  <c r="H1597" i="35"/>
  <c r="J1596" i="35"/>
  <c r="H1596" i="35"/>
  <c r="J1595" i="35"/>
  <c r="H1595" i="35"/>
  <c r="J1594" i="35"/>
  <c r="H1594" i="35"/>
  <c r="J1593" i="35"/>
  <c r="H1593" i="35"/>
  <c r="J1592" i="35"/>
  <c r="H1592" i="35"/>
  <c r="J1591" i="35"/>
  <c r="H1591" i="35"/>
  <c r="J1590" i="35"/>
  <c r="H1590" i="35"/>
  <c r="J1589" i="35"/>
  <c r="H1589" i="35"/>
  <c r="J1588" i="35"/>
  <c r="H1588" i="35"/>
  <c r="J1587" i="35"/>
  <c r="H1587" i="35"/>
  <c r="J1586" i="35"/>
  <c r="H1586" i="35"/>
  <c r="J1585" i="35"/>
  <c r="H1585" i="35"/>
  <c r="J1584" i="35"/>
  <c r="H1584" i="35"/>
  <c r="J1583" i="35"/>
  <c r="H1583" i="35"/>
  <c r="J1582" i="35"/>
  <c r="H1582" i="35"/>
  <c r="J1581" i="35"/>
  <c r="H1581" i="35"/>
  <c r="J1580" i="35"/>
  <c r="H1580" i="35"/>
  <c r="J1579" i="35"/>
  <c r="H1579" i="35"/>
  <c r="J1578" i="35"/>
  <c r="H1578" i="35"/>
  <c r="J1577" i="35"/>
  <c r="H1577" i="35"/>
  <c r="J1576" i="35"/>
  <c r="H1576" i="35"/>
  <c r="J1575" i="35"/>
  <c r="H1575" i="35"/>
  <c r="J1574" i="35"/>
  <c r="H1574" i="35"/>
  <c r="J1573" i="35"/>
  <c r="H1573" i="35"/>
  <c r="J1572" i="35"/>
  <c r="H1572" i="35"/>
  <c r="J1571" i="35"/>
  <c r="H1571" i="35"/>
  <c r="J1570" i="35"/>
  <c r="H1570" i="35"/>
  <c r="J1569" i="35"/>
  <c r="H1569" i="35"/>
  <c r="J1568" i="35"/>
  <c r="H1568" i="35"/>
  <c r="J1567" i="35"/>
  <c r="H1567" i="35"/>
  <c r="J1566" i="35"/>
  <c r="H1566" i="35"/>
  <c r="J1565" i="35"/>
  <c r="H1565" i="35"/>
  <c r="J1564" i="35"/>
  <c r="H1564" i="35"/>
  <c r="J1563" i="35"/>
  <c r="H1563" i="35"/>
  <c r="J1562" i="35"/>
  <c r="H1562" i="35"/>
  <c r="J1561" i="35"/>
  <c r="H1561" i="35"/>
  <c r="J1560" i="35"/>
  <c r="H1560" i="35"/>
  <c r="J1559" i="35"/>
  <c r="H1559" i="35"/>
  <c r="J1558" i="35"/>
  <c r="H1558" i="35"/>
  <c r="J1557" i="35"/>
  <c r="H1557" i="35"/>
  <c r="J1556" i="35"/>
  <c r="H1556" i="35"/>
  <c r="J1555" i="35"/>
  <c r="H1555" i="35"/>
  <c r="J1554" i="35"/>
  <c r="H1554" i="35"/>
  <c r="J1553" i="35"/>
  <c r="H1553" i="35"/>
  <c r="J1552" i="35"/>
  <c r="H1552" i="35"/>
  <c r="J1551" i="35"/>
  <c r="H1551" i="35"/>
  <c r="J1550" i="35"/>
  <c r="H1550" i="35"/>
  <c r="J1549" i="35"/>
  <c r="H1549" i="35"/>
  <c r="J1548" i="35"/>
  <c r="H1548" i="35"/>
  <c r="J1547" i="35"/>
  <c r="H1547" i="35"/>
  <c r="J1546" i="35"/>
  <c r="H1546" i="35"/>
  <c r="J1545" i="35"/>
  <c r="H1545" i="35"/>
  <c r="J1544" i="35"/>
  <c r="H1544" i="35"/>
  <c r="J1543" i="35"/>
  <c r="H1543" i="35"/>
  <c r="J1542" i="35"/>
  <c r="H1542" i="35"/>
  <c r="J1541" i="35"/>
  <c r="H1541" i="35"/>
  <c r="J1540" i="35"/>
  <c r="H1540" i="35"/>
  <c r="J1539" i="35"/>
  <c r="H1539" i="35"/>
  <c r="J1538" i="35"/>
  <c r="H1538" i="35"/>
  <c r="J1537" i="35"/>
  <c r="H1537" i="35"/>
  <c r="J1536" i="35"/>
  <c r="H1536" i="35"/>
  <c r="J1535" i="35"/>
  <c r="H1535" i="35"/>
  <c r="J1534" i="35"/>
  <c r="H1534" i="35"/>
  <c r="J1533" i="35"/>
  <c r="H1533" i="35"/>
  <c r="J1532" i="35"/>
  <c r="H1532" i="35"/>
  <c r="J1531" i="35"/>
  <c r="H1531" i="35"/>
  <c r="J1530" i="35"/>
  <c r="H1530" i="35"/>
  <c r="J1529" i="35"/>
  <c r="H1529" i="35"/>
  <c r="J1528" i="35"/>
  <c r="H1528" i="35"/>
  <c r="J1527" i="35"/>
  <c r="H1527" i="35"/>
  <c r="J1526" i="35"/>
  <c r="H1526" i="35"/>
  <c r="J1525" i="35"/>
  <c r="H1525" i="35"/>
  <c r="J1524" i="35"/>
  <c r="H1524" i="35"/>
  <c r="J1523" i="35"/>
  <c r="H1523" i="35"/>
  <c r="J1522" i="35"/>
  <c r="H1522" i="35"/>
  <c r="J1521" i="35"/>
  <c r="H1521" i="35"/>
  <c r="J1520" i="35"/>
  <c r="H1520" i="35"/>
  <c r="J1519" i="35"/>
  <c r="H1519" i="35"/>
  <c r="J1518" i="35"/>
  <c r="H1518" i="35"/>
  <c r="J1517" i="35"/>
  <c r="H1517" i="35"/>
  <c r="J1516" i="35"/>
  <c r="H1516" i="35"/>
  <c r="J1515" i="35"/>
  <c r="H1515" i="35"/>
  <c r="J1514" i="35"/>
  <c r="H1514" i="35"/>
  <c r="J1513" i="35"/>
  <c r="H1513" i="35"/>
  <c r="J1512" i="35"/>
  <c r="H1512" i="35"/>
  <c r="J1511" i="35"/>
  <c r="H1511" i="35"/>
  <c r="J1510" i="35"/>
  <c r="H1510" i="35"/>
  <c r="J1509" i="35"/>
  <c r="H1509" i="35"/>
  <c r="J1508" i="35"/>
  <c r="H1508" i="35"/>
  <c r="J1507" i="35"/>
  <c r="H1507" i="35"/>
  <c r="J1506" i="35"/>
  <c r="H1506" i="35"/>
  <c r="J1505" i="35"/>
  <c r="H1505" i="35"/>
  <c r="J1504" i="35"/>
  <c r="H1504" i="35"/>
  <c r="J1503" i="35"/>
  <c r="H1503" i="35"/>
  <c r="J1502" i="35"/>
  <c r="H1502" i="35"/>
  <c r="J1501" i="35"/>
  <c r="H1501" i="35"/>
  <c r="J1500" i="35"/>
  <c r="H1500" i="35"/>
  <c r="J1499" i="35"/>
  <c r="H1499" i="35"/>
  <c r="J1498" i="35"/>
  <c r="H1498" i="35"/>
  <c r="J1497" i="35"/>
  <c r="H1497" i="35"/>
  <c r="J1496" i="35"/>
  <c r="H1496" i="35"/>
  <c r="J1495" i="35"/>
  <c r="H1495" i="35"/>
  <c r="J1494" i="35"/>
  <c r="H1494" i="35"/>
  <c r="J1493" i="35"/>
  <c r="H1493" i="35"/>
  <c r="J1492" i="35"/>
  <c r="H1492" i="35"/>
  <c r="J1491" i="35"/>
  <c r="H1491" i="35"/>
  <c r="J1490" i="35"/>
  <c r="H1490" i="35"/>
  <c r="J1489" i="35"/>
  <c r="H1489" i="35"/>
  <c r="J1488" i="35"/>
  <c r="H1488" i="35"/>
  <c r="J1487" i="35"/>
  <c r="H1487" i="35"/>
  <c r="J1486" i="35"/>
  <c r="H1486" i="35"/>
  <c r="J1485" i="35"/>
  <c r="H1485" i="35"/>
  <c r="J1484" i="35"/>
  <c r="H1484" i="35"/>
  <c r="J1483" i="35"/>
  <c r="H1483" i="35"/>
  <c r="J1482" i="35"/>
  <c r="H1482" i="35"/>
  <c r="J1481" i="35"/>
  <c r="H1481" i="35"/>
  <c r="J1480" i="35"/>
  <c r="H1480" i="35"/>
  <c r="J1479" i="35"/>
  <c r="H1479" i="35"/>
  <c r="J1478" i="35"/>
  <c r="H1478" i="35"/>
  <c r="J1477" i="35"/>
  <c r="H1477" i="35"/>
  <c r="J1476" i="35"/>
  <c r="H1476" i="35"/>
  <c r="J1475" i="35"/>
  <c r="H1475" i="35"/>
  <c r="J1474" i="35"/>
  <c r="H1474" i="35"/>
  <c r="J1473" i="35"/>
  <c r="H1473" i="35"/>
  <c r="J1472" i="35"/>
  <c r="H1472" i="35"/>
  <c r="J1471" i="35"/>
  <c r="H1471" i="35"/>
  <c r="J1470" i="35"/>
  <c r="H1470" i="35"/>
  <c r="J1469" i="35"/>
  <c r="H1469" i="35"/>
  <c r="J1468" i="35"/>
  <c r="H1468" i="35"/>
  <c r="J1467" i="35"/>
  <c r="H1467" i="35"/>
  <c r="J1466" i="35"/>
  <c r="H1466" i="35"/>
  <c r="J1465" i="35"/>
  <c r="H1465" i="35"/>
  <c r="J1464" i="35"/>
  <c r="H1464" i="35"/>
  <c r="J1463" i="35"/>
  <c r="H1463" i="35"/>
  <c r="J1462" i="35"/>
  <c r="H1462" i="35"/>
  <c r="J1461" i="35"/>
  <c r="H1461" i="35"/>
  <c r="J1460" i="35"/>
  <c r="H1460" i="35"/>
  <c r="J1459" i="35"/>
  <c r="H1459" i="35"/>
  <c r="J1458" i="35"/>
  <c r="H1458" i="35"/>
  <c r="J1457" i="35"/>
  <c r="H1457" i="35"/>
  <c r="J1456" i="35"/>
  <c r="H1456" i="35"/>
  <c r="J1455" i="35"/>
  <c r="H1455" i="35"/>
  <c r="J1454" i="35"/>
  <c r="H1454" i="35"/>
  <c r="J1453" i="35"/>
  <c r="H1453" i="35"/>
  <c r="J1452" i="35"/>
  <c r="H1452" i="35"/>
  <c r="J1451" i="35"/>
  <c r="H1451" i="35"/>
  <c r="J1450" i="35"/>
  <c r="H1450" i="35"/>
  <c r="J1449" i="35"/>
  <c r="H1449" i="35"/>
  <c r="J1448" i="35"/>
  <c r="H1448" i="35"/>
  <c r="J1447" i="35"/>
  <c r="H1447" i="35"/>
  <c r="J1446" i="35"/>
  <c r="H1446" i="35"/>
  <c r="J1445" i="35"/>
  <c r="H1445" i="35"/>
  <c r="J1444" i="35"/>
  <c r="H1444" i="35"/>
  <c r="J1443" i="35"/>
  <c r="H1443" i="35"/>
  <c r="J1442" i="35"/>
  <c r="H1442" i="35"/>
  <c r="J1441" i="35"/>
  <c r="H1441" i="35"/>
  <c r="J1440" i="35"/>
  <c r="H1440" i="35"/>
  <c r="J1439" i="35"/>
  <c r="H1439" i="35"/>
  <c r="J1438" i="35"/>
  <c r="H1438" i="35"/>
  <c r="J1437" i="35"/>
  <c r="H1437" i="35"/>
  <c r="J1436" i="35"/>
  <c r="H1436" i="35"/>
  <c r="J1435" i="35"/>
  <c r="H1435" i="35"/>
  <c r="J1434" i="35"/>
  <c r="H1434" i="35"/>
  <c r="J1433" i="35"/>
  <c r="H1433" i="35"/>
  <c r="J1432" i="35"/>
  <c r="H1432" i="35"/>
  <c r="J1431" i="35"/>
  <c r="H1431" i="35"/>
  <c r="J1430" i="35"/>
  <c r="H1430" i="35"/>
  <c r="J1429" i="35"/>
  <c r="H1429" i="35"/>
  <c r="J1428" i="35"/>
  <c r="H1428" i="35"/>
  <c r="J1427" i="35"/>
  <c r="H1427" i="35"/>
  <c r="J1426" i="35"/>
  <c r="H1426" i="35"/>
  <c r="J1425" i="35"/>
  <c r="H1425" i="35"/>
  <c r="J1424" i="35"/>
  <c r="H1424" i="35"/>
  <c r="J1423" i="35"/>
  <c r="H1423" i="35"/>
  <c r="J1422" i="35"/>
  <c r="H1422" i="35"/>
  <c r="J1421" i="35"/>
  <c r="H1421" i="35"/>
  <c r="J1420" i="35"/>
  <c r="H1420" i="35"/>
  <c r="J1419" i="35"/>
  <c r="H1419" i="35"/>
  <c r="J1418" i="35"/>
  <c r="H1418" i="35"/>
  <c r="J1417" i="35"/>
  <c r="H1417" i="35"/>
  <c r="J1416" i="35"/>
  <c r="H1416" i="35"/>
  <c r="J1415" i="35"/>
  <c r="H1415" i="35"/>
  <c r="J1414" i="35"/>
  <c r="H1414" i="35"/>
  <c r="J1413" i="35"/>
  <c r="H1413" i="35"/>
  <c r="J1412" i="35"/>
  <c r="H1412" i="35"/>
  <c r="J1411" i="35"/>
  <c r="H1411" i="35"/>
  <c r="J1410" i="35"/>
  <c r="H1410" i="35"/>
  <c r="J1409" i="35"/>
  <c r="H1409" i="35"/>
  <c r="J1408" i="35"/>
  <c r="H1408" i="35"/>
  <c r="J1407" i="35"/>
  <c r="H1407" i="35"/>
  <c r="J1406" i="35"/>
  <c r="H1406" i="35"/>
  <c r="J1405" i="35"/>
  <c r="H1405" i="35"/>
  <c r="J1404" i="35"/>
  <c r="H1404" i="35"/>
  <c r="J1403" i="35"/>
  <c r="H1403" i="35"/>
  <c r="J1402" i="35"/>
  <c r="H1402" i="35"/>
  <c r="J1401" i="35"/>
  <c r="H1401" i="35"/>
  <c r="J1400" i="35"/>
  <c r="H1400" i="35"/>
  <c r="J1399" i="35"/>
  <c r="H1399" i="35"/>
  <c r="J1398" i="35"/>
  <c r="H1398" i="35"/>
  <c r="J1397" i="35"/>
  <c r="H1397" i="35"/>
  <c r="J1396" i="35"/>
  <c r="H1396" i="35"/>
  <c r="J1395" i="35"/>
  <c r="H1395" i="35"/>
  <c r="J1394" i="35"/>
  <c r="H1394" i="35"/>
  <c r="J1393" i="35"/>
  <c r="H1393" i="35"/>
  <c r="J1392" i="35"/>
  <c r="H1392" i="35"/>
  <c r="J1391" i="35"/>
  <c r="H1391" i="35"/>
  <c r="J1390" i="35"/>
  <c r="H1390" i="35"/>
  <c r="J1389" i="35"/>
  <c r="H1389" i="35"/>
  <c r="J1388" i="35"/>
  <c r="H1388" i="35"/>
  <c r="J1387" i="35"/>
  <c r="H1387" i="35"/>
  <c r="J1386" i="35"/>
  <c r="H1386" i="35"/>
  <c r="J1385" i="35"/>
  <c r="H1385" i="35"/>
  <c r="J1384" i="35"/>
  <c r="H1384" i="35"/>
  <c r="J1383" i="35"/>
  <c r="H1383" i="35"/>
  <c r="J1382" i="35"/>
  <c r="H1382" i="35"/>
  <c r="J1381" i="35"/>
  <c r="H1381" i="35"/>
  <c r="J1380" i="35"/>
  <c r="H1380" i="35"/>
  <c r="J1379" i="35"/>
  <c r="H1379" i="35"/>
  <c r="J1378" i="35"/>
  <c r="H1378" i="35"/>
  <c r="J1377" i="35"/>
  <c r="H1377" i="35"/>
  <c r="J1376" i="35"/>
  <c r="H1376" i="35"/>
  <c r="J1375" i="35"/>
  <c r="H1375" i="35"/>
  <c r="J1374" i="35"/>
  <c r="H1374" i="35"/>
  <c r="J1373" i="35"/>
  <c r="H1373" i="35"/>
  <c r="J1372" i="35"/>
  <c r="H1372" i="35"/>
  <c r="J1371" i="35"/>
  <c r="H1371" i="35"/>
  <c r="J1370" i="35"/>
  <c r="H1370" i="35"/>
  <c r="J1369" i="35"/>
  <c r="H1369" i="35"/>
  <c r="J1368" i="35"/>
  <c r="H1368" i="35"/>
  <c r="J1367" i="35"/>
  <c r="H1367" i="35"/>
  <c r="J1366" i="35"/>
  <c r="H1366" i="35"/>
  <c r="J1365" i="35"/>
  <c r="H1365" i="35"/>
  <c r="J1364" i="35"/>
  <c r="H1364" i="35"/>
  <c r="J1363" i="35"/>
  <c r="H1363" i="35"/>
  <c r="J1362" i="35"/>
  <c r="H1362" i="35"/>
  <c r="J1361" i="35"/>
  <c r="H1361" i="35"/>
  <c r="J1360" i="35"/>
  <c r="H1360" i="35"/>
  <c r="J1359" i="35"/>
  <c r="H1359" i="35"/>
  <c r="J1358" i="35"/>
  <c r="H1358" i="35"/>
  <c r="J1357" i="35"/>
  <c r="H1357" i="35"/>
  <c r="J1356" i="35"/>
  <c r="H1356" i="35"/>
  <c r="J1355" i="35"/>
  <c r="H1355" i="35"/>
  <c r="J1354" i="35"/>
  <c r="H1354" i="35"/>
  <c r="J1353" i="35"/>
  <c r="H1353" i="35"/>
  <c r="J1352" i="35"/>
  <c r="H1352" i="35"/>
  <c r="J1351" i="35"/>
  <c r="H1351" i="35"/>
  <c r="J1350" i="35"/>
  <c r="H1350" i="35"/>
  <c r="J1349" i="35"/>
  <c r="H1349" i="35"/>
  <c r="J1348" i="35"/>
  <c r="H1348" i="35"/>
  <c r="J1347" i="35"/>
  <c r="H1347" i="35"/>
  <c r="J1346" i="35"/>
  <c r="H1346" i="35"/>
  <c r="J1345" i="35"/>
  <c r="H1345" i="35"/>
  <c r="J1344" i="35"/>
  <c r="H1344" i="35"/>
  <c r="J1343" i="35"/>
  <c r="H1343" i="35"/>
  <c r="J1342" i="35"/>
  <c r="H1342" i="35"/>
  <c r="J1341" i="35"/>
  <c r="H1341" i="35"/>
  <c r="J1340" i="35"/>
  <c r="H1340" i="35"/>
  <c r="J1339" i="35"/>
  <c r="H1339" i="35"/>
  <c r="J1338" i="35"/>
  <c r="H1338" i="35"/>
  <c r="J1337" i="35"/>
  <c r="H1337" i="35"/>
  <c r="J1336" i="35"/>
  <c r="H1336" i="35"/>
  <c r="J1335" i="35"/>
  <c r="H1335" i="35"/>
  <c r="J1334" i="35"/>
  <c r="H1334" i="35"/>
  <c r="J1333" i="35"/>
  <c r="H1333" i="35"/>
  <c r="J1332" i="35"/>
  <c r="H1332" i="35"/>
  <c r="J1331" i="35"/>
  <c r="H1331" i="35"/>
  <c r="J1330" i="35"/>
  <c r="H1330" i="35"/>
  <c r="J1329" i="35"/>
  <c r="H1329" i="35"/>
  <c r="J1328" i="35"/>
  <c r="H1328" i="35"/>
  <c r="J1327" i="35"/>
  <c r="H1327" i="35"/>
  <c r="J1326" i="35"/>
  <c r="H1326" i="35"/>
  <c r="J1325" i="35"/>
  <c r="H1325" i="35"/>
  <c r="J1324" i="35"/>
  <c r="H1324" i="35"/>
  <c r="J1323" i="35"/>
  <c r="H1323" i="35"/>
  <c r="J1322" i="35"/>
  <c r="H1322" i="35"/>
  <c r="J1321" i="35"/>
  <c r="H1321" i="35"/>
  <c r="J1320" i="35"/>
  <c r="H1320" i="35"/>
  <c r="J1319" i="35"/>
  <c r="H1319" i="35"/>
  <c r="J1318" i="35"/>
  <c r="H1318" i="35"/>
  <c r="J1317" i="35"/>
  <c r="H1317" i="35"/>
  <c r="J1316" i="35"/>
  <c r="H1316" i="35"/>
  <c r="J1315" i="35"/>
  <c r="H1315" i="35"/>
  <c r="J1314" i="35"/>
  <c r="H1314" i="35"/>
  <c r="J1313" i="35"/>
  <c r="H1313" i="35"/>
  <c r="J1312" i="35"/>
  <c r="H1312" i="35"/>
  <c r="J1311" i="35"/>
  <c r="H1311" i="35"/>
  <c r="J1310" i="35"/>
  <c r="H1310" i="35"/>
  <c r="J1309" i="35"/>
  <c r="H1309" i="35"/>
  <c r="J1308" i="35"/>
  <c r="H1308" i="35"/>
  <c r="J1307" i="35"/>
  <c r="H1307" i="35"/>
  <c r="J1306" i="35"/>
  <c r="H1306" i="35"/>
  <c r="J1305" i="35"/>
  <c r="H1305" i="35"/>
  <c r="J1304" i="35"/>
  <c r="H1304" i="35"/>
  <c r="J1303" i="35"/>
  <c r="H1303" i="35"/>
  <c r="J1302" i="35"/>
  <c r="H1302" i="35"/>
  <c r="J1301" i="35"/>
  <c r="H1301" i="35"/>
  <c r="J1300" i="35"/>
  <c r="H1300" i="35"/>
  <c r="J1299" i="35"/>
  <c r="H1299" i="35"/>
  <c r="J1298" i="35"/>
  <c r="H1298" i="35"/>
  <c r="J1297" i="35"/>
  <c r="H1297" i="35"/>
  <c r="J1296" i="35"/>
  <c r="H1296" i="35"/>
  <c r="J1295" i="35"/>
  <c r="H1295" i="35"/>
  <c r="J1294" i="35"/>
  <c r="H1294" i="35"/>
  <c r="J1293" i="35"/>
  <c r="H1293" i="35"/>
  <c r="J1292" i="35"/>
  <c r="H1292" i="35"/>
  <c r="J1291" i="35"/>
  <c r="H1291" i="35"/>
  <c r="J1290" i="35"/>
  <c r="H1290" i="35"/>
  <c r="J1289" i="35"/>
  <c r="H1289" i="35"/>
  <c r="J1288" i="35"/>
  <c r="H1288" i="35"/>
  <c r="J1287" i="35"/>
  <c r="H1287" i="35"/>
  <c r="J1286" i="35"/>
  <c r="H1286" i="35"/>
  <c r="J1285" i="35"/>
  <c r="H1285" i="35"/>
  <c r="J1284" i="35"/>
  <c r="H1284" i="35"/>
  <c r="J1283" i="35"/>
  <c r="H1283" i="35"/>
  <c r="J1282" i="35"/>
  <c r="H1282" i="35"/>
  <c r="J1281" i="35"/>
  <c r="H1281" i="35"/>
  <c r="J1280" i="35"/>
  <c r="H1280" i="35"/>
  <c r="J1279" i="35"/>
  <c r="H1279" i="35"/>
  <c r="J1278" i="35"/>
  <c r="H1278" i="35"/>
  <c r="J1277" i="35"/>
  <c r="H1277" i="35"/>
  <c r="J1276" i="35"/>
  <c r="H1276" i="35"/>
  <c r="J1275" i="35"/>
  <c r="H1275" i="35"/>
  <c r="J1274" i="35"/>
  <c r="H1274" i="35"/>
  <c r="J1273" i="35"/>
  <c r="H1273" i="35"/>
  <c r="J1272" i="35"/>
  <c r="H1272" i="35"/>
  <c r="J1271" i="35"/>
  <c r="H1271" i="35"/>
  <c r="J1270" i="35"/>
  <c r="H1270" i="35"/>
  <c r="J1269" i="35"/>
  <c r="H1269" i="35"/>
  <c r="J1268" i="35"/>
  <c r="H1268" i="35"/>
  <c r="J1267" i="35"/>
  <c r="H1267" i="35"/>
  <c r="J1266" i="35"/>
  <c r="H1266" i="35"/>
  <c r="J1265" i="35"/>
  <c r="H1265" i="35"/>
  <c r="J1264" i="35"/>
  <c r="H1264" i="35"/>
  <c r="J1263" i="35"/>
  <c r="H1263" i="35"/>
  <c r="J1262" i="35"/>
  <c r="H1262" i="35"/>
  <c r="J1261" i="35"/>
  <c r="H1261" i="35"/>
  <c r="J1260" i="35"/>
  <c r="H1260" i="35"/>
  <c r="J1259" i="35"/>
  <c r="H1259" i="35"/>
  <c r="J1258" i="35"/>
  <c r="H1258" i="35"/>
  <c r="J1257" i="35"/>
  <c r="H1257" i="35"/>
  <c r="J1256" i="35"/>
  <c r="H1256" i="35"/>
  <c r="J1255" i="35"/>
  <c r="H1255" i="35"/>
  <c r="J1254" i="35"/>
  <c r="H1254" i="35"/>
  <c r="J1253" i="35"/>
  <c r="H1253" i="35"/>
  <c r="J1252" i="35"/>
  <c r="H1252" i="35"/>
  <c r="J1251" i="35"/>
  <c r="H1251" i="35"/>
  <c r="J1250" i="35"/>
  <c r="H1250" i="35"/>
  <c r="J1249" i="35"/>
  <c r="H1249" i="35"/>
  <c r="J1248" i="35"/>
  <c r="H1248" i="35"/>
  <c r="J1247" i="35"/>
  <c r="H1247" i="35"/>
  <c r="J1246" i="35"/>
  <c r="H1246" i="35"/>
  <c r="J1245" i="35"/>
  <c r="H1245" i="35"/>
  <c r="J1244" i="35"/>
  <c r="H1244" i="35"/>
  <c r="J1243" i="35"/>
  <c r="H1243" i="35"/>
  <c r="J1242" i="35"/>
  <c r="H1242" i="35"/>
  <c r="J1241" i="35"/>
  <c r="H1241" i="35"/>
  <c r="J1240" i="35"/>
  <c r="H1240" i="35"/>
  <c r="J1239" i="35"/>
  <c r="H1239" i="35"/>
  <c r="J1238" i="35"/>
  <c r="H1238" i="35"/>
  <c r="J1237" i="35"/>
  <c r="H1237" i="35"/>
  <c r="J1236" i="35"/>
  <c r="H1236" i="35"/>
  <c r="J1235" i="35"/>
  <c r="H1235" i="35"/>
  <c r="J1234" i="35"/>
  <c r="H1234" i="35"/>
  <c r="J1233" i="35"/>
  <c r="H1233" i="35"/>
  <c r="J1232" i="35"/>
  <c r="H1232" i="35"/>
  <c r="J1231" i="35"/>
  <c r="H1231" i="35"/>
  <c r="J1230" i="35"/>
  <c r="H1230" i="35"/>
  <c r="J1229" i="35"/>
  <c r="H1229" i="35"/>
  <c r="J1228" i="35"/>
  <c r="H1228" i="35"/>
  <c r="J1227" i="35"/>
  <c r="H1227" i="35"/>
  <c r="J1226" i="35"/>
  <c r="H1226" i="35"/>
  <c r="J1225" i="35"/>
  <c r="H1225" i="35"/>
  <c r="J1224" i="35"/>
  <c r="H1224" i="35"/>
  <c r="J1223" i="35"/>
  <c r="H1223" i="35"/>
  <c r="J1222" i="35"/>
  <c r="H1222" i="35"/>
  <c r="J1221" i="35"/>
  <c r="H1221" i="35"/>
  <c r="J1220" i="35"/>
  <c r="H1220" i="35"/>
  <c r="J1219" i="35"/>
  <c r="H1219" i="35"/>
  <c r="J1218" i="35"/>
  <c r="H1218" i="35"/>
  <c r="J1217" i="35"/>
  <c r="H1217" i="35"/>
  <c r="J1216" i="35"/>
  <c r="H1216" i="35"/>
  <c r="J1215" i="35"/>
  <c r="H1215" i="35"/>
  <c r="J1214" i="35"/>
  <c r="H1214" i="35"/>
  <c r="J1213" i="35"/>
  <c r="H1213" i="35"/>
  <c r="J1212" i="35"/>
  <c r="H1212" i="35"/>
  <c r="J1211" i="35"/>
  <c r="H1211" i="35"/>
  <c r="J1210" i="35"/>
  <c r="H1210" i="35"/>
  <c r="J1209" i="35"/>
  <c r="H1209" i="35"/>
  <c r="J1208" i="35"/>
  <c r="H1208" i="35"/>
  <c r="J1207" i="35"/>
  <c r="H1207" i="35"/>
  <c r="J1206" i="35"/>
  <c r="H1206" i="35"/>
  <c r="J1205" i="35"/>
  <c r="H1205" i="35"/>
  <c r="J1204" i="35"/>
  <c r="H1204" i="35"/>
  <c r="J1203" i="35"/>
  <c r="H1203" i="35"/>
  <c r="J1202" i="35"/>
  <c r="H1202" i="35"/>
  <c r="J1201" i="35"/>
  <c r="H1201" i="35"/>
  <c r="J1200" i="35"/>
  <c r="H1200" i="35"/>
  <c r="J1199" i="35"/>
  <c r="H1199" i="35"/>
  <c r="J1198" i="35"/>
  <c r="H1198" i="35"/>
  <c r="J1197" i="35"/>
  <c r="H1197" i="35"/>
  <c r="J1196" i="35"/>
  <c r="H1196" i="35"/>
  <c r="J1195" i="35"/>
  <c r="H1195" i="35"/>
  <c r="J1194" i="35"/>
  <c r="H1194" i="35"/>
  <c r="J1193" i="35"/>
  <c r="H1193" i="35"/>
  <c r="J1192" i="35"/>
  <c r="H1192" i="35"/>
  <c r="J1191" i="35"/>
  <c r="H1191" i="35"/>
  <c r="J1190" i="35"/>
  <c r="H1190" i="35"/>
  <c r="J1189" i="35"/>
  <c r="H1189" i="35"/>
  <c r="J1188" i="35"/>
  <c r="H1188" i="35"/>
  <c r="J1187" i="35"/>
  <c r="H1187" i="35"/>
  <c r="J1186" i="35"/>
  <c r="H1186" i="35"/>
  <c r="J1185" i="35"/>
  <c r="H1185" i="35"/>
  <c r="J1184" i="35"/>
  <c r="H1184" i="35"/>
  <c r="J1183" i="35"/>
  <c r="H1183" i="35"/>
  <c r="J1182" i="35"/>
  <c r="H1182" i="35"/>
  <c r="J1181" i="35"/>
  <c r="H1181" i="35"/>
  <c r="J1180" i="35"/>
  <c r="H1180" i="35"/>
  <c r="J1179" i="35"/>
  <c r="H1179" i="35"/>
  <c r="J1178" i="35"/>
  <c r="H1178" i="35"/>
  <c r="J1177" i="35"/>
  <c r="H1177" i="35"/>
  <c r="J1176" i="35"/>
  <c r="H1176" i="35"/>
  <c r="J1175" i="35"/>
  <c r="H1175" i="35"/>
  <c r="J1174" i="35"/>
  <c r="H1174" i="35"/>
  <c r="J1173" i="35"/>
  <c r="H1173" i="35"/>
  <c r="J1172" i="35"/>
  <c r="H1172" i="35"/>
  <c r="J1171" i="35"/>
  <c r="H1171" i="35"/>
  <c r="J1170" i="35"/>
  <c r="H1170" i="35"/>
  <c r="J1169" i="35"/>
  <c r="H1169" i="35"/>
  <c r="J1168" i="35"/>
  <c r="H1168" i="35"/>
  <c r="J1167" i="35"/>
  <c r="H1167" i="35"/>
  <c r="J1166" i="35"/>
  <c r="H1166" i="35"/>
  <c r="J1165" i="35"/>
  <c r="H1165" i="35"/>
  <c r="J1164" i="35"/>
  <c r="H1164" i="35"/>
  <c r="J1163" i="35"/>
  <c r="H1163" i="35"/>
  <c r="J1162" i="35"/>
  <c r="H1162" i="35"/>
  <c r="J1161" i="35"/>
  <c r="H1161" i="35"/>
  <c r="J1160" i="35"/>
  <c r="H1160" i="35"/>
  <c r="J1159" i="35"/>
  <c r="H1159" i="35"/>
  <c r="J1158" i="35"/>
  <c r="H1158" i="35"/>
  <c r="J1157" i="35"/>
  <c r="H1157" i="35"/>
  <c r="J1156" i="35"/>
  <c r="H1156" i="35"/>
  <c r="J1155" i="35"/>
  <c r="H1155" i="35"/>
  <c r="J1154" i="35"/>
  <c r="H1154" i="35"/>
  <c r="J1153" i="35"/>
  <c r="H1153" i="35"/>
  <c r="J1152" i="35"/>
  <c r="H1152" i="35"/>
  <c r="J1151" i="35"/>
  <c r="H1151" i="35"/>
  <c r="J1150" i="35"/>
  <c r="H1150" i="35"/>
  <c r="J1149" i="35"/>
  <c r="H1149" i="35"/>
  <c r="J1148" i="35"/>
  <c r="H1148" i="35"/>
  <c r="J1147" i="35"/>
  <c r="H1147" i="35"/>
  <c r="J1146" i="35"/>
  <c r="H1146" i="35"/>
  <c r="J1145" i="35"/>
  <c r="H1145" i="35"/>
  <c r="J1144" i="35"/>
  <c r="H1144" i="35"/>
  <c r="J1143" i="35"/>
  <c r="H1143" i="35"/>
  <c r="J1142" i="35"/>
  <c r="H1142" i="35"/>
  <c r="J1141" i="35"/>
  <c r="H1141" i="35"/>
  <c r="J1140" i="35"/>
  <c r="H1140" i="35"/>
  <c r="J1139" i="35"/>
  <c r="H1139" i="35"/>
  <c r="J1138" i="35"/>
  <c r="H1138" i="35"/>
  <c r="J1137" i="35"/>
  <c r="H1137" i="35"/>
  <c r="J1136" i="35"/>
  <c r="H1136" i="35"/>
  <c r="J1135" i="35"/>
  <c r="H1135" i="35"/>
  <c r="J1134" i="35"/>
  <c r="H1134" i="35"/>
  <c r="J1133" i="35"/>
  <c r="H1133" i="35"/>
  <c r="J1132" i="35"/>
  <c r="H1132" i="35"/>
  <c r="J1131" i="35"/>
  <c r="H1131" i="35"/>
  <c r="J1130" i="35"/>
  <c r="H1130" i="35"/>
  <c r="J1129" i="35"/>
  <c r="H1129" i="35"/>
  <c r="J1128" i="35"/>
  <c r="H1128" i="35"/>
  <c r="J1127" i="35"/>
  <c r="H1127" i="35"/>
  <c r="J1126" i="35"/>
  <c r="H1126" i="35"/>
  <c r="J1125" i="35"/>
  <c r="H1125" i="35"/>
  <c r="J1124" i="35"/>
  <c r="H1124" i="35"/>
  <c r="J1123" i="35"/>
  <c r="H1123" i="35"/>
  <c r="J1122" i="35"/>
  <c r="H1122" i="35"/>
  <c r="J1121" i="35"/>
  <c r="H1121" i="35"/>
  <c r="J1120" i="35"/>
  <c r="H1120" i="35"/>
  <c r="J1119" i="35"/>
  <c r="H1119" i="35"/>
  <c r="J1118" i="35"/>
  <c r="H1118" i="35"/>
  <c r="J1117" i="35"/>
  <c r="H1117" i="35"/>
  <c r="J1116" i="35"/>
  <c r="H1116" i="35"/>
  <c r="J1115" i="35"/>
  <c r="H1115" i="35"/>
  <c r="J1114" i="35"/>
  <c r="H1114" i="35"/>
  <c r="J1113" i="35"/>
  <c r="H1113" i="35"/>
  <c r="J1112" i="35"/>
  <c r="H1112" i="35"/>
  <c r="J1111" i="35"/>
  <c r="H1111" i="35"/>
  <c r="J1110" i="35"/>
  <c r="H1110" i="35"/>
  <c r="J1109" i="35"/>
  <c r="H1109" i="35"/>
  <c r="J1108" i="35"/>
  <c r="H1108" i="35"/>
  <c r="J1107" i="35"/>
  <c r="H1107" i="35"/>
  <c r="J1106" i="35"/>
  <c r="H1106" i="35"/>
  <c r="J1105" i="35"/>
  <c r="H1105" i="35"/>
  <c r="J1104" i="35"/>
  <c r="H1104" i="35"/>
  <c r="J1103" i="35"/>
  <c r="H1103" i="35"/>
  <c r="J1102" i="35"/>
  <c r="H1102" i="35"/>
  <c r="J1101" i="35"/>
  <c r="H1101" i="35"/>
  <c r="J1100" i="35"/>
  <c r="H1100" i="35"/>
  <c r="J1099" i="35"/>
  <c r="H1099" i="35"/>
  <c r="J1098" i="35"/>
  <c r="H1098" i="35"/>
  <c r="J1097" i="35"/>
  <c r="H1097" i="35"/>
  <c r="J1096" i="35"/>
  <c r="H1096" i="35"/>
  <c r="J1095" i="35"/>
  <c r="H1095" i="35"/>
  <c r="J1094" i="35"/>
  <c r="H1094" i="35"/>
  <c r="J1093" i="35"/>
  <c r="H1093" i="35"/>
  <c r="J1092" i="35"/>
  <c r="H1092" i="35"/>
  <c r="J1091" i="35"/>
  <c r="H1091" i="35"/>
  <c r="J1090" i="35"/>
  <c r="H1090" i="35"/>
  <c r="J1089" i="35"/>
  <c r="H1089" i="35"/>
  <c r="J1088" i="35"/>
  <c r="H1088" i="35"/>
  <c r="J1087" i="35"/>
  <c r="H1087" i="35"/>
  <c r="J1086" i="35"/>
  <c r="H1086" i="35"/>
  <c r="J1085" i="35"/>
  <c r="H1085" i="35"/>
  <c r="J1084" i="35"/>
  <c r="H1084" i="35"/>
  <c r="J1083" i="35"/>
  <c r="H1083" i="35"/>
  <c r="J1082" i="35"/>
  <c r="H1082" i="35"/>
  <c r="J1081" i="35"/>
  <c r="H1081" i="35"/>
  <c r="J1080" i="35"/>
  <c r="H1080" i="35"/>
  <c r="J1079" i="35"/>
  <c r="H1079" i="35"/>
  <c r="J1078" i="35"/>
  <c r="H1078" i="35"/>
  <c r="J1077" i="35"/>
  <c r="H1077" i="35"/>
  <c r="J1076" i="35"/>
  <c r="H1076" i="35"/>
  <c r="J1075" i="35"/>
  <c r="H1075" i="35"/>
  <c r="J1074" i="35"/>
  <c r="H1074" i="35"/>
  <c r="J1073" i="35"/>
  <c r="H1073" i="35"/>
  <c r="J1072" i="35"/>
  <c r="H1072" i="35"/>
  <c r="J1071" i="35"/>
  <c r="H1071" i="35"/>
  <c r="J1070" i="35"/>
  <c r="H1070" i="35"/>
  <c r="J1069" i="35"/>
  <c r="H1069" i="35"/>
  <c r="J1068" i="35"/>
  <c r="H1068" i="35"/>
  <c r="J1067" i="35"/>
  <c r="H1067" i="35"/>
  <c r="J1066" i="35"/>
  <c r="H1066" i="35"/>
  <c r="J1065" i="35"/>
  <c r="H1065" i="35"/>
  <c r="J1064" i="35"/>
  <c r="H1064" i="35"/>
  <c r="J1063" i="35"/>
  <c r="H1063" i="35"/>
  <c r="J1062" i="35"/>
  <c r="H1062" i="35"/>
  <c r="J1061" i="35"/>
  <c r="H1061" i="35"/>
  <c r="J1060" i="35"/>
  <c r="H1060" i="35"/>
  <c r="J1059" i="35"/>
  <c r="H1059" i="35"/>
  <c r="J1058" i="35"/>
  <c r="H1058" i="35"/>
  <c r="J1057" i="35"/>
  <c r="H1057" i="35"/>
  <c r="J1056" i="35"/>
  <c r="H1056" i="35"/>
  <c r="J1055" i="35"/>
  <c r="H1055" i="35"/>
  <c r="J1054" i="35"/>
  <c r="H1054" i="35"/>
  <c r="J1053" i="35"/>
  <c r="H1053" i="35"/>
  <c r="J1052" i="35"/>
  <c r="H1052" i="35"/>
  <c r="J1051" i="35"/>
  <c r="H1051" i="35"/>
  <c r="J1050" i="35"/>
  <c r="H1050" i="35"/>
  <c r="J1049" i="35"/>
  <c r="H1049" i="35"/>
  <c r="J1048" i="35"/>
  <c r="H1048" i="35"/>
  <c r="J1047" i="35"/>
  <c r="H1047" i="35"/>
  <c r="J1046" i="35"/>
  <c r="H1046" i="35"/>
  <c r="J1045" i="35"/>
  <c r="H1045" i="35"/>
  <c r="J1044" i="35"/>
  <c r="H1044" i="35"/>
  <c r="J1043" i="35"/>
  <c r="H1043" i="35"/>
  <c r="J1042" i="35"/>
  <c r="H1042" i="35"/>
  <c r="J1041" i="35"/>
  <c r="H1041" i="35"/>
  <c r="J1040" i="35"/>
  <c r="H1040" i="35"/>
  <c r="J1039" i="35"/>
  <c r="H1039" i="35"/>
  <c r="J1038" i="35"/>
  <c r="H1038" i="35"/>
  <c r="J1037" i="35"/>
  <c r="H1037" i="35"/>
  <c r="J1036" i="35"/>
  <c r="H1036" i="35"/>
  <c r="J1035" i="35"/>
  <c r="H1035" i="35"/>
  <c r="J1034" i="35"/>
  <c r="H1034" i="35"/>
  <c r="J1033" i="35"/>
  <c r="H1033" i="35"/>
  <c r="J1032" i="35"/>
  <c r="H1032" i="35"/>
  <c r="J1031" i="35"/>
  <c r="H1031" i="35"/>
  <c r="J1030" i="35"/>
  <c r="H1030" i="35"/>
  <c r="J1029" i="35"/>
  <c r="H1029" i="35"/>
  <c r="J1028" i="35"/>
  <c r="H1028" i="35"/>
  <c r="J1027" i="35"/>
  <c r="H1027" i="35"/>
  <c r="J1026" i="35"/>
  <c r="H1026" i="35"/>
  <c r="J1025" i="35"/>
  <c r="H1025" i="35"/>
  <c r="J1024" i="35"/>
  <c r="H1024" i="35"/>
  <c r="J1023" i="35"/>
  <c r="H1023" i="35"/>
  <c r="J1022" i="35"/>
  <c r="H1022" i="35"/>
  <c r="J1021" i="35"/>
  <c r="H1021" i="35"/>
  <c r="J1020" i="35"/>
  <c r="H1020" i="35"/>
  <c r="J1019" i="35"/>
  <c r="H1019" i="35"/>
  <c r="J1018" i="35"/>
  <c r="H1018" i="35"/>
  <c r="J1017" i="35"/>
  <c r="H1017" i="35"/>
  <c r="J1016" i="35"/>
  <c r="H1016" i="35"/>
  <c r="J1015" i="35"/>
  <c r="H1015" i="35"/>
  <c r="J1014" i="35"/>
  <c r="H1014" i="35"/>
  <c r="J1013" i="35"/>
  <c r="H1013" i="35"/>
  <c r="J1012" i="35"/>
  <c r="H1012" i="35"/>
  <c r="J1011" i="35"/>
  <c r="H1011" i="35"/>
  <c r="J1010" i="35"/>
  <c r="H1010" i="35"/>
  <c r="J1009" i="35"/>
  <c r="H1009" i="35"/>
  <c r="J1008" i="35"/>
  <c r="H1008" i="35"/>
  <c r="J1007" i="35"/>
  <c r="H1007" i="35"/>
  <c r="J1006" i="35"/>
  <c r="H1006" i="35"/>
  <c r="J1005" i="35"/>
  <c r="H1005" i="35"/>
  <c r="J1004" i="35"/>
  <c r="H1004" i="35"/>
  <c r="J1003" i="35"/>
  <c r="H1003" i="35"/>
  <c r="J1002" i="35"/>
  <c r="H1002" i="35"/>
  <c r="J1001" i="35"/>
  <c r="H1001" i="35"/>
  <c r="J1000" i="35"/>
  <c r="H1000" i="35"/>
  <c r="J999" i="35"/>
  <c r="H999" i="35"/>
  <c r="J998" i="35"/>
  <c r="H998" i="35"/>
  <c r="J997" i="35"/>
  <c r="H997" i="35"/>
  <c r="J996" i="35"/>
  <c r="H996" i="35"/>
  <c r="J995" i="35"/>
  <c r="H995" i="35"/>
  <c r="J994" i="35"/>
  <c r="H994" i="35"/>
  <c r="J993" i="35"/>
  <c r="H993" i="35"/>
  <c r="J992" i="35"/>
  <c r="H992" i="35"/>
  <c r="J991" i="35"/>
  <c r="H991" i="35"/>
  <c r="J990" i="35"/>
  <c r="H990" i="35"/>
  <c r="J989" i="35"/>
  <c r="H989" i="35"/>
  <c r="J988" i="35"/>
  <c r="H988" i="35"/>
  <c r="J987" i="35"/>
  <c r="H987" i="35"/>
  <c r="J986" i="35"/>
  <c r="H986" i="35"/>
  <c r="J985" i="35"/>
  <c r="H985" i="35"/>
  <c r="J984" i="35"/>
  <c r="H984" i="35"/>
  <c r="J983" i="35"/>
  <c r="H983" i="35"/>
  <c r="J982" i="35"/>
  <c r="H982" i="35"/>
  <c r="J981" i="35"/>
  <c r="H981" i="35"/>
  <c r="J980" i="35"/>
  <c r="H980" i="35"/>
  <c r="J979" i="35"/>
  <c r="H979" i="35"/>
  <c r="J978" i="35"/>
  <c r="H978" i="35"/>
  <c r="J977" i="35"/>
  <c r="H977" i="35"/>
  <c r="J976" i="35"/>
  <c r="H976" i="35"/>
  <c r="J975" i="35"/>
  <c r="H975" i="35"/>
  <c r="J974" i="35"/>
  <c r="H974" i="35"/>
  <c r="J973" i="35"/>
  <c r="H973" i="35"/>
  <c r="J972" i="35"/>
  <c r="H972" i="35"/>
  <c r="J971" i="35"/>
  <c r="H971" i="35"/>
  <c r="J970" i="35"/>
  <c r="H970" i="35"/>
  <c r="J969" i="35"/>
  <c r="H969" i="35"/>
  <c r="J968" i="35"/>
  <c r="H968" i="35"/>
  <c r="J967" i="35"/>
  <c r="H967" i="35"/>
  <c r="J966" i="35"/>
  <c r="H966" i="35"/>
  <c r="J965" i="35"/>
  <c r="H965" i="35"/>
  <c r="J964" i="35"/>
  <c r="H964" i="35"/>
  <c r="J963" i="35"/>
  <c r="H963" i="35"/>
  <c r="J962" i="35"/>
  <c r="H962" i="35"/>
  <c r="J961" i="35"/>
  <c r="H961" i="35"/>
  <c r="J960" i="35"/>
  <c r="H960" i="35"/>
  <c r="J959" i="35"/>
  <c r="H959" i="35"/>
  <c r="J958" i="35"/>
  <c r="H958" i="35"/>
  <c r="J957" i="35"/>
  <c r="H957" i="35"/>
  <c r="J956" i="35"/>
  <c r="H956" i="35"/>
  <c r="J955" i="35"/>
  <c r="H955" i="35"/>
  <c r="J954" i="35"/>
  <c r="H954" i="35"/>
  <c r="J953" i="35"/>
  <c r="H953" i="35"/>
  <c r="J952" i="35"/>
  <c r="H952" i="35"/>
  <c r="J951" i="35"/>
  <c r="H951" i="35"/>
  <c r="J950" i="35"/>
  <c r="H950" i="35"/>
  <c r="J949" i="35"/>
  <c r="H949" i="35"/>
  <c r="J948" i="35"/>
  <c r="H948" i="35"/>
  <c r="J947" i="35"/>
  <c r="H947" i="35"/>
  <c r="J946" i="35"/>
  <c r="H946" i="35"/>
  <c r="J945" i="35"/>
  <c r="H945" i="35"/>
  <c r="J944" i="35"/>
  <c r="H944" i="35"/>
  <c r="J943" i="35"/>
  <c r="H943" i="35"/>
  <c r="J942" i="35"/>
  <c r="H942" i="35"/>
  <c r="J941" i="35"/>
  <c r="H941" i="35"/>
  <c r="J940" i="35"/>
  <c r="H940" i="35"/>
  <c r="J939" i="35"/>
  <c r="H939" i="35"/>
  <c r="J938" i="35"/>
  <c r="H938" i="35"/>
  <c r="J937" i="35"/>
  <c r="H937" i="35"/>
  <c r="J936" i="35"/>
  <c r="H936" i="35"/>
  <c r="J935" i="35"/>
  <c r="H935" i="35"/>
  <c r="J934" i="35"/>
  <c r="H934" i="35"/>
  <c r="J933" i="35"/>
  <c r="H933" i="35"/>
  <c r="J932" i="35"/>
  <c r="H932" i="35"/>
  <c r="J931" i="35"/>
  <c r="H931" i="35"/>
  <c r="J930" i="35"/>
  <c r="H930" i="35"/>
  <c r="J929" i="35"/>
  <c r="H929" i="35"/>
  <c r="J928" i="35"/>
  <c r="H928" i="35"/>
  <c r="J927" i="35"/>
  <c r="H927" i="35"/>
  <c r="J926" i="35"/>
  <c r="H926" i="35"/>
  <c r="J925" i="35"/>
  <c r="H925" i="35"/>
  <c r="J924" i="35"/>
  <c r="H924" i="35"/>
  <c r="J923" i="35"/>
  <c r="H923" i="35"/>
  <c r="J922" i="35"/>
  <c r="H922" i="35"/>
  <c r="J921" i="35"/>
  <c r="H921" i="35"/>
  <c r="J920" i="35"/>
  <c r="H920" i="35"/>
  <c r="J919" i="35"/>
  <c r="H919" i="35"/>
  <c r="J918" i="35"/>
  <c r="H918" i="35"/>
  <c r="J917" i="35"/>
  <c r="H917" i="35"/>
  <c r="J916" i="35"/>
  <c r="H916" i="35"/>
  <c r="J915" i="35"/>
  <c r="H915" i="35"/>
  <c r="J914" i="35"/>
  <c r="H914" i="35"/>
  <c r="J913" i="35"/>
  <c r="H913" i="35"/>
  <c r="J912" i="35"/>
  <c r="H912" i="35"/>
  <c r="J911" i="35"/>
  <c r="H911" i="35"/>
  <c r="J910" i="35"/>
  <c r="H910" i="35"/>
  <c r="J909" i="35"/>
  <c r="H909" i="35"/>
  <c r="J908" i="35"/>
  <c r="H908" i="35"/>
  <c r="J907" i="35"/>
  <c r="H907" i="35"/>
  <c r="J906" i="35"/>
  <c r="H906" i="35"/>
  <c r="J905" i="35"/>
  <c r="H905" i="35"/>
  <c r="J904" i="35"/>
  <c r="H904" i="35"/>
  <c r="J903" i="35"/>
  <c r="H903" i="35"/>
  <c r="J902" i="35"/>
  <c r="H902" i="35"/>
  <c r="J901" i="35"/>
  <c r="H901" i="35"/>
  <c r="J900" i="35"/>
  <c r="H900" i="35"/>
  <c r="J899" i="35"/>
  <c r="H899" i="35"/>
  <c r="J898" i="35"/>
  <c r="H898" i="35"/>
  <c r="J897" i="35"/>
  <c r="H897" i="35"/>
  <c r="J896" i="35"/>
  <c r="H896" i="35"/>
  <c r="J895" i="35"/>
  <c r="H895" i="35"/>
  <c r="J894" i="35"/>
  <c r="H894" i="35"/>
  <c r="J893" i="35"/>
  <c r="H893" i="35"/>
  <c r="J892" i="35"/>
  <c r="H892" i="35"/>
  <c r="J891" i="35"/>
  <c r="H891" i="35"/>
  <c r="J890" i="35"/>
  <c r="H890" i="35"/>
  <c r="J889" i="35"/>
  <c r="H889" i="35"/>
  <c r="J888" i="35"/>
  <c r="H888" i="35"/>
  <c r="J887" i="35"/>
  <c r="H887" i="35"/>
  <c r="J886" i="35"/>
  <c r="H886" i="35"/>
  <c r="J885" i="35"/>
  <c r="H885" i="35"/>
  <c r="J884" i="35"/>
  <c r="H884" i="35"/>
  <c r="J883" i="35"/>
  <c r="H883" i="35"/>
  <c r="J882" i="35"/>
  <c r="H882" i="35"/>
  <c r="J881" i="35"/>
  <c r="H881" i="35"/>
  <c r="J880" i="35"/>
  <c r="H880" i="35"/>
  <c r="J879" i="35"/>
  <c r="H879" i="35"/>
  <c r="J878" i="35"/>
  <c r="H878" i="35"/>
  <c r="J877" i="35"/>
  <c r="H877" i="35"/>
  <c r="J876" i="35"/>
  <c r="H876" i="35"/>
  <c r="J875" i="35"/>
  <c r="H875" i="35"/>
  <c r="J874" i="35"/>
  <c r="H874" i="35"/>
  <c r="J873" i="35"/>
  <c r="H873" i="35"/>
  <c r="J872" i="35"/>
  <c r="H872" i="35"/>
  <c r="J871" i="35"/>
  <c r="H871" i="35"/>
  <c r="J870" i="35"/>
  <c r="H870" i="35"/>
  <c r="J869" i="35"/>
  <c r="H869" i="35"/>
  <c r="J868" i="35"/>
  <c r="H868" i="35"/>
  <c r="J867" i="35"/>
  <c r="H867" i="35"/>
  <c r="J866" i="35"/>
  <c r="H866" i="35"/>
  <c r="J865" i="35"/>
  <c r="H865" i="35"/>
  <c r="J864" i="35"/>
  <c r="H864" i="35"/>
  <c r="J863" i="35"/>
  <c r="H863" i="35"/>
  <c r="J862" i="35"/>
  <c r="H862" i="35"/>
  <c r="J861" i="35"/>
  <c r="H861" i="35"/>
  <c r="J860" i="35"/>
  <c r="H860" i="35"/>
  <c r="J859" i="35"/>
  <c r="H859" i="35"/>
  <c r="J858" i="35"/>
  <c r="H858" i="35"/>
  <c r="J857" i="35"/>
  <c r="H857" i="35"/>
  <c r="J856" i="35"/>
  <c r="H856" i="35"/>
  <c r="J855" i="35"/>
  <c r="H855" i="35"/>
  <c r="J854" i="35"/>
  <c r="H854" i="35"/>
  <c r="J853" i="35"/>
  <c r="H853" i="35"/>
  <c r="J852" i="35"/>
  <c r="H852" i="35"/>
  <c r="J851" i="35"/>
  <c r="H851" i="35"/>
  <c r="J850" i="35"/>
  <c r="H850" i="35"/>
  <c r="J849" i="35"/>
  <c r="H849" i="35"/>
  <c r="J848" i="35"/>
  <c r="H848" i="35"/>
  <c r="J847" i="35"/>
  <c r="H847" i="35"/>
  <c r="J846" i="35"/>
  <c r="H846" i="35"/>
  <c r="J845" i="35"/>
  <c r="H845" i="35"/>
  <c r="J844" i="35"/>
  <c r="H844" i="35"/>
  <c r="J843" i="35"/>
  <c r="H843" i="35"/>
  <c r="J842" i="35"/>
  <c r="H842" i="35"/>
  <c r="J841" i="35"/>
  <c r="H841" i="35"/>
  <c r="J840" i="35"/>
  <c r="H840" i="35"/>
  <c r="J839" i="35"/>
  <c r="H839" i="35"/>
  <c r="J838" i="35"/>
  <c r="H838" i="35"/>
  <c r="J837" i="35"/>
  <c r="H837" i="35"/>
  <c r="J836" i="35"/>
  <c r="H836" i="35"/>
  <c r="J835" i="35"/>
  <c r="H835" i="35"/>
  <c r="J834" i="35"/>
  <c r="H834" i="35"/>
  <c r="J833" i="35"/>
  <c r="H833" i="35"/>
  <c r="J832" i="35"/>
  <c r="H832" i="35"/>
  <c r="J831" i="35"/>
  <c r="H831" i="35"/>
  <c r="J830" i="35"/>
  <c r="H830" i="35"/>
  <c r="J829" i="35"/>
  <c r="H829" i="35"/>
  <c r="J828" i="35"/>
  <c r="H828" i="35"/>
  <c r="J827" i="35"/>
  <c r="H827" i="35"/>
  <c r="J826" i="35"/>
  <c r="H826" i="35"/>
  <c r="J825" i="35"/>
  <c r="H825" i="35"/>
  <c r="J824" i="35"/>
  <c r="H824" i="35"/>
  <c r="J823" i="35"/>
  <c r="H823" i="35"/>
  <c r="J822" i="35"/>
  <c r="H822" i="35"/>
  <c r="J821" i="35"/>
  <c r="H821" i="35"/>
  <c r="J820" i="35"/>
  <c r="H820" i="35"/>
  <c r="J819" i="35"/>
  <c r="H819" i="35"/>
  <c r="J818" i="35"/>
  <c r="H818" i="35"/>
  <c r="J817" i="35"/>
  <c r="H817" i="35"/>
  <c r="J816" i="35"/>
  <c r="H816" i="35"/>
  <c r="J815" i="35"/>
  <c r="H815" i="35"/>
  <c r="J814" i="35"/>
  <c r="H814" i="35"/>
  <c r="J813" i="35"/>
  <c r="H813" i="35"/>
  <c r="J812" i="35"/>
  <c r="H812" i="35"/>
  <c r="J811" i="35"/>
  <c r="H811" i="35"/>
  <c r="J810" i="35"/>
  <c r="H810" i="35"/>
  <c r="J809" i="35"/>
  <c r="H809" i="35"/>
  <c r="J808" i="35"/>
  <c r="H808" i="35"/>
  <c r="J807" i="35"/>
  <c r="H807" i="35"/>
  <c r="J806" i="35"/>
  <c r="H806" i="35"/>
  <c r="J805" i="35"/>
  <c r="H805" i="35"/>
  <c r="J804" i="35"/>
  <c r="H804" i="35"/>
  <c r="J803" i="35"/>
  <c r="H803" i="35"/>
  <c r="J802" i="35"/>
  <c r="H802" i="35"/>
  <c r="J801" i="35"/>
  <c r="H801" i="35"/>
  <c r="J800" i="35"/>
  <c r="H800" i="35"/>
  <c r="J799" i="35"/>
  <c r="H799" i="35"/>
  <c r="J798" i="35"/>
  <c r="H798" i="35"/>
  <c r="J797" i="35"/>
  <c r="H797" i="35"/>
  <c r="J796" i="35"/>
  <c r="H796" i="35"/>
  <c r="J795" i="35"/>
  <c r="H795" i="35"/>
  <c r="J794" i="35"/>
  <c r="H794" i="35"/>
  <c r="J793" i="35"/>
  <c r="H793" i="35"/>
  <c r="J792" i="35"/>
  <c r="H792" i="35"/>
  <c r="J791" i="35"/>
  <c r="H791" i="35"/>
  <c r="J790" i="35"/>
  <c r="H790" i="35"/>
  <c r="J789" i="35"/>
  <c r="H789" i="35"/>
  <c r="J788" i="35"/>
  <c r="H788" i="35"/>
  <c r="J787" i="35"/>
  <c r="H787" i="35"/>
  <c r="J786" i="35"/>
  <c r="H786" i="35"/>
  <c r="J785" i="35"/>
  <c r="H785" i="35"/>
  <c r="J784" i="35"/>
  <c r="H784" i="35"/>
  <c r="J783" i="35"/>
  <c r="H783" i="35"/>
  <c r="J782" i="35"/>
  <c r="H782" i="35"/>
  <c r="J781" i="35"/>
  <c r="H781" i="35"/>
  <c r="J780" i="35"/>
  <c r="H780" i="35"/>
  <c r="J779" i="35"/>
  <c r="H779" i="35"/>
  <c r="J778" i="35"/>
  <c r="H778" i="35"/>
  <c r="J777" i="35"/>
  <c r="H777" i="35"/>
  <c r="J776" i="35"/>
  <c r="H776" i="35"/>
  <c r="J775" i="35"/>
  <c r="H775" i="35"/>
  <c r="J774" i="35"/>
  <c r="H774" i="35"/>
  <c r="J773" i="35"/>
  <c r="H773" i="35"/>
  <c r="J772" i="35"/>
  <c r="H772" i="35"/>
  <c r="J771" i="35"/>
  <c r="H771" i="35"/>
  <c r="J770" i="35"/>
  <c r="H770" i="35"/>
  <c r="J769" i="35"/>
  <c r="H769" i="35"/>
  <c r="J768" i="35"/>
  <c r="H768" i="35"/>
  <c r="J767" i="35"/>
  <c r="H767" i="35"/>
  <c r="J766" i="35"/>
  <c r="H766" i="35"/>
  <c r="J765" i="35"/>
  <c r="H765" i="35"/>
  <c r="J764" i="35"/>
  <c r="H764" i="35"/>
  <c r="J763" i="35"/>
  <c r="H763" i="35"/>
  <c r="J762" i="35"/>
  <c r="H762" i="35"/>
  <c r="J761" i="35"/>
  <c r="H761" i="35"/>
  <c r="J760" i="35"/>
  <c r="H760" i="35"/>
  <c r="J759" i="35"/>
  <c r="H759" i="35"/>
  <c r="J758" i="35"/>
  <c r="H758" i="35"/>
  <c r="J757" i="35"/>
  <c r="H757" i="35"/>
  <c r="J756" i="35"/>
  <c r="H756" i="35"/>
  <c r="J755" i="35"/>
  <c r="H755" i="35"/>
  <c r="J754" i="35"/>
  <c r="H754" i="35"/>
  <c r="J753" i="35"/>
  <c r="H753" i="35"/>
  <c r="J752" i="35"/>
  <c r="H752" i="35"/>
  <c r="J751" i="35"/>
  <c r="H751" i="35"/>
  <c r="J750" i="35"/>
  <c r="H750" i="35"/>
  <c r="J749" i="35"/>
  <c r="H749" i="35"/>
  <c r="J748" i="35"/>
  <c r="H748" i="35"/>
  <c r="J747" i="35"/>
  <c r="H747" i="35"/>
  <c r="J746" i="35"/>
  <c r="H746" i="35"/>
  <c r="J745" i="35"/>
  <c r="H745" i="35"/>
  <c r="J744" i="35"/>
  <c r="H744" i="35"/>
  <c r="J743" i="35"/>
  <c r="H743" i="35"/>
  <c r="J742" i="35"/>
  <c r="H742" i="35"/>
  <c r="J741" i="35"/>
  <c r="H741" i="35"/>
  <c r="J740" i="35"/>
  <c r="H740" i="35"/>
  <c r="J739" i="35"/>
  <c r="H739" i="35"/>
  <c r="J738" i="35"/>
  <c r="H738" i="35"/>
  <c r="J737" i="35"/>
  <c r="H737" i="35"/>
  <c r="J736" i="35"/>
  <c r="H736" i="35"/>
  <c r="J735" i="35"/>
  <c r="H735" i="35"/>
  <c r="J734" i="35"/>
  <c r="H734" i="35"/>
  <c r="J733" i="35"/>
  <c r="H733" i="35"/>
  <c r="J732" i="35"/>
  <c r="H732" i="35"/>
  <c r="J731" i="35"/>
  <c r="H731" i="35"/>
  <c r="J730" i="35"/>
  <c r="H730" i="35"/>
  <c r="J729" i="35"/>
  <c r="H729" i="35"/>
  <c r="J728" i="35"/>
  <c r="H728" i="35"/>
  <c r="J727" i="35"/>
  <c r="H727" i="35"/>
  <c r="J726" i="35"/>
  <c r="H726" i="35"/>
  <c r="J725" i="35"/>
  <c r="H725" i="35"/>
  <c r="J724" i="35"/>
  <c r="H724" i="35"/>
  <c r="J723" i="35"/>
  <c r="H723" i="35"/>
  <c r="J722" i="35"/>
  <c r="H722" i="35"/>
  <c r="J721" i="35"/>
  <c r="H721" i="35"/>
  <c r="J720" i="35"/>
  <c r="H720" i="35"/>
  <c r="J719" i="35"/>
  <c r="H719" i="35"/>
  <c r="J718" i="35"/>
  <c r="H718" i="35"/>
  <c r="J717" i="35"/>
  <c r="H717" i="35"/>
  <c r="J716" i="35"/>
  <c r="H716" i="35"/>
  <c r="J715" i="35"/>
  <c r="H715" i="35"/>
  <c r="J714" i="35"/>
  <c r="H714" i="35"/>
  <c r="J713" i="35"/>
  <c r="H713" i="35"/>
  <c r="J712" i="35"/>
  <c r="H712" i="35"/>
  <c r="J711" i="35"/>
  <c r="H711" i="35"/>
  <c r="J710" i="35"/>
  <c r="H710" i="35"/>
  <c r="J709" i="35"/>
  <c r="H709" i="35"/>
  <c r="J708" i="35"/>
  <c r="H708" i="35"/>
  <c r="J707" i="35"/>
  <c r="H707" i="35"/>
  <c r="J706" i="35"/>
  <c r="H706" i="35"/>
  <c r="J705" i="35"/>
  <c r="H705" i="35"/>
  <c r="J704" i="35"/>
  <c r="H704" i="35"/>
  <c r="J703" i="35"/>
  <c r="H703" i="35"/>
  <c r="J702" i="35"/>
  <c r="H702" i="35"/>
  <c r="J701" i="35"/>
  <c r="H701" i="35"/>
  <c r="J700" i="35"/>
  <c r="H700" i="35"/>
  <c r="J699" i="35"/>
  <c r="H699" i="35"/>
  <c r="J698" i="35"/>
  <c r="H698" i="35"/>
  <c r="J697" i="35"/>
  <c r="H697" i="35"/>
  <c r="J696" i="35"/>
  <c r="H696" i="35"/>
  <c r="J695" i="35"/>
  <c r="H695" i="35"/>
  <c r="J694" i="35"/>
  <c r="H694" i="35"/>
  <c r="J693" i="35"/>
  <c r="H693" i="35"/>
  <c r="J692" i="35"/>
  <c r="H692" i="35"/>
  <c r="J691" i="35"/>
  <c r="H691" i="35"/>
  <c r="J690" i="35"/>
  <c r="H690" i="35"/>
  <c r="J689" i="35"/>
  <c r="H689" i="35"/>
  <c r="J688" i="35"/>
  <c r="H688" i="35"/>
  <c r="J687" i="35"/>
  <c r="H687" i="35"/>
  <c r="J686" i="35"/>
  <c r="H686" i="35"/>
  <c r="J685" i="35"/>
  <c r="H685" i="35"/>
  <c r="J684" i="35"/>
  <c r="H684" i="35"/>
  <c r="J683" i="35"/>
  <c r="H683" i="35"/>
  <c r="J682" i="35"/>
  <c r="H682" i="35"/>
  <c r="J681" i="35"/>
  <c r="H681" i="35"/>
  <c r="J680" i="35"/>
  <c r="H680" i="35"/>
  <c r="J679" i="35"/>
  <c r="H679" i="35"/>
  <c r="J678" i="35"/>
  <c r="H678" i="35"/>
  <c r="J677" i="35"/>
  <c r="H677" i="35"/>
  <c r="J676" i="35"/>
  <c r="H676" i="35"/>
  <c r="J675" i="35"/>
  <c r="H675" i="35"/>
  <c r="J674" i="35"/>
  <c r="H674" i="35"/>
  <c r="J673" i="35"/>
  <c r="H673" i="35"/>
  <c r="J672" i="35"/>
  <c r="H672" i="35"/>
  <c r="J671" i="35"/>
  <c r="H671" i="35"/>
  <c r="J670" i="35"/>
  <c r="H670" i="35"/>
  <c r="J669" i="35"/>
  <c r="H669" i="35"/>
  <c r="J668" i="35"/>
  <c r="H668" i="35"/>
  <c r="J667" i="35"/>
  <c r="H667" i="35"/>
  <c r="J666" i="35"/>
  <c r="H666" i="35"/>
  <c r="J665" i="35"/>
  <c r="H665" i="35"/>
  <c r="J664" i="35"/>
  <c r="H664" i="35"/>
  <c r="J663" i="35"/>
  <c r="H663" i="35"/>
  <c r="J662" i="35"/>
  <c r="H662" i="35"/>
  <c r="J661" i="35"/>
  <c r="H661" i="35"/>
  <c r="J660" i="35"/>
  <c r="H660" i="35"/>
  <c r="J659" i="35"/>
  <c r="H659" i="35"/>
  <c r="J658" i="35"/>
  <c r="H658" i="35"/>
  <c r="J657" i="35"/>
  <c r="H657" i="35"/>
  <c r="J656" i="35"/>
  <c r="H656" i="35"/>
  <c r="J655" i="35"/>
  <c r="H655" i="35"/>
  <c r="J654" i="35"/>
  <c r="H654" i="35"/>
  <c r="J653" i="35"/>
  <c r="H653" i="35"/>
  <c r="J652" i="35"/>
  <c r="H652" i="35"/>
  <c r="J651" i="35"/>
  <c r="H651" i="35"/>
  <c r="J650" i="35"/>
  <c r="H650" i="35"/>
  <c r="J649" i="35"/>
  <c r="H649" i="35"/>
  <c r="J648" i="35"/>
  <c r="H648" i="35"/>
  <c r="J647" i="35"/>
  <c r="H647" i="35"/>
  <c r="J646" i="35"/>
  <c r="H646" i="35"/>
  <c r="J645" i="35"/>
  <c r="H645" i="35"/>
  <c r="J644" i="35"/>
  <c r="H644" i="35"/>
  <c r="J643" i="35"/>
  <c r="H643" i="35"/>
  <c r="J642" i="35"/>
  <c r="H642" i="35"/>
  <c r="J641" i="35"/>
  <c r="H641" i="35"/>
  <c r="J640" i="35"/>
  <c r="H640" i="35"/>
  <c r="J639" i="35"/>
  <c r="H639" i="35"/>
  <c r="J638" i="35"/>
  <c r="H638" i="35"/>
  <c r="J637" i="35"/>
  <c r="H637" i="35"/>
  <c r="J636" i="35"/>
  <c r="H636" i="35"/>
  <c r="J635" i="35"/>
  <c r="H635" i="35"/>
  <c r="J634" i="35"/>
  <c r="H634" i="35"/>
  <c r="J633" i="35"/>
  <c r="H633" i="35"/>
  <c r="J632" i="35"/>
  <c r="H632" i="35"/>
  <c r="J631" i="35"/>
  <c r="H631" i="35"/>
  <c r="J630" i="35"/>
  <c r="H630" i="35"/>
  <c r="J629" i="35"/>
  <c r="H629" i="35"/>
  <c r="J628" i="35"/>
  <c r="H628" i="35"/>
  <c r="J627" i="35"/>
  <c r="H627" i="35"/>
  <c r="J626" i="35"/>
  <c r="H626" i="35"/>
  <c r="J625" i="35"/>
  <c r="H625" i="35"/>
  <c r="J624" i="35"/>
  <c r="H624" i="35"/>
  <c r="J623" i="35"/>
  <c r="H623" i="35"/>
  <c r="J622" i="35"/>
  <c r="H622" i="35"/>
  <c r="J621" i="35"/>
  <c r="H621" i="35"/>
  <c r="J620" i="35"/>
  <c r="H620" i="35"/>
  <c r="J619" i="35"/>
  <c r="H619" i="35"/>
  <c r="J618" i="35"/>
  <c r="H618" i="35"/>
  <c r="J617" i="35"/>
  <c r="H617" i="35"/>
  <c r="J616" i="35"/>
  <c r="H616" i="35"/>
  <c r="J615" i="35"/>
  <c r="H615" i="35"/>
  <c r="J614" i="35"/>
  <c r="H614" i="35"/>
  <c r="J613" i="35"/>
  <c r="H613" i="35"/>
  <c r="J612" i="35"/>
  <c r="H612" i="35"/>
  <c r="J611" i="35"/>
  <c r="H611" i="35"/>
  <c r="J610" i="35"/>
  <c r="H610" i="35"/>
  <c r="J609" i="35"/>
  <c r="H609" i="35"/>
  <c r="J608" i="35"/>
  <c r="H608" i="35"/>
  <c r="J607" i="35"/>
  <c r="H607" i="35"/>
  <c r="J606" i="35"/>
  <c r="H606" i="35"/>
  <c r="J605" i="35"/>
  <c r="H605" i="35"/>
  <c r="J604" i="35"/>
  <c r="H604" i="35"/>
  <c r="J603" i="35"/>
  <c r="H603" i="35"/>
  <c r="J602" i="35"/>
  <c r="H602" i="35"/>
  <c r="J601" i="35"/>
  <c r="H601" i="35"/>
  <c r="J600" i="35"/>
  <c r="H600" i="35"/>
  <c r="J599" i="35"/>
  <c r="H599" i="35"/>
  <c r="J598" i="35"/>
  <c r="H598" i="35"/>
  <c r="J597" i="35"/>
  <c r="H597" i="35"/>
  <c r="J596" i="35"/>
  <c r="H596" i="35"/>
  <c r="J595" i="35"/>
  <c r="H595" i="35"/>
  <c r="J594" i="35"/>
  <c r="H594" i="35"/>
  <c r="J593" i="35"/>
  <c r="H593" i="35"/>
  <c r="J592" i="35"/>
  <c r="H592" i="35"/>
  <c r="J591" i="35"/>
  <c r="H591" i="35"/>
  <c r="J590" i="35"/>
  <c r="H590" i="35"/>
  <c r="J589" i="35"/>
  <c r="H589" i="35"/>
  <c r="J588" i="35"/>
  <c r="H588" i="35"/>
  <c r="J587" i="35"/>
  <c r="H587" i="35"/>
  <c r="J586" i="35"/>
  <c r="H586" i="35"/>
  <c r="J585" i="35"/>
  <c r="H585" i="35"/>
  <c r="J584" i="35"/>
  <c r="H584" i="35"/>
  <c r="J583" i="35"/>
  <c r="H583" i="35"/>
  <c r="J582" i="35"/>
  <c r="H582" i="35"/>
  <c r="J581" i="35"/>
  <c r="H581" i="35"/>
  <c r="J580" i="35"/>
  <c r="H580" i="35"/>
  <c r="J579" i="35"/>
  <c r="H579" i="35"/>
  <c r="J578" i="35"/>
  <c r="H578" i="35"/>
  <c r="J577" i="35"/>
  <c r="H577" i="35"/>
  <c r="J576" i="35"/>
  <c r="H576" i="35"/>
  <c r="J575" i="35"/>
  <c r="H575" i="35"/>
  <c r="J574" i="35"/>
  <c r="H574" i="35"/>
  <c r="J573" i="35"/>
  <c r="H573" i="35"/>
  <c r="J572" i="35"/>
  <c r="H572" i="35"/>
  <c r="J571" i="35"/>
  <c r="H571" i="35"/>
  <c r="J570" i="35"/>
  <c r="H570" i="35"/>
  <c r="J569" i="35"/>
  <c r="H569" i="35"/>
  <c r="J568" i="35"/>
  <c r="H568" i="35"/>
  <c r="J567" i="35"/>
  <c r="H567" i="35"/>
  <c r="J566" i="35"/>
  <c r="H566" i="35"/>
  <c r="J565" i="35"/>
  <c r="H565" i="35"/>
  <c r="J564" i="35"/>
  <c r="H564" i="35"/>
  <c r="J563" i="35"/>
  <c r="H563" i="35"/>
  <c r="J562" i="35"/>
  <c r="H562" i="35"/>
  <c r="J561" i="35"/>
  <c r="H561" i="35"/>
  <c r="J560" i="35"/>
  <c r="H560" i="35"/>
  <c r="J559" i="35"/>
  <c r="H559" i="35"/>
  <c r="J558" i="35"/>
  <c r="H558" i="35"/>
  <c r="J557" i="35"/>
  <c r="H557" i="35"/>
  <c r="J556" i="35"/>
  <c r="H556" i="35"/>
  <c r="J555" i="35"/>
  <c r="H555" i="35"/>
  <c r="J554" i="35"/>
  <c r="H554" i="35"/>
  <c r="J553" i="35"/>
  <c r="H553" i="35"/>
  <c r="J552" i="35"/>
  <c r="H552" i="35"/>
  <c r="J551" i="35"/>
  <c r="H551" i="35"/>
  <c r="J550" i="35"/>
  <c r="H550" i="35"/>
  <c r="J549" i="35"/>
  <c r="H549" i="35"/>
  <c r="J548" i="35"/>
  <c r="H548" i="35"/>
  <c r="J547" i="35"/>
  <c r="H547" i="35"/>
  <c r="J546" i="35"/>
  <c r="H546" i="35"/>
  <c r="J545" i="35"/>
  <c r="H545" i="35"/>
  <c r="J544" i="35"/>
  <c r="H544" i="35"/>
  <c r="J543" i="35"/>
  <c r="H543" i="35"/>
  <c r="J542" i="35"/>
  <c r="H542" i="35"/>
  <c r="J541" i="35"/>
  <c r="H541" i="35"/>
  <c r="J540" i="35"/>
  <c r="H540" i="35"/>
  <c r="J539" i="35"/>
  <c r="H539" i="35"/>
  <c r="J538" i="35"/>
  <c r="H538" i="35"/>
  <c r="J537" i="35"/>
  <c r="H537" i="35"/>
  <c r="J536" i="35"/>
  <c r="H536" i="35"/>
  <c r="J535" i="35"/>
  <c r="H535" i="35"/>
  <c r="J534" i="35"/>
  <c r="H534" i="35"/>
  <c r="J533" i="35"/>
  <c r="H533" i="35"/>
  <c r="J532" i="35"/>
  <c r="H532" i="35"/>
  <c r="J531" i="35"/>
  <c r="H531" i="35"/>
  <c r="J530" i="35"/>
  <c r="H530" i="35"/>
  <c r="J529" i="35"/>
  <c r="H529" i="35"/>
  <c r="J528" i="35"/>
  <c r="H528" i="35"/>
  <c r="J527" i="35"/>
  <c r="H527" i="35"/>
  <c r="J526" i="35"/>
  <c r="H526" i="35"/>
  <c r="J525" i="35"/>
  <c r="H525" i="35"/>
  <c r="J524" i="35"/>
  <c r="H524" i="35"/>
  <c r="J523" i="35"/>
  <c r="H523" i="35"/>
  <c r="J522" i="35"/>
  <c r="H522" i="35"/>
  <c r="J521" i="35"/>
  <c r="H521" i="35"/>
  <c r="J520" i="35"/>
  <c r="H520" i="35"/>
  <c r="J519" i="35"/>
  <c r="H519" i="35"/>
  <c r="J518" i="35"/>
  <c r="H518" i="35"/>
  <c r="J517" i="35"/>
  <c r="H517" i="35"/>
  <c r="J516" i="35"/>
  <c r="H516" i="35"/>
  <c r="J515" i="35"/>
  <c r="H515" i="35"/>
  <c r="J514" i="35"/>
  <c r="H514" i="35"/>
  <c r="J513" i="35"/>
  <c r="H513" i="35"/>
  <c r="J512" i="35"/>
  <c r="H512" i="35"/>
  <c r="J511" i="35"/>
  <c r="H511" i="35"/>
  <c r="J510" i="35"/>
  <c r="H510" i="35"/>
  <c r="J509" i="35"/>
  <c r="H509" i="35"/>
  <c r="J508" i="35"/>
  <c r="H508" i="35"/>
  <c r="J507" i="35"/>
  <c r="H507" i="35"/>
  <c r="J506" i="35"/>
  <c r="H506" i="35"/>
  <c r="J505" i="35"/>
  <c r="H505" i="35"/>
  <c r="J504" i="35"/>
  <c r="H504" i="35"/>
  <c r="J503" i="35"/>
  <c r="H503" i="35"/>
  <c r="J502" i="35"/>
  <c r="H502" i="35"/>
  <c r="J501" i="35"/>
  <c r="H501" i="35"/>
  <c r="J500" i="35"/>
  <c r="H500" i="35"/>
  <c r="J499" i="35"/>
  <c r="H499" i="35"/>
  <c r="J498" i="35"/>
  <c r="H498" i="35"/>
  <c r="J497" i="35"/>
  <c r="H497" i="35"/>
  <c r="J496" i="35"/>
  <c r="H496" i="35"/>
  <c r="J495" i="35"/>
  <c r="H495" i="35"/>
  <c r="J494" i="35"/>
  <c r="H494" i="35"/>
  <c r="J493" i="35"/>
  <c r="H493" i="35"/>
  <c r="J492" i="35"/>
  <c r="H492" i="35"/>
  <c r="J491" i="35"/>
  <c r="H491" i="35"/>
  <c r="J490" i="35"/>
  <c r="H490" i="35"/>
  <c r="J489" i="35"/>
  <c r="H489" i="35"/>
  <c r="J488" i="35"/>
  <c r="H488" i="35"/>
  <c r="J487" i="35"/>
  <c r="H487" i="35"/>
  <c r="J486" i="35"/>
  <c r="H486" i="35"/>
  <c r="J485" i="35"/>
  <c r="H485" i="35"/>
  <c r="J484" i="35"/>
  <c r="H484" i="35"/>
  <c r="J483" i="35"/>
  <c r="H483" i="35"/>
  <c r="J482" i="35"/>
  <c r="H482" i="35"/>
  <c r="J481" i="35"/>
  <c r="H481" i="35"/>
  <c r="J480" i="35"/>
  <c r="H480" i="35"/>
  <c r="J479" i="35"/>
  <c r="H479" i="35"/>
  <c r="J478" i="35"/>
  <c r="H478" i="35"/>
  <c r="J477" i="35"/>
  <c r="H477" i="35"/>
  <c r="J476" i="35"/>
  <c r="H476" i="35"/>
  <c r="J475" i="35"/>
  <c r="H475" i="35"/>
  <c r="J474" i="35"/>
  <c r="H474" i="35"/>
  <c r="J473" i="35"/>
  <c r="H473" i="35"/>
  <c r="J472" i="35"/>
  <c r="H472" i="35"/>
  <c r="J471" i="35"/>
  <c r="H471" i="35"/>
  <c r="J470" i="35"/>
  <c r="H470" i="35"/>
  <c r="J469" i="35"/>
  <c r="H469" i="35"/>
  <c r="J468" i="35"/>
  <c r="H468" i="35"/>
  <c r="J467" i="35"/>
  <c r="H467" i="35"/>
  <c r="J466" i="35"/>
  <c r="H466" i="35"/>
  <c r="J465" i="35"/>
  <c r="H465" i="35"/>
  <c r="J464" i="35"/>
  <c r="H464" i="35"/>
  <c r="J463" i="35"/>
  <c r="H463" i="35"/>
  <c r="J462" i="35"/>
  <c r="H462" i="35"/>
  <c r="J461" i="35"/>
  <c r="H461" i="35"/>
  <c r="J460" i="35"/>
  <c r="H460" i="35"/>
  <c r="J459" i="35"/>
  <c r="H459" i="35"/>
  <c r="J458" i="35"/>
  <c r="H458" i="35"/>
  <c r="J457" i="35"/>
  <c r="H457" i="35"/>
  <c r="J456" i="35"/>
  <c r="H456" i="35"/>
  <c r="J455" i="35"/>
  <c r="H455" i="35"/>
  <c r="J454" i="35"/>
  <c r="H454" i="35"/>
  <c r="J453" i="35"/>
  <c r="H453" i="35"/>
  <c r="J452" i="35"/>
  <c r="H452" i="35"/>
  <c r="J451" i="35"/>
  <c r="H451" i="35"/>
  <c r="J450" i="35"/>
  <c r="H450" i="35"/>
  <c r="J449" i="35"/>
  <c r="H449" i="35"/>
  <c r="J448" i="35"/>
  <c r="H448" i="35"/>
  <c r="J447" i="35"/>
  <c r="H447" i="35"/>
  <c r="J446" i="35"/>
  <c r="H446" i="35"/>
  <c r="J445" i="35"/>
  <c r="H445" i="35"/>
  <c r="J444" i="35"/>
  <c r="H444" i="35"/>
  <c r="J443" i="35"/>
  <c r="H443" i="35"/>
  <c r="J442" i="35"/>
  <c r="H442" i="35"/>
  <c r="J441" i="35"/>
  <c r="H441" i="35"/>
  <c r="J440" i="35"/>
  <c r="H440" i="35"/>
  <c r="J439" i="35"/>
  <c r="H439" i="35"/>
  <c r="J438" i="35"/>
  <c r="H438" i="35"/>
  <c r="J437" i="35"/>
  <c r="H437" i="35"/>
  <c r="J436" i="35"/>
  <c r="H436" i="35"/>
  <c r="J435" i="35"/>
  <c r="H435" i="35"/>
  <c r="J434" i="35"/>
  <c r="H434" i="35"/>
  <c r="J433" i="35"/>
  <c r="H433" i="35"/>
  <c r="J432" i="35"/>
  <c r="H432" i="35"/>
  <c r="J431" i="35"/>
  <c r="H431" i="35"/>
  <c r="J430" i="35"/>
  <c r="H430" i="35"/>
  <c r="J429" i="35"/>
  <c r="H429" i="35"/>
  <c r="J428" i="35"/>
  <c r="H428" i="35"/>
  <c r="J427" i="35"/>
  <c r="H427" i="35"/>
  <c r="J426" i="35"/>
  <c r="H426" i="35"/>
  <c r="J425" i="35"/>
  <c r="H425" i="35"/>
  <c r="J424" i="35"/>
  <c r="H424" i="35"/>
  <c r="J423" i="35"/>
  <c r="H423" i="35"/>
  <c r="J422" i="35"/>
  <c r="H422" i="35"/>
  <c r="J421" i="35"/>
  <c r="H421" i="35"/>
  <c r="J420" i="35"/>
  <c r="H420" i="35"/>
  <c r="J419" i="35"/>
  <c r="H419" i="35"/>
  <c r="J418" i="35"/>
  <c r="H418" i="35"/>
  <c r="J417" i="35"/>
  <c r="H417" i="35"/>
  <c r="J416" i="35"/>
  <c r="H416" i="35"/>
  <c r="J415" i="35"/>
  <c r="H415" i="35"/>
  <c r="J414" i="35"/>
  <c r="H414" i="35"/>
  <c r="J413" i="35"/>
  <c r="H413" i="35"/>
  <c r="J412" i="35"/>
  <c r="H412" i="35"/>
  <c r="J411" i="35"/>
  <c r="H411" i="35"/>
  <c r="J410" i="35"/>
  <c r="H410" i="35"/>
  <c r="J409" i="35"/>
  <c r="H409" i="35"/>
  <c r="J408" i="35"/>
  <c r="H408" i="35"/>
  <c r="J407" i="35"/>
  <c r="H407" i="35"/>
  <c r="J406" i="35"/>
  <c r="H406" i="35"/>
  <c r="J405" i="35"/>
  <c r="H405" i="35"/>
  <c r="J404" i="35"/>
  <c r="H404" i="35"/>
  <c r="J403" i="35"/>
  <c r="H403" i="35"/>
  <c r="J402" i="35"/>
  <c r="H402" i="35"/>
  <c r="J401" i="35"/>
  <c r="H401" i="35"/>
  <c r="J400" i="35"/>
  <c r="H400" i="35"/>
  <c r="J399" i="35"/>
  <c r="H399" i="35"/>
  <c r="J398" i="35"/>
  <c r="H398" i="35"/>
  <c r="J397" i="35"/>
  <c r="H397" i="35"/>
  <c r="J396" i="35"/>
  <c r="H396" i="35"/>
  <c r="J395" i="35"/>
  <c r="H395" i="35"/>
  <c r="J394" i="35"/>
  <c r="H394" i="35"/>
  <c r="J393" i="35"/>
  <c r="H393" i="35"/>
  <c r="J392" i="35"/>
  <c r="H392" i="35"/>
  <c r="J391" i="35"/>
  <c r="H391" i="35"/>
  <c r="J390" i="35"/>
  <c r="H390" i="35"/>
  <c r="J389" i="35"/>
  <c r="H389" i="35"/>
  <c r="J388" i="35"/>
  <c r="H388" i="35"/>
  <c r="J387" i="35"/>
  <c r="H387" i="35"/>
  <c r="J386" i="35"/>
  <c r="H386" i="35"/>
  <c r="J385" i="35"/>
  <c r="H385" i="35"/>
  <c r="J384" i="35"/>
  <c r="H384" i="35"/>
  <c r="J383" i="35"/>
  <c r="H383" i="35"/>
  <c r="J382" i="35"/>
  <c r="H382" i="35"/>
  <c r="J381" i="35"/>
  <c r="H381" i="35"/>
  <c r="J380" i="35"/>
  <c r="H380" i="35"/>
  <c r="J379" i="35"/>
  <c r="H379" i="35"/>
  <c r="J378" i="35"/>
  <c r="H378" i="35"/>
  <c r="J377" i="35"/>
  <c r="H377" i="35"/>
  <c r="J376" i="35"/>
  <c r="H376" i="35"/>
  <c r="J375" i="35"/>
  <c r="H375" i="35"/>
  <c r="J374" i="35"/>
  <c r="H374" i="35"/>
  <c r="J373" i="35"/>
  <c r="H373" i="35"/>
  <c r="J372" i="35"/>
  <c r="H372" i="35"/>
  <c r="J371" i="35"/>
  <c r="H371" i="35"/>
  <c r="J370" i="35"/>
  <c r="H370" i="35"/>
  <c r="J369" i="35"/>
  <c r="H369" i="35"/>
  <c r="J368" i="35"/>
  <c r="H368" i="35"/>
  <c r="J367" i="35"/>
  <c r="H367" i="35"/>
  <c r="J366" i="35"/>
  <c r="H366" i="35"/>
  <c r="J365" i="35"/>
  <c r="H365" i="35"/>
  <c r="J364" i="35"/>
  <c r="H364" i="35"/>
  <c r="J363" i="35"/>
  <c r="H363" i="35"/>
  <c r="J362" i="35"/>
  <c r="H362" i="35"/>
  <c r="J361" i="35"/>
  <c r="H361" i="35"/>
  <c r="J360" i="35"/>
  <c r="H360" i="35"/>
  <c r="J359" i="35"/>
  <c r="H359" i="35"/>
  <c r="J358" i="35"/>
  <c r="H358" i="35"/>
  <c r="J357" i="35"/>
  <c r="H357" i="35"/>
  <c r="J356" i="35"/>
  <c r="H356" i="35"/>
  <c r="J355" i="35"/>
  <c r="H355" i="35"/>
  <c r="J354" i="35"/>
  <c r="H354" i="35"/>
  <c r="J353" i="35"/>
  <c r="H353" i="35"/>
  <c r="J352" i="35"/>
  <c r="H352" i="35"/>
  <c r="J351" i="35"/>
  <c r="H351" i="35"/>
  <c r="J350" i="35"/>
  <c r="H350" i="35"/>
  <c r="J349" i="35"/>
  <c r="H349" i="35"/>
  <c r="J348" i="35"/>
  <c r="H348" i="35"/>
  <c r="J347" i="35"/>
  <c r="H347" i="35"/>
  <c r="J346" i="35"/>
  <c r="H346" i="35"/>
  <c r="J345" i="35"/>
  <c r="H345" i="35"/>
  <c r="J344" i="35"/>
  <c r="H344" i="35"/>
  <c r="J343" i="35"/>
  <c r="H343" i="35"/>
  <c r="J342" i="35"/>
  <c r="H342" i="35"/>
  <c r="J341" i="35"/>
  <c r="H341" i="35"/>
  <c r="J340" i="35"/>
  <c r="H340" i="35"/>
  <c r="J339" i="35"/>
  <c r="H339" i="35"/>
  <c r="J338" i="35"/>
  <c r="H338" i="35"/>
  <c r="J337" i="35"/>
  <c r="H337" i="35"/>
  <c r="J336" i="35"/>
  <c r="H336" i="35"/>
  <c r="J335" i="35"/>
  <c r="H335" i="35"/>
  <c r="J334" i="35"/>
  <c r="H334" i="35"/>
  <c r="J333" i="35"/>
  <c r="H333" i="35"/>
  <c r="J332" i="35"/>
  <c r="H332" i="35"/>
  <c r="J331" i="35"/>
  <c r="H331" i="35"/>
  <c r="J330" i="35"/>
  <c r="H330" i="35"/>
  <c r="J329" i="35"/>
  <c r="H329" i="35"/>
  <c r="J328" i="35"/>
  <c r="H328" i="35"/>
  <c r="J327" i="35"/>
  <c r="H327" i="35"/>
  <c r="J326" i="35"/>
  <c r="H326" i="35"/>
  <c r="J325" i="35"/>
  <c r="H325" i="35"/>
  <c r="J324" i="35"/>
  <c r="H324" i="35"/>
  <c r="J323" i="35"/>
  <c r="H323" i="35"/>
  <c r="J322" i="35"/>
  <c r="H322" i="35"/>
  <c r="J321" i="35"/>
  <c r="H321" i="35"/>
  <c r="J320" i="35"/>
  <c r="H320" i="35"/>
  <c r="J319" i="35"/>
  <c r="H319" i="35"/>
  <c r="J318" i="35"/>
  <c r="H318" i="35"/>
  <c r="J317" i="35"/>
  <c r="H317" i="35"/>
  <c r="J316" i="35"/>
  <c r="H316" i="35"/>
  <c r="J315" i="35"/>
  <c r="H315" i="35"/>
  <c r="J314" i="35"/>
  <c r="H314" i="35"/>
  <c r="J313" i="35"/>
  <c r="H313" i="35"/>
  <c r="J312" i="35"/>
  <c r="H312" i="35"/>
  <c r="J311" i="35"/>
  <c r="H311" i="35"/>
  <c r="J310" i="35"/>
  <c r="H310" i="35"/>
  <c r="J309" i="35"/>
  <c r="H309" i="35"/>
  <c r="J308" i="35"/>
  <c r="H308" i="35"/>
  <c r="J307" i="35"/>
  <c r="H307" i="35"/>
  <c r="J306" i="35"/>
  <c r="H306" i="35"/>
  <c r="J305" i="35"/>
  <c r="H305" i="35"/>
  <c r="J304" i="35"/>
  <c r="H304" i="35"/>
  <c r="J303" i="35"/>
  <c r="H303" i="35"/>
  <c r="J302" i="35"/>
  <c r="H302" i="35"/>
  <c r="J301" i="35"/>
  <c r="H301" i="35"/>
  <c r="J300" i="35"/>
  <c r="H300" i="35"/>
  <c r="J299" i="35"/>
  <c r="H299" i="35"/>
  <c r="J298" i="35"/>
  <c r="H298" i="35"/>
  <c r="J297" i="35"/>
  <c r="H297" i="35"/>
  <c r="J296" i="35"/>
  <c r="H296" i="35"/>
  <c r="J295" i="35"/>
  <c r="H295" i="35"/>
  <c r="J294" i="35"/>
  <c r="H294" i="35"/>
  <c r="J293" i="35"/>
  <c r="H293" i="35"/>
  <c r="J292" i="35"/>
  <c r="H292" i="35"/>
  <c r="J291" i="35"/>
  <c r="H291" i="35"/>
  <c r="J290" i="35"/>
  <c r="H290" i="35"/>
  <c r="J289" i="35"/>
  <c r="H289" i="35"/>
  <c r="J288" i="35"/>
  <c r="H288" i="35"/>
  <c r="J287" i="35"/>
  <c r="H287" i="35"/>
  <c r="J286" i="35"/>
  <c r="H286" i="35"/>
  <c r="J285" i="35"/>
  <c r="H285" i="35"/>
  <c r="J284" i="35"/>
  <c r="H284" i="35"/>
  <c r="J283" i="35"/>
  <c r="H283" i="35"/>
  <c r="J282" i="35"/>
  <c r="H282" i="35"/>
  <c r="J281" i="35"/>
  <c r="H281" i="35"/>
  <c r="J280" i="35"/>
  <c r="H280" i="35"/>
  <c r="J279" i="35"/>
  <c r="H279" i="35"/>
  <c r="J278" i="35"/>
  <c r="H278" i="35"/>
  <c r="J277" i="35"/>
  <c r="H277" i="35"/>
  <c r="J276" i="35"/>
  <c r="H276" i="35"/>
  <c r="J275" i="35"/>
  <c r="H275" i="35"/>
  <c r="J274" i="35"/>
  <c r="H274" i="35"/>
  <c r="J273" i="35"/>
  <c r="H273" i="35"/>
  <c r="J272" i="35"/>
  <c r="H272" i="35"/>
  <c r="J271" i="35"/>
  <c r="H271" i="35"/>
  <c r="J270" i="35"/>
  <c r="H270" i="35"/>
  <c r="J269" i="35"/>
  <c r="H269" i="35"/>
  <c r="J268" i="35"/>
  <c r="H268" i="35"/>
  <c r="J267" i="35"/>
  <c r="H267" i="35"/>
  <c r="J266" i="35"/>
  <c r="H266" i="35"/>
  <c r="J265" i="35"/>
  <c r="H265" i="35"/>
  <c r="J264" i="35"/>
  <c r="H264" i="35"/>
  <c r="J263" i="35"/>
  <c r="H263" i="35"/>
  <c r="J262" i="35"/>
  <c r="H262" i="35"/>
  <c r="J261" i="35"/>
  <c r="H261" i="35"/>
  <c r="J260" i="35"/>
  <c r="H260" i="35"/>
  <c r="J259" i="35"/>
  <c r="H259" i="35"/>
  <c r="J258" i="35"/>
  <c r="H258" i="35"/>
  <c r="J257" i="35"/>
  <c r="H257" i="35"/>
  <c r="J256" i="35"/>
  <c r="H256" i="35"/>
  <c r="J255" i="35"/>
  <c r="H255" i="35"/>
  <c r="J254" i="35"/>
  <c r="H254" i="35"/>
  <c r="J253" i="35"/>
  <c r="H253" i="35"/>
  <c r="J252" i="35"/>
  <c r="H252" i="35"/>
  <c r="J251" i="35"/>
  <c r="H251" i="35"/>
  <c r="J250" i="35"/>
  <c r="H250" i="35"/>
  <c r="J249" i="35"/>
  <c r="H249" i="35"/>
  <c r="J248" i="35"/>
  <c r="H248" i="35"/>
  <c r="J247" i="35"/>
  <c r="H247" i="35"/>
  <c r="J246" i="35"/>
  <c r="H246" i="35"/>
  <c r="J245" i="35"/>
  <c r="H245" i="35"/>
  <c r="J244" i="35"/>
  <c r="H244" i="35"/>
  <c r="J243" i="35"/>
  <c r="H243" i="35"/>
  <c r="J242" i="35"/>
  <c r="H242" i="35"/>
  <c r="J241" i="35"/>
  <c r="H241" i="35"/>
  <c r="J240" i="35"/>
  <c r="H240" i="35"/>
  <c r="J239" i="35"/>
  <c r="H239" i="35"/>
  <c r="J238" i="35"/>
  <c r="H238" i="35"/>
  <c r="J237" i="35"/>
  <c r="H237" i="35"/>
  <c r="J236" i="35"/>
  <c r="H236" i="35"/>
  <c r="J235" i="35"/>
  <c r="H235" i="35"/>
  <c r="J234" i="35"/>
  <c r="H234" i="35"/>
  <c r="J233" i="35"/>
  <c r="H233" i="35"/>
  <c r="J232" i="35"/>
  <c r="H232" i="35"/>
  <c r="J231" i="35"/>
  <c r="H231" i="35"/>
  <c r="J230" i="35"/>
  <c r="H230" i="35"/>
  <c r="J229" i="35"/>
  <c r="H229" i="35"/>
  <c r="J228" i="35"/>
  <c r="H228" i="35"/>
  <c r="J227" i="35"/>
  <c r="H227" i="35"/>
  <c r="J226" i="35"/>
  <c r="H226" i="35"/>
  <c r="J225" i="35"/>
  <c r="H225" i="35"/>
  <c r="J224" i="35"/>
  <c r="H224" i="35"/>
  <c r="J223" i="35"/>
  <c r="H223" i="35"/>
  <c r="J222" i="35"/>
  <c r="H222" i="35"/>
  <c r="J221" i="35"/>
  <c r="H221" i="35"/>
  <c r="J220" i="35"/>
  <c r="H220" i="35"/>
  <c r="J219" i="35"/>
  <c r="H219" i="35"/>
  <c r="J218" i="35"/>
  <c r="H218" i="35"/>
  <c r="J217" i="35"/>
  <c r="H217" i="35"/>
  <c r="J216" i="35"/>
  <c r="H216" i="35"/>
  <c r="J215" i="35"/>
  <c r="H215" i="35"/>
  <c r="J214" i="35"/>
  <c r="H214" i="35"/>
  <c r="J213" i="35"/>
  <c r="H213" i="35"/>
  <c r="J212" i="35"/>
  <c r="H212" i="35"/>
  <c r="J211" i="35"/>
  <c r="H211" i="35"/>
  <c r="J210" i="35"/>
  <c r="H210" i="35"/>
  <c r="J209" i="35"/>
  <c r="H209" i="35"/>
  <c r="J208" i="35"/>
  <c r="H208" i="35"/>
  <c r="J207" i="35"/>
  <c r="H207" i="35"/>
  <c r="J206" i="35"/>
  <c r="H206" i="35"/>
  <c r="J205" i="35"/>
  <c r="H205" i="35"/>
  <c r="J204" i="35"/>
  <c r="H204" i="35"/>
  <c r="J203" i="35"/>
  <c r="H203" i="35"/>
  <c r="J202" i="35"/>
  <c r="H202" i="35"/>
  <c r="J201" i="35"/>
  <c r="H201" i="35"/>
  <c r="J200" i="35"/>
  <c r="H200" i="35"/>
  <c r="J199" i="35"/>
  <c r="H199" i="35"/>
  <c r="J198" i="35"/>
  <c r="H198" i="35"/>
  <c r="J197" i="35"/>
  <c r="H197" i="35"/>
  <c r="J196" i="35"/>
  <c r="H196" i="35"/>
  <c r="J195" i="35"/>
  <c r="H195" i="35"/>
  <c r="J194" i="35"/>
  <c r="H194" i="35"/>
  <c r="J193" i="35"/>
  <c r="H193" i="35"/>
  <c r="J192" i="35"/>
  <c r="H192" i="35"/>
  <c r="J191" i="35"/>
  <c r="H191" i="35"/>
  <c r="J190" i="35"/>
  <c r="H190" i="35"/>
  <c r="J189" i="35"/>
  <c r="H189" i="35"/>
  <c r="J188" i="35"/>
  <c r="H188" i="35"/>
  <c r="J187" i="35"/>
  <c r="H187" i="35"/>
  <c r="J186" i="35"/>
  <c r="H186" i="35"/>
  <c r="J185" i="35"/>
  <c r="H185" i="35"/>
  <c r="J184" i="35"/>
  <c r="H184" i="35"/>
  <c r="J183" i="35"/>
  <c r="H183" i="35"/>
  <c r="J182" i="35"/>
  <c r="H182" i="35"/>
  <c r="J181" i="35"/>
  <c r="H181" i="35"/>
  <c r="J180" i="35"/>
  <c r="H180" i="35"/>
  <c r="J179" i="35"/>
  <c r="H179" i="35"/>
  <c r="J178" i="35"/>
  <c r="H178" i="35"/>
  <c r="J177" i="35"/>
  <c r="H177" i="35"/>
  <c r="J176" i="35"/>
  <c r="H176" i="35"/>
  <c r="J175" i="35"/>
  <c r="H175" i="35"/>
  <c r="J174" i="35"/>
  <c r="H174" i="35"/>
  <c r="J173" i="35"/>
  <c r="H173" i="35"/>
  <c r="J172" i="35"/>
  <c r="H172" i="35"/>
  <c r="J171" i="35"/>
  <c r="H171" i="35"/>
  <c r="J170" i="35"/>
  <c r="H170" i="35"/>
  <c r="J169" i="35"/>
  <c r="H169" i="35"/>
  <c r="J168" i="35"/>
  <c r="H168" i="35"/>
  <c r="J167" i="35"/>
  <c r="H167" i="35"/>
  <c r="J166" i="35"/>
  <c r="H166" i="35"/>
  <c r="J165" i="35"/>
  <c r="H165" i="35"/>
  <c r="J164" i="35"/>
  <c r="H164" i="35"/>
  <c r="J163" i="35"/>
  <c r="H163" i="35"/>
  <c r="J162" i="35"/>
  <c r="H162" i="35"/>
  <c r="J161" i="35"/>
  <c r="H161" i="35"/>
  <c r="J160" i="35"/>
  <c r="H160" i="35"/>
  <c r="J159" i="35"/>
  <c r="H159" i="35"/>
  <c r="J158" i="35"/>
  <c r="H158" i="35"/>
  <c r="J157" i="35"/>
  <c r="H157" i="35"/>
  <c r="J156" i="35"/>
  <c r="H156" i="35"/>
  <c r="J155" i="35"/>
  <c r="H155" i="35"/>
  <c r="J154" i="35"/>
  <c r="H154" i="35"/>
  <c r="J153" i="35"/>
  <c r="H153" i="35"/>
  <c r="J152" i="35"/>
  <c r="H152" i="35"/>
  <c r="J151" i="35"/>
  <c r="H151" i="35"/>
  <c r="J150" i="35"/>
  <c r="H150" i="35"/>
  <c r="J149" i="35"/>
  <c r="H149" i="35"/>
  <c r="J148" i="35"/>
  <c r="H148" i="35"/>
  <c r="J147" i="35"/>
  <c r="H147" i="35"/>
  <c r="J146" i="35"/>
  <c r="H146" i="35"/>
  <c r="J145" i="35"/>
  <c r="H145" i="35"/>
  <c r="J144" i="35"/>
  <c r="H144" i="35"/>
  <c r="J143" i="35"/>
  <c r="H143" i="35"/>
  <c r="J142" i="35"/>
  <c r="H142" i="35"/>
  <c r="J141" i="35"/>
  <c r="H141" i="35"/>
  <c r="J140" i="35"/>
  <c r="H140" i="35"/>
  <c r="J139" i="35"/>
  <c r="H139" i="35"/>
  <c r="J138" i="35"/>
  <c r="H138" i="35"/>
  <c r="J137" i="35"/>
  <c r="H137" i="35"/>
  <c r="J136" i="35"/>
  <c r="H136" i="35"/>
  <c r="J135" i="35"/>
  <c r="H135" i="35"/>
  <c r="J134" i="35"/>
  <c r="H134" i="35"/>
  <c r="J133" i="35"/>
  <c r="H133" i="35"/>
  <c r="J132" i="35"/>
  <c r="H132" i="35"/>
  <c r="J131" i="35"/>
  <c r="H131" i="35"/>
  <c r="J130" i="35"/>
  <c r="H130" i="35"/>
  <c r="J129" i="35"/>
  <c r="H129" i="35"/>
  <c r="J128" i="35"/>
  <c r="H128" i="35"/>
  <c r="J127" i="35"/>
  <c r="H127" i="35"/>
  <c r="J126" i="35"/>
  <c r="H126" i="35"/>
  <c r="J125" i="35"/>
  <c r="H125" i="35"/>
  <c r="J124" i="35"/>
  <c r="H124" i="35"/>
  <c r="J123" i="35"/>
  <c r="H123" i="35"/>
  <c r="J122" i="35"/>
  <c r="H122" i="35"/>
  <c r="J121" i="35"/>
  <c r="H121" i="35"/>
  <c r="J120" i="35"/>
  <c r="H120" i="35"/>
  <c r="J119" i="35"/>
  <c r="H119" i="35"/>
  <c r="J118" i="35"/>
  <c r="H118" i="35"/>
  <c r="J117" i="35"/>
  <c r="H117" i="35"/>
  <c r="J116" i="35"/>
  <c r="H116" i="35"/>
  <c r="J115" i="35"/>
  <c r="H115" i="35"/>
  <c r="J114" i="35"/>
  <c r="H114" i="35"/>
  <c r="J113" i="35"/>
  <c r="H113" i="35"/>
  <c r="J112" i="35"/>
  <c r="H112" i="35"/>
  <c r="J111" i="35"/>
  <c r="H111" i="35"/>
  <c r="J110" i="35"/>
  <c r="H110" i="35"/>
  <c r="J109" i="35"/>
  <c r="H109" i="35"/>
  <c r="J108" i="35"/>
  <c r="H108" i="35"/>
  <c r="J107" i="35"/>
  <c r="H107" i="35"/>
  <c r="J106" i="35"/>
  <c r="H106" i="35"/>
  <c r="J105" i="35"/>
  <c r="H105" i="35"/>
  <c r="J104" i="35"/>
  <c r="H104" i="35"/>
  <c r="J103" i="35"/>
  <c r="H103" i="35"/>
  <c r="J102" i="35"/>
  <c r="H102" i="35"/>
  <c r="J101" i="35"/>
  <c r="H101" i="35"/>
  <c r="J100" i="35"/>
  <c r="H100" i="35"/>
  <c r="J99" i="35"/>
  <c r="H99" i="35"/>
  <c r="J98" i="35"/>
  <c r="H98" i="35"/>
  <c r="J97" i="35"/>
  <c r="H97" i="35"/>
  <c r="J96" i="35"/>
  <c r="H96" i="35"/>
  <c r="J95" i="35"/>
  <c r="H95" i="35"/>
  <c r="J94" i="35"/>
  <c r="H94" i="35"/>
  <c r="J93" i="35"/>
  <c r="H93" i="35"/>
  <c r="J92" i="35"/>
  <c r="H92" i="35"/>
  <c r="J91" i="35"/>
  <c r="H91" i="35"/>
  <c r="J90" i="35"/>
  <c r="H90" i="35"/>
  <c r="J89" i="35"/>
  <c r="H89" i="35"/>
  <c r="J88" i="35"/>
  <c r="H88" i="35"/>
  <c r="J87" i="35"/>
  <c r="H87" i="35"/>
  <c r="J86" i="35"/>
  <c r="H86" i="35"/>
  <c r="J85" i="35"/>
  <c r="H85" i="35"/>
  <c r="J84" i="35"/>
  <c r="H84" i="35"/>
  <c r="J83" i="35"/>
  <c r="H83" i="35"/>
  <c r="J82" i="35"/>
  <c r="H82" i="35"/>
  <c r="J81" i="35"/>
  <c r="H81" i="35"/>
  <c r="J80" i="35"/>
  <c r="H80" i="35"/>
  <c r="J79" i="35"/>
  <c r="H79" i="35"/>
  <c r="J78" i="35"/>
  <c r="H78" i="35"/>
  <c r="J77" i="35"/>
  <c r="H77" i="35"/>
  <c r="J76" i="35"/>
  <c r="H76" i="35"/>
  <c r="J75" i="35"/>
  <c r="H75" i="35"/>
  <c r="J74" i="35"/>
  <c r="H74" i="35"/>
  <c r="J73" i="35"/>
  <c r="H73" i="35"/>
  <c r="J72" i="35"/>
  <c r="H72" i="35"/>
  <c r="J71" i="35"/>
  <c r="H71" i="35"/>
  <c r="J70" i="35"/>
  <c r="H70" i="35"/>
  <c r="J69" i="35"/>
  <c r="H69" i="35"/>
  <c r="J68" i="35"/>
  <c r="H68" i="35"/>
  <c r="J67" i="35"/>
  <c r="H67" i="35"/>
  <c r="J66" i="35"/>
  <c r="H66" i="35"/>
  <c r="J65" i="35"/>
  <c r="H65" i="35"/>
  <c r="J64" i="35"/>
  <c r="H64" i="35"/>
  <c r="J63" i="35"/>
  <c r="H63" i="35"/>
  <c r="J62" i="35"/>
  <c r="H62" i="35"/>
  <c r="J61" i="35"/>
  <c r="H61" i="35"/>
  <c r="J60" i="35"/>
  <c r="H60" i="35"/>
  <c r="J59" i="35"/>
  <c r="H59" i="35"/>
  <c r="J58" i="35"/>
  <c r="H58" i="35"/>
  <c r="J57" i="35"/>
  <c r="H57" i="35"/>
  <c r="J56" i="35"/>
  <c r="H56" i="35"/>
  <c r="J55" i="35"/>
  <c r="H55" i="35"/>
  <c r="J54" i="35"/>
  <c r="H54" i="35"/>
  <c r="J53" i="35"/>
  <c r="H53" i="35"/>
  <c r="J52" i="35"/>
  <c r="H52" i="35"/>
  <c r="J51" i="35"/>
  <c r="H51" i="35"/>
  <c r="J50" i="35"/>
  <c r="H50" i="35"/>
  <c r="J49" i="35"/>
  <c r="H49" i="35"/>
  <c r="J48" i="35"/>
  <c r="H48" i="35"/>
  <c r="J47" i="35"/>
  <c r="H47" i="35"/>
  <c r="J46" i="35"/>
  <c r="H46" i="35"/>
  <c r="J45" i="35"/>
  <c r="H45" i="35"/>
  <c r="J44" i="35"/>
  <c r="H44" i="35"/>
  <c r="J43" i="35"/>
  <c r="H43" i="35"/>
  <c r="J42" i="35"/>
  <c r="H42" i="35"/>
  <c r="J41" i="35"/>
  <c r="H41" i="35"/>
  <c r="J40" i="35"/>
  <c r="H40" i="35"/>
  <c r="J39" i="35"/>
  <c r="H39" i="35"/>
  <c r="J38" i="35"/>
  <c r="H38" i="35"/>
  <c r="J37" i="35"/>
  <c r="H37" i="35"/>
  <c r="J36" i="35"/>
  <c r="H36" i="35"/>
  <c r="J35" i="35"/>
  <c r="H35" i="35"/>
  <c r="J34" i="35"/>
  <c r="H34" i="35"/>
  <c r="J33" i="35"/>
  <c r="H33" i="35"/>
  <c r="J32" i="35"/>
  <c r="H32" i="35"/>
  <c r="J31" i="35"/>
  <c r="H31" i="35"/>
  <c r="J30" i="35"/>
  <c r="H30" i="35"/>
  <c r="J29" i="35"/>
  <c r="H29" i="35"/>
  <c r="J28" i="35"/>
  <c r="H28" i="35"/>
  <c r="J27" i="35"/>
  <c r="H27" i="35"/>
  <c r="J26" i="35"/>
  <c r="H26" i="35"/>
  <c r="J25" i="35"/>
  <c r="H25" i="35"/>
  <c r="J24" i="35"/>
  <c r="H24" i="35"/>
  <c r="J23" i="35"/>
  <c r="H23" i="35"/>
  <c r="J22" i="35"/>
  <c r="H22" i="35"/>
  <c r="J21" i="35"/>
  <c r="H21" i="35"/>
  <c r="J20" i="35"/>
  <c r="H20" i="35"/>
  <c r="J19" i="35"/>
  <c r="H19" i="35"/>
  <c r="J18" i="35"/>
  <c r="H18" i="35"/>
  <c r="J17" i="35"/>
  <c r="H17" i="35"/>
  <c r="J16" i="35"/>
  <c r="H16" i="35"/>
  <c r="J15" i="35"/>
  <c r="H15" i="35"/>
  <c r="J14" i="35"/>
  <c r="H14" i="35"/>
  <c r="J13" i="35"/>
  <c r="H13" i="35"/>
  <c r="J12" i="35"/>
  <c r="H12" i="35"/>
  <c r="J11" i="35"/>
  <c r="H11" i="35"/>
  <c r="J10" i="35"/>
  <c r="H10" i="35"/>
  <c r="J9" i="35"/>
  <c r="H9" i="35"/>
  <c r="J8" i="35"/>
  <c r="H8" i="35"/>
  <c r="J7" i="35"/>
  <c r="H7" i="35"/>
  <c r="J6" i="35"/>
  <c r="H6" i="35"/>
  <c r="J5" i="35"/>
  <c r="H5" i="35"/>
  <c r="J4" i="35"/>
  <c r="H4" i="35"/>
  <c r="J3" i="35"/>
  <c r="H3" i="35"/>
  <c r="A3" i="35"/>
  <c r="A4" i="35"/>
  <c r="A5" i="35"/>
  <c r="A6" i="35"/>
  <c r="A7" i="35"/>
  <c r="A8" i="35"/>
  <c r="A9" i="35"/>
  <c r="A10" i="35"/>
  <c r="A11" i="35"/>
  <c r="A12" i="35"/>
  <c r="A13" i="35"/>
  <c r="A14" i="35"/>
  <c r="A15" i="35"/>
  <c r="A16" i="35"/>
  <c r="A17" i="35"/>
  <c r="A18" i="35"/>
  <c r="A19" i="35"/>
  <c r="A20" i="35"/>
  <c r="A21" i="35"/>
  <c r="A22" i="35"/>
  <c r="A23" i="35"/>
  <c r="A24" i="35"/>
  <c r="A25" i="35"/>
  <c r="A26" i="35"/>
  <c r="A27" i="35"/>
  <c r="A28" i="35"/>
  <c r="A29" i="35"/>
  <c r="A30" i="35"/>
  <c r="A31" i="35"/>
  <c r="A32" i="35"/>
  <c r="A33" i="35"/>
  <c r="A34" i="35"/>
  <c r="A35" i="35"/>
  <c r="A36" i="35"/>
  <c r="A37" i="35"/>
  <c r="A38" i="35"/>
  <c r="A39" i="35"/>
  <c r="A40" i="35"/>
  <c r="A41" i="35"/>
  <c r="A42" i="35"/>
  <c r="A43" i="35"/>
  <c r="A44" i="35"/>
  <c r="A45" i="35"/>
  <c r="A46" i="35"/>
  <c r="A47" i="35"/>
  <c r="A48" i="35"/>
  <c r="A49" i="35"/>
  <c r="A50" i="35"/>
  <c r="A51" i="35"/>
  <c r="A52" i="35"/>
  <c r="A53" i="35"/>
  <c r="A54" i="35"/>
  <c r="A55" i="35"/>
  <c r="A56" i="35"/>
  <c r="A57" i="35"/>
  <c r="A58" i="35"/>
  <c r="A59" i="35"/>
  <c r="A60" i="35"/>
  <c r="A61" i="35"/>
  <c r="A62" i="35"/>
  <c r="A63" i="35"/>
  <c r="A64" i="35"/>
  <c r="A65" i="35"/>
  <c r="A66" i="35"/>
  <c r="A67" i="35"/>
  <c r="A68" i="35"/>
  <c r="A69" i="35"/>
  <c r="A70" i="35"/>
  <c r="A71" i="35"/>
  <c r="A72" i="35"/>
  <c r="A73" i="35"/>
  <c r="A74" i="35"/>
  <c r="A75" i="35"/>
  <c r="A76" i="35"/>
  <c r="A77" i="35"/>
  <c r="A78" i="35"/>
  <c r="A79" i="35"/>
  <c r="A80" i="35"/>
  <c r="A81" i="35"/>
  <c r="A82" i="35"/>
  <c r="A83" i="35"/>
  <c r="A84" i="35"/>
  <c r="A85" i="35"/>
  <c r="A86" i="35"/>
  <c r="A87" i="35"/>
  <c r="A88" i="35"/>
  <c r="A89" i="35"/>
  <c r="A90" i="35"/>
  <c r="A91" i="35"/>
  <c r="A92" i="35"/>
  <c r="A93" i="35"/>
  <c r="A94" i="35"/>
  <c r="A95" i="35"/>
  <c r="A96" i="35"/>
  <c r="A97" i="35"/>
  <c r="A98" i="35"/>
  <c r="A99" i="35"/>
  <c r="A100" i="35"/>
  <c r="A101" i="35"/>
  <c r="A102" i="35"/>
  <c r="A103" i="35"/>
  <c r="A104" i="35"/>
  <c r="A105" i="35"/>
  <c r="A106" i="35"/>
  <c r="A107" i="35"/>
  <c r="A108" i="35"/>
  <c r="A109" i="35"/>
  <c r="A110" i="35"/>
  <c r="A111" i="35"/>
  <c r="A112" i="35"/>
  <c r="A113" i="35"/>
  <c r="A114" i="35"/>
  <c r="A115" i="35"/>
  <c r="A116" i="35"/>
  <c r="A117" i="35"/>
  <c r="A118" i="35"/>
  <c r="A119" i="35"/>
  <c r="A120" i="35"/>
  <c r="A121" i="35"/>
  <c r="A122" i="35"/>
  <c r="A123" i="35"/>
  <c r="A124" i="35"/>
  <c r="A125" i="35"/>
  <c r="A126" i="35"/>
  <c r="A127" i="35"/>
  <c r="A128" i="35"/>
  <c r="A129" i="35"/>
  <c r="A130" i="35"/>
  <c r="A131" i="35"/>
  <c r="A132" i="35"/>
  <c r="A133" i="35"/>
  <c r="A134" i="35"/>
  <c r="A135" i="35"/>
  <c r="A136" i="35"/>
  <c r="A137" i="35"/>
  <c r="A138" i="35"/>
  <c r="A139" i="35"/>
  <c r="A140" i="35"/>
  <c r="A141" i="35"/>
  <c r="A142" i="35"/>
  <c r="A143" i="35"/>
  <c r="A144" i="35"/>
  <c r="A145" i="35"/>
  <c r="A146" i="35"/>
  <c r="A147" i="35"/>
  <c r="A148" i="35"/>
  <c r="A149" i="35"/>
  <c r="A150" i="35"/>
  <c r="A151" i="35"/>
  <c r="A152" i="35"/>
  <c r="A153" i="35"/>
  <c r="A154" i="35"/>
  <c r="A155" i="35"/>
  <c r="A156" i="35"/>
  <c r="A157" i="35"/>
  <c r="A158" i="35"/>
  <c r="A159" i="35"/>
  <c r="A160" i="35"/>
  <c r="A161" i="35"/>
  <c r="A162" i="35"/>
  <c r="A163" i="35"/>
  <c r="A164" i="35"/>
  <c r="A165" i="35"/>
  <c r="A166" i="35"/>
  <c r="A167" i="35"/>
  <c r="A168" i="35"/>
  <c r="A169" i="35"/>
  <c r="A170" i="35"/>
  <c r="A171" i="35"/>
  <c r="A172" i="35"/>
  <c r="A173" i="35"/>
  <c r="A174" i="35"/>
  <c r="A175" i="35"/>
  <c r="A176" i="35"/>
  <c r="A177" i="35"/>
  <c r="A178" i="35"/>
  <c r="A179" i="35"/>
  <c r="A180" i="35"/>
  <c r="A181" i="35"/>
  <c r="A182" i="35"/>
  <c r="A183" i="35"/>
  <c r="A184" i="35"/>
  <c r="A185" i="35"/>
  <c r="A186" i="35"/>
  <c r="A187" i="35"/>
  <c r="A188" i="35"/>
  <c r="A189" i="35"/>
  <c r="A190" i="35"/>
  <c r="A191" i="35"/>
  <c r="A192" i="35"/>
  <c r="A193" i="35"/>
  <c r="A194" i="35"/>
  <c r="A195" i="35"/>
  <c r="A196" i="35"/>
  <c r="A197" i="35"/>
  <c r="A198" i="35"/>
  <c r="A199" i="35"/>
  <c r="A200" i="35"/>
  <c r="A201" i="35"/>
  <c r="A202" i="35"/>
  <c r="A203" i="35"/>
  <c r="A204" i="35"/>
  <c r="A205" i="35"/>
  <c r="A206" i="35"/>
  <c r="A207" i="35"/>
  <c r="A208" i="35"/>
  <c r="A209" i="35"/>
  <c r="A210" i="35"/>
  <c r="A211" i="35"/>
  <c r="A212" i="35"/>
  <c r="A213" i="35"/>
  <c r="A214" i="35"/>
  <c r="A215" i="35"/>
  <c r="A216" i="35"/>
  <c r="A217" i="35"/>
  <c r="A218" i="35"/>
  <c r="A219" i="35"/>
  <c r="A220" i="35"/>
  <c r="A221" i="35"/>
  <c r="A222" i="35"/>
  <c r="A223" i="35"/>
  <c r="A224" i="35"/>
  <c r="A225" i="35"/>
  <c r="A226" i="35"/>
  <c r="A227" i="35"/>
  <c r="A228" i="35"/>
  <c r="A229" i="35"/>
  <c r="A230" i="35"/>
  <c r="A231" i="35"/>
  <c r="A232" i="35"/>
  <c r="A233" i="35"/>
  <c r="A234" i="35"/>
  <c r="A235" i="35"/>
  <c r="A236" i="35"/>
  <c r="A237" i="35"/>
  <c r="A238" i="35"/>
  <c r="A239" i="35"/>
  <c r="A240" i="35"/>
  <c r="A241" i="35"/>
  <c r="A242" i="35"/>
  <c r="A243" i="35"/>
  <c r="A244" i="35"/>
  <c r="A245" i="35"/>
  <c r="A246" i="35"/>
  <c r="A247" i="35"/>
  <c r="A248" i="35"/>
  <c r="A249" i="35"/>
  <c r="A250" i="35"/>
  <c r="A251" i="35"/>
  <c r="A252" i="35"/>
  <c r="A253" i="35"/>
  <c r="A254" i="35"/>
  <c r="A255" i="35"/>
  <c r="A256" i="35"/>
  <c r="A257" i="35"/>
  <c r="A258" i="35"/>
  <c r="A259" i="35"/>
  <c r="A260" i="35"/>
  <c r="A261" i="35"/>
  <c r="A262" i="35"/>
  <c r="A263" i="35"/>
  <c r="A264" i="35"/>
  <c r="A265" i="35"/>
  <c r="A266" i="35"/>
  <c r="A267" i="35"/>
  <c r="A268" i="35"/>
  <c r="A269" i="35"/>
  <c r="A270" i="35"/>
  <c r="A271" i="35"/>
  <c r="A272" i="35"/>
  <c r="A273" i="35"/>
  <c r="A274" i="35"/>
  <c r="A275" i="35"/>
  <c r="A276" i="35"/>
  <c r="A277" i="35"/>
  <c r="A278" i="35"/>
  <c r="A279" i="35"/>
  <c r="A280" i="35"/>
  <c r="A281" i="35"/>
  <c r="A282" i="35"/>
  <c r="A283" i="35"/>
  <c r="A284" i="35"/>
  <c r="A285" i="35"/>
  <c r="A286" i="35"/>
  <c r="A287" i="35"/>
  <c r="A288" i="35"/>
  <c r="A289" i="35"/>
  <c r="A290" i="35"/>
  <c r="A291" i="35"/>
  <c r="A292" i="35"/>
  <c r="A293" i="35"/>
  <c r="A294" i="35"/>
  <c r="A295" i="35"/>
  <c r="A296" i="35"/>
  <c r="A297" i="35"/>
  <c r="A298" i="35"/>
  <c r="A299" i="35"/>
  <c r="A300" i="35"/>
  <c r="A301" i="35"/>
  <c r="A302" i="35"/>
  <c r="A303" i="35"/>
  <c r="A304" i="35"/>
  <c r="A305" i="35"/>
  <c r="A306" i="35"/>
  <c r="A307" i="35"/>
  <c r="A308" i="35"/>
  <c r="A309" i="35"/>
  <c r="A310" i="35"/>
  <c r="A311" i="35"/>
  <c r="A312" i="35"/>
  <c r="A313" i="35"/>
  <c r="A314" i="35"/>
  <c r="A315" i="35"/>
  <c r="A316" i="35"/>
  <c r="A317" i="35"/>
  <c r="A318" i="35"/>
  <c r="A319" i="35"/>
  <c r="A320" i="35"/>
  <c r="A321" i="35"/>
  <c r="A322" i="35"/>
  <c r="A323" i="35"/>
  <c r="A324" i="35"/>
  <c r="A325" i="35"/>
  <c r="A326" i="35"/>
  <c r="A327" i="35"/>
  <c r="A328" i="35"/>
  <c r="A329" i="35"/>
  <c r="A330" i="35"/>
  <c r="A331" i="35"/>
  <c r="A332" i="35"/>
  <c r="A333" i="35"/>
  <c r="A334" i="35"/>
  <c r="A335" i="35"/>
  <c r="A336" i="35"/>
  <c r="A337" i="35"/>
  <c r="A338" i="35"/>
  <c r="A339" i="35"/>
  <c r="A340" i="35"/>
  <c r="A341" i="35"/>
  <c r="A342" i="35"/>
  <c r="A343" i="35"/>
  <c r="A344" i="35"/>
  <c r="A345" i="35"/>
  <c r="A346" i="35"/>
  <c r="A347" i="35"/>
  <c r="A348" i="35"/>
  <c r="A349" i="35"/>
  <c r="A350" i="35"/>
  <c r="A351" i="35"/>
  <c r="A352" i="35"/>
  <c r="A353" i="35"/>
  <c r="A354" i="35"/>
  <c r="A355" i="35"/>
  <c r="A356" i="35"/>
  <c r="A357" i="35"/>
  <c r="A358" i="35"/>
  <c r="A359" i="35"/>
  <c r="A360" i="35"/>
  <c r="A361" i="35"/>
  <c r="A362" i="35"/>
  <c r="A363" i="35"/>
  <c r="A364" i="35"/>
  <c r="A365" i="35"/>
  <c r="A366" i="35"/>
  <c r="A367" i="35"/>
  <c r="A368" i="35"/>
  <c r="A369" i="35"/>
  <c r="A370" i="35"/>
  <c r="A371" i="35"/>
  <c r="A372" i="35"/>
  <c r="A373" i="35"/>
  <c r="A374" i="35"/>
  <c r="A375" i="35"/>
  <c r="A376" i="35"/>
  <c r="A377" i="35"/>
  <c r="A378" i="35"/>
  <c r="A379" i="35"/>
  <c r="A380" i="35"/>
  <c r="A381" i="35"/>
  <c r="A382" i="35"/>
  <c r="A383" i="35"/>
  <c r="A384" i="35"/>
  <c r="A385" i="35"/>
  <c r="A386" i="35"/>
  <c r="A387" i="35"/>
  <c r="A388" i="35"/>
  <c r="A389" i="35"/>
  <c r="A390" i="35"/>
  <c r="A391" i="35"/>
  <c r="A392" i="35"/>
  <c r="A393" i="35"/>
  <c r="A394" i="35"/>
  <c r="A395" i="35"/>
  <c r="A396" i="35"/>
  <c r="A397" i="35"/>
  <c r="A398" i="35"/>
  <c r="A399" i="35"/>
  <c r="A400" i="35"/>
  <c r="A401" i="35"/>
  <c r="A402" i="35"/>
  <c r="A403" i="35"/>
  <c r="A404" i="35"/>
  <c r="A405" i="35"/>
  <c r="A406" i="35"/>
  <c r="A407" i="35"/>
  <c r="A408" i="35"/>
  <c r="A409" i="35"/>
  <c r="A410" i="35"/>
  <c r="A411" i="35"/>
  <c r="A412" i="35"/>
  <c r="A413" i="35"/>
  <c r="A414" i="35"/>
  <c r="A415" i="35"/>
  <c r="A416" i="35"/>
  <c r="A417" i="35"/>
  <c r="A418" i="35"/>
  <c r="A419" i="35"/>
  <c r="A420" i="35"/>
  <c r="A421" i="35"/>
  <c r="A422" i="35"/>
  <c r="A423" i="35"/>
  <c r="A424" i="35"/>
  <c r="A425" i="35"/>
  <c r="A426" i="35"/>
  <c r="A427" i="35"/>
  <c r="A428" i="35"/>
  <c r="A429" i="35"/>
  <c r="A430" i="35"/>
  <c r="A431" i="35"/>
  <c r="A432" i="35"/>
  <c r="A433" i="35"/>
  <c r="A434" i="35"/>
  <c r="A435" i="35"/>
  <c r="A436" i="35"/>
  <c r="A437" i="35"/>
  <c r="A438" i="35"/>
  <c r="A439" i="35"/>
  <c r="A440" i="35"/>
  <c r="A441" i="35"/>
  <c r="A442" i="35"/>
  <c r="A443" i="35"/>
  <c r="A444" i="35"/>
  <c r="A445" i="35"/>
  <c r="A446" i="35"/>
  <c r="A447" i="35"/>
  <c r="A448" i="35"/>
  <c r="A449" i="35"/>
  <c r="A450" i="35"/>
  <c r="A451" i="35"/>
  <c r="A452" i="35"/>
  <c r="A453" i="35"/>
  <c r="A454" i="35"/>
  <c r="A455" i="35"/>
  <c r="A456" i="35"/>
  <c r="A457" i="35"/>
  <c r="A458" i="35"/>
  <c r="A459" i="35"/>
  <c r="A460" i="35"/>
  <c r="A461" i="35"/>
  <c r="A462" i="35"/>
  <c r="A463" i="35"/>
  <c r="A464" i="35"/>
  <c r="A465" i="35"/>
  <c r="A466" i="35"/>
  <c r="A467" i="35"/>
  <c r="A468" i="35"/>
  <c r="A469" i="35"/>
  <c r="A470" i="35"/>
  <c r="A471" i="35"/>
  <c r="A472" i="35"/>
  <c r="A473" i="35"/>
  <c r="A474" i="35"/>
  <c r="A475" i="35"/>
  <c r="A476" i="35"/>
  <c r="A477" i="35"/>
  <c r="A478" i="35"/>
  <c r="A479" i="35"/>
  <c r="A480" i="35"/>
  <c r="A481" i="35"/>
  <c r="A482" i="35"/>
  <c r="A483" i="35"/>
  <c r="A484" i="35"/>
  <c r="A485" i="35"/>
  <c r="A486" i="35"/>
  <c r="A487" i="35"/>
  <c r="A488" i="35"/>
  <c r="A489" i="35"/>
  <c r="A490" i="35"/>
  <c r="A491" i="35"/>
  <c r="A492" i="35"/>
  <c r="A493" i="35"/>
  <c r="A494" i="35"/>
  <c r="A495" i="35"/>
  <c r="A496" i="35"/>
  <c r="A497" i="35"/>
  <c r="A498" i="35"/>
  <c r="A499" i="35"/>
  <c r="A500" i="35"/>
  <c r="A501" i="35"/>
  <c r="A502" i="35"/>
  <c r="A503" i="35"/>
  <c r="A504" i="35"/>
  <c r="A505" i="35"/>
  <c r="A506" i="35"/>
  <c r="A507" i="35"/>
  <c r="A508" i="35"/>
  <c r="A509" i="35"/>
  <c r="A510" i="35"/>
  <c r="A511" i="35"/>
  <c r="A512" i="35"/>
  <c r="A513" i="35"/>
  <c r="A514" i="35"/>
  <c r="A515" i="35"/>
  <c r="A516" i="35"/>
  <c r="A517" i="35"/>
  <c r="A518" i="35"/>
  <c r="A519" i="35"/>
  <c r="A520" i="35"/>
  <c r="A521" i="35"/>
  <c r="A522" i="35"/>
  <c r="A523" i="35"/>
  <c r="A524" i="35"/>
  <c r="A525" i="35"/>
  <c r="A526" i="35"/>
  <c r="A527" i="35"/>
  <c r="A528" i="35"/>
  <c r="A529" i="35"/>
  <c r="A530" i="35"/>
  <c r="A531" i="35"/>
  <c r="A532" i="35"/>
  <c r="A533" i="35"/>
  <c r="A534" i="35"/>
  <c r="A535" i="35"/>
  <c r="A536" i="35"/>
  <c r="A537" i="35"/>
  <c r="A538" i="35"/>
  <c r="A539" i="35"/>
  <c r="A540" i="35"/>
  <c r="A541" i="35"/>
  <c r="A542" i="35"/>
  <c r="A543" i="35"/>
  <c r="A544" i="35"/>
  <c r="A545" i="35"/>
  <c r="A546" i="35"/>
  <c r="A547" i="35"/>
  <c r="A548" i="35"/>
  <c r="A549" i="35"/>
  <c r="A550" i="35"/>
  <c r="A551" i="35"/>
  <c r="A552" i="35"/>
  <c r="A553" i="35"/>
  <c r="A554" i="35"/>
  <c r="A555" i="35"/>
  <c r="A556" i="35"/>
  <c r="A557" i="35"/>
  <c r="A558" i="35"/>
  <c r="A559" i="35"/>
  <c r="A560" i="35"/>
  <c r="A561" i="35"/>
  <c r="A562" i="35"/>
  <c r="A563" i="35"/>
  <c r="A564" i="35"/>
  <c r="A565" i="35"/>
  <c r="A566" i="35"/>
  <c r="A567" i="35"/>
  <c r="A568" i="35"/>
  <c r="A569" i="35"/>
  <c r="A570" i="35"/>
  <c r="A571" i="35"/>
  <c r="A572" i="35"/>
  <c r="A573" i="35"/>
  <c r="A574" i="35"/>
  <c r="A575" i="35"/>
  <c r="A576" i="35"/>
  <c r="A577" i="35"/>
  <c r="A578" i="35"/>
  <c r="A579" i="35"/>
  <c r="A580" i="35"/>
  <c r="A581" i="35"/>
  <c r="A582" i="35"/>
  <c r="A583" i="35"/>
  <c r="A584" i="35"/>
  <c r="A585" i="35"/>
  <c r="A586" i="35"/>
  <c r="A587" i="35"/>
  <c r="A588" i="35"/>
  <c r="A589" i="35"/>
  <c r="A590" i="35"/>
  <c r="A591" i="35"/>
  <c r="A592" i="35"/>
  <c r="A593" i="35"/>
  <c r="A594" i="35"/>
  <c r="A595" i="35"/>
  <c r="A596" i="35"/>
  <c r="A597" i="35"/>
  <c r="A598" i="35"/>
  <c r="A599" i="35"/>
  <c r="A600" i="35"/>
  <c r="A601" i="35"/>
  <c r="A602" i="35"/>
  <c r="A603" i="35"/>
  <c r="A604" i="35"/>
  <c r="A605" i="35"/>
  <c r="A606" i="35"/>
  <c r="A607" i="35"/>
  <c r="A608" i="35"/>
  <c r="A609" i="35"/>
  <c r="A610" i="35"/>
  <c r="A611" i="35"/>
  <c r="A612" i="35"/>
  <c r="A613" i="35"/>
  <c r="A614" i="35"/>
  <c r="A615" i="35"/>
  <c r="A616" i="35"/>
  <c r="A617" i="35"/>
  <c r="A618" i="35"/>
  <c r="A619" i="35"/>
  <c r="A620" i="35"/>
  <c r="A621" i="35"/>
  <c r="A622" i="35"/>
  <c r="A623" i="35"/>
  <c r="A624" i="35"/>
  <c r="A625" i="35"/>
  <c r="A626" i="35"/>
  <c r="A627" i="35"/>
  <c r="A628" i="35"/>
  <c r="A629" i="35"/>
  <c r="A630" i="35"/>
  <c r="A631" i="35"/>
  <c r="A632" i="35"/>
  <c r="A633" i="35"/>
  <c r="A634" i="35"/>
  <c r="A635" i="35"/>
  <c r="A636" i="35"/>
  <c r="A637" i="35"/>
  <c r="A638" i="35"/>
  <c r="A639" i="35"/>
  <c r="A640" i="35"/>
  <c r="A641" i="35"/>
  <c r="A642" i="35"/>
  <c r="A643" i="35"/>
  <c r="A644" i="35"/>
  <c r="A645" i="35"/>
  <c r="A646" i="35"/>
  <c r="A647" i="35"/>
  <c r="A648" i="35"/>
  <c r="A649" i="35"/>
  <c r="A650" i="35"/>
  <c r="A651" i="35"/>
  <c r="A652" i="35"/>
  <c r="A653" i="35"/>
  <c r="A654" i="35"/>
  <c r="A655" i="35"/>
  <c r="A656" i="35"/>
  <c r="A657" i="35"/>
  <c r="A658" i="35"/>
  <c r="A659" i="35"/>
  <c r="A660" i="35"/>
  <c r="A661" i="35"/>
  <c r="A662" i="35"/>
  <c r="A663" i="35"/>
  <c r="A664" i="35"/>
  <c r="A665" i="35"/>
  <c r="A666" i="35"/>
  <c r="A667" i="35"/>
  <c r="A668" i="35"/>
  <c r="A669" i="35"/>
  <c r="A670" i="35"/>
  <c r="A671" i="35"/>
  <c r="A672" i="35"/>
  <c r="A673" i="35"/>
  <c r="A674" i="35"/>
  <c r="A675" i="35"/>
  <c r="A676" i="35"/>
  <c r="A677" i="35"/>
  <c r="A678" i="35"/>
  <c r="A679" i="35"/>
  <c r="A680" i="35"/>
  <c r="A681" i="35"/>
  <c r="A682" i="35"/>
  <c r="A683" i="35"/>
  <c r="A684" i="35"/>
  <c r="A685" i="35"/>
  <c r="A686" i="35"/>
  <c r="A687" i="35"/>
  <c r="A688" i="35"/>
  <c r="A689" i="35"/>
  <c r="A690" i="35"/>
  <c r="A691" i="35"/>
  <c r="A692" i="35"/>
  <c r="A693" i="35"/>
  <c r="A694" i="35"/>
  <c r="A695" i="35"/>
  <c r="A696" i="35"/>
  <c r="A697" i="35"/>
  <c r="A698" i="35"/>
  <c r="A699" i="35"/>
  <c r="A700" i="35"/>
  <c r="A701" i="35"/>
  <c r="A702" i="35"/>
  <c r="A703" i="35"/>
  <c r="A704" i="35"/>
  <c r="A705" i="35"/>
  <c r="A706" i="35"/>
  <c r="A707" i="35"/>
  <c r="A708" i="35"/>
  <c r="A709" i="35"/>
  <c r="A710" i="35"/>
  <c r="A711" i="35"/>
  <c r="A712" i="35"/>
  <c r="A713" i="35"/>
  <c r="A714" i="35"/>
  <c r="A715" i="35"/>
  <c r="A716" i="35"/>
  <c r="A717" i="35"/>
  <c r="A718" i="35"/>
  <c r="A719" i="35"/>
  <c r="A720" i="35"/>
  <c r="A721" i="35"/>
  <c r="A722" i="35"/>
  <c r="A723" i="35"/>
  <c r="A724" i="35"/>
  <c r="A725" i="35"/>
  <c r="A726" i="35"/>
  <c r="A727" i="35"/>
  <c r="A728" i="35"/>
  <c r="A729" i="35"/>
  <c r="A730" i="35"/>
  <c r="A731" i="35"/>
  <c r="A732" i="35"/>
  <c r="A733" i="35"/>
  <c r="A734" i="35"/>
  <c r="A735" i="35"/>
  <c r="A736" i="35"/>
  <c r="A737" i="35"/>
  <c r="A738" i="35"/>
  <c r="A739" i="35"/>
  <c r="A740" i="35"/>
  <c r="A741" i="35"/>
  <c r="A742" i="35"/>
  <c r="A743" i="35"/>
  <c r="A744" i="35"/>
  <c r="A745" i="35"/>
  <c r="A746" i="35"/>
  <c r="A747" i="35"/>
  <c r="A748" i="35"/>
  <c r="A749" i="35"/>
  <c r="A750" i="35"/>
  <c r="A751" i="35"/>
  <c r="A752" i="35"/>
  <c r="A753" i="35"/>
  <c r="A754" i="35"/>
  <c r="A755" i="35"/>
  <c r="A756" i="35"/>
  <c r="A757" i="35"/>
  <c r="A758" i="35"/>
  <c r="A759" i="35"/>
  <c r="A760" i="35"/>
  <c r="A761" i="35"/>
  <c r="A762" i="35"/>
  <c r="A763" i="35"/>
  <c r="A764" i="35"/>
  <c r="A765" i="35"/>
  <c r="A766" i="35"/>
  <c r="A767" i="35"/>
  <c r="A768" i="35"/>
  <c r="A769" i="35"/>
  <c r="A770" i="35"/>
  <c r="A771" i="35"/>
  <c r="A772" i="35"/>
  <c r="A773" i="35"/>
  <c r="A774" i="35"/>
  <c r="A775" i="35"/>
  <c r="A776" i="35"/>
  <c r="A777" i="35"/>
  <c r="A778" i="35"/>
  <c r="A779" i="35"/>
  <c r="A780" i="35"/>
  <c r="A781" i="35"/>
  <c r="A782" i="35"/>
  <c r="A783" i="35"/>
  <c r="A784" i="35"/>
  <c r="A785" i="35"/>
  <c r="A786" i="35"/>
  <c r="A787" i="35"/>
  <c r="A788" i="35"/>
  <c r="A789" i="35"/>
  <c r="A790" i="35"/>
  <c r="A791" i="35"/>
  <c r="A792" i="35"/>
  <c r="A793" i="35"/>
  <c r="A794" i="35"/>
  <c r="A795" i="35"/>
  <c r="A796" i="35"/>
  <c r="A797" i="35"/>
  <c r="A798" i="35"/>
  <c r="A799" i="35"/>
  <c r="A800" i="35"/>
  <c r="A801" i="35"/>
  <c r="A802" i="35"/>
  <c r="A803" i="35"/>
  <c r="A804" i="35"/>
  <c r="A805" i="35"/>
  <c r="A806" i="35"/>
  <c r="A807" i="35"/>
  <c r="A808" i="35"/>
  <c r="A809" i="35"/>
  <c r="A810" i="35"/>
  <c r="A811" i="35"/>
  <c r="A812" i="35"/>
  <c r="A813" i="35"/>
  <c r="A814" i="35"/>
  <c r="A815" i="35"/>
  <c r="A816" i="35"/>
  <c r="A817" i="35"/>
  <c r="A818" i="35"/>
  <c r="A819" i="35"/>
  <c r="A820" i="35"/>
  <c r="A821" i="35"/>
  <c r="A822" i="35"/>
  <c r="A823" i="35"/>
  <c r="A824" i="35"/>
  <c r="A825" i="35"/>
  <c r="A826" i="35"/>
  <c r="A827" i="35"/>
  <c r="A828" i="35"/>
  <c r="A829" i="35"/>
  <c r="A830" i="35"/>
  <c r="A831" i="35"/>
  <c r="A832" i="35"/>
  <c r="A833" i="35"/>
  <c r="A834" i="35"/>
  <c r="A835" i="35"/>
  <c r="A836" i="35"/>
  <c r="A837" i="35"/>
  <c r="A838" i="35"/>
  <c r="A839" i="35"/>
  <c r="A840" i="35"/>
  <c r="A841" i="35"/>
  <c r="A842" i="35"/>
  <c r="A843" i="35"/>
  <c r="A844" i="35"/>
  <c r="A845" i="35"/>
  <c r="A846" i="35"/>
  <c r="A847" i="35"/>
  <c r="A848" i="35"/>
  <c r="A849" i="35"/>
  <c r="A850" i="35"/>
  <c r="A851" i="35"/>
  <c r="A852" i="35"/>
  <c r="A853" i="35"/>
  <c r="A854" i="35"/>
  <c r="A855" i="35"/>
  <c r="A856" i="35"/>
  <c r="A857" i="35"/>
  <c r="A858" i="35"/>
  <c r="A859" i="35"/>
  <c r="A860" i="35"/>
  <c r="A861" i="35"/>
  <c r="A862" i="35"/>
  <c r="A863" i="35"/>
  <c r="A864" i="35"/>
  <c r="A865" i="35"/>
  <c r="A866" i="35"/>
  <c r="A867" i="35"/>
  <c r="A868" i="35"/>
  <c r="A869" i="35"/>
  <c r="A870" i="35"/>
  <c r="A871" i="35"/>
  <c r="A872" i="35"/>
  <c r="A873" i="35"/>
  <c r="A874" i="35"/>
  <c r="A875" i="35"/>
  <c r="A876" i="35"/>
  <c r="A877" i="35"/>
  <c r="A878" i="35"/>
  <c r="A879" i="35"/>
  <c r="A880" i="35"/>
  <c r="A881" i="35"/>
  <c r="A882" i="35"/>
  <c r="A883" i="35"/>
  <c r="A884" i="35"/>
  <c r="A885" i="35"/>
  <c r="A886" i="35"/>
  <c r="A887" i="35"/>
  <c r="A888" i="35"/>
  <c r="A889" i="35"/>
  <c r="A890" i="35"/>
  <c r="A891" i="35"/>
  <c r="A892" i="35"/>
  <c r="A893" i="35"/>
  <c r="A894" i="35"/>
  <c r="A895" i="35"/>
  <c r="A896" i="35"/>
  <c r="A897" i="35"/>
  <c r="A898" i="35"/>
  <c r="A899" i="35"/>
  <c r="A900" i="35"/>
  <c r="A901" i="35"/>
  <c r="A902" i="35"/>
  <c r="A903" i="35"/>
  <c r="A904" i="35"/>
  <c r="A905" i="35"/>
  <c r="A906" i="35"/>
  <c r="A907" i="35"/>
  <c r="A908" i="35"/>
  <c r="A909" i="35"/>
  <c r="A910" i="35"/>
  <c r="A911" i="35"/>
  <c r="A912" i="35"/>
  <c r="A913" i="35"/>
  <c r="A914" i="35"/>
  <c r="A915" i="35"/>
  <c r="A916" i="35"/>
  <c r="A917" i="35"/>
  <c r="A918" i="35"/>
  <c r="A919" i="35"/>
  <c r="A920" i="35"/>
  <c r="A921" i="35"/>
  <c r="A922" i="35"/>
  <c r="A923" i="35"/>
  <c r="A924" i="35"/>
  <c r="A925" i="35"/>
  <c r="A926" i="35"/>
  <c r="A927" i="35"/>
  <c r="A928" i="35"/>
  <c r="A929" i="35"/>
  <c r="A930" i="35"/>
  <c r="A931" i="35"/>
  <c r="A932" i="35"/>
  <c r="A933" i="35"/>
  <c r="A934" i="35"/>
  <c r="A935" i="35"/>
  <c r="A936" i="35"/>
  <c r="A937" i="35"/>
  <c r="A938" i="35"/>
  <c r="A939" i="35"/>
  <c r="A940" i="35"/>
  <c r="A941" i="35"/>
  <c r="A942" i="35"/>
  <c r="A943" i="35"/>
  <c r="A944" i="35"/>
  <c r="A945" i="35"/>
  <c r="A946" i="35"/>
  <c r="A947" i="35"/>
  <c r="A948" i="35"/>
  <c r="A949" i="35"/>
  <c r="A950" i="35"/>
  <c r="A951" i="35"/>
  <c r="A952" i="35"/>
  <c r="A953" i="35"/>
  <c r="A954" i="35"/>
  <c r="A955" i="35"/>
  <c r="A956" i="35"/>
  <c r="A957" i="35"/>
  <c r="A958" i="35"/>
  <c r="A959" i="35"/>
  <c r="A960" i="35"/>
  <c r="A961" i="35"/>
  <c r="A962" i="35"/>
  <c r="A963" i="35"/>
  <c r="A964" i="35"/>
  <c r="A965" i="35"/>
  <c r="A966" i="35"/>
  <c r="A967" i="35"/>
  <c r="A968" i="35"/>
  <c r="A969" i="35"/>
  <c r="A970" i="35"/>
  <c r="A971" i="35"/>
  <c r="A972" i="35"/>
  <c r="A973" i="35"/>
  <c r="A974" i="35"/>
  <c r="A975" i="35"/>
  <c r="A976" i="35"/>
  <c r="A977" i="35"/>
  <c r="A978" i="35"/>
  <c r="A979" i="35"/>
  <c r="A980" i="35"/>
  <c r="A981" i="35"/>
  <c r="A982" i="35"/>
  <c r="A983" i="35"/>
  <c r="A984" i="35"/>
  <c r="A985" i="35"/>
  <c r="A986" i="35"/>
  <c r="A987" i="35"/>
  <c r="A988" i="35"/>
  <c r="A989" i="35"/>
  <c r="A990" i="35"/>
  <c r="A991" i="35"/>
  <c r="A992" i="35"/>
  <c r="A993" i="35"/>
  <c r="A994" i="35"/>
  <c r="A995" i="35"/>
  <c r="A996" i="35"/>
  <c r="A997" i="35"/>
  <c r="A998" i="35"/>
  <c r="A999" i="35"/>
  <c r="A1000" i="35"/>
  <c r="A1001" i="35"/>
  <c r="A1002" i="35"/>
  <c r="A1003" i="35"/>
  <c r="A1004" i="35"/>
  <c r="A1005" i="35"/>
  <c r="A1006" i="35"/>
  <c r="A1007" i="35"/>
  <c r="A1008" i="35"/>
  <c r="A1009" i="35"/>
  <c r="A1010" i="35"/>
  <c r="A1011" i="35"/>
  <c r="A1012" i="35"/>
  <c r="A1013" i="35"/>
  <c r="A1014" i="35"/>
  <c r="A1015" i="35"/>
  <c r="A1016" i="35"/>
  <c r="A1017" i="35"/>
  <c r="A1018" i="35"/>
  <c r="A1019" i="35"/>
  <c r="A1020" i="35"/>
  <c r="A1021" i="35"/>
  <c r="A1022" i="35"/>
  <c r="A1023" i="35"/>
  <c r="A1024" i="35"/>
  <c r="A1025" i="35"/>
  <c r="A1026" i="35"/>
  <c r="A1027" i="35"/>
  <c r="A1028" i="35"/>
  <c r="A1029" i="35"/>
  <c r="A1030" i="35"/>
  <c r="A1031" i="35"/>
  <c r="A1032" i="35"/>
  <c r="A1033" i="35"/>
  <c r="A1034" i="35"/>
  <c r="A1035" i="35"/>
  <c r="A1036" i="35"/>
  <c r="A1037" i="35"/>
  <c r="A1038" i="35"/>
  <c r="A1039" i="35"/>
  <c r="A1040" i="35"/>
  <c r="A1041" i="35"/>
  <c r="A1042" i="35"/>
  <c r="A1043" i="35"/>
  <c r="A1044" i="35"/>
  <c r="A1045" i="35"/>
  <c r="A1046" i="35"/>
  <c r="A1047" i="35"/>
  <c r="A1048" i="35"/>
  <c r="A1049" i="35"/>
  <c r="A1050" i="35"/>
  <c r="A1051" i="35"/>
  <c r="A1052" i="35"/>
  <c r="A1053" i="35"/>
  <c r="A1054" i="35"/>
  <c r="A1055" i="35"/>
  <c r="A1056" i="35"/>
  <c r="A1057" i="35"/>
  <c r="A1058" i="35"/>
  <c r="A1059" i="35"/>
  <c r="A1060" i="35"/>
  <c r="A1061" i="35"/>
  <c r="A1062" i="35"/>
  <c r="A1063" i="35"/>
  <c r="A1064" i="35"/>
  <c r="A1065" i="35"/>
  <c r="A1066" i="35"/>
  <c r="A1067" i="35"/>
  <c r="A1068" i="35"/>
  <c r="A1069" i="35"/>
  <c r="A1070" i="35"/>
  <c r="A1071" i="35"/>
  <c r="A1072" i="35"/>
  <c r="A1073" i="35"/>
  <c r="A1074" i="35"/>
  <c r="A1075" i="35"/>
  <c r="A1076" i="35"/>
  <c r="A1077" i="35"/>
  <c r="A1078" i="35"/>
  <c r="A1079" i="35"/>
  <c r="A1080" i="35"/>
  <c r="A1081" i="35"/>
  <c r="A1082" i="35"/>
  <c r="A1083" i="35"/>
  <c r="A1084" i="35"/>
  <c r="A1085" i="35"/>
  <c r="A1086" i="35"/>
  <c r="A1087" i="35"/>
  <c r="A1088" i="35"/>
  <c r="A1089" i="35"/>
  <c r="A1090" i="35"/>
  <c r="A1091" i="35"/>
  <c r="A1092" i="35"/>
  <c r="A1093" i="35"/>
  <c r="A1094" i="35"/>
  <c r="A1095" i="35"/>
  <c r="A1096" i="35"/>
  <c r="A1097" i="35"/>
  <c r="A1098" i="35"/>
  <c r="A1099" i="35"/>
  <c r="A1100" i="35"/>
  <c r="A1101" i="35"/>
  <c r="A1102" i="35"/>
  <c r="A1103" i="35"/>
  <c r="A1104" i="35"/>
  <c r="A1105" i="35"/>
  <c r="A1106" i="35"/>
  <c r="A1107" i="35"/>
  <c r="A1108" i="35"/>
  <c r="A1109" i="35"/>
  <c r="A1110" i="35"/>
  <c r="A1111" i="35"/>
  <c r="A1112" i="35"/>
  <c r="A1113" i="35"/>
  <c r="A1114" i="35"/>
  <c r="A1115" i="35"/>
  <c r="A1116" i="35"/>
  <c r="A1117" i="35"/>
  <c r="A1118" i="35"/>
  <c r="A1119" i="35"/>
  <c r="A1120" i="35"/>
  <c r="A1121" i="35"/>
  <c r="A1122" i="35"/>
  <c r="A1123" i="35"/>
  <c r="A1124" i="35"/>
  <c r="A1125" i="35"/>
  <c r="A1126" i="35"/>
  <c r="A1127" i="35"/>
  <c r="A1128" i="35"/>
  <c r="A1129" i="35"/>
  <c r="A1130" i="35"/>
  <c r="A1131" i="35"/>
  <c r="A1132" i="35"/>
  <c r="A1133" i="35"/>
  <c r="A1134" i="35"/>
  <c r="A1135" i="35"/>
  <c r="A1136" i="35"/>
  <c r="A1137" i="35"/>
  <c r="A1138" i="35"/>
  <c r="A1139" i="35"/>
  <c r="A1140" i="35"/>
  <c r="A1141" i="35"/>
  <c r="A1142" i="35"/>
  <c r="A1143" i="35"/>
  <c r="A1144" i="35"/>
  <c r="A1145" i="35"/>
  <c r="A1146" i="35"/>
  <c r="A1147" i="35"/>
  <c r="A1148" i="35"/>
  <c r="A1149" i="35"/>
  <c r="A1150" i="35"/>
  <c r="A1151" i="35"/>
  <c r="A1152" i="35"/>
  <c r="A1153" i="35"/>
  <c r="A1154" i="35"/>
  <c r="A1155" i="35"/>
  <c r="A1156" i="35"/>
  <c r="A1157" i="35"/>
  <c r="A1158" i="35"/>
  <c r="A1159" i="35"/>
  <c r="A1160" i="35"/>
  <c r="A1161" i="35"/>
  <c r="A1162" i="35"/>
  <c r="A1163" i="35"/>
  <c r="A1164" i="35"/>
  <c r="A1165" i="35"/>
  <c r="A1166" i="35"/>
  <c r="A1167" i="35"/>
  <c r="A1168" i="35"/>
  <c r="A1169" i="35"/>
  <c r="A1170" i="35"/>
  <c r="A1171" i="35"/>
  <c r="A1172" i="35"/>
  <c r="A1173" i="35"/>
  <c r="A1174" i="35"/>
  <c r="A1175" i="35"/>
  <c r="A1176" i="35"/>
  <c r="A1177" i="35"/>
  <c r="A1178" i="35"/>
  <c r="A1179" i="35"/>
  <c r="A1180" i="35"/>
  <c r="A1181" i="35"/>
  <c r="A1182" i="35"/>
  <c r="A1183" i="35"/>
  <c r="A1184" i="35"/>
  <c r="A1185" i="35"/>
  <c r="A1186" i="35"/>
  <c r="A1187" i="35"/>
  <c r="A1188" i="35"/>
  <c r="A1189" i="35"/>
  <c r="A1190" i="35"/>
  <c r="A1191" i="35"/>
  <c r="A1192" i="35"/>
  <c r="A1193" i="35"/>
  <c r="A1194" i="35"/>
  <c r="A1195" i="35"/>
  <c r="A1196" i="35"/>
  <c r="A1197" i="35"/>
  <c r="A1198" i="35"/>
  <c r="A1199" i="35"/>
  <c r="A1200" i="35"/>
  <c r="A1201" i="35"/>
  <c r="A1202" i="35"/>
  <c r="A1203" i="35"/>
  <c r="A1204" i="35"/>
  <c r="A1205" i="35"/>
  <c r="A1206" i="35"/>
  <c r="A1207" i="35"/>
  <c r="A1208" i="35"/>
  <c r="A1209" i="35"/>
  <c r="A1210" i="35"/>
  <c r="A1211" i="35"/>
  <c r="A1212" i="35"/>
  <c r="A1213" i="35"/>
  <c r="A1214" i="35"/>
  <c r="A1215" i="35"/>
  <c r="A1216" i="35"/>
  <c r="A1217" i="35"/>
  <c r="A1218" i="35"/>
  <c r="A1219" i="35"/>
  <c r="A1220" i="35"/>
  <c r="A1221" i="35"/>
  <c r="A1222" i="35"/>
  <c r="A1223" i="35"/>
  <c r="A1224" i="35"/>
  <c r="A1225" i="35"/>
  <c r="A1226" i="35"/>
  <c r="A1227" i="35"/>
  <c r="A1228" i="35"/>
  <c r="A1229" i="35"/>
  <c r="A1230" i="35"/>
  <c r="A1231" i="35"/>
  <c r="A1232" i="35"/>
  <c r="A1233" i="35"/>
  <c r="A1234" i="35"/>
  <c r="A1235" i="35"/>
  <c r="A1236" i="35"/>
  <c r="A1237" i="35"/>
  <c r="A1238" i="35"/>
  <c r="A1239" i="35"/>
  <c r="A1240" i="35"/>
  <c r="A1241" i="35"/>
  <c r="A1242" i="35"/>
  <c r="A1243" i="35"/>
  <c r="A1244" i="35"/>
  <c r="A1245" i="35"/>
  <c r="A1246" i="35"/>
  <c r="A1247" i="35"/>
  <c r="A1248" i="35"/>
  <c r="A1249" i="35"/>
  <c r="A1250" i="35"/>
  <c r="A1251" i="35"/>
  <c r="A1252" i="35"/>
  <c r="A1253" i="35"/>
  <c r="A1254" i="35"/>
  <c r="A1255" i="35"/>
  <c r="A1256" i="35"/>
  <c r="A1257" i="35"/>
  <c r="A1258" i="35"/>
  <c r="A1259" i="35"/>
  <c r="A1260" i="35"/>
  <c r="A1261" i="35"/>
  <c r="A1262" i="35"/>
  <c r="A1263" i="35"/>
  <c r="A1264" i="35"/>
  <c r="A1265" i="35"/>
  <c r="A1266" i="35"/>
  <c r="A1267" i="35"/>
  <c r="A1268" i="35"/>
  <c r="A1269" i="35"/>
  <c r="A1270" i="35"/>
  <c r="A1271" i="35"/>
  <c r="A1272" i="35"/>
  <c r="A1273" i="35"/>
  <c r="A1274" i="35"/>
  <c r="A1275" i="35"/>
  <c r="A1276" i="35"/>
  <c r="A1277" i="35"/>
  <c r="A1278" i="35"/>
  <c r="A1279" i="35"/>
  <c r="A1280" i="35"/>
  <c r="A1281" i="35"/>
  <c r="A1282" i="35"/>
  <c r="A1283" i="35"/>
  <c r="A1284" i="35"/>
  <c r="A1285" i="35"/>
  <c r="A1286" i="35"/>
  <c r="A1287" i="35"/>
  <c r="A1288" i="35"/>
  <c r="A1289" i="35"/>
  <c r="A1290" i="35"/>
  <c r="A1291" i="35"/>
  <c r="A1292" i="35"/>
  <c r="A1293" i="35"/>
  <c r="A1294" i="35"/>
  <c r="A1295" i="35"/>
  <c r="A1296" i="35"/>
  <c r="A1297" i="35"/>
  <c r="A1298" i="35"/>
  <c r="A1299" i="35"/>
  <c r="A1300" i="35"/>
  <c r="A1301" i="35"/>
  <c r="A1302" i="35"/>
  <c r="A1303" i="35"/>
  <c r="A1304" i="35"/>
  <c r="A1305" i="35"/>
  <c r="A1306" i="35"/>
  <c r="A1307" i="35"/>
  <c r="A1308" i="35"/>
  <c r="A1309" i="35"/>
  <c r="A1310" i="35"/>
  <c r="A1311" i="35"/>
  <c r="A1312" i="35"/>
  <c r="A1313" i="35"/>
  <c r="A1314" i="35"/>
  <c r="A1315" i="35"/>
  <c r="A1316" i="35"/>
  <c r="A1317" i="35"/>
  <c r="A1318" i="35"/>
  <c r="A1319" i="35"/>
  <c r="A1320" i="35"/>
  <c r="A1321" i="35"/>
  <c r="A1322" i="35"/>
  <c r="A1323" i="35"/>
  <c r="A1324" i="35"/>
  <c r="A1325" i="35"/>
  <c r="A1326" i="35"/>
  <c r="A1327" i="35"/>
  <c r="A1328" i="35"/>
  <c r="A1329" i="35"/>
  <c r="A1330" i="35"/>
  <c r="A1331" i="35"/>
  <c r="A1332" i="35"/>
  <c r="A1333" i="35"/>
  <c r="A1334" i="35"/>
  <c r="A1335" i="35"/>
  <c r="A1336" i="35"/>
  <c r="A1337" i="35"/>
  <c r="A1338" i="35"/>
  <c r="A1339" i="35"/>
  <c r="A1340" i="35"/>
  <c r="A1341" i="35"/>
  <c r="A1342" i="35"/>
  <c r="A1343" i="35"/>
  <c r="A1344" i="35"/>
  <c r="A1345" i="35"/>
  <c r="A1346" i="35"/>
  <c r="A1347" i="35"/>
  <c r="A1348" i="35"/>
  <c r="A1349" i="35"/>
  <c r="A1350" i="35"/>
  <c r="A1351" i="35"/>
  <c r="A1352" i="35"/>
  <c r="A1353" i="35"/>
  <c r="A1354" i="35"/>
  <c r="A1355" i="35"/>
  <c r="A1356" i="35"/>
  <c r="A1357" i="35"/>
  <c r="A1358" i="35"/>
  <c r="A1359" i="35"/>
  <c r="A1360" i="35"/>
  <c r="A1361" i="35"/>
  <c r="A1362" i="35"/>
  <c r="A1363" i="35"/>
  <c r="A1364" i="35"/>
  <c r="A1365" i="35"/>
  <c r="A1366" i="35"/>
  <c r="A1367" i="35"/>
  <c r="A1368" i="35"/>
  <c r="A1369" i="35"/>
  <c r="A1370" i="35"/>
  <c r="A1371" i="35"/>
  <c r="A1372" i="35"/>
  <c r="A1373" i="35"/>
  <c r="A1374" i="35"/>
  <c r="A1375" i="35"/>
  <c r="A1376" i="35"/>
  <c r="A1377" i="35"/>
  <c r="A1378" i="35"/>
  <c r="A1379" i="35"/>
  <c r="A1380" i="35"/>
  <c r="A1381" i="35"/>
  <c r="A1382" i="35"/>
  <c r="A1383" i="35"/>
  <c r="A1384" i="35"/>
  <c r="A1385" i="35"/>
  <c r="A1386" i="35"/>
  <c r="A1387" i="35"/>
  <c r="A1388" i="35"/>
  <c r="A1389" i="35"/>
  <c r="A1390" i="35"/>
  <c r="A1391" i="35"/>
  <c r="A1392" i="35"/>
  <c r="A1393" i="35"/>
  <c r="A1394" i="35"/>
  <c r="A1395" i="35"/>
  <c r="A1396" i="35"/>
  <c r="A1397" i="35"/>
  <c r="A1398" i="35"/>
  <c r="A1399" i="35"/>
  <c r="A1400" i="35"/>
  <c r="A1401" i="35"/>
  <c r="A1402" i="35"/>
  <c r="A1403" i="35"/>
  <c r="A1404" i="35"/>
  <c r="A1405" i="35"/>
  <c r="A1406" i="35"/>
  <c r="A1407" i="35"/>
  <c r="A1408" i="35"/>
  <c r="A1409" i="35"/>
  <c r="A1410" i="35"/>
  <c r="A1411" i="35"/>
  <c r="A1412" i="35"/>
  <c r="A1413" i="35"/>
  <c r="A1414" i="35"/>
  <c r="A1415" i="35"/>
  <c r="A1416" i="35"/>
  <c r="A1417" i="35"/>
  <c r="A1418" i="35"/>
  <c r="A1419" i="35"/>
  <c r="A1420" i="35"/>
  <c r="A1421" i="35"/>
  <c r="A1422" i="35"/>
  <c r="A1423" i="35"/>
  <c r="A1424" i="35"/>
  <c r="A1425" i="35"/>
  <c r="A1426" i="35"/>
  <c r="A1427" i="35"/>
  <c r="A1428" i="35"/>
  <c r="A1429" i="35"/>
  <c r="A1430" i="35"/>
  <c r="A1431" i="35"/>
  <c r="A1432" i="35"/>
  <c r="A1433" i="35"/>
  <c r="A1434" i="35"/>
  <c r="A1435" i="35"/>
  <c r="A1436" i="35"/>
  <c r="A1437" i="35"/>
  <c r="A1438" i="35"/>
  <c r="A1439" i="35"/>
  <c r="A1440" i="35"/>
  <c r="A1441" i="35"/>
  <c r="A1442" i="35"/>
  <c r="A1443" i="35"/>
  <c r="A1444" i="35"/>
  <c r="A1445" i="35"/>
  <c r="A1446" i="35"/>
  <c r="A1447" i="35"/>
  <c r="A1448" i="35"/>
  <c r="A1449" i="35"/>
  <c r="A1450" i="35"/>
  <c r="A1451" i="35"/>
  <c r="A1452" i="35"/>
  <c r="A1453" i="35"/>
  <c r="A1454" i="35"/>
  <c r="A1455" i="35"/>
  <c r="A1456" i="35"/>
  <c r="A1457" i="35"/>
  <c r="A1458" i="35"/>
  <c r="A1459" i="35"/>
  <c r="A1460" i="35"/>
  <c r="A1461" i="35"/>
  <c r="A1462" i="35"/>
  <c r="A1463" i="35"/>
  <c r="A1464" i="35"/>
  <c r="A1465" i="35"/>
  <c r="A1466" i="35"/>
  <c r="A1467" i="35"/>
  <c r="A1468" i="35"/>
  <c r="A1469" i="35"/>
  <c r="A1470" i="35"/>
  <c r="A1471" i="35"/>
  <c r="A1472" i="35"/>
  <c r="A1473" i="35"/>
  <c r="A1474" i="35"/>
  <c r="A1475" i="35"/>
  <c r="A1476" i="35"/>
  <c r="A1477" i="35"/>
  <c r="A1478" i="35"/>
  <c r="A1479" i="35"/>
  <c r="A1480" i="35"/>
  <c r="A1481" i="35"/>
  <c r="A1482" i="35"/>
  <c r="A1483" i="35"/>
  <c r="A1484" i="35"/>
  <c r="A1485" i="35"/>
  <c r="A1486" i="35"/>
  <c r="A1487" i="35"/>
  <c r="A1488" i="35"/>
  <c r="A1489" i="35"/>
  <c r="A1490" i="35"/>
  <c r="A1491" i="35"/>
  <c r="A1492" i="35"/>
  <c r="A1493" i="35"/>
  <c r="A1494" i="35"/>
  <c r="A1495" i="35"/>
  <c r="A1496" i="35"/>
  <c r="A1497" i="35"/>
  <c r="A1498" i="35"/>
  <c r="A1499" i="35"/>
  <c r="A1500" i="35"/>
  <c r="A1501" i="35"/>
  <c r="A1502" i="35"/>
  <c r="A1503" i="35"/>
  <c r="A1504" i="35"/>
  <c r="A1505" i="35"/>
  <c r="A1506" i="35"/>
  <c r="A1507" i="35"/>
  <c r="A1508" i="35"/>
  <c r="A1509" i="35"/>
  <c r="A1510" i="35"/>
  <c r="A1511" i="35"/>
  <c r="A1512" i="35"/>
  <c r="A1513" i="35"/>
  <c r="A1514" i="35"/>
  <c r="A1515" i="35"/>
  <c r="A1516" i="35"/>
  <c r="A1517" i="35"/>
  <c r="A1518" i="35"/>
  <c r="A1519" i="35"/>
  <c r="A1520" i="35"/>
  <c r="A1521" i="35"/>
  <c r="A1522" i="35"/>
  <c r="A1523" i="35"/>
  <c r="A1524" i="35"/>
  <c r="A1525" i="35"/>
  <c r="A1526" i="35"/>
  <c r="A1527" i="35"/>
  <c r="A1528" i="35"/>
  <c r="A1529" i="35"/>
  <c r="A1530" i="35"/>
  <c r="A1531" i="35"/>
  <c r="A1532" i="35"/>
  <c r="A1533" i="35"/>
  <c r="A1534" i="35"/>
  <c r="A1535" i="35"/>
  <c r="A1536" i="35"/>
  <c r="A1537" i="35"/>
  <c r="A1538" i="35"/>
  <c r="A1539" i="35"/>
  <c r="A1540" i="35"/>
  <c r="A1541" i="35"/>
  <c r="A1542" i="35"/>
  <c r="A1543" i="35"/>
  <c r="A1544" i="35"/>
  <c r="A1545" i="35"/>
  <c r="A1546" i="35"/>
  <c r="A1547" i="35"/>
  <c r="A1548" i="35"/>
  <c r="A1549" i="35"/>
  <c r="A1550" i="35"/>
  <c r="A1551" i="35"/>
  <c r="A1552" i="35"/>
  <c r="A1553" i="35"/>
  <c r="A1554" i="35"/>
  <c r="A1555" i="35"/>
  <c r="A1556" i="35"/>
  <c r="A1557" i="35"/>
  <c r="A1558" i="35"/>
  <c r="A1559" i="35"/>
  <c r="A1560" i="35"/>
  <c r="A1561" i="35"/>
  <c r="A1562" i="35"/>
  <c r="A1563" i="35"/>
  <c r="A1564" i="35"/>
  <c r="A1565" i="35"/>
  <c r="A1566" i="35"/>
  <c r="A1567" i="35"/>
  <c r="A1568" i="35"/>
  <c r="A1569" i="35"/>
  <c r="A1570" i="35"/>
  <c r="A1571" i="35"/>
  <c r="A1572" i="35"/>
  <c r="A1573" i="35"/>
  <c r="A1574" i="35"/>
  <c r="A1575" i="35"/>
  <c r="A1576" i="35"/>
  <c r="A1577" i="35"/>
  <c r="A1578" i="35"/>
  <c r="A1579" i="35"/>
  <c r="A1580" i="35"/>
  <c r="A1581" i="35"/>
  <c r="A1582" i="35"/>
  <c r="A1583" i="35"/>
  <c r="A1584" i="35"/>
  <c r="A1585" i="35"/>
  <c r="A1586" i="35"/>
  <c r="A1587" i="35"/>
  <c r="A1588" i="35"/>
  <c r="A1589" i="35"/>
  <c r="A1590" i="35"/>
  <c r="A1591" i="35"/>
  <c r="A1592" i="35"/>
  <c r="A1593" i="35"/>
  <c r="A1594" i="35"/>
  <c r="A1595" i="35"/>
  <c r="A1596" i="35"/>
  <c r="A1597" i="35"/>
  <c r="A1598" i="35"/>
  <c r="A1599" i="35"/>
  <c r="A1600" i="35"/>
  <c r="A1601" i="35"/>
  <c r="A1602" i="35"/>
  <c r="A1603" i="35"/>
  <c r="A1604" i="35"/>
  <c r="A1605" i="35"/>
  <c r="A1606" i="35"/>
  <c r="A1607" i="35"/>
  <c r="A1608" i="35"/>
  <c r="A1609" i="35"/>
  <c r="A1610" i="35"/>
  <c r="A1611" i="35"/>
  <c r="A1612" i="35"/>
  <c r="A1613" i="35"/>
  <c r="A1614" i="35"/>
  <c r="A1615" i="35"/>
  <c r="A1616" i="35"/>
  <c r="A1617" i="35"/>
  <c r="A1618" i="35"/>
  <c r="A1619" i="35"/>
  <c r="A1620" i="35"/>
  <c r="A1621" i="35"/>
  <c r="A1622" i="35"/>
  <c r="A1623" i="35"/>
  <c r="A1624" i="35"/>
  <c r="A1625" i="35"/>
  <c r="A1626" i="35"/>
  <c r="A1627" i="35"/>
  <c r="A1628" i="35"/>
  <c r="A1629" i="35"/>
  <c r="A1630" i="35"/>
  <c r="A1631" i="35"/>
  <c r="A1632" i="35"/>
  <c r="A1633" i="35"/>
  <c r="A1634" i="35"/>
  <c r="A1635" i="35"/>
  <c r="A1636" i="35"/>
  <c r="A1637" i="35"/>
  <c r="A1638" i="35"/>
  <c r="A1639" i="35"/>
  <c r="A1640" i="35"/>
  <c r="A1641" i="35"/>
  <c r="A1642" i="35"/>
  <c r="A1643" i="35"/>
  <c r="A1644" i="35"/>
  <c r="A1645" i="35"/>
  <c r="A1646" i="35"/>
  <c r="A1647" i="35"/>
  <c r="A1648" i="35"/>
  <c r="A1649" i="35"/>
  <c r="A1650" i="35"/>
  <c r="A1651" i="35"/>
  <c r="A1652" i="35"/>
  <c r="A1653" i="35"/>
  <c r="A1654" i="35"/>
  <c r="A1655" i="35"/>
  <c r="A1656" i="35"/>
  <c r="A1657" i="35"/>
  <c r="A1658" i="35"/>
  <c r="A1659" i="35"/>
  <c r="A1660" i="35"/>
  <c r="A1661" i="35"/>
  <c r="A1662" i="35"/>
  <c r="A1663" i="35"/>
  <c r="A1664" i="35"/>
  <c r="A1665" i="35"/>
  <c r="A1666" i="35"/>
  <c r="A1667" i="35"/>
  <c r="A1668" i="35"/>
  <c r="A1669" i="35"/>
  <c r="A1670" i="35"/>
  <c r="A1671" i="35"/>
  <c r="A1672" i="35"/>
  <c r="A1673" i="35"/>
  <c r="A1674" i="35"/>
  <c r="A1675" i="35"/>
  <c r="A1676" i="35"/>
  <c r="A1677" i="35"/>
  <c r="A1678" i="35"/>
  <c r="A1679" i="35"/>
  <c r="A1680" i="35"/>
  <c r="A1681" i="35"/>
  <c r="A1682" i="35"/>
  <c r="A1683" i="35"/>
  <c r="A1684" i="35"/>
  <c r="A1685" i="35"/>
  <c r="A1686" i="35"/>
  <c r="A1687" i="35"/>
  <c r="A1688" i="35"/>
  <c r="A1689" i="35"/>
  <c r="A1690" i="35"/>
  <c r="A1691" i="35"/>
  <c r="A1692" i="35"/>
  <c r="A1693" i="35"/>
  <c r="A1694" i="35"/>
  <c r="A1695" i="35"/>
  <c r="A1696" i="35"/>
  <c r="A1697" i="35"/>
  <c r="A1698" i="35"/>
  <c r="A1699" i="35"/>
  <c r="A1700" i="35"/>
  <c r="A1701" i="35"/>
  <c r="A1702" i="35"/>
  <c r="A1703" i="35"/>
  <c r="A1704" i="35"/>
  <c r="A1705" i="35"/>
  <c r="A1706" i="35"/>
  <c r="A1707" i="35"/>
  <c r="A1708" i="35"/>
  <c r="A1709" i="35"/>
  <c r="A1710" i="35"/>
  <c r="A1711" i="35"/>
  <c r="A1712" i="35"/>
  <c r="A1713" i="35"/>
  <c r="A1714" i="35"/>
  <c r="A1715" i="35"/>
  <c r="A1716" i="35"/>
  <c r="A1717" i="35"/>
  <c r="A1718" i="35"/>
  <c r="A1719" i="35"/>
  <c r="A1720" i="35"/>
  <c r="A1721" i="35"/>
  <c r="A1722" i="35"/>
  <c r="A1723" i="35"/>
  <c r="A1724" i="35"/>
  <c r="A1725" i="35"/>
  <c r="A1726" i="35"/>
  <c r="A1727" i="35"/>
  <c r="A1728" i="35"/>
  <c r="A1729" i="35"/>
  <c r="A1730" i="35"/>
  <c r="A1731" i="35"/>
  <c r="A1732" i="35"/>
  <c r="A1733" i="35"/>
  <c r="A1734" i="35"/>
  <c r="A1735" i="35"/>
  <c r="A1736" i="35"/>
  <c r="A1737" i="35"/>
  <c r="A1738" i="35"/>
  <c r="A1739" i="35"/>
  <c r="A1740" i="35"/>
  <c r="A1741" i="35"/>
  <c r="A1742" i="35"/>
  <c r="A1743" i="35"/>
  <c r="A1744" i="35"/>
  <c r="A1745" i="35"/>
  <c r="A1746" i="35"/>
  <c r="A1747" i="35"/>
  <c r="A1748" i="35"/>
  <c r="A1749" i="35"/>
  <c r="A1750" i="35"/>
  <c r="A1751" i="35"/>
  <c r="A1752" i="35"/>
  <c r="A1753" i="35"/>
  <c r="A1754" i="35"/>
  <c r="A1755" i="35"/>
  <c r="A1756" i="35"/>
  <c r="A1757" i="35"/>
  <c r="A1758" i="35"/>
  <c r="A1759" i="35"/>
  <c r="A1760" i="35"/>
  <c r="A1761" i="35"/>
  <c r="A1762" i="35"/>
  <c r="A1763" i="35"/>
  <c r="A1764" i="35"/>
  <c r="A1765" i="35"/>
  <c r="A1766" i="35"/>
  <c r="A1767" i="35"/>
  <c r="A1768" i="35"/>
  <c r="A1769" i="35"/>
  <c r="A1770" i="35"/>
  <c r="A1771" i="35"/>
  <c r="A1772" i="35"/>
  <c r="A1773" i="35"/>
  <c r="A1774" i="35"/>
  <c r="A1775" i="35"/>
  <c r="A1776" i="35"/>
  <c r="A1777" i="35"/>
  <c r="A1778" i="35"/>
  <c r="A1779" i="35"/>
  <c r="A1780" i="35"/>
  <c r="A1781" i="35"/>
  <c r="A1782" i="35"/>
  <c r="A1783" i="35"/>
  <c r="A1784" i="35"/>
  <c r="A1785" i="35"/>
  <c r="A1786" i="35"/>
  <c r="A1787" i="35"/>
  <c r="A1788" i="35"/>
  <c r="A1789" i="35"/>
  <c r="A1790" i="35"/>
  <c r="A1791" i="35"/>
  <c r="A1792" i="35"/>
  <c r="A1793" i="35"/>
  <c r="A1794" i="35"/>
  <c r="A1795" i="35"/>
  <c r="A1796" i="35"/>
  <c r="A1797" i="35"/>
  <c r="A1798" i="35"/>
  <c r="A1799" i="35"/>
  <c r="A1800" i="35"/>
  <c r="A1801" i="35"/>
  <c r="A1802" i="35"/>
  <c r="A1803" i="35"/>
  <c r="A1804" i="35"/>
  <c r="A1805" i="35"/>
  <c r="A1806" i="35"/>
  <c r="A1807" i="35"/>
  <c r="A1808" i="35"/>
  <c r="A1809" i="35"/>
  <c r="A1810" i="35"/>
  <c r="A1811" i="35"/>
  <c r="A1812" i="35"/>
  <c r="A1813" i="35"/>
  <c r="A1814" i="35"/>
  <c r="A1815" i="35"/>
  <c r="A1816" i="35"/>
  <c r="A1817" i="35"/>
  <c r="A1818" i="35"/>
  <c r="A1819" i="35"/>
  <c r="A1820" i="35"/>
  <c r="A1821" i="35"/>
  <c r="A1822" i="35"/>
  <c r="A1823" i="35"/>
  <c r="A1824" i="35"/>
  <c r="A1825" i="35"/>
  <c r="A1826" i="35"/>
  <c r="A1827" i="35"/>
  <c r="A1828" i="35"/>
  <c r="A1829" i="35"/>
  <c r="A1830" i="35"/>
  <c r="A1831" i="35"/>
  <c r="A1832" i="35"/>
  <c r="A1833" i="35"/>
  <c r="A1834" i="35"/>
  <c r="A1835" i="35"/>
  <c r="A1836" i="35"/>
  <c r="A1837" i="35"/>
  <c r="A1838" i="35"/>
  <c r="A1839" i="35"/>
  <c r="A1840" i="35"/>
  <c r="A1841" i="35"/>
  <c r="A1842" i="35"/>
  <c r="A1843" i="35"/>
  <c r="A1844" i="35"/>
  <c r="A1845" i="35"/>
  <c r="A1846" i="35"/>
  <c r="A1847" i="35"/>
  <c r="A1848" i="35"/>
  <c r="A1849" i="35"/>
  <c r="A1850" i="35"/>
  <c r="A1851" i="35"/>
  <c r="A1852" i="35"/>
  <c r="A1853" i="35"/>
  <c r="A1854" i="35"/>
  <c r="A1855" i="35"/>
  <c r="A1856" i="35"/>
  <c r="A1857" i="35"/>
  <c r="A1858" i="35"/>
  <c r="A1859" i="35"/>
  <c r="A1860" i="35"/>
  <c r="A1861" i="35"/>
  <c r="A1862" i="35"/>
  <c r="A1863" i="35"/>
  <c r="A1864" i="35"/>
  <c r="A1865" i="35"/>
  <c r="A1866" i="35"/>
  <c r="A1867" i="35"/>
  <c r="A1868" i="35"/>
  <c r="A1869" i="35"/>
  <c r="A1870" i="35"/>
  <c r="A1871" i="35"/>
  <c r="A1872" i="35"/>
  <c r="A1873" i="35"/>
  <c r="A1874" i="35"/>
  <c r="A1875" i="35"/>
  <c r="A1876" i="35"/>
  <c r="A1877" i="35"/>
  <c r="A1878" i="35"/>
  <c r="A1879" i="35"/>
  <c r="A1880" i="35"/>
  <c r="A1881" i="35"/>
  <c r="A1882" i="35"/>
  <c r="A1883" i="35"/>
  <c r="A1884" i="35"/>
  <c r="A1885" i="35"/>
  <c r="A1886" i="35"/>
  <c r="A1887" i="35"/>
  <c r="A1888" i="35"/>
  <c r="A1889" i="35"/>
  <c r="A1890" i="35"/>
  <c r="A1891" i="35"/>
  <c r="A1892" i="35"/>
  <c r="A1893" i="35"/>
  <c r="A1894" i="35"/>
  <c r="A1895" i="35"/>
  <c r="A1896" i="35"/>
  <c r="A1897" i="35"/>
  <c r="A1898" i="35"/>
  <c r="A1899" i="35"/>
  <c r="A1900" i="35"/>
  <c r="A1901" i="35"/>
  <c r="A1902" i="35"/>
  <c r="A1903" i="35"/>
  <c r="A1904" i="35"/>
  <c r="A1905" i="35"/>
  <c r="A1906" i="35"/>
  <c r="A1907" i="35"/>
  <c r="A1908" i="35"/>
  <c r="A1909" i="35"/>
  <c r="A1910" i="35"/>
  <c r="A1911" i="35"/>
  <c r="A1912" i="35"/>
  <c r="A1913" i="35"/>
  <c r="A1914" i="35"/>
  <c r="A1915" i="35"/>
  <c r="A1916" i="35"/>
  <c r="A1917" i="35"/>
  <c r="A1918" i="35"/>
  <c r="A1919" i="35"/>
  <c r="A1920" i="35"/>
  <c r="A1921" i="35"/>
  <c r="A1922" i="35"/>
  <c r="A1923" i="35"/>
  <c r="A1924" i="35"/>
  <c r="A1925" i="35"/>
  <c r="A1926" i="35"/>
  <c r="A1927" i="35"/>
  <c r="A1928" i="35"/>
  <c r="A1929" i="35"/>
  <c r="A1930" i="35"/>
  <c r="A1931" i="35"/>
  <c r="A1932" i="35"/>
  <c r="A1933" i="35"/>
  <c r="A1934" i="35"/>
  <c r="A1935" i="35"/>
  <c r="A1936" i="35"/>
  <c r="A1937" i="35"/>
  <c r="A1938" i="35"/>
  <c r="A1939" i="35"/>
  <c r="A1940" i="35"/>
  <c r="A1941" i="35"/>
  <c r="A1942" i="35"/>
  <c r="A1943" i="35"/>
  <c r="A1944" i="35"/>
  <c r="A1945" i="35"/>
  <c r="A1946" i="35"/>
  <c r="A1947" i="35"/>
  <c r="A1948" i="35"/>
  <c r="A1949" i="35"/>
  <c r="A1950" i="35"/>
  <c r="A1951" i="35"/>
  <c r="A1952" i="35"/>
  <c r="A1953" i="35"/>
  <c r="A1954" i="35"/>
  <c r="A1955" i="35"/>
  <c r="A1956" i="35"/>
  <c r="A1957" i="35"/>
  <c r="A1958" i="35"/>
  <c r="A1959" i="35"/>
  <c r="A1960" i="35"/>
  <c r="A1961" i="35"/>
  <c r="A1962" i="35"/>
  <c r="A1963" i="35"/>
  <c r="A1964" i="35"/>
  <c r="A1965" i="35"/>
  <c r="A1966" i="35"/>
  <c r="A1967" i="35"/>
  <c r="A1968" i="35"/>
  <c r="A1969" i="35"/>
  <c r="A1970" i="35"/>
  <c r="A1971" i="35"/>
  <c r="A1972" i="35"/>
  <c r="A1973" i="35"/>
  <c r="A1974" i="35"/>
  <c r="A1975" i="35"/>
  <c r="A1976" i="35"/>
  <c r="A1977" i="35"/>
  <c r="A1978" i="35"/>
  <c r="A1979" i="35"/>
  <c r="A1980" i="35"/>
  <c r="A1981" i="35"/>
  <c r="A1982" i="35"/>
  <c r="A1983" i="35"/>
  <c r="A1984" i="35"/>
  <c r="A1985" i="35"/>
  <c r="A1986" i="35"/>
  <c r="A1987" i="35"/>
  <c r="A1988" i="35"/>
  <c r="A1989" i="35"/>
  <c r="A1990" i="35"/>
  <c r="A1991" i="35"/>
  <c r="A1992" i="35"/>
  <c r="A1993" i="35"/>
  <c r="A1994" i="35"/>
  <c r="A1995" i="35"/>
  <c r="A1996" i="35"/>
  <c r="A1997" i="35"/>
  <c r="A1998" i="35"/>
  <c r="A1999" i="35"/>
  <c r="A2000" i="35"/>
  <c r="A2001" i="35"/>
  <c r="A2002" i="35"/>
  <c r="A2003" i="35"/>
  <c r="A2004" i="35"/>
  <c r="A2005" i="35"/>
  <c r="A2006" i="35"/>
  <c r="A2007" i="35"/>
  <c r="A2008" i="35"/>
  <c r="A2009" i="35"/>
  <c r="A2010" i="35"/>
  <c r="A2011" i="35"/>
  <c r="A2012" i="35"/>
  <c r="A2013" i="35"/>
  <c r="A2014" i="35"/>
  <c r="A2015" i="35"/>
  <c r="A2016" i="35"/>
  <c r="A2017" i="35"/>
  <c r="A2018" i="35"/>
  <c r="A2019" i="35"/>
  <c r="A2020" i="35"/>
  <c r="A2021" i="35"/>
  <c r="A2022" i="35"/>
  <c r="A2023" i="35"/>
  <c r="A2024" i="35"/>
  <c r="A2025" i="35"/>
  <c r="A2026" i="35"/>
  <c r="A2027" i="35"/>
  <c r="A2028" i="35"/>
  <c r="A2029" i="35"/>
  <c r="A2030" i="35"/>
  <c r="A2031" i="35"/>
  <c r="A2032" i="35"/>
  <c r="A2033" i="35"/>
  <c r="A2034" i="35"/>
  <c r="A2035" i="35"/>
  <c r="A2036" i="35"/>
  <c r="A2037" i="35"/>
  <c r="A2038" i="35"/>
  <c r="A2039" i="35"/>
  <c r="A2040" i="35"/>
  <c r="A2041" i="35"/>
  <c r="A2042" i="35"/>
  <c r="A2043" i="35"/>
  <c r="A2044" i="35"/>
  <c r="A2045" i="35"/>
  <c r="A2046" i="35"/>
  <c r="A2047" i="35"/>
  <c r="A2048" i="35"/>
  <c r="A2049" i="35"/>
  <c r="A2050" i="35"/>
  <c r="A2051" i="35"/>
  <c r="A2052" i="35"/>
  <c r="A2053" i="35"/>
  <c r="A2054" i="35"/>
  <c r="A2055" i="35"/>
  <c r="A2056" i="35"/>
  <c r="A2057" i="35"/>
  <c r="A2058" i="35"/>
  <c r="A2059" i="35"/>
  <c r="A2060" i="35"/>
  <c r="A2061" i="35"/>
  <c r="A2062" i="35"/>
  <c r="A2063" i="35"/>
  <c r="A2064" i="35"/>
  <c r="A2065" i="35"/>
  <c r="A2066" i="35"/>
  <c r="A2067" i="35"/>
  <c r="A2068" i="35"/>
  <c r="A2069" i="35"/>
  <c r="A2070" i="35"/>
  <c r="A2071" i="35"/>
  <c r="A2072" i="35"/>
  <c r="A2073" i="35"/>
  <c r="A2074" i="35"/>
  <c r="A2075" i="35"/>
  <c r="A2076" i="35"/>
  <c r="A2077" i="35"/>
  <c r="A2078" i="35"/>
  <c r="A2079" i="35"/>
  <c r="A2080" i="35"/>
  <c r="A2081" i="35"/>
  <c r="A2082" i="35"/>
  <c r="A2083" i="35"/>
  <c r="A2084" i="35"/>
  <c r="A2085" i="35"/>
  <c r="A2086" i="35"/>
  <c r="A2087" i="35"/>
  <c r="A2088" i="35"/>
  <c r="A2089" i="35"/>
  <c r="A2090" i="35"/>
  <c r="A2091" i="35"/>
  <c r="A2092" i="35"/>
  <c r="A2093" i="35"/>
  <c r="A2094" i="35"/>
  <c r="A2095" i="35"/>
  <c r="A2096" i="35"/>
  <c r="A2097" i="35"/>
  <c r="A2098" i="35"/>
  <c r="A2099" i="35"/>
  <c r="A2100" i="35"/>
  <c r="A2101" i="35"/>
  <c r="A2102" i="35"/>
  <c r="A2103" i="35"/>
  <c r="A2104" i="35"/>
  <c r="A2105" i="35"/>
  <c r="A2106" i="35"/>
  <c r="A2107" i="35"/>
  <c r="A2108" i="35"/>
  <c r="A2109" i="35"/>
  <c r="A2110" i="35"/>
  <c r="A2111" i="35"/>
  <c r="A2112" i="35"/>
  <c r="A2113" i="35"/>
  <c r="A2114" i="35"/>
  <c r="A2115" i="35"/>
  <c r="A2116" i="35"/>
  <c r="A2117" i="35"/>
  <c r="A2118" i="35"/>
  <c r="A2119" i="35"/>
  <c r="A2120" i="35"/>
  <c r="A2121" i="35"/>
  <c r="A2122" i="35"/>
  <c r="A2123" i="35"/>
  <c r="A2124" i="35"/>
  <c r="A2125" i="35"/>
  <c r="A2126" i="35"/>
  <c r="A2127" i="35"/>
  <c r="A2128" i="35"/>
  <c r="A2129" i="35"/>
  <c r="A2130" i="35"/>
  <c r="A2131" i="35"/>
  <c r="A2132" i="35"/>
  <c r="A2133" i="35"/>
  <c r="A2134" i="35"/>
  <c r="A2135" i="35"/>
  <c r="A2136" i="35"/>
  <c r="A2137" i="35"/>
  <c r="A2138" i="35"/>
  <c r="A2139" i="35"/>
  <c r="A2140" i="35"/>
  <c r="A2141" i="35"/>
  <c r="A2142" i="35"/>
  <c r="A2143" i="35"/>
  <c r="A2144" i="35"/>
  <c r="A2145" i="35"/>
  <c r="A2146" i="35"/>
  <c r="A2147" i="35"/>
  <c r="A2148" i="35"/>
  <c r="A2149" i="35"/>
  <c r="A2150" i="35"/>
  <c r="A2151" i="35"/>
  <c r="A2152" i="35"/>
  <c r="A2153" i="35"/>
  <c r="A2154" i="35"/>
  <c r="A2155" i="35"/>
  <c r="A2156" i="35"/>
  <c r="A2157" i="35"/>
  <c r="A2158" i="35"/>
  <c r="A2159" i="35"/>
  <c r="A2160" i="35"/>
  <c r="A2161" i="35"/>
  <c r="A2162" i="35"/>
  <c r="A2163" i="35"/>
  <c r="A2164" i="35"/>
  <c r="A2165" i="35"/>
  <c r="A2166" i="35"/>
  <c r="A2167" i="35"/>
  <c r="A2168" i="35"/>
  <c r="A2169" i="35"/>
  <c r="A2170" i="35"/>
  <c r="A2171" i="35"/>
  <c r="A2172" i="35"/>
  <c r="A2173" i="35"/>
  <c r="A2174" i="35"/>
  <c r="A2175" i="35"/>
  <c r="A2176" i="35"/>
  <c r="A2177" i="35"/>
  <c r="A2178" i="35"/>
  <c r="A2179" i="35"/>
  <c r="A2180" i="35"/>
  <c r="A2181" i="35"/>
  <c r="A2182" i="35"/>
  <c r="A2183" i="35"/>
  <c r="A2184" i="35"/>
  <c r="A2185" i="35"/>
  <c r="A2186" i="35"/>
  <c r="A2187" i="35"/>
  <c r="A2188" i="35"/>
  <c r="A2189" i="35"/>
  <c r="A2190" i="35"/>
  <c r="A2191" i="35"/>
  <c r="A2192" i="35"/>
  <c r="A2193" i="35"/>
  <c r="A2194" i="35"/>
  <c r="A2195" i="35"/>
  <c r="A2196" i="35"/>
  <c r="A2197" i="35"/>
  <c r="A2198" i="35"/>
  <c r="A2199" i="35"/>
  <c r="A2200" i="35"/>
  <c r="A2201" i="35"/>
  <c r="A2202" i="35"/>
  <c r="A2203" i="35"/>
  <c r="A2204" i="35"/>
  <c r="A2205" i="35"/>
  <c r="A2206" i="35"/>
  <c r="A2207" i="35"/>
  <c r="A2208" i="35"/>
  <c r="A2209" i="35"/>
  <c r="A2210" i="35"/>
  <c r="A2211" i="35"/>
  <c r="A2212" i="35"/>
  <c r="A2213" i="35"/>
  <c r="A2214" i="35"/>
  <c r="A2215" i="35"/>
  <c r="A2216" i="35"/>
  <c r="A2217" i="35"/>
  <c r="A2218" i="35"/>
  <c r="A2219" i="35"/>
  <c r="A2220" i="35"/>
  <c r="A2221" i="35"/>
  <c r="A2222" i="35"/>
  <c r="A2223" i="35"/>
  <c r="A2224" i="35"/>
  <c r="A2225" i="35"/>
  <c r="A2226" i="35"/>
  <c r="A2227" i="35"/>
  <c r="A2228" i="35"/>
  <c r="A2229" i="35"/>
  <c r="A2230" i="35"/>
  <c r="A2231" i="35"/>
  <c r="A2232" i="35"/>
  <c r="A2233" i="35"/>
  <c r="A2234" i="35"/>
  <c r="A2235" i="35"/>
  <c r="A2236" i="35"/>
  <c r="A2237" i="35"/>
  <c r="A2238" i="35"/>
  <c r="A2239" i="35"/>
  <c r="A2240" i="35"/>
  <c r="A2241" i="35"/>
  <c r="A2242" i="35"/>
  <c r="A2243" i="35"/>
  <c r="A2244" i="35"/>
  <c r="A2245" i="35"/>
  <c r="A2246" i="35"/>
  <c r="A2247" i="35"/>
  <c r="A2248" i="35"/>
  <c r="A2249" i="35"/>
  <c r="A2250" i="35"/>
  <c r="A2251" i="35"/>
  <c r="A2252" i="35"/>
  <c r="A2253" i="35"/>
  <c r="A2254" i="35"/>
  <c r="A2255" i="35"/>
  <c r="A2256" i="35"/>
  <c r="A2257" i="35"/>
  <c r="A2258" i="35"/>
  <c r="A2259" i="35"/>
  <c r="A2260" i="35"/>
  <c r="A2261" i="35"/>
  <c r="A2262" i="35"/>
  <c r="A2263" i="35"/>
  <c r="A2264" i="35"/>
  <c r="A2265" i="35"/>
  <c r="A2266" i="35"/>
  <c r="A2267" i="35"/>
  <c r="A2268" i="35"/>
  <c r="A2269" i="35"/>
  <c r="A2270" i="35"/>
  <c r="A2271" i="35"/>
  <c r="A2272" i="35"/>
  <c r="A2273" i="35"/>
  <c r="A2274" i="35"/>
  <c r="A2275" i="35"/>
  <c r="A2276" i="35"/>
  <c r="A2277" i="35"/>
  <c r="A2278" i="35"/>
  <c r="A2279" i="35"/>
  <c r="A2280" i="35"/>
  <c r="A2281" i="35"/>
  <c r="A2282" i="35"/>
  <c r="A2283" i="35"/>
  <c r="A2284" i="35"/>
  <c r="A2285" i="35"/>
  <c r="A2286" i="35"/>
  <c r="A2287" i="35"/>
  <c r="A2288" i="35"/>
  <c r="A2289" i="35"/>
  <c r="A2290" i="35"/>
  <c r="A2291" i="35"/>
  <c r="A2292" i="35"/>
  <c r="A2293" i="35"/>
  <c r="A2294" i="35"/>
  <c r="A2295" i="35"/>
  <c r="A2296" i="35"/>
  <c r="A2297" i="35"/>
  <c r="A2298" i="35"/>
  <c r="A2299" i="35"/>
  <c r="A2300" i="35"/>
  <c r="A2301" i="35"/>
  <c r="A2302" i="35"/>
  <c r="A2303" i="35"/>
  <c r="A2304" i="35"/>
  <c r="A2305" i="35"/>
  <c r="A2306" i="35"/>
  <c r="A2307" i="35"/>
  <c r="A2308" i="35"/>
  <c r="A2309" i="35"/>
  <c r="A2310" i="35"/>
  <c r="A2311" i="35"/>
  <c r="A2312" i="35"/>
  <c r="A2313" i="35"/>
  <c r="A2314" i="35"/>
  <c r="A2315" i="35"/>
  <c r="A2316" i="35"/>
  <c r="A2317" i="35"/>
  <c r="A2318" i="35"/>
  <c r="A2319" i="35"/>
  <c r="A2320" i="35"/>
  <c r="A2321" i="35"/>
  <c r="A2322" i="35"/>
  <c r="A2323" i="35"/>
  <c r="A2324" i="35"/>
  <c r="A2325" i="35"/>
  <c r="A2326" i="35"/>
  <c r="A2327" i="35"/>
  <c r="A2328" i="35"/>
  <c r="A2329" i="35"/>
  <c r="A2330" i="35"/>
  <c r="A2331" i="35"/>
  <c r="A2332" i="35"/>
  <c r="A2333" i="35"/>
  <c r="A2334" i="35"/>
  <c r="A2335" i="35"/>
  <c r="A2336" i="35"/>
  <c r="A2337" i="35"/>
  <c r="A2338" i="35"/>
  <c r="A2339" i="35"/>
  <c r="A2340" i="35"/>
  <c r="A2341" i="35"/>
  <c r="A2342" i="35"/>
  <c r="A2343" i="35"/>
  <c r="A2344" i="35"/>
  <c r="A2345" i="35"/>
  <c r="A2346" i="35"/>
  <c r="A2347" i="35"/>
  <c r="A2348" i="35"/>
  <c r="A2349" i="35"/>
  <c r="A2350" i="35"/>
  <c r="A2351" i="35"/>
  <c r="A2352" i="35"/>
  <c r="A2353" i="35"/>
  <c r="A2354" i="35"/>
  <c r="A2355" i="35"/>
  <c r="A2356" i="35"/>
  <c r="A2357" i="35"/>
  <c r="A2358" i="35"/>
  <c r="A2359" i="35"/>
  <c r="A2360" i="35"/>
  <c r="A2361" i="35"/>
  <c r="A2362" i="35"/>
  <c r="A2363" i="35"/>
  <c r="A2364" i="35"/>
  <c r="A2365" i="35"/>
  <c r="A2366" i="35"/>
  <c r="A2367" i="35"/>
  <c r="A2368" i="35"/>
  <c r="A2369" i="35"/>
  <c r="A2370" i="35"/>
  <c r="A2371" i="35"/>
  <c r="A2372" i="35"/>
  <c r="A2373" i="35"/>
  <c r="A2374" i="35"/>
  <c r="A2375" i="35"/>
  <c r="A2376" i="35"/>
  <c r="A2377" i="35"/>
  <c r="A2378" i="35"/>
  <c r="A2379" i="35"/>
  <c r="A2380" i="35"/>
  <c r="A2381" i="35"/>
  <c r="A2382" i="35"/>
  <c r="A2383" i="35"/>
  <c r="A2384" i="35"/>
  <c r="A2385" i="35"/>
  <c r="A2386" i="35"/>
  <c r="A2387" i="35"/>
  <c r="A2388" i="35"/>
  <c r="A2389" i="35"/>
  <c r="A2390" i="35"/>
  <c r="A2391" i="35"/>
  <c r="A2392" i="35"/>
  <c r="A2393" i="35"/>
  <c r="A2394" i="35"/>
  <c r="A2395" i="35"/>
  <c r="A2396" i="35"/>
  <c r="A2397" i="35"/>
  <c r="A2398" i="35"/>
  <c r="A2399" i="35"/>
  <c r="A2400" i="35"/>
  <c r="A2401" i="35"/>
  <c r="A2402" i="35"/>
  <c r="A2403" i="35"/>
  <c r="A2404" i="35"/>
  <c r="A2405" i="35"/>
  <c r="A2406" i="35"/>
  <c r="A2407" i="35"/>
  <c r="A2408" i="35"/>
  <c r="A2409" i="35"/>
  <c r="A2410" i="35"/>
  <c r="A2411" i="35"/>
  <c r="A2412" i="35"/>
  <c r="A2413" i="35"/>
  <c r="A2414" i="35"/>
  <c r="A2415" i="35"/>
  <c r="A2416" i="35"/>
  <c r="A2417" i="35"/>
  <c r="A2418" i="35"/>
  <c r="A2419" i="35"/>
  <c r="A2420" i="35"/>
  <c r="A2421" i="35"/>
  <c r="A2422" i="35"/>
  <c r="A2423" i="35"/>
  <c r="A2424" i="35"/>
  <c r="A2425" i="35"/>
  <c r="A2426" i="35"/>
  <c r="A2427" i="35"/>
  <c r="A2428" i="35"/>
  <c r="A2429" i="35"/>
  <c r="A2430" i="35"/>
  <c r="A2431" i="35"/>
  <c r="A2432" i="35"/>
  <c r="A2433" i="35"/>
  <c r="A2434" i="35"/>
  <c r="A2435" i="35"/>
  <c r="A2436" i="35"/>
  <c r="A2437" i="35"/>
  <c r="A2438" i="35"/>
  <c r="A2439" i="35"/>
  <c r="A2440" i="35"/>
  <c r="A2441" i="35"/>
  <c r="A2442" i="35"/>
  <c r="A2443" i="35"/>
  <c r="A2444" i="35"/>
  <c r="A2445" i="35"/>
  <c r="A2446" i="35"/>
  <c r="A2447" i="35"/>
  <c r="A2448" i="35"/>
  <c r="A2449" i="35"/>
  <c r="A2450" i="35"/>
  <c r="A2451" i="35"/>
  <c r="A2452" i="35"/>
  <c r="A2453" i="35"/>
  <c r="A2454" i="35"/>
  <c r="A2455" i="35"/>
  <c r="A2456" i="35"/>
  <c r="A2457" i="35"/>
  <c r="A2458" i="35"/>
  <c r="A2459" i="35"/>
  <c r="A2460" i="35"/>
  <c r="A2461" i="35"/>
  <c r="A2462" i="35"/>
  <c r="A2463" i="35"/>
  <c r="A2464" i="35"/>
  <c r="A2465" i="35"/>
  <c r="A2466" i="35"/>
  <c r="A2467" i="35"/>
  <c r="A2468" i="35"/>
  <c r="A2469" i="35"/>
  <c r="A2470" i="35"/>
  <c r="A2471" i="35"/>
  <c r="A2472" i="35"/>
  <c r="A2473" i="35"/>
  <c r="A2474" i="35"/>
  <c r="A2475" i="35"/>
  <c r="A2476" i="35"/>
  <c r="A2477" i="35"/>
  <c r="A2478" i="35"/>
  <c r="A2479" i="35"/>
  <c r="A2480" i="35"/>
  <c r="A2481" i="35"/>
  <c r="A2482" i="35"/>
  <c r="A2483" i="35"/>
  <c r="A2484" i="35"/>
  <c r="A2485" i="35"/>
  <c r="A2486" i="35"/>
  <c r="A2487" i="35"/>
  <c r="A2488" i="35"/>
  <c r="A2489" i="35"/>
  <c r="A2490" i="35"/>
  <c r="A2491" i="35"/>
  <c r="A2492" i="35"/>
  <c r="A2493" i="35"/>
  <c r="A2494" i="35"/>
  <c r="A2495" i="35"/>
  <c r="A2496" i="35"/>
  <c r="A2497" i="35"/>
  <c r="A2498" i="35"/>
  <c r="A2499" i="35"/>
  <c r="A2500" i="35"/>
  <c r="A2501" i="35"/>
  <c r="A2502" i="35"/>
  <c r="A2503" i="35"/>
  <c r="A2504" i="35"/>
  <c r="A2505" i="35"/>
  <c r="A2506" i="35"/>
  <c r="A2507" i="35"/>
  <c r="A2508" i="35"/>
  <c r="A2509" i="35"/>
  <c r="A2510" i="35"/>
  <c r="A2511" i="35"/>
  <c r="A2512" i="35"/>
  <c r="A2513" i="35"/>
  <c r="A2514" i="35"/>
  <c r="A2515" i="35"/>
  <c r="A2516" i="35"/>
  <c r="A2517" i="35"/>
  <c r="A2518" i="35"/>
  <c r="A2519" i="35"/>
  <c r="A2520" i="35"/>
  <c r="A2521" i="35"/>
  <c r="A2522" i="35"/>
  <c r="A2523" i="35"/>
  <c r="A2524" i="35"/>
  <c r="A2525" i="35"/>
  <c r="A2526" i="35"/>
  <c r="A2527" i="35"/>
  <c r="A2528" i="35"/>
  <c r="A2529" i="35"/>
  <c r="A2530" i="35"/>
  <c r="A2531" i="35"/>
  <c r="A2532" i="35"/>
  <c r="A2533" i="35"/>
  <c r="A2534" i="35"/>
  <c r="A2535" i="35"/>
  <c r="A2536" i="35"/>
  <c r="A2537" i="35"/>
  <c r="A2538" i="35"/>
  <c r="A2539" i="35"/>
  <c r="A2540" i="35"/>
  <c r="A2541" i="35"/>
  <c r="A2542" i="35"/>
  <c r="A2543" i="35"/>
  <c r="A2544" i="35"/>
  <c r="A2545" i="35"/>
  <c r="A2546" i="35"/>
  <c r="A2547" i="35"/>
  <c r="A2548" i="35"/>
  <c r="A2549" i="35"/>
  <c r="A2550" i="35"/>
  <c r="A2551" i="35"/>
  <c r="A2552" i="35"/>
  <c r="A2553" i="35"/>
  <c r="A2554" i="35"/>
  <c r="A2555" i="35"/>
  <c r="A2556" i="35"/>
  <c r="A2557" i="35"/>
  <c r="A2558" i="35"/>
  <c r="A2559" i="35"/>
  <c r="A2560" i="35"/>
  <c r="A2561" i="35"/>
  <c r="A2562" i="35"/>
  <c r="A2563" i="35"/>
  <c r="A2564" i="35"/>
  <c r="A2565" i="35"/>
  <c r="A2566" i="35"/>
  <c r="A2567" i="35"/>
  <c r="A2568" i="35"/>
  <c r="A2569" i="35"/>
  <c r="A2570" i="35"/>
  <c r="A2571" i="35"/>
  <c r="A2572" i="35"/>
  <c r="A2573" i="35"/>
  <c r="A2574" i="35"/>
  <c r="A2575" i="35"/>
  <c r="A2576" i="35"/>
  <c r="A2577" i="35"/>
  <c r="A2578" i="35"/>
  <c r="A2579" i="35"/>
  <c r="A2580" i="35"/>
  <c r="A2581" i="35"/>
  <c r="A2582" i="35"/>
  <c r="A2583" i="35"/>
  <c r="A2584" i="35"/>
  <c r="A2585" i="35"/>
  <c r="A2586" i="35"/>
  <c r="A2587" i="35"/>
  <c r="A2588" i="35"/>
  <c r="A2589" i="35"/>
  <c r="A2590" i="35"/>
  <c r="A2591" i="35"/>
  <c r="A2592" i="35"/>
  <c r="A2593" i="35"/>
  <c r="A2594" i="35"/>
  <c r="A2595" i="35"/>
  <c r="A2596" i="35"/>
  <c r="A2597" i="35"/>
  <c r="A2598" i="35"/>
  <c r="A2599" i="35"/>
  <c r="A2600" i="35"/>
  <c r="A2601" i="35"/>
  <c r="A2602" i="35"/>
  <c r="A2603" i="35"/>
  <c r="A2604" i="35"/>
  <c r="A2605" i="35"/>
  <c r="A2606" i="35"/>
  <c r="A2607" i="35"/>
  <c r="A2608" i="35"/>
  <c r="A2609" i="35"/>
  <c r="A2610" i="35"/>
  <c r="A2611" i="35"/>
  <c r="A2612" i="35"/>
  <c r="A2613" i="35"/>
  <c r="A2614" i="35"/>
  <c r="A2615" i="35"/>
  <c r="A2616" i="35"/>
  <c r="A2617" i="35"/>
  <c r="A2618" i="35"/>
  <c r="A2619" i="35"/>
  <c r="A2620" i="35"/>
  <c r="A2621" i="35"/>
  <c r="A2622" i="35"/>
  <c r="A2623" i="35"/>
  <c r="A2624" i="35"/>
  <c r="A2625" i="35"/>
  <c r="A2626" i="35"/>
  <c r="A2627" i="35"/>
  <c r="A2628" i="35"/>
  <c r="A2629" i="35"/>
  <c r="A2630" i="35"/>
  <c r="A2631" i="35"/>
  <c r="A2632" i="35"/>
  <c r="A2633" i="35"/>
  <c r="A2634" i="35"/>
  <c r="A2635" i="35"/>
  <c r="A2636" i="35"/>
  <c r="A2637" i="35"/>
  <c r="A2638" i="35"/>
  <c r="A2639" i="35"/>
  <c r="A2640" i="35"/>
  <c r="A2641" i="35"/>
  <c r="A2642" i="35"/>
  <c r="A2643" i="35"/>
  <c r="A2644" i="35"/>
  <c r="A2645" i="35"/>
  <c r="A2646" i="35"/>
  <c r="A2647" i="35"/>
  <c r="A2648" i="35"/>
  <c r="A2649" i="35"/>
  <c r="A2650" i="35"/>
  <c r="A2651" i="35"/>
  <c r="A2652" i="35"/>
  <c r="A2653" i="35"/>
  <c r="A2654" i="35"/>
  <c r="A2655" i="35"/>
  <c r="A2656" i="35"/>
  <c r="A2657" i="35"/>
  <c r="A2658" i="35"/>
  <c r="A2659" i="35"/>
  <c r="A2660" i="35"/>
  <c r="A2661" i="35"/>
  <c r="A2662" i="35"/>
  <c r="A2663" i="35"/>
  <c r="A2664" i="35"/>
  <c r="A2665" i="35"/>
  <c r="A2666" i="35"/>
  <c r="A2667" i="35"/>
  <c r="A2668" i="35"/>
  <c r="A2669" i="35"/>
  <c r="A2670" i="35"/>
  <c r="A2671" i="35"/>
  <c r="A2672" i="35"/>
  <c r="A2673" i="35"/>
  <c r="A2674" i="35"/>
  <c r="A2675" i="35"/>
  <c r="A2676" i="35"/>
  <c r="A2677" i="35"/>
  <c r="A2678" i="35"/>
  <c r="A2679" i="35"/>
  <c r="A2680" i="35"/>
  <c r="A2681" i="35"/>
  <c r="A2682" i="35"/>
  <c r="A2683" i="35"/>
  <c r="A2684" i="35"/>
  <c r="A2685" i="35"/>
  <c r="A2686" i="35"/>
  <c r="A2687" i="35"/>
  <c r="A2688" i="35"/>
  <c r="A2689" i="35"/>
  <c r="A2690" i="35"/>
  <c r="A2691" i="35"/>
  <c r="A2692" i="35"/>
  <c r="A2693" i="35"/>
  <c r="A2694" i="35"/>
  <c r="A2695" i="35"/>
  <c r="A2696" i="35"/>
  <c r="A2697" i="35"/>
  <c r="A2698" i="35"/>
  <c r="A2699" i="35"/>
  <c r="A2700" i="35"/>
  <c r="A2701" i="35"/>
  <c r="A2702" i="35"/>
  <c r="A2703" i="35"/>
  <c r="A2704" i="35"/>
  <c r="A2705" i="35"/>
  <c r="A2706" i="35"/>
  <c r="A2707" i="35"/>
  <c r="A2708" i="35"/>
  <c r="A2709" i="35"/>
  <c r="A2710" i="35"/>
  <c r="A2711" i="35"/>
  <c r="A2712" i="35"/>
  <c r="A2713" i="35"/>
  <c r="A2714" i="35"/>
  <c r="A2715" i="35"/>
  <c r="A2716" i="35"/>
  <c r="A2717" i="35"/>
  <c r="A2718" i="35"/>
  <c r="A2719" i="35"/>
  <c r="A2720" i="35"/>
  <c r="A2721" i="35"/>
  <c r="A2722" i="35"/>
  <c r="A2723" i="35"/>
  <c r="A2724" i="35"/>
  <c r="A2725" i="35"/>
  <c r="A2726" i="35"/>
  <c r="A2727" i="35"/>
  <c r="A2728" i="35"/>
  <c r="A2729" i="35"/>
  <c r="A2730" i="35"/>
  <c r="A2731" i="35"/>
  <c r="A2732" i="35"/>
  <c r="A2733" i="35"/>
  <c r="A2734" i="35"/>
  <c r="A2735" i="35"/>
  <c r="A2736" i="35"/>
  <c r="A2737" i="35"/>
  <c r="A2738" i="35"/>
  <c r="A2739" i="35"/>
  <c r="A2740" i="35"/>
  <c r="A2741" i="35"/>
  <c r="A2742" i="35"/>
  <c r="A2743" i="35"/>
  <c r="A2744" i="35"/>
  <c r="A2745" i="35"/>
  <c r="A2746" i="35"/>
  <c r="A2747" i="35"/>
  <c r="A2748" i="35"/>
  <c r="A2749" i="35"/>
  <c r="A2750" i="35"/>
  <c r="A2751" i="35"/>
  <c r="A2752" i="35"/>
  <c r="A2753" i="35"/>
  <c r="A2754" i="35"/>
  <c r="A2755" i="35"/>
  <c r="A2756" i="35"/>
  <c r="A2757" i="35"/>
  <c r="A2758" i="35"/>
  <c r="A2759" i="35"/>
  <c r="A2760" i="35"/>
  <c r="A2761" i="35"/>
  <c r="A2762" i="35"/>
  <c r="A2763" i="35"/>
  <c r="A2764" i="35"/>
  <c r="A2765" i="35"/>
  <c r="A2766" i="35"/>
  <c r="A2767" i="35"/>
  <c r="A2768" i="35"/>
  <c r="A2769" i="35"/>
  <c r="A2770" i="35"/>
  <c r="A2771" i="35"/>
  <c r="A2772" i="35"/>
  <c r="A2773" i="35"/>
  <c r="A2774" i="35"/>
  <c r="A2775" i="35"/>
  <c r="A2776" i="35"/>
  <c r="A2777" i="35"/>
  <c r="A2778" i="35"/>
  <c r="A2779" i="35"/>
  <c r="A2780" i="35"/>
  <c r="A2781" i="35"/>
  <c r="A2782" i="35"/>
  <c r="J2" i="35"/>
  <c r="H2" i="35"/>
  <c r="J1403" i="2"/>
  <c r="J1401" i="2"/>
  <c r="J1402" i="2"/>
  <c r="J1400" i="2"/>
  <c r="J1399" i="2"/>
  <c r="J1394" i="2"/>
  <c r="J1395" i="2"/>
  <c r="J1396" i="2"/>
  <c r="J1397" i="2"/>
  <c r="J1398" i="2"/>
  <c r="J1392" i="2"/>
  <c r="J1393" i="2"/>
  <c r="J1391" i="2"/>
  <c r="J1390" i="2"/>
  <c r="J1389" i="2"/>
  <c r="J1387" i="2"/>
  <c r="J1388" i="2"/>
  <c r="J1386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30" i="2"/>
  <c r="J1381" i="2"/>
  <c r="J1382" i="2"/>
  <c r="J1383" i="2"/>
  <c r="J1384" i="2"/>
  <c r="J1385" i="2"/>
  <c r="J1378" i="2"/>
  <c r="J1379" i="2"/>
  <c r="J1380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299" i="2"/>
  <c r="J1300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163" i="2"/>
  <c r="J1164" i="2"/>
  <c r="J1165" i="2"/>
  <c r="J1166" i="2"/>
  <c r="J1167" i="2"/>
  <c r="J1161" i="2"/>
  <c r="J1162" i="2"/>
  <c r="J1158" i="2"/>
  <c r="J1159" i="2"/>
  <c r="J1160" i="2"/>
  <c r="J1157" i="2"/>
  <c r="J1156" i="2"/>
  <c r="J1155" i="2"/>
  <c r="J1151" i="2"/>
  <c r="J1152" i="2"/>
  <c r="J1153" i="2"/>
  <c r="J1154" i="2"/>
  <c r="J1149" i="2"/>
  <c r="J1150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42" i="2"/>
  <c r="J1043" i="2"/>
  <c r="J1044" i="2"/>
  <c r="J1040" i="2"/>
  <c r="J1041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775" i="2"/>
  <c r="J569" i="2"/>
  <c r="J570" i="2"/>
  <c r="J571" i="2"/>
  <c r="J572" i="2"/>
  <c r="J568" i="2"/>
  <c r="J567" i="2"/>
  <c r="J566" i="2"/>
  <c r="J563" i="2"/>
  <c r="J564" i="2"/>
  <c r="J565" i="2"/>
  <c r="J562" i="2"/>
  <c r="J558" i="2"/>
  <c r="J559" i="2"/>
  <c r="J560" i="2"/>
  <c r="J561" i="2"/>
  <c r="J550" i="2"/>
  <c r="J551" i="2"/>
  <c r="J552" i="2"/>
  <c r="J553" i="2"/>
  <c r="J554" i="2"/>
  <c r="J555" i="2"/>
  <c r="J556" i="2"/>
  <c r="J557" i="2"/>
  <c r="J542" i="2"/>
  <c r="J543" i="2"/>
  <c r="J544" i="2"/>
  <c r="J545" i="2"/>
  <c r="J546" i="2"/>
  <c r="J547" i="2"/>
  <c r="J548" i="2"/>
  <c r="J549" i="2"/>
  <c r="J538" i="2"/>
  <c r="J539" i="2"/>
  <c r="J540" i="2"/>
  <c r="J541" i="2"/>
  <c r="J534" i="2"/>
  <c r="J535" i="2"/>
  <c r="J536" i="2"/>
  <c r="J537" i="2"/>
  <c r="J438" i="2"/>
  <c r="J529" i="2"/>
  <c r="J530" i="2"/>
  <c r="J531" i="2"/>
  <c r="J532" i="2"/>
  <c r="J533" i="2"/>
  <c r="J525" i="2"/>
  <c r="J526" i="2"/>
  <c r="J527" i="2"/>
  <c r="J528" i="2"/>
  <c r="J520" i="2"/>
  <c r="J521" i="2"/>
  <c r="J522" i="2"/>
  <c r="J523" i="2"/>
  <c r="J52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468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39" i="2"/>
  <c r="J440" i="2"/>
  <c r="J441" i="2"/>
  <c r="J442" i="2"/>
  <c r="J443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393" i="2"/>
  <c r="J394" i="2"/>
  <c r="J395" i="2"/>
  <c r="J396" i="2"/>
  <c r="J397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392" i="2"/>
  <c r="J388" i="2"/>
  <c r="J389" i="2"/>
  <c r="J390" i="2"/>
  <c r="J391" i="2"/>
  <c r="J387" i="2"/>
  <c r="J380" i="2"/>
  <c r="J381" i="2"/>
  <c r="J382" i="2"/>
  <c r="J383" i="2"/>
  <c r="J384" i="2"/>
  <c r="J385" i="2"/>
  <c r="J386" i="2"/>
  <c r="J379" i="2"/>
  <c r="J377" i="2"/>
  <c r="J378" i="2"/>
  <c r="J376" i="2"/>
  <c r="J300" i="2"/>
  <c r="J246" i="2"/>
  <c r="J245" i="2"/>
  <c r="J244" i="2"/>
  <c r="J241" i="2"/>
  <c r="J242" i="2"/>
  <c r="J243" i="2"/>
  <c r="J240" i="2"/>
  <c r="J368" i="2"/>
  <c r="J369" i="2"/>
  <c r="J370" i="2"/>
  <c r="J371" i="2"/>
  <c r="J372" i="2"/>
  <c r="J373" i="2"/>
  <c r="J374" i="2"/>
  <c r="J364" i="2"/>
  <c r="J365" i="2"/>
  <c r="J366" i="2"/>
  <c r="J367" i="2"/>
  <c r="J363" i="2"/>
  <c r="J362" i="2"/>
  <c r="J355" i="2"/>
  <c r="J356" i="2"/>
  <c r="J357" i="2"/>
  <c r="J358" i="2"/>
  <c r="J359" i="2"/>
  <c r="J360" i="2"/>
  <c r="J361" i="2"/>
  <c r="J344" i="2"/>
  <c r="J345" i="2"/>
  <c r="J346" i="2"/>
  <c r="J347" i="2"/>
  <c r="J348" i="2"/>
  <c r="J349" i="2"/>
  <c r="J350" i="2"/>
  <c r="J351" i="2"/>
  <c r="J352" i="2"/>
  <c r="J353" i="2"/>
  <c r="J354" i="2"/>
  <c r="J337" i="2"/>
  <c r="J338" i="2"/>
  <c r="J339" i="2"/>
  <c r="J340" i="2"/>
  <c r="J341" i="2"/>
  <c r="J342" i="2"/>
  <c r="J343" i="2"/>
  <c r="J334" i="2"/>
  <c r="J335" i="2"/>
  <c r="J336" i="2"/>
  <c r="J333" i="2"/>
  <c r="J329" i="2"/>
  <c r="J330" i="2"/>
  <c r="J331" i="2"/>
  <c r="J332" i="2"/>
  <c r="J328" i="2"/>
  <c r="J327" i="2"/>
  <c r="J325" i="2"/>
  <c r="J326" i="2"/>
  <c r="J324" i="2"/>
  <c r="J320" i="2"/>
  <c r="J321" i="2"/>
  <c r="J322" i="2"/>
  <c r="J323" i="2"/>
  <c r="J312" i="2"/>
  <c r="J313" i="2"/>
  <c r="J314" i="2"/>
  <c r="J315" i="2"/>
  <c r="J316" i="2"/>
  <c r="J317" i="2"/>
  <c r="J318" i="2"/>
  <c r="J319" i="2"/>
  <c r="J307" i="2"/>
  <c r="J308" i="2"/>
  <c r="J309" i="2"/>
  <c r="J310" i="2"/>
  <c r="J311" i="2"/>
  <c r="J306" i="2"/>
  <c r="J302" i="2"/>
  <c r="J303" i="2"/>
  <c r="J304" i="2"/>
  <c r="J305" i="2"/>
  <c r="J301" i="2"/>
  <c r="J239" i="2"/>
  <c r="J234" i="2"/>
  <c r="J235" i="2"/>
  <c r="J236" i="2"/>
  <c r="J237" i="2"/>
  <c r="J238" i="2"/>
  <c r="J232" i="2"/>
  <c r="J233" i="2"/>
  <c r="J231" i="2"/>
  <c r="J230" i="2"/>
  <c r="J229" i="2"/>
  <c r="J224" i="2"/>
  <c r="J225" i="2"/>
  <c r="J226" i="2"/>
  <c r="J227" i="2"/>
  <c r="J228" i="2"/>
  <c r="J222" i="2"/>
  <c r="J223" i="2"/>
  <c r="J219" i="2"/>
  <c r="J220" i="2"/>
  <c r="J221" i="2"/>
  <c r="J212" i="2"/>
  <c r="J213" i="2"/>
  <c r="J214" i="2"/>
  <c r="J215" i="2"/>
  <c r="J216" i="2"/>
  <c r="J217" i="2"/>
  <c r="J218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193" i="2"/>
  <c r="J194" i="2"/>
  <c r="J299" i="2"/>
  <c r="J295" i="2"/>
  <c r="J296" i="2"/>
  <c r="J297" i="2"/>
  <c r="J298" i="2"/>
  <c r="J294" i="2"/>
  <c r="J293" i="2"/>
  <c r="J290" i="2"/>
  <c r="J291" i="2"/>
  <c r="J292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73" i="2"/>
  <c r="J274" i="2"/>
  <c r="J275" i="2"/>
  <c r="J272" i="2"/>
  <c r="J264" i="2"/>
  <c r="J265" i="2"/>
  <c r="J266" i="2"/>
  <c r="J267" i="2"/>
  <c r="J268" i="2"/>
  <c r="J269" i="2"/>
  <c r="J270" i="2"/>
  <c r="J271" i="2"/>
  <c r="J262" i="2"/>
  <c r="J263" i="2"/>
  <c r="J261" i="2"/>
  <c r="J260" i="2"/>
  <c r="J259" i="2"/>
  <c r="J250" i="2"/>
  <c r="J251" i="2"/>
  <c r="J252" i="2"/>
  <c r="J253" i="2"/>
  <c r="J254" i="2"/>
  <c r="J255" i="2"/>
  <c r="J256" i="2"/>
  <c r="J257" i="2"/>
  <c r="J258" i="2"/>
  <c r="J249" i="2"/>
  <c r="J248" i="2"/>
  <c r="J247" i="2"/>
  <c r="J190" i="2"/>
  <c r="J191" i="2"/>
  <c r="J192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3" i="2"/>
  <c r="J6" i="2"/>
  <c r="J5" i="2"/>
  <c r="J4" i="2"/>
</calcChain>
</file>

<file path=xl/sharedStrings.xml><?xml version="1.0" encoding="utf-8"?>
<sst xmlns="http://schemas.openxmlformats.org/spreadsheetml/2006/main" count="52839" uniqueCount="9068">
  <si>
    <t>No.</t>
  </si>
  <si>
    <t>Forecast?</t>
  </si>
  <si>
    <t>Ticket</t>
  </si>
  <si>
    <t>Node</t>
  </si>
  <si>
    <t>Name</t>
  </si>
  <si>
    <t>Parent</t>
  </si>
  <si>
    <t>Action</t>
  </si>
  <si>
    <t>STATUS</t>
  </si>
  <si>
    <t>STATUS Check</t>
  </si>
  <si>
    <t>Sector</t>
  </si>
  <si>
    <t>Comments</t>
  </si>
  <si>
    <t>SANITY</t>
  </si>
  <si>
    <t>Author</t>
  </si>
  <si>
    <t>F0</t>
  </si>
  <si>
    <t>No ticket</t>
  </si>
  <si>
    <t>G000001227</t>
  </si>
  <si>
    <t>F34 HR - Fertility Reimbursement</t>
  </si>
  <si>
    <t>G000000589</t>
  </si>
  <si>
    <t>New</t>
  </si>
  <si>
    <t>Completed</t>
  </si>
  <si>
    <t>Ronald Pierre Collado</t>
  </si>
  <si>
    <t>FR5620885</t>
  </si>
  <si>
    <t>G000000431</t>
  </si>
  <si>
    <t>G000000845</t>
  </si>
  <si>
    <t>Move</t>
  </si>
  <si>
    <t>Nicolas Trautmann</t>
  </si>
  <si>
    <t>FR5684840</t>
  </si>
  <si>
    <t>H000004347</t>
  </si>
  <si>
    <t>SP Evobrutinib</t>
  </si>
  <si>
    <t>H000002092</t>
  </si>
  <si>
    <t>Simone Oratovski</t>
  </si>
  <si>
    <t>H000004348</t>
  </si>
  <si>
    <t>FF Evobrutinib</t>
  </si>
  <si>
    <t>FR5684852</t>
  </si>
  <si>
    <t>H000004349</t>
  </si>
  <si>
    <t>H000001807</t>
  </si>
  <si>
    <t>FR5695335</t>
  </si>
  <si>
    <t>H000004350</t>
  </si>
  <si>
    <t>HC-BA-DX Centers of Excellence</t>
  </si>
  <si>
    <t>H000004177</t>
  </si>
  <si>
    <t>Joshua Cachola</t>
  </si>
  <si>
    <t>L000013599</t>
  </si>
  <si>
    <t>LS-IT-B Business IT</t>
  </si>
  <si>
    <t>L000013388</t>
  </si>
  <si>
    <t>G000001123</t>
  </si>
  <si>
    <t>EF-IT-ED Data Office for Enabling Functions</t>
  </si>
  <si>
    <t xml:space="preserve">G000000317  </t>
  </si>
  <si>
    <t>G000001124</t>
  </si>
  <si>
    <t>EF-IT-ES Data, Digital &amp; IT - Site Mgmt &amp; Patents</t>
  </si>
  <si>
    <t>G000000317</t>
  </si>
  <si>
    <t>G000001125</t>
  </si>
  <si>
    <t>EF-IT-EC Key Capabilities</t>
  </si>
  <si>
    <t>G000001126</t>
  </si>
  <si>
    <t>EF-IT-EM Sustainablity Management</t>
  </si>
  <si>
    <t>IT06031300</t>
  </si>
  <si>
    <t>IT06051000</t>
  </si>
  <si>
    <t>IT06071400</t>
  </si>
  <si>
    <t>IT06071500</t>
  </si>
  <si>
    <t>IT06071600</t>
  </si>
  <si>
    <t>IT06071700</t>
  </si>
  <si>
    <t>FR5695357</t>
  </si>
  <si>
    <t>IT06000000</t>
  </si>
  <si>
    <t>EF-IT Information Technology</t>
  </si>
  <si>
    <t>Rename</t>
  </si>
  <si>
    <t>IT06010000</t>
  </si>
  <si>
    <t>EF-IT-C Head Office &amp; CISO</t>
  </si>
  <si>
    <t>IT06020000</t>
  </si>
  <si>
    <t>EF-IT-A Application Technology</t>
  </si>
  <si>
    <t>IT06020100</t>
  </si>
  <si>
    <t>EF-IT-AO Application Mgmt</t>
  </si>
  <si>
    <t>IT06020300</t>
  </si>
  <si>
    <t>EF-IT-AE ERP Next</t>
  </si>
  <si>
    <t>IT06020600</t>
  </si>
  <si>
    <t>EF-IT-AM Manufacturing, SCM &amp; Quality</t>
  </si>
  <si>
    <t>IT06020800</t>
  </si>
  <si>
    <t>EF-IT-AR Apps R&amp;D</t>
  </si>
  <si>
    <t>IT06020900</t>
  </si>
  <si>
    <t>EF-IT-AS Apps M&amp;S</t>
  </si>
  <si>
    <t>IT06021100</t>
  </si>
  <si>
    <t>EF-IT-AA Corporate ERP Applications</t>
  </si>
  <si>
    <t>IT06021200</t>
  </si>
  <si>
    <t>EF-IT-AC Custom Apps &amp; New Technology</t>
  </si>
  <si>
    <t>IT06021300</t>
  </si>
  <si>
    <t>EF-IT-AX Data Mgmt and Analytics</t>
  </si>
  <si>
    <t>IT06021400</t>
  </si>
  <si>
    <t>EF-IT-AT IT-Automation</t>
  </si>
  <si>
    <t>IT06021500</t>
  </si>
  <si>
    <t>EF-IT-AZ Applications CoE</t>
  </si>
  <si>
    <t>IT06021600</t>
  </si>
  <si>
    <t xml:space="preserve">EF-IT-AF Group &amp; Local Applications </t>
  </si>
  <si>
    <t>IT06021700</t>
  </si>
  <si>
    <t>EF-IT-AI Merck Info Tech Centre India</t>
  </si>
  <si>
    <t>IT06030000</t>
  </si>
  <si>
    <t>HC-BA-D Healthcare</t>
  </si>
  <si>
    <t>IT06030100</t>
  </si>
  <si>
    <t>HC-BA-DP Healthcare PPM</t>
  </si>
  <si>
    <t>IT06030400</t>
  </si>
  <si>
    <t>HC-BA-DN North America &amp; IM Franchises</t>
  </si>
  <si>
    <t>IT06030500</t>
  </si>
  <si>
    <t>HC-BA-DI DDIT International Commercial</t>
  </si>
  <si>
    <t>IT06030600</t>
  </si>
  <si>
    <t>HC-BA-DR Healthcare R&amp;D</t>
  </si>
  <si>
    <t>IT06030700</t>
  </si>
  <si>
    <t>HC-BA-DG Digital, Data &amp; IT GHO</t>
  </si>
  <si>
    <t>IT06031200</t>
  </si>
  <si>
    <t>HC-BA-DC DDIT China Healthcare</t>
  </si>
  <si>
    <t>IT06040000</t>
  </si>
  <si>
    <t>EF-IT-I Infrastructure Technology</t>
  </si>
  <si>
    <t>IT06040200</t>
  </si>
  <si>
    <t>EF-IT-IP Portfolio &amp; Performance Mgmt</t>
  </si>
  <si>
    <t>IT06040300</t>
  </si>
  <si>
    <t>EF-IT-IK DC Management &amp; Cloud</t>
  </si>
  <si>
    <t>IT06040500</t>
  </si>
  <si>
    <t>EF-IT-ID Network Management</t>
  </si>
  <si>
    <t>IT06041000</t>
  </si>
  <si>
    <t>EF-IT-IF Digital Plant Infrastructure</t>
  </si>
  <si>
    <t>IT06042100</t>
  </si>
  <si>
    <t>EF-IT-IW Digital Workplace</t>
  </si>
  <si>
    <t>IT06042400</t>
  </si>
  <si>
    <t>EF-IT-IT Technology Office</t>
  </si>
  <si>
    <t>IT06050000</t>
  </si>
  <si>
    <t>LS-IT Life Science</t>
  </si>
  <si>
    <t>IT06050100</t>
  </si>
  <si>
    <t>LS-IT-E ERP Sales &amp; Distribution</t>
  </si>
  <si>
    <t>IT06050200</t>
  </si>
  <si>
    <t>LS-IT-D Digital Business &amp; Analytics</t>
  </si>
  <si>
    <t>IT06050300</t>
  </si>
  <si>
    <t>LS-IT-I Digital Plant &amp; Lab Operations</t>
  </si>
  <si>
    <t>IT06050400</t>
  </si>
  <si>
    <t>LS-IT-N Life Science ERP</t>
  </si>
  <si>
    <t>IT06050500</t>
  </si>
  <si>
    <t>LS-IT-P PMO-PME</t>
  </si>
  <si>
    <t>IT06050600</t>
  </si>
  <si>
    <t>LS-IT-M Supply Chain Planning&amp;Regulatory</t>
  </si>
  <si>
    <t>IT06050700</t>
  </si>
  <si>
    <t>LS-IT-T Marketing &amp; Commercial</t>
  </si>
  <si>
    <t>IT06060000</t>
  </si>
  <si>
    <t>EL-SC-I Electronics</t>
  </si>
  <si>
    <t>IT06060100</t>
  </si>
  <si>
    <t>EL-SC-ID BP Display Solutions</t>
  </si>
  <si>
    <t>IT06060200</t>
  </si>
  <si>
    <t>EL-SC-II BP Semiconductor</t>
  </si>
  <si>
    <t>IT06060300</t>
  </si>
  <si>
    <t>EL-SC-IO Electronics PPM</t>
  </si>
  <si>
    <t>IT06060400</t>
  </si>
  <si>
    <t>EL-SC-IN BP DS&amp;S</t>
  </si>
  <si>
    <t>IT06060500</t>
  </si>
  <si>
    <t>EL-SC-IS Electronics Systems</t>
  </si>
  <si>
    <t>IT06060600</t>
  </si>
  <si>
    <t>EL-SC-IT CIO Office</t>
  </si>
  <si>
    <t>IT06060700</t>
  </si>
  <si>
    <t>EL-SC-IP BP Surface Solutions</t>
  </si>
  <si>
    <t>IT06060800</t>
  </si>
  <si>
    <t>EL-SC-IR Electronics ERP</t>
  </si>
  <si>
    <t>IT06060900</t>
  </si>
  <si>
    <t>EL-SC-IE Electronics Processes</t>
  </si>
  <si>
    <t>IT06070000</t>
  </si>
  <si>
    <t>EF-IT-E Digital, Data,&amp;IT Enab.Functions</t>
  </si>
  <si>
    <t>IT06070600</t>
  </si>
  <si>
    <t>EF-IT-ET Portflio, Transformation &amp; Perf</t>
  </si>
  <si>
    <t>IT06070700</t>
  </si>
  <si>
    <t>EF-IT-EH Data, Digital &amp; IT - HR&amp;othr EF</t>
  </si>
  <si>
    <t>IT06071100</t>
  </si>
  <si>
    <t>EF-IT-EF Data, Digital &amp; IT  - Finance</t>
  </si>
  <si>
    <t>IT06071200</t>
  </si>
  <si>
    <t>EF-IT-EP Data, Digital &amp; IT - Procrment</t>
  </si>
  <si>
    <t>IT06071300</t>
  </si>
  <si>
    <t xml:space="preserve">EF-IT-EB Data, Digital &amp; IT - MBS </t>
  </si>
  <si>
    <t>IT06090000</t>
  </si>
  <si>
    <t>EF-IT-X IT Special Topics</t>
  </si>
  <si>
    <t>IT06090100</t>
  </si>
  <si>
    <t>EF-IT-XE Elevate IT</t>
  </si>
  <si>
    <t>IT06090200</t>
  </si>
  <si>
    <t>EF-IT-XS Integration</t>
  </si>
  <si>
    <t>IT06090300</t>
  </si>
  <si>
    <t>EF-IT-XV Various</t>
  </si>
  <si>
    <t>IT06100000</t>
  </si>
  <si>
    <t>EF-IT-P Global ERP</t>
  </si>
  <si>
    <t>IT06100100</t>
  </si>
  <si>
    <t>EF-IT-PC SAP Center of Competence</t>
  </si>
  <si>
    <t>IT06100500</t>
  </si>
  <si>
    <t>EF-IT-PM MGF ERP</t>
  </si>
  <si>
    <t>IT06130000</t>
  </si>
  <si>
    <t>EF-IT-G Governance &amp; Compliance</t>
  </si>
  <si>
    <t>IT06130200</t>
  </si>
  <si>
    <t>EF-IT-GT Service Continuity Management</t>
  </si>
  <si>
    <t>IT06130600</t>
  </si>
  <si>
    <t>EF-IT-GA IT Audit &amp; Quality</t>
  </si>
  <si>
    <t>IT06130700</t>
  </si>
  <si>
    <t>EF-IT-GS Service Management</t>
  </si>
  <si>
    <t>IT06140000</t>
  </si>
  <si>
    <t>EF-IT-S Strategy &amp; Transformation</t>
  </si>
  <si>
    <t>IT06140100</t>
  </si>
  <si>
    <t>EF-IT-SA Enterprise Architecture</t>
  </si>
  <si>
    <t>IT06140300</t>
  </si>
  <si>
    <t>EF-IT-SC IT Mergers &amp; Acquisitions</t>
  </si>
  <si>
    <t>IT06140400</t>
  </si>
  <si>
    <t>EF-IT-SD CIO Office &amp; Strategic Projects</t>
  </si>
  <si>
    <t>IT06140500</t>
  </si>
  <si>
    <t>EF-IT-SE Change Management</t>
  </si>
  <si>
    <t>IT06900000</t>
  </si>
  <si>
    <t>EF-IT-Y IT-Decentral</t>
  </si>
  <si>
    <t>IT06900100</t>
  </si>
  <si>
    <t>EF-IT-YL Decentral LS</t>
  </si>
  <si>
    <t>IT06900101</t>
  </si>
  <si>
    <t>EF-IT-YLT eCommerce Technology</t>
  </si>
  <si>
    <t>IT06900102</t>
  </si>
  <si>
    <t>EF-IT-YLM Digital Marketing</t>
  </si>
  <si>
    <t>IT06900103</t>
  </si>
  <si>
    <t>EF-IT-YLS B2B Catalog</t>
  </si>
  <si>
    <t>IT06900104</t>
  </si>
  <si>
    <t>EF-IT-YLQ Digital and Data Mgmt</t>
  </si>
  <si>
    <t>IT07000000</t>
  </si>
  <si>
    <t>EF-DD Merck Data &amp; Digital</t>
  </si>
  <si>
    <t>IT07010000</t>
  </si>
  <si>
    <t>EF-DD-A Merck Data &amp; AI Organization</t>
  </si>
  <si>
    <t>IT07010100</t>
  </si>
  <si>
    <t>EF-DD-AO Merck Data Office</t>
  </si>
  <si>
    <t>IT07010200</t>
  </si>
  <si>
    <t>EF-DD-AX Data Management &amp; Analytics</t>
  </si>
  <si>
    <t>G000000244</t>
  </si>
  <si>
    <t>EF-IT Information Technology_I</t>
  </si>
  <si>
    <t>G000000627</t>
  </si>
  <si>
    <t>EF-IT-C Head Office &amp; CISO_I</t>
  </si>
  <si>
    <t>G000000247</t>
  </si>
  <si>
    <t>EF-IT-A Application Technology_I</t>
  </si>
  <si>
    <t>G000000273</t>
  </si>
  <si>
    <t>EF-IT-I Infrastructure Technology_I</t>
  </si>
  <si>
    <t>G000000318</t>
  </si>
  <si>
    <t>EF-IT-E Digital, Data,&amp;IT Enab.Functions_I</t>
  </si>
  <si>
    <t>G000000744</t>
  </si>
  <si>
    <t>EF-IT-X IT Special Topics_I</t>
  </si>
  <si>
    <t>G000000341</t>
  </si>
  <si>
    <t>EF-IT-P Global ERP_I</t>
  </si>
  <si>
    <t>G000000751</t>
  </si>
  <si>
    <t>EF-IT-YL Decentral LS_I</t>
  </si>
  <si>
    <t>G000000750</t>
  </si>
  <si>
    <t>EF-IT-Y IT-Decentral_I</t>
  </si>
  <si>
    <t>G000000727</t>
  </si>
  <si>
    <t>EF-IT-G Governance &amp; Compliance_I</t>
  </si>
  <si>
    <t>H000004178</t>
  </si>
  <si>
    <t>HC-BA-D Healthcare_I</t>
  </si>
  <si>
    <t>L000013389</t>
  </si>
  <si>
    <t>LS-IT Life Science_I</t>
  </si>
  <si>
    <t>G000000243</t>
  </si>
  <si>
    <t>G000000245</t>
  </si>
  <si>
    <t>G000000246</t>
  </si>
  <si>
    <t>G000000248</t>
  </si>
  <si>
    <t>G000000250</t>
  </si>
  <si>
    <t>G000000253</t>
  </si>
  <si>
    <t>G000000255</t>
  </si>
  <si>
    <t>G000000256</t>
  </si>
  <si>
    <t>G000000258</t>
  </si>
  <si>
    <t>G000000736</t>
  </si>
  <si>
    <t>G000000783</t>
  </si>
  <si>
    <t>G000000893</t>
  </si>
  <si>
    <t>G000001099</t>
  </si>
  <si>
    <t>G000001116</t>
  </si>
  <si>
    <t>G000001117</t>
  </si>
  <si>
    <t>H000004179</t>
  </si>
  <si>
    <t>H000004182</t>
  </si>
  <si>
    <t>H000004183</t>
  </si>
  <si>
    <t>H000004184</t>
  </si>
  <si>
    <t>H000004185</t>
  </si>
  <si>
    <t>H000004180</t>
  </si>
  <si>
    <t>G000000272</t>
  </si>
  <si>
    <t>G000000275</t>
  </si>
  <si>
    <t>G000000276</t>
  </si>
  <si>
    <t>G000000277</t>
  </si>
  <si>
    <t>G000000279</t>
  </si>
  <si>
    <t>G000000282</t>
  </si>
  <si>
    <t>G000000895</t>
  </si>
  <si>
    <t>L000013396</t>
  </si>
  <si>
    <t>L000013395</t>
  </si>
  <si>
    <t>L000013390</t>
  </si>
  <si>
    <t>L000013391</t>
  </si>
  <si>
    <t>L000013392</t>
  </si>
  <si>
    <t>L000013397</t>
  </si>
  <si>
    <t>L000013393</t>
  </si>
  <si>
    <t>G000000305</t>
  </si>
  <si>
    <t>P000000760</t>
  </si>
  <si>
    <t>P000000766</t>
  </si>
  <si>
    <t>P000000761</t>
  </si>
  <si>
    <t>P000000767</t>
  </si>
  <si>
    <t>P000000762</t>
  </si>
  <si>
    <t>P000000768</t>
  </si>
  <si>
    <t>P000000763</t>
  </si>
  <si>
    <t>P000000764</t>
  </si>
  <si>
    <t>P000000765</t>
  </si>
  <si>
    <t>G000000324</t>
  </si>
  <si>
    <t>G000000325</t>
  </si>
  <si>
    <t>G000000786</t>
  </si>
  <si>
    <t>G000000787</t>
  </si>
  <si>
    <t>G000000788</t>
  </si>
  <si>
    <t>G000000336</t>
  </si>
  <si>
    <t>G000000337</t>
  </si>
  <si>
    <t>G000000338</t>
  </si>
  <si>
    <t>G000000339</t>
  </si>
  <si>
    <t>G000000340</t>
  </si>
  <si>
    <t>G000000342</t>
  </si>
  <si>
    <t>G000000752</t>
  </si>
  <si>
    <t>G000000726</t>
  </si>
  <si>
    <t>G000000730</t>
  </si>
  <si>
    <t>G000000785</t>
  </si>
  <si>
    <t>G000000894</t>
  </si>
  <si>
    <t>G000000789</t>
  </si>
  <si>
    <t>G000000835</t>
  </si>
  <si>
    <t>G000000837</t>
  </si>
  <si>
    <t>G000000838</t>
  </si>
  <si>
    <t>G000000839</t>
  </si>
  <si>
    <t>G000000346</t>
  </si>
  <si>
    <t>G000000347</t>
  </si>
  <si>
    <t>G000000348</t>
  </si>
  <si>
    <t>G000000349</t>
  </si>
  <si>
    <t>G000000350</t>
  </si>
  <si>
    <t>G000000351</t>
  </si>
  <si>
    <t>G000001118</t>
  </si>
  <si>
    <t>G000001119</t>
  </si>
  <si>
    <t>G000001120</t>
  </si>
  <si>
    <t>G000001121</t>
  </si>
  <si>
    <t>FR5714461</t>
  </si>
  <si>
    <t>GB - SP Evobrutinib</t>
  </si>
  <si>
    <t>Roland Earvin Combalicer</t>
  </si>
  <si>
    <t>GB - FF Evobrutinib</t>
  </si>
  <si>
    <t>IE - SP Evobrutinib</t>
  </si>
  <si>
    <t>FR5728795</t>
  </si>
  <si>
    <t>G000000367</t>
  </si>
  <si>
    <t>O000000009</t>
  </si>
  <si>
    <t>Delete</t>
  </si>
  <si>
    <t>Marcus Morowski</t>
  </si>
  <si>
    <t>G000000368</t>
  </si>
  <si>
    <t>G000000403</t>
  </si>
  <si>
    <t>G000000405</t>
  </si>
  <si>
    <t>G000000406</t>
  </si>
  <si>
    <t>G000000407</t>
  </si>
  <si>
    <t>G000000408</t>
  </si>
  <si>
    <t>G000000409</t>
  </si>
  <si>
    <t>L000009976</t>
  </si>
  <si>
    <t>G000000687</t>
  </si>
  <si>
    <t>G000000688</t>
  </si>
  <si>
    <t>G000000689</t>
  </si>
  <si>
    <t>G000000690</t>
  </si>
  <si>
    <t>G000000691</t>
  </si>
  <si>
    <t>G000000692</t>
  </si>
  <si>
    <t>G000000693</t>
  </si>
  <si>
    <t>G000000694</t>
  </si>
  <si>
    <t>G000000695</t>
  </si>
  <si>
    <t>G000000696</t>
  </si>
  <si>
    <t>G000001122</t>
  </si>
  <si>
    <t>G000000522</t>
  </si>
  <si>
    <t>G000000521</t>
  </si>
  <si>
    <t>G000001092</t>
  </si>
  <si>
    <t>G000000519</t>
  </si>
  <si>
    <t>G000000520</t>
  </si>
  <si>
    <t>G000000533</t>
  </si>
  <si>
    <t>G000000536</t>
  </si>
  <si>
    <t>G000000534</t>
  </si>
  <si>
    <t>G000000494</t>
  </si>
  <si>
    <t>G000000524</t>
  </si>
  <si>
    <t>G000000493</t>
  </si>
  <si>
    <t>G000000423</t>
  </si>
  <si>
    <t>G000000424</t>
  </si>
  <si>
    <t>G000001100</t>
  </si>
  <si>
    <t>G000001091</t>
  </si>
  <si>
    <t>G000001088</t>
  </si>
  <si>
    <t>G000001077</t>
  </si>
  <si>
    <t>G000001087</t>
  </si>
  <si>
    <t>G000001019</t>
  </si>
  <si>
    <t>G000001089</t>
  </si>
  <si>
    <t>G000000420</t>
  </si>
  <si>
    <t>G000000419</t>
  </si>
  <si>
    <t>G000001009</t>
  </si>
  <si>
    <t>G000001012</t>
  </si>
  <si>
    <t>G000001014</t>
  </si>
  <si>
    <t>G000001027</t>
  </si>
  <si>
    <t>G000000492</t>
  </si>
  <si>
    <t>G000001069</t>
  </si>
  <si>
    <t>G000000418</t>
  </si>
  <si>
    <t>G000001032</t>
  </si>
  <si>
    <t>G000001006</t>
  </si>
  <si>
    <t>G000001065</t>
  </si>
  <si>
    <t>G000001007</t>
  </si>
  <si>
    <t>G000001066</t>
  </si>
  <si>
    <t>G000000394</t>
  </si>
  <si>
    <t>G000000432</t>
  </si>
  <si>
    <t>G000000946</t>
  </si>
  <si>
    <t>G000000523</t>
  </si>
  <si>
    <t>G000001127</t>
  </si>
  <si>
    <t>SM-ET Material Costs</t>
  </si>
  <si>
    <t>G000000354</t>
  </si>
  <si>
    <t>G000000365</t>
  </si>
  <si>
    <t>SM-L Lab Services</t>
  </si>
  <si>
    <t>G000000366</t>
  </si>
  <si>
    <t xml:space="preserve">G000000370 </t>
  </si>
  <si>
    <t>SM-LO Lab. Op. Eng</t>
  </si>
  <si>
    <t>G000000384</t>
  </si>
  <si>
    <t>SM-LT w/o Material Costs</t>
  </si>
  <si>
    <t>G000000383</t>
  </si>
  <si>
    <t>SM-LT Material Costs</t>
  </si>
  <si>
    <t>G000000461</t>
  </si>
  <si>
    <t xml:space="preserve">SM-D Strategy Realization &amp; Enablement </t>
  </si>
  <si>
    <t>G000000462</t>
  </si>
  <si>
    <t>G000000463</t>
  </si>
  <si>
    <t>SM-D Business Excellence</t>
  </si>
  <si>
    <t>G000000466</t>
  </si>
  <si>
    <t>SM-DC Strategic Contracting</t>
  </si>
  <si>
    <t>G000000470</t>
  </si>
  <si>
    <t>SM-DQ Quality Management</t>
  </si>
  <si>
    <t>G000000473</t>
  </si>
  <si>
    <t>SM-DD Data &amp; Digital Enablement</t>
  </si>
  <si>
    <t>G000000868</t>
  </si>
  <si>
    <t>SM-DP People, Change &amp; Comms.</t>
  </si>
  <si>
    <t>G000000850</t>
  </si>
  <si>
    <t>SM-G MRE</t>
  </si>
  <si>
    <t>G000000410</t>
  </si>
  <si>
    <t>SM-I Infrastructure Services</t>
  </si>
  <si>
    <t>G000000412</t>
  </si>
  <si>
    <t>SM-I L3</t>
  </si>
  <si>
    <t>G000000897</t>
  </si>
  <si>
    <t>SM-IU Utilitiy Operations</t>
  </si>
  <si>
    <t>G000000909</t>
  </si>
  <si>
    <t>SM-IU Energy Buildings</t>
  </si>
  <si>
    <t>G000000913</t>
  </si>
  <si>
    <t>SM-IVW Waste &amp; Transport Services</t>
  </si>
  <si>
    <t>G000000914</t>
  </si>
  <si>
    <t>SM-IVW Buildings</t>
  </si>
  <si>
    <t>G000000915</t>
  </si>
  <si>
    <t>SM-IVI Internal Transport</t>
  </si>
  <si>
    <t>G000000916</t>
  </si>
  <si>
    <t>SM-IVV Vehicle Services</t>
  </si>
  <si>
    <t>G000000917</t>
  </si>
  <si>
    <t>SM-IVV Material Costs</t>
  </si>
  <si>
    <t>G000000918</t>
  </si>
  <si>
    <t>SM-IVM Material Management</t>
  </si>
  <si>
    <t>G000000919</t>
  </si>
  <si>
    <t>SM-IVM Technical Warehouse</t>
  </si>
  <si>
    <t>G000000920</t>
  </si>
  <si>
    <t>SM-IVV Allocation CCs</t>
  </si>
  <si>
    <t>G000000922</t>
  </si>
  <si>
    <t>SM-IPC/ IPE/ IPI/ IPM/ IPP</t>
  </si>
  <si>
    <t>G000000923</t>
  </si>
  <si>
    <t>SM-IE External Energy Costs D</t>
  </si>
  <si>
    <t>G000000924</t>
  </si>
  <si>
    <t>SM-IE Energy Allocation DA</t>
  </si>
  <si>
    <t>G000000925</t>
  </si>
  <si>
    <t>SM-IE Headcount &amp; NDD</t>
  </si>
  <si>
    <t>G000000891</t>
  </si>
  <si>
    <t>SM-HE HQ Engineering</t>
  </si>
  <si>
    <t>G000000892</t>
  </si>
  <si>
    <t>SM-HE HX Executive Services</t>
  </si>
  <si>
    <t>G000000372</t>
  </si>
  <si>
    <t>SM-P Plant Maintenance Services</t>
  </si>
  <si>
    <t>G000000374</t>
  </si>
  <si>
    <t>SM-P Material Costs</t>
  </si>
  <si>
    <t>G000000873</t>
  </si>
  <si>
    <t>SM-P Others</t>
  </si>
  <si>
    <t>G000000385</t>
  </si>
  <si>
    <t>SM-PB Building Technologies</t>
  </si>
  <si>
    <t>G000000389</t>
  </si>
  <si>
    <t>SM-PM Mechanical Technologies</t>
  </si>
  <si>
    <t>G000000393</t>
  </si>
  <si>
    <t>SM-EA Automation &amp; Robotics</t>
  </si>
  <si>
    <t>G000000386</t>
  </si>
  <si>
    <t>SM-PB Building Technologies_I</t>
  </si>
  <si>
    <t>G000000387</t>
  </si>
  <si>
    <t>SM-PB Material Costs</t>
  </si>
  <si>
    <t>G000000388</t>
  </si>
  <si>
    <t>SM-PB Personnel Costs</t>
  </si>
  <si>
    <t>G000000390</t>
  </si>
  <si>
    <t>SM-EM Mechanical Techn._I</t>
  </si>
  <si>
    <t>G000000391</t>
  </si>
  <si>
    <t>SM-EM Material Costs</t>
  </si>
  <si>
    <t>G000000392</t>
  </si>
  <si>
    <t>SM-EM w/o Material Costs</t>
  </si>
  <si>
    <t>G000000516</t>
  </si>
  <si>
    <t>SM-RR RE-FM Operations</t>
  </si>
  <si>
    <t>G000000517</t>
  </si>
  <si>
    <t>SM-RR Spitze</t>
  </si>
  <si>
    <t>G000000518</t>
  </si>
  <si>
    <t>SM-RR Personalkosten</t>
  </si>
  <si>
    <t>G000000496</t>
  </si>
  <si>
    <t>SM-RR Lease Hold DA</t>
  </si>
  <si>
    <t>G000000422</t>
  </si>
  <si>
    <t>SM-RR KGaA Cost Centers (non-operational)</t>
  </si>
  <si>
    <t>G000000425</t>
  </si>
  <si>
    <t>SM-RR General Lease to MRE</t>
  </si>
  <si>
    <t>G000001074</t>
  </si>
  <si>
    <t>Building Site Darmstadt</t>
  </si>
  <si>
    <t>G000001075</t>
  </si>
  <si>
    <t>FS Office Building DA</t>
  </si>
  <si>
    <t>G000001076</t>
  </si>
  <si>
    <t>FS Lab Buildings DA</t>
  </si>
  <si>
    <t>G000001082</t>
  </si>
  <si>
    <t>FS Labs Electronics</t>
  </si>
  <si>
    <t>G000000352</t>
  </si>
  <si>
    <t>Site Management &amp; Other 1</t>
  </si>
  <si>
    <t>Rename/Move</t>
  </si>
  <si>
    <t>G000000369</t>
  </si>
  <si>
    <t>SM-LTS Sample Services</t>
  </si>
  <si>
    <t>G000000381</t>
  </si>
  <si>
    <t>G000000864</t>
  </si>
  <si>
    <t>SM-LL Ana. LS</t>
  </si>
  <si>
    <t>G000000865</t>
  </si>
  <si>
    <t>SM-LE Ana. EL</t>
  </si>
  <si>
    <t>G000001098</t>
  </si>
  <si>
    <t>SM-LH Ana. HC</t>
  </si>
  <si>
    <t>SM-LT Lab Tech. Serv.</t>
  </si>
  <si>
    <t>G000000467</t>
  </si>
  <si>
    <t>SM-DD Customer Service</t>
  </si>
  <si>
    <t>G000000379</t>
  </si>
  <si>
    <t>SM-DD Application Support</t>
  </si>
  <si>
    <t>G000000377</t>
  </si>
  <si>
    <t>SM-DD ERP Support</t>
  </si>
  <si>
    <t>G000000380</t>
  </si>
  <si>
    <t>SM-DD Material Costs</t>
  </si>
  <si>
    <t>G000000469</t>
  </si>
  <si>
    <t>SM-DD IT Cost Center</t>
  </si>
  <si>
    <t>G000000501</t>
  </si>
  <si>
    <t>MRE</t>
  </si>
  <si>
    <t>KGaA</t>
  </si>
  <si>
    <t>G000000488</t>
  </si>
  <si>
    <t>MRE Personnel Costs</t>
  </si>
  <si>
    <t>G000000686</t>
  </si>
  <si>
    <t>SM-I Freiflächen DA</t>
  </si>
  <si>
    <t>G000000498</t>
  </si>
  <si>
    <t>SM-I Open Area DA (MRE)</t>
  </si>
  <si>
    <t>G000001011</t>
  </si>
  <si>
    <t>SM-I Open Area DA (KGaA)</t>
  </si>
  <si>
    <t>G000000404</t>
  </si>
  <si>
    <t>SM-IPI Material Cost Centers</t>
  </si>
  <si>
    <t>G000000886</t>
  </si>
  <si>
    <t>G000000863</t>
  </si>
  <si>
    <t>SM-IWA Environmental Monitoring</t>
  </si>
  <si>
    <t>G000000896</t>
  </si>
  <si>
    <t>G000000411</t>
  </si>
  <si>
    <t>SM-I Infrastructure Buildings</t>
  </si>
  <si>
    <t>G000000952</t>
  </si>
  <si>
    <t>LH Buildings SM DA MRE</t>
  </si>
  <si>
    <t>G000001026</t>
  </si>
  <si>
    <t>LH Buildings SM DA KGaA</t>
  </si>
  <si>
    <t>SM-IW Environmental Operations</t>
  </si>
  <si>
    <t>G000000883</t>
  </si>
  <si>
    <t>SM-IU Utility Operations</t>
  </si>
  <si>
    <t>G000000884</t>
  </si>
  <si>
    <t>Container Cleaining und Packaging</t>
  </si>
  <si>
    <t>L000010079</t>
  </si>
  <si>
    <t>G000000885</t>
  </si>
  <si>
    <t>SM-IV Waste &amp; Vecicle Services</t>
  </si>
  <si>
    <t>SM-IP Plant Services</t>
  </si>
  <si>
    <t>G000000887</t>
  </si>
  <si>
    <t>SM-IE Energy Mgmt. &amp; Sustainability</t>
  </si>
  <si>
    <t>G000000545</t>
  </si>
  <si>
    <t>SM-RR Facility Services (Extern)</t>
  </si>
  <si>
    <t>G000000875</t>
  </si>
  <si>
    <t>SM-R Real Estate &amp; Facility Management</t>
  </si>
  <si>
    <t>G000000355</t>
  </si>
  <si>
    <t>G000000413</t>
  </si>
  <si>
    <t>SM-RG Gastronomy Services</t>
  </si>
  <si>
    <t>G000001109</t>
  </si>
  <si>
    <t>SM-RR Real Estate &amp; Facility Management</t>
  </si>
  <si>
    <t>Buildings Site Darmstadt</t>
  </si>
  <si>
    <t>G000000525</t>
  </si>
  <si>
    <t>FS Office Buildings DA</t>
  </si>
  <si>
    <t>G000000529</t>
  </si>
  <si>
    <t>G000000535</t>
  </si>
  <si>
    <t>FS HQ Campus</t>
  </si>
  <si>
    <t>G000000941</t>
  </si>
  <si>
    <t>FS Infrastructure Bldgs. DA</t>
  </si>
  <si>
    <t>G000000942</t>
  </si>
  <si>
    <t>FS Workshop Bldgs. DA</t>
  </si>
  <si>
    <t>G000000943</t>
  </si>
  <si>
    <t>FS Warehouse Bldgs. DA</t>
  </si>
  <si>
    <t>G000000944</t>
  </si>
  <si>
    <t>FS Productions Bldgs. DA</t>
  </si>
  <si>
    <t>FS Container DA</t>
  </si>
  <si>
    <t>G000000947</t>
  </si>
  <si>
    <t>FS Umkleiden &amp; Aufenthaltsr. DA</t>
  </si>
  <si>
    <t>G000000948</t>
  </si>
  <si>
    <t>FS Fire &amp; Safety</t>
  </si>
  <si>
    <t>G000000537</t>
  </si>
  <si>
    <t>Commercial Rental DA</t>
  </si>
  <si>
    <t>G000000539</t>
  </si>
  <si>
    <t>Facility Services</t>
  </si>
  <si>
    <t>G000000482</t>
  </si>
  <si>
    <t>Residential Housing</t>
  </si>
  <si>
    <t>G000000874</t>
  </si>
  <si>
    <t>Additional Services</t>
  </si>
  <si>
    <t>G000000538</t>
  </si>
  <si>
    <t>Center Mgmt. X-Tower</t>
  </si>
  <si>
    <t>G000000495</t>
  </si>
  <si>
    <t>Shell &amp; Core Bldgs. DA</t>
  </si>
  <si>
    <t>G000000921</t>
  </si>
  <si>
    <t>Document.Mail.Parcel Service</t>
  </si>
  <si>
    <t xml:space="preserve">G000000540 </t>
  </si>
  <si>
    <t>SM-RR Weitere Facility Services</t>
  </si>
  <si>
    <t>G000000541</t>
  </si>
  <si>
    <t>SM-RR Moebel</t>
  </si>
  <si>
    <t>G000000542</t>
  </si>
  <si>
    <t>SM-RR Umzugskosten</t>
  </si>
  <si>
    <t>G000000543</t>
  </si>
  <si>
    <t>SM-RR Reinigungskosten</t>
  </si>
  <si>
    <t>G000000483</t>
  </si>
  <si>
    <t>Contractors/Externals Area</t>
  </si>
  <si>
    <t>G000001093</t>
  </si>
  <si>
    <t>W-Area</t>
  </si>
  <si>
    <t>G000000953</t>
  </si>
  <si>
    <t>Z-Area</t>
  </si>
  <si>
    <t>FS Contractors DA</t>
  </si>
  <si>
    <t>G000000531</t>
  </si>
  <si>
    <t xml:space="preserve">Freiflächen und allg. Infrastruktur </t>
  </si>
  <si>
    <t xml:space="preserve">G000000516 </t>
  </si>
  <si>
    <t>G000000532</t>
  </si>
  <si>
    <t>Freiflächen und Parken </t>
  </si>
  <si>
    <t>G000000945</t>
  </si>
  <si>
    <t>Allgemeine Infrastruktur </t>
  </si>
  <si>
    <t>G000001090</t>
  </si>
  <si>
    <t>HQ Campus NDD Cost KGaA</t>
  </si>
  <si>
    <t>G000001086</t>
  </si>
  <si>
    <t>G000001015</t>
  </si>
  <si>
    <t>G000001016</t>
  </si>
  <si>
    <t>G000001017</t>
  </si>
  <si>
    <t>G000001018</t>
  </si>
  <si>
    <t>G000001020</t>
  </si>
  <si>
    <t>G000001021</t>
  </si>
  <si>
    <t>G000001022</t>
  </si>
  <si>
    <t>G000001013</t>
  </si>
  <si>
    <t>G000001023</t>
  </si>
  <si>
    <t>SC Bldgs. Healthcare DA</t>
  </si>
  <si>
    <t>G000001024</t>
  </si>
  <si>
    <t>SC Bldgs. Life Science DA</t>
  </si>
  <si>
    <t>G000001025</t>
  </si>
  <si>
    <t>SC Bldgs. Electronics DA</t>
  </si>
  <si>
    <t>FR5747314</t>
  </si>
  <si>
    <t>RPL_E4_US05</t>
  </si>
  <si>
    <t>L000013447</t>
  </si>
  <si>
    <t>LS</t>
  </si>
  <si>
    <t>Anne-Francoise Dugast</t>
  </si>
  <si>
    <t>FR5756501</t>
  </si>
  <si>
    <t>H000004351</t>
  </si>
  <si>
    <t>ES - Medical Studies Evobrutinib</t>
  </si>
  <si>
    <t>H000003990</t>
  </si>
  <si>
    <t>ok</t>
  </si>
  <si>
    <t>Elena Rasines Martin</t>
  </si>
  <si>
    <t>FR5761353</t>
  </si>
  <si>
    <t>H000004337</t>
  </si>
  <si>
    <t>ES - Sales Promotion Xevinapant</t>
  </si>
  <si>
    <t>H000004338</t>
  </si>
  <si>
    <t>ES - Medical non R&amp;D Xevinapant</t>
  </si>
  <si>
    <t>FR5766051</t>
  </si>
  <si>
    <t>H000004352</t>
  </si>
  <si>
    <t>GB - FF- Xevinapant</t>
  </si>
  <si>
    <t>H000002080</t>
  </si>
  <si>
    <t>H000004353</t>
  </si>
  <si>
    <t>GB - LRD - Xevinapant</t>
  </si>
  <si>
    <t>H000002111</t>
  </si>
  <si>
    <t>H000004354</t>
  </si>
  <si>
    <t>GB - SP - Xevinapant</t>
  </si>
  <si>
    <t>H000004355</t>
  </si>
  <si>
    <t>IE - FF - Evobrutinib</t>
  </si>
  <si>
    <t>H000004356</t>
  </si>
  <si>
    <t>IE - LRD - Xevinapant</t>
  </si>
  <si>
    <t>H000001826</t>
  </si>
  <si>
    <t>H000004357</t>
  </si>
  <si>
    <t>IE - SP - Xevinapant</t>
  </si>
  <si>
    <t>H000001795</t>
  </si>
  <si>
    <t>H000004358</t>
  </si>
  <si>
    <t>FR5769280</t>
  </si>
  <si>
    <t>H000004359</t>
  </si>
  <si>
    <t>US - OE&amp;I - Commercial Operations</t>
  </si>
  <si>
    <t>H000003648</t>
  </si>
  <si>
    <t>Rizza Domingo</t>
  </si>
  <si>
    <t>H000004360</t>
  </si>
  <si>
    <t>H000003672</t>
  </si>
  <si>
    <t>H000004361</t>
  </si>
  <si>
    <t>H000003694</t>
  </si>
  <si>
    <t>H000004362</t>
  </si>
  <si>
    <t>H000003715</t>
  </si>
  <si>
    <t>H000004363</t>
  </si>
  <si>
    <t>H000003856</t>
  </si>
  <si>
    <t>H000004364</t>
  </si>
  <si>
    <t>1261DA Launch and Technology Center</t>
  </si>
  <si>
    <t>H000000562</t>
  </si>
  <si>
    <t>FR5780415</t>
  </si>
  <si>
    <t>G000000433</t>
  </si>
  <si>
    <t>SM-S Environment, Health &amp; Safety</t>
  </si>
  <si>
    <t>Manuel Walther</t>
  </si>
  <si>
    <t>SM-ST Technical Plant Safety</t>
  </si>
  <si>
    <t>G000000395</t>
  </si>
  <si>
    <t>SM-ST Technic. Plant Safety_I</t>
  </si>
  <si>
    <t>G000000396</t>
  </si>
  <si>
    <t>SM-ST Material Costs</t>
  </si>
  <si>
    <t>'SM-G Gernsheim K01067</t>
  </si>
  <si>
    <t>SM-I Open Area DA</t>
  </si>
  <si>
    <t>G000000499</t>
  </si>
  <si>
    <t>SM-I Open Area DA CCV</t>
  </si>
  <si>
    <t>G000000500</t>
  </si>
  <si>
    <t>SM-I FS Open Area DA</t>
  </si>
  <si>
    <t>SM-IP Material Cost Centers</t>
  </si>
  <si>
    <t>SM-IPC/ IPE/ IPI/ IPP</t>
  </si>
  <si>
    <t>SM-IE Ext. Energy Costs DA</t>
  </si>
  <si>
    <t>G000001094</t>
  </si>
  <si>
    <t>SM-DD MRE IT Kosten</t>
  </si>
  <si>
    <t>G000000544</t>
  </si>
  <si>
    <t>MRE - Verrechnungen / Sachkosten</t>
  </si>
  <si>
    <t>G000000439</t>
  </si>
  <si>
    <t>G000000511</t>
  </si>
  <si>
    <t>SM-EC Site Hohenbrunn</t>
  </si>
  <si>
    <t>G000000515</t>
  </si>
  <si>
    <t>SM-EC Grundstuecke Merck KGaA</t>
  </si>
  <si>
    <t>G000000497</t>
  </si>
  <si>
    <t>SM-EC Standortwentwicklung</t>
  </si>
  <si>
    <t>G000000846</t>
  </si>
  <si>
    <t>SM-G Operativ K01063</t>
  </si>
  <si>
    <t>G000000847</t>
  </si>
  <si>
    <t>SM-GM Medical K01167</t>
  </si>
  <si>
    <t>G000000849</t>
  </si>
  <si>
    <t>SM-G Fire Prot. &amp; Sec. K01168</t>
  </si>
  <si>
    <t>G000000851</t>
  </si>
  <si>
    <t xml:space="preserve">SM-GW Material Serv. K01169 </t>
  </si>
  <si>
    <t>SM-G Gernheim Assets</t>
  </si>
  <si>
    <t>G000000848</t>
  </si>
  <si>
    <t>SM-GS Supply &amp; Disp. K91035</t>
  </si>
  <si>
    <t>G000000926</t>
  </si>
  <si>
    <t>SM-GS Tech. Site K01166</t>
  </si>
  <si>
    <t>G000000927</t>
  </si>
  <si>
    <t>SM-GS Waste &amp; Water K91040</t>
  </si>
  <si>
    <t>G000000928</t>
  </si>
  <si>
    <t>SM-GS Energy K91038</t>
  </si>
  <si>
    <t>G000000930</t>
  </si>
  <si>
    <t xml:space="preserve">SM-GS Primary Cost K91036 </t>
  </si>
  <si>
    <t>G000000931</t>
  </si>
  <si>
    <t xml:space="preserve">SM-GS Own Prod. K97310 </t>
  </si>
  <si>
    <t>G000000932</t>
  </si>
  <si>
    <t>SM-GS Special K97741</t>
  </si>
  <si>
    <t>G000000933</t>
  </si>
  <si>
    <t xml:space="preserve">SM-GS Energy Building K97740 </t>
  </si>
  <si>
    <t>G000000934</t>
  </si>
  <si>
    <t xml:space="preserve"> SM-GS Energy Types K97311</t>
  </si>
  <si>
    <t xml:space="preserve">SM-G free knots </t>
  </si>
  <si>
    <t>G000000935</t>
  </si>
  <si>
    <t>S83-K97735 Gas GE</t>
  </si>
  <si>
    <t>G000000936</t>
  </si>
  <si>
    <t>S83-K97734 Dampf GE</t>
  </si>
  <si>
    <t>G000000937</t>
  </si>
  <si>
    <t>S83-K97733 Druckluft GE</t>
  </si>
  <si>
    <t>G000000938</t>
  </si>
  <si>
    <t>S83-K97332 VE-Wasser GE</t>
  </si>
  <si>
    <t>G000000939</t>
  </si>
  <si>
    <t>S83-K97331 Fabrikwasser GE</t>
  </si>
  <si>
    <t>G000000940</t>
  </si>
  <si>
    <t>S83-K97330 Strom GE</t>
  </si>
  <si>
    <t>G000000852</t>
  </si>
  <si>
    <t>S83-K91035 SM-GS Supply &amp; Disposal</t>
  </si>
  <si>
    <t>G000001008</t>
  </si>
  <si>
    <t>G000001067</t>
  </si>
  <si>
    <t>Rückbau Gebäude DA</t>
  </si>
  <si>
    <t>G000001068</t>
  </si>
  <si>
    <t>Rückbau Gebäude GHM</t>
  </si>
  <si>
    <t>FR5781138</t>
  </si>
  <si>
    <t>G000000240</t>
  </si>
  <si>
    <t>G000000597</t>
  </si>
  <si>
    <t>Jojeff Tagnong</t>
  </si>
  <si>
    <t>G000001128</t>
  </si>
  <si>
    <t>GNC HR - Apprenticeships</t>
  </si>
  <si>
    <t>G000000588</t>
  </si>
  <si>
    <t>G000001129</t>
  </si>
  <si>
    <t>GNE TX - Family Tax Office</t>
  </si>
  <si>
    <t>G000000578</t>
  </si>
  <si>
    <t>G000001130</t>
  </si>
  <si>
    <t>G1G PO - Corporate Sourcing Core</t>
  </si>
  <si>
    <t>G000000055</t>
  </si>
  <si>
    <t>G000001131</t>
  </si>
  <si>
    <t>G1G PO - Corporate Sourcing CapEx</t>
  </si>
  <si>
    <t>G000001132</t>
  </si>
  <si>
    <t>GNF LE - New Level</t>
  </si>
  <si>
    <t>G000000584</t>
  </si>
  <si>
    <t>G000001133</t>
  </si>
  <si>
    <t>FAO MBS Management</t>
  </si>
  <si>
    <t>G000000184</t>
  </si>
  <si>
    <t>G000001134</t>
  </si>
  <si>
    <t>FAP MBS Hub Manila</t>
  </si>
  <si>
    <t>G000001135</t>
  </si>
  <si>
    <t>FAQ MBS Hub Wroclaw</t>
  </si>
  <si>
    <t>G000001136</t>
  </si>
  <si>
    <t>FAR MBS Hub Bangalore</t>
  </si>
  <si>
    <t>G000001137</t>
  </si>
  <si>
    <t>FAS MBS Innovation &amp; Data</t>
  </si>
  <si>
    <t>G000001138</t>
  </si>
  <si>
    <t>FAT MBS Strategy &amp; Transformation</t>
  </si>
  <si>
    <t>G000001139</t>
  </si>
  <si>
    <t>FAU MBS FS&amp;P Financial Planning&amp;Analysis</t>
  </si>
  <si>
    <t>G000001140</t>
  </si>
  <si>
    <t>FAV MBS FS&amp;P Enterprise Services</t>
  </si>
  <si>
    <t>G000001141</t>
  </si>
  <si>
    <t>MBS Management - MGF Reporting</t>
  </si>
  <si>
    <t>G000001142</t>
  </si>
  <si>
    <t>MBS Hub Manila - MGF Reporting</t>
  </si>
  <si>
    <t>G000001143</t>
  </si>
  <si>
    <t>MBS Hub Wroclaw - MGF Reporting</t>
  </si>
  <si>
    <t>G000001144</t>
  </si>
  <si>
    <t>MBS Hub Bangalore - MGF Reporting</t>
  </si>
  <si>
    <t>G000001145</t>
  </si>
  <si>
    <t>MBS I&amp;D - MGF Reporting</t>
  </si>
  <si>
    <t>G000001146</t>
  </si>
  <si>
    <t>MBS S&amp;T - MGF Reporting</t>
  </si>
  <si>
    <t>G000001147</t>
  </si>
  <si>
    <t>MBS FS&amp;P FP&amp;A - MGF Reporting</t>
  </si>
  <si>
    <t>G000001148</t>
  </si>
  <si>
    <t>MBS FS&amp;P Enterpr.S. - MGF Reporting</t>
  </si>
  <si>
    <t>G000001149</t>
  </si>
  <si>
    <t>MBS Management - non-MGF Reporting</t>
  </si>
  <si>
    <t>G000001150</t>
  </si>
  <si>
    <t>MBS Hub Manila - non-MGF Reporting</t>
  </si>
  <si>
    <t>G000001151</t>
  </si>
  <si>
    <t>MBS Hub Wroclaw - non-MGF Reporting</t>
  </si>
  <si>
    <t>G000001152</t>
  </si>
  <si>
    <t>MBS Hub Bangalore - non-MGF Reporting</t>
  </si>
  <si>
    <t>G000001153</t>
  </si>
  <si>
    <t>MBS I&amp;D - non-MGF Reporting</t>
  </si>
  <si>
    <t>G000001154</t>
  </si>
  <si>
    <t>MBS S&amp;T - non-MGF Reporting</t>
  </si>
  <si>
    <t>G000001155</t>
  </si>
  <si>
    <t>MBS FS&amp;P FP&amp;A - non-MGF Reporting</t>
  </si>
  <si>
    <t>G000001156</t>
  </si>
  <si>
    <t>MBS FS&amp;P Enterpr.S. - non-MGF Reporting</t>
  </si>
  <si>
    <t>G000001157</t>
  </si>
  <si>
    <t>GNG Head of MBS</t>
  </si>
  <si>
    <t>G000001158</t>
  </si>
  <si>
    <t>GNH MBS CAO - Subsidiary Development</t>
  </si>
  <si>
    <t>G000000572</t>
  </si>
  <si>
    <t>G000001159</t>
  </si>
  <si>
    <t>GNI MBS CAO - CAO Office</t>
  </si>
  <si>
    <t>G000001160</t>
  </si>
  <si>
    <t>GNJ MBS CAO - Service Charges</t>
  </si>
  <si>
    <t>G000001161</t>
  </si>
  <si>
    <t>GNK MBS Hub Manila - Management</t>
  </si>
  <si>
    <t>G000001162</t>
  </si>
  <si>
    <t>GNL MBS Hub Manila - Proc Ops 1</t>
  </si>
  <si>
    <t>G000001163</t>
  </si>
  <si>
    <t>GNM MBS Hub Manila - Proc Op 2</t>
  </si>
  <si>
    <t>G000001164</t>
  </si>
  <si>
    <t>GNN MBS Hub Manila - Employee Serv. Ops</t>
  </si>
  <si>
    <t>G000001165</t>
  </si>
  <si>
    <t>GNO MBS Hub Manila-R2RGen.AccOps APAC/NA</t>
  </si>
  <si>
    <t>G000001166</t>
  </si>
  <si>
    <t>GNP MBS Hub Manila-R2R Glob AccSrvc &amp;I2C</t>
  </si>
  <si>
    <t>G000001167</t>
  </si>
  <si>
    <t>GNQ MBS Hub Manila - FP&amp;A Operations</t>
  </si>
  <si>
    <t>G000001168</t>
  </si>
  <si>
    <t>GNR MBS Hub Manila - Entrprs Srvc Ops</t>
  </si>
  <si>
    <t>G000001169</t>
  </si>
  <si>
    <t>GNS MBS Hub Manila - Service Charges</t>
  </si>
  <si>
    <t>G000001170</t>
  </si>
  <si>
    <t>GNT MBS Hub Wroclaw - Management</t>
  </si>
  <si>
    <t>G000001171</t>
  </si>
  <si>
    <t>GNU MBS Hub Wroclaw - Procurement Ops</t>
  </si>
  <si>
    <t>G000001172</t>
  </si>
  <si>
    <t>GNV MBS Hub Wroclaw-Employee Serv.Ops DE</t>
  </si>
  <si>
    <t>G000001173</t>
  </si>
  <si>
    <t>GNW MBS Hub Wroclaw -Empl Servc Ops EMEA</t>
  </si>
  <si>
    <t>G000001174</t>
  </si>
  <si>
    <t>GNX MBS Hub Wroclaw - A&amp;F Ops EMEA</t>
  </si>
  <si>
    <t>G000001175</t>
  </si>
  <si>
    <t>GNY MBS Hub Wroclaw -FP&amp;A Operations</t>
  </si>
  <si>
    <t>G000001176</t>
  </si>
  <si>
    <t>GNZ MBS Hub Wroclaw - Ent. Servc Ops</t>
  </si>
  <si>
    <t>G000001177</t>
  </si>
  <si>
    <t>GDI MBS Hub Wroclaw - Legal Services</t>
  </si>
  <si>
    <t>G000001178</t>
  </si>
  <si>
    <t>GDK MBS Hub Wroclaw - Service Charges</t>
  </si>
  <si>
    <t>G000001179</t>
  </si>
  <si>
    <t>GDL MBS Hub Bangalore - Management</t>
  </si>
  <si>
    <t>G000001180</t>
  </si>
  <si>
    <t>GDM MBS Hub Bangalore - GSD IT Care</t>
  </si>
  <si>
    <t>G000001181</t>
  </si>
  <si>
    <t>GDN MBS Hub Bangalore - Service Charges</t>
  </si>
  <si>
    <t>G000001182</t>
  </si>
  <si>
    <t>GDO MBS Innovation &amp; Data - SPA Team</t>
  </si>
  <si>
    <t>G000001183</t>
  </si>
  <si>
    <t>GDP MBS Innovation &amp; Data - Srvc Enable</t>
  </si>
  <si>
    <t>G000001184</t>
  </si>
  <si>
    <t>GDQ MBS S&amp;T - Management</t>
  </si>
  <si>
    <t>G000001185</t>
  </si>
  <si>
    <t>GDR MBS S&amp;T - MBS Head Office</t>
  </si>
  <si>
    <t>G000001186</t>
  </si>
  <si>
    <t>GDS MBS S&amp;T - Strategy Activation</t>
  </si>
  <si>
    <t>G000001187</t>
  </si>
  <si>
    <t>GDT MBS S&amp;T -Prgrm &amp; Proj Portfolio Mgmt</t>
  </si>
  <si>
    <t>G000001188</t>
  </si>
  <si>
    <t>GDU MBS S&amp;T - Business Excellence</t>
  </si>
  <si>
    <t>G000001189</t>
  </si>
  <si>
    <t>GDV MBS S&amp;T - Governance &amp; Compliance</t>
  </si>
  <si>
    <t>G000001190</t>
  </si>
  <si>
    <t>GDW MBS S&amp;T - Performance Management</t>
  </si>
  <si>
    <t>G000001191</t>
  </si>
  <si>
    <t>GDX MBS S&amp;T - BPM t, L&amp;D and Knwldg Mgmt</t>
  </si>
  <si>
    <t>G000001192</t>
  </si>
  <si>
    <t>GDY MBS S&amp;T -Users &amp; Services Experience</t>
  </si>
  <si>
    <t>G000001193</t>
  </si>
  <si>
    <t>GDZ MBS S&amp;T - ERP Program</t>
  </si>
  <si>
    <t>G000001194</t>
  </si>
  <si>
    <t>GLF FS&amp;P A&amp;F - GPO Record to Report - GA</t>
  </si>
  <si>
    <t>G000000608</t>
  </si>
  <si>
    <t>G000001195</t>
  </si>
  <si>
    <t>GLG FS&amp;P A&amp;F - GPO R to R-Subledger Acc.</t>
  </si>
  <si>
    <t>G000001196</t>
  </si>
  <si>
    <t>GLH FS&amp;P A&amp;F -GPO Fin. ERPMasterData/LFF</t>
  </si>
  <si>
    <t>G000001197</t>
  </si>
  <si>
    <t>GLI FS&amp;P A&amp;F-Perfrmnc Mgmt&amp;Compl.Lead FI</t>
  </si>
  <si>
    <t>G000001198</t>
  </si>
  <si>
    <t>GLJ FS&amp;P A&amp;F -Finance ERP Program Mngr</t>
  </si>
  <si>
    <t>G000001199</t>
  </si>
  <si>
    <t>GLK FS&amp;P A&amp;F - Transformation Lead FI</t>
  </si>
  <si>
    <t>G000001200</t>
  </si>
  <si>
    <t>GLL FS&amp;P FP&amp;A - HC</t>
  </si>
  <si>
    <t>G000001201</t>
  </si>
  <si>
    <t>GLM FS&amp;P FP&amp;A - LS</t>
  </si>
  <si>
    <t>G000001202</t>
  </si>
  <si>
    <t>GLN FS&amp;P FP&amp;A - EL</t>
  </si>
  <si>
    <t>G000001203</t>
  </si>
  <si>
    <t>GLO FS&amp;P FP&amp;A - EF CO</t>
  </si>
  <si>
    <t>G000001204</t>
  </si>
  <si>
    <t>GLP FS&amp;P FP&amp;A-Group Dta&amp;Aps for Fin MC4F</t>
  </si>
  <si>
    <t>G000001205</t>
  </si>
  <si>
    <t>GLQ FS&amp;P FP&amp;A-Reporting &amp; tools solution</t>
  </si>
  <si>
    <t>G000001206</t>
  </si>
  <si>
    <t>GLR FS&amp;P FP&amp;A - Transformation Lead</t>
  </si>
  <si>
    <t>G000001207</t>
  </si>
  <si>
    <t>GLS FS&amp;P FP&amp;A - CoE of different experts</t>
  </si>
  <si>
    <t>G000001208</t>
  </si>
  <si>
    <t>GLT FS&amp;P FP&amp;A - Management</t>
  </si>
  <si>
    <t>G000001209</t>
  </si>
  <si>
    <t>GLU MBS FS&amp;P PO - GPO S2P</t>
  </si>
  <si>
    <t>G000000612</t>
  </si>
  <si>
    <t>G000001210</t>
  </si>
  <si>
    <t>GLV MBS FS&amp;P PO - GPO T&amp;E</t>
  </si>
  <si>
    <t>G000001211</t>
  </si>
  <si>
    <t>GLW MBS FS&amp;P PO-Prformnc Mgmt &amp;Compl. PO</t>
  </si>
  <si>
    <t>G000001212</t>
  </si>
  <si>
    <t>GLX MBS FS&amp;P PO-Transformation Lead PO 1</t>
  </si>
  <si>
    <t>G000001213</t>
  </si>
  <si>
    <t>GLY MBS FS&amp;P PO-Transformation Lead PO 2</t>
  </si>
  <si>
    <t>G000001214</t>
  </si>
  <si>
    <t>GLZ MBS FS&amp;P ES - GPO Hire to Retire</t>
  </si>
  <si>
    <t>G000000610</t>
  </si>
  <si>
    <t>G000001215</t>
  </si>
  <si>
    <t>GMB MBS FS&amp;P ES - GPO Payroll</t>
  </si>
  <si>
    <t>G000001216</t>
  </si>
  <si>
    <t>GMC MBS FS&amp;P ES-PrfrmnMgmt&amp;Compl Lead ES</t>
  </si>
  <si>
    <t>G000001217</t>
  </si>
  <si>
    <t>GMD MBS FS&amp;P ES - Transformation Lead ES</t>
  </si>
  <si>
    <t>G000001218</t>
  </si>
  <si>
    <t>GMF MBS FS&amp;P Ent.S.-Cntct Cntr&amp;ServcDesk</t>
  </si>
  <si>
    <t>G000001219</t>
  </si>
  <si>
    <t>GMG MBS FS&amp;P Ent.S.-Glob Communications</t>
  </si>
  <si>
    <t>G000001220</t>
  </si>
  <si>
    <t>GMH MBS FS&amp;P Ent.S. -Translation Servc</t>
  </si>
  <si>
    <t>G000001221</t>
  </si>
  <si>
    <t>GMI MBS FS&amp;P Ent.S. - Ent Serv. Support</t>
  </si>
  <si>
    <t>G000001222</t>
  </si>
  <si>
    <t>GMJ MBS FS&amp;P Enterpr.S. - Management</t>
  </si>
  <si>
    <t>G000001103</t>
  </si>
  <si>
    <t>GMA LE - APAC</t>
  </si>
  <si>
    <t>G000001104</t>
  </si>
  <si>
    <t>GME LE - Europe/MEAR</t>
  </si>
  <si>
    <t>G000001101</t>
  </si>
  <si>
    <t>F87 ST - Bluehouse AIDD</t>
  </si>
  <si>
    <t>G000001102</t>
  </si>
  <si>
    <t>F87 ST - Bluehouse mRNA</t>
  </si>
  <si>
    <t>G000000037</t>
  </si>
  <si>
    <t>F80 MBS CAO Organization</t>
  </si>
  <si>
    <t>G000000185</t>
  </si>
  <si>
    <t>FK4 MBS FS&amp;P Accounting &amp; Finance</t>
  </si>
  <si>
    <t>G000000213</t>
  </si>
  <si>
    <t>FK6 MBS FS&amp;P Procurement</t>
  </si>
  <si>
    <t>G000000194</t>
  </si>
  <si>
    <t>FK5 MBS FS&amp;P Employee Services</t>
  </si>
  <si>
    <t>MBS CAO - MGF Reporting</t>
  </si>
  <si>
    <t>G000000573</t>
  </si>
  <si>
    <t>MBS CAO - non-MGF Reporting</t>
  </si>
  <si>
    <t>MBS FS&amp;P A&amp;F - MGF Reporting</t>
  </si>
  <si>
    <t>G000000609</t>
  </si>
  <si>
    <t>MBS FS&amp;P A&amp;F - non-MGF Reporting</t>
  </si>
  <si>
    <t>MBS FS&amp;P PO - MGF Reporting</t>
  </si>
  <si>
    <t>G000000613</t>
  </si>
  <si>
    <t>MBS FS&amp;P PO - non-MGF Reporting</t>
  </si>
  <si>
    <t>MBS FS&amp;P ES - MGF Reporting</t>
  </si>
  <si>
    <t>G000000611</t>
  </si>
  <si>
    <t>MBS FS&amp;P ES - non-MGF Reporting</t>
  </si>
  <si>
    <t>G000000042</t>
  </si>
  <si>
    <t>GK7 MBS CAO - Management</t>
  </si>
  <si>
    <t>G000000633</t>
  </si>
  <si>
    <t>GZC MBS CAO - North America</t>
  </si>
  <si>
    <t>G000000634</t>
  </si>
  <si>
    <t>GZD MBS CAO - LatAm</t>
  </si>
  <si>
    <t>G000000635</t>
  </si>
  <si>
    <t>GZE MBS CAO - APAC</t>
  </si>
  <si>
    <t>G000000636</t>
  </si>
  <si>
    <t>GZF MBS CAO - Greater China</t>
  </si>
  <si>
    <t>G000000637</t>
  </si>
  <si>
    <t>GZG MBS CAO - EMEA 2</t>
  </si>
  <si>
    <t>G000000631</t>
  </si>
  <si>
    <t>GZH MBS CAO - Germany &amp; Austria</t>
  </si>
  <si>
    <t>G000000630</t>
  </si>
  <si>
    <t>GZJ MBS CAO - EMEA 1</t>
  </si>
  <si>
    <t>G000000698</t>
  </si>
  <si>
    <t>GKB FS&amp;P A&amp;F - ABP</t>
  </si>
  <si>
    <t>G000000699</t>
  </si>
  <si>
    <t>GKC FS&amp;P A&amp;F - GPO Invoice to cash</t>
  </si>
  <si>
    <t>G000000700</t>
  </si>
  <si>
    <t>GKD FS&amp;P A&amp;F - GPO Indirect Taxes</t>
  </si>
  <si>
    <t>G000000702</t>
  </si>
  <si>
    <t>GKF FS&amp;P A&amp;F - Management</t>
  </si>
  <si>
    <t>G000000713</t>
  </si>
  <si>
    <t>GZP MBS FS&amp;P PO - Management</t>
  </si>
  <si>
    <t>G000000707</t>
  </si>
  <si>
    <t>GYB MBS FS&amp;P ES - Learning &amp; Development</t>
  </si>
  <si>
    <t>G000000708</t>
  </si>
  <si>
    <t>GYC MBS FS&amp;P ES-GPO HR dataRprtng&amp;Anlytc</t>
  </si>
  <si>
    <t>G000000710</t>
  </si>
  <si>
    <t>GYE MBS FS&amp;P ES - Management</t>
  </si>
  <si>
    <t>G000000216</t>
  </si>
  <si>
    <t>G2K MBS FS&amp;P Procurement B&amp;P</t>
  </si>
  <si>
    <t>FR5784418</t>
  </si>
  <si>
    <t>PL_E601012</t>
  </si>
  <si>
    <t>Marcus Avemarie</t>
  </si>
  <si>
    <t>PL_E6_0101</t>
  </si>
  <si>
    <t>FR5789140</t>
  </si>
  <si>
    <t>G000001223</t>
  </si>
  <si>
    <t>SM-PL Plant Maintenance LS</t>
  </si>
  <si>
    <t>Sybille Rogmans</t>
  </si>
  <si>
    <t>G000001224</t>
  </si>
  <si>
    <t>SM-PH Plant Maintenance HC</t>
  </si>
  <si>
    <t>G000001225</t>
  </si>
  <si>
    <t>SM-PE Plant Maintenance EL</t>
  </si>
  <si>
    <t>G000001226</t>
  </si>
  <si>
    <t>SM-PF Functional Safety</t>
  </si>
  <si>
    <t>FR5789964</t>
  </si>
  <si>
    <t>L000010032</t>
  </si>
  <si>
    <t>L000009407</t>
  </si>
  <si>
    <t>Phoebe Anne Fortaleza</t>
  </si>
  <si>
    <t>L000010034</t>
  </si>
  <si>
    <t>L000010033</t>
  </si>
  <si>
    <t>L000009539</t>
  </si>
  <si>
    <t>L000010035</t>
  </si>
  <si>
    <t>L000005359</t>
  </si>
  <si>
    <t>L000011950</t>
  </si>
  <si>
    <t>L000011837</t>
  </si>
  <si>
    <t>L000008895</t>
  </si>
  <si>
    <t>L000007844</t>
  </si>
  <si>
    <t>L000013113</t>
  </si>
  <si>
    <t>L000007859</t>
  </si>
  <si>
    <t>L000009180</t>
  </si>
  <si>
    <t>L000009196</t>
  </si>
  <si>
    <t>L000009186</t>
  </si>
  <si>
    <t>L000013115</t>
  </si>
  <si>
    <t>L000008303</t>
  </si>
  <si>
    <t>L000012417</t>
  </si>
  <si>
    <t>L000005678</t>
  </si>
  <si>
    <t>L000005737</t>
  </si>
  <si>
    <t>L000005683</t>
  </si>
  <si>
    <t>L000005822</t>
  </si>
  <si>
    <t>L000005688</t>
  </si>
  <si>
    <t>L000005695</t>
  </si>
  <si>
    <t>L000013504</t>
  </si>
  <si>
    <t>L000013606</t>
  </si>
  <si>
    <t>L000013212</t>
  </si>
  <si>
    <t>L000007771</t>
  </si>
  <si>
    <t>L000013213</t>
  </si>
  <si>
    <t>L000007758</t>
  </si>
  <si>
    <t>L000009061</t>
  </si>
  <si>
    <t>L000013619</t>
  </si>
  <si>
    <t>L000005902</t>
  </si>
  <si>
    <t>L000013609</t>
  </si>
  <si>
    <t>L000005908</t>
  </si>
  <si>
    <t>L000013610</t>
  </si>
  <si>
    <t>L000005915</t>
  </si>
  <si>
    <t>L000013611</t>
  </si>
  <si>
    <t>L000005926</t>
  </si>
  <si>
    <t>L000013043</t>
  </si>
  <si>
    <t>L000013124</t>
  </si>
  <si>
    <t>L000005407</t>
  </si>
  <si>
    <t>L000013312</t>
  </si>
  <si>
    <t>L000005408</t>
  </si>
  <si>
    <t>L000005409</t>
  </si>
  <si>
    <t>L000005410</t>
  </si>
  <si>
    <t>L000012826</t>
  </si>
  <si>
    <t>L000005103</t>
  </si>
  <si>
    <t>L000008545</t>
  </si>
  <si>
    <t>L000010622</t>
  </si>
  <si>
    <t>L000013620</t>
  </si>
  <si>
    <t>L000013374</t>
  </si>
  <si>
    <t>L000011111</t>
  </si>
  <si>
    <t>L000013623</t>
  </si>
  <si>
    <t>L000011138</t>
  </si>
  <si>
    <t>L000011144</t>
  </si>
  <si>
    <t>L000011321</t>
  </si>
  <si>
    <t>L000013323</t>
  </si>
  <si>
    <t>L000011139</t>
  </si>
  <si>
    <t>L000013462</t>
  </si>
  <si>
    <t>L000013500</t>
  </si>
  <si>
    <t>L000012995</t>
  </si>
  <si>
    <t>L000013120</t>
  </si>
  <si>
    <t>L000013275</t>
  </si>
  <si>
    <t>L000012834</t>
  </si>
  <si>
    <t>L000013637</t>
  </si>
  <si>
    <t>L000006301</t>
  </si>
  <si>
    <t>L000012377</t>
  </si>
  <si>
    <t>L000006302</t>
  </si>
  <si>
    <t>L000012715</t>
  </si>
  <si>
    <t>L000006723</t>
  </si>
  <si>
    <t>L000012376</t>
  </si>
  <si>
    <t>L000006338</t>
  </si>
  <si>
    <t>L000013517</t>
  </si>
  <si>
    <t>L000007508</t>
  </si>
  <si>
    <t>L000013630</t>
  </si>
  <si>
    <t>L000012582</t>
  </si>
  <si>
    <t>L000012650</t>
  </si>
  <si>
    <t>L000007529</t>
  </si>
  <si>
    <t>L000012380</t>
  </si>
  <si>
    <t>L000007577</t>
  </si>
  <si>
    <t>L000007582</t>
  </si>
  <si>
    <t>L000012381</t>
  </si>
  <si>
    <t>L000007528</t>
  </si>
  <si>
    <t>L000011630</t>
  </si>
  <si>
    <t>L000007522</t>
  </si>
  <si>
    <t>L000012379</t>
  </si>
  <si>
    <t>L000011629</t>
  </si>
  <si>
    <t>L000012644</t>
  </si>
  <si>
    <t>L000011636</t>
  </si>
  <si>
    <t>L000012385</t>
  </si>
  <si>
    <t>L000006386</t>
  </si>
  <si>
    <t>L000013632</t>
  </si>
  <si>
    <t>L000006908</t>
  </si>
  <si>
    <t>L000013220</t>
  </si>
  <si>
    <t>L000012651</t>
  </si>
  <si>
    <t>L000012718</t>
  </si>
  <si>
    <t>L000006872</t>
  </si>
  <si>
    <t>L000013634</t>
  </si>
  <si>
    <t>L000006876</t>
  </si>
  <si>
    <t>L000013291</t>
  </si>
  <si>
    <t>L000006343</t>
  </si>
  <si>
    <t>L000012327</t>
  </si>
  <si>
    <t>L000006345</t>
  </si>
  <si>
    <t>L000006347</t>
  </si>
  <si>
    <t>L000006350</t>
  </si>
  <si>
    <t>L000006351</t>
  </si>
  <si>
    <t>L000012326</t>
  </si>
  <si>
    <t>L000006359</t>
  </si>
  <si>
    <t>L000006360</t>
  </si>
  <si>
    <t>L000006361</t>
  </si>
  <si>
    <t>L000006362</t>
  </si>
  <si>
    <t>L000006363</t>
  </si>
  <si>
    <t>L000006364</t>
  </si>
  <si>
    <t>L000012325</t>
  </si>
  <si>
    <t>L000006365</t>
  </si>
  <si>
    <t>L000006366</t>
  </si>
  <si>
    <t>L000006367</t>
  </si>
  <si>
    <t>L000006368</t>
  </si>
  <si>
    <t>L000012529</t>
  </si>
  <si>
    <t>L000012535</t>
  </si>
  <si>
    <t>L000012584</t>
  </si>
  <si>
    <t>L000012657</t>
  </si>
  <si>
    <t>L000012719</t>
  </si>
  <si>
    <t>L000012721</t>
  </si>
  <si>
    <t>L000012739</t>
  </si>
  <si>
    <t>L000012740</t>
  </si>
  <si>
    <t>L000012741</t>
  </si>
  <si>
    <t>L000012742</t>
  </si>
  <si>
    <t>L000012743</t>
  </si>
  <si>
    <t>L000006860</t>
  </si>
  <si>
    <t>L000006861</t>
  </si>
  <si>
    <t>L000006862</t>
  </si>
  <si>
    <t>L000006865</t>
  </si>
  <si>
    <t>L000006866</t>
  </si>
  <si>
    <t>L000006867</t>
  </si>
  <si>
    <t>L000006929</t>
  </si>
  <si>
    <t>L000006931</t>
  </si>
  <si>
    <t>L000006933</t>
  </si>
  <si>
    <t>L000007309</t>
  </si>
  <si>
    <t>L000007312</t>
  </si>
  <si>
    <t>L000011614</t>
  </si>
  <si>
    <t>L000011617</t>
  </si>
  <si>
    <t>L000012569</t>
  </si>
  <si>
    <t>L000012580</t>
  </si>
  <si>
    <t>L000012659</t>
  </si>
  <si>
    <t>L000012712</t>
  </si>
  <si>
    <t>L000006880</t>
  </si>
  <si>
    <t>L000006881</t>
  </si>
  <si>
    <t>L000006883</t>
  </si>
  <si>
    <t>L000006884</t>
  </si>
  <si>
    <t>L000006886</t>
  </si>
  <si>
    <t>L000006887</t>
  </si>
  <si>
    <t>L000006922</t>
  </si>
  <si>
    <t>L000011601</t>
  </si>
  <si>
    <t>L000011602</t>
  </si>
  <si>
    <t>L000011613</t>
  </si>
  <si>
    <t>L000011616</t>
  </si>
  <si>
    <t>L000012570</t>
  </si>
  <si>
    <t>L000012571</t>
  </si>
  <si>
    <t>L000012577</t>
  </si>
  <si>
    <t>L000006319</t>
  </si>
  <si>
    <t>L000006320</t>
  </si>
  <si>
    <t>L000006321</t>
  </si>
  <si>
    <t>L000006322</t>
  </si>
  <si>
    <t>L000006323</t>
  </si>
  <si>
    <t>L000006324</t>
  </si>
  <si>
    <t>L000006326</t>
  </si>
  <si>
    <t>L000006327</t>
  </si>
  <si>
    <t>L000006328</t>
  </si>
  <si>
    <t>L000006329</t>
  </si>
  <si>
    <t>L000006330</t>
  </si>
  <si>
    <t>L000006331</t>
  </si>
  <si>
    <t>L000006332</t>
  </si>
  <si>
    <t>L000006333</t>
  </si>
  <si>
    <t>L000006334</t>
  </si>
  <si>
    <t>L000006346</t>
  </si>
  <si>
    <t>L000011459</t>
  </si>
  <si>
    <t>L000012530</t>
  </si>
  <si>
    <t>L000012531</t>
  </si>
  <si>
    <t>L000012532</t>
  </si>
  <si>
    <t>L000012716</t>
  </si>
  <si>
    <t>L000012717</t>
  </si>
  <si>
    <t>L000012720</t>
  </si>
  <si>
    <t>L000006339</t>
  </si>
  <si>
    <t>L000006340</t>
  </si>
  <si>
    <t>L000006341</t>
  </si>
  <si>
    <t>L000006893</t>
  </si>
  <si>
    <t>L000006919</t>
  </si>
  <si>
    <t>L000006925</t>
  </si>
  <si>
    <t>L000007306</t>
  </si>
  <si>
    <t>L000007324</t>
  </si>
  <si>
    <t>L000011596</t>
  </si>
  <si>
    <t>L000011597</t>
  </si>
  <si>
    <t>L000011618</t>
  </si>
  <si>
    <t>L000012680</t>
  </si>
  <si>
    <t>L000007125</t>
  </si>
  <si>
    <t>L000013635</t>
  </si>
  <si>
    <t>L000007230</t>
  </si>
  <si>
    <t>L000013636</t>
  </si>
  <si>
    <t>L000007231</t>
  </si>
  <si>
    <t>L000007232</t>
  </si>
  <si>
    <t>L000007233</t>
  </si>
  <si>
    <t>L000007234</t>
  </si>
  <si>
    <t>L000009444</t>
  </si>
  <si>
    <t>L000013656</t>
  </si>
  <si>
    <t>L000009488</t>
  </si>
  <si>
    <t>L000009581</t>
  </si>
  <si>
    <t>L000009599</t>
  </si>
  <si>
    <t>L000009623</t>
  </si>
  <si>
    <t>L000009625</t>
  </si>
  <si>
    <t>L000010608</t>
  </si>
  <si>
    <t>L000013475</t>
  </si>
  <si>
    <t>L000013655</t>
  </si>
  <si>
    <t>L000007595</t>
  </si>
  <si>
    <t>L000013522</t>
  </si>
  <si>
    <t>L000007468</t>
  </si>
  <si>
    <t>L000007299</t>
  </si>
  <si>
    <t>L000013639</t>
  </si>
  <si>
    <t>L000007326</t>
  </si>
  <si>
    <t>L000013638</t>
  </si>
  <si>
    <t>L000007301</t>
  </si>
  <si>
    <t>L000013521</t>
  </si>
  <si>
    <t>L000007476</t>
  </si>
  <si>
    <t>L000007307</t>
  </si>
  <si>
    <t>L000012330</t>
  </si>
  <si>
    <t>L000007327</t>
  </si>
  <si>
    <t>L000012329</t>
  </si>
  <si>
    <t>L000012689</t>
  </si>
  <si>
    <t>L000012328</t>
  </si>
  <si>
    <t>L000007514</t>
  </si>
  <si>
    <t>L000011724</t>
  </si>
  <si>
    <t>L000013526</t>
  </si>
  <si>
    <t>L000007294</t>
  </si>
  <si>
    <t>L000011722</t>
  </si>
  <si>
    <t>L000012691</t>
  </si>
  <si>
    <t>L000007297</t>
  </si>
  <si>
    <t>L000008995</t>
  </si>
  <si>
    <t>L000013662</t>
  </si>
  <si>
    <t>L000007719</t>
  </si>
  <si>
    <t>ASK FIVI</t>
  </si>
  <si>
    <t>L000008791</t>
  </si>
  <si>
    <t>L000008638</t>
  </si>
  <si>
    <t>L000008614</t>
  </si>
  <si>
    <t>L000008770</t>
  </si>
  <si>
    <t xml:space="preserve">L000008564 </t>
  </si>
  <si>
    <t>L000008985</t>
  </si>
  <si>
    <t>L000008649</t>
  </si>
  <si>
    <t>L000008991</t>
  </si>
  <si>
    <t>L000008992</t>
  </si>
  <si>
    <t>L000005147</t>
  </si>
  <si>
    <t>L000013663</t>
  </si>
  <si>
    <t>L000005871</t>
  </si>
  <si>
    <t>L000011847</t>
  </si>
  <si>
    <t>L000008956</t>
  </si>
  <si>
    <t>L000005151</t>
  </si>
  <si>
    <t>L000008908</t>
  </si>
  <si>
    <t>L000013600</t>
  </si>
  <si>
    <t>Sheboygan Maintenance-G</t>
  </si>
  <si>
    <t>L000013478</t>
  </si>
  <si>
    <t>L000013601</t>
  </si>
  <si>
    <t>Sheboygan Distribution Life Science-G</t>
  </si>
  <si>
    <t>L000013479</t>
  </si>
  <si>
    <t>L000013602</t>
  </si>
  <si>
    <t>Sheboygan Distribution Electronics-G</t>
  </si>
  <si>
    <t>L000013603</t>
  </si>
  <si>
    <t>Channel Management Japan</t>
  </si>
  <si>
    <t>L000008393</t>
  </si>
  <si>
    <t>L000013604</t>
  </si>
  <si>
    <t>Commercial Sales P&amp;B</t>
  </si>
  <si>
    <t>L000008414</t>
  </si>
  <si>
    <t>L000013605</t>
  </si>
  <si>
    <t>Head of BM Strategic Mktg</t>
  </si>
  <si>
    <t>L000005668</t>
  </si>
  <si>
    <t>PM Ops Chem</t>
  </si>
  <si>
    <t>L000007757</t>
  </si>
  <si>
    <t>L000013607</t>
  </si>
  <si>
    <t>DxRM - APAC Business Operations</t>
  </si>
  <si>
    <t>L000005842</t>
  </si>
  <si>
    <t>L000013608</t>
  </si>
  <si>
    <t>DxRM - Attrition &amp; Adjustments</t>
  </si>
  <si>
    <t>DxRM - Portfolio Operations &amp; Enablement</t>
  </si>
  <si>
    <t>DxRM - Custom Solutions</t>
  </si>
  <si>
    <t>DxRM - Molecular &amp; Immunoassay Materials</t>
  </si>
  <si>
    <t>L000013612</t>
  </si>
  <si>
    <t>ISCO Academy</t>
  </si>
  <si>
    <t>L000013498</t>
  </si>
  <si>
    <t>L000013613</t>
  </si>
  <si>
    <t>PMO &amp; Analytics</t>
  </si>
  <si>
    <t>L000013614</t>
  </si>
  <si>
    <t>GPO US</t>
  </si>
  <si>
    <t>L000013615</t>
  </si>
  <si>
    <t>GPO EU</t>
  </si>
  <si>
    <t>L000013616</t>
  </si>
  <si>
    <t>Distribution</t>
  </si>
  <si>
    <t>L000013617</t>
  </si>
  <si>
    <t>APAC</t>
  </si>
  <si>
    <t>L000013618</t>
  </si>
  <si>
    <t>LSS</t>
  </si>
  <si>
    <t>WE AGH, Pharma &amp; Biotech Sales</t>
  </si>
  <si>
    <t>L000008563</t>
  </si>
  <si>
    <t>LS MGF - EF Business Partnering</t>
  </si>
  <si>
    <t>L000000000</t>
  </si>
  <si>
    <t>L000013621</t>
  </si>
  <si>
    <t>ERP projects - Business Exceptional</t>
  </si>
  <si>
    <t>L000013622</t>
  </si>
  <si>
    <t>LS ERP Project</t>
  </si>
  <si>
    <t>LS MGT - Business Partnering</t>
  </si>
  <si>
    <t>L000013624</t>
  </si>
  <si>
    <t>Tech Leadership Fund - RapidBio</t>
  </si>
  <si>
    <t>L000013625</t>
  </si>
  <si>
    <t xml:space="preserve">Tech Leadership Fund - LS Prodct Design </t>
  </si>
  <si>
    <t>L000013626</t>
  </si>
  <si>
    <t>DICE Chem Product Eng - Addison</t>
  </si>
  <si>
    <t>L000013469</t>
  </si>
  <si>
    <t>L000013627</t>
  </si>
  <si>
    <t>DICE Chem Product Eng - Synthia</t>
  </si>
  <si>
    <t>L000013628</t>
  </si>
  <si>
    <t>DICE Chem Product Eng - ChemistWin</t>
  </si>
  <si>
    <t>L000013629</t>
  </si>
  <si>
    <t>TSS Management PS EMEA</t>
  </si>
  <si>
    <t>L000011619</t>
  </si>
  <si>
    <t>MSAT SU &amp; IS - MLab Tech Ops PS EMEA</t>
  </si>
  <si>
    <t>L000013631</t>
  </si>
  <si>
    <t>CA Downstream PS EMEA</t>
  </si>
  <si>
    <t>L000011638</t>
  </si>
  <si>
    <t>CA Formulation PS EMEA</t>
  </si>
  <si>
    <t>L000013633</t>
  </si>
  <si>
    <t>CA SU IS &amp; Consultant PS EMEA</t>
  </si>
  <si>
    <t>BPI Management &amp; Admin PS EMEA</t>
  </si>
  <si>
    <t>L000011663</t>
  </si>
  <si>
    <t>GSO_Mgmt</t>
  </si>
  <si>
    <t>L000013292</t>
  </si>
  <si>
    <t>GSO_Quality Global Services</t>
  </si>
  <si>
    <t>GSO_DSS BO</t>
  </si>
  <si>
    <t>Large Investment Projects</t>
  </si>
  <si>
    <t>L000013520</t>
  </si>
  <si>
    <t>Value Management &amp; CustomerCollaborators</t>
  </si>
  <si>
    <t>L000013640</t>
  </si>
  <si>
    <t>Innovation Program Manager</t>
  </si>
  <si>
    <t>L000012359</t>
  </si>
  <si>
    <t>L000013641</t>
  </si>
  <si>
    <t>IPPM Excellence</t>
  </si>
  <si>
    <t>L000013642</t>
  </si>
  <si>
    <t>Planning and Execution</t>
  </si>
  <si>
    <t>L000012360</t>
  </si>
  <si>
    <t>L000013643</t>
  </si>
  <si>
    <t>Continuous Learning Initiatives</t>
  </si>
  <si>
    <t>L000013644</t>
  </si>
  <si>
    <t>Education &amp; Performance Consultancy</t>
  </si>
  <si>
    <t>L000013645</t>
  </si>
  <si>
    <t>Design &amp; Development</t>
  </si>
  <si>
    <t>L000013646</t>
  </si>
  <si>
    <t>Project Coordination</t>
  </si>
  <si>
    <t>L000012361</t>
  </si>
  <si>
    <t>L000013647</t>
  </si>
  <si>
    <t>Strategic PMO</t>
  </si>
  <si>
    <t>L000013648</t>
  </si>
  <si>
    <t>GTM Pricing Management</t>
  </si>
  <si>
    <t>L000013649</t>
  </si>
  <si>
    <t>Governance &amp; Continuing Improvement</t>
  </si>
  <si>
    <t>L000013650</t>
  </si>
  <si>
    <t>Customer Excellence PMO</t>
  </si>
  <si>
    <t>L000013651</t>
  </si>
  <si>
    <t>Business &amp; Innovation Insights</t>
  </si>
  <si>
    <t>L000012364</t>
  </si>
  <si>
    <t>L000013652</t>
  </si>
  <si>
    <t>Business Health &amp; Performance</t>
  </si>
  <si>
    <t>L000013653</t>
  </si>
  <si>
    <t>Business Performance Analytics</t>
  </si>
  <si>
    <t>L000013654</t>
  </si>
  <si>
    <t>Integration Planning and Execution</t>
  </si>
  <si>
    <t>L000013527</t>
  </si>
  <si>
    <t>Spruce - GMP Oligos Mfg</t>
  </si>
  <si>
    <t xml:space="preserve">Midwest - St. Louis </t>
  </si>
  <si>
    <t>L000013657</t>
  </si>
  <si>
    <t>BM - RD - Applied Biology R&amp;D - St-Louis</t>
  </si>
  <si>
    <t>L000013658</t>
  </si>
  <si>
    <t>BM - RD - Strategic &amp; Emerging Tech</t>
  </si>
  <si>
    <t>L000013659</t>
  </si>
  <si>
    <t>Head of Commercial Execution</t>
  </si>
  <si>
    <t>L000013660</t>
  </si>
  <si>
    <t>BM - Business Planning - Management</t>
  </si>
  <si>
    <t>L000013122</t>
  </si>
  <si>
    <t>L000013661</t>
  </si>
  <si>
    <t>BM - Business Planning - Adjustment</t>
  </si>
  <si>
    <t>EMEA Business planning &amp; implementation</t>
  </si>
  <si>
    <t>WE IT&amp;Dx</t>
  </si>
  <si>
    <t>L000013664</t>
  </si>
  <si>
    <t>Tender Management</t>
  </si>
  <si>
    <t>L000013665</t>
  </si>
  <si>
    <t>DELETED NODE</t>
  </si>
  <si>
    <t>L000013487</t>
  </si>
  <si>
    <t>Sheboygan Engineering-G</t>
  </si>
  <si>
    <t>Biology R&amp;D</t>
  </si>
  <si>
    <t>L000005108</t>
  </si>
  <si>
    <t>APAC - Regional Marketing</t>
  </si>
  <si>
    <t>L000005109</t>
  </si>
  <si>
    <t>APAC - Advertising &amp; Promotion</t>
  </si>
  <si>
    <t>L000005110</t>
  </si>
  <si>
    <t>APAC - Head of Regional Mktg</t>
  </si>
  <si>
    <t>L000005111</t>
  </si>
  <si>
    <t>APAC - Regional Mktg - China</t>
  </si>
  <si>
    <t>L000005112</t>
  </si>
  <si>
    <t>APAC - Regional Mktg - India</t>
  </si>
  <si>
    <t>L000005113</t>
  </si>
  <si>
    <t>APAC - Regional Mktg -Singapore</t>
  </si>
  <si>
    <t>L000012007</t>
  </si>
  <si>
    <t>APAC - Regional Mktg - Japan</t>
  </si>
  <si>
    <t>L000012008</t>
  </si>
  <si>
    <t>APAC - Regional Mktg -S Korea</t>
  </si>
  <si>
    <t>L000012009</t>
  </si>
  <si>
    <t>APAC - Regional Mktg - Taiwan</t>
  </si>
  <si>
    <t>L000008394</t>
  </si>
  <si>
    <t>Channel &amp; Digital Sales Japan</t>
  </si>
  <si>
    <t>L000008395</t>
  </si>
  <si>
    <t>L000008412</t>
  </si>
  <si>
    <t>Pharma &amp; Diagnostics Sales Japan</t>
  </si>
  <si>
    <t>L000008413</t>
  </si>
  <si>
    <t>L000013192</t>
  </si>
  <si>
    <t>Commercial Initiatives &amp; PMO Japan</t>
  </si>
  <si>
    <t>L000008421</t>
  </si>
  <si>
    <t>Commercial Sales AGH</t>
  </si>
  <si>
    <t>L000008569</t>
  </si>
  <si>
    <t>Head of Tech Service, FM&amp;SFDC</t>
  </si>
  <si>
    <t>L000005844</t>
  </si>
  <si>
    <t>DxRM - TDx Field Sales Vehicle</t>
  </si>
  <si>
    <t>L000005846</t>
  </si>
  <si>
    <t>DxRM - TDx Field Sales US</t>
  </si>
  <si>
    <t>L000012042</t>
  </si>
  <si>
    <t>DxRM - TDx Field Sales MY</t>
  </si>
  <si>
    <t>L000012043</t>
  </si>
  <si>
    <t>DxRM - TDx Field Sales CA</t>
  </si>
  <si>
    <t>L000012495</t>
  </si>
  <si>
    <t>DxRM - TDx Field Sales PT</t>
  </si>
  <si>
    <t>L000012496</t>
  </si>
  <si>
    <t>DxRM - TDx Field Sales CN</t>
  </si>
  <si>
    <t>L000013293</t>
  </si>
  <si>
    <t>DxRM - TDx Field Sales</t>
  </si>
  <si>
    <t>L000013294</t>
  </si>
  <si>
    <t>DxRM - TDx Marketing</t>
  </si>
  <si>
    <t>L000013295</t>
  </si>
  <si>
    <t>DxRM - TDx Amortization</t>
  </si>
  <si>
    <t>L000005894</t>
  </si>
  <si>
    <t>DxRM - Mgmt Amortization</t>
  </si>
  <si>
    <t>L000005895</t>
  </si>
  <si>
    <t>DxRM - Mgmt DxRM Head</t>
  </si>
  <si>
    <t>L000012337</t>
  </si>
  <si>
    <t>DxRM - Mgmt DxRM Sales &amp; COGS</t>
  </si>
  <si>
    <t>L000013028</t>
  </si>
  <si>
    <t>DxRM - Mgmt DxRM Freight Rev NA</t>
  </si>
  <si>
    <t>L000013029</t>
  </si>
  <si>
    <t>DxRM - Mgmt DxRM Freight Rev WE</t>
  </si>
  <si>
    <t>L000013030</t>
  </si>
  <si>
    <t>DxRM - Mgmt DxRM Freight Rev CN</t>
  </si>
  <si>
    <t>L000013031</t>
  </si>
  <si>
    <t>DxRM - Mgmt DxRM Freight Rev JP</t>
  </si>
  <si>
    <t>L000013032</t>
  </si>
  <si>
    <t>DxRM - Mgmt DxRM Freight Rev EEMEA</t>
  </si>
  <si>
    <t>L000013033</t>
  </si>
  <si>
    <t>DxRM - Mgmt DxRM Freight Rev LATAM</t>
  </si>
  <si>
    <t>L000013034</t>
  </si>
  <si>
    <t>DxRM - Mgmt DxRM Freight Rev SEA</t>
  </si>
  <si>
    <t>L000013297</t>
  </si>
  <si>
    <t>DxRM - Mgmt SBS</t>
  </si>
  <si>
    <t>L000013300</t>
  </si>
  <si>
    <t>DxRM - MarCom</t>
  </si>
  <si>
    <t>L000005392</t>
  </si>
  <si>
    <t>DxRM - MarCom A&amp;P</t>
  </si>
  <si>
    <t>L000005393</t>
  </si>
  <si>
    <t>DxRM - MarCom A&amp;P Diagnostics</t>
  </si>
  <si>
    <t>L000005394</t>
  </si>
  <si>
    <t>DxRM - MarCom A&amp;P IVD/CMO</t>
  </si>
  <si>
    <t>L000005395</t>
  </si>
  <si>
    <t>DxRM - MarCom A&amp;P IVD/CRM/RM</t>
  </si>
  <si>
    <t>L000005396</t>
  </si>
  <si>
    <t>DxRM - MarCom A&amp;P Molecular Materials</t>
  </si>
  <si>
    <t>L000005398</t>
  </si>
  <si>
    <t>DxRM - MarCom Belgium</t>
  </si>
  <si>
    <t>L000005399</t>
  </si>
  <si>
    <t>DxRM - MarCom France</t>
  </si>
  <si>
    <t>L000005401</t>
  </si>
  <si>
    <t>DxRM - MarCom US</t>
  </si>
  <si>
    <t>L000005403</t>
  </si>
  <si>
    <t>DxRM - MarCom Lead Effct</t>
  </si>
  <si>
    <t>L000005911</t>
  </si>
  <si>
    <t>DxRM - Custom &amp; Contract Mfg FR</t>
  </si>
  <si>
    <t>L000005912</t>
  </si>
  <si>
    <t>DxRM - Custom &amp; Contract Mfg UK</t>
  </si>
  <si>
    <t>L000005914</t>
  </si>
  <si>
    <t>DxRM - Custom &amp; Contract Mfg US</t>
  </si>
  <si>
    <t>L000012497</t>
  </si>
  <si>
    <t>DxRM - Custom &amp; Contract Mfg DE</t>
  </si>
  <si>
    <t>L000005913</t>
  </si>
  <si>
    <t>DxRM - CRM UK</t>
  </si>
  <si>
    <t>L000005916</t>
  </si>
  <si>
    <t>DxRM - CRM IE</t>
  </si>
  <si>
    <t>L000005917</t>
  </si>
  <si>
    <t>DxRM - CRM JP</t>
  </si>
  <si>
    <t>L000005918</t>
  </si>
  <si>
    <t>DxRM - CRM UK 2</t>
  </si>
  <si>
    <t>L000005919</t>
  </si>
  <si>
    <t>DxRM - CRM US</t>
  </si>
  <si>
    <t>L000005920</t>
  </si>
  <si>
    <t>DxRM - CRM US 2</t>
  </si>
  <si>
    <t>L000012768</t>
  </si>
  <si>
    <t>DxRM - CRM CN</t>
  </si>
  <si>
    <t>L000005927</t>
  </si>
  <si>
    <t>DxRM - MM Product Mgmt Oligos</t>
  </si>
  <si>
    <t>L000005928</t>
  </si>
  <si>
    <t>DxRM - MM Product Mgmt Proligos</t>
  </si>
  <si>
    <t>L000005929</t>
  </si>
  <si>
    <t>DxRM - MM Management</t>
  </si>
  <si>
    <t>L000005931</t>
  </si>
  <si>
    <t>DxRM - MM Application Specialists</t>
  </si>
  <si>
    <t>L000005932</t>
  </si>
  <si>
    <t>DxRM - MM Champions APAC</t>
  </si>
  <si>
    <t>L000005933</t>
  </si>
  <si>
    <t>DxRM - MM Champions NA</t>
  </si>
  <si>
    <t>L000005934</t>
  </si>
  <si>
    <t>DxRM - MM Champions WE</t>
  </si>
  <si>
    <t>L000013306</t>
  </si>
  <si>
    <t>DxRM - MM Champions</t>
  </si>
  <si>
    <t>L000005939</t>
  </si>
  <si>
    <t>DxRM - R&amp;D Emerging Biology</t>
  </si>
  <si>
    <t>L000005940</t>
  </si>
  <si>
    <t>DxRM - R&amp;D EM Management</t>
  </si>
  <si>
    <t>L000005942</t>
  </si>
  <si>
    <t>DxRM - R&amp;D EM Molecular Biotech</t>
  </si>
  <si>
    <t>L000005943</t>
  </si>
  <si>
    <t>DxRM - R&amp;D EM Molecular Dx</t>
  </si>
  <si>
    <t>L000005944</t>
  </si>
  <si>
    <t>DxRM - R&amp;D Estapor</t>
  </si>
  <si>
    <t>L000005945</t>
  </si>
  <si>
    <t>DxRM - R&amp;D OEM FR</t>
  </si>
  <si>
    <t>L000005946</t>
  </si>
  <si>
    <t>DxRM - R&amp;D OEM Diagnostics</t>
  </si>
  <si>
    <t>L000005947</t>
  </si>
  <si>
    <t>DxRM - R&amp;D OEM Campy DE</t>
  </si>
  <si>
    <t>L000005948</t>
  </si>
  <si>
    <t>DxRM - R&amp;D OEM Diagnostics EI</t>
  </si>
  <si>
    <t>L000005949</t>
  </si>
  <si>
    <t>DxRM - R&amp;D OEM Sytems EI</t>
  </si>
  <si>
    <t>L000005950</t>
  </si>
  <si>
    <t>DxRM - R&amp;D OEM Tech &amp; Innovation US</t>
  </si>
  <si>
    <t>L000005951</t>
  </si>
  <si>
    <t>DxRM - R&amp;D OEM Systems UK</t>
  </si>
  <si>
    <t>L000005952</t>
  </si>
  <si>
    <t>DxRM - R&amp;D OEM Innovation US</t>
  </si>
  <si>
    <t>L000005953</t>
  </si>
  <si>
    <t>DxRM - R&amp;D OEM Diagnostics US</t>
  </si>
  <si>
    <t>L000005954</t>
  </si>
  <si>
    <t>DxRM - R&amp;D Tissue &amp; Cell Diagnostics</t>
  </si>
  <si>
    <t>L000005955</t>
  </si>
  <si>
    <t>DxRM - R&amp;D Tissue Diagnostics DE</t>
  </si>
  <si>
    <t>L000005956</t>
  </si>
  <si>
    <t>DxRM - R&amp;D IO Sol Mocroscopy</t>
  </si>
  <si>
    <t>L000005957</t>
  </si>
  <si>
    <t>DxRM - R&amp;D Tissue Diagnostics Res US</t>
  </si>
  <si>
    <t>L000005958</t>
  </si>
  <si>
    <t>DxRM - R&amp;D Tissue Diagnostics Dev US</t>
  </si>
  <si>
    <t>L000005959</t>
  </si>
  <si>
    <t>DxRM - R&amp;D Other DE</t>
  </si>
  <si>
    <t>L000005960</t>
  </si>
  <si>
    <t>DxRM - R&amp;D OEM Patent Mocroscopy</t>
  </si>
  <si>
    <t>L000008415</t>
  </si>
  <si>
    <t>DxRM - R&amp;D Chem Synthesis Lab SK</t>
  </si>
  <si>
    <t>L000009176</t>
  </si>
  <si>
    <t>DxRM - R&amp;D Miamisburg</t>
  </si>
  <si>
    <t>L000007763</t>
  </si>
  <si>
    <t>DxRM - Production Materials</t>
  </si>
  <si>
    <t>L000007764</t>
  </si>
  <si>
    <t>DxRM - PM US 1</t>
  </si>
  <si>
    <t>L000007766</t>
  </si>
  <si>
    <t>DxRM - PM US 2</t>
  </si>
  <si>
    <t>L000007767</t>
  </si>
  <si>
    <t>DxRM - PM US 3</t>
  </si>
  <si>
    <t>L000012816</t>
  </si>
  <si>
    <t>DxRM - LFADS USA COGS</t>
  </si>
  <si>
    <t>L000012817</t>
  </si>
  <si>
    <t>DxRM - LFADS USA R&amp;D</t>
  </si>
  <si>
    <t>L000012818</t>
  </si>
  <si>
    <t>DxRM - LFADS USA ISS</t>
  </si>
  <si>
    <t>L000012819</t>
  </si>
  <si>
    <t>DxRM - LFADS APAC COGS</t>
  </si>
  <si>
    <t>L000012820</t>
  </si>
  <si>
    <t>DxRM - LFADS APAC R&amp;D</t>
  </si>
  <si>
    <t>L000012821</t>
  </si>
  <si>
    <t>DxRM - LFADS IE COGS</t>
  </si>
  <si>
    <t>L000012822</t>
  </si>
  <si>
    <t>DxRM - LFADS IE R&amp;D</t>
  </si>
  <si>
    <t>L000013125</t>
  </si>
  <si>
    <t>DxRM - Business Planning &amp; Execution</t>
  </si>
  <si>
    <t>L000005899</t>
  </si>
  <si>
    <t>DxRM - BP&amp;A Field Marketing US</t>
  </si>
  <si>
    <t>L000005904</t>
  </si>
  <si>
    <t>DxRM - BP&amp;A Strategic Marketing</t>
  </si>
  <si>
    <t>L000005906</t>
  </si>
  <si>
    <t>DxRM - BP&amp;A Strategic Projects</t>
  </si>
  <si>
    <t>L000005907</t>
  </si>
  <si>
    <t>DxRM - BP&amp;A Management</t>
  </si>
  <si>
    <t>L000012498</t>
  </si>
  <si>
    <t>DxRM - BP&amp;A Field Marketing CA</t>
  </si>
  <si>
    <t>L000005341</t>
  </si>
  <si>
    <t>DxRM - Royalties &amp; Licenses</t>
  </si>
  <si>
    <t>L000008561</t>
  </si>
  <si>
    <t>Pharma &amp; Testing Sales, Taiwan</t>
  </si>
  <si>
    <t>SLS Commercial EEMEA</t>
  </si>
  <si>
    <t>L000013465</t>
  </si>
  <si>
    <t>Tech Leadership Fund - Gene Synthesis</t>
  </si>
  <si>
    <t>L000013472</t>
  </si>
  <si>
    <t>Digital CoE by DiCE</t>
  </si>
  <si>
    <t>L000012374</t>
  </si>
  <si>
    <t>Sales PS PR/Centro -G]</t>
  </si>
  <si>
    <t>L000012375</t>
  </si>
  <si>
    <t>Sales PS South Cone -G</t>
  </si>
  <si>
    <t>Sales PS Mexico/VECO -G</t>
  </si>
  <si>
    <t>Sales PS  Innovation -G</t>
  </si>
  <si>
    <t>L000012478</t>
  </si>
  <si>
    <t>Sales PS  Brazil -G</t>
  </si>
  <si>
    <t>L000012322</t>
  </si>
  <si>
    <t>Sales PS Emerging Biotech</t>
  </si>
  <si>
    <t>L000012323</t>
  </si>
  <si>
    <t>Sales PS North America 2</t>
  </si>
  <si>
    <t>L000012324</t>
  </si>
  <si>
    <t>Sales PS North America 1</t>
  </si>
  <si>
    <t>L000006878</t>
  </si>
  <si>
    <t>PSOP Attrition - Comm M&amp;S PS EMEA</t>
  </si>
  <si>
    <t>Technical &amp; Scientific Solutions PS EMEA</t>
  </si>
  <si>
    <t>L000012378</t>
  </si>
  <si>
    <t>MSAT USP PM SU &amp; Process Consult PS EMEA</t>
  </si>
  <si>
    <t>MSAT DSP SU &amp; Systems Region 1 PS EMEA</t>
  </si>
  <si>
    <t>MSAT DSP SU &amp; Systems Region 2 PS EMEA</t>
  </si>
  <si>
    <t>MSAT DSP SU &amp; Systems Region 3 PS EMEA</t>
  </si>
  <si>
    <t>L000012382</t>
  </si>
  <si>
    <t>Tech Service USP &amp; PM PS EMEA</t>
  </si>
  <si>
    <t>L000012383</t>
  </si>
  <si>
    <t>Tech Service DSP &amp; SUS Region 1 PS EMEA</t>
  </si>
  <si>
    <t>L000012384</t>
  </si>
  <si>
    <t>Tech Service DSP &amp; SUS Region 2 PS EMEA</t>
  </si>
  <si>
    <t>Tech Service DSP &amp; SUS Region 3 PS EMEA</t>
  </si>
  <si>
    <t>Customer Application PS EMEA</t>
  </si>
  <si>
    <t>L000012386</t>
  </si>
  <si>
    <t>CA Upstream PS EMEA</t>
  </si>
  <si>
    <t>CA Novel Modalities PS EMEA</t>
  </si>
  <si>
    <t>Business Planning &amp; Implement PS EMEA</t>
  </si>
  <si>
    <t>L000006870</t>
  </si>
  <si>
    <t>Commercial Event PS EMEA</t>
  </si>
  <si>
    <t>Sales Region 1 PS EMEA</t>
  </si>
  <si>
    <t>Sales Region 2 PS EMEA</t>
  </si>
  <si>
    <t>Sales Region 3 PS EMEA</t>
  </si>
  <si>
    <t>Management Commercial PS EMEA</t>
  </si>
  <si>
    <t>Strategic Program Managers</t>
  </si>
  <si>
    <t>Global Biopharm Centre of Excellence</t>
  </si>
  <si>
    <t>L000013047</t>
  </si>
  <si>
    <t>1050 - FR Mobius - Sterilization-G</t>
  </si>
  <si>
    <t>L000013048</t>
  </si>
  <si>
    <t>1111 - FR Mobius - Bag making-G</t>
  </si>
  <si>
    <t>L000013049</t>
  </si>
  <si>
    <t>2174 - FR Mobius - Quality-G</t>
  </si>
  <si>
    <t>L000013051</t>
  </si>
  <si>
    <t>2072 - FR Mobius - Project expenses-G</t>
  </si>
  <si>
    <t>L000005666</t>
  </si>
  <si>
    <t>BioM Strategy</t>
  </si>
  <si>
    <t>Innovation &amp; PLCM</t>
  </si>
  <si>
    <t>L000005744</t>
  </si>
  <si>
    <t>BM - RD - Applied Biology R&amp;D - Bellevue</t>
  </si>
  <si>
    <t>L000005764</t>
  </si>
  <si>
    <t>BM - RD - Plastic &amp; Consumables R&amp;D</t>
  </si>
  <si>
    <t>L000005766</t>
  </si>
  <si>
    <t>BM - RD - Validation &amp; Op Excellence R&amp;D</t>
  </si>
  <si>
    <t>L000008564</t>
  </si>
  <si>
    <t>Tech Service, Field Marketing&amp;SFDC</t>
  </si>
  <si>
    <t>Customer and Sales Excellence</t>
  </si>
  <si>
    <t>SEEI</t>
  </si>
  <si>
    <t>Customer &amp; Business Insights</t>
  </si>
  <si>
    <t>L000005936</t>
  </si>
  <si>
    <t>DxRM - Attrition SG&amp;A</t>
  </si>
  <si>
    <t>L000005938</t>
  </si>
  <si>
    <t>DxRM - Attrition R&amp;D</t>
  </si>
  <si>
    <t>L000005961</t>
  </si>
  <si>
    <t>DxRM - Adjustment R&amp;D</t>
  </si>
  <si>
    <t>L000005962</t>
  </si>
  <si>
    <t>DxRM - Adjustment SG&amp;A</t>
  </si>
  <si>
    <t>L000008558</t>
  </si>
  <si>
    <t>Commercial Insights, Taiwan</t>
  </si>
  <si>
    <t>L000006304</t>
  </si>
  <si>
    <t>Sales PS VECO</t>
  </si>
  <si>
    <t>L000006877</t>
  </si>
  <si>
    <t>TSS Mgmt PS EMEA</t>
  </si>
  <si>
    <t>L000012581</t>
  </si>
  <si>
    <t>TSS Event PS EMEA</t>
  </si>
  <si>
    <t>L000011645</t>
  </si>
  <si>
    <t>Emerging Biotech PS EMEA</t>
  </si>
  <si>
    <t>L000012387</t>
  </si>
  <si>
    <t>CA Downstream Region 1 PS EMEA</t>
  </si>
  <si>
    <t>L000012388</t>
  </si>
  <si>
    <t>CA Downstream Region 2 PS EMEA</t>
  </si>
  <si>
    <t>L000012390</t>
  </si>
  <si>
    <t>CA Single Use PS EMEA</t>
  </si>
  <si>
    <t>L000012391</t>
  </si>
  <si>
    <t>CA Inegrated Systems PS EMEA</t>
  </si>
  <si>
    <t>L000007741</t>
  </si>
  <si>
    <t>Distributor and Global Export</t>
  </si>
  <si>
    <t>L000008784</t>
  </si>
  <si>
    <t>Africa and ME</t>
  </si>
  <si>
    <t>L000008828</t>
  </si>
  <si>
    <t>South &amp; Southern Africa</t>
  </si>
  <si>
    <t>FR5790099</t>
  </si>
  <si>
    <t>P000001109</t>
  </si>
  <si>
    <t>EL-DS BF LC/DPM</t>
  </si>
  <si>
    <t>P000000001</t>
  </si>
  <si>
    <t>Edward Arevalo</t>
  </si>
  <si>
    <t>P000001110</t>
  </si>
  <si>
    <t>EL-DS BF LC/DPM Sales CN</t>
  </si>
  <si>
    <t>P000001111</t>
  </si>
  <si>
    <t>EL-DS BF LC/DPM Sales TW &amp; JP</t>
  </si>
  <si>
    <t>P000001112</t>
  </si>
  <si>
    <t>EL-DS BF LC/DPM Marketing</t>
  </si>
  <si>
    <t>P000001113</t>
  </si>
  <si>
    <t>EL-DS BF LC/DPM Marketing Organization</t>
  </si>
  <si>
    <t>P000001114</t>
  </si>
  <si>
    <t>EL-DS BF LC/DPM Sales Promotion</t>
  </si>
  <si>
    <t>P000001115</t>
  </si>
  <si>
    <t>EL-DS BF LC/DPM Royalties/Commissions</t>
  </si>
  <si>
    <t>P000001116</t>
  </si>
  <si>
    <t>EL-DS BF LC/DPM Other</t>
  </si>
  <si>
    <t>P000001117</t>
  </si>
  <si>
    <t>EL-DS BF LC/DPM R&amp;D</t>
  </si>
  <si>
    <t>P000001118</t>
  </si>
  <si>
    <t>EL-DS BF OLED</t>
  </si>
  <si>
    <t>P000001119</t>
  </si>
  <si>
    <t>EL-DS BF OLED Sales CN</t>
  </si>
  <si>
    <t>P000001120</t>
  </si>
  <si>
    <t>EL-DS BF OLED Sales KR</t>
  </si>
  <si>
    <t>P000001121</t>
  </si>
  <si>
    <t>EL-DS BF OLED Marketing</t>
  </si>
  <si>
    <t>P000001122</t>
  </si>
  <si>
    <t>EL-DS BF OLED Marketing Organization</t>
  </si>
  <si>
    <t>P000001123</t>
  </si>
  <si>
    <t>EL-DS BF OLED Sales Promotion</t>
  </si>
  <si>
    <t>P000001124</t>
  </si>
  <si>
    <t>EL-DS BF OLED Royalties/Commissions</t>
  </si>
  <si>
    <t>P000001125</t>
  </si>
  <si>
    <t>EL-DS BF OLED Other</t>
  </si>
  <si>
    <t>P000001126</t>
  </si>
  <si>
    <t>EL-DS BF OLED R&amp;D</t>
  </si>
  <si>
    <t>P000001127</t>
  </si>
  <si>
    <t>EL-DS BS&amp;S</t>
  </si>
  <si>
    <t>P000001128</t>
  </si>
  <si>
    <t>EL-DS BF Future Display</t>
  </si>
  <si>
    <t>P000001129</t>
  </si>
  <si>
    <t>EL-DS BF FD Business Development Organization</t>
  </si>
  <si>
    <t>P000001130</t>
  </si>
  <si>
    <t>EL-DS BF FD R&amp;D</t>
  </si>
  <si>
    <t>P000001131</t>
  </si>
  <si>
    <t>EL-DS BF FD Sales Promotion</t>
  </si>
  <si>
    <t>P000001132</t>
  </si>
  <si>
    <t>EL-DS BF FD Royalties/Commissions</t>
  </si>
  <si>
    <t>P000001133</t>
  </si>
  <si>
    <t>EL-DS BF FD Other</t>
  </si>
  <si>
    <t>P000001134</t>
  </si>
  <si>
    <t>EL-DS BS&amp;S Organization</t>
  </si>
  <si>
    <t>P000001135</t>
  </si>
  <si>
    <t>EL-DS BS&amp;S Novel Tools</t>
  </si>
  <si>
    <t>P000001136</t>
  </si>
  <si>
    <t>EL-DS BS&amp;S MarCom</t>
  </si>
  <si>
    <t>P000001137</t>
  </si>
  <si>
    <t>EL-DS BS&amp;S Other</t>
  </si>
  <si>
    <t>P000001138</t>
  </si>
  <si>
    <t xml:space="preserve">EL-SC-H EHS Electronics </t>
  </si>
  <si>
    <t>P000000466</t>
  </si>
  <si>
    <t>P000001139</t>
  </si>
  <si>
    <t>EL-SC-S Sustainability Program</t>
  </si>
  <si>
    <t>P000001140</t>
  </si>
  <si>
    <t>EL-PS-SG Supply Chain Process &amp; ERP</t>
  </si>
  <si>
    <t>P000000509</t>
  </si>
  <si>
    <t>P000001141</t>
  </si>
  <si>
    <t xml:space="preserve">EL-TF-ME Container Management </t>
  </si>
  <si>
    <t>P000000833</t>
  </si>
  <si>
    <t>P000001142</t>
  </si>
  <si>
    <t>EL-TF-MM Business Marketing Metallics</t>
  </si>
  <si>
    <t>P000000430</t>
  </si>
  <si>
    <t>EL-DS-CL China LC&amp;PR sales</t>
  </si>
  <si>
    <t>P000000056</t>
  </si>
  <si>
    <t>EL-DS-SD, Darmstadt, Germany</t>
  </si>
  <si>
    <t>P000000087</t>
  </si>
  <si>
    <t>EL-DS-SA, Atsugi, Japan</t>
  </si>
  <si>
    <t>P000000097</t>
  </si>
  <si>
    <t>EL-DS-SZ, Suzhou, China</t>
  </si>
  <si>
    <t>P000000107</t>
  </si>
  <si>
    <t>EL-DS-ST, Taoyuan, Taiwan</t>
  </si>
  <si>
    <t>P000000117</t>
  </si>
  <si>
    <t>EL-DS-SH, Hsinchu, Taiwan</t>
  </si>
  <si>
    <t>P000000127</t>
  </si>
  <si>
    <t>EL-DS-SP, Poseung, S. Korea</t>
  </si>
  <si>
    <t>P000000137</t>
  </si>
  <si>
    <t>EL-DS-SS, Shanghai, China</t>
  </si>
  <si>
    <t>P000000149</t>
  </si>
  <si>
    <t>EL-PS-OK, Khopoli, India</t>
  </si>
  <si>
    <t>P000000159</t>
  </si>
  <si>
    <t>EL-PS-OS, Savannah, USA</t>
  </si>
  <si>
    <t>P000000169</t>
  </si>
  <si>
    <t>EL-PS-OI, Onahama, Japan</t>
  </si>
  <si>
    <t>P000000179</t>
  </si>
  <si>
    <t>EL-PS-OU, Urbana, USA</t>
  </si>
  <si>
    <t>P000000189</t>
  </si>
  <si>
    <t>EL-PS-OG, Gernsheim, Germany</t>
  </si>
  <si>
    <t>P000000800</t>
  </si>
  <si>
    <t>EL-TF-Q Thin Film Global Quality</t>
  </si>
  <si>
    <t>P000000801</t>
  </si>
  <si>
    <t>EL-TF-D Thin Film ISC</t>
  </si>
  <si>
    <t>P000000802</t>
  </si>
  <si>
    <t>EL-TF-DX TF Tech Ops</t>
  </si>
  <si>
    <t>P000000803</t>
  </si>
  <si>
    <t>EL-TF-DY TF Supply Chain Planning</t>
  </si>
  <si>
    <t>P000000829</t>
  </si>
  <si>
    <t>EL-TF-S TF Global Sales</t>
  </si>
  <si>
    <t>P000000837</t>
  </si>
  <si>
    <t>EL-FO-PQ Patterning Global Quality</t>
  </si>
  <si>
    <t>P000000838</t>
  </si>
  <si>
    <t>EL-FO-PD Patterning ISC</t>
  </si>
  <si>
    <t>P000000839</t>
  </si>
  <si>
    <t>EL-FO-PDX PAT Tech Ops</t>
  </si>
  <si>
    <t>P000000840</t>
  </si>
  <si>
    <t>EL-FO-PDY PAT Supply Chain Planning</t>
  </si>
  <si>
    <t>P000000259</t>
  </si>
  <si>
    <t>EL-FO-PDM, Martin, USA</t>
  </si>
  <si>
    <t>P000000541</t>
  </si>
  <si>
    <t>EL-FO-PT Packaging Technologies</t>
  </si>
  <si>
    <t>P000000850</t>
  </si>
  <si>
    <t>EL-FO-PS PAT Global Sales</t>
  </si>
  <si>
    <t>P000000852</t>
  </si>
  <si>
    <t>EL-FO-PP PAT Global Product Mgmt</t>
  </si>
  <si>
    <t>P000000853</t>
  </si>
  <si>
    <t>EL-FO-P1 PAT Speciality Accounts</t>
  </si>
  <si>
    <t>P000000854</t>
  </si>
  <si>
    <t>EL-FO-PM Lithography &amp; Silica Marketing</t>
  </si>
  <si>
    <t>P000000855</t>
  </si>
  <si>
    <t>EL-FO-PB SP&amp;C Marketing</t>
  </si>
  <si>
    <t>P000000856</t>
  </si>
  <si>
    <t>EL-FO-PA PAT Customer Applications</t>
  </si>
  <si>
    <t>P000000857</t>
  </si>
  <si>
    <t>EL-FO-PAC Customer Applications</t>
  </si>
  <si>
    <t>P000000858</t>
  </si>
  <si>
    <t>EL-FO-PAT Global T&amp;S</t>
  </si>
  <si>
    <t>P000000859</t>
  </si>
  <si>
    <t>EL-FO-PATE Tech Service EU</t>
  </si>
  <si>
    <t>P000000860</t>
  </si>
  <si>
    <t>EL-FO-PATJ Tech Service Japan/Korea</t>
  </si>
  <si>
    <t>P000000861</t>
  </si>
  <si>
    <t>EL-FO-PATJA Advanced Technical Service</t>
  </si>
  <si>
    <t>P000000862</t>
  </si>
  <si>
    <t>EL-FO-PATJT Technical Service</t>
  </si>
  <si>
    <t>P000000863</t>
  </si>
  <si>
    <t>EL-FO-PATT Tech Service Taiwan/SEA</t>
  </si>
  <si>
    <t>P000000864</t>
  </si>
  <si>
    <t>EL-FO-PATU Tech Service U.S.</t>
  </si>
  <si>
    <t>P000000545</t>
  </si>
  <si>
    <t>EL-FO-PR Patterning R&amp;D</t>
  </si>
  <si>
    <t>P000000643</t>
  </si>
  <si>
    <t>EL-FO-A Planarization</t>
  </si>
  <si>
    <t>P000000865</t>
  </si>
  <si>
    <t>EL-FO-AQ Planarization Global Quality</t>
  </si>
  <si>
    <t>P000000866</t>
  </si>
  <si>
    <t>EL-FO-AD Planarization ISC</t>
  </si>
  <si>
    <t>P000000868</t>
  </si>
  <si>
    <t>EL-FO-ADY PLA Supply Chain Planning</t>
  </si>
  <si>
    <t>P000000901</t>
  </si>
  <si>
    <t>EL-FO-AS PLA Global Sales</t>
  </si>
  <si>
    <t>P000000902</t>
  </si>
  <si>
    <t>EL-FO-AM PLA Global Business Marketing</t>
  </si>
  <si>
    <t>P000000903</t>
  </si>
  <si>
    <t>EL-FO-AA PLA Customer Applications</t>
  </si>
  <si>
    <t>P000000870</t>
  </si>
  <si>
    <t>EL-FO-AO PLA OAT Oper. &amp; Analyt. Techn.</t>
  </si>
  <si>
    <t>P000000904</t>
  </si>
  <si>
    <t>EL-SG-Q Spec Gases Global Quality</t>
  </si>
  <si>
    <t>P000000905</t>
  </si>
  <si>
    <t>EL-SG-D Spec Gases ISC</t>
  </si>
  <si>
    <t>P000000906</t>
  </si>
  <si>
    <t>EL-SG-DX SG Tech Ops</t>
  </si>
  <si>
    <t>P000000907</t>
  </si>
  <si>
    <t>EL-SG-DY SG Supply Chain Planning</t>
  </si>
  <si>
    <t>P000000514</t>
  </si>
  <si>
    <t>EL-SG-DAF, Ulsan, S. Korea</t>
  </si>
  <si>
    <t>P000000518</t>
  </si>
  <si>
    <t>EL-SG-DC, Catoosa, USA</t>
  </si>
  <si>
    <t>P000000954</t>
  </si>
  <si>
    <t>EL-SG-A SG Global Sales</t>
  </si>
  <si>
    <t>P000000955</t>
  </si>
  <si>
    <t>EL-SG-P SG Global Product Mgmt</t>
  </si>
  <si>
    <t>P000000956</t>
  </si>
  <si>
    <t>EL-SG-M SG Global Marketing</t>
  </si>
  <si>
    <t>P000000547</t>
  </si>
  <si>
    <t>EL-SG-R Specialty Gases R&amp;D</t>
  </si>
  <si>
    <t>P000000957</t>
  </si>
  <si>
    <t>EL-FO-C Safety Korea</t>
  </si>
  <si>
    <t>P000000958</t>
  </si>
  <si>
    <t>EL-FO-J General Management Japan</t>
  </si>
  <si>
    <t>P000000959</t>
  </si>
  <si>
    <t>EL-CC-E Commercial Excellence</t>
  </si>
  <si>
    <t>P000000707</t>
  </si>
  <si>
    <t>EL-ND-NS EL-ND-N Sales</t>
  </si>
  <si>
    <t>P000000967</t>
  </si>
  <si>
    <t>EL-ND-NE, Allentown, USA</t>
  </si>
  <si>
    <t>P000000972</t>
  </si>
  <si>
    <t>EL-ND-NC, Chandler, USA</t>
  </si>
  <si>
    <t>P000000979</t>
  </si>
  <si>
    <t>EL-ND-NT Turnkey / Large Projects</t>
  </si>
  <si>
    <t>P000000721</t>
  </si>
  <si>
    <t>EL-ND-AA Sales</t>
  </si>
  <si>
    <t>P000000732</t>
  </si>
  <si>
    <t>EL-ND-KF Services - Field Service</t>
  </si>
  <si>
    <t>P000000994</t>
  </si>
  <si>
    <t>EL-ND-KB, Ansan, S. Korea</t>
  </si>
  <si>
    <t>P000001104</t>
  </si>
  <si>
    <t>EL-ND-B DS&amp;S Global</t>
  </si>
  <si>
    <t>P000000584</t>
  </si>
  <si>
    <t>EL-CC-D Digital Solutions</t>
  </si>
  <si>
    <t>P000000411</t>
  </si>
  <si>
    <t>EL-CC-S Strategy &amp; Business Transformation</t>
  </si>
  <si>
    <t>P000000412</t>
  </si>
  <si>
    <t>EL-CC-SS Strategy &amp; BD</t>
  </si>
  <si>
    <t>P000000413</t>
  </si>
  <si>
    <t>EL-CC-SX Bus. Strategy realization &amp; Port</t>
  </si>
  <si>
    <t>P000000758</t>
  </si>
  <si>
    <t>EL-BP-I IT Electronics</t>
  </si>
  <si>
    <t>EL-BP-ID BP Display Solutions</t>
  </si>
  <si>
    <t>EL-BP-IO Electronics PPM</t>
  </si>
  <si>
    <t>EL-BP-IS Electronics Systems</t>
  </si>
  <si>
    <t>EL-BP-IP BP Surface Solutions</t>
  </si>
  <si>
    <t>EL-BP-IR Electronics Processes</t>
  </si>
  <si>
    <t>EL-BP-II BP Semiconductor</t>
  </si>
  <si>
    <t>EL-BP-IN BP DS&amp;S</t>
  </si>
  <si>
    <t>EL-BP-IT CIO Office</t>
  </si>
  <si>
    <t>P000000501</t>
  </si>
  <si>
    <t>EL-SC-DP Process Development Surface &amp; Exc</t>
  </si>
  <si>
    <t>P000000502</t>
  </si>
  <si>
    <t>EL-SC-DR Process Improvement &amp; Robustness</t>
  </si>
  <si>
    <t>P000000003</t>
  </si>
  <si>
    <t>XX_EL-DS-D Product Development</t>
  </si>
  <si>
    <t>P000000010</t>
  </si>
  <si>
    <t>XX_EL-DS-M Global Marketing</t>
  </si>
  <si>
    <t>P000000684</t>
  </si>
  <si>
    <t>XX_EL-DS-M Global Mkt Organization</t>
  </si>
  <si>
    <t>P000000685</t>
  </si>
  <si>
    <t>XX_EL-DS-M Global Mkt Sales Promotion</t>
  </si>
  <si>
    <t>P000000686</t>
  </si>
  <si>
    <t>XX_EL-DS-M Global Mkt Royalties/Commissions</t>
  </si>
  <si>
    <t>P000000687</t>
  </si>
  <si>
    <t>XX_EL-DS-M Global Mkt Other</t>
  </si>
  <si>
    <t>P000000011</t>
  </si>
  <si>
    <t>XX_EL-DS-R Product Research</t>
  </si>
  <si>
    <t>P000000018</t>
  </si>
  <si>
    <t>XX_EL-DS-K BU Lead &amp; MD Korea</t>
  </si>
  <si>
    <t>P000000699</t>
  </si>
  <si>
    <t>XX_EL-DS-K Korea Organization</t>
  </si>
  <si>
    <t>P000000700</t>
  </si>
  <si>
    <t>XX_EL-DS-K Korea Other</t>
  </si>
  <si>
    <t>P000000020</t>
  </si>
  <si>
    <t>XX_EL-DS-T BU Lead &amp; MD Taiwan</t>
  </si>
  <si>
    <t>P000000701</t>
  </si>
  <si>
    <t>XX_EL-DS-T Taiwan Organization</t>
  </si>
  <si>
    <t>P000000702</t>
  </si>
  <si>
    <t>XX_EL-DS-T Taiwan Other</t>
  </si>
  <si>
    <t>P000000021</t>
  </si>
  <si>
    <t>XX_EL-DS-C BU Lead China</t>
  </si>
  <si>
    <t>P000000429</t>
  </si>
  <si>
    <t>XX_EL-DS China sales</t>
  </si>
  <si>
    <t>P000000432</t>
  </si>
  <si>
    <t>XX_EL-DS-CM China marketing</t>
  </si>
  <si>
    <t>P000000692</t>
  </si>
  <si>
    <t>XX_EL-DS China Mkt Organization</t>
  </si>
  <si>
    <t>P000000693</t>
  </si>
  <si>
    <t>XX_EL-DS China Mkt Sales Promotion</t>
  </si>
  <si>
    <t>P000000694</t>
  </si>
  <si>
    <t>XX_EL-DS China Mkt Other</t>
  </si>
  <si>
    <t>P000000433</t>
  </si>
  <si>
    <t>XX_EL-DS China management</t>
  </si>
  <si>
    <t>P000000022</t>
  </si>
  <si>
    <t>XX_EL-DS-W BF LC Windows</t>
  </si>
  <si>
    <t xml:space="preserve">P000000411 </t>
  </si>
  <si>
    <t xml:space="preserve">P000000413 </t>
  </si>
  <si>
    <t>EL-CC-SX Strategy Realization</t>
  </si>
  <si>
    <t>P000000604</t>
  </si>
  <si>
    <t>EL-PS-SI Analytics</t>
  </si>
  <si>
    <t>P000000740</t>
  </si>
  <si>
    <t>EL-PS-ACC Customer Excellence TeamA</t>
  </si>
  <si>
    <t>P000000741</t>
  </si>
  <si>
    <t>EL-PS-ACJ Customer Excellence TeamB</t>
  </si>
  <si>
    <t>P000000668</t>
  </si>
  <si>
    <t>XX_EL-PS Strategic Accounts ASIA</t>
  </si>
  <si>
    <t>P000000544</t>
  </si>
  <si>
    <t>EL-TF-R Thin Film R&amp;D</t>
  </si>
  <si>
    <t>P000000641</t>
  </si>
  <si>
    <t>EL-TF Thin Film</t>
  </si>
  <si>
    <t>P000000000</t>
  </si>
  <si>
    <t>P000000644</t>
  </si>
  <si>
    <t>EL-SG Specialty Gases</t>
  </si>
  <si>
    <t>P000000414</t>
  </si>
  <si>
    <t>EL-CM-O CEO Office &amp; Transformation</t>
  </si>
  <si>
    <t>P000000756</t>
  </si>
  <si>
    <t>P000000552</t>
  </si>
  <si>
    <t>EL-CM-B Thought Leadership &amp; Branding</t>
  </si>
  <si>
    <t>P000000550</t>
  </si>
  <si>
    <t>EL-CC-SA Level Up</t>
  </si>
  <si>
    <t>P000000426</t>
  </si>
  <si>
    <t>P000000511</t>
  </si>
  <si>
    <t>EL-PS-SET Transportation</t>
  </si>
  <si>
    <t>P000000464</t>
  </si>
  <si>
    <t>P000000456</t>
  </si>
  <si>
    <t>EL-PS-SUE Customer Excellence</t>
  </si>
  <si>
    <t>P000000605</t>
  </si>
  <si>
    <t>P000000830</t>
  </si>
  <si>
    <t>EL-TF-IA Global Asset Mgmt</t>
  </si>
  <si>
    <t>P000000832</t>
  </si>
  <si>
    <t>P000000831</t>
  </si>
  <si>
    <t>EL-TF-IM Global Business Marketing Dielectrics</t>
  </si>
  <si>
    <t>P000000834</t>
  </si>
  <si>
    <t>EL-TF-IB Spin On Global Marketing</t>
  </si>
  <si>
    <t>P000000835</t>
  </si>
  <si>
    <t>EL-TF-IO OEM Marketing</t>
  </si>
  <si>
    <t>P000000836</t>
  </si>
  <si>
    <t>EL-TF-MC Customer Applications</t>
  </si>
  <si>
    <t>FR5790365</t>
  </si>
  <si>
    <t>L000005845</t>
  </si>
  <si>
    <t>L000005893</t>
  </si>
  <si>
    <t>L000013296</t>
  </si>
  <si>
    <t>L000013298</t>
  </si>
  <si>
    <t>L000005903</t>
  </si>
  <si>
    <t>L000013299</t>
  </si>
  <si>
    <t>L000013301</t>
  </si>
  <si>
    <t>L000005935</t>
  </si>
  <si>
    <t>L000013302</t>
  </si>
  <si>
    <t>L000013303</t>
  </si>
  <si>
    <t>L000013304</t>
  </si>
  <si>
    <t>L000013305</t>
  </si>
  <si>
    <t>L000011900</t>
  </si>
  <si>
    <t>L000005925</t>
  </si>
  <si>
    <t>L000005898</t>
  </si>
  <si>
    <t>L000005900</t>
  </si>
  <si>
    <t>L000005901</t>
  </si>
  <si>
    <t>L000013310</t>
  </si>
  <si>
    <t>L000013311</t>
  </si>
  <si>
    <t>L000010636</t>
  </si>
  <si>
    <t>L000010639</t>
  </si>
  <si>
    <t>L000010646</t>
  </si>
  <si>
    <t>L000010657</t>
  </si>
  <si>
    <t>L000010658</t>
  </si>
  <si>
    <t>L000010661</t>
  </si>
  <si>
    <t>L000010691</t>
  </si>
  <si>
    <t>L000010726</t>
  </si>
  <si>
    <t>L000010727</t>
  </si>
  <si>
    <t>L000010744</t>
  </si>
  <si>
    <t>L000010746</t>
  </si>
  <si>
    <t>L000010747</t>
  </si>
  <si>
    <t>L000012309</t>
  </si>
  <si>
    <t>L000010784</t>
  </si>
  <si>
    <t>L000010785</t>
  </si>
  <si>
    <t>L000010787</t>
  </si>
  <si>
    <t>L000010790</t>
  </si>
  <si>
    <t>L000010791</t>
  </si>
  <si>
    <t>L000010793</t>
  </si>
  <si>
    <t>L000010796</t>
  </si>
  <si>
    <t>L000010799</t>
  </si>
  <si>
    <t>L000010803</t>
  </si>
  <si>
    <t>L000010806</t>
  </si>
  <si>
    <t>L000010808</t>
  </si>
  <si>
    <t>L000010809</t>
  </si>
  <si>
    <t>L000010810</t>
  </si>
  <si>
    <t>L000010814</t>
  </si>
  <si>
    <t>L000010817</t>
  </si>
  <si>
    <t>L000010823</t>
  </si>
  <si>
    <t>L000010832</t>
  </si>
  <si>
    <t>L000010833</t>
  </si>
  <si>
    <t>L000010856</t>
  </si>
  <si>
    <t>L000010862</t>
  </si>
  <si>
    <t>L000010863</t>
  </si>
  <si>
    <t>L000010868</t>
  </si>
  <si>
    <t>L000012290</t>
  </si>
  <si>
    <t>L000012291</t>
  </si>
  <si>
    <t>L000012293</t>
  </si>
  <si>
    <t>L000012295</t>
  </si>
  <si>
    <t>L000012296</t>
  </si>
  <si>
    <t>L000010877</t>
  </si>
  <si>
    <t>L000010878</t>
  </si>
  <si>
    <t>L000010892</t>
  </si>
  <si>
    <t>L000010897</t>
  </si>
  <si>
    <t>L000010899</t>
  </si>
  <si>
    <t>L000010920</t>
  </si>
  <si>
    <t>L000010927</t>
  </si>
  <si>
    <t>L000010938</t>
  </si>
  <si>
    <t>L000010939</t>
  </si>
  <si>
    <t>L000010940</t>
  </si>
  <si>
    <t>L000010941</t>
  </si>
  <si>
    <t>L000010947</t>
  </si>
  <si>
    <t>L000010948</t>
  </si>
  <si>
    <t>L000010949</t>
  </si>
  <si>
    <t>L000010956</t>
  </si>
  <si>
    <t>L000010957</t>
  </si>
  <si>
    <t>L000010958</t>
  </si>
  <si>
    <t>L000010975</t>
  </si>
  <si>
    <t>L000010990</t>
  </si>
  <si>
    <t>L000011004</t>
  </si>
  <si>
    <t>L000011005</t>
  </si>
  <si>
    <t>L000011011</t>
  </si>
  <si>
    <t>L000011012</t>
  </si>
  <si>
    <t>L000011013</t>
  </si>
  <si>
    <t>L000012298</t>
  </si>
  <si>
    <t>L000011021</t>
  </si>
  <si>
    <t>L000011022</t>
  </si>
  <si>
    <t>L000011026</t>
  </si>
  <si>
    <t>L000011028</t>
  </si>
  <si>
    <t>L000011035</t>
  </si>
  <si>
    <t>L000011037</t>
  </si>
  <si>
    <t>L000011040</t>
  </si>
  <si>
    <t>L000011046</t>
  </si>
  <si>
    <t>L000012303</t>
  </si>
  <si>
    <t>L000012304</t>
  </si>
  <si>
    <t>L000011048</t>
  </si>
  <si>
    <t>L000011064</t>
  </si>
  <si>
    <t>L000011065</t>
  </si>
  <si>
    <t>L000011066</t>
  </si>
  <si>
    <t>L000011075</t>
  </si>
  <si>
    <t>L000011079</t>
  </si>
  <si>
    <t>L000011086</t>
  </si>
  <si>
    <t>L000011091</t>
  </si>
  <si>
    <t>L000011092</t>
  </si>
  <si>
    <t>L000011095</t>
  </si>
  <si>
    <t>L000011096</t>
  </si>
  <si>
    <t>L000012300</t>
  </si>
  <si>
    <t>L000012301</t>
  </si>
  <si>
    <t>L000011101</t>
  </si>
  <si>
    <t>L000011102</t>
  </si>
  <si>
    <t>L000011140</t>
  </si>
  <si>
    <t>L000011141</t>
  </si>
  <si>
    <t>L000011142</t>
  </si>
  <si>
    <t>L000011143</t>
  </si>
  <si>
    <t>L000011340</t>
  </si>
  <si>
    <t>L000011342</t>
  </si>
  <si>
    <t>L000011343</t>
  </si>
  <si>
    <t>L000012254</t>
  </si>
  <si>
    <t>L000012255</t>
  </si>
  <si>
    <t>L000012256</t>
  </si>
  <si>
    <t>L000012257</t>
  </si>
  <si>
    <t>L000012258</t>
  </si>
  <si>
    <t>L000012259</t>
  </si>
  <si>
    <t>L000012906</t>
  </si>
  <si>
    <t>L000012907</t>
  </si>
  <si>
    <t>L000012912</t>
  </si>
  <si>
    <t>L000013099</t>
  </si>
  <si>
    <t>L000013100</t>
  </si>
  <si>
    <t>L000013104</t>
  </si>
  <si>
    <t>L000013363</t>
  </si>
  <si>
    <t>L000013364</t>
  </si>
  <si>
    <t>L000013474</t>
  </si>
  <si>
    <t>FR5798979</t>
  </si>
  <si>
    <t>EL-TF-I Dielectrics Business</t>
  </si>
  <si>
    <t>EL-TF-M Metallics Business</t>
  </si>
  <si>
    <t>FR5824545</t>
  </si>
  <si>
    <t>P000000537</t>
  </si>
  <si>
    <t>Andreas Demmig</t>
  </si>
  <si>
    <t>P000000208</t>
  </si>
  <si>
    <t>P000000519</t>
  </si>
  <si>
    <t>P000000580</t>
  </si>
  <si>
    <t>P000000529</t>
  </si>
  <si>
    <t>P000000530</t>
  </si>
  <si>
    <t>P000000531</t>
  </si>
  <si>
    <t>P000000532</t>
  </si>
  <si>
    <t>P000000632</t>
  </si>
  <si>
    <t>P000000633</t>
  </si>
  <si>
    <t>P000000634</t>
  </si>
  <si>
    <t>P000000407</t>
  </si>
  <si>
    <t>P000000539</t>
  </si>
  <si>
    <t>P000001143</t>
  </si>
  <si>
    <t>Formulated Materials</t>
  </si>
  <si>
    <t>P000001144</t>
  </si>
  <si>
    <t>Commercial</t>
  </si>
  <si>
    <t>P000001145</t>
  </si>
  <si>
    <t>Customer Service</t>
  </si>
  <si>
    <t>P000001146</t>
  </si>
  <si>
    <t>S&amp;OP</t>
  </si>
  <si>
    <t>P000001147</t>
  </si>
  <si>
    <t>Product Management</t>
  </si>
  <si>
    <t>P000001148</t>
  </si>
  <si>
    <t>P000001149</t>
  </si>
  <si>
    <t>P000001150</t>
  </si>
  <si>
    <t>P000001151</t>
  </si>
  <si>
    <t>P000001152</t>
  </si>
  <si>
    <t>P000000728</t>
  </si>
  <si>
    <t>P000001153</t>
  </si>
  <si>
    <t>P000001154</t>
  </si>
  <si>
    <t>P000001155</t>
  </si>
  <si>
    <t>P000001156</t>
  </si>
  <si>
    <t>EL-ND-N PMO</t>
  </si>
  <si>
    <t>P000000706</t>
  </si>
  <si>
    <t>P000001157</t>
  </si>
  <si>
    <t>EL-ND-A PMO</t>
  </si>
  <si>
    <t>P000000720</t>
  </si>
  <si>
    <t>P000001158</t>
  </si>
  <si>
    <t>EL-ND-K PMO</t>
  </si>
  <si>
    <t>P000000727</t>
  </si>
  <si>
    <t>P000001159</t>
  </si>
  <si>
    <t>EL-CC Chief Commercial Office</t>
  </si>
  <si>
    <t>DIS-JP-AT, Atsugi, Japan</t>
  </si>
  <si>
    <t>DIS-DE-DA, Darmstadt, Germany</t>
  </si>
  <si>
    <t>DIS-CN-SU, Suzhou, China</t>
  </si>
  <si>
    <t>DIS-CN-SH, Shanghai, China</t>
  </si>
  <si>
    <t>DIS-TW-TA, Taoyuan, Taiwan</t>
  </si>
  <si>
    <t>DIS-TW-HS, Hsinchu, Taiwan</t>
  </si>
  <si>
    <t>DIS-KR-PO, Poseung, S. Korea</t>
  </si>
  <si>
    <t>SRF-US-UB, Urbana, USA</t>
  </si>
  <si>
    <t>SRF-DE-PG, Gernsheim, Germany</t>
  </si>
  <si>
    <t>SRF-JP-ON, Onahama, Japan</t>
  </si>
  <si>
    <t>SRF-US-SA, Savannah, USA</t>
  </si>
  <si>
    <t>SRF-IN-KH, Khopoli, India</t>
  </si>
  <si>
    <t>PAT-US-MA, Martin, USA</t>
  </si>
  <si>
    <t>SPG-KR-UL, Ulsan, S. Korea</t>
  </si>
  <si>
    <t>SPG-US-CT, Catoosa, USA</t>
  </si>
  <si>
    <t>Thin Film R&amp;D</t>
  </si>
  <si>
    <t>Patterning R&amp;D</t>
  </si>
  <si>
    <t>Specialty Gases R&amp;D</t>
  </si>
  <si>
    <t>DSS-US-VT, Allentown, USA</t>
  </si>
  <si>
    <t>DSS-US-CH, Chandler, USA</t>
  </si>
  <si>
    <t>DSS-KR-HY, Ansan, S. Korea</t>
  </si>
  <si>
    <t>EL-DS-W LC Windows</t>
  </si>
  <si>
    <t>EL-DS-L LC/DPM</t>
  </si>
  <si>
    <t>EL-DS-LC LC/DPM Sales CN</t>
  </si>
  <si>
    <t>EL-DS-LT LC/DPM Sales TW &amp; JP</t>
  </si>
  <si>
    <t>EL-DS-LM LC/DPM Marketing</t>
  </si>
  <si>
    <t>EL-DS-LM LC/DPM Marketing Organization</t>
  </si>
  <si>
    <t>EL-DS-LM LC/DPM Sales Promotion</t>
  </si>
  <si>
    <t>EL-DS-L LC/DPM Royalties/Commissions</t>
  </si>
  <si>
    <t>EL-DS-L LC/DPM Other</t>
  </si>
  <si>
    <t>EL-DS-LR LC/DPM R&amp;D</t>
  </si>
  <si>
    <t>EL-DS-O OLED</t>
  </si>
  <si>
    <t>EL-DS-OC OLED Sales CN</t>
  </si>
  <si>
    <t>EL-DS-OK OLED Sales KR</t>
  </si>
  <si>
    <t>EL-DS-OM OLED Marketing</t>
  </si>
  <si>
    <t>EL-DS-OM OLED Marketing Organization</t>
  </si>
  <si>
    <t>EL-DS-OM OLED Sales Promotion</t>
  </si>
  <si>
    <t>EL-DS-O OLED Royalties/Commissions</t>
  </si>
  <si>
    <t>EL-DS-O OLED Other</t>
  </si>
  <si>
    <t>EL-DS-OR OLED R&amp;D</t>
  </si>
  <si>
    <t>EL-DS-B BS&amp;S</t>
  </si>
  <si>
    <t>EL-DS-BF Future Display</t>
  </si>
  <si>
    <t>EL-DS-B BS&amp;S Organization</t>
  </si>
  <si>
    <t xml:space="preserve">EL-DS-BN Novel Tools </t>
  </si>
  <si>
    <t>EL-DS-B BS&amp;S MarCom</t>
  </si>
  <si>
    <t>EL-DS-B BS&amp;S Other</t>
  </si>
  <si>
    <t>P000000434</t>
  </si>
  <si>
    <t>XX_EL-DS-J BU Lead Japan</t>
  </si>
  <si>
    <t>P000000642</t>
  </si>
  <si>
    <t>EL-FO-P Patterning Solutions</t>
  </si>
  <si>
    <t>P000000542</t>
  </si>
  <si>
    <t>General Overhead (BU Head)</t>
  </si>
  <si>
    <t>EL-CC-K Safety Korea</t>
  </si>
  <si>
    <t>EL-CC-J General Management Japan</t>
  </si>
  <si>
    <t>EL-CC-S Strategy &amp; Business Transformati</t>
  </si>
  <si>
    <t>FR5834316</t>
  </si>
  <si>
    <t>L000009003</t>
  </si>
  <si>
    <t>FR5841065</t>
  </si>
  <si>
    <t>H000004365</t>
  </si>
  <si>
    <t>GB - LRD - Erbitux</t>
  </si>
  <si>
    <t>FR5841653</t>
  </si>
  <si>
    <t>H000004366</t>
  </si>
  <si>
    <t>GB - FF - Evobrutinib</t>
  </si>
  <si>
    <t>H000004367</t>
  </si>
  <si>
    <t>GB - FF - Xevinapant</t>
  </si>
  <si>
    <t>H000004368</t>
  </si>
  <si>
    <t>IE - FF - Xevinapant</t>
  </si>
  <si>
    <t>FR5846566</t>
  </si>
  <si>
    <t>H000004369</t>
  </si>
  <si>
    <t>US - MAPS - Value &amp; Access</t>
  </si>
  <si>
    <t>H000004370</t>
  </si>
  <si>
    <t>US - MAPS - Field Patient Services</t>
  </si>
  <si>
    <t>FR5850741</t>
  </si>
  <si>
    <t>L000009420</t>
  </si>
  <si>
    <t>L000009413</t>
  </si>
  <si>
    <t>L000009421</t>
  </si>
  <si>
    <t>L000009430</t>
  </si>
  <si>
    <t>L000009656</t>
  </si>
  <si>
    <t>L000013450</t>
  </si>
  <si>
    <t>L000013152</t>
  </si>
  <si>
    <t>L000006295</t>
  </si>
  <si>
    <t>FR5858878</t>
  </si>
  <si>
    <t xml:space="preserve">H000000950 </t>
  </si>
  <si>
    <t>H000000011</t>
  </si>
  <si>
    <t>Birgit Kroeling-Neumann</t>
  </si>
  <si>
    <t>F1</t>
  </si>
  <si>
    <t>FR5894334</t>
  </si>
  <si>
    <t>FR5904869</t>
  </si>
  <si>
    <t>G000000376</t>
  </si>
  <si>
    <t>G000000397</t>
  </si>
  <si>
    <t>SM-P L3</t>
  </si>
  <si>
    <t>SM-PM Plant Maint Manufacturing &amp; Maintenance</t>
  </si>
  <si>
    <t>SM-PF Plant Maint Functional Safety</t>
  </si>
  <si>
    <t>SM-PM Allocation cc</t>
  </si>
  <si>
    <t>SM-PM Personnel cost</t>
  </si>
  <si>
    <t>SM-EG Group Engineering</t>
  </si>
  <si>
    <t>FR5934521</t>
  </si>
  <si>
    <t>G000001110</t>
  </si>
  <si>
    <t>FR5938570</t>
  </si>
  <si>
    <t>L000013440</t>
  </si>
  <si>
    <t>L000012173</t>
  </si>
  <si>
    <t>L000012174</t>
  </si>
  <si>
    <t>L000013247</t>
  </si>
  <si>
    <t>L000012875</t>
  </si>
  <si>
    <t>L000012177</t>
  </si>
  <si>
    <t>L000013243</t>
  </si>
  <si>
    <t>FR5981341</t>
  </si>
  <si>
    <t>H000004376</t>
  </si>
  <si>
    <t>N&amp;I  Consolidated</t>
  </si>
  <si>
    <t>H000000975</t>
  </si>
  <si>
    <t>Erjo Miguel Tagle</t>
  </si>
  <si>
    <t>H000000773</t>
  </si>
  <si>
    <t>RD-F MU Fertility</t>
  </si>
  <si>
    <t>H000000774</t>
  </si>
  <si>
    <t>RD-K MU Neurology &amp; immunology</t>
  </si>
  <si>
    <t>H000000775</t>
  </si>
  <si>
    <t>RD-M MU CM&amp;E</t>
  </si>
  <si>
    <t>FR5982073</t>
  </si>
  <si>
    <t>Nadine Anic</t>
  </si>
  <si>
    <t>FR6013469</t>
  </si>
  <si>
    <t>H000000157</t>
  </si>
  <si>
    <t>FR6020975</t>
  </si>
  <si>
    <t>H000004375</t>
  </si>
  <si>
    <t>US - Local R&amp;D</t>
  </si>
  <si>
    <t>H000004372</t>
  </si>
  <si>
    <t>H000004371</t>
  </si>
  <si>
    <t>US - LTIP</t>
  </si>
  <si>
    <t>H000003834</t>
  </si>
  <si>
    <t>H000004374</t>
  </si>
  <si>
    <t>US - Marketing</t>
  </si>
  <si>
    <t>US - People/OH</t>
  </si>
  <si>
    <t>H000004373</t>
  </si>
  <si>
    <t>US - Selling</t>
  </si>
  <si>
    <t>H000003852</t>
  </si>
  <si>
    <t>US - OE&amp;I - Op. Effect. &amp; Innov. FF</t>
  </si>
  <si>
    <t>H000003854</t>
  </si>
  <si>
    <t>US - OE&amp;I - Data Driven Innov. &amp; Analytics</t>
  </si>
  <si>
    <t>H000003851</t>
  </si>
  <si>
    <t>US - OE&amp;I - Cap. Building Eng. &amp; Events</t>
  </si>
  <si>
    <t xml:space="preserve">H000003855 </t>
  </si>
  <si>
    <t>US - OE&amp;I - Op. Effect. &amp; Innov. ISS</t>
  </si>
  <si>
    <t xml:space="preserve">H000003860 </t>
  </si>
  <si>
    <t>H000003857</t>
  </si>
  <si>
    <t>H000003652</t>
  </si>
  <si>
    <t>H000003682</t>
  </si>
  <si>
    <t>H000003705</t>
  </si>
  <si>
    <t>H000003726</t>
  </si>
  <si>
    <t>FR6025932</t>
  </si>
  <si>
    <t>H000000005</t>
  </si>
  <si>
    <t>EF Business Partnering</t>
  </si>
  <si>
    <t>HC-BA-D IT Healthcare</t>
  </si>
  <si>
    <t>FR6030288</t>
  </si>
  <si>
    <t xml:space="preserve">G000001111 </t>
  </si>
  <si>
    <t xml:space="preserve">G000001112 </t>
  </si>
  <si>
    <t xml:space="preserve">G000001113 </t>
  </si>
  <si>
    <t xml:space="preserve">G000001114 </t>
  </si>
  <si>
    <t xml:space="preserve">G000001115 </t>
  </si>
  <si>
    <t>G000001228</t>
  </si>
  <si>
    <t>FAW RC - Governance, Risk &amp; Control</t>
  </si>
  <si>
    <t>G000000001</t>
  </si>
  <si>
    <t>G000001231</t>
  </si>
  <si>
    <t>GMK RC - Governance, Risk &amp; Control (L2)</t>
  </si>
  <si>
    <t>G000001229</t>
  </si>
  <si>
    <t>G000001232</t>
  </si>
  <si>
    <t>GMM MBS Hub Manila - Manila Hub Support</t>
  </si>
  <si>
    <t>RC - MGF Reporting</t>
  </si>
  <si>
    <t>G000001230</t>
  </si>
  <si>
    <t>RC - non-MGF Reporting</t>
  </si>
  <si>
    <t xml:space="preserve">G000000111 </t>
  </si>
  <si>
    <t>G6M SQ - Group IT</t>
  </si>
  <si>
    <t xml:space="preserve">G000001162 </t>
  </si>
  <si>
    <t>GNL MBS Hub Manila - Proc S2P Op</t>
  </si>
  <si>
    <t xml:space="preserve">G000001163 </t>
  </si>
  <si>
    <t>GNM MBS Hub Manila - Proc Op Integr Team</t>
  </si>
  <si>
    <t>FR6033131</t>
  </si>
  <si>
    <t>P000001160</t>
  </si>
  <si>
    <t>Surface Solutions Portal</t>
  </si>
  <si>
    <t>P000000026</t>
  </si>
  <si>
    <t>FR6034293</t>
  </si>
  <si>
    <t>L000006298</t>
  </si>
  <si>
    <t>L000013666</t>
  </si>
  <si>
    <t>L000013150</t>
  </si>
  <si>
    <t>L000010492</t>
  </si>
  <si>
    <t>L000013670</t>
  </si>
  <si>
    <t>L000010493</t>
  </si>
  <si>
    <t>L000013072</t>
  </si>
  <si>
    <t>L000010556</t>
  </si>
  <si>
    <t>L000013669</t>
  </si>
  <si>
    <t>L000012425</t>
  </si>
  <si>
    <t>L000013057</t>
  </si>
  <si>
    <t>L000005424</t>
  </si>
  <si>
    <t>L000006017</t>
  </si>
  <si>
    <t>L000005781</t>
  </si>
  <si>
    <t>L000006018</t>
  </si>
  <si>
    <t>L000006019</t>
  </si>
  <si>
    <t>L000006020</t>
  </si>
  <si>
    <t>L000006021</t>
  </si>
  <si>
    <t>L000006022</t>
  </si>
  <si>
    <t>L000006023</t>
  </si>
  <si>
    <t>L000006024</t>
  </si>
  <si>
    <t>L000006025</t>
  </si>
  <si>
    <t>L000006026</t>
  </si>
  <si>
    <t>L000006027</t>
  </si>
  <si>
    <t>L000005775</t>
  </si>
  <si>
    <t>L000012916</t>
  </si>
  <si>
    <t>L000005984</t>
  </si>
  <si>
    <t>L000005717</t>
  </si>
  <si>
    <t>L000005985</t>
  </si>
  <si>
    <t>L000005986</t>
  </si>
  <si>
    <t>L000012465</t>
  </si>
  <si>
    <t>L000005115</t>
  </si>
  <si>
    <t>L000013674</t>
  </si>
  <si>
    <t>L000005862</t>
  </si>
  <si>
    <t>L000007926</t>
  </si>
  <si>
    <t>L000013675</t>
  </si>
  <si>
    <t>L000007937</t>
  </si>
  <si>
    <t>L000013676</t>
  </si>
  <si>
    <t>L000007958</t>
  </si>
  <si>
    <t>L000008284</t>
  </si>
  <si>
    <t>L000005329</t>
  </si>
  <si>
    <t>L000008350</t>
  </si>
  <si>
    <t>L000005490</t>
  </si>
  <si>
    <t>L000011998</t>
  </si>
  <si>
    <t>L000011999</t>
  </si>
  <si>
    <t>L000012487</t>
  </si>
  <si>
    <t>L000012489</t>
  </si>
  <si>
    <t>L000012503</t>
  </si>
  <si>
    <t>L000006305</t>
  </si>
  <si>
    <t>L000006694</t>
  </si>
  <si>
    <t>L000006311</t>
  </si>
  <si>
    <t>L000012393</t>
  </si>
  <si>
    <t>L000006315</t>
  </si>
  <si>
    <t>L000012392</t>
  </si>
  <si>
    <t>L000011461</t>
  </si>
  <si>
    <t>L000012319</t>
  </si>
  <si>
    <t>L000012477</t>
  </si>
  <si>
    <t>L000013139</t>
  </si>
  <si>
    <t>L000013562</t>
  </si>
  <si>
    <t>L000013142</t>
  </si>
  <si>
    <t>L000006562</t>
  </si>
  <si>
    <t>L000013678</t>
  </si>
  <si>
    <t>57576 UK Haverhill Tech Dev Prod Indirect-G</t>
  </si>
  <si>
    <t>L000009675</t>
  </si>
  <si>
    <t>AGH and Pharma/Biotech Sales</t>
  </si>
  <si>
    <t>L000007925</t>
  </si>
  <si>
    <t>L000013681</t>
  </si>
  <si>
    <t>Deleted ISCO</t>
  </si>
  <si>
    <t>L000009201</t>
  </si>
  <si>
    <t>L000013685</t>
  </si>
  <si>
    <t>Deleted LSS</t>
  </si>
  <si>
    <t>L000013128</t>
  </si>
  <si>
    <t>L000013682</t>
  </si>
  <si>
    <t>Deleted MGF</t>
  </si>
  <si>
    <t>L000010621</t>
  </si>
  <si>
    <t>L000013686</t>
  </si>
  <si>
    <t>Deleted MGF-BP</t>
  </si>
  <si>
    <t>L000013683</t>
  </si>
  <si>
    <t>Deleted MGT</t>
  </si>
  <si>
    <t>L000011110</t>
  </si>
  <si>
    <t>L000013687</t>
  </si>
  <si>
    <t>Deleted MGT-BP</t>
  </si>
  <si>
    <t>L000013688</t>
  </si>
  <si>
    <t>Deleted Not Assigned</t>
  </si>
  <si>
    <t>L000005044</t>
  </si>
  <si>
    <t>L000013679</t>
  </si>
  <si>
    <t>Deleted PS</t>
  </si>
  <si>
    <t>L000006294</t>
  </si>
  <si>
    <t>L000013684</t>
  </si>
  <si>
    <t>Deleted QRM</t>
  </si>
  <si>
    <t>L000011355</t>
  </si>
  <si>
    <t>L000013680</t>
  </si>
  <si>
    <t>Deleted SLS</t>
  </si>
  <si>
    <t>L000007596</t>
  </si>
  <si>
    <t>L000013673</t>
  </si>
  <si>
    <t>Diagnostics &amp; Regul. Materials Dummy -G</t>
  </si>
  <si>
    <t>I&amp;T and IVD Sales</t>
  </si>
  <si>
    <t>Molsheim Operation-Novaseptum</t>
  </si>
  <si>
    <t>Molsheim Operation-SSU</t>
  </si>
  <si>
    <t>L000010484</t>
  </si>
  <si>
    <t>L000013677</t>
  </si>
  <si>
    <t>ONE PS / Bridge Exceptionals</t>
  </si>
  <si>
    <t>L000007433</t>
  </si>
  <si>
    <t>L000013667</t>
  </si>
  <si>
    <t>SAC Commercial Operations</t>
  </si>
  <si>
    <t>L000013668</t>
  </si>
  <si>
    <t>SAC Proposal Management</t>
  </si>
  <si>
    <t>SAC Sales</t>
  </si>
  <si>
    <t>Sales Specialists and F&amp;SM</t>
  </si>
  <si>
    <t>L000013672</t>
  </si>
  <si>
    <t>SLS BD - ICON</t>
  </si>
  <si>
    <t>L000005336</t>
  </si>
  <si>
    <t>L000013671</t>
  </si>
  <si>
    <t>SLS Business Ops  Team</t>
  </si>
  <si>
    <t>L000005300</t>
  </si>
  <si>
    <t>L000010019</t>
  </si>
  <si>
    <t>Schnelldorf &amp; Lyon</t>
  </si>
  <si>
    <t>L000010031</t>
  </si>
  <si>
    <t>UK 3PL Warehouse - Pulleyns</t>
  </si>
  <si>
    <t>L000011444</t>
  </si>
  <si>
    <t>mRNA Integrated Offering</t>
  </si>
  <si>
    <t>L000013595</t>
  </si>
  <si>
    <t>SAC mRNA Operations Darmstadt + Hamburg</t>
  </si>
  <si>
    <t>L000012371</t>
  </si>
  <si>
    <t>mRNA Site Operations Hamburg</t>
  </si>
  <si>
    <t>L000013330</t>
  </si>
  <si>
    <t>mRNA Site Operations Darmstadt D33</t>
  </si>
  <si>
    <t>L000013429</t>
  </si>
  <si>
    <t>Technical Objects SM Neo D33</t>
  </si>
  <si>
    <t>SLS Business Operations</t>
  </si>
  <si>
    <t>L000005425</t>
  </si>
  <si>
    <t>SLS Tradeshows &amp; Events</t>
  </si>
  <si>
    <t>L000005326</t>
  </si>
  <si>
    <t>SLS Strategy</t>
  </si>
  <si>
    <t>L000005327</t>
  </si>
  <si>
    <t>SLS Strategy &amp; Market Insights</t>
  </si>
  <si>
    <t>L000005330</t>
  </si>
  <si>
    <t>GE679500 SLS Strategy</t>
  </si>
  <si>
    <t>L000005335</t>
  </si>
  <si>
    <t>US SLS Strategy</t>
  </si>
  <si>
    <t>L000005485</t>
  </si>
  <si>
    <t>Segment Intelligence &amp; Execution</t>
  </si>
  <si>
    <t>L000005487</t>
  </si>
  <si>
    <t>BR Segment Intelligence</t>
  </si>
  <si>
    <t>L000005488</t>
  </si>
  <si>
    <t>FR Segment Intelligence</t>
  </si>
  <si>
    <t>L000005489</t>
  </si>
  <si>
    <t>GE Segment Intelligence</t>
  </si>
  <si>
    <t>L000005491</t>
  </si>
  <si>
    <t>US Segment Intelligence</t>
  </si>
  <si>
    <t>L000005492</t>
  </si>
  <si>
    <t>L000011965</t>
  </si>
  <si>
    <t>Segment Intelligence General</t>
  </si>
  <si>
    <t>L000011995</t>
  </si>
  <si>
    <t>SLS Strategy General</t>
  </si>
  <si>
    <t>L000012486</t>
  </si>
  <si>
    <t>FR Strategy</t>
  </si>
  <si>
    <t>L000012941</t>
  </si>
  <si>
    <t>Strategy Analytics and Insights</t>
  </si>
  <si>
    <t>L000009199</t>
  </si>
  <si>
    <t>Strategy Analytics</t>
  </si>
  <si>
    <t>L000012931</t>
  </si>
  <si>
    <t>SLS Strategy SBS</t>
  </si>
  <si>
    <t>L000005348</t>
  </si>
  <si>
    <t>Licensing, Innov, &amp; Partn Team</t>
  </si>
  <si>
    <t>L000005351</t>
  </si>
  <si>
    <t>FR Lic, Innov &amp; Strat Partn</t>
  </si>
  <si>
    <t>L000005353</t>
  </si>
  <si>
    <t>UK Lic, Innov &amp; Strat</t>
  </si>
  <si>
    <t>L000005355</t>
  </si>
  <si>
    <t>US Lic, Innov &amp; Strat Partn</t>
  </si>
  <si>
    <t>L000005356</t>
  </si>
  <si>
    <t>Lic, Innov, &amp; Strat General</t>
  </si>
  <si>
    <t>L000005357</t>
  </si>
  <si>
    <t>Lic, Innov, &amp; Strat Partn</t>
  </si>
  <si>
    <t>L000011961</t>
  </si>
  <si>
    <t>Lic, Innov, &amp; Strat M&amp;S General</t>
  </si>
  <si>
    <t>L000011962</t>
  </si>
  <si>
    <t>Lic, Innov, &amp; Strat R&amp;D General</t>
  </si>
  <si>
    <t>L000009145</t>
  </si>
  <si>
    <t>BD LICENSE GENERAL</t>
  </si>
  <si>
    <t>L000009147</t>
  </si>
  <si>
    <t>BUSINESS DEV EU</t>
  </si>
  <si>
    <t>L000009148</t>
  </si>
  <si>
    <t>BUSINESS DEV US</t>
  </si>
  <si>
    <t>L000009177</t>
  </si>
  <si>
    <t>MKE BUSINESS DEV</t>
  </si>
  <si>
    <t>L000005430</t>
  </si>
  <si>
    <t>SLS IBM</t>
  </si>
  <si>
    <t>L000005431</t>
  </si>
  <si>
    <t>GE698102 SLS IBM</t>
  </si>
  <si>
    <t>L000005432</t>
  </si>
  <si>
    <t>US5908 SLS IBM</t>
  </si>
  <si>
    <t>L000011955</t>
  </si>
  <si>
    <t>SLS IBM Projects</t>
  </si>
  <si>
    <t>L000011956</t>
  </si>
  <si>
    <t>SLS IBM General</t>
  </si>
  <si>
    <t>L000011957</t>
  </si>
  <si>
    <t>SLS IBM SBS</t>
  </si>
  <si>
    <t>L000005433</t>
  </si>
  <si>
    <t>SLS PMO</t>
  </si>
  <si>
    <t>L000005434</t>
  </si>
  <si>
    <t>Innovation PMO America</t>
  </si>
  <si>
    <t>L000005435</t>
  </si>
  <si>
    <t>SLS Innovation PMO</t>
  </si>
  <si>
    <t>L000005436</t>
  </si>
  <si>
    <t>US2148R00001  Innovation PMO</t>
  </si>
  <si>
    <t>L000005437</t>
  </si>
  <si>
    <t>US496920 AS Innovation PMO</t>
  </si>
  <si>
    <t>L000005438</t>
  </si>
  <si>
    <t>US6030 AS Innovation PMO</t>
  </si>
  <si>
    <t>L000005439</t>
  </si>
  <si>
    <t>US6109 AS Innovation PMO</t>
  </si>
  <si>
    <t>L000005440</t>
  </si>
  <si>
    <t>US6413 AS Innovation PMO</t>
  </si>
  <si>
    <t>L000005441</t>
  </si>
  <si>
    <t>Innovation PMO Europe</t>
  </si>
  <si>
    <t>L000005442</t>
  </si>
  <si>
    <t>FR6109 AS Innovation PMO (EU)</t>
  </si>
  <si>
    <t>L000005443</t>
  </si>
  <si>
    <t>GE687000 AS Innovation PMO</t>
  </si>
  <si>
    <t>L000012484</t>
  </si>
  <si>
    <t>CH56496 AS Innovation EU</t>
  </si>
  <si>
    <t>L000009198</t>
  </si>
  <si>
    <t>SLS  PMO General</t>
  </si>
  <si>
    <t>L000011963</t>
  </si>
  <si>
    <t>Innovation PMO Mgmt</t>
  </si>
  <si>
    <t>L000005445</t>
  </si>
  <si>
    <t>FR6413 AS Innovation PMO</t>
  </si>
  <si>
    <t>L000005446</t>
  </si>
  <si>
    <t>US20525 AS Innovation PMO</t>
  </si>
  <si>
    <t>L000011964</t>
  </si>
  <si>
    <t>Innovation PMO General</t>
  </si>
  <si>
    <t>L000005448</t>
  </si>
  <si>
    <t>SLS List Price Analytics &amp; Tools</t>
  </si>
  <si>
    <t>L000005449</t>
  </si>
  <si>
    <t>SLS Pricing</t>
  </si>
  <si>
    <t>L000005451</t>
  </si>
  <si>
    <t>SLS List Price Analytics</t>
  </si>
  <si>
    <t>L000005452</t>
  </si>
  <si>
    <t>SLS Price Analytics&amp;Tools</t>
  </si>
  <si>
    <t>L000005453</t>
  </si>
  <si>
    <t>UK SLS Price Realization</t>
  </si>
  <si>
    <t>L000005454</t>
  </si>
  <si>
    <t>US SLS Price Realization</t>
  </si>
  <si>
    <t>L000005455</t>
  </si>
  <si>
    <t>US5996 SLS Pricing</t>
  </si>
  <si>
    <t>L000005456</t>
  </si>
  <si>
    <t>SLS Pricing Business Partner Team</t>
  </si>
  <si>
    <t>L000005458</t>
  </si>
  <si>
    <t>GE698204 SLS Pricing</t>
  </si>
  <si>
    <t>L000005459</t>
  </si>
  <si>
    <t>US20331 SLS Pricing</t>
  </si>
  <si>
    <t>L000012490</t>
  </si>
  <si>
    <t>US5982 SLS Pricing BP</t>
  </si>
  <si>
    <t>L000005460</t>
  </si>
  <si>
    <t>SLS Pricing Mgmt</t>
  </si>
  <si>
    <t>L000005461</t>
  </si>
  <si>
    <t>UK1756C00738 SLS Pricing</t>
  </si>
  <si>
    <t>L000005462</t>
  </si>
  <si>
    <t>GE15225 SLS Pricing Mgmt</t>
  </si>
  <si>
    <t>L000005463</t>
  </si>
  <si>
    <t>UK1756C07325 SLS Pricing</t>
  </si>
  <si>
    <t>L000005464</t>
  </si>
  <si>
    <t>US20351 SLS Pricing Mgmt</t>
  </si>
  <si>
    <t>L000005465</t>
  </si>
  <si>
    <t>SLS Pricing Operations</t>
  </si>
  <si>
    <t>L000005466</t>
  </si>
  <si>
    <t>SLS Pricing SBS</t>
  </si>
  <si>
    <t>L000005467</t>
  </si>
  <si>
    <t>GE695000 SLS Pricing</t>
  </si>
  <si>
    <t>L000005468</t>
  </si>
  <si>
    <t>US21441 SLS Pricing Operations</t>
  </si>
  <si>
    <t>L000011993</t>
  </si>
  <si>
    <t>SLS Pricing General</t>
  </si>
  <si>
    <t xml:space="preserve">L000008350 </t>
  </si>
  <si>
    <t>APAC SLS Commercial Operations -G</t>
  </si>
  <si>
    <t xml:space="preserve">L000008359 </t>
  </si>
  <si>
    <t>APAC Commercial Excellence - G</t>
  </si>
  <si>
    <t xml:space="preserve">L000013268 </t>
  </si>
  <si>
    <t>APAC Digital &amp; eCommerce Operations -G</t>
  </si>
  <si>
    <t xml:space="preserve">L000005109 </t>
  </si>
  <si>
    <t>APAC - Regional Mktg - SEA</t>
  </si>
  <si>
    <t xml:space="preserve">L000005110 </t>
  </si>
  <si>
    <t>APAC - Regional Mktg - ANZ</t>
  </si>
  <si>
    <t>L000006425</t>
  </si>
  <si>
    <t>mRNA Delivery &amp; PEGs DA</t>
  </si>
  <si>
    <t>CA EB &amp; Novel Modalities PS EMEA</t>
  </si>
  <si>
    <t>PS CA Novel Modalities-G</t>
  </si>
  <si>
    <t>CA Downstream Region 1 &amp; 3 PS EMEA</t>
  </si>
  <si>
    <t>L000011669</t>
  </si>
  <si>
    <t>PS-North Asia - to be deleted</t>
  </si>
  <si>
    <t>PS-Korea</t>
  </si>
  <si>
    <t>PS-Japan</t>
  </si>
  <si>
    <t>L000006553</t>
  </si>
  <si>
    <t>PSMMOR1975.5355 5355 BioP-G-to be delet</t>
  </si>
  <si>
    <t>L000013153</t>
  </si>
  <si>
    <t>SAC Indianapolis</t>
  </si>
  <si>
    <t>L000013151</t>
  </si>
  <si>
    <t>L000005419</t>
  </si>
  <si>
    <t>US21306 Print Fulfillment</t>
  </si>
  <si>
    <t>SLS Tradeshows Tier 1 &amp; 2</t>
  </si>
  <si>
    <t>L000005426</t>
  </si>
  <si>
    <t>FR5404 SLS Tradeshow Team (EMEA)</t>
  </si>
  <si>
    <t>L000005428</t>
  </si>
  <si>
    <t>US5404 SLS Tradeshow Team (US)</t>
  </si>
  <si>
    <t>L000009146</t>
  </si>
  <si>
    <t>Business Dev - ICON</t>
  </si>
  <si>
    <t>PS Royalties</t>
  </si>
  <si>
    <t>FR6034512</t>
  </si>
  <si>
    <t>L000013426</t>
  </si>
  <si>
    <t>L000013427</t>
  </si>
  <si>
    <t>L000013428</t>
  </si>
  <si>
    <t>L000008352</t>
  </si>
  <si>
    <t>L000008353</t>
  </si>
  <si>
    <t>L000008354</t>
  </si>
  <si>
    <t>L000005360</t>
  </si>
  <si>
    <t>L000011997</t>
  </si>
  <si>
    <t>FR6034758</t>
  </si>
  <si>
    <t>P000000759</t>
  </si>
  <si>
    <t>EL-BP-I Electronics_I</t>
  </si>
  <si>
    <t>IT-EJ</t>
  </si>
  <si>
    <t>FR6040207</t>
  </si>
  <si>
    <t>EL-FO-PM Patterning Marketing</t>
  </si>
  <si>
    <t>P000001161</t>
  </si>
  <si>
    <t>LWFM</t>
  </si>
  <si>
    <t>P000000658</t>
  </si>
  <si>
    <t>P000001162</t>
  </si>
  <si>
    <t>Project E</t>
  </si>
  <si>
    <t>P000001163</t>
  </si>
  <si>
    <t>Dummy_1</t>
  </si>
  <si>
    <t>P000001164</t>
  </si>
  <si>
    <t>Dummy_2</t>
  </si>
  <si>
    <t>P000001094</t>
  </si>
  <si>
    <t>Dummy_3</t>
  </si>
  <si>
    <t>P000001095</t>
  </si>
  <si>
    <t>Dummy_4</t>
  </si>
  <si>
    <t>P000001096</t>
  </si>
  <si>
    <t>Dummy_5</t>
  </si>
  <si>
    <t>P000001097</t>
  </si>
  <si>
    <t>Dummy_6</t>
  </si>
  <si>
    <t>P000001098</t>
  </si>
  <si>
    <t>Dummy_7</t>
  </si>
  <si>
    <t>P000001099</t>
  </si>
  <si>
    <t>Dummy_8</t>
  </si>
  <si>
    <t>P000001100</t>
  </si>
  <si>
    <t>Dummy_9</t>
  </si>
  <si>
    <t>P000001101</t>
  </si>
  <si>
    <t>Dummy_10</t>
  </si>
  <si>
    <t>P000001165</t>
  </si>
  <si>
    <t>Patterning Silica</t>
  </si>
  <si>
    <t>FR6059201</t>
  </si>
  <si>
    <t>P000000379</t>
  </si>
  <si>
    <t>EL-CN Electronics China</t>
  </si>
  <si>
    <t>P000000571</t>
  </si>
  <si>
    <t>P000000748</t>
  </si>
  <si>
    <t>EL-BP Business Partnering Electronics</t>
  </si>
  <si>
    <t>P000000749</t>
  </si>
  <si>
    <t>EL-CE Chief Financial Officer</t>
  </si>
  <si>
    <t>P000000962</t>
  </si>
  <si>
    <t>P000000755</t>
  </si>
  <si>
    <t>EL-BP-P Procurement Electronics</t>
  </si>
  <si>
    <t>EL-CM Electronics Communications &amp; CEO Office</t>
  </si>
  <si>
    <t>P000000757</t>
  </si>
  <si>
    <t>EL-BP-H HR Business Partner</t>
  </si>
  <si>
    <t>P000000495</t>
  </si>
  <si>
    <t>EL-SC-D Process Development_General</t>
  </si>
  <si>
    <t>P000000578</t>
  </si>
  <si>
    <t>XX EL-SC ISC General</t>
  </si>
  <si>
    <t>EL-SC-H Safety &amp; Sustainability Electronics</t>
  </si>
  <si>
    <t>EL-FO Formulated Materials</t>
  </si>
  <si>
    <t>CCO Overhead</t>
  </si>
  <si>
    <t>P000000443</t>
  </si>
  <si>
    <t>P000000451</t>
  </si>
  <si>
    <t>P000000960</t>
  </si>
  <si>
    <t>P000001166</t>
  </si>
  <si>
    <t>EL-BP-S Integrated Solutions Partner</t>
  </si>
  <si>
    <t>FR6070826</t>
  </si>
  <si>
    <t>H000001104</t>
  </si>
  <si>
    <t>H000000916</t>
  </si>
  <si>
    <t>Henry Ifurung Jr.</t>
  </si>
  <si>
    <t>FR6071540</t>
  </si>
  <si>
    <t>EL-FO-PATE Core Products, Lithography US/EU Regions</t>
  </si>
  <si>
    <t>EL-FO-PAT Customer Applications, Core Products</t>
  </si>
  <si>
    <t>EL-FO-PATJ Core Products, Lithography JP Region</t>
  </si>
  <si>
    <t>EL-FO-PATJA Lithography JP Region, Product Solutions</t>
  </si>
  <si>
    <t>EL-FO-PATJT Lithography JP Region, Customer Solutions</t>
  </si>
  <si>
    <t>EL-FO-PATT Core Products, Lithography TW/SEA Regions</t>
  </si>
  <si>
    <t>EL-FO-PATU Core Products, SP&amp;C</t>
  </si>
  <si>
    <t>EL-TF-R R&amp;D Thin Film</t>
  </si>
  <si>
    <t>Planarization ISC</t>
  </si>
  <si>
    <t>EL-FO-AY Supply Chain Planning Planarization</t>
  </si>
  <si>
    <t>P000000869</t>
  </si>
  <si>
    <t>EL-FO-AD Plant Operations Planarization</t>
  </si>
  <si>
    <t>EL-FO-AA Applications Asia</t>
  </si>
  <si>
    <t>P000000546</t>
  </si>
  <si>
    <t xml:space="preserve">EL-FO-AR Planarization R&amp;D </t>
  </si>
  <si>
    <t>EL-FO-AO PLA Ops &amp; Analytical Tech</t>
  </si>
  <si>
    <t>P000000871</t>
  </si>
  <si>
    <t>EL-FO-AG PLA Global Product Mgmt.</t>
  </si>
  <si>
    <t>P000000872</t>
  </si>
  <si>
    <t>EL-FO-AOD PLA Process Development &amp; Sampling</t>
  </si>
  <si>
    <t>P000000873</t>
  </si>
  <si>
    <t>EL-FO-AOC PLA Manufacturing Technology</t>
  </si>
  <si>
    <t>P000000874</t>
  </si>
  <si>
    <t>EL-FO-AOB PLA Analytical Technology</t>
  </si>
  <si>
    <t>EL-DS-SD Site Darmstadt, Germany</t>
  </si>
  <si>
    <t>P000000774</t>
  </si>
  <si>
    <t>GrEx, DIS-DE-DA, Darmstadt, Germany</t>
  </si>
  <si>
    <t>P000000057</t>
  </si>
  <si>
    <t>DIS-DE-DA Production (T1)</t>
  </si>
  <si>
    <t>P000000058</t>
  </si>
  <si>
    <t>DIS-DE-DA -  EL-DOD-1</t>
  </si>
  <si>
    <t>P000000059</t>
  </si>
  <si>
    <t>DIS-DE-DA N5 Production</t>
  </si>
  <si>
    <t>P000000060</t>
  </si>
  <si>
    <t>DIS-DE-DA G1 Poly</t>
  </si>
  <si>
    <t>P000000061</t>
  </si>
  <si>
    <t>DIS-DE-DA Wittig</t>
  </si>
  <si>
    <t>P000000062</t>
  </si>
  <si>
    <t>DIS-DE-DA -  EL-DOD-2 G1+N5</t>
  </si>
  <si>
    <t>P000000063</t>
  </si>
  <si>
    <t>DIS-DE-DA -  EL-DOD-3</t>
  </si>
  <si>
    <t>P000000064</t>
  </si>
  <si>
    <t>DIS-DE-DA Laboratory</t>
  </si>
  <si>
    <t>P000000065</t>
  </si>
  <si>
    <t>DIS-DE-DA H2+H4 Production</t>
  </si>
  <si>
    <t>P000000066</t>
  </si>
  <si>
    <t>DIS-DE-DA H5 OLED</t>
  </si>
  <si>
    <t>P000000067</t>
  </si>
  <si>
    <t>DIS-DE-DA -  EL-DOD-4</t>
  </si>
  <si>
    <t>P000000071</t>
  </si>
  <si>
    <t>DIS-DE-DA G20 Production</t>
  </si>
  <si>
    <t>P000000072</t>
  </si>
  <si>
    <t>DIS-DE-DA K12/K25/X28 Poly</t>
  </si>
  <si>
    <t>P000000073</t>
  </si>
  <si>
    <t>DIS-DE-DA K10 Mono</t>
  </si>
  <si>
    <t>P000000074</t>
  </si>
  <si>
    <t>DIS-DE-DA L29 API</t>
  </si>
  <si>
    <t>P000000069</t>
  </si>
  <si>
    <t>DIS-DE-DA -  EL-DOD-6</t>
  </si>
  <si>
    <t>P000000068</t>
  </si>
  <si>
    <t>DIS-DE-DA -  EL-DOD-5 J36-J45</t>
  </si>
  <si>
    <t>P000000070</t>
  </si>
  <si>
    <t>DIS-DE-DA -  EL-DOD-7 P24</t>
  </si>
  <si>
    <t>P000000075</t>
  </si>
  <si>
    <t>DIS-DE-DA -  EL-DOD-S</t>
  </si>
  <si>
    <t>P000000076</t>
  </si>
  <si>
    <t>DIS-DE-DA -  EL-DOD Production Reserve</t>
  </si>
  <si>
    <t>P000000077</t>
  </si>
  <si>
    <t>DIS-DE-DA Analytics (T6c).</t>
  </si>
  <si>
    <t>P000000078</t>
  </si>
  <si>
    <t>DIS-DE-DA Maintenance/Engineering (T3).</t>
  </si>
  <si>
    <t>P000000079</t>
  </si>
  <si>
    <t>DIS-DE-DA Energies/Utilities (T4).</t>
  </si>
  <si>
    <t>P000000080</t>
  </si>
  <si>
    <t>DIS-DE-DA Environmental Protection (T5)</t>
  </si>
  <si>
    <t>P000000081</t>
  </si>
  <si>
    <t>DIS-DE-DA Prod.infrast. &amp; non-off-buil.</t>
  </si>
  <si>
    <t>P000000082</t>
  </si>
  <si>
    <t>DIS-DE-DA Incom. storage&amp;handling (T7)</t>
  </si>
  <si>
    <t>P000000083</t>
  </si>
  <si>
    <t>DIS-DE-DA Local Prod./Proc. Dev. &amp; Opt.</t>
  </si>
  <si>
    <t>P000000084</t>
  </si>
  <si>
    <t>DIS-DE-DA Other</t>
  </si>
  <si>
    <t>P000000085</t>
  </si>
  <si>
    <t>DIS-DE-DA Other_I</t>
  </si>
  <si>
    <t>P000000086</t>
  </si>
  <si>
    <t>DIS-DE-DA - EL-DOD Projects</t>
  </si>
  <si>
    <t>P000000328</t>
  </si>
  <si>
    <t>DIS-DE-DA Local quality Darmstadt</t>
  </si>
  <si>
    <t>P000000329</t>
  </si>
  <si>
    <t>DIS-DE-DA Quality (T2)</t>
  </si>
  <si>
    <t>P000000775</t>
  </si>
  <si>
    <t>Non-Grex, DIS-DE-DA, Darmstadt, Germany</t>
  </si>
  <si>
    <t>EL-DS-SA Site Atsugi, Japan</t>
  </si>
  <si>
    <t>P000000776</t>
  </si>
  <si>
    <t>GrEx, DIS-JP-AT, Atsugi, Japan</t>
  </si>
  <si>
    <t>P000000088</t>
  </si>
  <si>
    <t>DIS-JP-AT Production (T1)</t>
  </si>
  <si>
    <t>P000000089</t>
  </si>
  <si>
    <t>DIS-JP-AT Analytics (T6c)</t>
  </si>
  <si>
    <t>P000000090</t>
  </si>
  <si>
    <t>DIS-JP-AT Maintenance/Engineering (T3)</t>
  </si>
  <si>
    <t>P000000091</t>
  </si>
  <si>
    <t>DIS-JP-AT Energies/Utilities (T4)</t>
  </si>
  <si>
    <t>P000000092</t>
  </si>
  <si>
    <t>DIS-JP-AT Environmental Protection (T5)</t>
  </si>
  <si>
    <t>P000000093</t>
  </si>
  <si>
    <t>DIS-JP-AT Prod.infrast. &amp; non-off-buil.</t>
  </si>
  <si>
    <t>P000000094</t>
  </si>
  <si>
    <t>DIS-JP-AT Incom. storage&amp;handling (T7)</t>
  </si>
  <si>
    <t>P000000095</t>
  </si>
  <si>
    <t>DIS-JP-AT Local Prod./Proc. Dev. &amp; Opt.</t>
  </si>
  <si>
    <t>P000000096</t>
  </si>
  <si>
    <t>DIS-JP-AT Other</t>
  </si>
  <si>
    <t>P000000306</t>
  </si>
  <si>
    <t>DIS-JP-AT Local quality Atsugi</t>
  </si>
  <si>
    <t>P000000307</t>
  </si>
  <si>
    <t>DIS-JP-AT Quality (T2)</t>
  </si>
  <si>
    <t>EL-DS-SZ Site Suzhou, China</t>
  </si>
  <si>
    <t>P000000778</t>
  </si>
  <si>
    <t>GrEx, DIS-CN-SU, Suzhou, China</t>
  </si>
  <si>
    <t>P000000098</t>
  </si>
  <si>
    <t>DIS-CN-SU Production (T1)</t>
  </si>
  <si>
    <t>P000000099</t>
  </si>
  <si>
    <t>DIS-CN-SU Analytics (T6c).</t>
  </si>
  <si>
    <t>P000000100</t>
  </si>
  <si>
    <t>DIS-CN-SU Maintenance/Engineering (T3).</t>
  </si>
  <si>
    <t>P000000101</t>
  </si>
  <si>
    <t>DIS-CN-SU Energies/Utilities (T4).</t>
  </si>
  <si>
    <t>P000000102</t>
  </si>
  <si>
    <t>DIS-CN-SU Environmental Protection (T5)</t>
  </si>
  <si>
    <t>P000000103</t>
  </si>
  <si>
    <t>DIS-CN-SU Prod.infrast. &amp; non-off-buil.</t>
  </si>
  <si>
    <t>P000000104</t>
  </si>
  <si>
    <t>DIS-CN-SU Incom. storage&amp;handling (T7)</t>
  </si>
  <si>
    <t>P000000105</t>
  </si>
  <si>
    <t>DIS-CN-SU Local Prod./Proc. Dev. &amp; Opt.</t>
  </si>
  <si>
    <t>P000000106</t>
  </si>
  <si>
    <t>DIS-CN-SU Other</t>
  </si>
  <si>
    <t>P000000320</t>
  </si>
  <si>
    <t>DIS-CN-SU - Local quality Suzhou</t>
  </si>
  <si>
    <t>P000000321</t>
  </si>
  <si>
    <t>DIS-CN-SU Quality (T2)</t>
  </si>
  <si>
    <t>P000000779</t>
  </si>
  <si>
    <t>Non-GrEx, DIS-CN-SU, Suzhou, China</t>
  </si>
  <si>
    <t>EL-DS-ST Site Taoyuan, Taiwan</t>
  </si>
  <si>
    <t>P000000780</t>
  </si>
  <si>
    <t>GrEx, DIS-TW-TA, Taoyuan, Taiwan</t>
  </si>
  <si>
    <t>P000000108</t>
  </si>
  <si>
    <t>DIS-TW-TA Production (T1)</t>
  </si>
  <si>
    <t>P000000109</t>
  </si>
  <si>
    <t>DIS-TW-TA Analytics (T6c)</t>
  </si>
  <si>
    <t>P000000110</t>
  </si>
  <si>
    <t>DIS-TW-TA Maintenance/Engineering (T3)</t>
  </si>
  <si>
    <t>P000000111</t>
  </si>
  <si>
    <t>DIS-TW-TA Energies/Utilities (T4)</t>
  </si>
  <si>
    <t>P000000112</t>
  </si>
  <si>
    <t>DIS-TW-TA Environmental Protection (T5)</t>
  </si>
  <si>
    <t>P000000113</t>
  </si>
  <si>
    <t>DIS-TW-TA Prod.infrast. &amp; non-off-buil.</t>
  </si>
  <si>
    <t>P000000114</t>
  </si>
  <si>
    <t>DIS-TW-TA Incom. storage&amp;handling (T7)</t>
  </si>
  <si>
    <t>P000000115</t>
  </si>
  <si>
    <t>DIS-TW-TA Local Prod./Proc. Dev. &amp; Opt.</t>
  </si>
  <si>
    <t>P000000116</t>
  </si>
  <si>
    <t>DIS-TW-TA Other</t>
  </si>
  <si>
    <t>P000000334</t>
  </si>
  <si>
    <t>DIS-TW-TA Local quality Taoyuan</t>
  </si>
  <si>
    <t>P000000335</t>
  </si>
  <si>
    <t>DIS-TW-TA Quality (T2)</t>
  </si>
  <si>
    <t>P000000781</t>
  </si>
  <si>
    <t>Non-GrEx, DIS-TW-TA, Taoyuan, Taiwan</t>
  </si>
  <si>
    <t>EL-DS-SH Site Hsinchu, Taiwan</t>
  </si>
  <si>
    <t>P000000782</t>
  </si>
  <si>
    <t>GrEx, DIS-TW-HS, Hsinchu, Taiwan</t>
  </si>
  <si>
    <t>P000000118</t>
  </si>
  <si>
    <t>DIS-TW-HS Production (T1)</t>
  </si>
  <si>
    <t>P000000119</t>
  </si>
  <si>
    <t>DIS-TW-HS Analytics (T6c)</t>
  </si>
  <si>
    <t>P000000120</t>
  </si>
  <si>
    <t>DIS-TW-HS Maintenance/Engineering (T3)</t>
  </si>
  <si>
    <t>P000000121</t>
  </si>
  <si>
    <t>DIS-TW-HS Energies/Utilities (T4)</t>
  </si>
  <si>
    <t>P000000122</t>
  </si>
  <si>
    <t>DIS-TW-HS Environmental Protection (T5)</t>
  </si>
  <si>
    <t>P000000123</t>
  </si>
  <si>
    <t>DIS-TW-HS Prod.infrast. &amp; non-off-buil.</t>
  </si>
  <si>
    <t>P000000124</t>
  </si>
  <si>
    <t>DIS-TW-HS Incom. storage&amp;handling (T7)</t>
  </si>
  <si>
    <t>P000000125</t>
  </si>
  <si>
    <t>DIS-TW-HS Local Prod./Proc. Dev. &amp; Opt.</t>
  </si>
  <si>
    <t>P000000126</t>
  </si>
  <si>
    <t>DIS-TW-HS Other</t>
  </si>
  <si>
    <t>P000000322</t>
  </si>
  <si>
    <t>DIS-TW-HS Local quality Hsinchu</t>
  </si>
  <si>
    <t>P000000323</t>
  </si>
  <si>
    <t>DIS-TW-HS Quality (T2)</t>
  </si>
  <si>
    <t>P000000783</t>
  </si>
  <si>
    <t>Non-GrEx, DIS-TW-HS, Hsinchu, Taiwan</t>
  </si>
  <si>
    <t>EL-DS-SP Site Poseung, S. Korea</t>
  </si>
  <si>
    <t>P000000784</t>
  </si>
  <si>
    <t>GrEx, DIS-KR-PO, Poseung, S. Korea</t>
  </si>
  <si>
    <t>P000000128</t>
  </si>
  <si>
    <t>DIS-KR-PO Production (T1)</t>
  </si>
  <si>
    <t>P000000129</t>
  </si>
  <si>
    <t>DIS-KR-PO Analytics (T6c)</t>
  </si>
  <si>
    <t>P000000130</t>
  </si>
  <si>
    <t>DIS-KR-PO Maintenance/Engineering (T3)</t>
  </si>
  <si>
    <t>P000000131</t>
  </si>
  <si>
    <t>DIS-KR-PO Energies/Utilities (T4)</t>
  </si>
  <si>
    <t>P000000132</t>
  </si>
  <si>
    <t>DIS-KR-PO Environmental Protection (T5)</t>
  </si>
  <si>
    <t>P000000133</t>
  </si>
  <si>
    <t>DIS-KR-PO Prod.infrast. &amp; non-off-buil.</t>
  </si>
  <si>
    <t>P000000134</t>
  </si>
  <si>
    <t>DIS-KR-PO Incom. storage&amp;handling (T7)</t>
  </si>
  <si>
    <t>P000000135</t>
  </si>
  <si>
    <t>DIS-KR-PO Local Prod./Proc. Dev. &amp; Opt.</t>
  </si>
  <si>
    <t>P000000136</t>
  </si>
  <si>
    <t>DIS-KR-PO Other</t>
  </si>
  <si>
    <t>P000000324</t>
  </si>
  <si>
    <t>DIS-KR-PO Local quality Poseung</t>
  </si>
  <si>
    <t>P000000325</t>
  </si>
  <si>
    <t>DIS-KR-PO Quality (T2)</t>
  </si>
  <si>
    <t>P000000785</t>
  </si>
  <si>
    <t>Non-GrEx, DIS-KR-PO, Poseung, S. Korea</t>
  </si>
  <si>
    <t>EL-DS-SS Site Shanghai, China</t>
  </si>
  <si>
    <t>EL-PS-OK Site Khopoli, India</t>
  </si>
  <si>
    <t>P000000789</t>
  </si>
  <si>
    <t>GrEx, SRF-IN-KH, Khopoli, India</t>
  </si>
  <si>
    <t>P000000150</t>
  </si>
  <si>
    <t>SRF-IN-KH Production (T1)</t>
  </si>
  <si>
    <t>P000000151</t>
  </si>
  <si>
    <t>SRF-IN-KH Analytics (T6c).</t>
  </si>
  <si>
    <t>P000000152</t>
  </si>
  <si>
    <t>SRF-IN-KH Maintenance/Engineering (T3).</t>
  </si>
  <si>
    <t>P000000153</t>
  </si>
  <si>
    <t>SRF-IN-KH Energies/Utilities (T4).</t>
  </si>
  <si>
    <t>P000000154</t>
  </si>
  <si>
    <t>SRF-IN-KH Environmental Protection (T5)</t>
  </si>
  <si>
    <t>P000000155</t>
  </si>
  <si>
    <t>SRF-IN-KH Prod.infrast. &amp; non-off-buil.</t>
  </si>
  <si>
    <t>P000000156</t>
  </si>
  <si>
    <t>SRF-IN-KH Incom. storage&amp;handling (T7)</t>
  </si>
  <si>
    <t>P000000157</t>
  </si>
  <si>
    <t>SRF-IN-KH Local Prod./Proc. Dev. &amp; Opt.</t>
  </si>
  <si>
    <t>P000000158</t>
  </si>
  <si>
    <t>SRF-IN-KH Other</t>
  </si>
  <si>
    <t>P000000336</t>
  </si>
  <si>
    <t>SRF-IN-KH Local Quality Khopoli</t>
  </si>
  <si>
    <t>P000000337</t>
  </si>
  <si>
    <t>SRF-IN-KH Quality (T2)</t>
  </si>
  <si>
    <t>P000000790</t>
  </si>
  <si>
    <t>Non-GrEx, SRF-IN-KH, Khopoli, India</t>
  </si>
  <si>
    <t>EL-PS-OS Site Savannah, USA</t>
  </si>
  <si>
    <t>P000000791</t>
  </si>
  <si>
    <t>GrEx, SRF-US-SA, Savannah, USA</t>
  </si>
  <si>
    <t>P000000160</t>
  </si>
  <si>
    <t>SRF-US-SA Production (T1)</t>
  </si>
  <si>
    <t>P000000161</t>
  </si>
  <si>
    <t>SRF-US-SA Analytics (T6c)</t>
  </si>
  <si>
    <t>P000000162</t>
  </si>
  <si>
    <t>SRF-US-SA Maintenance/Engineering (T3)</t>
  </si>
  <si>
    <t>P000000163</t>
  </si>
  <si>
    <t>SRF-US-SA Energies/Utilities (T4)</t>
  </si>
  <si>
    <t>P000000164</t>
  </si>
  <si>
    <t>SRF-US-SA Environmental Protection (T5)</t>
  </si>
  <si>
    <t>P000000165</t>
  </si>
  <si>
    <t>SRF-US-SA Prod.infrast. &amp; non-off-buil.</t>
  </si>
  <si>
    <t>P000000166</t>
  </si>
  <si>
    <t>SRF-US-SA Incom. storage&amp;handling (T7)</t>
  </si>
  <si>
    <t>P000000167</t>
  </si>
  <si>
    <t>SRF-US-SA Local Prod./Proc. Dev. &amp; Opt.</t>
  </si>
  <si>
    <t>P000000168</t>
  </si>
  <si>
    <t>SRF-US-SA Other</t>
  </si>
  <si>
    <t>P000000318</t>
  </si>
  <si>
    <t>SRF-US-SA Local quality Savannah</t>
  </si>
  <si>
    <t>P000000319</t>
  </si>
  <si>
    <t>SRF-US-SA Quality (T2)</t>
  </si>
  <si>
    <t>P000000792</t>
  </si>
  <si>
    <t>Non-GrEx, SRF-US-SA, Savannah, USA</t>
  </si>
  <si>
    <t>EL-PS-OI Site Onahama, Japan</t>
  </si>
  <si>
    <t>P000000793</t>
  </si>
  <si>
    <t>GrEx, SRF-JP-ON, Onahama, Japan</t>
  </si>
  <si>
    <t>P000000170</t>
  </si>
  <si>
    <t>SRF-JP-ON Production (T1)</t>
  </si>
  <si>
    <t>P000000171</t>
  </si>
  <si>
    <t>SRF-JP-ON Analytics (T6c)</t>
  </si>
  <si>
    <t>P000000172</t>
  </si>
  <si>
    <t>SRF-JP-ON Maintenance/Engineering (T3)</t>
  </si>
  <si>
    <t>P000000173</t>
  </si>
  <si>
    <t>SRF-JP-ON Energies/Utilities (T4)</t>
  </si>
  <si>
    <t>P000000174</t>
  </si>
  <si>
    <t>SRF-JP-ON Environmental Protection (T5)</t>
  </si>
  <si>
    <t>P000000175</t>
  </si>
  <si>
    <t>SRF-JP-ON Prod.infrast. &amp; non-off-buil.</t>
  </si>
  <si>
    <t>P000000176</t>
  </si>
  <si>
    <t>SRF-JP-ON Incom. storage&amp;handling (T7)</t>
  </si>
  <si>
    <t>P000000177</t>
  </si>
  <si>
    <t>SRF-JP-ON Local Prod./Proc. Dev. &amp; Opt.</t>
  </si>
  <si>
    <t>P000000178</t>
  </si>
  <si>
    <t>SRF-JP-ON Other</t>
  </si>
  <si>
    <t>P000000316</t>
  </si>
  <si>
    <t>SRF-JP-ON Local quality Onahama</t>
  </si>
  <si>
    <t>P000000317</t>
  </si>
  <si>
    <t>SRF-JP-ON Quality (T2)</t>
  </si>
  <si>
    <t>P000000794</t>
  </si>
  <si>
    <t>Non-GrEx, SRF-JP-ON, Onahama, Japan</t>
  </si>
  <si>
    <t>EL-PS-OU Site Urbana, USA</t>
  </si>
  <si>
    <t>P000000180</t>
  </si>
  <si>
    <t>GrEx, SRF-US-UB, Urbana, USA</t>
  </si>
  <si>
    <t>P000000181</t>
  </si>
  <si>
    <t>SRF-US-UB Direct Labor</t>
  </si>
  <si>
    <t>P000000182</t>
  </si>
  <si>
    <t>SRF-US-UB Main Cost Collector</t>
  </si>
  <si>
    <t>P000000183</t>
  </si>
  <si>
    <t>SRF-US-UB Equipment</t>
  </si>
  <si>
    <t>P000000184</t>
  </si>
  <si>
    <t>SRF-US-UB QC</t>
  </si>
  <si>
    <t>P000000185</t>
  </si>
  <si>
    <t>SRF-US-UB Management</t>
  </si>
  <si>
    <t>P000000186</t>
  </si>
  <si>
    <t>SRF-US-UB Urbana MAOH</t>
  </si>
  <si>
    <t>P000000187</t>
  </si>
  <si>
    <t>SRF-US-UB Warehouse and Distribution</t>
  </si>
  <si>
    <t>P000000188</t>
  </si>
  <si>
    <t>SRF-US-UB Other</t>
  </si>
  <si>
    <t>P000000333</t>
  </si>
  <si>
    <t>SRF-US-UB Quality (T2)</t>
  </si>
  <si>
    <t>P000000332</t>
  </si>
  <si>
    <t>Non-GrEx, SRF-US-UB, Urbana, USA</t>
  </si>
  <si>
    <t>P000000795</t>
  </si>
  <si>
    <t>SRF-US-UB R&amp;D</t>
  </si>
  <si>
    <t>EL-PS-OG Site Gernsheim, Germany</t>
  </si>
  <si>
    <t>P000000796</t>
  </si>
  <si>
    <t>GrEx, SRF-DE-PG, Gernsheim, Germany</t>
  </si>
  <si>
    <t>P000000190</t>
  </si>
  <si>
    <t>SRF-DE-PG Production (T1)</t>
  </si>
  <si>
    <t>P000000191</t>
  </si>
  <si>
    <t>SRF-DE-PG Production (T1)_I</t>
  </si>
  <si>
    <t>P000000192</t>
  </si>
  <si>
    <t>SRF-DE-PG - Patinal+Silica Production</t>
  </si>
  <si>
    <t>P000000193</t>
  </si>
  <si>
    <t>SRF-DE-PG - EL-OPG-3</t>
  </si>
  <si>
    <t>P000000194</t>
  </si>
  <si>
    <t>SRF-DE-PG - EL-OPG-8</t>
  </si>
  <si>
    <t>P000000195</t>
  </si>
  <si>
    <t>SRF-DE-PG - Pigments Production</t>
  </si>
  <si>
    <t>P000000196</t>
  </si>
  <si>
    <t>SRF-DE-PG - EL-OPG-1</t>
  </si>
  <si>
    <t>P000000197</t>
  </si>
  <si>
    <t>SRF-DE-PG - EL-OPG-2</t>
  </si>
  <si>
    <t>P000000198</t>
  </si>
  <si>
    <t>SRF-DE-PG - EL-OPG-5</t>
  </si>
  <si>
    <t>P000000199</t>
  </si>
  <si>
    <t>SRF-DE-PG Analytics (T6c)</t>
  </si>
  <si>
    <t>P000000200</t>
  </si>
  <si>
    <t>SRF-DE-PG Maintenance/Engineering (T3)</t>
  </si>
  <si>
    <t>P000000201</t>
  </si>
  <si>
    <t>SRF-DE-PG Energies/Utilities (T4)</t>
  </si>
  <si>
    <t>P000000202</t>
  </si>
  <si>
    <t>SRF-DE-PG Environmental Protection (T5)</t>
  </si>
  <si>
    <t>P000000203</t>
  </si>
  <si>
    <t>SRF-DE-PG Prod.infrast. &amp; non-off-buil.</t>
  </si>
  <si>
    <t>P000000204</t>
  </si>
  <si>
    <t>SRF-DE-PG Incom. storage&amp;handling (T7)</t>
  </si>
  <si>
    <t>P000000205</t>
  </si>
  <si>
    <t>SRF-DE-PG Local Prod./Proc. Dev. &amp; Opt.</t>
  </si>
  <si>
    <t>P000000206</t>
  </si>
  <si>
    <t>SRF-DE-PG Other</t>
  </si>
  <si>
    <t>P000000330</t>
  </si>
  <si>
    <t>SRF-DE-PG Quality (T2)</t>
  </si>
  <si>
    <t>P000000331</t>
  </si>
  <si>
    <t>Non-GrEx, SRF-DE-PG, Gernsheim, Germany</t>
  </si>
  <si>
    <t>P000000797</t>
  </si>
  <si>
    <t>EL-ND-NE Allentown, USA</t>
  </si>
  <si>
    <t>P000000968</t>
  </si>
  <si>
    <t>GrEx, DSS-US-VT, Allentown, USA</t>
  </si>
  <si>
    <t>P000000969</t>
  </si>
  <si>
    <t>DSS-US-VT Direct Manufacturing</t>
  </si>
  <si>
    <t>P000000970</t>
  </si>
  <si>
    <t>DSS-US-VT Indirect Manufacturing</t>
  </si>
  <si>
    <t>P000000971</t>
  </si>
  <si>
    <t>Non-GrEx, DSS-US-VT, Allentown, USA</t>
  </si>
  <si>
    <t>EL-ND-NC Chandler, USA</t>
  </si>
  <si>
    <t>P000000973</t>
  </si>
  <si>
    <t>GrEx, DSS-US-CH, Chandler, USA</t>
  </si>
  <si>
    <t>P000000974</t>
  </si>
  <si>
    <t>DSS-US-CH Direct Manufacturing</t>
  </si>
  <si>
    <t>P000000975</t>
  </si>
  <si>
    <t>DSS-US-CH Indirect Manufacturing</t>
  </si>
  <si>
    <t>P000000976</t>
  </si>
  <si>
    <t>Non-GrEx, DSS-US-CH, Chandler, USA</t>
  </si>
  <si>
    <t>P000000981</t>
  </si>
  <si>
    <t>EL-ND-AC Shanghai, China</t>
  </si>
  <si>
    <t>P000000982</t>
  </si>
  <si>
    <t>GrEx, DSS-CN-WG, Shanghai, China</t>
  </si>
  <si>
    <t>P000000983</t>
  </si>
  <si>
    <t>DSS-CN-WG Direct Manufacturing</t>
  </si>
  <si>
    <t>P000000984</t>
  </si>
  <si>
    <t>DSS-CN-WG Indirect Manufacturing</t>
  </si>
  <si>
    <t>P000000985</t>
  </si>
  <si>
    <t>Non-GrEx, DSS-CN-WG, Shanghai, China</t>
  </si>
  <si>
    <t>P000000986</t>
  </si>
  <si>
    <t>DSS-TW-KA Kaohsiung, Taiwan</t>
  </si>
  <si>
    <t>P000000987</t>
  </si>
  <si>
    <t>GrEx, DSS-TW-KA, Kaohsiung, Taiwan</t>
  </si>
  <si>
    <t>P000000988</t>
  </si>
  <si>
    <t>DSS-TW-KA Direct Manufacturing</t>
  </si>
  <si>
    <t>P000000989</t>
  </si>
  <si>
    <t>DSS-TW-KA Indirect Manufacturing</t>
  </si>
  <si>
    <t>P000000990</t>
  </si>
  <si>
    <t>Non-GrEx, DSS-TW-KA, Kaohsiung, Taiwan</t>
  </si>
  <si>
    <t>EL-ND-KB Ansan, S. Korea</t>
  </si>
  <si>
    <t>P000000995</t>
  </si>
  <si>
    <t>GrEx, DSS-KR-HY, Ansan, S. Korea</t>
  </si>
  <si>
    <t>P000000996</t>
  </si>
  <si>
    <t>DSS-KR-HY Direct Manufacturing</t>
  </si>
  <si>
    <t>P000000997</t>
  </si>
  <si>
    <t>DSS-KR-HY Indirect Manufacturing</t>
  </si>
  <si>
    <t>P000000998</t>
  </si>
  <si>
    <t>Non-GrEx, DSS-KR-HY, Ansan, S. Korea</t>
  </si>
  <si>
    <t>P000000249</t>
  </si>
  <si>
    <t>EL-TF-DK Kaohsiung, Taiwan</t>
  </si>
  <si>
    <t>P000000811</t>
  </si>
  <si>
    <t>GrEx, THF-TW-KA, Kaohsiung, Taiwan</t>
  </si>
  <si>
    <t>P000000250</t>
  </si>
  <si>
    <t>THF-TW-KA Production (T1)</t>
  </si>
  <si>
    <t>P000000251</t>
  </si>
  <si>
    <t>THF-TW-KA Analytics (T6c)</t>
  </si>
  <si>
    <t>P000000252</t>
  </si>
  <si>
    <t>THF-TW-KA Maintenance/Engineering (T3)</t>
  </si>
  <si>
    <t>P000000253</t>
  </si>
  <si>
    <t>THF-TW-KA Energies/Utilities supply (T4</t>
  </si>
  <si>
    <t>P000000254</t>
  </si>
  <si>
    <t>THF-TW-KA Environmental Protection (T5)</t>
  </si>
  <si>
    <t>P000000255</t>
  </si>
  <si>
    <t>THF-TW-KA Prod.infrast. &amp; non-off-buil.</t>
  </si>
  <si>
    <t>P000000256</t>
  </si>
  <si>
    <t>THF-TW-KA Incom. storage&amp;handling (T7)</t>
  </si>
  <si>
    <t>P000000257</t>
  </si>
  <si>
    <t>THF-TW-KA Local Prod./Proc. Dev. &amp; Opt.</t>
  </si>
  <si>
    <t>P000000258</t>
  </si>
  <si>
    <t>THF-TW-KA Other</t>
  </si>
  <si>
    <t>P000000340</t>
  </si>
  <si>
    <t>THF-TW-KA  Local Quality Kaohsiung</t>
  </si>
  <si>
    <t>P000000341</t>
  </si>
  <si>
    <t>THF-TW-KA Quality (T2)</t>
  </si>
  <si>
    <t>P000000812</t>
  </si>
  <si>
    <t>Non-GrEx, THF-TW-KA, Kaohsiung, Taiwan</t>
  </si>
  <si>
    <t>P000000527</t>
  </si>
  <si>
    <t>EL-TF-DC Carlsbad, USA</t>
  </si>
  <si>
    <t>P000000813</t>
  </si>
  <si>
    <t>GrEx, THF-US-CB, Carlsbad, USA</t>
  </si>
  <si>
    <t>P000000814</t>
  </si>
  <si>
    <t>THF-US-CB Direct Manufacturing</t>
  </si>
  <si>
    <t>P000000815</t>
  </si>
  <si>
    <t>THF-US-CB Indirect Manufacturing</t>
  </si>
  <si>
    <t>P000000816</t>
  </si>
  <si>
    <t>THF-US-CB Manuf. Overhead</t>
  </si>
  <si>
    <t>P000000817</t>
  </si>
  <si>
    <t>THF-US-CB Quality</t>
  </si>
  <si>
    <t>P000000818</t>
  </si>
  <si>
    <t>THF-US-CB Container Prep</t>
  </si>
  <si>
    <t>P000000819</t>
  </si>
  <si>
    <t>Non-GrEx, THF-US-CB, Carlsbad, USA</t>
  </si>
  <si>
    <t>P000000528</t>
  </si>
  <si>
    <t>EL-TF-DA Banwol, S. Korea</t>
  </si>
  <si>
    <t>P000000820</t>
  </si>
  <si>
    <t>GrEx, THF-KR-BA, KRB8-2323, Banwol, KR</t>
  </si>
  <si>
    <t>P000000821</t>
  </si>
  <si>
    <t>THF-KR-BA Direct Manufacturing</t>
  </si>
  <si>
    <t>P000000822</t>
  </si>
  <si>
    <t>THF-KR-BA TF Direct Manufact.</t>
  </si>
  <si>
    <t>P000000823</t>
  </si>
  <si>
    <t>THF-KR-BA SG Direct Manufact.</t>
  </si>
  <si>
    <t>P000000824</t>
  </si>
  <si>
    <t>THF-KR-BA Indirect Manufacturing</t>
  </si>
  <si>
    <t>P000000825</t>
  </si>
  <si>
    <t>THF-KR-BA Manufact. Overhead</t>
  </si>
  <si>
    <t>P000000826</t>
  </si>
  <si>
    <t>THF-KR-BA Container Prep</t>
  </si>
  <si>
    <t>P000000827</t>
  </si>
  <si>
    <t>THF-KR-BA Quality</t>
  </si>
  <si>
    <t>P000000828</t>
  </si>
  <si>
    <t>Non-GrEx, THF-KR-BA, Banwol, South Korea</t>
  </si>
  <si>
    <t>P000000805</t>
  </si>
  <si>
    <t>EL-TF-DB Eumseong, S. Korea</t>
  </si>
  <si>
    <t>P000000806</t>
  </si>
  <si>
    <t>GrEx, THF-KR-ES, Eumseong, S. Korea</t>
  </si>
  <si>
    <t>P000000807</t>
  </si>
  <si>
    <t>Non-GrEx, THF-KR-ES, Eumseong, S. Korea</t>
  </si>
  <si>
    <t>EL-SG-DAF Ulsan, S. Korea</t>
  </si>
  <si>
    <t>P000000910</t>
  </si>
  <si>
    <t>GrEx, SPG-KR-UL, Ulsan, S. Korea</t>
  </si>
  <si>
    <t>P000000911</t>
  </si>
  <si>
    <t>SPG-KR-UL Direct Manufacturing</t>
  </si>
  <si>
    <t>P000000912</t>
  </si>
  <si>
    <t>SPG-KR-UL Indirect Manufacturing</t>
  </si>
  <si>
    <t>P000000913</t>
  </si>
  <si>
    <t>SPG-KR-UL Manufact. Overhead</t>
  </si>
  <si>
    <t>P000000914</t>
  </si>
  <si>
    <t>SPG-KR-UL Container Prep</t>
  </si>
  <si>
    <t>P000000915</t>
  </si>
  <si>
    <t>SPG-KR-UL Quality</t>
  </si>
  <si>
    <t>P000000916</t>
  </si>
  <si>
    <t>Non-GrEx, SPG-KR-UL, Ulsan, S. Korea</t>
  </si>
  <si>
    <t>P000000515</t>
  </si>
  <si>
    <t>EL-SG-DAA Sihwa, S. Korea</t>
  </si>
  <si>
    <t>P000000917</t>
  </si>
  <si>
    <t>GrEx, SPG-KR-SH, Sihwa, S. Korea</t>
  </si>
  <si>
    <t>P000000918</t>
  </si>
  <si>
    <t>SPG-KR-SH Direct Manufacturing</t>
  </si>
  <si>
    <t>P000000919</t>
  </si>
  <si>
    <t>SPG-KR-SH TF Direct Manufact.</t>
  </si>
  <si>
    <t>P000000920</t>
  </si>
  <si>
    <t>SPG-KR-SH SG Direct Manufact.</t>
  </si>
  <si>
    <t>P000000921</t>
  </si>
  <si>
    <t>SPG-KR-SH Indirect Manufacturing</t>
  </si>
  <si>
    <t>P000000922</t>
  </si>
  <si>
    <t>SPG-KR-SH Manufact. Overhead</t>
  </si>
  <si>
    <t>P000000923</t>
  </si>
  <si>
    <t>SPG-KR-SH Container Prep</t>
  </si>
  <si>
    <t>P000000924</t>
  </si>
  <si>
    <t>SPG-KR-SH Quality</t>
  </si>
  <si>
    <t>P000000925</t>
  </si>
  <si>
    <t>Non-GrEx, SPG-KR-SH, Sihwa, S. Korea</t>
  </si>
  <si>
    <t>P000000516</t>
  </si>
  <si>
    <t>EL-SG-DH Hometown, USA</t>
  </si>
  <si>
    <t>P000000926</t>
  </si>
  <si>
    <t>GrEx, SPG-US-HT, Hometown, USA</t>
  </si>
  <si>
    <t>P000000927</t>
  </si>
  <si>
    <t>SPG-US-HT Direct Manufacturing</t>
  </si>
  <si>
    <t>P000000928</t>
  </si>
  <si>
    <t>SPG-US-HT TF Direct Manufact.</t>
  </si>
  <si>
    <t>P000000929</t>
  </si>
  <si>
    <t>SPG-US-HT SG Direct Manufact.</t>
  </si>
  <si>
    <t>P000000930</t>
  </si>
  <si>
    <t>SPG-US-HT Indirect Manufacturing</t>
  </si>
  <si>
    <t>P000000931</t>
  </si>
  <si>
    <t>SPG-US-HT SG Manufact. Overhead</t>
  </si>
  <si>
    <t>P000000932</t>
  </si>
  <si>
    <t>SPG-US-HT SG Container Prep</t>
  </si>
  <si>
    <t>P000000933</t>
  </si>
  <si>
    <t>SPG-US-HT TF Manufact. Overhead</t>
  </si>
  <si>
    <t>P000000934</t>
  </si>
  <si>
    <t>SPG-US-HT TF Container Prep</t>
  </si>
  <si>
    <t>P000000935</t>
  </si>
  <si>
    <t>SPG-US-HT Quality</t>
  </si>
  <si>
    <t>P000000936</t>
  </si>
  <si>
    <t>Non-GrEx, SPG-US-HT, Hometown, USA</t>
  </si>
  <si>
    <t>P000000517</t>
  </si>
  <si>
    <t>EL-SG-DN Nanke, Taiwan</t>
  </si>
  <si>
    <t>P000000937</t>
  </si>
  <si>
    <t>GrEx, SPG-TW-NA, Nanke, Taiwan</t>
  </si>
  <si>
    <t>P000000938</t>
  </si>
  <si>
    <t>SPG-TW-NA Direct Manufacturing</t>
  </si>
  <si>
    <t>P000000939</t>
  </si>
  <si>
    <t>SPG-TW-NA TF Direct Manufact.</t>
  </si>
  <si>
    <t>P000000940</t>
  </si>
  <si>
    <t>SPG-TW-NA SG Direct Manufact.</t>
  </si>
  <si>
    <t>P000000941</t>
  </si>
  <si>
    <t>SPG-TW-NA Indirect Manufacturing</t>
  </si>
  <si>
    <t>P000000942</t>
  </si>
  <si>
    <t>SPG-TW-NA Manufact. Overhead</t>
  </si>
  <si>
    <t>P000000943</t>
  </si>
  <si>
    <t>SPG-TW-NA Container Prep</t>
  </si>
  <si>
    <t>P000000944</t>
  </si>
  <si>
    <t>SPG-TW-NA Quality</t>
  </si>
  <si>
    <t>P000000945</t>
  </si>
  <si>
    <t>Non-GrEx, SPG-TW-NA, Nanke, Taiwan</t>
  </si>
  <si>
    <t>P000000946</t>
  </si>
  <si>
    <t>GrEx, THF-US-CT, Catoosa, USA</t>
  </si>
  <si>
    <t>P000000947</t>
  </si>
  <si>
    <t>THF-US-CT Direct Manufacturing</t>
  </si>
  <si>
    <t>P000000948</t>
  </si>
  <si>
    <t>THF-US-CT TF Direct Manufact.</t>
  </si>
  <si>
    <t>P000000949</t>
  </si>
  <si>
    <t>THF-US-CT SG Direct Manufact.</t>
  </si>
  <si>
    <t>P000000950</t>
  </si>
  <si>
    <t>THF-US-CT Indirect Manufacturing</t>
  </si>
  <si>
    <t>P000000951</t>
  </si>
  <si>
    <t>THF-US-CT Manufact. Overhead</t>
  </si>
  <si>
    <t>P000000952</t>
  </si>
  <si>
    <t>THF-US-CT Quality</t>
  </si>
  <si>
    <t>P000000953</t>
  </si>
  <si>
    <t>Non-GrEx, THF-US-CT, Catoosa, USA</t>
  </si>
  <si>
    <t>P000000909</t>
  </si>
  <si>
    <t>EL-SG-DR ZhangJiaGang, China</t>
  </si>
  <si>
    <t>P000000209</t>
  </si>
  <si>
    <t>EL-FO-PDB Branchburg, USA</t>
  </si>
  <si>
    <t>P000000842</t>
  </si>
  <si>
    <t>GrEx, PAT-US-BU, Branchburg, USA</t>
  </si>
  <si>
    <t>P000000210</t>
  </si>
  <si>
    <t>PAT-US-BU Production (T1)</t>
  </si>
  <si>
    <t>P000000211</t>
  </si>
  <si>
    <t>PAT-US-BU Analytics (T6c).</t>
  </si>
  <si>
    <t>P000000212</t>
  </si>
  <si>
    <t>PAT-US-BU Maintenance/Engineering (T3).</t>
  </si>
  <si>
    <t>P000000213</t>
  </si>
  <si>
    <t>PAT-US-BU Energies/Utilities (T4).</t>
  </si>
  <si>
    <t>P000000214</t>
  </si>
  <si>
    <t>PAT-US-BU Environmental Protection (T5)</t>
  </si>
  <si>
    <t>P000000215</t>
  </si>
  <si>
    <t>PAT-US-BU Prod.infrast. &amp; non-off-buil.</t>
  </si>
  <si>
    <t>P000000216</t>
  </si>
  <si>
    <t>PAT-US-BU Incom. storage&amp;handling (T7)</t>
  </si>
  <si>
    <t>P000000217</t>
  </si>
  <si>
    <t>PAT-US-BU Local Prod./Proc. Dev. &amp; Opt.</t>
  </si>
  <si>
    <t>P000000218</t>
  </si>
  <si>
    <t>PAT-US-BU Other</t>
  </si>
  <si>
    <t>P000000314</t>
  </si>
  <si>
    <t>PAT-US-BU Local Quality Branchburg</t>
  </si>
  <si>
    <t>P000000315</t>
  </si>
  <si>
    <t>PAT-US-BU Quality (T2)</t>
  </si>
  <si>
    <t>P000000843</t>
  </si>
  <si>
    <t>Non-GrEx, PAT-US-BU, Branchburg, USA</t>
  </si>
  <si>
    <t>P000000229</t>
  </si>
  <si>
    <t>EL-FO-PDS Shizuoka, Japan</t>
  </si>
  <si>
    <t>P000000844</t>
  </si>
  <si>
    <t>GrEx, PAT-JP-SZ, Shizuoka, Japan</t>
  </si>
  <si>
    <t>P000000230</t>
  </si>
  <si>
    <t>PAT-JP-SZ Production (T1)</t>
  </si>
  <si>
    <t>P000000231</t>
  </si>
  <si>
    <t>PAT-JP-SZ Analytics (T6c)</t>
  </si>
  <si>
    <t>P000000232</t>
  </si>
  <si>
    <t>PAT-JP-SZ Maintenance/Engineering (T3)</t>
  </si>
  <si>
    <t>P000000233</t>
  </si>
  <si>
    <t>PAT-JP-SZ Energies/Utilities (T4)</t>
  </si>
  <si>
    <t>P000000234</t>
  </si>
  <si>
    <t>PAT-JP-SZ Environmental Protection (T5)</t>
  </si>
  <si>
    <t>P000000235</t>
  </si>
  <si>
    <t>PAT-JP-SZ Prod.infrast. &amp; non-off-buil.</t>
  </si>
  <si>
    <t>P000000236</t>
  </si>
  <si>
    <t>PAT-JP-SZ Incom. storage&amp;handling (T7)</t>
  </si>
  <si>
    <t>P000000237</t>
  </si>
  <si>
    <t>PAT-JP-SZ Local Prod./Proc. Dev. &amp; Opt.</t>
  </si>
  <si>
    <t>P000000238</t>
  </si>
  <si>
    <t>PAT-JP-SZ Other</t>
  </si>
  <si>
    <t>P000000304</t>
  </si>
  <si>
    <t>PAT-JP-SZ Local Quality Shizuoka</t>
  </si>
  <si>
    <t>P000000305</t>
  </si>
  <si>
    <t>PAT-JP-SZ  Quality (T2)</t>
  </si>
  <si>
    <t>P000000845</t>
  </si>
  <si>
    <t>Non-GrEx, PAT-JP-SZ, Shizuoka, Japan</t>
  </si>
  <si>
    <t>P000000239</t>
  </si>
  <si>
    <t>EL-FO-PDW Wiesbaden, Germany</t>
  </si>
  <si>
    <t>P000000846</t>
  </si>
  <si>
    <t>GrEx, PAT-DE-WI, Wiesbaden, Germany</t>
  </si>
  <si>
    <t>P000000240</t>
  </si>
  <si>
    <t>PAT-DE-WI Production (T1)</t>
  </si>
  <si>
    <t>P000000241</t>
  </si>
  <si>
    <t>PAT-DE-WI Analytics (T6c).</t>
  </si>
  <si>
    <t>P000000242</t>
  </si>
  <si>
    <t>PAT-DE-WI Maintenance/Engineering (T3).</t>
  </si>
  <si>
    <t>P000000243</t>
  </si>
  <si>
    <t>PAT-DE-WI Energies/Utilities (T4).</t>
  </si>
  <si>
    <t>P000000244</t>
  </si>
  <si>
    <t>PAT-DE-WI Environmental Protection (T5)</t>
  </si>
  <si>
    <t>P000000245</t>
  </si>
  <si>
    <t>PAT-DE-WI Prod.infrast. &amp; non-off-buil.</t>
  </si>
  <si>
    <t>P000000246</t>
  </si>
  <si>
    <t>PAT-DE-WI Incom. storage&amp;handling (T7)</t>
  </si>
  <si>
    <t>P000000247</t>
  </si>
  <si>
    <t>PAT-DE-WI Development (EL-OTI)</t>
  </si>
  <si>
    <t>P000000248</t>
  </si>
  <si>
    <t>PAT-DE-WI Other</t>
  </si>
  <si>
    <t>P000000326</t>
  </si>
  <si>
    <t>PAT-DE-WI Local Quality Wiesbaden</t>
  </si>
  <si>
    <t>P000000327</t>
  </si>
  <si>
    <t>PAT-DE-WI Quality (T2)</t>
  </si>
  <si>
    <t>P000000847</t>
  </si>
  <si>
    <t>Non-GrEx, PAT-DE-WI, Wiesbaden, Germany</t>
  </si>
  <si>
    <t>EL-FO-PCM Martin, USA</t>
  </si>
  <si>
    <t>P000000875</t>
  </si>
  <si>
    <t>GrEx, PAT-US-MA, Martin, USA</t>
  </si>
  <si>
    <t>P000000260</t>
  </si>
  <si>
    <t>PAT-US-MA Production (T1)</t>
  </si>
  <si>
    <t>P000000261</t>
  </si>
  <si>
    <t>PAT-US-MA Analytics (T6c)</t>
  </si>
  <si>
    <t>P000000262</t>
  </si>
  <si>
    <t>PAT-US-MA Maintenance/Engineering (T3)</t>
  </si>
  <si>
    <t>P000000263</t>
  </si>
  <si>
    <t>PAT-US-MA Energies/Utilities (T4)</t>
  </si>
  <si>
    <t>P000000264</t>
  </si>
  <si>
    <t>PAT-US-MA Environmental Protection (T5)</t>
  </si>
  <si>
    <t>P000000265</t>
  </si>
  <si>
    <t>PAT-US-MA Prod.infrast. &amp; non-off-buil.</t>
  </si>
  <si>
    <t>P000000266</t>
  </si>
  <si>
    <t>PAT-US-MA Incom. storage&amp;handling (T7)</t>
  </si>
  <si>
    <t>P000000267</t>
  </si>
  <si>
    <t>PAT-US-MA Local Prod./Proc. Dev. &amp; Opt.</t>
  </si>
  <si>
    <t>P000000268</t>
  </si>
  <si>
    <t>PAT-US-MA Other</t>
  </si>
  <si>
    <t>P000000312</t>
  </si>
  <si>
    <t>PAT-US-MA  Local quality Martin</t>
  </si>
  <si>
    <t>P000000313</t>
  </si>
  <si>
    <t>PAT-US-MA Quality (T2)</t>
  </si>
  <si>
    <t>P000000876</t>
  </si>
  <si>
    <t>Non-GrEx, PAT-US-MA, Martin, USA</t>
  </si>
  <si>
    <t>P000000269</t>
  </si>
  <si>
    <t>EL-FO-PCL Lamotte, France</t>
  </si>
  <si>
    <t>P000000877</t>
  </si>
  <si>
    <t>GrEx, PAT-FR-LA, Lamotte, France</t>
  </si>
  <si>
    <t>P000000270</t>
  </si>
  <si>
    <t>PAT-FR-LA Production (T1)</t>
  </si>
  <si>
    <t>P000000271</t>
  </si>
  <si>
    <t>PAT-FR-LA Analytics (T6c)</t>
  </si>
  <si>
    <t>P000000272</t>
  </si>
  <si>
    <t>PAT-FR-LA Maintenance/Engineering (T3)</t>
  </si>
  <si>
    <t>P000000273</t>
  </si>
  <si>
    <t>PAT-FR-LA Energies/Utilities (T4)</t>
  </si>
  <si>
    <t>P000000274</t>
  </si>
  <si>
    <t>PAT-FR-LA Environmental Protection (T5)</t>
  </si>
  <si>
    <t>P000000275</t>
  </si>
  <si>
    <t>PAT-FR-LA Prod.infrast. &amp; non-off-buil.</t>
  </si>
  <si>
    <t>P000000276</t>
  </si>
  <si>
    <t>PAT-FR-LA Incom. storage&amp;handling (T7)</t>
  </si>
  <si>
    <t>P000000277</t>
  </si>
  <si>
    <t>PAT-FR-LA Local Prod./Proc. Dev. &amp; Opt.</t>
  </si>
  <si>
    <t>P000000278</t>
  </si>
  <si>
    <t>PAT-FR-LA Other</t>
  </si>
  <si>
    <t>P000000308</t>
  </si>
  <si>
    <t>PAT-FR-LA Local Quality Lamotte</t>
  </si>
  <si>
    <t>P000000309</t>
  </si>
  <si>
    <t>PAT-FR-LA Quality (T2)</t>
  </si>
  <si>
    <t>P000000878</t>
  </si>
  <si>
    <t>Non-GrEx, PAT-FR-LA, Lamotte, France</t>
  </si>
  <si>
    <t>P000000279</t>
  </si>
  <si>
    <t>EL-FO-PDA Anseong, S. Korea</t>
  </si>
  <si>
    <t>P000000848</t>
  </si>
  <si>
    <t>GrEx, PAT-KR-AN, Anseong, S. Korea</t>
  </si>
  <si>
    <t>P000000280</t>
  </si>
  <si>
    <t>PAT-KR-AN Production (T1)</t>
  </si>
  <si>
    <t>P000000281</t>
  </si>
  <si>
    <t>PAT-KR-AN Analytics (T6c)</t>
  </si>
  <si>
    <t>P000000282</t>
  </si>
  <si>
    <t>PAT-KR-AN Maintenance/Engineering (T3)</t>
  </si>
  <si>
    <t>P000000283</t>
  </si>
  <si>
    <t>PAT-KR-AN Energies/Utilities (T4)</t>
  </si>
  <si>
    <t>P000000284</t>
  </si>
  <si>
    <t>PAT-KR-AN Environmental Protection (T5)</t>
  </si>
  <si>
    <t>P000000285</t>
  </si>
  <si>
    <t>PAT-KR-AN Prod.infrast. &amp; non-off-buil.</t>
  </si>
  <si>
    <t>P000000286</t>
  </si>
  <si>
    <t>PAT-KR-AN Incom. storage&amp;handling (T7)</t>
  </si>
  <si>
    <t>P000000287</t>
  </si>
  <si>
    <t>PAT-KR-AN Local Prod./Proc. Dev. &amp; Opt.</t>
  </si>
  <si>
    <t>P000000288</t>
  </si>
  <si>
    <t>PAT-KR-AN Other</t>
  </si>
  <si>
    <t>P000000338</t>
  </si>
  <si>
    <t>PAT-KR-AN  Local quality Anseong</t>
  </si>
  <si>
    <t>P000000339</t>
  </si>
  <si>
    <t>PAT-KR-AN Quality (T2)</t>
  </si>
  <si>
    <t>P000000849</t>
  </si>
  <si>
    <t>Non-GrEx, PAT-KR-AN, Anseong, S. Korea</t>
  </si>
  <si>
    <t>P000000523</t>
  </si>
  <si>
    <t>EL-FO-ADD Dallas, USA</t>
  </si>
  <si>
    <t>P000000879</t>
  </si>
  <si>
    <t>GrEx, PLA-US-DA, Dallas, USA</t>
  </si>
  <si>
    <t>P000000880</t>
  </si>
  <si>
    <t>PLA-US-DA Direct Manufacturing</t>
  </si>
  <si>
    <t>P000001066</t>
  </si>
  <si>
    <t>PLA-US-DA PLA Direct Manufact.</t>
  </si>
  <si>
    <t>P000001067</t>
  </si>
  <si>
    <t>PLA-US-DA PAT Direct Manufact.</t>
  </si>
  <si>
    <t>P000000883</t>
  </si>
  <si>
    <t>PLA-US-DA Indirect Manufacturing</t>
  </si>
  <si>
    <t>P000001068</t>
  </si>
  <si>
    <t>PLA-US-DA Manufact. Overhead</t>
  </si>
  <si>
    <t>P000001069</t>
  </si>
  <si>
    <t>PLA-US-DA Quality</t>
  </si>
  <si>
    <t>P000000886</t>
  </si>
  <si>
    <t>Non-GrEx, PLA-US-DA, Dallas, USA</t>
  </si>
  <si>
    <t>P000000524</t>
  </si>
  <si>
    <t>EL-FO-ADT Tempe, USA</t>
  </si>
  <si>
    <t>P000000887</t>
  </si>
  <si>
    <t>GrEx, PLA-US-TP, Tempe, USA</t>
  </si>
  <si>
    <t>P000000888</t>
  </si>
  <si>
    <t>PLA-US-TP Direct Manufacturing</t>
  </si>
  <si>
    <t>P000000889</t>
  </si>
  <si>
    <t>PLA-US-TP Indirect Manufacturing</t>
  </si>
  <si>
    <t>P000001064</t>
  </si>
  <si>
    <t>PLA-US-TP Manufact. Overhead</t>
  </si>
  <si>
    <t>P000001065</t>
  </si>
  <si>
    <t>PLA-US-TP Quality</t>
  </si>
  <si>
    <t>P000000892</t>
  </si>
  <si>
    <t>Non-GrEx, PLA-US-TP, Tempe, USA</t>
  </si>
  <si>
    <t>P000000525</t>
  </si>
  <si>
    <t>EL-FO-ADA Pyeongtaek, S. Korea</t>
  </si>
  <si>
    <t>P000000893</t>
  </si>
  <si>
    <t>GrEx, PLA-KR-PT, Pyeongtaek, S. Korea</t>
  </si>
  <si>
    <t>P000000894</t>
  </si>
  <si>
    <t>PLA-KR-PT Direct Manufacturing</t>
  </si>
  <si>
    <t>P000001060</t>
  </si>
  <si>
    <t>PLA-KR-PT PLA Direct Manufact.</t>
  </si>
  <si>
    <t>P000001061</t>
  </si>
  <si>
    <t>PLA-KR-PT PAT Direct Manufact.</t>
  </si>
  <si>
    <t>P000000897</t>
  </si>
  <si>
    <t>PLA-KR-PT Indirect Manufacturing</t>
  </si>
  <si>
    <t>P000001062</t>
  </si>
  <si>
    <t>PLA-KR-PT Manufact. Overhead</t>
  </si>
  <si>
    <t>P000001063</t>
  </si>
  <si>
    <t>PLA-KR-PT Quality</t>
  </si>
  <si>
    <t>P000000900</t>
  </si>
  <si>
    <t>Non-GrEx, PLA-KR-PT, Pyeongtaek, S. Kore</t>
  </si>
  <si>
    <t>P000001167</t>
  </si>
  <si>
    <t>EL-DS-SG Global Demand &amp; Supply Planning</t>
  </si>
  <si>
    <t>P000000055</t>
  </si>
  <si>
    <t>P000001168</t>
  </si>
  <si>
    <t>EL-DS-SV Value Stream Mngt</t>
  </si>
  <si>
    <t>EL-TF-DT Catoosa, USA</t>
  </si>
  <si>
    <t>P000000804</t>
  </si>
  <si>
    <t>FR6087244</t>
  </si>
  <si>
    <t>SM-I Infr. Build. &amp; Open Area</t>
  </si>
  <si>
    <t>SM-X dummy 4</t>
  </si>
  <si>
    <t>FR6082937</t>
  </si>
  <si>
    <t>G000001233</t>
  </si>
  <si>
    <t>EF-IT-EA EF Group Applications</t>
  </si>
  <si>
    <t>G000001234</t>
  </si>
  <si>
    <t>EF-IT-EI MITC Management</t>
  </si>
  <si>
    <t>G000001235</t>
  </si>
  <si>
    <t>EF-IT-PA Corporate ERP Apps</t>
  </si>
  <si>
    <t>G000001236</t>
  </si>
  <si>
    <t>EF-DD-AD Data Office for Enabling Functions</t>
  </si>
  <si>
    <t>G000001237</t>
  </si>
  <si>
    <t>EF-DD-AC Key Capabilities</t>
  </si>
  <si>
    <t>no ticket1</t>
  </si>
  <si>
    <t>P000001169</t>
  </si>
  <si>
    <t>EL-FO-PAI Customer Applications, Innovation Products</t>
  </si>
  <si>
    <t>P000001170</t>
  </si>
  <si>
    <t>EL-CN-S6B Customer Applications Patterning</t>
  </si>
  <si>
    <t>P000001171</t>
  </si>
  <si>
    <t>EL-FO-ADZ Toll Manufacturing</t>
  </si>
  <si>
    <t>FR6097204</t>
  </si>
  <si>
    <t>FR6104405</t>
  </si>
  <si>
    <t>IT06071800</t>
  </si>
  <si>
    <t>IT06071900</t>
  </si>
  <si>
    <t>IT06100600</t>
  </si>
  <si>
    <t>IT07010300</t>
  </si>
  <si>
    <t>IT07010400</t>
  </si>
  <si>
    <t>FR6113528</t>
  </si>
  <si>
    <t>EF-IT Merck IT_I</t>
  </si>
  <si>
    <t>EF-IT Merck IT</t>
  </si>
  <si>
    <t>EF-IT-AR R&amp;D</t>
  </si>
  <si>
    <t>EF-IT-AS Marketing &amp; Sales</t>
  </si>
  <si>
    <t>EF-IT-AT Automation Strategy</t>
  </si>
  <si>
    <t>EF-IT-AZ IT-App Tech CoE</t>
  </si>
  <si>
    <t>EF-IT-AF EF Group Applications</t>
  </si>
  <si>
    <t>HC-BA-D Digital, Data and IT Healthcare</t>
  </si>
  <si>
    <t>HC-BA-D Digital,Data and IT Healthcare_I</t>
  </si>
  <si>
    <t>HC-BA-DP Performance &amp; Portfolio Mgmt</t>
  </si>
  <si>
    <t>LS-IT IT Life Science</t>
  </si>
  <si>
    <t>LS-IT IT Life Science_I</t>
  </si>
  <si>
    <t>LS-IT-E Sales &amp; Distribution</t>
  </si>
  <si>
    <t>LS-IT-P Performance &amp; Porfolio Mgmt</t>
  </si>
  <si>
    <t>EL-BP-I IT Electronics_I</t>
  </si>
  <si>
    <t>EL-BP-ID Business Partner Display Solution</t>
  </si>
  <si>
    <t>EL-BP-II Business Partner Semiconductor</t>
  </si>
  <si>
    <t>EL-BP-IO Performance &amp; Portfolio Mgmt</t>
  </si>
  <si>
    <t>EL-BP-IN Business Partner DS&amp;S</t>
  </si>
  <si>
    <t>EL-BP-IT CIO Office IT Electronics</t>
  </si>
  <si>
    <t>EL-BP-IP Business Partner Surface Solution</t>
  </si>
  <si>
    <t>EL-BP-IR Electronics ERP</t>
  </si>
  <si>
    <t>EF-IT-EC CoE Key Capabilities</t>
  </si>
  <si>
    <t>EF-IT-PM MGF</t>
  </si>
  <si>
    <t>EF-IT-GA IT Audit &amp; Compliance</t>
  </si>
  <si>
    <t>HC-BA-DP Performance &amp; Portfolio Management</t>
  </si>
  <si>
    <t>LS-IT-P Performance &amp; Porfolio Management</t>
  </si>
  <si>
    <t>EL-BP-II Business Partner Semiconductor M/</t>
  </si>
  <si>
    <t>EL-BP-IO Performance &amp; Portfolio Management</t>
  </si>
  <si>
    <t>FR5068879</t>
  </si>
  <si>
    <t>L000011515</t>
  </si>
  <si>
    <t>Closed</t>
  </si>
  <si>
    <t>L000013398</t>
  </si>
  <si>
    <t>BioVV - Quality &amp; Regulatory -G</t>
  </si>
  <si>
    <t>L000006935</t>
  </si>
  <si>
    <t>FR5072548</t>
  </si>
  <si>
    <t>G000000958</t>
  </si>
  <si>
    <t>G000000955</t>
  </si>
  <si>
    <t>G000000959</t>
  </si>
  <si>
    <t>G000000960</t>
  </si>
  <si>
    <t>G000000961</t>
  </si>
  <si>
    <t>G000000962</t>
  </si>
  <si>
    <t>G000000963</t>
  </si>
  <si>
    <t>G000000964</t>
  </si>
  <si>
    <t>G000000965</t>
  </si>
  <si>
    <t>G000000966</t>
  </si>
  <si>
    <t>G000000967</t>
  </si>
  <si>
    <t>G000000956</t>
  </si>
  <si>
    <t>G000000968</t>
  </si>
  <si>
    <t>G000000969</t>
  </si>
  <si>
    <t>G000000970</t>
  </si>
  <si>
    <t>G000000971</t>
  </si>
  <si>
    <t>G000000972</t>
  </si>
  <si>
    <t>G000000973</t>
  </si>
  <si>
    <t>G000000974</t>
  </si>
  <si>
    <t>G000000975</t>
  </si>
  <si>
    <t>G000000976</t>
  </si>
  <si>
    <t>G000000977</t>
  </si>
  <si>
    <t>G000000957</t>
  </si>
  <si>
    <t>G000000978</t>
  </si>
  <si>
    <t>G000000979</t>
  </si>
  <si>
    <t>G000000980</t>
  </si>
  <si>
    <t>G000000981</t>
  </si>
  <si>
    <t>G000000982</t>
  </si>
  <si>
    <t>G000000983</t>
  </si>
  <si>
    <t>G000000984</t>
  </si>
  <si>
    <t>G000000985</t>
  </si>
  <si>
    <t>G000000986</t>
  </si>
  <si>
    <t>G000000987</t>
  </si>
  <si>
    <t>G000000988</t>
  </si>
  <si>
    <t>G000000989</t>
  </si>
  <si>
    <t>G000000990</t>
  </si>
  <si>
    <t>G000000991</t>
  </si>
  <si>
    <t>G000000992</t>
  </si>
  <si>
    <t>G000000993</t>
  </si>
  <si>
    <t>G000000994</t>
  </si>
  <si>
    <t>G000000995</t>
  </si>
  <si>
    <t>FR5082089</t>
  </si>
  <si>
    <t>SM-B Strategy Realization &amp; Enablement</t>
  </si>
  <si>
    <t>SM-BB Business Excellence</t>
  </si>
  <si>
    <t>G000000464</t>
  </si>
  <si>
    <t>SM-BS Strategy Realization</t>
  </si>
  <si>
    <t>SM-BC Strategic Contracting</t>
  </si>
  <si>
    <t>SM-BQ dummy 6</t>
  </si>
  <si>
    <t>SM-BD Data &amp; Digital Enablement</t>
  </si>
  <si>
    <t>SM-BP People, Change &amp; Comms</t>
  </si>
  <si>
    <t>G000000471</t>
  </si>
  <si>
    <t>SM-BQ Quality Management</t>
  </si>
  <si>
    <t>FR5092977</t>
  </si>
  <si>
    <t>SM Site Management</t>
  </si>
  <si>
    <t>G000000359</t>
  </si>
  <si>
    <t>SM-H Strategy &amp; Transform.</t>
  </si>
  <si>
    <t>SM-A Analytical Services</t>
  </si>
  <si>
    <t>SM-E Engineering Services</t>
  </si>
  <si>
    <t>SM-U</t>
  </si>
  <si>
    <t>SM-Verrechnungen / Sachkosten</t>
  </si>
  <si>
    <t>G000000890</t>
  </si>
  <si>
    <t>SM-HG Fluxum</t>
  </si>
  <si>
    <t>G000000360</t>
  </si>
  <si>
    <t>SM-HF Future</t>
  </si>
  <si>
    <t>G000000361</t>
  </si>
  <si>
    <t>DA Goes Global</t>
  </si>
  <si>
    <t>G000000362</t>
  </si>
  <si>
    <t>SM-HM Marketing&amp;Dialog</t>
  </si>
  <si>
    <t>G000000888</t>
  </si>
  <si>
    <t>SM-HR HQ Relations &amp; Mgmt of</t>
  </si>
  <si>
    <t>G000000889</t>
  </si>
  <si>
    <t>SM-HP Plattforms</t>
  </si>
  <si>
    <t>SM-A Analytical Services_I</t>
  </si>
  <si>
    <t>SM-A Quality &amp; Support</t>
  </si>
  <si>
    <t>G000000370</t>
  </si>
  <si>
    <t>SM-A Laboratory</t>
  </si>
  <si>
    <t>G000000371</t>
  </si>
  <si>
    <t>SM-A cc-charge</t>
  </si>
  <si>
    <t>SM-E Material Costs</t>
  </si>
  <si>
    <t>SM-E Allocations</t>
  </si>
  <si>
    <t>G000000356</t>
  </si>
  <si>
    <t>SM Site Management_I</t>
  </si>
  <si>
    <t>G000000357</t>
  </si>
  <si>
    <t>DA2030 Implementation</t>
  </si>
  <si>
    <t>G000000358</t>
  </si>
  <si>
    <t>ERP &amp; OPI Transparency</t>
  </si>
  <si>
    <t>G000000399</t>
  </si>
  <si>
    <t>SM-S Site Services_I</t>
  </si>
  <si>
    <t>G000000400</t>
  </si>
  <si>
    <t>SM-S Verrechnungs-KST</t>
  </si>
  <si>
    <t>G000000401</t>
  </si>
  <si>
    <t>SM-S Sachkosten</t>
  </si>
  <si>
    <t>SM-SE Environment &amp; Safety_I</t>
  </si>
  <si>
    <t>G000000434</t>
  </si>
  <si>
    <t>SM-SH Health Services</t>
  </si>
  <si>
    <t>G000000435</t>
  </si>
  <si>
    <t>SM-SF Fire Protect.Site Sec.</t>
  </si>
  <si>
    <t>G000000436</t>
  </si>
  <si>
    <t>SM-SF Fire Protect. Sec.&amp; H.</t>
  </si>
  <si>
    <t>G000000437</t>
  </si>
  <si>
    <t>SM-SP Permits &amp; Envirionment</t>
  </si>
  <si>
    <t>G000000438</t>
  </si>
  <si>
    <t>SM-SO Occupa.&amp;Process Safety</t>
  </si>
  <si>
    <t>G000000878</t>
  </si>
  <si>
    <t>SM-SR Risk Control</t>
  </si>
  <si>
    <t>G000000440</t>
  </si>
  <si>
    <t>SM-Verrechn. / Sachkosten_I</t>
  </si>
  <si>
    <t>G000000441</t>
  </si>
  <si>
    <t>SiteMgmt CO cc-collectors</t>
  </si>
  <si>
    <t>G000000442</t>
  </si>
  <si>
    <t>General Infra. Darmstadt</t>
  </si>
  <si>
    <t>G000000443</t>
  </si>
  <si>
    <t>General Infra. Gernsheim</t>
  </si>
  <si>
    <t>G000000444</t>
  </si>
  <si>
    <t>General Affairs KGaA</t>
  </si>
  <si>
    <t>G000000445</t>
  </si>
  <si>
    <t>Production specific Infra.</t>
  </si>
  <si>
    <t>G000000446</t>
  </si>
  <si>
    <t>HQ Infrastrukture Darmstadt</t>
  </si>
  <si>
    <t>G000000447</t>
  </si>
  <si>
    <t>SM Projekt-KST</t>
  </si>
  <si>
    <t>G000000363</t>
  </si>
  <si>
    <t>SM-TC Communcat. Relations_I</t>
  </si>
  <si>
    <t>G000000364</t>
  </si>
  <si>
    <t>SM-TC costs Sponsoring</t>
  </si>
  <si>
    <t>SM-A Quality &amp; Support_I</t>
  </si>
  <si>
    <t>SM-AS Analytical Support</t>
  </si>
  <si>
    <t>SM-AM Environmental Analytics</t>
  </si>
  <si>
    <t>SM-AL Life Science</t>
  </si>
  <si>
    <t>SM-AE Electronics</t>
  </si>
  <si>
    <t>SM-ED Digit.Eng.&amp;Project Exe.</t>
  </si>
  <si>
    <t>SM-ER R&amp;D &amp; Lab Services</t>
  </si>
  <si>
    <t>SM-EB Building Technologies</t>
  </si>
  <si>
    <t>SM-EM Mechanical Technologies</t>
  </si>
  <si>
    <t>SM-ET Technical Plant Safety</t>
  </si>
  <si>
    <t>SM-EP Site and Production</t>
  </si>
  <si>
    <t>SM-EO Office and Laboratory</t>
  </si>
  <si>
    <t>G000000373</t>
  </si>
  <si>
    <t>SM-E Engineering Services_I</t>
  </si>
  <si>
    <t>G000000375</t>
  </si>
  <si>
    <t>SM-E Material Costs_I</t>
  </si>
  <si>
    <t>G000000402</t>
  </si>
  <si>
    <t>SM-S Sachkosten_I</t>
  </si>
  <si>
    <t>G000000426</t>
  </si>
  <si>
    <t>Ehem. SO-CF Sachkost. (close)</t>
  </si>
  <si>
    <t>SM-SG Services Gernsheim</t>
  </si>
  <si>
    <t>G000000417</t>
  </si>
  <si>
    <t>SM-SCM HQ Campus Management</t>
  </si>
  <si>
    <t>G000000448</t>
  </si>
  <si>
    <t>SM Projekt-KST_I</t>
  </si>
  <si>
    <t>G000000449</t>
  </si>
  <si>
    <t>SM-A Projekt-KST</t>
  </si>
  <si>
    <t>G000000450</t>
  </si>
  <si>
    <t>SO-I Projekt-KST</t>
  </si>
  <si>
    <t>G000000454</t>
  </si>
  <si>
    <t>SO-C Projekt-KST</t>
  </si>
  <si>
    <t>G000000458</t>
  </si>
  <si>
    <t>SO-S Projekt-KST</t>
  </si>
  <si>
    <t>G000000378</t>
  </si>
  <si>
    <t>SM-ED Digit.Eng.&amp;Proj. Exe_I</t>
  </si>
  <si>
    <t>SM-ED w/o Material Costs</t>
  </si>
  <si>
    <t>SM-ED Material Costs</t>
  </si>
  <si>
    <t>G000000382</t>
  </si>
  <si>
    <t>SM-ER R&amp;D &amp; Lab Services_I</t>
  </si>
  <si>
    <t>SM-ER w/o Material Costs</t>
  </si>
  <si>
    <t>SM-EB Building Technologies_I</t>
  </si>
  <si>
    <t>SM-EB Material Costs</t>
  </si>
  <si>
    <t>SM-EB Personnel Costs</t>
  </si>
  <si>
    <t>SM-ET Technic. Plant Safety_I</t>
  </si>
  <si>
    <t>SM-SP Sachkosten KGaA</t>
  </si>
  <si>
    <t>SM-SP Personalkosten</t>
  </si>
  <si>
    <t>G000000421</t>
  </si>
  <si>
    <t>SM-SP General Lease to MRE</t>
  </si>
  <si>
    <t>SM-SO Sachkosten KGaA</t>
  </si>
  <si>
    <t>SM-SO Personalkosten</t>
  </si>
  <si>
    <t>SM-SO General Lease to MRE</t>
  </si>
  <si>
    <t>G000000427</t>
  </si>
  <si>
    <t>SO-CF Gewerbliche Vermietung</t>
  </si>
  <si>
    <t>G000000428</t>
  </si>
  <si>
    <t>PM-OPG-TS Bldg. Costs/Rental</t>
  </si>
  <si>
    <t>G000000429</t>
  </si>
  <si>
    <t>PM-OPG-TS General Costs</t>
  </si>
  <si>
    <t>G000000430</t>
  </si>
  <si>
    <t>Ehem. SO-CF KST (closed)</t>
  </si>
  <si>
    <t>G000000451</t>
  </si>
  <si>
    <t>SO-IE Projektkostenstellen</t>
  </si>
  <si>
    <t>G000000452</t>
  </si>
  <si>
    <t>SO-IC Projekt-KST</t>
  </si>
  <si>
    <t>G000000453</t>
  </si>
  <si>
    <t>SO-IA Projekt-KST</t>
  </si>
  <si>
    <t>G000000455</t>
  </si>
  <si>
    <t>SO-CP Projekt-KST</t>
  </si>
  <si>
    <t>G000000456</t>
  </si>
  <si>
    <t>SO-CF Projekt-KST</t>
  </si>
  <si>
    <t>G000000457</t>
  </si>
  <si>
    <t>SO-CA Projekt-KST</t>
  </si>
  <si>
    <t>G000000459</t>
  </si>
  <si>
    <t>SO-SP Projekt-KST</t>
  </si>
  <si>
    <t>G000000460</t>
  </si>
  <si>
    <t>SO-SF Projekt-KST</t>
  </si>
  <si>
    <t>SM-SU Utilities &amp; Disposal_I</t>
  </si>
  <si>
    <t>SM-U L3</t>
  </si>
  <si>
    <t>SM-SL On-Site Logistics</t>
  </si>
  <si>
    <t>SM-SL On-Site Logistics_I</t>
  </si>
  <si>
    <t>SM-ULT Transport Services</t>
  </si>
  <si>
    <t>SM-ULV Vehicle Services</t>
  </si>
  <si>
    <t>SM-ULM Material Services</t>
  </si>
  <si>
    <t>SM-ULP Packaging Services</t>
  </si>
  <si>
    <t>SM-ULD Document.Mail.Parcel Services</t>
  </si>
  <si>
    <t>SM-UE Energy Management &amp; Tec</t>
  </si>
  <si>
    <t>SM-UE/UU Energy Total</t>
  </si>
  <si>
    <t>SM-UE/UU Energy GE</t>
  </si>
  <si>
    <t>SM-UE/UU Energy DA</t>
  </si>
  <si>
    <t>SM-UW Waste Water Technology</t>
  </si>
  <si>
    <t>SM-UW material costs</t>
  </si>
  <si>
    <t>SM-UW wo material costs</t>
  </si>
  <si>
    <t>SM-UC Container Supply &amp; Wast</t>
  </si>
  <si>
    <t>SM-UC Abfall-BehÃ¤ltergebÃ¤ud</t>
  </si>
  <si>
    <t>SM-UC wo material costs</t>
  </si>
  <si>
    <t>SM-UC material costs</t>
  </si>
  <si>
    <t>SM-UI Infrastructural Operati</t>
  </si>
  <si>
    <t>SM-UI Waste Water Treatment</t>
  </si>
  <si>
    <t>SM-UI Energy Operations</t>
  </si>
  <si>
    <t>G000000898</t>
  </si>
  <si>
    <t>Energy Types</t>
  </si>
  <si>
    <t>G000000899</t>
  </si>
  <si>
    <t>DrinkingWater DA</t>
  </si>
  <si>
    <t>G000000900</t>
  </si>
  <si>
    <t>Nitrogen DA</t>
  </si>
  <si>
    <t>G000000901</t>
  </si>
  <si>
    <t>Techn. Gases DA</t>
  </si>
  <si>
    <t>G000000902</t>
  </si>
  <si>
    <t>RKW Gen. DA</t>
  </si>
  <si>
    <t>G000000903</t>
  </si>
  <si>
    <t>DL Gen. DA</t>
  </si>
  <si>
    <t>G000000904</t>
  </si>
  <si>
    <t>VEW Gen. DA</t>
  </si>
  <si>
    <t>G000000905</t>
  </si>
  <si>
    <t>IndustWater Gen. DA</t>
  </si>
  <si>
    <t>G000000906</t>
  </si>
  <si>
    <t>Cold Gen. DA</t>
  </si>
  <si>
    <t>G000000907</t>
  </si>
  <si>
    <t>Steam Gen. DA</t>
  </si>
  <si>
    <t>G000000908</t>
  </si>
  <si>
    <t>Electricity Gen. DA</t>
  </si>
  <si>
    <t>SM-UI Energy Buildings</t>
  </si>
  <si>
    <t>SM-UP Packaging &amp; Container</t>
  </si>
  <si>
    <t>G000000910</t>
  </si>
  <si>
    <t>SM-UP Container</t>
  </si>
  <si>
    <t>G000000911</t>
  </si>
  <si>
    <t>SM-UP Buildings</t>
  </si>
  <si>
    <t>G000000912</t>
  </si>
  <si>
    <t>SM-UP Packaging</t>
  </si>
  <si>
    <t>SM-UL On-Site Logistics</t>
  </si>
  <si>
    <t>SM-ULW Trucking &amp; Waste</t>
  </si>
  <si>
    <t>SM-ULW Buildings</t>
  </si>
  <si>
    <t>SM-ULI Internal Transport</t>
  </si>
  <si>
    <t>SM-ULV material costs</t>
  </si>
  <si>
    <t>SM-UL Technical Warehouse</t>
  </si>
  <si>
    <t>SM-UL Verr.-KST</t>
  </si>
  <si>
    <t>SM-ULD Document.Mail.Parcel S</t>
  </si>
  <si>
    <t>SM-US Services &amp; Projects</t>
  </si>
  <si>
    <t>SM-USE/ USP/ USQ</t>
  </si>
  <si>
    <t>SM-UE Energy Managamnet &amp; Sus</t>
  </si>
  <si>
    <t>SM-UE External Energy Costs D</t>
  </si>
  <si>
    <t>SM-UE Energy Allocation DA</t>
  </si>
  <si>
    <t>SM-UE Headcount &amp; NDD</t>
  </si>
  <si>
    <t>SM-S Envirionment, Health &amp; Safety</t>
  </si>
  <si>
    <t>SM-SC Gastronomy &amp; HQ Campus</t>
  </si>
  <si>
    <t>G000000414</t>
  </si>
  <si>
    <t>SM-SC Gastronomy&amp;HQ Campus_I</t>
  </si>
  <si>
    <t>G000000415</t>
  </si>
  <si>
    <t>SM-SCG Employee Gastronomy</t>
  </si>
  <si>
    <t>G000000416</t>
  </si>
  <si>
    <t>SM-SCC Conference &amp; Catering</t>
  </si>
  <si>
    <t>FR5099062</t>
  </si>
  <si>
    <t>H000004191</t>
  </si>
  <si>
    <t>Medical - Local R&amp;D</t>
  </si>
  <si>
    <t>H000000447</t>
  </si>
  <si>
    <t>Megan Wang</t>
  </si>
  <si>
    <t>FR5107986</t>
  </si>
  <si>
    <t>H000000813</t>
  </si>
  <si>
    <t>CMS International</t>
  </si>
  <si>
    <t>Marlon Abadia</t>
  </si>
  <si>
    <t>H000000814</t>
  </si>
  <si>
    <t>CMS Clinical Biomarker &amp; Tech.</t>
  </si>
  <si>
    <t>H000000899</t>
  </si>
  <si>
    <t>CMS Data Sciences</t>
  </si>
  <si>
    <t>H000000815</t>
  </si>
  <si>
    <t>CMS Quantitative Pharmacology</t>
  </si>
  <si>
    <t>H000000816</t>
  </si>
  <si>
    <t xml:space="preserve">CMS Comp Diagnostics &amp; Biomarker </t>
  </si>
  <si>
    <t>H000000906</t>
  </si>
  <si>
    <t>H000000818</t>
  </si>
  <si>
    <t>H000000819</t>
  </si>
  <si>
    <t>CMS Epideminology</t>
  </si>
  <si>
    <t>H000004192</t>
  </si>
  <si>
    <t>FR5109402</t>
  </si>
  <si>
    <t>G000001005</t>
  </si>
  <si>
    <t>SM-EP Site Darmstadt</t>
  </si>
  <si>
    <t>Paul Kopp</t>
  </si>
  <si>
    <t>SM-EP Site Gernsheim</t>
  </si>
  <si>
    <t>SM-EP Site Hohenbrunn</t>
  </si>
  <si>
    <t>SM-EP Grundstücke KGaA</t>
  </si>
  <si>
    <t>SM-EP Verrechnungs-Kostenstellen</t>
  </si>
  <si>
    <t>G000001010</t>
  </si>
  <si>
    <t>SM-EP Gebäude DA</t>
  </si>
  <si>
    <t>SM-EP Freiflächen DA</t>
  </si>
  <si>
    <t>Full Service Gebäude DA</t>
  </si>
  <si>
    <t>Shell and Core Gebäude DA</t>
  </si>
  <si>
    <t>Lease Hold Gebäude DA</t>
  </si>
  <si>
    <t>FS Infrastrukturgebäude DA</t>
  </si>
  <si>
    <t>FS Werkstattgebäude DA</t>
  </si>
  <si>
    <t>FS Lagergebäude DA</t>
  </si>
  <si>
    <t>FS Produktionsgebäude DA</t>
  </si>
  <si>
    <t>FS Energiegebäude DA</t>
  </si>
  <si>
    <t>FS Fire&amp;Safety</t>
  </si>
  <si>
    <t>SC Gebäude Healthcare DA</t>
  </si>
  <si>
    <t>SC Gebäude Life Science DA</t>
  </si>
  <si>
    <t>SC Gebäude Perf. Materials DA</t>
  </si>
  <si>
    <t>LH Gebäude Site Operations DA</t>
  </si>
  <si>
    <t>LH Gebäude Life Science DA</t>
  </si>
  <si>
    <t>G000001028</t>
  </si>
  <si>
    <t>LH Gebäude Perf. Materials DA</t>
  </si>
  <si>
    <t>G000001029</t>
  </si>
  <si>
    <t>LH Gebäude LS Site Operations DA</t>
  </si>
  <si>
    <t>G000001030</t>
  </si>
  <si>
    <t>LH Gebäude LS Warehouse DA</t>
  </si>
  <si>
    <t>G000001031</t>
  </si>
  <si>
    <t>SM-EP Gebäude Gernsheim</t>
  </si>
  <si>
    <t>SM-EP Freiflächen Gernsheim</t>
  </si>
  <si>
    <t>G000001033</t>
  </si>
  <si>
    <t>GHM Multi- Tenant</t>
  </si>
  <si>
    <t>G000001034</t>
  </si>
  <si>
    <t>Merck Site Management GmbH</t>
  </si>
  <si>
    <t>G000001035</t>
  </si>
  <si>
    <t>Merck Surface Solutions GmbH Bldg.</t>
  </si>
  <si>
    <t>G000001036</t>
  </si>
  <si>
    <t>GHM Full Service Multi- Tenant Bldg.</t>
  </si>
  <si>
    <t>G000001037</t>
  </si>
  <si>
    <t>GHM FS Shell &amp; Core Multi- tenant Bldg.</t>
  </si>
  <si>
    <t>G000001038</t>
  </si>
  <si>
    <t>GHM FS Multi- Tenant Container</t>
  </si>
  <si>
    <t>G000001039</t>
  </si>
  <si>
    <t>GHM FS Multi-Tenant Warehouse Bldg.</t>
  </si>
  <si>
    <t>G000001040</t>
  </si>
  <si>
    <t>GHM FS Umkleiden &amp; Aufenthaltsraum</t>
  </si>
  <si>
    <t>G000001041</t>
  </si>
  <si>
    <t>GHM FS Wasserspender</t>
  </si>
  <si>
    <t>G000001042</t>
  </si>
  <si>
    <t>GHM FS Multi- Tenant Office Bldg.</t>
  </si>
  <si>
    <t>G000001043</t>
  </si>
  <si>
    <t>GHM FS Multi- Tenant Bldg.</t>
  </si>
  <si>
    <t>G000001044</t>
  </si>
  <si>
    <t>GHM Shell &amp; Core Multi- tenant Bldg.</t>
  </si>
  <si>
    <t>G000001045</t>
  </si>
  <si>
    <t>SM GHM Full Service Gebäude</t>
  </si>
  <si>
    <t>G000001046</t>
  </si>
  <si>
    <t>SM GHM FS Office Bldg.</t>
  </si>
  <si>
    <t>G000001047</t>
  </si>
  <si>
    <t>SM GHM FS Infrastructure Bldg.</t>
  </si>
  <si>
    <t>G000001048</t>
  </si>
  <si>
    <t>SM GHM Shell &amp; Core Gebäude</t>
  </si>
  <si>
    <t>G000001049</t>
  </si>
  <si>
    <t>SM GHM SC Staff Bldg.</t>
  </si>
  <si>
    <t>G000001050</t>
  </si>
  <si>
    <t>SM GM SC Infrastructure Bldg.</t>
  </si>
  <si>
    <t>G000001051</t>
  </si>
  <si>
    <t>SM GHM SC Warehouse Bldg.</t>
  </si>
  <si>
    <t>G000001052</t>
  </si>
  <si>
    <t>SM GHM Lease Hold Gebäude</t>
  </si>
  <si>
    <t>G000001053</t>
  </si>
  <si>
    <t>SM GHM LH Energy Bldg.</t>
  </si>
  <si>
    <t>G000001054</t>
  </si>
  <si>
    <t>SM GHM LH Warehouse Bldg.</t>
  </si>
  <si>
    <t>G000001055</t>
  </si>
  <si>
    <t>SuSo Full Service Gebäude</t>
  </si>
  <si>
    <t>G000001056</t>
  </si>
  <si>
    <t>SuSo FS Office Bldg.</t>
  </si>
  <si>
    <t>G000001057</t>
  </si>
  <si>
    <t>SuSo FS Lab Bldg.</t>
  </si>
  <si>
    <t>G000001058</t>
  </si>
  <si>
    <t>SuSo FS Infrastructure Bldg.</t>
  </si>
  <si>
    <t>G000001059</t>
  </si>
  <si>
    <t>SuSo Shell &amp; Core Gebäude</t>
  </si>
  <si>
    <t>G000001060</t>
  </si>
  <si>
    <t>SuSo SC Production Bldg.</t>
  </si>
  <si>
    <t>G000001061</t>
  </si>
  <si>
    <t>SuSo SC Lab Bldg.</t>
  </si>
  <si>
    <t>G000001062</t>
  </si>
  <si>
    <t>SuSo SC Infrastructure Bldg.</t>
  </si>
  <si>
    <t>G000001063</t>
  </si>
  <si>
    <t>SuSo SC Warehouse Bldg.</t>
  </si>
  <si>
    <t>G000001064</t>
  </si>
  <si>
    <t>SuSo SC Container</t>
  </si>
  <si>
    <t>Lease Hold Gebäude HO</t>
  </si>
  <si>
    <t>Freiflächen Hohenbrunn</t>
  </si>
  <si>
    <t>Standortentwicklung DA</t>
  </si>
  <si>
    <t>G000001070</t>
  </si>
  <si>
    <t>SuSo Lease Hold Gebäude</t>
  </si>
  <si>
    <t>G000001071</t>
  </si>
  <si>
    <t>SuSo LH Production Bldg</t>
  </si>
  <si>
    <t>G000001072</t>
  </si>
  <si>
    <t>SuSo LH Infrastructure Bldg.</t>
  </si>
  <si>
    <t>G000001073</t>
  </si>
  <si>
    <t>SuSo LH Warehouse Bldg.</t>
  </si>
  <si>
    <t>SM-EO Gebäude Site Darmstadt</t>
  </si>
  <si>
    <t>SM-EO FS Office Building DA</t>
  </si>
  <si>
    <t>SM-EO FS Lab Building DA</t>
  </si>
  <si>
    <t>SM-EO FS Public Buildings DA</t>
  </si>
  <si>
    <t>G000001078</t>
  </si>
  <si>
    <t>SM-EO Verrechnungs Kostenstellen</t>
  </si>
  <si>
    <t>G000001079</t>
  </si>
  <si>
    <t>FS Own Office Bldgs, DA</t>
  </si>
  <si>
    <t>G000001080</t>
  </si>
  <si>
    <t>FS Rented Office Bldgs. DA</t>
  </si>
  <si>
    <t>G000001081</t>
  </si>
  <si>
    <t>FS Labs Healthcare</t>
  </si>
  <si>
    <t>FS Labs Performance Materials</t>
  </si>
  <si>
    <t>G000001083</t>
  </si>
  <si>
    <t>FS Labs LS + Multi- Tenant</t>
  </si>
  <si>
    <t>G000001084</t>
  </si>
  <si>
    <t>FS labs Life Science</t>
  </si>
  <si>
    <t>G000001085</t>
  </si>
  <si>
    <t>FS Labs Multi- Tenant</t>
  </si>
  <si>
    <t>SM-EO OGHQ-Campus</t>
  </si>
  <si>
    <t>FS Sonstige Gebäude DA</t>
  </si>
  <si>
    <t>Gew. Vermietung</t>
  </si>
  <si>
    <t>SM-EP Wohnungen</t>
  </si>
  <si>
    <t>SM-EO OGHQ Campus KGaA</t>
  </si>
  <si>
    <t>SM-EO Center Management X-Tower</t>
  </si>
  <si>
    <t>SM-EO Full Service Darmstadt</t>
  </si>
  <si>
    <t>SO-SO Sachkosten_Lease Hold</t>
  </si>
  <si>
    <t>MRE IT Kosten</t>
  </si>
  <si>
    <t>G000001095</t>
  </si>
  <si>
    <t>Speedikon C</t>
  </si>
  <si>
    <t>G000001096</t>
  </si>
  <si>
    <t>CosVega Total</t>
  </si>
  <si>
    <t>G000001097</t>
  </si>
  <si>
    <t>Smart Workplace Management Total</t>
  </si>
  <si>
    <t>SO-CS Gebäude Darmstadt_I</t>
  </si>
  <si>
    <t>SO-CS Full Service Gebaeude D</t>
  </si>
  <si>
    <t>SO-CS Shell &amp; Core Gebaeude D</t>
  </si>
  <si>
    <t>SO-CS Lease Hold Gebaeude D</t>
  </si>
  <si>
    <t>FR5115101</t>
  </si>
  <si>
    <t>H000004193</t>
  </si>
  <si>
    <t>ES - Sales Promotion Evobrutinib</t>
  </si>
  <si>
    <t>H000000977</t>
  </si>
  <si>
    <t>Karl Anatoly Uy</t>
  </si>
  <si>
    <t>H000004194</t>
  </si>
  <si>
    <t>ES - Medical non R&amp;D Evobrutinib</t>
  </si>
  <si>
    <t>FR5133979</t>
  </si>
  <si>
    <t>H000003837</t>
  </si>
  <si>
    <t>US - MAPS - Value &amp; Access, Contract Ops</t>
  </si>
  <si>
    <t>H000003839</t>
  </si>
  <si>
    <t>US - MAPS - Channel Acct Mgmt &amp; Ops</t>
  </si>
  <si>
    <t>H000003843</t>
  </si>
  <si>
    <t>H000003844</t>
  </si>
  <si>
    <t>US - MAPS - Contract, Pricing &amp; Insights</t>
  </si>
  <si>
    <t>H000003846</t>
  </si>
  <si>
    <t>FR5134014</t>
  </si>
  <si>
    <t>H000001447</t>
  </si>
  <si>
    <t xml:space="preserve">CN-FD ISS FBU Head </t>
  </si>
  <si>
    <t>H000001446</t>
  </si>
  <si>
    <t>Joebeth Navarro</t>
  </si>
  <si>
    <t>H000001452</t>
  </si>
  <si>
    <t>CN-FD ISS MKT Non-HCP MCM</t>
  </si>
  <si>
    <t>H000001451</t>
  </si>
  <si>
    <t>H000001454</t>
  </si>
  <si>
    <t>CN-FD ISS BSE Team</t>
  </si>
  <si>
    <t>H000001453</t>
  </si>
  <si>
    <t>H000004195</t>
  </si>
  <si>
    <t>CN-FD FF Sales Mega Center</t>
  </si>
  <si>
    <t>H000001432</t>
  </si>
  <si>
    <t>H000004196</t>
  </si>
  <si>
    <t>CN-FD ISS MKT Non-HCP Head</t>
  </si>
  <si>
    <t>H000004197</t>
  </si>
  <si>
    <t>CN-FD ISS MKT Non-HCP CE</t>
  </si>
  <si>
    <t>H000004198</t>
  </si>
  <si>
    <t>CN-FD SP Sales Mega Center</t>
  </si>
  <si>
    <t>H000001467</t>
  </si>
  <si>
    <t>H000004199</t>
  </si>
  <si>
    <t>CN-FD SP MKT Non-HCP Head</t>
  </si>
  <si>
    <t>H000001483</t>
  </si>
  <si>
    <t>H000004200</t>
  </si>
  <si>
    <t>CN-FD SP MKT Non-HCP CE</t>
  </si>
  <si>
    <t>CN - FD Field Force National Sales</t>
  </si>
  <si>
    <t>H000001433</t>
  </si>
  <si>
    <t>CN - FD FF Sales Head</t>
  </si>
  <si>
    <t>H000001434</t>
  </si>
  <si>
    <t>CN - FD FF Sales North</t>
  </si>
  <si>
    <t>H000001435</t>
  </si>
  <si>
    <t>CN - FD FF Sales South</t>
  </si>
  <si>
    <t>H000001436</t>
  </si>
  <si>
    <t>CN - FD FF Sales East</t>
  </si>
  <si>
    <t>H000001437</t>
  </si>
  <si>
    <t>CN - FD FF Sales West</t>
  </si>
  <si>
    <t>H000001438</t>
  </si>
  <si>
    <t>CN - FD FF Sales RMM</t>
  </si>
  <si>
    <t>H000001448</t>
  </si>
  <si>
    <t>CN - FD ISS PMO</t>
  </si>
  <si>
    <t>H000001449</t>
  </si>
  <si>
    <t>CN - FD ISS PMO team</t>
  </si>
  <si>
    <t>CN - FD ISS MKT Non-HCP</t>
  </si>
  <si>
    <t>CN - FD Sales Promotion National Sales</t>
  </si>
  <si>
    <t>H000001468</t>
  </si>
  <si>
    <t>CN - FD SP Sales Head</t>
  </si>
  <si>
    <t>H000001469</t>
  </si>
  <si>
    <t>CN - FD SP Sales North</t>
  </si>
  <si>
    <t>H000001470</t>
  </si>
  <si>
    <t>CN - FD SP Sales South</t>
  </si>
  <si>
    <t>H000001471</t>
  </si>
  <si>
    <t>CN - FD SP Sales East</t>
  </si>
  <si>
    <t>H000001472</t>
  </si>
  <si>
    <t>CN - FD SP Sales West</t>
  </si>
  <si>
    <t>H000001473</t>
  </si>
  <si>
    <t>CN - FD SP Sales RMM</t>
  </si>
  <si>
    <t>CN - FD Sales Promotion MKT Non - HCP</t>
  </si>
  <si>
    <t>H000001484</t>
  </si>
  <si>
    <t>CN - FD SP MKT Non - HCP MCM</t>
  </si>
  <si>
    <t>FR5136045</t>
  </si>
  <si>
    <t>L000011136</t>
  </si>
  <si>
    <t>LS Management -G</t>
  </si>
  <si>
    <t>L000011336</t>
  </si>
  <si>
    <t>Technology Pioneering</t>
  </si>
  <si>
    <t>L000013324</t>
  </si>
  <si>
    <t>L000013325</t>
  </si>
  <si>
    <t>L000013326</t>
  </si>
  <si>
    <t>FR5138688</t>
  </si>
  <si>
    <t>H000004116</t>
  </si>
  <si>
    <t>FR - Sales promotion Xevinapant</t>
  </si>
  <si>
    <t>H000001612</t>
  </si>
  <si>
    <t>Thibault Pernelle</t>
  </si>
  <si>
    <t>H000004201</t>
  </si>
  <si>
    <t>FR - Medical non R&amp;D Evobrutinib</t>
  </si>
  <si>
    <t>H000001637</t>
  </si>
  <si>
    <t>H000004202</t>
  </si>
  <si>
    <t>FR - Sales promotion Evobrutinib</t>
  </si>
  <si>
    <t>H000001619</t>
  </si>
  <si>
    <t>FR5140150</t>
  </si>
  <si>
    <t>H000004203</t>
  </si>
  <si>
    <t>FR - Production costs</t>
  </si>
  <si>
    <t>H000000186</t>
  </si>
  <si>
    <t>FR5140253</t>
  </si>
  <si>
    <t>H000004204</t>
  </si>
  <si>
    <t>GB - ISS -Xevinapant</t>
  </si>
  <si>
    <t>Basak Buyukkosker</t>
  </si>
  <si>
    <t>H000004205</t>
  </si>
  <si>
    <t>GB - ISS- Evobrutinib</t>
  </si>
  <si>
    <t>H000004206</t>
  </si>
  <si>
    <t>GB - LRD Evobrutinib</t>
  </si>
  <si>
    <t>H000004207</t>
  </si>
  <si>
    <t>GB - Medical Non R&amp;D Xevinapant</t>
  </si>
  <si>
    <t>H000002116</t>
  </si>
  <si>
    <t>H000004208</t>
  </si>
  <si>
    <t>GB - Medical Non R&amp;D Evobrutinib</t>
  </si>
  <si>
    <t>FR5141188</t>
  </si>
  <si>
    <t>H000004209</t>
  </si>
  <si>
    <t>SCALA_1786 0000000350</t>
  </si>
  <si>
    <t>H000000729</t>
  </si>
  <si>
    <t>H000001059</t>
  </si>
  <si>
    <t>Digital &amp; Data Transformation</t>
  </si>
  <si>
    <t>H000000456</t>
  </si>
  <si>
    <t>H000004210</t>
  </si>
  <si>
    <t xml:space="preserve">External Innovation </t>
  </si>
  <si>
    <t>H000001058</t>
  </si>
  <si>
    <t>H000004211</t>
  </si>
  <si>
    <t xml:space="preserve">CSCALA_1826$0000000370 SPI Israel </t>
  </si>
  <si>
    <t>H000001060</t>
  </si>
  <si>
    <t>FR5142215</t>
  </si>
  <si>
    <t>H000004212</t>
  </si>
  <si>
    <t>FR - Clinical studies Xevinapant</t>
  </si>
  <si>
    <t>Marie-Luce Pujervie-Gonnet</t>
  </si>
  <si>
    <t>H000004213</t>
  </si>
  <si>
    <t>FR - Clinical studies Evobrutinib</t>
  </si>
  <si>
    <t>H000001645</t>
  </si>
  <si>
    <t>FR5143016</t>
  </si>
  <si>
    <t>H000000461</t>
  </si>
  <si>
    <t>H000000459</t>
  </si>
  <si>
    <t>H000000507</t>
  </si>
  <si>
    <t>Global Pharma Manufacturing</t>
  </si>
  <si>
    <t>H000000607</t>
  </si>
  <si>
    <t>H000000616</t>
  </si>
  <si>
    <t>H000004214</t>
  </si>
  <si>
    <t>1954QB Quality - Vevey BDC</t>
  </si>
  <si>
    <t>H000004215</t>
  </si>
  <si>
    <t>1954VB Vevey BDC</t>
  </si>
  <si>
    <t>H000000640</t>
  </si>
  <si>
    <t>GHO - Head</t>
  </si>
  <si>
    <t>H000004216</t>
  </si>
  <si>
    <t>GHO Head - Global function</t>
  </si>
  <si>
    <t>H000004217</t>
  </si>
  <si>
    <t>GHO Head - Global projects</t>
  </si>
  <si>
    <t>H000004218</t>
  </si>
  <si>
    <t>Consulting</t>
  </si>
  <si>
    <t>H000004219</t>
  </si>
  <si>
    <t>Other</t>
  </si>
  <si>
    <t>H000004220</t>
  </si>
  <si>
    <t>GHO Head - Other</t>
  </si>
  <si>
    <t>H000000641</t>
  </si>
  <si>
    <t>Global - Biotech</t>
  </si>
  <si>
    <t>H000004221</t>
  </si>
  <si>
    <t>GBM - Global function</t>
  </si>
  <si>
    <t>H000004222</t>
  </si>
  <si>
    <t>GBM - Global projects</t>
  </si>
  <si>
    <t>H000004223</t>
  </si>
  <si>
    <t>GBM - Other</t>
  </si>
  <si>
    <t>H000004224</t>
  </si>
  <si>
    <t>GBM - LCM</t>
  </si>
  <si>
    <t>H000004225</t>
  </si>
  <si>
    <t>LCM - Vevey</t>
  </si>
  <si>
    <t>H000004226</t>
  </si>
  <si>
    <t>LCM - Aubonne</t>
  </si>
  <si>
    <t>H000004227</t>
  </si>
  <si>
    <t>LCM -Guidonia</t>
  </si>
  <si>
    <t>H000004228</t>
  </si>
  <si>
    <t>LCM - Ivrea</t>
  </si>
  <si>
    <t>H000004229</t>
  </si>
  <si>
    <t>LCM - Other Biotech</t>
  </si>
  <si>
    <t>H000000642</t>
  </si>
  <si>
    <t>Global - Pharma</t>
  </si>
  <si>
    <t>H000004230</t>
  </si>
  <si>
    <t>GPM - Global function</t>
  </si>
  <si>
    <t>H000004231</t>
  </si>
  <si>
    <t>GPM - GPO Head</t>
  </si>
  <si>
    <t>H000004232</t>
  </si>
  <si>
    <t>GPM - Pharma Tech</t>
  </si>
  <si>
    <t>H000004233</t>
  </si>
  <si>
    <t>GPM - Planning</t>
  </si>
  <si>
    <t>H000004234</t>
  </si>
  <si>
    <t>GPM - Tech Transfer</t>
  </si>
  <si>
    <t>H000004235</t>
  </si>
  <si>
    <t>GPM - Cluster</t>
  </si>
  <si>
    <t>H000004236</t>
  </si>
  <si>
    <t>GPM - Other</t>
  </si>
  <si>
    <t>H000004237</t>
  </si>
  <si>
    <t>GPM - Global projects</t>
  </si>
  <si>
    <t>H000004238</t>
  </si>
  <si>
    <t>H000004239</t>
  </si>
  <si>
    <t>GPM - LCM</t>
  </si>
  <si>
    <t>H000004240</t>
  </si>
  <si>
    <t>LCM - Darmstadt</t>
  </si>
  <si>
    <t>H000004241</t>
  </si>
  <si>
    <t>LCM - Other Pharma</t>
  </si>
  <si>
    <t>H000000643</t>
  </si>
  <si>
    <t>Global GD&amp;L</t>
  </si>
  <si>
    <t>H000000645</t>
  </si>
  <si>
    <t>H000004242</t>
  </si>
  <si>
    <t>STU - Global function</t>
  </si>
  <si>
    <t>H000004243</t>
  </si>
  <si>
    <t>STU - Global projects</t>
  </si>
  <si>
    <t>H000004244</t>
  </si>
  <si>
    <t>STU - Other</t>
  </si>
  <si>
    <t>H000000646</t>
  </si>
  <si>
    <t>H000004245</t>
  </si>
  <si>
    <t>GET - Global function</t>
  </si>
  <si>
    <t>H000004246</t>
  </si>
  <si>
    <t>GET - Global projects</t>
  </si>
  <si>
    <t>H000004247</t>
  </si>
  <si>
    <t>GET - Other</t>
  </si>
  <si>
    <t>H000000647</t>
  </si>
  <si>
    <t>H000004248</t>
  </si>
  <si>
    <t>GEHS - Global function</t>
  </si>
  <si>
    <t>H000004249</t>
  </si>
  <si>
    <t>GEHS - Global projects</t>
  </si>
  <si>
    <t>H000004250</t>
  </si>
  <si>
    <t>GEHS - Other</t>
  </si>
  <si>
    <t>H000000648</t>
  </si>
  <si>
    <t>GHO - Not allocated</t>
  </si>
  <si>
    <t>H000000970</t>
  </si>
  <si>
    <t>H000004251</t>
  </si>
  <si>
    <t>GEM - Global function</t>
  </si>
  <si>
    <t>H000004252</t>
  </si>
  <si>
    <t>GEM - Global projects</t>
  </si>
  <si>
    <t>H000004253</t>
  </si>
  <si>
    <t>GEM - Project costs</t>
  </si>
  <si>
    <t>H000004254</t>
  </si>
  <si>
    <t>GEM - Extra costs</t>
  </si>
  <si>
    <t>H000004255</t>
  </si>
  <si>
    <t>GEM - Other Projects</t>
  </si>
  <si>
    <t>H000004256</t>
  </si>
  <si>
    <t>GEM - Other</t>
  </si>
  <si>
    <t>H000004257</t>
  </si>
  <si>
    <t>GEM - MPV - CMOs</t>
  </si>
  <si>
    <t>H000004258</t>
  </si>
  <si>
    <t>GEM - Other CMOs</t>
  </si>
  <si>
    <t>H000000644</t>
  </si>
  <si>
    <t>Artwork</t>
  </si>
  <si>
    <t>H000000650</t>
  </si>
  <si>
    <t>Global Demand Planning Local</t>
  </si>
  <si>
    <t>H000004259</t>
  </si>
  <si>
    <t>Global Demand Planning Global</t>
  </si>
  <si>
    <t>H000000649</t>
  </si>
  <si>
    <t>H000004260</t>
  </si>
  <si>
    <t>PPV Intersite Shipments</t>
  </si>
  <si>
    <t>H000000657</t>
  </si>
  <si>
    <t>H000000462</t>
  </si>
  <si>
    <t>H000000658</t>
  </si>
  <si>
    <t>H000000471</t>
  </si>
  <si>
    <t>H000000659</t>
  </si>
  <si>
    <t>H000000480</t>
  </si>
  <si>
    <t>H000000660</t>
  </si>
  <si>
    <t>H000000489</t>
  </si>
  <si>
    <t>H000000661</t>
  </si>
  <si>
    <t>H000000498</t>
  </si>
  <si>
    <t>H000000663</t>
  </si>
  <si>
    <t>H000000508</t>
  </si>
  <si>
    <t>H000000664</t>
  </si>
  <si>
    <t>H000000535</t>
  </si>
  <si>
    <t>H000000665</t>
  </si>
  <si>
    <t>H000000666</t>
  </si>
  <si>
    <t>H000000580</t>
  </si>
  <si>
    <t>H000000667</t>
  </si>
  <si>
    <t>H000000589</t>
  </si>
  <si>
    <t>H000000668</t>
  </si>
  <si>
    <t>H000000553</t>
  </si>
  <si>
    <t>H000000669</t>
  </si>
  <si>
    <t>H000000526</t>
  </si>
  <si>
    <t>H000000670</t>
  </si>
  <si>
    <t>H000000544</t>
  </si>
  <si>
    <t>H000000671</t>
  </si>
  <si>
    <t>H000000571</t>
  </si>
  <si>
    <t>H000000672</t>
  </si>
  <si>
    <t>H000000598</t>
  </si>
  <si>
    <t>H000000673</t>
  </si>
  <si>
    <t>H000000675</t>
  </si>
  <si>
    <t>H000000617</t>
  </si>
  <si>
    <t>H000000676</t>
  </si>
  <si>
    <t>H000000860</t>
  </si>
  <si>
    <t>H000000677</t>
  </si>
  <si>
    <t>H000000626</t>
  </si>
  <si>
    <t>H000000679</t>
  </si>
  <si>
    <t>Global HCQ - Head</t>
  </si>
  <si>
    <t>H000004261</t>
  </si>
  <si>
    <t>Qualtiy - Pharma sites</t>
  </si>
  <si>
    <t>H000000678</t>
  </si>
  <si>
    <t>H000004262</t>
  </si>
  <si>
    <t>Quality - Biotech sites</t>
  </si>
  <si>
    <t>H000004263</t>
  </si>
  <si>
    <t>Quality - Global QC</t>
  </si>
  <si>
    <t>H000004264</t>
  </si>
  <si>
    <t>Qualtiy - Development sites</t>
  </si>
  <si>
    <t>H000000683</t>
  </si>
  <si>
    <t>Quality - Not allocated</t>
  </si>
  <si>
    <t>H000004265</t>
  </si>
  <si>
    <t>Qualtiy - Global subsidiaries</t>
  </si>
  <si>
    <t>H000000684</t>
  </si>
  <si>
    <t>H000004266</t>
  </si>
  <si>
    <t>Qualtiy - Local Subsidiaries</t>
  </si>
  <si>
    <t>H000004267</t>
  </si>
  <si>
    <t>Qualtiy - Global projects</t>
  </si>
  <si>
    <t>H000000654</t>
  </si>
  <si>
    <t>H000004268</t>
  </si>
  <si>
    <t>Qualtiy - Other</t>
  </si>
  <si>
    <t>FR5144802</t>
  </si>
  <si>
    <t>H000000903</t>
  </si>
  <si>
    <t>H000000811</t>
  </si>
  <si>
    <t>H000000716</t>
  </si>
  <si>
    <t>RDC0000099</t>
  </si>
  <si>
    <t>FR5149833</t>
  </si>
  <si>
    <t>SM-EO FS Lab Buildings DA</t>
  </si>
  <si>
    <t>SM-EO FS Production Buildings DA</t>
  </si>
  <si>
    <t>SM-EO Shell &amp; Core Darmstadt</t>
  </si>
  <si>
    <t>SM-EO Gebäude DA Spitze</t>
  </si>
  <si>
    <t>SM-EP Gebäude DA Spitze</t>
  </si>
  <si>
    <t>SM-EO Sachkosten Spitze</t>
  </si>
  <si>
    <t>SM-EO Gewerbl. Vermietung DA</t>
  </si>
  <si>
    <t>SM-EO Center Mgmt. X-Tower</t>
  </si>
  <si>
    <t>SM-EO Verrechnungs-KST</t>
  </si>
  <si>
    <t>SM-EO Spitze</t>
  </si>
  <si>
    <t>SM-EO Personalkosten</t>
  </si>
  <si>
    <t>SM-EO Lease Hold Darmstadt</t>
  </si>
  <si>
    <t>G000000526</t>
  </si>
  <si>
    <t>SM-EO FS Office Building DA Spitze</t>
  </si>
  <si>
    <t>G000000527</t>
  </si>
  <si>
    <t>SM-EO FS Own Office Bldgs. DA</t>
  </si>
  <si>
    <t>G000000528</t>
  </si>
  <si>
    <t>SM-EO FS Rented Office Bldgs. DA</t>
  </si>
  <si>
    <t>G000000530</t>
  </si>
  <si>
    <t>SM-EO FS Lab Building DA Spitze</t>
  </si>
  <si>
    <t>SM-EO FS Public Building DA Spitze</t>
  </si>
  <si>
    <t>G000000540</t>
  </si>
  <si>
    <t>SM-EO Weitere Facility Sevices</t>
  </si>
  <si>
    <t>SM-EO Möbel</t>
  </si>
  <si>
    <t>SM-EO Umzugskosten</t>
  </si>
  <si>
    <t>SM-EO Reinigungskosten</t>
  </si>
  <si>
    <t>G000000998</t>
  </si>
  <si>
    <t>SM-EO Verrechnungs Sonstiges</t>
  </si>
  <si>
    <t>FR5150159</t>
  </si>
  <si>
    <t>G000000642</t>
  </si>
  <si>
    <t>G000000257</t>
  </si>
  <si>
    <t>G000000672</t>
  </si>
  <si>
    <t>G000000278</t>
  </si>
  <si>
    <t>G000000280</t>
  </si>
  <si>
    <t>G000000281</t>
  </si>
  <si>
    <t>G000000784</t>
  </si>
  <si>
    <t>FR5150282</t>
  </si>
  <si>
    <t>L000013399</t>
  </si>
  <si>
    <t>Cherokee Buffers</t>
  </si>
  <si>
    <t>L000013400</t>
  </si>
  <si>
    <t>Cherokee H&amp;H</t>
  </si>
  <si>
    <t>L000013401</t>
  </si>
  <si>
    <t>Cherokee Tablet Production</t>
  </si>
  <si>
    <t>L000013402</t>
  </si>
  <si>
    <t>Spruce GMP Oligo</t>
  </si>
  <si>
    <t>L000009580</t>
  </si>
  <si>
    <t>L000013403</t>
  </si>
  <si>
    <t>Biosafety Testing</t>
  </si>
  <si>
    <t>L000007122</t>
  </si>
  <si>
    <t>L000013404</t>
  </si>
  <si>
    <t>Viral Clearance</t>
  </si>
  <si>
    <t>L000013405</t>
  </si>
  <si>
    <t>Product Characterization</t>
  </si>
  <si>
    <t>L000013406</t>
  </si>
  <si>
    <t>Cell Banking</t>
  </si>
  <si>
    <t>L000013407</t>
  </si>
  <si>
    <t>Next Generation Sequencing</t>
  </si>
  <si>
    <t>L000013408</t>
  </si>
  <si>
    <t>Development Services</t>
  </si>
  <si>
    <t>L000013409</t>
  </si>
  <si>
    <t>Sales &amp; Operations Planning</t>
  </si>
  <si>
    <t>L000013410</t>
  </si>
  <si>
    <t>US Site Support</t>
  </si>
  <si>
    <t>L000013411</t>
  </si>
  <si>
    <t>UK Site Support</t>
  </si>
  <si>
    <t>L000013412</t>
  </si>
  <si>
    <t>Transformation</t>
  </si>
  <si>
    <t>L000013413</t>
  </si>
  <si>
    <t>E2E</t>
  </si>
  <si>
    <t>L000013414</t>
  </si>
  <si>
    <t>R&amp;D</t>
  </si>
  <si>
    <t>L000007121</t>
  </si>
  <si>
    <t>L000013415</t>
  </si>
  <si>
    <t>LS-OP PS Value Stream</t>
  </si>
  <si>
    <t>L000013416</t>
  </si>
  <si>
    <t>LS-OPC Value Chain Cell Culture Media</t>
  </si>
  <si>
    <t>L000013417</t>
  </si>
  <si>
    <t>LS-OPD Value Chain Downstream &amp; Aseptic</t>
  </si>
  <si>
    <t>L000013418</t>
  </si>
  <si>
    <t>LS_OPF Value Chain P&amp;F Materials</t>
  </si>
  <si>
    <t>L000013419</t>
  </si>
  <si>
    <t>LS-OPP Value Chain Purification</t>
  </si>
  <si>
    <t>L000013420</t>
  </si>
  <si>
    <t>LS-OPS Value Chain Single Use</t>
  </si>
  <si>
    <t>L000013421</t>
  </si>
  <si>
    <t>LS-OPG PS VS Processes, Govern., Cap.</t>
  </si>
  <si>
    <t>L000013422</t>
  </si>
  <si>
    <t>LS-OL SLS Value Stream</t>
  </si>
  <si>
    <t>L000013423</t>
  </si>
  <si>
    <t>LS-OPC-G Global Design Team</t>
  </si>
  <si>
    <t>L000013424</t>
  </si>
  <si>
    <t>LS-OPC-Q Cell Culture Media Quality</t>
  </si>
  <si>
    <t>L000013425</t>
  </si>
  <si>
    <t>LS-OPS-A  Danvers Mobius Design &amp; Eng</t>
  </si>
  <si>
    <t>LS-CAT-B mRNA MG</t>
  </si>
  <si>
    <t>LS-CAT-Q mRNA QA</t>
  </si>
  <si>
    <t>LS-CAT-R mRNA QC</t>
  </si>
  <si>
    <t>LS-CAT-S mRNA QP</t>
  </si>
  <si>
    <t>L000013430</t>
  </si>
  <si>
    <t>LS-ODN Distribution Western Hemisphere</t>
  </si>
  <si>
    <t>L000009794</t>
  </si>
  <si>
    <t>L000013431</t>
  </si>
  <si>
    <t>South Cone</t>
  </si>
  <si>
    <t>L000009997</t>
  </si>
  <si>
    <t>L000013432</t>
  </si>
  <si>
    <t>COLCEN</t>
  </si>
  <si>
    <t>L000013433</t>
  </si>
  <si>
    <t>ODD Distr. Eastern Hemisphere&amp;Gl. Transp</t>
  </si>
  <si>
    <t>L000013434</t>
  </si>
  <si>
    <t>Distribution Europe</t>
  </si>
  <si>
    <t>L000013435</t>
  </si>
  <si>
    <t>Distribution EPP, Ghm, Hohenbr.</t>
  </si>
  <si>
    <t>L000013436</t>
  </si>
  <si>
    <t>LS-ODE Supply Chain Excellence</t>
  </si>
  <si>
    <t>L000013437</t>
  </si>
  <si>
    <t>LS Freight costs APAC</t>
  </si>
  <si>
    <t>L000009820</t>
  </si>
  <si>
    <t>L000013438</t>
  </si>
  <si>
    <t>Landed costs</t>
  </si>
  <si>
    <t>L000013439</t>
  </si>
  <si>
    <t>Production Planning</t>
  </si>
  <si>
    <t>IOS Production Planning -G</t>
  </si>
  <si>
    <t>L000013441</t>
  </si>
  <si>
    <t>S&amp;I Production Planning -G</t>
  </si>
  <si>
    <t>L000013442</t>
  </si>
  <si>
    <t>AEM Production Planning -G</t>
  </si>
  <si>
    <t>L000013443</t>
  </si>
  <si>
    <t>Biologics Production Planning -G</t>
  </si>
  <si>
    <t>L000013444</t>
  </si>
  <si>
    <t>others</t>
  </si>
  <si>
    <t>L000013445</t>
  </si>
  <si>
    <t>US Operations</t>
  </si>
  <si>
    <t>L000013446</t>
  </si>
  <si>
    <t>US East</t>
  </si>
  <si>
    <t>US Mid West</t>
  </si>
  <si>
    <t>L000013448</t>
  </si>
  <si>
    <t>US West</t>
  </si>
  <si>
    <t>L000013449</t>
  </si>
  <si>
    <t>Europe Operations</t>
  </si>
  <si>
    <t>Western Europe &amp; Middle East</t>
  </si>
  <si>
    <t>L000013451</t>
  </si>
  <si>
    <t>Central Europe</t>
  </si>
  <si>
    <t>L000013452</t>
  </si>
  <si>
    <t>Engineering &amp; Technology</t>
  </si>
  <si>
    <t>L000013453</t>
  </si>
  <si>
    <t>Cap Ex PMO</t>
  </si>
  <si>
    <t>L000013454</t>
  </si>
  <si>
    <t>Media &amp; Buffers</t>
  </si>
  <si>
    <t>L000013455</t>
  </si>
  <si>
    <t>Chemicals</t>
  </si>
  <si>
    <t>L000013456</t>
  </si>
  <si>
    <t>Device &amp; Filtration</t>
  </si>
  <si>
    <t>L000013457</t>
  </si>
  <si>
    <t xml:space="preserve">APAC </t>
  </si>
  <si>
    <t>L000013458</t>
  </si>
  <si>
    <t>Systems &amp; Maintenance</t>
  </si>
  <si>
    <t>L000013459</t>
  </si>
  <si>
    <t>Digital &amp; OT</t>
  </si>
  <si>
    <t>L000013460</t>
  </si>
  <si>
    <t>Process &amp; Technology</t>
  </si>
  <si>
    <t>L000013461</t>
  </si>
  <si>
    <t>LSS Exceptionals</t>
  </si>
  <si>
    <t>L000013182</t>
  </si>
  <si>
    <t>Bangalore Data &amp; Analytics (former MITC)</t>
  </si>
  <si>
    <t>L000013001</t>
  </si>
  <si>
    <t>L000013463</t>
  </si>
  <si>
    <t>IT Application Mgmt TBD</t>
  </si>
  <si>
    <t>L000013464</t>
  </si>
  <si>
    <t>Tech Leadership Fund Super Enzymes</t>
  </si>
  <si>
    <t>Tech Leadership Fund TBD</t>
  </si>
  <si>
    <t>L000013466</t>
  </si>
  <si>
    <t>Digital Task Force</t>
  </si>
  <si>
    <t>L000013467</t>
  </si>
  <si>
    <t>DTF (original)</t>
  </si>
  <si>
    <t>L000013468</t>
  </si>
  <si>
    <t>TBD 1</t>
  </si>
  <si>
    <t>TBD 2</t>
  </si>
  <si>
    <t>L000013470</t>
  </si>
  <si>
    <t>TBD 3</t>
  </si>
  <si>
    <t>Taiwan SLS Commercial -G</t>
  </si>
  <si>
    <t>L000008550</t>
  </si>
  <si>
    <t>Head of SLS, Taiwan-G</t>
  </si>
  <si>
    <t>Pharma Sales, Taiwan-G</t>
  </si>
  <si>
    <t>L000008562</t>
  </si>
  <si>
    <t>Channel Development, Taiwan-G</t>
  </si>
  <si>
    <t>L000013320</t>
  </si>
  <si>
    <t>Digital Sales, Taiwan-G</t>
  </si>
  <si>
    <t>L000008996</t>
  </si>
  <si>
    <t>TMIC and Cust. &amp; Bus. Insights</t>
  </si>
  <si>
    <t>Sales LATAM South Cone -G</t>
  </si>
  <si>
    <t>L000010062</t>
  </si>
  <si>
    <t>LS-ODS Systems</t>
  </si>
  <si>
    <t>L000009961</t>
  </si>
  <si>
    <t>LS-ODA Analytics &amp; Performance</t>
  </si>
  <si>
    <t>L000009963</t>
  </si>
  <si>
    <t>LS-ODC Customer SC &amp; Innovation</t>
  </si>
  <si>
    <t>L000010057</t>
  </si>
  <si>
    <t>LS-ODL Supply Chain SLS</t>
  </si>
  <si>
    <t>Technology Pioneering Exploration</t>
  </si>
  <si>
    <t>Industrial Sales- Taiwan -G</t>
  </si>
  <si>
    <t>D33 mRNA Production Darmstadt</t>
  </si>
  <si>
    <t>L000006420</t>
  </si>
  <si>
    <t>L000010045</t>
  </si>
  <si>
    <t>LS-ODT Supply Chain PS</t>
  </si>
  <si>
    <t>L000009362</t>
  </si>
  <si>
    <t>LS-ODU APAC Market Supply Chain</t>
  </si>
  <si>
    <t>Bangalore Data &amp; Analytics (former SBS)</t>
  </si>
  <si>
    <t>L000012432</t>
  </si>
  <si>
    <t>Technology Pioneering ACC</t>
  </si>
  <si>
    <t>L000008433</t>
  </si>
  <si>
    <t>L000013078</t>
  </si>
  <si>
    <t>L000011822</t>
  </si>
  <si>
    <t>L000006654</t>
  </si>
  <si>
    <t>L000012366</t>
  </si>
  <si>
    <t>L000012367</t>
  </si>
  <si>
    <t>L000009437</t>
  </si>
  <si>
    <t>L000009452</t>
  </si>
  <si>
    <t>L000009469</t>
  </si>
  <si>
    <t>L000009485</t>
  </si>
  <si>
    <t>L000009506</t>
  </si>
  <si>
    <t>L000009556</t>
  </si>
  <si>
    <t>L000009611</t>
  </si>
  <si>
    <t>L000009635</t>
  </si>
  <si>
    <t>L000009642</t>
  </si>
  <si>
    <t>L000009645</t>
  </si>
  <si>
    <t>L000009693</t>
  </si>
  <si>
    <t>L000009717</t>
  </si>
  <si>
    <t>L000009723</t>
  </si>
  <si>
    <t>L000009738</t>
  </si>
  <si>
    <t>L000010244</t>
  </si>
  <si>
    <t>L000010252</t>
  </si>
  <si>
    <t>L000010274</t>
  </si>
  <si>
    <t>L000010287</t>
  </si>
  <si>
    <t>L000010364</t>
  </si>
  <si>
    <t>L000010382</t>
  </si>
  <si>
    <t>L000010421</t>
  </si>
  <si>
    <t>L000010232</t>
  </si>
  <si>
    <t>L000012485</t>
  </si>
  <si>
    <t>L000011934</t>
  </si>
  <si>
    <t>L000012488</t>
  </si>
  <si>
    <t>L000012431</t>
  </si>
  <si>
    <t>L000006956</t>
  </si>
  <si>
    <t>L000013358</t>
  </si>
  <si>
    <t>L000006957</t>
  </si>
  <si>
    <t>L000006960</t>
  </si>
  <si>
    <t>L000007073</t>
  </si>
  <si>
    <t>L000011517</t>
  </si>
  <si>
    <t>L000012599</t>
  </si>
  <si>
    <t>FR5150360</t>
  </si>
  <si>
    <t>G000000484</t>
  </si>
  <si>
    <t>SM-EC MRE Site and Production</t>
  </si>
  <si>
    <t>SM-EO MRE Office and Lab</t>
  </si>
  <si>
    <t>G000000485</t>
  </si>
  <si>
    <t>SM-EC Spitze</t>
  </si>
  <si>
    <t>G000000486</t>
  </si>
  <si>
    <t>SM-EC Personalkosten</t>
  </si>
  <si>
    <t>G000000489</t>
  </si>
  <si>
    <t>SM-EC Sachkosten</t>
  </si>
  <si>
    <t>G000000487</t>
  </si>
  <si>
    <t>SM-EC Personalkosten DA</t>
  </si>
  <si>
    <t>SM-EC Personalkosten GHM</t>
  </si>
  <si>
    <t>G000000490</t>
  </si>
  <si>
    <t>SM-EC Site Darmstadt</t>
  </si>
  <si>
    <t>SM-EC Site Gernsheim</t>
  </si>
  <si>
    <t>SM-EC Grundstücke Merck KGaA</t>
  </si>
  <si>
    <t>G000000491</t>
  </si>
  <si>
    <t>SM-EC Site Darmstadt Spitze</t>
  </si>
  <si>
    <t>SM-EC Gebäude Darmstadt</t>
  </si>
  <si>
    <t>SM-EC Standortentwicklung DA</t>
  </si>
  <si>
    <t>SM-EC Freiflächen DA</t>
  </si>
  <si>
    <t>SM-EC Freiflächen DA Spitze</t>
  </si>
  <si>
    <t>SM-EC FS Freiflächen DA</t>
  </si>
  <si>
    <t>G000000502</t>
  </si>
  <si>
    <t>SM-EC Site Gernsheim Spitze</t>
  </si>
  <si>
    <t>G000000503</t>
  </si>
  <si>
    <t>SM-EC Gebäude Gernsheim</t>
  </si>
  <si>
    <t>G000000508</t>
  </si>
  <si>
    <t>SM-EC Freiflächen GHM</t>
  </si>
  <si>
    <t>G000000509</t>
  </si>
  <si>
    <t>SM-EC Gewerbl. Vermietung GHM</t>
  </si>
  <si>
    <t>G000000510</t>
  </si>
  <si>
    <t>SM-EC Verrechnungs. KST GHM</t>
  </si>
  <si>
    <t>G000000512</t>
  </si>
  <si>
    <t>SM-EC Shell &amp; Core HO</t>
  </si>
  <si>
    <t>G000000513</t>
  </si>
  <si>
    <t>SM-EC Lease Hold HO</t>
  </si>
  <si>
    <t>G000000514</t>
  </si>
  <si>
    <t>SM-EC Freiflächen HO</t>
  </si>
  <si>
    <t>FR5146865</t>
  </si>
  <si>
    <t>IT06041200</t>
  </si>
  <si>
    <t>FR5152454</t>
  </si>
  <si>
    <t>H000004269</t>
  </si>
  <si>
    <t>DE - BAV Sales Promotion</t>
  </si>
  <si>
    <t>H000001749</t>
  </si>
  <si>
    <t>H000004270</t>
  </si>
  <si>
    <t>DE - ERB Sales Promotion</t>
  </si>
  <si>
    <t>H000004271</t>
  </si>
  <si>
    <t>DE - TEP Sales Promotion</t>
  </si>
  <si>
    <t>H000004272</t>
  </si>
  <si>
    <t>DE - XEV Sales Promotion</t>
  </si>
  <si>
    <t>H000004273</t>
  </si>
  <si>
    <t>DE - MAV Sales Promotion</t>
  </si>
  <si>
    <t>H000001756</t>
  </si>
  <si>
    <t>H000004274</t>
  </si>
  <si>
    <t>DE - REB Sales Promotion</t>
  </si>
  <si>
    <t>H000004275</t>
  </si>
  <si>
    <t>DE - EVO Sales Promotion</t>
  </si>
  <si>
    <t>H000004276</t>
  </si>
  <si>
    <t>DE - FD Sales Promotion</t>
  </si>
  <si>
    <t>H000001762</t>
  </si>
  <si>
    <t>H000004277</t>
  </si>
  <si>
    <t>DE - SAI Sales Promotion</t>
  </si>
  <si>
    <t>H000004278</t>
  </si>
  <si>
    <t>DE - CMC Sales Promotion</t>
  </si>
  <si>
    <t>H000004279</t>
  </si>
  <si>
    <t>DE - BAV Medical Activities</t>
  </si>
  <si>
    <t>H000001769</t>
  </si>
  <si>
    <t>H000004280</t>
  </si>
  <si>
    <t>DE - ERB Medical Activities</t>
  </si>
  <si>
    <t>H000004281</t>
  </si>
  <si>
    <t>DE - TEP Medical Activities</t>
  </si>
  <si>
    <t>H000004282</t>
  </si>
  <si>
    <t>DE - XEV Medical Activities</t>
  </si>
  <si>
    <t>H000004283</t>
  </si>
  <si>
    <t>DE - BAV Local R&amp;D studies</t>
  </si>
  <si>
    <t>H000001770</t>
  </si>
  <si>
    <t>H000004284</t>
  </si>
  <si>
    <t>DE - ERB Local R&amp;D studies</t>
  </si>
  <si>
    <t>H000004285</t>
  </si>
  <si>
    <t>DE - TEP Local R&amp;D studies</t>
  </si>
  <si>
    <t>H000004286</t>
  </si>
  <si>
    <t>DE - XEV Local R&amp;D studies</t>
  </si>
  <si>
    <t>H000004287</t>
  </si>
  <si>
    <t>DE - MAV Medical Activities</t>
  </si>
  <si>
    <t>H000001773</t>
  </si>
  <si>
    <t>H000004288</t>
  </si>
  <si>
    <t>DE - REB Medical Activities</t>
  </si>
  <si>
    <t>H000004289</t>
  </si>
  <si>
    <t>DE - EVO Medical Activities</t>
  </si>
  <si>
    <t>H000004290</t>
  </si>
  <si>
    <t>DE - MAV Local R&amp;D Studies</t>
  </si>
  <si>
    <t>H000001774</t>
  </si>
  <si>
    <t>H000004291</t>
  </si>
  <si>
    <t>DE - REB Local R&amp;D Studies</t>
  </si>
  <si>
    <t>H000004292</t>
  </si>
  <si>
    <t>DE - EVO Local R&amp;D Studies</t>
  </si>
  <si>
    <t>H000004293</t>
  </si>
  <si>
    <t>DE - FD Medical Activities</t>
  </si>
  <si>
    <t>H000001777</t>
  </si>
  <si>
    <t>H000004294</t>
  </si>
  <si>
    <t>DE - SAI Medical Activities</t>
  </si>
  <si>
    <t>H000004295</t>
  </si>
  <si>
    <t>DE - CMC Medical Activities</t>
  </si>
  <si>
    <t>H000004296</t>
  </si>
  <si>
    <t>DE - FD Local R&amp;D Studies</t>
  </si>
  <si>
    <t>H000001778</t>
  </si>
  <si>
    <t>H000004297</t>
  </si>
  <si>
    <t>DE - SAI Local R&amp;D Studies</t>
  </si>
  <si>
    <t>H000004298</t>
  </si>
  <si>
    <t>DE - CMC Local R&amp;D Studies</t>
  </si>
  <si>
    <t>H000001750</t>
  </si>
  <si>
    <t>H000001751</t>
  </si>
  <si>
    <t>H000001757</t>
  </si>
  <si>
    <t>H000001758</t>
  </si>
  <si>
    <t>H000001763</t>
  </si>
  <si>
    <t>H000001764</t>
  </si>
  <si>
    <t>FR5155724</t>
  </si>
  <si>
    <t>P000000769</t>
  </si>
  <si>
    <t>EL-PC Organisation</t>
  </si>
  <si>
    <t>P000000608</t>
  </si>
  <si>
    <t>P000000770</t>
  </si>
  <si>
    <t>EL-NMB Megasys Operations Asia</t>
  </si>
  <si>
    <t>P000000713</t>
  </si>
  <si>
    <t>P000000771</t>
  </si>
  <si>
    <t>EL-NMB Field Services NAEUR</t>
  </si>
  <si>
    <t>P000000772</t>
  </si>
  <si>
    <t>EL-NSA Manufacturing</t>
  </si>
  <si>
    <t>P000000773</t>
  </si>
  <si>
    <t>Semi Materials Other</t>
  </si>
  <si>
    <t>P000000391</t>
  </si>
  <si>
    <t>P000000565</t>
  </si>
  <si>
    <t>EL-PSI-MJ Commercial Japan</t>
  </si>
  <si>
    <t>P000000300</t>
  </si>
  <si>
    <t>EL-POP Operational Excellence</t>
  </si>
  <si>
    <t>P000000508</t>
  </si>
  <si>
    <t>EL-POE Supply Excellence</t>
  </si>
  <si>
    <t>Supply Chain Transformation</t>
  </si>
  <si>
    <t>P000000645</t>
  </si>
  <si>
    <t xml:space="preserve">MIP over / under </t>
  </si>
  <si>
    <t>P000000447</t>
  </si>
  <si>
    <t>P000000448</t>
  </si>
  <si>
    <t>P000000512</t>
  </si>
  <si>
    <t>P000000609</t>
  </si>
  <si>
    <t>P000000597</t>
  </si>
  <si>
    <t>P000000598</t>
  </si>
  <si>
    <t>P000000650</t>
  </si>
  <si>
    <t>H000004299</t>
  </si>
  <si>
    <t xml:space="preserve">NA - MARKETING STATEGY </t>
  </si>
  <si>
    <t>H000002133</t>
  </si>
  <si>
    <t>H000004300</t>
  </si>
  <si>
    <t>NA - Med Activities Neuro</t>
  </si>
  <si>
    <t>H000004301</t>
  </si>
  <si>
    <t>NA - Med Activities Onco</t>
  </si>
  <si>
    <t>H000004302</t>
  </si>
  <si>
    <t>NA - Med Activities</t>
  </si>
  <si>
    <t>H000004303</t>
  </si>
  <si>
    <t>NA - Sales Promotion Neuro</t>
  </si>
  <si>
    <t>F2</t>
  </si>
  <si>
    <t>FR5208660</t>
  </si>
  <si>
    <t>SM-AH HealthCare</t>
  </si>
  <si>
    <t>FR5265964</t>
  </si>
  <si>
    <t>H000000868</t>
  </si>
  <si>
    <t>NBE Technologies</t>
  </si>
  <si>
    <t>H000000858</t>
  </si>
  <si>
    <t>Global Medicinal Chemistry</t>
  </si>
  <si>
    <t>H000000869</t>
  </si>
  <si>
    <t>Early Protein Supply &amp; Characterization</t>
  </si>
  <si>
    <t>H000000870</t>
  </si>
  <si>
    <t>Antibody Discovery &amp; Protein Engineering</t>
  </si>
  <si>
    <t>H000000874</t>
  </si>
  <si>
    <t>Discovery Pharmacology</t>
  </si>
  <si>
    <t>H000000867</t>
  </si>
  <si>
    <t>NCE DMPK</t>
  </si>
  <si>
    <t>H000000857</t>
  </si>
  <si>
    <t>H000000875</t>
  </si>
  <si>
    <t>NBE DMPK</t>
  </si>
  <si>
    <t>H000000900</t>
  </si>
  <si>
    <t>FR5266249</t>
  </si>
  <si>
    <t>L000010150</t>
  </si>
  <si>
    <t>L000010160</t>
  </si>
  <si>
    <t>L000010179</t>
  </si>
  <si>
    <t>L000010182</t>
  </si>
  <si>
    <t>L000010185</t>
  </si>
  <si>
    <t>L000010190</t>
  </si>
  <si>
    <t>L000010212</t>
  </si>
  <si>
    <t>L000010220</t>
  </si>
  <si>
    <t>L000012340</t>
  </si>
  <si>
    <t>FR5267957</t>
  </si>
  <si>
    <t>IT-AZ Applications CoE</t>
  </si>
  <si>
    <t>FR5267969</t>
  </si>
  <si>
    <t>FR5286834</t>
  </si>
  <si>
    <t>H000004304</t>
  </si>
  <si>
    <t>US - Government Pricing</t>
  </si>
  <si>
    <t>Maureen Cardano</t>
  </si>
  <si>
    <t>H000004305</t>
  </si>
  <si>
    <t>H000004306</t>
  </si>
  <si>
    <t>US - Program</t>
  </si>
  <si>
    <t>FR5298363</t>
  </si>
  <si>
    <t>SM-H Head &amp; Projects</t>
  </si>
  <si>
    <t>FR5298867</t>
  </si>
  <si>
    <t>SM-BC Strategic Contracting_I</t>
  </si>
  <si>
    <t>SM-BC strategic contracting</t>
  </si>
  <si>
    <t>FR5288687</t>
  </si>
  <si>
    <t>G000000879</t>
  </si>
  <si>
    <t>G000000882</t>
  </si>
  <si>
    <t>G000000880</t>
  </si>
  <si>
    <t>G000000881</t>
  </si>
  <si>
    <t>FR5303863</t>
  </si>
  <si>
    <t>H000004307</t>
  </si>
  <si>
    <t>LATAM - Regional Medical Affairs</t>
  </si>
  <si>
    <t>H000000385</t>
  </si>
  <si>
    <t>Charmaine Dela Vega</t>
  </si>
  <si>
    <t>H000004308</t>
  </si>
  <si>
    <t>LATAM - Head of Regional Medical Affairs</t>
  </si>
  <si>
    <t>H000004309</t>
  </si>
  <si>
    <t>LATAM - RMA</t>
  </si>
  <si>
    <t>FR5306213</t>
  </si>
  <si>
    <t>H000000937</t>
  </si>
  <si>
    <t>H000001106</t>
  </si>
  <si>
    <t>H000000390</t>
  </si>
  <si>
    <t>H000000411</t>
  </si>
  <si>
    <t>H000000406</t>
  </si>
  <si>
    <t>H000000416</t>
  </si>
  <si>
    <t>H000000398</t>
  </si>
  <si>
    <t>H000000401</t>
  </si>
  <si>
    <t>H000000403</t>
  </si>
  <si>
    <t>H000000417</t>
  </si>
  <si>
    <t>H000000422</t>
  </si>
  <si>
    <t>H000000425</t>
  </si>
  <si>
    <t>FR5309229</t>
  </si>
  <si>
    <t>H000004310</t>
  </si>
  <si>
    <t>Clinical studies Xevinapant</t>
  </si>
  <si>
    <t>H000004311</t>
  </si>
  <si>
    <t>Clinical studies Evobrutinib</t>
  </si>
  <si>
    <t>FR5311714</t>
  </si>
  <si>
    <t>L000013471</t>
  </si>
  <si>
    <t>BM - Comm APAC - RM CN -G</t>
  </si>
  <si>
    <t>L000005635</t>
  </si>
  <si>
    <t>Digital COE</t>
  </si>
  <si>
    <t>L000013473</t>
  </si>
  <si>
    <t>DICE Strategy &amp; Execution</t>
  </si>
  <si>
    <t>LSS Business Planning &amp; Implementation</t>
  </si>
  <si>
    <t>L000013476</t>
  </si>
  <si>
    <t>Process &amp; Technologies PS VS</t>
  </si>
  <si>
    <t>L000013477</t>
  </si>
  <si>
    <t>LS-OHM-S Gross-expenditure -G</t>
  </si>
  <si>
    <t>LS-OHM-S Conversion Costs -G</t>
  </si>
  <si>
    <t>LS-OHM-S Allocations out -G</t>
  </si>
  <si>
    <t>L000013480</t>
  </si>
  <si>
    <t>LS-OHM-S Global TechOps -G</t>
  </si>
  <si>
    <t>L000013481</t>
  </si>
  <si>
    <t>LS-OHM-S Start-up costs -G</t>
  </si>
  <si>
    <t>L000013482</t>
  </si>
  <si>
    <t>LS-OHM-S Variances -G</t>
  </si>
  <si>
    <t>L000013483</t>
  </si>
  <si>
    <t>LS-OHM-S Miscellaneous -G</t>
  </si>
  <si>
    <t>L000013484</t>
  </si>
  <si>
    <t>Large Scale Manufacturing-G</t>
  </si>
  <si>
    <t>L000013485</t>
  </si>
  <si>
    <t>Small Scale Manufacturing-G</t>
  </si>
  <si>
    <t>L000013486</t>
  </si>
  <si>
    <t>Quality-G</t>
  </si>
  <si>
    <t>Engineering &amp; Maintenance-G</t>
  </si>
  <si>
    <t>L000013488</t>
  </si>
  <si>
    <t>EHS-G</t>
  </si>
  <si>
    <t>L000013489</t>
  </si>
  <si>
    <t>Planning &amp; Scheduling-G</t>
  </si>
  <si>
    <t>L000013490</t>
  </si>
  <si>
    <t>Admin &amp; Training-G</t>
  </si>
  <si>
    <t>L000013491</t>
  </si>
  <si>
    <t>Other-G</t>
  </si>
  <si>
    <t>L000013492</t>
  </si>
  <si>
    <t>Lab offices-G</t>
  </si>
  <si>
    <t>L000013493</t>
  </si>
  <si>
    <t>Profit Center-G</t>
  </si>
  <si>
    <t>L000013494</t>
  </si>
  <si>
    <t>Miscellaneous-G</t>
  </si>
  <si>
    <t>L000013495</t>
  </si>
  <si>
    <t>Membrane Manufacturing-G</t>
  </si>
  <si>
    <t>L000013496</t>
  </si>
  <si>
    <t>Outside LS-OHM-S</t>
  </si>
  <si>
    <t>L000013497</t>
  </si>
  <si>
    <t>US Facilities</t>
  </si>
  <si>
    <t>Op Ex</t>
  </si>
  <si>
    <t>L000005875</t>
  </si>
  <si>
    <t>L000005853</t>
  </si>
  <si>
    <t>L000008418</t>
  </si>
  <si>
    <t>L000008431</t>
  </si>
  <si>
    <t>L000008432</t>
  </si>
  <si>
    <t>L000005102</t>
  </si>
  <si>
    <t>L000008559</t>
  </si>
  <si>
    <t>L000005094</t>
  </si>
  <si>
    <t>L000005153</t>
  </si>
  <si>
    <t>L000005156</t>
  </si>
  <si>
    <t>L000005158</t>
  </si>
  <si>
    <t>L000005159</t>
  </si>
  <si>
    <t>L000005160</t>
  </si>
  <si>
    <t>L000005161</t>
  </si>
  <si>
    <t>L000008571</t>
  </si>
  <si>
    <t>L000008572</t>
  </si>
  <si>
    <t>L000008574</t>
  </si>
  <si>
    <t>L000008575</t>
  </si>
  <si>
    <t>L000008577</t>
  </si>
  <si>
    <t>L000008578</t>
  </si>
  <si>
    <t>L000011496</t>
  </si>
  <si>
    <t>L000011497</t>
  </si>
  <si>
    <t>L000012320</t>
  </si>
  <si>
    <t>L000013272</t>
  </si>
  <si>
    <t>L000013273</t>
  </si>
  <si>
    <t>L000012914</t>
  </si>
  <si>
    <t>L000008557</t>
  </si>
  <si>
    <t>Promotion, Taiwan-G</t>
  </si>
  <si>
    <t>LS Addison</t>
  </si>
  <si>
    <t>DICE Product Architecture &amp; Comp Sci</t>
  </si>
  <si>
    <t>DICE Business Process Capabilities</t>
  </si>
  <si>
    <t>DICE Chemistry Product Engineering</t>
  </si>
  <si>
    <t>L000010193</t>
  </si>
  <si>
    <t>LS-OHM-S Idle Capacity-G</t>
  </si>
  <si>
    <t>L000010194</t>
  </si>
  <si>
    <t>Sheboygan Pro3-G</t>
  </si>
  <si>
    <t>L000010195</t>
  </si>
  <si>
    <t>Sheboygan Pro1-G</t>
  </si>
  <si>
    <t>L000010196</t>
  </si>
  <si>
    <t>Sheboygan Pro2-G</t>
  </si>
  <si>
    <t>L000010198</t>
  </si>
  <si>
    <t>LS-OTT-I SHB/MKE R&amp;D-G</t>
  </si>
  <si>
    <t>L000010199</t>
  </si>
  <si>
    <t>Sheboygan Distribution-G</t>
  </si>
  <si>
    <t>L000010200</t>
  </si>
  <si>
    <t>Sheboygan Pro4-G</t>
  </si>
  <si>
    <t>L000010202</t>
  </si>
  <si>
    <t>Sheboygan Pro5-G</t>
  </si>
  <si>
    <t>L000010205</t>
  </si>
  <si>
    <t>Production Labs-G</t>
  </si>
  <si>
    <t>L000012165</t>
  </si>
  <si>
    <t>LS-OHM-S Absorption ACOs - Sheboygan -G</t>
  </si>
  <si>
    <t>L000012901</t>
  </si>
  <si>
    <t>LS-OHM-S MPV Sheboygan site-G</t>
  </si>
  <si>
    <t>L000012918</t>
  </si>
  <si>
    <t>Sheboygan UPO/PAC3-G</t>
  </si>
  <si>
    <t>L000012919</t>
  </si>
  <si>
    <t>LS-OHM-S R&amp;D credit-G</t>
  </si>
  <si>
    <t>L000008294</t>
  </si>
  <si>
    <t>SLS Commercial APAC - Other</t>
  </si>
  <si>
    <t>L000012001</t>
  </si>
  <si>
    <t>SLS Commercial APAC - Savings</t>
  </si>
  <si>
    <t>L000013111</t>
  </si>
  <si>
    <t>SLS Commercial APAC - Initiatives</t>
  </si>
  <si>
    <t>L000005149</t>
  </si>
  <si>
    <t>I&amp;T Commercial Head (WE) -G</t>
  </si>
  <si>
    <t>L000005152</t>
  </si>
  <si>
    <t>South I&amp;T Commercial (WE) -G</t>
  </si>
  <si>
    <t>L000005162</t>
  </si>
  <si>
    <t>Central &amp; North I&amp;T Commercial (WE) -G</t>
  </si>
  <si>
    <t>L000005173</t>
  </si>
  <si>
    <t>North I&amp;T (WE) -G</t>
  </si>
  <si>
    <t>L000005179</t>
  </si>
  <si>
    <t>UK 1756CS7142 - LS-SEI I&amp;T -G</t>
  </si>
  <si>
    <t>L000005182</t>
  </si>
  <si>
    <t>UK 1756C07140 - LS-SEI I&amp;T -G</t>
  </si>
  <si>
    <t>L000012004</t>
  </si>
  <si>
    <t>SE 1919C05730 - LS-SEI I&amp;T -G</t>
  </si>
  <si>
    <t>L000005183</t>
  </si>
  <si>
    <t>Central I&amp;T (WE) -G</t>
  </si>
  <si>
    <t>L000005196</t>
  </si>
  <si>
    <t>West I&amp;T Commercial (WE) -G</t>
  </si>
  <si>
    <t>L000005185</t>
  </si>
  <si>
    <t>BE 2010C00323 - LS-SEI I&amp;T -G</t>
  </si>
  <si>
    <t>L000005204</t>
  </si>
  <si>
    <t>NL 2029C01304 - LS-SEI I&amp;T -G</t>
  </si>
  <si>
    <t>L000005205</t>
  </si>
  <si>
    <t>Sales Specialists I&amp;T (WE) -G</t>
  </si>
  <si>
    <t>L000005206</t>
  </si>
  <si>
    <t>DE 15036 - LS-SEI I&amp;T Spec -G</t>
  </si>
  <si>
    <t>L000005207</t>
  </si>
  <si>
    <t>UK 1756C07141 - LS-SEI I&amp;T Spec -G</t>
  </si>
  <si>
    <t>L000005209</t>
  </si>
  <si>
    <t>IT 2025C00002 - LS-SEI I&amp;T Spec -G</t>
  </si>
  <si>
    <t>L000005216</t>
  </si>
  <si>
    <t>IT 2025C01310 - LS-SEI I&amp;T Spec -G</t>
  </si>
  <si>
    <t>L000005217</t>
  </si>
  <si>
    <t>NL 2029C01310 - LS-SEI I&amp;T Spec -G</t>
  </si>
  <si>
    <t>L000005218</t>
  </si>
  <si>
    <t>UK 1756CS5771 - LS-SEI I&amp;T Spec -G</t>
  </si>
  <si>
    <t>FM&amp;SM Mgt. &amp; Other</t>
  </si>
  <si>
    <t>L000012751</t>
  </si>
  <si>
    <t>FM &amp; SM WEU ICON</t>
  </si>
  <si>
    <t>L000009016</t>
  </si>
  <si>
    <t>RTS &amp; Specialists AGH -G</t>
  </si>
  <si>
    <t>L000009049</t>
  </si>
  <si>
    <t>South &amp; West Academia -G</t>
  </si>
  <si>
    <t>L000006936</t>
  </si>
  <si>
    <t>BioVV - Client Project Mgmt</t>
  </si>
  <si>
    <t>L000007043</t>
  </si>
  <si>
    <t>BioVV - Sales</t>
  </si>
  <si>
    <t>L000011494</t>
  </si>
  <si>
    <t>BioVV - Site Martillac</t>
  </si>
  <si>
    <t>L000011503</t>
  </si>
  <si>
    <t>BioVV - Site Burlington</t>
  </si>
  <si>
    <t>L000013174</t>
  </si>
  <si>
    <t>BioVV - Innovation</t>
  </si>
  <si>
    <t>BioVV - Site Shanghai</t>
  </si>
  <si>
    <t>Distribution EPP, Ghm</t>
  </si>
  <si>
    <t>LS-ODN Distr. Western H.</t>
  </si>
  <si>
    <t>LS- ODD Distr. Eastern H.</t>
  </si>
  <si>
    <t>L000009975</t>
  </si>
  <si>
    <t>Darmstadt -G</t>
  </si>
  <si>
    <t>L000009978</t>
  </si>
  <si>
    <t>DC Eastern Europe -G</t>
  </si>
  <si>
    <t>L000010042</t>
  </si>
  <si>
    <t>Europe Distrib. Other -G</t>
  </si>
  <si>
    <t>Other DC Germany -G</t>
  </si>
  <si>
    <t>L000012217</t>
  </si>
  <si>
    <t>L000012222</t>
  </si>
  <si>
    <t>L000012170</t>
  </si>
  <si>
    <t>L000010201</t>
  </si>
  <si>
    <t>L000010203</t>
  </si>
  <si>
    <t>L000012442</t>
  </si>
  <si>
    <t>L000006102</t>
  </si>
  <si>
    <t>L000005163</t>
  </si>
  <si>
    <t>L000005164</t>
  </si>
  <si>
    <t>L000005165</t>
  </si>
  <si>
    <t>L000005166</t>
  </si>
  <si>
    <t>L000005169</t>
  </si>
  <si>
    <t>L000005176</t>
  </si>
  <si>
    <t>L000005180</t>
  </si>
  <si>
    <t>L000005189</t>
  </si>
  <si>
    <t>L000005194</t>
  </si>
  <si>
    <t>L000005195</t>
  </si>
  <si>
    <t>L000005192</t>
  </si>
  <si>
    <t>L000005197</t>
  </si>
  <si>
    <t>L000005200</t>
  </si>
  <si>
    <t>L000005202</t>
  </si>
  <si>
    <t>L000005203</t>
  </si>
  <si>
    <t>L000010595</t>
  </si>
  <si>
    <t>L000009987</t>
  </si>
  <si>
    <t>L000010071</t>
  </si>
  <si>
    <t>L000010074</t>
  </si>
  <si>
    <t>L000012181</t>
  </si>
  <si>
    <t>L000012876</t>
  </si>
  <si>
    <t>L000012877</t>
  </si>
  <si>
    <t>L000007638</t>
  </si>
  <si>
    <t>L000011920</t>
  </si>
  <si>
    <t>L000010584</t>
  </si>
  <si>
    <t>L000010591</t>
  </si>
  <si>
    <t>DICE Development Operations</t>
  </si>
  <si>
    <t>L000005177</t>
  </si>
  <si>
    <t>IT 2025C03565 - LS-SEI I&amp;T -G</t>
  </si>
  <si>
    <t>L000005178</t>
  </si>
  <si>
    <t>ES 2034C05318 - LS-SEI I&amp;T -G</t>
  </si>
  <si>
    <t>L000005190</t>
  </si>
  <si>
    <t>NL 2029C01314 - LS-SEI I&amp;T Spec -G</t>
  </si>
  <si>
    <t>L000005199</t>
  </si>
  <si>
    <t>IT 2025C03564 - LS-SEI I&amp;T -G</t>
  </si>
  <si>
    <t>L000005201</t>
  </si>
  <si>
    <t>DE40MS1321 - LS-SEI I&amp;T -G</t>
  </si>
  <si>
    <t>L000005213</t>
  </si>
  <si>
    <t>IE 2023C05771 - LS-SEI I&amp;T Spec -G</t>
  </si>
  <si>
    <t>L000009006</t>
  </si>
  <si>
    <t>AT40MS1306 - LS-SEA Acad-G</t>
  </si>
  <si>
    <t>L000009007</t>
  </si>
  <si>
    <t>BE 2010C00324 - LS-SEA Acad-G</t>
  </si>
  <si>
    <t>L000009015</t>
  </si>
  <si>
    <t>NL 2029C01306 - LS-SEA Acad-G</t>
  </si>
  <si>
    <t>L000009017</t>
  </si>
  <si>
    <t>DE 15125 - LS-SEA Acad-G</t>
  </si>
  <si>
    <t>L000009004</t>
  </si>
  <si>
    <t>L000009018</t>
  </si>
  <si>
    <t>DK 2012C00934 - LS-SEA Acad-G</t>
  </si>
  <si>
    <t>L000009033</t>
  </si>
  <si>
    <t>L000009019</t>
  </si>
  <si>
    <t>FI 2013C01254 - LS-SEA Acad-G</t>
  </si>
  <si>
    <t>L000009020</t>
  </si>
  <si>
    <t>FR 51680 - LS-SEA Acad-G</t>
  </si>
  <si>
    <t>L000009023</t>
  </si>
  <si>
    <t>IT 2025C03569 - LS-SEA Acad-G</t>
  </si>
  <si>
    <t>L000009025</t>
  </si>
  <si>
    <t>ES 2034C01308 - LS-SEA Acad-G</t>
  </si>
  <si>
    <t>L000009026</t>
  </si>
  <si>
    <t>SE 1919C01309 - LS-SEA Acad-G</t>
  </si>
  <si>
    <t>L000009027</t>
  </si>
  <si>
    <t>UK 1756C07146 - LS-SEA Acad-G</t>
  </si>
  <si>
    <t>L000009028</t>
  </si>
  <si>
    <t>DE40MS1308 - LS-SEA Acad-G</t>
  </si>
  <si>
    <t>L000009030</t>
  </si>
  <si>
    <t>FR 5792 - LS-SEA Acad-G</t>
  </si>
  <si>
    <t>L000011506</t>
  </si>
  <si>
    <t xml:space="preserve">BioVV - Strategic Marketing </t>
  </si>
  <si>
    <t>L000010069</t>
  </si>
  <si>
    <t>LS-O Growth Realization Office -G</t>
  </si>
  <si>
    <t>L000009762</t>
  </si>
  <si>
    <t>L000010236</t>
  </si>
  <si>
    <t>L000010310</t>
  </si>
  <si>
    <t>L000010239</t>
  </si>
  <si>
    <t>L000010531</t>
  </si>
  <si>
    <t>L000010243</t>
  </si>
  <si>
    <t>L000010457</t>
  </si>
  <si>
    <t>L000013499</t>
  </si>
  <si>
    <t>Processes &amp; Technologies PS VS</t>
  </si>
  <si>
    <t>FR5313602</t>
  </si>
  <si>
    <t>L000012873</t>
  </si>
  <si>
    <t>L000010093</t>
  </si>
  <si>
    <t>L000010145</t>
  </si>
  <si>
    <t>L000013249</t>
  </si>
  <si>
    <t>FR5329157</t>
  </si>
  <si>
    <t>H000004161</t>
  </si>
  <si>
    <t>FR5341107</t>
  </si>
  <si>
    <t>SM-SO Wohnungen</t>
  </si>
  <si>
    <t>FR5345539</t>
  </si>
  <si>
    <t>H000000912</t>
  </si>
  <si>
    <t>IT50R00005</t>
  </si>
  <si>
    <t>Eugenio Caramanica</t>
  </si>
  <si>
    <t>FR5360319</t>
  </si>
  <si>
    <t>P000000777</t>
  </si>
  <si>
    <t>Non-GrEx, DIS-JP-AT, Atsugi, Japan</t>
  </si>
  <si>
    <t>P000000786</t>
  </si>
  <si>
    <t>GrEx, DIS-CN-SH, Shanghai, China</t>
  </si>
  <si>
    <t>P000000787</t>
  </si>
  <si>
    <t>Non-GrEx, DIS-CN-SH, Shanghai, China</t>
  </si>
  <si>
    <t>P000000788</t>
  </si>
  <si>
    <t>Surface Production Sites</t>
  </si>
  <si>
    <t>P000000147</t>
  </si>
  <si>
    <t>SRF-US-UB, R&amp;D</t>
  </si>
  <si>
    <t>P000000798</t>
  </si>
  <si>
    <t>Semi Other R&amp;D Organization</t>
  </si>
  <si>
    <t>P000000543</t>
  </si>
  <si>
    <t>P000000799</t>
  </si>
  <si>
    <t>Semi Other R&amp;D Other</t>
  </si>
  <si>
    <t xml:space="preserve">EL-SM-TQ Thin Film Global Quality </t>
  </si>
  <si>
    <t>P000000526</t>
  </si>
  <si>
    <t>EL-SM-TD Thin Film ISC</t>
  </si>
  <si>
    <t>EL-SM-TDX TF Tech Ops</t>
  </si>
  <si>
    <t>EL-SM-TDY TF Supply Chain Planning</t>
  </si>
  <si>
    <t>Thin Film Production Sites</t>
  </si>
  <si>
    <t>THF-KR-ES, Eumseong, S. Korea</t>
  </si>
  <si>
    <t>P000000808</t>
  </si>
  <si>
    <t>THF-TW-JP, Kaohsiung, Taiwan</t>
  </si>
  <si>
    <t>P000000809</t>
  </si>
  <si>
    <t>GrEx, THF-US-HA, Haverhill, USA</t>
  </si>
  <si>
    <t>P000000219</t>
  </si>
  <si>
    <t>P000000810</t>
  </si>
  <si>
    <t>Non-GrEx, THF-US-HA, Haverhill, USA</t>
  </si>
  <si>
    <t>THF-US-CB, Direct Manufacturing</t>
  </si>
  <si>
    <t>THF-US-CB, Indirect Manufacturing</t>
  </si>
  <si>
    <t>THF-US-CB, Manuf. Overhead</t>
  </si>
  <si>
    <t>THF-US-CB, Quality</t>
  </si>
  <si>
    <t>THF-US-CB, Container Prep</t>
  </si>
  <si>
    <t>THF-KR-BA, Direct Manufacturing</t>
  </si>
  <si>
    <t>THF-KR-BA, TF Direct Manufact.</t>
  </si>
  <si>
    <t>THF-KR-BA, SG Direct Manufact.</t>
  </si>
  <si>
    <t>THF-KR-BA, Indirect Manufacturing</t>
  </si>
  <si>
    <t>THF-KR-BA, Manufact. Overhead</t>
  </si>
  <si>
    <t>THF-KR-BA, Container Prep</t>
  </si>
  <si>
    <t>THF-KR-BA, Quality</t>
  </si>
  <si>
    <t>EL-SM-TS TF Global Sales</t>
  </si>
  <si>
    <t>P000000533</t>
  </si>
  <si>
    <t>EL-SM-TP TF Global Product Mgmt</t>
  </si>
  <si>
    <t>EL-SM-TB TF Global Business Marketing</t>
  </si>
  <si>
    <t>EL-SM-TBN Organosilanes Global Marketing</t>
  </si>
  <si>
    <t>EL-SM-TBO Organometalics Global Marketing</t>
  </si>
  <si>
    <t>EL-SM-TBS Spin On Global Marketing</t>
  </si>
  <si>
    <t>EL-SM-TO TF OEM Marketing</t>
  </si>
  <si>
    <t>EL-SM-TC TF Customer Applications</t>
  </si>
  <si>
    <t xml:space="preserve">EL-SM-PQ Patterning Global Quality </t>
  </si>
  <si>
    <t>P000000520</t>
  </si>
  <si>
    <t>EL-SM-PD Patterning ISC</t>
  </si>
  <si>
    <t>EL-SM-PDX PAT Tech Ops</t>
  </si>
  <si>
    <t>EL-SM-PDY PAT Supply Chain Planning</t>
  </si>
  <si>
    <t>P000000841</t>
  </si>
  <si>
    <t>Patterning Production Sites</t>
  </si>
  <si>
    <t>EL-SM-PS PAT Global Sales</t>
  </si>
  <si>
    <t>P000000534</t>
  </si>
  <si>
    <t>P000000851</t>
  </si>
  <si>
    <t>EL-SM-PS PAT Sales LE</t>
  </si>
  <si>
    <t>EL-SM-PP PAT Global Product Mgmt</t>
  </si>
  <si>
    <t>EL-SM-P1 PAT Speciality Accounts</t>
  </si>
  <si>
    <t>EL-SM-PM Lithography &amp; Silica Marketing</t>
  </si>
  <si>
    <t>EL-SM-PB SP&amp;C Marketing</t>
  </si>
  <si>
    <t>EL-SM-PA PAT Customer Applications</t>
  </si>
  <si>
    <t>EL-SM-PAC Customer Applications</t>
  </si>
  <si>
    <t>EL-SM-PAT Global T&amp;S</t>
  </si>
  <si>
    <t>EL-SM-PATE Tech Service EU</t>
  </si>
  <si>
    <t>EL-SM-PATJ Tech Service Japan/Korea</t>
  </si>
  <si>
    <t>EL-SM-PATJA Advanced Technical Service</t>
  </si>
  <si>
    <t>EL-SM-PATJT Technical Service</t>
  </si>
  <si>
    <t>EL-SM-PATT Tech Service Taiwan/SEA</t>
  </si>
  <si>
    <t>EL-SM-PATU Tech Service U.S.</t>
  </si>
  <si>
    <t xml:space="preserve">EL-SM-AQ Planarization Global Quality </t>
  </si>
  <si>
    <t>P000000522</t>
  </si>
  <si>
    <t>EL-SM-AD Planarization ISC</t>
  </si>
  <si>
    <t>P000000867</t>
  </si>
  <si>
    <t>Tech Ops in OAT</t>
  </si>
  <si>
    <t>EL-SM-ADY PLA Supply Chain Planning</t>
  </si>
  <si>
    <t>Planarization Production Sites</t>
  </si>
  <si>
    <t>EL-SM-AO PLA OAT Oper. &amp; Analyt. Techn.</t>
  </si>
  <si>
    <t>EL-SM-AO PLA OAT &amp; Global Product Mgmt.</t>
  </si>
  <si>
    <t>EL-SM-AO PLA OAT Process Development</t>
  </si>
  <si>
    <t>EL-SM-AO PLA OAT Tech Ops (GTO)</t>
  </si>
  <si>
    <t>EL-SM-AO PLA OAT Analytical Techn. (GAT)</t>
  </si>
  <si>
    <t>PLA-US-DA, Direct Manufacturing</t>
  </si>
  <si>
    <t>P000000881</t>
  </si>
  <si>
    <t>PLA-US-DA, PLA Direct Manufact.</t>
  </si>
  <si>
    <t>PLA-US-DA,</t>
  </si>
  <si>
    <t>P000000882</t>
  </si>
  <si>
    <t>PLA-US-DA, PAT Direct Manufact.</t>
  </si>
  <si>
    <t>PLA-US-DA, Indirect Manufacturing</t>
  </si>
  <si>
    <t>P000000884</t>
  </si>
  <si>
    <t>PLA-US-DA, Manufact. Overhead</t>
  </si>
  <si>
    <t>P000000885</t>
  </si>
  <si>
    <t>PLA-US-DA, Quality</t>
  </si>
  <si>
    <t>PLA-US-TP, Direct Manufacturing</t>
  </si>
  <si>
    <t>PLA-US-TP, Indirect Manufacturing</t>
  </si>
  <si>
    <t>P000000890</t>
  </si>
  <si>
    <t>PLA-US-TP, Manufact. Overhead</t>
  </si>
  <si>
    <t>PLA-US-TP,</t>
  </si>
  <si>
    <t>P000000891</t>
  </si>
  <si>
    <t>PLA-US-TP, Quality</t>
  </si>
  <si>
    <t>PLA-KR-PT, Direct Manufacturing</t>
  </si>
  <si>
    <t>P000000895</t>
  </si>
  <si>
    <t>PLA-KR-PT, PLA Direct Manufact.</t>
  </si>
  <si>
    <t>PLA-KR-PT,</t>
  </si>
  <si>
    <t>P000000896</t>
  </si>
  <si>
    <t>PLA-KR-PT, PAT Direct Manufact.</t>
  </si>
  <si>
    <t>PLA-KR-PT, Indirect Manufacturing</t>
  </si>
  <si>
    <t>P000000898</t>
  </si>
  <si>
    <t>PLA-KR-PT, Manufact. Overhead</t>
  </si>
  <si>
    <t>P000000899</t>
  </si>
  <si>
    <t>PLA-KR-PT, Quality</t>
  </si>
  <si>
    <t>Non-GrEx, PLA-KR-PT, Pyeongtaek, S. Korea</t>
  </si>
  <si>
    <t>EL-SM-AS PLA Global Sales</t>
  </si>
  <si>
    <t>P000000535</t>
  </si>
  <si>
    <t>EL-SM-AM PLA Global Business Marketing</t>
  </si>
  <si>
    <t>EL-SM-AA PLA Customer Applications</t>
  </si>
  <si>
    <t xml:space="preserve">EL-SM-GQ Spec Gases Global Quality </t>
  </si>
  <si>
    <t>P000000513</t>
  </si>
  <si>
    <t>EL-SM-GD Spec Gases ISC</t>
  </si>
  <si>
    <t>EL-SM-GDX SG Tech Ops</t>
  </si>
  <si>
    <t>EL-SM-GDX SG Supply Chain Planning</t>
  </si>
  <si>
    <t>P000000908</t>
  </si>
  <si>
    <t>Spec Gases Production Sites</t>
  </si>
  <si>
    <t>SPG-CN-RO, ZhangJiaGang, China</t>
  </si>
  <si>
    <t>SPG-KR-UL, Direct Manufacturing</t>
  </si>
  <si>
    <t>SPG-KR-UL, Indirect Manufacturing</t>
  </si>
  <si>
    <t>SPG-KR-UL, Manufact. Overhead</t>
  </si>
  <si>
    <t>SPG-KR-UL, Container Prep</t>
  </si>
  <si>
    <t>SPG-KR-UL, Quality</t>
  </si>
  <si>
    <t>SPG-KR-SH, Direct Manufacturing</t>
  </si>
  <si>
    <t>SPG-KR-SH, TF Direct Manufact.</t>
  </si>
  <si>
    <t>SPG-KR-SH, SG Direct Manufact.</t>
  </si>
  <si>
    <t>SPG-KR-SH, Indirect Manufacturing</t>
  </si>
  <si>
    <t>SPG-KR-SH, Manufact. Overhead</t>
  </si>
  <si>
    <t>SPG-KR-SH, Container Prep</t>
  </si>
  <si>
    <t>SPG-KR-SH, Quality</t>
  </si>
  <si>
    <t>SPG-US-HT, Direct Manufacturing</t>
  </si>
  <si>
    <t>SPG-US-HT, TF Direct Manufact.</t>
  </si>
  <si>
    <t>SPG-US-HT, SG Direct Manufact.</t>
  </si>
  <si>
    <t>SPG-US-HT, Indirect Manufacturing</t>
  </si>
  <si>
    <t>SPG-US-HT, SG Manufact. Overhead</t>
  </si>
  <si>
    <t>SPG-US-HT, SG Container Prep</t>
  </si>
  <si>
    <t>SPG-US-HT, TF Manufact. Overhead</t>
  </si>
  <si>
    <t>SPG-US-HT, TF Container Prep</t>
  </si>
  <si>
    <t>SPG-US-HT, Quality</t>
  </si>
  <si>
    <t>SPG-TW-NA, Direct Manufacturing</t>
  </si>
  <si>
    <t>SPG-TW-NA, TF Direct Manufact.</t>
  </si>
  <si>
    <t>SPG-TW-NA, SG Direct Manufact.</t>
  </si>
  <si>
    <t>SPG-TW-NA, Indirect Manufacturing</t>
  </si>
  <si>
    <t>SPG-TW-NA, Manufact. Overhead</t>
  </si>
  <si>
    <t>SPG-TW-NA, Container Prep</t>
  </si>
  <si>
    <t>SPG-TW-NA, Quality</t>
  </si>
  <si>
    <t>GrEx, SPG-US-CT, Catoosa, USA</t>
  </si>
  <si>
    <t>SPG-US-CT, Direct Manufacturing</t>
  </si>
  <si>
    <t>SPG-US-CT, TF Direct Manufact.</t>
  </si>
  <si>
    <t>SPG-US-CT, SG Direct Manufact.</t>
  </si>
  <si>
    <t>SPG-US-CT, Indirect Manufacturing</t>
  </si>
  <si>
    <t>SPG-US-CT, Manufact. Overhead</t>
  </si>
  <si>
    <t>SPG-US-CT, Quality</t>
  </si>
  <si>
    <t>Non-GrEx, SPG-US-CT, Catoosa, USA</t>
  </si>
  <si>
    <t>EL-SM-GA SG Global Sales</t>
  </si>
  <si>
    <t>P000000536</t>
  </si>
  <si>
    <t>EL-SM-GP SG Global Product Mgmt</t>
  </si>
  <si>
    <t>EL-SM-GM SG Global Marketing</t>
  </si>
  <si>
    <t>EL-SM-C Safety Korea</t>
  </si>
  <si>
    <t>EL-SM-J General Management Japan</t>
  </si>
  <si>
    <t>EL-SM-E Commercial Excellence</t>
  </si>
  <si>
    <t>Semi Mat Dummy Cost Objects</t>
  </si>
  <si>
    <t>P000000961</t>
  </si>
  <si>
    <t>Semi Mat Other</t>
  </si>
  <si>
    <t>EL DivCo</t>
  </si>
  <si>
    <t>P000000963</t>
  </si>
  <si>
    <t>Cross-Charges</t>
  </si>
  <si>
    <t>P000000428</t>
  </si>
  <si>
    <t>P000000964</t>
  </si>
  <si>
    <t>Other Technical CCs</t>
  </si>
  <si>
    <t>P000000965</t>
  </si>
  <si>
    <t>Overarching EL</t>
  </si>
  <si>
    <t>P000000966</t>
  </si>
  <si>
    <t>EL-ND-N DS&amp;S Production Sites</t>
  </si>
  <si>
    <t>DSS-US-VT, Direct Manufacturing</t>
  </si>
  <si>
    <t>DSS-US-VT, Indirect Manufacturing</t>
  </si>
  <si>
    <t>DSS-US-CH, Direct Manufacturing</t>
  </si>
  <si>
    <t>DSS-US-CH, Indirect Manufacturing</t>
  </si>
  <si>
    <t>P000000977</t>
  </si>
  <si>
    <t>EL-ND-N Services - Megasys</t>
  </si>
  <si>
    <t>P000000978</t>
  </si>
  <si>
    <t>EL-ND-N Services - Field Service</t>
  </si>
  <si>
    <t>EL-ND-N Turnkey / Large Projects</t>
  </si>
  <si>
    <t>P000000980</t>
  </si>
  <si>
    <t>EL-ND-A DS&amp;S Production Sites</t>
  </si>
  <si>
    <t>DSS-CN-WG, Shanghai, China</t>
  </si>
  <si>
    <t>DSS-CN-WG, Direct Manufacturing</t>
  </si>
  <si>
    <t>DSS-CN-WG, Indirect Manufacturing</t>
  </si>
  <si>
    <t>DSS-TW-KA, Kaohsiung, Taiwan</t>
  </si>
  <si>
    <t>DSS-TW-KA, Direct Manufacturing</t>
  </si>
  <si>
    <t>DSS-TW-KA, Indirect Manufacturing</t>
  </si>
  <si>
    <t>P000000991</t>
  </si>
  <si>
    <t>EL-ND-A Services - Megasys</t>
  </si>
  <si>
    <t>P000000992</t>
  </si>
  <si>
    <t>EL-ND-A R&amp;D / Sustaining / Engineering</t>
  </si>
  <si>
    <t>P000000993</t>
  </si>
  <si>
    <t>EL-ND-K DS&amp;S Production Sites</t>
  </si>
  <si>
    <t>DSS-KR-HY, Direct Manufacturing</t>
  </si>
  <si>
    <t>DSS-KR-HY, Indirect Manufacturing</t>
  </si>
  <si>
    <t>P000000999</t>
  </si>
  <si>
    <t>EL-ND-K Services - Megasys</t>
  </si>
  <si>
    <t>P000001000</t>
  </si>
  <si>
    <t>External Boost Projects</t>
  </si>
  <si>
    <t>P000000585</t>
  </si>
  <si>
    <t>P000001001</t>
  </si>
  <si>
    <t>EL-AS-O Operations Digital Solutions</t>
  </si>
  <si>
    <t>P000000586</t>
  </si>
  <si>
    <t>P000001002</t>
  </si>
  <si>
    <t>Internal Boost Projects</t>
  </si>
  <si>
    <t>P000001003</t>
  </si>
  <si>
    <t>EL-IMC Customer Applications</t>
  </si>
  <si>
    <t>P000001004</t>
  </si>
  <si>
    <t>EL-IMD ISC Thin Film</t>
  </si>
  <si>
    <t>P000001005</t>
  </si>
  <si>
    <t>EL-IMM M Chemicals</t>
  </si>
  <si>
    <t>P000001006</t>
  </si>
  <si>
    <t>EL-IMO OEM Marketing</t>
  </si>
  <si>
    <t>P000001007</t>
  </si>
  <si>
    <t>EL-IMP Global Product Management</t>
  </si>
  <si>
    <t>P000001008</t>
  </si>
  <si>
    <t>EL-IMS Global Sales</t>
  </si>
  <si>
    <t>P000001009</t>
  </si>
  <si>
    <t>EL-IMB Global Business Marketing</t>
  </si>
  <si>
    <t>P000001010</t>
  </si>
  <si>
    <t>TF R&amp;D Projects</t>
  </si>
  <si>
    <t>P000001011</t>
  </si>
  <si>
    <t>TF R&amp;D Organization</t>
  </si>
  <si>
    <t>P000001012</t>
  </si>
  <si>
    <t>TF R&amp;D Other</t>
  </si>
  <si>
    <t>P000001013</t>
  </si>
  <si>
    <t>PAT R&amp;D Projects</t>
  </si>
  <si>
    <t>P000001014</t>
  </si>
  <si>
    <t>PAT R&amp;D Organization</t>
  </si>
  <si>
    <t>P000001015</t>
  </si>
  <si>
    <t>PAT R&amp;D Other</t>
  </si>
  <si>
    <t>P000001016</t>
  </si>
  <si>
    <t>PLA R&amp;D Projects</t>
  </si>
  <si>
    <t>P000001017</t>
  </si>
  <si>
    <t>PLA R&amp;D Organization</t>
  </si>
  <si>
    <t>P000001018</t>
  </si>
  <si>
    <t>PLA R&amp;D Other</t>
  </si>
  <si>
    <t>P000001019</t>
  </si>
  <si>
    <t>SG R&amp;D Projects</t>
  </si>
  <si>
    <t>P000001020</t>
  </si>
  <si>
    <t>SG R&amp;D Organization</t>
  </si>
  <si>
    <t>P000001021</t>
  </si>
  <si>
    <t>SG R&amp;D Other</t>
  </si>
  <si>
    <t>P000001022</t>
  </si>
  <si>
    <t>EL-IK1 Speciality Accounts</t>
  </si>
  <si>
    <t>P000001023</t>
  </si>
  <si>
    <t>EL-IKA Customer Applications</t>
  </si>
  <si>
    <t>P000001024</t>
  </si>
  <si>
    <t>EL-IKB SP&amp;C Marketing</t>
  </si>
  <si>
    <t>P000001025</t>
  </si>
  <si>
    <t>EL-IKM Lithografy &amp; Silica Marketing</t>
  </si>
  <si>
    <t>P000001026</t>
  </si>
  <si>
    <t>EL-IKP Patterning Global Product Mgmt</t>
  </si>
  <si>
    <t>P000001027</t>
  </si>
  <si>
    <t>EL-IKS Patterning Global Sales</t>
  </si>
  <si>
    <t>P000001028</t>
  </si>
  <si>
    <t>EL-IKT Packaging Technologies</t>
  </si>
  <si>
    <t>P000001029</t>
  </si>
  <si>
    <t>EL-IKA-C Customer Applications</t>
  </si>
  <si>
    <t>P000001030</t>
  </si>
  <si>
    <t>EL-IKA-T Global T&amp;S</t>
  </si>
  <si>
    <t>P000001031</t>
  </si>
  <si>
    <t>EL-IKA-TE Tech Service EU</t>
  </si>
  <si>
    <t>P000001032</t>
  </si>
  <si>
    <t>EL-IKA-TJ Tech Service Japan/Korea</t>
  </si>
  <si>
    <t>P000001033</t>
  </si>
  <si>
    <t>EL-IKA-TT Tech Service Taiwan/SEA</t>
  </si>
  <si>
    <t>P000001034</t>
  </si>
  <si>
    <t>EL-IKA-TU Tech Service U.S.</t>
  </si>
  <si>
    <t>P000001035</t>
  </si>
  <si>
    <t>EL-IKA-TJA Advanced Technical Service</t>
  </si>
  <si>
    <t>P000001036</t>
  </si>
  <si>
    <t>EL-IKA-TJT Technical Service</t>
  </si>
  <si>
    <t>P000001037</t>
  </si>
  <si>
    <t>EL-IMB-N Organosilanes Global Marketing</t>
  </si>
  <si>
    <t>P000001038</t>
  </si>
  <si>
    <t>EL-IMB-O Organometalics Global Marketing</t>
  </si>
  <si>
    <t>P000001039</t>
  </si>
  <si>
    <t>EL-IMB-S Spin On Global Marketing</t>
  </si>
  <si>
    <t>P000001040</t>
  </si>
  <si>
    <t>EL-INA Global Sales</t>
  </si>
  <si>
    <t>P000001041</t>
  </si>
  <si>
    <t>EL-INM Global Marketing</t>
  </si>
  <si>
    <t>P000001042</t>
  </si>
  <si>
    <t>EL-INP Global Product Management</t>
  </si>
  <si>
    <t>P000001043</t>
  </si>
  <si>
    <t>EL-PD Strategy &amp; OPL DEVT team</t>
  </si>
  <si>
    <t>P000001044</t>
  </si>
  <si>
    <t>P000001045</t>
  </si>
  <si>
    <t>OKB9 Cost Center</t>
  </si>
  <si>
    <t>P000001046</t>
  </si>
  <si>
    <t>Cross Charge</t>
  </si>
  <si>
    <t>P000001047</t>
  </si>
  <si>
    <t>Impairments</t>
  </si>
  <si>
    <t>P000001048</t>
  </si>
  <si>
    <t>Capital Gains &amp; Losses</t>
  </si>
  <si>
    <t>P000001049</t>
  </si>
  <si>
    <t>Litigations</t>
  </si>
  <si>
    <t>P000001050</t>
  </si>
  <si>
    <t>Intangibles</t>
  </si>
  <si>
    <t>P000001051</t>
  </si>
  <si>
    <t>Other - FX</t>
  </si>
  <si>
    <t>P000001052</t>
  </si>
  <si>
    <t>AR/VR Incubator</t>
  </si>
  <si>
    <t>P000001053</t>
  </si>
  <si>
    <t>AR VR (OSC+)</t>
  </si>
  <si>
    <t>P000001054</t>
  </si>
  <si>
    <t>Next Gen DSA</t>
  </si>
  <si>
    <t>P000001055</t>
  </si>
  <si>
    <t>PFAS free TARC</t>
  </si>
  <si>
    <t>P000001056</t>
  </si>
  <si>
    <t>ALDebaran</t>
  </si>
  <si>
    <t>P000001057</t>
  </si>
  <si>
    <t>Advanced Doping</t>
  </si>
  <si>
    <t>P000001058</t>
  </si>
  <si>
    <t>AR IJP</t>
  </si>
  <si>
    <t>P000001059</t>
  </si>
  <si>
    <t>Diamond</t>
  </si>
  <si>
    <t>P000000505</t>
  </si>
  <si>
    <t>Display Production Sites</t>
  </si>
  <si>
    <t>P000000549</t>
  </si>
  <si>
    <t>Semi Other R&amp;D Projects</t>
  </si>
  <si>
    <t>EL-CN-S Semi Materials China</t>
  </si>
  <si>
    <t>P000000526 Thin Film ISC &amp; Quality</t>
  </si>
  <si>
    <t>Patterning ISC &amp; Quality</t>
  </si>
  <si>
    <t>Planarization ISC &amp; Quality</t>
  </si>
  <si>
    <t>Planarization R&amp;D</t>
  </si>
  <si>
    <t>Specialty Gases ISC &amp; Quality</t>
  </si>
  <si>
    <t>Semi Materials General</t>
  </si>
  <si>
    <t>EL-ST-S Strategy &amp; BD</t>
  </si>
  <si>
    <t>EL-ST-X Bus. Strategy realization &amp; Portf.</t>
  </si>
  <si>
    <t>EL-ST-O CEO Office</t>
  </si>
  <si>
    <t>EL-ST-A Level Up</t>
  </si>
  <si>
    <t>EL-ST-C Thought Leadership &amp; Branding</t>
  </si>
  <si>
    <t>P000000467</t>
  </si>
  <si>
    <t>EL-SC-C Customer Fulfillment</t>
  </si>
  <si>
    <t>P000000478</t>
  </si>
  <si>
    <t>EL-SC-X Operations Excellence</t>
  </si>
  <si>
    <t>P000000479</t>
  </si>
  <si>
    <t>EL-OH EHS Electronics</t>
  </si>
  <si>
    <t>P000000480</t>
  </si>
  <si>
    <t>EL-OH EHS Electronics (IO)</t>
  </si>
  <si>
    <t>P000000483</t>
  </si>
  <si>
    <t>EL-SC-Q Quality &amp; Compliance Management</t>
  </si>
  <si>
    <t>P000000494</t>
  </si>
  <si>
    <t>EL-SC-D Process Development</t>
  </si>
  <si>
    <t>EL-SC ISC General</t>
  </si>
  <si>
    <t>P000000554</t>
  </si>
  <si>
    <t>EL-ND DS&amp;S</t>
  </si>
  <si>
    <t>P000000705</t>
  </si>
  <si>
    <t>EL-ND BU Head &amp; Other</t>
  </si>
  <si>
    <t>EL-ND-N North America &amp; Europe General Man</t>
  </si>
  <si>
    <t>EL-ND-N Sales</t>
  </si>
  <si>
    <t>P000000708</t>
  </si>
  <si>
    <t>EL-ND-N R&amp;D / Sustaining / Engineering</t>
  </si>
  <si>
    <t>P000000712</t>
  </si>
  <si>
    <t>EL-ND-N Other NA &amp; Europe Gen.Man.</t>
  </si>
  <si>
    <t>EL-ND-A Asia General Management</t>
  </si>
  <si>
    <t>EL-ND-A Sales</t>
  </si>
  <si>
    <t>P000000724</t>
  </si>
  <si>
    <t>EL-ND-A Services - Field Service</t>
  </si>
  <si>
    <t>P000000725</t>
  </si>
  <si>
    <t>EL-ND-A Turnkey / Large Projects</t>
  </si>
  <si>
    <t>P000000726</t>
  </si>
  <si>
    <t>EL-ND-A Other Asia exKR Gen.Man.</t>
  </si>
  <si>
    <t>EL-ND-K Korea &amp; Japan General Management</t>
  </si>
  <si>
    <t>EL-ND-K Sales</t>
  </si>
  <si>
    <t>P000000731</t>
  </si>
  <si>
    <t>EL-ND-K R&amp;D / Sustaining / Engineering</t>
  </si>
  <si>
    <t>EL-ND-K Services - Field Service</t>
  </si>
  <si>
    <t>P000000733</t>
  </si>
  <si>
    <t>EL-ND-K Turnkey / Large Projects</t>
  </si>
  <si>
    <t>P000000734</t>
  </si>
  <si>
    <t>EL-ND-K Other Korea Gen.Man.</t>
  </si>
  <si>
    <t>P000000735</t>
  </si>
  <si>
    <t>P000000735 EL-ND-M Strategic Marketing</t>
  </si>
  <si>
    <t>P000000554_IO EL-ND DS&amp;S (IO)</t>
  </si>
  <si>
    <t>P000000673</t>
  </si>
  <si>
    <t>High RI Coating for AR Glasses</t>
  </si>
  <si>
    <t>P000000674</t>
  </si>
  <si>
    <t>EUV Molecular Resist</t>
  </si>
  <si>
    <t>P000000679</t>
  </si>
  <si>
    <t>CMP Incubator (Polymers)</t>
  </si>
  <si>
    <t>P000000680</t>
  </si>
  <si>
    <t>CMP Incubator (Abrasive)</t>
  </si>
  <si>
    <t>P000000681</t>
  </si>
  <si>
    <t>BN Thermal Management</t>
  </si>
  <si>
    <t>EL Digital Solutions</t>
  </si>
  <si>
    <t>EL-CE Controlling Electronics (FF0)</t>
  </si>
  <si>
    <t>EL-SC-P Sourcing Electronics (G1E)</t>
  </si>
  <si>
    <t>EL-CM Communications Electronics (GZ8)</t>
  </si>
  <si>
    <t>EL-HR Sector HR Electronics (GX4)</t>
  </si>
  <si>
    <t>EL-SC-I IT Electronics</t>
  </si>
  <si>
    <t>DIS-DE-DA, Production (T1)</t>
  </si>
  <si>
    <t>DIS-DE-DA, Analytics (T6c).</t>
  </si>
  <si>
    <t>DIS-DE-DA, Maintenance/Engineering (T3).</t>
  </si>
  <si>
    <t>DIS-DE-DA, Energies/Utilities (T4).</t>
  </si>
  <si>
    <t>DIS-DE-DA, Environmental Protection (T5)</t>
  </si>
  <si>
    <t>DIS-DE-DA, Prod.infrast. &amp; non-off-buil.</t>
  </si>
  <si>
    <t>DIS-DE-DA, Incom. storage&amp;handling (T7)</t>
  </si>
  <si>
    <t>DIS-DE-DA, Local Prod./Proc. Dev. &amp; Opt.</t>
  </si>
  <si>
    <t>DIS-DE-DA, Other</t>
  </si>
  <si>
    <t>DIS-DE-DA, Local quality Darmstadt</t>
  </si>
  <si>
    <t>DIS-DE-DA, Quality (T2)</t>
  </si>
  <si>
    <t>DIS-JP-AT, Production (T1)</t>
  </si>
  <si>
    <t>DIS-JP-AT, Analytics (T6c)</t>
  </si>
  <si>
    <t>DIS-JP-AT, Maintenance/Engineering (T3)</t>
  </si>
  <si>
    <t>DIS-JP-AT, Energies/Utilities (T4)</t>
  </si>
  <si>
    <t>DIS-JP-AT, Environmental Protection (T5)</t>
  </si>
  <si>
    <t>DIS-JP-AT, Prod.infrast. &amp; non-off-buil.</t>
  </si>
  <si>
    <t>DIS-JP-AT, Incom. storage&amp;handling (T7)</t>
  </si>
  <si>
    <t>DIS-JP-AT, Local Prod./Proc. Dev. &amp; Opt.</t>
  </si>
  <si>
    <t>DIS-JP-AT, Other</t>
  </si>
  <si>
    <t>DIS-JP-AT, Local quality Atsugi</t>
  </si>
  <si>
    <t>P000000098 PTOTECNAA1 Production (T1)</t>
  </si>
  <si>
    <t>P000000099 PTOTECNAA2 Analytics (T6c).</t>
  </si>
  <si>
    <t>P000000100 PTOTECNAA3 Maintenance/Engineering (T3).</t>
  </si>
  <si>
    <t>P000000101 PTOTECNAA4 Energies/Utilities (T4).</t>
  </si>
  <si>
    <t>P000000102 PTOTECNAA5 Environmental Protection (T5)</t>
  </si>
  <si>
    <t>P000000103 PTOTECNAA6 Prod.infrast. &amp; non-off-buil.</t>
  </si>
  <si>
    <t>P000000104 PTOTECNAA7 Incom. storage&amp;handling (T7)</t>
  </si>
  <si>
    <t>P000000105 PTOTECNAA8 Local Prod./Proc. Dev. &amp; Opt.</t>
  </si>
  <si>
    <t>P000000106 PTOTECNAA9 Other</t>
  </si>
  <si>
    <t>P000000320 PTOQLCNAA - Local quality Suzhou</t>
  </si>
  <si>
    <t>PL_E1_CNAA</t>
  </si>
  <si>
    <t>PL_E1_CNAA ProcOrd_M E M (Suzhou) Ltd_CNAA</t>
  </si>
  <si>
    <t>DIS-TW-TA, Production (T1)</t>
  </si>
  <si>
    <t>DIS-TW-TA, Analytics (T6c)</t>
  </si>
  <si>
    <t>DIS-TW-TA, Maintenance/Engineering (T3)</t>
  </si>
  <si>
    <t>DIS-TW-TA, Energies/Utilities (T4)</t>
  </si>
  <si>
    <t>DIS-TW-TA, Environmental Protection (T5)</t>
  </si>
  <si>
    <t>DIS-TW-TA, Prod.infrast. &amp; non-off-buil.</t>
  </si>
  <si>
    <t>DIS-TW-TA, Incom. storage&amp;handling (T7)</t>
  </si>
  <si>
    <t>DIS-TW-TA, Local Prod./Proc. Dev. &amp; Opt.</t>
  </si>
  <si>
    <t>DIS-TW-TA, Other</t>
  </si>
  <si>
    <t>DIS-TW-TA, Local quality Taoyuan</t>
  </si>
  <si>
    <t>DIS-TW-HS, Production (T1)</t>
  </si>
  <si>
    <t>DIS-TW-HS, Analytics (T6c)</t>
  </si>
  <si>
    <t>DIS-TW-HS, Maintenance/Engineering (T3)</t>
  </si>
  <si>
    <t>DIS-TW-HS, Energies/Utilities (T4)</t>
  </si>
  <si>
    <t>DIS-TW-HS, Environmental Protection (T5)</t>
  </si>
  <si>
    <t>DIS-TW-HS, Prod.infrast. &amp; non-off-buil.</t>
  </si>
  <si>
    <t>DIS-TW-HS, Incom. storage&amp;handling (T7)</t>
  </si>
  <si>
    <t>DIS-TW-HS, Local Prod./Proc. Dev. &amp; Opt.</t>
  </si>
  <si>
    <t>DIS-TW-HS, Other</t>
  </si>
  <si>
    <t>DIS-TW-HS, Local quality Hsinchu</t>
  </si>
  <si>
    <t>DIS-KR-PO, Production (T1)</t>
  </si>
  <si>
    <t>DIS-KR-PO, Analytics (T6c)</t>
  </si>
  <si>
    <t>DIS-KR-PO, Maintenance/Engineering (T3)</t>
  </si>
  <si>
    <t>DIS-KR-PO, Energies/Utilities (T4)</t>
  </si>
  <si>
    <t>DIS-KR-PO, Environmental Protection (T5)</t>
  </si>
  <si>
    <t>DIS-KR-PO, Prod.infrast. &amp; non-off-buil.</t>
  </si>
  <si>
    <t>DIS-KR-PO, Incom. storage&amp;handling (T7)</t>
  </si>
  <si>
    <t>DIS-KR-PO, Local Prod./Proc. Dev. &amp; Opt.</t>
  </si>
  <si>
    <t>DIS-KR-PO, Other</t>
  </si>
  <si>
    <t>DIS-KR-PO, Local quality Poseung</t>
  </si>
  <si>
    <t>P000000138</t>
  </si>
  <si>
    <t>DIS-CN-SH, Production (T1)</t>
  </si>
  <si>
    <t>P000000139</t>
  </si>
  <si>
    <t>DIS-CN-SH, Analytics (T6c)</t>
  </si>
  <si>
    <t>P000000140</t>
  </si>
  <si>
    <t>DIS-CN-SH, Maintenance/Engineering (T3)</t>
  </si>
  <si>
    <t>P000000141</t>
  </si>
  <si>
    <t>DIS-CN-SH, Energies/Utilities (T4)</t>
  </si>
  <si>
    <t>P000000142</t>
  </si>
  <si>
    <t>DIS-CN-SH, Environmental Protection (T5)</t>
  </si>
  <si>
    <t>P000000143</t>
  </si>
  <si>
    <t>DIS-CN-SH, Prod.infrast. &amp; non-off-buil.</t>
  </si>
  <si>
    <t>P000000144</t>
  </si>
  <si>
    <t>DIS-CN-SH, Incom. storage&amp;handling (T7)</t>
  </si>
  <si>
    <t>P000000145</t>
  </si>
  <si>
    <t>DIS-CN-SH, Local Prod./Proc. Dev. &amp; Opt.</t>
  </si>
  <si>
    <t>P000000146</t>
  </si>
  <si>
    <t>DIS-CN-SH, Other</t>
  </si>
  <si>
    <t>P000000310</t>
  </si>
  <si>
    <t>DIS-CN-SH, Local quality Shanghai</t>
  </si>
  <si>
    <t>SRF-IN-KH, Production (T1)</t>
  </si>
  <si>
    <t>SRF-IN-KH, Analytics (T6c).</t>
  </si>
  <si>
    <t>SRF-IN-KH, Maintenance/Engineering (T3).</t>
  </si>
  <si>
    <t>SRF-IN-KH, Energies/Utilities (T4).</t>
  </si>
  <si>
    <t>SRF-IN-KH, Environmental Protection (T5)</t>
  </si>
  <si>
    <t>SRF-IN-KH, Prod.infrast. &amp; non-off-buil.</t>
  </si>
  <si>
    <t>SRF-IN-KH, Incom. storage&amp;handling (T7)</t>
  </si>
  <si>
    <t>SRF-IN-KH, Local Prod./Proc. Dev. &amp; Opt.</t>
  </si>
  <si>
    <t>SRF-IN-KH, Other</t>
  </si>
  <si>
    <t>SRF-IN-KH, Local Quality Khopoli</t>
  </si>
  <si>
    <t>SRF-US-SA, Production (T1)</t>
  </si>
  <si>
    <t>SRF-US-SA, Analytics (T6c)</t>
  </si>
  <si>
    <t>SRF-US-SA, Maintenance/Engineering (T3)</t>
  </si>
  <si>
    <t>SRF-US-SA, Energies/Utilities (T4)</t>
  </si>
  <si>
    <t>SRF-US-SA, Environmental Protection (T5)</t>
  </si>
  <si>
    <t>SRF-US-SA, Prod.infrast. &amp; non-off-buil.</t>
  </si>
  <si>
    <t>SRF-US-SA, Incom. storage&amp;handling (T7)</t>
  </si>
  <si>
    <t>SRF-US-SA, Local Prod./Proc. Dev. &amp; Opt.</t>
  </si>
  <si>
    <t>SRF-US-SA, Other</t>
  </si>
  <si>
    <t>SRF-US-SA, Local quality Savannah</t>
  </si>
  <si>
    <t>SRF-JP-ON, Production (T1)</t>
  </si>
  <si>
    <t>SRF-JP-ON, Analytics (T6c)</t>
  </si>
  <si>
    <t>SRF-JP-ON, Maintenance/Engineering (T3)</t>
  </si>
  <si>
    <t>SRF-JP-ON, Energies/Utilities (T4)</t>
  </si>
  <si>
    <t>SRF-JP-ON, Environmental Protection (T5)</t>
  </si>
  <si>
    <t>SRF-JP-ON, Prod.infrast. &amp; non-off-buil.</t>
  </si>
  <si>
    <t>SRF-JP-ON, Incom. storage&amp;handling (T7)</t>
  </si>
  <si>
    <t>SRF-JP-ON, Local Prod./Proc. Dev. &amp; Opt.</t>
  </si>
  <si>
    <t>SRF-JP-ON, Other</t>
  </si>
  <si>
    <t>SRF-JP-ON, Local quality Onahama</t>
  </si>
  <si>
    <t>SRF-US-UB, Direct Labor</t>
  </si>
  <si>
    <t>SRF-US-UB, Main Cost Collector</t>
  </si>
  <si>
    <t>SRF-US-UB, Equipment</t>
  </si>
  <si>
    <t>SRF-US-UB, QC</t>
  </si>
  <si>
    <t>SRF-US-UB, Management</t>
  </si>
  <si>
    <t>SRF-US-UB, Urbana MAOH</t>
  </si>
  <si>
    <t>SRF-US-UB, Warehouse and Distribution</t>
  </si>
  <si>
    <t>SRF-US-UB, Other</t>
  </si>
  <si>
    <t>PL_E2_ES52</t>
  </si>
  <si>
    <t>PL_E4_US44 ProcOrd_Urbana Production_US44</t>
  </si>
  <si>
    <t>SRF-DE-PG, Production (T1)</t>
  </si>
  <si>
    <t>SRF-DE-PG, Analytics (T6c)</t>
  </si>
  <si>
    <t>SRF-DE-PG, Maintenance/Engineering (T3)</t>
  </si>
  <si>
    <t>SRF-DE-PG, Energies/Utilities (T4)</t>
  </si>
  <si>
    <t>SRF-DE-PG, Environmental Protection (T5)</t>
  </si>
  <si>
    <t>SRF-DE-PG, Prod.infrast. &amp; non-off-buil.</t>
  </si>
  <si>
    <t>SRF-DE-PG, Incom. storage&amp;handling (T7)</t>
  </si>
  <si>
    <t>SRF-DE-PG, Local Prod./Proc. Dev. &amp; Opt.</t>
  </si>
  <si>
    <t>SRF-DE-PG, Other</t>
  </si>
  <si>
    <t>SRF-DE-PG, Local Quality Gernsheim</t>
  </si>
  <si>
    <t>P000000635</t>
  </si>
  <si>
    <t>EL-SC-E Global Engineering</t>
  </si>
  <si>
    <t>R&amp;D Semi Mat Others</t>
  </si>
  <si>
    <t>THF-US-HA, Haverhill, USA</t>
  </si>
  <si>
    <t>P000000220</t>
  </si>
  <si>
    <t>THF-US-HA, Production (T1)</t>
  </si>
  <si>
    <t>P000000221</t>
  </si>
  <si>
    <t>THF-US-HA, Analytics (T6c)</t>
  </si>
  <si>
    <t>P000000222</t>
  </si>
  <si>
    <t>THF-US-HA, Maintenance/Engineering (T3)</t>
  </si>
  <si>
    <t>P000000223</t>
  </si>
  <si>
    <t>THF-US-HA, Energies/Utilities supply (T4</t>
  </si>
  <si>
    <t>P000000224</t>
  </si>
  <si>
    <t>THF-US-HA, Environmental Protection (T5)</t>
  </si>
  <si>
    <t>P000000225</t>
  </si>
  <si>
    <t>THF-US-HA, Prod.infrast. &amp; non-off-buil.</t>
  </si>
  <si>
    <t>P000000226</t>
  </si>
  <si>
    <t>THF-US-HA, Incom. storage&amp;handling (T7)</t>
  </si>
  <si>
    <t>P000000227</t>
  </si>
  <si>
    <t>THF-US-HA, Local Prod./Proc. Dev. &amp; Opt.</t>
  </si>
  <si>
    <t>P000000228</t>
  </si>
  <si>
    <t>THF-US-HA, Other</t>
  </si>
  <si>
    <t>P000000342</t>
  </si>
  <si>
    <t>THF-US-HA, Local Quality Haverhill</t>
  </si>
  <si>
    <t>THF-TW-KA, Kaohsiung, Taiwan</t>
  </si>
  <si>
    <t>THF-TW-KA, Production (T1)</t>
  </si>
  <si>
    <t>THF-TW-KA, Analytics (T6c)</t>
  </si>
  <si>
    <t>THF-TW-KA, Maintenance/Engineering (T3)</t>
  </si>
  <si>
    <t>THF-TW-KA, Energies/Utilities supply (T4</t>
  </si>
  <si>
    <t>THF-TW-KA, Environmental Protection (T5)</t>
  </si>
  <si>
    <t>THF-TW-KA, Prod.infrast. &amp; non-off-buil.</t>
  </si>
  <si>
    <t>THF-TW-KA, Incom. storage&amp;handling (T7)</t>
  </si>
  <si>
    <t>THF-TW-KA, Local Prod./Proc. Dev. &amp; Opt.</t>
  </si>
  <si>
    <t>THF-TW-KA, Other</t>
  </si>
  <si>
    <t>THF-TW-KA,  Local Quality Kaohsiung</t>
  </si>
  <si>
    <t>THF-US-CB, Carlsbad, USA</t>
  </si>
  <si>
    <t>THF-KR-BA, Banwol, S. Korea</t>
  </si>
  <si>
    <t>PAT-US-BU, Branchburg, USA</t>
  </si>
  <si>
    <t>PAT-US-BU, Production (T1)</t>
  </si>
  <si>
    <t>PAT-JP-SZ, Shizuoka, Japan</t>
  </si>
  <si>
    <t>PAT-JP-SZ, Production (T1)</t>
  </si>
  <si>
    <t>PAT-JP-SZ, Analytics (T6c)</t>
  </si>
  <si>
    <t>PAT-JP-SZ, Maintenance/Engineering (T3)</t>
  </si>
  <si>
    <t>PAT-JP-SZ, Energies/Utilities (T4)</t>
  </si>
  <si>
    <t>PAT-JP-SZ, Environmental Protection (T5)</t>
  </si>
  <si>
    <t>PAT-JP-SZ, Prod.infrast. &amp; non-off-buil.</t>
  </si>
  <si>
    <t>PAT-JP-SZ, Incom. storage&amp;handling (T7)</t>
  </si>
  <si>
    <t>PAT-JP-SZ, Local Prod./Proc. Dev. &amp; Opt.</t>
  </si>
  <si>
    <t>PAT-JP-SZ, Other</t>
  </si>
  <si>
    <t>PAT-JP-SZ, Local Quality Shizuoka</t>
  </si>
  <si>
    <t>PAT-DE-WI, Wiesbaden, Germany</t>
  </si>
  <si>
    <t>PAT-DE-WI, Production (T1)</t>
  </si>
  <si>
    <t>PAT-DE-WI, Analytics (T6c).</t>
  </si>
  <si>
    <t>PAT-DE-WI, Maintenance/Engineering (T3).</t>
  </si>
  <si>
    <t>PAT-DE-WI, Energies/Utilities (T4).</t>
  </si>
  <si>
    <t>PAT-DE-WI, Environmental Protection (T5)</t>
  </si>
  <si>
    <t>PAT-DE-WI, Prod.infrast. &amp; non-off-buil.</t>
  </si>
  <si>
    <t>PAT-DE-WI, Incom. storage&amp;handling (T7)</t>
  </si>
  <si>
    <t>PAT-DE-WI, Development (EL-OTI)</t>
  </si>
  <si>
    <t>PAT-DE-WI, Other</t>
  </si>
  <si>
    <t>PAT-DE-WI, Local Quality Wiesbaden</t>
  </si>
  <si>
    <t>PAT-KR-AN, Anseong, S. Korea</t>
  </si>
  <si>
    <t>PAT-KR-AN, Production (T1)</t>
  </si>
  <si>
    <t>PAT-KR-AN, Analytics (T6c)</t>
  </si>
  <si>
    <t>PAT-KR-AN, Maintenance/Engineering (T3)</t>
  </si>
  <si>
    <t>PAT-KR-AN, Energies/Utilities (T4)</t>
  </si>
  <si>
    <t>PAT-KR-AN, Environmental Protection (T5)</t>
  </si>
  <si>
    <t>PAT-KR-AN, Prod.infrast. &amp; non-off-buil.</t>
  </si>
  <si>
    <t>PAT-KR-AN, Incom. storage&amp;handling (T7)</t>
  </si>
  <si>
    <t>PAT-KR-AN, Local Prod./Proc. Dev. &amp; Opt.</t>
  </si>
  <si>
    <t>PAT-KR-AN, Other</t>
  </si>
  <si>
    <t>PAT-KR-AN,  Local quality Anseong</t>
  </si>
  <si>
    <t>PAT-US-MA, Production (T1)</t>
  </si>
  <si>
    <t>PAT-US-MA, Analytics (T6c)</t>
  </si>
  <si>
    <t>PAT-US-MA, Maintenance/Engineering (T3)</t>
  </si>
  <si>
    <t>PAT-US-MA, Energies/Utilities (T4)</t>
  </si>
  <si>
    <t>PAT-US-MA, Environmental Protection (T5)</t>
  </si>
  <si>
    <t>PAT-US-MA, Prod.infrast. &amp; non-off-buil.</t>
  </si>
  <si>
    <t>PAT-US-MA, Incom. storage&amp;handling (T7)</t>
  </si>
  <si>
    <t>PAT-US-MA, Local Prod./Proc. Dev. &amp; Opt.</t>
  </si>
  <si>
    <t>PAT-US-MA, Other</t>
  </si>
  <si>
    <t>PAT-US-MA,  Local quality Martin</t>
  </si>
  <si>
    <t>PAT-FR-LA, Lamotte, France</t>
  </si>
  <si>
    <t>PAT-FR-LA, Production (T1)</t>
  </si>
  <si>
    <t>PAT-FR-LA, Analytics (T6c)</t>
  </si>
  <si>
    <t>PAT-FR-LA, Maintenance/Engineering (T3)</t>
  </si>
  <si>
    <t>PAT-FR-LA, Energies/Utilities (T4)</t>
  </si>
  <si>
    <t>PAT-FR-LA, Environmental Protection (T5)</t>
  </si>
  <si>
    <t>PAT-FR-LA, Prod.infrast. &amp; non-off-buil.</t>
  </si>
  <si>
    <t>PAT-FR-LA, Incom. storage&amp;handling (T7)</t>
  </si>
  <si>
    <t>PAT-FR-LA, Local Prod./Proc. Dev. &amp; Opt.</t>
  </si>
  <si>
    <t>PAT-FR-LA, Other</t>
  </si>
  <si>
    <t>PAT-FR-LA, Local Quality Lamotte</t>
  </si>
  <si>
    <t>PLA-US-DA, Dallas, USA</t>
  </si>
  <si>
    <t>PLA-US-TP, Tempe, USA</t>
  </si>
  <si>
    <t>PLA-KR-PT, Pyeongtaek, S. Korea</t>
  </si>
  <si>
    <t>SPG-KR-SH, Sihwa, S. Korea</t>
  </si>
  <si>
    <t>SPG-US-HT, Hometown, USA</t>
  </si>
  <si>
    <t>SPG-TW-NA, Nanke, Taiwan</t>
  </si>
  <si>
    <t>EL-ST Strategy &amp; Business Transformation</t>
  </si>
  <si>
    <t>P000000551</t>
  </si>
  <si>
    <t>EL-SC-O EL Digital &amp; Data Office</t>
  </si>
  <si>
    <t>P000000417</t>
  </si>
  <si>
    <t>Local Functions EL</t>
  </si>
  <si>
    <t>P000000425</t>
  </si>
  <si>
    <t>Other DivCO EL</t>
  </si>
  <si>
    <t>P000000577</t>
  </si>
  <si>
    <t>Other Overarching EL</t>
  </si>
  <si>
    <t>Exceptionals EL</t>
  </si>
  <si>
    <t>EL-SC Integrated Supply Chain</t>
  </si>
  <si>
    <t>P000000555</t>
  </si>
  <si>
    <t>EL-CT CTO</t>
  </si>
  <si>
    <t>Enabl. Funct. Business Partnering</t>
  </si>
  <si>
    <t>PL_E601013</t>
  </si>
  <si>
    <t>PL_E1_JPAC</t>
  </si>
  <si>
    <t>PL_E1_JPAK</t>
  </si>
  <si>
    <t>PL_E1_TWAD</t>
  </si>
  <si>
    <t>PL_E1_TWAA</t>
  </si>
  <si>
    <t>PL_E1_TWAC</t>
  </si>
  <si>
    <t>PL_E1_KRAD</t>
  </si>
  <si>
    <t>PL_E1_CNAC</t>
  </si>
  <si>
    <t>PL_E1_INAA</t>
  </si>
  <si>
    <t>PL_E1_USAT</t>
  </si>
  <si>
    <t>PL_E1_JPAD</t>
  </si>
  <si>
    <t>PL_E1_DEAC</t>
  </si>
  <si>
    <t>PL_E6_0102</t>
  </si>
  <si>
    <t>P000000538</t>
  </si>
  <si>
    <t>PL_E1_USAX</t>
  </si>
  <si>
    <t>PL_E1_TWAF</t>
  </si>
  <si>
    <t>PL_ED_TWC3</t>
  </si>
  <si>
    <t>PL_ED_TWC4</t>
  </si>
  <si>
    <t>PL_ED_USA6</t>
  </si>
  <si>
    <t>P000000527_IO Carlsbad (IO)</t>
  </si>
  <si>
    <t>P000000528_IO Banwol (IO)</t>
  </si>
  <si>
    <t>PL_ED_KRA7</t>
  </si>
  <si>
    <t>PL_ED_KRB8</t>
  </si>
  <si>
    <t>PL_E1_USAW</t>
  </si>
  <si>
    <t>PL_E1_JPAA</t>
  </si>
  <si>
    <t>PL_E1_JPAB</t>
  </si>
  <si>
    <t>PL_E1_JPAI</t>
  </si>
  <si>
    <t>PL_E1_JPAJ</t>
  </si>
  <si>
    <t>PL_E1_DEAA</t>
  </si>
  <si>
    <t>PL_E1_KRAC</t>
  </si>
  <si>
    <t>PL_E1_USAN</t>
  </si>
  <si>
    <t>PL_E1_FRAA</t>
  </si>
  <si>
    <t>P000000391_IO EL-I Semiconductor Materials (IO)</t>
  </si>
  <si>
    <t>P000000575</t>
  </si>
  <si>
    <t>P000000427</t>
  </si>
  <si>
    <t>P000000045 EL-PSS Strategic Marketing</t>
  </si>
  <si>
    <t>P000000048 EL-PSG Commercial Excellence</t>
  </si>
  <si>
    <t>P000000451_IO EL-PSJ-M Regional Marketing APAC (IO)</t>
  </si>
  <si>
    <t>P000000666</t>
  </si>
  <si>
    <t>P000000443_IO EL-PSC-M Reg. Mkt. Gr. China (IO)</t>
  </si>
  <si>
    <t>P000000451 EL-PSJ-M Regional Marketing APAC</t>
  </si>
  <si>
    <t>P000000443 EL-PSC-M Reg. Mkt. Gr. China</t>
  </si>
  <si>
    <t>FR5359093</t>
  </si>
  <si>
    <t>L000008428</t>
  </si>
  <si>
    <t>FR5378808</t>
  </si>
  <si>
    <t>G000000836</t>
  </si>
  <si>
    <t>P000001070</t>
  </si>
  <si>
    <t>Semi Mat Miscellaneous</t>
  </si>
  <si>
    <t>EL-SM-PT Packaging Technologies</t>
  </si>
  <si>
    <t>P000000487</t>
  </si>
  <si>
    <t>EL-SC-QS Global Suppier Quality</t>
  </si>
  <si>
    <t>P000000484</t>
  </si>
  <si>
    <t>EL-SC-Q Quality&amp;Compliance Management</t>
  </si>
  <si>
    <t>P000000485</t>
  </si>
  <si>
    <t>EL-SC-QA Management Systems</t>
  </si>
  <si>
    <t>P000000486</t>
  </si>
  <si>
    <t>EL-SC-QC Customer Quality CN/TW/SEA</t>
  </si>
  <si>
    <t>P000000488</t>
  </si>
  <si>
    <t>EL-SC-QP Quality Process Optimization</t>
  </si>
  <si>
    <t>P000000489</t>
  </si>
  <si>
    <t>EL-SC-QR Product Stewardship</t>
  </si>
  <si>
    <t>P000000490</t>
  </si>
  <si>
    <t>EL-SC-QT Trade Compliance CN</t>
  </si>
  <si>
    <t>PAT-US-BU, Analytics (T6c).</t>
  </si>
  <si>
    <t>PAT-US-BU, Maintenance/Engineering (T3).</t>
  </si>
  <si>
    <t>PAT-US-BU, Energies/Utilities (T4).</t>
  </si>
  <si>
    <t>PAT-US-BU, Environmental Protection (T5)</t>
  </si>
  <si>
    <t>PAT-US-BU, Prod.infrast. &amp; non-off-buil.</t>
  </si>
  <si>
    <t>PAT-US-BU, Incom. storage&amp;handling (T7)</t>
  </si>
  <si>
    <t>PAT-US-BU, Local Prod./Proc. Dev. &amp; Opt.</t>
  </si>
  <si>
    <t>PAT-US-BU, Other</t>
  </si>
  <si>
    <t>PAT-US-BU, Local Quality Branchburg</t>
  </si>
  <si>
    <t>PL_E1_DEAB ProcOrd_DE_Darmstadt</t>
  </si>
  <si>
    <t>PL_E1_CNAD ProcOrd_MDM(Shanghai)Ltd_PMD_BD</t>
  </si>
  <si>
    <t>PL_ED_KRB4 ProcOrd_VRSM_KRB4</t>
  </si>
  <si>
    <t>PL_ED_USD4 ProcOrd_VRSM_USD4</t>
  </si>
  <si>
    <t>PL_ED_USD7 ProcOrd_VRSM_USD7</t>
  </si>
  <si>
    <t>PL_ED_USA2 ProcOrd_VRSM_USA2</t>
  </si>
  <si>
    <t>PL_ED_TWA3 ProcOrd_VRSM_TWA3</t>
  </si>
  <si>
    <t>PL_ED_TWA4 ProcOrd_VRSM_TWA4</t>
  </si>
  <si>
    <t>PL_ED_KRA6 ProcOrd_VRSM_KRA6</t>
  </si>
  <si>
    <t>PL_ED_KRC1 ProcOrd_VRSM_KRC1</t>
  </si>
  <si>
    <t>PL_ED_KRB6 ProcOrd_VRSM_KRB6</t>
  </si>
  <si>
    <t>PL_ED_USA3 ProcOrd_VRSM_USA3</t>
  </si>
  <si>
    <t>FR5392612</t>
  </si>
  <si>
    <t>EL-SM Semiconductor Materials</t>
  </si>
  <si>
    <t>EL-SM-PS PAT SABF Commercial</t>
  </si>
  <si>
    <t>P000000709</t>
  </si>
  <si>
    <t>P000000710</t>
  </si>
  <si>
    <t>P000000711</t>
  </si>
  <si>
    <t>P000000722</t>
  </si>
  <si>
    <t>P000000723</t>
  </si>
  <si>
    <t>P000000729</t>
  </si>
  <si>
    <t>P000000730</t>
  </si>
  <si>
    <t>P000000746</t>
  </si>
  <si>
    <t>P000000747</t>
  </si>
  <si>
    <t>P000000576</t>
  </si>
  <si>
    <t>P000000491</t>
  </si>
  <si>
    <t>P000000492</t>
  </si>
  <si>
    <t>P000000493</t>
  </si>
  <si>
    <t>F3</t>
  </si>
  <si>
    <t>FR5487119</t>
  </si>
  <si>
    <t>FR5486310</t>
  </si>
  <si>
    <t>H000001112</t>
  </si>
  <si>
    <t>FR5549054</t>
  </si>
  <si>
    <t>COMPLETED</t>
  </si>
  <si>
    <t>L000009682</t>
  </si>
  <si>
    <t>L000009688</t>
  </si>
  <si>
    <t>L000009690</t>
  </si>
  <si>
    <t>L000012027</t>
  </si>
  <si>
    <t>L000005048</t>
  </si>
  <si>
    <t>L000007778</t>
  </si>
  <si>
    <t>L000010191</t>
  </si>
  <si>
    <t>L000009404</t>
  </si>
  <si>
    <t>L000009551</t>
  </si>
  <si>
    <t>L000009552</t>
  </si>
  <si>
    <t>L000009423</t>
  </si>
  <si>
    <t>L000009429</t>
  </si>
  <si>
    <t>FR5562418</t>
  </si>
  <si>
    <t>L000006419</t>
  </si>
  <si>
    <t>L000011469</t>
  </si>
  <si>
    <t>L000006407</t>
  </si>
  <si>
    <t>L000006413</t>
  </si>
  <si>
    <t>L000006421</t>
  </si>
  <si>
    <t>L000006423</t>
  </si>
  <si>
    <t>L000006424</t>
  </si>
  <si>
    <t>L000006430</t>
  </si>
  <si>
    <t>L000012708</t>
  </si>
  <si>
    <t>L000006433</t>
  </si>
  <si>
    <t>L000006439</t>
  </si>
  <si>
    <t>L000011452</t>
  </si>
  <si>
    <t>FR5418419</t>
  </si>
  <si>
    <t>FR5454784</t>
  </si>
  <si>
    <t>G000000647</t>
  </si>
  <si>
    <t>G000000625</t>
  </si>
  <si>
    <t>Mario Simon Dehmel</t>
  </si>
  <si>
    <t>FR5455429</t>
  </si>
  <si>
    <t>H000001068</t>
  </si>
  <si>
    <t>H000000720</t>
  </si>
  <si>
    <t>H000004164</t>
  </si>
  <si>
    <t xml:space="preserve">H000000736 </t>
  </si>
  <si>
    <t>FR5471868</t>
  </si>
  <si>
    <t>G000000685</t>
  </si>
  <si>
    <t>FR5485856</t>
  </si>
  <si>
    <t>FR5485864</t>
  </si>
  <si>
    <t>FR5524207</t>
  </si>
  <si>
    <t>DUPLICATED</t>
  </si>
  <si>
    <t>FR5540183</t>
  </si>
  <si>
    <t>G000000954</t>
  </si>
  <si>
    <t>L000010140</t>
  </si>
  <si>
    <t>L000009414</t>
  </si>
  <si>
    <t>L000011338</t>
  </si>
  <si>
    <t>L000013002</t>
  </si>
  <si>
    <t>L000013003</t>
  </si>
  <si>
    <t>L000013004</t>
  </si>
  <si>
    <t>L000013118</t>
  </si>
  <si>
    <t>L000013119</t>
  </si>
  <si>
    <t>L000007704</t>
  </si>
  <si>
    <t>L000011742</t>
  </si>
  <si>
    <t>L000009222</t>
  </si>
  <si>
    <t>L000005382</t>
  </si>
  <si>
    <t>L000005049</t>
  </si>
  <si>
    <t>L000013503</t>
  </si>
  <si>
    <t>L000012056</t>
  </si>
  <si>
    <t>L000005052</t>
  </si>
  <si>
    <t>L000012057</t>
  </si>
  <si>
    <t>L000012058</t>
  </si>
  <si>
    <t>L000012059</t>
  </si>
  <si>
    <t>L000012060</t>
  </si>
  <si>
    <t>L000012061</t>
  </si>
  <si>
    <t>L000005059</t>
  </si>
  <si>
    <t>L000005061</t>
  </si>
  <si>
    <t>L000012054</t>
  </si>
  <si>
    <t>L000012055</t>
  </si>
  <si>
    <t>L000012508</t>
  </si>
  <si>
    <t>L000012509</t>
  </si>
  <si>
    <t>L000005062</t>
  </si>
  <si>
    <t>L000012502</t>
  </si>
  <si>
    <t>L000012064</t>
  </si>
  <si>
    <t>L000005056</t>
  </si>
  <si>
    <t>L000012065</t>
  </si>
  <si>
    <t>L000012067</t>
  </si>
  <si>
    <t>L000012068</t>
  </si>
  <si>
    <t>L000012069</t>
  </si>
  <si>
    <t>L000012071</t>
  </si>
  <si>
    <t>L000012073</t>
  </si>
  <si>
    <t>L000012075</t>
  </si>
  <si>
    <t>L000012076</t>
  </si>
  <si>
    <t>L000012077</t>
  </si>
  <si>
    <t>L000012080</t>
  </si>
  <si>
    <t>L000012726</t>
  </si>
  <si>
    <t>L000012081</t>
  </si>
  <si>
    <t>L000005063</t>
  </si>
  <si>
    <t>L000012052</t>
  </si>
  <si>
    <t>L000012082</t>
  </si>
  <si>
    <t>L000012083</t>
  </si>
  <si>
    <t>L000012085</t>
  </si>
  <si>
    <t>L000012086</t>
  </si>
  <si>
    <t>L000012087</t>
  </si>
  <si>
    <t>L000012501</t>
  </si>
  <si>
    <t>L000012504</t>
  </si>
  <si>
    <t>L000012088</t>
  </si>
  <si>
    <t>L000005054</t>
  </si>
  <si>
    <t>L000005058</t>
  </si>
  <si>
    <t>L000012500</t>
  </si>
  <si>
    <t>L000012078</t>
  </si>
  <si>
    <t>L000012090</t>
  </si>
  <si>
    <t>L000012510</t>
  </si>
  <si>
    <t>L000012511</t>
  </si>
  <si>
    <t>L000012521</t>
  </si>
  <si>
    <t>L000012338</t>
  </si>
  <si>
    <t>L000013035</t>
  </si>
  <si>
    <t>L000013036</t>
  </si>
  <si>
    <t>L000013037</t>
  </si>
  <si>
    <t>L000013038</t>
  </si>
  <si>
    <t>L000013039</t>
  </si>
  <si>
    <t>L000013040</t>
  </si>
  <si>
    <t>L000013041</t>
  </si>
  <si>
    <t>L000013205</t>
  </si>
  <si>
    <t>L000007780</t>
  </si>
  <si>
    <t>L000007782</t>
  </si>
  <si>
    <t>L000007784</t>
  </si>
  <si>
    <t>L000011903</t>
  </si>
  <si>
    <t>L000011904</t>
  </si>
  <si>
    <t>L000012771</t>
  </si>
  <si>
    <t>L000013206</t>
  </si>
  <si>
    <t>L000007779</t>
  </si>
  <si>
    <t>L000007781</t>
  </si>
  <si>
    <t>L000007785</t>
  </si>
  <si>
    <t>L000011902</t>
  </si>
  <si>
    <t>L000013207</t>
  </si>
  <si>
    <t>L000007787</t>
  </si>
  <si>
    <t>L000013208</t>
  </si>
  <si>
    <t>L000007786</t>
  </si>
  <si>
    <t>L000011901</t>
  </si>
  <si>
    <t>L000005249</t>
  </si>
  <si>
    <t>L000005250</t>
  </si>
  <si>
    <t>L000005251</t>
  </si>
  <si>
    <t>L000005252</t>
  </si>
  <si>
    <t>L000005253</t>
  </si>
  <si>
    <t>L000005254</t>
  </si>
  <si>
    <t>L000005255</t>
  </si>
  <si>
    <t>L000007806</t>
  </si>
  <si>
    <t>L000007807</t>
  </si>
  <si>
    <t>L000007808</t>
  </si>
  <si>
    <t>L000007809</t>
  </si>
  <si>
    <t>L000008470</t>
  </si>
  <si>
    <t>L000011881</t>
  </si>
  <si>
    <t>L000009657</t>
  </si>
  <si>
    <t>L000009659</t>
  </si>
  <si>
    <t>L000009667</t>
  </si>
  <si>
    <t>L000010192</t>
  </si>
  <si>
    <t>L000010206</t>
  </si>
  <si>
    <t>L000010207</t>
  </si>
  <si>
    <t>L000010208</t>
  </si>
  <si>
    <t>L000010209</t>
  </si>
  <si>
    <t>L000010210</t>
  </si>
  <si>
    <t>L000010211</t>
  </si>
  <si>
    <t>L000012166</t>
  </si>
  <si>
    <t>DFLTPGCOH_002062</t>
  </si>
  <si>
    <t>INCORRECT</t>
  </si>
  <si>
    <t>L000012112</t>
  </si>
  <si>
    <t>L000009422</t>
  </si>
  <si>
    <t>FR5561110</t>
  </si>
  <si>
    <t>L000006525</t>
  </si>
  <si>
    <t>L000013556</t>
  </si>
  <si>
    <t>L000006528</t>
  </si>
  <si>
    <t>L000006532</t>
  </si>
  <si>
    <t>L000006530</t>
  </si>
  <si>
    <t>L000006531</t>
  </si>
  <si>
    <t>L000013558</t>
  </si>
  <si>
    <t>L000012713</t>
  </si>
  <si>
    <t>L000006519</t>
  </si>
  <si>
    <t>L000006557</t>
  </si>
  <si>
    <t>L000013519</t>
  </si>
  <si>
    <t>L000006558</t>
  </si>
  <si>
    <t>L000006568</t>
  </si>
  <si>
    <t>L000013555</t>
  </si>
  <si>
    <t>L000006586</t>
  </si>
  <si>
    <t>L000013554</t>
  </si>
  <si>
    <t>L000006593</t>
  </si>
  <si>
    <t>L000013553</t>
  </si>
  <si>
    <t>L000012344</t>
  </si>
  <si>
    <t>L000013559</t>
  </si>
  <si>
    <t>L000006622</t>
  </si>
  <si>
    <t>L000013509</t>
  </si>
  <si>
    <t>L000006641</t>
  </si>
  <si>
    <t>L000006661</t>
  </si>
  <si>
    <t>L000013510</t>
  </si>
  <si>
    <t>L000012349</t>
  </si>
  <si>
    <t>L000013514</t>
  </si>
  <si>
    <t>L000012350</t>
  </si>
  <si>
    <t>L000013557</t>
  </si>
  <si>
    <t>L000012351</t>
  </si>
  <si>
    <t>L000012352</t>
  </si>
  <si>
    <t>L000012353</t>
  </si>
  <si>
    <t>L000013515</t>
  </si>
  <si>
    <t>L000012318</t>
  </si>
  <si>
    <t>L000011719</t>
  </si>
  <si>
    <t>L000012362</t>
  </si>
  <si>
    <t>L000011589</t>
  </si>
  <si>
    <t>L000011696</t>
  </si>
  <si>
    <t>L000011615</t>
  </si>
  <si>
    <t>L000011656</t>
  </si>
  <si>
    <t>L000013290</t>
  </si>
  <si>
    <t>L000012575</t>
  </si>
  <si>
    <t>L000011687</t>
  </si>
  <si>
    <t>L000007285</t>
  </si>
  <si>
    <t>L000007286</t>
  </si>
  <si>
    <t>L000007298</t>
  </si>
  <si>
    <t>L000007300</t>
  </si>
  <si>
    <t>L000007302</t>
  </si>
  <si>
    <t>L000007303</t>
  </si>
  <si>
    <t>L000007511</t>
  </si>
  <si>
    <t>L000007512</t>
  </si>
  <si>
    <t>L000007513</t>
  </si>
  <si>
    <t>L000013511</t>
  </si>
  <si>
    <t>L000007527</t>
  </si>
  <si>
    <t>L000007531</t>
  </si>
  <si>
    <t>L000007539</t>
  </si>
  <si>
    <t>L000011706</t>
  </si>
  <si>
    <t>L000011708</t>
  </si>
  <si>
    <t>L000011709</t>
  </si>
  <si>
    <t>L000011710</t>
  </si>
  <si>
    <t>L000011712</t>
  </si>
  <si>
    <t>L000011716</t>
  </si>
  <si>
    <t>L000012592</t>
  </si>
  <si>
    <t>L000012593</t>
  </si>
  <si>
    <t>L000012596</t>
  </si>
  <si>
    <t>L000007291</t>
  </si>
  <si>
    <t>L000012331</t>
  </si>
  <si>
    <t>L000013129</t>
  </si>
  <si>
    <t>L000006299</t>
  </si>
  <si>
    <t>L000011572</t>
  </si>
  <si>
    <t>L000006307</t>
  </si>
  <si>
    <t>L000011664</t>
  </si>
  <si>
    <t>L000006308</t>
  </si>
  <si>
    <t>L000011670</t>
  </si>
  <si>
    <t>L000006309</t>
  </si>
  <si>
    <t>L000006310</t>
  </si>
  <si>
    <t>L000006312</t>
  </si>
  <si>
    <t>L000013564</t>
  </si>
  <si>
    <t>L000006313</t>
  </si>
  <si>
    <t>L000006314</t>
  </si>
  <si>
    <t>L000006316</t>
  </si>
  <si>
    <t>L000006317</t>
  </si>
  <si>
    <t>L000006353</t>
  </si>
  <si>
    <t>L000011682</t>
  </si>
  <si>
    <t>L000006354</t>
  </si>
  <si>
    <t>L000006355</t>
  </si>
  <si>
    <t>L000006356</t>
  </si>
  <si>
    <t>L000006502</t>
  </si>
  <si>
    <t>L000006503</t>
  </si>
  <si>
    <t>L000011457</t>
  </si>
  <si>
    <t>L000011460</t>
  </si>
  <si>
    <t>L000012533</t>
  </si>
  <si>
    <t>L000012534</t>
  </si>
  <si>
    <t>L000012631</t>
  </si>
  <si>
    <t>L000011594</t>
  </si>
  <si>
    <t>L000006318</t>
  </si>
  <si>
    <t>L000006336</t>
  </si>
  <si>
    <t>L000006337</t>
  </si>
  <si>
    <t>L000012759</t>
  </si>
  <si>
    <t>L000006342</t>
  </si>
  <si>
    <t>L000006358</t>
  </si>
  <si>
    <t>L000013221</t>
  </si>
  <si>
    <t>L000013585</t>
  </si>
  <si>
    <t>L000006296</t>
  </si>
  <si>
    <t>L000011673</t>
  </si>
  <si>
    <t>L000006297</t>
  </si>
  <si>
    <t>L000013143</t>
  </si>
  <si>
    <t>L000006404</t>
  </si>
  <si>
    <t>L000006405</t>
  </si>
  <si>
    <t>L000006406</t>
  </si>
  <si>
    <t>L000013146</t>
  </si>
  <si>
    <t>L000013154</t>
  </si>
  <si>
    <t>L000006493</t>
  </si>
  <si>
    <t>L000011442</t>
  </si>
  <si>
    <t>L000006504</t>
  </si>
  <si>
    <t>L000013563</t>
  </si>
  <si>
    <t>L000013179</t>
  </si>
  <si>
    <t>L000013224</t>
  </si>
  <si>
    <t>L000013225</t>
  </si>
  <si>
    <t>L000012373</t>
  </si>
  <si>
    <t>L000006393</t>
  </si>
  <si>
    <t>L000006408</t>
  </si>
  <si>
    <t>L000013596</t>
  </si>
  <si>
    <t>L000006409</t>
  </si>
  <si>
    <t>L000013597</t>
  </si>
  <si>
    <t>L000006410</t>
  </si>
  <si>
    <t>L000013598</t>
  </si>
  <si>
    <t>L000006411</t>
  </si>
  <si>
    <t>L000012536</t>
  </si>
  <si>
    <t>L000012537</t>
  </si>
  <si>
    <t>L000012538</t>
  </si>
  <si>
    <t>L000012539</t>
  </si>
  <si>
    <t>L000012746</t>
  </si>
  <si>
    <t>L000011470</t>
  </si>
  <si>
    <t>L000012626</t>
  </si>
  <si>
    <t>FR5569348</t>
  </si>
  <si>
    <t>G000001107</t>
  </si>
  <si>
    <t>REF Corporate Exceptionals</t>
  </si>
  <si>
    <t>G000000555</t>
  </si>
  <si>
    <t>GMA LE - Asia</t>
  </si>
  <si>
    <t>GME LE - Europe</t>
  </si>
  <si>
    <t>G000001105</t>
  </si>
  <si>
    <t>GML LE - Latam</t>
  </si>
  <si>
    <t>G000001106</t>
  </si>
  <si>
    <t>GDG ST - Smart Manufacturing</t>
  </si>
  <si>
    <t>G000000596</t>
  </si>
  <si>
    <t>G000001108</t>
  </si>
  <si>
    <t>GDH ST - Group Digital Innovation</t>
  </si>
  <si>
    <t>Bluehouse AIDD</t>
  </si>
  <si>
    <t>Bluehouse mRNA</t>
  </si>
  <si>
    <t>G000000107</t>
  </si>
  <si>
    <t>GX1 SQ - Group SQ Trade Compliance Global</t>
  </si>
  <si>
    <t>G000000561</t>
  </si>
  <si>
    <t>G6U HR - CoE Culture and DE&amp;I</t>
  </si>
  <si>
    <t>G000000121</t>
  </si>
  <si>
    <t>GY2 HR - Head Office</t>
  </si>
  <si>
    <t>G000000119</t>
  </si>
  <si>
    <t>GN7 HR - EF &amp; GER</t>
  </si>
  <si>
    <t>G000000122</t>
  </si>
  <si>
    <t>G10 HR - CoE People Recognition &amp; Reward</t>
  </si>
  <si>
    <t>G000000123</t>
  </si>
  <si>
    <t>G11 HR - CoE People &amp; Org. Growth</t>
  </si>
  <si>
    <t>G000000676</t>
  </si>
  <si>
    <t>GNA HR - CoE People Insights &amp; Effect.</t>
  </si>
  <si>
    <t>G000000560</t>
  </si>
  <si>
    <t>G6T HR - Market</t>
  </si>
  <si>
    <t>E21 EF - Enabling Functions</t>
  </si>
  <si>
    <t>G000000000</t>
  </si>
  <si>
    <t>EF and P&amp;L CO</t>
  </si>
  <si>
    <t>G1G PO - Sourcing Indirect</t>
  </si>
  <si>
    <t>FR5457427</t>
  </si>
  <si>
    <t>SM-EO Office and Lab</t>
  </si>
  <si>
    <t>SM-EC Construction &amp; Site Development</t>
  </si>
  <si>
    <t>SM-EO KGaA Office and Lab</t>
  </si>
  <si>
    <t>SM-EC KGaA Construction &amp; Site Development</t>
  </si>
  <si>
    <t>SM-EC MRE Construction &amp; Site Development</t>
  </si>
  <si>
    <t>FR5469869</t>
  </si>
  <si>
    <t>G000001111</t>
  </si>
  <si>
    <t>Service Unit</t>
  </si>
  <si>
    <t xml:space="preserve">G1G PO - Corporate Sourcing </t>
  </si>
  <si>
    <t>G000000576</t>
  </si>
  <si>
    <t>G000001112</t>
  </si>
  <si>
    <t>SU Anton</t>
  </si>
  <si>
    <t>G000001113</t>
  </si>
  <si>
    <t>SU Berta</t>
  </si>
  <si>
    <t>G000001114</t>
  </si>
  <si>
    <t>SU Caesar</t>
  </si>
  <si>
    <t>G000001115</t>
  </si>
  <si>
    <t>SU Dora</t>
  </si>
  <si>
    <t>IT Information Technology</t>
  </si>
  <si>
    <t>IT-YLS B2B Catalog</t>
  </si>
  <si>
    <t>IT06110460</t>
  </si>
  <si>
    <t>IT-VAG Versum Business &amp; Advanced Analyt</t>
  </si>
  <si>
    <t>IT-Y IT-Decentral_I</t>
  </si>
  <si>
    <t>IT06030300</t>
  </si>
  <si>
    <t>IT-HE Transition Europe</t>
  </si>
  <si>
    <t>H000004181</t>
  </si>
  <si>
    <t>IT06030800</t>
  </si>
  <si>
    <t>IT-HY Healthcare Decentral</t>
  </si>
  <si>
    <t>H000004186</t>
  </si>
  <si>
    <t>IT06030900</t>
  </si>
  <si>
    <t>IT-HG Non Healthcare G&amp;A</t>
  </si>
  <si>
    <t>H000004187</t>
  </si>
  <si>
    <t>IT06031000</t>
  </si>
  <si>
    <t>IT-HZ Strategy &amp; Operations (Excluding Manufacturing)</t>
  </si>
  <si>
    <t>H000004188</t>
  </si>
  <si>
    <t>IT06030200</t>
  </si>
  <si>
    <t>IT-HX RODA</t>
  </si>
  <si>
    <t>H000004190</t>
  </si>
  <si>
    <t>FR5485834</t>
  </si>
  <si>
    <t>SM-EO Building Site Darmstadt</t>
  </si>
  <si>
    <t>SM-EC Freiflaechen DA</t>
  </si>
  <si>
    <t>SM-EC Freiflaechen DA Spitze</t>
  </si>
  <si>
    <t>SM-EC FS Freiflaechen DA</t>
  </si>
  <si>
    <t>SM-EC Building Gernsheim</t>
  </si>
  <si>
    <t>SM-EC Freiflaechen GHM</t>
  </si>
  <si>
    <t>SM-EO Building DA Spitze</t>
  </si>
  <si>
    <t>SM-EP Building DA Spitze</t>
  </si>
  <si>
    <t>SM-EO Moebel</t>
  </si>
  <si>
    <t>SM-EC KGaA Construction &amp; Site Developme</t>
  </si>
  <si>
    <t>SM-EC MRE Construction &amp; Site Developmen</t>
  </si>
  <si>
    <t>Medical - Global R&amp;D</t>
  </si>
  <si>
    <t>FR5486396</t>
  </si>
  <si>
    <t>H000004317</t>
  </si>
  <si>
    <t>LA Laos</t>
  </si>
  <si>
    <t>H000004312</t>
  </si>
  <si>
    <t>FJ - Commercial BU</t>
  </si>
  <si>
    <t>H000004313</t>
  </si>
  <si>
    <t>FJ - Oncology</t>
  </si>
  <si>
    <t>H000004314</t>
  </si>
  <si>
    <t>FJ - Fertility</t>
  </si>
  <si>
    <t>H000004315</t>
  </si>
  <si>
    <t>FJ - CM&amp;E</t>
  </si>
  <si>
    <t>H000004316</t>
  </si>
  <si>
    <t>FJ - N&amp;I</t>
  </si>
  <si>
    <t>H000004318</t>
  </si>
  <si>
    <t>LA - Commercial BU</t>
  </si>
  <si>
    <t>H000004319</t>
  </si>
  <si>
    <t>LA - Oncology</t>
  </si>
  <si>
    <t>H000004320</t>
  </si>
  <si>
    <t>LA - Fertility</t>
  </si>
  <si>
    <t>H000004321</t>
  </si>
  <si>
    <t>LA - CM&amp;E</t>
  </si>
  <si>
    <t>H000004322</t>
  </si>
  <si>
    <t>LA - N&amp;I</t>
  </si>
  <si>
    <t>FR5506653</t>
  </si>
  <si>
    <t>SM-F FLUXUM</t>
  </si>
  <si>
    <t>SM-HC Commucat. Relations</t>
  </si>
  <si>
    <t>SM-HC costs Sponsoring</t>
  </si>
  <si>
    <t>FR5509971</t>
  </si>
  <si>
    <t>H000004323</t>
  </si>
  <si>
    <t>US - Market Insights &amp; Forecasting</t>
  </si>
  <si>
    <t>H000004328</t>
  </si>
  <si>
    <t>US - General Other</t>
  </si>
  <si>
    <t>H000004333</t>
  </si>
  <si>
    <t>US - IT/BT</t>
  </si>
  <si>
    <t>H000003895</t>
  </si>
  <si>
    <t>H000004334</t>
  </si>
  <si>
    <t>US - OEI</t>
  </si>
  <si>
    <t>H000003899</t>
  </si>
  <si>
    <t>H000004335</t>
  </si>
  <si>
    <t>US - US - Government Pricing</t>
  </si>
  <si>
    <t>H000004336</t>
  </si>
  <si>
    <t>H000004326</t>
  </si>
  <si>
    <t>US - GSI - Market Insights &amp; Forecasting</t>
  </si>
  <si>
    <t>H000004327</t>
  </si>
  <si>
    <t>H000004324</t>
  </si>
  <si>
    <t>H000004325</t>
  </si>
  <si>
    <t>H000004329</t>
  </si>
  <si>
    <t>H000004330</t>
  </si>
  <si>
    <t>H000004331</t>
  </si>
  <si>
    <t>H000004332</t>
  </si>
  <si>
    <t>H000003849</t>
  </si>
  <si>
    <t>US - Operational Effectiveness &amp; Innovation</t>
  </si>
  <si>
    <t>US - OE&amp;I - Field Force Effectiveness</t>
  </si>
  <si>
    <t>US - OE&amp;I - Field Strategy &amp; Planning</t>
  </si>
  <si>
    <t>H000003853</t>
  </si>
  <si>
    <t>US - OE&amp;I - Data Strategy &amp; Systems</t>
  </si>
  <si>
    <t>US - OE&amp;I - Data Driven Innovation</t>
  </si>
  <si>
    <t>H000003855</t>
  </si>
  <si>
    <t>US - OE&amp;I - Operational Effectiveness &amp; Innovation</t>
  </si>
  <si>
    <t>H000003858</t>
  </si>
  <si>
    <t>H000003859</t>
  </si>
  <si>
    <t>H000003860</t>
  </si>
  <si>
    <t>H000003861</t>
  </si>
  <si>
    <t>H000003664</t>
  </si>
  <si>
    <t>H000003665</t>
  </si>
  <si>
    <t>H000003680</t>
  </si>
  <si>
    <t>H000003681</t>
  </si>
  <si>
    <t>H000003703</t>
  </si>
  <si>
    <t>H000003704</t>
  </si>
  <si>
    <t>H000003724</t>
  </si>
  <si>
    <t>H000003725</t>
  </si>
  <si>
    <t>H000003862</t>
  </si>
  <si>
    <t>US - COO - Chief Operating Office</t>
  </si>
  <si>
    <t>H000003864</t>
  </si>
  <si>
    <t>H000003866</t>
  </si>
  <si>
    <t>FR5523815</t>
  </si>
  <si>
    <t>DD Merck Data &amp; Digital</t>
  </si>
  <si>
    <t xml:space="preserve">IT-AF Group &amp; Local Applications </t>
  </si>
  <si>
    <t>IT-AI Merck Information Technology Centre India</t>
  </si>
  <si>
    <t>DD-A Merck Data &amp; AI Organization</t>
  </si>
  <si>
    <t>DD-AO Merck Data Office</t>
  </si>
  <si>
    <t>DD-AX Data Management &amp; Analytics</t>
  </si>
  <si>
    <t>IT-AA Corporate ERP Apps</t>
  </si>
  <si>
    <t>G000000876</t>
  </si>
  <si>
    <t>LH Building LS Site Operations DA</t>
  </si>
  <si>
    <t>G000000877</t>
  </si>
  <si>
    <t>LH Building LS Site Warehouse DA</t>
  </si>
  <si>
    <t>FR5530236</t>
  </si>
  <si>
    <t>Sales Promotion Xevinapant</t>
  </si>
  <si>
    <t>H000000981</t>
  </si>
  <si>
    <t>Medical non R&amp;D Xevinapant</t>
  </si>
  <si>
    <t>FR5537948</t>
  </si>
  <si>
    <t>US - OE&amp;I - Op. Effectiveness &amp; Innov.</t>
  </si>
  <si>
    <t>FR5547362</t>
  </si>
  <si>
    <t>SM-EO Personalkosten Tech. Serv. Center</t>
  </si>
  <si>
    <t>SM-EO Personalkosten FM</t>
  </si>
  <si>
    <t>FR5548141</t>
  </si>
  <si>
    <t>G000000951</t>
  </si>
  <si>
    <t>SC Gebäude Electronics DA</t>
  </si>
  <si>
    <t>Digital Chemistry</t>
  </si>
  <si>
    <t>PM Ops Chemistry</t>
  </si>
  <si>
    <t>L000007796</t>
  </si>
  <si>
    <t>L000013505</t>
  </si>
  <si>
    <t>South Korea GPO</t>
  </si>
  <si>
    <t>L000009326</t>
  </si>
  <si>
    <t>ACE Bioinformatics</t>
  </si>
  <si>
    <t>L000013502</t>
  </si>
  <si>
    <t>Schnelldorf DF Allocations Out-G</t>
  </si>
  <si>
    <t>L000012482</t>
  </si>
  <si>
    <t>L000013506</t>
  </si>
  <si>
    <t>Darmstadt Site management</t>
  </si>
  <si>
    <t>L000013507</t>
  </si>
  <si>
    <t>Projekt management (GPO)</t>
  </si>
  <si>
    <t>L000013501</t>
  </si>
  <si>
    <t>DICE Bioinformatics</t>
  </si>
  <si>
    <t>L000013508</t>
  </si>
  <si>
    <t>Production system</t>
  </si>
  <si>
    <t>L000013194</t>
  </si>
  <si>
    <t>NL Global I/C</t>
  </si>
  <si>
    <t>L000013321</t>
  </si>
  <si>
    <t>Forecast Adjustments</t>
  </si>
  <si>
    <t>LS  Strategy &amp; Transformation</t>
  </si>
  <si>
    <t>L000009676</t>
  </si>
  <si>
    <t>57503 - Haverhill Freight-In-G</t>
  </si>
  <si>
    <t>L000009684</t>
  </si>
  <si>
    <t>57220 Haverhill DNA Production-G</t>
  </si>
  <si>
    <t>L000009685</t>
  </si>
  <si>
    <t>57218 - Haverhill MODS Production-G</t>
  </si>
  <si>
    <t>L000009686</t>
  </si>
  <si>
    <t>57221 Haverhill RNA Production-G</t>
  </si>
  <si>
    <t>L000009691</t>
  </si>
  <si>
    <t>1756TRHZ90 Haverhill - Ops Admin-G</t>
  </si>
  <si>
    <t>Business Planning &amp; Implementation</t>
  </si>
  <si>
    <t>L000009418</t>
  </si>
  <si>
    <t>Alloc-out Warehousing/Distribution</t>
  </si>
  <si>
    <t>Buchs Operations Conversion Cost</t>
  </si>
  <si>
    <t>L000013565</t>
  </si>
  <si>
    <t>Manufacturing / Operations</t>
  </si>
  <si>
    <t>L000013566</t>
  </si>
  <si>
    <t>Business Process &amp; Compl, Data &amp; System</t>
  </si>
  <si>
    <t>L000013567</t>
  </si>
  <si>
    <t>Business Integration, R&amp;D, Mkg and Com</t>
  </si>
  <si>
    <t>L000013568</t>
  </si>
  <si>
    <t>Bus. Int. Coordinator HR, Change Mgmt.</t>
  </si>
  <si>
    <t>L000013539</t>
  </si>
  <si>
    <t>Multi-model Experience</t>
  </si>
  <si>
    <t>L000013531</t>
  </si>
  <si>
    <t>L000013540</t>
  </si>
  <si>
    <t>Webinars, Events &amp; Marketing Tools</t>
  </si>
  <si>
    <t>L000013541</t>
  </si>
  <si>
    <t>Social Advocacy &amp; Listening Sales Tools</t>
  </si>
  <si>
    <t>L000013542</t>
  </si>
  <si>
    <t>Digital Innovation Franchises &amp; R&amp;D</t>
  </si>
  <si>
    <t>L000013550</t>
  </si>
  <si>
    <t>IT Portfolio Mgmt</t>
  </si>
  <si>
    <t>L000013533</t>
  </si>
  <si>
    <t>L000013551</t>
  </si>
  <si>
    <t>D&amp;eC Portfolio Mgmt</t>
  </si>
  <si>
    <t>L000013552</t>
  </si>
  <si>
    <t>Business Applications</t>
  </si>
  <si>
    <t>L000013547</t>
  </si>
  <si>
    <t>Web Content Navigation &amp; Experience</t>
  </si>
  <si>
    <t>L000013532</t>
  </si>
  <si>
    <t>L000013548</t>
  </si>
  <si>
    <t>On-line Sales Dev</t>
  </si>
  <si>
    <t>L000013549</t>
  </si>
  <si>
    <t>Web Self-Service Processes &amp; Function</t>
  </si>
  <si>
    <t>L000013534</t>
  </si>
  <si>
    <t>PS Global Key Users (L2Q)</t>
  </si>
  <si>
    <t>L000013530</t>
  </si>
  <si>
    <t>L000013535</t>
  </si>
  <si>
    <t>PS Global Key Users (P2Q) - Projects</t>
  </si>
  <si>
    <t>L000013536</t>
  </si>
  <si>
    <t>LS Site Next Lead (Austria)</t>
  </si>
  <si>
    <t>L000013537</t>
  </si>
  <si>
    <t>LS Site Next Lead (North America)</t>
  </si>
  <si>
    <t>L000013538</t>
  </si>
  <si>
    <t>LS Global Key User (SD - O2C)</t>
  </si>
  <si>
    <t>GSA PM / LIP</t>
  </si>
  <si>
    <t>Differentiated Offering Enablement</t>
  </si>
  <si>
    <t>PS Business Franchises</t>
  </si>
  <si>
    <t>L000013529</t>
  </si>
  <si>
    <t>PS Digital Experience</t>
  </si>
  <si>
    <t xml:space="preserve">Downstream R&amp;D </t>
  </si>
  <si>
    <t>L000006602</t>
  </si>
  <si>
    <t>Upstream &amp; Process Materials R&amp;D</t>
  </si>
  <si>
    <t>Focused Modalities Applications</t>
  </si>
  <si>
    <t>L000013512</t>
  </si>
  <si>
    <t>R&amp;D Planning &amp; Implementation</t>
  </si>
  <si>
    <t>L000013513</t>
  </si>
  <si>
    <t>PS Business Planning &amp; Implementation</t>
  </si>
  <si>
    <t>Commercial EMEA Management</t>
  </si>
  <si>
    <t>PFM China</t>
  </si>
  <si>
    <t>Integrated Solutions Offering</t>
  </si>
  <si>
    <t>L000011690</t>
  </si>
  <si>
    <t>L000013523</t>
  </si>
  <si>
    <t>Government Affairs Liaison</t>
  </si>
  <si>
    <t>Commercial Excellence GSA</t>
  </si>
  <si>
    <t>L000013518</t>
  </si>
  <si>
    <t>IBM Process Lead</t>
  </si>
  <si>
    <t>Business integration</t>
  </si>
  <si>
    <t>L000013528</t>
  </si>
  <si>
    <t>Business Excellence Planning &amp; Implem</t>
  </si>
  <si>
    <t>L000013543</t>
  </si>
  <si>
    <t>Sales Enablement Infrastructure</t>
  </si>
  <si>
    <t>L000011729</t>
  </si>
  <si>
    <t>L000013544</t>
  </si>
  <si>
    <t>Documentation Infrastructure</t>
  </si>
  <si>
    <t>L000013545</t>
  </si>
  <si>
    <t>Web Infrastructure</t>
  </si>
  <si>
    <t>L000013546</t>
  </si>
  <si>
    <t>Laboratory Ops Infrastructure</t>
  </si>
  <si>
    <t>L000013524</t>
  </si>
  <si>
    <t>Group Administrator</t>
  </si>
  <si>
    <t>L000011734</t>
  </si>
  <si>
    <t>L000013525</t>
  </si>
  <si>
    <t>SPA Coordination &amp; Insights</t>
  </si>
  <si>
    <t>L000013575</t>
  </si>
  <si>
    <t>Innovation Portfolio management</t>
  </si>
  <si>
    <t>L000013576</t>
  </si>
  <si>
    <t>Innovation Manager PMO 1</t>
  </si>
  <si>
    <t>L000013577</t>
  </si>
  <si>
    <t>Innovation Manager PMO 2</t>
  </si>
  <si>
    <t>L000013578</t>
  </si>
  <si>
    <t>Innovation Manager PMO 3</t>
  </si>
  <si>
    <t>L000013579</t>
  </si>
  <si>
    <t>Innovation Manager PMO 4</t>
  </si>
  <si>
    <t>L000013580</t>
  </si>
  <si>
    <t>Innovation metrics</t>
  </si>
  <si>
    <t>L000013581</t>
  </si>
  <si>
    <t>Employee development and enablement</t>
  </si>
  <si>
    <t>L000013582</t>
  </si>
  <si>
    <t xml:space="preserve">Capability planning &amp; change management </t>
  </si>
  <si>
    <t>L000013583</t>
  </si>
  <si>
    <t>Commercial &amp; Cust. training consultancy</t>
  </si>
  <si>
    <t>L000013584</t>
  </si>
  <si>
    <t>Training delivery and execution</t>
  </si>
  <si>
    <t>Training design and Production</t>
  </si>
  <si>
    <t>L000013569</t>
  </si>
  <si>
    <t>Commercial and GTM PMO</t>
  </si>
  <si>
    <t>L000013570</t>
  </si>
  <si>
    <t>Capex, Bus. Franchise, Integration PMO</t>
  </si>
  <si>
    <t>L000013571</t>
  </si>
  <si>
    <t>Digital PMO</t>
  </si>
  <si>
    <t>L000013572</t>
  </si>
  <si>
    <t>PMO data and reporting</t>
  </si>
  <si>
    <t>L000013573</t>
  </si>
  <si>
    <t>Global Process Excellence &amp; Audits</t>
  </si>
  <si>
    <t>L000013574</t>
  </si>
  <si>
    <t>Contract Mgmt MSA (GSA/Regional)</t>
  </si>
  <si>
    <t>L000013586</t>
  </si>
  <si>
    <t xml:space="preserve">Commercial reporting &amp; analytics </t>
  </si>
  <si>
    <t>L000013587</t>
  </si>
  <si>
    <t>Franchise reporting &amp; analytics</t>
  </si>
  <si>
    <t>L000013588</t>
  </si>
  <si>
    <t>Innovation reporting &amp; analytics</t>
  </si>
  <si>
    <t>L000013589</t>
  </si>
  <si>
    <t>Dashboard creation / Data scientist</t>
  </si>
  <si>
    <t>L000013590</t>
  </si>
  <si>
    <t>Customer satisfaction &amp; Insights</t>
  </si>
  <si>
    <t>L000013591</t>
  </si>
  <si>
    <t>CRM Tool enhancement</t>
  </si>
  <si>
    <t>L000013592</t>
  </si>
  <si>
    <t>Sales Incentives</t>
  </si>
  <si>
    <t>L000013593</t>
  </si>
  <si>
    <t>GTM Pricing &amp; Execution</t>
  </si>
  <si>
    <t>Strategy Development &amp; Governance</t>
  </si>
  <si>
    <t>L000013289</t>
  </si>
  <si>
    <t>Business Development &amp; Licensing</t>
  </si>
  <si>
    <t>L000013516</t>
  </si>
  <si>
    <t>Business Intelligence</t>
  </si>
  <si>
    <t>Upstream &amp; Process Materials Franchise</t>
  </si>
  <si>
    <t>Single-Use Systems &amp; Services Franchise</t>
  </si>
  <si>
    <t>Downstream Franchise</t>
  </si>
  <si>
    <t>BioContinuum Franchise</t>
  </si>
  <si>
    <t>GTM Modality Focus</t>
  </si>
  <si>
    <t>Integrated Marketing</t>
  </si>
  <si>
    <t>Portfolio Operations</t>
  </si>
  <si>
    <t>L000013560</t>
  </si>
  <si>
    <t>Pricing Strategy</t>
  </si>
  <si>
    <t>L000013561</t>
  </si>
  <si>
    <t>Franchises Management</t>
  </si>
  <si>
    <t>ERP</t>
  </si>
  <si>
    <t>Customer Experience Tools</t>
  </si>
  <si>
    <t>End-to-End Web Experience</t>
  </si>
  <si>
    <t>Digital Governance, Planning and Impl</t>
  </si>
  <si>
    <t>Upstream &amp; Process Materials QA/QC</t>
  </si>
  <si>
    <t>L000012354</t>
  </si>
  <si>
    <t>BioContinuum Management - to be deleted</t>
  </si>
  <si>
    <t>L000007117</t>
  </si>
  <si>
    <t>PS IT Business Projects</t>
  </si>
  <si>
    <t>L000006453</t>
  </si>
  <si>
    <t>E-Commerce</t>
  </si>
  <si>
    <t>L000006552</t>
  </si>
  <si>
    <t>Bioprocessing Mgmt - to be deleted</t>
  </si>
  <si>
    <t>L000012357</t>
  </si>
  <si>
    <t>GSO_Bio4C (Commercial Incubator)</t>
  </si>
  <si>
    <t>L000007478</t>
  </si>
  <si>
    <t>eMerge / Emprove</t>
  </si>
  <si>
    <t>PS Research &amp; Development</t>
  </si>
  <si>
    <t>PS Strategy</t>
  </si>
  <si>
    <t>PS Business Excellence</t>
  </si>
  <si>
    <t>Software Development &amp; Delivery</t>
  </si>
  <si>
    <t>Innovation Project &amp; Portfolio Mgmt</t>
  </si>
  <si>
    <t>Education and Capability planning</t>
  </si>
  <si>
    <t>Business Health, Performance &amp; Insights</t>
  </si>
  <si>
    <t>Business Integration</t>
  </si>
  <si>
    <t>L000006518</t>
  </si>
  <si>
    <t>Bioprocessing - to be deleted</t>
  </si>
  <si>
    <t>L000006676</t>
  </si>
  <si>
    <t>Bioprocessing Strategy - to be deleted</t>
  </si>
  <si>
    <t>Strategic Systems</t>
  </si>
  <si>
    <t>L000013136</t>
  </si>
  <si>
    <t>PM Patents</t>
  </si>
  <si>
    <t>L000006603</t>
  </si>
  <si>
    <t>L000011440</t>
  </si>
  <si>
    <t>Liquid Applications</t>
  </si>
  <si>
    <t>Solid Applications &amp; Pharm Materials</t>
  </si>
  <si>
    <t>L000013226</t>
  </si>
  <si>
    <t>BioPharm Materials</t>
  </si>
  <si>
    <t>L000013130</t>
  </si>
  <si>
    <t>Process Materials R&amp;D</t>
  </si>
  <si>
    <t>PS Patents</t>
  </si>
  <si>
    <t>L000006611</t>
  </si>
  <si>
    <t xml:space="preserve">PS R&amp;D Management </t>
  </si>
  <si>
    <t>L000006647</t>
  </si>
  <si>
    <t>Single-Use &amp; Integrated Systems R&amp;D</t>
  </si>
  <si>
    <t>L000007113</t>
  </si>
  <si>
    <t>GENM Attrition R&amp;D - to be deleted</t>
  </si>
  <si>
    <t>L000013219</t>
  </si>
  <si>
    <t>Cell Therapy Processing - to be deleted</t>
  </si>
  <si>
    <t>L000012348</t>
  </si>
  <si>
    <t>Market Intelligence &amp; Analytics</t>
  </si>
  <si>
    <t>PS Commercial Americas</t>
  </si>
  <si>
    <t>L000006688</t>
  </si>
  <si>
    <t>5011 NA PS Sales</t>
  </si>
  <si>
    <t>L000006691</t>
  </si>
  <si>
    <t>5035 NA Regional Sales</t>
  </si>
  <si>
    <t>Region 1</t>
  </si>
  <si>
    <t>Region 2</t>
  </si>
  <si>
    <t>Region 3</t>
  </si>
  <si>
    <t>PS Commercial EMEA</t>
  </si>
  <si>
    <t>PS Commercial APAC</t>
  </si>
  <si>
    <t>PS -North Asia</t>
  </si>
  <si>
    <t>PS-South Asia &amp; Oceania</t>
  </si>
  <si>
    <t>PS Global Strategic Accounts &amp; Services</t>
  </si>
  <si>
    <t>Global CEX</t>
  </si>
  <si>
    <t>BP&amp;I</t>
  </si>
  <si>
    <t>GSA_Americas1</t>
  </si>
  <si>
    <t>GSA_Americas2</t>
  </si>
  <si>
    <t>GSA_EMEA</t>
  </si>
  <si>
    <t>L000012332</t>
  </si>
  <si>
    <t>GSA_APAC</t>
  </si>
  <si>
    <t>Global Services Offerings</t>
  </si>
  <si>
    <t>L000006987</t>
  </si>
  <si>
    <t xml:space="preserve">GSO_Field Services </t>
  </si>
  <si>
    <t>L000013161</t>
  </si>
  <si>
    <t xml:space="preserve">GSO_Validation Services </t>
  </si>
  <si>
    <t>L000006437</t>
  </si>
  <si>
    <t>PM R&amp;D Solid Formulations</t>
  </si>
  <si>
    <t>L000006438</t>
  </si>
  <si>
    <t>P&amp;FM R&amp;D Solid form - to be deleted</t>
  </si>
  <si>
    <t>L000013131</t>
  </si>
  <si>
    <t>PM R&amp;D Folates &amp; APIs</t>
  </si>
  <si>
    <t>L000006428</t>
  </si>
  <si>
    <t>P&amp;FM R&amp;D Folates &amp; APIs -to be deleted</t>
  </si>
  <si>
    <t>L000013133</t>
  </si>
  <si>
    <t>PM R&amp;D Mgmt</t>
  </si>
  <si>
    <t>L000013134</t>
  </si>
  <si>
    <t>PM R&amp;D BPM</t>
  </si>
  <si>
    <t>L000013138</t>
  </si>
  <si>
    <t>PM R&amp;D Liquid Formulations</t>
  </si>
  <si>
    <t>L000013145</t>
  </si>
  <si>
    <t>P&amp;FM Strategy, BD &amp; Digital- to be del</t>
  </si>
  <si>
    <t>L000006450</t>
  </si>
  <si>
    <t>A&amp;F Marcom DE - to be deleted</t>
  </si>
  <si>
    <t>L000006451</t>
  </si>
  <si>
    <t>Communication A&amp;F - to be deleted</t>
  </si>
  <si>
    <t>L000006455</t>
  </si>
  <si>
    <t>A&amp;F Seg Mrkt US - to be deleted</t>
  </si>
  <si>
    <t>L000006463</t>
  </si>
  <si>
    <t>A&amp;F Seg Mrkt DE2 - to be deleted</t>
  </si>
  <si>
    <t>L000011453</t>
  </si>
  <si>
    <t>A&amp;F Seg Mrkt FR - to be deleted</t>
  </si>
  <si>
    <t>L000011454</t>
  </si>
  <si>
    <t>Communication Emrprov- to be deleted</t>
  </si>
  <si>
    <t>L000011455</t>
  </si>
  <si>
    <t>A&amp;F Seg Mrkt IN- to be deleted</t>
  </si>
  <si>
    <t>L000013594</t>
  </si>
  <si>
    <t>Client Program Mgmt</t>
  </si>
  <si>
    <t>L000006391</t>
  </si>
  <si>
    <t>SAC Schaffhausen PAD</t>
  </si>
  <si>
    <t>mRNA Value Chain</t>
  </si>
  <si>
    <t>SAC Cherokee PAD</t>
  </si>
  <si>
    <t>L000013155</t>
  </si>
  <si>
    <t>SAC Madison PAD</t>
  </si>
  <si>
    <t>L000013159</t>
  </si>
  <si>
    <t>mRNA Production Hamburg</t>
  </si>
  <si>
    <t>SAC Client Project Management</t>
  </si>
  <si>
    <t>L000006392</t>
  </si>
  <si>
    <t>CPM Mgmt</t>
  </si>
  <si>
    <t>CPM EU</t>
  </si>
  <si>
    <t>L000006399</t>
  </si>
  <si>
    <t>CPM USA</t>
  </si>
  <si>
    <t>SAC Innovation</t>
  </si>
  <si>
    <t>SH Lipids</t>
  </si>
  <si>
    <t>L000006427</t>
  </si>
  <si>
    <t>mRNA Delivery &amp; PEGs SH</t>
  </si>
  <si>
    <t>L000006429</t>
  </si>
  <si>
    <t>mRNA Process &amp; Delivery DA</t>
  </si>
  <si>
    <t>L000006431</t>
  </si>
  <si>
    <t xml:space="preserve">ADC &amp; Lipid Intermediates </t>
  </si>
  <si>
    <t>L000006435</t>
  </si>
  <si>
    <t xml:space="preserve"> Innovation Others</t>
  </si>
  <si>
    <t>L000011451</t>
  </si>
  <si>
    <t>ADC &amp; LNP Template Innovation</t>
  </si>
  <si>
    <t>L000006496</t>
  </si>
  <si>
    <t>SAC Strategic Marketing</t>
  </si>
  <si>
    <t>SAC CDMO projects</t>
  </si>
  <si>
    <t>FR5548111</t>
  </si>
  <si>
    <t>EL-DS Display Solutions</t>
  </si>
  <si>
    <t>P000000002</t>
  </si>
  <si>
    <t>EL-DS BU Head &amp; Other</t>
  </si>
  <si>
    <t>P000000695</t>
  </si>
  <si>
    <t>EL-DS BU head Organization</t>
  </si>
  <si>
    <t>P000000696</t>
  </si>
  <si>
    <t>EL-DS Inventor Remuneration</t>
  </si>
  <si>
    <t>P000000697</t>
  </si>
  <si>
    <t>EL-DS Intangible Assets</t>
  </si>
  <si>
    <t>P000000698</t>
  </si>
  <si>
    <t>EL-DS Other</t>
  </si>
  <si>
    <t>EL-DS-D Product Development</t>
  </si>
  <si>
    <t>P000000004</t>
  </si>
  <si>
    <t>EL-DS-DJ Product Development Japan</t>
  </si>
  <si>
    <t>P000000005</t>
  </si>
  <si>
    <t>EL-DS-DC Produt Development China</t>
  </si>
  <si>
    <t>P000000006</t>
  </si>
  <si>
    <t>EL-DS-DK Product Development Korea</t>
  </si>
  <si>
    <t>P000000007</t>
  </si>
  <si>
    <t>EL-DS-DG Product Development Germany</t>
  </si>
  <si>
    <t>P000000008</t>
  </si>
  <si>
    <t>EL-DS-DT Product Development Taiwan</t>
  </si>
  <si>
    <t>P000000009</t>
  </si>
  <si>
    <t>EL-DS-DO Product Development Global Office</t>
  </si>
  <si>
    <t>EL-DS-M Global Marketing</t>
  </si>
  <si>
    <t>EL-DS-M Global Mkt Organization</t>
  </si>
  <si>
    <t>EL-DS-M Global Mkt Sales Promotion</t>
  </si>
  <si>
    <t>EL-DS-M Global Mkt Royalties/Commissions</t>
  </si>
  <si>
    <t>EL-DS-M Global Mkt Other</t>
  </si>
  <si>
    <t>EL-DS-R Product Research</t>
  </si>
  <si>
    <t>P000000012</t>
  </si>
  <si>
    <t>EL-DS-R Product Research_I</t>
  </si>
  <si>
    <t>P000000013</t>
  </si>
  <si>
    <t>EL-DS-RC Product Research Chemistry</t>
  </si>
  <si>
    <t>P000000014</t>
  </si>
  <si>
    <t>EL-DS-RP Display Physics</t>
  </si>
  <si>
    <t>P000000015</t>
  </si>
  <si>
    <t>EL-DS-RN Emerging Display</t>
  </si>
  <si>
    <t>P000000016</t>
  </si>
  <si>
    <t>EL-DS-RR Material Research</t>
  </si>
  <si>
    <t>P000000017</t>
  </si>
  <si>
    <t>EL-DS-RT Novel Tools</t>
  </si>
  <si>
    <t>EL-DS-K BU Lead &amp; MD Korea</t>
  </si>
  <si>
    <t>EL-DS-K Korea Organization</t>
  </si>
  <si>
    <t>EL-DS-K Korea Other</t>
  </si>
  <si>
    <t>EL-DS-T BU Lead &amp; MD Taiwan</t>
  </si>
  <si>
    <t>EL-DS-T Taiwan Organization</t>
  </si>
  <si>
    <t>EL-DS-T Taiwan Other</t>
  </si>
  <si>
    <t>EL-DS-C BU Lead China</t>
  </si>
  <si>
    <t>EL-DS China sales</t>
  </si>
  <si>
    <t>EL-DS China LC&amp;PR sales</t>
  </si>
  <si>
    <t>P000000431</t>
  </si>
  <si>
    <t>EL-DS-CO China OLED sales</t>
  </si>
  <si>
    <t>EL-DS-CM China marketing</t>
  </si>
  <si>
    <t>EL-DS China Mkt Organization</t>
  </si>
  <si>
    <t>EL-DS China Mkt Sales Promotion</t>
  </si>
  <si>
    <t>EL-DS China Mkt Other</t>
  </si>
  <si>
    <t>EL-DS China management</t>
  </si>
  <si>
    <t>EL-DS-W BF LC Windows</t>
  </si>
  <si>
    <t>EL-DS-S Supply Chain Display</t>
  </si>
  <si>
    <t>P000000311</t>
  </si>
  <si>
    <t>DIS-CN-SH Quality (T2)</t>
  </si>
  <si>
    <t>P000000506</t>
  </si>
  <si>
    <t>EL-DS-SC Supply Chain Excellence</t>
  </si>
  <si>
    <t>P000000507</t>
  </si>
  <si>
    <t>EL-DS-SQ QA Display</t>
  </si>
  <si>
    <t>EL-DS-J BU Lead Japan</t>
  </si>
  <si>
    <t>P000000703</t>
  </si>
  <si>
    <t>EL-DS-J Japan Organization</t>
  </si>
  <si>
    <t>P000000704</t>
  </si>
  <si>
    <t>EL-DS-J Japan Other</t>
  </si>
  <si>
    <t>P000000024</t>
  </si>
  <si>
    <t>EL-PS Surface Solutions</t>
  </si>
  <si>
    <t>P000000025</t>
  </si>
  <si>
    <t>EL-PS BU Head</t>
  </si>
  <si>
    <t>EL-PS-T Strategy &amp; Operational Development</t>
  </si>
  <si>
    <t>P000000045</t>
  </si>
  <si>
    <t>EL-PS-TS Strategic Marketing</t>
  </si>
  <si>
    <t>P000000048</t>
  </si>
  <si>
    <t>EL-PS-TC Commercial Excellence</t>
  </si>
  <si>
    <t>EL-PS-T Strategy &amp; OPL DEVT team</t>
  </si>
  <si>
    <t>P000000028</t>
  </si>
  <si>
    <t>EL-PS-R Innovation &amp; Application</t>
  </si>
  <si>
    <t>P000000029</t>
  </si>
  <si>
    <t>EL-PS-R Innovation &amp; Application Head</t>
  </si>
  <si>
    <t>P000000614</t>
  </si>
  <si>
    <t>EL-PS-R Organisation</t>
  </si>
  <si>
    <t>P000000615</t>
  </si>
  <si>
    <t>EL-PS-R Projects</t>
  </si>
  <si>
    <t>P000000030</t>
  </si>
  <si>
    <t>EL-PS-RP Application Printings &amp; Plastic</t>
  </si>
  <si>
    <t>P000000660</t>
  </si>
  <si>
    <t>EL-PS-RP Organisation</t>
  </si>
  <si>
    <t>P000000661</t>
  </si>
  <si>
    <t>EL-PS-RP Projects</t>
  </si>
  <si>
    <t>P000000031</t>
  </si>
  <si>
    <t>EL-PS-RJ Innovation &amp; Application Japan</t>
  </si>
  <si>
    <t>P000000616</t>
  </si>
  <si>
    <t>EL-PS-RJ Organisation</t>
  </si>
  <si>
    <t>P000000617</t>
  </si>
  <si>
    <t>EL-PS-RJ Projects</t>
  </si>
  <si>
    <t>P000000032</t>
  </si>
  <si>
    <t>EL-PS-RC Innovation &amp; Application Asia</t>
  </si>
  <si>
    <t>P000000618</t>
  </si>
  <si>
    <t>EL-PS-RC Organisation</t>
  </si>
  <si>
    <t>P000000619</t>
  </si>
  <si>
    <t>EL-PS-RC Projects</t>
  </si>
  <si>
    <t>P000000033</t>
  </si>
  <si>
    <t>EL-PS-RG Particle Technology</t>
  </si>
  <si>
    <t>P000000620</t>
  </si>
  <si>
    <t>EL-PS-RG Organisation</t>
  </si>
  <si>
    <t>P000000621</t>
  </si>
  <si>
    <t>EL-PS-RG Projects</t>
  </si>
  <si>
    <t>P000000035</t>
  </si>
  <si>
    <t>EL-PS-RK Cosmetic Application</t>
  </si>
  <si>
    <t>P000000622</t>
  </si>
  <si>
    <t>EL-PS-RK Organisation</t>
  </si>
  <si>
    <t>P000000623</t>
  </si>
  <si>
    <t>EL-PS-RK Projects</t>
  </si>
  <si>
    <t>P000000631</t>
  </si>
  <si>
    <t>EL-PS-RK R&amp;D Projects</t>
  </si>
  <si>
    <t>P000000036</t>
  </si>
  <si>
    <t>EL-PS-RB Coating Application</t>
  </si>
  <si>
    <t>P000000624</t>
  </si>
  <si>
    <t>EL-PS-RB Organisation</t>
  </si>
  <si>
    <t>P000000625</t>
  </si>
  <si>
    <t>EL-PS-RB Projects</t>
  </si>
  <si>
    <t>P000000037</t>
  </si>
  <si>
    <t>EL-PS-RA Innovation &amp; Application Americas</t>
  </si>
  <si>
    <t>P000000626</t>
  </si>
  <si>
    <t>EL-PS-RA Organisation</t>
  </si>
  <si>
    <t>P000000038</t>
  </si>
  <si>
    <t>EL-PS-RI Innovation Partnerships</t>
  </si>
  <si>
    <t>P000000628</t>
  </si>
  <si>
    <t>EL-PS-RI Technical Marketing COA</t>
  </si>
  <si>
    <t>P000000629</t>
  </si>
  <si>
    <t>EL-PS-RI Projects IND Funct</t>
  </si>
  <si>
    <t>P000000041</t>
  </si>
  <si>
    <t>EL-PS Other</t>
  </si>
  <si>
    <t>P000000049</t>
  </si>
  <si>
    <t>EL-PS-U Sales &amp; Marketing Americas</t>
  </si>
  <si>
    <t>P000000453</t>
  </si>
  <si>
    <t>EL-PS-UF Regional Marketing</t>
  </si>
  <si>
    <t>P000000454</t>
  </si>
  <si>
    <t>EL-PS-UA Sales Americas South</t>
  </si>
  <si>
    <t>P000000455</t>
  </si>
  <si>
    <t>EL-PS-UC Sales Channel Partners</t>
  </si>
  <si>
    <t>EL-PS-UE Customer Excellence</t>
  </si>
  <si>
    <t>P000000457</t>
  </si>
  <si>
    <t>EL-PS-UD Sales Strategic Accounts</t>
  </si>
  <si>
    <t>P000000458</t>
  </si>
  <si>
    <t>EL-PS-UB Sales Americas North</t>
  </si>
  <si>
    <t>P000000566</t>
  </si>
  <si>
    <t>EL-PS-U Sales &amp; Marketing Americas Head</t>
  </si>
  <si>
    <t>P000000050</t>
  </si>
  <si>
    <t>EL-PS-E Sales &amp; Marketing EMEA</t>
  </si>
  <si>
    <t>P000000459</t>
  </si>
  <si>
    <t>EL-PS-EA Dealer Management</t>
  </si>
  <si>
    <t>P000000460</t>
  </si>
  <si>
    <t>EL-PS-EB Sales North-East</t>
  </si>
  <si>
    <t>P000000461</t>
  </si>
  <si>
    <t>EL-PS-EG Global KAM &amp; BD</t>
  </si>
  <si>
    <t>P000000462</t>
  </si>
  <si>
    <t>EL-PS-ES Sales South</t>
  </si>
  <si>
    <t>P000000463</t>
  </si>
  <si>
    <t>EL-PS-EW Sales North-West</t>
  </si>
  <si>
    <t>P000000567</t>
  </si>
  <si>
    <t>EL-PS-E Sales &amp; Marketing EMEA Head</t>
  </si>
  <si>
    <t>P000000568</t>
  </si>
  <si>
    <t>EL-PS-EX Customer Excellence</t>
  </si>
  <si>
    <t>P000000569</t>
  </si>
  <si>
    <t>EL-PS-ER Regional Marketing EMEA</t>
  </si>
  <si>
    <t>P000000664</t>
  </si>
  <si>
    <t>EL-PS-A Sales &amp; Marketing ASIA</t>
  </si>
  <si>
    <t>P000000044</t>
  </si>
  <si>
    <t>EL-PS-AH High Growth Market</t>
  </si>
  <si>
    <t>P000000440</t>
  </si>
  <si>
    <t>EL-PS-AHA Coatings</t>
  </si>
  <si>
    <t>P000000441</t>
  </si>
  <si>
    <t>EL-PS-AHI Industrials</t>
  </si>
  <si>
    <t>P000000442</t>
  </si>
  <si>
    <t>EL-PS-AHK Key Accounts</t>
  </si>
  <si>
    <t>P000000563</t>
  </si>
  <si>
    <t>EL-PS-AH High Growth Market Head</t>
  </si>
  <si>
    <t>P000000564</t>
  </si>
  <si>
    <t>EL-PS-AHC Cosmetics</t>
  </si>
  <si>
    <t>P000000047</t>
  </si>
  <si>
    <t>EL-PS-AM Matured Markets</t>
  </si>
  <si>
    <t>P000000665</t>
  </si>
  <si>
    <t>EL-PS-A Sales &amp; Marketing ASIA Head</t>
  </si>
  <si>
    <t>EL-PS-AR Regional Marketing ASIA</t>
  </si>
  <si>
    <t>EL-PS-ACC Customer Excellence</t>
  </si>
  <si>
    <t>EL-PS-ACJ Customer Excellence</t>
  </si>
  <si>
    <t>P000000669</t>
  </si>
  <si>
    <t>EL-PS-AE Emerging</t>
  </si>
  <si>
    <t>P000000444</t>
  </si>
  <si>
    <t>EL-PS-AET Commercial Taiwan</t>
  </si>
  <si>
    <t>P000000452</t>
  </si>
  <si>
    <t>EL-PS AECA Commercial SEA &amp; ANZ</t>
  </si>
  <si>
    <t>P000000670</t>
  </si>
  <si>
    <t>EL-PS-AG Growth Market</t>
  </si>
  <si>
    <t>P000000449</t>
  </si>
  <si>
    <t>EL-PS-AGS Commercial India</t>
  </si>
  <si>
    <t>EL-PS-O Global Operations Surface Solution</t>
  </si>
  <si>
    <t>P000000148</t>
  </si>
  <si>
    <t>EL-PS-OP Operational Excellence</t>
  </si>
  <si>
    <t>EL-PS-OE Supply Excellence</t>
  </si>
  <si>
    <t>EL-PS-S Supply Chain Surface Solutions</t>
  </si>
  <si>
    <t>EL-PS-SE Supply Chain EMEA</t>
  </si>
  <si>
    <t>P000000602</t>
  </si>
  <si>
    <t>EL-PS-SEP Planning Germany</t>
  </si>
  <si>
    <t>P000000603</t>
  </si>
  <si>
    <t>EL-PS-SEG GHM Site Supply Planning</t>
  </si>
  <si>
    <t>P000000627</t>
  </si>
  <si>
    <t>EL-PS-SED Gernsheim Distribution</t>
  </si>
  <si>
    <t>P000000510</t>
  </si>
  <si>
    <t>EL-PS-SP Demand Planning</t>
  </si>
  <si>
    <t>EL-PS-ST Transport Planning</t>
  </si>
  <si>
    <t>P000000600</t>
  </si>
  <si>
    <t>EL-PS-S Supply Chain Surface Solutions Hea</t>
  </si>
  <si>
    <t>P000000601</t>
  </si>
  <si>
    <t>EL-PS-SA Supply Chain Asia</t>
  </si>
  <si>
    <t>EL-PS-SI Analytics &amp; Process Governance</t>
  </si>
  <si>
    <t>EL-PS-SU Supply Chain Americas</t>
  </si>
  <si>
    <t>P000000570</t>
  </si>
  <si>
    <t>EL-PS-P Product Management</t>
  </si>
  <si>
    <t>P000000742</t>
  </si>
  <si>
    <t>EL-PS-P Organisational costs</t>
  </si>
  <si>
    <t>P000000743</t>
  </si>
  <si>
    <t>EL-PS-P Analytical costs</t>
  </si>
  <si>
    <t>EL-PS-C Product Compliances Surface</t>
  </si>
  <si>
    <t>P000000610</t>
  </si>
  <si>
    <t>EL-PS-C Regulatory Projects</t>
  </si>
  <si>
    <t>P000000611</t>
  </si>
  <si>
    <t>EL-PS-C REACH</t>
  </si>
  <si>
    <t>P000000744</t>
  </si>
  <si>
    <t>EL-PS-P EL-PC Allocations &amp; Other</t>
  </si>
  <si>
    <t>EL-PS-C Organisation</t>
  </si>
  <si>
    <t>EL-PS-CQ Quality Services</t>
  </si>
  <si>
    <t>P000000606</t>
  </si>
  <si>
    <t>EL-PS-CQ Quality Services Head</t>
  </si>
  <si>
    <t>P000000607</t>
  </si>
  <si>
    <t>EL-PS-CQC Customer Inquiry Management</t>
  </si>
  <si>
    <t>EL-PS-C Product Compliances Surface Org</t>
  </si>
  <si>
    <t>EL-MC General Management China</t>
  </si>
  <si>
    <t>P000000343</t>
  </si>
  <si>
    <t>THF-US-HA Quality (T2)</t>
  </si>
  <si>
    <t>EL-ND-F Manufacturing &amp; Services Execution</t>
  </si>
  <si>
    <t>P000000714</t>
  </si>
  <si>
    <t>EL-ND-FB Megasys Operations NA</t>
  </si>
  <si>
    <t>P000000715</t>
  </si>
  <si>
    <t>EL-ND-NC Chandler Manufacturing</t>
  </si>
  <si>
    <t>P000000716</t>
  </si>
  <si>
    <t>EL-ND-NE Electronic SEMC Mfg</t>
  </si>
  <si>
    <t>P000000717</t>
  </si>
  <si>
    <t>EL-ND-FF Fab Ops</t>
  </si>
  <si>
    <t>P000000718</t>
  </si>
  <si>
    <t>EL-ND-BG Vultee Street CSO</t>
  </si>
  <si>
    <t>P000000719</t>
  </si>
  <si>
    <t>EL-ND-F Other Manufacturing &amp; Services Exe</t>
  </si>
  <si>
    <t>EL-ND-FB Megasys Operations Asia</t>
  </si>
  <si>
    <t>EL-ND-FB Field Services NAEUR</t>
  </si>
  <si>
    <t>EL-SC-I Electronics_I</t>
  </si>
  <si>
    <t>El-SC-ID BP Display Solutions</t>
  </si>
  <si>
    <t>EL-SC-IY Electronics Decentral</t>
  </si>
  <si>
    <t>El-SC-II BP Semiconductor</t>
  </si>
  <si>
    <t>El-SC-IN BP DS&amp;S</t>
  </si>
  <si>
    <t>El-SC-IT CIO Office</t>
  </si>
  <si>
    <t>P000000468</t>
  </si>
  <si>
    <t>EL-SC-C Customer Fulfillment_General</t>
  </si>
  <si>
    <t>P000000469</t>
  </si>
  <si>
    <t>EL-SC-CA Customer Fulfillment Asia 1</t>
  </si>
  <si>
    <t>P000000470</t>
  </si>
  <si>
    <t>EL-SC-CC Customer Fulfillment Asia 2</t>
  </si>
  <si>
    <t>P000000472</t>
  </si>
  <si>
    <t>EL-SC-CE Customer Fulfillment Europe</t>
  </si>
  <si>
    <t>P000000475</t>
  </si>
  <si>
    <t>EL-SC-CU Customer Fulfillment US</t>
  </si>
  <si>
    <t>P000000476</t>
  </si>
  <si>
    <t>EL-SC-CX Customer Fulfillment Excellence</t>
  </si>
  <si>
    <t>EL-SC-D Process Development General</t>
  </si>
  <si>
    <t>P000000497</t>
  </si>
  <si>
    <t>EL-SC-DD Process Development Display</t>
  </si>
  <si>
    <t>P000000498</t>
  </si>
  <si>
    <t>EL-SC-DE Process Development Engineering</t>
  </si>
  <si>
    <t>P000000499</t>
  </si>
  <si>
    <t>EL-SC-DF Safety Engineering</t>
  </si>
  <si>
    <t>P000000500</t>
  </si>
  <si>
    <t>EL-SC-DI Process Development Semiconductor</t>
  </si>
  <si>
    <t>EL-SC-DP  Process Development Surface &amp; Exc</t>
  </si>
  <si>
    <t>EL-SC-DR Process Development Improvement &amp; Robustness</t>
  </si>
  <si>
    <t>P000000503</t>
  </si>
  <si>
    <t>EL-SC-DS Process Development Synthesis</t>
  </si>
  <si>
    <t>P000000504</t>
  </si>
  <si>
    <t>EL-SC-DU Process Development Pilot Plant</t>
  </si>
  <si>
    <t>P000001071</t>
  </si>
  <si>
    <t>EL-SC-DD Projects</t>
  </si>
  <si>
    <t>P000001072</t>
  </si>
  <si>
    <t>EL-SC-DD Investments</t>
  </si>
  <si>
    <t>P000001073</t>
  </si>
  <si>
    <t>EL-SC-D Projects</t>
  </si>
  <si>
    <t>P000001074</t>
  </si>
  <si>
    <t>EL-SC-D Investments</t>
  </si>
  <si>
    <t>P000001075</t>
  </si>
  <si>
    <t>EL-SC-DE Projects</t>
  </si>
  <si>
    <t>P000001076</t>
  </si>
  <si>
    <t>EL-SC-DE Investments</t>
  </si>
  <si>
    <t>P000001077</t>
  </si>
  <si>
    <t>EL-SC-DF Projects</t>
  </si>
  <si>
    <t>P000001078</t>
  </si>
  <si>
    <t>EL-SC-DF Investments</t>
  </si>
  <si>
    <t>P000001079</t>
  </si>
  <si>
    <t>EL-SC-DI Projects</t>
  </si>
  <si>
    <t>P000001080</t>
  </si>
  <si>
    <t>EL-SC-DI Investments</t>
  </si>
  <si>
    <t>P000001081</t>
  </si>
  <si>
    <t>EL-SC-DR Projects</t>
  </si>
  <si>
    <t>P000001082</t>
  </si>
  <si>
    <t>EL-SC-DR Investments</t>
  </si>
  <si>
    <t>P000001083</t>
  </si>
  <si>
    <t>EL-SC-DS Projects</t>
  </si>
  <si>
    <t>P000001084</t>
  </si>
  <si>
    <t>EL-SC-DS Investments</t>
  </si>
  <si>
    <t>P000001085</t>
  </si>
  <si>
    <t>EL-SC-DU Projects</t>
  </si>
  <si>
    <t>P000001086</t>
  </si>
  <si>
    <t>EL-SC-DU Investments</t>
  </si>
  <si>
    <t>P000001087</t>
  </si>
  <si>
    <t>EL-SC-DP Projects</t>
  </si>
  <si>
    <t>P000001088</t>
  </si>
  <si>
    <t>EL-SC-DP Investments</t>
  </si>
  <si>
    <t>P000001089</t>
  </si>
  <si>
    <t>EL-SM-EG Global Bus. Lead</t>
  </si>
  <si>
    <t>P000001090</t>
  </si>
  <si>
    <t>EL-SM-EM Marketting Communication</t>
  </si>
  <si>
    <t>P000001091</t>
  </si>
  <si>
    <t>EL-SM-EO Sales Process</t>
  </si>
  <si>
    <t>P000001092</t>
  </si>
  <si>
    <t>EL-SM-EP Commercial Effectiveness</t>
  </si>
  <si>
    <t>P000001093</t>
  </si>
  <si>
    <t>EL-SM-ES Commercial Systems</t>
  </si>
  <si>
    <t>Inkjet Printing Capability</t>
  </si>
  <si>
    <t>Materials Informatics for DRAM</t>
  </si>
  <si>
    <t xml:space="preserve">MIP over/ under </t>
  </si>
  <si>
    <t>Packaging Tech (BED)</t>
  </si>
  <si>
    <t>Planarization Incubator</t>
  </si>
  <si>
    <t>Polar Bear</t>
  </si>
  <si>
    <t>SPEED</t>
  </si>
  <si>
    <t>Pad in a paddle</t>
  </si>
  <si>
    <t>P000001102</t>
  </si>
  <si>
    <t>MIP</t>
  </si>
  <si>
    <t>P000000745</t>
  </si>
  <si>
    <t>P000001103</t>
  </si>
  <si>
    <t>CTO Other</t>
  </si>
  <si>
    <t>EL-ND DS&amp;S Global</t>
  </si>
  <si>
    <t>P000001105</t>
  </si>
  <si>
    <t>EL-ND-P Project Management Office</t>
  </si>
  <si>
    <t>P000001106</t>
  </si>
  <si>
    <t>EL-ND-S Product Management</t>
  </si>
  <si>
    <t>P000001107</t>
  </si>
  <si>
    <t>DS&amp;S Other</t>
  </si>
  <si>
    <t>P000001108</t>
  </si>
  <si>
    <t>Sales Projects</t>
  </si>
  <si>
    <t>P000000471</t>
  </si>
  <si>
    <t>P000000474</t>
  </si>
  <si>
    <t>P000000636</t>
  </si>
  <si>
    <t>P000000637</t>
  </si>
  <si>
    <t>P000000638</t>
  </si>
  <si>
    <t>P000000639</t>
  </si>
  <si>
    <t>P000000640</t>
  </si>
  <si>
    <t>FR5581755</t>
  </si>
  <si>
    <t>FR5582986</t>
  </si>
  <si>
    <t>H000004339</t>
  </si>
  <si>
    <t>GBF N&amp;I Cost Center</t>
  </si>
  <si>
    <t>H000000163</t>
  </si>
  <si>
    <t>H000004340</t>
  </si>
  <si>
    <t>GBF N&amp;I Project Spend</t>
  </si>
  <si>
    <t>H000004341</t>
  </si>
  <si>
    <t>GBF N&amp;I Head</t>
  </si>
  <si>
    <t>H000004342</t>
  </si>
  <si>
    <t>GBF N&amp;I MS Franchise</t>
  </si>
  <si>
    <t>H000004343</t>
  </si>
  <si>
    <t>GBF N&amp;I MS Com. Operations</t>
  </si>
  <si>
    <t>H000004344</t>
  </si>
  <si>
    <t>GBF N&amp;I Evo</t>
  </si>
  <si>
    <t>H000004345</t>
  </si>
  <si>
    <t>GBF N&amp;I New Product Planning</t>
  </si>
  <si>
    <t>H000004346</t>
  </si>
  <si>
    <t>GBF N&amp;I Other</t>
  </si>
  <si>
    <t>FR5600182</t>
  </si>
  <si>
    <t xml:space="preserve">L000013152 </t>
  </si>
  <si>
    <t xml:space="preserve">L000006295 </t>
  </si>
  <si>
    <t>FR5617964</t>
  </si>
  <si>
    <t>EL-SC-DP  Proc. Develop. Surface &amp; Excell.P</t>
  </si>
  <si>
    <t>EL-SM-GDY SG Supply Chain Planning</t>
  </si>
  <si>
    <t>P000000450</t>
  </si>
  <si>
    <t>EL-PS-AM Commercial Korea</t>
  </si>
  <si>
    <t>EL-PS-AM Commercial Japan</t>
  </si>
  <si>
    <t>EL-PS-AM Comm. Autom. &amp; Industrial Japan</t>
  </si>
  <si>
    <t>EL-PS-AM Commercial Cosmetics Japan</t>
  </si>
  <si>
    <t>EL-PS-AR Regional Marketing APAC</t>
  </si>
  <si>
    <t>P000000667</t>
  </si>
  <si>
    <t>EL-PS Customer Excellence ASIA</t>
  </si>
  <si>
    <t>EL-ND-B Global S&amp;OP</t>
  </si>
  <si>
    <t>Opened By</t>
  </si>
  <si>
    <t>MGF</t>
  </si>
  <si>
    <t>HC</t>
  </si>
  <si>
    <t>EL</t>
  </si>
  <si>
    <t>P</t>
  </si>
  <si>
    <t>Electronics</t>
  </si>
  <si>
    <t>L</t>
  </si>
  <si>
    <t>Life Science</t>
  </si>
  <si>
    <t>H</t>
  </si>
  <si>
    <t>Healthcare</t>
  </si>
  <si>
    <t>G</t>
  </si>
  <si>
    <t>O</t>
  </si>
  <si>
    <t>No known</t>
  </si>
  <si>
    <t>Ok</t>
  </si>
  <si>
    <t>FR6084457</t>
  </si>
  <si>
    <t>Please wait for the GCOH structure preview, but based on our record, everything has been accounted for already.</t>
  </si>
  <si>
    <t>Row Labels</t>
  </si>
  <si>
    <t>Count of No.</t>
  </si>
  <si>
    <t>sd</t>
  </si>
  <si>
    <t>Grand Total</t>
  </si>
  <si>
    <t>Column Labels</t>
  </si>
  <si>
    <t>FR6149641</t>
  </si>
  <si>
    <t>RDC0000432</t>
  </si>
  <si>
    <t>RDC0000430</t>
  </si>
  <si>
    <t>FR6164724</t>
  </si>
  <si>
    <t>Lara Lucchetta</t>
  </si>
  <si>
    <t xml:space="preserve">G000000919 </t>
  </si>
  <si>
    <t xml:space="preserve">G000000390 </t>
  </si>
  <si>
    <t>G000000860</t>
  </si>
  <si>
    <t>G000000861</t>
  </si>
  <si>
    <t>G000000862</t>
  </si>
  <si>
    <t xml:space="preserve">SM-PA Automation &amp; Robotics </t>
  </si>
  <si>
    <t xml:space="preserve">SM-PMT Material Management </t>
  </si>
  <si>
    <t xml:space="preserve">SM-PMT Technical Warehouse </t>
  </si>
  <si>
    <t xml:space="preserve">SM-PMT IVV Allocation CCs </t>
  </si>
  <si>
    <t>Closed CCs</t>
  </si>
  <si>
    <t>Unmapped CCs</t>
  </si>
  <si>
    <t>Unused nodes</t>
  </si>
  <si>
    <t>Francesco Ricioppo</t>
  </si>
  <si>
    <t>FR6156634</t>
  </si>
  <si>
    <t>GBM - MP</t>
  </si>
  <si>
    <t>BT Project</t>
  </si>
  <si>
    <t>FR6183808</t>
  </si>
  <si>
    <t>BD,AM &amp; EI</t>
  </si>
  <si>
    <t>FR6185572</t>
  </si>
  <si>
    <t>H000004377</t>
  </si>
  <si>
    <t>H000004378</t>
  </si>
  <si>
    <t>H000004379</t>
  </si>
  <si>
    <t>FR6201819</t>
  </si>
  <si>
    <t>SM-HM Sponsoring topics</t>
  </si>
  <si>
    <t>SM-HE Site development</t>
  </si>
  <si>
    <t>SM-HE Site Hohenbrunn</t>
  </si>
  <si>
    <t>SM-HE Plots KGaA</t>
  </si>
  <si>
    <t>SM-HE DA Deconstruction Bldg.</t>
  </si>
  <si>
    <t>FR6221005</t>
  </si>
  <si>
    <t>Lena Brand</t>
  </si>
  <si>
    <t>BDC Switzerland</t>
  </si>
  <si>
    <t>H000004380</t>
  </si>
  <si>
    <t>FR6260066</t>
  </si>
  <si>
    <t>Unmapped CC's</t>
  </si>
  <si>
    <t>Closed CC's</t>
  </si>
  <si>
    <t>Dummy nodes</t>
  </si>
  <si>
    <t>SM-IP L4</t>
  </si>
  <si>
    <t>SM-IPC</t>
  </si>
  <si>
    <t>SM-IPE</t>
  </si>
  <si>
    <t>SM-IPI</t>
  </si>
  <si>
    <t>SM-IPP</t>
  </si>
  <si>
    <t xml:space="preserve">G000000915 </t>
  </si>
  <si>
    <t xml:space="preserve">SM-IU Energy Gen. &amp; Supply </t>
  </si>
  <si>
    <t>FR6261155</t>
  </si>
  <si>
    <t>FR6271481</t>
  </si>
  <si>
    <t>G000001238</t>
  </si>
  <si>
    <t>G000001239</t>
  </si>
  <si>
    <t>IT06100700</t>
  </si>
  <si>
    <t>IT06100800</t>
  </si>
  <si>
    <t>G000001240</t>
  </si>
  <si>
    <t>IT06042500</t>
  </si>
  <si>
    <t>EF-IT-PB BTP CoE</t>
  </si>
  <si>
    <t>EF-IT-PD Data Migration &amp; Integration</t>
  </si>
  <si>
    <t>EF-IT-IO Technology Platform Operations</t>
  </si>
  <si>
    <t>HC-HF-I Digital, Data and IT Healthcare</t>
  </si>
  <si>
    <t>HC-HF-I Digital, Data and IT Healthcar_I</t>
  </si>
  <si>
    <t>HC-HF-IP Performance &amp; Portfolio Mgmt</t>
  </si>
  <si>
    <t>HC-HF-IC DDIT China Healthcare</t>
  </si>
  <si>
    <t>HC-HF-IN DDIT NorthAmerica &amp; IMFranchise</t>
  </si>
  <si>
    <t>HC-HF-II DDIT International Commercial</t>
  </si>
  <si>
    <t>HC-HF-IR Digital, Data &amp; IT R&amp;D</t>
  </si>
  <si>
    <t>HC-HF-IG Digital, Data &amp; IT GHO</t>
  </si>
  <si>
    <t>HC-HF-IX Centers of Excellence</t>
  </si>
  <si>
    <t>G000000095</t>
  </si>
  <si>
    <t>G000000066</t>
  </si>
  <si>
    <t>G000000580</t>
  </si>
  <si>
    <t>G000000581</t>
  </si>
  <si>
    <t>G000000073</t>
  </si>
  <si>
    <t>G000000753</t>
  </si>
  <si>
    <t>G000001001</t>
  </si>
  <si>
    <t>G000001002</t>
  </si>
  <si>
    <t>G000001003</t>
  </si>
  <si>
    <t>G000000072</t>
  </si>
  <si>
    <t>GM7 LE - XPERTS Enabling Function</t>
  </si>
  <si>
    <t>F16 GC - Global Communications</t>
  </si>
  <si>
    <t>GC - MGF Reporting</t>
  </si>
  <si>
    <t>GC - non-MGF Reporting</t>
  </si>
  <si>
    <t>GL7 GC – Head, Strategy, China</t>
  </si>
  <si>
    <t>GLA GC - Corporate Affairs</t>
  </si>
  <si>
    <t>GLE GC - Brand &amp; Content Marketing</t>
  </si>
  <si>
    <t>GLC GC - Media Relations &amp; Executive Pos</t>
  </si>
  <si>
    <t>GLD GC - Internal Communications</t>
  </si>
  <si>
    <t>GL6 GC - Live Communication</t>
  </si>
  <si>
    <t>FK4 MBS - Intercompany Charges</t>
  </si>
  <si>
    <t>FK5 MBS - Intercompany Charges</t>
  </si>
  <si>
    <t>FK6 MBS - Intercompany Charges</t>
  </si>
  <si>
    <t>FAO MBS - Intercompany Charges</t>
  </si>
  <si>
    <t>FAO MBS - Exceptionals</t>
  </si>
  <si>
    <t>FAP MBS - Intercompany Charges</t>
  </si>
  <si>
    <t>FAP MBS - Exceptionals</t>
  </si>
  <si>
    <t>FAQ MBS - Intercompany Charges</t>
  </si>
  <si>
    <t>FAQ MBS - Exceptionals</t>
  </si>
  <si>
    <t>FAR MBS - Intercompany Charges</t>
  </si>
  <si>
    <t>FAR MBS - Exceptionals</t>
  </si>
  <si>
    <t>FAS MBS - Intercompany Charges</t>
  </si>
  <si>
    <t>FAS MBS - Exceptionals</t>
  </si>
  <si>
    <t>FAT MBS - Intercompany Charges</t>
  </si>
  <si>
    <t>FAT MBS - Exceptionals</t>
  </si>
  <si>
    <t>FAU MBS - Intercompany Charges</t>
  </si>
  <si>
    <t>FAU MBS - Exceptionals</t>
  </si>
  <si>
    <t>FAV MBS - Intercompany Charges</t>
  </si>
  <si>
    <t>FAV MBS - Exceptionals</t>
  </si>
  <si>
    <t>FAW RC - Intercompany Charges</t>
  </si>
  <si>
    <t>FAW RC - Exceptionals</t>
  </si>
  <si>
    <t>G000001241</t>
  </si>
  <si>
    <t>G000001242</t>
  </si>
  <si>
    <t>G000001243</t>
  </si>
  <si>
    <t>G000001244</t>
  </si>
  <si>
    <t>G000001245</t>
  </si>
  <si>
    <t>G000001246</t>
  </si>
  <si>
    <t>G000001247</t>
  </si>
  <si>
    <t>G000001248</t>
  </si>
  <si>
    <t>G000001249</t>
  </si>
  <si>
    <t>G000001250</t>
  </si>
  <si>
    <t>G000001251</t>
  </si>
  <si>
    <t>G000001252</t>
  </si>
  <si>
    <t>G000001253</t>
  </si>
  <si>
    <t>G000001254</t>
  </si>
  <si>
    <t>G000001255</t>
  </si>
  <si>
    <t>G000001256</t>
  </si>
  <si>
    <t>G000001257</t>
  </si>
  <si>
    <t>G000001258</t>
  </si>
  <si>
    <t>G000001259</t>
  </si>
  <si>
    <t>G000001260</t>
  </si>
  <si>
    <t>G000001261</t>
  </si>
  <si>
    <t>FR6273798</t>
  </si>
  <si>
    <t>Gay Geanuza del Mundo</t>
  </si>
  <si>
    <t>FR6276559</t>
  </si>
  <si>
    <t>FR6277867</t>
  </si>
  <si>
    <t>P&amp;T Assembly</t>
  </si>
  <si>
    <t>L000009402</t>
  </si>
  <si>
    <t>Distribution Darmstadt- G</t>
  </si>
  <si>
    <t xml:space="preserve">L000009975 </t>
  </si>
  <si>
    <t>Darmstadt Internal Transport -G</t>
  </si>
  <si>
    <t>Darmstadt Maintenance &amp; Technical- G</t>
  </si>
  <si>
    <t>SLS Tradeshows Team</t>
  </si>
  <si>
    <t>LW EMEA</t>
  </si>
  <si>
    <t>L000005964</t>
  </si>
  <si>
    <t>LW -  MCS WE -G</t>
  </si>
  <si>
    <t>LW - Sales &amp; Service (WE)</t>
  </si>
  <si>
    <t>LW APAC</t>
  </si>
  <si>
    <t>LW - Sales APAC SEA -G</t>
  </si>
  <si>
    <t>LW - Sales APAC 6 -G</t>
  </si>
  <si>
    <t>L000006118</t>
  </si>
  <si>
    <t>LW - Field Service APAC 6 -G</t>
  </si>
  <si>
    <t>LW AMERICAS</t>
  </si>
  <si>
    <t>LW - MCS NA -G</t>
  </si>
  <si>
    <t>L000006151</t>
  </si>
  <si>
    <t>Marketing</t>
  </si>
  <si>
    <t>LW - S&amp;PM -G</t>
  </si>
  <si>
    <t>L000006209</t>
  </si>
  <si>
    <t>Chem Synth Solutions</t>
  </si>
  <si>
    <t>Marketing &amp; Business Excellence</t>
  </si>
  <si>
    <t>Hungary</t>
  </si>
  <si>
    <t>Maghreb</t>
  </si>
  <si>
    <t>L000008982</t>
  </si>
  <si>
    <t>MEA Field Marketing</t>
  </si>
  <si>
    <t>Cork Operations - Blarney -G</t>
  </si>
  <si>
    <t xml:space="preserve">L000010287 </t>
  </si>
  <si>
    <t>Blarney DSP-G</t>
  </si>
  <si>
    <t>Blarney Encapsulation-G</t>
  </si>
  <si>
    <t>Blarney VPRO-G</t>
  </si>
  <si>
    <t>Blarney Pellicon 3-G</t>
  </si>
  <si>
    <t>Blarney Quality-G</t>
  </si>
  <si>
    <t>Blarney Maintenance-G</t>
  </si>
  <si>
    <t>Blarney Process &amp; Technology-G</t>
  </si>
  <si>
    <t>Blarney Facilities-G</t>
  </si>
  <si>
    <t>Blarney EHS-G</t>
  </si>
  <si>
    <t>Blarney WWTP-G</t>
  </si>
  <si>
    <t>Blarney Operations Management-G</t>
  </si>
  <si>
    <t>Blarney Planning-G</t>
  </si>
  <si>
    <t>Blarney Sterilisation-G</t>
  </si>
  <si>
    <t>Blarney Warehouse-G</t>
  </si>
  <si>
    <t>Spruce-R</t>
  </si>
  <si>
    <t>Molsheim Support Functions</t>
  </si>
  <si>
    <t>L000010485</t>
  </si>
  <si>
    <t>BioMonitoring Operations</t>
  </si>
  <si>
    <t>Global Distribution</t>
  </si>
  <si>
    <t xml:space="preserve">Temecula </t>
  </si>
  <si>
    <t>L000009795</t>
  </si>
  <si>
    <t>Visalia</t>
  </si>
  <si>
    <t>Schnelldorf</t>
  </si>
  <si>
    <t>Stockholm</t>
  </si>
  <si>
    <t>Ireland</t>
  </si>
  <si>
    <t>BMS &amp; Business Partnering LS</t>
  </si>
  <si>
    <t>Business Development PS</t>
  </si>
  <si>
    <t>L000011322</t>
  </si>
  <si>
    <t>Business Development SLS</t>
  </si>
  <si>
    <t xml:space="preserve">L000011322 </t>
  </si>
  <si>
    <t>Business Development LSS</t>
  </si>
  <si>
    <t>M&amp;A Business Development</t>
  </si>
  <si>
    <t>ERP Process Manager</t>
  </si>
  <si>
    <t>GSS Center of Excellence</t>
  </si>
  <si>
    <t>GSS - SLS</t>
  </si>
  <si>
    <t>GSS - Business Operation</t>
  </si>
  <si>
    <t>GSS - Biomonitoring</t>
  </si>
  <si>
    <t>GSS - Diagnistics &amp; Regulated Materials</t>
  </si>
  <si>
    <t>GSS - Lab Water</t>
  </si>
  <si>
    <t>GSS - eCommerce</t>
  </si>
  <si>
    <t>GSS -  Chemistry</t>
  </si>
  <si>
    <t>GSS - SLS Commercial Americas</t>
  </si>
  <si>
    <t>GSS - SLS Commercial APAC</t>
  </si>
  <si>
    <t>GSS - SLS Commercial EMEA</t>
  </si>
  <si>
    <t>GSS - Biology</t>
  </si>
  <si>
    <t>GSS - LSS</t>
  </si>
  <si>
    <t>GSS - Contract Testing Services</t>
  </si>
  <si>
    <t>GSS - PS</t>
  </si>
  <si>
    <t>GSS - PS Global Strategic Accounts &amp; Services</t>
  </si>
  <si>
    <t>GSS- PS Business Franchises</t>
  </si>
  <si>
    <t>GSS - ISCO</t>
  </si>
  <si>
    <t>GSS - Supply Chain &amp; Distribution</t>
  </si>
  <si>
    <t>GSS - Global Plant Operation</t>
  </si>
  <si>
    <t>GSS - Warehouse &amp; Distribution</t>
  </si>
  <si>
    <t>Enabling Functions GSS COE</t>
  </si>
  <si>
    <t>GSS - Technology Office</t>
  </si>
  <si>
    <t>GSS - LS QRM</t>
  </si>
  <si>
    <t>GSS - LS-QD Digital &amp; Data Mgmnt</t>
  </si>
  <si>
    <t>GSS - LS-QH Haz Com &amp; Chem. Reg.</t>
  </si>
  <si>
    <t>GSS - LS-QS Quality Services</t>
  </si>
  <si>
    <t>GSS - LS-QR Regulatory Management</t>
  </si>
  <si>
    <t>GSS - EF Sourcing</t>
  </si>
  <si>
    <t>GSS - Administration</t>
  </si>
  <si>
    <t>L000013689</t>
  </si>
  <si>
    <t>L000013690</t>
  </si>
  <si>
    <t>L000013691</t>
  </si>
  <si>
    <t>L000013692</t>
  </si>
  <si>
    <t>L000013693</t>
  </si>
  <si>
    <t>L000013694</t>
  </si>
  <si>
    <t>L000013695</t>
  </si>
  <si>
    <t>L000013696</t>
  </si>
  <si>
    <t>L000013697</t>
  </si>
  <si>
    <t>L000013698</t>
  </si>
  <si>
    <t>L000013699</t>
  </si>
  <si>
    <t>L000013700</t>
  </si>
  <si>
    <t>L000013701</t>
  </si>
  <si>
    <t>L000013702</t>
  </si>
  <si>
    <t>L000013703</t>
  </si>
  <si>
    <t>L000013704</t>
  </si>
  <si>
    <t>L000013705</t>
  </si>
  <si>
    <t>L000013706</t>
  </si>
  <si>
    <t>L000013707</t>
  </si>
  <si>
    <t>L000013708</t>
  </si>
  <si>
    <t>L000013709</t>
  </si>
  <si>
    <t>L000013710</t>
  </si>
  <si>
    <t>L000013711</t>
  </si>
  <si>
    <t>L000013712</t>
  </si>
  <si>
    <t>L000013713</t>
  </si>
  <si>
    <t>L000013714</t>
  </si>
  <si>
    <t>L000013715</t>
  </si>
  <si>
    <t>L000013716</t>
  </si>
  <si>
    <t>L000013717</t>
  </si>
  <si>
    <t>L000013718</t>
  </si>
  <si>
    <t>L000013719</t>
  </si>
  <si>
    <t>L000013720</t>
  </si>
  <si>
    <t>L000013721</t>
  </si>
  <si>
    <t>L000013722</t>
  </si>
  <si>
    <t>L000013723</t>
  </si>
  <si>
    <t>L000013724</t>
  </si>
  <si>
    <t>L000013725</t>
  </si>
  <si>
    <t>L000013726</t>
  </si>
  <si>
    <t>L000013727</t>
  </si>
  <si>
    <t>L000013728</t>
  </si>
  <si>
    <t>L000013729</t>
  </si>
  <si>
    <t>L000013730</t>
  </si>
  <si>
    <t>L000013731</t>
  </si>
  <si>
    <t>L000013732</t>
  </si>
  <si>
    <t>L000013733</t>
  </si>
  <si>
    <t>L000013734</t>
  </si>
  <si>
    <t>L000013735</t>
  </si>
  <si>
    <t>L000013736</t>
  </si>
  <si>
    <t>L000013737</t>
  </si>
  <si>
    <t>L000013738</t>
  </si>
  <si>
    <t>L000013739</t>
  </si>
  <si>
    <t>L000013740</t>
  </si>
  <si>
    <t>L000013741</t>
  </si>
  <si>
    <t>L000013742</t>
  </si>
  <si>
    <t>L000013743</t>
  </si>
  <si>
    <t>L000013744</t>
  </si>
  <si>
    <t>L000013745</t>
  </si>
  <si>
    <t>L000013746</t>
  </si>
  <si>
    <t>L000013747</t>
  </si>
  <si>
    <t>L000013748</t>
  </si>
  <si>
    <t>L000013749</t>
  </si>
  <si>
    <t>L000013750</t>
  </si>
  <si>
    <t>L000013751</t>
  </si>
  <si>
    <t>L000013752</t>
  </si>
  <si>
    <t>L000009403</t>
  </si>
  <si>
    <t>L000010049</t>
  </si>
  <si>
    <t>L000010050</t>
  </si>
  <si>
    <t>L000010051</t>
  </si>
  <si>
    <t>L000010052</t>
  </si>
  <si>
    <t>L000010053</t>
  </si>
  <si>
    <t>L000012190</t>
  </si>
  <si>
    <t>L000010054</t>
  </si>
  <si>
    <t>L000010055</t>
  </si>
  <si>
    <t>L000010056</t>
  </si>
  <si>
    <t>L000006432</t>
  </si>
  <si>
    <t>L000006046</t>
  </si>
  <si>
    <t>L000008902</t>
  </si>
  <si>
    <t>L000008904</t>
  </si>
  <si>
    <t>L000008906</t>
  </si>
  <si>
    <t>L000008907</t>
  </si>
  <si>
    <t>L000008983</t>
  </si>
  <si>
    <t>L000011883</t>
  </si>
  <si>
    <t>L000005988</t>
  </si>
  <si>
    <t>L000012464</t>
  </si>
  <si>
    <t>L000013193</t>
  </si>
  <si>
    <t>L000008420</t>
  </si>
  <si>
    <t>L000008422</t>
  </si>
  <si>
    <t>L000008423</t>
  </si>
  <si>
    <t>L000008911</t>
  </si>
  <si>
    <t>L000010554</t>
  </si>
  <si>
    <t>L000010569</t>
  </si>
  <si>
    <t>L000013045</t>
  </si>
  <si>
    <t>L000013050</t>
  </si>
  <si>
    <t>L000012219</t>
  </si>
  <si>
    <t>L000011328</t>
  </si>
  <si>
    <t>L000011344</t>
  </si>
  <si>
    <t>L000011345</t>
  </si>
  <si>
    <t>L000011353</t>
  </si>
  <si>
    <t>L000006013</t>
  </si>
  <si>
    <t>L000006082</t>
  </si>
  <si>
    <t>L000008939</t>
  </si>
  <si>
    <t>L000009969</t>
  </si>
  <si>
    <t>L000011127</t>
  </si>
  <si>
    <t>L000011352</t>
  </si>
  <si>
    <t>Smart manufacturing</t>
  </si>
  <si>
    <t xml:space="preserve">Smart Manufacturing USA </t>
  </si>
  <si>
    <t>External Manufacturing - Supply Chain -G</t>
  </si>
  <si>
    <t>EMSC APAC-G</t>
  </si>
  <si>
    <t>EMSC EU-G</t>
  </si>
  <si>
    <t>EMSC Supplier Quality - GTO-G</t>
  </si>
  <si>
    <t>EMSC US-G</t>
  </si>
  <si>
    <t>EMSC Production -G</t>
  </si>
  <si>
    <t>EMSC Production Applied-G</t>
  </si>
  <si>
    <t>EMSC Production Process-G</t>
  </si>
  <si>
    <t>EMSC Production Research-G</t>
  </si>
  <si>
    <t>mRNA Delivery &amp; PEGs DA &amp; SH</t>
  </si>
  <si>
    <t>Intermediates India</t>
  </si>
  <si>
    <t>Proj &amp; Eng-USA</t>
  </si>
  <si>
    <t>Proj &amp; Eng-Central Europe</t>
  </si>
  <si>
    <t>Proj &amp; Eng-Western Europe &amp; Middle East</t>
  </si>
  <si>
    <t>Proj &amp; Eng-APAC</t>
  </si>
  <si>
    <t>SLS Strategy Group</t>
  </si>
  <si>
    <t>SLS Business Development</t>
  </si>
  <si>
    <t>SLS BD &amp; Licensing</t>
  </si>
  <si>
    <t>SLS Business Dev Group</t>
  </si>
  <si>
    <t>SLS Innovation PMO US</t>
  </si>
  <si>
    <t>US496920 Innovation PMO</t>
  </si>
  <si>
    <t>US6030 Innovation PMO</t>
  </si>
  <si>
    <t>US6109 Innovation PMO</t>
  </si>
  <si>
    <t>US6413 Innovation PMO</t>
  </si>
  <si>
    <t>SLS Innovation PMO EU</t>
  </si>
  <si>
    <t>FR6109 Innovation PMO (EU)</t>
  </si>
  <si>
    <t>GE687000 Innovation PMO</t>
  </si>
  <si>
    <t>CH56496 Innovation EU</t>
  </si>
  <si>
    <t>FR6413 Innovation PMO</t>
  </si>
  <si>
    <t>US20525 Innovation PMO</t>
  </si>
  <si>
    <t>FS - 2023C03108 - F. Service Ireland -G</t>
  </si>
  <si>
    <t>FS - 2011C03060 CZ-G</t>
  </si>
  <si>
    <t>FS - 2018C03060 Hungary-G</t>
  </si>
  <si>
    <t>Field Service Romania-G</t>
  </si>
  <si>
    <t>FS- 2057C02041 Russia-G</t>
  </si>
  <si>
    <t>FS - TR10FS1101 Turkey-G</t>
  </si>
  <si>
    <t>LW - Field Service APAC SEA -G</t>
  </si>
  <si>
    <t>FS - 2063CS3004 - F. Service Canada -G</t>
  </si>
  <si>
    <t>LW - US5973 - Digital Sales -G</t>
  </si>
  <si>
    <t>Area Sales Japan</t>
  </si>
  <si>
    <t xml:space="preserve">Production Materials Sales Japan </t>
  </si>
  <si>
    <t>SLS AGH Sales S Korea -G</t>
  </si>
  <si>
    <t>SLS I&amp;T Sales S Korea -G</t>
  </si>
  <si>
    <t xml:space="preserve">SLS I&amp;T Sales S Korea </t>
  </si>
  <si>
    <t>S Korea Commercial Enablement -G</t>
  </si>
  <si>
    <t>SLS P&amp;B Sales S Korea -G</t>
  </si>
  <si>
    <t>EMEP</t>
  </si>
  <si>
    <t>South Africa Plus</t>
  </si>
  <si>
    <t>EEMEA Management</t>
  </si>
  <si>
    <t>NCEE Plus</t>
  </si>
  <si>
    <t>HSEEI</t>
  </si>
  <si>
    <t>Turkey Plus</t>
  </si>
  <si>
    <t>FR2534 Molsheim LW Prod Planning-G</t>
  </si>
  <si>
    <t>FR2554 Molsheim HSO Prod Planning-G</t>
  </si>
  <si>
    <t>Molsheim Operations Mobius Europe -G</t>
  </si>
  <si>
    <t>2079 - FR Mobius Prod Planning-G</t>
  </si>
  <si>
    <t>2090 - FR Mobius - Idl-G</t>
  </si>
  <si>
    <t xml:space="preserve">UK </t>
  </si>
  <si>
    <t>Lyon</t>
  </si>
  <si>
    <t>Other LS Management</t>
  </si>
  <si>
    <t>Enabling Functions Business Partnering</t>
  </si>
  <si>
    <t>Strategy &amp; Transformation Office</t>
  </si>
  <si>
    <t>Corp. &amp; Business Development LS</t>
  </si>
  <si>
    <t>Global Portfolio Branding</t>
  </si>
  <si>
    <t>Strategy &amp; Mkt Intelligence</t>
  </si>
  <si>
    <t>Strategic Intelligence</t>
  </si>
  <si>
    <t>Program Mgmnt &amp; Chg</t>
  </si>
  <si>
    <t>LS Business Serv &amp; Social Leadership</t>
  </si>
  <si>
    <t>LS Strategy &amp; Transformation</t>
  </si>
  <si>
    <t>ERP Center of Excellence</t>
  </si>
  <si>
    <t>LW Field Service &amp; Support Functions -G</t>
  </si>
  <si>
    <t>LW Marketing Ops</t>
  </si>
  <si>
    <t>LW Sales &amp; Service-APAC SEA -G</t>
  </si>
  <si>
    <t>LW Sales &amp; Service- APAC 6 -G</t>
  </si>
  <si>
    <t>NCEE-CZ Customer commissions</t>
  </si>
  <si>
    <t>Distribution Advancement -G</t>
  </si>
  <si>
    <t>GSS  Business &amp; Market Services</t>
  </si>
  <si>
    <t>GSS - STO</t>
  </si>
  <si>
    <t>Legal Entity Transformation</t>
  </si>
  <si>
    <t>F0 Total</t>
  </si>
  <si>
    <t>F1 Total</t>
  </si>
  <si>
    <t>L000013753</t>
  </si>
  <si>
    <t>L000013754</t>
  </si>
  <si>
    <t>L000013755</t>
  </si>
  <si>
    <t>L000013756</t>
  </si>
  <si>
    <t>L000013757</t>
  </si>
  <si>
    <t>L000013758</t>
  </si>
  <si>
    <t>L000013759</t>
  </si>
  <si>
    <t>L000013760</t>
  </si>
  <si>
    <t>L000013761</t>
  </si>
  <si>
    <t>L000013762</t>
  </si>
  <si>
    <t>L000013763</t>
  </si>
  <si>
    <t>L000013764</t>
  </si>
  <si>
    <t>L000013765</t>
  </si>
  <si>
    <t>L000013766</t>
  </si>
  <si>
    <t>L000013767</t>
  </si>
  <si>
    <t>L000013768</t>
  </si>
  <si>
    <t>L000013769</t>
  </si>
  <si>
    <t>FR6281594</t>
  </si>
  <si>
    <t>L000005447</t>
  </si>
  <si>
    <t>L000007835</t>
  </si>
  <si>
    <t>L000013172</t>
  </si>
  <si>
    <t>L000006014</t>
  </si>
  <si>
    <t>L000006016</t>
  </si>
  <si>
    <t>L000006035</t>
  </si>
  <si>
    <t>L000006051</t>
  </si>
  <si>
    <t>L000006054</t>
  </si>
  <si>
    <t>L000006061</t>
  </si>
  <si>
    <t>L000006064</t>
  </si>
  <si>
    <t>L000006069</t>
  </si>
  <si>
    <t>L000006072</t>
  </si>
  <si>
    <t>L000006074</t>
  </si>
  <si>
    <t>L000013195</t>
  </si>
  <si>
    <t>L000013198</t>
  </si>
  <si>
    <t>L000006103</t>
  </si>
  <si>
    <t>L000006104</t>
  </si>
  <si>
    <t>L000006107</t>
  </si>
  <si>
    <t>L000006108</t>
  </si>
  <si>
    <t>L000006111</t>
  </si>
  <si>
    <t>L000006112</t>
  </si>
  <si>
    <t>L000006117</t>
  </si>
  <si>
    <t>L000006120</t>
  </si>
  <si>
    <t>L000006121</t>
  </si>
  <si>
    <t>L000006137</t>
  </si>
  <si>
    <t>L000006126</t>
  </si>
  <si>
    <t>L000006127</t>
  </si>
  <si>
    <t>L000006128</t>
  </si>
  <si>
    <t>L000006133</t>
  </si>
  <si>
    <t>L000006140</t>
  </si>
  <si>
    <t>L000006145</t>
  </si>
  <si>
    <t>L000006146</t>
  </si>
  <si>
    <t>L000008466</t>
  </si>
  <si>
    <t>L000008480</t>
  </si>
  <si>
    <t>L000008492</t>
  </si>
  <si>
    <t>L000008505</t>
  </si>
  <si>
    <t>L000008517</t>
  </si>
  <si>
    <t>L000008529</t>
  </si>
  <si>
    <t>L000011884</t>
  </si>
  <si>
    <t>L000012016</t>
  </si>
  <si>
    <t>L000006105</t>
  </si>
  <si>
    <t>L000006106</t>
  </si>
  <si>
    <t>L000006109</t>
  </si>
  <si>
    <t>L000006110</t>
  </si>
  <si>
    <t>L000006113</t>
  </si>
  <si>
    <t>L000006114</t>
  </si>
  <si>
    <t>L000006115</t>
  </si>
  <si>
    <t>L000006116</t>
  </si>
  <si>
    <t>L000006122</t>
  </si>
  <si>
    <t>L000006123</t>
  </si>
  <si>
    <t>L000006124</t>
  </si>
  <si>
    <t>L000006125</t>
  </si>
  <si>
    <t>L000006132</t>
  </si>
  <si>
    <t>L000006129</t>
  </si>
  <si>
    <t>L000006130</t>
  </si>
  <si>
    <t>L000006134</t>
  </si>
  <si>
    <t>L000006141</t>
  </si>
  <si>
    <t>L000006131</t>
  </si>
  <si>
    <t>L000006138</t>
  </si>
  <si>
    <t>L000006139</t>
  </si>
  <si>
    <t>L000006142</t>
  </si>
  <si>
    <t>L000006143</t>
  </si>
  <si>
    <t>L000006144</t>
  </si>
  <si>
    <t>L000006147</t>
  </si>
  <si>
    <t>L000006135</t>
  </si>
  <si>
    <t>L000006148</t>
  </si>
  <si>
    <t>L000006149</t>
  </si>
  <si>
    <t>L000006136</t>
  </si>
  <si>
    <t>L000006150</t>
  </si>
  <si>
    <t>L000012441</t>
  </si>
  <si>
    <t>L000006119</t>
  </si>
  <si>
    <t>L000012443</t>
  </si>
  <si>
    <t>L000012917</t>
  </si>
  <si>
    <t>L000005994</t>
  </si>
  <si>
    <t>L000005995</t>
  </si>
  <si>
    <t>L000006171</t>
  </si>
  <si>
    <t>L000012335</t>
  </si>
  <si>
    <t>L000007817</t>
  </si>
  <si>
    <t>L000013170</t>
  </si>
  <si>
    <t>L000005852</t>
  </si>
  <si>
    <t>L000008817</t>
  </si>
  <si>
    <t>L000008818</t>
  </si>
  <si>
    <t>L000008823</t>
  </si>
  <si>
    <t>L000008824</t>
  </si>
  <si>
    <t>L000008825</t>
  </si>
  <si>
    <t>L000008826</t>
  </si>
  <si>
    <t>L000008827</t>
  </si>
  <si>
    <t>L000008839</t>
  </si>
  <si>
    <t>L000008934</t>
  </si>
  <si>
    <t>L000008941</t>
  </si>
  <si>
    <t>L000008942</t>
  </si>
  <si>
    <t>L000012786</t>
  </si>
  <si>
    <t>L000008944</t>
  </si>
  <si>
    <t>L000008945</t>
  </si>
  <si>
    <t>L000008946</t>
  </si>
  <si>
    <t>L000008949</t>
  </si>
  <si>
    <t>L000008950</t>
  </si>
  <si>
    <t>L000008951</t>
  </si>
  <si>
    <t>L000008955</t>
  </si>
  <si>
    <t>L000012467</t>
  </si>
  <si>
    <t>L000012468</t>
  </si>
  <si>
    <t>L000010486</t>
  </si>
  <si>
    <t>L000010487</t>
  </si>
  <si>
    <t>L000010488</t>
  </si>
  <si>
    <t>L000010489</t>
  </si>
  <si>
    <t>L000010490</t>
  </si>
  <si>
    <t>L000010491</t>
  </si>
  <si>
    <t>L000010494</t>
  </si>
  <si>
    <t>L000010495</t>
  </si>
  <si>
    <t>L000010496</t>
  </si>
  <si>
    <t>L000010497</t>
  </si>
  <si>
    <t>L000010498</t>
  </si>
  <si>
    <t>L000010499</t>
  </si>
  <si>
    <t>L000010500</t>
  </si>
  <si>
    <t>L000010501</t>
  </si>
  <si>
    <t>L000010502</t>
  </si>
  <si>
    <t>L000010503</t>
  </si>
  <si>
    <t>L000010504</t>
  </si>
  <si>
    <t>L000010505</t>
  </si>
  <si>
    <t>L000010506</t>
  </si>
  <si>
    <t>L000010507</t>
  </si>
  <si>
    <t>L000010508</t>
  </si>
  <si>
    <t>L000010509</t>
  </si>
  <si>
    <t>L000010510</t>
  </si>
  <si>
    <t>L000010511</t>
  </si>
  <si>
    <t>L000010512</t>
  </si>
  <si>
    <t>L000010513</t>
  </si>
  <si>
    <t>L000010514</t>
  </si>
  <si>
    <t>L000010515</t>
  </si>
  <si>
    <t>L000010516</t>
  </si>
  <si>
    <t>L000010517</t>
  </si>
  <si>
    <t>L000010518</t>
  </si>
  <si>
    <t>L000010519</t>
  </si>
  <si>
    <t>L000010520</t>
  </si>
  <si>
    <t>L000010521</t>
  </si>
  <si>
    <t>L000010522</t>
  </si>
  <si>
    <t>L000010523</t>
  </si>
  <si>
    <t>L000010524</t>
  </si>
  <si>
    <t>L000010525</t>
  </si>
  <si>
    <t>L000010526</t>
  </si>
  <si>
    <t>L000010527</t>
  </si>
  <si>
    <t>L000010528</t>
  </si>
  <si>
    <t>L000010529</t>
  </si>
  <si>
    <t>L000010530</t>
  </si>
  <si>
    <t>L000010532</t>
  </si>
  <si>
    <t>L000010533</t>
  </si>
  <si>
    <t>L000010534</t>
  </si>
  <si>
    <t>L000013070</t>
  </si>
  <si>
    <t>L000013071</t>
  </si>
  <si>
    <t>L000013073</t>
  </si>
  <si>
    <t>L000009817</t>
  </si>
  <si>
    <t>L000009818</t>
  </si>
  <si>
    <t>L000009819</t>
  </si>
  <si>
    <t>L000009998</t>
  </si>
  <si>
    <t>L000010003</t>
  </si>
  <si>
    <t>L000010037</t>
  </si>
  <si>
    <t>L000010039</t>
  </si>
  <si>
    <t>L000010036</t>
  </si>
  <si>
    <t>L000012472</t>
  </si>
  <si>
    <t>L000012473</t>
  </si>
  <si>
    <t>L000012474</t>
  </si>
  <si>
    <t>L000012789</t>
  </si>
  <si>
    <t>L000012790</t>
  </si>
  <si>
    <t>L000012802</t>
  </si>
  <si>
    <t>L000012221</t>
  </si>
  <si>
    <t>L000009966</t>
  </si>
  <si>
    <t>L000009229</t>
  </si>
  <si>
    <t>L000009971</t>
  </si>
  <si>
    <t>L000013375</t>
  </si>
  <si>
    <t>L000013385</t>
  </si>
  <si>
    <t>L000013386</t>
  </si>
  <si>
    <t>L000013387</t>
  </si>
  <si>
    <t>L000011146</t>
  </si>
  <si>
    <t>L000011323</t>
  </si>
  <si>
    <t>L000011324</t>
  </si>
  <si>
    <t>L000011325</t>
  </si>
  <si>
    <t>L000011326</t>
  </si>
  <si>
    <t xml:space="preserve">L000006092 </t>
  </si>
  <si>
    <t>L000011823</t>
  </si>
  <si>
    <t>L000011826</t>
  </si>
  <si>
    <t>L000011825</t>
  </si>
  <si>
    <t>L000011827</t>
  </si>
  <si>
    <t xml:space="preserve">L000010042 </t>
  </si>
  <si>
    <t xml:space="preserve">L000013388 </t>
  </si>
  <si>
    <t xml:space="preserve">L000013623 </t>
  </si>
  <si>
    <t xml:space="preserve">L000012374 </t>
  </si>
  <si>
    <t xml:space="preserve">L000012478 </t>
  </si>
  <si>
    <t xml:space="preserve">L000012376 </t>
  </si>
  <si>
    <t>L000006092</t>
  </si>
  <si>
    <t>L000009972</t>
  </si>
  <si>
    <t>L000009973</t>
  </si>
  <si>
    <t>L000010023</t>
  </si>
  <si>
    <t>L000010024</t>
  </si>
  <si>
    <t>L000010038</t>
  </si>
  <si>
    <t>L000012214</t>
  </si>
  <si>
    <t>L000010040</t>
  </si>
  <si>
    <t>L000010041</t>
  </si>
  <si>
    <t>L000012215</t>
  </si>
  <si>
    <t>L000010021</t>
  </si>
  <si>
    <t>L000012220</t>
  </si>
  <si>
    <t>L000009986</t>
  </si>
  <si>
    <t>L000009977</t>
  </si>
  <si>
    <t>L000009967</t>
  </si>
  <si>
    <t>L000009968</t>
  </si>
  <si>
    <t>L000009796</t>
  </si>
  <si>
    <t>L000009804</t>
  </si>
  <si>
    <t>L000009816</t>
  </si>
  <si>
    <t>L000012475</t>
  </si>
  <si>
    <t>L000009970</t>
  </si>
  <si>
    <t>L000010043</t>
  </si>
  <si>
    <t>L000010044</t>
  </si>
  <si>
    <t>L000010030</t>
  </si>
  <si>
    <t>L000006418</t>
  </si>
  <si>
    <t>L000006426</t>
  </si>
  <si>
    <t>L000006436</t>
  </si>
  <si>
    <t>L000011351</t>
  </si>
  <si>
    <t>L000007541</t>
  </si>
  <si>
    <t>L000006703</t>
  </si>
  <si>
    <t>L000006704</t>
  </si>
  <si>
    <t>L000006706</t>
  </si>
  <si>
    <t>L000006707</t>
  </si>
  <si>
    <t>L000006708</t>
  </si>
  <si>
    <t>L000006709</t>
  </si>
  <si>
    <t>L000006710</t>
  </si>
  <si>
    <t>L000006711</t>
  </si>
  <si>
    <t>L000006714</t>
  </si>
  <si>
    <t>L000011590</t>
  </si>
  <si>
    <t>L000012540</t>
  </si>
  <si>
    <t>L000006843</t>
  </si>
  <si>
    <t>L000006845</t>
  </si>
  <si>
    <t>L000006846</t>
  </si>
  <si>
    <t>L000006847</t>
  </si>
  <si>
    <t>L000006849</t>
  </si>
  <si>
    <t>L000006851</t>
  </si>
  <si>
    <t>L000011657</t>
  </si>
  <si>
    <t>L000011658</t>
  </si>
  <si>
    <t>L000011659</t>
  </si>
  <si>
    <t>L000011660</t>
  </si>
  <si>
    <t>L000011661</t>
  </si>
  <si>
    <t>L000011662</t>
  </si>
  <si>
    <t>L000012643</t>
  </si>
  <si>
    <t>L000012664</t>
  </si>
  <si>
    <t>L000012728</t>
  </si>
  <si>
    <t>L000006748</t>
  </si>
  <si>
    <t>L000006750</t>
  </si>
  <si>
    <t>L000006751</t>
  </si>
  <si>
    <t>L000006754</t>
  </si>
  <si>
    <t>L000006756</t>
  </si>
  <si>
    <t>L000006757</t>
  </si>
  <si>
    <t>L000006760</t>
  </si>
  <si>
    <t>L000006761</t>
  </si>
  <si>
    <t>L000006762</t>
  </si>
  <si>
    <t>L000006763</t>
  </si>
  <si>
    <t>L000006764</t>
  </si>
  <si>
    <t>L000006766</t>
  </si>
  <si>
    <t>L000006768</t>
  </si>
  <si>
    <t>L000011688</t>
  </si>
  <si>
    <t>L000012553</t>
  </si>
  <si>
    <t>L000012567</t>
  </si>
  <si>
    <t>L000011707</t>
  </si>
  <si>
    <t>L000011714</t>
  </si>
  <si>
    <t>L000011715</t>
  </si>
  <si>
    <t>L000011718</t>
  </si>
  <si>
    <t>L000012733</t>
  </si>
  <si>
    <t>L000006939</t>
  </si>
  <si>
    <t>L000007318</t>
  </si>
  <si>
    <t>L000011735</t>
  </si>
  <si>
    <t>L000007310</t>
  </si>
  <si>
    <t>L000007315</t>
  </si>
  <si>
    <t>L000007317</t>
  </si>
  <si>
    <t>L000007339</t>
  </si>
  <si>
    <t>L000011713</t>
  </si>
  <si>
    <t>L000007287</t>
  </si>
  <si>
    <t>L000007330</t>
  </si>
  <si>
    <t>L000007340</t>
  </si>
  <si>
    <t>L000011692</t>
  </si>
  <si>
    <t>L000011693</t>
  </si>
  <si>
    <t>L000007516</t>
  </si>
  <si>
    <t>L000006989</t>
  </si>
  <si>
    <t>L000006990</t>
  </si>
  <si>
    <t>L000006991</t>
  </si>
  <si>
    <t>L000006992</t>
  </si>
  <si>
    <t>L000006994</t>
  </si>
  <si>
    <t>L000006996</t>
  </si>
  <si>
    <t>L000006997</t>
  </si>
  <si>
    <t>L000006998</t>
  </si>
  <si>
    <t>L000006999</t>
  </si>
  <si>
    <t>L000007000</t>
  </si>
  <si>
    <t>L000007002</t>
  </si>
  <si>
    <t>L000007003</t>
  </si>
  <si>
    <t>L000007005</t>
  </si>
  <si>
    <t>L000011431</t>
  </si>
  <si>
    <t>L000006526</t>
  </si>
  <si>
    <t>L000006529</t>
  </si>
  <si>
    <t>L000011422</t>
  </si>
  <si>
    <t>L000012723</t>
  </si>
  <si>
    <t>L000007123</t>
  </si>
  <si>
    <t>L000007124</t>
  </si>
  <si>
    <t>L000007126</t>
  </si>
  <si>
    <t>L000007127</t>
  </si>
  <si>
    <t>L000007129</t>
  </si>
  <si>
    <t>L000007130</t>
  </si>
  <si>
    <t>L000007131</t>
  </si>
  <si>
    <t>L000007132</t>
  </si>
  <si>
    <t>L000007133</t>
  </si>
  <si>
    <t>L000007134</t>
  </si>
  <si>
    <t>L000007260</t>
  </si>
  <si>
    <t>L000011473</t>
  </si>
  <si>
    <t>L000011479</t>
  </si>
  <si>
    <t>L000012851</t>
  </si>
  <si>
    <t>L000005486</t>
  </si>
  <si>
    <t>L000012747</t>
  </si>
  <si>
    <t>L000005350</t>
  </si>
  <si>
    <t>L000005373</t>
  </si>
  <si>
    <t>L000013013</t>
  </si>
  <si>
    <t>L000005363</t>
  </si>
  <si>
    <t>L000005482</t>
  </si>
  <si>
    <t>L000012491</t>
  </si>
  <si>
    <t>L000005429</t>
  </si>
  <si>
    <t>L000011970</t>
  </si>
  <si>
    <t>L000013066</t>
  </si>
  <si>
    <t>L000005418</t>
  </si>
  <si>
    <t>L000013067</t>
  </si>
  <si>
    <t>L000005444</t>
  </si>
  <si>
    <t>L000005469</t>
  </si>
  <si>
    <t>L000005301</t>
  </si>
  <si>
    <t>L000011954</t>
  </si>
  <si>
    <t>L000008429</t>
  </si>
  <si>
    <t>L000008430</t>
  </si>
  <si>
    <t>L000008436</t>
  </si>
  <si>
    <t>FR6287321</t>
  </si>
  <si>
    <t>John Poulie Borromeo</t>
  </si>
  <si>
    <t>H000001993</t>
  </si>
  <si>
    <t>H000001999</t>
  </si>
  <si>
    <t>H000002001</t>
  </si>
  <si>
    <t>H000002002</t>
  </si>
  <si>
    <t>H000002003</t>
  </si>
  <si>
    <t>H000002004</t>
  </si>
  <si>
    <t>H000002005</t>
  </si>
  <si>
    <t>H000002009</t>
  </si>
  <si>
    <t>H000002010</t>
  </si>
  <si>
    <t>H000002011</t>
  </si>
  <si>
    <t>H000002012</t>
  </si>
  <si>
    <t>H000002017</t>
  </si>
  <si>
    <t>FR6291121</t>
  </si>
  <si>
    <t>F2 Total</t>
  </si>
  <si>
    <t>FR6297350</t>
  </si>
  <si>
    <t>GMN MBS Innovation &amp; Data – MDM</t>
  </si>
  <si>
    <t>FR6297579</t>
  </si>
  <si>
    <t>G000001262</t>
  </si>
  <si>
    <t>EL-DS-SDPP Production Planning</t>
  </si>
  <si>
    <t>EL-SC-D General Internal Order</t>
  </si>
  <si>
    <t>EL-SC-DD Process Development Display IO's</t>
  </si>
  <si>
    <t>EL-SC-DE Process Development Engineering IO's</t>
  </si>
  <si>
    <t>EL-SC-DF Process Development Safety IO's</t>
  </si>
  <si>
    <t>EL-SC-DF Process Development Semicon IO's</t>
  </si>
  <si>
    <t xml:space="preserve">EL-SC-DI Process Development Hometown Pilot Plant </t>
  </si>
  <si>
    <t>EL-SC-DX Process Development Enablement IO's</t>
  </si>
  <si>
    <t>EL-SC-DS Process Development Synthesis IO's</t>
  </si>
  <si>
    <t>EL-SC-DU Process Development Pilot Plant IO's</t>
  </si>
  <si>
    <t xml:space="preserve">P000000502 </t>
  </si>
  <si>
    <t>EL-SC-DX Process Development Project Enablement</t>
  </si>
  <si>
    <t>FR6298206</t>
  </si>
  <si>
    <t>P000001172</t>
  </si>
  <si>
    <t>P000001173</t>
  </si>
  <si>
    <t>P000001174</t>
  </si>
  <si>
    <t>P000001175</t>
  </si>
  <si>
    <t>P000001176</t>
  </si>
  <si>
    <t>P000001177</t>
  </si>
  <si>
    <t>P000001178</t>
  </si>
  <si>
    <t>P000001179</t>
  </si>
  <si>
    <t>P000001180</t>
  </si>
  <si>
    <t>P000001181</t>
  </si>
  <si>
    <t>G000000775</t>
  </si>
  <si>
    <t>G000000776</t>
  </si>
  <si>
    <t>H000000454</t>
  </si>
  <si>
    <t>H000000939</t>
  </si>
  <si>
    <t>H000000940</t>
  </si>
  <si>
    <t>H000000945</t>
  </si>
  <si>
    <t>H000000947</t>
  </si>
  <si>
    <t>H000000949</t>
  </si>
  <si>
    <t>H000000285</t>
  </si>
  <si>
    <t>H000000946</t>
  </si>
  <si>
    <t>H000000942</t>
  </si>
  <si>
    <t>H000000455</t>
  </si>
  <si>
    <t>Global Health &amp; Health Equity</t>
  </si>
  <si>
    <t>Global Health Management</t>
  </si>
  <si>
    <t>Global Business Excellence &amp; Innovation</t>
  </si>
  <si>
    <t>Global Launch Excellence &amp; Cap.Building</t>
  </si>
  <si>
    <t>Global Customer Excellence</t>
  </si>
  <si>
    <t>Global Business Transformation</t>
  </si>
  <si>
    <t>H000000153</t>
  </si>
  <si>
    <t>H000000000</t>
  </si>
  <si>
    <t>H000000915</t>
  </si>
  <si>
    <t>H000000451</t>
  </si>
  <si>
    <t>FR6303777</t>
  </si>
  <si>
    <t>FR6307328</t>
  </si>
  <si>
    <t>H000000687</t>
  </si>
  <si>
    <t>Global Business Devel &amp; Alliance Mgmt</t>
  </si>
  <si>
    <t>SM-H Projects</t>
  </si>
  <si>
    <t>FR6318671</t>
  </si>
  <si>
    <t>FR6320426</t>
  </si>
  <si>
    <t>EL-PS-SEC Supply Chain COS Actives</t>
  </si>
  <si>
    <t>P000001182</t>
  </si>
  <si>
    <t xml:space="preserve">G000001069 </t>
  </si>
  <si>
    <t>FR6344410</t>
  </si>
  <si>
    <t>FR6345199</t>
  </si>
  <si>
    <t>FR6350739</t>
  </si>
  <si>
    <t>CN - FD ISS MKT Pogoveris</t>
  </si>
  <si>
    <t>CN - FD SP MKT Pogoveris</t>
  </si>
  <si>
    <t>H000001455</t>
  </si>
  <si>
    <t>H000001485</t>
  </si>
  <si>
    <t>FR6358340</t>
  </si>
  <si>
    <t>FR6358724</t>
  </si>
  <si>
    <t>Carlo Umali</t>
  </si>
  <si>
    <t>EL-PS-SO Op. Product Mgmt</t>
  </si>
  <si>
    <t>EL-PS-SE Freight EMEA</t>
  </si>
  <si>
    <t>EL-PS-SE Freight ASIA</t>
  </si>
  <si>
    <t>EL-PS-SE Freight AMERICAS</t>
  </si>
  <si>
    <t>FR6358827</t>
  </si>
  <si>
    <t>L000011665</t>
  </si>
  <si>
    <t>PS China</t>
  </si>
  <si>
    <t>Elsa Shen</t>
  </si>
  <si>
    <t>Not to work on</t>
  </si>
  <si>
    <t>H000004381</t>
  </si>
  <si>
    <t>H000004382</t>
  </si>
  <si>
    <t>P000001183</t>
  </si>
  <si>
    <t>P000001184</t>
  </si>
  <si>
    <t>P000001185</t>
  </si>
  <si>
    <t>P000001186</t>
  </si>
  <si>
    <t>FR6374897</t>
  </si>
  <si>
    <t>FR6378941</t>
  </si>
  <si>
    <t>Medicinal Chemistry &amp; Drug Design</t>
  </si>
  <si>
    <t>H000000871</t>
  </si>
  <si>
    <t>ADC Technologies</t>
  </si>
  <si>
    <t>FR6418868</t>
  </si>
  <si>
    <t>FR6419418</t>
  </si>
  <si>
    <t>FR6462257</t>
  </si>
  <si>
    <t>SM-IE Energy Management &amp; Sustainability</t>
  </si>
  <si>
    <t>FR6491069</t>
  </si>
  <si>
    <t>FR6500928</t>
  </si>
  <si>
    <t>APACEC Frontier Markets</t>
  </si>
  <si>
    <t>FR6507122</t>
  </si>
  <si>
    <t>FR6509542</t>
  </si>
  <si>
    <t>SM-IE Energy Gen. &amp; Supply</t>
  </si>
  <si>
    <t>SM-IE Energy Buildings</t>
  </si>
  <si>
    <t>FR6517307</t>
  </si>
  <si>
    <t>FR6520738</t>
  </si>
  <si>
    <t>F3 Total</t>
  </si>
  <si>
    <t>FR6525537</t>
  </si>
  <si>
    <t>H000000746</t>
  </si>
  <si>
    <t>H000000747</t>
  </si>
  <si>
    <t>H000000748</t>
  </si>
  <si>
    <t>H000000749</t>
  </si>
  <si>
    <t>H000000750</t>
  </si>
  <si>
    <t>H000000751</t>
  </si>
  <si>
    <t>H000000964</t>
  </si>
  <si>
    <t>Tumor Immunology</t>
  </si>
  <si>
    <t>FR6525718</t>
  </si>
  <si>
    <t>H000004383</t>
  </si>
  <si>
    <t>H000001555</t>
  </si>
  <si>
    <t>CN - GMA</t>
  </si>
  <si>
    <t>FR6531341</t>
  </si>
  <si>
    <t>FR6532122</t>
  </si>
  <si>
    <t>Merck Export</t>
  </si>
  <si>
    <t>Global Health and HEA Management</t>
  </si>
  <si>
    <t>G000000780</t>
  </si>
  <si>
    <t>H000000168</t>
  </si>
  <si>
    <t>H000000921</t>
  </si>
  <si>
    <t>H000004384</t>
  </si>
  <si>
    <t>H000004385</t>
  </si>
  <si>
    <t>G000000044</t>
  </si>
  <si>
    <t>G000000574</t>
  </si>
  <si>
    <t>G000000575</t>
  </si>
  <si>
    <t>G000000046</t>
  </si>
  <si>
    <t>G000000045</t>
  </si>
  <si>
    <t>G000000047</t>
  </si>
  <si>
    <t>G000000763</t>
  </si>
  <si>
    <t>G000000764</t>
  </si>
  <si>
    <t>G000000235</t>
  </si>
  <si>
    <t>GMF MBS FS&amp;P Ent.S.- GPO Idea2Scale Proc</t>
  </si>
  <si>
    <t>GMG MBS FS&amp;P Ent.S.- Comm &amp; Transl. Serv</t>
  </si>
  <si>
    <t>GMI MBS FS&amp;P Ent.S.- Serv. Standards&amp;Exp</t>
  </si>
  <si>
    <t>FF1 FR - Financial Reporting</t>
  </si>
  <si>
    <t>FR - MGF Reporting</t>
  </si>
  <si>
    <t>FR - non-MGF Reporting</t>
  </si>
  <si>
    <t>GX6 FR - Financial Reporting (L2)</t>
  </si>
  <si>
    <t>FF1 FR - Intercompany Charges</t>
  </si>
  <si>
    <t>FF1 FR - Exceptionals</t>
  </si>
  <si>
    <t>GDB ST - Seed Funding</t>
  </si>
  <si>
    <t>GDE ST - Innovation Excellence</t>
  </si>
  <si>
    <t>G5W DX - Project Lumina</t>
  </si>
  <si>
    <t>G000001263</t>
  </si>
  <si>
    <t>G000001264</t>
  </si>
  <si>
    <t>G000001265</t>
  </si>
  <si>
    <t>G000001266</t>
  </si>
  <si>
    <t>G000001267</t>
  </si>
  <si>
    <t>G000001268</t>
  </si>
  <si>
    <t>G000001269</t>
  </si>
  <si>
    <t>G000001270</t>
  </si>
  <si>
    <t>G000001271</t>
  </si>
  <si>
    <t>G000001272</t>
  </si>
  <si>
    <t>GXX MBS Hub Wroclaw - Global Mobility</t>
  </si>
  <si>
    <t>GXX MBS Hub Bangalore - Employee Service</t>
  </si>
  <si>
    <t>GXX MBS Innovation &amp; Data-Fin.ERPProgMgr</t>
  </si>
  <si>
    <t>FXX CP - Chief Political Office</t>
  </si>
  <si>
    <t>CP - MGF Reporting</t>
  </si>
  <si>
    <t>CP - non-MGF Reporting</t>
  </si>
  <si>
    <t>GXX CP - Chief Political Office (L2)</t>
  </si>
  <si>
    <t>FXX CP - Intercompany Charges</t>
  </si>
  <si>
    <t>FXX CP - Exceptionals</t>
  </si>
  <si>
    <t>GXX FR - Sustainability Management</t>
  </si>
  <si>
    <t>FR6542923</t>
  </si>
  <si>
    <t>FR6543493</t>
  </si>
  <si>
    <t>G000001273</t>
  </si>
  <si>
    <t>G000001274</t>
  </si>
  <si>
    <t>G000001275</t>
  </si>
  <si>
    <t>FR6550045</t>
  </si>
  <si>
    <t>H000001565</t>
  </si>
  <si>
    <t>H000001590</t>
  </si>
  <si>
    <t>H000001572</t>
  </si>
  <si>
    <t>H000001341</t>
  </si>
  <si>
    <t>GPO - Ext Manufact &amp; Global Tech Transfe</t>
  </si>
  <si>
    <t>Global Technology Transfers</t>
  </si>
  <si>
    <t>St. Louis Hub</t>
  </si>
  <si>
    <t>LS QC Quality CTDMO</t>
  </si>
  <si>
    <t>LS Bridge</t>
  </si>
  <si>
    <t>LS - Life Science IT</t>
  </si>
  <si>
    <t>GSS-PS Value Stream</t>
  </si>
  <si>
    <t>GSS-WCOGS</t>
  </si>
  <si>
    <t>GSS-Tech &amp; Eng.</t>
  </si>
  <si>
    <t>LSS Business Transformation</t>
  </si>
  <si>
    <t>BM-Comm NA - Tech Service; DSS &amp; MCS</t>
  </si>
  <si>
    <t>LW - R&amp;D Core</t>
  </si>
  <si>
    <t>LW - Marketing Ops</t>
  </si>
  <si>
    <t>LSS CDMO</t>
  </si>
  <si>
    <t>CDMO - Global Business Lead</t>
  </si>
  <si>
    <t>CDMO - Innovation</t>
  </si>
  <si>
    <t>CDMO - Client Program Management</t>
  </si>
  <si>
    <t>CDMO - Commercial</t>
  </si>
  <si>
    <t>CDMO - Demand Planning</t>
  </si>
  <si>
    <t>CDMO - Management &amp; BPI</t>
  </si>
  <si>
    <t>Jayson Martinez</t>
  </si>
  <si>
    <t>L000012316</t>
  </si>
  <si>
    <t>L000012886</t>
  </si>
  <si>
    <t>L000013277</t>
  </si>
  <si>
    <t>L000012321</t>
  </si>
  <si>
    <t>L000013183</t>
  </si>
  <si>
    <t>L000005719</t>
  </si>
  <si>
    <t>L000005722</t>
  </si>
  <si>
    <t>L000005724</t>
  </si>
  <si>
    <t>L000005734</t>
  </si>
  <si>
    <t>L000005770</t>
  </si>
  <si>
    <t>L000005795</t>
  </si>
  <si>
    <t>L000005256</t>
  </si>
  <si>
    <t>L000007793</t>
  </si>
  <si>
    <t>L000008698</t>
  </si>
  <si>
    <t>L000008710</t>
  </si>
  <si>
    <t>L000008712</t>
  </si>
  <si>
    <t>L000008729</t>
  </si>
  <si>
    <t>L000013331</t>
  </si>
  <si>
    <t>Sustainability &amp;  Social Innovation</t>
  </si>
  <si>
    <t>Integrated Business Management</t>
  </si>
  <si>
    <t>LS-QP Governm&amp;PublicAffairs</t>
  </si>
  <si>
    <t>AI Accelerator</t>
  </si>
  <si>
    <t>Digital Advanced Research Project (ARC)</t>
  </si>
  <si>
    <t>Technology Fund Projects</t>
  </si>
  <si>
    <t>LSS Strategy</t>
  </si>
  <si>
    <t>LSS Commercial Excellence</t>
  </si>
  <si>
    <t>BM - Comm NA - North Pharma</t>
  </si>
  <si>
    <t>BM - Comm NA - Souh Pharma</t>
  </si>
  <si>
    <t>BM - Comm NA - Commercial Application</t>
  </si>
  <si>
    <t>BM - Comm NA - Services &amp; Validation</t>
  </si>
  <si>
    <t>BM - Comm WEU - FSE &amp; Validation</t>
  </si>
  <si>
    <t>BM - Comm WEU - Commercial Application</t>
  </si>
  <si>
    <t>BM - Comm WEU - DSS &amp; MCS</t>
  </si>
  <si>
    <t>LW - Marketing Strategy &amp; PM</t>
  </si>
  <si>
    <t>Analytical Chemistry</t>
  </si>
  <si>
    <t>Analytical Essentials</t>
  </si>
  <si>
    <t>Channel &amp; Customer Segment Sales Japan</t>
  </si>
  <si>
    <t>CaSE Operations WE -G</t>
  </si>
  <si>
    <t>Commercial Execution WE -G</t>
  </si>
  <si>
    <t>CDMO - Schaffhausen</t>
  </si>
  <si>
    <t>CDMO - Indianapolis</t>
  </si>
  <si>
    <t>CDMO - Cherokee CM</t>
  </si>
  <si>
    <t>CDMO - Madison &amp; Verona</t>
  </si>
  <si>
    <t>CDMO - Supply Chain</t>
  </si>
  <si>
    <t>CDMO - mRNA Ops Darmstadt + Hamburg</t>
  </si>
  <si>
    <t>Mirus Bio</t>
  </si>
  <si>
    <t>Deleted Other LS Mngt</t>
  </si>
  <si>
    <t>Deleted EFBP</t>
  </si>
  <si>
    <t>L000013350</t>
  </si>
  <si>
    <t>L000012394</t>
  </si>
  <si>
    <t>L000012395</t>
  </si>
  <si>
    <t>L000006414</t>
  </si>
  <si>
    <t>L000006448</t>
  </si>
  <si>
    <t>L000006947</t>
  </si>
  <si>
    <t>L000006952</t>
  </si>
  <si>
    <t>L000009432</t>
  </si>
  <si>
    <t>L000013178</t>
  </si>
  <si>
    <t>L000009369</t>
  </si>
  <si>
    <t>L000009390</t>
  </si>
  <si>
    <t>L000009448</t>
  </si>
  <si>
    <t>L000009492</t>
  </si>
  <si>
    <t>L000009582</t>
  </si>
  <si>
    <t>L000009591</t>
  </si>
  <si>
    <t>L000009593</t>
  </si>
  <si>
    <t>L000012887</t>
  </si>
  <si>
    <t>L000012888</t>
  </si>
  <si>
    <t>L000009604</t>
  </si>
  <si>
    <t>L000009610</t>
  </si>
  <si>
    <t>L000012889</t>
  </si>
  <si>
    <t>L000013394</t>
  </si>
  <si>
    <t>IT06050900</t>
  </si>
  <si>
    <t>L000013365</t>
  </si>
  <si>
    <t>L000006094</t>
  </si>
  <si>
    <t>L000006095</t>
  </si>
  <si>
    <t>L000006096</t>
  </si>
  <si>
    <t>L000006097</t>
  </si>
  <si>
    <t>L000006098</t>
  </si>
  <si>
    <t>L000006099</t>
  </si>
  <si>
    <t>L000006100</t>
  </si>
  <si>
    <t>L000006086</t>
  </si>
  <si>
    <t>L000008682</t>
  </si>
  <si>
    <t>L000006300</t>
  </si>
  <si>
    <t>L000006303</t>
  </si>
  <si>
    <t>L000006306</t>
  </si>
  <si>
    <t>L000006349</t>
  </si>
  <si>
    <t>L000007553</t>
  </si>
  <si>
    <t>L000007575</t>
  </si>
  <si>
    <t>L000012763</t>
  </si>
  <si>
    <t>L000011464</t>
  </si>
  <si>
    <t>L000009386</t>
  </si>
  <si>
    <t>L000012195</t>
  </si>
  <si>
    <t>L000012196</t>
  </si>
  <si>
    <t>L000012197</t>
  </si>
  <si>
    <t>L000012198</t>
  </si>
  <si>
    <t>L000012199</t>
  </si>
  <si>
    <t>L000012200</t>
  </si>
  <si>
    <t>L000012201</t>
  </si>
  <si>
    <t>L000012202</t>
  </si>
  <si>
    <t>L000012203</t>
  </si>
  <si>
    <t>L000012204</t>
  </si>
  <si>
    <t>L000012205</t>
  </si>
  <si>
    <t>L000012206</t>
  </si>
  <si>
    <t>L000009965</t>
  </si>
  <si>
    <t>L000012428</t>
  </si>
  <si>
    <t>L000007803</t>
  </si>
  <si>
    <t>L000013214</t>
  </si>
  <si>
    <t>L000012792</t>
  </si>
  <si>
    <t>L000008397</t>
  </si>
  <si>
    <t>L000008404</t>
  </si>
  <si>
    <t>L000008399</t>
  </si>
  <si>
    <t>L000008425</t>
  </si>
  <si>
    <t>L000008435</t>
  </si>
  <si>
    <t>L000008434</t>
  </si>
  <si>
    <t>L000008438</t>
  </si>
  <si>
    <t>L000008440</t>
  </si>
  <si>
    <t>L000013112</t>
  </si>
  <si>
    <t>L000013770</t>
  </si>
  <si>
    <t>L000013771</t>
  </si>
  <si>
    <t>L000013772</t>
  </si>
  <si>
    <t>L000013773</t>
  </si>
  <si>
    <t>L000013774</t>
  </si>
  <si>
    <t>L000013775</t>
  </si>
  <si>
    <t>L000013776</t>
  </si>
  <si>
    <t>L000013777</t>
  </si>
  <si>
    <t>L000013778</t>
  </si>
  <si>
    <t>L000013779</t>
  </si>
  <si>
    <t>L000013780</t>
  </si>
  <si>
    <t>L000013781</t>
  </si>
  <si>
    <t>L000013782</t>
  </si>
  <si>
    <t>L000013783</t>
  </si>
  <si>
    <t>L000013784</t>
  </si>
  <si>
    <t>L000013785</t>
  </si>
  <si>
    <t>L000013786</t>
  </si>
  <si>
    <t>L000013787</t>
  </si>
  <si>
    <t>L000013788</t>
  </si>
  <si>
    <t>L000013789</t>
  </si>
  <si>
    <t>FR6551472</t>
  </si>
  <si>
    <t>External Manufacturing Quality</t>
  </si>
  <si>
    <t>APAC CDMO</t>
  </si>
  <si>
    <t>PS SG/SEA/TW -G</t>
  </si>
  <si>
    <t>PS INDIA - G</t>
  </si>
  <si>
    <t>Synthesis &amp; ADC CDMO Management</t>
  </si>
  <si>
    <t>SAC Strategy &amp; BD</t>
  </si>
  <si>
    <t>CDMO Operations</t>
  </si>
  <si>
    <t>SAC BP &amp; Implementation</t>
  </si>
  <si>
    <t>BioVV - Management</t>
  </si>
  <si>
    <t>BioVV - Strategy</t>
  </si>
  <si>
    <t>CDMO - Carlsbad</t>
  </si>
  <si>
    <t>CDMO - Martillac</t>
  </si>
  <si>
    <t>CDMO - Burlington</t>
  </si>
  <si>
    <t>BioVV - Bus. Planning &amp; Implementation</t>
  </si>
  <si>
    <t>CDMO - Shanghai</t>
  </si>
  <si>
    <t>completed</t>
  </si>
  <si>
    <t>FR6558551</t>
  </si>
  <si>
    <t>RD-K MU N&amp;I, Fertility and CM&amp;E</t>
  </si>
  <si>
    <t>HC-HF-IB Bus. Managed App &amp; IT Complianc</t>
  </si>
  <si>
    <t>HC-HF-ID Sector Data Office</t>
  </si>
  <si>
    <t>EF-IT-EG MBS &amp; Procurement</t>
  </si>
  <si>
    <t>IT06031400</t>
  </si>
  <si>
    <t>IT06031500</t>
  </si>
  <si>
    <t>IT06072000</t>
  </si>
  <si>
    <t>IT Global Service Charge Provider KGaA</t>
  </si>
  <si>
    <t>O000000005</t>
  </si>
  <si>
    <t>EF-IT-EO Strategy &amp; Transformation</t>
  </si>
  <si>
    <t>EF-IT-EX Architechture &amp; Security</t>
  </si>
  <si>
    <t>IT06072100</t>
  </si>
  <si>
    <t>IT06072200</t>
  </si>
  <si>
    <t>FR6562959</t>
  </si>
  <si>
    <t>FR6563274</t>
  </si>
  <si>
    <t>G000000949</t>
  </si>
  <si>
    <t xml:space="preserve">G000001017 </t>
  </si>
  <si>
    <t>FS Warehouse DA</t>
  </si>
  <si>
    <t>FR6563351</t>
  </si>
  <si>
    <t>S01-K02026</t>
  </si>
  <si>
    <t>CDMO mRNA Operations DA+HH</t>
  </si>
  <si>
    <t xml:space="preserve"> S01-214985</t>
  </si>
  <si>
    <t>Marvin Graef</t>
  </si>
  <si>
    <t>FR6563591</t>
  </si>
  <si>
    <t>H000004386</t>
  </si>
  <si>
    <t>H000004387</t>
  </si>
  <si>
    <t>G000001276</t>
  </si>
  <si>
    <t>G000001277</t>
  </si>
  <si>
    <t>G000001278</t>
  </si>
  <si>
    <t>O000000010</t>
  </si>
  <si>
    <t>G000000468</t>
  </si>
  <si>
    <t>Ilaria Marchetti</t>
  </si>
  <si>
    <t>EL-SC-E Global Engineering Head</t>
  </si>
  <si>
    <t>EL-SC-EC Regional Engineering CN/TW</t>
  </si>
  <si>
    <t>EL-SC-EK Regional Engineering KR</t>
  </si>
  <si>
    <t>EL-SC-EU Regional Engineering US/EU</t>
  </si>
  <si>
    <t>EL-SC-EE Capital Efficiency &amp; Project Development</t>
  </si>
  <si>
    <t>EL-SC-EJ Project Jade</t>
  </si>
  <si>
    <t>EL-SC-ER Project Redox</t>
  </si>
  <si>
    <t>EL-SC-ES Global Process Safety</t>
  </si>
  <si>
    <t>EL-SC-ET Global Technology &amp; Engineering SMEs</t>
  </si>
  <si>
    <t>EL-SC-E Global Engineering Projects</t>
  </si>
  <si>
    <t>FR6572448</t>
  </si>
  <si>
    <t>P000000590</t>
  </si>
  <si>
    <t>P000000591</t>
  </si>
  <si>
    <t>P000000592</t>
  </si>
  <si>
    <t>P000000593</t>
  </si>
  <si>
    <t>P000000594</t>
  </si>
  <si>
    <t>P000000589</t>
  </si>
  <si>
    <t>P000000704_IO EL-DS-J Japan Other (IO)</t>
  </si>
  <si>
    <t>P000000687_IO</t>
  </si>
  <si>
    <t>P000001187</t>
  </si>
  <si>
    <t>P000001188</t>
  </si>
  <si>
    <t>P000001189</t>
  </si>
  <si>
    <t>P000001190</t>
  </si>
  <si>
    <t>P000001191</t>
  </si>
  <si>
    <t>P000001192</t>
  </si>
  <si>
    <t>P000001193</t>
  </si>
  <si>
    <t>P000001194</t>
  </si>
  <si>
    <t>P000001195</t>
  </si>
  <si>
    <t>P000001196</t>
  </si>
  <si>
    <t xml:space="preserve">G000000498 </t>
  </si>
  <si>
    <t>SM-RR Add.Bldg.Services</t>
  </si>
  <si>
    <t>FR6581861</t>
  </si>
  <si>
    <t>SM-HM Marketing &amp; Dialog ALL</t>
  </si>
  <si>
    <t xml:space="preserve">SM-HM Topics </t>
  </si>
  <si>
    <t>FR6581922</t>
  </si>
  <si>
    <t>EL-PS-TSS Sustainability</t>
  </si>
  <si>
    <t>Project SPICE</t>
  </si>
  <si>
    <t>P000000561</t>
  </si>
  <si>
    <t>EL-PS-TSP Surface Solutions Portal</t>
  </si>
  <si>
    <t>EL-PS-T Strategy &amp; Transformation</t>
  </si>
  <si>
    <t>EL-PS-T Strategy &amp; Transformation Team</t>
  </si>
  <si>
    <t>EL-PS-AC Customer Excellence ASIA</t>
  </si>
  <si>
    <t>FR6582420</t>
  </si>
  <si>
    <t>FR6582463</t>
  </si>
  <si>
    <t>FR6582309</t>
  </si>
  <si>
    <t>P000001197</t>
  </si>
  <si>
    <t>P000001198</t>
  </si>
  <si>
    <t>rename remaining</t>
  </si>
  <si>
    <t>FR6584184</t>
  </si>
  <si>
    <t>check kr00</t>
  </si>
  <si>
    <t>checked renamed in Kr00</t>
  </si>
  <si>
    <t>not yet remapped</t>
  </si>
  <si>
    <t>renamed successfully in kr00</t>
  </si>
  <si>
    <t>not yet renamed</t>
  </si>
  <si>
    <t>FR6614862</t>
  </si>
  <si>
    <t>xxxSM-PB Building Technologies</t>
  </si>
  <si>
    <t xml:space="preserve">xxxSM-PA Automation &amp; Robotics </t>
  </si>
  <si>
    <t>P000001199</t>
  </si>
  <si>
    <t>FR6620738</t>
  </si>
  <si>
    <t>Historical cost objects</t>
  </si>
  <si>
    <t>Uros Jablanov</t>
  </si>
  <si>
    <t>GMP MBS Hub Wroclaw - Global Mobility</t>
  </si>
  <si>
    <t>GMQ MBS Hub Bangalore - Employee Service</t>
  </si>
  <si>
    <t>GMR MBS Innovation &amp; Data-Fin.ERPProgMgr</t>
  </si>
  <si>
    <t>FEA CP - Chief Political Office</t>
  </si>
  <si>
    <t>GEA CP - Chief Political Office (L2)</t>
  </si>
  <si>
    <t>FEA CP - Intercompany Charges</t>
  </si>
  <si>
    <t>FEA CP - Exceptionals</t>
  </si>
  <si>
    <t>GXA FR - Sustainability Management</t>
  </si>
  <si>
    <t>SM-HS Site development</t>
  </si>
  <si>
    <t>SM-HS Plots KGaA</t>
  </si>
  <si>
    <t xml:space="preserve">SM-HS DA Deconstruction Bldg. </t>
  </si>
  <si>
    <t>FR6644413</t>
  </si>
  <si>
    <t>FR6639914</t>
  </si>
  <si>
    <t>FR6700341</t>
  </si>
  <si>
    <t>G000000869</t>
  </si>
  <si>
    <t>G000000870</t>
  </si>
  <si>
    <t>G000000871</t>
  </si>
  <si>
    <t>G000000872</t>
  </si>
  <si>
    <t>G000000996</t>
  </si>
  <si>
    <t>G000000997</t>
  </si>
  <si>
    <t xml:space="preserve">G000000873 </t>
  </si>
  <si>
    <t>FR6711984</t>
  </si>
  <si>
    <t>FR6712079</t>
  </si>
  <si>
    <t>G000000398</t>
  </si>
  <si>
    <t>FR6736844</t>
  </si>
  <si>
    <t xml:space="preserve">G000000878 </t>
  </si>
  <si>
    <t xml:space="preserve">SM-SF/SC Fire Brigade &amp; Security </t>
  </si>
  <si>
    <t>SM-SF Fire Protection</t>
  </si>
  <si>
    <t>SM-SC Site Security &amp; Cross Services</t>
  </si>
  <si>
    <t>FR6737570</t>
  </si>
  <si>
    <t>FR6762200</t>
  </si>
  <si>
    <t>GCD WBS elements</t>
  </si>
  <si>
    <t>Separation Cost</t>
  </si>
  <si>
    <t>Set up of NewCos</t>
  </si>
  <si>
    <t>Set up of Export Model &amp; Hubs</t>
  </si>
  <si>
    <t>Physical separation</t>
  </si>
  <si>
    <t>Legal C/O of POG-8 &amp; POG-3 out of
current legal entities</t>
  </si>
  <si>
    <t>IT Separation</t>
  </si>
  <si>
    <t>Business Backfills</t>
  </si>
  <si>
    <t>MBS Backfills &amp; support</t>
  </si>
  <si>
    <t>Additional Cost</t>
  </si>
  <si>
    <t>EL-DS-LR LC/DPM R&amp;D General Expenses</t>
  </si>
  <si>
    <t>QA</t>
  </si>
  <si>
    <t>CC Variances</t>
  </si>
  <si>
    <t>General R&amp;D other</t>
  </si>
  <si>
    <t>Commercialized Display</t>
  </si>
  <si>
    <t>IPS/FFS</t>
  </si>
  <si>
    <t>PS-VA</t>
  </si>
  <si>
    <t>UB-FFS</t>
  </si>
  <si>
    <t>Other Customer Projects</t>
  </si>
  <si>
    <t>New display modes</t>
  </si>
  <si>
    <t>UB plus</t>
  </si>
  <si>
    <t>SA-VA</t>
  </si>
  <si>
    <t>EL-DS-OR OLED R&amp;D General Expenses</t>
  </si>
  <si>
    <t>IC Cross Charges</t>
  </si>
  <si>
    <t>Maintenance/Process Optimization</t>
  </si>
  <si>
    <t>CC variances</t>
  </si>
  <si>
    <t>OLED Customer Projects</t>
  </si>
  <si>
    <t>AUO</t>
  </si>
  <si>
    <t>BOE</t>
  </si>
  <si>
    <t>CSOT</t>
  </si>
  <si>
    <t>GVO</t>
  </si>
  <si>
    <t>SHTM</t>
  </si>
  <si>
    <t>LGD</t>
  </si>
  <si>
    <t>SDC</t>
  </si>
  <si>
    <t>OLED Platforms</t>
  </si>
  <si>
    <t>HTM</t>
  </si>
  <si>
    <t>TMM</t>
  </si>
  <si>
    <t>Emitter</t>
  </si>
  <si>
    <t>Printing</t>
  </si>
  <si>
    <t>OLED General R&amp;D</t>
  </si>
  <si>
    <t>NGB</t>
  </si>
  <si>
    <t>EL-PD Other</t>
  </si>
  <si>
    <t>ETM</t>
  </si>
  <si>
    <t>EL-DS BF FD R&amp;D General Expenses</t>
  </si>
  <si>
    <t>Smart Antenna</t>
  </si>
  <si>
    <t>Display Enabling Materials</t>
  </si>
  <si>
    <t>Flexible Hard Coat</t>
  </si>
  <si>
    <t>Low-K</t>
  </si>
  <si>
    <t>On-Cell touch</t>
  </si>
  <si>
    <t>OLED structures</t>
  </si>
  <si>
    <t>Reactive Mesogens</t>
  </si>
  <si>
    <t>Digital Optics</t>
  </si>
  <si>
    <t>Feasibility</t>
  </si>
  <si>
    <t>Eivy Denine Cruz</t>
  </si>
  <si>
    <t>FR6799262</t>
  </si>
  <si>
    <t>CN - Onco ISS BU Pimi MKT</t>
  </si>
  <si>
    <t>CN - Onco Sales Promotion Pimi MKT</t>
  </si>
  <si>
    <t>CN - Medical Team Pimi MA</t>
  </si>
  <si>
    <t>CN - Medical activities Pimi MA</t>
  </si>
  <si>
    <t>CN - Local studies Pimi MA</t>
  </si>
  <si>
    <t>H000001411</t>
  </si>
  <si>
    <t>H000001421</t>
  </si>
  <si>
    <t>H000001526</t>
  </si>
  <si>
    <t>H000001539</t>
  </si>
  <si>
    <t>H000001549</t>
  </si>
  <si>
    <t>FR6801039</t>
  </si>
  <si>
    <t>H000000452</t>
  </si>
  <si>
    <t>H000000453</t>
  </si>
  <si>
    <t>FR6803608</t>
  </si>
  <si>
    <t>H000000718</t>
  </si>
  <si>
    <t>H000000719</t>
  </si>
  <si>
    <t>H000000723</t>
  </si>
  <si>
    <t>H000000737</t>
  </si>
  <si>
    <t>H000000740</t>
  </si>
  <si>
    <t>H000000743</t>
  </si>
  <si>
    <t>H000000908</t>
  </si>
  <si>
    <t>RD-R Regulatory, Quality, Safety</t>
  </si>
  <si>
    <t>R&amp;D Quality &amp; Risk Management</t>
  </si>
  <si>
    <t>RQS Operations</t>
  </si>
  <si>
    <t>International Regulatory Affairs</t>
  </si>
  <si>
    <t>TA Neurology, Immunology &amp; Establ. Prod.</t>
  </si>
  <si>
    <t>RQS Head</t>
  </si>
  <si>
    <t>Regulatory CMC &amp; Devices</t>
  </si>
  <si>
    <t>Labeling Strategy &amp; Advertising &amp; Promo</t>
  </si>
  <si>
    <t>EF-IT-PB</t>
  </si>
  <si>
    <t>FR6808342</t>
  </si>
  <si>
    <t>FR6797793</t>
  </si>
  <si>
    <t>(All)</t>
  </si>
  <si>
    <t>P000001200</t>
  </si>
  <si>
    <t>P000001201</t>
  </si>
  <si>
    <t>P000001202</t>
  </si>
  <si>
    <t>P000001203</t>
  </si>
  <si>
    <t>P000001204</t>
  </si>
  <si>
    <t>P000001205</t>
  </si>
  <si>
    <t>P000001206</t>
  </si>
  <si>
    <t>P000001207</t>
  </si>
  <si>
    <t>P000001208</t>
  </si>
  <si>
    <t>P000001209</t>
  </si>
  <si>
    <t>P000001210</t>
  </si>
  <si>
    <t>P000001211</t>
  </si>
  <si>
    <t>P000001212</t>
  </si>
  <si>
    <t>P000001213</t>
  </si>
  <si>
    <t>P000001214</t>
  </si>
  <si>
    <t>P000001215</t>
  </si>
  <si>
    <t>P000001216</t>
  </si>
  <si>
    <t>P000001217</t>
  </si>
  <si>
    <t>P000001218</t>
  </si>
  <si>
    <t>P000001219</t>
  </si>
  <si>
    <t>P000001220</t>
  </si>
  <si>
    <t>P000001221</t>
  </si>
  <si>
    <t>P000001222</t>
  </si>
  <si>
    <t>P000001223</t>
  </si>
  <si>
    <t>P000001224</t>
  </si>
  <si>
    <t>P000001225</t>
  </si>
  <si>
    <t>P000001226</t>
  </si>
  <si>
    <t>P000001227</t>
  </si>
  <si>
    <t>P000001228</t>
  </si>
  <si>
    <t>P000001229</t>
  </si>
  <si>
    <t>P000001230</t>
  </si>
  <si>
    <t>P000001231</t>
  </si>
  <si>
    <t>P000001232</t>
  </si>
  <si>
    <t>P000001233</t>
  </si>
  <si>
    <t>P000001234</t>
  </si>
  <si>
    <t>P000001235</t>
  </si>
  <si>
    <t>P000001236</t>
  </si>
  <si>
    <t>P000001237</t>
  </si>
  <si>
    <t>P000001238</t>
  </si>
  <si>
    <t>P000001239</t>
  </si>
  <si>
    <t>P000001240</t>
  </si>
  <si>
    <t>P000001241</t>
  </si>
  <si>
    <t>P000001242</t>
  </si>
  <si>
    <t>P000001243</t>
  </si>
  <si>
    <t>P000001244</t>
  </si>
  <si>
    <t>P000001245</t>
  </si>
  <si>
    <t>P000001246</t>
  </si>
  <si>
    <t>P000001247</t>
  </si>
  <si>
    <t>P000001248</t>
  </si>
  <si>
    <t>P000001249</t>
  </si>
  <si>
    <t>P000001250</t>
  </si>
  <si>
    <t>P000001251</t>
  </si>
  <si>
    <t>P000001252</t>
  </si>
  <si>
    <t>P000001253</t>
  </si>
  <si>
    <t>H000004388</t>
  </si>
  <si>
    <t>H000004389</t>
  </si>
  <si>
    <t>H000004390</t>
  </si>
  <si>
    <t>H000004391</t>
  </si>
  <si>
    <t>H000004392</t>
  </si>
  <si>
    <t>H000004393</t>
  </si>
  <si>
    <t>GMR MBS Innovation &amp; Data-Int.Automation</t>
  </si>
  <si>
    <t>GLW MBS FS&amp;P PO-Perform.Mgmt &amp;Compl. PO</t>
  </si>
  <si>
    <t>GMG MBS FS&amp;P Ent.S.-Communication Serv.</t>
  </si>
  <si>
    <t>GMS MBS Innovation &amp; Data-Data Sci &amp; AI</t>
  </si>
  <si>
    <t>GMT MBS FS&amp;P Ent.S.- Event Services</t>
  </si>
  <si>
    <t>GN9 PS - Core Ext.Cost</t>
  </si>
  <si>
    <t>GP0 PS - Healthcare Ext.Cost</t>
  </si>
  <si>
    <t>GP1 PS - Life Science Ext.Cost</t>
  </si>
  <si>
    <t>GY1 PS - Electronics Ext.Cost</t>
  </si>
  <si>
    <t>GMU SQ - Bioethics</t>
  </si>
  <si>
    <t>G000000131</t>
  </si>
  <si>
    <t>G000000132</t>
  </si>
  <si>
    <t>G000000133</t>
  </si>
  <si>
    <t>G000000134</t>
  </si>
  <si>
    <t>G000000586</t>
  </si>
  <si>
    <t>FR6821884</t>
  </si>
  <si>
    <t>G000001279</t>
  </si>
  <si>
    <t>G000001280</t>
  </si>
  <si>
    <t>G000001281</t>
  </si>
  <si>
    <t>G000001282</t>
  </si>
  <si>
    <t>G000001283</t>
  </si>
  <si>
    <t>G000001284</t>
  </si>
  <si>
    <t>G000001285</t>
  </si>
  <si>
    <t>FR6837097</t>
  </si>
  <si>
    <t>ISCO</t>
  </si>
  <si>
    <t>MBS</t>
  </si>
  <si>
    <t>Regional management_US East</t>
  </si>
  <si>
    <t>Regional management_US Mid West</t>
  </si>
  <si>
    <t>Regional management_US West</t>
  </si>
  <si>
    <t>Regional management_Western Europe &amp; ME</t>
  </si>
  <si>
    <t>Regional management_Central Europe</t>
  </si>
  <si>
    <t>Systems &amp; Maintenance Engineering</t>
  </si>
  <si>
    <t>Performance Management &amp; Transformation</t>
  </si>
  <si>
    <t>Supply Chain LSS</t>
  </si>
  <si>
    <t>ONE LS ERP</t>
  </si>
  <si>
    <t>ONE LS ERP Business</t>
  </si>
  <si>
    <t>Quality &amp; Data</t>
  </si>
  <si>
    <t>STO - Commercial, Change Mngmt &amp; Comms</t>
  </si>
  <si>
    <t>LS Finance</t>
  </si>
  <si>
    <t>Business External</t>
  </si>
  <si>
    <t>Business Labor</t>
  </si>
  <si>
    <t>ONE LS ERP IT</t>
  </si>
  <si>
    <t>IT LS</t>
  </si>
  <si>
    <t>IT Group CIO</t>
  </si>
  <si>
    <t>IT External</t>
  </si>
  <si>
    <t>IT Labor</t>
  </si>
  <si>
    <t>IT Accounting</t>
  </si>
  <si>
    <t>Technology Leadership Fund - KAIST</t>
  </si>
  <si>
    <t>LSS Marketing Communication</t>
  </si>
  <si>
    <t>LSS Commercial Enablement</t>
  </si>
  <si>
    <t>Spruce - Cell Marque Operations</t>
  </si>
  <si>
    <t>L000008293</t>
  </si>
  <si>
    <t>BM - Mktg - Pharma &amp; F&amp;B -G</t>
  </si>
  <si>
    <t>BM - Technical Support</t>
  </si>
  <si>
    <t>DxRM - Molecular &amp; Immunoassay Mat Old</t>
  </si>
  <si>
    <t>SingleUse &amp; Integrated Platform Solution</t>
  </si>
  <si>
    <t>SLS Commercial APeC -G</t>
  </si>
  <si>
    <t>Analytics CoE</t>
  </si>
  <si>
    <t>Life Science Business Development</t>
  </si>
  <si>
    <t>Strategy &amp; Market Intelligence</t>
  </si>
  <si>
    <t>Program Management and Change</t>
  </si>
  <si>
    <t>Sustainability &amp; Social Business Innovat</t>
  </si>
  <si>
    <t>DxRM - Immunoassay Materials</t>
  </si>
  <si>
    <t>LW MEA</t>
  </si>
  <si>
    <t>L000013197</t>
  </si>
  <si>
    <t>L000005672</t>
  </si>
  <si>
    <t>L000005673</t>
  </si>
  <si>
    <t>L000005674</t>
  </si>
  <si>
    <t>L000005694</t>
  </si>
  <si>
    <t>L000005837</t>
  </si>
  <si>
    <t>L000005839</t>
  </si>
  <si>
    <t>L000005684</t>
  </si>
  <si>
    <t>L000005685</t>
  </si>
  <si>
    <t>L000005686</t>
  </si>
  <si>
    <t>L000005687</t>
  </si>
  <si>
    <t>L000008319</t>
  </si>
  <si>
    <t>L000005826</t>
  </si>
  <si>
    <t>L000005840</t>
  </si>
  <si>
    <t>L000012505</t>
  </si>
  <si>
    <t>L000012823</t>
  </si>
  <si>
    <t>L000013360</t>
  </si>
  <si>
    <t>L000013361</t>
  </si>
  <si>
    <t>L000013362</t>
  </si>
  <si>
    <t>G000000477</t>
  </si>
  <si>
    <t>SM-Z Merck Interim Service</t>
  </si>
  <si>
    <t>FR6831903</t>
  </si>
  <si>
    <t>L000013790</t>
  </si>
  <si>
    <t>L000013791</t>
  </si>
  <si>
    <t>L000013792</t>
  </si>
  <si>
    <t>L000013793</t>
  </si>
  <si>
    <t>L000013794</t>
  </si>
  <si>
    <t>L000013795</t>
  </si>
  <si>
    <t>L000013796</t>
  </si>
  <si>
    <t>L000013797</t>
  </si>
  <si>
    <t>L000013798</t>
  </si>
  <si>
    <t>L000013799</t>
  </si>
  <si>
    <t>L000013800</t>
  </si>
  <si>
    <t>L000013801</t>
  </si>
  <si>
    <t>L000013802</t>
  </si>
  <si>
    <t>L000013803</t>
  </si>
  <si>
    <t>L000013804</t>
  </si>
  <si>
    <t>L000013805</t>
  </si>
  <si>
    <t>L000013806</t>
  </si>
  <si>
    <t>L000013807</t>
  </si>
  <si>
    <t>L000013808</t>
  </si>
  <si>
    <t>L000013809</t>
  </si>
  <si>
    <t>L000013810</t>
  </si>
  <si>
    <t>L000013811</t>
  </si>
  <si>
    <t>L000013812</t>
  </si>
  <si>
    <t>L000013813</t>
  </si>
  <si>
    <t>L000013814</t>
  </si>
  <si>
    <t>L000013815</t>
  </si>
  <si>
    <t>L000013816</t>
  </si>
  <si>
    <t>FR6853680</t>
  </si>
  <si>
    <t>Christoph Mueller</t>
  </si>
  <si>
    <t>MBS Hub Bangalore - SLS</t>
  </si>
  <si>
    <t>MBS Hub Bangalore - SLS Business Operation</t>
  </si>
  <si>
    <t>MBS Hub Bangalore - SLS Biomonitoring</t>
  </si>
  <si>
    <t>MBS Hub Bangalore - SLS Diagnistics &amp; Regulated Materials</t>
  </si>
  <si>
    <t>MBS Hub Bangalore - SLS Lab Water</t>
  </si>
  <si>
    <t>MBS Hub Bangalore - SLS eCommerce</t>
  </si>
  <si>
    <t>MBS Hub Bangalore - SLS  Chemistry</t>
  </si>
  <si>
    <t>MBS Hub Bangalore - SLS SLS Commercial Americas</t>
  </si>
  <si>
    <t>MBS Hub Bangalore - SLS SLS Commercial APAC</t>
  </si>
  <si>
    <t>MBS Hub Bangalore - SLS SLS Commercial EMEA</t>
  </si>
  <si>
    <t>MBS Hub Bangalore - SLS Biology</t>
  </si>
  <si>
    <t>MBS Hub Bangalore - SLS (direct input)</t>
  </si>
  <si>
    <t>MBS Hub Bangalore - LSS</t>
  </si>
  <si>
    <t>MBS Hub Bangalore - LSS Contract Testing Services</t>
  </si>
  <si>
    <t>MBS Hub Bangalore - LSS (direct input)</t>
  </si>
  <si>
    <t>MBS Hub Bangalore - PS</t>
  </si>
  <si>
    <t>MBS Hub Bangalore - PS Global Strategic Accounts &amp; Ser</t>
  </si>
  <si>
    <t>MBS Hub Bangalore - PS Business Franchises</t>
  </si>
  <si>
    <t>MBS Hub Bangalore - PS (direct input)</t>
  </si>
  <si>
    <t>MBS Hub Bangalore - ISCO</t>
  </si>
  <si>
    <t>MBS Hub Bangalore - ISCO Supply Chain &amp; Distribution</t>
  </si>
  <si>
    <t>MBS Hub Bangalore - ISCO Global Plant Operation</t>
  </si>
  <si>
    <t>MBS Hub Bangalore - ISCO Warehouse &amp; Distribution</t>
  </si>
  <si>
    <t>MBS Hub Bangalore - ISCO PS Value Stream</t>
  </si>
  <si>
    <t>MBS Hub Bangalore - ISCO WCOGS</t>
  </si>
  <si>
    <t>MBS Hub Bangalore - ISCO Tech &amp; Eng.</t>
  </si>
  <si>
    <t>MBS Hub Bangalore - ISCO (direct input)</t>
  </si>
  <si>
    <t>MBS Hub Bangalore - EF GSS COE</t>
  </si>
  <si>
    <t>MBS Hub Bangalore - EF GSS COE Business &amp; Market Services</t>
  </si>
  <si>
    <t>MBS Hub Bangalore - EF GSS COE STO</t>
  </si>
  <si>
    <t>MBS Hub Bangalore - EF GSS COE Technology Office</t>
  </si>
  <si>
    <t>MBS Hub Bangalore - EF GSS COE LS QRM</t>
  </si>
  <si>
    <t>MBS Hub Bangalore - EF GSS COE EF Sourcing</t>
  </si>
  <si>
    <t>MBS Hub Bangalore - EF GSS COE Administration</t>
  </si>
  <si>
    <t>MBS Hub Bangalore - EF GSS COE (direct input)</t>
  </si>
  <si>
    <t>MBS I&amp;D - SLS</t>
  </si>
  <si>
    <t>MBS I&amp;D - SLS Business Operation</t>
  </si>
  <si>
    <t>MBS I&amp;D - SLS Biomonitoring</t>
  </si>
  <si>
    <t>MBS I&amp;D - SLS Diagnistics &amp; Regulated Materials</t>
  </si>
  <si>
    <t>MBS I&amp;D - SLS Lab Water</t>
  </si>
  <si>
    <t>MBS I&amp;D - SLS eCommerce</t>
  </si>
  <si>
    <t>MBS I&amp;D - SLS  Chemistry</t>
  </si>
  <si>
    <t>MBS I&amp;D - SLS SLS Commercial Americas</t>
  </si>
  <si>
    <t>MBS I&amp;D - SLS SLS Commercial APAC</t>
  </si>
  <si>
    <t>MBS I&amp;D - SLS SLS Commercial EMEA</t>
  </si>
  <si>
    <t>MBS I&amp;D - SLS Biology</t>
  </si>
  <si>
    <t>MBS I&amp;D - SLS  - SLS (direct input)</t>
  </si>
  <si>
    <t>MBS I&amp;D - LSS</t>
  </si>
  <si>
    <t>MBS I&amp;D - LSS Contract Testing Services</t>
  </si>
  <si>
    <t>MBS I&amp;D - LSS (direct input)</t>
  </si>
  <si>
    <t>MBS I&amp;D - PS</t>
  </si>
  <si>
    <t>MBS I&amp;D - PS Global Strategic Accounts &amp; Ser</t>
  </si>
  <si>
    <t>MBS I&amp;D - PS Business Franchises</t>
  </si>
  <si>
    <t>MBS I&amp;D - PS (direct input)</t>
  </si>
  <si>
    <t>MBS I&amp;D - ISCO</t>
  </si>
  <si>
    <t>MBS I&amp;D - ISCO Supply Chain &amp; Distribution</t>
  </si>
  <si>
    <t>MBS I&amp;D - ISCO Global Plant Operation</t>
  </si>
  <si>
    <t>MBS I&amp;D - ISCO Warehouse &amp; Distribution</t>
  </si>
  <si>
    <t>MBS I&amp;D - ISCO PS Value Stream</t>
  </si>
  <si>
    <t>MBS I&amp;D - ISCO WCOGS</t>
  </si>
  <si>
    <t>MBS I&amp;D - ISCO Tech &amp; Eng.</t>
  </si>
  <si>
    <t>MBS I&amp;D - ISCO (direct input)</t>
  </si>
  <si>
    <t>MBS I&amp;D - EF GSS COE</t>
  </si>
  <si>
    <t>MBS I&amp;D - EF GSS COE Business &amp; Market Services</t>
  </si>
  <si>
    <t>MBS I&amp;D - EF GSS COE STO</t>
  </si>
  <si>
    <t>MBS I&amp;D - EF GSS COE Technology Office</t>
  </si>
  <si>
    <t>MBS I&amp;D - EF GSS COE LS QRM</t>
  </si>
  <si>
    <t>MBS I&amp;D - EF GSS COE EF Sourcing</t>
  </si>
  <si>
    <t>MBS I&amp;D - EF GSS COE Administration</t>
  </si>
  <si>
    <t>MBS I&amp;D - EF GSS COE (direct input)</t>
  </si>
  <si>
    <t>G000000590</t>
  </si>
  <si>
    <t>G000001286</t>
  </si>
  <si>
    <t>G000001287</t>
  </si>
  <si>
    <t>G000001288</t>
  </si>
  <si>
    <t>G000001289</t>
  </si>
  <si>
    <t>G000001290</t>
  </si>
  <si>
    <t>G000001291</t>
  </si>
  <si>
    <t>G000001292</t>
  </si>
  <si>
    <t>G000001293</t>
  </si>
  <si>
    <t>G000001294</t>
  </si>
  <si>
    <t>G000001295</t>
  </si>
  <si>
    <t>G000001296</t>
  </si>
  <si>
    <t>G000001297</t>
  </si>
  <si>
    <t>G000001298</t>
  </si>
  <si>
    <t>G000001299</t>
  </si>
  <si>
    <t>G000001300</t>
  </si>
  <si>
    <t>G000001301</t>
  </si>
  <si>
    <t>G000001302</t>
  </si>
  <si>
    <t>G000001303</t>
  </si>
  <si>
    <t>G000001304</t>
  </si>
  <si>
    <t>G000001305</t>
  </si>
  <si>
    <t>G000001306</t>
  </si>
  <si>
    <t>G000001307</t>
  </si>
  <si>
    <t>G000001308</t>
  </si>
  <si>
    <t>G000001309</t>
  </si>
  <si>
    <t>G000001310</t>
  </si>
  <si>
    <t>G000001311</t>
  </si>
  <si>
    <t>G000001312</t>
  </si>
  <si>
    <t>G000001313</t>
  </si>
  <si>
    <t>G000001314</t>
  </si>
  <si>
    <t>G000001315</t>
  </si>
  <si>
    <t>G000001316</t>
  </si>
  <si>
    <t>G000001317</t>
  </si>
  <si>
    <t>G000001318</t>
  </si>
  <si>
    <t>G000001319</t>
  </si>
  <si>
    <t>G000001320</t>
  </si>
  <si>
    <t>G000001321</t>
  </si>
  <si>
    <t>G000001322</t>
  </si>
  <si>
    <t>G000001323</t>
  </si>
  <si>
    <t>G000001324</t>
  </si>
  <si>
    <t>G000001325</t>
  </si>
  <si>
    <t>G000001326</t>
  </si>
  <si>
    <t>G000001327</t>
  </si>
  <si>
    <t>G000001328</t>
  </si>
  <si>
    <t>G000001329</t>
  </si>
  <si>
    <t>G000001330</t>
  </si>
  <si>
    <t>G000001331</t>
  </si>
  <si>
    <t>G000001332</t>
  </si>
  <si>
    <t>G000001333</t>
  </si>
  <si>
    <t>G000001334</t>
  </si>
  <si>
    <t>G000001335</t>
  </si>
  <si>
    <t>G000001336</t>
  </si>
  <si>
    <t>G000001337</t>
  </si>
  <si>
    <t>G000001338</t>
  </si>
  <si>
    <t>G000001339</t>
  </si>
  <si>
    <t>G000001340</t>
  </si>
  <si>
    <t>G000001341</t>
  </si>
  <si>
    <t>G000001342</t>
  </si>
  <si>
    <t>G000001343</t>
  </si>
  <si>
    <t>G000001344</t>
  </si>
  <si>
    <t>G000001345</t>
  </si>
  <si>
    <t>G000001346</t>
  </si>
  <si>
    <t>G000001347</t>
  </si>
  <si>
    <t>G000001348</t>
  </si>
  <si>
    <t>G000001349</t>
  </si>
  <si>
    <t>G000001350</t>
  </si>
  <si>
    <t>G000001351</t>
  </si>
  <si>
    <t>G000001352</t>
  </si>
  <si>
    <t>G000001353</t>
  </si>
  <si>
    <t>G000001354</t>
  </si>
  <si>
    <t>G000001355</t>
  </si>
  <si>
    <t>FR6855390</t>
  </si>
  <si>
    <t>GPA PS - Core Ext.Cost</t>
  </si>
  <si>
    <t>GPB PS - Healthcare Ext.Cost</t>
  </si>
  <si>
    <t>GPC PS - Life Science Ext.Cost</t>
  </si>
  <si>
    <t>GPD PS - Electronics Ext.Cost</t>
  </si>
  <si>
    <t>X</t>
  </si>
  <si>
    <t>KR00</t>
  </si>
  <si>
    <t>EF-IT-PX</t>
  </si>
  <si>
    <t>IT06100900</t>
  </si>
  <si>
    <t>FR6879588</t>
  </si>
  <si>
    <t>FR6884110</t>
  </si>
  <si>
    <t>G000001356</t>
  </si>
  <si>
    <t>Kr00</t>
  </si>
  <si>
    <t>FR6894527</t>
  </si>
  <si>
    <t>FR6914320</t>
  </si>
  <si>
    <t>SM-H Site &amp; HQ Development Services</t>
  </si>
  <si>
    <t>FR6934915</t>
  </si>
  <si>
    <t xml:space="preserve">G000000994 </t>
  </si>
  <si>
    <t xml:space="preserve">G000000995 </t>
  </si>
  <si>
    <t xml:space="preserve">G000000993 </t>
  </si>
  <si>
    <t>MBS S&amp;T Learning &amp; Develop., Knwldg Mgt</t>
  </si>
  <si>
    <t>MBS S&amp;T - Business Process Management</t>
  </si>
  <si>
    <t>Yvonne Doernhofer</t>
  </si>
  <si>
    <t>FR6952137</t>
  </si>
  <si>
    <t>FR6995596</t>
  </si>
  <si>
    <t>FR7010885</t>
  </si>
  <si>
    <t xml:space="preserve">SM-PT </t>
  </si>
  <si>
    <t>SM-PM und PT</t>
  </si>
  <si>
    <t>SM-PTT Material Management</t>
  </si>
  <si>
    <t>SM-PTT Technical Warehouse</t>
  </si>
  <si>
    <t>SM-PTT IVV Allocation CCs</t>
  </si>
  <si>
    <t>SM-PM</t>
  </si>
  <si>
    <t>SM-PMA</t>
  </si>
  <si>
    <t>FR7015139</t>
  </si>
  <si>
    <t>PG1 Blending+Packaging</t>
  </si>
  <si>
    <t>PG2 Coating</t>
  </si>
  <si>
    <t>PG1 Substrates</t>
  </si>
  <si>
    <t>FR7037412</t>
  </si>
  <si>
    <t xml:space="preserve">Business Integration _GPO </t>
  </si>
  <si>
    <t xml:space="preserve">Business Integration _PS VS </t>
  </si>
  <si>
    <t>mRNA and LNP Innovation</t>
  </si>
  <si>
    <t>Bioconujation and SM Innovation</t>
  </si>
  <si>
    <t>Viral Vectors Innovation</t>
  </si>
  <si>
    <t>Biologics Innovation</t>
  </si>
  <si>
    <t>PMO CDMO Innovation</t>
  </si>
  <si>
    <t>CDMO - APAC Sales</t>
  </si>
  <si>
    <t>BM - Comm NA - South Pharma</t>
  </si>
  <si>
    <t>L000007087</t>
  </si>
  <si>
    <t>Synthesis mRNA delivery &amp; PEG's</t>
  </si>
  <si>
    <t>mRNA Delivery / Manufacturing</t>
  </si>
  <si>
    <t>ADC Payload Automation &amp; Digital</t>
  </si>
  <si>
    <t>ADC Bionconjugation Template</t>
  </si>
  <si>
    <t>VV Innovation</t>
  </si>
  <si>
    <t>L000006951</t>
  </si>
  <si>
    <t>L000007094</t>
  </si>
  <si>
    <t>FR7040358</t>
  </si>
  <si>
    <t>GMV MBS Hub Wroclaw - ABP</t>
  </si>
  <si>
    <t>EL-OP-M Metrology &amp; Inspection</t>
  </si>
  <si>
    <t>EL-OP-M M&amp;I Sales</t>
  </si>
  <si>
    <t>EL-OP-M M&amp;I Marketing</t>
  </si>
  <si>
    <t>EL-OP-M M&amp;I Operations</t>
  </si>
  <si>
    <t>EL-OP-M M&amp;I R&amp;D</t>
  </si>
  <si>
    <t>EL-OP Optronics</t>
  </si>
  <si>
    <t>EL-OP BU Head &amp; Other</t>
  </si>
  <si>
    <t>EL-OP BU head Organization</t>
  </si>
  <si>
    <t>EL-OP Inventor Remuneration</t>
  </si>
  <si>
    <t>EL-OP Intangible Assets</t>
  </si>
  <si>
    <t>EL-OP Other</t>
  </si>
  <si>
    <t>EL-OP-W LC Windows</t>
  </si>
  <si>
    <t>EL-OP-S Supply Chain Optronics</t>
  </si>
  <si>
    <t>Optronics Production Sites</t>
  </si>
  <si>
    <t>EL-OP-SD Site Darmstadt, Germany</t>
  </si>
  <si>
    <t>EL-OP-SDPP Production Planning</t>
  </si>
  <si>
    <t>EL-OP-SA Site Atsugi, Japan</t>
  </si>
  <si>
    <t>EL-OP-SZ Site Suzhou, China</t>
  </si>
  <si>
    <t>EL-OP-ST Site Taoyuan, Taiwan</t>
  </si>
  <si>
    <t>EL-OP-SH Site Hsinchu, Taiwan</t>
  </si>
  <si>
    <t>EL-OP-SP Site Poseung, S. Korea</t>
  </si>
  <si>
    <t>EL-OP-SS Site Shanghai, China</t>
  </si>
  <si>
    <t>EL-OP-SC Supply Chain Excellence</t>
  </si>
  <si>
    <t>EL-OP-SQ QA Optronics</t>
  </si>
  <si>
    <t>EL-OP-SG Global Demand &amp; Supply Planning</t>
  </si>
  <si>
    <t>EL-OP-SV Value Stream Mngt</t>
  </si>
  <si>
    <t>EL-OP-L LC/DPM]</t>
  </si>
  <si>
    <t>EL-OP-LC LC/DPM Sales CN</t>
  </si>
  <si>
    <t>EL-OP-LT LC/DPM Sales TW &amp; JP</t>
  </si>
  <si>
    <t>EL-OP-LM LC/DPM Marketing</t>
  </si>
  <si>
    <t>EL-OP-LM LC/DPM Marketing Organization</t>
  </si>
  <si>
    <t>EL-OP-LM LC/DPM Sales Promotion</t>
  </si>
  <si>
    <t>EL-OP-L LC/DPM Royalties/Commissions</t>
  </si>
  <si>
    <t>EL-OP-L LC/DPM Other</t>
  </si>
  <si>
    <t>EL-OP-LR LC/DPM R&amp;D</t>
  </si>
  <si>
    <t>EL-OP-LR LC/DPM R&amp;D General Expenses</t>
  </si>
  <si>
    <t>EL-OP-O OLED</t>
  </si>
  <si>
    <t>EL-OP-OC OLED Sales CN</t>
  </si>
  <si>
    <t>EL-OP-OK OLED Sales KR</t>
  </si>
  <si>
    <t>EL-OP-OM OLED Marketing</t>
  </si>
  <si>
    <t>XX_EL-OP-M Global Mkt Other</t>
  </si>
  <si>
    <t>EL-OP-OM OLED Marketing Organization</t>
  </si>
  <si>
    <t>EL-OP-OM OLED Sales Promotion</t>
  </si>
  <si>
    <t>EL-OP-O OLED Royalties/Commissions</t>
  </si>
  <si>
    <t>EL-OP-O OLED Other</t>
  </si>
  <si>
    <t>EL-OP-OR OLED R&amp;D</t>
  </si>
  <si>
    <t>EL-OP-OR OLED R&amp;D General Expenses</t>
  </si>
  <si>
    <t>EL-OP-B BS&amp;S</t>
  </si>
  <si>
    <t>EL-OP-BF Optical Technologies</t>
  </si>
  <si>
    <t>EL-OP BF OT Business Development Org</t>
  </si>
  <si>
    <t>EL-OP BF OT R&amp;D</t>
  </si>
  <si>
    <t>OT Projects</t>
  </si>
  <si>
    <t>Antireflection Technology</t>
  </si>
  <si>
    <t>PVH</t>
  </si>
  <si>
    <t>EL-OP BF OT R&amp;D General Expenses</t>
  </si>
  <si>
    <t>EL-OP BF OT Sales Promotion</t>
  </si>
  <si>
    <t>EL-OP BF OT Royalties/Commissions</t>
  </si>
  <si>
    <t>EL-OP BF OT Other</t>
  </si>
  <si>
    <t>EL-OP-B BS&amp;S Organization</t>
  </si>
  <si>
    <t>EL-OP-BN Novel Tools</t>
  </si>
  <si>
    <t>EL-OP-B BS&amp;S MarCom</t>
  </si>
  <si>
    <t>EL-OP-B BS&amp;S Other</t>
  </si>
  <si>
    <t>P000000659</t>
  </si>
  <si>
    <t>BOI</t>
  </si>
  <si>
    <t>AR hardware</t>
  </si>
  <si>
    <t>EUVen MORe</t>
  </si>
  <si>
    <t>P000000675</t>
  </si>
  <si>
    <t>Mat. Info DRAM</t>
  </si>
  <si>
    <t>P000000678</t>
  </si>
  <si>
    <t>OSC</t>
  </si>
  <si>
    <t>HIT'M/BN</t>
  </si>
  <si>
    <t>AR VR Lab</t>
  </si>
  <si>
    <t>RM for IJP</t>
  </si>
  <si>
    <t>LTD-MAP</t>
  </si>
  <si>
    <t>CTO Organization</t>
  </si>
  <si>
    <t xml:space="preserve">MIP Cost Variance </t>
  </si>
  <si>
    <t>P000000646</t>
  </si>
  <si>
    <t>CTO Leadership</t>
  </si>
  <si>
    <t>P000000648</t>
  </si>
  <si>
    <t xml:space="preserve">Materials AI </t>
  </si>
  <si>
    <t>P000000649</t>
  </si>
  <si>
    <t xml:space="preserve">Business Development  AR VR </t>
  </si>
  <si>
    <t>Technology Strategy &amp; Roadmap</t>
  </si>
  <si>
    <t>CTO Labs Capex</t>
  </si>
  <si>
    <t>EL-SC-Q Quality &amp; Compliance Mgmt.</t>
  </si>
  <si>
    <t>EL-SC-QS Global Supplier Quality</t>
  </si>
  <si>
    <t>EL-SC-QT Trade Compliance China</t>
  </si>
  <si>
    <t>EL-SC-DO Process Development Optronics</t>
  </si>
  <si>
    <t>EL-SC-DO Projects</t>
  </si>
  <si>
    <t>EL-SC-DO Investments</t>
  </si>
  <si>
    <t>EL-SC-DO Process Development OptronicsIO</t>
  </si>
  <si>
    <t>EL-SC-DX Projects</t>
  </si>
  <si>
    <t>EL-SC-DX Investments</t>
  </si>
  <si>
    <t>EL-SC-E Engineering</t>
  </si>
  <si>
    <t>EL-SC-E Engineering Head</t>
  </si>
  <si>
    <t>EL-SC-EC Regional Engineering China/Taiw</t>
  </si>
  <si>
    <t>EL-SC-EK Regional Engineering Korea</t>
  </si>
  <si>
    <t>EL-SC-EE Global Capital Efficiency &amp; Pro</t>
  </si>
  <si>
    <t>FR7040888</t>
  </si>
  <si>
    <t>Gerhard Doeller</t>
  </si>
  <si>
    <t>FR7047478</t>
  </si>
  <si>
    <t xml:space="preserve">G000000414 </t>
  </si>
  <si>
    <t xml:space="preserve">G000000879 </t>
  </si>
  <si>
    <t xml:space="preserve">G000000495 </t>
  </si>
  <si>
    <t>FR7049853</t>
  </si>
  <si>
    <t>EL-PS Support Functions</t>
  </si>
  <si>
    <t>EL-PSL Legal</t>
  </si>
  <si>
    <t>EL-PSH HR</t>
  </si>
  <si>
    <t>EL-PSF Finance</t>
  </si>
  <si>
    <t>EL-PSP Procurement</t>
  </si>
  <si>
    <t>EL-PSI IT</t>
  </si>
  <si>
    <t xml:space="preserve"> EL-PS-O Global Operations General</t>
  </si>
  <si>
    <t>FR7052523</t>
  </si>
  <si>
    <t>G000000950</t>
  </si>
  <si>
    <t>IC Cross charges</t>
  </si>
  <si>
    <t>Licrivision</t>
  </si>
  <si>
    <t>FR7052768</t>
  </si>
  <si>
    <t>G000001357</t>
  </si>
  <si>
    <t>G000001358</t>
  </si>
  <si>
    <t>L000013817</t>
  </si>
  <si>
    <t>L000013818</t>
  </si>
  <si>
    <t>L000013819</t>
  </si>
  <si>
    <t>L000013820</t>
  </si>
  <si>
    <t>L000013821</t>
  </si>
  <si>
    <t>L000013822</t>
  </si>
  <si>
    <t>L000013823</t>
  </si>
  <si>
    <t>P000001254</t>
  </si>
  <si>
    <t>P000001255</t>
  </si>
  <si>
    <t>P000001256</t>
  </si>
  <si>
    <t>P000001257</t>
  </si>
  <si>
    <t>P000001258</t>
  </si>
  <si>
    <t>P000001259</t>
  </si>
  <si>
    <t>P000001260</t>
  </si>
  <si>
    <t>P000001261</t>
  </si>
  <si>
    <t>P000001262</t>
  </si>
  <si>
    <t>P000001263</t>
  </si>
  <si>
    <t>P000001264</t>
  </si>
  <si>
    <t>P000001265</t>
  </si>
  <si>
    <t>P000001266</t>
  </si>
  <si>
    <t>P000001267</t>
  </si>
  <si>
    <t>not done</t>
  </si>
  <si>
    <t>WTF, duplicated</t>
  </si>
  <si>
    <t>mRNA CDMO QAO</t>
  </si>
  <si>
    <t>mRNA CDMO Support Functions</t>
  </si>
  <si>
    <t xml:space="preserve">L000013595 </t>
  </si>
  <si>
    <t>FR7060566</t>
  </si>
  <si>
    <t/>
  </si>
  <si>
    <t>FR7064446</t>
  </si>
  <si>
    <t>Quality Gernsheim</t>
  </si>
  <si>
    <t>L000013824</t>
  </si>
  <si>
    <t>L000013825</t>
  </si>
  <si>
    <t>SM-PT</t>
  </si>
  <si>
    <t>EL-OP-L LC/DPM</t>
  </si>
  <si>
    <t>MIP Cost Variance</t>
  </si>
  <si>
    <t>Materials AI</t>
  </si>
  <si>
    <t>Business Development  AR VR</t>
  </si>
  <si>
    <t>EL-PS-O Global Operations General</t>
  </si>
  <si>
    <t>SM-SCP Business Processes</t>
  </si>
  <si>
    <t>SM-SCG Kitchen technology</t>
  </si>
  <si>
    <t>Events &amp; HQ Campus</t>
  </si>
  <si>
    <t>SM-SCE HQ Campus</t>
  </si>
  <si>
    <t>SM-SCE Events, Conferences</t>
  </si>
  <si>
    <t>VeranstaltungsrÃ¤ume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</si>
</sst>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b/>
      <sz val="10"/>
      <color rgb="FF303A46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1"/>
      <color theme="1"/>
      <name val="Calibri"/>
      <family val="2"/>
      <charset val="238"/>
      <scheme val="minor"/>
    </font>
    <font>
      <sz val="8"/>
      <color rgb="FF000000"/>
      <name val="Verdana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444444"/>
      <name val="Calibri"/>
      <family val="2"/>
      <scheme val="minor"/>
    </font>
    <font>
      <sz val="9"/>
      <color rgb="FFFFFFFF"/>
      <name val="Segoe UI"/>
      <family val="2"/>
    </font>
    <font>
      <sz val="9"/>
      <color rgb="FF000000"/>
      <name val="Verdana"/>
      <family val="2"/>
    </font>
    <font>
      <sz val="10"/>
      <color rgb="FF151920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9EFF7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8">
    <xf numFmtId="0" fontId="0" fillId="0" borderId="0"/>
    <xf numFmtId="0" fontId="8" fillId="0" borderId="0"/>
    <xf numFmtId="0" fontId="7" fillId="0" borderId="0"/>
    <xf numFmtId="0" fontId="9" fillId="4" borderId="5" applyNumberFormat="0" applyAlignment="0" applyProtection="0">
      <alignment horizontal="left" vertical="center" indent="1"/>
    </xf>
    <xf numFmtId="0" fontId="9" fillId="5" borderId="6" applyNumberFormat="0" applyAlignment="0" applyProtection="0">
      <alignment horizontal="left" vertical="center" indent="1"/>
    </xf>
    <xf numFmtId="0" fontId="9" fillId="8" borderId="5" applyNumberFormat="0" applyAlignment="0" applyProtection="0">
      <alignment horizontal="left" vertical="center" indent="1"/>
    </xf>
    <xf numFmtId="0" fontId="9" fillId="9" borderId="5" applyNumberFormat="0" applyAlignment="0" applyProtection="0">
      <alignment horizontal="left" vertical="center" indent="1"/>
    </xf>
    <xf numFmtId="0" fontId="16" fillId="0" borderId="0"/>
  </cellStyleXfs>
  <cellXfs count="10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2" borderId="2" xfId="0" applyFont="1" applyFill="1" applyBorder="1"/>
    <xf numFmtId="0" fontId="2" fillId="2" borderId="1" xfId="0" applyFont="1" applyFill="1" applyBorder="1"/>
    <xf numFmtId="0" fontId="2" fillId="2" borderId="3" xfId="0" applyFont="1" applyFill="1" applyBorder="1"/>
    <xf numFmtId="0" fontId="0" fillId="3" borderId="4" xfId="0" applyFill="1" applyBorder="1"/>
    <xf numFmtId="0" fontId="0" fillId="0" borderId="4" xfId="0" applyBorder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10" fillId="6" borderId="7" xfId="0" applyFont="1" applyFill="1" applyBorder="1"/>
    <xf numFmtId="0" fontId="10" fillId="7" borderId="7" xfId="0" applyFont="1" applyFill="1" applyBorder="1"/>
    <xf numFmtId="0" fontId="11" fillId="0" borderId="0" xfId="0" applyFont="1"/>
    <xf numFmtId="0" fontId="0" fillId="3" borderId="8" xfId="0" applyFill="1" applyBorder="1"/>
    <xf numFmtId="0" fontId="12" fillId="0" borderId="0" xfId="0" applyFont="1"/>
    <xf numFmtId="0" fontId="6" fillId="0" borderId="0" xfId="0" applyFont="1"/>
    <xf numFmtId="0" fontId="0" fillId="0" borderId="9" xfId="0" applyBorder="1"/>
    <xf numFmtId="0" fontId="13" fillId="3" borderId="4" xfId="0" applyFont="1" applyFill="1" applyBorder="1"/>
    <xf numFmtId="0" fontId="14" fillId="0" borderId="0" xfId="0" applyFont="1"/>
    <xf numFmtId="0" fontId="0" fillId="0" borderId="0" xfId="0" applyAlignment="1">
      <alignment wrapText="1"/>
    </xf>
    <xf numFmtId="0" fontId="3" fillId="6" borderId="0" xfId="0" applyFont="1" applyFill="1"/>
    <xf numFmtId="0" fontId="0" fillId="3" borderId="9" xfId="0" applyFill="1" applyBorder="1"/>
    <xf numFmtId="0" fontId="0" fillId="3" borderId="10" xfId="0" applyFill="1" applyBorder="1"/>
    <xf numFmtId="0" fontId="0" fillId="0" borderId="10" xfId="0" applyBorder="1"/>
    <xf numFmtId="0" fontId="2" fillId="2" borderId="10" xfId="0" applyFont="1" applyFill="1" applyBorder="1"/>
    <xf numFmtId="0" fontId="2" fillId="2" borderId="4" xfId="0" applyFont="1" applyFill="1" applyBorder="1"/>
    <xf numFmtId="0" fontId="2" fillId="2" borderId="9" xfId="0" applyFont="1" applyFill="1" applyBorder="1"/>
    <xf numFmtId="49" fontId="0" fillId="0" borderId="9" xfId="0" applyNumberFormat="1" applyBorder="1" applyAlignment="1">
      <alignment vertical="top" wrapText="1"/>
    </xf>
    <xf numFmtId="49" fontId="0" fillId="3" borderId="9" xfId="0" applyNumberFormat="1" applyFill="1" applyBorder="1" applyAlignment="1">
      <alignment vertical="top" wrapText="1"/>
    </xf>
    <xf numFmtId="0" fontId="1" fillId="0" borderId="4" xfId="0" applyFont="1" applyBorder="1"/>
    <xf numFmtId="0" fontId="1" fillId="3" borderId="4" xfId="0" applyFont="1" applyFill="1" applyBorder="1"/>
    <xf numFmtId="0" fontId="3" fillId="0" borderId="4" xfId="0" applyFont="1" applyBorder="1"/>
    <xf numFmtId="0" fontId="4" fillId="0" borderId="4" xfId="0" applyFont="1" applyBorder="1"/>
    <xf numFmtId="0" fontId="3" fillId="3" borderId="4" xfId="0" applyFont="1" applyFill="1" applyBorder="1"/>
    <xf numFmtId="0" fontId="4" fillId="3" borderId="4" xfId="0" applyFont="1" applyFill="1" applyBorder="1"/>
    <xf numFmtId="0" fontId="0" fillId="0" borderId="4" xfId="0" applyBorder="1" applyAlignment="1">
      <alignment vertical="center" wrapText="1"/>
    </xf>
    <xf numFmtId="0" fontId="3" fillId="0" borderId="0" xfId="0" applyFont="1"/>
    <xf numFmtId="0" fontId="0" fillId="0" borderId="8" xfId="0" applyBorder="1"/>
    <xf numFmtId="0" fontId="0" fillId="3" borderId="0" xfId="0" applyFill="1"/>
    <xf numFmtId="0" fontId="13" fillId="0" borderId="0" xfId="0" applyFont="1"/>
    <xf numFmtId="0" fontId="0" fillId="0" borderId="0" xfId="0" applyNumberFormat="1"/>
    <xf numFmtId="0" fontId="15" fillId="0" borderId="0" xfId="0" applyFont="1"/>
    <xf numFmtId="0" fontId="0" fillId="3" borderId="9" xfId="0" applyNumberFormat="1" applyFont="1" applyFill="1" applyBorder="1"/>
    <xf numFmtId="0" fontId="0" fillId="0" borderId="9" xfId="0" applyNumberFormat="1" applyFont="1" applyBorder="1"/>
    <xf numFmtId="0" fontId="0" fillId="0" borderId="0" xfId="0" applyBorder="1"/>
    <xf numFmtId="0" fontId="0" fillId="0" borderId="4" xfId="0" applyFont="1" applyBorder="1"/>
    <xf numFmtId="0" fontId="0" fillId="3" borderId="4" xfId="0" applyFont="1" applyFill="1" applyBorder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Alignment="1">
      <alignment horizontal="left" indent="1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indent="1"/>
    </xf>
    <xf numFmtId="0" fontId="18" fillId="0" borderId="0" xfId="0" applyFont="1" applyAlignment="1">
      <alignment horizontal="left" indent="1"/>
    </xf>
    <xf numFmtId="4" fontId="19" fillId="10" borderId="0" xfId="0" applyNumberFormat="1" applyFont="1" applyFill="1"/>
    <xf numFmtId="0" fontId="0" fillId="0" borderId="0" xfId="0"/>
    <xf numFmtId="0" fontId="0" fillId="0" borderId="0" xfId="0" applyNumberFormat="1"/>
    <xf numFmtId="0" fontId="15" fillId="0" borderId="4" xfId="0" applyFont="1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8">
    <cellStyle name="Normal" xfId="0" builtinId="0"/>
    <cellStyle name="Normal 2" xfId="1" xr:uid="{BD1A9BE2-2BB7-42E6-934D-13E20FAA1E8B}"/>
    <cellStyle name="Normal 3" xfId="2" xr:uid="{5C23E6F5-444F-4B9A-B691-7FFD6E285713}"/>
    <cellStyle name="Normal 4 15" xfId="7" xr:uid="{6539E962-6396-47A2-869F-4903C89D8DD9}"/>
    <cellStyle name="SAPHierarchyCell0" xfId="5" xr:uid="{71836DD0-A7DE-4136-9208-77A56DA896F8}"/>
    <cellStyle name="SAPHierarchyCell1" xfId="6" xr:uid="{51C7FAB9-C4C0-4398-BD3D-420E07F906B7}"/>
    <cellStyle name="SAPHierarchyCell3" xfId="3" xr:uid="{3466AF1E-46CE-4369-8DE0-1FBC767EF2F8}"/>
    <cellStyle name="SAPHierarchyCell4" xfId="4" xr:uid="{FBAEF3A6-8107-4D90-9A77-59C053FFA3E8}"/>
  </cellStyles>
  <dxfs count="9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D66951C-E359-4399-9D5F-67CF6F440C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ierre Collado" refreshedDate="45700.997573726854" createdVersion="7" refreshedVersion="7" minRefreshableVersion="3" recordCount="3918" xr:uid="{64DEAE9A-A7ED-45EB-95B9-F20A4DA91D5F}">
  <cacheSource type="worksheet">
    <worksheetSource name="Table2"/>
  </cacheSource>
  <cacheFields count="13">
    <cacheField name="No." numFmtId="0">
      <sharedItems containsSemiMixedTypes="0" containsString="0" containsNumber="1" containsInteger="1" minValue="1" maxValue="3918"/>
    </cacheField>
    <cacheField name="Forecast?" numFmtId="0">
      <sharedItems containsBlank="1" count="5">
        <s v="F0"/>
        <s v="F1"/>
        <s v="F2"/>
        <s v="F3"/>
        <m u="1"/>
      </sharedItems>
    </cacheField>
    <cacheField name="Ticket" numFmtId="0">
      <sharedItems containsBlank="1" count="232">
        <s v="No ticket"/>
        <s v="FR5620885"/>
        <s v="FR5684840"/>
        <s v="FR5684852"/>
        <s v="FR5695335"/>
        <s v="FR5695357"/>
        <s v="FR5714461"/>
        <s v="FR5728795"/>
        <s v="FR5747314"/>
        <s v="FR5756501"/>
        <s v="FR5761353"/>
        <s v="FR5766051"/>
        <s v="FR5769280"/>
        <s v="FR5780415"/>
        <s v="FR5781138"/>
        <s v="FR5784418"/>
        <s v="FR5789140"/>
        <s v="FR5789964"/>
        <s v="FR5790099"/>
        <s v="FR5790365"/>
        <s v="FR5798979"/>
        <s v="FR5824545"/>
        <s v="FR5834316"/>
        <s v="FR5841065"/>
        <s v="FR5841653"/>
        <s v="FR5846566"/>
        <s v="FR5850741"/>
        <s v="FR5858878"/>
        <s v="FR5894334"/>
        <s v="FR5904869"/>
        <s v="FR5934521"/>
        <s v="FR5938570"/>
        <s v="FR6020975"/>
        <s v="FR5981341"/>
        <s v="FR5982073"/>
        <s v="FR6013469"/>
        <s v="FR6025932"/>
        <s v="FR6030288"/>
        <s v="FR6033131"/>
        <s v="FR6034293"/>
        <s v="FR6034512"/>
        <s v="FR6034758"/>
        <s v="FR6040207"/>
        <s v="FR6059201"/>
        <s v="FR6070826"/>
        <s v="FR6071540"/>
        <s v="FR6087244"/>
        <s v="FR6082937"/>
        <s v="no ticket1"/>
        <s v="FR6097204"/>
        <s v="FR6104405"/>
        <s v="FR6113528"/>
        <s v="FR6149641"/>
        <s v="FR6164724"/>
        <s v="FR6156634"/>
        <s v="FR6183808"/>
        <s v="FR6185572"/>
        <s v="FR6201819"/>
        <s v="FR6221005"/>
        <s v="FR6260066"/>
        <s v="FR6261155"/>
        <s v="FR6271481"/>
        <s v="FR6273798"/>
        <s v="FR6276559"/>
        <s v="FR6277867"/>
        <s v="FR6281594"/>
        <s v="FR6287321"/>
        <s v="FR6291121"/>
        <s v="FR6297350"/>
        <s v="FR6297579"/>
        <s v="FR6298206"/>
        <s v="FR6303777"/>
        <s v="FR6307328"/>
        <s v="FR6318671"/>
        <s v="FR6320426"/>
        <s v="FR6344410"/>
        <s v="FR6345199"/>
        <s v="FR6350739"/>
        <s v="FR6358340"/>
        <s v="FR6358724"/>
        <s v="FR6358827"/>
        <s v="FR6374897"/>
        <s v="FR6378941"/>
        <s v="FR6418868"/>
        <s v="FR6419418"/>
        <s v="FR6462257"/>
        <s v="FR6491069"/>
        <s v="FR6500928"/>
        <s v="FR6507122"/>
        <s v="FR6509542"/>
        <s v="FR6517307"/>
        <s v="FR6520738"/>
        <s v="FR6525537"/>
        <s v="FR6525718"/>
        <s v="FR6531341"/>
        <s v="FR6532122"/>
        <s v="FR6542923"/>
        <s v="FR6543493"/>
        <s v="FR6550045"/>
        <s v="FR6551472"/>
        <s v="FR6558551"/>
        <s v="FR6562959"/>
        <s v="FR6563274"/>
        <s v="FR6563351"/>
        <s v="FR6563591"/>
        <s v="FR6572448"/>
        <s v="FR6581861"/>
        <s v="FR6581922"/>
        <s v="FR6582309"/>
        <s v="FR6582420"/>
        <s v="FR6582463"/>
        <s v="FR6584184"/>
        <s v="FR6614862"/>
        <s v="FR6620738"/>
        <s v="FR6639914"/>
        <s v="FR6644413"/>
        <s v="FR6700341"/>
        <s v="FR6711984"/>
        <s v="FR6712079"/>
        <s v="FR6736844"/>
        <s v="FR6737570"/>
        <s v="FR6762200"/>
        <s v="FR6797793"/>
        <s v="FR6799262"/>
        <s v="FR6801039"/>
        <s v="FR6803608"/>
        <s v="FR6808342"/>
        <s v="FR6821884"/>
        <s v="FR6837097"/>
        <s v="FR6831903"/>
        <s v="FR6853680"/>
        <s v="FR6855390"/>
        <s v="FR6879588"/>
        <s v="FR6884110"/>
        <s v="FR6894527"/>
        <s v="FR6914320"/>
        <s v="FR6934915"/>
        <s v="FR6952137"/>
        <s v="FR6995596"/>
        <s v="FR7010885"/>
        <s v="FR7015139"/>
        <s v="FR7037412"/>
        <s v="FR7040358"/>
        <s v="FR7040888"/>
        <s v="FR7047478"/>
        <s v="FR7049853"/>
        <s v="FR7052523"/>
        <s v="FR7052768"/>
        <s v="FR7060566"/>
        <s v="FR7064446"/>
        <m u="1"/>
        <s v="FR5146865" u="1"/>
        <s v="FR5329157" u="1"/>
        <s v="FR5298363" u="1"/>
        <s v="FR5562418" u="1"/>
        <s v="FR5141188" u="1"/>
        <s v="FR5143016" u="1"/>
        <s v="FR5109402" u="1"/>
        <s v="FR5378808" u="1"/>
        <s v="FR5149833" u="1"/>
        <s v="FR5617964" u="1"/>
        <s v="FR5286834" u="1"/>
        <s v="FR5540183" u="1"/>
        <s v="FR5524207" u="1"/>
        <s v="FR5288687" u="1"/>
        <s v="FR5537948" u="1"/>
        <s v="FR6570113" u="1"/>
        <s v="FR5457427" u="1"/>
        <s v="FR5509971" u="1"/>
        <s v="FR5360319" u="1"/>
        <s v="FR6856959" u="1"/>
        <s v="FR5454784" u="1"/>
        <s v="FR5487119" u="1"/>
        <s v="FR5547366" u="1"/>
        <s v="FR5392612" u="1"/>
        <s v="FR5303863" u="1"/>
        <s v="FR5152454" u="1"/>
        <s v="FR5134014" u="1"/>
        <s v="FR5266249" u="1"/>
        <s v="FR5150360" u="1"/>
        <s v="FR5099062" u="1"/>
        <s v="FR5600182" u="1"/>
        <s v="FR5548111" u="1"/>
        <s v="FR5728806" u="1"/>
        <s v="FR5549054" u="1"/>
        <s v="FR5547362" u="1"/>
        <s v="FR5506653" u="1"/>
        <s v="FR5548141" u="1"/>
        <s v="FR5107986" u="1"/>
        <s v="FR5485856" u="1"/>
        <s v="FR5142215" u="1"/>
        <s v="FR5155724" u="1"/>
        <s v="FR5140253" u="1"/>
        <s v="FR5471868" u="1"/>
        <s v="FR5486396" u="1"/>
        <s v="FR5561110" u="1"/>
        <s v="FR5068879" u="1"/>
        <s v="FR5140150" u="1"/>
        <s v="FR5265964" u="1"/>
        <s v="FR5267957" u="1"/>
        <s v="FR5345539" u="1"/>
        <s v="FR5082089" u="1"/>
        <s v="FR5138688" u="1"/>
        <s v="FR5469869" u="1"/>
        <s v="FR5582986" u="1"/>
        <s v="FR5144802" u="1"/>
        <s v="FR5418419" u="1"/>
        <s v="FR5306213" u="1"/>
        <s v="FR5311714" u="1"/>
        <s v="FR5341107" u="1"/>
        <s v="FR5208660" u="1"/>
        <s v="FR5133979" u="1"/>
        <s v="FR5072548" u="1"/>
        <s v="FR5136045" u="1"/>
        <s v="FR5313602" u="1"/>
        <s v="FR5485834" u="1"/>
        <s v="FR5115101" u="1"/>
        <s v="FR5267969" u="1"/>
        <s v="FR5485864" u="1"/>
        <s v="FR5581755" u="1"/>
        <s v="FR5092977" u="1"/>
        <s v="FR5150159" u="1"/>
        <s v="FR5486310" u="1"/>
        <s v="FR5455429" u="1"/>
        <s v="FR5530236" u="1"/>
        <s v="FR5523815" u="1"/>
        <s v="FR5359093" u="1"/>
        <s v="FR5309229" u="1"/>
        <s v="FR5150282" u="1"/>
        <s v="FR5569348" u="1"/>
        <s v="FR6084457" u="1"/>
        <s v="FR5298867" u="1"/>
      </sharedItems>
    </cacheField>
    <cacheField name="Node" numFmtId="0">
      <sharedItems/>
    </cacheField>
    <cacheField name="Name" numFmtId="0">
      <sharedItems containsBlank="1"/>
    </cacheField>
    <cacheField name="Parent" numFmtId="0">
      <sharedItems containsBlank="1"/>
    </cacheField>
    <cacheField name="Action" numFmtId="0">
      <sharedItems containsBlank="1" count="6">
        <s v="New"/>
        <s v="Move"/>
        <s v="Rename"/>
        <s v="Delete"/>
        <s v="Rename/Move"/>
        <m u="1"/>
      </sharedItems>
    </cacheField>
    <cacheField name="STATUS" numFmtId="0">
      <sharedItems containsMixedTypes="1" containsNumber="1" containsInteger="1" minValue="1" maxValue="171" count="10">
        <s v="Ok"/>
        <s v=""/>
        <n v="13" u="1"/>
        <n v="14" u="1"/>
        <n v="171" u="1"/>
        <n v="15" u="1"/>
        <n v="8" u="1"/>
        <n v="4" u="1"/>
        <n v="2" u="1"/>
        <n v="1" u="1"/>
      </sharedItems>
    </cacheField>
    <cacheField name="STATUS Check" numFmtId="0">
      <sharedItems containsBlank="1" count="22">
        <s v="Completed"/>
        <s v="Not to work on"/>
        <m u="1"/>
        <s v="Submitted" u="1"/>
        <s v="Stuck" u="1"/>
        <s v="Waiting tm1" u="1"/>
        <s v="waiting for KR00" u="1"/>
        <s v="pending" u="1"/>
        <s v="done" u="1"/>
        <s v="Moved to O00000009" u="1"/>
        <s v="waiting for approval" u="1"/>
        <s v="waiting for requestor" u="1"/>
        <s v="waiting" u="1"/>
        <s v="Approval" u="1"/>
        <s v="Waiting for tm1 replication" u="1"/>
        <s v="Reverted" u="1"/>
        <s v="done for 1000" u="1"/>
        <s v="Pending approval" u="1"/>
        <s v="remade" u="1"/>
        <s v="pending replication" u="1"/>
        <s v="for approval" u="1"/>
        <s v="Waiting approval" u="1"/>
      </sharedItems>
    </cacheField>
    <cacheField name="Sector" numFmtId="0">
      <sharedItems containsMixedTypes="1" containsNumber="1" containsInteger="1" minValue="0" maxValue="0" count="5">
        <s v="MGF"/>
        <s v="HC"/>
        <s v="LS"/>
        <s v="EL"/>
        <n v="0" u="1"/>
      </sharedItems>
    </cacheField>
    <cacheField name="Comments" numFmtId="0">
      <sharedItems containsBlank="1"/>
    </cacheField>
    <cacheField name="SANITY" numFmtId="0">
      <sharedItems containsBlank="1"/>
    </cacheField>
    <cacheField name="Auth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8">
  <r>
    <n v="1"/>
    <x v="0"/>
    <x v="0"/>
    <s v="G000001227"/>
    <s v="F34 HR - Fertility Reimbursement"/>
    <s v="G000000589"/>
    <x v="0"/>
    <x v="0"/>
    <x v="0"/>
    <x v="0"/>
    <m/>
    <m/>
    <s v="Ronald Pierre Collado"/>
  </r>
  <r>
    <n v="2"/>
    <x v="0"/>
    <x v="1"/>
    <s v="G000000431"/>
    <m/>
    <s v="G000000845"/>
    <x v="1"/>
    <x v="0"/>
    <x v="0"/>
    <x v="0"/>
    <m/>
    <m/>
    <s v="Nicolas Trautmann"/>
  </r>
  <r>
    <n v="3"/>
    <x v="0"/>
    <x v="2"/>
    <s v="H000004347"/>
    <s v="SP Evobrutinib"/>
    <s v="H000002092"/>
    <x v="0"/>
    <x v="0"/>
    <x v="0"/>
    <x v="1"/>
    <m/>
    <m/>
    <s v="Simone Oratovski"/>
  </r>
  <r>
    <n v="4"/>
    <x v="0"/>
    <x v="2"/>
    <s v="H000004348"/>
    <s v="FF Evobrutinib"/>
    <s v="H000002092"/>
    <x v="0"/>
    <x v="0"/>
    <x v="0"/>
    <x v="1"/>
    <m/>
    <m/>
    <s v="Simone Oratovski"/>
  </r>
  <r>
    <n v="5"/>
    <x v="0"/>
    <x v="3"/>
    <s v="H000004349"/>
    <s v="SP Evobrutinib"/>
    <s v="H000001807"/>
    <x v="0"/>
    <x v="0"/>
    <x v="0"/>
    <x v="1"/>
    <m/>
    <m/>
    <s v="Simone Oratovski"/>
  </r>
  <r>
    <n v="6"/>
    <x v="0"/>
    <x v="4"/>
    <s v="H000004350"/>
    <s v="HC-BA-DX Centers of Excellence"/>
    <s v="H000004177"/>
    <x v="0"/>
    <x v="0"/>
    <x v="0"/>
    <x v="0"/>
    <m/>
    <m/>
    <s v="Joshua Cachola"/>
  </r>
  <r>
    <n v="7"/>
    <x v="0"/>
    <x v="4"/>
    <s v="L000013599"/>
    <s v="LS-IT-B Business IT"/>
    <s v="L000013388"/>
    <x v="0"/>
    <x v="0"/>
    <x v="0"/>
    <x v="0"/>
    <m/>
    <m/>
    <s v="Joshua Cachola"/>
  </r>
  <r>
    <n v="8"/>
    <x v="0"/>
    <x v="4"/>
    <s v="G000001123"/>
    <s v="EF-IT-ED Data Office for Enabling Functions"/>
    <s v="G000000317  "/>
    <x v="0"/>
    <x v="0"/>
    <x v="0"/>
    <x v="0"/>
    <m/>
    <m/>
    <s v="Joshua Cachola"/>
  </r>
  <r>
    <n v="9"/>
    <x v="0"/>
    <x v="4"/>
    <s v="G000001124"/>
    <s v="EF-IT-ES Data, Digital &amp; IT - Site Mgmt &amp; Patents"/>
    <s v="G000000317"/>
    <x v="0"/>
    <x v="0"/>
    <x v="0"/>
    <x v="0"/>
    <m/>
    <m/>
    <s v="Joshua Cachola"/>
  </r>
  <r>
    <n v="10"/>
    <x v="0"/>
    <x v="4"/>
    <s v="G000001125"/>
    <s v="EF-IT-EC Key Capabilities"/>
    <s v="G000000317"/>
    <x v="0"/>
    <x v="0"/>
    <x v="0"/>
    <x v="0"/>
    <m/>
    <m/>
    <s v="Joshua Cachola"/>
  </r>
  <r>
    <n v="11"/>
    <x v="0"/>
    <x v="4"/>
    <s v="G000001126"/>
    <s v="EF-IT-EM Sustainablity Management"/>
    <s v="G000000317"/>
    <x v="0"/>
    <x v="0"/>
    <x v="0"/>
    <x v="0"/>
    <m/>
    <m/>
    <s v="Joshua Cachola"/>
  </r>
  <r>
    <n v="12"/>
    <x v="0"/>
    <x v="4"/>
    <s v="IT06031300"/>
    <s v="HC-BA-DX Centers of Excellence"/>
    <s v="H000004350"/>
    <x v="0"/>
    <x v="0"/>
    <x v="0"/>
    <x v="0"/>
    <m/>
    <m/>
    <s v="Joshua Cachola"/>
  </r>
  <r>
    <n v="13"/>
    <x v="0"/>
    <x v="4"/>
    <s v="IT06051000"/>
    <s v="LS-IT-B Business IT"/>
    <s v="L000013599"/>
    <x v="0"/>
    <x v="0"/>
    <x v="0"/>
    <x v="0"/>
    <m/>
    <m/>
    <s v="Joshua Cachola"/>
  </r>
  <r>
    <n v="14"/>
    <x v="0"/>
    <x v="4"/>
    <s v="IT06071400"/>
    <s v="EF-IT-ED Data Office for Enabling Functions"/>
    <s v="G000001123"/>
    <x v="0"/>
    <x v="0"/>
    <x v="0"/>
    <x v="0"/>
    <m/>
    <m/>
    <s v="Joshua Cachola"/>
  </r>
  <r>
    <n v="15"/>
    <x v="0"/>
    <x v="4"/>
    <s v="IT06071500"/>
    <s v="EF-IT-ES Data, Digital &amp; IT - Site Mgmt &amp; Patents"/>
    <s v="G000001124"/>
    <x v="0"/>
    <x v="0"/>
    <x v="0"/>
    <x v="0"/>
    <m/>
    <m/>
    <s v="Joshua Cachola"/>
  </r>
  <r>
    <n v="16"/>
    <x v="0"/>
    <x v="4"/>
    <s v="IT06071600"/>
    <s v="EF-IT-EC Key Capabilities"/>
    <s v="G000001125"/>
    <x v="0"/>
    <x v="0"/>
    <x v="0"/>
    <x v="0"/>
    <m/>
    <m/>
    <s v="Joshua Cachola"/>
  </r>
  <r>
    <n v="17"/>
    <x v="0"/>
    <x v="4"/>
    <s v="IT06071700"/>
    <s v="EF-IT-EM Sustainablity Management"/>
    <s v="G000001126"/>
    <x v="0"/>
    <x v="0"/>
    <x v="0"/>
    <x v="0"/>
    <m/>
    <m/>
    <s v="Joshua Cachola"/>
  </r>
  <r>
    <n v="18"/>
    <x v="0"/>
    <x v="5"/>
    <s v="IT06000000"/>
    <s v="EF-IT Information Technology"/>
    <m/>
    <x v="2"/>
    <x v="0"/>
    <x v="0"/>
    <x v="0"/>
    <m/>
    <m/>
    <s v="Joshua Cachola"/>
  </r>
  <r>
    <n v="19"/>
    <x v="0"/>
    <x v="5"/>
    <s v="IT06010000"/>
    <s v="EF-IT-C Head Office &amp; CISO"/>
    <m/>
    <x v="2"/>
    <x v="0"/>
    <x v="0"/>
    <x v="0"/>
    <m/>
    <m/>
    <s v="Joshua Cachola"/>
  </r>
  <r>
    <n v="20"/>
    <x v="0"/>
    <x v="5"/>
    <s v="IT06020000"/>
    <s v="EF-IT-A Application Technology"/>
    <m/>
    <x v="2"/>
    <x v="0"/>
    <x v="0"/>
    <x v="0"/>
    <m/>
    <m/>
    <s v="Joshua Cachola"/>
  </r>
  <r>
    <n v="21"/>
    <x v="0"/>
    <x v="5"/>
    <s v="IT06020100"/>
    <s v="EF-IT-AO Application Mgmt"/>
    <m/>
    <x v="2"/>
    <x v="0"/>
    <x v="0"/>
    <x v="0"/>
    <m/>
    <m/>
    <s v="Joshua Cachola"/>
  </r>
  <r>
    <n v="22"/>
    <x v="0"/>
    <x v="5"/>
    <s v="IT06020300"/>
    <s v="EF-IT-AE ERP Next"/>
    <m/>
    <x v="2"/>
    <x v="0"/>
    <x v="0"/>
    <x v="0"/>
    <m/>
    <m/>
    <s v="Joshua Cachola"/>
  </r>
  <r>
    <n v="23"/>
    <x v="0"/>
    <x v="5"/>
    <s v="IT06020600"/>
    <s v="EF-IT-AM Manufacturing, SCM &amp; Quality"/>
    <m/>
    <x v="2"/>
    <x v="0"/>
    <x v="0"/>
    <x v="0"/>
    <m/>
    <m/>
    <s v="Joshua Cachola"/>
  </r>
  <r>
    <n v="24"/>
    <x v="0"/>
    <x v="5"/>
    <s v="IT06020800"/>
    <s v="EF-IT-AR Apps R&amp;D"/>
    <m/>
    <x v="2"/>
    <x v="0"/>
    <x v="0"/>
    <x v="0"/>
    <m/>
    <m/>
    <s v="Joshua Cachola"/>
  </r>
  <r>
    <n v="25"/>
    <x v="0"/>
    <x v="5"/>
    <s v="IT06020900"/>
    <s v="EF-IT-AS Apps M&amp;S"/>
    <m/>
    <x v="2"/>
    <x v="0"/>
    <x v="0"/>
    <x v="0"/>
    <m/>
    <m/>
    <s v="Joshua Cachola"/>
  </r>
  <r>
    <n v="26"/>
    <x v="0"/>
    <x v="5"/>
    <s v="IT06021100"/>
    <s v="EF-IT-AA Corporate ERP Applications"/>
    <m/>
    <x v="2"/>
    <x v="0"/>
    <x v="0"/>
    <x v="0"/>
    <m/>
    <m/>
    <s v="Joshua Cachola"/>
  </r>
  <r>
    <n v="27"/>
    <x v="0"/>
    <x v="5"/>
    <s v="IT06021200"/>
    <s v="EF-IT-AC Custom Apps &amp; New Technology"/>
    <m/>
    <x v="2"/>
    <x v="0"/>
    <x v="0"/>
    <x v="0"/>
    <m/>
    <m/>
    <s v="Joshua Cachola"/>
  </r>
  <r>
    <n v="28"/>
    <x v="0"/>
    <x v="5"/>
    <s v="IT06021300"/>
    <s v="EF-IT-AX Data Mgmt and Analytics"/>
    <m/>
    <x v="2"/>
    <x v="0"/>
    <x v="0"/>
    <x v="0"/>
    <m/>
    <m/>
    <s v="Joshua Cachola"/>
  </r>
  <r>
    <n v="29"/>
    <x v="0"/>
    <x v="5"/>
    <s v="IT06021400"/>
    <s v="EF-IT-AT IT-Automation"/>
    <m/>
    <x v="2"/>
    <x v="0"/>
    <x v="0"/>
    <x v="0"/>
    <m/>
    <m/>
    <s v="Joshua Cachola"/>
  </r>
  <r>
    <n v="30"/>
    <x v="0"/>
    <x v="5"/>
    <s v="IT06021500"/>
    <s v="EF-IT-AZ Applications CoE"/>
    <m/>
    <x v="2"/>
    <x v="0"/>
    <x v="0"/>
    <x v="0"/>
    <m/>
    <m/>
    <s v="Joshua Cachola"/>
  </r>
  <r>
    <n v="31"/>
    <x v="0"/>
    <x v="5"/>
    <s v="IT06021600"/>
    <s v="EF-IT-AF Group &amp; Local Applications "/>
    <m/>
    <x v="2"/>
    <x v="0"/>
    <x v="0"/>
    <x v="0"/>
    <m/>
    <m/>
    <s v="Joshua Cachola"/>
  </r>
  <r>
    <n v="32"/>
    <x v="0"/>
    <x v="5"/>
    <s v="IT06021700"/>
    <s v="EF-IT-AI Merck Info Tech Centre India"/>
    <m/>
    <x v="2"/>
    <x v="0"/>
    <x v="0"/>
    <x v="0"/>
    <m/>
    <m/>
    <s v="Joshua Cachola"/>
  </r>
  <r>
    <n v="33"/>
    <x v="0"/>
    <x v="5"/>
    <s v="IT06030000"/>
    <s v="HC-BA-D Healthcare"/>
    <m/>
    <x v="2"/>
    <x v="0"/>
    <x v="0"/>
    <x v="0"/>
    <m/>
    <m/>
    <s v="Joshua Cachola"/>
  </r>
  <r>
    <n v="34"/>
    <x v="0"/>
    <x v="5"/>
    <s v="IT06030100"/>
    <s v="HC-BA-DP Healthcare PPM"/>
    <m/>
    <x v="2"/>
    <x v="0"/>
    <x v="0"/>
    <x v="0"/>
    <m/>
    <m/>
    <s v="Joshua Cachola"/>
  </r>
  <r>
    <n v="35"/>
    <x v="0"/>
    <x v="5"/>
    <s v="IT06030400"/>
    <s v="HC-BA-DN North America &amp; IM Franchises"/>
    <m/>
    <x v="2"/>
    <x v="0"/>
    <x v="0"/>
    <x v="0"/>
    <m/>
    <m/>
    <s v="Joshua Cachola"/>
  </r>
  <r>
    <n v="36"/>
    <x v="0"/>
    <x v="5"/>
    <s v="IT06030500"/>
    <s v="HC-BA-DI DDIT International Commercial"/>
    <m/>
    <x v="2"/>
    <x v="0"/>
    <x v="0"/>
    <x v="0"/>
    <m/>
    <m/>
    <s v="Joshua Cachola"/>
  </r>
  <r>
    <n v="37"/>
    <x v="0"/>
    <x v="5"/>
    <s v="IT06030600"/>
    <s v="HC-BA-DR Healthcare R&amp;D"/>
    <m/>
    <x v="2"/>
    <x v="0"/>
    <x v="0"/>
    <x v="0"/>
    <m/>
    <m/>
    <s v="Joshua Cachola"/>
  </r>
  <r>
    <n v="38"/>
    <x v="0"/>
    <x v="5"/>
    <s v="IT06030700"/>
    <s v="HC-BA-DG Digital, Data &amp; IT GHO"/>
    <m/>
    <x v="2"/>
    <x v="0"/>
    <x v="0"/>
    <x v="0"/>
    <m/>
    <m/>
    <s v="Joshua Cachola"/>
  </r>
  <r>
    <n v="39"/>
    <x v="0"/>
    <x v="5"/>
    <s v="IT06031200"/>
    <s v="HC-BA-DC DDIT China Healthcare"/>
    <m/>
    <x v="2"/>
    <x v="0"/>
    <x v="0"/>
    <x v="0"/>
    <m/>
    <m/>
    <s v="Joshua Cachola"/>
  </r>
  <r>
    <n v="40"/>
    <x v="0"/>
    <x v="5"/>
    <s v="IT06040000"/>
    <s v="EF-IT-I Infrastructure Technology"/>
    <m/>
    <x v="2"/>
    <x v="0"/>
    <x v="0"/>
    <x v="0"/>
    <m/>
    <m/>
    <s v="Joshua Cachola"/>
  </r>
  <r>
    <n v="41"/>
    <x v="0"/>
    <x v="5"/>
    <s v="IT06040200"/>
    <s v="EF-IT-IP Portfolio &amp; Performance Mgmt"/>
    <m/>
    <x v="2"/>
    <x v="0"/>
    <x v="0"/>
    <x v="0"/>
    <m/>
    <m/>
    <s v="Joshua Cachola"/>
  </r>
  <r>
    <n v="42"/>
    <x v="0"/>
    <x v="5"/>
    <s v="IT06040300"/>
    <s v="EF-IT-IK DC Management &amp; Cloud"/>
    <m/>
    <x v="2"/>
    <x v="0"/>
    <x v="0"/>
    <x v="0"/>
    <m/>
    <m/>
    <s v="Joshua Cachola"/>
  </r>
  <r>
    <n v="43"/>
    <x v="0"/>
    <x v="5"/>
    <s v="IT06040500"/>
    <s v="EF-IT-ID Network Management"/>
    <m/>
    <x v="2"/>
    <x v="0"/>
    <x v="0"/>
    <x v="0"/>
    <m/>
    <m/>
    <s v="Joshua Cachola"/>
  </r>
  <r>
    <n v="44"/>
    <x v="0"/>
    <x v="5"/>
    <s v="IT06041000"/>
    <s v="EF-IT-IF Digital Plant Infrastructure"/>
    <m/>
    <x v="2"/>
    <x v="0"/>
    <x v="0"/>
    <x v="0"/>
    <m/>
    <m/>
    <s v="Joshua Cachola"/>
  </r>
  <r>
    <n v="45"/>
    <x v="0"/>
    <x v="5"/>
    <s v="IT06042100"/>
    <s v="EF-IT-IW Digital Workplace"/>
    <m/>
    <x v="2"/>
    <x v="0"/>
    <x v="0"/>
    <x v="0"/>
    <m/>
    <m/>
    <s v="Joshua Cachola"/>
  </r>
  <r>
    <n v="46"/>
    <x v="0"/>
    <x v="5"/>
    <s v="IT06042400"/>
    <s v="EF-IT-IT Technology Office"/>
    <m/>
    <x v="2"/>
    <x v="0"/>
    <x v="0"/>
    <x v="0"/>
    <m/>
    <m/>
    <s v="Joshua Cachola"/>
  </r>
  <r>
    <n v="47"/>
    <x v="0"/>
    <x v="5"/>
    <s v="IT06050000"/>
    <s v="LS-IT Life Science"/>
    <m/>
    <x v="2"/>
    <x v="0"/>
    <x v="0"/>
    <x v="0"/>
    <m/>
    <m/>
    <s v="Joshua Cachola"/>
  </r>
  <r>
    <n v="48"/>
    <x v="0"/>
    <x v="5"/>
    <s v="IT06050100"/>
    <s v="LS-IT-E ERP Sales &amp; Distribution"/>
    <m/>
    <x v="2"/>
    <x v="0"/>
    <x v="0"/>
    <x v="0"/>
    <m/>
    <m/>
    <s v="Joshua Cachola"/>
  </r>
  <r>
    <n v="49"/>
    <x v="0"/>
    <x v="5"/>
    <s v="IT06050200"/>
    <s v="LS-IT-D Digital Business &amp; Analytics"/>
    <m/>
    <x v="2"/>
    <x v="0"/>
    <x v="0"/>
    <x v="0"/>
    <m/>
    <m/>
    <s v="Joshua Cachola"/>
  </r>
  <r>
    <n v="50"/>
    <x v="0"/>
    <x v="5"/>
    <s v="IT06050300"/>
    <s v="LS-IT-I Digital Plant &amp; Lab Operations"/>
    <m/>
    <x v="2"/>
    <x v="0"/>
    <x v="0"/>
    <x v="0"/>
    <m/>
    <m/>
    <s v="Joshua Cachola"/>
  </r>
  <r>
    <n v="51"/>
    <x v="0"/>
    <x v="5"/>
    <s v="IT06050400"/>
    <s v="LS-IT-N Life Science ERP"/>
    <m/>
    <x v="2"/>
    <x v="0"/>
    <x v="0"/>
    <x v="0"/>
    <m/>
    <m/>
    <s v="Joshua Cachola"/>
  </r>
  <r>
    <n v="52"/>
    <x v="0"/>
    <x v="5"/>
    <s v="IT06050500"/>
    <s v="LS-IT-P PMO-PME"/>
    <m/>
    <x v="2"/>
    <x v="0"/>
    <x v="0"/>
    <x v="0"/>
    <m/>
    <m/>
    <s v="Joshua Cachola"/>
  </r>
  <r>
    <n v="53"/>
    <x v="0"/>
    <x v="5"/>
    <s v="IT06050600"/>
    <s v="LS-IT-M Supply Chain Planning&amp;Regulatory"/>
    <m/>
    <x v="2"/>
    <x v="0"/>
    <x v="0"/>
    <x v="0"/>
    <m/>
    <m/>
    <s v="Joshua Cachola"/>
  </r>
  <r>
    <n v="54"/>
    <x v="0"/>
    <x v="5"/>
    <s v="IT06050700"/>
    <s v="LS-IT-T Marketing &amp; Commercial"/>
    <m/>
    <x v="2"/>
    <x v="0"/>
    <x v="0"/>
    <x v="0"/>
    <m/>
    <m/>
    <s v="Joshua Cachola"/>
  </r>
  <r>
    <n v="55"/>
    <x v="0"/>
    <x v="5"/>
    <s v="IT06060000"/>
    <s v="EL-SC-I Electronics"/>
    <m/>
    <x v="2"/>
    <x v="0"/>
    <x v="0"/>
    <x v="0"/>
    <m/>
    <m/>
    <s v="Joshua Cachola"/>
  </r>
  <r>
    <n v="56"/>
    <x v="0"/>
    <x v="5"/>
    <s v="IT06060100"/>
    <s v="EL-SC-ID BP Display Solutions"/>
    <m/>
    <x v="2"/>
    <x v="0"/>
    <x v="0"/>
    <x v="0"/>
    <m/>
    <m/>
    <s v="Joshua Cachola"/>
  </r>
  <r>
    <n v="57"/>
    <x v="0"/>
    <x v="5"/>
    <s v="IT06060200"/>
    <s v="EL-SC-II BP Semiconductor"/>
    <m/>
    <x v="2"/>
    <x v="0"/>
    <x v="0"/>
    <x v="0"/>
    <m/>
    <m/>
    <s v="Joshua Cachola"/>
  </r>
  <r>
    <n v="58"/>
    <x v="0"/>
    <x v="5"/>
    <s v="IT06060300"/>
    <s v="EL-SC-IO Electronics PPM"/>
    <m/>
    <x v="2"/>
    <x v="0"/>
    <x v="0"/>
    <x v="0"/>
    <m/>
    <m/>
    <s v="Joshua Cachola"/>
  </r>
  <r>
    <n v="59"/>
    <x v="0"/>
    <x v="5"/>
    <s v="IT06060400"/>
    <s v="EL-SC-IN BP DS&amp;S"/>
    <m/>
    <x v="2"/>
    <x v="0"/>
    <x v="0"/>
    <x v="0"/>
    <m/>
    <m/>
    <s v="Joshua Cachola"/>
  </r>
  <r>
    <n v="60"/>
    <x v="0"/>
    <x v="5"/>
    <s v="IT06060500"/>
    <s v="EL-SC-IS Electronics Systems"/>
    <m/>
    <x v="2"/>
    <x v="0"/>
    <x v="0"/>
    <x v="0"/>
    <m/>
    <m/>
    <s v="Joshua Cachola"/>
  </r>
  <r>
    <n v="61"/>
    <x v="0"/>
    <x v="5"/>
    <s v="IT06060600"/>
    <s v="EL-SC-IT CIO Office"/>
    <m/>
    <x v="2"/>
    <x v="0"/>
    <x v="0"/>
    <x v="0"/>
    <m/>
    <m/>
    <s v="Joshua Cachola"/>
  </r>
  <r>
    <n v="62"/>
    <x v="0"/>
    <x v="5"/>
    <s v="IT06060700"/>
    <s v="EL-SC-IP BP Surface Solutions"/>
    <m/>
    <x v="2"/>
    <x v="0"/>
    <x v="0"/>
    <x v="0"/>
    <m/>
    <m/>
    <s v="Joshua Cachola"/>
  </r>
  <r>
    <n v="63"/>
    <x v="0"/>
    <x v="5"/>
    <s v="IT06060800"/>
    <s v="EL-SC-IR Electronics ERP"/>
    <m/>
    <x v="2"/>
    <x v="0"/>
    <x v="0"/>
    <x v="0"/>
    <m/>
    <m/>
    <s v="Joshua Cachola"/>
  </r>
  <r>
    <n v="64"/>
    <x v="0"/>
    <x v="5"/>
    <s v="IT06060900"/>
    <s v="EL-SC-IE Electronics Processes"/>
    <m/>
    <x v="2"/>
    <x v="0"/>
    <x v="0"/>
    <x v="0"/>
    <m/>
    <m/>
    <s v="Joshua Cachola"/>
  </r>
  <r>
    <n v="65"/>
    <x v="0"/>
    <x v="5"/>
    <s v="IT06070000"/>
    <s v="EF-IT-E Digital, Data,&amp;IT Enab.Functions"/>
    <m/>
    <x v="2"/>
    <x v="0"/>
    <x v="0"/>
    <x v="0"/>
    <m/>
    <m/>
    <s v="Joshua Cachola"/>
  </r>
  <r>
    <n v="66"/>
    <x v="0"/>
    <x v="5"/>
    <s v="IT06070600"/>
    <s v="EF-IT-ET Portflio, Transformation &amp; Perf"/>
    <m/>
    <x v="2"/>
    <x v="0"/>
    <x v="0"/>
    <x v="0"/>
    <m/>
    <m/>
    <s v="Joshua Cachola"/>
  </r>
  <r>
    <n v="67"/>
    <x v="0"/>
    <x v="5"/>
    <s v="IT06070700"/>
    <s v="EF-IT-EH Data, Digital &amp; IT - HR&amp;othr EF"/>
    <m/>
    <x v="2"/>
    <x v="0"/>
    <x v="0"/>
    <x v="0"/>
    <m/>
    <m/>
    <s v="Joshua Cachola"/>
  </r>
  <r>
    <n v="68"/>
    <x v="0"/>
    <x v="5"/>
    <s v="IT06071100"/>
    <s v="EF-IT-EF Data, Digital &amp; IT  - Finance"/>
    <m/>
    <x v="2"/>
    <x v="0"/>
    <x v="0"/>
    <x v="0"/>
    <m/>
    <m/>
    <s v="Joshua Cachola"/>
  </r>
  <r>
    <n v="69"/>
    <x v="0"/>
    <x v="5"/>
    <s v="IT06071200"/>
    <s v="EF-IT-EP Data, Digital &amp; IT - Procrment"/>
    <m/>
    <x v="2"/>
    <x v="0"/>
    <x v="0"/>
    <x v="0"/>
    <m/>
    <m/>
    <s v="Joshua Cachola"/>
  </r>
  <r>
    <n v="70"/>
    <x v="0"/>
    <x v="5"/>
    <s v="IT06071300"/>
    <s v="EF-IT-EB Data, Digital &amp; IT - MBS "/>
    <m/>
    <x v="2"/>
    <x v="0"/>
    <x v="0"/>
    <x v="0"/>
    <m/>
    <m/>
    <s v="Joshua Cachola"/>
  </r>
  <r>
    <n v="71"/>
    <x v="0"/>
    <x v="5"/>
    <s v="IT06090000"/>
    <s v="EF-IT-X IT Special Topics"/>
    <m/>
    <x v="2"/>
    <x v="0"/>
    <x v="0"/>
    <x v="0"/>
    <m/>
    <m/>
    <s v="Joshua Cachola"/>
  </r>
  <r>
    <n v="72"/>
    <x v="0"/>
    <x v="5"/>
    <s v="IT06090100"/>
    <s v="EF-IT-XE Elevate IT"/>
    <m/>
    <x v="2"/>
    <x v="0"/>
    <x v="0"/>
    <x v="0"/>
    <m/>
    <m/>
    <s v="Joshua Cachola"/>
  </r>
  <r>
    <n v="73"/>
    <x v="0"/>
    <x v="5"/>
    <s v="IT06090200"/>
    <s v="EF-IT-XS Integration"/>
    <m/>
    <x v="2"/>
    <x v="0"/>
    <x v="0"/>
    <x v="0"/>
    <m/>
    <m/>
    <s v="Joshua Cachola"/>
  </r>
  <r>
    <n v="74"/>
    <x v="0"/>
    <x v="5"/>
    <s v="IT06090300"/>
    <s v="EF-IT-XV Various"/>
    <m/>
    <x v="2"/>
    <x v="0"/>
    <x v="0"/>
    <x v="0"/>
    <m/>
    <m/>
    <s v="Joshua Cachola"/>
  </r>
  <r>
    <n v="75"/>
    <x v="0"/>
    <x v="5"/>
    <s v="IT06100000"/>
    <s v="EF-IT-P Global ERP"/>
    <m/>
    <x v="2"/>
    <x v="0"/>
    <x v="0"/>
    <x v="0"/>
    <m/>
    <m/>
    <s v="Joshua Cachola"/>
  </r>
  <r>
    <n v="76"/>
    <x v="0"/>
    <x v="5"/>
    <s v="IT06100100"/>
    <s v="EF-IT-PC SAP Center of Competence"/>
    <m/>
    <x v="2"/>
    <x v="0"/>
    <x v="0"/>
    <x v="0"/>
    <m/>
    <m/>
    <s v="Joshua Cachola"/>
  </r>
  <r>
    <n v="77"/>
    <x v="0"/>
    <x v="5"/>
    <s v="IT06100500"/>
    <s v="EF-IT-PM MGF ERP"/>
    <m/>
    <x v="2"/>
    <x v="0"/>
    <x v="0"/>
    <x v="0"/>
    <m/>
    <m/>
    <s v="Joshua Cachola"/>
  </r>
  <r>
    <n v="78"/>
    <x v="0"/>
    <x v="5"/>
    <s v="IT06130000"/>
    <s v="EF-IT-G Governance &amp; Compliance"/>
    <m/>
    <x v="2"/>
    <x v="0"/>
    <x v="0"/>
    <x v="0"/>
    <m/>
    <m/>
    <s v="Joshua Cachola"/>
  </r>
  <r>
    <n v="79"/>
    <x v="0"/>
    <x v="5"/>
    <s v="IT06130200"/>
    <s v="EF-IT-GT Service Continuity Management"/>
    <m/>
    <x v="2"/>
    <x v="0"/>
    <x v="0"/>
    <x v="0"/>
    <m/>
    <m/>
    <s v="Joshua Cachola"/>
  </r>
  <r>
    <n v="80"/>
    <x v="0"/>
    <x v="5"/>
    <s v="IT06130600"/>
    <s v="EF-IT-GA IT Audit &amp; Quality"/>
    <m/>
    <x v="2"/>
    <x v="0"/>
    <x v="0"/>
    <x v="0"/>
    <m/>
    <m/>
    <s v="Joshua Cachola"/>
  </r>
  <r>
    <n v="81"/>
    <x v="0"/>
    <x v="5"/>
    <s v="IT06130700"/>
    <s v="EF-IT-GS Service Management"/>
    <m/>
    <x v="2"/>
    <x v="0"/>
    <x v="0"/>
    <x v="0"/>
    <m/>
    <m/>
    <s v="Joshua Cachola"/>
  </r>
  <r>
    <n v="82"/>
    <x v="0"/>
    <x v="5"/>
    <s v="IT06140000"/>
    <s v="EF-IT-S Strategy &amp; Transformation"/>
    <m/>
    <x v="2"/>
    <x v="0"/>
    <x v="0"/>
    <x v="0"/>
    <m/>
    <m/>
    <s v="Joshua Cachola"/>
  </r>
  <r>
    <n v="83"/>
    <x v="0"/>
    <x v="5"/>
    <s v="IT06140100"/>
    <s v="EF-IT-SA Enterprise Architecture"/>
    <m/>
    <x v="2"/>
    <x v="0"/>
    <x v="0"/>
    <x v="0"/>
    <m/>
    <m/>
    <s v="Joshua Cachola"/>
  </r>
  <r>
    <n v="84"/>
    <x v="0"/>
    <x v="5"/>
    <s v="IT06140300"/>
    <s v="EF-IT-SC IT Mergers &amp; Acquisitions"/>
    <m/>
    <x v="2"/>
    <x v="0"/>
    <x v="0"/>
    <x v="0"/>
    <m/>
    <m/>
    <s v="Joshua Cachola"/>
  </r>
  <r>
    <n v="85"/>
    <x v="0"/>
    <x v="5"/>
    <s v="IT06140400"/>
    <s v="EF-IT-SD CIO Office &amp; Strategic Projects"/>
    <m/>
    <x v="2"/>
    <x v="0"/>
    <x v="0"/>
    <x v="0"/>
    <m/>
    <m/>
    <s v="Joshua Cachola"/>
  </r>
  <r>
    <n v="86"/>
    <x v="0"/>
    <x v="5"/>
    <s v="IT06140500"/>
    <s v="EF-IT-SE Change Management"/>
    <m/>
    <x v="2"/>
    <x v="0"/>
    <x v="0"/>
    <x v="0"/>
    <m/>
    <m/>
    <s v="Joshua Cachola"/>
  </r>
  <r>
    <n v="87"/>
    <x v="0"/>
    <x v="5"/>
    <s v="IT06900000"/>
    <s v="EF-IT-Y IT-Decentral"/>
    <m/>
    <x v="2"/>
    <x v="0"/>
    <x v="0"/>
    <x v="0"/>
    <m/>
    <m/>
    <s v="Joshua Cachola"/>
  </r>
  <r>
    <n v="88"/>
    <x v="0"/>
    <x v="5"/>
    <s v="IT06900100"/>
    <s v="EF-IT-YL Decentral LS"/>
    <m/>
    <x v="2"/>
    <x v="0"/>
    <x v="0"/>
    <x v="0"/>
    <m/>
    <m/>
    <s v="Joshua Cachola"/>
  </r>
  <r>
    <n v="89"/>
    <x v="0"/>
    <x v="5"/>
    <s v="IT06900101"/>
    <s v="EF-IT-YLT eCommerce Technology"/>
    <m/>
    <x v="2"/>
    <x v="0"/>
    <x v="0"/>
    <x v="0"/>
    <m/>
    <m/>
    <s v="Joshua Cachola"/>
  </r>
  <r>
    <n v="90"/>
    <x v="0"/>
    <x v="5"/>
    <s v="IT06900102"/>
    <s v="EF-IT-YLM Digital Marketing"/>
    <m/>
    <x v="2"/>
    <x v="0"/>
    <x v="0"/>
    <x v="0"/>
    <m/>
    <m/>
    <s v="Joshua Cachola"/>
  </r>
  <r>
    <n v="91"/>
    <x v="0"/>
    <x v="5"/>
    <s v="IT06900103"/>
    <s v="EF-IT-YLS B2B Catalog"/>
    <m/>
    <x v="2"/>
    <x v="0"/>
    <x v="0"/>
    <x v="0"/>
    <m/>
    <m/>
    <s v="Joshua Cachola"/>
  </r>
  <r>
    <n v="92"/>
    <x v="0"/>
    <x v="5"/>
    <s v="IT06900104"/>
    <s v="EF-IT-YLQ Digital and Data Mgmt"/>
    <m/>
    <x v="2"/>
    <x v="0"/>
    <x v="0"/>
    <x v="0"/>
    <m/>
    <m/>
    <s v="Joshua Cachola"/>
  </r>
  <r>
    <n v="93"/>
    <x v="0"/>
    <x v="5"/>
    <s v="IT07000000"/>
    <s v="EF-DD Merck Data &amp; Digital"/>
    <m/>
    <x v="2"/>
    <x v="0"/>
    <x v="0"/>
    <x v="0"/>
    <m/>
    <m/>
    <s v="Joshua Cachola"/>
  </r>
  <r>
    <n v="94"/>
    <x v="0"/>
    <x v="5"/>
    <s v="IT07010000"/>
    <s v="EF-DD-A Merck Data &amp; AI Organization"/>
    <m/>
    <x v="2"/>
    <x v="0"/>
    <x v="0"/>
    <x v="0"/>
    <m/>
    <m/>
    <s v="Joshua Cachola"/>
  </r>
  <r>
    <n v="95"/>
    <x v="0"/>
    <x v="5"/>
    <s v="IT07010100"/>
    <s v="EF-DD-AO Merck Data Office"/>
    <m/>
    <x v="2"/>
    <x v="0"/>
    <x v="0"/>
    <x v="0"/>
    <m/>
    <m/>
    <s v="Joshua Cachola"/>
  </r>
  <r>
    <n v="96"/>
    <x v="0"/>
    <x v="5"/>
    <s v="IT07010200"/>
    <s v="EF-DD-AX Data Management &amp; Analytics"/>
    <m/>
    <x v="2"/>
    <x v="0"/>
    <x v="0"/>
    <x v="0"/>
    <m/>
    <m/>
    <s v="Joshua Cachola"/>
  </r>
  <r>
    <n v="97"/>
    <x v="0"/>
    <x v="5"/>
    <s v="G000000244"/>
    <s v="EF-IT Information Technology_I"/>
    <m/>
    <x v="2"/>
    <x v="0"/>
    <x v="0"/>
    <x v="0"/>
    <m/>
    <m/>
    <s v="Joshua Cachola"/>
  </r>
  <r>
    <n v="98"/>
    <x v="0"/>
    <x v="5"/>
    <s v="G000000627"/>
    <s v="EF-IT-C Head Office &amp; CISO_I"/>
    <m/>
    <x v="2"/>
    <x v="0"/>
    <x v="0"/>
    <x v="0"/>
    <m/>
    <m/>
    <s v="Joshua Cachola"/>
  </r>
  <r>
    <n v="99"/>
    <x v="0"/>
    <x v="5"/>
    <s v="G000000247"/>
    <s v="EF-IT-A Application Technology_I"/>
    <m/>
    <x v="2"/>
    <x v="0"/>
    <x v="0"/>
    <x v="0"/>
    <m/>
    <m/>
    <s v="Joshua Cachola"/>
  </r>
  <r>
    <n v="100"/>
    <x v="0"/>
    <x v="5"/>
    <s v="G000000273"/>
    <s v="EF-IT-I Infrastructure Technology_I"/>
    <m/>
    <x v="2"/>
    <x v="0"/>
    <x v="0"/>
    <x v="0"/>
    <m/>
    <m/>
    <s v="Joshua Cachola"/>
  </r>
  <r>
    <n v="101"/>
    <x v="0"/>
    <x v="5"/>
    <s v="G000000318"/>
    <s v="EF-IT-E Digital, Data,&amp;IT Enab.Functions_I"/>
    <m/>
    <x v="2"/>
    <x v="0"/>
    <x v="0"/>
    <x v="0"/>
    <m/>
    <m/>
    <s v="Joshua Cachola"/>
  </r>
  <r>
    <n v="102"/>
    <x v="0"/>
    <x v="5"/>
    <s v="G000000744"/>
    <s v="EF-IT-X IT Special Topics_I"/>
    <m/>
    <x v="2"/>
    <x v="0"/>
    <x v="0"/>
    <x v="0"/>
    <m/>
    <m/>
    <s v="Joshua Cachola"/>
  </r>
  <r>
    <n v="103"/>
    <x v="0"/>
    <x v="5"/>
    <s v="G000000341"/>
    <s v="EF-IT-P Global ERP_I"/>
    <m/>
    <x v="2"/>
    <x v="0"/>
    <x v="0"/>
    <x v="0"/>
    <m/>
    <m/>
    <s v="Joshua Cachola"/>
  </r>
  <r>
    <n v="104"/>
    <x v="0"/>
    <x v="5"/>
    <s v="G000000751"/>
    <s v="EF-IT-YL Decentral LS_I"/>
    <m/>
    <x v="2"/>
    <x v="0"/>
    <x v="0"/>
    <x v="0"/>
    <m/>
    <m/>
    <s v="Joshua Cachola"/>
  </r>
  <r>
    <n v="105"/>
    <x v="0"/>
    <x v="5"/>
    <s v="G000000750"/>
    <s v="EF-IT-Y IT-Decentral_I"/>
    <m/>
    <x v="2"/>
    <x v="0"/>
    <x v="0"/>
    <x v="0"/>
    <m/>
    <m/>
    <s v="Joshua Cachola"/>
  </r>
  <r>
    <n v="106"/>
    <x v="0"/>
    <x v="5"/>
    <s v="IT06900000"/>
    <s v="EF-IT-Y IT-Decentral_I"/>
    <m/>
    <x v="2"/>
    <x v="0"/>
    <x v="0"/>
    <x v="0"/>
    <m/>
    <m/>
    <s v="Joshua Cachola"/>
  </r>
  <r>
    <n v="107"/>
    <x v="0"/>
    <x v="5"/>
    <s v="G000000727"/>
    <s v="EF-IT-G Governance &amp; Compliance_I"/>
    <m/>
    <x v="2"/>
    <x v="0"/>
    <x v="0"/>
    <x v="0"/>
    <m/>
    <m/>
    <s v="Joshua Cachola"/>
  </r>
  <r>
    <n v="108"/>
    <x v="0"/>
    <x v="5"/>
    <s v="H000004178"/>
    <s v="HC-BA-D Healthcare_I"/>
    <m/>
    <x v="2"/>
    <x v="0"/>
    <x v="0"/>
    <x v="0"/>
    <m/>
    <m/>
    <s v="Joshua Cachola"/>
  </r>
  <r>
    <n v="109"/>
    <x v="0"/>
    <x v="5"/>
    <s v="L000013389"/>
    <s v="LS-IT Life Science_I"/>
    <m/>
    <x v="2"/>
    <x v="0"/>
    <x v="0"/>
    <x v="0"/>
    <m/>
    <m/>
    <s v="Joshua Cachola"/>
  </r>
  <r>
    <n v="110"/>
    <x v="0"/>
    <x v="5"/>
    <s v="G000000243"/>
    <s v="EF-IT Information Technology"/>
    <m/>
    <x v="2"/>
    <x v="0"/>
    <x v="0"/>
    <x v="0"/>
    <m/>
    <m/>
    <s v="Joshua Cachola"/>
  </r>
  <r>
    <n v="111"/>
    <x v="0"/>
    <x v="5"/>
    <s v="G000000245"/>
    <s v="EF-IT-C Head Office &amp; CISO"/>
    <m/>
    <x v="2"/>
    <x v="0"/>
    <x v="0"/>
    <x v="0"/>
    <m/>
    <m/>
    <s v="Joshua Cachola"/>
  </r>
  <r>
    <n v="112"/>
    <x v="0"/>
    <x v="5"/>
    <s v="G000000246"/>
    <s v="EF-IT-A Application Technology"/>
    <m/>
    <x v="2"/>
    <x v="0"/>
    <x v="0"/>
    <x v="0"/>
    <m/>
    <m/>
    <s v="Joshua Cachola"/>
  </r>
  <r>
    <n v="113"/>
    <x v="0"/>
    <x v="5"/>
    <s v="G000000248"/>
    <s v="EF-IT-AO Application Mgmt"/>
    <m/>
    <x v="2"/>
    <x v="0"/>
    <x v="0"/>
    <x v="0"/>
    <m/>
    <m/>
    <s v="Joshua Cachola"/>
  </r>
  <r>
    <n v="114"/>
    <x v="0"/>
    <x v="5"/>
    <s v="G000000250"/>
    <s v="EF-IT-AE ERP Next"/>
    <m/>
    <x v="2"/>
    <x v="0"/>
    <x v="0"/>
    <x v="0"/>
    <m/>
    <m/>
    <s v="Joshua Cachola"/>
  </r>
  <r>
    <n v="115"/>
    <x v="0"/>
    <x v="5"/>
    <s v="G000000253"/>
    <s v="EF-IT-AM Manufacturing, SCM &amp; Quality"/>
    <m/>
    <x v="2"/>
    <x v="0"/>
    <x v="0"/>
    <x v="0"/>
    <m/>
    <m/>
    <s v="Joshua Cachola"/>
  </r>
  <r>
    <n v="116"/>
    <x v="0"/>
    <x v="5"/>
    <s v="G000000255"/>
    <s v="EF-IT-AR Apps R&amp;D"/>
    <m/>
    <x v="2"/>
    <x v="0"/>
    <x v="0"/>
    <x v="0"/>
    <m/>
    <m/>
    <s v="Joshua Cachola"/>
  </r>
  <r>
    <n v="117"/>
    <x v="0"/>
    <x v="5"/>
    <s v="G000000256"/>
    <s v="EF-IT-AS Apps M&amp;S"/>
    <m/>
    <x v="2"/>
    <x v="0"/>
    <x v="0"/>
    <x v="0"/>
    <m/>
    <m/>
    <s v="Joshua Cachola"/>
  </r>
  <r>
    <n v="118"/>
    <x v="0"/>
    <x v="5"/>
    <s v="G000000258"/>
    <s v="EF-IT-AA Corporate ERP Applications"/>
    <m/>
    <x v="2"/>
    <x v="0"/>
    <x v="0"/>
    <x v="0"/>
    <m/>
    <m/>
    <s v="Joshua Cachola"/>
  </r>
  <r>
    <n v="119"/>
    <x v="0"/>
    <x v="5"/>
    <s v="G000000736"/>
    <s v="EF-IT-AC Custom Apps &amp; New Technology"/>
    <m/>
    <x v="2"/>
    <x v="0"/>
    <x v="0"/>
    <x v="0"/>
    <m/>
    <m/>
    <s v="Joshua Cachola"/>
  </r>
  <r>
    <n v="120"/>
    <x v="0"/>
    <x v="5"/>
    <s v="G000000783"/>
    <s v="EF-IT-AX Data Mgmt and Analytics"/>
    <m/>
    <x v="2"/>
    <x v="0"/>
    <x v="0"/>
    <x v="0"/>
    <m/>
    <m/>
    <s v="Joshua Cachola"/>
  </r>
  <r>
    <n v="121"/>
    <x v="0"/>
    <x v="5"/>
    <s v="G000000893"/>
    <s v="EF-IT-AT IT-Automation"/>
    <m/>
    <x v="2"/>
    <x v="0"/>
    <x v="0"/>
    <x v="0"/>
    <m/>
    <m/>
    <s v="Joshua Cachola"/>
  </r>
  <r>
    <n v="122"/>
    <x v="0"/>
    <x v="5"/>
    <s v="G000001099"/>
    <s v="EF-IT-AZ Applications CoE"/>
    <m/>
    <x v="2"/>
    <x v="0"/>
    <x v="0"/>
    <x v="0"/>
    <m/>
    <m/>
    <s v="Joshua Cachola"/>
  </r>
  <r>
    <n v="123"/>
    <x v="0"/>
    <x v="5"/>
    <s v="G000001116"/>
    <s v="EF-IT-AF Group &amp; Local Applications "/>
    <m/>
    <x v="2"/>
    <x v="0"/>
    <x v="0"/>
    <x v="0"/>
    <m/>
    <m/>
    <s v="Joshua Cachola"/>
  </r>
  <r>
    <n v="124"/>
    <x v="0"/>
    <x v="5"/>
    <s v="G000001117"/>
    <s v="EF-IT-AI Merck Info Tech Centre India"/>
    <m/>
    <x v="2"/>
    <x v="0"/>
    <x v="0"/>
    <x v="0"/>
    <m/>
    <m/>
    <s v="Joshua Cachola"/>
  </r>
  <r>
    <n v="125"/>
    <x v="0"/>
    <x v="5"/>
    <s v="H000004177"/>
    <s v="HC-BA-D Healthcare"/>
    <m/>
    <x v="2"/>
    <x v="0"/>
    <x v="0"/>
    <x v="0"/>
    <m/>
    <m/>
    <s v="Joshua Cachola"/>
  </r>
  <r>
    <n v="126"/>
    <x v="0"/>
    <x v="5"/>
    <s v="H000004179"/>
    <s v="HC-BA-DP Healthcare PPM"/>
    <m/>
    <x v="2"/>
    <x v="0"/>
    <x v="0"/>
    <x v="0"/>
    <m/>
    <m/>
    <s v="Joshua Cachola"/>
  </r>
  <r>
    <n v="127"/>
    <x v="0"/>
    <x v="5"/>
    <s v="H000004182"/>
    <s v="HC-BA-DN North America &amp; IM Franchises"/>
    <m/>
    <x v="2"/>
    <x v="0"/>
    <x v="0"/>
    <x v="0"/>
    <m/>
    <m/>
    <s v="Joshua Cachola"/>
  </r>
  <r>
    <n v="128"/>
    <x v="0"/>
    <x v="5"/>
    <s v="H000004183"/>
    <s v="HC-BA-DI DDIT International Commercial"/>
    <m/>
    <x v="2"/>
    <x v="0"/>
    <x v="0"/>
    <x v="0"/>
    <m/>
    <m/>
    <s v="Joshua Cachola"/>
  </r>
  <r>
    <n v="129"/>
    <x v="0"/>
    <x v="5"/>
    <s v="H000004184"/>
    <s v="HC-BA-DR Healthcare R&amp;D"/>
    <m/>
    <x v="2"/>
    <x v="0"/>
    <x v="0"/>
    <x v="0"/>
    <m/>
    <m/>
    <s v="Joshua Cachola"/>
  </r>
  <r>
    <n v="130"/>
    <x v="0"/>
    <x v="5"/>
    <s v="H000004185"/>
    <s v="HC-BA-DG Digital, Data &amp; IT GHO"/>
    <m/>
    <x v="2"/>
    <x v="0"/>
    <x v="0"/>
    <x v="0"/>
    <m/>
    <m/>
    <s v="Joshua Cachola"/>
  </r>
  <r>
    <n v="131"/>
    <x v="0"/>
    <x v="5"/>
    <s v="H000004180"/>
    <s v="HC-BA-DC DDIT China Healthcare"/>
    <m/>
    <x v="2"/>
    <x v="0"/>
    <x v="0"/>
    <x v="0"/>
    <m/>
    <m/>
    <s v="Joshua Cachola"/>
  </r>
  <r>
    <n v="132"/>
    <x v="0"/>
    <x v="5"/>
    <s v="G000000272"/>
    <s v="EF-IT-I Infrastructure Technology"/>
    <m/>
    <x v="2"/>
    <x v="0"/>
    <x v="0"/>
    <x v="0"/>
    <m/>
    <m/>
    <s v="Joshua Cachola"/>
  </r>
  <r>
    <n v="133"/>
    <x v="0"/>
    <x v="5"/>
    <s v="G000000275"/>
    <s v="EF-IT-IP Portfolio &amp; Performance Mgmt"/>
    <m/>
    <x v="2"/>
    <x v="0"/>
    <x v="0"/>
    <x v="0"/>
    <m/>
    <m/>
    <s v="Joshua Cachola"/>
  </r>
  <r>
    <n v="134"/>
    <x v="0"/>
    <x v="5"/>
    <s v="G000000276"/>
    <s v="EF-IT-IK DC Management &amp; Cloud"/>
    <m/>
    <x v="2"/>
    <x v="0"/>
    <x v="0"/>
    <x v="0"/>
    <m/>
    <m/>
    <s v="Joshua Cachola"/>
  </r>
  <r>
    <n v="135"/>
    <x v="0"/>
    <x v="5"/>
    <s v="G000000277"/>
    <s v="EF-IT-ID Network Management"/>
    <m/>
    <x v="2"/>
    <x v="0"/>
    <x v="0"/>
    <x v="0"/>
    <m/>
    <m/>
    <s v="Joshua Cachola"/>
  </r>
  <r>
    <n v="136"/>
    <x v="0"/>
    <x v="5"/>
    <s v="G000000279"/>
    <s v="EF-IT-IF Digital Plant Infrastructure"/>
    <m/>
    <x v="2"/>
    <x v="0"/>
    <x v="0"/>
    <x v="0"/>
    <m/>
    <m/>
    <s v="Joshua Cachola"/>
  </r>
  <r>
    <n v="137"/>
    <x v="0"/>
    <x v="5"/>
    <s v="G000000282"/>
    <s v="EF-IT-IW Digital Workplace"/>
    <m/>
    <x v="2"/>
    <x v="0"/>
    <x v="0"/>
    <x v="0"/>
    <m/>
    <m/>
    <s v="Joshua Cachola"/>
  </r>
  <r>
    <n v="138"/>
    <x v="0"/>
    <x v="5"/>
    <s v="G000000895"/>
    <s v="EF-IT-IT Technology Office"/>
    <m/>
    <x v="2"/>
    <x v="0"/>
    <x v="0"/>
    <x v="0"/>
    <m/>
    <m/>
    <s v="Joshua Cachola"/>
  </r>
  <r>
    <n v="139"/>
    <x v="0"/>
    <x v="5"/>
    <s v="L000013388"/>
    <s v="LS-IT Life Science"/>
    <m/>
    <x v="2"/>
    <x v="0"/>
    <x v="0"/>
    <x v="0"/>
    <m/>
    <m/>
    <s v="Joshua Cachola"/>
  </r>
  <r>
    <n v="140"/>
    <x v="0"/>
    <x v="5"/>
    <s v="L000013396"/>
    <s v="LS-IT-E ERP Sales &amp; Distribution"/>
    <m/>
    <x v="2"/>
    <x v="0"/>
    <x v="0"/>
    <x v="0"/>
    <m/>
    <m/>
    <s v="Joshua Cachola"/>
  </r>
  <r>
    <n v="141"/>
    <x v="0"/>
    <x v="5"/>
    <s v="L000013395"/>
    <s v="LS-IT-D Digital Business &amp; Analytics"/>
    <m/>
    <x v="2"/>
    <x v="0"/>
    <x v="0"/>
    <x v="0"/>
    <m/>
    <m/>
    <s v="Joshua Cachola"/>
  </r>
  <r>
    <n v="142"/>
    <x v="0"/>
    <x v="5"/>
    <s v="L000013390"/>
    <s v="LS-IT-I Digital Plant &amp; Lab Operations"/>
    <m/>
    <x v="2"/>
    <x v="0"/>
    <x v="0"/>
    <x v="0"/>
    <m/>
    <m/>
    <s v="Joshua Cachola"/>
  </r>
  <r>
    <n v="143"/>
    <x v="0"/>
    <x v="5"/>
    <s v="L000013391"/>
    <s v="LS-IT-N Life Science ERP"/>
    <m/>
    <x v="2"/>
    <x v="0"/>
    <x v="0"/>
    <x v="0"/>
    <m/>
    <m/>
    <s v="Joshua Cachola"/>
  </r>
  <r>
    <n v="144"/>
    <x v="0"/>
    <x v="5"/>
    <s v="L000013392"/>
    <s v="LS-IT-P PMO-PME"/>
    <m/>
    <x v="2"/>
    <x v="0"/>
    <x v="0"/>
    <x v="0"/>
    <m/>
    <m/>
    <s v="Joshua Cachola"/>
  </r>
  <r>
    <n v="145"/>
    <x v="0"/>
    <x v="5"/>
    <s v="L000013397"/>
    <s v="LS-IT-M Supply Chain Planning&amp;Regulatory"/>
    <m/>
    <x v="2"/>
    <x v="0"/>
    <x v="0"/>
    <x v="0"/>
    <m/>
    <m/>
    <s v="Joshua Cachola"/>
  </r>
  <r>
    <n v="146"/>
    <x v="0"/>
    <x v="5"/>
    <s v="L000013393"/>
    <s v="LS-IT-T Marketing &amp; Commercial"/>
    <m/>
    <x v="2"/>
    <x v="0"/>
    <x v="0"/>
    <x v="0"/>
    <m/>
    <m/>
    <s v="Joshua Cachola"/>
  </r>
  <r>
    <n v="147"/>
    <x v="0"/>
    <x v="5"/>
    <s v="G000000305"/>
    <s v="EL-SC-I Electronics"/>
    <m/>
    <x v="2"/>
    <x v="0"/>
    <x v="0"/>
    <x v="0"/>
    <m/>
    <m/>
    <s v="Joshua Cachola"/>
  </r>
  <r>
    <n v="148"/>
    <x v="0"/>
    <x v="5"/>
    <s v="P000000760"/>
    <s v="EL-SC-ID BP Display Solutions"/>
    <m/>
    <x v="2"/>
    <x v="0"/>
    <x v="0"/>
    <x v="0"/>
    <m/>
    <m/>
    <s v="Joshua Cachola"/>
  </r>
  <r>
    <n v="149"/>
    <x v="0"/>
    <x v="5"/>
    <s v="P000000766"/>
    <s v="EL-SC-II BP Semiconductor"/>
    <m/>
    <x v="2"/>
    <x v="0"/>
    <x v="0"/>
    <x v="0"/>
    <m/>
    <m/>
    <s v="Joshua Cachola"/>
  </r>
  <r>
    <n v="150"/>
    <x v="0"/>
    <x v="5"/>
    <s v="P000000761"/>
    <s v="EL-SC-IO Electronics PPM"/>
    <m/>
    <x v="2"/>
    <x v="0"/>
    <x v="0"/>
    <x v="0"/>
    <m/>
    <m/>
    <s v="Joshua Cachola"/>
  </r>
  <r>
    <n v="151"/>
    <x v="0"/>
    <x v="5"/>
    <s v="P000000767"/>
    <s v="EL-SC-IN BP DS&amp;S"/>
    <m/>
    <x v="2"/>
    <x v="0"/>
    <x v="0"/>
    <x v="0"/>
    <m/>
    <m/>
    <s v="Joshua Cachola"/>
  </r>
  <r>
    <n v="152"/>
    <x v="0"/>
    <x v="5"/>
    <s v="P000000762"/>
    <s v="EL-SC-IS Electronics Systems"/>
    <m/>
    <x v="2"/>
    <x v="0"/>
    <x v="0"/>
    <x v="0"/>
    <m/>
    <m/>
    <s v="Joshua Cachola"/>
  </r>
  <r>
    <n v="153"/>
    <x v="0"/>
    <x v="5"/>
    <s v="P000000768"/>
    <s v="EL-SC-IT CIO Office"/>
    <m/>
    <x v="2"/>
    <x v="0"/>
    <x v="0"/>
    <x v="0"/>
    <m/>
    <m/>
    <s v="Joshua Cachola"/>
  </r>
  <r>
    <n v="154"/>
    <x v="0"/>
    <x v="5"/>
    <s v="P000000763"/>
    <s v="EL-SC-IP BP Surface Solutions"/>
    <m/>
    <x v="2"/>
    <x v="0"/>
    <x v="0"/>
    <x v="0"/>
    <m/>
    <m/>
    <s v="Joshua Cachola"/>
  </r>
  <r>
    <n v="155"/>
    <x v="0"/>
    <x v="5"/>
    <s v="P000000764"/>
    <s v="EL-SC-IR Electronics ERP"/>
    <m/>
    <x v="2"/>
    <x v="0"/>
    <x v="0"/>
    <x v="0"/>
    <m/>
    <m/>
    <s v="Joshua Cachola"/>
  </r>
  <r>
    <n v="156"/>
    <x v="0"/>
    <x v="5"/>
    <s v="P000000765"/>
    <s v="EL-SC-IE Electronics Processes"/>
    <m/>
    <x v="2"/>
    <x v="0"/>
    <x v="0"/>
    <x v="0"/>
    <m/>
    <m/>
    <s v="Joshua Cachola"/>
  </r>
  <r>
    <n v="157"/>
    <x v="0"/>
    <x v="5"/>
    <s v="G000000317"/>
    <s v="EF-IT-E Digital, Data,&amp;IT Enab.Functions"/>
    <m/>
    <x v="2"/>
    <x v="0"/>
    <x v="0"/>
    <x v="0"/>
    <m/>
    <m/>
    <s v="Joshua Cachola"/>
  </r>
  <r>
    <n v="158"/>
    <x v="0"/>
    <x v="5"/>
    <s v="G000000324"/>
    <s v="EF-IT-ET Portflio, Transformation &amp; Perf"/>
    <m/>
    <x v="2"/>
    <x v="0"/>
    <x v="0"/>
    <x v="0"/>
    <m/>
    <m/>
    <s v="Joshua Cachola"/>
  </r>
  <r>
    <n v="159"/>
    <x v="0"/>
    <x v="5"/>
    <s v="G000000325"/>
    <s v="EF-IT-EH Data, Digital &amp; IT - HR&amp;othr EF"/>
    <m/>
    <x v="2"/>
    <x v="0"/>
    <x v="0"/>
    <x v="0"/>
    <m/>
    <m/>
    <s v="Joshua Cachola"/>
  </r>
  <r>
    <n v="160"/>
    <x v="0"/>
    <x v="5"/>
    <s v="G000000786"/>
    <s v="EF-IT-EF Data, Digital &amp; IT  - Finance"/>
    <m/>
    <x v="2"/>
    <x v="0"/>
    <x v="0"/>
    <x v="0"/>
    <m/>
    <m/>
    <s v="Joshua Cachola"/>
  </r>
  <r>
    <n v="161"/>
    <x v="0"/>
    <x v="5"/>
    <s v="G000000787"/>
    <s v="EF-IT-EP Data, Digital &amp; IT - Procrment"/>
    <m/>
    <x v="2"/>
    <x v="0"/>
    <x v="0"/>
    <x v="0"/>
    <m/>
    <m/>
    <s v="Joshua Cachola"/>
  </r>
  <r>
    <n v="162"/>
    <x v="0"/>
    <x v="5"/>
    <s v="G000000788"/>
    <s v="EF-IT-EB Data, Digital &amp; IT - MBS "/>
    <m/>
    <x v="2"/>
    <x v="0"/>
    <x v="0"/>
    <x v="0"/>
    <m/>
    <m/>
    <s v="Joshua Cachola"/>
  </r>
  <r>
    <n v="163"/>
    <x v="0"/>
    <x v="5"/>
    <s v="G000000336"/>
    <s v="EF-IT-X IT Special Topics"/>
    <m/>
    <x v="2"/>
    <x v="0"/>
    <x v="0"/>
    <x v="0"/>
    <m/>
    <m/>
    <s v="Joshua Cachola"/>
  </r>
  <r>
    <n v="164"/>
    <x v="0"/>
    <x v="5"/>
    <s v="G000000337"/>
    <s v="EF-IT-XE Elevate IT"/>
    <m/>
    <x v="2"/>
    <x v="0"/>
    <x v="0"/>
    <x v="0"/>
    <m/>
    <m/>
    <s v="Joshua Cachola"/>
  </r>
  <r>
    <n v="165"/>
    <x v="0"/>
    <x v="5"/>
    <s v="G000000338"/>
    <s v="EF-IT-XS Integration"/>
    <m/>
    <x v="2"/>
    <x v="0"/>
    <x v="0"/>
    <x v="0"/>
    <m/>
    <m/>
    <s v="Joshua Cachola"/>
  </r>
  <r>
    <n v="166"/>
    <x v="0"/>
    <x v="5"/>
    <s v="G000000339"/>
    <s v="EF-IT-XV Various"/>
    <m/>
    <x v="2"/>
    <x v="0"/>
    <x v="0"/>
    <x v="0"/>
    <m/>
    <m/>
    <s v="Joshua Cachola"/>
  </r>
  <r>
    <n v="167"/>
    <x v="0"/>
    <x v="5"/>
    <s v="G000000340"/>
    <s v="EF-IT-P Global ERP"/>
    <m/>
    <x v="2"/>
    <x v="0"/>
    <x v="0"/>
    <x v="0"/>
    <m/>
    <m/>
    <s v="Joshua Cachola"/>
  </r>
  <r>
    <n v="168"/>
    <x v="0"/>
    <x v="5"/>
    <s v="G000000342"/>
    <s v="EF-IT-PC SAP Center of Competence"/>
    <m/>
    <x v="2"/>
    <x v="0"/>
    <x v="0"/>
    <x v="0"/>
    <m/>
    <m/>
    <s v="Joshua Cachola"/>
  </r>
  <r>
    <n v="169"/>
    <x v="0"/>
    <x v="5"/>
    <s v="G000000752"/>
    <s v="EF-IT-PM MGF ERP"/>
    <m/>
    <x v="2"/>
    <x v="0"/>
    <x v="0"/>
    <x v="0"/>
    <m/>
    <m/>
    <s v="Joshua Cachola"/>
  </r>
  <r>
    <n v="170"/>
    <x v="0"/>
    <x v="5"/>
    <s v="G000000726"/>
    <s v="EF-IT-G Governance &amp; Compliance"/>
    <m/>
    <x v="2"/>
    <x v="0"/>
    <x v="0"/>
    <x v="0"/>
    <m/>
    <m/>
    <s v="Joshua Cachola"/>
  </r>
  <r>
    <n v="171"/>
    <x v="0"/>
    <x v="5"/>
    <s v="G000000730"/>
    <s v="EF-IT-GT Service Continuity Management"/>
    <m/>
    <x v="2"/>
    <x v="0"/>
    <x v="0"/>
    <x v="0"/>
    <m/>
    <m/>
    <s v="Joshua Cachola"/>
  </r>
  <r>
    <n v="172"/>
    <x v="0"/>
    <x v="5"/>
    <s v="G000000785"/>
    <s v="EF-IT-GA IT Audit &amp; Quality"/>
    <m/>
    <x v="2"/>
    <x v="0"/>
    <x v="0"/>
    <x v="0"/>
    <m/>
    <m/>
    <s v="Joshua Cachola"/>
  </r>
  <r>
    <n v="173"/>
    <x v="0"/>
    <x v="5"/>
    <s v="G000000894"/>
    <s v="EF-IT-GS Service Management"/>
    <m/>
    <x v="2"/>
    <x v="0"/>
    <x v="0"/>
    <x v="0"/>
    <m/>
    <m/>
    <s v="Joshua Cachola"/>
  </r>
  <r>
    <n v="174"/>
    <x v="0"/>
    <x v="5"/>
    <s v="G000000789"/>
    <s v="EF-IT-S Strategy &amp; Transformation"/>
    <m/>
    <x v="2"/>
    <x v="0"/>
    <x v="0"/>
    <x v="0"/>
    <m/>
    <m/>
    <s v="Joshua Cachola"/>
  </r>
  <r>
    <n v="175"/>
    <x v="0"/>
    <x v="5"/>
    <s v="G000000835"/>
    <s v="EF-IT-SA Enterprise Architecture"/>
    <m/>
    <x v="2"/>
    <x v="0"/>
    <x v="0"/>
    <x v="0"/>
    <m/>
    <m/>
    <s v="Joshua Cachola"/>
  </r>
  <r>
    <n v="176"/>
    <x v="0"/>
    <x v="5"/>
    <s v="G000000837"/>
    <s v="EF-IT-SC IT Mergers &amp; Acquisitions"/>
    <m/>
    <x v="2"/>
    <x v="0"/>
    <x v="0"/>
    <x v="0"/>
    <m/>
    <m/>
    <s v="Joshua Cachola"/>
  </r>
  <r>
    <n v="177"/>
    <x v="0"/>
    <x v="5"/>
    <s v="G000000838"/>
    <s v="EF-IT-SD CIO Office &amp; Strategic Projects"/>
    <m/>
    <x v="2"/>
    <x v="0"/>
    <x v="0"/>
    <x v="0"/>
    <m/>
    <m/>
    <s v="Joshua Cachola"/>
  </r>
  <r>
    <n v="178"/>
    <x v="0"/>
    <x v="5"/>
    <s v="G000000839"/>
    <s v="EF-IT-SE Change Management"/>
    <m/>
    <x v="2"/>
    <x v="0"/>
    <x v="0"/>
    <x v="0"/>
    <m/>
    <m/>
    <s v="Joshua Cachola"/>
  </r>
  <r>
    <n v="179"/>
    <x v="0"/>
    <x v="5"/>
    <s v="G000000346"/>
    <s v="EF-IT-Y IT-Decentral"/>
    <m/>
    <x v="2"/>
    <x v="0"/>
    <x v="0"/>
    <x v="0"/>
    <m/>
    <m/>
    <s v="Joshua Cachola"/>
  </r>
  <r>
    <n v="180"/>
    <x v="0"/>
    <x v="5"/>
    <s v="G000000347"/>
    <s v="EF-IT-YL Decentral LS"/>
    <m/>
    <x v="2"/>
    <x v="0"/>
    <x v="0"/>
    <x v="0"/>
    <m/>
    <m/>
    <s v="Joshua Cachola"/>
  </r>
  <r>
    <n v="181"/>
    <x v="0"/>
    <x v="5"/>
    <s v="G000000348"/>
    <s v="EF-IT-YLT eCommerce Technology"/>
    <m/>
    <x v="2"/>
    <x v="0"/>
    <x v="0"/>
    <x v="0"/>
    <m/>
    <m/>
    <s v="Joshua Cachola"/>
  </r>
  <r>
    <n v="182"/>
    <x v="0"/>
    <x v="5"/>
    <s v="G000000349"/>
    <s v="EF-IT-YLM Digital Marketing"/>
    <m/>
    <x v="2"/>
    <x v="0"/>
    <x v="0"/>
    <x v="0"/>
    <m/>
    <m/>
    <s v="Joshua Cachola"/>
  </r>
  <r>
    <n v="183"/>
    <x v="0"/>
    <x v="5"/>
    <s v="G000000350"/>
    <s v="EF-IT-YLS B2B Catalog"/>
    <m/>
    <x v="2"/>
    <x v="0"/>
    <x v="0"/>
    <x v="0"/>
    <m/>
    <m/>
    <s v="Joshua Cachola"/>
  </r>
  <r>
    <n v="184"/>
    <x v="0"/>
    <x v="5"/>
    <s v="G000000351"/>
    <s v="EF-IT-YLQ Digital and Data Mgmt"/>
    <m/>
    <x v="2"/>
    <x v="0"/>
    <x v="0"/>
    <x v="0"/>
    <m/>
    <m/>
    <s v="Joshua Cachola"/>
  </r>
  <r>
    <n v="185"/>
    <x v="0"/>
    <x v="5"/>
    <s v="G000001118"/>
    <s v="EF-DD Merck Data &amp; Digital"/>
    <m/>
    <x v="2"/>
    <x v="0"/>
    <x v="0"/>
    <x v="0"/>
    <m/>
    <m/>
    <s v="Joshua Cachola"/>
  </r>
  <r>
    <n v="186"/>
    <x v="0"/>
    <x v="5"/>
    <s v="G000001119"/>
    <s v="EF-DD-A Merck Data &amp; AI Organization"/>
    <m/>
    <x v="2"/>
    <x v="0"/>
    <x v="0"/>
    <x v="0"/>
    <m/>
    <m/>
    <s v="Joshua Cachola"/>
  </r>
  <r>
    <n v="187"/>
    <x v="0"/>
    <x v="5"/>
    <s v="G000001120"/>
    <s v="EF-DD-AO Merck Data Office"/>
    <m/>
    <x v="2"/>
    <x v="0"/>
    <x v="0"/>
    <x v="0"/>
    <m/>
    <m/>
    <s v="Joshua Cachola"/>
  </r>
  <r>
    <n v="188"/>
    <x v="0"/>
    <x v="5"/>
    <s v="G000001121"/>
    <s v="EF-DD-AX Data Management &amp; Analytics"/>
    <m/>
    <x v="2"/>
    <x v="0"/>
    <x v="0"/>
    <x v="0"/>
    <m/>
    <m/>
    <s v="Joshua Cachola"/>
  </r>
  <r>
    <n v="189"/>
    <x v="0"/>
    <x v="6"/>
    <s v="H000004347"/>
    <s v="GB - SP Evobrutinib"/>
    <m/>
    <x v="2"/>
    <x v="0"/>
    <x v="0"/>
    <x v="1"/>
    <m/>
    <m/>
    <s v="Roland Earvin Combalicer"/>
  </r>
  <r>
    <n v="190"/>
    <x v="0"/>
    <x v="6"/>
    <s v="H000004348"/>
    <s v="GB - FF Evobrutinib"/>
    <m/>
    <x v="2"/>
    <x v="0"/>
    <x v="0"/>
    <x v="1"/>
    <m/>
    <m/>
    <s v="Roland Earvin Combalicer"/>
  </r>
  <r>
    <n v="191"/>
    <x v="0"/>
    <x v="6"/>
    <s v="H000004349"/>
    <s v="IE - SP Evobrutinib"/>
    <m/>
    <x v="2"/>
    <x v="0"/>
    <x v="0"/>
    <x v="1"/>
    <m/>
    <m/>
    <s v="Roland Earvin Combalicer"/>
  </r>
  <r>
    <n v="192"/>
    <x v="0"/>
    <x v="7"/>
    <s v="G000000367"/>
    <m/>
    <s v="O000000009"/>
    <x v="3"/>
    <x v="0"/>
    <x v="0"/>
    <x v="0"/>
    <m/>
    <m/>
    <s v="Marcus Morowski"/>
  </r>
  <r>
    <n v="193"/>
    <x v="0"/>
    <x v="7"/>
    <s v="G000000368"/>
    <m/>
    <s v="O000000009"/>
    <x v="3"/>
    <x v="0"/>
    <x v="0"/>
    <x v="0"/>
    <m/>
    <m/>
    <s v="Marcus Morowski"/>
  </r>
  <r>
    <n v="194"/>
    <x v="0"/>
    <x v="7"/>
    <s v="G000000403"/>
    <m/>
    <s v="O000000009"/>
    <x v="3"/>
    <x v="0"/>
    <x v="0"/>
    <x v="0"/>
    <m/>
    <m/>
    <s v="Marcus Morowski"/>
  </r>
  <r>
    <n v="195"/>
    <x v="0"/>
    <x v="7"/>
    <s v="G000000405"/>
    <m/>
    <s v="O000000009"/>
    <x v="3"/>
    <x v="0"/>
    <x v="0"/>
    <x v="0"/>
    <m/>
    <m/>
    <s v="Marcus Morowski"/>
  </r>
  <r>
    <n v="196"/>
    <x v="0"/>
    <x v="7"/>
    <s v="G000000406"/>
    <m/>
    <s v="O000000009"/>
    <x v="3"/>
    <x v="0"/>
    <x v="0"/>
    <x v="0"/>
    <m/>
    <m/>
    <s v="Marcus Morowski"/>
  </r>
  <r>
    <n v="197"/>
    <x v="0"/>
    <x v="7"/>
    <s v="G000000407"/>
    <m/>
    <s v="O000000009"/>
    <x v="3"/>
    <x v="0"/>
    <x v="0"/>
    <x v="0"/>
    <m/>
    <m/>
    <s v="Marcus Morowski"/>
  </r>
  <r>
    <n v="198"/>
    <x v="0"/>
    <x v="7"/>
    <s v="G000000408"/>
    <m/>
    <s v="O000000009"/>
    <x v="3"/>
    <x v="0"/>
    <x v="0"/>
    <x v="0"/>
    <m/>
    <m/>
    <s v="Marcus Morowski"/>
  </r>
  <r>
    <n v="199"/>
    <x v="0"/>
    <x v="7"/>
    <s v="G000000409"/>
    <m/>
    <s v="O000000009"/>
    <x v="3"/>
    <x v="0"/>
    <x v="0"/>
    <x v="0"/>
    <m/>
    <m/>
    <s v="Marcus Morowski"/>
  </r>
  <r>
    <n v="200"/>
    <x v="0"/>
    <x v="7"/>
    <s v="L000009976"/>
    <m/>
    <s v="O000000009"/>
    <x v="3"/>
    <x v="0"/>
    <x v="0"/>
    <x v="0"/>
    <m/>
    <m/>
    <s v="Marcus Morowski"/>
  </r>
  <r>
    <n v="201"/>
    <x v="0"/>
    <x v="7"/>
    <s v="G000000687"/>
    <m/>
    <s v="O000000009"/>
    <x v="3"/>
    <x v="0"/>
    <x v="0"/>
    <x v="0"/>
    <m/>
    <m/>
    <s v="Marcus Morowski"/>
  </r>
  <r>
    <n v="202"/>
    <x v="0"/>
    <x v="7"/>
    <s v="G000000688"/>
    <m/>
    <s v="O000000009"/>
    <x v="3"/>
    <x v="0"/>
    <x v="0"/>
    <x v="0"/>
    <m/>
    <m/>
    <s v="Marcus Morowski"/>
  </r>
  <r>
    <n v="203"/>
    <x v="0"/>
    <x v="7"/>
    <s v="G000000689"/>
    <m/>
    <s v="O000000009"/>
    <x v="3"/>
    <x v="0"/>
    <x v="0"/>
    <x v="0"/>
    <m/>
    <m/>
    <s v="Marcus Morowski"/>
  </r>
  <r>
    <n v="204"/>
    <x v="0"/>
    <x v="7"/>
    <s v="G000000690"/>
    <m/>
    <s v="O000000009"/>
    <x v="3"/>
    <x v="0"/>
    <x v="0"/>
    <x v="0"/>
    <m/>
    <m/>
    <s v="Marcus Morowski"/>
  </r>
  <r>
    <n v="205"/>
    <x v="0"/>
    <x v="7"/>
    <s v="G000000691"/>
    <m/>
    <s v="O000000009"/>
    <x v="3"/>
    <x v="0"/>
    <x v="0"/>
    <x v="0"/>
    <m/>
    <m/>
    <s v="Marcus Morowski"/>
  </r>
  <r>
    <n v="206"/>
    <x v="0"/>
    <x v="7"/>
    <s v="G000000692"/>
    <m/>
    <s v="O000000009"/>
    <x v="3"/>
    <x v="0"/>
    <x v="0"/>
    <x v="0"/>
    <m/>
    <m/>
    <s v="Marcus Morowski"/>
  </r>
  <r>
    <n v="207"/>
    <x v="0"/>
    <x v="7"/>
    <s v="G000000693"/>
    <m/>
    <s v="O000000009"/>
    <x v="3"/>
    <x v="0"/>
    <x v="0"/>
    <x v="0"/>
    <m/>
    <m/>
    <s v="Marcus Morowski"/>
  </r>
  <r>
    <n v="208"/>
    <x v="0"/>
    <x v="7"/>
    <s v="G000000694"/>
    <m/>
    <s v="O000000009"/>
    <x v="3"/>
    <x v="0"/>
    <x v="0"/>
    <x v="0"/>
    <m/>
    <m/>
    <s v="Marcus Morowski"/>
  </r>
  <r>
    <n v="209"/>
    <x v="0"/>
    <x v="7"/>
    <s v="G000000695"/>
    <m/>
    <s v="O000000009"/>
    <x v="3"/>
    <x v="0"/>
    <x v="0"/>
    <x v="0"/>
    <m/>
    <m/>
    <s v="Marcus Morowski"/>
  </r>
  <r>
    <n v="210"/>
    <x v="0"/>
    <x v="7"/>
    <s v="G000000696"/>
    <m/>
    <s v="O000000009"/>
    <x v="3"/>
    <x v="0"/>
    <x v="0"/>
    <x v="0"/>
    <m/>
    <m/>
    <s v="Marcus Morowski"/>
  </r>
  <r>
    <n v="211"/>
    <x v="0"/>
    <x v="7"/>
    <s v="G000001122"/>
    <m/>
    <s v="O000000009"/>
    <x v="3"/>
    <x v="0"/>
    <x v="0"/>
    <x v="0"/>
    <m/>
    <m/>
    <s v="Marcus Morowski"/>
  </r>
  <r>
    <n v="212"/>
    <x v="0"/>
    <x v="7"/>
    <s v="G000000522"/>
    <m/>
    <s v="O000000009"/>
    <x v="3"/>
    <x v="0"/>
    <x v="0"/>
    <x v="0"/>
    <m/>
    <m/>
    <s v="Marcus Morowski"/>
  </r>
  <r>
    <n v="213"/>
    <x v="0"/>
    <x v="7"/>
    <s v="G000000521"/>
    <m/>
    <s v="O000000009"/>
    <x v="3"/>
    <x v="0"/>
    <x v="0"/>
    <x v="0"/>
    <m/>
    <m/>
    <s v="Marcus Morowski"/>
  </r>
  <r>
    <n v="214"/>
    <x v="0"/>
    <x v="7"/>
    <s v="G000001092"/>
    <m/>
    <s v="O000000009"/>
    <x v="3"/>
    <x v="0"/>
    <x v="0"/>
    <x v="0"/>
    <m/>
    <m/>
    <s v="Marcus Morowski"/>
  </r>
  <r>
    <n v="215"/>
    <x v="0"/>
    <x v="7"/>
    <s v="G000000519"/>
    <m/>
    <s v="O000000009"/>
    <x v="3"/>
    <x v="0"/>
    <x v="0"/>
    <x v="0"/>
    <m/>
    <m/>
    <s v="Marcus Morowski"/>
  </r>
  <r>
    <n v="216"/>
    <x v="0"/>
    <x v="7"/>
    <s v="G000000520"/>
    <m/>
    <s v="O000000009"/>
    <x v="3"/>
    <x v="0"/>
    <x v="0"/>
    <x v="0"/>
    <m/>
    <m/>
    <s v="Marcus Morowski"/>
  </r>
  <r>
    <n v="217"/>
    <x v="0"/>
    <x v="7"/>
    <s v="G000000533"/>
    <m/>
    <s v="O000000009"/>
    <x v="3"/>
    <x v="0"/>
    <x v="0"/>
    <x v="0"/>
    <m/>
    <m/>
    <s v="Marcus Morowski"/>
  </r>
  <r>
    <n v="218"/>
    <x v="0"/>
    <x v="7"/>
    <s v="G000000536"/>
    <m/>
    <s v="O000000009"/>
    <x v="3"/>
    <x v="0"/>
    <x v="0"/>
    <x v="0"/>
    <m/>
    <m/>
    <s v="Marcus Morowski"/>
  </r>
  <r>
    <n v="219"/>
    <x v="0"/>
    <x v="7"/>
    <s v="G000000534"/>
    <m/>
    <s v="O000000009"/>
    <x v="3"/>
    <x v="0"/>
    <x v="0"/>
    <x v="0"/>
    <m/>
    <m/>
    <s v="Marcus Morowski"/>
  </r>
  <r>
    <n v="220"/>
    <x v="0"/>
    <x v="7"/>
    <s v="G000000494"/>
    <m/>
    <s v="O000000009"/>
    <x v="3"/>
    <x v="0"/>
    <x v="0"/>
    <x v="0"/>
    <m/>
    <m/>
    <s v="Marcus Morowski"/>
  </r>
  <r>
    <n v="221"/>
    <x v="0"/>
    <x v="7"/>
    <s v="G000000524"/>
    <m/>
    <s v="O000000009"/>
    <x v="3"/>
    <x v="0"/>
    <x v="0"/>
    <x v="0"/>
    <m/>
    <m/>
    <s v="Marcus Morowski"/>
  </r>
  <r>
    <n v="222"/>
    <x v="0"/>
    <x v="7"/>
    <s v="G000000493"/>
    <m/>
    <s v="O000000009"/>
    <x v="3"/>
    <x v="0"/>
    <x v="0"/>
    <x v="0"/>
    <m/>
    <m/>
    <s v="Marcus Morowski"/>
  </r>
  <r>
    <n v="223"/>
    <x v="0"/>
    <x v="7"/>
    <s v="G000000423"/>
    <m/>
    <s v="O000000009"/>
    <x v="3"/>
    <x v="0"/>
    <x v="0"/>
    <x v="0"/>
    <m/>
    <m/>
    <s v="Marcus Morowski"/>
  </r>
  <r>
    <n v="224"/>
    <x v="0"/>
    <x v="7"/>
    <s v="G000000424"/>
    <m/>
    <s v="O000000009"/>
    <x v="3"/>
    <x v="0"/>
    <x v="0"/>
    <x v="0"/>
    <m/>
    <m/>
    <s v="Marcus Morowski"/>
  </r>
  <r>
    <n v="225"/>
    <x v="0"/>
    <x v="7"/>
    <s v="G000001100"/>
    <m/>
    <s v="O000000009"/>
    <x v="3"/>
    <x v="0"/>
    <x v="0"/>
    <x v="0"/>
    <m/>
    <m/>
    <s v="Marcus Morowski"/>
  </r>
  <r>
    <n v="226"/>
    <x v="0"/>
    <x v="7"/>
    <s v="G000001091"/>
    <m/>
    <s v="O000000009"/>
    <x v="3"/>
    <x v="0"/>
    <x v="0"/>
    <x v="0"/>
    <m/>
    <m/>
    <s v="Marcus Morowski"/>
  </r>
  <r>
    <n v="227"/>
    <x v="0"/>
    <x v="7"/>
    <s v="G000001088"/>
    <m/>
    <s v="O000000009"/>
    <x v="3"/>
    <x v="0"/>
    <x v="0"/>
    <x v="0"/>
    <m/>
    <m/>
    <s v="Marcus Morowski"/>
  </r>
  <r>
    <n v="228"/>
    <x v="0"/>
    <x v="7"/>
    <s v="G000001077"/>
    <m/>
    <s v="O000000009"/>
    <x v="3"/>
    <x v="0"/>
    <x v="0"/>
    <x v="0"/>
    <m/>
    <m/>
    <s v="Marcus Morowski"/>
  </r>
  <r>
    <n v="229"/>
    <x v="0"/>
    <x v="7"/>
    <s v="G000001087"/>
    <m/>
    <s v="O000000009"/>
    <x v="3"/>
    <x v="0"/>
    <x v="0"/>
    <x v="0"/>
    <m/>
    <m/>
    <s v="Marcus Morowski"/>
  </r>
  <r>
    <n v="230"/>
    <x v="0"/>
    <x v="7"/>
    <s v="G000001019"/>
    <m/>
    <s v="O000000009"/>
    <x v="3"/>
    <x v="0"/>
    <x v="0"/>
    <x v="0"/>
    <m/>
    <m/>
    <s v="Marcus Morowski"/>
  </r>
  <r>
    <n v="231"/>
    <x v="0"/>
    <x v="7"/>
    <s v="G000001089"/>
    <m/>
    <s v="O000000009"/>
    <x v="3"/>
    <x v="0"/>
    <x v="0"/>
    <x v="0"/>
    <m/>
    <m/>
    <s v="Marcus Morowski"/>
  </r>
  <r>
    <n v="232"/>
    <x v="0"/>
    <x v="7"/>
    <s v="G000000420"/>
    <m/>
    <s v="O000000009"/>
    <x v="3"/>
    <x v="0"/>
    <x v="0"/>
    <x v="0"/>
    <m/>
    <m/>
    <s v="Marcus Morowski"/>
  </r>
  <r>
    <n v="233"/>
    <x v="0"/>
    <x v="7"/>
    <s v="G000000419"/>
    <m/>
    <s v="O000000009"/>
    <x v="3"/>
    <x v="0"/>
    <x v="0"/>
    <x v="0"/>
    <m/>
    <m/>
    <s v="Marcus Morowski"/>
  </r>
  <r>
    <n v="234"/>
    <x v="0"/>
    <x v="7"/>
    <s v="G000001009"/>
    <m/>
    <s v="O000000009"/>
    <x v="3"/>
    <x v="0"/>
    <x v="0"/>
    <x v="0"/>
    <m/>
    <m/>
    <s v="Marcus Morowski"/>
  </r>
  <r>
    <n v="235"/>
    <x v="0"/>
    <x v="7"/>
    <s v="G000001012"/>
    <m/>
    <s v="O000000009"/>
    <x v="3"/>
    <x v="0"/>
    <x v="0"/>
    <x v="0"/>
    <m/>
    <m/>
    <s v="Marcus Morowski"/>
  </r>
  <r>
    <n v="236"/>
    <x v="0"/>
    <x v="7"/>
    <s v="G000001014"/>
    <m/>
    <s v="O000000009"/>
    <x v="3"/>
    <x v="0"/>
    <x v="0"/>
    <x v="0"/>
    <m/>
    <m/>
    <s v="Marcus Morowski"/>
  </r>
  <r>
    <n v="237"/>
    <x v="0"/>
    <x v="7"/>
    <s v="G000001027"/>
    <m/>
    <s v="O000000009"/>
    <x v="3"/>
    <x v="0"/>
    <x v="0"/>
    <x v="0"/>
    <m/>
    <m/>
    <s v="Marcus Morowski"/>
  </r>
  <r>
    <n v="238"/>
    <x v="0"/>
    <x v="7"/>
    <s v="G000000492"/>
    <m/>
    <s v="O000000009"/>
    <x v="3"/>
    <x v="0"/>
    <x v="0"/>
    <x v="0"/>
    <m/>
    <m/>
    <s v="Marcus Morowski"/>
  </r>
  <r>
    <n v="239"/>
    <x v="0"/>
    <x v="7"/>
    <s v="G000001069"/>
    <m/>
    <s v="G000000418"/>
    <x v="1"/>
    <x v="0"/>
    <x v="0"/>
    <x v="0"/>
    <m/>
    <m/>
    <s v="Marcus Morowski"/>
  </r>
  <r>
    <n v="240"/>
    <x v="0"/>
    <x v="7"/>
    <s v="G000001032"/>
    <m/>
    <s v="G000001006"/>
    <x v="1"/>
    <x v="0"/>
    <x v="0"/>
    <x v="0"/>
    <m/>
    <m/>
    <s v="Marcus Morowski"/>
  </r>
  <r>
    <n v="241"/>
    <x v="0"/>
    <x v="7"/>
    <s v="G000001065"/>
    <m/>
    <s v="G000001007"/>
    <x v="1"/>
    <x v="0"/>
    <x v="0"/>
    <x v="0"/>
    <m/>
    <m/>
    <s v="Marcus Morowski"/>
  </r>
  <r>
    <n v="242"/>
    <x v="0"/>
    <x v="7"/>
    <s v="G000001066"/>
    <m/>
    <s v="G000001007"/>
    <x v="1"/>
    <x v="0"/>
    <x v="0"/>
    <x v="0"/>
    <m/>
    <m/>
    <s v="Marcus Morowski"/>
  </r>
  <r>
    <n v="243"/>
    <x v="0"/>
    <x v="7"/>
    <s v="G000000394"/>
    <m/>
    <s v="G000000432"/>
    <x v="1"/>
    <x v="0"/>
    <x v="0"/>
    <x v="0"/>
    <m/>
    <m/>
    <s v="Marcus Morowski"/>
  </r>
  <r>
    <n v="244"/>
    <x v="0"/>
    <x v="7"/>
    <s v="G000000946"/>
    <m/>
    <s v="G000000523"/>
    <x v="1"/>
    <x v="0"/>
    <x v="0"/>
    <x v="0"/>
    <m/>
    <m/>
    <s v="Marcus Morowski"/>
  </r>
  <r>
    <n v="245"/>
    <x v="0"/>
    <x v="7"/>
    <s v="G000001127"/>
    <s v="SM-ET Material Costs"/>
    <s v="G000000354"/>
    <x v="0"/>
    <x v="0"/>
    <x v="0"/>
    <x v="0"/>
    <m/>
    <m/>
    <s v="Marcus Morowski"/>
  </r>
  <r>
    <n v="246"/>
    <x v="0"/>
    <x v="7"/>
    <s v="G000000365"/>
    <s v="SM-L Lab Services"/>
    <m/>
    <x v="2"/>
    <x v="0"/>
    <x v="0"/>
    <x v="0"/>
    <m/>
    <m/>
    <s v="Marcus Morowski"/>
  </r>
  <r>
    <n v="247"/>
    <x v="0"/>
    <x v="7"/>
    <s v="G000000366"/>
    <s v="SM-L Lab Services"/>
    <m/>
    <x v="2"/>
    <x v="0"/>
    <x v="0"/>
    <x v="0"/>
    <m/>
    <m/>
    <s v="Marcus Morowski"/>
  </r>
  <r>
    <n v="248"/>
    <x v="0"/>
    <x v="7"/>
    <s v="G000000370 "/>
    <s v="SM-LO Lab. Op. Eng"/>
    <m/>
    <x v="2"/>
    <x v="0"/>
    <x v="0"/>
    <x v="0"/>
    <m/>
    <m/>
    <s v="Marcus Morowski"/>
  </r>
  <r>
    <n v="249"/>
    <x v="0"/>
    <x v="7"/>
    <s v="G000000384"/>
    <s v="SM-LT w/o Material Costs"/>
    <m/>
    <x v="2"/>
    <x v="0"/>
    <x v="0"/>
    <x v="0"/>
    <m/>
    <m/>
    <s v="Marcus Morowski"/>
  </r>
  <r>
    <n v="250"/>
    <x v="0"/>
    <x v="7"/>
    <s v="G000000383"/>
    <s v="SM-LT Material Costs"/>
    <m/>
    <x v="2"/>
    <x v="0"/>
    <x v="0"/>
    <x v="0"/>
    <m/>
    <m/>
    <s v="Marcus Morowski"/>
  </r>
  <r>
    <n v="251"/>
    <x v="0"/>
    <x v="7"/>
    <s v="G000000461"/>
    <s v="SM-D Strategy Realization &amp; Enablement "/>
    <m/>
    <x v="2"/>
    <x v="0"/>
    <x v="0"/>
    <x v="0"/>
    <m/>
    <m/>
    <s v="Marcus Morowski"/>
  </r>
  <r>
    <n v="252"/>
    <x v="0"/>
    <x v="7"/>
    <s v="G000000462"/>
    <s v="SM-D Strategy Realization &amp; Enablement "/>
    <m/>
    <x v="2"/>
    <x v="0"/>
    <x v="0"/>
    <x v="0"/>
    <m/>
    <m/>
    <s v="Marcus Morowski"/>
  </r>
  <r>
    <n v="253"/>
    <x v="0"/>
    <x v="7"/>
    <s v="G000000463"/>
    <s v="SM-D Business Excellence"/>
    <m/>
    <x v="2"/>
    <x v="0"/>
    <x v="0"/>
    <x v="0"/>
    <m/>
    <m/>
    <s v="Marcus Morowski"/>
  </r>
  <r>
    <n v="254"/>
    <x v="0"/>
    <x v="7"/>
    <s v="G000000466"/>
    <s v="SM-DC Strategic Contracting"/>
    <m/>
    <x v="2"/>
    <x v="0"/>
    <x v="0"/>
    <x v="0"/>
    <m/>
    <m/>
    <s v="Marcus Morowski"/>
  </r>
  <r>
    <n v="255"/>
    <x v="0"/>
    <x v="7"/>
    <s v="G000000470"/>
    <s v="SM-DQ Quality Management"/>
    <m/>
    <x v="2"/>
    <x v="0"/>
    <x v="0"/>
    <x v="0"/>
    <m/>
    <m/>
    <s v="Marcus Morowski"/>
  </r>
  <r>
    <n v="256"/>
    <x v="0"/>
    <x v="7"/>
    <s v="G000000473"/>
    <s v="SM-DD Data &amp; Digital Enablement"/>
    <m/>
    <x v="2"/>
    <x v="0"/>
    <x v="0"/>
    <x v="0"/>
    <m/>
    <m/>
    <s v="Marcus Morowski"/>
  </r>
  <r>
    <n v="257"/>
    <x v="0"/>
    <x v="7"/>
    <s v="G000000868"/>
    <s v="SM-DP People, Change &amp; Comms."/>
    <m/>
    <x v="2"/>
    <x v="0"/>
    <x v="0"/>
    <x v="0"/>
    <m/>
    <m/>
    <s v="Marcus Morowski"/>
  </r>
  <r>
    <n v="258"/>
    <x v="0"/>
    <x v="7"/>
    <s v="G000000850"/>
    <s v="SM-G MRE"/>
    <m/>
    <x v="2"/>
    <x v="0"/>
    <x v="0"/>
    <x v="0"/>
    <m/>
    <m/>
    <s v="Marcus Morowski"/>
  </r>
  <r>
    <n v="259"/>
    <x v="0"/>
    <x v="7"/>
    <s v="G000000410"/>
    <s v="SM-I Infrastructure Services"/>
    <m/>
    <x v="2"/>
    <x v="0"/>
    <x v="0"/>
    <x v="0"/>
    <m/>
    <m/>
    <s v="Marcus Morowski"/>
  </r>
  <r>
    <n v="260"/>
    <x v="0"/>
    <x v="7"/>
    <s v="G000000412"/>
    <s v="SM-I L3"/>
    <m/>
    <x v="2"/>
    <x v="0"/>
    <x v="0"/>
    <x v="0"/>
    <m/>
    <m/>
    <s v="Marcus Morowski"/>
  </r>
  <r>
    <n v="261"/>
    <x v="0"/>
    <x v="7"/>
    <s v="G000000897"/>
    <s v="SM-IU Utilitiy Operations"/>
    <m/>
    <x v="2"/>
    <x v="0"/>
    <x v="0"/>
    <x v="0"/>
    <m/>
    <m/>
    <s v="Marcus Morowski"/>
  </r>
  <r>
    <n v="262"/>
    <x v="0"/>
    <x v="7"/>
    <s v="G000000909"/>
    <s v="SM-IU Energy Buildings"/>
    <m/>
    <x v="2"/>
    <x v="0"/>
    <x v="0"/>
    <x v="0"/>
    <m/>
    <m/>
    <s v="Marcus Morowski"/>
  </r>
  <r>
    <n v="263"/>
    <x v="0"/>
    <x v="7"/>
    <s v="G000000913"/>
    <s v="SM-IVW Waste &amp; Transport Services"/>
    <m/>
    <x v="2"/>
    <x v="0"/>
    <x v="0"/>
    <x v="0"/>
    <m/>
    <m/>
    <s v="Marcus Morowski"/>
  </r>
  <r>
    <n v="264"/>
    <x v="0"/>
    <x v="7"/>
    <s v="G000000914"/>
    <s v="SM-IVW Buildings"/>
    <m/>
    <x v="2"/>
    <x v="0"/>
    <x v="0"/>
    <x v="0"/>
    <m/>
    <m/>
    <s v="Marcus Morowski"/>
  </r>
  <r>
    <n v="265"/>
    <x v="0"/>
    <x v="7"/>
    <s v="G000000915"/>
    <s v="SM-IVI Internal Transport"/>
    <m/>
    <x v="2"/>
    <x v="0"/>
    <x v="0"/>
    <x v="0"/>
    <m/>
    <m/>
    <s v="Marcus Morowski"/>
  </r>
  <r>
    <n v="266"/>
    <x v="0"/>
    <x v="7"/>
    <s v="G000000916"/>
    <s v="SM-IVV Vehicle Services"/>
    <m/>
    <x v="2"/>
    <x v="0"/>
    <x v="0"/>
    <x v="0"/>
    <m/>
    <m/>
    <s v="Marcus Morowski"/>
  </r>
  <r>
    <n v="267"/>
    <x v="0"/>
    <x v="7"/>
    <s v="G000000917"/>
    <s v="SM-IVV Material Costs"/>
    <m/>
    <x v="2"/>
    <x v="0"/>
    <x v="0"/>
    <x v="0"/>
    <m/>
    <m/>
    <s v="Marcus Morowski"/>
  </r>
  <r>
    <n v="268"/>
    <x v="0"/>
    <x v="7"/>
    <s v="G000000918"/>
    <s v="SM-IVM Material Management"/>
    <m/>
    <x v="2"/>
    <x v="0"/>
    <x v="0"/>
    <x v="0"/>
    <m/>
    <m/>
    <s v="Marcus Morowski"/>
  </r>
  <r>
    <n v="269"/>
    <x v="0"/>
    <x v="7"/>
    <s v="G000000919"/>
    <s v="SM-IVM Technical Warehouse"/>
    <m/>
    <x v="2"/>
    <x v="0"/>
    <x v="0"/>
    <x v="0"/>
    <m/>
    <m/>
    <s v="Marcus Morowski"/>
  </r>
  <r>
    <n v="270"/>
    <x v="0"/>
    <x v="7"/>
    <s v="G000000920"/>
    <s v="SM-IVV Allocation CCs"/>
    <m/>
    <x v="2"/>
    <x v="0"/>
    <x v="0"/>
    <x v="0"/>
    <m/>
    <m/>
    <s v="Marcus Morowski"/>
  </r>
  <r>
    <n v="271"/>
    <x v="0"/>
    <x v="7"/>
    <s v="G000000922"/>
    <s v="SM-IPC/ IPE/ IPI/ IPM/ IPP"/>
    <m/>
    <x v="2"/>
    <x v="0"/>
    <x v="0"/>
    <x v="0"/>
    <m/>
    <m/>
    <s v="Marcus Morowski"/>
  </r>
  <r>
    <n v="272"/>
    <x v="0"/>
    <x v="7"/>
    <s v="G000000923"/>
    <s v="SM-IE External Energy Costs D"/>
    <m/>
    <x v="2"/>
    <x v="0"/>
    <x v="0"/>
    <x v="0"/>
    <m/>
    <m/>
    <s v="Marcus Morowski"/>
  </r>
  <r>
    <n v="273"/>
    <x v="0"/>
    <x v="7"/>
    <s v="G000000924"/>
    <s v="SM-IE Energy Allocation DA"/>
    <m/>
    <x v="2"/>
    <x v="0"/>
    <x v="0"/>
    <x v="0"/>
    <m/>
    <m/>
    <s v="Marcus Morowski"/>
  </r>
  <r>
    <n v="274"/>
    <x v="0"/>
    <x v="7"/>
    <s v="G000000925"/>
    <s v="SM-IE Headcount &amp; NDD"/>
    <m/>
    <x v="2"/>
    <x v="0"/>
    <x v="0"/>
    <x v="0"/>
    <m/>
    <m/>
    <s v="Marcus Morowski"/>
  </r>
  <r>
    <n v="275"/>
    <x v="0"/>
    <x v="7"/>
    <s v="G000000891"/>
    <s v="SM-HE HQ Engineering"/>
    <m/>
    <x v="2"/>
    <x v="0"/>
    <x v="0"/>
    <x v="0"/>
    <m/>
    <m/>
    <s v="Marcus Morowski"/>
  </r>
  <r>
    <n v="276"/>
    <x v="0"/>
    <x v="7"/>
    <s v="G000000892"/>
    <s v="SM-HE HX Executive Services"/>
    <m/>
    <x v="2"/>
    <x v="0"/>
    <x v="0"/>
    <x v="0"/>
    <m/>
    <m/>
    <s v="Marcus Morowski"/>
  </r>
  <r>
    <n v="277"/>
    <x v="0"/>
    <x v="7"/>
    <s v="G000000372"/>
    <s v="SM-P Plant Maintenance Services"/>
    <m/>
    <x v="2"/>
    <x v="0"/>
    <x v="0"/>
    <x v="0"/>
    <m/>
    <m/>
    <s v="Marcus Morowski"/>
  </r>
  <r>
    <n v="278"/>
    <x v="0"/>
    <x v="7"/>
    <s v="G000000374"/>
    <s v="SM-P Material Costs"/>
    <m/>
    <x v="2"/>
    <x v="0"/>
    <x v="0"/>
    <x v="0"/>
    <m/>
    <m/>
    <s v="Marcus Morowski"/>
  </r>
  <r>
    <n v="279"/>
    <x v="0"/>
    <x v="7"/>
    <s v="G000000873"/>
    <s v="SM-P Others"/>
    <m/>
    <x v="2"/>
    <x v="0"/>
    <x v="0"/>
    <x v="0"/>
    <m/>
    <m/>
    <s v="Marcus Morowski"/>
  </r>
  <r>
    <n v="280"/>
    <x v="0"/>
    <x v="7"/>
    <s v="G000000385"/>
    <s v="SM-PB Building Technologies"/>
    <m/>
    <x v="2"/>
    <x v="0"/>
    <x v="0"/>
    <x v="0"/>
    <m/>
    <m/>
    <s v="Marcus Morowski"/>
  </r>
  <r>
    <n v="281"/>
    <x v="0"/>
    <x v="7"/>
    <s v="G000000389"/>
    <s v="SM-PM Mechanical Technologies"/>
    <m/>
    <x v="2"/>
    <x v="0"/>
    <x v="0"/>
    <x v="0"/>
    <m/>
    <m/>
    <s v="Marcus Morowski"/>
  </r>
  <r>
    <n v="282"/>
    <x v="0"/>
    <x v="7"/>
    <s v="G000000393"/>
    <s v="SM-EA Automation &amp; Robotics"/>
    <m/>
    <x v="2"/>
    <x v="0"/>
    <x v="0"/>
    <x v="0"/>
    <m/>
    <m/>
    <s v="Marcus Morowski"/>
  </r>
  <r>
    <n v="283"/>
    <x v="0"/>
    <x v="7"/>
    <s v="G000000386"/>
    <s v="SM-PB Building Technologies_I"/>
    <m/>
    <x v="2"/>
    <x v="0"/>
    <x v="0"/>
    <x v="0"/>
    <m/>
    <m/>
    <s v="Marcus Morowski"/>
  </r>
  <r>
    <n v="284"/>
    <x v="0"/>
    <x v="7"/>
    <s v="G000000387"/>
    <s v="SM-PB Material Costs"/>
    <m/>
    <x v="2"/>
    <x v="0"/>
    <x v="0"/>
    <x v="0"/>
    <m/>
    <m/>
    <s v="Marcus Morowski"/>
  </r>
  <r>
    <n v="285"/>
    <x v="0"/>
    <x v="7"/>
    <s v="G000000388"/>
    <s v="SM-PB Personnel Costs"/>
    <m/>
    <x v="2"/>
    <x v="0"/>
    <x v="0"/>
    <x v="0"/>
    <m/>
    <m/>
    <s v="Marcus Morowski"/>
  </r>
  <r>
    <n v="286"/>
    <x v="0"/>
    <x v="7"/>
    <s v="G000000390"/>
    <s v="SM-EM Mechanical Techn._I"/>
    <m/>
    <x v="2"/>
    <x v="0"/>
    <x v="0"/>
    <x v="0"/>
    <m/>
    <m/>
    <s v="Marcus Morowski"/>
  </r>
  <r>
    <n v="287"/>
    <x v="0"/>
    <x v="7"/>
    <s v="G000000391"/>
    <s v="SM-EM Material Costs"/>
    <m/>
    <x v="2"/>
    <x v="0"/>
    <x v="0"/>
    <x v="0"/>
    <m/>
    <m/>
    <s v="Marcus Morowski"/>
  </r>
  <r>
    <n v="288"/>
    <x v="0"/>
    <x v="7"/>
    <s v="G000000392"/>
    <s v="SM-EM w/o Material Costs"/>
    <m/>
    <x v="2"/>
    <x v="0"/>
    <x v="0"/>
    <x v="0"/>
    <m/>
    <m/>
    <s v="Marcus Morowski"/>
  </r>
  <r>
    <n v="289"/>
    <x v="0"/>
    <x v="7"/>
    <s v="G000000516"/>
    <s v="SM-RR RE-FM Operations"/>
    <m/>
    <x v="2"/>
    <x v="0"/>
    <x v="0"/>
    <x v="0"/>
    <m/>
    <m/>
    <s v="Marcus Morowski"/>
  </r>
  <r>
    <n v="290"/>
    <x v="0"/>
    <x v="7"/>
    <s v="G000000517"/>
    <s v="SM-RR Spitze"/>
    <m/>
    <x v="2"/>
    <x v="0"/>
    <x v="0"/>
    <x v="0"/>
    <m/>
    <m/>
    <s v="Marcus Morowski"/>
  </r>
  <r>
    <n v="291"/>
    <x v="0"/>
    <x v="7"/>
    <s v="G000000518"/>
    <s v="SM-RR Personalkosten"/>
    <m/>
    <x v="2"/>
    <x v="0"/>
    <x v="0"/>
    <x v="0"/>
    <m/>
    <m/>
    <s v="Marcus Morowski"/>
  </r>
  <r>
    <n v="292"/>
    <x v="0"/>
    <x v="7"/>
    <s v="G000000496"/>
    <s v="SM-RR Lease Hold DA"/>
    <m/>
    <x v="2"/>
    <x v="0"/>
    <x v="0"/>
    <x v="0"/>
    <m/>
    <m/>
    <s v="Marcus Morowski"/>
  </r>
  <r>
    <n v="293"/>
    <x v="0"/>
    <x v="7"/>
    <s v="G000000422"/>
    <s v="SM-RR KGaA Cost Centers (non-operational)"/>
    <m/>
    <x v="2"/>
    <x v="0"/>
    <x v="0"/>
    <x v="0"/>
    <m/>
    <m/>
    <s v="Marcus Morowski"/>
  </r>
  <r>
    <n v="294"/>
    <x v="0"/>
    <x v="7"/>
    <s v="G000000425"/>
    <s v="SM-RR General Lease to MRE"/>
    <m/>
    <x v="2"/>
    <x v="0"/>
    <x v="0"/>
    <x v="0"/>
    <m/>
    <m/>
    <s v="Marcus Morowski"/>
  </r>
  <r>
    <n v="295"/>
    <x v="0"/>
    <x v="7"/>
    <s v="G000001074"/>
    <s v="Building Site Darmstadt"/>
    <m/>
    <x v="2"/>
    <x v="0"/>
    <x v="0"/>
    <x v="0"/>
    <m/>
    <m/>
    <s v="Marcus Morowski"/>
  </r>
  <r>
    <n v="296"/>
    <x v="0"/>
    <x v="7"/>
    <s v="G000001075"/>
    <s v="FS Office Building DA"/>
    <m/>
    <x v="2"/>
    <x v="0"/>
    <x v="0"/>
    <x v="0"/>
    <m/>
    <m/>
    <s v="Marcus Morowski"/>
  </r>
  <r>
    <n v="297"/>
    <x v="0"/>
    <x v="7"/>
    <s v="G000001076"/>
    <s v="FS Lab Buildings DA"/>
    <m/>
    <x v="2"/>
    <x v="0"/>
    <x v="0"/>
    <x v="0"/>
    <m/>
    <m/>
    <s v="Marcus Morowski"/>
  </r>
  <r>
    <n v="298"/>
    <x v="0"/>
    <x v="7"/>
    <s v="G000001082"/>
    <s v="FS Labs Electronics"/>
    <m/>
    <x v="2"/>
    <x v="0"/>
    <x v="0"/>
    <x v="0"/>
    <m/>
    <m/>
    <s v="Marcus Morowski"/>
  </r>
  <r>
    <n v="299"/>
    <x v="0"/>
    <x v="7"/>
    <s v="G000000352"/>
    <s v="Site Management &amp; Other 1"/>
    <m/>
    <x v="2"/>
    <x v="0"/>
    <x v="0"/>
    <x v="0"/>
    <m/>
    <m/>
    <s v="Marcus Morowski"/>
  </r>
  <r>
    <n v="300"/>
    <x v="0"/>
    <x v="7"/>
    <s v="G000000352"/>
    <s v="SM-ET Material Costs"/>
    <s v="G000000354"/>
    <x v="4"/>
    <x v="0"/>
    <x v="0"/>
    <x v="0"/>
    <m/>
    <m/>
    <s v="Marcus Morowski"/>
  </r>
  <r>
    <n v="301"/>
    <x v="0"/>
    <x v="7"/>
    <s v="G000000369"/>
    <s v="SM-LTS Sample Services"/>
    <s v="G000000381"/>
    <x v="4"/>
    <x v="0"/>
    <x v="0"/>
    <x v="0"/>
    <m/>
    <m/>
    <s v="Marcus Morowski"/>
  </r>
  <r>
    <n v="302"/>
    <x v="0"/>
    <x v="7"/>
    <s v="G000000864"/>
    <s v="SM-LL Ana. LS"/>
    <s v="G000000365"/>
    <x v="4"/>
    <x v="0"/>
    <x v="0"/>
    <x v="0"/>
    <m/>
    <m/>
    <s v="Marcus Morowski"/>
  </r>
  <r>
    <n v="303"/>
    <x v="0"/>
    <x v="7"/>
    <s v="G000000865"/>
    <s v="SM-LE Ana. EL"/>
    <s v="G000000365"/>
    <x v="4"/>
    <x v="0"/>
    <x v="0"/>
    <x v="0"/>
    <m/>
    <m/>
    <s v="Marcus Morowski"/>
  </r>
  <r>
    <n v="304"/>
    <x v="0"/>
    <x v="7"/>
    <s v="G000001098"/>
    <s v="SM-LH Ana. HC"/>
    <s v="G000000365"/>
    <x v="4"/>
    <x v="0"/>
    <x v="0"/>
    <x v="0"/>
    <m/>
    <m/>
    <s v="Marcus Morowski"/>
  </r>
  <r>
    <n v="305"/>
    <x v="0"/>
    <x v="7"/>
    <s v="G000000381"/>
    <s v="SM-LT Lab Tech. Serv."/>
    <s v="G000000365"/>
    <x v="4"/>
    <x v="0"/>
    <x v="0"/>
    <x v="0"/>
    <m/>
    <m/>
    <s v="Marcus Morowski"/>
  </r>
  <r>
    <n v="306"/>
    <x v="0"/>
    <x v="7"/>
    <s v="G000000467"/>
    <s v="SM-DD Customer Service"/>
    <s v="G000000473"/>
    <x v="4"/>
    <x v="0"/>
    <x v="0"/>
    <x v="0"/>
    <m/>
    <m/>
    <s v="Marcus Morowski"/>
  </r>
  <r>
    <n v="307"/>
    <x v="0"/>
    <x v="7"/>
    <s v="G000000379"/>
    <s v="SM-DD Application Support"/>
    <s v="G000000473"/>
    <x v="4"/>
    <x v="0"/>
    <x v="0"/>
    <x v="0"/>
    <m/>
    <m/>
    <s v="Marcus Morowski"/>
  </r>
  <r>
    <n v="308"/>
    <x v="0"/>
    <x v="7"/>
    <s v="G000000377"/>
    <s v="SM-DD ERP Support"/>
    <s v="G000000473"/>
    <x v="4"/>
    <x v="0"/>
    <x v="0"/>
    <x v="0"/>
    <m/>
    <m/>
    <s v="Marcus Morowski"/>
  </r>
  <r>
    <n v="309"/>
    <x v="0"/>
    <x v="7"/>
    <s v="G000000380"/>
    <s v="SM-DD Material Costs"/>
    <s v="G000000473"/>
    <x v="4"/>
    <x v="0"/>
    <x v="0"/>
    <x v="0"/>
    <m/>
    <m/>
    <s v="Marcus Morowski"/>
  </r>
  <r>
    <n v="310"/>
    <x v="0"/>
    <x v="7"/>
    <s v="G000000469"/>
    <s v="SM-DD IT Cost Center"/>
    <s v="G000000473"/>
    <x v="4"/>
    <x v="0"/>
    <x v="0"/>
    <x v="0"/>
    <m/>
    <m/>
    <s v="Marcus Morowski"/>
  </r>
  <r>
    <n v="311"/>
    <x v="0"/>
    <x v="7"/>
    <s v="G000000501"/>
    <s v="MRE"/>
    <s v="G000000850"/>
    <x v="4"/>
    <x v="0"/>
    <x v="0"/>
    <x v="0"/>
    <m/>
    <m/>
    <s v="Marcus Morowski"/>
  </r>
  <r>
    <n v="312"/>
    <x v="0"/>
    <x v="7"/>
    <s v="G000001006"/>
    <s v="KGaA"/>
    <s v="G000000850"/>
    <x v="4"/>
    <x v="0"/>
    <x v="0"/>
    <x v="0"/>
    <m/>
    <m/>
    <s v="Marcus Morowski"/>
  </r>
  <r>
    <n v="313"/>
    <x v="0"/>
    <x v="7"/>
    <s v="G000000488"/>
    <s v="MRE Personnel Costs"/>
    <s v="G000000850"/>
    <x v="4"/>
    <x v="0"/>
    <x v="0"/>
    <x v="0"/>
    <m/>
    <m/>
    <s v="Marcus Morowski"/>
  </r>
  <r>
    <n v="314"/>
    <x v="0"/>
    <x v="7"/>
    <s v="G000000686"/>
    <s v="SM-I Freiflächen DA"/>
    <s v="G000000410"/>
    <x v="4"/>
    <x v="0"/>
    <x v="0"/>
    <x v="0"/>
    <m/>
    <m/>
    <s v="Marcus Morowski"/>
  </r>
  <r>
    <n v="315"/>
    <x v="0"/>
    <x v="7"/>
    <s v="G000000498"/>
    <s v="SM-I Open Area DA (MRE)"/>
    <s v="G000000686"/>
    <x v="4"/>
    <x v="0"/>
    <x v="0"/>
    <x v="0"/>
    <m/>
    <m/>
    <s v="Marcus Morowski"/>
  </r>
  <r>
    <n v="316"/>
    <x v="0"/>
    <x v="7"/>
    <s v="G000001011"/>
    <s v="SM-I Open Area DA (KGaA)"/>
    <s v="G000000686"/>
    <x v="4"/>
    <x v="0"/>
    <x v="0"/>
    <x v="0"/>
    <m/>
    <m/>
    <s v="Marcus Morowski"/>
  </r>
  <r>
    <n v="317"/>
    <x v="0"/>
    <x v="7"/>
    <s v="G000000404"/>
    <s v="SM-IPI Material Cost Centers"/>
    <s v="G000000886"/>
    <x v="4"/>
    <x v="0"/>
    <x v="0"/>
    <x v="0"/>
    <m/>
    <m/>
    <s v="Marcus Morowski"/>
  </r>
  <r>
    <n v="318"/>
    <x v="0"/>
    <x v="7"/>
    <s v="G000000863"/>
    <s v="SM-IWA Environmental Monitoring"/>
    <s v="G000000896"/>
    <x v="4"/>
    <x v="0"/>
    <x v="0"/>
    <x v="0"/>
    <m/>
    <m/>
    <s v="Marcus Morowski"/>
  </r>
  <r>
    <n v="319"/>
    <x v="0"/>
    <x v="7"/>
    <s v="G000000411"/>
    <s v="SM-I Infrastructure Buildings"/>
    <s v="G000000412"/>
    <x v="4"/>
    <x v="0"/>
    <x v="0"/>
    <x v="0"/>
    <m/>
    <m/>
    <s v="Marcus Morowski"/>
  </r>
  <r>
    <n v="320"/>
    <x v="0"/>
    <x v="7"/>
    <s v="G000000952"/>
    <s v="LH Buildings SM DA MRE"/>
    <s v="G000000411"/>
    <x v="4"/>
    <x v="0"/>
    <x v="0"/>
    <x v="0"/>
    <m/>
    <m/>
    <s v="Marcus Morowski"/>
  </r>
  <r>
    <n v="321"/>
    <x v="0"/>
    <x v="7"/>
    <s v="G000001026"/>
    <s v="LH Buildings SM DA KGaA"/>
    <s v="G000000411"/>
    <x v="4"/>
    <x v="0"/>
    <x v="0"/>
    <x v="0"/>
    <m/>
    <m/>
    <s v="Marcus Morowski"/>
  </r>
  <r>
    <n v="322"/>
    <x v="0"/>
    <x v="7"/>
    <s v="G000000896"/>
    <s v="SM-IW Environmental Operations"/>
    <s v="G000000412"/>
    <x v="4"/>
    <x v="0"/>
    <x v="0"/>
    <x v="0"/>
    <m/>
    <m/>
    <s v="Marcus Morowski"/>
  </r>
  <r>
    <n v="323"/>
    <x v="0"/>
    <x v="7"/>
    <s v="G000000883"/>
    <s v="SM-IU Utility Operations"/>
    <s v="G000000412"/>
    <x v="4"/>
    <x v="0"/>
    <x v="0"/>
    <x v="0"/>
    <m/>
    <m/>
    <s v="Marcus Morowski"/>
  </r>
  <r>
    <n v="324"/>
    <x v="0"/>
    <x v="7"/>
    <s v="G000000884"/>
    <s v="Container Cleaining und Packaging"/>
    <s v="L000010079"/>
    <x v="4"/>
    <x v="0"/>
    <x v="0"/>
    <x v="0"/>
    <m/>
    <m/>
    <s v="Marcus Morowski"/>
  </r>
  <r>
    <n v="325"/>
    <x v="0"/>
    <x v="7"/>
    <s v="G000000885"/>
    <s v="SM-IV Waste &amp; Vecicle Services"/>
    <s v="G000000412"/>
    <x v="4"/>
    <x v="0"/>
    <x v="0"/>
    <x v="0"/>
    <m/>
    <m/>
    <s v="Marcus Morowski"/>
  </r>
  <r>
    <n v="326"/>
    <x v="0"/>
    <x v="7"/>
    <s v="G000000886"/>
    <s v="SM-IP Plant Services"/>
    <s v="G000000412"/>
    <x v="4"/>
    <x v="0"/>
    <x v="0"/>
    <x v="0"/>
    <m/>
    <m/>
    <s v="Marcus Morowski"/>
  </r>
  <r>
    <n v="327"/>
    <x v="0"/>
    <x v="7"/>
    <s v="G000000887"/>
    <s v="SM-IE Energy Mgmt. &amp; Sustainability"/>
    <s v="G000000412"/>
    <x v="4"/>
    <x v="0"/>
    <x v="0"/>
    <x v="0"/>
    <m/>
    <m/>
    <s v="Marcus Morowski"/>
  </r>
  <r>
    <n v="328"/>
    <x v="0"/>
    <x v="7"/>
    <s v="G000000545"/>
    <s v="SM-RR Facility Services (Extern)"/>
    <s v="G000000354"/>
    <x v="4"/>
    <x v="0"/>
    <x v="0"/>
    <x v="0"/>
    <m/>
    <m/>
    <s v="Marcus Morowski"/>
  </r>
  <r>
    <n v="329"/>
    <x v="0"/>
    <x v="7"/>
    <s v="G000000875"/>
    <s v="SM-R Real Estate &amp; Facility Management"/>
    <s v="G000000355"/>
    <x v="4"/>
    <x v="0"/>
    <x v="0"/>
    <x v="0"/>
    <m/>
    <m/>
    <s v="Marcus Morowski"/>
  </r>
  <r>
    <n v="330"/>
    <x v="0"/>
    <x v="7"/>
    <s v="G000000413"/>
    <s v="SM-RG Gastronomy Services"/>
    <s v="G000000875"/>
    <x v="4"/>
    <x v="0"/>
    <x v="0"/>
    <x v="0"/>
    <m/>
    <m/>
    <s v="Marcus Morowski"/>
  </r>
  <r>
    <n v="331"/>
    <x v="0"/>
    <x v="7"/>
    <s v="G000001109"/>
    <s v="SM-RR Real Estate &amp; Facility Management"/>
    <s v="G000000875"/>
    <x v="4"/>
    <x v="0"/>
    <x v="0"/>
    <x v="0"/>
    <m/>
    <m/>
    <s v="Marcus Morowski"/>
  </r>
  <r>
    <n v="332"/>
    <x v="0"/>
    <x v="7"/>
    <s v="G000000523"/>
    <s v="Buildings Site Darmstadt"/>
    <s v="G000000516"/>
    <x v="4"/>
    <x v="0"/>
    <x v="0"/>
    <x v="0"/>
    <m/>
    <m/>
    <s v="Marcus Morowski"/>
  </r>
  <r>
    <n v="333"/>
    <x v="0"/>
    <x v="7"/>
    <s v="G000000525"/>
    <s v="FS Office Buildings DA"/>
    <s v="G000000523"/>
    <x v="4"/>
    <x v="0"/>
    <x v="0"/>
    <x v="0"/>
    <m/>
    <m/>
    <s v="Marcus Morowski"/>
  </r>
  <r>
    <n v="334"/>
    <x v="0"/>
    <x v="7"/>
    <s v="G000000529"/>
    <s v="FS Lab Buildings DA"/>
    <s v="G000000523"/>
    <x v="4"/>
    <x v="0"/>
    <x v="0"/>
    <x v="0"/>
    <m/>
    <m/>
    <s v="Marcus Morowski"/>
  </r>
  <r>
    <n v="335"/>
    <x v="0"/>
    <x v="7"/>
    <s v="G000000535"/>
    <s v="FS HQ Campus"/>
    <s v="G000000523"/>
    <x v="4"/>
    <x v="0"/>
    <x v="0"/>
    <x v="0"/>
    <m/>
    <m/>
    <s v="Marcus Morowski"/>
  </r>
  <r>
    <n v="336"/>
    <x v="0"/>
    <x v="7"/>
    <s v="G000000941"/>
    <s v="FS Infrastructure Bldgs. DA"/>
    <s v="G000000523"/>
    <x v="4"/>
    <x v="0"/>
    <x v="0"/>
    <x v="0"/>
    <m/>
    <m/>
    <s v="Marcus Morowski"/>
  </r>
  <r>
    <n v="337"/>
    <x v="0"/>
    <x v="7"/>
    <s v="G000000942"/>
    <s v="FS Workshop Bldgs. DA"/>
    <s v="G000000523"/>
    <x v="4"/>
    <x v="0"/>
    <x v="0"/>
    <x v="0"/>
    <m/>
    <m/>
    <s v="Marcus Morowski"/>
  </r>
  <r>
    <n v="338"/>
    <x v="0"/>
    <x v="7"/>
    <s v="G000000943"/>
    <s v="FS Warehouse Bldgs. DA"/>
    <s v="G000000523"/>
    <x v="4"/>
    <x v="0"/>
    <x v="0"/>
    <x v="0"/>
    <m/>
    <m/>
    <s v="Marcus Morowski"/>
  </r>
  <r>
    <n v="339"/>
    <x v="0"/>
    <x v="7"/>
    <s v="G000000944"/>
    <s v="FS Productions Bldgs. DA"/>
    <s v="G000000523"/>
    <x v="4"/>
    <x v="0"/>
    <x v="0"/>
    <x v="0"/>
    <m/>
    <m/>
    <s v="Marcus Morowski"/>
  </r>
  <r>
    <n v="340"/>
    <x v="0"/>
    <x v="7"/>
    <s v="G000000946"/>
    <s v="FS Container DA"/>
    <s v="G000000523"/>
    <x v="4"/>
    <x v="0"/>
    <x v="0"/>
    <x v="0"/>
    <m/>
    <m/>
    <s v="Marcus Morowski"/>
  </r>
  <r>
    <n v="341"/>
    <x v="0"/>
    <x v="7"/>
    <s v="G000000947"/>
    <s v="FS Umkleiden &amp; Aufenthaltsr. DA"/>
    <s v="G000000523"/>
    <x v="4"/>
    <x v="0"/>
    <x v="0"/>
    <x v="0"/>
    <m/>
    <m/>
    <s v="Marcus Morowski"/>
  </r>
  <r>
    <n v="342"/>
    <x v="0"/>
    <x v="7"/>
    <s v="G000000948"/>
    <s v="FS Fire &amp; Safety"/>
    <s v="G000000523"/>
    <x v="4"/>
    <x v="0"/>
    <x v="0"/>
    <x v="0"/>
    <m/>
    <m/>
    <s v="Marcus Morowski"/>
  </r>
  <r>
    <n v="343"/>
    <x v="0"/>
    <x v="7"/>
    <s v="G000000537"/>
    <s v="Commercial Rental DA"/>
    <s v="G000000516"/>
    <x v="4"/>
    <x v="0"/>
    <x v="0"/>
    <x v="0"/>
    <m/>
    <m/>
    <s v="Marcus Morowski"/>
  </r>
  <r>
    <n v="344"/>
    <x v="0"/>
    <x v="7"/>
    <s v="G000000539"/>
    <s v="Facility Services"/>
    <s v="G000000516"/>
    <x v="4"/>
    <x v="0"/>
    <x v="0"/>
    <x v="0"/>
    <m/>
    <m/>
    <s v="Marcus Morowski"/>
  </r>
  <r>
    <n v="345"/>
    <x v="0"/>
    <x v="7"/>
    <s v="G000000482"/>
    <s v="Residential Housing"/>
    <s v="G000000516"/>
    <x v="4"/>
    <x v="0"/>
    <x v="0"/>
    <x v="0"/>
    <m/>
    <m/>
    <s v="Marcus Morowski"/>
  </r>
  <r>
    <n v="346"/>
    <x v="0"/>
    <x v="7"/>
    <s v="G000000874"/>
    <s v="Additional Services"/>
    <s v="G000000516"/>
    <x v="4"/>
    <x v="0"/>
    <x v="0"/>
    <x v="0"/>
    <m/>
    <m/>
    <s v="Marcus Morowski"/>
  </r>
  <r>
    <n v="347"/>
    <x v="0"/>
    <x v="7"/>
    <s v="G000000538"/>
    <s v="Center Mgmt. X-Tower"/>
    <s v="G000000874"/>
    <x v="4"/>
    <x v="0"/>
    <x v="0"/>
    <x v="0"/>
    <m/>
    <m/>
    <s v="Marcus Morowski"/>
  </r>
  <r>
    <n v="348"/>
    <x v="0"/>
    <x v="7"/>
    <s v="G000000495"/>
    <s v="Shell &amp; Core Bldgs. DA"/>
    <s v="G000000516"/>
    <x v="4"/>
    <x v="0"/>
    <x v="0"/>
    <x v="0"/>
    <m/>
    <m/>
    <s v="Marcus Morowski"/>
  </r>
  <r>
    <n v="349"/>
    <x v="0"/>
    <x v="7"/>
    <s v="G000000921"/>
    <s v="Document.Mail.Parcel Service"/>
    <s v="G000000539"/>
    <x v="4"/>
    <x v="0"/>
    <x v="0"/>
    <x v="0"/>
    <m/>
    <m/>
    <s v="Marcus Morowski"/>
  </r>
  <r>
    <n v="350"/>
    <x v="0"/>
    <x v="7"/>
    <s v="G000000540 "/>
    <s v="SM-RR Weitere Facility Services"/>
    <s v="G000000545"/>
    <x v="4"/>
    <x v="0"/>
    <x v="0"/>
    <x v="0"/>
    <m/>
    <m/>
    <s v="Marcus Morowski"/>
  </r>
  <r>
    <n v="351"/>
    <x v="0"/>
    <x v="7"/>
    <s v="G000000541"/>
    <s v="SM-RR Moebel"/>
    <s v="G000000545"/>
    <x v="4"/>
    <x v="0"/>
    <x v="0"/>
    <x v="0"/>
    <m/>
    <m/>
    <s v="Marcus Morowski"/>
  </r>
  <r>
    <n v="352"/>
    <x v="0"/>
    <x v="7"/>
    <s v="G000000542"/>
    <s v="SM-RR Umzugskosten"/>
    <s v="G000000545"/>
    <x v="4"/>
    <x v="0"/>
    <x v="0"/>
    <x v="0"/>
    <m/>
    <m/>
    <s v="Marcus Morowski"/>
  </r>
  <r>
    <n v="353"/>
    <x v="0"/>
    <x v="7"/>
    <s v="G000000543"/>
    <s v="SM-RR Reinigungskosten"/>
    <s v="G000000545"/>
    <x v="4"/>
    <x v="0"/>
    <x v="0"/>
    <x v="0"/>
    <m/>
    <m/>
    <s v="Marcus Morowski"/>
  </r>
  <r>
    <n v="354"/>
    <x v="0"/>
    <x v="7"/>
    <s v="G000000483"/>
    <s v="Contractors/Externals Area"/>
    <s v="G000000946"/>
    <x v="4"/>
    <x v="0"/>
    <x v="0"/>
    <x v="0"/>
    <m/>
    <m/>
    <s v="Marcus Morowski"/>
  </r>
  <r>
    <n v="355"/>
    <x v="0"/>
    <x v="7"/>
    <s v="G000001093"/>
    <s v="W-Area"/>
    <s v="G000000946"/>
    <x v="4"/>
    <x v="0"/>
    <x v="0"/>
    <x v="0"/>
    <m/>
    <m/>
    <s v="Marcus Morowski"/>
  </r>
  <r>
    <n v="356"/>
    <x v="0"/>
    <x v="7"/>
    <s v="G000000953"/>
    <s v="Z-Area"/>
    <s v="G000000946"/>
    <x v="4"/>
    <x v="0"/>
    <x v="0"/>
    <x v="0"/>
    <m/>
    <m/>
    <s v="Marcus Morowski"/>
  </r>
  <r>
    <n v="357"/>
    <x v="0"/>
    <x v="7"/>
    <s v="G000000946"/>
    <s v="FS Contractors DA"/>
    <s v="G000000529"/>
    <x v="4"/>
    <x v="0"/>
    <x v="0"/>
    <x v="0"/>
    <m/>
    <m/>
    <s v="Marcus Morowski"/>
  </r>
  <r>
    <n v="358"/>
    <x v="0"/>
    <x v="7"/>
    <s v="G000000531"/>
    <s v="Freiflächen und allg. Infrastruktur "/>
    <s v="G000000516 "/>
    <x v="4"/>
    <x v="0"/>
    <x v="0"/>
    <x v="0"/>
    <m/>
    <m/>
    <s v="Marcus Morowski"/>
  </r>
  <r>
    <n v="359"/>
    <x v="0"/>
    <x v="7"/>
    <s v="G000000532"/>
    <s v="Freiflächen und Parken "/>
    <s v="G000000531"/>
    <x v="4"/>
    <x v="0"/>
    <x v="0"/>
    <x v="0"/>
    <m/>
    <m/>
    <s v="Marcus Morowski"/>
  </r>
  <r>
    <n v="360"/>
    <x v="0"/>
    <x v="7"/>
    <s v="G000000945"/>
    <s v="Allgemeine Infrastruktur "/>
    <s v="G000000531"/>
    <x v="4"/>
    <x v="0"/>
    <x v="0"/>
    <x v="0"/>
    <m/>
    <m/>
    <s v="Marcus Morowski"/>
  </r>
  <r>
    <n v="361"/>
    <x v="0"/>
    <x v="7"/>
    <s v="G000001090"/>
    <s v="HQ Campus NDD Cost KGaA"/>
    <s v="G000000422"/>
    <x v="4"/>
    <x v="0"/>
    <x v="0"/>
    <x v="0"/>
    <m/>
    <m/>
    <s v="Marcus Morowski"/>
  </r>
  <r>
    <n v="362"/>
    <x v="0"/>
    <x v="7"/>
    <s v="G000001086"/>
    <s v="FS HQ Campus"/>
    <s v="G000001074"/>
    <x v="4"/>
    <x v="0"/>
    <x v="0"/>
    <x v="0"/>
    <m/>
    <m/>
    <s v="Marcus Morowski"/>
  </r>
  <r>
    <n v="363"/>
    <x v="0"/>
    <x v="7"/>
    <s v="G000001015"/>
    <s v="FS Infrastructure Bldgs. DA"/>
    <s v="G000001074"/>
    <x v="4"/>
    <x v="0"/>
    <x v="0"/>
    <x v="0"/>
    <m/>
    <m/>
    <s v="Marcus Morowski"/>
  </r>
  <r>
    <n v="364"/>
    <x v="0"/>
    <x v="7"/>
    <s v="G000001016"/>
    <s v="FS Workshop Bldgs. DA"/>
    <s v="G000001074"/>
    <x v="4"/>
    <x v="0"/>
    <x v="0"/>
    <x v="0"/>
    <m/>
    <m/>
    <s v="Marcus Morowski"/>
  </r>
  <r>
    <n v="365"/>
    <x v="0"/>
    <x v="7"/>
    <s v="G000001017"/>
    <s v="FS Warehouse Bldgs. DA"/>
    <s v="G000001074"/>
    <x v="4"/>
    <x v="0"/>
    <x v="0"/>
    <x v="0"/>
    <m/>
    <m/>
    <s v="Marcus Morowski"/>
  </r>
  <r>
    <n v="366"/>
    <x v="0"/>
    <x v="7"/>
    <s v="G000001018"/>
    <s v="FS Productions Bldgs. DA"/>
    <s v="G000001074"/>
    <x v="4"/>
    <x v="0"/>
    <x v="0"/>
    <x v="0"/>
    <m/>
    <m/>
    <s v="Marcus Morowski"/>
  </r>
  <r>
    <n v="367"/>
    <x v="0"/>
    <x v="7"/>
    <s v="G000001020"/>
    <s v="FS Container DA"/>
    <s v="G000001074"/>
    <x v="4"/>
    <x v="0"/>
    <x v="0"/>
    <x v="0"/>
    <m/>
    <m/>
    <s v="Marcus Morowski"/>
  </r>
  <r>
    <n v="368"/>
    <x v="0"/>
    <x v="7"/>
    <s v="G000001021"/>
    <s v="FS Umkleiden &amp; Aufenthaltsr. DA"/>
    <s v="G000001074"/>
    <x v="4"/>
    <x v="0"/>
    <x v="0"/>
    <x v="0"/>
    <m/>
    <m/>
    <s v="Marcus Morowski"/>
  </r>
  <r>
    <n v="369"/>
    <x v="0"/>
    <x v="7"/>
    <s v="G000001022"/>
    <s v="FS Fire &amp; Safety"/>
    <s v="G000001074"/>
    <x v="4"/>
    <x v="0"/>
    <x v="0"/>
    <x v="0"/>
    <m/>
    <m/>
    <s v="Marcus Morowski"/>
  </r>
  <r>
    <n v="370"/>
    <x v="0"/>
    <x v="7"/>
    <s v="G000001013"/>
    <s v="Shell &amp; Core Bldgs. DA"/>
    <s v="G000000425"/>
    <x v="4"/>
    <x v="0"/>
    <x v="0"/>
    <x v="0"/>
    <m/>
    <m/>
    <s v="Marcus Morowski"/>
  </r>
  <r>
    <n v="371"/>
    <x v="0"/>
    <x v="7"/>
    <s v="G000001023"/>
    <s v="SC Bldgs. Healthcare DA"/>
    <s v="G000001013"/>
    <x v="4"/>
    <x v="0"/>
    <x v="0"/>
    <x v="0"/>
    <m/>
    <m/>
    <s v="Marcus Morowski"/>
  </r>
  <r>
    <n v="372"/>
    <x v="0"/>
    <x v="7"/>
    <s v="G000001024"/>
    <s v="SC Bldgs. Life Science DA"/>
    <s v="G000001013"/>
    <x v="4"/>
    <x v="0"/>
    <x v="0"/>
    <x v="0"/>
    <m/>
    <m/>
    <s v="Marcus Morowski"/>
  </r>
  <r>
    <n v="373"/>
    <x v="0"/>
    <x v="7"/>
    <s v="G000001025"/>
    <s v="SC Bldgs. Electronics DA"/>
    <s v="G000001013"/>
    <x v="4"/>
    <x v="0"/>
    <x v="0"/>
    <x v="0"/>
    <m/>
    <m/>
    <s v="Marcus Morowski"/>
  </r>
  <r>
    <n v="374"/>
    <x v="0"/>
    <x v="8"/>
    <s v="RPL_E4_US05"/>
    <s v="RPL_E4_US05"/>
    <s v="L000013447"/>
    <x v="0"/>
    <x v="0"/>
    <x v="0"/>
    <x v="2"/>
    <m/>
    <m/>
    <s v="Anne-Francoise Dugast"/>
  </r>
  <r>
    <n v="375"/>
    <x v="0"/>
    <x v="9"/>
    <s v="H000004351"/>
    <s v="ES - Medical Studies Evobrutinib"/>
    <s v="H000003990"/>
    <x v="0"/>
    <x v="0"/>
    <x v="0"/>
    <x v="1"/>
    <m/>
    <m/>
    <s v="Elena Rasines Martin"/>
  </r>
  <r>
    <n v="376"/>
    <x v="0"/>
    <x v="10"/>
    <s v="H000004337"/>
    <s v="ES - Sales Promotion Xevinapant"/>
    <m/>
    <x v="2"/>
    <x v="0"/>
    <x v="0"/>
    <x v="1"/>
    <m/>
    <m/>
    <s v="Roland Earvin Combalicer"/>
  </r>
  <r>
    <n v="377"/>
    <x v="0"/>
    <x v="10"/>
    <s v="H000004338"/>
    <s v="ES - Medical non R&amp;D Xevinapant"/>
    <m/>
    <x v="2"/>
    <x v="0"/>
    <x v="0"/>
    <x v="1"/>
    <m/>
    <m/>
    <s v="Roland Earvin Combalicer"/>
  </r>
  <r>
    <n v="378"/>
    <x v="0"/>
    <x v="11"/>
    <s v="H000004349"/>
    <s v="IE - SP Evobrutinib"/>
    <m/>
    <x v="2"/>
    <x v="0"/>
    <x v="0"/>
    <x v="1"/>
    <m/>
    <m/>
    <s v="Roland Earvin Combalicer"/>
  </r>
  <r>
    <n v="379"/>
    <x v="0"/>
    <x v="11"/>
    <s v="H000004352"/>
    <s v="GB - FF- Xevinapant"/>
    <s v="H000002080"/>
    <x v="4"/>
    <x v="0"/>
    <x v="0"/>
    <x v="1"/>
    <m/>
    <m/>
    <s v="Roland Earvin Combalicer"/>
  </r>
  <r>
    <n v="380"/>
    <x v="0"/>
    <x v="11"/>
    <s v="H000004353"/>
    <s v="GB - LRD - Xevinapant"/>
    <s v="H000002111"/>
    <x v="4"/>
    <x v="0"/>
    <x v="0"/>
    <x v="1"/>
    <m/>
    <m/>
    <s v="Roland Earvin Combalicer"/>
  </r>
  <r>
    <n v="381"/>
    <x v="0"/>
    <x v="11"/>
    <s v="H000004354"/>
    <s v="GB - SP - Xevinapant"/>
    <s v="H000002080"/>
    <x v="4"/>
    <x v="0"/>
    <x v="0"/>
    <x v="1"/>
    <m/>
    <m/>
    <s v="Roland Earvin Combalicer"/>
  </r>
  <r>
    <n v="382"/>
    <x v="0"/>
    <x v="11"/>
    <s v="H000004355"/>
    <s v="IE - FF - Evobrutinib"/>
    <s v="H000001807"/>
    <x v="4"/>
    <x v="0"/>
    <x v="0"/>
    <x v="1"/>
    <m/>
    <m/>
    <s v="Roland Earvin Combalicer"/>
  </r>
  <r>
    <n v="383"/>
    <x v="0"/>
    <x v="11"/>
    <s v="H000004356"/>
    <s v="IE - LRD - Xevinapant"/>
    <s v="H000001826"/>
    <x v="4"/>
    <x v="0"/>
    <x v="0"/>
    <x v="1"/>
    <m/>
    <m/>
    <s v="Roland Earvin Combalicer"/>
  </r>
  <r>
    <n v="384"/>
    <x v="0"/>
    <x v="11"/>
    <s v="H000004357"/>
    <s v="IE - SP - Xevinapant"/>
    <s v="H000001795"/>
    <x v="4"/>
    <x v="0"/>
    <x v="0"/>
    <x v="1"/>
    <m/>
    <m/>
    <s v="Roland Earvin Combalicer"/>
  </r>
  <r>
    <n v="385"/>
    <x v="0"/>
    <x v="11"/>
    <s v="H000004358"/>
    <s v="IE - SP - Xevinapant"/>
    <s v="H000001795"/>
    <x v="4"/>
    <x v="0"/>
    <x v="0"/>
    <x v="1"/>
    <m/>
    <m/>
    <s v="Roland Earvin Combalicer"/>
  </r>
  <r>
    <n v="386"/>
    <x v="0"/>
    <x v="12"/>
    <s v="H000004359"/>
    <s v="US - OE&amp;I - Commercial Operations"/>
    <s v="H000003648"/>
    <x v="0"/>
    <x v="0"/>
    <x v="0"/>
    <x v="1"/>
    <m/>
    <m/>
    <s v="Rizza Domingo"/>
  </r>
  <r>
    <n v="387"/>
    <x v="0"/>
    <x v="12"/>
    <s v="H000004360"/>
    <s v="US - OE&amp;I - Commercial Operations"/>
    <s v="H000003672"/>
    <x v="0"/>
    <x v="0"/>
    <x v="0"/>
    <x v="1"/>
    <m/>
    <m/>
    <s v="Rizza Domingo"/>
  </r>
  <r>
    <n v="388"/>
    <x v="0"/>
    <x v="12"/>
    <s v="H000004361"/>
    <s v="US - OE&amp;I - Commercial Operations"/>
    <s v="H000003694"/>
    <x v="0"/>
    <x v="0"/>
    <x v="0"/>
    <x v="1"/>
    <m/>
    <m/>
    <s v="Rizza Domingo"/>
  </r>
  <r>
    <n v="389"/>
    <x v="0"/>
    <x v="12"/>
    <s v="H000004362"/>
    <s v="US - OE&amp;I - Commercial Operations"/>
    <s v="H000003715"/>
    <x v="0"/>
    <x v="0"/>
    <x v="0"/>
    <x v="1"/>
    <m/>
    <m/>
    <s v="Rizza Domingo"/>
  </r>
  <r>
    <n v="390"/>
    <x v="0"/>
    <x v="12"/>
    <s v="H000004363"/>
    <s v="US - OE&amp;I - Commercial Operations"/>
    <s v="H000003856"/>
    <x v="0"/>
    <x v="0"/>
    <x v="0"/>
    <x v="1"/>
    <m/>
    <m/>
    <s v="Rizza Domingo"/>
  </r>
  <r>
    <n v="391"/>
    <x v="0"/>
    <x v="12"/>
    <s v="H000004364"/>
    <s v="1261DA Launch and Technology Center"/>
    <s v="H000000562"/>
    <x v="4"/>
    <x v="0"/>
    <x v="0"/>
    <x v="1"/>
    <m/>
    <m/>
    <s v="Rizza Domingo"/>
  </r>
  <r>
    <n v="392"/>
    <x v="0"/>
    <x v="13"/>
    <s v="G000000433"/>
    <s v="SM-S Environment, Health &amp; Safety"/>
    <m/>
    <x v="2"/>
    <x v="0"/>
    <x v="0"/>
    <x v="0"/>
    <m/>
    <m/>
    <s v="Manuel Walther"/>
  </r>
  <r>
    <n v="393"/>
    <x v="0"/>
    <x v="13"/>
    <s v="G000000394"/>
    <s v="SM-ST Technical Plant Safety"/>
    <m/>
    <x v="2"/>
    <x v="0"/>
    <x v="0"/>
    <x v="0"/>
    <m/>
    <m/>
    <s v="Manuel Walther"/>
  </r>
  <r>
    <n v="394"/>
    <x v="0"/>
    <x v="13"/>
    <s v="G000000395"/>
    <s v="SM-ST Technic. Plant Safety_I"/>
    <m/>
    <x v="2"/>
    <x v="0"/>
    <x v="0"/>
    <x v="0"/>
    <m/>
    <m/>
    <s v="Manuel Walther"/>
  </r>
  <r>
    <n v="395"/>
    <x v="0"/>
    <x v="13"/>
    <s v="G000000396"/>
    <s v="SM-ST Material Costs"/>
    <m/>
    <x v="2"/>
    <x v="0"/>
    <x v="0"/>
    <x v="0"/>
    <m/>
    <m/>
    <s v="Manuel Walther"/>
  </r>
  <r>
    <n v="396"/>
    <x v="0"/>
    <x v="13"/>
    <s v="G000000845"/>
    <s v="'SM-G Gernsheim K01067"/>
    <m/>
    <x v="2"/>
    <x v="0"/>
    <x v="0"/>
    <x v="0"/>
    <m/>
    <m/>
    <s v="Manuel Walther"/>
  </r>
  <r>
    <n v="397"/>
    <x v="0"/>
    <x v="13"/>
    <s v="G000000686"/>
    <s v="SM-I Open Area DA"/>
    <s v="G000000412"/>
    <x v="4"/>
    <x v="0"/>
    <x v="0"/>
    <x v="0"/>
    <m/>
    <m/>
    <s v="Manuel Walther"/>
  </r>
  <r>
    <n v="398"/>
    <x v="0"/>
    <x v="13"/>
    <s v="G000000499"/>
    <s v="SM-I Open Area DA CCV"/>
    <s v="G000000498"/>
    <x v="4"/>
    <x v="0"/>
    <x v="0"/>
    <x v="0"/>
    <m/>
    <m/>
    <s v="Manuel Walther"/>
  </r>
  <r>
    <n v="399"/>
    <x v="0"/>
    <x v="13"/>
    <s v="G000000500"/>
    <s v="SM-I FS Open Area DA"/>
    <s v="G000000498"/>
    <x v="4"/>
    <x v="0"/>
    <x v="0"/>
    <x v="0"/>
    <m/>
    <m/>
    <s v="Manuel Walther"/>
  </r>
  <r>
    <n v="400"/>
    <x v="0"/>
    <x v="13"/>
    <s v="G000000404"/>
    <s v="SM-IP Material Cost Centers"/>
    <s v="G000000886"/>
    <x v="4"/>
    <x v="0"/>
    <x v="0"/>
    <x v="0"/>
    <m/>
    <m/>
    <s v="Manuel Walther"/>
  </r>
  <r>
    <n v="401"/>
    <x v="0"/>
    <x v="13"/>
    <s v="G000000922"/>
    <s v="SM-IPC/ IPE/ IPI/ IPP"/>
    <s v="G000000886"/>
    <x v="4"/>
    <x v="0"/>
    <x v="0"/>
    <x v="0"/>
    <m/>
    <m/>
    <s v="Manuel Walther"/>
  </r>
  <r>
    <n v="402"/>
    <x v="0"/>
    <x v="13"/>
    <s v="G000000923"/>
    <s v="SM-IE Ext. Energy Costs DA"/>
    <s v="G000000887"/>
    <x v="4"/>
    <x v="0"/>
    <x v="0"/>
    <x v="0"/>
    <m/>
    <m/>
    <s v="Manuel Walther"/>
  </r>
  <r>
    <n v="403"/>
    <x v="0"/>
    <x v="13"/>
    <s v="G000001094"/>
    <s v="SM-DD MRE IT Kosten"/>
    <s v="G000000469"/>
    <x v="4"/>
    <x v="0"/>
    <x v="0"/>
    <x v="0"/>
    <m/>
    <m/>
    <s v="Manuel Walther"/>
  </r>
  <r>
    <n v="404"/>
    <x v="0"/>
    <x v="13"/>
    <s v="G000000946"/>
    <s v="FS Contractors DA"/>
    <s v="G000000523"/>
    <x v="4"/>
    <x v="0"/>
    <x v="0"/>
    <x v="0"/>
    <m/>
    <m/>
    <s v="Manuel Walther"/>
  </r>
  <r>
    <n v="405"/>
    <x v="0"/>
    <x v="13"/>
    <s v="G000000544"/>
    <s v="MRE - Verrechnungen / Sachkosten"/>
    <s v="G000000439"/>
    <x v="4"/>
    <x v="0"/>
    <x v="0"/>
    <x v="0"/>
    <m/>
    <m/>
    <s v="Manuel Walther"/>
  </r>
  <r>
    <n v="406"/>
    <x v="0"/>
    <x v="13"/>
    <s v="G000000511"/>
    <s v="SM-EC Site Hohenbrunn"/>
    <s v="G000000891"/>
    <x v="4"/>
    <x v="0"/>
    <x v="0"/>
    <x v="0"/>
    <m/>
    <m/>
    <s v="Manuel Walther"/>
  </r>
  <r>
    <n v="407"/>
    <x v="0"/>
    <x v="13"/>
    <s v="G000000515"/>
    <s v="SM-EC Grundstuecke Merck KGaA"/>
    <s v="G000000891"/>
    <x v="4"/>
    <x v="0"/>
    <x v="0"/>
    <x v="0"/>
    <m/>
    <m/>
    <s v="Manuel Walther"/>
  </r>
  <r>
    <n v="408"/>
    <x v="0"/>
    <x v="13"/>
    <s v="G000000497"/>
    <s v="SM-EC Standortwentwicklung"/>
    <s v="G000000891"/>
    <x v="4"/>
    <x v="0"/>
    <x v="0"/>
    <x v="0"/>
    <m/>
    <m/>
    <s v="Manuel Walther"/>
  </r>
  <r>
    <n v="409"/>
    <x v="0"/>
    <x v="13"/>
    <s v="G000000846"/>
    <s v="SM-G Operativ K01063"/>
    <s v="G000000845"/>
    <x v="4"/>
    <x v="0"/>
    <x v="0"/>
    <x v="0"/>
    <m/>
    <m/>
    <s v="Manuel Walther"/>
  </r>
  <r>
    <n v="410"/>
    <x v="0"/>
    <x v="13"/>
    <s v="G000000847"/>
    <s v="SM-GM Medical K01167"/>
    <s v="G000000846"/>
    <x v="4"/>
    <x v="0"/>
    <x v="0"/>
    <x v="0"/>
    <m/>
    <m/>
    <s v="Manuel Walther"/>
  </r>
  <r>
    <n v="411"/>
    <x v="0"/>
    <x v="13"/>
    <s v="G000000849"/>
    <s v="SM-G Fire Prot. &amp; Sec. K01168"/>
    <s v="G000000846"/>
    <x v="4"/>
    <x v="0"/>
    <x v="0"/>
    <x v="0"/>
    <m/>
    <m/>
    <s v="Manuel Walther"/>
  </r>
  <r>
    <n v="412"/>
    <x v="0"/>
    <x v="13"/>
    <s v="G000000850"/>
    <s v="SM-G MRE"/>
    <s v="G000000846"/>
    <x v="4"/>
    <x v="0"/>
    <x v="0"/>
    <x v="0"/>
    <m/>
    <m/>
    <s v="Manuel Walther"/>
  </r>
  <r>
    <n v="413"/>
    <x v="0"/>
    <x v="13"/>
    <s v="G000000851"/>
    <s v="SM-GW Material Serv. K01169 "/>
    <s v="G000000846"/>
    <x v="4"/>
    <x v="0"/>
    <x v="0"/>
    <x v="0"/>
    <m/>
    <m/>
    <s v="Manuel Walther"/>
  </r>
  <r>
    <n v="414"/>
    <x v="0"/>
    <x v="13"/>
    <s v="G000000431"/>
    <s v="SM-G Gernheim Assets"/>
    <s v="G000000846"/>
    <x v="4"/>
    <x v="0"/>
    <x v="0"/>
    <x v="0"/>
    <m/>
    <m/>
    <s v="Manuel Walther"/>
  </r>
  <r>
    <n v="415"/>
    <x v="0"/>
    <x v="13"/>
    <s v="G000000848"/>
    <s v="SM-GS Supply &amp; Disp. K91035"/>
    <s v="G000000846"/>
    <x v="4"/>
    <x v="0"/>
    <x v="0"/>
    <x v="0"/>
    <m/>
    <m/>
    <s v="Manuel Walther"/>
  </r>
  <r>
    <n v="416"/>
    <x v="0"/>
    <x v="13"/>
    <s v="G000000926"/>
    <s v="SM-GS Tech. Site K01166"/>
    <s v="G000000848"/>
    <x v="4"/>
    <x v="0"/>
    <x v="0"/>
    <x v="0"/>
    <m/>
    <m/>
    <s v="Manuel Walther"/>
  </r>
  <r>
    <n v="417"/>
    <x v="0"/>
    <x v="13"/>
    <s v="G000000927"/>
    <s v="SM-GS Waste &amp; Water K91040"/>
    <s v="G000000848"/>
    <x v="4"/>
    <x v="0"/>
    <x v="0"/>
    <x v="0"/>
    <m/>
    <m/>
    <s v="Manuel Walther"/>
  </r>
  <r>
    <n v="418"/>
    <x v="0"/>
    <x v="13"/>
    <s v="G000000928"/>
    <s v="SM-GS Energy K91038"/>
    <s v="G000000848"/>
    <x v="4"/>
    <x v="0"/>
    <x v="0"/>
    <x v="0"/>
    <m/>
    <m/>
    <s v="Manuel Walther"/>
  </r>
  <r>
    <n v="419"/>
    <x v="0"/>
    <x v="13"/>
    <s v="G000000930"/>
    <s v="SM-GS Primary Cost K91036 "/>
    <s v="G000000928"/>
    <x v="4"/>
    <x v="0"/>
    <x v="0"/>
    <x v="0"/>
    <m/>
    <m/>
    <s v="Manuel Walther"/>
  </r>
  <r>
    <n v="420"/>
    <x v="0"/>
    <x v="13"/>
    <s v="G000000931"/>
    <s v="SM-GS Own Prod. K97310 "/>
    <s v="G000000928"/>
    <x v="4"/>
    <x v="0"/>
    <x v="0"/>
    <x v="0"/>
    <m/>
    <m/>
    <s v="Manuel Walther"/>
  </r>
  <r>
    <n v="421"/>
    <x v="0"/>
    <x v="13"/>
    <s v="G000000932"/>
    <s v="SM-GS Special K97741"/>
    <s v="G000000931"/>
    <x v="4"/>
    <x v="0"/>
    <x v="0"/>
    <x v="0"/>
    <m/>
    <m/>
    <s v="Manuel Walther"/>
  </r>
  <r>
    <n v="422"/>
    <x v="0"/>
    <x v="13"/>
    <s v="G000000933"/>
    <s v="SM-GS Energy Building K97740 "/>
    <s v="G000000931"/>
    <x v="4"/>
    <x v="0"/>
    <x v="0"/>
    <x v="0"/>
    <m/>
    <m/>
    <s v="Manuel Walther"/>
  </r>
  <r>
    <n v="423"/>
    <x v="0"/>
    <x v="13"/>
    <s v="G000000934"/>
    <s v=" SM-GS Energy Types K97311"/>
    <s v="G000000931"/>
    <x v="4"/>
    <x v="0"/>
    <x v="0"/>
    <x v="0"/>
    <m/>
    <m/>
    <s v="Manuel Walther"/>
  </r>
  <r>
    <n v="424"/>
    <x v="0"/>
    <x v="13"/>
    <s v="G000000926"/>
    <s v="SM-G free knots "/>
    <s v="G000000931"/>
    <x v="4"/>
    <x v="0"/>
    <x v="0"/>
    <x v="0"/>
    <m/>
    <m/>
    <s v="Manuel Walther"/>
  </r>
  <r>
    <n v="425"/>
    <x v="0"/>
    <x v="13"/>
    <s v="G000000935"/>
    <s v="S83-K97735 Gas GE"/>
    <s v="G000000926"/>
    <x v="4"/>
    <x v="0"/>
    <x v="0"/>
    <x v="0"/>
    <m/>
    <m/>
    <s v="Manuel Walther"/>
  </r>
  <r>
    <n v="426"/>
    <x v="0"/>
    <x v="13"/>
    <s v="G000000936"/>
    <s v="S83-K97734 Dampf GE"/>
    <s v="G000000926"/>
    <x v="4"/>
    <x v="0"/>
    <x v="0"/>
    <x v="0"/>
    <m/>
    <m/>
    <s v="Manuel Walther"/>
  </r>
  <r>
    <n v="427"/>
    <x v="0"/>
    <x v="13"/>
    <s v="G000000937"/>
    <s v="S83-K97733 Druckluft GE"/>
    <s v="G000000926"/>
    <x v="4"/>
    <x v="0"/>
    <x v="0"/>
    <x v="0"/>
    <m/>
    <m/>
    <s v="Manuel Walther"/>
  </r>
  <r>
    <n v="428"/>
    <x v="0"/>
    <x v="13"/>
    <s v="G000000938"/>
    <s v="S83-K97332 VE-Wasser GE"/>
    <s v="G000000926"/>
    <x v="4"/>
    <x v="0"/>
    <x v="0"/>
    <x v="0"/>
    <m/>
    <m/>
    <s v="Manuel Walther"/>
  </r>
  <r>
    <n v="429"/>
    <x v="0"/>
    <x v="13"/>
    <s v="G000000939"/>
    <s v="S83-K97331 Fabrikwasser GE"/>
    <s v="G000000926"/>
    <x v="4"/>
    <x v="0"/>
    <x v="0"/>
    <x v="0"/>
    <m/>
    <m/>
    <s v="Manuel Walther"/>
  </r>
  <r>
    <n v="430"/>
    <x v="0"/>
    <x v="13"/>
    <s v="G000000940"/>
    <s v="S83-K97330 Strom GE"/>
    <s v="G000000926"/>
    <x v="4"/>
    <x v="0"/>
    <x v="0"/>
    <x v="0"/>
    <m/>
    <m/>
    <s v="Manuel Walther"/>
  </r>
  <r>
    <n v="431"/>
    <x v="0"/>
    <x v="13"/>
    <s v="G000000852"/>
    <s v="S83-K91035 SM-GS Supply &amp; Disposal"/>
    <s v="G000000926"/>
    <x v="4"/>
    <x v="0"/>
    <x v="0"/>
    <x v="0"/>
    <m/>
    <m/>
    <s v="Manuel Walther"/>
  </r>
  <r>
    <n v="432"/>
    <x v="0"/>
    <x v="13"/>
    <s v="G000001008"/>
    <s v="SM-EC Grundstuecke Merck KGaA"/>
    <s v="G000000891"/>
    <x v="4"/>
    <x v="0"/>
    <x v="0"/>
    <x v="0"/>
    <m/>
    <m/>
    <s v="Manuel Walther"/>
  </r>
  <r>
    <n v="433"/>
    <x v="0"/>
    <x v="13"/>
    <s v="G000001007"/>
    <s v="SM-EC Site Hohenbrunn"/>
    <s v="G000000891"/>
    <x v="4"/>
    <x v="0"/>
    <x v="0"/>
    <x v="0"/>
    <m/>
    <m/>
    <s v="Manuel Walther"/>
  </r>
  <r>
    <n v="434"/>
    <x v="0"/>
    <x v="13"/>
    <s v="G000001069"/>
    <s v="SM-EC Standortwentwicklung"/>
    <s v="G000000891"/>
    <x v="4"/>
    <x v="0"/>
    <x v="0"/>
    <x v="0"/>
    <m/>
    <m/>
    <s v="Manuel Walther"/>
  </r>
  <r>
    <n v="435"/>
    <x v="0"/>
    <x v="13"/>
    <s v="G000001067"/>
    <s v="Rückbau Gebäude DA"/>
    <s v="G000000892"/>
    <x v="4"/>
    <x v="0"/>
    <x v="0"/>
    <x v="0"/>
    <m/>
    <m/>
    <s v="Manuel Walther"/>
  </r>
  <r>
    <n v="436"/>
    <x v="0"/>
    <x v="13"/>
    <s v="G000001068"/>
    <s v="Rückbau Gebäude GHM"/>
    <s v="G000000501"/>
    <x v="4"/>
    <x v="0"/>
    <x v="0"/>
    <x v="0"/>
    <m/>
    <m/>
    <s v="Manuel Walther"/>
  </r>
  <r>
    <n v="437"/>
    <x v="0"/>
    <x v="14"/>
    <s v="G000000240"/>
    <m/>
    <s v="G000000597"/>
    <x v="1"/>
    <x v="0"/>
    <x v="0"/>
    <x v="0"/>
    <m/>
    <m/>
    <s v="Jojeff Tagnong"/>
  </r>
  <r>
    <n v="438"/>
    <x v="0"/>
    <x v="14"/>
    <s v="G000001128"/>
    <s v="GNC HR - Apprenticeships"/>
    <s v="G000000588"/>
    <x v="0"/>
    <x v="0"/>
    <x v="0"/>
    <x v="0"/>
    <m/>
    <m/>
    <s v="Jojeff Tagnong"/>
  </r>
  <r>
    <n v="439"/>
    <x v="0"/>
    <x v="14"/>
    <s v="G000001129"/>
    <s v="GNE TX - Family Tax Office"/>
    <s v="G000000578"/>
    <x v="0"/>
    <x v="0"/>
    <x v="0"/>
    <x v="0"/>
    <m/>
    <m/>
    <s v="Jojeff Tagnong"/>
  </r>
  <r>
    <n v="440"/>
    <x v="0"/>
    <x v="14"/>
    <s v="G000001130"/>
    <s v="G1G PO - Corporate Sourcing Core"/>
    <s v="G000000055"/>
    <x v="0"/>
    <x v="0"/>
    <x v="0"/>
    <x v="0"/>
    <m/>
    <m/>
    <s v="Jojeff Tagnong"/>
  </r>
  <r>
    <n v="441"/>
    <x v="0"/>
    <x v="14"/>
    <s v="G000001131"/>
    <s v="G1G PO - Corporate Sourcing CapEx"/>
    <s v="G000000055"/>
    <x v="0"/>
    <x v="0"/>
    <x v="0"/>
    <x v="0"/>
    <m/>
    <m/>
    <s v="Jojeff Tagnong"/>
  </r>
  <r>
    <n v="442"/>
    <x v="0"/>
    <x v="14"/>
    <s v="G000001132"/>
    <s v="GNF LE - New Level"/>
    <s v="G000000584"/>
    <x v="0"/>
    <x v="0"/>
    <x v="0"/>
    <x v="0"/>
    <m/>
    <m/>
    <s v="Jojeff Tagnong"/>
  </r>
  <r>
    <n v="443"/>
    <x v="0"/>
    <x v="14"/>
    <s v="G000001133"/>
    <s v="FAO MBS Management"/>
    <s v="G000000184"/>
    <x v="0"/>
    <x v="0"/>
    <x v="0"/>
    <x v="0"/>
    <m/>
    <m/>
    <s v="Jojeff Tagnong"/>
  </r>
  <r>
    <n v="444"/>
    <x v="0"/>
    <x v="14"/>
    <s v="G000001134"/>
    <s v="FAP MBS Hub Manila"/>
    <s v="G000000184"/>
    <x v="0"/>
    <x v="0"/>
    <x v="0"/>
    <x v="0"/>
    <m/>
    <m/>
    <s v="Jojeff Tagnong"/>
  </r>
  <r>
    <n v="445"/>
    <x v="0"/>
    <x v="14"/>
    <s v="G000001135"/>
    <s v="FAQ MBS Hub Wroclaw"/>
    <s v="G000000184"/>
    <x v="0"/>
    <x v="0"/>
    <x v="0"/>
    <x v="0"/>
    <m/>
    <m/>
    <s v="Jojeff Tagnong"/>
  </r>
  <r>
    <n v="446"/>
    <x v="0"/>
    <x v="14"/>
    <s v="G000001136"/>
    <s v="FAR MBS Hub Bangalore"/>
    <s v="G000000184"/>
    <x v="0"/>
    <x v="0"/>
    <x v="0"/>
    <x v="0"/>
    <m/>
    <m/>
    <s v="Jojeff Tagnong"/>
  </r>
  <r>
    <n v="447"/>
    <x v="0"/>
    <x v="14"/>
    <s v="G000001137"/>
    <s v="FAS MBS Innovation &amp; Data"/>
    <s v="G000000184"/>
    <x v="0"/>
    <x v="0"/>
    <x v="0"/>
    <x v="0"/>
    <m/>
    <m/>
    <s v="Jojeff Tagnong"/>
  </r>
  <r>
    <n v="448"/>
    <x v="0"/>
    <x v="14"/>
    <s v="G000001138"/>
    <s v="FAT MBS Strategy &amp; Transformation"/>
    <s v="G000000184"/>
    <x v="0"/>
    <x v="0"/>
    <x v="0"/>
    <x v="0"/>
    <m/>
    <m/>
    <s v="Jojeff Tagnong"/>
  </r>
  <r>
    <n v="449"/>
    <x v="0"/>
    <x v="14"/>
    <s v="G000001139"/>
    <s v="FAU MBS FS&amp;P Financial Planning&amp;Analysis"/>
    <s v="G000000184"/>
    <x v="0"/>
    <x v="0"/>
    <x v="0"/>
    <x v="0"/>
    <m/>
    <m/>
    <s v="Jojeff Tagnong"/>
  </r>
  <r>
    <n v="450"/>
    <x v="0"/>
    <x v="14"/>
    <s v="G000001140"/>
    <s v="FAV MBS FS&amp;P Enterprise Services"/>
    <s v="G000000184"/>
    <x v="0"/>
    <x v="0"/>
    <x v="0"/>
    <x v="0"/>
    <m/>
    <m/>
    <s v="Jojeff Tagnong"/>
  </r>
  <r>
    <n v="451"/>
    <x v="0"/>
    <x v="14"/>
    <s v="G000001141"/>
    <s v="MBS Management - MGF Reporting"/>
    <s v="G000001133"/>
    <x v="0"/>
    <x v="0"/>
    <x v="0"/>
    <x v="0"/>
    <m/>
    <m/>
    <s v="Jojeff Tagnong"/>
  </r>
  <r>
    <n v="452"/>
    <x v="0"/>
    <x v="14"/>
    <s v="G000001142"/>
    <s v="MBS Hub Manila - MGF Reporting"/>
    <s v="G000001134"/>
    <x v="0"/>
    <x v="0"/>
    <x v="0"/>
    <x v="0"/>
    <m/>
    <m/>
    <s v="Jojeff Tagnong"/>
  </r>
  <r>
    <n v="453"/>
    <x v="0"/>
    <x v="14"/>
    <s v="G000001143"/>
    <s v="MBS Hub Wroclaw - MGF Reporting"/>
    <s v="G000001135"/>
    <x v="0"/>
    <x v="0"/>
    <x v="0"/>
    <x v="0"/>
    <m/>
    <m/>
    <s v="Jojeff Tagnong"/>
  </r>
  <r>
    <n v="454"/>
    <x v="0"/>
    <x v="14"/>
    <s v="G000001144"/>
    <s v="MBS Hub Bangalore - MGF Reporting"/>
    <s v="G000001136"/>
    <x v="0"/>
    <x v="0"/>
    <x v="0"/>
    <x v="0"/>
    <m/>
    <m/>
    <s v="Jojeff Tagnong"/>
  </r>
  <r>
    <n v="455"/>
    <x v="0"/>
    <x v="14"/>
    <s v="G000001145"/>
    <s v="MBS I&amp;D - MGF Reporting"/>
    <s v="G000001137"/>
    <x v="0"/>
    <x v="0"/>
    <x v="0"/>
    <x v="0"/>
    <m/>
    <m/>
    <s v="Jojeff Tagnong"/>
  </r>
  <r>
    <n v="456"/>
    <x v="0"/>
    <x v="14"/>
    <s v="G000001146"/>
    <s v="MBS S&amp;T - MGF Reporting"/>
    <s v="G000001138"/>
    <x v="0"/>
    <x v="0"/>
    <x v="0"/>
    <x v="0"/>
    <m/>
    <m/>
    <s v="Jojeff Tagnong"/>
  </r>
  <r>
    <n v="457"/>
    <x v="0"/>
    <x v="14"/>
    <s v="G000001147"/>
    <s v="MBS FS&amp;P FP&amp;A - MGF Reporting"/>
    <s v="G000001139"/>
    <x v="0"/>
    <x v="0"/>
    <x v="0"/>
    <x v="0"/>
    <m/>
    <m/>
    <s v="Jojeff Tagnong"/>
  </r>
  <r>
    <n v="458"/>
    <x v="0"/>
    <x v="14"/>
    <s v="G000001148"/>
    <s v="MBS FS&amp;P Enterpr.S. - MGF Reporting"/>
    <s v="G000001140"/>
    <x v="0"/>
    <x v="0"/>
    <x v="0"/>
    <x v="0"/>
    <m/>
    <m/>
    <s v="Jojeff Tagnong"/>
  </r>
  <r>
    <n v="459"/>
    <x v="0"/>
    <x v="14"/>
    <s v="G000001149"/>
    <s v="MBS Management - non-MGF Reporting"/>
    <s v="G000001133"/>
    <x v="0"/>
    <x v="0"/>
    <x v="0"/>
    <x v="0"/>
    <m/>
    <m/>
    <s v="Jojeff Tagnong"/>
  </r>
  <r>
    <n v="460"/>
    <x v="0"/>
    <x v="14"/>
    <s v="G000001150"/>
    <s v="MBS Hub Manila - non-MGF Reporting"/>
    <s v="G000001134"/>
    <x v="0"/>
    <x v="0"/>
    <x v="0"/>
    <x v="0"/>
    <m/>
    <m/>
    <s v="Jojeff Tagnong"/>
  </r>
  <r>
    <n v="461"/>
    <x v="0"/>
    <x v="14"/>
    <s v="G000001151"/>
    <s v="MBS Hub Wroclaw - non-MGF Reporting"/>
    <s v="G000001135"/>
    <x v="0"/>
    <x v="0"/>
    <x v="0"/>
    <x v="0"/>
    <m/>
    <m/>
    <s v="Jojeff Tagnong"/>
  </r>
  <r>
    <n v="462"/>
    <x v="0"/>
    <x v="14"/>
    <s v="G000001152"/>
    <s v="MBS Hub Bangalore - non-MGF Reporting"/>
    <s v="G000001136"/>
    <x v="0"/>
    <x v="0"/>
    <x v="0"/>
    <x v="0"/>
    <m/>
    <m/>
    <s v="Jojeff Tagnong"/>
  </r>
  <r>
    <n v="463"/>
    <x v="0"/>
    <x v="14"/>
    <s v="G000001153"/>
    <s v="MBS I&amp;D - non-MGF Reporting"/>
    <s v="G000001137"/>
    <x v="0"/>
    <x v="0"/>
    <x v="0"/>
    <x v="0"/>
    <m/>
    <m/>
    <s v="Jojeff Tagnong"/>
  </r>
  <r>
    <n v="464"/>
    <x v="0"/>
    <x v="14"/>
    <s v="G000001154"/>
    <s v="MBS S&amp;T - non-MGF Reporting"/>
    <s v="G000001138"/>
    <x v="0"/>
    <x v="0"/>
    <x v="0"/>
    <x v="0"/>
    <m/>
    <m/>
    <s v="Jojeff Tagnong"/>
  </r>
  <r>
    <n v="465"/>
    <x v="0"/>
    <x v="14"/>
    <s v="G000001155"/>
    <s v="MBS FS&amp;P FP&amp;A - non-MGF Reporting"/>
    <s v="G000001139"/>
    <x v="0"/>
    <x v="0"/>
    <x v="0"/>
    <x v="0"/>
    <m/>
    <m/>
    <s v="Jojeff Tagnong"/>
  </r>
  <r>
    <n v="466"/>
    <x v="0"/>
    <x v="14"/>
    <s v="G000001156"/>
    <s v="MBS FS&amp;P Enterpr.S. - non-MGF Reporting"/>
    <s v="G000001140"/>
    <x v="0"/>
    <x v="0"/>
    <x v="0"/>
    <x v="0"/>
    <m/>
    <m/>
    <s v="Jojeff Tagnong"/>
  </r>
  <r>
    <n v="467"/>
    <x v="0"/>
    <x v="14"/>
    <s v="G000001157"/>
    <s v="GNG Head of MBS"/>
    <s v="G000001141"/>
    <x v="0"/>
    <x v="0"/>
    <x v="0"/>
    <x v="0"/>
    <m/>
    <m/>
    <s v="Jojeff Tagnong"/>
  </r>
  <r>
    <n v="468"/>
    <x v="0"/>
    <x v="14"/>
    <s v="G000001158"/>
    <s v="GNH MBS CAO - Subsidiary Development"/>
    <s v="G000000572"/>
    <x v="0"/>
    <x v="0"/>
    <x v="0"/>
    <x v="0"/>
    <m/>
    <m/>
    <s v="Jojeff Tagnong"/>
  </r>
  <r>
    <n v="469"/>
    <x v="0"/>
    <x v="14"/>
    <s v="G000001159"/>
    <s v="GNI MBS CAO - CAO Office"/>
    <s v="G000000572"/>
    <x v="0"/>
    <x v="0"/>
    <x v="0"/>
    <x v="0"/>
    <m/>
    <m/>
    <s v="Jojeff Tagnong"/>
  </r>
  <r>
    <n v="470"/>
    <x v="0"/>
    <x v="14"/>
    <s v="G000001160"/>
    <s v="GNJ MBS CAO - Service Charges"/>
    <s v="G000000572"/>
    <x v="0"/>
    <x v="0"/>
    <x v="0"/>
    <x v="0"/>
    <m/>
    <m/>
    <s v="Jojeff Tagnong"/>
  </r>
  <r>
    <n v="471"/>
    <x v="0"/>
    <x v="14"/>
    <s v="G000001161"/>
    <s v="GNK MBS Hub Manila - Management"/>
    <s v="G000001142"/>
    <x v="0"/>
    <x v="0"/>
    <x v="0"/>
    <x v="0"/>
    <m/>
    <m/>
    <s v="Jojeff Tagnong"/>
  </r>
  <r>
    <n v="472"/>
    <x v="0"/>
    <x v="14"/>
    <s v="G000001162"/>
    <s v="GNL MBS Hub Manila - Proc Ops 1"/>
    <s v="G000001142"/>
    <x v="0"/>
    <x v="0"/>
    <x v="0"/>
    <x v="0"/>
    <m/>
    <m/>
    <s v="Jojeff Tagnong"/>
  </r>
  <r>
    <n v="473"/>
    <x v="0"/>
    <x v="14"/>
    <s v="G000001163"/>
    <s v="GNM MBS Hub Manila - Proc Op 2"/>
    <s v="G000001142"/>
    <x v="0"/>
    <x v="0"/>
    <x v="0"/>
    <x v="0"/>
    <m/>
    <m/>
    <s v="Jojeff Tagnong"/>
  </r>
  <r>
    <n v="474"/>
    <x v="0"/>
    <x v="14"/>
    <s v="G000001164"/>
    <s v="GNN MBS Hub Manila - Employee Serv. Ops"/>
    <s v="G000001142"/>
    <x v="0"/>
    <x v="0"/>
    <x v="0"/>
    <x v="0"/>
    <m/>
    <m/>
    <s v="Jojeff Tagnong"/>
  </r>
  <r>
    <n v="475"/>
    <x v="0"/>
    <x v="14"/>
    <s v="G000001165"/>
    <s v="GNO MBS Hub Manila-R2RGen.AccOps APAC/NA"/>
    <s v="G000001142"/>
    <x v="0"/>
    <x v="0"/>
    <x v="0"/>
    <x v="0"/>
    <m/>
    <m/>
    <s v="Jojeff Tagnong"/>
  </r>
  <r>
    <n v="476"/>
    <x v="0"/>
    <x v="14"/>
    <s v="G000001166"/>
    <s v="GNP MBS Hub Manila-R2R Glob AccSrvc &amp;I2C"/>
    <s v="G000001142"/>
    <x v="0"/>
    <x v="0"/>
    <x v="0"/>
    <x v="0"/>
    <m/>
    <m/>
    <s v="Jojeff Tagnong"/>
  </r>
  <r>
    <n v="477"/>
    <x v="0"/>
    <x v="14"/>
    <s v="G000001167"/>
    <s v="GNQ MBS Hub Manila - FP&amp;A Operations"/>
    <s v="G000001142"/>
    <x v="0"/>
    <x v="0"/>
    <x v="0"/>
    <x v="0"/>
    <m/>
    <m/>
    <s v="Jojeff Tagnong"/>
  </r>
  <r>
    <n v="478"/>
    <x v="0"/>
    <x v="14"/>
    <s v="G000001168"/>
    <s v="GNR MBS Hub Manila - Entrprs Srvc Ops"/>
    <s v="G000001142"/>
    <x v="0"/>
    <x v="0"/>
    <x v="0"/>
    <x v="0"/>
    <m/>
    <m/>
    <s v="Jojeff Tagnong"/>
  </r>
  <r>
    <n v="479"/>
    <x v="0"/>
    <x v="14"/>
    <s v="G000001169"/>
    <s v="GNS MBS Hub Manila - Service Charges"/>
    <s v="G000001142"/>
    <x v="0"/>
    <x v="0"/>
    <x v="0"/>
    <x v="0"/>
    <m/>
    <m/>
    <s v="Jojeff Tagnong"/>
  </r>
  <r>
    <n v="480"/>
    <x v="0"/>
    <x v="14"/>
    <s v="G000001170"/>
    <s v="GNT MBS Hub Wroclaw - Management"/>
    <s v="G000001143"/>
    <x v="0"/>
    <x v="0"/>
    <x v="0"/>
    <x v="0"/>
    <m/>
    <m/>
    <s v="Jojeff Tagnong"/>
  </r>
  <r>
    <n v="481"/>
    <x v="0"/>
    <x v="14"/>
    <s v="G000001171"/>
    <s v="GNU MBS Hub Wroclaw - Procurement Ops"/>
    <s v="G000001143"/>
    <x v="0"/>
    <x v="0"/>
    <x v="0"/>
    <x v="0"/>
    <m/>
    <m/>
    <s v="Jojeff Tagnong"/>
  </r>
  <r>
    <n v="482"/>
    <x v="0"/>
    <x v="14"/>
    <s v="G000001172"/>
    <s v="GNV MBS Hub Wroclaw-Employee Serv.Ops DE"/>
    <s v="G000001143"/>
    <x v="0"/>
    <x v="0"/>
    <x v="0"/>
    <x v="0"/>
    <m/>
    <m/>
    <s v="Jojeff Tagnong"/>
  </r>
  <r>
    <n v="483"/>
    <x v="0"/>
    <x v="14"/>
    <s v="G000001173"/>
    <s v="GNW MBS Hub Wroclaw -Empl Servc Ops EMEA"/>
    <s v="G000001143"/>
    <x v="0"/>
    <x v="0"/>
    <x v="0"/>
    <x v="0"/>
    <m/>
    <m/>
    <s v="Jojeff Tagnong"/>
  </r>
  <r>
    <n v="484"/>
    <x v="0"/>
    <x v="14"/>
    <s v="G000001174"/>
    <s v="GNX MBS Hub Wroclaw - A&amp;F Ops EMEA"/>
    <s v="G000001143"/>
    <x v="0"/>
    <x v="0"/>
    <x v="0"/>
    <x v="0"/>
    <m/>
    <m/>
    <s v="Jojeff Tagnong"/>
  </r>
  <r>
    <n v="485"/>
    <x v="0"/>
    <x v="14"/>
    <s v="G000001175"/>
    <s v="GNY MBS Hub Wroclaw -FP&amp;A Operations"/>
    <s v="G000001143"/>
    <x v="0"/>
    <x v="0"/>
    <x v="0"/>
    <x v="0"/>
    <m/>
    <m/>
    <s v="Jojeff Tagnong"/>
  </r>
  <r>
    <n v="486"/>
    <x v="0"/>
    <x v="14"/>
    <s v="G000001176"/>
    <s v="GNZ MBS Hub Wroclaw - Ent. Servc Ops"/>
    <s v="G000001143"/>
    <x v="0"/>
    <x v="0"/>
    <x v="0"/>
    <x v="0"/>
    <m/>
    <m/>
    <s v="Jojeff Tagnong"/>
  </r>
  <r>
    <n v="487"/>
    <x v="0"/>
    <x v="14"/>
    <s v="G000001177"/>
    <s v="GDI MBS Hub Wroclaw - Legal Services"/>
    <s v="G000001143"/>
    <x v="0"/>
    <x v="0"/>
    <x v="0"/>
    <x v="0"/>
    <m/>
    <m/>
    <s v="Jojeff Tagnong"/>
  </r>
  <r>
    <n v="488"/>
    <x v="0"/>
    <x v="14"/>
    <s v="G000001178"/>
    <s v="GDK MBS Hub Wroclaw - Service Charges"/>
    <s v="G000001143"/>
    <x v="0"/>
    <x v="0"/>
    <x v="0"/>
    <x v="0"/>
    <m/>
    <m/>
    <s v="Jojeff Tagnong"/>
  </r>
  <r>
    <n v="489"/>
    <x v="0"/>
    <x v="14"/>
    <s v="G000001179"/>
    <s v="GDL MBS Hub Bangalore - Management"/>
    <s v="G000001144"/>
    <x v="0"/>
    <x v="0"/>
    <x v="0"/>
    <x v="0"/>
    <m/>
    <m/>
    <s v="Jojeff Tagnong"/>
  </r>
  <r>
    <n v="490"/>
    <x v="0"/>
    <x v="14"/>
    <s v="G000001180"/>
    <s v="GDM MBS Hub Bangalore - GSD IT Care"/>
    <s v="G000001144"/>
    <x v="0"/>
    <x v="0"/>
    <x v="0"/>
    <x v="0"/>
    <m/>
    <m/>
    <s v="Jojeff Tagnong"/>
  </r>
  <r>
    <n v="491"/>
    <x v="0"/>
    <x v="14"/>
    <s v="G000001181"/>
    <s v="GDN MBS Hub Bangalore - Service Charges"/>
    <s v="G000001144"/>
    <x v="0"/>
    <x v="0"/>
    <x v="0"/>
    <x v="0"/>
    <m/>
    <m/>
    <s v="Jojeff Tagnong"/>
  </r>
  <r>
    <n v="492"/>
    <x v="0"/>
    <x v="14"/>
    <s v="G000001182"/>
    <s v="GDO MBS Innovation &amp; Data - SPA Team"/>
    <s v="G000001145"/>
    <x v="0"/>
    <x v="0"/>
    <x v="0"/>
    <x v="0"/>
    <m/>
    <m/>
    <s v="Jojeff Tagnong"/>
  </r>
  <r>
    <n v="493"/>
    <x v="0"/>
    <x v="14"/>
    <s v="G000001183"/>
    <s v="GDP MBS Innovation &amp; Data - Srvc Enable"/>
    <s v="G000001145"/>
    <x v="0"/>
    <x v="0"/>
    <x v="0"/>
    <x v="0"/>
    <m/>
    <m/>
    <s v="Jojeff Tagnong"/>
  </r>
  <r>
    <n v="494"/>
    <x v="0"/>
    <x v="14"/>
    <s v="G000001184"/>
    <s v="GDQ MBS S&amp;T - Management"/>
    <s v="G000001146"/>
    <x v="0"/>
    <x v="0"/>
    <x v="0"/>
    <x v="0"/>
    <m/>
    <m/>
    <s v="Jojeff Tagnong"/>
  </r>
  <r>
    <n v="495"/>
    <x v="0"/>
    <x v="14"/>
    <s v="G000001185"/>
    <s v="GDR MBS S&amp;T - MBS Head Office"/>
    <s v="G000001146"/>
    <x v="0"/>
    <x v="0"/>
    <x v="0"/>
    <x v="0"/>
    <m/>
    <m/>
    <s v="Jojeff Tagnong"/>
  </r>
  <r>
    <n v="496"/>
    <x v="0"/>
    <x v="14"/>
    <s v="G000001186"/>
    <s v="GDS MBS S&amp;T - Strategy Activation"/>
    <s v="G000001146"/>
    <x v="0"/>
    <x v="0"/>
    <x v="0"/>
    <x v="0"/>
    <m/>
    <m/>
    <s v="Jojeff Tagnong"/>
  </r>
  <r>
    <n v="497"/>
    <x v="0"/>
    <x v="14"/>
    <s v="G000001187"/>
    <s v="GDT MBS S&amp;T -Prgrm &amp; Proj Portfolio Mgmt"/>
    <s v="G000001146"/>
    <x v="0"/>
    <x v="0"/>
    <x v="0"/>
    <x v="0"/>
    <m/>
    <m/>
    <s v="Jojeff Tagnong"/>
  </r>
  <r>
    <n v="498"/>
    <x v="0"/>
    <x v="14"/>
    <s v="G000001188"/>
    <s v="GDU MBS S&amp;T - Business Excellence"/>
    <s v="G000001146"/>
    <x v="0"/>
    <x v="0"/>
    <x v="0"/>
    <x v="0"/>
    <m/>
    <m/>
    <s v="Jojeff Tagnong"/>
  </r>
  <r>
    <n v="499"/>
    <x v="0"/>
    <x v="14"/>
    <s v="G000001189"/>
    <s v="GDV MBS S&amp;T - Governance &amp; Compliance"/>
    <s v="G000001146"/>
    <x v="0"/>
    <x v="0"/>
    <x v="0"/>
    <x v="0"/>
    <m/>
    <m/>
    <s v="Jojeff Tagnong"/>
  </r>
  <r>
    <n v="500"/>
    <x v="0"/>
    <x v="14"/>
    <s v="G000001190"/>
    <s v="GDW MBS S&amp;T - Performance Management"/>
    <s v="G000001146"/>
    <x v="0"/>
    <x v="0"/>
    <x v="0"/>
    <x v="0"/>
    <m/>
    <m/>
    <s v="Jojeff Tagnong"/>
  </r>
  <r>
    <n v="501"/>
    <x v="0"/>
    <x v="14"/>
    <s v="G000001191"/>
    <s v="GDX MBS S&amp;T - BPM t, L&amp;D and Knwldg Mgmt"/>
    <s v="G000001146"/>
    <x v="0"/>
    <x v="0"/>
    <x v="0"/>
    <x v="0"/>
    <m/>
    <m/>
    <s v="Jojeff Tagnong"/>
  </r>
  <r>
    <n v="502"/>
    <x v="0"/>
    <x v="14"/>
    <s v="G000001192"/>
    <s v="GDY MBS S&amp;T -Users &amp; Services Experience"/>
    <s v="G000001146"/>
    <x v="0"/>
    <x v="0"/>
    <x v="0"/>
    <x v="0"/>
    <m/>
    <m/>
    <s v="Jojeff Tagnong"/>
  </r>
  <r>
    <n v="503"/>
    <x v="0"/>
    <x v="14"/>
    <s v="G000001193"/>
    <s v="GDZ MBS S&amp;T - ERP Program"/>
    <s v="G000001146"/>
    <x v="0"/>
    <x v="0"/>
    <x v="0"/>
    <x v="0"/>
    <m/>
    <m/>
    <s v="Jojeff Tagnong"/>
  </r>
  <r>
    <n v="504"/>
    <x v="0"/>
    <x v="14"/>
    <s v="G000001194"/>
    <s v="GLF FS&amp;P A&amp;F - GPO Record to Report - GA"/>
    <s v="G000000608"/>
    <x v="0"/>
    <x v="0"/>
    <x v="0"/>
    <x v="0"/>
    <m/>
    <m/>
    <s v="Jojeff Tagnong"/>
  </r>
  <r>
    <n v="505"/>
    <x v="0"/>
    <x v="14"/>
    <s v="G000001195"/>
    <s v="GLG FS&amp;P A&amp;F - GPO R to R-Subledger Acc."/>
    <s v="G000000608"/>
    <x v="0"/>
    <x v="0"/>
    <x v="0"/>
    <x v="0"/>
    <m/>
    <m/>
    <s v="Jojeff Tagnong"/>
  </r>
  <r>
    <n v="506"/>
    <x v="0"/>
    <x v="14"/>
    <s v="G000001196"/>
    <s v="GLH FS&amp;P A&amp;F -GPO Fin. ERPMasterData/LFF"/>
    <s v="G000000608"/>
    <x v="0"/>
    <x v="0"/>
    <x v="0"/>
    <x v="0"/>
    <m/>
    <m/>
    <s v="Jojeff Tagnong"/>
  </r>
  <r>
    <n v="507"/>
    <x v="0"/>
    <x v="14"/>
    <s v="G000001197"/>
    <s v="GLI FS&amp;P A&amp;F-Perfrmnc Mgmt&amp;Compl.Lead FI"/>
    <s v="G000000608"/>
    <x v="0"/>
    <x v="0"/>
    <x v="0"/>
    <x v="0"/>
    <m/>
    <m/>
    <s v="Jojeff Tagnong"/>
  </r>
  <r>
    <n v="508"/>
    <x v="0"/>
    <x v="14"/>
    <s v="G000001198"/>
    <s v="GLJ FS&amp;P A&amp;F -Finance ERP Program Mngr"/>
    <s v="G000000608"/>
    <x v="0"/>
    <x v="0"/>
    <x v="0"/>
    <x v="0"/>
    <m/>
    <m/>
    <s v="Jojeff Tagnong"/>
  </r>
  <r>
    <n v="509"/>
    <x v="0"/>
    <x v="14"/>
    <s v="G000001199"/>
    <s v="GLK FS&amp;P A&amp;F - Transformation Lead FI"/>
    <s v="G000000608"/>
    <x v="0"/>
    <x v="0"/>
    <x v="0"/>
    <x v="0"/>
    <m/>
    <m/>
    <s v="Jojeff Tagnong"/>
  </r>
  <r>
    <n v="510"/>
    <x v="0"/>
    <x v="14"/>
    <s v="G000001200"/>
    <s v="GLL FS&amp;P FP&amp;A - HC"/>
    <s v="G000001147"/>
    <x v="0"/>
    <x v="0"/>
    <x v="0"/>
    <x v="0"/>
    <m/>
    <m/>
    <s v="Jojeff Tagnong"/>
  </r>
  <r>
    <n v="511"/>
    <x v="0"/>
    <x v="14"/>
    <s v="G000001201"/>
    <s v="GLM FS&amp;P FP&amp;A - LS"/>
    <s v="G000001147"/>
    <x v="0"/>
    <x v="0"/>
    <x v="0"/>
    <x v="0"/>
    <m/>
    <m/>
    <s v="Jojeff Tagnong"/>
  </r>
  <r>
    <n v="512"/>
    <x v="0"/>
    <x v="14"/>
    <s v="G000001202"/>
    <s v="GLN FS&amp;P FP&amp;A - EL"/>
    <s v="G000001147"/>
    <x v="0"/>
    <x v="0"/>
    <x v="0"/>
    <x v="0"/>
    <m/>
    <m/>
    <s v="Jojeff Tagnong"/>
  </r>
  <r>
    <n v="513"/>
    <x v="0"/>
    <x v="14"/>
    <s v="G000001203"/>
    <s v="GLO FS&amp;P FP&amp;A - EF CO"/>
    <s v="G000001147"/>
    <x v="0"/>
    <x v="0"/>
    <x v="0"/>
    <x v="0"/>
    <m/>
    <m/>
    <s v="Jojeff Tagnong"/>
  </r>
  <r>
    <n v="514"/>
    <x v="0"/>
    <x v="14"/>
    <s v="G000001204"/>
    <s v="GLP FS&amp;P FP&amp;A-Group Dta&amp;Aps for Fin MC4F"/>
    <s v="G000001147"/>
    <x v="0"/>
    <x v="0"/>
    <x v="0"/>
    <x v="0"/>
    <m/>
    <m/>
    <s v="Jojeff Tagnong"/>
  </r>
  <r>
    <n v="515"/>
    <x v="0"/>
    <x v="14"/>
    <s v="G000001205"/>
    <s v="GLQ FS&amp;P FP&amp;A-Reporting &amp; tools solution"/>
    <s v="G000001147"/>
    <x v="0"/>
    <x v="0"/>
    <x v="0"/>
    <x v="0"/>
    <m/>
    <m/>
    <s v="Jojeff Tagnong"/>
  </r>
  <r>
    <n v="516"/>
    <x v="0"/>
    <x v="14"/>
    <s v="G000001206"/>
    <s v="GLR FS&amp;P FP&amp;A - Transformation Lead"/>
    <s v="G000001147"/>
    <x v="0"/>
    <x v="0"/>
    <x v="0"/>
    <x v="0"/>
    <m/>
    <m/>
    <s v="Jojeff Tagnong"/>
  </r>
  <r>
    <n v="517"/>
    <x v="0"/>
    <x v="14"/>
    <s v="G000001207"/>
    <s v="GLS FS&amp;P FP&amp;A - CoE of different experts"/>
    <s v="G000001147"/>
    <x v="0"/>
    <x v="0"/>
    <x v="0"/>
    <x v="0"/>
    <m/>
    <m/>
    <s v="Jojeff Tagnong"/>
  </r>
  <r>
    <n v="518"/>
    <x v="0"/>
    <x v="14"/>
    <s v="G000001208"/>
    <s v="GLT FS&amp;P FP&amp;A - Management"/>
    <s v="G000001147"/>
    <x v="0"/>
    <x v="0"/>
    <x v="0"/>
    <x v="0"/>
    <m/>
    <m/>
    <s v="Jojeff Tagnong"/>
  </r>
  <r>
    <n v="519"/>
    <x v="0"/>
    <x v="14"/>
    <s v="G000001209"/>
    <s v="GLU MBS FS&amp;P PO - GPO S2P"/>
    <s v="G000000612"/>
    <x v="0"/>
    <x v="0"/>
    <x v="0"/>
    <x v="0"/>
    <m/>
    <m/>
    <s v="Jojeff Tagnong"/>
  </r>
  <r>
    <n v="520"/>
    <x v="0"/>
    <x v="14"/>
    <s v="G000001210"/>
    <s v="GLV MBS FS&amp;P PO - GPO T&amp;E"/>
    <s v="G000000612"/>
    <x v="0"/>
    <x v="0"/>
    <x v="0"/>
    <x v="0"/>
    <m/>
    <m/>
    <s v="Jojeff Tagnong"/>
  </r>
  <r>
    <n v="521"/>
    <x v="0"/>
    <x v="14"/>
    <s v="G000001211"/>
    <s v="GLW MBS FS&amp;P PO-Prformnc Mgmt &amp;Compl. PO"/>
    <s v="G000000612"/>
    <x v="0"/>
    <x v="0"/>
    <x v="0"/>
    <x v="0"/>
    <m/>
    <m/>
    <s v="Jojeff Tagnong"/>
  </r>
  <r>
    <n v="522"/>
    <x v="0"/>
    <x v="14"/>
    <s v="G000001212"/>
    <s v="GLX MBS FS&amp;P PO-Transformation Lead PO 1"/>
    <s v="G000000612"/>
    <x v="0"/>
    <x v="0"/>
    <x v="0"/>
    <x v="0"/>
    <m/>
    <m/>
    <s v="Jojeff Tagnong"/>
  </r>
  <r>
    <n v="523"/>
    <x v="0"/>
    <x v="14"/>
    <s v="G000001213"/>
    <s v="GLY MBS FS&amp;P PO-Transformation Lead PO 2"/>
    <s v="G000000612"/>
    <x v="0"/>
    <x v="0"/>
    <x v="0"/>
    <x v="0"/>
    <m/>
    <m/>
    <s v="Jojeff Tagnong"/>
  </r>
  <r>
    <n v="524"/>
    <x v="0"/>
    <x v="14"/>
    <s v="G000001214"/>
    <s v="GLZ MBS FS&amp;P ES - GPO Hire to Retire"/>
    <s v="G000000610"/>
    <x v="0"/>
    <x v="0"/>
    <x v="0"/>
    <x v="0"/>
    <m/>
    <m/>
    <s v="Jojeff Tagnong"/>
  </r>
  <r>
    <n v="525"/>
    <x v="0"/>
    <x v="14"/>
    <s v="G000001215"/>
    <s v="GMB MBS FS&amp;P ES - GPO Payroll"/>
    <s v="G000000610"/>
    <x v="0"/>
    <x v="0"/>
    <x v="0"/>
    <x v="0"/>
    <m/>
    <m/>
    <s v="Jojeff Tagnong"/>
  </r>
  <r>
    <n v="526"/>
    <x v="0"/>
    <x v="14"/>
    <s v="G000001216"/>
    <s v="GMC MBS FS&amp;P ES-PrfrmnMgmt&amp;Compl Lead ES"/>
    <s v="G000000610"/>
    <x v="0"/>
    <x v="0"/>
    <x v="0"/>
    <x v="0"/>
    <m/>
    <m/>
    <s v="Jojeff Tagnong"/>
  </r>
  <r>
    <n v="527"/>
    <x v="0"/>
    <x v="14"/>
    <s v="G000001217"/>
    <s v="GMD MBS FS&amp;P ES - Transformation Lead ES"/>
    <s v="G000000610"/>
    <x v="0"/>
    <x v="0"/>
    <x v="0"/>
    <x v="0"/>
    <m/>
    <m/>
    <s v="Jojeff Tagnong"/>
  </r>
  <r>
    <n v="528"/>
    <x v="0"/>
    <x v="14"/>
    <s v="G000001218"/>
    <s v="GMF MBS FS&amp;P Ent.S.-Cntct Cntr&amp;ServcDesk"/>
    <s v="G000001148"/>
    <x v="0"/>
    <x v="0"/>
    <x v="0"/>
    <x v="0"/>
    <m/>
    <m/>
    <s v="Jojeff Tagnong"/>
  </r>
  <r>
    <n v="529"/>
    <x v="0"/>
    <x v="14"/>
    <s v="G000001219"/>
    <s v="GMG MBS FS&amp;P Ent.S.-Glob Communications"/>
    <s v="G000001148"/>
    <x v="0"/>
    <x v="0"/>
    <x v="0"/>
    <x v="0"/>
    <m/>
    <m/>
    <s v="Jojeff Tagnong"/>
  </r>
  <r>
    <n v="530"/>
    <x v="0"/>
    <x v="14"/>
    <s v="G000001220"/>
    <s v="GMH MBS FS&amp;P Ent.S. -Translation Servc"/>
    <s v="G000001148"/>
    <x v="0"/>
    <x v="0"/>
    <x v="0"/>
    <x v="0"/>
    <m/>
    <m/>
    <s v="Jojeff Tagnong"/>
  </r>
  <r>
    <n v="531"/>
    <x v="0"/>
    <x v="14"/>
    <s v="G000001221"/>
    <s v="GMI MBS FS&amp;P Ent.S. - Ent Serv. Support"/>
    <s v="G000001148"/>
    <x v="0"/>
    <x v="0"/>
    <x v="0"/>
    <x v="0"/>
    <m/>
    <m/>
    <s v="Jojeff Tagnong"/>
  </r>
  <r>
    <n v="532"/>
    <x v="0"/>
    <x v="14"/>
    <s v="G000001222"/>
    <s v="GMJ MBS FS&amp;P Enterpr.S. - Management"/>
    <s v="G000001148"/>
    <x v="0"/>
    <x v="0"/>
    <x v="0"/>
    <x v="0"/>
    <m/>
    <m/>
    <s v="Jojeff Tagnong"/>
  </r>
  <r>
    <n v="533"/>
    <x v="0"/>
    <x v="14"/>
    <s v="G000001103"/>
    <s v="GMA LE - APAC"/>
    <m/>
    <x v="2"/>
    <x v="0"/>
    <x v="0"/>
    <x v="0"/>
    <m/>
    <m/>
    <s v="Jojeff Tagnong"/>
  </r>
  <r>
    <n v="534"/>
    <x v="0"/>
    <x v="14"/>
    <s v="G000001104"/>
    <s v="GME LE - Europe/MEAR"/>
    <m/>
    <x v="2"/>
    <x v="0"/>
    <x v="0"/>
    <x v="0"/>
    <m/>
    <m/>
    <s v="Jojeff Tagnong"/>
  </r>
  <r>
    <n v="535"/>
    <x v="0"/>
    <x v="14"/>
    <s v="G000001101"/>
    <s v="F87 ST - Bluehouse AIDD"/>
    <m/>
    <x v="2"/>
    <x v="0"/>
    <x v="0"/>
    <x v="0"/>
    <m/>
    <m/>
    <s v="Jojeff Tagnong"/>
  </r>
  <r>
    <n v="536"/>
    <x v="0"/>
    <x v="14"/>
    <s v="G000001102"/>
    <s v="F87 ST - Bluehouse mRNA"/>
    <m/>
    <x v="2"/>
    <x v="0"/>
    <x v="0"/>
    <x v="0"/>
    <m/>
    <m/>
    <s v="Jojeff Tagnong"/>
  </r>
  <r>
    <n v="537"/>
    <x v="0"/>
    <x v="14"/>
    <s v="G000000037"/>
    <s v="F80 MBS CAO Organization"/>
    <m/>
    <x v="2"/>
    <x v="0"/>
    <x v="0"/>
    <x v="0"/>
    <m/>
    <m/>
    <s v="Jojeff Tagnong"/>
  </r>
  <r>
    <n v="538"/>
    <x v="0"/>
    <x v="14"/>
    <s v="G000000185"/>
    <s v="FK4 MBS FS&amp;P Accounting &amp; Finance"/>
    <m/>
    <x v="2"/>
    <x v="0"/>
    <x v="0"/>
    <x v="0"/>
    <m/>
    <m/>
    <s v="Jojeff Tagnong"/>
  </r>
  <r>
    <n v="539"/>
    <x v="0"/>
    <x v="14"/>
    <s v="G000000213"/>
    <s v="FK6 MBS FS&amp;P Procurement"/>
    <m/>
    <x v="2"/>
    <x v="0"/>
    <x v="0"/>
    <x v="0"/>
    <m/>
    <m/>
    <s v="Jojeff Tagnong"/>
  </r>
  <r>
    <n v="540"/>
    <x v="0"/>
    <x v="14"/>
    <s v="G000000194"/>
    <s v="FK5 MBS FS&amp;P Employee Services"/>
    <m/>
    <x v="2"/>
    <x v="0"/>
    <x v="0"/>
    <x v="0"/>
    <m/>
    <m/>
    <s v="Jojeff Tagnong"/>
  </r>
  <r>
    <n v="541"/>
    <x v="0"/>
    <x v="14"/>
    <s v="G000000572"/>
    <s v="MBS CAO - MGF Reporting"/>
    <m/>
    <x v="2"/>
    <x v="0"/>
    <x v="0"/>
    <x v="0"/>
    <m/>
    <m/>
    <s v="Jojeff Tagnong"/>
  </r>
  <r>
    <n v="542"/>
    <x v="0"/>
    <x v="14"/>
    <s v="G000000573"/>
    <s v="MBS CAO - non-MGF Reporting"/>
    <m/>
    <x v="2"/>
    <x v="0"/>
    <x v="0"/>
    <x v="0"/>
    <m/>
    <m/>
    <s v="Jojeff Tagnong"/>
  </r>
  <r>
    <n v="543"/>
    <x v="0"/>
    <x v="14"/>
    <s v="G000000608"/>
    <s v="MBS FS&amp;P A&amp;F - MGF Reporting"/>
    <m/>
    <x v="2"/>
    <x v="0"/>
    <x v="0"/>
    <x v="0"/>
    <m/>
    <m/>
    <s v="Jojeff Tagnong"/>
  </r>
  <r>
    <n v="544"/>
    <x v="0"/>
    <x v="14"/>
    <s v="G000000609"/>
    <s v="MBS FS&amp;P A&amp;F - non-MGF Reporting"/>
    <m/>
    <x v="2"/>
    <x v="0"/>
    <x v="0"/>
    <x v="0"/>
    <m/>
    <m/>
    <s v="Jojeff Tagnong"/>
  </r>
  <r>
    <n v="545"/>
    <x v="0"/>
    <x v="14"/>
    <s v="G000000612"/>
    <s v="MBS FS&amp;P PO - MGF Reporting"/>
    <m/>
    <x v="2"/>
    <x v="0"/>
    <x v="0"/>
    <x v="0"/>
    <m/>
    <m/>
    <s v="Jojeff Tagnong"/>
  </r>
  <r>
    <n v="546"/>
    <x v="0"/>
    <x v="14"/>
    <s v="G000000613"/>
    <s v="MBS FS&amp;P PO - non-MGF Reporting"/>
    <m/>
    <x v="2"/>
    <x v="0"/>
    <x v="0"/>
    <x v="0"/>
    <m/>
    <m/>
    <s v="Jojeff Tagnong"/>
  </r>
  <r>
    <n v="547"/>
    <x v="0"/>
    <x v="14"/>
    <s v="G000000610"/>
    <s v="MBS FS&amp;P ES - MGF Reporting"/>
    <m/>
    <x v="2"/>
    <x v="0"/>
    <x v="0"/>
    <x v="0"/>
    <m/>
    <m/>
    <s v="Jojeff Tagnong"/>
  </r>
  <r>
    <n v="548"/>
    <x v="0"/>
    <x v="14"/>
    <s v="G000000611"/>
    <s v="MBS FS&amp;P ES - non-MGF Reporting"/>
    <m/>
    <x v="2"/>
    <x v="0"/>
    <x v="0"/>
    <x v="0"/>
    <m/>
    <m/>
    <s v="Jojeff Tagnong"/>
  </r>
  <r>
    <n v="549"/>
    <x v="0"/>
    <x v="14"/>
    <s v="G000000042"/>
    <s v="GK7 MBS CAO - Management"/>
    <m/>
    <x v="2"/>
    <x v="0"/>
    <x v="0"/>
    <x v="0"/>
    <m/>
    <m/>
    <s v="Jojeff Tagnong"/>
  </r>
  <r>
    <n v="550"/>
    <x v="0"/>
    <x v="14"/>
    <s v="G000000633"/>
    <s v="GZC MBS CAO - North America"/>
    <m/>
    <x v="2"/>
    <x v="0"/>
    <x v="0"/>
    <x v="0"/>
    <m/>
    <m/>
    <s v="Jojeff Tagnong"/>
  </r>
  <r>
    <n v="551"/>
    <x v="0"/>
    <x v="14"/>
    <s v="G000000634"/>
    <s v="GZD MBS CAO - LatAm"/>
    <m/>
    <x v="2"/>
    <x v="0"/>
    <x v="0"/>
    <x v="0"/>
    <m/>
    <m/>
    <s v="Jojeff Tagnong"/>
  </r>
  <r>
    <n v="552"/>
    <x v="0"/>
    <x v="14"/>
    <s v="G000000635"/>
    <s v="GZE MBS CAO - APAC"/>
    <m/>
    <x v="2"/>
    <x v="0"/>
    <x v="0"/>
    <x v="0"/>
    <m/>
    <m/>
    <s v="Jojeff Tagnong"/>
  </r>
  <r>
    <n v="553"/>
    <x v="0"/>
    <x v="14"/>
    <s v="G000000636"/>
    <s v="GZF MBS CAO - Greater China"/>
    <m/>
    <x v="2"/>
    <x v="0"/>
    <x v="0"/>
    <x v="0"/>
    <m/>
    <m/>
    <s v="Jojeff Tagnong"/>
  </r>
  <r>
    <n v="554"/>
    <x v="0"/>
    <x v="14"/>
    <s v="G000000637"/>
    <s v="GZG MBS CAO - EMEA 2"/>
    <m/>
    <x v="2"/>
    <x v="0"/>
    <x v="0"/>
    <x v="0"/>
    <m/>
    <m/>
    <s v="Jojeff Tagnong"/>
  </r>
  <r>
    <n v="555"/>
    <x v="0"/>
    <x v="14"/>
    <s v="G000000631"/>
    <s v="GZH MBS CAO - Germany &amp; Austria"/>
    <m/>
    <x v="2"/>
    <x v="0"/>
    <x v="0"/>
    <x v="0"/>
    <m/>
    <m/>
    <s v="Jojeff Tagnong"/>
  </r>
  <r>
    <n v="556"/>
    <x v="0"/>
    <x v="14"/>
    <s v="G000000630"/>
    <s v="GZJ MBS CAO - EMEA 1"/>
    <m/>
    <x v="2"/>
    <x v="0"/>
    <x v="0"/>
    <x v="0"/>
    <m/>
    <m/>
    <s v="Jojeff Tagnong"/>
  </r>
  <r>
    <n v="557"/>
    <x v="0"/>
    <x v="14"/>
    <s v="G000000698"/>
    <s v="GKB FS&amp;P A&amp;F - ABP"/>
    <m/>
    <x v="2"/>
    <x v="0"/>
    <x v="0"/>
    <x v="0"/>
    <m/>
    <m/>
    <s v="Jojeff Tagnong"/>
  </r>
  <r>
    <n v="558"/>
    <x v="0"/>
    <x v="14"/>
    <s v="G000000699"/>
    <s v="GKC FS&amp;P A&amp;F - GPO Invoice to cash"/>
    <m/>
    <x v="2"/>
    <x v="0"/>
    <x v="0"/>
    <x v="0"/>
    <m/>
    <m/>
    <s v="Jojeff Tagnong"/>
  </r>
  <r>
    <n v="559"/>
    <x v="0"/>
    <x v="14"/>
    <s v="G000000700"/>
    <s v="GKD FS&amp;P A&amp;F - GPO Indirect Taxes"/>
    <m/>
    <x v="2"/>
    <x v="0"/>
    <x v="0"/>
    <x v="0"/>
    <m/>
    <m/>
    <s v="Jojeff Tagnong"/>
  </r>
  <r>
    <n v="560"/>
    <x v="0"/>
    <x v="14"/>
    <s v="G000000702"/>
    <s v="GKF FS&amp;P A&amp;F - Management"/>
    <m/>
    <x v="2"/>
    <x v="0"/>
    <x v="0"/>
    <x v="0"/>
    <m/>
    <m/>
    <s v="Jojeff Tagnong"/>
  </r>
  <r>
    <n v="561"/>
    <x v="0"/>
    <x v="14"/>
    <s v="G000000713"/>
    <s v="GZP MBS FS&amp;P PO - Management"/>
    <m/>
    <x v="2"/>
    <x v="0"/>
    <x v="0"/>
    <x v="0"/>
    <m/>
    <m/>
    <s v="Jojeff Tagnong"/>
  </r>
  <r>
    <n v="562"/>
    <x v="0"/>
    <x v="14"/>
    <s v="G000000707"/>
    <s v="GYB MBS FS&amp;P ES - Learning &amp; Development"/>
    <m/>
    <x v="2"/>
    <x v="0"/>
    <x v="0"/>
    <x v="0"/>
    <m/>
    <m/>
    <s v="Jojeff Tagnong"/>
  </r>
  <r>
    <n v="563"/>
    <x v="0"/>
    <x v="14"/>
    <s v="G000000708"/>
    <s v="GYC MBS FS&amp;P ES-GPO HR dataRprtng&amp;Anlytc"/>
    <m/>
    <x v="2"/>
    <x v="0"/>
    <x v="0"/>
    <x v="0"/>
    <m/>
    <m/>
    <s v="Jojeff Tagnong"/>
  </r>
  <r>
    <n v="564"/>
    <x v="0"/>
    <x v="14"/>
    <s v="G000000710"/>
    <s v="GYE MBS FS&amp;P ES - Management"/>
    <m/>
    <x v="2"/>
    <x v="0"/>
    <x v="0"/>
    <x v="0"/>
    <m/>
    <m/>
    <s v="Jojeff Tagnong"/>
  </r>
  <r>
    <n v="565"/>
    <x v="0"/>
    <x v="14"/>
    <s v="G000000216"/>
    <s v="G2K MBS FS&amp;P Procurement B&amp;P"/>
    <m/>
    <x v="2"/>
    <x v="0"/>
    <x v="0"/>
    <x v="0"/>
    <m/>
    <m/>
    <s v="Jojeff Tagnong"/>
  </r>
  <r>
    <n v="566"/>
    <x v="0"/>
    <x v="15"/>
    <s v="PL_E601012"/>
    <m/>
    <m/>
    <x v="3"/>
    <x v="0"/>
    <x v="0"/>
    <x v="2"/>
    <m/>
    <m/>
    <s v="Marcus Avemarie"/>
  </r>
  <r>
    <n v="567"/>
    <x v="0"/>
    <x v="15"/>
    <s v="PL_E6_0101"/>
    <m/>
    <s v="L000010079"/>
    <x v="0"/>
    <x v="0"/>
    <x v="0"/>
    <x v="2"/>
    <m/>
    <m/>
    <s v="Marcus Avemarie"/>
  </r>
  <r>
    <n v="568"/>
    <x v="0"/>
    <x v="16"/>
    <s v="G000001223"/>
    <s v="SM-PL Plant Maintenance LS"/>
    <s v="G000000374"/>
    <x v="0"/>
    <x v="0"/>
    <x v="0"/>
    <x v="0"/>
    <m/>
    <m/>
    <s v="Sybille Rogmans"/>
  </r>
  <r>
    <n v="569"/>
    <x v="0"/>
    <x v="16"/>
    <s v="G000001224"/>
    <s v="SM-PH Plant Maintenance HC"/>
    <s v="G000000374"/>
    <x v="0"/>
    <x v="0"/>
    <x v="0"/>
    <x v="0"/>
    <m/>
    <m/>
    <s v="Sybille Rogmans"/>
  </r>
  <r>
    <n v="570"/>
    <x v="0"/>
    <x v="16"/>
    <s v="G000001225"/>
    <s v="SM-PE Plant Maintenance EL"/>
    <s v="G000000374"/>
    <x v="0"/>
    <x v="0"/>
    <x v="0"/>
    <x v="0"/>
    <m/>
    <m/>
    <s v="Sybille Rogmans"/>
  </r>
  <r>
    <n v="571"/>
    <x v="0"/>
    <x v="16"/>
    <s v="G000001226"/>
    <s v="SM-PF Functional Safety"/>
    <s v="G000000374"/>
    <x v="0"/>
    <x v="0"/>
    <x v="0"/>
    <x v="0"/>
    <m/>
    <m/>
    <s v="Sybille Rogmans"/>
  </r>
  <r>
    <n v="572"/>
    <x v="0"/>
    <x v="17"/>
    <s v="L000010032"/>
    <m/>
    <s v="L000009407"/>
    <x v="1"/>
    <x v="0"/>
    <x v="0"/>
    <x v="2"/>
    <m/>
    <m/>
    <s v="Phoebe Anne Fortaleza"/>
  </r>
  <r>
    <n v="573"/>
    <x v="0"/>
    <x v="17"/>
    <s v="L000010034"/>
    <m/>
    <s v="L000009407"/>
    <x v="1"/>
    <x v="0"/>
    <x v="0"/>
    <x v="2"/>
    <m/>
    <m/>
    <s v="Phoebe Anne Fortaleza"/>
  </r>
  <r>
    <n v="574"/>
    <x v="0"/>
    <x v="17"/>
    <s v="L000010033"/>
    <m/>
    <s v="L000009539"/>
    <x v="1"/>
    <x v="0"/>
    <x v="0"/>
    <x v="2"/>
    <m/>
    <m/>
    <s v="Phoebe Anne Fortaleza"/>
  </r>
  <r>
    <n v="575"/>
    <x v="0"/>
    <x v="17"/>
    <s v="L000010035"/>
    <m/>
    <s v="L000009539"/>
    <x v="1"/>
    <x v="0"/>
    <x v="0"/>
    <x v="2"/>
    <m/>
    <m/>
    <s v="Phoebe Anne Fortaleza"/>
  </r>
  <r>
    <n v="576"/>
    <x v="0"/>
    <x v="17"/>
    <s v="L000005359"/>
    <m/>
    <s v="L000011950"/>
    <x v="1"/>
    <x v="0"/>
    <x v="0"/>
    <x v="2"/>
    <m/>
    <m/>
    <s v="Phoebe Anne Fortaleza"/>
  </r>
  <r>
    <n v="577"/>
    <x v="0"/>
    <x v="17"/>
    <s v="L000011837"/>
    <m/>
    <s v="L000008895"/>
    <x v="1"/>
    <x v="0"/>
    <x v="0"/>
    <x v="2"/>
    <m/>
    <m/>
    <s v="Phoebe Anne Fortaleza"/>
  </r>
  <r>
    <n v="578"/>
    <x v="0"/>
    <x v="17"/>
    <s v="L000007844"/>
    <m/>
    <s v="L000013113"/>
    <x v="1"/>
    <x v="0"/>
    <x v="0"/>
    <x v="2"/>
    <m/>
    <m/>
    <s v="Phoebe Anne Fortaleza"/>
  </r>
  <r>
    <n v="579"/>
    <x v="0"/>
    <x v="17"/>
    <s v="L000007859"/>
    <m/>
    <s v="L000013113"/>
    <x v="1"/>
    <x v="0"/>
    <x v="0"/>
    <x v="2"/>
    <m/>
    <m/>
    <s v="Phoebe Anne Fortaleza"/>
  </r>
  <r>
    <n v="580"/>
    <x v="0"/>
    <x v="17"/>
    <s v="L000009180"/>
    <m/>
    <s v="L000009196"/>
    <x v="1"/>
    <x v="0"/>
    <x v="0"/>
    <x v="2"/>
    <m/>
    <m/>
    <s v="Phoebe Anne Fortaleza"/>
  </r>
  <r>
    <n v="581"/>
    <x v="0"/>
    <x v="17"/>
    <s v="L000009186"/>
    <m/>
    <s v="L000009196"/>
    <x v="1"/>
    <x v="0"/>
    <x v="0"/>
    <x v="2"/>
    <m/>
    <m/>
    <s v="Phoebe Anne Fortaleza"/>
  </r>
  <r>
    <n v="582"/>
    <x v="0"/>
    <x v="17"/>
    <s v="L000013115"/>
    <m/>
    <s v="L000009196"/>
    <x v="1"/>
    <x v="0"/>
    <x v="0"/>
    <x v="2"/>
    <m/>
    <m/>
    <s v="Phoebe Anne Fortaleza"/>
  </r>
  <r>
    <n v="583"/>
    <x v="0"/>
    <x v="17"/>
    <s v="L000008303"/>
    <m/>
    <s v="L000012417"/>
    <x v="1"/>
    <x v="0"/>
    <x v="0"/>
    <x v="2"/>
    <m/>
    <m/>
    <s v="Phoebe Anne Fortaleza"/>
  </r>
  <r>
    <n v="584"/>
    <x v="0"/>
    <x v="17"/>
    <s v="L000005678"/>
    <m/>
    <s v="L000005737"/>
    <x v="1"/>
    <x v="0"/>
    <x v="0"/>
    <x v="2"/>
    <m/>
    <m/>
    <s v="Phoebe Anne Fortaleza"/>
  </r>
  <r>
    <n v="585"/>
    <x v="0"/>
    <x v="17"/>
    <s v="L000005683"/>
    <m/>
    <s v="L000005822"/>
    <x v="1"/>
    <x v="0"/>
    <x v="0"/>
    <x v="2"/>
    <m/>
    <m/>
    <s v="Phoebe Anne Fortaleza"/>
  </r>
  <r>
    <n v="586"/>
    <x v="0"/>
    <x v="17"/>
    <s v="L000005688"/>
    <m/>
    <s v="L000005737"/>
    <x v="1"/>
    <x v="0"/>
    <x v="0"/>
    <x v="2"/>
    <m/>
    <m/>
    <s v="Phoebe Anne Fortaleza"/>
  </r>
  <r>
    <n v="587"/>
    <x v="0"/>
    <x v="17"/>
    <s v="L000005695"/>
    <m/>
    <s v="L000005737"/>
    <x v="1"/>
    <x v="0"/>
    <x v="0"/>
    <x v="2"/>
    <m/>
    <m/>
    <s v="Phoebe Anne Fortaleza"/>
  </r>
  <r>
    <n v="588"/>
    <x v="0"/>
    <x v="17"/>
    <s v="L000013504"/>
    <m/>
    <s v="L000013606"/>
    <x v="1"/>
    <x v="0"/>
    <x v="0"/>
    <x v="2"/>
    <m/>
    <m/>
    <s v="Phoebe Anne Fortaleza"/>
  </r>
  <r>
    <n v="589"/>
    <x v="0"/>
    <x v="17"/>
    <s v="L000013212"/>
    <m/>
    <s v="L000007771"/>
    <x v="1"/>
    <x v="0"/>
    <x v="0"/>
    <x v="2"/>
    <m/>
    <m/>
    <s v="Phoebe Anne Fortaleza"/>
  </r>
  <r>
    <n v="590"/>
    <x v="0"/>
    <x v="17"/>
    <s v="L000013213"/>
    <m/>
    <s v="L000007758"/>
    <x v="1"/>
    <x v="0"/>
    <x v="0"/>
    <x v="2"/>
    <m/>
    <m/>
    <s v="Phoebe Anne Fortaleza"/>
  </r>
  <r>
    <n v="591"/>
    <x v="0"/>
    <x v="17"/>
    <s v="L000009061"/>
    <m/>
    <s v="L000013619"/>
    <x v="1"/>
    <x v="0"/>
    <x v="0"/>
    <x v="2"/>
    <m/>
    <m/>
    <s v="Phoebe Anne Fortaleza"/>
  </r>
  <r>
    <n v="592"/>
    <x v="0"/>
    <x v="17"/>
    <s v="L000005902"/>
    <m/>
    <s v="L000013609"/>
    <x v="1"/>
    <x v="0"/>
    <x v="0"/>
    <x v="2"/>
    <m/>
    <m/>
    <s v="Phoebe Anne Fortaleza"/>
  </r>
  <r>
    <n v="593"/>
    <x v="0"/>
    <x v="17"/>
    <s v="L000005908"/>
    <m/>
    <s v="L000013610"/>
    <x v="1"/>
    <x v="0"/>
    <x v="0"/>
    <x v="2"/>
    <m/>
    <m/>
    <s v="Phoebe Anne Fortaleza"/>
  </r>
  <r>
    <n v="594"/>
    <x v="0"/>
    <x v="17"/>
    <s v="L000005915"/>
    <m/>
    <s v="L000013611"/>
    <x v="1"/>
    <x v="0"/>
    <x v="0"/>
    <x v="2"/>
    <m/>
    <m/>
    <s v="Phoebe Anne Fortaleza"/>
  </r>
  <r>
    <n v="595"/>
    <x v="0"/>
    <x v="17"/>
    <s v="L000005926"/>
    <m/>
    <s v="L000013611"/>
    <x v="1"/>
    <x v="0"/>
    <x v="0"/>
    <x v="2"/>
    <m/>
    <m/>
    <s v="Phoebe Anne Fortaleza"/>
  </r>
  <r>
    <n v="596"/>
    <x v="0"/>
    <x v="17"/>
    <s v="L000013043"/>
    <m/>
    <s v="L000013610"/>
    <x v="1"/>
    <x v="0"/>
    <x v="0"/>
    <x v="2"/>
    <m/>
    <m/>
    <s v="Phoebe Anne Fortaleza"/>
  </r>
  <r>
    <n v="597"/>
    <x v="0"/>
    <x v="17"/>
    <s v="L000013124"/>
    <m/>
    <s v="L000013609"/>
    <x v="1"/>
    <x v="0"/>
    <x v="0"/>
    <x v="2"/>
    <m/>
    <m/>
    <s v="Phoebe Anne Fortaleza"/>
  </r>
  <r>
    <n v="598"/>
    <x v="0"/>
    <x v="17"/>
    <s v="L000005407"/>
    <m/>
    <s v="L000013312"/>
    <x v="1"/>
    <x v="0"/>
    <x v="0"/>
    <x v="2"/>
    <m/>
    <m/>
    <s v="Phoebe Anne Fortaleza"/>
  </r>
  <r>
    <n v="599"/>
    <x v="0"/>
    <x v="17"/>
    <s v="L000005408"/>
    <m/>
    <s v="L000013312"/>
    <x v="1"/>
    <x v="0"/>
    <x v="0"/>
    <x v="2"/>
    <m/>
    <m/>
    <s v="Phoebe Anne Fortaleza"/>
  </r>
  <r>
    <n v="600"/>
    <x v="0"/>
    <x v="17"/>
    <s v="L000005409"/>
    <m/>
    <s v="L000013312"/>
    <x v="1"/>
    <x v="0"/>
    <x v="0"/>
    <x v="2"/>
    <m/>
    <m/>
    <s v="Phoebe Anne Fortaleza"/>
  </r>
  <r>
    <n v="601"/>
    <x v="0"/>
    <x v="17"/>
    <s v="L000005410"/>
    <m/>
    <s v="L000013312"/>
    <x v="1"/>
    <x v="0"/>
    <x v="0"/>
    <x v="2"/>
    <m/>
    <m/>
    <s v="Phoebe Anne Fortaleza"/>
  </r>
  <r>
    <n v="602"/>
    <x v="0"/>
    <x v="17"/>
    <s v="L000012826"/>
    <m/>
    <s v="L000013312"/>
    <x v="1"/>
    <x v="0"/>
    <x v="0"/>
    <x v="2"/>
    <m/>
    <m/>
    <s v="Phoebe Anne Fortaleza"/>
  </r>
  <r>
    <n v="603"/>
    <x v="0"/>
    <x v="17"/>
    <s v="L000005103"/>
    <m/>
    <s v="L000008545"/>
    <x v="1"/>
    <x v="0"/>
    <x v="0"/>
    <x v="2"/>
    <m/>
    <m/>
    <s v="Phoebe Anne Fortaleza"/>
  </r>
  <r>
    <n v="604"/>
    <x v="0"/>
    <x v="17"/>
    <s v="L000010622"/>
    <m/>
    <s v="L000013620"/>
    <x v="1"/>
    <x v="0"/>
    <x v="0"/>
    <x v="2"/>
    <m/>
    <m/>
    <s v="Phoebe Anne Fortaleza"/>
  </r>
  <r>
    <n v="605"/>
    <x v="0"/>
    <x v="17"/>
    <s v="L000013374"/>
    <m/>
    <s v="L000013620"/>
    <x v="1"/>
    <x v="0"/>
    <x v="0"/>
    <x v="2"/>
    <m/>
    <m/>
    <s v="Phoebe Anne Fortaleza"/>
  </r>
  <r>
    <n v="606"/>
    <x v="0"/>
    <x v="17"/>
    <s v="L000011111"/>
    <m/>
    <s v="L000013623"/>
    <x v="1"/>
    <x v="0"/>
    <x v="0"/>
    <x v="2"/>
    <m/>
    <m/>
    <s v="Phoebe Anne Fortaleza"/>
  </r>
  <r>
    <n v="607"/>
    <x v="0"/>
    <x v="17"/>
    <s v="L000011138"/>
    <m/>
    <s v="L000013623"/>
    <x v="1"/>
    <x v="0"/>
    <x v="0"/>
    <x v="2"/>
    <m/>
    <m/>
    <s v="Phoebe Anne Fortaleza"/>
  </r>
  <r>
    <n v="608"/>
    <x v="0"/>
    <x v="17"/>
    <s v="L000011144"/>
    <m/>
    <s v="L000013623"/>
    <x v="1"/>
    <x v="0"/>
    <x v="0"/>
    <x v="2"/>
    <m/>
    <m/>
    <s v="Phoebe Anne Fortaleza"/>
  </r>
  <r>
    <n v="609"/>
    <x v="0"/>
    <x v="17"/>
    <s v="L000011321"/>
    <m/>
    <s v="L000013623"/>
    <x v="1"/>
    <x v="0"/>
    <x v="0"/>
    <x v="2"/>
    <m/>
    <m/>
    <s v="Phoebe Anne Fortaleza"/>
  </r>
  <r>
    <n v="610"/>
    <x v="0"/>
    <x v="17"/>
    <s v="L000013323"/>
    <m/>
    <s v="L000011139"/>
    <x v="1"/>
    <x v="0"/>
    <x v="0"/>
    <x v="2"/>
    <m/>
    <m/>
    <s v="Phoebe Anne Fortaleza"/>
  </r>
  <r>
    <n v="611"/>
    <x v="0"/>
    <x v="17"/>
    <s v="L000013462"/>
    <m/>
    <s v="L000011139"/>
    <x v="1"/>
    <x v="0"/>
    <x v="0"/>
    <x v="2"/>
    <m/>
    <m/>
    <s v="Phoebe Anne Fortaleza"/>
  </r>
  <r>
    <n v="612"/>
    <x v="0"/>
    <x v="17"/>
    <s v="L000013500"/>
    <m/>
    <s v="L000011139"/>
    <x v="1"/>
    <x v="0"/>
    <x v="0"/>
    <x v="2"/>
    <m/>
    <m/>
    <s v="Phoebe Anne Fortaleza"/>
  </r>
  <r>
    <n v="613"/>
    <x v="0"/>
    <x v="17"/>
    <s v="L000012995"/>
    <m/>
    <s v="L000011321"/>
    <x v="1"/>
    <x v="0"/>
    <x v="0"/>
    <x v="2"/>
    <m/>
    <m/>
    <s v="Phoebe Anne Fortaleza"/>
  </r>
  <r>
    <n v="614"/>
    <x v="0"/>
    <x v="17"/>
    <s v="L000013120"/>
    <m/>
    <s v="L000013623"/>
    <x v="1"/>
    <x v="0"/>
    <x v="0"/>
    <x v="2"/>
    <m/>
    <m/>
    <s v="Phoebe Anne Fortaleza"/>
  </r>
  <r>
    <n v="615"/>
    <x v="0"/>
    <x v="17"/>
    <s v="L000013275"/>
    <m/>
    <s v="L000013623"/>
    <x v="1"/>
    <x v="0"/>
    <x v="0"/>
    <x v="2"/>
    <m/>
    <m/>
    <s v="Phoebe Anne Fortaleza"/>
  </r>
  <r>
    <n v="616"/>
    <x v="0"/>
    <x v="17"/>
    <s v="L000012834"/>
    <m/>
    <s v="L000013637"/>
    <x v="1"/>
    <x v="0"/>
    <x v="0"/>
    <x v="2"/>
    <m/>
    <m/>
    <s v="Phoebe Anne Fortaleza"/>
  </r>
  <r>
    <n v="617"/>
    <x v="0"/>
    <x v="17"/>
    <s v="L000006301"/>
    <m/>
    <s v="L000012377"/>
    <x v="1"/>
    <x v="0"/>
    <x v="0"/>
    <x v="2"/>
    <m/>
    <m/>
    <s v="Phoebe Anne Fortaleza"/>
  </r>
  <r>
    <n v="618"/>
    <x v="0"/>
    <x v="17"/>
    <s v="L000006302"/>
    <m/>
    <s v="L000012377"/>
    <x v="1"/>
    <x v="0"/>
    <x v="0"/>
    <x v="2"/>
    <m/>
    <m/>
    <s v="Phoebe Anne Fortaleza"/>
  </r>
  <r>
    <n v="619"/>
    <x v="0"/>
    <x v="17"/>
    <s v="L000012715"/>
    <m/>
    <s v="L000012377"/>
    <x v="1"/>
    <x v="0"/>
    <x v="0"/>
    <x v="2"/>
    <m/>
    <m/>
    <s v="Phoebe Anne Fortaleza"/>
  </r>
  <r>
    <n v="620"/>
    <x v="0"/>
    <x v="17"/>
    <s v="L000006723"/>
    <m/>
    <s v="L000012376"/>
    <x v="1"/>
    <x v="0"/>
    <x v="0"/>
    <x v="2"/>
    <m/>
    <m/>
    <s v="Phoebe Anne Fortaleza"/>
  </r>
  <r>
    <n v="621"/>
    <x v="0"/>
    <x v="17"/>
    <s v="L000006338"/>
    <m/>
    <s v="L000013517"/>
    <x v="1"/>
    <x v="0"/>
    <x v="0"/>
    <x v="2"/>
    <m/>
    <m/>
    <s v="Phoebe Anne Fortaleza"/>
  </r>
  <r>
    <n v="622"/>
    <x v="0"/>
    <x v="17"/>
    <s v="L000007508"/>
    <m/>
    <s v="L000013630"/>
    <x v="1"/>
    <x v="0"/>
    <x v="0"/>
    <x v="2"/>
    <m/>
    <m/>
    <s v="Phoebe Anne Fortaleza"/>
  </r>
  <r>
    <n v="623"/>
    <x v="0"/>
    <x v="17"/>
    <s v="L000012582"/>
    <m/>
    <s v="L000013630"/>
    <x v="1"/>
    <x v="0"/>
    <x v="0"/>
    <x v="2"/>
    <m/>
    <m/>
    <s v="Phoebe Anne Fortaleza"/>
  </r>
  <r>
    <n v="624"/>
    <x v="0"/>
    <x v="17"/>
    <s v="L000012650"/>
    <m/>
    <s v="L000013630"/>
    <x v="1"/>
    <x v="0"/>
    <x v="0"/>
    <x v="2"/>
    <m/>
    <m/>
    <s v="Phoebe Anne Fortaleza"/>
  </r>
  <r>
    <n v="625"/>
    <x v="0"/>
    <x v="17"/>
    <s v="L000007529"/>
    <m/>
    <s v="L000012380"/>
    <x v="1"/>
    <x v="0"/>
    <x v="0"/>
    <x v="2"/>
    <m/>
    <m/>
    <s v="Phoebe Anne Fortaleza"/>
  </r>
  <r>
    <n v="626"/>
    <x v="0"/>
    <x v="17"/>
    <s v="L000007577"/>
    <m/>
    <s v="L000012380"/>
    <x v="1"/>
    <x v="0"/>
    <x v="0"/>
    <x v="2"/>
    <m/>
    <m/>
    <s v="Phoebe Anne Fortaleza"/>
  </r>
  <r>
    <n v="627"/>
    <x v="0"/>
    <x v="17"/>
    <s v="L000007582"/>
    <m/>
    <s v="L000012381"/>
    <x v="1"/>
    <x v="0"/>
    <x v="0"/>
    <x v="2"/>
    <m/>
    <m/>
    <s v="Phoebe Anne Fortaleza"/>
  </r>
  <r>
    <n v="628"/>
    <x v="0"/>
    <x v="17"/>
    <s v="L000007528"/>
    <m/>
    <s v="L000012381"/>
    <x v="1"/>
    <x v="0"/>
    <x v="0"/>
    <x v="2"/>
    <m/>
    <m/>
    <s v="Phoebe Anne Fortaleza"/>
  </r>
  <r>
    <n v="629"/>
    <x v="0"/>
    <x v="17"/>
    <s v="L000011630"/>
    <m/>
    <s v="L000012381"/>
    <x v="1"/>
    <x v="0"/>
    <x v="0"/>
    <x v="2"/>
    <m/>
    <m/>
    <s v="Phoebe Anne Fortaleza"/>
  </r>
  <r>
    <n v="630"/>
    <x v="0"/>
    <x v="17"/>
    <s v="L000007522"/>
    <m/>
    <s v="L000012379"/>
    <x v="1"/>
    <x v="0"/>
    <x v="0"/>
    <x v="2"/>
    <m/>
    <m/>
    <s v="Phoebe Anne Fortaleza"/>
  </r>
  <r>
    <n v="631"/>
    <x v="0"/>
    <x v="17"/>
    <s v="L000011629"/>
    <m/>
    <s v="L000012379"/>
    <x v="1"/>
    <x v="0"/>
    <x v="0"/>
    <x v="2"/>
    <m/>
    <m/>
    <s v="Phoebe Anne Fortaleza"/>
  </r>
  <r>
    <n v="632"/>
    <x v="0"/>
    <x v="17"/>
    <s v="L000012644"/>
    <m/>
    <s v="L000012379"/>
    <x v="1"/>
    <x v="0"/>
    <x v="0"/>
    <x v="2"/>
    <m/>
    <m/>
    <s v="Phoebe Anne Fortaleza"/>
  </r>
  <r>
    <n v="633"/>
    <x v="0"/>
    <x v="17"/>
    <s v="L000011636"/>
    <m/>
    <s v="L000012385"/>
    <x v="1"/>
    <x v="0"/>
    <x v="0"/>
    <x v="2"/>
    <m/>
    <m/>
    <s v="Phoebe Anne Fortaleza"/>
  </r>
  <r>
    <n v="634"/>
    <x v="0"/>
    <x v="17"/>
    <s v="L000006386"/>
    <m/>
    <s v="L000013632"/>
    <x v="1"/>
    <x v="0"/>
    <x v="0"/>
    <x v="2"/>
    <m/>
    <m/>
    <s v="Phoebe Anne Fortaleza"/>
  </r>
  <r>
    <n v="635"/>
    <x v="0"/>
    <x v="17"/>
    <s v="L000006908"/>
    <m/>
    <s v="L000013220"/>
    <x v="1"/>
    <x v="0"/>
    <x v="0"/>
    <x v="2"/>
    <m/>
    <m/>
    <s v="Phoebe Anne Fortaleza"/>
  </r>
  <r>
    <n v="636"/>
    <x v="0"/>
    <x v="17"/>
    <s v="L000012651"/>
    <m/>
    <s v="L000013632"/>
    <x v="1"/>
    <x v="0"/>
    <x v="0"/>
    <x v="2"/>
    <m/>
    <m/>
    <s v="Phoebe Anne Fortaleza"/>
  </r>
  <r>
    <n v="637"/>
    <x v="0"/>
    <x v="17"/>
    <s v="L000012718"/>
    <m/>
    <s v="L000013632"/>
    <x v="1"/>
    <x v="0"/>
    <x v="0"/>
    <x v="2"/>
    <m/>
    <m/>
    <s v="Phoebe Anne Fortaleza"/>
  </r>
  <r>
    <n v="638"/>
    <x v="0"/>
    <x v="17"/>
    <s v="L000006872"/>
    <m/>
    <s v="L000013634"/>
    <x v="1"/>
    <x v="0"/>
    <x v="0"/>
    <x v="2"/>
    <m/>
    <m/>
    <s v="Phoebe Anne Fortaleza"/>
  </r>
  <r>
    <n v="639"/>
    <x v="0"/>
    <x v="17"/>
    <s v="L000006876"/>
    <m/>
    <s v="L000013634"/>
    <x v="1"/>
    <x v="0"/>
    <x v="0"/>
    <x v="2"/>
    <m/>
    <m/>
    <s v="Phoebe Anne Fortaleza"/>
  </r>
  <r>
    <n v="640"/>
    <x v="0"/>
    <x v="17"/>
    <s v="L000013291"/>
    <m/>
    <s v="L000013634"/>
    <x v="1"/>
    <x v="0"/>
    <x v="0"/>
    <x v="2"/>
    <m/>
    <m/>
    <s v="Phoebe Anne Fortaleza"/>
  </r>
  <r>
    <n v="641"/>
    <x v="0"/>
    <x v="17"/>
    <s v="L000006343"/>
    <m/>
    <s v="L000012327"/>
    <x v="1"/>
    <x v="0"/>
    <x v="0"/>
    <x v="2"/>
    <m/>
    <m/>
    <s v="Phoebe Anne Fortaleza"/>
  </r>
  <r>
    <n v="642"/>
    <x v="0"/>
    <x v="17"/>
    <s v="L000006345"/>
    <m/>
    <s v="L000013632"/>
    <x v="1"/>
    <x v="0"/>
    <x v="0"/>
    <x v="2"/>
    <m/>
    <m/>
    <s v="Phoebe Anne Fortaleza"/>
  </r>
  <r>
    <n v="643"/>
    <x v="0"/>
    <x v="17"/>
    <s v="L000006347"/>
    <m/>
    <s v="L000012327"/>
    <x v="1"/>
    <x v="0"/>
    <x v="0"/>
    <x v="2"/>
    <m/>
    <m/>
    <s v="Phoebe Anne Fortaleza"/>
  </r>
  <r>
    <n v="644"/>
    <x v="0"/>
    <x v="17"/>
    <s v="L000006350"/>
    <m/>
    <s v="L000013632"/>
    <x v="1"/>
    <x v="0"/>
    <x v="0"/>
    <x v="2"/>
    <m/>
    <m/>
    <s v="Phoebe Anne Fortaleza"/>
  </r>
  <r>
    <n v="645"/>
    <x v="0"/>
    <x v="17"/>
    <s v="L000006351"/>
    <m/>
    <s v="L000012326"/>
    <x v="1"/>
    <x v="0"/>
    <x v="0"/>
    <x v="2"/>
    <m/>
    <m/>
    <s v="Phoebe Anne Fortaleza"/>
  </r>
  <r>
    <n v="646"/>
    <x v="0"/>
    <x v="17"/>
    <s v="L000006359"/>
    <m/>
    <s v="L000012327"/>
    <x v="1"/>
    <x v="0"/>
    <x v="0"/>
    <x v="2"/>
    <m/>
    <m/>
    <s v="Phoebe Anne Fortaleza"/>
  </r>
  <r>
    <n v="647"/>
    <x v="0"/>
    <x v="17"/>
    <s v="L000006360"/>
    <m/>
    <s v="L000012326"/>
    <x v="1"/>
    <x v="0"/>
    <x v="0"/>
    <x v="2"/>
    <m/>
    <m/>
    <s v="Phoebe Anne Fortaleza"/>
  </r>
  <r>
    <n v="648"/>
    <x v="0"/>
    <x v="17"/>
    <s v="L000006361"/>
    <m/>
    <s v="L000012326"/>
    <x v="1"/>
    <x v="0"/>
    <x v="0"/>
    <x v="2"/>
    <m/>
    <m/>
    <s v="Phoebe Anne Fortaleza"/>
  </r>
  <r>
    <n v="649"/>
    <x v="0"/>
    <x v="17"/>
    <s v="L000006362"/>
    <m/>
    <s v="L000012327"/>
    <x v="1"/>
    <x v="0"/>
    <x v="0"/>
    <x v="2"/>
    <m/>
    <m/>
    <s v="Phoebe Anne Fortaleza"/>
  </r>
  <r>
    <n v="650"/>
    <x v="0"/>
    <x v="17"/>
    <s v="L000006363"/>
    <m/>
    <s v="L000012327"/>
    <x v="1"/>
    <x v="0"/>
    <x v="0"/>
    <x v="2"/>
    <m/>
    <m/>
    <s v="Phoebe Anne Fortaleza"/>
  </r>
  <r>
    <n v="651"/>
    <x v="0"/>
    <x v="17"/>
    <s v="L000006364"/>
    <m/>
    <s v="L000012325"/>
    <x v="1"/>
    <x v="0"/>
    <x v="0"/>
    <x v="2"/>
    <m/>
    <m/>
    <s v="Phoebe Anne Fortaleza"/>
  </r>
  <r>
    <n v="652"/>
    <x v="0"/>
    <x v="17"/>
    <s v="L000006365"/>
    <m/>
    <s v="L000012327"/>
    <x v="1"/>
    <x v="0"/>
    <x v="0"/>
    <x v="2"/>
    <m/>
    <m/>
    <s v="Phoebe Anne Fortaleza"/>
  </r>
  <r>
    <n v="653"/>
    <x v="0"/>
    <x v="17"/>
    <s v="L000006366"/>
    <m/>
    <s v="L000012327"/>
    <x v="1"/>
    <x v="0"/>
    <x v="0"/>
    <x v="2"/>
    <m/>
    <m/>
    <s v="Phoebe Anne Fortaleza"/>
  </r>
  <r>
    <n v="654"/>
    <x v="0"/>
    <x v="17"/>
    <s v="L000006367"/>
    <m/>
    <s v="L000012325"/>
    <x v="1"/>
    <x v="0"/>
    <x v="0"/>
    <x v="2"/>
    <m/>
    <m/>
    <s v="Phoebe Anne Fortaleza"/>
  </r>
  <r>
    <n v="655"/>
    <x v="0"/>
    <x v="17"/>
    <s v="L000006368"/>
    <m/>
    <s v="L000012325"/>
    <x v="1"/>
    <x v="0"/>
    <x v="0"/>
    <x v="2"/>
    <m/>
    <m/>
    <s v="Phoebe Anne Fortaleza"/>
  </r>
  <r>
    <n v="656"/>
    <x v="0"/>
    <x v="17"/>
    <s v="L000012529"/>
    <m/>
    <s v="L000012325"/>
    <x v="1"/>
    <x v="0"/>
    <x v="0"/>
    <x v="2"/>
    <m/>
    <m/>
    <s v="Phoebe Anne Fortaleza"/>
  </r>
  <r>
    <n v="657"/>
    <x v="0"/>
    <x v="17"/>
    <s v="L000012535"/>
    <m/>
    <s v="L000012326"/>
    <x v="1"/>
    <x v="0"/>
    <x v="0"/>
    <x v="2"/>
    <m/>
    <m/>
    <s v="Phoebe Anne Fortaleza"/>
  </r>
  <r>
    <n v="658"/>
    <x v="0"/>
    <x v="17"/>
    <s v="L000012584"/>
    <m/>
    <s v="L000012327"/>
    <x v="1"/>
    <x v="0"/>
    <x v="0"/>
    <x v="2"/>
    <m/>
    <m/>
    <s v="Phoebe Anne Fortaleza"/>
  </r>
  <r>
    <n v="659"/>
    <x v="0"/>
    <x v="17"/>
    <s v="L000012657"/>
    <m/>
    <s v="L000012327"/>
    <x v="1"/>
    <x v="0"/>
    <x v="0"/>
    <x v="2"/>
    <m/>
    <m/>
    <s v="Phoebe Anne Fortaleza"/>
  </r>
  <r>
    <n v="660"/>
    <x v="0"/>
    <x v="17"/>
    <s v="L000012719"/>
    <m/>
    <s v="L000012327"/>
    <x v="1"/>
    <x v="0"/>
    <x v="0"/>
    <x v="2"/>
    <m/>
    <m/>
    <s v="Phoebe Anne Fortaleza"/>
  </r>
  <r>
    <n v="661"/>
    <x v="0"/>
    <x v="17"/>
    <s v="L000012721"/>
    <m/>
    <s v="L000012325"/>
    <x v="1"/>
    <x v="0"/>
    <x v="0"/>
    <x v="2"/>
    <m/>
    <m/>
    <s v="Phoebe Anne Fortaleza"/>
  </r>
  <r>
    <n v="662"/>
    <x v="0"/>
    <x v="17"/>
    <s v="L000012739"/>
    <m/>
    <s v="L000012326"/>
    <x v="1"/>
    <x v="0"/>
    <x v="0"/>
    <x v="2"/>
    <m/>
    <m/>
    <s v="Phoebe Anne Fortaleza"/>
  </r>
  <r>
    <n v="663"/>
    <x v="0"/>
    <x v="17"/>
    <s v="L000012740"/>
    <m/>
    <s v="L000012326"/>
    <x v="1"/>
    <x v="0"/>
    <x v="0"/>
    <x v="2"/>
    <m/>
    <m/>
    <s v="Phoebe Anne Fortaleza"/>
  </r>
  <r>
    <n v="664"/>
    <x v="0"/>
    <x v="17"/>
    <s v="L000012741"/>
    <m/>
    <s v="L000012326"/>
    <x v="1"/>
    <x v="0"/>
    <x v="0"/>
    <x v="2"/>
    <m/>
    <m/>
    <s v="Phoebe Anne Fortaleza"/>
  </r>
  <r>
    <n v="665"/>
    <x v="0"/>
    <x v="17"/>
    <s v="L000012742"/>
    <m/>
    <s v="L000012326"/>
    <x v="1"/>
    <x v="0"/>
    <x v="0"/>
    <x v="2"/>
    <m/>
    <m/>
    <s v="Phoebe Anne Fortaleza"/>
  </r>
  <r>
    <n v="666"/>
    <x v="0"/>
    <x v="17"/>
    <s v="L000012743"/>
    <m/>
    <s v="L000012326"/>
    <x v="1"/>
    <x v="0"/>
    <x v="0"/>
    <x v="2"/>
    <m/>
    <m/>
    <s v="Phoebe Anne Fortaleza"/>
  </r>
  <r>
    <n v="667"/>
    <x v="0"/>
    <x v="17"/>
    <s v="L000006860"/>
    <m/>
    <s v="L000012326"/>
    <x v="1"/>
    <x v="0"/>
    <x v="0"/>
    <x v="2"/>
    <m/>
    <m/>
    <s v="Phoebe Anne Fortaleza"/>
  </r>
  <r>
    <n v="668"/>
    <x v="0"/>
    <x v="17"/>
    <s v="L000006861"/>
    <m/>
    <s v="L000012326"/>
    <x v="1"/>
    <x v="0"/>
    <x v="0"/>
    <x v="2"/>
    <m/>
    <m/>
    <s v="Phoebe Anne Fortaleza"/>
  </r>
  <r>
    <n v="669"/>
    <x v="0"/>
    <x v="17"/>
    <s v="L000006862"/>
    <m/>
    <s v="L000012326"/>
    <x v="1"/>
    <x v="0"/>
    <x v="0"/>
    <x v="2"/>
    <m/>
    <m/>
    <s v="Phoebe Anne Fortaleza"/>
  </r>
  <r>
    <n v="670"/>
    <x v="0"/>
    <x v="17"/>
    <s v="L000006865"/>
    <m/>
    <s v="L000012326"/>
    <x v="1"/>
    <x v="0"/>
    <x v="0"/>
    <x v="2"/>
    <m/>
    <m/>
    <s v="Phoebe Anne Fortaleza"/>
  </r>
  <r>
    <n v="671"/>
    <x v="0"/>
    <x v="17"/>
    <s v="L000006866"/>
    <m/>
    <s v="L000012326"/>
    <x v="1"/>
    <x v="0"/>
    <x v="0"/>
    <x v="2"/>
    <m/>
    <m/>
    <s v="Phoebe Anne Fortaleza"/>
  </r>
  <r>
    <n v="672"/>
    <x v="0"/>
    <x v="17"/>
    <s v="L000006867"/>
    <m/>
    <s v="L000012326"/>
    <x v="1"/>
    <x v="0"/>
    <x v="0"/>
    <x v="2"/>
    <m/>
    <m/>
    <s v="Phoebe Anne Fortaleza"/>
  </r>
  <r>
    <n v="673"/>
    <x v="0"/>
    <x v="17"/>
    <s v="L000006929"/>
    <m/>
    <s v="L000012327"/>
    <x v="1"/>
    <x v="0"/>
    <x v="0"/>
    <x v="2"/>
    <m/>
    <m/>
    <s v="Phoebe Anne Fortaleza"/>
  </r>
  <r>
    <n v="674"/>
    <x v="0"/>
    <x v="17"/>
    <s v="L000006931"/>
    <m/>
    <s v="L000012327"/>
    <x v="1"/>
    <x v="0"/>
    <x v="0"/>
    <x v="2"/>
    <m/>
    <m/>
    <s v="Phoebe Anne Fortaleza"/>
  </r>
  <r>
    <n v="675"/>
    <x v="0"/>
    <x v="17"/>
    <s v="L000006933"/>
    <m/>
    <s v="L000012327"/>
    <x v="1"/>
    <x v="0"/>
    <x v="0"/>
    <x v="2"/>
    <m/>
    <m/>
    <s v="Phoebe Anne Fortaleza"/>
  </r>
  <r>
    <n v="676"/>
    <x v="0"/>
    <x v="17"/>
    <s v="L000007309"/>
    <m/>
    <s v="L000012327"/>
    <x v="1"/>
    <x v="0"/>
    <x v="0"/>
    <x v="2"/>
    <m/>
    <m/>
    <s v="Phoebe Anne Fortaleza"/>
  </r>
  <r>
    <n v="677"/>
    <x v="0"/>
    <x v="17"/>
    <s v="L000007312"/>
    <m/>
    <s v="L000012327"/>
    <x v="1"/>
    <x v="0"/>
    <x v="0"/>
    <x v="2"/>
    <m/>
    <m/>
    <s v="Phoebe Anne Fortaleza"/>
  </r>
  <r>
    <n v="678"/>
    <x v="0"/>
    <x v="17"/>
    <s v="L000011614"/>
    <m/>
    <s v="L000012326"/>
    <x v="1"/>
    <x v="0"/>
    <x v="0"/>
    <x v="2"/>
    <m/>
    <m/>
    <s v="Phoebe Anne Fortaleza"/>
  </r>
  <r>
    <n v="679"/>
    <x v="0"/>
    <x v="17"/>
    <s v="L000011617"/>
    <m/>
    <s v="L000012327"/>
    <x v="1"/>
    <x v="0"/>
    <x v="0"/>
    <x v="2"/>
    <m/>
    <m/>
    <s v="Phoebe Anne Fortaleza"/>
  </r>
  <r>
    <n v="680"/>
    <x v="0"/>
    <x v="17"/>
    <s v="L000012569"/>
    <m/>
    <s v="L000012326"/>
    <x v="1"/>
    <x v="0"/>
    <x v="0"/>
    <x v="2"/>
    <m/>
    <m/>
    <s v="Phoebe Anne Fortaleza"/>
  </r>
  <r>
    <n v="681"/>
    <x v="0"/>
    <x v="17"/>
    <s v="L000012580"/>
    <m/>
    <s v="L000012327"/>
    <x v="1"/>
    <x v="0"/>
    <x v="0"/>
    <x v="2"/>
    <m/>
    <m/>
    <s v="Phoebe Anne Fortaleza"/>
  </r>
  <r>
    <n v="682"/>
    <x v="0"/>
    <x v="17"/>
    <s v="L000012659"/>
    <m/>
    <s v="L000012326"/>
    <x v="1"/>
    <x v="0"/>
    <x v="0"/>
    <x v="2"/>
    <m/>
    <m/>
    <s v="Phoebe Anne Fortaleza"/>
  </r>
  <r>
    <n v="683"/>
    <x v="0"/>
    <x v="17"/>
    <s v="L000012712"/>
    <m/>
    <s v="L000012326"/>
    <x v="1"/>
    <x v="0"/>
    <x v="0"/>
    <x v="2"/>
    <m/>
    <m/>
    <s v="Phoebe Anne Fortaleza"/>
  </r>
  <r>
    <n v="684"/>
    <x v="0"/>
    <x v="17"/>
    <s v="L000006880"/>
    <m/>
    <s v="L000012327"/>
    <x v="1"/>
    <x v="0"/>
    <x v="0"/>
    <x v="2"/>
    <m/>
    <m/>
    <s v="Phoebe Anne Fortaleza"/>
  </r>
  <r>
    <n v="685"/>
    <x v="0"/>
    <x v="17"/>
    <s v="L000006881"/>
    <m/>
    <s v="L000012327"/>
    <x v="1"/>
    <x v="0"/>
    <x v="0"/>
    <x v="2"/>
    <m/>
    <m/>
    <s v="Phoebe Anne Fortaleza"/>
  </r>
  <r>
    <n v="686"/>
    <x v="0"/>
    <x v="17"/>
    <s v="L000006883"/>
    <m/>
    <s v="L000012327"/>
    <x v="1"/>
    <x v="0"/>
    <x v="0"/>
    <x v="2"/>
    <m/>
    <m/>
    <s v="Phoebe Anne Fortaleza"/>
  </r>
  <r>
    <n v="687"/>
    <x v="0"/>
    <x v="17"/>
    <s v="L000006884"/>
    <m/>
    <s v="L000012327"/>
    <x v="1"/>
    <x v="0"/>
    <x v="0"/>
    <x v="2"/>
    <m/>
    <m/>
    <s v="Phoebe Anne Fortaleza"/>
  </r>
  <r>
    <n v="688"/>
    <x v="0"/>
    <x v="17"/>
    <s v="L000006886"/>
    <m/>
    <s v="L000012327"/>
    <x v="1"/>
    <x v="0"/>
    <x v="0"/>
    <x v="2"/>
    <m/>
    <m/>
    <s v="Phoebe Anne Fortaleza"/>
  </r>
  <r>
    <n v="689"/>
    <x v="0"/>
    <x v="17"/>
    <s v="L000006887"/>
    <m/>
    <s v="L000012327"/>
    <x v="1"/>
    <x v="0"/>
    <x v="0"/>
    <x v="2"/>
    <m/>
    <m/>
    <s v="Phoebe Anne Fortaleza"/>
  </r>
  <r>
    <n v="690"/>
    <x v="0"/>
    <x v="17"/>
    <s v="L000006922"/>
    <m/>
    <s v="L000012327"/>
    <x v="1"/>
    <x v="0"/>
    <x v="0"/>
    <x v="2"/>
    <m/>
    <m/>
    <s v="Phoebe Anne Fortaleza"/>
  </r>
  <r>
    <n v="691"/>
    <x v="0"/>
    <x v="17"/>
    <s v="L000011601"/>
    <m/>
    <s v="L000012327"/>
    <x v="1"/>
    <x v="0"/>
    <x v="0"/>
    <x v="2"/>
    <m/>
    <m/>
    <s v="Phoebe Anne Fortaleza"/>
  </r>
  <r>
    <n v="692"/>
    <x v="0"/>
    <x v="17"/>
    <s v="L000011602"/>
    <m/>
    <s v="L000012327"/>
    <x v="1"/>
    <x v="0"/>
    <x v="0"/>
    <x v="2"/>
    <m/>
    <m/>
    <s v="Phoebe Anne Fortaleza"/>
  </r>
  <r>
    <n v="693"/>
    <x v="0"/>
    <x v="17"/>
    <s v="L000011613"/>
    <m/>
    <s v="L000012327"/>
    <x v="1"/>
    <x v="0"/>
    <x v="0"/>
    <x v="2"/>
    <m/>
    <m/>
    <s v="Phoebe Anne Fortaleza"/>
  </r>
  <r>
    <n v="694"/>
    <x v="0"/>
    <x v="17"/>
    <s v="L000011616"/>
    <m/>
    <s v="L000012325"/>
    <x v="1"/>
    <x v="0"/>
    <x v="0"/>
    <x v="2"/>
    <m/>
    <m/>
    <s v="Phoebe Anne Fortaleza"/>
  </r>
  <r>
    <n v="695"/>
    <x v="0"/>
    <x v="17"/>
    <s v="L000012570"/>
    <m/>
    <s v="L000012327"/>
    <x v="1"/>
    <x v="0"/>
    <x v="0"/>
    <x v="2"/>
    <m/>
    <m/>
    <s v="Phoebe Anne Fortaleza"/>
  </r>
  <r>
    <n v="696"/>
    <x v="0"/>
    <x v="17"/>
    <s v="L000012571"/>
    <m/>
    <s v="L000012327"/>
    <x v="1"/>
    <x v="0"/>
    <x v="0"/>
    <x v="2"/>
    <m/>
    <m/>
    <s v="Phoebe Anne Fortaleza"/>
  </r>
  <r>
    <n v="697"/>
    <x v="0"/>
    <x v="17"/>
    <s v="L000012577"/>
    <m/>
    <s v="L000012327"/>
    <x v="1"/>
    <x v="0"/>
    <x v="0"/>
    <x v="2"/>
    <m/>
    <m/>
    <s v="Phoebe Anne Fortaleza"/>
  </r>
  <r>
    <n v="698"/>
    <x v="0"/>
    <x v="17"/>
    <s v="L000006319"/>
    <m/>
    <s v="L000012326"/>
    <x v="1"/>
    <x v="0"/>
    <x v="0"/>
    <x v="2"/>
    <m/>
    <m/>
    <s v="Phoebe Anne Fortaleza"/>
  </r>
  <r>
    <n v="699"/>
    <x v="0"/>
    <x v="17"/>
    <s v="L000006320"/>
    <m/>
    <s v="L000012326"/>
    <x v="1"/>
    <x v="0"/>
    <x v="0"/>
    <x v="2"/>
    <m/>
    <m/>
    <s v="Phoebe Anne Fortaleza"/>
  </r>
  <r>
    <n v="700"/>
    <x v="0"/>
    <x v="17"/>
    <s v="L000006321"/>
    <m/>
    <s v="L000012326"/>
    <x v="1"/>
    <x v="0"/>
    <x v="0"/>
    <x v="2"/>
    <m/>
    <m/>
    <s v="Phoebe Anne Fortaleza"/>
  </r>
  <r>
    <n v="701"/>
    <x v="0"/>
    <x v="17"/>
    <s v="L000006322"/>
    <m/>
    <s v="L000012326"/>
    <x v="1"/>
    <x v="0"/>
    <x v="0"/>
    <x v="2"/>
    <m/>
    <m/>
    <s v="Phoebe Anne Fortaleza"/>
  </r>
  <r>
    <n v="702"/>
    <x v="0"/>
    <x v="17"/>
    <s v="L000006323"/>
    <m/>
    <s v="L000012326"/>
    <x v="1"/>
    <x v="0"/>
    <x v="0"/>
    <x v="2"/>
    <m/>
    <m/>
    <s v="Phoebe Anne Fortaleza"/>
  </r>
  <r>
    <n v="703"/>
    <x v="0"/>
    <x v="17"/>
    <s v="L000006324"/>
    <m/>
    <s v="L000012327"/>
    <x v="1"/>
    <x v="0"/>
    <x v="0"/>
    <x v="2"/>
    <m/>
    <m/>
    <s v="Phoebe Anne Fortaleza"/>
  </r>
  <r>
    <n v="704"/>
    <x v="0"/>
    <x v="17"/>
    <s v="L000006326"/>
    <m/>
    <s v="L000012326"/>
    <x v="1"/>
    <x v="0"/>
    <x v="0"/>
    <x v="2"/>
    <m/>
    <m/>
    <s v="Phoebe Anne Fortaleza"/>
  </r>
  <r>
    <n v="705"/>
    <x v="0"/>
    <x v="17"/>
    <s v="L000006327"/>
    <m/>
    <s v="L000012326"/>
    <x v="1"/>
    <x v="0"/>
    <x v="0"/>
    <x v="2"/>
    <m/>
    <m/>
    <s v="Phoebe Anne Fortaleza"/>
  </r>
  <r>
    <n v="706"/>
    <x v="0"/>
    <x v="17"/>
    <s v="L000006328"/>
    <m/>
    <s v="L000012327"/>
    <x v="1"/>
    <x v="0"/>
    <x v="0"/>
    <x v="2"/>
    <m/>
    <m/>
    <s v="Phoebe Anne Fortaleza"/>
  </r>
  <r>
    <n v="707"/>
    <x v="0"/>
    <x v="17"/>
    <s v="L000006329"/>
    <m/>
    <s v="L000012327"/>
    <x v="1"/>
    <x v="0"/>
    <x v="0"/>
    <x v="2"/>
    <m/>
    <m/>
    <s v="Phoebe Anne Fortaleza"/>
  </r>
  <r>
    <n v="708"/>
    <x v="0"/>
    <x v="17"/>
    <s v="L000006330"/>
    <m/>
    <s v="L000012327"/>
    <x v="1"/>
    <x v="0"/>
    <x v="0"/>
    <x v="2"/>
    <m/>
    <m/>
    <s v="Phoebe Anne Fortaleza"/>
  </r>
  <r>
    <n v="709"/>
    <x v="0"/>
    <x v="17"/>
    <s v="L000006331"/>
    <m/>
    <s v="L000012326"/>
    <x v="1"/>
    <x v="0"/>
    <x v="0"/>
    <x v="2"/>
    <m/>
    <m/>
    <s v="Phoebe Anne Fortaleza"/>
  </r>
  <r>
    <n v="710"/>
    <x v="0"/>
    <x v="17"/>
    <s v="L000006332"/>
    <m/>
    <s v="L000012327"/>
    <x v="1"/>
    <x v="0"/>
    <x v="0"/>
    <x v="2"/>
    <m/>
    <m/>
    <s v="Phoebe Anne Fortaleza"/>
  </r>
  <r>
    <n v="711"/>
    <x v="0"/>
    <x v="17"/>
    <s v="L000006333"/>
    <m/>
    <s v="L000012326"/>
    <x v="1"/>
    <x v="0"/>
    <x v="0"/>
    <x v="2"/>
    <m/>
    <m/>
    <s v="Phoebe Anne Fortaleza"/>
  </r>
  <r>
    <n v="712"/>
    <x v="0"/>
    <x v="17"/>
    <s v="L000006334"/>
    <m/>
    <s v="L000012326"/>
    <x v="1"/>
    <x v="0"/>
    <x v="0"/>
    <x v="2"/>
    <m/>
    <m/>
    <s v="Phoebe Anne Fortaleza"/>
  </r>
  <r>
    <n v="713"/>
    <x v="0"/>
    <x v="17"/>
    <s v="L000006346"/>
    <m/>
    <s v="L000012326"/>
    <x v="1"/>
    <x v="0"/>
    <x v="0"/>
    <x v="2"/>
    <m/>
    <m/>
    <s v="Phoebe Anne Fortaleza"/>
  </r>
  <r>
    <n v="714"/>
    <x v="0"/>
    <x v="17"/>
    <s v="L000011459"/>
    <m/>
    <s v="L000012326"/>
    <x v="1"/>
    <x v="0"/>
    <x v="0"/>
    <x v="2"/>
    <m/>
    <m/>
    <s v="Phoebe Anne Fortaleza"/>
  </r>
  <r>
    <n v="715"/>
    <x v="0"/>
    <x v="17"/>
    <s v="L000012530"/>
    <m/>
    <s v="L000012326"/>
    <x v="1"/>
    <x v="0"/>
    <x v="0"/>
    <x v="2"/>
    <m/>
    <m/>
    <s v="Phoebe Anne Fortaleza"/>
  </r>
  <r>
    <n v="716"/>
    <x v="0"/>
    <x v="17"/>
    <s v="L000012531"/>
    <m/>
    <s v="L000012326"/>
    <x v="1"/>
    <x v="0"/>
    <x v="0"/>
    <x v="2"/>
    <m/>
    <m/>
    <s v="Phoebe Anne Fortaleza"/>
  </r>
  <r>
    <n v="717"/>
    <x v="0"/>
    <x v="17"/>
    <s v="L000012532"/>
    <m/>
    <s v="L000012326"/>
    <x v="1"/>
    <x v="0"/>
    <x v="0"/>
    <x v="2"/>
    <m/>
    <m/>
    <s v="Phoebe Anne Fortaleza"/>
  </r>
  <r>
    <n v="718"/>
    <x v="0"/>
    <x v="17"/>
    <s v="L000012716"/>
    <m/>
    <s v="L000012326"/>
    <x v="1"/>
    <x v="0"/>
    <x v="0"/>
    <x v="2"/>
    <m/>
    <m/>
    <s v="Phoebe Anne Fortaleza"/>
  </r>
  <r>
    <n v="719"/>
    <x v="0"/>
    <x v="17"/>
    <s v="L000012717"/>
    <m/>
    <s v="L000012326"/>
    <x v="1"/>
    <x v="0"/>
    <x v="0"/>
    <x v="2"/>
    <m/>
    <m/>
    <s v="Phoebe Anne Fortaleza"/>
  </r>
  <r>
    <n v="720"/>
    <x v="0"/>
    <x v="17"/>
    <s v="L000012720"/>
    <m/>
    <s v="L000012326"/>
    <x v="1"/>
    <x v="0"/>
    <x v="0"/>
    <x v="2"/>
    <m/>
    <m/>
    <s v="Phoebe Anne Fortaleza"/>
  </r>
  <r>
    <n v="721"/>
    <x v="0"/>
    <x v="17"/>
    <s v="L000006339"/>
    <m/>
    <s v="L000012325"/>
    <x v="1"/>
    <x v="0"/>
    <x v="0"/>
    <x v="2"/>
    <m/>
    <m/>
    <s v="Phoebe Anne Fortaleza"/>
  </r>
  <r>
    <n v="722"/>
    <x v="0"/>
    <x v="17"/>
    <s v="L000006340"/>
    <m/>
    <s v="L000012326"/>
    <x v="1"/>
    <x v="0"/>
    <x v="0"/>
    <x v="2"/>
    <m/>
    <m/>
    <s v="Phoebe Anne Fortaleza"/>
  </r>
  <r>
    <n v="723"/>
    <x v="0"/>
    <x v="17"/>
    <s v="L000006341"/>
    <m/>
    <s v="L000012325"/>
    <x v="1"/>
    <x v="0"/>
    <x v="0"/>
    <x v="2"/>
    <m/>
    <m/>
    <s v="Phoebe Anne Fortaleza"/>
  </r>
  <r>
    <n v="724"/>
    <x v="0"/>
    <x v="17"/>
    <s v="L000006893"/>
    <m/>
    <s v="L000012325"/>
    <x v="1"/>
    <x v="0"/>
    <x v="0"/>
    <x v="2"/>
    <m/>
    <m/>
    <s v="Phoebe Anne Fortaleza"/>
  </r>
  <r>
    <n v="725"/>
    <x v="0"/>
    <x v="17"/>
    <s v="L000006919"/>
    <m/>
    <s v="L000012326"/>
    <x v="1"/>
    <x v="0"/>
    <x v="0"/>
    <x v="2"/>
    <m/>
    <m/>
    <s v="Phoebe Anne Fortaleza"/>
  </r>
  <r>
    <n v="726"/>
    <x v="0"/>
    <x v="17"/>
    <s v="L000006925"/>
    <m/>
    <s v="L000012325"/>
    <x v="1"/>
    <x v="0"/>
    <x v="0"/>
    <x v="2"/>
    <m/>
    <m/>
    <s v="Phoebe Anne Fortaleza"/>
  </r>
  <r>
    <n v="727"/>
    <x v="0"/>
    <x v="17"/>
    <s v="L000007306"/>
    <m/>
    <s v="L000012325"/>
    <x v="1"/>
    <x v="0"/>
    <x v="0"/>
    <x v="2"/>
    <m/>
    <m/>
    <s v="Phoebe Anne Fortaleza"/>
  </r>
  <r>
    <n v="728"/>
    <x v="0"/>
    <x v="17"/>
    <s v="L000007324"/>
    <m/>
    <s v="L000012325"/>
    <x v="1"/>
    <x v="0"/>
    <x v="0"/>
    <x v="2"/>
    <m/>
    <m/>
    <s v="Phoebe Anne Fortaleza"/>
  </r>
  <r>
    <n v="729"/>
    <x v="0"/>
    <x v="17"/>
    <s v="L000011596"/>
    <m/>
    <s v="L000012325"/>
    <x v="1"/>
    <x v="0"/>
    <x v="0"/>
    <x v="2"/>
    <m/>
    <m/>
    <s v="Phoebe Anne Fortaleza"/>
  </r>
  <r>
    <n v="730"/>
    <x v="0"/>
    <x v="17"/>
    <s v="L000011597"/>
    <m/>
    <s v="L000012325"/>
    <x v="1"/>
    <x v="0"/>
    <x v="0"/>
    <x v="2"/>
    <m/>
    <m/>
    <s v="Phoebe Anne Fortaleza"/>
  </r>
  <r>
    <n v="731"/>
    <x v="0"/>
    <x v="17"/>
    <s v="L000011618"/>
    <m/>
    <s v="L000012325"/>
    <x v="1"/>
    <x v="0"/>
    <x v="0"/>
    <x v="2"/>
    <m/>
    <m/>
    <s v="Phoebe Anne Fortaleza"/>
  </r>
  <r>
    <n v="732"/>
    <x v="0"/>
    <x v="17"/>
    <s v="L000012680"/>
    <m/>
    <s v="L000013637"/>
    <x v="1"/>
    <x v="0"/>
    <x v="0"/>
    <x v="2"/>
    <m/>
    <m/>
    <s v="Phoebe Anne Fortaleza"/>
  </r>
  <r>
    <n v="733"/>
    <x v="0"/>
    <x v="17"/>
    <s v="L000007125"/>
    <m/>
    <s v="L000013635"/>
    <x v="1"/>
    <x v="0"/>
    <x v="0"/>
    <x v="2"/>
    <m/>
    <m/>
    <s v="Phoebe Anne Fortaleza"/>
  </r>
  <r>
    <n v="734"/>
    <x v="0"/>
    <x v="17"/>
    <s v="L000007230"/>
    <m/>
    <s v="L000013636"/>
    <x v="1"/>
    <x v="0"/>
    <x v="0"/>
    <x v="2"/>
    <m/>
    <m/>
    <s v="Phoebe Anne Fortaleza"/>
  </r>
  <r>
    <n v="735"/>
    <x v="0"/>
    <x v="17"/>
    <s v="L000007231"/>
    <m/>
    <s v="L000013636"/>
    <x v="1"/>
    <x v="0"/>
    <x v="0"/>
    <x v="2"/>
    <m/>
    <m/>
    <s v="Phoebe Anne Fortaleza"/>
  </r>
  <r>
    <n v="736"/>
    <x v="0"/>
    <x v="17"/>
    <s v="L000007232"/>
    <m/>
    <s v="L000013636"/>
    <x v="1"/>
    <x v="0"/>
    <x v="0"/>
    <x v="2"/>
    <m/>
    <m/>
    <s v="Phoebe Anne Fortaleza"/>
  </r>
  <r>
    <n v="737"/>
    <x v="0"/>
    <x v="17"/>
    <s v="L000007233"/>
    <m/>
    <s v="L000013636"/>
    <x v="1"/>
    <x v="0"/>
    <x v="0"/>
    <x v="2"/>
    <m/>
    <m/>
    <s v="Phoebe Anne Fortaleza"/>
  </r>
  <r>
    <n v="738"/>
    <x v="0"/>
    <x v="17"/>
    <s v="L000007234"/>
    <m/>
    <s v="L000013636"/>
    <x v="1"/>
    <x v="0"/>
    <x v="0"/>
    <x v="2"/>
    <m/>
    <m/>
    <s v="Phoebe Anne Fortaleza"/>
  </r>
  <r>
    <n v="739"/>
    <x v="0"/>
    <x v="17"/>
    <s v="L000009444"/>
    <m/>
    <s v="L000013656"/>
    <x v="1"/>
    <x v="0"/>
    <x v="0"/>
    <x v="2"/>
    <m/>
    <m/>
    <s v="Phoebe Anne Fortaleza"/>
  </r>
  <r>
    <n v="740"/>
    <x v="0"/>
    <x v="17"/>
    <s v="L000009488"/>
    <m/>
    <s v="L000013656"/>
    <x v="1"/>
    <x v="0"/>
    <x v="0"/>
    <x v="2"/>
    <m/>
    <m/>
    <s v="Phoebe Anne Fortaleza"/>
  </r>
  <r>
    <n v="741"/>
    <x v="0"/>
    <x v="17"/>
    <s v="L000009581"/>
    <m/>
    <s v="L000013656"/>
    <x v="1"/>
    <x v="0"/>
    <x v="0"/>
    <x v="2"/>
    <m/>
    <m/>
    <s v="Phoebe Anne Fortaleza"/>
  </r>
  <r>
    <n v="742"/>
    <x v="0"/>
    <x v="17"/>
    <s v="L000009599"/>
    <m/>
    <s v="L000013656"/>
    <x v="1"/>
    <x v="0"/>
    <x v="0"/>
    <x v="2"/>
    <m/>
    <m/>
    <s v="Phoebe Anne Fortaleza"/>
  </r>
  <r>
    <n v="743"/>
    <x v="0"/>
    <x v="17"/>
    <s v="L000009623"/>
    <m/>
    <s v="L000013656"/>
    <x v="1"/>
    <x v="0"/>
    <x v="0"/>
    <x v="2"/>
    <m/>
    <m/>
    <s v="Phoebe Anne Fortaleza"/>
  </r>
  <r>
    <n v="744"/>
    <x v="0"/>
    <x v="17"/>
    <s v="L000009625"/>
    <m/>
    <s v="L000013656"/>
    <x v="1"/>
    <x v="0"/>
    <x v="0"/>
    <x v="2"/>
    <m/>
    <m/>
    <s v="Phoebe Anne Fortaleza"/>
  </r>
  <r>
    <n v="745"/>
    <x v="0"/>
    <x v="17"/>
    <s v="L000010608"/>
    <m/>
    <s v="L000013656"/>
    <x v="1"/>
    <x v="0"/>
    <x v="0"/>
    <x v="2"/>
    <m/>
    <m/>
    <s v="Phoebe Anne Fortaleza"/>
  </r>
  <r>
    <n v="746"/>
    <x v="0"/>
    <x v="17"/>
    <s v="L000013475"/>
    <m/>
    <s v="L000013655"/>
    <x v="1"/>
    <x v="0"/>
    <x v="0"/>
    <x v="2"/>
    <m/>
    <m/>
    <s v="Phoebe Anne Fortaleza"/>
  </r>
  <r>
    <n v="747"/>
    <x v="0"/>
    <x v="17"/>
    <s v="L000007595"/>
    <m/>
    <s v="L000013522"/>
    <x v="1"/>
    <x v="0"/>
    <x v="0"/>
    <x v="2"/>
    <m/>
    <m/>
    <s v="Phoebe Anne Fortaleza"/>
  </r>
  <r>
    <n v="748"/>
    <x v="0"/>
    <x v="17"/>
    <s v="L000007468"/>
    <m/>
    <s v="L000013522"/>
    <x v="1"/>
    <x v="0"/>
    <x v="0"/>
    <x v="2"/>
    <m/>
    <m/>
    <s v="Phoebe Anne Fortaleza"/>
  </r>
  <r>
    <n v="749"/>
    <x v="0"/>
    <x v="17"/>
    <s v="L000007299"/>
    <m/>
    <s v="L000013639"/>
    <x v="1"/>
    <x v="0"/>
    <x v="0"/>
    <x v="2"/>
    <m/>
    <m/>
    <s v="Phoebe Anne Fortaleza"/>
  </r>
  <r>
    <n v="750"/>
    <x v="0"/>
    <x v="17"/>
    <s v="L000007326"/>
    <m/>
    <s v="L000013638"/>
    <x v="1"/>
    <x v="0"/>
    <x v="0"/>
    <x v="2"/>
    <m/>
    <m/>
    <s v="Phoebe Anne Fortaleza"/>
  </r>
  <r>
    <n v="751"/>
    <x v="0"/>
    <x v="17"/>
    <s v="L000007301"/>
    <m/>
    <s v="L000013521"/>
    <x v="1"/>
    <x v="0"/>
    <x v="0"/>
    <x v="2"/>
    <m/>
    <m/>
    <s v="Phoebe Anne Fortaleza"/>
  </r>
  <r>
    <n v="752"/>
    <x v="0"/>
    <x v="17"/>
    <s v="L000007476"/>
    <m/>
    <s v="L000013638"/>
    <x v="1"/>
    <x v="0"/>
    <x v="0"/>
    <x v="2"/>
    <m/>
    <m/>
    <s v="Phoebe Anne Fortaleza"/>
  </r>
  <r>
    <n v="753"/>
    <x v="0"/>
    <x v="17"/>
    <s v="L000007307"/>
    <m/>
    <s v="L000012330"/>
    <x v="1"/>
    <x v="0"/>
    <x v="0"/>
    <x v="2"/>
    <m/>
    <m/>
    <s v="Phoebe Anne Fortaleza"/>
  </r>
  <r>
    <n v="754"/>
    <x v="0"/>
    <x v="17"/>
    <s v="L000007327"/>
    <m/>
    <s v="L000012329"/>
    <x v="1"/>
    <x v="0"/>
    <x v="0"/>
    <x v="2"/>
    <m/>
    <m/>
    <s v="Phoebe Anne Fortaleza"/>
  </r>
  <r>
    <n v="755"/>
    <x v="0"/>
    <x v="17"/>
    <s v="L000012689"/>
    <m/>
    <s v="L000012328"/>
    <x v="1"/>
    <x v="0"/>
    <x v="0"/>
    <x v="2"/>
    <m/>
    <m/>
    <s v="Phoebe Anne Fortaleza"/>
  </r>
  <r>
    <n v="756"/>
    <x v="0"/>
    <x v="17"/>
    <s v="L000007514"/>
    <m/>
    <s v="L000012328"/>
    <x v="1"/>
    <x v="0"/>
    <x v="0"/>
    <x v="2"/>
    <m/>
    <m/>
    <s v="Phoebe Anne Fortaleza"/>
  </r>
  <r>
    <n v="757"/>
    <x v="0"/>
    <x v="17"/>
    <s v="L000011724"/>
    <m/>
    <s v="L000013526"/>
    <x v="1"/>
    <x v="0"/>
    <x v="0"/>
    <x v="2"/>
    <m/>
    <m/>
    <s v="Phoebe Anne Fortaleza"/>
  </r>
  <r>
    <n v="758"/>
    <x v="0"/>
    <x v="17"/>
    <s v="L000007294"/>
    <m/>
    <s v="L000013526"/>
    <x v="1"/>
    <x v="0"/>
    <x v="0"/>
    <x v="2"/>
    <m/>
    <m/>
    <s v="Phoebe Anne Fortaleza"/>
  </r>
  <r>
    <n v="759"/>
    <x v="0"/>
    <x v="17"/>
    <s v="L000011722"/>
    <m/>
    <s v="L000013526"/>
    <x v="1"/>
    <x v="0"/>
    <x v="0"/>
    <x v="2"/>
    <m/>
    <m/>
    <s v="Phoebe Anne Fortaleza"/>
  </r>
  <r>
    <n v="760"/>
    <x v="0"/>
    <x v="17"/>
    <s v="L000012691"/>
    <m/>
    <s v="L000013526"/>
    <x v="1"/>
    <x v="0"/>
    <x v="0"/>
    <x v="2"/>
    <m/>
    <m/>
    <s v="Phoebe Anne Fortaleza"/>
  </r>
  <r>
    <n v="761"/>
    <x v="0"/>
    <x v="17"/>
    <s v="L000007297"/>
    <m/>
    <s v="L000012328"/>
    <x v="1"/>
    <x v="0"/>
    <x v="0"/>
    <x v="2"/>
    <m/>
    <m/>
    <s v="Phoebe Anne Fortaleza"/>
  </r>
  <r>
    <n v="762"/>
    <x v="0"/>
    <x v="17"/>
    <s v="L000008995"/>
    <m/>
    <s v="L000013662"/>
    <x v="1"/>
    <x v="0"/>
    <x v="0"/>
    <x v="2"/>
    <m/>
    <m/>
    <s v="Phoebe Anne Fortaleza"/>
  </r>
  <r>
    <n v="763"/>
    <x v="0"/>
    <x v="17"/>
    <s v="L000007719"/>
    <m/>
    <s v="ASK FIVI"/>
    <x v="1"/>
    <x v="0"/>
    <x v="0"/>
    <x v="2"/>
    <m/>
    <m/>
    <s v="Phoebe Anne Fortaleza"/>
  </r>
  <r>
    <n v="764"/>
    <x v="0"/>
    <x v="17"/>
    <s v="L000008791"/>
    <m/>
    <s v="ASK FIVI"/>
    <x v="1"/>
    <x v="0"/>
    <x v="0"/>
    <x v="2"/>
    <m/>
    <m/>
    <s v="Phoebe Anne Fortaleza"/>
  </r>
  <r>
    <n v="765"/>
    <x v="0"/>
    <x v="17"/>
    <s v="L000008638"/>
    <m/>
    <s v="L000008614"/>
    <x v="1"/>
    <x v="0"/>
    <x v="0"/>
    <x v="2"/>
    <m/>
    <m/>
    <s v="Phoebe Anne Fortaleza"/>
  </r>
  <r>
    <n v="766"/>
    <x v="0"/>
    <x v="17"/>
    <s v="L000008770"/>
    <m/>
    <s v="L000008564 "/>
    <x v="1"/>
    <x v="0"/>
    <x v="0"/>
    <x v="2"/>
    <m/>
    <m/>
    <s v="Phoebe Anne Fortaleza"/>
  </r>
  <r>
    <n v="767"/>
    <x v="0"/>
    <x v="17"/>
    <s v="L000008985"/>
    <m/>
    <s v="L000008649"/>
    <x v="1"/>
    <x v="0"/>
    <x v="0"/>
    <x v="2"/>
    <m/>
    <m/>
    <s v="Phoebe Anne Fortaleza"/>
  </r>
  <r>
    <n v="768"/>
    <x v="0"/>
    <x v="17"/>
    <s v="L000008991"/>
    <m/>
    <s v="L000008564 "/>
    <x v="1"/>
    <x v="0"/>
    <x v="0"/>
    <x v="2"/>
    <m/>
    <m/>
    <s v="Phoebe Anne Fortaleza"/>
  </r>
  <r>
    <n v="769"/>
    <x v="0"/>
    <x v="17"/>
    <s v="L000008992"/>
    <m/>
    <s v="L000008564 "/>
    <x v="1"/>
    <x v="0"/>
    <x v="0"/>
    <x v="2"/>
    <m/>
    <m/>
    <s v="Phoebe Anne Fortaleza"/>
  </r>
  <r>
    <n v="770"/>
    <x v="0"/>
    <x v="17"/>
    <s v="L000005147"/>
    <m/>
    <s v="L000013663"/>
    <x v="1"/>
    <x v="0"/>
    <x v="0"/>
    <x v="2"/>
    <m/>
    <m/>
    <s v="Phoebe Anne Fortaleza"/>
  </r>
  <r>
    <n v="771"/>
    <x v="0"/>
    <x v="17"/>
    <s v="L000005871"/>
    <m/>
    <s v="L000013663"/>
    <x v="1"/>
    <x v="0"/>
    <x v="0"/>
    <x v="2"/>
    <m/>
    <m/>
    <s v="Phoebe Anne Fortaleza"/>
  </r>
  <r>
    <n v="772"/>
    <x v="0"/>
    <x v="17"/>
    <s v="L000011847"/>
    <m/>
    <s v="L000008956"/>
    <x v="1"/>
    <x v="0"/>
    <x v="0"/>
    <x v="2"/>
    <m/>
    <m/>
    <s v="Phoebe Anne Fortaleza"/>
  </r>
  <r>
    <n v="773"/>
    <x v="0"/>
    <x v="17"/>
    <s v="L000005151"/>
    <m/>
    <s v="L000008908"/>
    <x v="1"/>
    <x v="0"/>
    <x v="0"/>
    <x v="2"/>
    <m/>
    <m/>
    <s v="Phoebe Anne Fortaleza"/>
  </r>
  <r>
    <n v="774"/>
    <x v="0"/>
    <x v="17"/>
    <s v="L000013600"/>
    <s v="Sheboygan Maintenance-G"/>
    <s v="L000013478"/>
    <x v="0"/>
    <x v="0"/>
    <x v="0"/>
    <x v="2"/>
    <m/>
    <m/>
    <s v="Phoebe Anne Fortaleza"/>
  </r>
  <r>
    <n v="775"/>
    <x v="0"/>
    <x v="17"/>
    <s v="L000013601"/>
    <s v="Sheboygan Distribution Life Science-G"/>
    <s v="L000013479"/>
    <x v="0"/>
    <x v="0"/>
    <x v="0"/>
    <x v="2"/>
    <m/>
    <m/>
    <s v="Phoebe Anne Fortaleza"/>
  </r>
  <r>
    <n v="776"/>
    <x v="0"/>
    <x v="17"/>
    <s v="L000013602"/>
    <s v="Sheboygan Distribution Electronics-G"/>
    <s v="L000013479"/>
    <x v="0"/>
    <x v="0"/>
    <x v="0"/>
    <x v="2"/>
    <m/>
    <m/>
    <s v="Phoebe Anne Fortaleza"/>
  </r>
  <r>
    <n v="777"/>
    <x v="0"/>
    <x v="17"/>
    <s v="L000013603"/>
    <s v="Channel Management Japan"/>
    <s v="L000008393"/>
    <x v="0"/>
    <x v="0"/>
    <x v="0"/>
    <x v="2"/>
    <m/>
    <m/>
    <s v="Phoebe Anne Fortaleza"/>
  </r>
  <r>
    <n v="778"/>
    <x v="0"/>
    <x v="17"/>
    <s v="L000013604"/>
    <s v="Commercial Sales P&amp;B"/>
    <s v="L000008414"/>
    <x v="0"/>
    <x v="0"/>
    <x v="0"/>
    <x v="2"/>
    <m/>
    <m/>
    <s v="Phoebe Anne Fortaleza"/>
  </r>
  <r>
    <n v="779"/>
    <x v="0"/>
    <x v="17"/>
    <s v="L000013605"/>
    <s v="Head of BM Strategic Mktg"/>
    <s v="L000005668"/>
    <x v="0"/>
    <x v="0"/>
    <x v="0"/>
    <x v="2"/>
    <m/>
    <m/>
    <s v="Phoebe Anne Fortaleza"/>
  </r>
  <r>
    <n v="780"/>
    <x v="0"/>
    <x v="17"/>
    <s v="L000013606"/>
    <s v="PM Ops Chem"/>
    <s v="L000007757"/>
    <x v="0"/>
    <x v="0"/>
    <x v="0"/>
    <x v="2"/>
    <m/>
    <m/>
    <s v="Phoebe Anne Fortaleza"/>
  </r>
  <r>
    <n v="781"/>
    <x v="0"/>
    <x v="17"/>
    <s v="L000013607"/>
    <s v="DxRM - APAC Business Operations"/>
    <s v="L000005842"/>
    <x v="0"/>
    <x v="0"/>
    <x v="0"/>
    <x v="2"/>
    <m/>
    <m/>
    <s v="Phoebe Anne Fortaleza"/>
  </r>
  <r>
    <n v="782"/>
    <x v="0"/>
    <x v="17"/>
    <s v="L000013608"/>
    <s v="DxRM - Attrition &amp; Adjustments"/>
    <s v="L000005842"/>
    <x v="0"/>
    <x v="0"/>
    <x v="0"/>
    <x v="2"/>
    <m/>
    <m/>
    <s v="Phoebe Anne Fortaleza"/>
  </r>
  <r>
    <n v="783"/>
    <x v="0"/>
    <x v="17"/>
    <s v="L000013609"/>
    <s v="DxRM - Portfolio Operations &amp; Enablement"/>
    <s v="L000005842"/>
    <x v="0"/>
    <x v="0"/>
    <x v="0"/>
    <x v="2"/>
    <m/>
    <m/>
    <s v="Phoebe Anne Fortaleza"/>
  </r>
  <r>
    <n v="784"/>
    <x v="0"/>
    <x v="17"/>
    <s v="L000013610"/>
    <s v="DxRM - Custom Solutions"/>
    <s v="L000005842"/>
    <x v="0"/>
    <x v="0"/>
    <x v="0"/>
    <x v="2"/>
    <m/>
    <m/>
    <s v="Phoebe Anne Fortaleza"/>
  </r>
  <r>
    <n v="785"/>
    <x v="0"/>
    <x v="17"/>
    <s v="L000013611"/>
    <s v="DxRM - Molecular &amp; Immunoassay Materials"/>
    <s v="L000005842"/>
    <x v="0"/>
    <x v="0"/>
    <x v="0"/>
    <x v="2"/>
    <m/>
    <m/>
    <s v="Phoebe Anne Fortaleza"/>
  </r>
  <r>
    <n v="786"/>
    <x v="0"/>
    <x v="17"/>
    <s v="L000013612"/>
    <s v="ISCO Academy"/>
    <s v="L000013498"/>
    <x v="0"/>
    <x v="0"/>
    <x v="0"/>
    <x v="2"/>
    <m/>
    <m/>
    <s v="Phoebe Anne Fortaleza"/>
  </r>
  <r>
    <n v="787"/>
    <x v="0"/>
    <x v="17"/>
    <s v="L000013613"/>
    <s v="PMO &amp; Analytics"/>
    <s v="L000013498"/>
    <x v="0"/>
    <x v="0"/>
    <x v="0"/>
    <x v="2"/>
    <m/>
    <m/>
    <s v="Phoebe Anne Fortaleza"/>
  </r>
  <r>
    <n v="788"/>
    <x v="0"/>
    <x v="17"/>
    <s v="L000013614"/>
    <s v="GPO US"/>
    <s v="L000013498"/>
    <x v="0"/>
    <x v="0"/>
    <x v="0"/>
    <x v="2"/>
    <m/>
    <m/>
    <s v="Phoebe Anne Fortaleza"/>
  </r>
  <r>
    <n v="789"/>
    <x v="0"/>
    <x v="17"/>
    <s v="L000013615"/>
    <s v="GPO EU"/>
    <s v="L000013498"/>
    <x v="0"/>
    <x v="0"/>
    <x v="0"/>
    <x v="2"/>
    <m/>
    <m/>
    <s v="Phoebe Anne Fortaleza"/>
  </r>
  <r>
    <n v="790"/>
    <x v="0"/>
    <x v="17"/>
    <s v="L000013616"/>
    <s v="Distribution"/>
    <s v="L000013498"/>
    <x v="0"/>
    <x v="0"/>
    <x v="0"/>
    <x v="2"/>
    <m/>
    <m/>
    <s v="Phoebe Anne Fortaleza"/>
  </r>
  <r>
    <n v="791"/>
    <x v="0"/>
    <x v="17"/>
    <s v="L000013617"/>
    <s v="APAC"/>
    <s v="L000013498"/>
    <x v="0"/>
    <x v="0"/>
    <x v="0"/>
    <x v="2"/>
    <m/>
    <m/>
    <s v="Phoebe Anne Fortaleza"/>
  </r>
  <r>
    <n v="792"/>
    <x v="0"/>
    <x v="17"/>
    <s v="L000013618"/>
    <s v="LSS"/>
    <s v="L000013498"/>
    <x v="0"/>
    <x v="0"/>
    <x v="0"/>
    <x v="2"/>
    <m/>
    <m/>
    <s v="Phoebe Anne Fortaleza"/>
  </r>
  <r>
    <n v="793"/>
    <x v="0"/>
    <x v="17"/>
    <s v="L000013619"/>
    <s v="WE AGH, Pharma &amp; Biotech Sales"/>
    <s v="L000008563"/>
    <x v="0"/>
    <x v="0"/>
    <x v="0"/>
    <x v="2"/>
    <m/>
    <m/>
    <s v="Phoebe Anne Fortaleza"/>
  </r>
  <r>
    <n v="794"/>
    <x v="0"/>
    <x v="17"/>
    <s v="L000013620"/>
    <s v="LS MGF - EF Business Partnering"/>
    <s v="L000000000"/>
    <x v="0"/>
    <x v="0"/>
    <x v="0"/>
    <x v="2"/>
    <m/>
    <m/>
    <s v="Phoebe Anne Fortaleza"/>
  </r>
  <r>
    <n v="795"/>
    <x v="0"/>
    <x v="17"/>
    <s v="L000013621"/>
    <s v="ERP projects - Business Exceptional"/>
    <s v="L000010622"/>
    <x v="0"/>
    <x v="0"/>
    <x v="0"/>
    <x v="2"/>
    <m/>
    <m/>
    <s v="Phoebe Anne Fortaleza"/>
  </r>
  <r>
    <n v="796"/>
    <x v="0"/>
    <x v="17"/>
    <s v="L000013622"/>
    <s v="LS ERP Project"/>
    <s v="L000011321"/>
    <x v="0"/>
    <x v="0"/>
    <x v="0"/>
    <x v="2"/>
    <m/>
    <m/>
    <s v="Phoebe Anne Fortaleza"/>
  </r>
  <r>
    <n v="797"/>
    <x v="0"/>
    <x v="17"/>
    <s v="L000013623"/>
    <s v="LS MGT - Business Partnering"/>
    <s v="L000000000"/>
    <x v="0"/>
    <x v="0"/>
    <x v="0"/>
    <x v="2"/>
    <m/>
    <m/>
    <s v="Phoebe Anne Fortaleza"/>
  </r>
  <r>
    <n v="798"/>
    <x v="0"/>
    <x v="17"/>
    <s v="L000013624"/>
    <s v="Tech Leadership Fund - RapidBio"/>
    <s v="L000013275"/>
    <x v="0"/>
    <x v="0"/>
    <x v="0"/>
    <x v="2"/>
    <m/>
    <m/>
    <s v="Phoebe Anne Fortaleza"/>
  </r>
  <r>
    <n v="799"/>
    <x v="0"/>
    <x v="17"/>
    <s v="L000013625"/>
    <s v="Tech Leadership Fund - LS Prodct Design "/>
    <s v="L000013275"/>
    <x v="0"/>
    <x v="0"/>
    <x v="0"/>
    <x v="2"/>
    <m/>
    <m/>
    <s v="Phoebe Anne Fortaleza"/>
  </r>
  <r>
    <n v="800"/>
    <x v="0"/>
    <x v="17"/>
    <s v="L000013626"/>
    <s v="DICE Chem Product Eng - Addison"/>
    <s v="L000013469"/>
    <x v="0"/>
    <x v="0"/>
    <x v="0"/>
    <x v="2"/>
    <m/>
    <m/>
    <s v="Phoebe Anne Fortaleza"/>
  </r>
  <r>
    <n v="801"/>
    <x v="0"/>
    <x v="17"/>
    <s v="L000013627"/>
    <s v="DICE Chem Product Eng - Synthia"/>
    <s v="L000013469"/>
    <x v="0"/>
    <x v="0"/>
    <x v="0"/>
    <x v="2"/>
    <m/>
    <m/>
    <s v="Phoebe Anne Fortaleza"/>
  </r>
  <r>
    <n v="802"/>
    <x v="0"/>
    <x v="17"/>
    <s v="L000013628"/>
    <s v="DICE Chem Product Eng - ChemistWin"/>
    <s v="L000013469"/>
    <x v="0"/>
    <x v="0"/>
    <x v="0"/>
    <x v="2"/>
    <m/>
    <m/>
    <s v="Phoebe Anne Fortaleza"/>
  </r>
  <r>
    <n v="803"/>
    <x v="0"/>
    <x v="17"/>
    <s v="L000013629"/>
    <s v="TSS Management PS EMEA"/>
    <s v="L000011619"/>
    <x v="0"/>
    <x v="0"/>
    <x v="0"/>
    <x v="2"/>
    <m/>
    <m/>
    <s v="Phoebe Anne Fortaleza"/>
  </r>
  <r>
    <n v="804"/>
    <x v="0"/>
    <x v="17"/>
    <s v="L000013630"/>
    <s v="MSAT SU &amp; IS - MLab Tech Ops PS EMEA"/>
    <s v="L000011619"/>
    <x v="0"/>
    <x v="0"/>
    <x v="0"/>
    <x v="2"/>
    <m/>
    <m/>
    <s v="Phoebe Anne Fortaleza"/>
  </r>
  <r>
    <n v="805"/>
    <x v="0"/>
    <x v="17"/>
    <s v="L000013631"/>
    <s v="CA Downstream PS EMEA"/>
    <s v="L000011638"/>
    <x v="0"/>
    <x v="0"/>
    <x v="0"/>
    <x v="2"/>
    <m/>
    <m/>
    <s v="Phoebe Anne Fortaleza"/>
  </r>
  <r>
    <n v="806"/>
    <x v="0"/>
    <x v="17"/>
    <s v="L000013632"/>
    <s v="CA Formulation PS EMEA"/>
    <s v="L000011638"/>
    <x v="0"/>
    <x v="0"/>
    <x v="0"/>
    <x v="2"/>
    <m/>
    <m/>
    <s v="Phoebe Anne Fortaleza"/>
  </r>
  <r>
    <n v="807"/>
    <x v="0"/>
    <x v="17"/>
    <s v="L000013633"/>
    <s v="CA SU IS &amp; Consultant PS EMEA"/>
    <s v="L000011638"/>
    <x v="0"/>
    <x v="0"/>
    <x v="0"/>
    <x v="2"/>
    <m/>
    <m/>
    <s v="Phoebe Anne Fortaleza"/>
  </r>
  <r>
    <n v="808"/>
    <x v="0"/>
    <x v="17"/>
    <s v="L000013634"/>
    <s v="BPI Management &amp; Admin PS EMEA"/>
    <s v="L000011663"/>
    <x v="0"/>
    <x v="0"/>
    <x v="0"/>
    <x v="2"/>
    <m/>
    <m/>
    <s v="Phoebe Anne Fortaleza"/>
  </r>
  <r>
    <n v="809"/>
    <x v="0"/>
    <x v="17"/>
    <s v="L000013635"/>
    <s v="GSO_Mgmt"/>
    <s v="L000013292"/>
    <x v="0"/>
    <x v="0"/>
    <x v="0"/>
    <x v="2"/>
    <m/>
    <m/>
    <s v="Phoebe Anne Fortaleza"/>
  </r>
  <r>
    <n v="810"/>
    <x v="0"/>
    <x v="17"/>
    <s v="L000013636"/>
    <s v="GSO_Quality Global Services"/>
    <s v="L000013292"/>
    <x v="0"/>
    <x v="0"/>
    <x v="0"/>
    <x v="2"/>
    <m/>
    <m/>
    <s v="Phoebe Anne Fortaleza"/>
  </r>
  <r>
    <n v="811"/>
    <x v="0"/>
    <x v="17"/>
    <s v="L000013637"/>
    <s v="GSO_DSS BO"/>
    <s v="L000013292"/>
    <x v="0"/>
    <x v="0"/>
    <x v="0"/>
    <x v="2"/>
    <m/>
    <m/>
    <s v="Phoebe Anne Fortaleza"/>
  </r>
  <r>
    <n v="812"/>
    <x v="0"/>
    <x v="17"/>
    <s v="L000013638"/>
    <s v="Large Investment Projects"/>
    <s v="L000013520"/>
    <x v="0"/>
    <x v="0"/>
    <x v="0"/>
    <x v="2"/>
    <m/>
    <m/>
    <s v="Phoebe Anne Fortaleza"/>
  </r>
  <r>
    <n v="813"/>
    <x v="0"/>
    <x v="17"/>
    <s v="L000013639"/>
    <s v="Value Management &amp; CustomerCollaborators"/>
    <s v="L000013520"/>
    <x v="0"/>
    <x v="0"/>
    <x v="0"/>
    <x v="2"/>
    <m/>
    <m/>
    <s v="Phoebe Anne Fortaleza"/>
  </r>
  <r>
    <n v="814"/>
    <x v="0"/>
    <x v="17"/>
    <s v="L000013640"/>
    <s v="Innovation Program Manager"/>
    <s v="L000012359"/>
    <x v="0"/>
    <x v="0"/>
    <x v="0"/>
    <x v="2"/>
    <m/>
    <m/>
    <s v="Phoebe Anne Fortaleza"/>
  </r>
  <r>
    <n v="815"/>
    <x v="0"/>
    <x v="17"/>
    <s v="L000013641"/>
    <s v="IPPM Excellence"/>
    <s v="L000012359"/>
    <x v="0"/>
    <x v="0"/>
    <x v="0"/>
    <x v="2"/>
    <m/>
    <m/>
    <s v="Phoebe Anne Fortaleza"/>
  </r>
  <r>
    <n v="816"/>
    <x v="0"/>
    <x v="17"/>
    <s v="L000013642"/>
    <s v="Planning and Execution"/>
    <s v="L000012360"/>
    <x v="0"/>
    <x v="0"/>
    <x v="0"/>
    <x v="2"/>
    <m/>
    <m/>
    <s v="Phoebe Anne Fortaleza"/>
  </r>
  <r>
    <n v="817"/>
    <x v="0"/>
    <x v="17"/>
    <s v="L000013643"/>
    <s v="Continuous Learning Initiatives"/>
    <s v="L000012360"/>
    <x v="0"/>
    <x v="0"/>
    <x v="0"/>
    <x v="2"/>
    <m/>
    <m/>
    <s v="Phoebe Anne Fortaleza"/>
  </r>
  <r>
    <n v="818"/>
    <x v="0"/>
    <x v="17"/>
    <s v="L000013644"/>
    <s v="Education &amp; Performance Consultancy"/>
    <s v="L000012360"/>
    <x v="0"/>
    <x v="0"/>
    <x v="0"/>
    <x v="2"/>
    <m/>
    <m/>
    <s v="Phoebe Anne Fortaleza"/>
  </r>
  <r>
    <n v="819"/>
    <x v="0"/>
    <x v="17"/>
    <s v="L000013645"/>
    <s v="Design &amp; Development"/>
    <s v="L000012360"/>
    <x v="0"/>
    <x v="0"/>
    <x v="0"/>
    <x v="2"/>
    <m/>
    <m/>
    <s v="Phoebe Anne Fortaleza"/>
  </r>
  <r>
    <n v="820"/>
    <x v="0"/>
    <x v="17"/>
    <s v="L000013646"/>
    <s v="Project Coordination"/>
    <s v="L000012361"/>
    <x v="0"/>
    <x v="0"/>
    <x v="0"/>
    <x v="2"/>
    <m/>
    <m/>
    <s v="Phoebe Anne Fortaleza"/>
  </r>
  <r>
    <n v="821"/>
    <x v="0"/>
    <x v="17"/>
    <s v="L000013647"/>
    <s v="Strategic PMO"/>
    <s v="L000012361"/>
    <x v="0"/>
    <x v="0"/>
    <x v="0"/>
    <x v="2"/>
    <m/>
    <m/>
    <s v="Phoebe Anne Fortaleza"/>
  </r>
  <r>
    <n v="822"/>
    <x v="0"/>
    <x v="17"/>
    <s v="L000013648"/>
    <s v="GTM Pricing Management"/>
    <s v="L000012361"/>
    <x v="0"/>
    <x v="0"/>
    <x v="0"/>
    <x v="2"/>
    <m/>
    <m/>
    <s v="Phoebe Anne Fortaleza"/>
  </r>
  <r>
    <n v="823"/>
    <x v="0"/>
    <x v="17"/>
    <s v="L000013649"/>
    <s v="Governance &amp; Continuing Improvement"/>
    <s v="L000012361"/>
    <x v="0"/>
    <x v="0"/>
    <x v="0"/>
    <x v="2"/>
    <m/>
    <m/>
    <s v="Phoebe Anne Fortaleza"/>
  </r>
  <r>
    <n v="824"/>
    <x v="0"/>
    <x v="17"/>
    <s v="L000013650"/>
    <s v="Customer Excellence PMO"/>
    <s v="L000012361"/>
    <x v="0"/>
    <x v="0"/>
    <x v="0"/>
    <x v="2"/>
    <m/>
    <m/>
    <s v="Phoebe Anne Fortaleza"/>
  </r>
  <r>
    <n v="825"/>
    <x v="0"/>
    <x v="17"/>
    <s v="L000013651"/>
    <s v="Business &amp; Innovation Insights"/>
    <s v="L000012364"/>
    <x v="0"/>
    <x v="0"/>
    <x v="0"/>
    <x v="2"/>
    <m/>
    <m/>
    <s v="Phoebe Anne Fortaleza"/>
  </r>
  <r>
    <n v="826"/>
    <x v="0"/>
    <x v="17"/>
    <s v="L000013652"/>
    <s v="Business Health &amp; Performance"/>
    <s v="L000012364"/>
    <x v="0"/>
    <x v="0"/>
    <x v="0"/>
    <x v="2"/>
    <m/>
    <m/>
    <s v="Phoebe Anne Fortaleza"/>
  </r>
  <r>
    <n v="827"/>
    <x v="0"/>
    <x v="17"/>
    <s v="L000013653"/>
    <s v="Business Performance Analytics"/>
    <s v="L000012364"/>
    <x v="0"/>
    <x v="0"/>
    <x v="0"/>
    <x v="2"/>
    <m/>
    <m/>
    <s v="Phoebe Anne Fortaleza"/>
  </r>
  <r>
    <n v="828"/>
    <x v="0"/>
    <x v="17"/>
    <s v="L000013654"/>
    <s v="Integration Planning and Execution"/>
    <s v="L000013527"/>
    <x v="0"/>
    <x v="0"/>
    <x v="0"/>
    <x v="2"/>
    <m/>
    <m/>
    <s v="Phoebe Anne Fortaleza"/>
  </r>
  <r>
    <n v="829"/>
    <x v="0"/>
    <x v="17"/>
    <s v="L000013655"/>
    <s v="Spruce - GMP Oligos Mfg"/>
    <s v="L000013447"/>
    <x v="0"/>
    <x v="0"/>
    <x v="0"/>
    <x v="2"/>
    <m/>
    <m/>
    <s v="Phoebe Anne Fortaleza"/>
  </r>
  <r>
    <n v="830"/>
    <x v="0"/>
    <x v="17"/>
    <s v="L000013656"/>
    <s v="Midwest - St. Louis "/>
    <s v="L000013447"/>
    <x v="0"/>
    <x v="0"/>
    <x v="0"/>
    <x v="2"/>
    <m/>
    <m/>
    <s v="Phoebe Anne Fortaleza"/>
  </r>
  <r>
    <n v="831"/>
    <x v="0"/>
    <x v="17"/>
    <s v="L000013657"/>
    <s v="BM - RD - Applied Biology R&amp;D - St-Louis"/>
    <s v="L000005737"/>
    <x v="0"/>
    <x v="0"/>
    <x v="0"/>
    <x v="2"/>
    <m/>
    <m/>
    <s v="Phoebe Anne Fortaleza"/>
  </r>
  <r>
    <n v="832"/>
    <x v="0"/>
    <x v="17"/>
    <s v="L000013658"/>
    <s v="BM - RD - Strategic &amp; Emerging Tech"/>
    <s v="L000005737"/>
    <x v="0"/>
    <x v="0"/>
    <x v="0"/>
    <x v="2"/>
    <m/>
    <m/>
    <s v="Phoebe Anne Fortaleza"/>
  </r>
  <r>
    <n v="833"/>
    <x v="0"/>
    <x v="17"/>
    <s v="L000013659"/>
    <s v="Head of Commercial Execution"/>
    <s v="L000005822"/>
    <x v="0"/>
    <x v="0"/>
    <x v="0"/>
    <x v="2"/>
    <m/>
    <m/>
    <s v="Phoebe Anne Fortaleza"/>
  </r>
  <r>
    <n v="834"/>
    <x v="0"/>
    <x v="17"/>
    <s v="L000013660"/>
    <s v="BM - Business Planning - Management"/>
    <s v="L000013122"/>
    <x v="0"/>
    <x v="0"/>
    <x v="0"/>
    <x v="2"/>
    <m/>
    <m/>
    <s v="Phoebe Anne Fortaleza"/>
  </r>
  <r>
    <n v="835"/>
    <x v="0"/>
    <x v="17"/>
    <s v="L000013661"/>
    <s v="BM - Business Planning - Adjustment"/>
    <s v="L000013122"/>
    <x v="0"/>
    <x v="0"/>
    <x v="0"/>
    <x v="2"/>
    <m/>
    <m/>
    <s v="Phoebe Anne Fortaleza"/>
  </r>
  <r>
    <n v="836"/>
    <x v="0"/>
    <x v="17"/>
    <s v="L000013662"/>
    <s v="EMEA Business planning &amp; implementation"/>
    <s v="L000008563"/>
    <x v="0"/>
    <x v="0"/>
    <x v="0"/>
    <x v="2"/>
    <m/>
    <m/>
    <s v="Phoebe Anne Fortaleza"/>
  </r>
  <r>
    <n v="837"/>
    <x v="0"/>
    <x v="17"/>
    <s v="L000013663"/>
    <s v="WE IT&amp;Dx"/>
    <s v="L000008563"/>
    <x v="0"/>
    <x v="0"/>
    <x v="0"/>
    <x v="2"/>
    <m/>
    <m/>
    <s v="Phoebe Anne Fortaleza"/>
  </r>
  <r>
    <n v="838"/>
    <x v="0"/>
    <x v="17"/>
    <s v="L000013664"/>
    <s v="Tender Management"/>
    <s v="L000008649"/>
    <x v="0"/>
    <x v="0"/>
    <x v="0"/>
    <x v="2"/>
    <m/>
    <m/>
    <s v="Phoebe Anne Fortaleza"/>
  </r>
  <r>
    <n v="839"/>
    <x v="0"/>
    <x v="17"/>
    <s v="L000013665"/>
    <s v="DELETED NODE"/>
    <s v="L000000000"/>
    <x v="0"/>
    <x v="0"/>
    <x v="0"/>
    <x v="2"/>
    <m/>
    <m/>
    <s v="Phoebe Anne Fortaleza"/>
  </r>
  <r>
    <n v="840"/>
    <x v="0"/>
    <x v="17"/>
    <s v="L000013487"/>
    <s v="Sheboygan Engineering-G"/>
    <m/>
    <x v="2"/>
    <x v="0"/>
    <x v="0"/>
    <x v="2"/>
    <m/>
    <m/>
    <s v="Phoebe Anne Fortaleza"/>
  </r>
  <r>
    <n v="841"/>
    <x v="0"/>
    <x v="17"/>
    <s v="L000009196"/>
    <s v="Biology R&amp;D"/>
    <m/>
    <x v="2"/>
    <x v="0"/>
    <x v="0"/>
    <x v="2"/>
    <m/>
    <m/>
    <s v="Phoebe Anne Fortaleza"/>
  </r>
  <r>
    <n v="842"/>
    <x v="0"/>
    <x v="17"/>
    <s v="L000005108"/>
    <s v="APAC - Regional Marketing"/>
    <m/>
    <x v="2"/>
    <x v="0"/>
    <x v="0"/>
    <x v="2"/>
    <m/>
    <m/>
    <s v="Phoebe Anne Fortaleza"/>
  </r>
  <r>
    <n v="843"/>
    <x v="0"/>
    <x v="17"/>
    <s v="L000005109"/>
    <s v="APAC - Advertising &amp; Promotion"/>
    <m/>
    <x v="2"/>
    <x v="0"/>
    <x v="0"/>
    <x v="2"/>
    <m/>
    <m/>
    <s v="Phoebe Anne Fortaleza"/>
  </r>
  <r>
    <n v="844"/>
    <x v="0"/>
    <x v="17"/>
    <s v="L000005110"/>
    <s v="APAC - Head of Regional Mktg"/>
    <m/>
    <x v="2"/>
    <x v="0"/>
    <x v="0"/>
    <x v="2"/>
    <m/>
    <m/>
    <s v="Phoebe Anne Fortaleza"/>
  </r>
  <r>
    <n v="845"/>
    <x v="0"/>
    <x v="17"/>
    <s v="L000005111"/>
    <s v="APAC - Regional Mktg - China"/>
    <m/>
    <x v="2"/>
    <x v="0"/>
    <x v="0"/>
    <x v="2"/>
    <m/>
    <m/>
    <s v="Phoebe Anne Fortaleza"/>
  </r>
  <r>
    <n v="846"/>
    <x v="0"/>
    <x v="17"/>
    <s v="L000005112"/>
    <s v="APAC - Regional Mktg - India"/>
    <m/>
    <x v="2"/>
    <x v="0"/>
    <x v="0"/>
    <x v="2"/>
    <m/>
    <m/>
    <s v="Phoebe Anne Fortaleza"/>
  </r>
  <r>
    <n v="847"/>
    <x v="0"/>
    <x v="17"/>
    <s v="L000005113"/>
    <s v="APAC - Regional Mktg -Singapore"/>
    <m/>
    <x v="2"/>
    <x v="0"/>
    <x v="0"/>
    <x v="2"/>
    <m/>
    <m/>
    <s v="Phoebe Anne Fortaleza"/>
  </r>
  <r>
    <n v="848"/>
    <x v="0"/>
    <x v="17"/>
    <s v="L000012007"/>
    <s v="APAC - Regional Mktg - Japan"/>
    <m/>
    <x v="2"/>
    <x v="0"/>
    <x v="0"/>
    <x v="2"/>
    <m/>
    <m/>
    <s v="Phoebe Anne Fortaleza"/>
  </r>
  <r>
    <n v="849"/>
    <x v="0"/>
    <x v="17"/>
    <s v="L000012008"/>
    <s v="APAC - Regional Mktg -S Korea"/>
    <m/>
    <x v="2"/>
    <x v="0"/>
    <x v="0"/>
    <x v="2"/>
    <m/>
    <m/>
    <s v="Phoebe Anne Fortaleza"/>
  </r>
  <r>
    <n v="850"/>
    <x v="0"/>
    <x v="17"/>
    <s v="L000012009"/>
    <s v="APAC - Regional Mktg - Taiwan"/>
    <m/>
    <x v="2"/>
    <x v="0"/>
    <x v="0"/>
    <x v="2"/>
    <m/>
    <m/>
    <s v="Phoebe Anne Fortaleza"/>
  </r>
  <r>
    <n v="851"/>
    <x v="0"/>
    <x v="17"/>
    <s v="L000008394"/>
    <s v="Channel &amp; Digital Sales Japan"/>
    <m/>
    <x v="2"/>
    <x v="0"/>
    <x v="0"/>
    <x v="2"/>
    <m/>
    <m/>
    <s v="Phoebe Anne Fortaleza"/>
  </r>
  <r>
    <n v="852"/>
    <x v="0"/>
    <x v="17"/>
    <s v="L000008395"/>
    <s v="Channel &amp; Digital Sales Japan"/>
    <m/>
    <x v="2"/>
    <x v="0"/>
    <x v="0"/>
    <x v="2"/>
    <m/>
    <m/>
    <s v="Phoebe Anne Fortaleza"/>
  </r>
  <r>
    <n v="853"/>
    <x v="0"/>
    <x v="17"/>
    <s v="L000008412"/>
    <s v="Pharma &amp; Diagnostics Sales Japan"/>
    <m/>
    <x v="2"/>
    <x v="0"/>
    <x v="0"/>
    <x v="2"/>
    <m/>
    <m/>
    <s v="Phoebe Anne Fortaleza"/>
  </r>
  <r>
    <n v="854"/>
    <x v="0"/>
    <x v="17"/>
    <s v="L000008413"/>
    <s v="Pharma &amp; Diagnostics Sales Japan"/>
    <m/>
    <x v="2"/>
    <x v="0"/>
    <x v="0"/>
    <x v="2"/>
    <m/>
    <m/>
    <s v="Phoebe Anne Fortaleza"/>
  </r>
  <r>
    <n v="855"/>
    <x v="0"/>
    <x v="17"/>
    <s v="L000013192"/>
    <s v="Commercial Initiatives &amp; PMO Japan"/>
    <m/>
    <x v="2"/>
    <x v="0"/>
    <x v="0"/>
    <x v="2"/>
    <m/>
    <m/>
    <s v="Phoebe Anne Fortaleza"/>
  </r>
  <r>
    <n v="856"/>
    <x v="0"/>
    <x v="17"/>
    <s v="L000008421"/>
    <s v="Commercial Sales AGH"/>
    <m/>
    <x v="2"/>
    <x v="0"/>
    <x v="0"/>
    <x v="2"/>
    <m/>
    <m/>
    <s v="Phoebe Anne Fortaleza"/>
  </r>
  <r>
    <n v="857"/>
    <x v="0"/>
    <x v="17"/>
    <s v="L000008569"/>
    <s v="Head of Tech Service, FM&amp;SFDC"/>
    <m/>
    <x v="2"/>
    <x v="0"/>
    <x v="0"/>
    <x v="2"/>
    <m/>
    <m/>
    <s v="Phoebe Anne Fortaleza"/>
  </r>
  <r>
    <n v="858"/>
    <x v="0"/>
    <x v="17"/>
    <s v="L000005844"/>
    <s v="DxRM - TDx Field Sales Vehicle"/>
    <m/>
    <x v="2"/>
    <x v="0"/>
    <x v="0"/>
    <x v="2"/>
    <m/>
    <m/>
    <s v="Phoebe Anne Fortaleza"/>
  </r>
  <r>
    <n v="859"/>
    <x v="0"/>
    <x v="17"/>
    <s v="L000005846"/>
    <s v="DxRM - TDx Field Sales US"/>
    <m/>
    <x v="2"/>
    <x v="0"/>
    <x v="0"/>
    <x v="2"/>
    <m/>
    <m/>
    <s v="Phoebe Anne Fortaleza"/>
  </r>
  <r>
    <n v="860"/>
    <x v="0"/>
    <x v="17"/>
    <s v="L000012042"/>
    <s v="DxRM - TDx Field Sales MY"/>
    <m/>
    <x v="2"/>
    <x v="0"/>
    <x v="0"/>
    <x v="2"/>
    <m/>
    <m/>
    <s v="Phoebe Anne Fortaleza"/>
  </r>
  <r>
    <n v="861"/>
    <x v="0"/>
    <x v="17"/>
    <s v="L000012043"/>
    <s v="DxRM - TDx Field Sales CA"/>
    <m/>
    <x v="2"/>
    <x v="0"/>
    <x v="0"/>
    <x v="2"/>
    <m/>
    <m/>
    <s v="Phoebe Anne Fortaleza"/>
  </r>
  <r>
    <n v="862"/>
    <x v="0"/>
    <x v="17"/>
    <s v="L000012495"/>
    <s v="DxRM - TDx Field Sales PT"/>
    <m/>
    <x v="2"/>
    <x v="0"/>
    <x v="0"/>
    <x v="2"/>
    <m/>
    <m/>
    <s v="Phoebe Anne Fortaleza"/>
  </r>
  <r>
    <n v="863"/>
    <x v="0"/>
    <x v="17"/>
    <s v="L000012496"/>
    <s v="DxRM - TDx Field Sales CN"/>
    <m/>
    <x v="2"/>
    <x v="0"/>
    <x v="0"/>
    <x v="2"/>
    <m/>
    <m/>
    <s v="Phoebe Anne Fortaleza"/>
  </r>
  <r>
    <n v="864"/>
    <x v="0"/>
    <x v="17"/>
    <s v="L000013293"/>
    <s v="DxRM - TDx Field Sales"/>
    <m/>
    <x v="2"/>
    <x v="0"/>
    <x v="0"/>
    <x v="2"/>
    <m/>
    <m/>
    <s v="Phoebe Anne Fortaleza"/>
  </r>
  <r>
    <n v="865"/>
    <x v="0"/>
    <x v="17"/>
    <s v="L000013294"/>
    <s v="DxRM - TDx Marketing"/>
    <m/>
    <x v="2"/>
    <x v="0"/>
    <x v="0"/>
    <x v="2"/>
    <m/>
    <m/>
    <s v="Phoebe Anne Fortaleza"/>
  </r>
  <r>
    <n v="866"/>
    <x v="0"/>
    <x v="17"/>
    <s v="L000013295"/>
    <s v="DxRM - TDx Amortization"/>
    <m/>
    <x v="2"/>
    <x v="0"/>
    <x v="0"/>
    <x v="2"/>
    <m/>
    <m/>
    <s v="Phoebe Anne Fortaleza"/>
  </r>
  <r>
    <n v="867"/>
    <x v="0"/>
    <x v="17"/>
    <s v="L000005894"/>
    <s v="DxRM - Mgmt Amortization"/>
    <m/>
    <x v="2"/>
    <x v="0"/>
    <x v="0"/>
    <x v="2"/>
    <m/>
    <m/>
    <s v="Phoebe Anne Fortaleza"/>
  </r>
  <r>
    <n v="868"/>
    <x v="0"/>
    <x v="17"/>
    <s v="L000005895"/>
    <s v="DxRM - Mgmt DxRM Head"/>
    <m/>
    <x v="2"/>
    <x v="0"/>
    <x v="0"/>
    <x v="2"/>
    <m/>
    <m/>
    <s v="Phoebe Anne Fortaleza"/>
  </r>
  <r>
    <n v="869"/>
    <x v="0"/>
    <x v="17"/>
    <s v="L000012337"/>
    <s v="DxRM - Mgmt DxRM Sales &amp; COGS"/>
    <m/>
    <x v="2"/>
    <x v="0"/>
    <x v="0"/>
    <x v="2"/>
    <m/>
    <m/>
    <s v="Phoebe Anne Fortaleza"/>
  </r>
  <r>
    <n v="870"/>
    <x v="0"/>
    <x v="17"/>
    <s v="L000013028"/>
    <s v="DxRM - Mgmt DxRM Freight Rev NA"/>
    <m/>
    <x v="2"/>
    <x v="0"/>
    <x v="0"/>
    <x v="2"/>
    <m/>
    <m/>
    <s v="Phoebe Anne Fortaleza"/>
  </r>
  <r>
    <n v="871"/>
    <x v="0"/>
    <x v="17"/>
    <s v="L000013029"/>
    <s v="DxRM - Mgmt DxRM Freight Rev WE"/>
    <m/>
    <x v="2"/>
    <x v="0"/>
    <x v="0"/>
    <x v="2"/>
    <m/>
    <m/>
    <s v="Phoebe Anne Fortaleza"/>
  </r>
  <r>
    <n v="872"/>
    <x v="0"/>
    <x v="17"/>
    <s v="L000013030"/>
    <s v="DxRM - Mgmt DxRM Freight Rev CN"/>
    <m/>
    <x v="2"/>
    <x v="0"/>
    <x v="0"/>
    <x v="2"/>
    <m/>
    <m/>
    <s v="Phoebe Anne Fortaleza"/>
  </r>
  <r>
    <n v="873"/>
    <x v="0"/>
    <x v="17"/>
    <s v="L000013031"/>
    <s v="DxRM - Mgmt DxRM Freight Rev JP"/>
    <m/>
    <x v="2"/>
    <x v="0"/>
    <x v="0"/>
    <x v="2"/>
    <m/>
    <m/>
    <s v="Phoebe Anne Fortaleza"/>
  </r>
  <r>
    <n v="874"/>
    <x v="0"/>
    <x v="17"/>
    <s v="L000013032"/>
    <s v="DxRM - Mgmt DxRM Freight Rev EEMEA"/>
    <m/>
    <x v="2"/>
    <x v="0"/>
    <x v="0"/>
    <x v="2"/>
    <m/>
    <m/>
    <s v="Phoebe Anne Fortaleza"/>
  </r>
  <r>
    <n v="875"/>
    <x v="0"/>
    <x v="17"/>
    <s v="L000013033"/>
    <s v="DxRM - Mgmt DxRM Freight Rev LATAM"/>
    <m/>
    <x v="2"/>
    <x v="0"/>
    <x v="0"/>
    <x v="2"/>
    <m/>
    <m/>
    <s v="Phoebe Anne Fortaleza"/>
  </r>
  <r>
    <n v="876"/>
    <x v="0"/>
    <x v="17"/>
    <s v="L000013034"/>
    <s v="DxRM - Mgmt DxRM Freight Rev SEA"/>
    <m/>
    <x v="2"/>
    <x v="0"/>
    <x v="0"/>
    <x v="2"/>
    <m/>
    <m/>
    <s v="Phoebe Anne Fortaleza"/>
  </r>
  <r>
    <n v="877"/>
    <x v="0"/>
    <x v="17"/>
    <s v="L000013297"/>
    <s v="DxRM - Mgmt SBS"/>
    <m/>
    <x v="2"/>
    <x v="0"/>
    <x v="0"/>
    <x v="2"/>
    <m/>
    <m/>
    <s v="Phoebe Anne Fortaleza"/>
  </r>
  <r>
    <n v="878"/>
    <x v="0"/>
    <x v="17"/>
    <s v="L000013300"/>
    <s v="DxRM - MarCom"/>
    <m/>
    <x v="2"/>
    <x v="0"/>
    <x v="0"/>
    <x v="2"/>
    <m/>
    <m/>
    <s v="Phoebe Anne Fortaleza"/>
  </r>
  <r>
    <n v="879"/>
    <x v="0"/>
    <x v="17"/>
    <s v="L000005392"/>
    <s v="DxRM - MarCom A&amp;P"/>
    <m/>
    <x v="2"/>
    <x v="0"/>
    <x v="0"/>
    <x v="2"/>
    <m/>
    <m/>
    <s v="Phoebe Anne Fortaleza"/>
  </r>
  <r>
    <n v="880"/>
    <x v="0"/>
    <x v="17"/>
    <s v="L000005393"/>
    <s v="DxRM - MarCom A&amp;P Diagnostics"/>
    <m/>
    <x v="2"/>
    <x v="0"/>
    <x v="0"/>
    <x v="2"/>
    <m/>
    <m/>
    <s v="Phoebe Anne Fortaleza"/>
  </r>
  <r>
    <n v="881"/>
    <x v="0"/>
    <x v="17"/>
    <s v="L000005394"/>
    <s v="DxRM - MarCom A&amp;P IVD/CMO"/>
    <m/>
    <x v="2"/>
    <x v="0"/>
    <x v="0"/>
    <x v="2"/>
    <m/>
    <m/>
    <s v="Phoebe Anne Fortaleza"/>
  </r>
  <r>
    <n v="882"/>
    <x v="0"/>
    <x v="17"/>
    <s v="L000005395"/>
    <s v="DxRM - MarCom A&amp;P IVD/CRM/RM"/>
    <m/>
    <x v="2"/>
    <x v="0"/>
    <x v="0"/>
    <x v="2"/>
    <m/>
    <m/>
    <s v="Phoebe Anne Fortaleza"/>
  </r>
  <r>
    <n v="883"/>
    <x v="0"/>
    <x v="17"/>
    <s v="L000005396"/>
    <s v="DxRM - MarCom A&amp;P Molecular Materials"/>
    <m/>
    <x v="2"/>
    <x v="0"/>
    <x v="0"/>
    <x v="2"/>
    <m/>
    <m/>
    <s v="Phoebe Anne Fortaleza"/>
  </r>
  <r>
    <n v="884"/>
    <x v="0"/>
    <x v="17"/>
    <s v="L000005398"/>
    <s v="DxRM - MarCom Belgium"/>
    <m/>
    <x v="2"/>
    <x v="0"/>
    <x v="0"/>
    <x v="2"/>
    <m/>
    <m/>
    <s v="Phoebe Anne Fortaleza"/>
  </r>
  <r>
    <n v="885"/>
    <x v="0"/>
    <x v="17"/>
    <s v="L000005399"/>
    <s v="DxRM - MarCom France"/>
    <m/>
    <x v="2"/>
    <x v="0"/>
    <x v="0"/>
    <x v="2"/>
    <m/>
    <m/>
    <s v="Phoebe Anne Fortaleza"/>
  </r>
  <r>
    <n v="886"/>
    <x v="0"/>
    <x v="17"/>
    <s v="L000005401"/>
    <s v="DxRM - MarCom US"/>
    <m/>
    <x v="2"/>
    <x v="0"/>
    <x v="0"/>
    <x v="2"/>
    <m/>
    <m/>
    <s v="Phoebe Anne Fortaleza"/>
  </r>
  <r>
    <n v="887"/>
    <x v="0"/>
    <x v="17"/>
    <s v="L000005403"/>
    <s v="DxRM - MarCom Lead Effct"/>
    <m/>
    <x v="2"/>
    <x v="0"/>
    <x v="0"/>
    <x v="2"/>
    <m/>
    <m/>
    <s v="Phoebe Anne Fortaleza"/>
  </r>
  <r>
    <n v="888"/>
    <x v="0"/>
    <x v="17"/>
    <s v="L000005911"/>
    <s v="DxRM - Custom &amp; Contract Mfg FR"/>
    <m/>
    <x v="2"/>
    <x v="0"/>
    <x v="0"/>
    <x v="2"/>
    <m/>
    <m/>
    <s v="Phoebe Anne Fortaleza"/>
  </r>
  <r>
    <n v="889"/>
    <x v="0"/>
    <x v="17"/>
    <s v="L000005912"/>
    <s v="DxRM - Custom &amp; Contract Mfg UK"/>
    <m/>
    <x v="2"/>
    <x v="0"/>
    <x v="0"/>
    <x v="2"/>
    <m/>
    <m/>
    <s v="Phoebe Anne Fortaleza"/>
  </r>
  <r>
    <n v="890"/>
    <x v="0"/>
    <x v="17"/>
    <s v="L000005914"/>
    <s v="DxRM - Custom &amp; Contract Mfg US"/>
    <m/>
    <x v="2"/>
    <x v="0"/>
    <x v="0"/>
    <x v="2"/>
    <m/>
    <m/>
    <s v="Phoebe Anne Fortaleza"/>
  </r>
  <r>
    <n v="891"/>
    <x v="0"/>
    <x v="17"/>
    <s v="L000012497"/>
    <s v="DxRM - Custom &amp; Contract Mfg DE"/>
    <m/>
    <x v="2"/>
    <x v="0"/>
    <x v="0"/>
    <x v="2"/>
    <m/>
    <m/>
    <s v="Phoebe Anne Fortaleza"/>
  </r>
  <r>
    <n v="892"/>
    <x v="0"/>
    <x v="17"/>
    <s v="L000005913"/>
    <s v="DxRM - CRM UK"/>
    <m/>
    <x v="2"/>
    <x v="0"/>
    <x v="0"/>
    <x v="2"/>
    <m/>
    <m/>
    <s v="Phoebe Anne Fortaleza"/>
  </r>
  <r>
    <n v="893"/>
    <x v="0"/>
    <x v="17"/>
    <s v="L000005916"/>
    <s v="DxRM - CRM IE"/>
    <m/>
    <x v="2"/>
    <x v="0"/>
    <x v="0"/>
    <x v="2"/>
    <m/>
    <m/>
    <s v="Phoebe Anne Fortaleza"/>
  </r>
  <r>
    <n v="894"/>
    <x v="0"/>
    <x v="17"/>
    <s v="L000005917"/>
    <s v="DxRM - CRM JP"/>
    <m/>
    <x v="2"/>
    <x v="0"/>
    <x v="0"/>
    <x v="2"/>
    <m/>
    <m/>
    <s v="Phoebe Anne Fortaleza"/>
  </r>
  <r>
    <n v="895"/>
    <x v="0"/>
    <x v="17"/>
    <s v="L000005918"/>
    <s v="DxRM - CRM UK 2"/>
    <m/>
    <x v="2"/>
    <x v="0"/>
    <x v="0"/>
    <x v="2"/>
    <m/>
    <m/>
    <s v="Phoebe Anne Fortaleza"/>
  </r>
  <r>
    <n v="896"/>
    <x v="0"/>
    <x v="17"/>
    <s v="L000005919"/>
    <s v="DxRM - CRM US"/>
    <m/>
    <x v="2"/>
    <x v="0"/>
    <x v="0"/>
    <x v="2"/>
    <m/>
    <m/>
    <s v="Phoebe Anne Fortaleza"/>
  </r>
  <r>
    <n v="897"/>
    <x v="0"/>
    <x v="17"/>
    <s v="L000005920"/>
    <s v="DxRM - CRM US 2"/>
    <m/>
    <x v="2"/>
    <x v="0"/>
    <x v="0"/>
    <x v="2"/>
    <m/>
    <m/>
    <s v="Phoebe Anne Fortaleza"/>
  </r>
  <r>
    <n v="898"/>
    <x v="0"/>
    <x v="17"/>
    <s v="L000012768"/>
    <s v="DxRM - CRM CN"/>
    <m/>
    <x v="2"/>
    <x v="0"/>
    <x v="0"/>
    <x v="2"/>
    <m/>
    <m/>
    <s v="Phoebe Anne Fortaleza"/>
  </r>
  <r>
    <n v="899"/>
    <x v="0"/>
    <x v="17"/>
    <s v="L000005927"/>
    <s v="DxRM - MM Product Mgmt Oligos"/>
    <m/>
    <x v="2"/>
    <x v="0"/>
    <x v="0"/>
    <x v="2"/>
    <m/>
    <m/>
    <s v="Phoebe Anne Fortaleza"/>
  </r>
  <r>
    <n v="900"/>
    <x v="0"/>
    <x v="17"/>
    <s v="L000005928"/>
    <s v="DxRM - MM Product Mgmt Proligos"/>
    <m/>
    <x v="2"/>
    <x v="0"/>
    <x v="0"/>
    <x v="2"/>
    <m/>
    <m/>
    <s v="Phoebe Anne Fortaleza"/>
  </r>
  <r>
    <n v="901"/>
    <x v="0"/>
    <x v="17"/>
    <s v="L000005929"/>
    <s v="DxRM - MM Management"/>
    <m/>
    <x v="2"/>
    <x v="0"/>
    <x v="0"/>
    <x v="2"/>
    <m/>
    <m/>
    <s v="Phoebe Anne Fortaleza"/>
  </r>
  <r>
    <n v="902"/>
    <x v="0"/>
    <x v="17"/>
    <s v="L000005931"/>
    <s v="DxRM - MM Application Specialists"/>
    <m/>
    <x v="2"/>
    <x v="0"/>
    <x v="0"/>
    <x v="2"/>
    <m/>
    <m/>
    <s v="Phoebe Anne Fortaleza"/>
  </r>
  <r>
    <n v="903"/>
    <x v="0"/>
    <x v="17"/>
    <s v="L000005932"/>
    <s v="DxRM - MM Champions APAC"/>
    <m/>
    <x v="2"/>
    <x v="0"/>
    <x v="0"/>
    <x v="2"/>
    <m/>
    <m/>
    <s v="Phoebe Anne Fortaleza"/>
  </r>
  <r>
    <n v="904"/>
    <x v="0"/>
    <x v="17"/>
    <s v="L000005933"/>
    <s v="DxRM - MM Champions NA"/>
    <m/>
    <x v="2"/>
    <x v="0"/>
    <x v="0"/>
    <x v="2"/>
    <m/>
    <m/>
    <s v="Phoebe Anne Fortaleza"/>
  </r>
  <r>
    <n v="905"/>
    <x v="0"/>
    <x v="17"/>
    <s v="L000005934"/>
    <s v="DxRM - MM Champions WE"/>
    <m/>
    <x v="2"/>
    <x v="0"/>
    <x v="0"/>
    <x v="2"/>
    <m/>
    <m/>
    <s v="Phoebe Anne Fortaleza"/>
  </r>
  <r>
    <n v="906"/>
    <x v="0"/>
    <x v="17"/>
    <s v="L000013306"/>
    <s v="DxRM - MM Champions"/>
    <m/>
    <x v="2"/>
    <x v="0"/>
    <x v="0"/>
    <x v="2"/>
    <m/>
    <m/>
    <s v="Phoebe Anne Fortaleza"/>
  </r>
  <r>
    <n v="907"/>
    <x v="0"/>
    <x v="17"/>
    <s v="L000005939"/>
    <s v="DxRM - R&amp;D Emerging Biology"/>
    <m/>
    <x v="2"/>
    <x v="0"/>
    <x v="0"/>
    <x v="2"/>
    <m/>
    <m/>
    <s v="Phoebe Anne Fortaleza"/>
  </r>
  <r>
    <n v="908"/>
    <x v="0"/>
    <x v="17"/>
    <s v="L000005940"/>
    <s v="DxRM - R&amp;D EM Management"/>
    <m/>
    <x v="2"/>
    <x v="0"/>
    <x v="0"/>
    <x v="2"/>
    <m/>
    <m/>
    <s v="Phoebe Anne Fortaleza"/>
  </r>
  <r>
    <n v="909"/>
    <x v="0"/>
    <x v="17"/>
    <s v="L000005942"/>
    <s v="DxRM - R&amp;D EM Molecular Biotech"/>
    <m/>
    <x v="2"/>
    <x v="0"/>
    <x v="0"/>
    <x v="2"/>
    <m/>
    <m/>
    <s v="Phoebe Anne Fortaleza"/>
  </r>
  <r>
    <n v="910"/>
    <x v="0"/>
    <x v="17"/>
    <s v="L000005943"/>
    <s v="DxRM - R&amp;D EM Molecular Dx"/>
    <m/>
    <x v="2"/>
    <x v="0"/>
    <x v="0"/>
    <x v="2"/>
    <m/>
    <m/>
    <s v="Phoebe Anne Fortaleza"/>
  </r>
  <r>
    <n v="911"/>
    <x v="0"/>
    <x v="17"/>
    <s v="L000005944"/>
    <s v="DxRM - R&amp;D Estapor"/>
    <m/>
    <x v="2"/>
    <x v="0"/>
    <x v="0"/>
    <x v="2"/>
    <m/>
    <m/>
    <s v="Phoebe Anne Fortaleza"/>
  </r>
  <r>
    <n v="912"/>
    <x v="0"/>
    <x v="17"/>
    <s v="L000005945"/>
    <s v="DxRM - R&amp;D OEM FR"/>
    <m/>
    <x v="2"/>
    <x v="0"/>
    <x v="0"/>
    <x v="2"/>
    <m/>
    <m/>
    <s v="Phoebe Anne Fortaleza"/>
  </r>
  <r>
    <n v="913"/>
    <x v="0"/>
    <x v="17"/>
    <s v="L000005946"/>
    <s v="DxRM - R&amp;D OEM Diagnostics"/>
    <m/>
    <x v="2"/>
    <x v="0"/>
    <x v="0"/>
    <x v="2"/>
    <m/>
    <m/>
    <s v="Phoebe Anne Fortaleza"/>
  </r>
  <r>
    <n v="914"/>
    <x v="0"/>
    <x v="17"/>
    <s v="L000005947"/>
    <s v="DxRM - R&amp;D OEM Campy DE"/>
    <m/>
    <x v="2"/>
    <x v="0"/>
    <x v="0"/>
    <x v="2"/>
    <m/>
    <m/>
    <s v="Phoebe Anne Fortaleza"/>
  </r>
  <r>
    <n v="915"/>
    <x v="0"/>
    <x v="17"/>
    <s v="L000005948"/>
    <s v="DxRM - R&amp;D OEM Diagnostics EI"/>
    <m/>
    <x v="2"/>
    <x v="0"/>
    <x v="0"/>
    <x v="2"/>
    <m/>
    <m/>
    <s v="Phoebe Anne Fortaleza"/>
  </r>
  <r>
    <n v="916"/>
    <x v="0"/>
    <x v="17"/>
    <s v="L000005949"/>
    <s v="DxRM - R&amp;D OEM Sytems EI"/>
    <m/>
    <x v="2"/>
    <x v="0"/>
    <x v="0"/>
    <x v="2"/>
    <m/>
    <m/>
    <s v="Phoebe Anne Fortaleza"/>
  </r>
  <r>
    <n v="917"/>
    <x v="0"/>
    <x v="17"/>
    <s v="L000005950"/>
    <s v="DxRM - R&amp;D OEM Tech &amp; Innovation US"/>
    <m/>
    <x v="2"/>
    <x v="0"/>
    <x v="0"/>
    <x v="2"/>
    <m/>
    <m/>
    <s v="Phoebe Anne Fortaleza"/>
  </r>
  <r>
    <n v="918"/>
    <x v="0"/>
    <x v="17"/>
    <s v="L000005951"/>
    <s v="DxRM - R&amp;D OEM Systems UK"/>
    <m/>
    <x v="2"/>
    <x v="0"/>
    <x v="0"/>
    <x v="2"/>
    <m/>
    <m/>
    <s v="Phoebe Anne Fortaleza"/>
  </r>
  <r>
    <n v="919"/>
    <x v="0"/>
    <x v="17"/>
    <s v="L000005952"/>
    <s v="DxRM - R&amp;D OEM Innovation US"/>
    <m/>
    <x v="2"/>
    <x v="0"/>
    <x v="0"/>
    <x v="2"/>
    <m/>
    <m/>
    <s v="Phoebe Anne Fortaleza"/>
  </r>
  <r>
    <n v="920"/>
    <x v="0"/>
    <x v="17"/>
    <s v="L000005953"/>
    <s v="DxRM - R&amp;D OEM Diagnostics US"/>
    <m/>
    <x v="2"/>
    <x v="0"/>
    <x v="0"/>
    <x v="2"/>
    <m/>
    <m/>
    <s v="Phoebe Anne Fortaleza"/>
  </r>
  <r>
    <n v="921"/>
    <x v="0"/>
    <x v="17"/>
    <s v="L000005954"/>
    <s v="DxRM - R&amp;D Tissue &amp; Cell Diagnostics"/>
    <m/>
    <x v="2"/>
    <x v="0"/>
    <x v="0"/>
    <x v="2"/>
    <m/>
    <m/>
    <s v="Phoebe Anne Fortaleza"/>
  </r>
  <r>
    <n v="922"/>
    <x v="0"/>
    <x v="17"/>
    <s v="L000005955"/>
    <s v="DxRM - R&amp;D Tissue Diagnostics DE"/>
    <m/>
    <x v="2"/>
    <x v="0"/>
    <x v="0"/>
    <x v="2"/>
    <m/>
    <m/>
    <s v="Phoebe Anne Fortaleza"/>
  </r>
  <r>
    <n v="923"/>
    <x v="0"/>
    <x v="17"/>
    <s v="L000005956"/>
    <s v="DxRM - R&amp;D IO Sol Mocroscopy"/>
    <m/>
    <x v="2"/>
    <x v="0"/>
    <x v="0"/>
    <x v="2"/>
    <m/>
    <m/>
    <s v="Phoebe Anne Fortaleza"/>
  </r>
  <r>
    <n v="924"/>
    <x v="0"/>
    <x v="17"/>
    <s v="L000005957"/>
    <s v="DxRM - R&amp;D Tissue Diagnostics Res US"/>
    <m/>
    <x v="2"/>
    <x v="0"/>
    <x v="0"/>
    <x v="2"/>
    <m/>
    <m/>
    <s v="Phoebe Anne Fortaleza"/>
  </r>
  <r>
    <n v="925"/>
    <x v="0"/>
    <x v="17"/>
    <s v="L000005958"/>
    <s v="DxRM - R&amp;D Tissue Diagnostics Dev US"/>
    <m/>
    <x v="2"/>
    <x v="0"/>
    <x v="0"/>
    <x v="2"/>
    <m/>
    <m/>
    <s v="Phoebe Anne Fortaleza"/>
  </r>
  <r>
    <n v="926"/>
    <x v="0"/>
    <x v="17"/>
    <s v="L000005959"/>
    <s v="DxRM - R&amp;D Other DE"/>
    <m/>
    <x v="2"/>
    <x v="0"/>
    <x v="0"/>
    <x v="2"/>
    <m/>
    <m/>
    <s v="Phoebe Anne Fortaleza"/>
  </r>
  <r>
    <n v="927"/>
    <x v="0"/>
    <x v="17"/>
    <s v="L000005960"/>
    <s v="DxRM - R&amp;D OEM Patent Mocroscopy"/>
    <m/>
    <x v="2"/>
    <x v="0"/>
    <x v="0"/>
    <x v="2"/>
    <m/>
    <m/>
    <s v="Phoebe Anne Fortaleza"/>
  </r>
  <r>
    <n v="928"/>
    <x v="0"/>
    <x v="17"/>
    <s v="L000008415"/>
    <s v="DxRM - R&amp;D Chem Synthesis Lab SK"/>
    <m/>
    <x v="2"/>
    <x v="0"/>
    <x v="0"/>
    <x v="2"/>
    <m/>
    <m/>
    <s v="Phoebe Anne Fortaleza"/>
  </r>
  <r>
    <n v="929"/>
    <x v="0"/>
    <x v="17"/>
    <s v="L000009176"/>
    <s v="DxRM - R&amp;D Miamisburg"/>
    <m/>
    <x v="2"/>
    <x v="0"/>
    <x v="0"/>
    <x v="2"/>
    <m/>
    <m/>
    <s v="Phoebe Anne Fortaleza"/>
  </r>
  <r>
    <n v="930"/>
    <x v="0"/>
    <x v="17"/>
    <s v="L000007763"/>
    <s v="DxRM - Production Materials"/>
    <m/>
    <x v="2"/>
    <x v="0"/>
    <x v="0"/>
    <x v="2"/>
    <m/>
    <m/>
    <s v="Phoebe Anne Fortaleza"/>
  </r>
  <r>
    <n v="931"/>
    <x v="0"/>
    <x v="17"/>
    <s v="L000007764"/>
    <s v="DxRM - PM US 1"/>
    <m/>
    <x v="2"/>
    <x v="0"/>
    <x v="0"/>
    <x v="2"/>
    <m/>
    <m/>
    <s v="Phoebe Anne Fortaleza"/>
  </r>
  <r>
    <n v="932"/>
    <x v="0"/>
    <x v="17"/>
    <s v="L000007766"/>
    <s v="DxRM - PM US 2"/>
    <m/>
    <x v="2"/>
    <x v="0"/>
    <x v="0"/>
    <x v="2"/>
    <m/>
    <m/>
    <s v="Phoebe Anne Fortaleza"/>
  </r>
  <r>
    <n v="933"/>
    <x v="0"/>
    <x v="17"/>
    <s v="L000007767"/>
    <s v="DxRM - PM US 3"/>
    <m/>
    <x v="2"/>
    <x v="0"/>
    <x v="0"/>
    <x v="2"/>
    <m/>
    <m/>
    <s v="Phoebe Anne Fortaleza"/>
  </r>
  <r>
    <n v="934"/>
    <x v="0"/>
    <x v="17"/>
    <s v="L000012816"/>
    <s v="DxRM - LFADS USA COGS"/>
    <m/>
    <x v="2"/>
    <x v="0"/>
    <x v="0"/>
    <x v="2"/>
    <m/>
    <m/>
    <s v="Phoebe Anne Fortaleza"/>
  </r>
  <r>
    <n v="935"/>
    <x v="0"/>
    <x v="17"/>
    <s v="L000012817"/>
    <s v="DxRM - LFADS USA R&amp;D"/>
    <m/>
    <x v="2"/>
    <x v="0"/>
    <x v="0"/>
    <x v="2"/>
    <m/>
    <m/>
    <s v="Phoebe Anne Fortaleza"/>
  </r>
  <r>
    <n v="936"/>
    <x v="0"/>
    <x v="17"/>
    <s v="L000012818"/>
    <s v="DxRM - LFADS USA ISS"/>
    <m/>
    <x v="2"/>
    <x v="0"/>
    <x v="0"/>
    <x v="2"/>
    <m/>
    <m/>
    <s v="Phoebe Anne Fortaleza"/>
  </r>
  <r>
    <n v="937"/>
    <x v="0"/>
    <x v="17"/>
    <s v="L000012819"/>
    <s v="DxRM - LFADS APAC COGS"/>
    <m/>
    <x v="2"/>
    <x v="0"/>
    <x v="0"/>
    <x v="2"/>
    <m/>
    <m/>
    <s v="Phoebe Anne Fortaleza"/>
  </r>
  <r>
    <n v="938"/>
    <x v="0"/>
    <x v="17"/>
    <s v="L000012820"/>
    <s v="DxRM - LFADS APAC R&amp;D"/>
    <m/>
    <x v="2"/>
    <x v="0"/>
    <x v="0"/>
    <x v="2"/>
    <m/>
    <m/>
    <s v="Phoebe Anne Fortaleza"/>
  </r>
  <r>
    <n v="939"/>
    <x v="0"/>
    <x v="17"/>
    <s v="L000012821"/>
    <s v="DxRM - LFADS IE COGS"/>
    <m/>
    <x v="2"/>
    <x v="0"/>
    <x v="0"/>
    <x v="2"/>
    <m/>
    <m/>
    <s v="Phoebe Anne Fortaleza"/>
  </r>
  <r>
    <n v="940"/>
    <x v="0"/>
    <x v="17"/>
    <s v="L000012822"/>
    <s v="DxRM - LFADS IE R&amp;D"/>
    <m/>
    <x v="2"/>
    <x v="0"/>
    <x v="0"/>
    <x v="2"/>
    <m/>
    <m/>
    <s v="Phoebe Anne Fortaleza"/>
  </r>
  <r>
    <n v="941"/>
    <x v="0"/>
    <x v="17"/>
    <s v="L000013125"/>
    <s v="DxRM - Business Planning &amp; Execution"/>
    <m/>
    <x v="2"/>
    <x v="0"/>
    <x v="0"/>
    <x v="2"/>
    <m/>
    <m/>
    <s v="Phoebe Anne Fortaleza"/>
  </r>
  <r>
    <n v="942"/>
    <x v="0"/>
    <x v="17"/>
    <s v="L000005899"/>
    <s v="DxRM - BP&amp;A Field Marketing US"/>
    <m/>
    <x v="2"/>
    <x v="0"/>
    <x v="0"/>
    <x v="2"/>
    <m/>
    <m/>
    <s v="Phoebe Anne Fortaleza"/>
  </r>
  <r>
    <n v="943"/>
    <x v="0"/>
    <x v="17"/>
    <s v="L000005904"/>
    <s v="DxRM - BP&amp;A Strategic Marketing"/>
    <m/>
    <x v="2"/>
    <x v="0"/>
    <x v="0"/>
    <x v="2"/>
    <m/>
    <m/>
    <s v="Phoebe Anne Fortaleza"/>
  </r>
  <r>
    <n v="944"/>
    <x v="0"/>
    <x v="17"/>
    <s v="L000005906"/>
    <s v="DxRM - BP&amp;A Strategic Projects"/>
    <m/>
    <x v="2"/>
    <x v="0"/>
    <x v="0"/>
    <x v="2"/>
    <m/>
    <m/>
    <s v="Phoebe Anne Fortaleza"/>
  </r>
  <r>
    <n v="945"/>
    <x v="0"/>
    <x v="17"/>
    <s v="L000005907"/>
    <s v="DxRM - BP&amp;A Management"/>
    <m/>
    <x v="2"/>
    <x v="0"/>
    <x v="0"/>
    <x v="2"/>
    <m/>
    <m/>
    <s v="Phoebe Anne Fortaleza"/>
  </r>
  <r>
    <n v="946"/>
    <x v="0"/>
    <x v="17"/>
    <s v="L000012498"/>
    <s v="DxRM - BP&amp;A Field Marketing CA"/>
    <m/>
    <x v="2"/>
    <x v="0"/>
    <x v="0"/>
    <x v="2"/>
    <m/>
    <m/>
    <s v="Phoebe Anne Fortaleza"/>
  </r>
  <r>
    <n v="947"/>
    <x v="0"/>
    <x v="17"/>
    <s v="L000005341"/>
    <s v="DxRM - Royalties &amp; Licenses"/>
    <m/>
    <x v="2"/>
    <x v="0"/>
    <x v="0"/>
    <x v="2"/>
    <m/>
    <m/>
    <s v="Phoebe Anne Fortaleza"/>
  </r>
  <r>
    <n v="948"/>
    <x v="0"/>
    <x v="17"/>
    <s v="L000008561"/>
    <s v="Pharma &amp; Testing Sales, Taiwan"/>
    <m/>
    <x v="2"/>
    <x v="0"/>
    <x v="0"/>
    <x v="2"/>
    <m/>
    <m/>
    <s v="Phoebe Anne Fortaleza"/>
  </r>
  <r>
    <n v="949"/>
    <x v="0"/>
    <x v="17"/>
    <s v="L000008895"/>
    <s v="SLS Commercial EEMEA"/>
    <m/>
    <x v="2"/>
    <x v="0"/>
    <x v="0"/>
    <x v="2"/>
    <m/>
    <m/>
    <s v="Phoebe Anne Fortaleza"/>
  </r>
  <r>
    <n v="950"/>
    <x v="0"/>
    <x v="17"/>
    <s v="L000013465"/>
    <s v="Tech Leadership Fund - Gene Synthesis"/>
    <m/>
    <x v="2"/>
    <x v="0"/>
    <x v="0"/>
    <x v="2"/>
    <m/>
    <m/>
    <s v="Phoebe Anne Fortaleza"/>
  </r>
  <r>
    <n v="951"/>
    <x v="0"/>
    <x v="17"/>
    <s v="L000013472"/>
    <s v="Digital CoE by DiCE"/>
    <m/>
    <x v="2"/>
    <x v="0"/>
    <x v="0"/>
    <x v="2"/>
    <m/>
    <m/>
    <s v="Phoebe Anne Fortaleza"/>
  </r>
  <r>
    <n v="952"/>
    <x v="0"/>
    <x v="17"/>
    <s v="L000012374"/>
    <s v="Sales PS PR/Centro -G]"/>
    <m/>
    <x v="2"/>
    <x v="0"/>
    <x v="0"/>
    <x v="2"/>
    <m/>
    <m/>
    <s v="Phoebe Anne Fortaleza"/>
  </r>
  <r>
    <n v="953"/>
    <x v="0"/>
    <x v="17"/>
    <s v="L000012375"/>
    <s v="Sales PS South Cone -G"/>
    <m/>
    <x v="2"/>
    <x v="0"/>
    <x v="0"/>
    <x v="2"/>
    <m/>
    <m/>
    <s v="Phoebe Anne Fortaleza"/>
  </r>
  <r>
    <n v="954"/>
    <x v="0"/>
    <x v="17"/>
    <s v="L000012376"/>
    <s v="Sales PS Mexico/VECO -G"/>
    <m/>
    <x v="2"/>
    <x v="0"/>
    <x v="0"/>
    <x v="2"/>
    <m/>
    <m/>
    <s v="Phoebe Anne Fortaleza"/>
  </r>
  <r>
    <n v="955"/>
    <x v="0"/>
    <x v="17"/>
    <s v="L000012377"/>
    <s v="Sales PS  Innovation -G"/>
    <m/>
    <x v="2"/>
    <x v="0"/>
    <x v="0"/>
    <x v="2"/>
    <m/>
    <m/>
    <s v="Phoebe Anne Fortaleza"/>
  </r>
  <r>
    <n v="956"/>
    <x v="0"/>
    <x v="17"/>
    <s v="L000012478"/>
    <s v="Sales PS  Brazil -G"/>
    <m/>
    <x v="2"/>
    <x v="0"/>
    <x v="0"/>
    <x v="2"/>
    <m/>
    <m/>
    <s v="Phoebe Anne Fortaleza"/>
  </r>
  <r>
    <n v="957"/>
    <x v="0"/>
    <x v="17"/>
    <s v="L000012322"/>
    <s v="Sales PS Emerging Biotech"/>
    <m/>
    <x v="2"/>
    <x v="0"/>
    <x v="0"/>
    <x v="2"/>
    <m/>
    <m/>
    <s v="Phoebe Anne Fortaleza"/>
  </r>
  <r>
    <n v="958"/>
    <x v="0"/>
    <x v="17"/>
    <s v="L000012323"/>
    <s v="Sales PS North America 2"/>
    <m/>
    <x v="2"/>
    <x v="0"/>
    <x v="0"/>
    <x v="2"/>
    <m/>
    <m/>
    <s v="Phoebe Anne Fortaleza"/>
  </r>
  <r>
    <n v="959"/>
    <x v="0"/>
    <x v="17"/>
    <s v="L000012324"/>
    <s v="Sales PS North America 1"/>
    <m/>
    <x v="2"/>
    <x v="0"/>
    <x v="0"/>
    <x v="2"/>
    <m/>
    <m/>
    <s v="Phoebe Anne Fortaleza"/>
  </r>
  <r>
    <n v="960"/>
    <x v="0"/>
    <x v="17"/>
    <s v="L000006878"/>
    <s v="PSOP Attrition - Comm M&amp;S PS EMEA"/>
    <m/>
    <x v="2"/>
    <x v="0"/>
    <x v="0"/>
    <x v="2"/>
    <m/>
    <m/>
    <s v="Phoebe Anne Fortaleza"/>
  </r>
  <r>
    <n v="961"/>
    <x v="0"/>
    <x v="17"/>
    <s v="L000011619"/>
    <s v="Technical &amp; Scientific Solutions PS EMEA"/>
    <m/>
    <x v="2"/>
    <x v="0"/>
    <x v="0"/>
    <x v="2"/>
    <m/>
    <m/>
    <s v="Phoebe Anne Fortaleza"/>
  </r>
  <r>
    <n v="962"/>
    <x v="0"/>
    <x v="17"/>
    <s v="L000012378"/>
    <s v="MSAT USP PM SU &amp; Process Consult PS EMEA"/>
    <m/>
    <x v="2"/>
    <x v="0"/>
    <x v="0"/>
    <x v="2"/>
    <m/>
    <m/>
    <s v="Phoebe Anne Fortaleza"/>
  </r>
  <r>
    <n v="963"/>
    <x v="0"/>
    <x v="17"/>
    <s v="L000012379"/>
    <s v="MSAT DSP SU &amp; Systems Region 1 PS EMEA"/>
    <m/>
    <x v="2"/>
    <x v="0"/>
    <x v="0"/>
    <x v="2"/>
    <m/>
    <m/>
    <s v="Phoebe Anne Fortaleza"/>
  </r>
  <r>
    <n v="964"/>
    <x v="0"/>
    <x v="17"/>
    <s v="L000012380"/>
    <s v="MSAT DSP SU &amp; Systems Region 2 PS EMEA"/>
    <m/>
    <x v="2"/>
    <x v="0"/>
    <x v="0"/>
    <x v="2"/>
    <m/>
    <m/>
    <s v="Phoebe Anne Fortaleza"/>
  </r>
  <r>
    <n v="965"/>
    <x v="0"/>
    <x v="17"/>
    <s v="L000012381"/>
    <s v="MSAT DSP SU &amp; Systems Region 3 PS EMEA"/>
    <m/>
    <x v="2"/>
    <x v="0"/>
    <x v="0"/>
    <x v="2"/>
    <m/>
    <m/>
    <s v="Phoebe Anne Fortaleza"/>
  </r>
  <r>
    <n v="966"/>
    <x v="0"/>
    <x v="17"/>
    <s v="L000012382"/>
    <s v="Tech Service USP &amp; PM PS EMEA"/>
    <m/>
    <x v="2"/>
    <x v="0"/>
    <x v="0"/>
    <x v="2"/>
    <m/>
    <m/>
    <s v="Phoebe Anne Fortaleza"/>
  </r>
  <r>
    <n v="967"/>
    <x v="0"/>
    <x v="17"/>
    <s v="L000012383"/>
    <s v="Tech Service DSP &amp; SUS Region 1 PS EMEA"/>
    <m/>
    <x v="2"/>
    <x v="0"/>
    <x v="0"/>
    <x v="2"/>
    <m/>
    <m/>
    <s v="Phoebe Anne Fortaleza"/>
  </r>
  <r>
    <n v="968"/>
    <x v="0"/>
    <x v="17"/>
    <s v="L000012384"/>
    <s v="Tech Service DSP &amp; SUS Region 2 PS EMEA"/>
    <m/>
    <x v="2"/>
    <x v="0"/>
    <x v="0"/>
    <x v="2"/>
    <m/>
    <m/>
    <s v="Phoebe Anne Fortaleza"/>
  </r>
  <r>
    <n v="969"/>
    <x v="0"/>
    <x v="17"/>
    <s v="L000012385"/>
    <s v="Tech Service DSP &amp; SUS Region 3 PS EMEA"/>
    <m/>
    <x v="2"/>
    <x v="0"/>
    <x v="0"/>
    <x v="2"/>
    <m/>
    <m/>
    <s v="Phoebe Anne Fortaleza"/>
  </r>
  <r>
    <n v="970"/>
    <x v="0"/>
    <x v="17"/>
    <s v="L000011638"/>
    <s v="Customer Application PS EMEA"/>
    <m/>
    <x v="2"/>
    <x v="0"/>
    <x v="0"/>
    <x v="2"/>
    <m/>
    <m/>
    <s v="Phoebe Anne Fortaleza"/>
  </r>
  <r>
    <n v="971"/>
    <x v="0"/>
    <x v="17"/>
    <s v="L000012386"/>
    <s v="CA Upstream PS EMEA"/>
    <m/>
    <x v="2"/>
    <x v="0"/>
    <x v="0"/>
    <x v="2"/>
    <m/>
    <m/>
    <s v="Phoebe Anne Fortaleza"/>
  </r>
  <r>
    <n v="972"/>
    <x v="0"/>
    <x v="17"/>
    <s v="L000013220"/>
    <s v="CA Novel Modalities PS EMEA"/>
    <m/>
    <x v="2"/>
    <x v="0"/>
    <x v="0"/>
    <x v="2"/>
    <m/>
    <m/>
    <s v="Phoebe Anne Fortaleza"/>
  </r>
  <r>
    <n v="973"/>
    <x v="0"/>
    <x v="17"/>
    <s v="L000011663"/>
    <s v="Business Planning &amp; Implement PS EMEA"/>
    <m/>
    <x v="2"/>
    <x v="0"/>
    <x v="0"/>
    <x v="2"/>
    <m/>
    <m/>
    <s v="Phoebe Anne Fortaleza"/>
  </r>
  <r>
    <n v="974"/>
    <x v="0"/>
    <x v="17"/>
    <s v="L000006870"/>
    <s v="Commercial Event PS EMEA"/>
    <m/>
    <x v="2"/>
    <x v="0"/>
    <x v="0"/>
    <x v="2"/>
    <m/>
    <m/>
    <s v="Phoebe Anne Fortaleza"/>
  </r>
  <r>
    <n v="975"/>
    <x v="0"/>
    <x v="17"/>
    <s v="L000012325"/>
    <s v="Sales Region 1 PS EMEA"/>
    <m/>
    <x v="2"/>
    <x v="0"/>
    <x v="0"/>
    <x v="2"/>
    <m/>
    <m/>
    <s v="Phoebe Anne Fortaleza"/>
  </r>
  <r>
    <n v="976"/>
    <x v="0"/>
    <x v="17"/>
    <s v="L000012326"/>
    <s v="Sales Region 2 PS EMEA"/>
    <m/>
    <x v="2"/>
    <x v="0"/>
    <x v="0"/>
    <x v="2"/>
    <m/>
    <m/>
    <s v="Phoebe Anne Fortaleza"/>
  </r>
  <r>
    <n v="977"/>
    <x v="0"/>
    <x v="17"/>
    <s v="L000012327"/>
    <s v="Sales Region 3 PS EMEA"/>
    <m/>
    <x v="2"/>
    <x v="0"/>
    <x v="0"/>
    <x v="2"/>
    <m/>
    <m/>
    <s v="Phoebe Anne Fortaleza"/>
  </r>
  <r>
    <n v="978"/>
    <x v="0"/>
    <x v="17"/>
    <s v="L000013517"/>
    <s v="Management Commercial PS EMEA"/>
    <m/>
    <x v="2"/>
    <x v="0"/>
    <x v="0"/>
    <x v="2"/>
    <m/>
    <m/>
    <s v="Phoebe Anne Fortaleza"/>
  </r>
  <r>
    <n v="979"/>
    <x v="0"/>
    <x v="17"/>
    <s v="L000013521"/>
    <s v="Strategic Program Managers"/>
    <m/>
    <x v="2"/>
    <x v="0"/>
    <x v="0"/>
    <x v="2"/>
    <m/>
    <m/>
    <s v="Phoebe Anne Fortaleza"/>
  </r>
  <r>
    <n v="980"/>
    <x v="0"/>
    <x v="17"/>
    <s v="L000013522"/>
    <s v="Global Biopharm Centre of Excellence"/>
    <m/>
    <x v="2"/>
    <x v="0"/>
    <x v="0"/>
    <x v="2"/>
    <m/>
    <m/>
    <s v="Phoebe Anne Fortaleza"/>
  </r>
  <r>
    <n v="981"/>
    <x v="0"/>
    <x v="17"/>
    <s v="L000013047"/>
    <s v="1050 - FR Mobius - Sterilization-G"/>
    <m/>
    <x v="2"/>
    <x v="0"/>
    <x v="0"/>
    <x v="2"/>
    <m/>
    <m/>
    <s v="Phoebe Anne Fortaleza"/>
  </r>
  <r>
    <n v="982"/>
    <x v="0"/>
    <x v="17"/>
    <s v="L000013048"/>
    <s v="1111 - FR Mobius - Bag making-G"/>
    <m/>
    <x v="2"/>
    <x v="0"/>
    <x v="0"/>
    <x v="2"/>
    <m/>
    <m/>
    <s v="Phoebe Anne Fortaleza"/>
  </r>
  <r>
    <n v="983"/>
    <x v="0"/>
    <x v="17"/>
    <s v="L000013049"/>
    <s v="2174 - FR Mobius - Quality-G"/>
    <m/>
    <x v="2"/>
    <x v="0"/>
    <x v="0"/>
    <x v="2"/>
    <m/>
    <m/>
    <s v="Phoebe Anne Fortaleza"/>
  </r>
  <r>
    <n v="984"/>
    <x v="0"/>
    <x v="17"/>
    <s v="L000013051"/>
    <s v="2072 - FR Mobius - Project expenses-G"/>
    <m/>
    <x v="2"/>
    <x v="0"/>
    <x v="0"/>
    <x v="2"/>
    <m/>
    <m/>
    <s v="Phoebe Anne Fortaleza"/>
  </r>
  <r>
    <n v="985"/>
    <x v="0"/>
    <x v="17"/>
    <s v="L000005666"/>
    <s v="BioM Strategy"/>
    <m/>
    <x v="2"/>
    <x v="0"/>
    <x v="0"/>
    <x v="2"/>
    <m/>
    <m/>
    <s v="Phoebe Anne Fortaleza"/>
  </r>
  <r>
    <n v="986"/>
    <x v="0"/>
    <x v="17"/>
    <s v="L000005737"/>
    <s v="Innovation &amp; PLCM"/>
    <m/>
    <x v="2"/>
    <x v="0"/>
    <x v="0"/>
    <x v="2"/>
    <m/>
    <m/>
    <s v="Phoebe Anne Fortaleza"/>
  </r>
  <r>
    <n v="987"/>
    <x v="0"/>
    <x v="17"/>
    <s v="L000005744"/>
    <s v="BM - RD - Applied Biology R&amp;D - Bellevue"/>
    <m/>
    <x v="2"/>
    <x v="0"/>
    <x v="0"/>
    <x v="2"/>
    <m/>
    <m/>
    <s v="Phoebe Anne Fortaleza"/>
  </r>
  <r>
    <n v="988"/>
    <x v="0"/>
    <x v="17"/>
    <s v="L000005764"/>
    <s v="BM - RD - Plastic &amp; Consumables R&amp;D"/>
    <m/>
    <x v="2"/>
    <x v="0"/>
    <x v="0"/>
    <x v="2"/>
    <m/>
    <m/>
    <s v="Phoebe Anne Fortaleza"/>
  </r>
  <r>
    <n v="989"/>
    <x v="0"/>
    <x v="17"/>
    <s v="L000005766"/>
    <s v="BM - RD - Validation &amp; Op Excellence R&amp;D"/>
    <m/>
    <x v="2"/>
    <x v="0"/>
    <x v="0"/>
    <x v="2"/>
    <m/>
    <m/>
    <s v="Phoebe Anne Fortaleza"/>
  </r>
  <r>
    <n v="990"/>
    <x v="0"/>
    <x v="17"/>
    <s v="L000008564"/>
    <s v="Tech Service, Field Marketing&amp;SFDC"/>
    <m/>
    <x v="2"/>
    <x v="0"/>
    <x v="0"/>
    <x v="2"/>
    <m/>
    <m/>
    <s v="Phoebe Anne Fortaleza"/>
  </r>
  <r>
    <n v="991"/>
    <x v="0"/>
    <x v="17"/>
    <s v="L000008649"/>
    <s v="Customer and Sales Excellence"/>
    <m/>
    <x v="2"/>
    <x v="0"/>
    <x v="0"/>
    <x v="2"/>
    <m/>
    <m/>
    <s v="Phoebe Anne Fortaleza"/>
  </r>
  <r>
    <n v="992"/>
    <x v="0"/>
    <x v="17"/>
    <s v="L000008956"/>
    <s v="SEEI"/>
    <m/>
    <x v="2"/>
    <x v="0"/>
    <x v="0"/>
    <x v="2"/>
    <m/>
    <m/>
    <s v="Phoebe Anne Fortaleza"/>
  </r>
  <r>
    <n v="993"/>
    <x v="0"/>
    <x v="17"/>
    <s v="L000008985"/>
    <s v="Customer &amp; Business Insights"/>
    <m/>
    <x v="2"/>
    <x v="0"/>
    <x v="0"/>
    <x v="2"/>
    <m/>
    <m/>
    <s v="Phoebe Anne Fortaleza"/>
  </r>
  <r>
    <n v="994"/>
    <x v="0"/>
    <x v="17"/>
    <s v="L000005936"/>
    <s v="DxRM - Attrition SG&amp;A"/>
    <s v="L000013608"/>
    <x v="4"/>
    <x v="0"/>
    <x v="0"/>
    <x v="2"/>
    <m/>
    <m/>
    <s v="Phoebe Anne Fortaleza"/>
  </r>
  <r>
    <n v="995"/>
    <x v="0"/>
    <x v="17"/>
    <s v="L000005938"/>
    <s v="DxRM - Attrition R&amp;D"/>
    <s v="L000013608"/>
    <x v="4"/>
    <x v="0"/>
    <x v="0"/>
    <x v="2"/>
    <m/>
    <m/>
    <s v="Phoebe Anne Fortaleza"/>
  </r>
  <r>
    <n v="996"/>
    <x v="0"/>
    <x v="17"/>
    <s v="L000005961"/>
    <s v="DxRM - Adjustment R&amp;D"/>
    <s v="L000013608"/>
    <x v="4"/>
    <x v="0"/>
    <x v="0"/>
    <x v="2"/>
    <m/>
    <m/>
    <s v="Phoebe Anne Fortaleza"/>
  </r>
  <r>
    <n v="997"/>
    <x v="0"/>
    <x v="17"/>
    <s v="L000005962"/>
    <s v="DxRM - Adjustment SG&amp;A"/>
    <s v="L000013608"/>
    <x v="4"/>
    <x v="0"/>
    <x v="0"/>
    <x v="2"/>
    <m/>
    <m/>
    <s v="Phoebe Anne Fortaleza"/>
  </r>
  <r>
    <n v="998"/>
    <x v="0"/>
    <x v="17"/>
    <s v="L000008558"/>
    <s v="Commercial Insights, Taiwan"/>
    <s v="L000008545"/>
    <x v="4"/>
    <x v="0"/>
    <x v="0"/>
    <x v="2"/>
    <m/>
    <m/>
    <s v="Phoebe Anne Fortaleza"/>
  </r>
  <r>
    <n v="999"/>
    <x v="0"/>
    <x v="17"/>
    <s v="L000006304"/>
    <s v="Sales PS VECO"/>
    <s v="L000012376"/>
    <x v="4"/>
    <x v="0"/>
    <x v="0"/>
    <x v="2"/>
    <m/>
    <m/>
    <s v="Phoebe Anne Fortaleza"/>
  </r>
  <r>
    <n v="1000"/>
    <x v="0"/>
    <x v="17"/>
    <s v="L000006877"/>
    <s v="TSS Mgmt PS EMEA"/>
    <s v="L000013629"/>
    <x v="4"/>
    <x v="0"/>
    <x v="0"/>
    <x v="2"/>
    <m/>
    <m/>
    <s v="Phoebe Anne Fortaleza"/>
  </r>
  <r>
    <n v="1001"/>
    <x v="0"/>
    <x v="17"/>
    <s v="L000012581"/>
    <s v="TSS Event PS EMEA"/>
    <s v="L000013629"/>
    <x v="4"/>
    <x v="0"/>
    <x v="0"/>
    <x v="2"/>
    <m/>
    <m/>
    <s v="Phoebe Anne Fortaleza"/>
  </r>
  <r>
    <n v="1002"/>
    <x v="0"/>
    <x v="17"/>
    <s v="L000011645"/>
    <s v="Emerging Biotech PS EMEA"/>
    <s v="L000012325"/>
    <x v="4"/>
    <x v="0"/>
    <x v="0"/>
    <x v="2"/>
    <m/>
    <m/>
    <s v="Phoebe Anne Fortaleza"/>
  </r>
  <r>
    <n v="1003"/>
    <x v="0"/>
    <x v="17"/>
    <s v="L000012387"/>
    <s v="CA Downstream Region 1 PS EMEA"/>
    <s v="L000013631"/>
    <x v="4"/>
    <x v="0"/>
    <x v="0"/>
    <x v="2"/>
    <m/>
    <m/>
    <s v="Phoebe Anne Fortaleza"/>
  </r>
  <r>
    <n v="1004"/>
    <x v="0"/>
    <x v="17"/>
    <s v="L000012388"/>
    <s v="CA Downstream Region 2 PS EMEA"/>
    <s v="L000013631"/>
    <x v="4"/>
    <x v="0"/>
    <x v="0"/>
    <x v="2"/>
    <m/>
    <m/>
    <s v="Phoebe Anne Fortaleza"/>
  </r>
  <r>
    <n v="1005"/>
    <x v="0"/>
    <x v="17"/>
    <s v="L000012390"/>
    <s v="CA Single Use PS EMEA"/>
    <s v="L000013633"/>
    <x v="4"/>
    <x v="0"/>
    <x v="0"/>
    <x v="2"/>
    <m/>
    <m/>
    <s v="Phoebe Anne Fortaleza"/>
  </r>
  <r>
    <n v="1006"/>
    <x v="0"/>
    <x v="17"/>
    <s v="L000012391"/>
    <s v="CA Inegrated Systems PS EMEA"/>
    <s v="L000013633"/>
    <x v="4"/>
    <x v="0"/>
    <x v="0"/>
    <x v="2"/>
    <m/>
    <m/>
    <s v="Phoebe Anne Fortaleza"/>
  </r>
  <r>
    <n v="1007"/>
    <x v="0"/>
    <x v="17"/>
    <s v="L000007741"/>
    <s v="Distributor and Global Export"/>
    <s v="L000008563"/>
    <x v="4"/>
    <x v="0"/>
    <x v="0"/>
    <x v="2"/>
    <m/>
    <m/>
    <s v="Phoebe Anne Fortaleza"/>
  </r>
  <r>
    <n v="1008"/>
    <x v="0"/>
    <x v="17"/>
    <s v="L000008784"/>
    <s v="Africa and ME"/>
    <s v="L000008895"/>
    <x v="4"/>
    <x v="0"/>
    <x v="0"/>
    <x v="2"/>
    <m/>
    <m/>
    <s v="Phoebe Anne Fortaleza"/>
  </r>
  <r>
    <n v="1009"/>
    <x v="0"/>
    <x v="17"/>
    <s v="L000008828"/>
    <s v="South &amp; Southern Africa"/>
    <s v="L000008895"/>
    <x v="4"/>
    <x v="0"/>
    <x v="0"/>
    <x v="2"/>
    <m/>
    <m/>
    <s v="Phoebe Anne Fortaleza"/>
  </r>
  <r>
    <n v="1010"/>
    <x v="0"/>
    <x v="18"/>
    <s v="P000001109"/>
    <s v="EL-DS BF LC/DPM"/>
    <s v="P000000001"/>
    <x v="0"/>
    <x v="0"/>
    <x v="0"/>
    <x v="3"/>
    <m/>
    <m/>
    <s v="Edward Arevalo"/>
  </r>
  <r>
    <n v="1011"/>
    <x v="0"/>
    <x v="18"/>
    <s v="P000001110"/>
    <s v="EL-DS BF LC/DPM Sales CN"/>
    <s v="P000001109"/>
    <x v="0"/>
    <x v="0"/>
    <x v="0"/>
    <x v="3"/>
    <m/>
    <m/>
    <s v="Edward Arevalo"/>
  </r>
  <r>
    <n v="1012"/>
    <x v="0"/>
    <x v="18"/>
    <s v="P000001111"/>
    <s v="EL-DS BF LC/DPM Sales TW &amp; JP"/>
    <s v="P000001109"/>
    <x v="0"/>
    <x v="0"/>
    <x v="0"/>
    <x v="3"/>
    <m/>
    <m/>
    <s v="Edward Arevalo"/>
  </r>
  <r>
    <n v="1013"/>
    <x v="0"/>
    <x v="18"/>
    <s v="P000001112"/>
    <s v="EL-DS BF LC/DPM Marketing"/>
    <s v="P000001109"/>
    <x v="0"/>
    <x v="0"/>
    <x v="0"/>
    <x v="3"/>
    <m/>
    <m/>
    <s v="Edward Arevalo"/>
  </r>
  <r>
    <n v="1014"/>
    <x v="0"/>
    <x v="18"/>
    <s v="P000001113"/>
    <s v="EL-DS BF LC/DPM Marketing Organization"/>
    <s v="P000001112"/>
    <x v="0"/>
    <x v="0"/>
    <x v="0"/>
    <x v="3"/>
    <m/>
    <m/>
    <s v="Edward Arevalo"/>
  </r>
  <r>
    <n v="1015"/>
    <x v="0"/>
    <x v="18"/>
    <s v="P000001114"/>
    <s v="EL-DS BF LC/DPM Sales Promotion"/>
    <s v="P000001112"/>
    <x v="0"/>
    <x v="0"/>
    <x v="0"/>
    <x v="3"/>
    <m/>
    <m/>
    <s v="Edward Arevalo"/>
  </r>
  <r>
    <n v="1016"/>
    <x v="0"/>
    <x v="18"/>
    <s v="P000001115"/>
    <s v="EL-DS BF LC/DPM Royalties/Commissions"/>
    <s v="P000001112"/>
    <x v="0"/>
    <x v="0"/>
    <x v="0"/>
    <x v="3"/>
    <m/>
    <m/>
    <s v="Edward Arevalo"/>
  </r>
  <r>
    <n v="1017"/>
    <x v="0"/>
    <x v="18"/>
    <s v="P000001116"/>
    <s v="EL-DS BF LC/DPM Other"/>
    <s v="P000001112"/>
    <x v="0"/>
    <x v="0"/>
    <x v="0"/>
    <x v="3"/>
    <m/>
    <m/>
    <s v="Edward Arevalo"/>
  </r>
  <r>
    <n v="1018"/>
    <x v="0"/>
    <x v="18"/>
    <s v="P000001117"/>
    <s v="EL-DS BF LC/DPM R&amp;D"/>
    <s v="P000001109"/>
    <x v="0"/>
    <x v="0"/>
    <x v="0"/>
    <x v="3"/>
    <m/>
    <m/>
    <s v="Edward Arevalo"/>
  </r>
  <r>
    <n v="1019"/>
    <x v="0"/>
    <x v="18"/>
    <s v="P000001118"/>
    <s v="EL-DS BF OLED"/>
    <s v="P000000001"/>
    <x v="0"/>
    <x v="0"/>
    <x v="0"/>
    <x v="3"/>
    <m/>
    <m/>
    <s v="Edward Arevalo"/>
  </r>
  <r>
    <n v="1020"/>
    <x v="0"/>
    <x v="18"/>
    <s v="P000001119"/>
    <s v="EL-DS BF OLED Sales CN"/>
    <s v="P000001118"/>
    <x v="0"/>
    <x v="0"/>
    <x v="0"/>
    <x v="3"/>
    <m/>
    <m/>
    <s v="Edward Arevalo"/>
  </r>
  <r>
    <n v="1021"/>
    <x v="0"/>
    <x v="18"/>
    <s v="P000001120"/>
    <s v="EL-DS BF OLED Sales KR"/>
    <s v="P000001118"/>
    <x v="0"/>
    <x v="0"/>
    <x v="0"/>
    <x v="3"/>
    <m/>
    <m/>
    <s v="Edward Arevalo"/>
  </r>
  <r>
    <n v="1022"/>
    <x v="0"/>
    <x v="18"/>
    <s v="P000001121"/>
    <s v="EL-DS BF OLED Marketing"/>
    <s v="P000001118"/>
    <x v="0"/>
    <x v="0"/>
    <x v="0"/>
    <x v="3"/>
    <m/>
    <m/>
    <s v="Edward Arevalo"/>
  </r>
  <r>
    <n v="1023"/>
    <x v="0"/>
    <x v="18"/>
    <s v="P000001122"/>
    <s v="EL-DS BF OLED Marketing Organization"/>
    <s v="P000001121"/>
    <x v="0"/>
    <x v="0"/>
    <x v="0"/>
    <x v="3"/>
    <m/>
    <m/>
    <s v="Edward Arevalo"/>
  </r>
  <r>
    <n v="1024"/>
    <x v="0"/>
    <x v="18"/>
    <s v="P000001123"/>
    <s v="EL-DS BF OLED Sales Promotion"/>
    <s v="P000001121"/>
    <x v="0"/>
    <x v="0"/>
    <x v="0"/>
    <x v="3"/>
    <m/>
    <m/>
    <s v="Edward Arevalo"/>
  </r>
  <r>
    <n v="1025"/>
    <x v="0"/>
    <x v="18"/>
    <s v="P000001124"/>
    <s v="EL-DS BF OLED Royalties/Commissions"/>
    <s v="P000001121"/>
    <x v="0"/>
    <x v="0"/>
    <x v="0"/>
    <x v="3"/>
    <m/>
    <m/>
    <s v="Edward Arevalo"/>
  </r>
  <r>
    <n v="1026"/>
    <x v="0"/>
    <x v="18"/>
    <s v="P000001125"/>
    <s v="EL-DS BF OLED Other"/>
    <s v="P000001121"/>
    <x v="0"/>
    <x v="0"/>
    <x v="0"/>
    <x v="3"/>
    <m/>
    <m/>
    <s v="Edward Arevalo"/>
  </r>
  <r>
    <n v="1027"/>
    <x v="0"/>
    <x v="18"/>
    <s v="P000001126"/>
    <s v="EL-DS BF OLED R&amp;D"/>
    <s v="P000001118"/>
    <x v="0"/>
    <x v="0"/>
    <x v="0"/>
    <x v="3"/>
    <m/>
    <m/>
    <s v="Edward Arevalo"/>
  </r>
  <r>
    <n v="1028"/>
    <x v="0"/>
    <x v="18"/>
    <s v="P000001127"/>
    <s v="EL-DS BS&amp;S"/>
    <s v="P000000001"/>
    <x v="0"/>
    <x v="0"/>
    <x v="0"/>
    <x v="3"/>
    <m/>
    <m/>
    <s v="Edward Arevalo"/>
  </r>
  <r>
    <n v="1029"/>
    <x v="0"/>
    <x v="18"/>
    <s v="P000001128"/>
    <s v="EL-DS BF Future Display"/>
    <s v="P000001127"/>
    <x v="0"/>
    <x v="0"/>
    <x v="0"/>
    <x v="3"/>
    <m/>
    <m/>
    <s v="Edward Arevalo"/>
  </r>
  <r>
    <n v="1030"/>
    <x v="0"/>
    <x v="18"/>
    <s v="P000001129"/>
    <s v="EL-DS BF FD Business Development Organization"/>
    <s v="P000001128"/>
    <x v="0"/>
    <x v="0"/>
    <x v="0"/>
    <x v="3"/>
    <m/>
    <m/>
    <s v="Edward Arevalo"/>
  </r>
  <r>
    <n v="1031"/>
    <x v="0"/>
    <x v="18"/>
    <s v="P000001130"/>
    <s v="EL-DS BF FD R&amp;D"/>
    <s v="P000001128"/>
    <x v="0"/>
    <x v="0"/>
    <x v="0"/>
    <x v="3"/>
    <m/>
    <m/>
    <s v="Edward Arevalo"/>
  </r>
  <r>
    <n v="1032"/>
    <x v="0"/>
    <x v="18"/>
    <s v="P000001131"/>
    <s v="EL-DS BF FD Sales Promotion"/>
    <s v="P000001128"/>
    <x v="0"/>
    <x v="0"/>
    <x v="0"/>
    <x v="3"/>
    <m/>
    <m/>
    <s v="Edward Arevalo"/>
  </r>
  <r>
    <n v="1033"/>
    <x v="0"/>
    <x v="18"/>
    <s v="P000001132"/>
    <s v="EL-DS BF FD Royalties/Commissions"/>
    <s v="P000001128"/>
    <x v="0"/>
    <x v="0"/>
    <x v="0"/>
    <x v="3"/>
    <m/>
    <m/>
    <s v="Edward Arevalo"/>
  </r>
  <r>
    <n v="1034"/>
    <x v="0"/>
    <x v="18"/>
    <s v="P000001133"/>
    <s v="EL-DS BF FD Other"/>
    <s v="P000001128"/>
    <x v="0"/>
    <x v="0"/>
    <x v="0"/>
    <x v="3"/>
    <m/>
    <m/>
    <s v="Edward Arevalo"/>
  </r>
  <r>
    <n v="1035"/>
    <x v="0"/>
    <x v="18"/>
    <s v="P000001134"/>
    <s v="EL-DS BS&amp;S Organization"/>
    <s v="P000001127"/>
    <x v="0"/>
    <x v="0"/>
    <x v="0"/>
    <x v="3"/>
    <m/>
    <m/>
    <s v="Edward Arevalo"/>
  </r>
  <r>
    <n v="1036"/>
    <x v="0"/>
    <x v="18"/>
    <s v="P000001135"/>
    <s v="EL-DS BS&amp;S Novel Tools"/>
    <s v="P000001127"/>
    <x v="0"/>
    <x v="0"/>
    <x v="0"/>
    <x v="3"/>
    <m/>
    <m/>
    <s v="Edward Arevalo"/>
  </r>
  <r>
    <n v="1037"/>
    <x v="0"/>
    <x v="18"/>
    <s v="P000001136"/>
    <s v="EL-DS BS&amp;S MarCom"/>
    <s v="P000001127"/>
    <x v="0"/>
    <x v="0"/>
    <x v="0"/>
    <x v="3"/>
    <m/>
    <m/>
    <s v="Edward Arevalo"/>
  </r>
  <r>
    <n v="1038"/>
    <x v="0"/>
    <x v="18"/>
    <s v="P000001137"/>
    <s v="EL-DS BS&amp;S Other"/>
    <s v="P000001127"/>
    <x v="0"/>
    <x v="0"/>
    <x v="0"/>
    <x v="3"/>
    <m/>
    <m/>
    <s v="Edward Arevalo"/>
  </r>
  <r>
    <n v="1039"/>
    <x v="0"/>
    <x v="18"/>
    <s v="P000001138"/>
    <s v="EL-SC-H EHS Electronics "/>
    <s v="P000000466"/>
    <x v="0"/>
    <x v="0"/>
    <x v="0"/>
    <x v="3"/>
    <m/>
    <m/>
    <s v="Edward Arevalo"/>
  </r>
  <r>
    <n v="1040"/>
    <x v="0"/>
    <x v="18"/>
    <s v="P000001139"/>
    <s v="EL-SC-S Sustainability Program"/>
    <s v="P000000466"/>
    <x v="0"/>
    <x v="0"/>
    <x v="0"/>
    <x v="3"/>
    <m/>
    <m/>
    <s v="Edward Arevalo"/>
  </r>
  <r>
    <n v="1041"/>
    <x v="0"/>
    <x v="18"/>
    <s v="P000001140"/>
    <s v="EL-PS-SG Supply Chain Process &amp; ERP"/>
    <s v="P000000509"/>
    <x v="0"/>
    <x v="0"/>
    <x v="0"/>
    <x v="3"/>
    <m/>
    <m/>
    <s v="Edward Arevalo"/>
  </r>
  <r>
    <n v="1042"/>
    <x v="0"/>
    <x v="18"/>
    <s v="P000001141"/>
    <s v="EL-TF-ME Container Management "/>
    <s v="P000000833"/>
    <x v="0"/>
    <x v="0"/>
    <x v="0"/>
    <x v="3"/>
    <m/>
    <m/>
    <s v="Edward Arevalo"/>
  </r>
  <r>
    <n v="1043"/>
    <x v="0"/>
    <x v="18"/>
    <s v="P000001142"/>
    <s v="EL-TF-MM Business Marketing Metallics"/>
    <s v="P000000833"/>
    <x v="0"/>
    <x v="0"/>
    <x v="0"/>
    <x v="3"/>
    <m/>
    <m/>
    <s v="Edward Arevalo"/>
  </r>
  <r>
    <n v="1044"/>
    <x v="0"/>
    <x v="18"/>
    <s v="P000000430"/>
    <s v="EL-DS-CL China LC&amp;PR sales"/>
    <m/>
    <x v="2"/>
    <x v="0"/>
    <x v="0"/>
    <x v="3"/>
    <m/>
    <m/>
    <s v="Edward Arevalo"/>
  </r>
  <r>
    <n v="1045"/>
    <x v="0"/>
    <x v="18"/>
    <s v="P000000056"/>
    <s v="EL-DS-SD, Darmstadt, Germany"/>
    <m/>
    <x v="2"/>
    <x v="0"/>
    <x v="0"/>
    <x v="3"/>
    <m/>
    <m/>
    <s v="Edward Arevalo"/>
  </r>
  <r>
    <n v="1046"/>
    <x v="0"/>
    <x v="18"/>
    <s v="P000000087"/>
    <s v="EL-DS-SA, Atsugi, Japan"/>
    <m/>
    <x v="2"/>
    <x v="0"/>
    <x v="0"/>
    <x v="3"/>
    <m/>
    <m/>
    <s v="Edward Arevalo"/>
  </r>
  <r>
    <n v="1047"/>
    <x v="0"/>
    <x v="18"/>
    <s v="P000000097"/>
    <s v="EL-DS-SZ, Suzhou, China"/>
    <m/>
    <x v="2"/>
    <x v="0"/>
    <x v="0"/>
    <x v="3"/>
    <m/>
    <m/>
    <s v="Edward Arevalo"/>
  </r>
  <r>
    <n v="1048"/>
    <x v="0"/>
    <x v="18"/>
    <s v="P000000107"/>
    <s v="EL-DS-ST, Taoyuan, Taiwan"/>
    <m/>
    <x v="2"/>
    <x v="0"/>
    <x v="0"/>
    <x v="3"/>
    <m/>
    <m/>
    <s v="Edward Arevalo"/>
  </r>
  <r>
    <n v="1049"/>
    <x v="0"/>
    <x v="18"/>
    <s v="P000000117"/>
    <s v="EL-DS-SH, Hsinchu, Taiwan"/>
    <m/>
    <x v="2"/>
    <x v="0"/>
    <x v="0"/>
    <x v="3"/>
    <m/>
    <m/>
    <s v="Edward Arevalo"/>
  </r>
  <r>
    <n v="1050"/>
    <x v="0"/>
    <x v="18"/>
    <s v="P000000127"/>
    <s v="EL-DS-SP, Poseung, S. Korea"/>
    <m/>
    <x v="2"/>
    <x v="0"/>
    <x v="0"/>
    <x v="3"/>
    <m/>
    <m/>
    <s v="Edward Arevalo"/>
  </r>
  <r>
    <n v="1051"/>
    <x v="0"/>
    <x v="18"/>
    <s v="P000000137"/>
    <s v="EL-DS-SS, Shanghai, China"/>
    <m/>
    <x v="2"/>
    <x v="0"/>
    <x v="0"/>
    <x v="3"/>
    <m/>
    <m/>
    <s v="Edward Arevalo"/>
  </r>
  <r>
    <n v="1052"/>
    <x v="0"/>
    <x v="18"/>
    <s v="P000000149"/>
    <s v="EL-PS-OK, Khopoli, India"/>
    <m/>
    <x v="2"/>
    <x v="0"/>
    <x v="0"/>
    <x v="3"/>
    <m/>
    <m/>
    <s v="Edward Arevalo"/>
  </r>
  <r>
    <n v="1053"/>
    <x v="0"/>
    <x v="18"/>
    <s v="P000000159"/>
    <s v="EL-PS-OS, Savannah, USA"/>
    <m/>
    <x v="2"/>
    <x v="0"/>
    <x v="0"/>
    <x v="3"/>
    <m/>
    <m/>
    <s v="Edward Arevalo"/>
  </r>
  <r>
    <n v="1054"/>
    <x v="0"/>
    <x v="18"/>
    <s v="P000000169"/>
    <s v="EL-PS-OI, Onahama, Japan"/>
    <m/>
    <x v="2"/>
    <x v="0"/>
    <x v="0"/>
    <x v="3"/>
    <m/>
    <m/>
    <s v="Edward Arevalo"/>
  </r>
  <r>
    <n v="1055"/>
    <x v="0"/>
    <x v="18"/>
    <s v="P000000179"/>
    <s v="EL-PS-OU, Urbana, USA"/>
    <m/>
    <x v="2"/>
    <x v="0"/>
    <x v="0"/>
    <x v="3"/>
    <m/>
    <m/>
    <s v="Edward Arevalo"/>
  </r>
  <r>
    <n v="1056"/>
    <x v="0"/>
    <x v="18"/>
    <s v="P000000189"/>
    <s v="EL-PS-OG, Gernsheim, Germany"/>
    <m/>
    <x v="2"/>
    <x v="0"/>
    <x v="0"/>
    <x v="3"/>
    <m/>
    <m/>
    <s v="Edward Arevalo"/>
  </r>
  <r>
    <n v="1057"/>
    <x v="0"/>
    <x v="18"/>
    <s v="P000000800"/>
    <s v="EL-TF-Q Thin Film Global Quality"/>
    <m/>
    <x v="2"/>
    <x v="0"/>
    <x v="0"/>
    <x v="3"/>
    <m/>
    <m/>
    <s v="Edward Arevalo"/>
  </r>
  <r>
    <n v="1058"/>
    <x v="0"/>
    <x v="18"/>
    <s v="P000000801"/>
    <s v="EL-TF-D Thin Film ISC"/>
    <m/>
    <x v="2"/>
    <x v="0"/>
    <x v="0"/>
    <x v="3"/>
    <m/>
    <m/>
    <s v="Edward Arevalo"/>
  </r>
  <r>
    <n v="1059"/>
    <x v="0"/>
    <x v="18"/>
    <s v="P000000802"/>
    <s v="EL-TF-DX TF Tech Ops"/>
    <m/>
    <x v="2"/>
    <x v="0"/>
    <x v="0"/>
    <x v="3"/>
    <m/>
    <m/>
    <s v="Edward Arevalo"/>
  </r>
  <r>
    <n v="1060"/>
    <x v="0"/>
    <x v="18"/>
    <s v="P000000803"/>
    <s v="EL-TF-DY TF Supply Chain Planning"/>
    <m/>
    <x v="2"/>
    <x v="0"/>
    <x v="0"/>
    <x v="3"/>
    <m/>
    <m/>
    <s v="Edward Arevalo"/>
  </r>
  <r>
    <n v="1061"/>
    <x v="0"/>
    <x v="18"/>
    <s v="P000000829"/>
    <s v="EL-TF-S TF Global Sales"/>
    <m/>
    <x v="2"/>
    <x v="0"/>
    <x v="0"/>
    <x v="3"/>
    <m/>
    <m/>
    <s v="Edward Arevalo"/>
  </r>
  <r>
    <n v="1062"/>
    <x v="0"/>
    <x v="18"/>
    <s v="P000000837"/>
    <s v="EL-FO-PQ Patterning Global Quality"/>
    <m/>
    <x v="2"/>
    <x v="0"/>
    <x v="0"/>
    <x v="3"/>
    <m/>
    <m/>
    <s v="Edward Arevalo"/>
  </r>
  <r>
    <n v="1063"/>
    <x v="0"/>
    <x v="18"/>
    <s v="P000000838"/>
    <s v="EL-FO-PD Patterning ISC"/>
    <m/>
    <x v="2"/>
    <x v="0"/>
    <x v="0"/>
    <x v="3"/>
    <m/>
    <m/>
    <s v="Edward Arevalo"/>
  </r>
  <r>
    <n v="1064"/>
    <x v="0"/>
    <x v="18"/>
    <s v="P000000839"/>
    <s v="EL-FO-PDX PAT Tech Ops"/>
    <m/>
    <x v="2"/>
    <x v="0"/>
    <x v="0"/>
    <x v="3"/>
    <m/>
    <m/>
    <s v="Edward Arevalo"/>
  </r>
  <r>
    <n v="1065"/>
    <x v="0"/>
    <x v="18"/>
    <s v="P000000840"/>
    <s v="EL-FO-PDY PAT Supply Chain Planning"/>
    <m/>
    <x v="2"/>
    <x v="0"/>
    <x v="0"/>
    <x v="3"/>
    <m/>
    <m/>
    <s v="Edward Arevalo"/>
  </r>
  <r>
    <n v="1066"/>
    <x v="0"/>
    <x v="18"/>
    <s v="P000000259"/>
    <s v="EL-FO-PDM, Martin, USA"/>
    <m/>
    <x v="2"/>
    <x v="0"/>
    <x v="0"/>
    <x v="3"/>
    <m/>
    <m/>
    <s v="Edward Arevalo"/>
  </r>
  <r>
    <n v="1067"/>
    <x v="0"/>
    <x v="18"/>
    <s v="P000000541"/>
    <s v="EL-FO-PT Packaging Technologies"/>
    <m/>
    <x v="2"/>
    <x v="0"/>
    <x v="0"/>
    <x v="3"/>
    <m/>
    <m/>
    <s v="Edward Arevalo"/>
  </r>
  <r>
    <n v="1068"/>
    <x v="0"/>
    <x v="18"/>
    <s v="P000000850"/>
    <s v="EL-FO-PS PAT Global Sales"/>
    <m/>
    <x v="2"/>
    <x v="0"/>
    <x v="0"/>
    <x v="3"/>
    <m/>
    <m/>
    <s v="Edward Arevalo"/>
  </r>
  <r>
    <n v="1069"/>
    <x v="0"/>
    <x v="18"/>
    <s v="P000000852"/>
    <s v="EL-FO-PP PAT Global Product Mgmt"/>
    <m/>
    <x v="2"/>
    <x v="0"/>
    <x v="0"/>
    <x v="3"/>
    <m/>
    <m/>
    <s v="Edward Arevalo"/>
  </r>
  <r>
    <n v="1070"/>
    <x v="0"/>
    <x v="18"/>
    <s v="P000000853"/>
    <s v="EL-FO-P1 PAT Speciality Accounts"/>
    <m/>
    <x v="2"/>
    <x v="0"/>
    <x v="0"/>
    <x v="3"/>
    <m/>
    <m/>
    <s v="Edward Arevalo"/>
  </r>
  <r>
    <n v="1071"/>
    <x v="0"/>
    <x v="18"/>
    <s v="P000000854"/>
    <s v="EL-FO-PM Lithography &amp; Silica Marketing"/>
    <m/>
    <x v="2"/>
    <x v="0"/>
    <x v="0"/>
    <x v="3"/>
    <m/>
    <m/>
    <s v="Edward Arevalo"/>
  </r>
  <r>
    <n v="1072"/>
    <x v="0"/>
    <x v="18"/>
    <s v="P000000855"/>
    <s v="EL-FO-PB SP&amp;C Marketing"/>
    <m/>
    <x v="2"/>
    <x v="0"/>
    <x v="0"/>
    <x v="3"/>
    <m/>
    <m/>
    <s v="Edward Arevalo"/>
  </r>
  <r>
    <n v="1073"/>
    <x v="0"/>
    <x v="18"/>
    <s v="P000000856"/>
    <s v="EL-FO-PA PAT Customer Applications"/>
    <m/>
    <x v="2"/>
    <x v="0"/>
    <x v="0"/>
    <x v="3"/>
    <m/>
    <m/>
    <s v="Edward Arevalo"/>
  </r>
  <r>
    <n v="1074"/>
    <x v="0"/>
    <x v="18"/>
    <s v="P000000857"/>
    <s v="EL-FO-PAC Customer Applications"/>
    <m/>
    <x v="2"/>
    <x v="0"/>
    <x v="0"/>
    <x v="3"/>
    <m/>
    <m/>
    <s v="Edward Arevalo"/>
  </r>
  <r>
    <n v="1075"/>
    <x v="0"/>
    <x v="18"/>
    <s v="P000000858"/>
    <s v="EL-FO-PAT Global T&amp;S"/>
    <m/>
    <x v="2"/>
    <x v="0"/>
    <x v="0"/>
    <x v="3"/>
    <m/>
    <m/>
    <s v="Edward Arevalo"/>
  </r>
  <r>
    <n v="1076"/>
    <x v="0"/>
    <x v="18"/>
    <s v="P000000859"/>
    <s v="EL-FO-PATE Tech Service EU"/>
    <m/>
    <x v="2"/>
    <x v="0"/>
    <x v="0"/>
    <x v="3"/>
    <m/>
    <m/>
    <s v="Edward Arevalo"/>
  </r>
  <r>
    <n v="1077"/>
    <x v="0"/>
    <x v="18"/>
    <s v="P000000860"/>
    <s v="EL-FO-PATJ Tech Service Japan/Korea"/>
    <m/>
    <x v="2"/>
    <x v="0"/>
    <x v="0"/>
    <x v="3"/>
    <m/>
    <m/>
    <s v="Edward Arevalo"/>
  </r>
  <r>
    <n v="1078"/>
    <x v="0"/>
    <x v="18"/>
    <s v="P000000861"/>
    <s v="EL-FO-PATJA Advanced Technical Service"/>
    <m/>
    <x v="2"/>
    <x v="0"/>
    <x v="0"/>
    <x v="3"/>
    <m/>
    <m/>
    <s v="Edward Arevalo"/>
  </r>
  <r>
    <n v="1079"/>
    <x v="0"/>
    <x v="18"/>
    <s v="P000000862"/>
    <s v="EL-FO-PATJT Technical Service"/>
    <m/>
    <x v="2"/>
    <x v="0"/>
    <x v="0"/>
    <x v="3"/>
    <m/>
    <m/>
    <s v="Edward Arevalo"/>
  </r>
  <r>
    <n v="1080"/>
    <x v="0"/>
    <x v="18"/>
    <s v="P000000863"/>
    <s v="EL-FO-PATT Tech Service Taiwan/SEA"/>
    <m/>
    <x v="2"/>
    <x v="0"/>
    <x v="0"/>
    <x v="3"/>
    <m/>
    <m/>
    <s v="Edward Arevalo"/>
  </r>
  <r>
    <n v="1081"/>
    <x v="0"/>
    <x v="18"/>
    <s v="P000000864"/>
    <s v="EL-FO-PATU Tech Service U.S."/>
    <m/>
    <x v="2"/>
    <x v="0"/>
    <x v="0"/>
    <x v="3"/>
    <m/>
    <m/>
    <s v="Edward Arevalo"/>
  </r>
  <r>
    <n v="1082"/>
    <x v="0"/>
    <x v="18"/>
    <s v="P000000545"/>
    <s v="EL-FO-PR Patterning R&amp;D"/>
    <m/>
    <x v="2"/>
    <x v="0"/>
    <x v="0"/>
    <x v="3"/>
    <m/>
    <m/>
    <s v="Edward Arevalo"/>
  </r>
  <r>
    <n v="1083"/>
    <x v="0"/>
    <x v="18"/>
    <s v="P000000643"/>
    <s v="EL-FO-A Planarization"/>
    <m/>
    <x v="2"/>
    <x v="0"/>
    <x v="0"/>
    <x v="3"/>
    <m/>
    <m/>
    <s v="Edward Arevalo"/>
  </r>
  <r>
    <n v="1084"/>
    <x v="0"/>
    <x v="18"/>
    <s v="P000000865"/>
    <s v="EL-FO-AQ Planarization Global Quality"/>
    <m/>
    <x v="2"/>
    <x v="0"/>
    <x v="0"/>
    <x v="3"/>
    <m/>
    <m/>
    <s v="Edward Arevalo"/>
  </r>
  <r>
    <n v="1085"/>
    <x v="0"/>
    <x v="18"/>
    <s v="P000000866"/>
    <s v="EL-FO-AD Planarization ISC"/>
    <m/>
    <x v="2"/>
    <x v="0"/>
    <x v="0"/>
    <x v="3"/>
    <m/>
    <m/>
    <s v="Edward Arevalo"/>
  </r>
  <r>
    <n v="1086"/>
    <x v="0"/>
    <x v="18"/>
    <s v="P000000868"/>
    <s v="EL-FO-ADY PLA Supply Chain Planning"/>
    <m/>
    <x v="2"/>
    <x v="0"/>
    <x v="0"/>
    <x v="3"/>
    <m/>
    <m/>
    <s v="Edward Arevalo"/>
  </r>
  <r>
    <n v="1087"/>
    <x v="0"/>
    <x v="18"/>
    <s v="P000000901"/>
    <s v="EL-FO-AS PLA Global Sales"/>
    <m/>
    <x v="2"/>
    <x v="0"/>
    <x v="0"/>
    <x v="3"/>
    <m/>
    <m/>
    <s v="Edward Arevalo"/>
  </r>
  <r>
    <n v="1088"/>
    <x v="0"/>
    <x v="18"/>
    <s v="P000000902"/>
    <s v="EL-FO-AM PLA Global Business Marketing"/>
    <m/>
    <x v="2"/>
    <x v="0"/>
    <x v="0"/>
    <x v="3"/>
    <m/>
    <m/>
    <s v="Edward Arevalo"/>
  </r>
  <r>
    <n v="1089"/>
    <x v="0"/>
    <x v="18"/>
    <s v="P000000903"/>
    <s v="EL-FO-AA PLA Customer Applications"/>
    <m/>
    <x v="2"/>
    <x v="0"/>
    <x v="0"/>
    <x v="3"/>
    <m/>
    <m/>
    <s v="Edward Arevalo"/>
  </r>
  <r>
    <n v="1090"/>
    <x v="0"/>
    <x v="18"/>
    <s v="P000000870"/>
    <s v="EL-FO-AO PLA OAT Oper. &amp; Analyt. Techn."/>
    <m/>
    <x v="2"/>
    <x v="0"/>
    <x v="0"/>
    <x v="3"/>
    <m/>
    <m/>
    <s v="Edward Arevalo"/>
  </r>
  <r>
    <n v="1091"/>
    <x v="0"/>
    <x v="18"/>
    <s v="P000000904"/>
    <s v="EL-SG-Q Spec Gases Global Quality"/>
    <m/>
    <x v="2"/>
    <x v="0"/>
    <x v="0"/>
    <x v="3"/>
    <m/>
    <m/>
    <s v="Edward Arevalo"/>
  </r>
  <r>
    <n v="1092"/>
    <x v="0"/>
    <x v="18"/>
    <s v="P000000905"/>
    <s v="EL-SG-D Spec Gases ISC"/>
    <m/>
    <x v="2"/>
    <x v="0"/>
    <x v="0"/>
    <x v="3"/>
    <m/>
    <m/>
    <s v="Edward Arevalo"/>
  </r>
  <r>
    <n v="1093"/>
    <x v="0"/>
    <x v="18"/>
    <s v="P000000906"/>
    <s v="EL-SG-DX SG Tech Ops"/>
    <m/>
    <x v="2"/>
    <x v="0"/>
    <x v="0"/>
    <x v="3"/>
    <m/>
    <m/>
    <s v="Edward Arevalo"/>
  </r>
  <r>
    <n v="1094"/>
    <x v="0"/>
    <x v="18"/>
    <s v="P000000907"/>
    <s v="EL-SG-DY SG Supply Chain Planning"/>
    <m/>
    <x v="2"/>
    <x v="0"/>
    <x v="0"/>
    <x v="3"/>
    <m/>
    <m/>
    <s v="Edward Arevalo"/>
  </r>
  <r>
    <n v="1095"/>
    <x v="0"/>
    <x v="18"/>
    <s v="P000000514"/>
    <s v="EL-SG-DAF, Ulsan, S. Korea"/>
    <m/>
    <x v="2"/>
    <x v="0"/>
    <x v="0"/>
    <x v="3"/>
    <m/>
    <m/>
    <s v="Edward Arevalo"/>
  </r>
  <r>
    <n v="1096"/>
    <x v="0"/>
    <x v="18"/>
    <s v="P000000518"/>
    <s v="EL-SG-DC, Catoosa, USA"/>
    <m/>
    <x v="2"/>
    <x v="0"/>
    <x v="0"/>
    <x v="3"/>
    <m/>
    <m/>
    <s v="Edward Arevalo"/>
  </r>
  <r>
    <n v="1097"/>
    <x v="0"/>
    <x v="18"/>
    <s v="P000000954"/>
    <s v="EL-SG-A SG Global Sales"/>
    <m/>
    <x v="2"/>
    <x v="0"/>
    <x v="0"/>
    <x v="3"/>
    <m/>
    <m/>
    <s v="Edward Arevalo"/>
  </r>
  <r>
    <n v="1098"/>
    <x v="0"/>
    <x v="18"/>
    <s v="P000000955"/>
    <s v="EL-SG-P SG Global Product Mgmt"/>
    <m/>
    <x v="2"/>
    <x v="0"/>
    <x v="0"/>
    <x v="3"/>
    <m/>
    <m/>
    <s v="Edward Arevalo"/>
  </r>
  <r>
    <n v="1099"/>
    <x v="0"/>
    <x v="18"/>
    <s v="P000000956"/>
    <s v="EL-SG-M SG Global Marketing"/>
    <m/>
    <x v="2"/>
    <x v="0"/>
    <x v="0"/>
    <x v="3"/>
    <m/>
    <m/>
    <s v="Edward Arevalo"/>
  </r>
  <r>
    <n v="1100"/>
    <x v="0"/>
    <x v="18"/>
    <s v="P000000547"/>
    <s v="EL-SG-R Specialty Gases R&amp;D"/>
    <m/>
    <x v="2"/>
    <x v="0"/>
    <x v="0"/>
    <x v="3"/>
    <m/>
    <m/>
    <s v="Edward Arevalo"/>
  </r>
  <r>
    <n v="1101"/>
    <x v="0"/>
    <x v="18"/>
    <s v="P000000957"/>
    <s v="EL-FO-C Safety Korea"/>
    <m/>
    <x v="2"/>
    <x v="0"/>
    <x v="0"/>
    <x v="3"/>
    <m/>
    <m/>
    <s v="Edward Arevalo"/>
  </r>
  <r>
    <n v="1102"/>
    <x v="0"/>
    <x v="18"/>
    <s v="P000000958"/>
    <s v="EL-FO-J General Management Japan"/>
    <m/>
    <x v="2"/>
    <x v="0"/>
    <x v="0"/>
    <x v="3"/>
    <m/>
    <m/>
    <s v="Edward Arevalo"/>
  </r>
  <r>
    <n v="1103"/>
    <x v="0"/>
    <x v="18"/>
    <s v="P000000959"/>
    <s v="EL-CC-E Commercial Excellence"/>
    <m/>
    <x v="2"/>
    <x v="0"/>
    <x v="0"/>
    <x v="3"/>
    <m/>
    <m/>
    <s v="Edward Arevalo"/>
  </r>
  <r>
    <n v="1104"/>
    <x v="0"/>
    <x v="18"/>
    <s v="P000000707"/>
    <s v="EL-ND-NS EL-ND-N Sales"/>
    <m/>
    <x v="2"/>
    <x v="0"/>
    <x v="0"/>
    <x v="3"/>
    <m/>
    <m/>
    <s v="Edward Arevalo"/>
  </r>
  <r>
    <n v="1105"/>
    <x v="0"/>
    <x v="18"/>
    <s v="P000000967"/>
    <s v="EL-ND-NE, Allentown, USA"/>
    <m/>
    <x v="2"/>
    <x v="0"/>
    <x v="0"/>
    <x v="3"/>
    <m/>
    <m/>
    <s v="Edward Arevalo"/>
  </r>
  <r>
    <n v="1106"/>
    <x v="0"/>
    <x v="18"/>
    <s v="P000000972"/>
    <s v="EL-ND-NC, Chandler, USA"/>
    <m/>
    <x v="2"/>
    <x v="0"/>
    <x v="0"/>
    <x v="3"/>
    <m/>
    <m/>
    <s v="Edward Arevalo"/>
  </r>
  <r>
    <n v="1107"/>
    <x v="0"/>
    <x v="18"/>
    <s v="P000000979"/>
    <s v="EL-ND-NT Turnkey / Large Projects"/>
    <m/>
    <x v="2"/>
    <x v="0"/>
    <x v="0"/>
    <x v="3"/>
    <m/>
    <m/>
    <s v="Edward Arevalo"/>
  </r>
  <r>
    <n v="1108"/>
    <x v="0"/>
    <x v="18"/>
    <s v="P000000721"/>
    <s v="EL-ND-AA Sales"/>
    <m/>
    <x v="2"/>
    <x v="0"/>
    <x v="0"/>
    <x v="3"/>
    <m/>
    <m/>
    <s v="Edward Arevalo"/>
  </r>
  <r>
    <n v="1109"/>
    <x v="0"/>
    <x v="18"/>
    <s v="P000000732"/>
    <s v="EL-ND-KF Services - Field Service"/>
    <m/>
    <x v="2"/>
    <x v="0"/>
    <x v="0"/>
    <x v="3"/>
    <m/>
    <m/>
    <s v="Edward Arevalo"/>
  </r>
  <r>
    <n v="1110"/>
    <x v="0"/>
    <x v="18"/>
    <s v="P000000994"/>
    <s v="EL-ND-KB, Ansan, S. Korea"/>
    <m/>
    <x v="2"/>
    <x v="0"/>
    <x v="0"/>
    <x v="3"/>
    <m/>
    <m/>
    <s v="Edward Arevalo"/>
  </r>
  <r>
    <n v="1111"/>
    <x v="0"/>
    <x v="18"/>
    <s v="P000001104"/>
    <s v="EL-ND-B DS&amp;S Global"/>
    <m/>
    <x v="2"/>
    <x v="0"/>
    <x v="0"/>
    <x v="3"/>
    <m/>
    <m/>
    <s v="Edward Arevalo"/>
  </r>
  <r>
    <n v="1112"/>
    <x v="0"/>
    <x v="18"/>
    <s v="P000000584"/>
    <s v="EL-CC-D Digital Solutions"/>
    <m/>
    <x v="2"/>
    <x v="0"/>
    <x v="0"/>
    <x v="3"/>
    <m/>
    <m/>
    <s v="Edward Arevalo"/>
  </r>
  <r>
    <n v="1113"/>
    <x v="0"/>
    <x v="18"/>
    <s v="P000000411"/>
    <s v="EL-CC-S Strategy &amp; Business Transformation"/>
    <m/>
    <x v="2"/>
    <x v="0"/>
    <x v="0"/>
    <x v="3"/>
    <m/>
    <m/>
    <s v="Edward Arevalo"/>
  </r>
  <r>
    <n v="1114"/>
    <x v="0"/>
    <x v="18"/>
    <s v="P000000412"/>
    <s v="EL-CC-SS Strategy &amp; BD"/>
    <m/>
    <x v="2"/>
    <x v="0"/>
    <x v="0"/>
    <x v="3"/>
    <m/>
    <m/>
    <s v="Edward Arevalo"/>
  </r>
  <r>
    <n v="1115"/>
    <x v="0"/>
    <x v="18"/>
    <s v="P000000413"/>
    <s v="EL-CC-SX Bus. Strategy realization &amp; Port"/>
    <m/>
    <x v="2"/>
    <x v="0"/>
    <x v="0"/>
    <x v="3"/>
    <m/>
    <m/>
    <s v="Edward Arevalo"/>
  </r>
  <r>
    <n v="1116"/>
    <x v="0"/>
    <x v="18"/>
    <s v="P000000758"/>
    <s v="EL-BP-I IT Electronics"/>
    <m/>
    <x v="2"/>
    <x v="0"/>
    <x v="0"/>
    <x v="3"/>
    <m/>
    <m/>
    <s v="Edward Arevalo"/>
  </r>
  <r>
    <n v="1117"/>
    <x v="0"/>
    <x v="18"/>
    <s v="P000000760"/>
    <s v="EL-BP-ID BP Display Solutions"/>
    <m/>
    <x v="2"/>
    <x v="0"/>
    <x v="0"/>
    <x v="3"/>
    <m/>
    <m/>
    <s v="Edward Arevalo"/>
  </r>
  <r>
    <n v="1118"/>
    <x v="0"/>
    <x v="18"/>
    <s v="P000000761"/>
    <s v="EL-BP-IO Electronics PPM"/>
    <m/>
    <x v="2"/>
    <x v="0"/>
    <x v="0"/>
    <x v="3"/>
    <m/>
    <m/>
    <s v="Edward Arevalo"/>
  </r>
  <r>
    <n v="1119"/>
    <x v="0"/>
    <x v="18"/>
    <s v="P000000762"/>
    <s v="EL-BP-IS Electronics Systems"/>
    <m/>
    <x v="2"/>
    <x v="0"/>
    <x v="0"/>
    <x v="3"/>
    <m/>
    <m/>
    <s v="Edward Arevalo"/>
  </r>
  <r>
    <n v="1120"/>
    <x v="0"/>
    <x v="18"/>
    <s v="P000000763"/>
    <s v="EL-BP-IP BP Surface Solutions"/>
    <m/>
    <x v="2"/>
    <x v="0"/>
    <x v="0"/>
    <x v="3"/>
    <m/>
    <m/>
    <s v="Edward Arevalo"/>
  </r>
  <r>
    <n v="1121"/>
    <x v="0"/>
    <x v="18"/>
    <s v="P000000765"/>
    <s v="EL-BP-IR Electronics Processes"/>
    <m/>
    <x v="2"/>
    <x v="0"/>
    <x v="0"/>
    <x v="3"/>
    <m/>
    <m/>
    <s v="Edward Arevalo"/>
  </r>
  <r>
    <n v="1122"/>
    <x v="0"/>
    <x v="18"/>
    <s v="P000000766"/>
    <s v="EL-BP-II BP Semiconductor"/>
    <m/>
    <x v="2"/>
    <x v="0"/>
    <x v="0"/>
    <x v="3"/>
    <m/>
    <m/>
    <s v="Edward Arevalo"/>
  </r>
  <r>
    <n v="1123"/>
    <x v="0"/>
    <x v="18"/>
    <s v="P000000767"/>
    <s v="EL-BP-IN BP DS&amp;S"/>
    <m/>
    <x v="2"/>
    <x v="0"/>
    <x v="0"/>
    <x v="3"/>
    <m/>
    <m/>
    <s v="Edward Arevalo"/>
  </r>
  <r>
    <n v="1124"/>
    <x v="0"/>
    <x v="18"/>
    <s v="P000000768"/>
    <s v="EL-BP-IT CIO Office"/>
    <m/>
    <x v="2"/>
    <x v="0"/>
    <x v="0"/>
    <x v="3"/>
    <m/>
    <m/>
    <s v="Edward Arevalo"/>
  </r>
  <r>
    <n v="1125"/>
    <x v="0"/>
    <x v="18"/>
    <s v="P000000501"/>
    <s v="EL-SC-DP Process Development Surface &amp; Exc"/>
    <m/>
    <x v="2"/>
    <x v="0"/>
    <x v="0"/>
    <x v="3"/>
    <m/>
    <m/>
    <s v="Edward Arevalo"/>
  </r>
  <r>
    <n v="1126"/>
    <x v="0"/>
    <x v="18"/>
    <s v="P000000502"/>
    <s v="EL-SC-DR Process Improvement &amp; Robustness"/>
    <m/>
    <x v="2"/>
    <x v="0"/>
    <x v="0"/>
    <x v="3"/>
    <m/>
    <m/>
    <s v="Edward Arevalo"/>
  </r>
  <r>
    <n v="1127"/>
    <x v="0"/>
    <x v="18"/>
    <s v="P000000003"/>
    <s v="XX_EL-DS-D Product Development"/>
    <m/>
    <x v="2"/>
    <x v="0"/>
    <x v="0"/>
    <x v="3"/>
    <m/>
    <m/>
    <s v="Edward Arevalo"/>
  </r>
  <r>
    <n v="1128"/>
    <x v="0"/>
    <x v="18"/>
    <s v="P000000010"/>
    <s v="XX_EL-DS-M Global Marketing"/>
    <m/>
    <x v="2"/>
    <x v="0"/>
    <x v="0"/>
    <x v="3"/>
    <m/>
    <m/>
    <s v="Edward Arevalo"/>
  </r>
  <r>
    <n v="1129"/>
    <x v="0"/>
    <x v="18"/>
    <s v="P000000684"/>
    <s v="XX_EL-DS-M Global Mkt Organization"/>
    <m/>
    <x v="2"/>
    <x v="0"/>
    <x v="0"/>
    <x v="3"/>
    <m/>
    <m/>
    <s v="Edward Arevalo"/>
  </r>
  <r>
    <n v="1130"/>
    <x v="0"/>
    <x v="18"/>
    <s v="P000000685"/>
    <s v="XX_EL-DS-M Global Mkt Sales Promotion"/>
    <m/>
    <x v="2"/>
    <x v="0"/>
    <x v="0"/>
    <x v="3"/>
    <m/>
    <m/>
    <s v="Edward Arevalo"/>
  </r>
  <r>
    <n v="1131"/>
    <x v="0"/>
    <x v="18"/>
    <s v="P000000686"/>
    <s v="XX_EL-DS-M Global Mkt Royalties/Commissions"/>
    <m/>
    <x v="2"/>
    <x v="0"/>
    <x v="0"/>
    <x v="3"/>
    <m/>
    <m/>
    <s v="Edward Arevalo"/>
  </r>
  <r>
    <n v="1132"/>
    <x v="0"/>
    <x v="18"/>
    <s v="P000000687"/>
    <s v="XX_EL-DS-M Global Mkt Other"/>
    <m/>
    <x v="2"/>
    <x v="0"/>
    <x v="0"/>
    <x v="3"/>
    <m/>
    <m/>
    <s v="Edward Arevalo"/>
  </r>
  <r>
    <n v="1133"/>
    <x v="0"/>
    <x v="18"/>
    <s v="P000000011"/>
    <s v="XX_EL-DS-R Product Research"/>
    <m/>
    <x v="2"/>
    <x v="0"/>
    <x v="0"/>
    <x v="3"/>
    <m/>
    <m/>
    <s v="Edward Arevalo"/>
  </r>
  <r>
    <n v="1134"/>
    <x v="0"/>
    <x v="18"/>
    <s v="P000000018"/>
    <s v="XX_EL-DS-K BU Lead &amp; MD Korea"/>
    <m/>
    <x v="2"/>
    <x v="0"/>
    <x v="0"/>
    <x v="3"/>
    <m/>
    <m/>
    <s v="Edward Arevalo"/>
  </r>
  <r>
    <n v="1135"/>
    <x v="0"/>
    <x v="18"/>
    <s v="P000000699"/>
    <s v="XX_EL-DS-K Korea Organization"/>
    <m/>
    <x v="2"/>
    <x v="0"/>
    <x v="0"/>
    <x v="3"/>
    <m/>
    <m/>
    <s v="Edward Arevalo"/>
  </r>
  <r>
    <n v="1136"/>
    <x v="0"/>
    <x v="18"/>
    <s v="P000000700"/>
    <s v="XX_EL-DS-K Korea Other"/>
    <m/>
    <x v="2"/>
    <x v="0"/>
    <x v="0"/>
    <x v="3"/>
    <m/>
    <m/>
    <s v="Edward Arevalo"/>
  </r>
  <r>
    <n v="1137"/>
    <x v="0"/>
    <x v="18"/>
    <s v="P000000020"/>
    <s v="XX_EL-DS-T BU Lead &amp; MD Taiwan"/>
    <m/>
    <x v="2"/>
    <x v="0"/>
    <x v="0"/>
    <x v="3"/>
    <m/>
    <m/>
    <s v="Edward Arevalo"/>
  </r>
  <r>
    <n v="1138"/>
    <x v="0"/>
    <x v="18"/>
    <s v="P000000701"/>
    <s v="XX_EL-DS-T Taiwan Organization"/>
    <m/>
    <x v="2"/>
    <x v="0"/>
    <x v="0"/>
    <x v="3"/>
    <m/>
    <m/>
    <s v="Edward Arevalo"/>
  </r>
  <r>
    <n v="1139"/>
    <x v="0"/>
    <x v="18"/>
    <s v="P000000702"/>
    <s v="XX_EL-DS-T Taiwan Other"/>
    <m/>
    <x v="2"/>
    <x v="0"/>
    <x v="0"/>
    <x v="3"/>
    <m/>
    <m/>
    <s v="Edward Arevalo"/>
  </r>
  <r>
    <n v="1140"/>
    <x v="0"/>
    <x v="18"/>
    <s v="P000000021"/>
    <s v="XX_EL-DS-C BU Lead China"/>
    <m/>
    <x v="2"/>
    <x v="0"/>
    <x v="0"/>
    <x v="3"/>
    <m/>
    <m/>
    <s v="Edward Arevalo"/>
  </r>
  <r>
    <n v="1141"/>
    <x v="0"/>
    <x v="18"/>
    <s v="P000000429"/>
    <s v="XX_EL-DS China sales"/>
    <m/>
    <x v="2"/>
    <x v="0"/>
    <x v="0"/>
    <x v="3"/>
    <m/>
    <m/>
    <s v="Edward Arevalo"/>
  </r>
  <r>
    <n v="1142"/>
    <x v="0"/>
    <x v="18"/>
    <s v="P000000432"/>
    <s v="XX_EL-DS-CM China marketing"/>
    <m/>
    <x v="2"/>
    <x v="0"/>
    <x v="0"/>
    <x v="3"/>
    <m/>
    <m/>
    <s v="Edward Arevalo"/>
  </r>
  <r>
    <n v="1143"/>
    <x v="0"/>
    <x v="18"/>
    <s v="P000000692"/>
    <s v="XX_EL-DS China Mkt Organization"/>
    <m/>
    <x v="2"/>
    <x v="0"/>
    <x v="0"/>
    <x v="3"/>
    <m/>
    <m/>
    <s v="Edward Arevalo"/>
  </r>
  <r>
    <n v="1144"/>
    <x v="0"/>
    <x v="18"/>
    <s v="P000000693"/>
    <s v="XX_EL-DS China Mkt Sales Promotion"/>
    <m/>
    <x v="2"/>
    <x v="0"/>
    <x v="0"/>
    <x v="3"/>
    <m/>
    <m/>
    <s v="Edward Arevalo"/>
  </r>
  <r>
    <n v="1145"/>
    <x v="0"/>
    <x v="18"/>
    <s v="P000000694"/>
    <s v="XX_EL-DS China Mkt Other"/>
    <m/>
    <x v="2"/>
    <x v="0"/>
    <x v="0"/>
    <x v="3"/>
    <m/>
    <m/>
    <s v="Edward Arevalo"/>
  </r>
  <r>
    <n v="1146"/>
    <x v="0"/>
    <x v="18"/>
    <s v="P000000433"/>
    <s v="XX_EL-DS China management"/>
    <m/>
    <x v="2"/>
    <x v="0"/>
    <x v="0"/>
    <x v="3"/>
    <m/>
    <m/>
    <s v="Edward Arevalo"/>
  </r>
  <r>
    <n v="1147"/>
    <x v="0"/>
    <x v="18"/>
    <s v="P000000022"/>
    <s v="XX_EL-DS-W BF LC Windows"/>
    <m/>
    <x v="2"/>
    <x v="0"/>
    <x v="0"/>
    <x v="3"/>
    <m/>
    <m/>
    <s v="Edward Arevalo"/>
  </r>
  <r>
    <n v="1148"/>
    <x v="0"/>
    <x v="18"/>
    <s v="P000000411 "/>
    <s v="EL-CC-S Strategy &amp; Business Transformation"/>
    <m/>
    <x v="2"/>
    <x v="0"/>
    <x v="0"/>
    <x v="3"/>
    <m/>
    <m/>
    <s v="Edward Arevalo"/>
  </r>
  <r>
    <n v="1149"/>
    <x v="0"/>
    <x v="18"/>
    <s v="P000000413 "/>
    <s v="EL-CC-SX Strategy Realization"/>
    <m/>
    <x v="2"/>
    <x v="0"/>
    <x v="0"/>
    <x v="3"/>
    <m/>
    <m/>
    <s v="Edward Arevalo"/>
  </r>
  <r>
    <n v="1150"/>
    <x v="0"/>
    <x v="18"/>
    <s v="P000000604"/>
    <s v="EL-PS-SI Analytics"/>
    <m/>
    <x v="2"/>
    <x v="0"/>
    <x v="0"/>
    <x v="3"/>
    <m/>
    <m/>
    <s v="Edward Arevalo"/>
  </r>
  <r>
    <n v="1151"/>
    <x v="0"/>
    <x v="18"/>
    <s v="P000000740"/>
    <s v="EL-PS-ACC Customer Excellence TeamA"/>
    <m/>
    <x v="2"/>
    <x v="0"/>
    <x v="0"/>
    <x v="3"/>
    <m/>
    <m/>
    <s v="Edward Arevalo"/>
  </r>
  <r>
    <n v="1152"/>
    <x v="0"/>
    <x v="18"/>
    <s v="P000000741"/>
    <s v="EL-PS-ACJ Customer Excellence TeamB"/>
    <m/>
    <x v="2"/>
    <x v="0"/>
    <x v="0"/>
    <x v="3"/>
    <m/>
    <m/>
    <s v="Edward Arevalo"/>
  </r>
  <r>
    <n v="1153"/>
    <x v="0"/>
    <x v="18"/>
    <s v="P000000668"/>
    <s v="XX_EL-PS Strategic Accounts ASIA"/>
    <m/>
    <x v="2"/>
    <x v="0"/>
    <x v="0"/>
    <x v="3"/>
    <m/>
    <m/>
    <s v="Edward Arevalo"/>
  </r>
  <r>
    <n v="1154"/>
    <x v="0"/>
    <x v="18"/>
    <s v="P000000544"/>
    <s v="EL-TF-R Thin Film R&amp;D"/>
    <m/>
    <x v="2"/>
    <x v="0"/>
    <x v="0"/>
    <x v="3"/>
    <m/>
    <m/>
    <s v="Edward Arevalo"/>
  </r>
  <r>
    <n v="1155"/>
    <x v="0"/>
    <x v="18"/>
    <s v="P000000641"/>
    <s v="EL-TF Thin Film"/>
    <s v="P000000000"/>
    <x v="4"/>
    <x v="0"/>
    <x v="0"/>
    <x v="3"/>
    <m/>
    <m/>
    <s v="Edward Arevalo"/>
  </r>
  <r>
    <n v="1156"/>
    <x v="0"/>
    <x v="18"/>
    <s v="P000000644"/>
    <s v="EL-SG Specialty Gases"/>
    <s v="P000000000"/>
    <x v="4"/>
    <x v="0"/>
    <x v="0"/>
    <x v="3"/>
    <m/>
    <m/>
    <s v="Edward Arevalo"/>
  </r>
  <r>
    <n v="1157"/>
    <x v="0"/>
    <x v="18"/>
    <s v="P000000414"/>
    <s v="EL-CM-O CEO Office &amp; Transformation"/>
    <s v="P000000756"/>
    <x v="4"/>
    <x v="0"/>
    <x v="0"/>
    <x v="3"/>
    <m/>
    <m/>
    <s v="Edward Arevalo"/>
  </r>
  <r>
    <n v="1158"/>
    <x v="0"/>
    <x v="18"/>
    <s v="P000000552"/>
    <s v="EL-CM-B Thought Leadership &amp; Branding"/>
    <s v="P000000756"/>
    <x v="4"/>
    <x v="0"/>
    <x v="0"/>
    <x v="3"/>
    <m/>
    <m/>
    <s v="Edward Arevalo"/>
  </r>
  <r>
    <n v="1159"/>
    <x v="0"/>
    <x v="18"/>
    <s v="P000000550"/>
    <s v="EL-CC-SA Level Up"/>
    <s v="P000000426"/>
    <x v="4"/>
    <x v="0"/>
    <x v="0"/>
    <x v="3"/>
    <m/>
    <m/>
    <s v="Edward Arevalo"/>
  </r>
  <r>
    <n v="1160"/>
    <x v="0"/>
    <x v="18"/>
    <s v="P000000511"/>
    <s v="EL-PS-SET Transportation"/>
    <s v="P000000464"/>
    <x v="4"/>
    <x v="0"/>
    <x v="0"/>
    <x v="3"/>
    <m/>
    <m/>
    <s v="Edward Arevalo"/>
  </r>
  <r>
    <n v="1161"/>
    <x v="0"/>
    <x v="18"/>
    <s v="P000000456"/>
    <s v="EL-PS-SUE Customer Excellence"/>
    <s v="P000000605"/>
    <x v="4"/>
    <x v="0"/>
    <x v="0"/>
    <x v="3"/>
    <m/>
    <m/>
    <s v="Edward Arevalo"/>
  </r>
  <r>
    <n v="1162"/>
    <x v="0"/>
    <x v="18"/>
    <s v="P000000830"/>
    <s v="EL-TF-IA Global Asset Mgmt"/>
    <s v="P000000832"/>
    <x v="4"/>
    <x v="0"/>
    <x v="0"/>
    <x v="3"/>
    <m/>
    <m/>
    <s v="Edward Arevalo"/>
  </r>
  <r>
    <n v="1163"/>
    <x v="0"/>
    <x v="18"/>
    <s v="P000000831"/>
    <s v="EL-TF-IM Global Business Marketing Dielectrics"/>
    <s v="P000000832"/>
    <x v="4"/>
    <x v="0"/>
    <x v="0"/>
    <x v="3"/>
    <m/>
    <m/>
    <s v="Edward Arevalo"/>
  </r>
  <r>
    <n v="1164"/>
    <x v="0"/>
    <x v="18"/>
    <s v="P000000834"/>
    <s v="EL-TF-IB Spin On Global Marketing"/>
    <s v="P000000832"/>
    <x v="4"/>
    <x v="0"/>
    <x v="0"/>
    <x v="3"/>
    <m/>
    <m/>
    <s v="Edward Arevalo"/>
  </r>
  <r>
    <n v="1165"/>
    <x v="0"/>
    <x v="18"/>
    <s v="P000000835"/>
    <s v="EL-TF-IO OEM Marketing"/>
    <s v="P000000832"/>
    <x v="4"/>
    <x v="0"/>
    <x v="0"/>
    <x v="3"/>
    <m/>
    <m/>
    <s v="Edward Arevalo"/>
  </r>
  <r>
    <n v="1166"/>
    <x v="0"/>
    <x v="18"/>
    <s v="P000000836"/>
    <s v="EL-TF-MC Customer Applications"/>
    <s v="P000000833"/>
    <x v="4"/>
    <x v="0"/>
    <x v="0"/>
    <x v="3"/>
    <m/>
    <m/>
    <s v="Edward Arevalo"/>
  </r>
  <r>
    <n v="1167"/>
    <x v="0"/>
    <x v="19"/>
    <s v="L000005845"/>
    <m/>
    <s v="L000013665"/>
    <x v="1"/>
    <x v="0"/>
    <x v="0"/>
    <x v="2"/>
    <m/>
    <m/>
    <s v="Phoebe Anne Fortaleza"/>
  </r>
  <r>
    <n v="1168"/>
    <x v="0"/>
    <x v="19"/>
    <s v="L000005893"/>
    <m/>
    <s v="L000013665"/>
    <x v="1"/>
    <x v="0"/>
    <x v="0"/>
    <x v="2"/>
    <m/>
    <m/>
    <s v="Phoebe Anne Fortaleza"/>
  </r>
  <r>
    <n v="1169"/>
    <x v="0"/>
    <x v="19"/>
    <s v="L000013296"/>
    <m/>
    <s v="L000013665"/>
    <x v="1"/>
    <x v="0"/>
    <x v="0"/>
    <x v="2"/>
    <m/>
    <m/>
    <s v="Phoebe Anne Fortaleza"/>
  </r>
  <r>
    <n v="1170"/>
    <x v="0"/>
    <x v="19"/>
    <s v="L000013298"/>
    <m/>
    <s v="L000013665"/>
    <x v="1"/>
    <x v="0"/>
    <x v="0"/>
    <x v="2"/>
    <m/>
    <m/>
    <s v="Phoebe Anne Fortaleza"/>
  </r>
  <r>
    <n v="1171"/>
    <x v="0"/>
    <x v="19"/>
    <s v="L000005903"/>
    <m/>
    <s v="L000013665"/>
    <x v="1"/>
    <x v="0"/>
    <x v="0"/>
    <x v="2"/>
    <m/>
    <m/>
    <s v="Phoebe Anne Fortaleza"/>
  </r>
  <r>
    <n v="1172"/>
    <x v="0"/>
    <x v="19"/>
    <s v="L000013299"/>
    <m/>
    <s v="L000013665"/>
    <x v="1"/>
    <x v="0"/>
    <x v="0"/>
    <x v="2"/>
    <m/>
    <m/>
    <s v="Phoebe Anne Fortaleza"/>
  </r>
  <r>
    <n v="1173"/>
    <x v="0"/>
    <x v="19"/>
    <s v="L000013301"/>
    <m/>
    <s v="L000013665"/>
    <x v="1"/>
    <x v="0"/>
    <x v="0"/>
    <x v="2"/>
    <m/>
    <m/>
    <s v="Phoebe Anne Fortaleza"/>
  </r>
  <r>
    <n v="1174"/>
    <x v="0"/>
    <x v="19"/>
    <s v="L000005935"/>
    <m/>
    <s v="L000013665"/>
    <x v="1"/>
    <x v="0"/>
    <x v="0"/>
    <x v="2"/>
    <m/>
    <m/>
    <s v="Phoebe Anne Fortaleza"/>
  </r>
  <r>
    <n v="1175"/>
    <x v="0"/>
    <x v="19"/>
    <s v="L000013302"/>
    <m/>
    <s v="L000013665"/>
    <x v="1"/>
    <x v="0"/>
    <x v="0"/>
    <x v="2"/>
    <m/>
    <m/>
    <s v="Phoebe Anne Fortaleza"/>
  </r>
  <r>
    <n v="1176"/>
    <x v="0"/>
    <x v="19"/>
    <s v="L000013303"/>
    <m/>
    <s v="L000013665"/>
    <x v="1"/>
    <x v="0"/>
    <x v="0"/>
    <x v="2"/>
    <m/>
    <m/>
    <s v="Phoebe Anne Fortaleza"/>
  </r>
  <r>
    <n v="1177"/>
    <x v="0"/>
    <x v="19"/>
    <s v="L000013304"/>
    <m/>
    <s v="L000013665"/>
    <x v="1"/>
    <x v="0"/>
    <x v="0"/>
    <x v="2"/>
    <m/>
    <m/>
    <s v="Phoebe Anne Fortaleza"/>
  </r>
  <r>
    <n v="1178"/>
    <x v="0"/>
    <x v="19"/>
    <s v="L000013305"/>
    <m/>
    <s v="L000013665"/>
    <x v="1"/>
    <x v="0"/>
    <x v="0"/>
    <x v="2"/>
    <m/>
    <m/>
    <s v="Phoebe Anne Fortaleza"/>
  </r>
  <r>
    <n v="1179"/>
    <x v="0"/>
    <x v="19"/>
    <s v="L000011900"/>
    <m/>
    <s v="L000013665"/>
    <x v="1"/>
    <x v="0"/>
    <x v="0"/>
    <x v="2"/>
    <m/>
    <m/>
    <s v="Phoebe Anne Fortaleza"/>
  </r>
  <r>
    <n v="1180"/>
    <x v="0"/>
    <x v="19"/>
    <s v="L000005925"/>
    <m/>
    <s v="L000013665"/>
    <x v="1"/>
    <x v="0"/>
    <x v="0"/>
    <x v="2"/>
    <m/>
    <m/>
    <s v="Phoebe Anne Fortaleza"/>
  </r>
  <r>
    <n v="1181"/>
    <x v="0"/>
    <x v="19"/>
    <s v="L000005898"/>
    <m/>
    <s v="L000013665"/>
    <x v="1"/>
    <x v="0"/>
    <x v="0"/>
    <x v="2"/>
    <m/>
    <m/>
    <s v="Phoebe Anne Fortaleza"/>
  </r>
  <r>
    <n v="1182"/>
    <x v="0"/>
    <x v="19"/>
    <s v="L000005900"/>
    <m/>
    <s v="L000013665"/>
    <x v="1"/>
    <x v="0"/>
    <x v="0"/>
    <x v="2"/>
    <m/>
    <m/>
    <s v="Phoebe Anne Fortaleza"/>
  </r>
  <r>
    <n v="1183"/>
    <x v="0"/>
    <x v="19"/>
    <s v="L000005901"/>
    <m/>
    <s v="L000013665"/>
    <x v="1"/>
    <x v="0"/>
    <x v="0"/>
    <x v="2"/>
    <m/>
    <m/>
    <s v="Phoebe Anne Fortaleza"/>
  </r>
  <r>
    <n v="1184"/>
    <x v="0"/>
    <x v="19"/>
    <s v="L000013310"/>
    <m/>
    <s v="L000013665"/>
    <x v="1"/>
    <x v="0"/>
    <x v="0"/>
    <x v="2"/>
    <m/>
    <m/>
    <s v="Phoebe Anne Fortaleza"/>
  </r>
  <r>
    <n v="1185"/>
    <x v="0"/>
    <x v="19"/>
    <s v="L000013311"/>
    <m/>
    <s v="L000013665"/>
    <x v="1"/>
    <x v="0"/>
    <x v="0"/>
    <x v="2"/>
    <m/>
    <m/>
    <s v="Phoebe Anne Fortaleza"/>
  </r>
  <r>
    <n v="1186"/>
    <x v="0"/>
    <x v="19"/>
    <s v="L000010636"/>
    <m/>
    <s v="L000013665"/>
    <x v="1"/>
    <x v="0"/>
    <x v="0"/>
    <x v="2"/>
    <m/>
    <m/>
    <s v="Phoebe Anne Fortaleza"/>
  </r>
  <r>
    <n v="1187"/>
    <x v="0"/>
    <x v="19"/>
    <s v="L000010639"/>
    <m/>
    <s v="L000013665"/>
    <x v="1"/>
    <x v="0"/>
    <x v="0"/>
    <x v="2"/>
    <m/>
    <m/>
    <s v="Phoebe Anne Fortaleza"/>
  </r>
  <r>
    <n v="1188"/>
    <x v="0"/>
    <x v="19"/>
    <s v="L000010646"/>
    <m/>
    <s v="L000013665"/>
    <x v="1"/>
    <x v="0"/>
    <x v="0"/>
    <x v="2"/>
    <m/>
    <m/>
    <s v="Phoebe Anne Fortaleza"/>
  </r>
  <r>
    <n v="1189"/>
    <x v="0"/>
    <x v="19"/>
    <s v="L000010657"/>
    <m/>
    <s v="L000013665"/>
    <x v="1"/>
    <x v="0"/>
    <x v="0"/>
    <x v="2"/>
    <m/>
    <m/>
    <s v="Phoebe Anne Fortaleza"/>
  </r>
  <r>
    <n v="1190"/>
    <x v="0"/>
    <x v="19"/>
    <s v="L000010658"/>
    <m/>
    <s v="L000013665"/>
    <x v="1"/>
    <x v="0"/>
    <x v="0"/>
    <x v="2"/>
    <m/>
    <m/>
    <s v="Phoebe Anne Fortaleza"/>
  </r>
  <r>
    <n v="1191"/>
    <x v="0"/>
    <x v="19"/>
    <s v="L000010661"/>
    <m/>
    <s v="L000013665"/>
    <x v="1"/>
    <x v="0"/>
    <x v="0"/>
    <x v="2"/>
    <m/>
    <m/>
    <s v="Phoebe Anne Fortaleza"/>
  </r>
  <r>
    <n v="1192"/>
    <x v="0"/>
    <x v="19"/>
    <s v="L000010691"/>
    <m/>
    <s v="L000013665"/>
    <x v="1"/>
    <x v="0"/>
    <x v="0"/>
    <x v="2"/>
    <m/>
    <m/>
    <s v="Phoebe Anne Fortaleza"/>
  </r>
  <r>
    <n v="1193"/>
    <x v="0"/>
    <x v="19"/>
    <s v="L000010726"/>
    <m/>
    <s v="L000013665"/>
    <x v="1"/>
    <x v="0"/>
    <x v="0"/>
    <x v="2"/>
    <m/>
    <m/>
    <s v="Phoebe Anne Fortaleza"/>
  </r>
  <r>
    <n v="1194"/>
    <x v="0"/>
    <x v="19"/>
    <s v="L000010727"/>
    <m/>
    <s v="L000013665"/>
    <x v="1"/>
    <x v="0"/>
    <x v="0"/>
    <x v="2"/>
    <m/>
    <m/>
    <s v="Phoebe Anne Fortaleza"/>
  </r>
  <r>
    <n v="1195"/>
    <x v="0"/>
    <x v="19"/>
    <s v="L000010744"/>
    <m/>
    <s v="L000013665"/>
    <x v="1"/>
    <x v="0"/>
    <x v="0"/>
    <x v="2"/>
    <m/>
    <m/>
    <s v="Phoebe Anne Fortaleza"/>
  </r>
  <r>
    <n v="1196"/>
    <x v="0"/>
    <x v="19"/>
    <s v="L000010746"/>
    <m/>
    <s v="L000013665"/>
    <x v="1"/>
    <x v="0"/>
    <x v="0"/>
    <x v="2"/>
    <m/>
    <m/>
    <s v="Phoebe Anne Fortaleza"/>
  </r>
  <r>
    <n v="1197"/>
    <x v="0"/>
    <x v="19"/>
    <s v="L000010747"/>
    <m/>
    <s v="L000013665"/>
    <x v="1"/>
    <x v="0"/>
    <x v="0"/>
    <x v="2"/>
    <m/>
    <m/>
    <s v="Phoebe Anne Fortaleza"/>
  </r>
  <r>
    <n v="1198"/>
    <x v="0"/>
    <x v="19"/>
    <s v="L000012309"/>
    <m/>
    <s v="L000013665"/>
    <x v="1"/>
    <x v="0"/>
    <x v="0"/>
    <x v="2"/>
    <m/>
    <m/>
    <s v="Phoebe Anne Fortaleza"/>
  </r>
  <r>
    <n v="1199"/>
    <x v="0"/>
    <x v="19"/>
    <s v="L000010784"/>
    <m/>
    <s v="L000013665"/>
    <x v="1"/>
    <x v="0"/>
    <x v="0"/>
    <x v="2"/>
    <m/>
    <m/>
    <s v="Phoebe Anne Fortaleza"/>
  </r>
  <r>
    <n v="1200"/>
    <x v="0"/>
    <x v="19"/>
    <s v="L000010785"/>
    <m/>
    <s v="L000013665"/>
    <x v="1"/>
    <x v="0"/>
    <x v="0"/>
    <x v="2"/>
    <m/>
    <m/>
    <s v="Phoebe Anne Fortaleza"/>
  </r>
  <r>
    <n v="1201"/>
    <x v="0"/>
    <x v="19"/>
    <s v="L000010787"/>
    <m/>
    <s v="L000013665"/>
    <x v="1"/>
    <x v="0"/>
    <x v="0"/>
    <x v="2"/>
    <m/>
    <m/>
    <s v="Phoebe Anne Fortaleza"/>
  </r>
  <r>
    <n v="1202"/>
    <x v="0"/>
    <x v="19"/>
    <s v="L000010790"/>
    <m/>
    <s v="L000013665"/>
    <x v="1"/>
    <x v="0"/>
    <x v="0"/>
    <x v="2"/>
    <m/>
    <m/>
    <s v="Phoebe Anne Fortaleza"/>
  </r>
  <r>
    <n v="1203"/>
    <x v="0"/>
    <x v="19"/>
    <s v="L000010791"/>
    <m/>
    <s v="L000013665"/>
    <x v="1"/>
    <x v="0"/>
    <x v="0"/>
    <x v="2"/>
    <m/>
    <m/>
    <s v="Phoebe Anne Fortaleza"/>
  </r>
  <r>
    <n v="1204"/>
    <x v="0"/>
    <x v="19"/>
    <s v="L000010793"/>
    <m/>
    <s v="L000013665"/>
    <x v="1"/>
    <x v="0"/>
    <x v="0"/>
    <x v="2"/>
    <m/>
    <m/>
    <s v="Phoebe Anne Fortaleza"/>
  </r>
  <r>
    <n v="1205"/>
    <x v="0"/>
    <x v="19"/>
    <s v="L000010796"/>
    <m/>
    <s v="L000013665"/>
    <x v="1"/>
    <x v="0"/>
    <x v="0"/>
    <x v="2"/>
    <m/>
    <m/>
    <s v="Phoebe Anne Fortaleza"/>
  </r>
  <r>
    <n v="1206"/>
    <x v="0"/>
    <x v="19"/>
    <s v="L000010799"/>
    <m/>
    <s v="L000013665"/>
    <x v="1"/>
    <x v="0"/>
    <x v="0"/>
    <x v="2"/>
    <m/>
    <m/>
    <s v="Phoebe Anne Fortaleza"/>
  </r>
  <r>
    <n v="1207"/>
    <x v="0"/>
    <x v="19"/>
    <s v="L000010803"/>
    <m/>
    <s v="L000013665"/>
    <x v="1"/>
    <x v="0"/>
    <x v="0"/>
    <x v="2"/>
    <m/>
    <m/>
    <s v="Phoebe Anne Fortaleza"/>
  </r>
  <r>
    <n v="1208"/>
    <x v="0"/>
    <x v="19"/>
    <s v="L000010806"/>
    <m/>
    <s v="L000013665"/>
    <x v="1"/>
    <x v="0"/>
    <x v="0"/>
    <x v="2"/>
    <m/>
    <m/>
    <s v="Phoebe Anne Fortaleza"/>
  </r>
  <r>
    <n v="1209"/>
    <x v="0"/>
    <x v="19"/>
    <s v="L000010808"/>
    <m/>
    <s v="L000013665"/>
    <x v="1"/>
    <x v="0"/>
    <x v="0"/>
    <x v="2"/>
    <m/>
    <m/>
    <s v="Phoebe Anne Fortaleza"/>
  </r>
  <r>
    <n v="1210"/>
    <x v="0"/>
    <x v="19"/>
    <s v="L000010809"/>
    <m/>
    <s v="L000013665"/>
    <x v="1"/>
    <x v="0"/>
    <x v="0"/>
    <x v="2"/>
    <m/>
    <m/>
    <s v="Phoebe Anne Fortaleza"/>
  </r>
  <r>
    <n v="1211"/>
    <x v="0"/>
    <x v="19"/>
    <s v="L000010810"/>
    <m/>
    <s v="L000013665"/>
    <x v="1"/>
    <x v="0"/>
    <x v="0"/>
    <x v="2"/>
    <m/>
    <m/>
    <s v="Phoebe Anne Fortaleza"/>
  </r>
  <r>
    <n v="1212"/>
    <x v="0"/>
    <x v="19"/>
    <s v="L000010814"/>
    <m/>
    <s v="L000013665"/>
    <x v="1"/>
    <x v="0"/>
    <x v="0"/>
    <x v="2"/>
    <m/>
    <m/>
    <s v="Phoebe Anne Fortaleza"/>
  </r>
  <r>
    <n v="1213"/>
    <x v="0"/>
    <x v="19"/>
    <s v="L000010817"/>
    <m/>
    <s v="L000013665"/>
    <x v="1"/>
    <x v="0"/>
    <x v="0"/>
    <x v="2"/>
    <m/>
    <m/>
    <s v="Phoebe Anne Fortaleza"/>
  </r>
  <r>
    <n v="1214"/>
    <x v="0"/>
    <x v="19"/>
    <s v="L000010823"/>
    <m/>
    <s v="L000013665"/>
    <x v="1"/>
    <x v="0"/>
    <x v="0"/>
    <x v="2"/>
    <m/>
    <m/>
    <s v="Phoebe Anne Fortaleza"/>
  </r>
  <r>
    <n v="1215"/>
    <x v="0"/>
    <x v="19"/>
    <s v="L000010832"/>
    <m/>
    <s v="L000013665"/>
    <x v="1"/>
    <x v="0"/>
    <x v="0"/>
    <x v="2"/>
    <m/>
    <m/>
    <s v="Phoebe Anne Fortaleza"/>
  </r>
  <r>
    <n v="1216"/>
    <x v="0"/>
    <x v="19"/>
    <s v="L000010833"/>
    <m/>
    <s v="L000013665"/>
    <x v="1"/>
    <x v="0"/>
    <x v="0"/>
    <x v="2"/>
    <m/>
    <m/>
    <s v="Phoebe Anne Fortaleza"/>
  </r>
  <r>
    <n v="1217"/>
    <x v="0"/>
    <x v="19"/>
    <s v="L000010856"/>
    <m/>
    <s v="L000013665"/>
    <x v="1"/>
    <x v="0"/>
    <x v="0"/>
    <x v="2"/>
    <m/>
    <m/>
    <s v="Phoebe Anne Fortaleza"/>
  </r>
  <r>
    <n v="1218"/>
    <x v="0"/>
    <x v="19"/>
    <s v="L000010862"/>
    <m/>
    <s v="L000013665"/>
    <x v="1"/>
    <x v="0"/>
    <x v="0"/>
    <x v="2"/>
    <m/>
    <m/>
    <s v="Phoebe Anne Fortaleza"/>
  </r>
  <r>
    <n v="1219"/>
    <x v="0"/>
    <x v="19"/>
    <s v="L000010863"/>
    <m/>
    <s v="L000013665"/>
    <x v="1"/>
    <x v="0"/>
    <x v="0"/>
    <x v="2"/>
    <m/>
    <m/>
    <s v="Phoebe Anne Fortaleza"/>
  </r>
  <r>
    <n v="1220"/>
    <x v="0"/>
    <x v="19"/>
    <s v="L000010868"/>
    <m/>
    <s v="L000013665"/>
    <x v="1"/>
    <x v="0"/>
    <x v="0"/>
    <x v="2"/>
    <m/>
    <m/>
    <s v="Phoebe Anne Fortaleza"/>
  </r>
  <r>
    <n v="1221"/>
    <x v="0"/>
    <x v="19"/>
    <s v="L000012290"/>
    <m/>
    <s v="L000013665"/>
    <x v="1"/>
    <x v="0"/>
    <x v="0"/>
    <x v="2"/>
    <m/>
    <m/>
    <s v="Phoebe Anne Fortaleza"/>
  </r>
  <r>
    <n v="1222"/>
    <x v="0"/>
    <x v="19"/>
    <s v="L000012291"/>
    <m/>
    <s v="L000013665"/>
    <x v="1"/>
    <x v="0"/>
    <x v="0"/>
    <x v="2"/>
    <m/>
    <m/>
    <s v="Phoebe Anne Fortaleza"/>
  </r>
  <r>
    <n v="1223"/>
    <x v="0"/>
    <x v="19"/>
    <s v="L000012293"/>
    <m/>
    <s v="L000013665"/>
    <x v="1"/>
    <x v="0"/>
    <x v="0"/>
    <x v="2"/>
    <m/>
    <m/>
    <s v="Phoebe Anne Fortaleza"/>
  </r>
  <r>
    <n v="1224"/>
    <x v="0"/>
    <x v="19"/>
    <s v="L000012295"/>
    <m/>
    <s v="L000013665"/>
    <x v="1"/>
    <x v="0"/>
    <x v="0"/>
    <x v="2"/>
    <m/>
    <m/>
    <s v="Phoebe Anne Fortaleza"/>
  </r>
  <r>
    <n v="1225"/>
    <x v="0"/>
    <x v="19"/>
    <s v="L000012296"/>
    <m/>
    <s v="L000013665"/>
    <x v="1"/>
    <x v="0"/>
    <x v="0"/>
    <x v="2"/>
    <m/>
    <m/>
    <s v="Phoebe Anne Fortaleza"/>
  </r>
  <r>
    <n v="1226"/>
    <x v="0"/>
    <x v="19"/>
    <s v="L000010877"/>
    <m/>
    <s v="L000013665"/>
    <x v="1"/>
    <x v="0"/>
    <x v="0"/>
    <x v="2"/>
    <m/>
    <m/>
    <s v="Phoebe Anne Fortaleza"/>
  </r>
  <r>
    <n v="1227"/>
    <x v="0"/>
    <x v="19"/>
    <s v="L000010878"/>
    <m/>
    <s v="L000013665"/>
    <x v="1"/>
    <x v="0"/>
    <x v="0"/>
    <x v="2"/>
    <m/>
    <m/>
    <s v="Phoebe Anne Fortaleza"/>
  </r>
  <r>
    <n v="1228"/>
    <x v="0"/>
    <x v="19"/>
    <s v="L000010892"/>
    <m/>
    <s v="L000013665"/>
    <x v="1"/>
    <x v="0"/>
    <x v="0"/>
    <x v="2"/>
    <m/>
    <m/>
    <s v="Phoebe Anne Fortaleza"/>
  </r>
  <r>
    <n v="1229"/>
    <x v="0"/>
    <x v="19"/>
    <s v="L000010897"/>
    <m/>
    <s v="L000013665"/>
    <x v="1"/>
    <x v="0"/>
    <x v="0"/>
    <x v="2"/>
    <m/>
    <m/>
    <s v="Phoebe Anne Fortaleza"/>
  </r>
  <r>
    <n v="1230"/>
    <x v="0"/>
    <x v="19"/>
    <s v="L000010899"/>
    <m/>
    <s v="L000013665"/>
    <x v="1"/>
    <x v="0"/>
    <x v="0"/>
    <x v="2"/>
    <m/>
    <m/>
    <s v="Phoebe Anne Fortaleza"/>
  </r>
  <r>
    <n v="1231"/>
    <x v="0"/>
    <x v="19"/>
    <s v="L000010920"/>
    <m/>
    <s v="L000013665"/>
    <x v="1"/>
    <x v="0"/>
    <x v="0"/>
    <x v="2"/>
    <m/>
    <m/>
    <s v="Phoebe Anne Fortaleza"/>
  </r>
  <r>
    <n v="1232"/>
    <x v="0"/>
    <x v="19"/>
    <s v="L000010927"/>
    <m/>
    <s v="L000013665"/>
    <x v="1"/>
    <x v="0"/>
    <x v="0"/>
    <x v="2"/>
    <m/>
    <m/>
    <s v="Phoebe Anne Fortaleza"/>
  </r>
  <r>
    <n v="1233"/>
    <x v="0"/>
    <x v="19"/>
    <s v="L000010938"/>
    <m/>
    <s v="L000013665"/>
    <x v="1"/>
    <x v="0"/>
    <x v="0"/>
    <x v="2"/>
    <m/>
    <m/>
    <s v="Phoebe Anne Fortaleza"/>
  </r>
  <r>
    <n v="1234"/>
    <x v="0"/>
    <x v="19"/>
    <s v="L000010939"/>
    <m/>
    <s v="L000013665"/>
    <x v="1"/>
    <x v="0"/>
    <x v="0"/>
    <x v="2"/>
    <m/>
    <m/>
    <s v="Phoebe Anne Fortaleza"/>
  </r>
  <r>
    <n v="1235"/>
    <x v="0"/>
    <x v="19"/>
    <s v="L000010940"/>
    <m/>
    <s v="L000013665"/>
    <x v="1"/>
    <x v="0"/>
    <x v="0"/>
    <x v="2"/>
    <m/>
    <m/>
    <s v="Phoebe Anne Fortaleza"/>
  </r>
  <r>
    <n v="1236"/>
    <x v="0"/>
    <x v="19"/>
    <s v="L000010941"/>
    <m/>
    <s v="L000013665"/>
    <x v="1"/>
    <x v="0"/>
    <x v="0"/>
    <x v="2"/>
    <m/>
    <m/>
    <s v="Phoebe Anne Fortaleza"/>
  </r>
  <r>
    <n v="1237"/>
    <x v="0"/>
    <x v="19"/>
    <s v="L000010947"/>
    <m/>
    <s v="L000013665"/>
    <x v="1"/>
    <x v="0"/>
    <x v="0"/>
    <x v="2"/>
    <m/>
    <m/>
    <s v="Phoebe Anne Fortaleza"/>
  </r>
  <r>
    <n v="1238"/>
    <x v="0"/>
    <x v="19"/>
    <s v="L000010948"/>
    <m/>
    <s v="L000013665"/>
    <x v="1"/>
    <x v="0"/>
    <x v="0"/>
    <x v="2"/>
    <m/>
    <m/>
    <s v="Phoebe Anne Fortaleza"/>
  </r>
  <r>
    <n v="1239"/>
    <x v="0"/>
    <x v="19"/>
    <s v="L000010949"/>
    <m/>
    <s v="L000013665"/>
    <x v="1"/>
    <x v="0"/>
    <x v="0"/>
    <x v="2"/>
    <m/>
    <m/>
    <s v="Phoebe Anne Fortaleza"/>
  </r>
  <r>
    <n v="1240"/>
    <x v="0"/>
    <x v="19"/>
    <s v="L000010956"/>
    <m/>
    <s v="L000013665"/>
    <x v="1"/>
    <x v="0"/>
    <x v="0"/>
    <x v="2"/>
    <m/>
    <m/>
    <s v="Phoebe Anne Fortaleza"/>
  </r>
  <r>
    <n v="1241"/>
    <x v="0"/>
    <x v="19"/>
    <s v="L000010957"/>
    <m/>
    <s v="L000013665"/>
    <x v="1"/>
    <x v="0"/>
    <x v="0"/>
    <x v="2"/>
    <m/>
    <m/>
    <s v="Phoebe Anne Fortaleza"/>
  </r>
  <r>
    <n v="1242"/>
    <x v="0"/>
    <x v="19"/>
    <s v="L000010958"/>
    <m/>
    <s v="L000013665"/>
    <x v="1"/>
    <x v="0"/>
    <x v="0"/>
    <x v="2"/>
    <m/>
    <m/>
    <s v="Phoebe Anne Fortaleza"/>
  </r>
  <r>
    <n v="1243"/>
    <x v="0"/>
    <x v="19"/>
    <s v="L000010975"/>
    <m/>
    <s v="L000013665"/>
    <x v="1"/>
    <x v="0"/>
    <x v="0"/>
    <x v="2"/>
    <m/>
    <m/>
    <s v="Phoebe Anne Fortaleza"/>
  </r>
  <r>
    <n v="1244"/>
    <x v="0"/>
    <x v="19"/>
    <s v="L000010990"/>
    <m/>
    <s v="L000013665"/>
    <x v="1"/>
    <x v="0"/>
    <x v="0"/>
    <x v="2"/>
    <m/>
    <m/>
    <s v="Phoebe Anne Fortaleza"/>
  </r>
  <r>
    <n v="1245"/>
    <x v="0"/>
    <x v="19"/>
    <s v="L000011004"/>
    <m/>
    <s v="L000013665"/>
    <x v="1"/>
    <x v="0"/>
    <x v="0"/>
    <x v="2"/>
    <m/>
    <m/>
    <s v="Phoebe Anne Fortaleza"/>
  </r>
  <r>
    <n v="1246"/>
    <x v="0"/>
    <x v="19"/>
    <s v="L000011005"/>
    <m/>
    <s v="L000013665"/>
    <x v="1"/>
    <x v="0"/>
    <x v="0"/>
    <x v="2"/>
    <m/>
    <m/>
    <s v="Phoebe Anne Fortaleza"/>
  </r>
  <r>
    <n v="1247"/>
    <x v="0"/>
    <x v="19"/>
    <s v="L000011011"/>
    <m/>
    <s v="L000013665"/>
    <x v="1"/>
    <x v="0"/>
    <x v="0"/>
    <x v="2"/>
    <m/>
    <m/>
    <s v="Phoebe Anne Fortaleza"/>
  </r>
  <r>
    <n v="1248"/>
    <x v="0"/>
    <x v="19"/>
    <s v="L000011012"/>
    <m/>
    <s v="L000013665"/>
    <x v="1"/>
    <x v="0"/>
    <x v="0"/>
    <x v="2"/>
    <m/>
    <m/>
    <s v="Phoebe Anne Fortaleza"/>
  </r>
  <r>
    <n v="1249"/>
    <x v="0"/>
    <x v="19"/>
    <s v="L000011013"/>
    <m/>
    <s v="L000013665"/>
    <x v="1"/>
    <x v="0"/>
    <x v="0"/>
    <x v="2"/>
    <m/>
    <m/>
    <s v="Phoebe Anne Fortaleza"/>
  </r>
  <r>
    <n v="1250"/>
    <x v="0"/>
    <x v="19"/>
    <s v="L000012298"/>
    <m/>
    <s v="L000013665"/>
    <x v="1"/>
    <x v="0"/>
    <x v="0"/>
    <x v="2"/>
    <m/>
    <m/>
    <s v="Phoebe Anne Fortaleza"/>
  </r>
  <r>
    <n v="1251"/>
    <x v="0"/>
    <x v="19"/>
    <s v="L000011021"/>
    <m/>
    <s v="L000013665"/>
    <x v="1"/>
    <x v="0"/>
    <x v="0"/>
    <x v="2"/>
    <m/>
    <m/>
    <s v="Phoebe Anne Fortaleza"/>
  </r>
  <r>
    <n v="1252"/>
    <x v="0"/>
    <x v="19"/>
    <s v="L000011022"/>
    <m/>
    <s v="L000013665"/>
    <x v="1"/>
    <x v="0"/>
    <x v="0"/>
    <x v="2"/>
    <m/>
    <m/>
    <s v="Phoebe Anne Fortaleza"/>
  </r>
  <r>
    <n v="1253"/>
    <x v="0"/>
    <x v="19"/>
    <s v="L000011026"/>
    <m/>
    <s v="L000013665"/>
    <x v="1"/>
    <x v="0"/>
    <x v="0"/>
    <x v="2"/>
    <m/>
    <m/>
    <s v="Phoebe Anne Fortaleza"/>
  </r>
  <r>
    <n v="1254"/>
    <x v="0"/>
    <x v="19"/>
    <s v="L000011028"/>
    <m/>
    <s v="L000013665"/>
    <x v="1"/>
    <x v="0"/>
    <x v="0"/>
    <x v="2"/>
    <m/>
    <m/>
    <s v="Phoebe Anne Fortaleza"/>
  </r>
  <r>
    <n v="1255"/>
    <x v="0"/>
    <x v="19"/>
    <s v="L000011035"/>
    <m/>
    <s v="L000013665"/>
    <x v="1"/>
    <x v="0"/>
    <x v="0"/>
    <x v="2"/>
    <m/>
    <m/>
    <s v="Phoebe Anne Fortaleza"/>
  </r>
  <r>
    <n v="1256"/>
    <x v="0"/>
    <x v="19"/>
    <s v="L000011037"/>
    <m/>
    <s v="L000013665"/>
    <x v="1"/>
    <x v="0"/>
    <x v="0"/>
    <x v="2"/>
    <m/>
    <m/>
    <s v="Phoebe Anne Fortaleza"/>
  </r>
  <r>
    <n v="1257"/>
    <x v="0"/>
    <x v="19"/>
    <s v="L000011040"/>
    <m/>
    <s v="L000013665"/>
    <x v="1"/>
    <x v="0"/>
    <x v="0"/>
    <x v="2"/>
    <m/>
    <m/>
    <s v="Phoebe Anne Fortaleza"/>
  </r>
  <r>
    <n v="1258"/>
    <x v="0"/>
    <x v="19"/>
    <s v="L000011046"/>
    <m/>
    <s v="L000013665"/>
    <x v="1"/>
    <x v="0"/>
    <x v="0"/>
    <x v="2"/>
    <m/>
    <m/>
    <s v="Phoebe Anne Fortaleza"/>
  </r>
  <r>
    <n v="1259"/>
    <x v="0"/>
    <x v="19"/>
    <s v="L000012303"/>
    <m/>
    <s v="L000013665"/>
    <x v="1"/>
    <x v="0"/>
    <x v="0"/>
    <x v="2"/>
    <m/>
    <m/>
    <s v="Phoebe Anne Fortaleza"/>
  </r>
  <r>
    <n v="1260"/>
    <x v="0"/>
    <x v="19"/>
    <s v="L000012304"/>
    <m/>
    <s v="L000013665"/>
    <x v="1"/>
    <x v="0"/>
    <x v="0"/>
    <x v="2"/>
    <m/>
    <m/>
    <s v="Phoebe Anne Fortaleza"/>
  </r>
  <r>
    <n v="1261"/>
    <x v="0"/>
    <x v="19"/>
    <s v="L000011048"/>
    <m/>
    <s v="L000013665"/>
    <x v="1"/>
    <x v="0"/>
    <x v="0"/>
    <x v="2"/>
    <m/>
    <m/>
    <s v="Phoebe Anne Fortaleza"/>
  </r>
  <r>
    <n v="1262"/>
    <x v="0"/>
    <x v="19"/>
    <s v="L000011064"/>
    <m/>
    <s v="L000013665"/>
    <x v="1"/>
    <x v="0"/>
    <x v="0"/>
    <x v="2"/>
    <m/>
    <m/>
    <s v="Phoebe Anne Fortaleza"/>
  </r>
  <r>
    <n v="1263"/>
    <x v="0"/>
    <x v="19"/>
    <s v="L000011065"/>
    <m/>
    <s v="L000013665"/>
    <x v="1"/>
    <x v="0"/>
    <x v="0"/>
    <x v="2"/>
    <m/>
    <m/>
    <s v="Phoebe Anne Fortaleza"/>
  </r>
  <r>
    <n v="1264"/>
    <x v="0"/>
    <x v="19"/>
    <s v="L000011066"/>
    <m/>
    <s v="L000013665"/>
    <x v="1"/>
    <x v="0"/>
    <x v="0"/>
    <x v="2"/>
    <m/>
    <m/>
    <s v="Phoebe Anne Fortaleza"/>
  </r>
  <r>
    <n v="1265"/>
    <x v="0"/>
    <x v="19"/>
    <s v="L000011075"/>
    <m/>
    <s v="L000013665"/>
    <x v="1"/>
    <x v="0"/>
    <x v="0"/>
    <x v="2"/>
    <m/>
    <m/>
    <s v="Phoebe Anne Fortaleza"/>
  </r>
  <r>
    <n v="1266"/>
    <x v="0"/>
    <x v="19"/>
    <s v="L000011079"/>
    <m/>
    <s v="L000013665"/>
    <x v="1"/>
    <x v="0"/>
    <x v="0"/>
    <x v="2"/>
    <m/>
    <m/>
    <s v="Phoebe Anne Fortaleza"/>
  </r>
  <r>
    <n v="1267"/>
    <x v="0"/>
    <x v="19"/>
    <s v="L000011086"/>
    <m/>
    <s v="L000013665"/>
    <x v="1"/>
    <x v="0"/>
    <x v="0"/>
    <x v="2"/>
    <m/>
    <m/>
    <s v="Phoebe Anne Fortaleza"/>
  </r>
  <r>
    <n v="1268"/>
    <x v="0"/>
    <x v="19"/>
    <s v="L000011091"/>
    <m/>
    <s v="L000013665"/>
    <x v="1"/>
    <x v="0"/>
    <x v="0"/>
    <x v="2"/>
    <m/>
    <m/>
    <s v="Phoebe Anne Fortaleza"/>
  </r>
  <r>
    <n v="1269"/>
    <x v="0"/>
    <x v="19"/>
    <s v="L000011092"/>
    <m/>
    <s v="L000013665"/>
    <x v="1"/>
    <x v="0"/>
    <x v="0"/>
    <x v="2"/>
    <m/>
    <m/>
    <s v="Phoebe Anne Fortaleza"/>
  </r>
  <r>
    <n v="1270"/>
    <x v="0"/>
    <x v="19"/>
    <s v="L000011095"/>
    <m/>
    <s v="L000013665"/>
    <x v="1"/>
    <x v="0"/>
    <x v="0"/>
    <x v="2"/>
    <m/>
    <m/>
    <s v="Phoebe Anne Fortaleza"/>
  </r>
  <r>
    <n v="1271"/>
    <x v="0"/>
    <x v="19"/>
    <s v="L000011096"/>
    <m/>
    <s v="L000013665"/>
    <x v="1"/>
    <x v="0"/>
    <x v="0"/>
    <x v="2"/>
    <m/>
    <m/>
    <s v="Phoebe Anne Fortaleza"/>
  </r>
  <r>
    <n v="1272"/>
    <x v="0"/>
    <x v="19"/>
    <s v="L000012300"/>
    <m/>
    <s v="L000013665"/>
    <x v="1"/>
    <x v="0"/>
    <x v="0"/>
    <x v="2"/>
    <m/>
    <m/>
    <s v="Phoebe Anne Fortaleza"/>
  </r>
  <r>
    <n v="1273"/>
    <x v="0"/>
    <x v="19"/>
    <s v="L000012301"/>
    <m/>
    <s v="L000013665"/>
    <x v="1"/>
    <x v="0"/>
    <x v="0"/>
    <x v="2"/>
    <m/>
    <m/>
    <s v="Phoebe Anne Fortaleza"/>
  </r>
  <r>
    <n v="1274"/>
    <x v="0"/>
    <x v="19"/>
    <s v="L000011101"/>
    <m/>
    <s v="L000013665"/>
    <x v="1"/>
    <x v="0"/>
    <x v="0"/>
    <x v="2"/>
    <m/>
    <m/>
    <s v="Phoebe Anne Fortaleza"/>
  </r>
  <r>
    <n v="1275"/>
    <x v="0"/>
    <x v="19"/>
    <s v="L000011102"/>
    <m/>
    <s v="L000013665"/>
    <x v="1"/>
    <x v="0"/>
    <x v="0"/>
    <x v="2"/>
    <m/>
    <m/>
    <s v="Phoebe Anne Fortaleza"/>
  </r>
  <r>
    <n v="1276"/>
    <x v="0"/>
    <x v="19"/>
    <s v="L000011140"/>
    <m/>
    <s v="L000013665"/>
    <x v="1"/>
    <x v="0"/>
    <x v="0"/>
    <x v="2"/>
    <m/>
    <m/>
    <s v="Phoebe Anne Fortaleza"/>
  </r>
  <r>
    <n v="1277"/>
    <x v="0"/>
    <x v="19"/>
    <s v="L000011141"/>
    <m/>
    <s v="L000013665"/>
    <x v="1"/>
    <x v="0"/>
    <x v="0"/>
    <x v="2"/>
    <m/>
    <m/>
    <s v="Phoebe Anne Fortaleza"/>
  </r>
  <r>
    <n v="1278"/>
    <x v="0"/>
    <x v="19"/>
    <s v="L000011142"/>
    <m/>
    <s v="L000013665"/>
    <x v="1"/>
    <x v="0"/>
    <x v="0"/>
    <x v="2"/>
    <m/>
    <m/>
    <s v="Phoebe Anne Fortaleza"/>
  </r>
  <r>
    <n v="1279"/>
    <x v="0"/>
    <x v="19"/>
    <s v="L000011143"/>
    <m/>
    <s v="L000013665"/>
    <x v="1"/>
    <x v="0"/>
    <x v="0"/>
    <x v="2"/>
    <m/>
    <m/>
    <s v="Phoebe Anne Fortaleza"/>
  </r>
  <r>
    <n v="1280"/>
    <x v="0"/>
    <x v="19"/>
    <s v="L000011340"/>
    <m/>
    <s v="L000013665"/>
    <x v="1"/>
    <x v="0"/>
    <x v="0"/>
    <x v="2"/>
    <m/>
    <m/>
    <s v="Phoebe Anne Fortaleza"/>
  </r>
  <r>
    <n v="1281"/>
    <x v="0"/>
    <x v="19"/>
    <s v="L000011342"/>
    <m/>
    <s v="L000013665"/>
    <x v="1"/>
    <x v="0"/>
    <x v="0"/>
    <x v="2"/>
    <m/>
    <m/>
    <s v="Phoebe Anne Fortaleza"/>
  </r>
  <r>
    <n v="1282"/>
    <x v="0"/>
    <x v="19"/>
    <s v="L000011343"/>
    <m/>
    <s v="L000013665"/>
    <x v="1"/>
    <x v="0"/>
    <x v="0"/>
    <x v="2"/>
    <m/>
    <m/>
    <s v="Phoebe Anne Fortaleza"/>
  </r>
  <r>
    <n v="1283"/>
    <x v="0"/>
    <x v="19"/>
    <s v="L000012254"/>
    <m/>
    <s v="L000013665"/>
    <x v="1"/>
    <x v="0"/>
    <x v="0"/>
    <x v="2"/>
    <m/>
    <m/>
    <s v="Phoebe Anne Fortaleza"/>
  </r>
  <r>
    <n v="1284"/>
    <x v="0"/>
    <x v="19"/>
    <s v="L000012255"/>
    <m/>
    <s v="L000013665"/>
    <x v="1"/>
    <x v="0"/>
    <x v="0"/>
    <x v="2"/>
    <m/>
    <m/>
    <s v="Phoebe Anne Fortaleza"/>
  </r>
  <r>
    <n v="1285"/>
    <x v="0"/>
    <x v="19"/>
    <s v="L000012256"/>
    <m/>
    <s v="L000013665"/>
    <x v="1"/>
    <x v="0"/>
    <x v="0"/>
    <x v="2"/>
    <m/>
    <m/>
    <s v="Phoebe Anne Fortaleza"/>
  </r>
  <r>
    <n v="1286"/>
    <x v="0"/>
    <x v="19"/>
    <s v="L000012257"/>
    <m/>
    <s v="L000013665"/>
    <x v="1"/>
    <x v="0"/>
    <x v="0"/>
    <x v="2"/>
    <m/>
    <m/>
    <s v="Phoebe Anne Fortaleza"/>
  </r>
  <r>
    <n v="1287"/>
    <x v="0"/>
    <x v="19"/>
    <s v="L000012258"/>
    <m/>
    <s v="L000013665"/>
    <x v="1"/>
    <x v="0"/>
    <x v="0"/>
    <x v="2"/>
    <m/>
    <m/>
    <s v="Phoebe Anne Fortaleza"/>
  </r>
  <r>
    <n v="1288"/>
    <x v="0"/>
    <x v="19"/>
    <s v="L000012259"/>
    <m/>
    <s v="L000013665"/>
    <x v="1"/>
    <x v="0"/>
    <x v="0"/>
    <x v="2"/>
    <m/>
    <m/>
    <s v="Phoebe Anne Fortaleza"/>
  </r>
  <r>
    <n v="1289"/>
    <x v="0"/>
    <x v="19"/>
    <s v="L000012906"/>
    <m/>
    <s v="L000013665"/>
    <x v="1"/>
    <x v="0"/>
    <x v="0"/>
    <x v="2"/>
    <m/>
    <m/>
    <s v="Phoebe Anne Fortaleza"/>
  </r>
  <r>
    <n v="1290"/>
    <x v="0"/>
    <x v="19"/>
    <s v="L000012907"/>
    <m/>
    <s v="L000013665"/>
    <x v="1"/>
    <x v="0"/>
    <x v="0"/>
    <x v="2"/>
    <m/>
    <m/>
    <s v="Phoebe Anne Fortaleza"/>
  </r>
  <r>
    <n v="1291"/>
    <x v="0"/>
    <x v="19"/>
    <s v="L000012912"/>
    <m/>
    <s v="L000013665"/>
    <x v="1"/>
    <x v="0"/>
    <x v="0"/>
    <x v="2"/>
    <m/>
    <m/>
    <s v="Phoebe Anne Fortaleza"/>
  </r>
  <r>
    <n v="1292"/>
    <x v="0"/>
    <x v="19"/>
    <s v="L000013099"/>
    <m/>
    <s v="L000013665"/>
    <x v="1"/>
    <x v="0"/>
    <x v="0"/>
    <x v="2"/>
    <m/>
    <m/>
    <s v="Phoebe Anne Fortaleza"/>
  </r>
  <r>
    <n v="1293"/>
    <x v="0"/>
    <x v="19"/>
    <s v="L000013100"/>
    <m/>
    <s v="L000013665"/>
    <x v="1"/>
    <x v="0"/>
    <x v="0"/>
    <x v="2"/>
    <m/>
    <m/>
    <s v="Phoebe Anne Fortaleza"/>
  </r>
  <r>
    <n v="1294"/>
    <x v="0"/>
    <x v="19"/>
    <s v="L000013104"/>
    <m/>
    <s v="L000013665"/>
    <x v="1"/>
    <x v="0"/>
    <x v="0"/>
    <x v="2"/>
    <m/>
    <m/>
    <s v="Phoebe Anne Fortaleza"/>
  </r>
  <r>
    <n v="1295"/>
    <x v="0"/>
    <x v="19"/>
    <s v="L000013363"/>
    <m/>
    <s v="L000013665"/>
    <x v="1"/>
    <x v="0"/>
    <x v="0"/>
    <x v="2"/>
    <m/>
    <m/>
    <s v="Phoebe Anne Fortaleza"/>
  </r>
  <r>
    <n v="1296"/>
    <x v="0"/>
    <x v="19"/>
    <s v="L000013364"/>
    <m/>
    <s v="L000013665"/>
    <x v="1"/>
    <x v="0"/>
    <x v="0"/>
    <x v="2"/>
    <m/>
    <m/>
    <s v="Phoebe Anne Fortaleza"/>
  </r>
  <r>
    <n v="1297"/>
    <x v="0"/>
    <x v="19"/>
    <s v="L000013474"/>
    <m/>
    <s v="L000013665"/>
    <x v="1"/>
    <x v="0"/>
    <x v="0"/>
    <x v="2"/>
    <m/>
    <m/>
    <s v="Phoebe Anne Fortaleza"/>
  </r>
  <r>
    <n v="1298"/>
    <x v="0"/>
    <x v="20"/>
    <s v="P000000832"/>
    <s v="EL-TF-I Dielectrics Business"/>
    <s v="P000000641"/>
    <x v="4"/>
    <x v="0"/>
    <x v="0"/>
    <x v="3"/>
    <m/>
    <m/>
    <s v="Edward Arevalo"/>
  </r>
  <r>
    <n v="1299"/>
    <x v="0"/>
    <x v="20"/>
    <s v="P000000833"/>
    <s v="EL-TF-M Metallics Business"/>
    <s v="P000000641"/>
    <x v="4"/>
    <x v="0"/>
    <x v="0"/>
    <x v="3"/>
    <m/>
    <m/>
    <s v="Edward Arevalo"/>
  </r>
  <r>
    <n v="1300"/>
    <x v="0"/>
    <x v="21"/>
    <s v="P000000537"/>
    <m/>
    <s v="O000000009"/>
    <x v="3"/>
    <x v="0"/>
    <x v="0"/>
    <x v="3"/>
    <m/>
    <m/>
    <s v="Andreas Demmig"/>
  </r>
  <r>
    <n v="1301"/>
    <x v="0"/>
    <x v="21"/>
    <s v="P000000208"/>
    <m/>
    <s v="O000000009"/>
    <x v="3"/>
    <x v="0"/>
    <x v="0"/>
    <x v="3"/>
    <m/>
    <m/>
    <s v="Andreas Demmig"/>
  </r>
  <r>
    <n v="1302"/>
    <x v="0"/>
    <x v="21"/>
    <s v="P000000519"/>
    <m/>
    <s v="O000000009"/>
    <x v="3"/>
    <x v="0"/>
    <x v="0"/>
    <x v="3"/>
    <m/>
    <m/>
    <s v="Andreas Demmig"/>
  </r>
  <r>
    <n v="1303"/>
    <x v="0"/>
    <x v="21"/>
    <s v="P000000580"/>
    <m/>
    <s v="O000000009"/>
    <x v="3"/>
    <x v="0"/>
    <x v="0"/>
    <x v="3"/>
    <m/>
    <m/>
    <s v="Andreas Demmig"/>
  </r>
  <r>
    <n v="1304"/>
    <x v="0"/>
    <x v="21"/>
    <s v="P000000529"/>
    <m/>
    <s v="O000000009"/>
    <x v="3"/>
    <x v="0"/>
    <x v="0"/>
    <x v="3"/>
    <m/>
    <m/>
    <s v="Andreas Demmig"/>
  </r>
  <r>
    <n v="1305"/>
    <x v="0"/>
    <x v="21"/>
    <s v="P000000530"/>
    <m/>
    <s v="O000000009"/>
    <x v="3"/>
    <x v="0"/>
    <x v="0"/>
    <x v="3"/>
    <m/>
    <m/>
    <s v="Andreas Demmig"/>
  </r>
  <r>
    <n v="1306"/>
    <x v="0"/>
    <x v="21"/>
    <s v="P000000531"/>
    <m/>
    <s v="O000000009"/>
    <x v="3"/>
    <x v="0"/>
    <x v="0"/>
    <x v="3"/>
    <m/>
    <m/>
    <s v="Andreas Demmig"/>
  </r>
  <r>
    <n v="1307"/>
    <x v="0"/>
    <x v="21"/>
    <s v="P000000532"/>
    <m/>
    <s v="O000000009"/>
    <x v="3"/>
    <x v="0"/>
    <x v="0"/>
    <x v="3"/>
    <m/>
    <m/>
    <s v="Andreas Demmig"/>
  </r>
  <r>
    <n v="1308"/>
    <x v="0"/>
    <x v="21"/>
    <s v="P000000632"/>
    <m/>
    <s v="O000000009"/>
    <x v="3"/>
    <x v="0"/>
    <x v="0"/>
    <x v="3"/>
    <m/>
    <m/>
    <s v="Andreas Demmig"/>
  </r>
  <r>
    <n v="1309"/>
    <x v="0"/>
    <x v="21"/>
    <s v="P000000633"/>
    <m/>
    <s v="O000000009"/>
    <x v="3"/>
    <x v="0"/>
    <x v="0"/>
    <x v="3"/>
    <m/>
    <m/>
    <s v="Andreas Demmig"/>
  </r>
  <r>
    <n v="1310"/>
    <x v="0"/>
    <x v="21"/>
    <s v="P000000634"/>
    <m/>
    <s v="O000000009"/>
    <x v="3"/>
    <x v="0"/>
    <x v="0"/>
    <x v="3"/>
    <m/>
    <m/>
    <s v="Andreas Demmig"/>
  </r>
  <r>
    <n v="1311"/>
    <x v="0"/>
    <x v="21"/>
    <s v="P000000407"/>
    <m/>
    <s v="O000000009"/>
    <x v="3"/>
    <x v="0"/>
    <x v="0"/>
    <x v="3"/>
    <m/>
    <m/>
    <s v="Andreas Demmig"/>
  </r>
  <r>
    <n v="1312"/>
    <x v="0"/>
    <x v="21"/>
    <s v="P000000539"/>
    <m/>
    <s v="O000000009"/>
    <x v="3"/>
    <x v="0"/>
    <x v="0"/>
    <x v="3"/>
    <m/>
    <m/>
    <s v="Andreas Demmig"/>
  </r>
  <r>
    <n v="1313"/>
    <x v="0"/>
    <x v="21"/>
    <s v="P000001143"/>
    <s v="Formulated Materials"/>
    <s v="P000000000"/>
    <x v="0"/>
    <x v="0"/>
    <x v="0"/>
    <x v="3"/>
    <m/>
    <m/>
    <s v="Andreas Demmig"/>
  </r>
  <r>
    <n v="1314"/>
    <x v="0"/>
    <x v="21"/>
    <s v="P000001144"/>
    <s v="Commercial"/>
    <s v="P000000707"/>
    <x v="0"/>
    <x v="0"/>
    <x v="0"/>
    <x v="3"/>
    <m/>
    <m/>
    <s v="Andreas Demmig"/>
  </r>
  <r>
    <n v="1315"/>
    <x v="0"/>
    <x v="21"/>
    <s v="P000001145"/>
    <s v="Customer Service"/>
    <s v="P000000707"/>
    <x v="0"/>
    <x v="0"/>
    <x v="0"/>
    <x v="3"/>
    <m/>
    <m/>
    <s v="Andreas Demmig"/>
  </r>
  <r>
    <n v="1316"/>
    <x v="0"/>
    <x v="21"/>
    <s v="P000001146"/>
    <s v="S&amp;OP"/>
    <s v="P000000707"/>
    <x v="0"/>
    <x v="0"/>
    <x v="0"/>
    <x v="3"/>
    <m/>
    <m/>
    <s v="Andreas Demmig"/>
  </r>
  <r>
    <n v="1317"/>
    <x v="0"/>
    <x v="21"/>
    <s v="P000001147"/>
    <s v="Product Management"/>
    <s v="P000000707"/>
    <x v="0"/>
    <x v="0"/>
    <x v="0"/>
    <x v="3"/>
    <m/>
    <m/>
    <s v="Andreas Demmig"/>
  </r>
  <r>
    <n v="1318"/>
    <x v="0"/>
    <x v="21"/>
    <s v="P000001148"/>
    <s v="Commercial"/>
    <s v="P000000721"/>
    <x v="0"/>
    <x v="0"/>
    <x v="0"/>
    <x v="3"/>
    <m/>
    <m/>
    <s v="Andreas Demmig"/>
  </r>
  <r>
    <n v="1319"/>
    <x v="0"/>
    <x v="21"/>
    <s v="P000001149"/>
    <s v="Customer Service"/>
    <s v="P000000721"/>
    <x v="0"/>
    <x v="0"/>
    <x v="0"/>
    <x v="3"/>
    <m/>
    <m/>
    <s v="Andreas Demmig"/>
  </r>
  <r>
    <n v="1320"/>
    <x v="0"/>
    <x v="21"/>
    <s v="P000001150"/>
    <s v="S&amp;OP"/>
    <s v="P000000721"/>
    <x v="0"/>
    <x v="0"/>
    <x v="0"/>
    <x v="3"/>
    <m/>
    <m/>
    <s v="Andreas Demmig"/>
  </r>
  <r>
    <n v="1321"/>
    <x v="0"/>
    <x v="21"/>
    <s v="P000001151"/>
    <s v="Product Management"/>
    <s v="P000000721"/>
    <x v="0"/>
    <x v="0"/>
    <x v="0"/>
    <x v="3"/>
    <m/>
    <m/>
    <s v="Andreas Demmig"/>
  </r>
  <r>
    <n v="1322"/>
    <x v="0"/>
    <x v="21"/>
    <s v="P000001152"/>
    <s v="Commercial"/>
    <s v="P000000728"/>
    <x v="0"/>
    <x v="0"/>
    <x v="0"/>
    <x v="3"/>
    <m/>
    <m/>
    <s v="Andreas Demmig"/>
  </r>
  <r>
    <n v="1323"/>
    <x v="0"/>
    <x v="21"/>
    <s v="P000001153"/>
    <s v="Customer Service"/>
    <s v="P000000728"/>
    <x v="0"/>
    <x v="0"/>
    <x v="0"/>
    <x v="3"/>
    <m/>
    <m/>
    <s v="Andreas Demmig"/>
  </r>
  <r>
    <n v="1324"/>
    <x v="0"/>
    <x v="21"/>
    <s v="P000001154"/>
    <s v="S&amp;OP"/>
    <s v="P000000728"/>
    <x v="0"/>
    <x v="0"/>
    <x v="0"/>
    <x v="3"/>
    <m/>
    <m/>
    <s v="Andreas Demmig"/>
  </r>
  <r>
    <n v="1325"/>
    <x v="0"/>
    <x v="21"/>
    <s v="P000001155"/>
    <s v="Product Management"/>
    <s v="P000000728"/>
    <x v="0"/>
    <x v="0"/>
    <x v="0"/>
    <x v="3"/>
    <m/>
    <m/>
    <s v="Andreas Demmig"/>
  </r>
  <r>
    <n v="1326"/>
    <x v="0"/>
    <x v="21"/>
    <s v="P000001156"/>
    <s v="EL-ND-N PMO"/>
    <s v="P000000706"/>
    <x v="0"/>
    <x v="0"/>
    <x v="0"/>
    <x v="3"/>
    <m/>
    <m/>
    <s v="Andreas Demmig"/>
  </r>
  <r>
    <n v="1327"/>
    <x v="0"/>
    <x v="21"/>
    <s v="P000001157"/>
    <s v="EL-ND-A PMO"/>
    <s v="P000000720"/>
    <x v="0"/>
    <x v="0"/>
    <x v="0"/>
    <x v="3"/>
    <m/>
    <m/>
    <s v="Andreas Demmig"/>
  </r>
  <r>
    <n v="1328"/>
    <x v="0"/>
    <x v="21"/>
    <s v="P000001158"/>
    <s v="EL-ND-K PMO"/>
    <s v="P000000727"/>
    <x v="0"/>
    <x v="0"/>
    <x v="0"/>
    <x v="3"/>
    <m/>
    <m/>
    <s v="Andreas Demmig"/>
  </r>
  <r>
    <n v="1329"/>
    <x v="0"/>
    <x v="21"/>
    <s v="P000001159"/>
    <s v="EL-CC Chief Commercial Office"/>
    <s v="P000000000"/>
    <x v="0"/>
    <x v="0"/>
    <x v="0"/>
    <x v="3"/>
    <m/>
    <m/>
    <s v="Andreas Demmig"/>
  </r>
  <r>
    <n v="1330"/>
    <x v="0"/>
    <x v="21"/>
    <s v="P000000087"/>
    <s v="DIS-JP-AT, Atsugi, Japan"/>
    <m/>
    <x v="2"/>
    <x v="0"/>
    <x v="0"/>
    <x v="3"/>
    <m/>
    <m/>
    <s v="Andreas Demmig"/>
  </r>
  <r>
    <n v="1331"/>
    <x v="0"/>
    <x v="21"/>
    <s v="P000000056"/>
    <s v="DIS-DE-DA, Darmstadt, Germany"/>
    <m/>
    <x v="2"/>
    <x v="0"/>
    <x v="0"/>
    <x v="3"/>
    <m/>
    <m/>
    <s v="Andreas Demmig"/>
  </r>
  <r>
    <n v="1332"/>
    <x v="0"/>
    <x v="21"/>
    <s v="P000000097"/>
    <s v="DIS-CN-SU, Suzhou, China"/>
    <m/>
    <x v="2"/>
    <x v="0"/>
    <x v="0"/>
    <x v="3"/>
    <m/>
    <m/>
    <s v="Andreas Demmig"/>
  </r>
  <r>
    <n v="1333"/>
    <x v="0"/>
    <x v="21"/>
    <s v="P000000137"/>
    <s v="DIS-CN-SH, Shanghai, China"/>
    <m/>
    <x v="2"/>
    <x v="0"/>
    <x v="0"/>
    <x v="3"/>
    <m/>
    <m/>
    <s v="Andreas Demmig"/>
  </r>
  <r>
    <n v="1334"/>
    <x v="0"/>
    <x v="21"/>
    <s v="P000000107"/>
    <s v="DIS-TW-TA, Taoyuan, Taiwan"/>
    <m/>
    <x v="2"/>
    <x v="0"/>
    <x v="0"/>
    <x v="3"/>
    <m/>
    <m/>
    <s v="Andreas Demmig"/>
  </r>
  <r>
    <n v="1335"/>
    <x v="0"/>
    <x v="21"/>
    <s v="P000000117"/>
    <s v="DIS-TW-HS, Hsinchu, Taiwan"/>
    <m/>
    <x v="2"/>
    <x v="0"/>
    <x v="0"/>
    <x v="3"/>
    <m/>
    <m/>
    <s v="Andreas Demmig"/>
  </r>
  <r>
    <n v="1336"/>
    <x v="0"/>
    <x v="21"/>
    <s v="P000000127"/>
    <s v="DIS-KR-PO, Poseung, S. Korea"/>
    <m/>
    <x v="2"/>
    <x v="0"/>
    <x v="0"/>
    <x v="3"/>
    <m/>
    <m/>
    <s v="Andreas Demmig"/>
  </r>
  <r>
    <n v="1337"/>
    <x v="0"/>
    <x v="21"/>
    <s v="P000000179"/>
    <s v="SRF-US-UB, Urbana, USA"/>
    <m/>
    <x v="2"/>
    <x v="0"/>
    <x v="0"/>
    <x v="3"/>
    <m/>
    <m/>
    <s v="Andreas Demmig"/>
  </r>
  <r>
    <n v="1338"/>
    <x v="0"/>
    <x v="21"/>
    <s v="P000000189"/>
    <s v="SRF-DE-PG, Gernsheim, Germany"/>
    <m/>
    <x v="2"/>
    <x v="0"/>
    <x v="0"/>
    <x v="3"/>
    <m/>
    <m/>
    <s v="Andreas Demmig"/>
  </r>
  <r>
    <n v="1339"/>
    <x v="0"/>
    <x v="21"/>
    <s v="P000000169"/>
    <s v="SRF-JP-ON, Onahama, Japan"/>
    <m/>
    <x v="2"/>
    <x v="0"/>
    <x v="0"/>
    <x v="3"/>
    <m/>
    <m/>
    <s v="Andreas Demmig"/>
  </r>
  <r>
    <n v="1340"/>
    <x v="0"/>
    <x v="21"/>
    <s v="P000000159"/>
    <s v="SRF-US-SA, Savannah, USA"/>
    <m/>
    <x v="2"/>
    <x v="0"/>
    <x v="0"/>
    <x v="3"/>
    <m/>
    <m/>
    <s v="Andreas Demmig"/>
  </r>
  <r>
    <n v="1341"/>
    <x v="0"/>
    <x v="21"/>
    <s v="P000000149"/>
    <s v="SRF-IN-KH, Khopoli, India"/>
    <m/>
    <x v="2"/>
    <x v="0"/>
    <x v="0"/>
    <x v="3"/>
    <m/>
    <m/>
    <s v="Andreas Demmig"/>
  </r>
  <r>
    <n v="1342"/>
    <x v="0"/>
    <x v="21"/>
    <s v="P000000259"/>
    <s v="PAT-US-MA, Martin, USA"/>
    <m/>
    <x v="2"/>
    <x v="0"/>
    <x v="0"/>
    <x v="3"/>
    <m/>
    <m/>
    <s v="Andreas Demmig"/>
  </r>
  <r>
    <n v="1343"/>
    <x v="0"/>
    <x v="21"/>
    <s v="P000000514"/>
    <s v="SPG-KR-UL, Ulsan, S. Korea"/>
    <m/>
    <x v="2"/>
    <x v="0"/>
    <x v="0"/>
    <x v="3"/>
    <m/>
    <m/>
    <s v="Andreas Demmig"/>
  </r>
  <r>
    <n v="1344"/>
    <x v="0"/>
    <x v="21"/>
    <s v="P000000518"/>
    <s v="SPG-US-CT, Catoosa, USA"/>
    <m/>
    <x v="2"/>
    <x v="0"/>
    <x v="0"/>
    <x v="3"/>
    <m/>
    <m/>
    <s v="Andreas Demmig"/>
  </r>
  <r>
    <n v="1345"/>
    <x v="0"/>
    <x v="21"/>
    <s v="P000000544"/>
    <s v="Thin Film R&amp;D"/>
    <m/>
    <x v="2"/>
    <x v="0"/>
    <x v="0"/>
    <x v="3"/>
    <m/>
    <m/>
    <s v="Andreas Demmig"/>
  </r>
  <r>
    <n v="1346"/>
    <x v="0"/>
    <x v="21"/>
    <s v="P000000545"/>
    <s v="Patterning R&amp;D"/>
    <m/>
    <x v="2"/>
    <x v="0"/>
    <x v="0"/>
    <x v="3"/>
    <m/>
    <m/>
    <s v="Andreas Demmig"/>
  </r>
  <r>
    <n v="1347"/>
    <x v="0"/>
    <x v="21"/>
    <s v="P000000547"/>
    <s v="Specialty Gases R&amp;D"/>
    <m/>
    <x v="2"/>
    <x v="0"/>
    <x v="0"/>
    <x v="3"/>
    <m/>
    <m/>
    <s v="Andreas Demmig"/>
  </r>
  <r>
    <n v="1348"/>
    <x v="0"/>
    <x v="21"/>
    <s v="P000000967"/>
    <s v="DSS-US-VT, Allentown, USA"/>
    <m/>
    <x v="2"/>
    <x v="0"/>
    <x v="0"/>
    <x v="3"/>
    <m/>
    <m/>
    <s v="Andreas Demmig"/>
  </r>
  <r>
    <n v="1349"/>
    <x v="0"/>
    <x v="21"/>
    <s v="P000000972"/>
    <s v="DSS-US-CH, Chandler, USA"/>
    <m/>
    <x v="2"/>
    <x v="0"/>
    <x v="0"/>
    <x v="3"/>
    <m/>
    <m/>
    <s v="Andreas Demmig"/>
  </r>
  <r>
    <n v="1350"/>
    <x v="0"/>
    <x v="21"/>
    <s v="P000000994"/>
    <s v="DSS-KR-HY, Ansan, S. Korea"/>
    <m/>
    <x v="2"/>
    <x v="0"/>
    <x v="0"/>
    <x v="3"/>
    <m/>
    <m/>
    <s v="Andreas Demmig"/>
  </r>
  <r>
    <n v="1351"/>
    <x v="0"/>
    <x v="21"/>
    <s v="P000000022"/>
    <s v="EL-DS-W LC Windows"/>
    <m/>
    <x v="2"/>
    <x v="0"/>
    <x v="0"/>
    <x v="3"/>
    <m/>
    <m/>
    <s v="Andreas Demmig"/>
  </r>
  <r>
    <n v="1352"/>
    <x v="0"/>
    <x v="21"/>
    <s v="P000001109"/>
    <s v="EL-DS-L LC/DPM"/>
    <m/>
    <x v="2"/>
    <x v="0"/>
    <x v="0"/>
    <x v="3"/>
    <m/>
    <m/>
    <s v="Andreas Demmig"/>
  </r>
  <r>
    <n v="1353"/>
    <x v="0"/>
    <x v="21"/>
    <s v="P000001110"/>
    <s v="EL-DS-LC LC/DPM Sales CN"/>
    <m/>
    <x v="2"/>
    <x v="0"/>
    <x v="0"/>
    <x v="3"/>
    <m/>
    <m/>
    <s v="Andreas Demmig"/>
  </r>
  <r>
    <n v="1354"/>
    <x v="0"/>
    <x v="21"/>
    <s v="P000001111"/>
    <s v="EL-DS-LT LC/DPM Sales TW &amp; JP"/>
    <m/>
    <x v="2"/>
    <x v="0"/>
    <x v="0"/>
    <x v="3"/>
    <m/>
    <m/>
    <s v="Andreas Demmig"/>
  </r>
  <r>
    <n v="1355"/>
    <x v="0"/>
    <x v="21"/>
    <s v="P000001112"/>
    <s v="EL-DS-LM LC/DPM Marketing"/>
    <m/>
    <x v="2"/>
    <x v="0"/>
    <x v="0"/>
    <x v="3"/>
    <m/>
    <m/>
    <s v="Andreas Demmig"/>
  </r>
  <r>
    <n v="1356"/>
    <x v="0"/>
    <x v="21"/>
    <s v="P000001113"/>
    <s v="EL-DS-LM LC/DPM Marketing Organization"/>
    <m/>
    <x v="2"/>
    <x v="0"/>
    <x v="0"/>
    <x v="3"/>
    <m/>
    <m/>
    <s v="Andreas Demmig"/>
  </r>
  <r>
    <n v="1357"/>
    <x v="0"/>
    <x v="21"/>
    <s v="P000001114"/>
    <s v="EL-DS-LM LC/DPM Sales Promotion"/>
    <m/>
    <x v="2"/>
    <x v="0"/>
    <x v="0"/>
    <x v="3"/>
    <m/>
    <m/>
    <s v="Andreas Demmig"/>
  </r>
  <r>
    <n v="1358"/>
    <x v="0"/>
    <x v="21"/>
    <s v="P000001115"/>
    <s v="EL-DS-L LC/DPM Royalties/Commissions"/>
    <m/>
    <x v="2"/>
    <x v="0"/>
    <x v="0"/>
    <x v="3"/>
    <m/>
    <m/>
    <s v="Andreas Demmig"/>
  </r>
  <r>
    <n v="1359"/>
    <x v="0"/>
    <x v="21"/>
    <s v="P000001116"/>
    <s v="EL-DS-L LC/DPM Other"/>
    <m/>
    <x v="2"/>
    <x v="0"/>
    <x v="0"/>
    <x v="3"/>
    <m/>
    <m/>
    <s v="Andreas Demmig"/>
  </r>
  <r>
    <n v="1360"/>
    <x v="0"/>
    <x v="21"/>
    <s v="P000001117"/>
    <s v="EL-DS-LR LC/DPM R&amp;D"/>
    <m/>
    <x v="2"/>
    <x v="0"/>
    <x v="0"/>
    <x v="3"/>
    <m/>
    <m/>
    <s v="Andreas Demmig"/>
  </r>
  <r>
    <n v="1361"/>
    <x v="0"/>
    <x v="21"/>
    <s v="P000001118"/>
    <s v="EL-DS-O OLED"/>
    <m/>
    <x v="2"/>
    <x v="0"/>
    <x v="0"/>
    <x v="3"/>
    <m/>
    <m/>
    <s v="Andreas Demmig"/>
  </r>
  <r>
    <n v="1362"/>
    <x v="0"/>
    <x v="21"/>
    <s v="P000001119"/>
    <s v="EL-DS-OC OLED Sales CN"/>
    <m/>
    <x v="2"/>
    <x v="0"/>
    <x v="0"/>
    <x v="3"/>
    <m/>
    <m/>
    <s v="Andreas Demmig"/>
  </r>
  <r>
    <n v="1363"/>
    <x v="0"/>
    <x v="21"/>
    <s v="P000001120"/>
    <s v="EL-DS-OK OLED Sales KR"/>
    <m/>
    <x v="2"/>
    <x v="0"/>
    <x v="0"/>
    <x v="3"/>
    <m/>
    <m/>
    <s v="Andreas Demmig"/>
  </r>
  <r>
    <n v="1364"/>
    <x v="0"/>
    <x v="21"/>
    <s v="P000001121"/>
    <s v="EL-DS-OM OLED Marketing"/>
    <m/>
    <x v="2"/>
    <x v="0"/>
    <x v="0"/>
    <x v="3"/>
    <m/>
    <m/>
    <s v="Andreas Demmig"/>
  </r>
  <r>
    <n v="1365"/>
    <x v="0"/>
    <x v="21"/>
    <s v="P000001122"/>
    <s v="EL-DS-OM OLED Marketing Organization"/>
    <m/>
    <x v="2"/>
    <x v="0"/>
    <x v="0"/>
    <x v="3"/>
    <m/>
    <m/>
    <s v="Andreas Demmig"/>
  </r>
  <r>
    <n v="1366"/>
    <x v="0"/>
    <x v="21"/>
    <s v="P000001123"/>
    <s v="EL-DS-OM OLED Sales Promotion"/>
    <m/>
    <x v="2"/>
    <x v="0"/>
    <x v="0"/>
    <x v="3"/>
    <m/>
    <m/>
    <s v="Andreas Demmig"/>
  </r>
  <r>
    <n v="1367"/>
    <x v="0"/>
    <x v="21"/>
    <s v="P000001124"/>
    <s v="EL-DS-O OLED Royalties/Commissions"/>
    <m/>
    <x v="2"/>
    <x v="0"/>
    <x v="0"/>
    <x v="3"/>
    <m/>
    <m/>
    <s v="Andreas Demmig"/>
  </r>
  <r>
    <n v="1368"/>
    <x v="0"/>
    <x v="21"/>
    <s v="P000001125"/>
    <s v="EL-DS-O OLED Other"/>
    <m/>
    <x v="2"/>
    <x v="0"/>
    <x v="0"/>
    <x v="3"/>
    <m/>
    <m/>
    <s v="Andreas Demmig"/>
  </r>
  <r>
    <n v="1369"/>
    <x v="0"/>
    <x v="21"/>
    <s v="P000001126"/>
    <s v="EL-DS-OR OLED R&amp;D"/>
    <m/>
    <x v="2"/>
    <x v="0"/>
    <x v="0"/>
    <x v="3"/>
    <m/>
    <m/>
    <s v="Andreas Demmig"/>
  </r>
  <r>
    <n v="1370"/>
    <x v="0"/>
    <x v="21"/>
    <s v="P000001127"/>
    <s v="EL-DS-B BS&amp;S"/>
    <m/>
    <x v="2"/>
    <x v="0"/>
    <x v="0"/>
    <x v="3"/>
    <m/>
    <m/>
    <s v="Andreas Demmig"/>
  </r>
  <r>
    <n v="1371"/>
    <x v="0"/>
    <x v="21"/>
    <s v="P000001128"/>
    <s v="EL-DS-BF Future Display"/>
    <m/>
    <x v="2"/>
    <x v="0"/>
    <x v="0"/>
    <x v="3"/>
    <m/>
    <m/>
    <s v="Andreas Demmig"/>
  </r>
  <r>
    <n v="1372"/>
    <x v="0"/>
    <x v="21"/>
    <s v="P000001134"/>
    <s v="EL-DS-B BS&amp;S Organization"/>
    <m/>
    <x v="2"/>
    <x v="0"/>
    <x v="0"/>
    <x v="3"/>
    <m/>
    <m/>
    <s v="Andreas Demmig"/>
  </r>
  <r>
    <n v="1373"/>
    <x v="0"/>
    <x v="21"/>
    <s v="P000001135"/>
    <s v="EL-DS-BN Novel Tools "/>
    <m/>
    <x v="2"/>
    <x v="0"/>
    <x v="0"/>
    <x v="3"/>
    <m/>
    <m/>
    <s v="Andreas Demmig"/>
  </r>
  <r>
    <n v="1374"/>
    <x v="0"/>
    <x v="21"/>
    <s v="P000001136"/>
    <s v="EL-DS-B BS&amp;S MarCom"/>
    <m/>
    <x v="2"/>
    <x v="0"/>
    <x v="0"/>
    <x v="3"/>
    <m/>
    <m/>
    <s v="Andreas Demmig"/>
  </r>
  <r>
    <n v="1375"/>
    <x v="0"/>
    <x v="21"/>
    <s v="P000001137"/>
    <s v="EL-DS-B BS&amp;S Other"/>
    <m/>
    <x v="2"/>
    <x v="0"/>
    <x v="0"/>
    <x v="3"/>
    <m/>
    <m/>
    <s v="Andreas Demmig"/>
  </r>
  <r>
    <n v="1376"/>
    <x v="0"/>
    <x v="21"/>
    <s v="P000000434"/>
    <s v="XX_EL-DS-J BU Lead Japan"/>
    <m/>
    <x v="2"/>
    <x v="0"/>
    <x v="0"/>
    <x v="3"/>
    <m/>
    <m/>
    <s v="Andreas Demmig"/>
  </r>
  <r>
    <n v="1377"/>
    <x v="0"/>
    <x v="21"/>
    <s v="P000000642"/>
    <s v="EL-FO-P Patterning Solutions"/>
    <s v="P000001143"/>
    <x v="4"/>
    <x v="0"/>
    <x v="0"/>
    <x v="3"/>
    <m/>
    <m/>
    <s v="Andreas Demmig"/>
  </r>
  <r>
    <n v="1378"/>
    <x v="0"/>
    <x v="21"/>
    <s v="P000000643"/>
    <s v="EL-FO-A Planarization"/>
    <s v="P000001143"/>
    <x v="4"/>
    <x v="0"/>
    <x v="0"/>
    <x v="3"/>
    <m/>
    <m/>
    <s v="Andreas Demmig"/>
  </r>
  <r>
    <n v="1379"/>
    <x v="0"/>
    <x v="21"/>
    <s v="P000000542"/>
    <s v="General Overhead (BU Head)"/>
    <s v="P000001143"/>
    <x v="4"/>
    <x v="0"/>
    <x v="0"/>
    <x v="3"/>
    <m/>
    <m/>
    <s v="Andreas Demmig"/>
  </r>
  <r>
    <n v="1380"/>
    <x v="0"/>
    <x v="21"/>
    <s v="P000000584"/>
    <s v="EL-CC-D Digital Solutions"/>
    <s v="P000001159"/>
    <x v="4"/>
    <x v="0"/>
    <x v="0"/>
    <x v="3"/>
    <m/>
    <m/>
    <s v="Andreas Demmig"/>
  </r>
  <r>
    <n v="1381"/>
    <x v="0"/>
    <x v="21"/>
    <s v="P000000957"/>
    <s v="EL-CC-K Safety Korea"/>
    <s v="P000001159"/>
    <x v="4"/>
    <x v="0"/>
    <x v="0"/>
    <x v="3"/>
    <m/>
    <m/>
    <s v="Andreas Demmig"/>
  </r>
  <r>
    <n v="1382"/>
    <x v="0"/>
    <x v="21"/>
    <s v="P000000958"/>
    <s v="EL-CC-J General Management Japan"/>
    <s v="P000001159"/>
    <x v="4"/>
    <x v="0"/>
    <x v="0"/>
    <x v="3"/>
    <m/>
    <m/>
    <s v="Andreas Demmig"/>
  </r>
  <r>
    <n v="1383"/>
    <x v="0"/>
    <x v="21"/>
    <s v="P000000959"/>
    <s v="EL-CC-E Commercial Excellence"/>
    <s v="P000001159"/>
    <x v="4"/>
    <x v="0"/>
    <x v="0"/>
    <x v="3"/>
    <m/>
    <m/>
    <s v="Andreas Demmig"/>
  </r>
  <r>
    <n v="1384"/>
    <x v="0"/>
    <x v="21"/>
    <s v="P000000411"/>
    <s v="EL-CC-S Strategy &amp; Business Transformati"/>
    <s v="P000001159"/>
    <x v="4"/>
    <x v="0"/>
    <x v="0"/>
    <x v="3"/>
    <m/>
    <m/>
    <s v="Andreas Demmig"/>
  </r>
  <r>
    <n v="1385"/>
    <x v="0"/>
    <x v="22"/>
    <s v="L000009003"/>
    <m/>
    <s v="L000013619"/>
    <x v="1"/>
    <x v="0"/>
    <x v="0"/>
    <x v="2"/>
    <m/>
    <m/>
    <s v="Phoebe Anne Fortaleza"/>
  </r>
  <r>
    <n v="1386"/>
    <x v="0"/>
    <x v="23"/>
    <s v="H000004358"/>
    <m/>
    <s v="O000000009"/>
    <x v="3"/>
    <x v="0"/>
    <x v="0"/>
    <x v="1"/>
    <m/>
    <m/>
    <s v="Roland Earvin Combalicer"/>
  </r>
  <r>
    <n v="1387"/>
    <x v="0"/>
    <x v="23"/>
    <s v="H000004365"/>
    <s v="GB - LRD - Erbitux"/>
    <s v="H000002111"/>
    <x v="0"/>
    <x v="0"/>
    <x v="0"/>
    <x v="1"/>
    <m/>
    <m/>
    <s v="Roland Earvin Combalicer"/>
  </r>
  <r>
    <n v="1388"/>
    <x v="0"/>
    <x v="24"/>
    <s v="H000004366"/>
    <s v="GB - FF - Evobrutinib"/>
    <s v="H000002092"/>
    <x v="0"/>
    <x v="0"/>
    <x v="0"/>
    <x v="1"/>
    <m/>
    <m/>
    <s v="Roland Earvin Combalicer"/>
  </r>
  <r>
    <n v="1389"/>
    <x v="0"/>
    <x v="24"/>
    <s v="H000004367"/>
    <s v="GB - FF - Xevinapant"/>
    <s v="H000002080"/>
    <x v="0"/>
    <x v="0"/>
    <x v="0"/>
    <x v="1"/>
    <m/>
    <m/>
    <s v="Roland Earvin Combalicer"/>
  </r>
  <r>
    <n v="1390"/>
    <x v="0"/>
    <x v="24"/>
    <s v="H000004368"/>
    <s v="IE - FF - Xevinapant"/>
    <s v="H000001795"/>
    <x v="0"/>
    <x v="0"/>
    <x v="0"/>
    <x v="1"/>
    <m/>
    <m/>
    <s v="Roland Earvin Combalicer"/>
  </r>
  <r>
    <n v="1391"/>
    <x v="0"/>
    <x v="25"/>
    <s v="H000004369"/>
    <s v="US - MAPS - Value &amp; Access"/>
    <s v="H000003672"/>
    <x v="0"/>
    <x v="0"/>
    <x v="0"/>
    <x v="1"/>
    <m/>
    <m/>
    <s v="Rizza Domingo"/>
  </r>
  <r>
    <n v="1392"/>
    <x v="0"/>
    <x v="25"/>
    <s v="H000004370"/>
    <s v="US - MAPS - Field Patient Services"/>
    <s v="H000003672"/>
    <x v="0"/>
    <x v="0"/>
    <x v="0"/>
    <x v="1"/>
    <m/>
    <m/>
    <s v="Rizza Domingo"/>
  </r>
  <r>
    <n v="1393"/>
    <x v="0"/>
    <x v="26"/>
    <s v="L000009420"/>
    <m/>
    <s v="L000009413"/>
    <x v="1"/>
    <x v="0"/>
    <x v="0"/>
    <x v="2"/>
    <m/>
    <m/>
    <s v="Phoebe Anne Fortaleza"/>
  </r>
  <r>
    <n v="1394"/>
    <x v="0"/>
    <x v="26"/>
    <s v="L000009421"/>
    <m/>
    <s v="L000009413"/>
    <x v="1"/>
    <x v="0"/>
    <x v="0"/>
    <x v="2"/>
    <m/>
    <m/>
    <s v="Phoebe Anne Fortaleza"/>
  </r>
  <r>
    <n v="1395"/>
    <x v="0"/>
    <x v="26"/>
    <s v="L000009430"/>
    <m/>
    <s v="L000009413"/>
    <x v="1"/>
    <x v="0"/>
    <x v="0"/>
    <x v="2"/>
    <m/>
    <m/>
    <s v="Phoebe Anne Fortaleza"/>
  </r>
  <r>
    <n v="1396"/>
    <x v="0"/>
    <x v="26"/>
    <s v="L000009656"/>
    <m/>
    <s v="L000013450"/>
    <x v="1"/>
    <x v="0"/>
    <x v="0"/>
    <x v="2"/>
    <m/>
    <m/>
    <s v="Phoebe Anne Fortaleza"/>
  </r>
  <r>
    <n v="1397"/>
    <x v="0"/>
    <x v="26"/>
    <s v="L000013152"/>
    <m/>
    <s v="L000006295"/>
    <x v="1"/>
    <x v="0"/>
    <x v="0"/>
    <x v="2"/>
    <m/>
    <m/>
    <s v="Phoebe Anne Fortaleza"/>
  </r>
  <r>
    <n v="1398"/>
    <x v="0"/>
    <x v="27"/>
    <s v="H000000950 "/>
    <m/>
    <s v="H000000011"/>
    <x v="1"/>
    <x v="0"/>
    <x v="0"/>
    <x v="1"/>
    <m/>
    <m/>
    <s v="Birgit Kroeling-Neumann"/>
  </r>
  <r>
    <n v="1399"/>
    <x v="1"/>
    <x v="28"/>
    <s v="G000000918"/>
    <m/>
    <s v="G000000389"/>
    <x v="1"/>
    <x v="0"/>
    <x v="0"/>
    <x v="0"/>
    <m/>
    <m/>
    <s v="Sybille Rogmans"/>
  </r>
  <r>
    <n v="1400"/>
    <x v="1"/>
    <x v="28"/>
    <s v="G000000919"/>
    <m/>
    <s v="G000000918"/>
    <x v="1"/>
    <x v="0"/>
    <x v="0"/>
    <x v="0"/>
    <m/>
    <m/>
    <s v="Sybille Rogmans"/>
  </r>
  <r>
    <n v="1401"/>
    <x v="1"/>
    <x v="28"/>
    <s v="G000000920"/>
    <m/>
    <s v="G000000918"/>
    <x v="1"/>
    <x v="0"/>
    <x v="0"/>
    <x v="0"/>
    <m/>
    <m/>
    <s v="Sybille Rogmans"/>
  </r>
  <r>
    <n v="1402"/>
    <x v="1"/>
    <x v="29"/>
    <s v="G000000376"/>
    <m/>
    <s v="G000000374"/>
    <x v="1"/>
    <x v="0"/>
    <x v="0"/>
    <x v="0"/>
    <m/>
    <m/>
    <s v="Sybille Rogmans"/>
  </r>
  <r>
    <n v="1403"/>
    <x v="1"/>
    <x v="29"/>
    <s v="G000000919"/>
    <m/>
    <s v="G000000918"/>
    <x v="1"/>
    <x v="0"/>
    <x v="0"/>
    <x v="0"/>
    <m/>
    <m/>
    <s v="Sybille Rogmans"/>
  </r>
  <r>
    <n v="1404"/>
    <x v="1"/>
    <x v="29"/>
    <s v="G000000920"/>
    <m/>
    <s v="G000000918"/>
    <x v="1"/>
    <x v="0"/>
    <x v="0"/>
    <x v="0"/>
    <m/>
    <m/>
    <s v="Sybille Rogmans"/>
  </r>
  <r>
    <n v="1405"/>
    <x v="1"/>
    <x v="29"/>
    <s v="G000000397"/>
    <m/>
    <s v="G000000352"/>
    <x v="1"/>
    <x v="0"/>
    <x v="0"/>
    <x v="0"/>
    <m/>
    <m/>
    <s v="Sybille Rogmans"/>
  </r>
  <r>
    <n v="1406"/>
    <x v="1"/>
    <x v="29"/>
    <s v="G000000873"/>
    <m/>
    <s v="G000000352"/>
    <x v="1"/>
    <x v="0"/>
    <x v="0"/>
    <x v="0"/>
    <m/>
    <m/>
    <s v="Sybille Rogmans"/>
  </r>
  <r>
    <n v="1407"/>
    <x v="1"/>
    <x v="29"/>
    <s v="G000000374"/>
    <s v="SM-P L3"/>
    <m/>
    <x v="2"/>
    <x v="0"/>
    <x v="0"/>
    <x v="0"/>
    <m/>
    <m/>
    <s v="Sybille Rogmans"/>
  </r>
  <r>
    <n v="1408"/>
    <x v="1"/>
    <x v="29"/>
    <s v="G000000389"/>
    <s v="SM-PM Plant Maint Manufacturing &amp; Maintenance"/>
    <m/>
    <x v="2"/>
    <x v="0"/>
    <x v="0"/>
    <x v="0"/>
    <m/>
    <m/>
    <s v="Sybille Rogmans"/>
  </r>
  <r>
    <n v="1409"/>
    <x v="1"/>
    <x v="29"/>
    <s v="G000001226"/>
    <s v="SM-PF Plant Maint Functional Safety"/>
    <m/>
    <x v="2"/>
    <x v="0"/>
    <x v="0"/>
    <x v="0"/>
    <m/>
    <m/>
    <s v="Sybille Rogmans"/>
  </r>
  <r>
    <n v="1410"/>
    <x v="1"/>
    <x v="29"/>
    <s v="G000000391"/>
    <s v="SM-PM Allocation cc"/>
    <m/>
    <x v="2"/>
    <x v="0"/>
    <x v="0"/>
    <x v="0"/>
    <m/>
    <m/>
    <s v="Sybille Rogmans"/>
  </r>
  <r>
    <n v="1411"/>
    <x v="1"/>
    <x v="29"/>
    <s v="G000000392"/>
    <s v="SM-PM Personnel cost"/>
    <m/>
    <x v="2"/>
    <x v="0"/>
    <x v="0"/>
    <x v="0"/>
    <m/>
    <m/>
    <s v="Sybille Rogmans"/>
  </r>
  <r>
    <n v="1412"/>
    <x v="1"/>
    <x v="29"/>
    <s v="G000000390"/>
    <s v="SM-EG Group Engineering"/>
    <s v="G000000352"/>
    <x v="4"/>
    <x v="0"/>
    <x v="0"/>
    <x v="0"/>
    <m/>
    <m/>
    <s v="Sybille Rogmans"/>
  </r>
  <r>
    <n v="1413"/>
    <x v="1"/>
    <x v="30"/>
    <s v="G000000376"/>
    <m/>
    <s v="G000000352"/>
    <x v="1"/>
    <x v="0"/>
    <x v="0"/>
    <x v="0"/>
    <m/>
    <m/>
    <s v="Sybille Rogmans"/>
  </r>
  <r>
    <n v="1414"/>
    <x v="1"/>
    <x v="30"/>
    <s v="G000001110"/>
    <m/>
    <s v="G000000352"/>
    <x v="1"/>
    <x v="0"/>
    <x v="0"/>
    <x v="0"/>
    <m/>
    <m/>
    <s v="Sybille Rogmans"/>
  </r>
  <r>
    <n v="1415"/>
    <x v="1"/>
    <x v="31"/>
    <s v="L000013440"/>
    <m/>
    <m/>
    <x v="3"/>
    <x v="0"/>
    <x v="0"/>
    <x v="2"/>
    <m/>
    <m/>
    <s v="Marcus Avemarie"/>
  </r>
  <r>
    <n v="1416"/>
    <x v="1"/>
    <x v="31"/>
    <s v="L000012173"/>
    <m/>
    <m/>
    <x v="3"/>
    <x v="0"/>
    <x v="0"/>
    <x v="2"/>
    <m/>
    <m/>
    <s v="Marcus Avemarie"/>
  </r>
  <r>
    <n v="1417"/>
    <x v="1"/>
    <x v="31"/>
    <s v="L000012174"/>
    <m/>
    <s v="L000013247"/>
    <x v="1"/>
    <x v="0"/>
    <x v="0"/>
    <x v="2"/>
    <m/>
    <m/>
    <s v="Marcus Avemarie"/>
  </r>
  <r>
    <n v="1418"/>
    <x v="1"/>
    <x v="31"/>
    <s v="L000012875"/>
    <m/>
    <s v="L000012174"/>
    <x v="1"/>
    <x v="0"/>
    <x v="0"/>
    <x v="2"/>
    <m/>
    <m/>
    <s v="Marcus Avemarie"/>
  </r>
  <r>
    <n v="1419"/>
    <x v="1"/>
    <x v="31"/>
    <s v="L000012177"/>
    <m/>
    <s v="L000013243"/>
    <x v="1"/>
    <x v="0"/>
    <x v="0"/>
    <x v="2"/>
    <m/>
    <m/>
    <s v="Marcus Avemarie"/>
  </r>
  <r>
    <n v="1420"/>
    <x v="1"/>
    <x v="32"/>
    <s v="H000004371"/>
    <s v="US - LTIP"/>
    <s v="H000003834"/>
    <x v="0"/>
    <x v="0"/>
    <x v="0"/>
    <x v="1"/>
    <m/>
    <m/>
    <s v="Rizza Domingo"/>
  </r>
  <r>
    <n v="1421"/>
    <x v="1"/>
    <x v="33"/>
    <s v="H000000773"/>
    <s v="RD-F MU Fertility"/>
    <s v="H000004376"/>
    <x v="4"/>
    <x v="0"/>
    <x v="0"/>
    <x v="0"/>
    <m/>
    <m/>
    <s v="Erjo Miguel Tagle"/>
  </r>
  <r>
    <n v="1422"/>
    <x v="1"/>
    <x v="33"/>
    <s v="H000000774"/>
    <s v="RD-K MU Neurology &amp; immunology"/>
    <s v="H000004376"/>
    <x v="4"/>
    <x v="0"/>
    <x v="0"/>
    <x v="0"/>
    <m/>
    <m/>
    <s v="Erjo Miguel Tagle"/>
  </r>
  <r>
    <n v="1423"/>
    <x v="1"/>
    <x v="33"/>
    <s v="H000000775"/>
    <s v="RD-M MU CM&amp;E"/>
    <s v="H000004376"/>
    <x v="4"/>
    <x v="0"/>
    <x v="0"/>
    <x v="0"/>
    <m/>
    <m/>
    <s v="Erjo Miguel Tagle"/>
  </r>
  <r>
    <n v="1424"/>
    <x v="1"/>
    <x v="34"/>
    <s v="G000001067"/>
    <m/>
    <s v="G000000891"/>
    <x v="1"/>
    <x v="0"/>
    <x v="0"/>
    <x v="0"/>
    <m/>
    <m/>
    <s v="Nadine Anic"/>
  </r>
  <r>
    <n v="1425"/>
    <x v="1"/>
    <x v="35"/>
    <s v="H000000157"/>
    <m/>
    <s v="O000000009"/>
    <x v="3"/>
    <x v="0"/>
    <x v="0"/>
    <x v="1"/>
    <m/>
    <m/>
    <s v="Birgit Kroeling-Neumann"/>
  </r>
  <r>
    <n v="1426"/>
    <x v="1"/>
    <x v="32"/>
    <s v="H000004372"/>
    <s v="US - People/OH"/>
    <s v="H000004371"/>
    <x v="0"/>
    <x v="0"/>
    <x v="0"/>
    <x v="1"/>
    <m/>
    <m/>
    <s v="Rizza Domingo"/>
  </r>
  <r>
    <n v="1427"/>
    <x v="1"/>
    <x v="32"/>
    <s v="H000004373"/>
    <s v="US - Selling"/>
    <s v="H000004372"/>
    <x v="0"/>
    <x v="0"/>
    <x v="0"/>
    <x v="1"/>
    <m/>
    <m/>
    <s v="Rizza Domingo"/>
  </r>
  <r>
    <n v="1428"/>
    <x v="1"/>
    <x v="32"/>
    <s v="H000004374"/>
    <s v="US - Marketing"/>
    <s v="H000004372"/>
    <x v="0"/>
    <x v="0"/>
    <x v="0"/>
    <x v="1"/>
    <m/>
    <m/>
    <s v="Rizza Domingo"/>
  </r>
  <r>
    <n v="1429"/>
    <x v="1"/>
    <x v="32"/>
    <s v="H000004375"/>
    <s v="US - Local R&amp;D"/>
    <s v="H000004372"/>
    <x v="0"/>
    <x v="0"/>
    <x v="0"/>
    <x v="1"/>
    <m/>
    <m/>
    <s v="Rizza Domingo"/>
  </r>
  <r>
    <n v="1430"/>
    <x v="1"/>
    <x v="33"/>
    <s v="H000004376"/>
    <s v="N&amp;I  Consolidated"/>
    <s v="H000000975"/>
    <x v="0"/>
    <x v="0"/>
    <x v="0"/>
    <x v="0"/>
    <m/>
    <m/>
    <s v="Erjo Miguel Tagle"/>
  </r>
  <r>
    <n v="1431"/>
    <x v="1"/>
    <x v="32"/>
    <s v="H000003852"/>
    <s v="US - OE&amp;I - Op. Effect. &amp; Innov. FF"/>
    <m/>
    <x v="2"/>
    <x v="0"/>
    <x v="0"/>
    <x v="1"/>
    <m/>
    <m/>
    <s v="Rizza Domingo"/>
  </r>
  <r>
    <n v="1432"/>
    <x v="1"/>
    <x v="32"/>
    <s v="H000003854"/>
    <s v="US - OE&amp;I - Data Driven Innov. &amp; Analytics"/>
    <m/>
    <x v="2"/>
    <x v="0"/>
    <x v="0"/>
    <x v="1"/>
    <m/>
    <m/>
    <s v="Rizza Domingo"/>
  </r>
  <r>
    <n v="1433"/>
    <x v="1"/>
    <x v="32"/>
    <s v="H000003851"/>
    <s v="US - OE&amp;I - Cap. Building Eng. &amp; Events"/>
    <m/>
    <x v="2"/>
    <x v="0"/>
    <x v="0"/>
    <x v="1"/>
    <m/>
    <m/>
    <s v="Rizza Domingo"/>
  </r>
  <r>
    <n v="1434"/>
    <x v="1"/>
    <x v="32"/>
    <s v="H000003855 "/>
    <s v="US - OE&amp;I - Op. Effect. &amp; Innov. ISS"/>
    <m/>
    <x v="2"/>
    <x v="0"/>
    <x v="0"/>
    <x v="1"/>
    <m/>
    <m/>
    <s v="Rizza Domingo"/>
  </r>
  <r>
    <n v="1435"/>
    <x v="1"/>
    <x v="32"/>
    <s v="H000003860 "/>
    <s v="US - OE&amp;I - Data Driven Innov. &amp; Analytics"/>
    <m/>
    <x v="2"/>
    <x v="0"/>
    <x v="0"/>
    <x v="1"/>
    <m/>
    <m/>
    <s v="Rizza Domingo"/>
  </r>
  <r>
    <n v="1436"/>
    <x v="1"/>
    <x v="32"/>
    <s v="H000003857"/>
    <s v="US - OE&amp;I - Cap. Building Eng. &amp; Events"/>
    <m/>
    <x v="2"/>
    <x v="0"/>
    <x v="0"/>
    <x v="1"/>
    <m/>
    <m/>
    <s v="Rizza Domingo"/>
  </r>
  <r>
    <n v="1437"/>
    <x v="1"/>
    <x v="32"/>
    <s v="H000003652"/>
    <s v="US - OE&amp;I - Cap. Building Eng. &amp; Events"/>
    <m/>
    <x v="2"/>
    <x v="0"/>
    <x v="0"/>
    <x v="1"/>
    <m/>
    <m/>
    <s v="Rizza Domingo"/>
  </r>
  <r>
    <n v="1438"/>
    <x v="1"/>
    <x v="32"/>
    <s v="H000003682"/>
    <s v="US - OE&amp;I - Cap. Building Eng. &amp; Events"/>
    <m/>
    <x v="2"/>
    <x v="0"/>
    <x v="0"/>
    <x v="1"/>
    <m/>
    <m/>
    <s v="Rizza Domingo"/>
  </r>
  <r>
    <n v="1439"/>
    <x v="1"/>
    <x v="32"/>
    <s v="H000003705"/>
    <s v="US - OE&amp;I - Cap. Building Eng. &amp; Events"/>
    <m/>
    <x v="2"/>
    <x v="0"/>
    <x v="0"/>
    <x v="1"/>
    <m/>
    <m/>
    <s v="Rizza Domingo"/>
  </r>
  <r>
    <n v="1440"/>
    <x v="1"/>
    <x v="32"/>
    <s v="H000003726"/>
    <s v="US - OE&amp;I - Cap. Building Eng. &amp; Events"/>
    <m/>
    <x v="2"/>
    <x v="0"/>
    <x v="0"/>
    <x v="1"/>
    <m/>
    <m/>
    <s v="Rizza Domingo"/>
  </r>
  <r>
    <n v="1441"/>
    <x v="1"/>
    <x v="36"/>
    <s v="H000000005"/>
    <s v="EF Business Partnering"/>
    <m/>
    <x v="2"/>
    <x v="0"/>
    <x v="0"/>
    <x v="1"/>
    <m/>
    <m/>
    <s v="Birgit Kroeling-Neumann"/>
  </r>
  <r>
    <n v="1442"/>
    <x v="1"/>
    <x v="36"/>
    <s v="H000004177"/>
    <s v="HC-BA-D IT Healthcare"/>
    <m/>
    <x v="2"/>
    <x v="0"/>
    <x v="0"/>
    <x v="1"/>
    <m/>
    <m/>
    <s v="Birgit Kroeling-Neumann"/>
  </r>
  <r>
    <n v="1443"/>
    <x v="1"/>
    <x v="37"/>
    <s v="G000001111 "/>
    <m/>
    <s v="O000000009"/>
    <x v="3"/>
    <x v="0"/>
    <x v="0"/>
    <x v="0"/>
    <m/>
    <m/>
    <s v="Jojeff Tagnong"/>
  </r>
  <r>
    <n v="1444"/>
    <x v="1"/>
    <x v="37"/>
    <s v="G000001112 "/>
    <m/>
    <s v="O000000009"/>
    <x v="3"/>
    <x v="0"/>
    <x v="0"/>
    <x v="0"/>
    <m/>
    <m/>
    <s v="Jojeff Tagnong"/>
  </r>
  <r>
    <n v="1445"/>
    <x v="1"/>
    <x v="37"/>
    <s v="G000001113 "/>
    <m/>
    <s v="O000000009"/>
    <x v="3"/>
    <x v="0"/>
    <x v="0"/>
    <x v="0"/>
    <m/>
    <m/>
    <s v="Jojeff Tagnong"/>
  </r>
  <r>
    <n v="1446"/>
    <x v="1"/>
    <x v="37"/>
    <s v="G000001114 "/>
    <m/>
    <s v="O000000009"/>
    <x v="3"/>
    <x v="0"/>
    <x v="0"/>
    <x v="0"/>
    <m/>
    <m/>
    <s v="Jojeff Tagnong"/>
  </r>
  <r>
    <n v="1447"/>
    <x v="1"/>
    <x v="37"/>
    <s v="G000001115 "/>
    <m/>
    <s v="O000000009"/>
    <x v="3"/>
    <x v="0"/>
    <x v="0"/>
    <x v="0"/>
    <m/>
    <m/>
    <s v="Jojeff Tagnong"/>
  </r>
  <r>
    <n v="1448"/>
    <x v="1"/>
    <x v="37"/>
    <s v="G000001228"/>
    <s v="FAW RC - Governance, Risk &amp; Control"/>
    <s v="G000000001"/>
    <x v="0"/>
    <x v="0"/>
    <x v="0"/>
    <x v="0"/>
    <m/>
    <m/>
    <s v="Jojeff Tagnong"/>
  </r>
  <r>
    <n v="1449"/>
    <x v="1"/>
    <x v="37"/>
    <s v="G000001231"/>
    <s v="GMK RC - Governance, Risk &amp; Control (L2)"/>
    <s v="G000001229"/>
    <x v="0"/>
    <x v="0"/>
    <x v="0"/>
    <x v="0"/>
    <m/>
    <m/>
    <s v="Jojeff Tagnong"/>
  </r>
  <r>
    <n v="1450"/>
    <x v="1"/>
    <x v="37"/>
    <s v="G000001232"/>
    <s v="GMM MBS Hub Manila - Manila Hub Support"/>
    <s v="G000001134"/>
    <x v="0"/>
    <x v="0"/>
    <x v="0"/>
    <x v="0"/>
    <m/>
    <m/>
    <s v="Jojeff Tagnong"/>
  </r>
  <r>
    <n v="1451"/>
    <x v="1"/>
    <x v="37"/>
    <s v="G000001229"/>
    <s v="RC - MGF Reporting"/>
    <s v="G000001228"/>
    <x v="0"/>
    <x v="0"/>
    <x v="0"/>
    <x v="0"/>
    <m/>
    <m/>
    <s v="Jojeff Tagnong"/>
  </r>
  <r>
    <n v="1452"/>
    <x v="1"/>
    <x v="37"/>
    <s v="G000001230"/>
    <s v="RC - non-MGF Reporting"/>
    <s v="G000001228"/>
    <x v="0"/>
    <x v="0"/>
    <x v="0"/>
    <x v="0"/>
    <m/>
    <m/>
    <s v="Jojeff Tagnong"/>
  </r>
  <r>
    <n v="1453"/>
    <x v="1"/>
    <x v="37"/>
    <s v="G000000111 "/>
    <s v="G6M SQ - Group IT"/>
    <m/>
    <x v="2"/>
    <x v="0"/>
    <x v="0"/>
    <x v="0"/>
    <m/>
    <m/>
    <s v="Jojeff Tagnong"/>
  </r>
  <r>
    <n v="1454"/>
    <x v="1"/>
    <x v="37"/>
    <s v="G000001162 "/>
    <s v="GNL MBS Hub Manila - Proc S2P Op"/>
    <m/>
    <x v="2"/>
    <x v="0"/>
    <x v="0"/>
    <x v="0"/>
    <m/>
    <m/>
    <s v="Jojeff Tagnong"/>
  </r>
  <r>
    <n v="1455"/>
    <x v="1"/>
    <x v="37"/>
    <s v="G000001163 "/>
    <s v="GNM MBS Hub Manila - Proc Op Integr Team"/>
    <m/>
    <x v="2"/>
    <x v="0"/>
    <x v="0"/>
    <x v="0"/>
    <m/>
    <m/>
    <s v="Jojeff Tagnong"/>
  </r>
  <r>
    <n v="1456"/>
    <x v="1"/>
    <x v="38"/>
    <s v="P000001160"/>
    <s v="Surface Solutions Portal"/>
    <s v="P000000026"/>
    <x v="0"/>
    <x v="0"/>
    <x v="0"/>
    <x v="3"/>
    <m/>
    <m/>
    <s v="Edward Arevalo"/>
  </r>
  <r>
    <n v="1457"/>
    <x v="1"/>
    <x v="39"/>
    <s v="L000006298"/>
    <m/>
    <s v="L000013666"/>
    <x v="1"/>
    <x v="0"/>
    <x v="0"/>
    <x v="2"/>
    <m/>
    <m/>
    <s v="Phoebe Anne Fortaleza"/>
  </r>
  <r>
    <n v="1458"/>
    <x v="1"/>
    <x v="39"/>
    <s v="L000013150"/>
    <m/>
    <s v="L000013666"/>
    <x v="1"/>
    <x v="0"/>
    <x v="0"/>
    <x v="2"/>
    <m/>
    <m/>
    <s v="Phoebe Anne Fortaleza"/>
  </r>
  <r>
    <n v="1459"/>
    <x v="1"/>
    <x v="39"/>
    <s v="L000010492"/>
    <m/>
    <s v="L000013670"/>
    <x v="1"/>
    <x v="0"/>
    <x v="0"/>
    <x v="2"/>
    <m/>
    <m/>
    <s v="Phoebe Anne Fortaleza"/>
  </r>
  <r>
    <n v="1460"/>
    <x v="1"/>
    <x v="39"/>
    <s v="L000010493"/>
    <m/>
    <s v="L000013670"/>
    <x v="1"/>
    <x v="0"/>
    <x v="0"/>
    <x v="2"/>
    <m/>
    <m/>
    <s v="Phoebe Anne Fortaleza"/>
  </r>
  <r>
    <n v="1461"/>
    <x v="1"/>
    <x v="39"/>
    <s v="L000013072"/>
    <m/>
    <s v="L000013670"/>
    <x v="1"/>
    <x v="0"/>
    <x v="0"/>
    <x v="2"/>
    <m/>
    <m/>
    <s v="Phoebe Anne Fortaleza"/>
  </r>
  <r>
    <n v="1462"/>
    <x v="1"/>
    <x v="39"/>
    <s v="L000010556"/>
    <m/>
    <s v="L000013669"/>
    <x v="1"/>
    <x v="0"/>
    <x v="0"/>
    <x v="2"/>
    <m/>
    <m/>
    <s v="Phoebe Anne Fortaleza"/>
  </r>
  <r>
    <n v="1463"/>
    <x v="1"/>
    <x v="39"/>
    <s v="L000012425"/>
    <m/>
    <s v="L000013669"/>
    <x v="1"/>
    <x v="0"/>
    <x v="0"/>
    <x v="2"/>
    <m/>
    <m/>
    <s v="Phoebe Anne Fortaleza"/>
  </r>
  <r>
    <n v="1464"/>
    <x v="1"/>
    <x v="39"/>
    <s v="L000013057"/>
    <m/>
    <s v="L000005424"/>
    <x v="1"/>
    <x v="0"/>
    <x v="0"/>
    <x v="2"/>
    <m/>
    <m/>
    <s v="Phoebe Anne Fortaleza"/>
  </r>
  <r>
    <n v="1465"/>
    <x v="1"/>
    <x v="39"/>
    <s v="L000006017"/>
    <m/>
    <s v="L000005781"/>
    <x v="1"/>
    <x v="0"/>
    <x v="0"/>
    <x v="2"/>
    <m/>
    <m/>
    <s v="Phoebe Anne Fortaleza"/>
  </r>
  <r>
    <n v="1466"/>
    <x v="1"/>
    <x v="39"/>
    <s v="L000006018"/>
    <m/>
    <s v="L000005781"/>
    <x v="1"/>
    <x v="0"/>
    <x v="0"/>
    <x v="2"/>
    <m/>
    <m/>
    <s v="Phoebe Anne Fortaleza"/>
  </r>
  <r>
    <n v="1467"/>
    <x v="1"/>
    <x v="39"/>
    <s v="L000006019"/>
    <m/>
    <s v="L000005781"/>
    <x v="1"/>
    <x v="0"/>
    <x v="0"/>
    <x v="2"/>
    <m/>
    <m/>
    <s v="Phoebe Anne Fortaleza"/>
  </r>
  <r>
    <n v="1468"/>
    <x v="1"/>
    <x v="39"/>
    <s v="L000006020"/>
    <m/>
    <s v="L000005781"/>
    <x v="1"/>
    <x v="0"/>
    <x v="0"/>
    <x v="2"/>
    <m/>
    <m/>
    <s v="Phoebe Anne Fortaleza"/>
  </r>
  <r>
    <n v="1469"/>
    <x v="1"/>
    <x v="39"/>
    <s v="L000006021"/>
    <m/>
    <s v="L000005781"/>
    <x v="1"/>
    <x v="0"/>
    <x v="0"/>
    <x v="2"/>
    <m/>
    <m/>
    <s v="Phoebe Anne Fortaleza"/>
  </r>
  <r>
    <n v="1470"/>
    <x v="1"/>
    <x v="39"/>
    <s v="L000006022"/>
    <m/>
    <s v="L000005781"/>
    <x v="1"/>
    <x v="0"/>
    <x v="0"/>
    <x v="2"/>
    <m/>
    <m/>
    <s v="Phoebe Anne Fortaleza"/>
  </r>
  <r>
    <n v="1471"/>
    <x v="1"/>
    <x v="39"/>
    <s v="L000006023"/>
    <m/>
    <s v="L000005781"/>
    <x v="1"/>
    <x v="0"/>
    <x v="0"/>
    <x v="2"/>
    <m/>
    <m/>
    <s v="Phoebe Anne Fortaleza"/>
  </r>
  <r>
    <n v="1472"/>
    <x v="1"/>
    <x v="39"/>
    <s v="L000006024"/>
    <m/>
    <s v="L000005781"/>
    <x v="1"/>
    <x v="0"/>
    <x v="0"/>
    <x v="2"/>
    <m/>
    <m/>
    <s v="Phoebe Anne Fortaleza"/>
  </r>
  <r>
    <n v="1473"/>
    <x v="1"/>
    <x v="39"/>
    <s v="L000006025"/>
    <m/>
    <s v="L000005781"/>
    <x v="1"/>
    <x v="0"/>
    <x v="0"/>
    <x v="2"/>
    <m/>
    <m/>
    <s v="Phoebe Anne Fortaleza"/>
  </r>
  <r>
    <n v="1474"/>
    <x v="1"/>
    <x v="39"/>
    <s v="L000006026"/>
    <m/>
    <s v="L000005781"/>
    <x v="1"/>
    <x v="0"/>
    <x v="0"/>
    <x v="2"/>
    <m/>
    <m/>
    <s v="Phoebe Anne Fortaleza"/>
  </r>
  <r>
    <n v="1475"/>
    <x v="1"/>
    <x v="39"/>
    <s v="L000006027"/>
    <m/>
    <s v="L000005775"/>
    <x v="1"/>
    <x v="0"/>
    <x v="0"/>
    <x v="2"/>
    <m/>
    <m/>
    <s v="Phoebe Anne Fortaleza"/>
  </r>
  <r>
    <n v="1476"/>
    <x v="1"/>
    <x v="39"/>
    <s v="L000012916"/>
    <m/>
    <s v="L000005781"/>
    <x v="1"/>
    <x v="0"/>
    <x v="0"/>
    <x v="2"/>
    <m/>
    <m/>
    <s v="Phoebe Anne Fortaleza"/>
  </r>
  <r>
    <n v="1477"/>
    <x v="1"/>
    <x v="39"/>
    <s v="L000005984"/>
    <m/>
    <s v="L000005717"/>
    <x v="1"/>
    <x v="0"/>
    <x v="0"/>
    <x v="2"/>
    <m/>
    <m/>
    <s v="Phoebe Anne Fortaleza"/>
  </r>
  <r>
    <n v="1478"/>
    <x v="1"/>
    <x v="39"/>
    <s v="L000005985"/>
    <m/>
    <s v="L000005717"/>
    <x v="1"/>
    <x v="0"/>
    <x v="0"/>
    <x v="2"/>
    <m/>
    <m/>
    <s v="Phoebe Anne Fortaleza"/>
  </r>
  <r>
    <n v="1479"/>
    <x v="1"/>
    <x v="39"/>
    <s v="L000005986"/>
    <m/>
    <s v="L000005717"/>
    <x v="1"/>
    <x v="0"/>
    <x v="0"/>
    <x v="2"/>
    <m/>
    <m/>
    <s v="Phoebe Anne Fortaleza"/>
  </r>
  <r>
    <n v="1480"/>
    <x v="1"/>
    <x v="39"/>
    <s v="L000012465"/>
    <m/>
    <s v="L000005717"/>
    <x v="1"/>
    <x v="0"/>
    <x v="0"/>
    <x v="2"/>
    <m/>
    <m/>
    <s v="Phoebe Anne Fortaleza"/>
  </r>
  <r>
    <n v="1481"/>
    <x v="1"/>
    <x v="39"/>
    <s v="L000005115"/>
    <m/>
    <s v="L000013674"/>
    <x v="1"/>
    <x v="0"/>
    <x v="0"/>
    <x v="2"/>
    <m/>
    <m/>
    <s v="Phoebe Anne Fortaleza"/>
  </r>
  <r>
    <n v="1482"/>
    <x v="1"/>
    <x v="39"/>
    <s v="L000005862"/>
    <m/>
    <s v="L000013674"/>
    <x v="1"/>
    <x v="0"/>
    <x v="0"/>
    <x v="2"/>
    <m/>
    <m/>
    <s v="Phoebe Anne Fortaleza"/>
  </r>
  <r>
    <n v="1483"/>
    <x v="1"/>
    <x v="39"/>
    <s v="L000007926"/>
    <m/>
    <s v="L000013675"/>
    <x v="1"/>
    <x v="0"/>
    <x v="0"/>
    <x v="2"/>
    <m/>
    <m/>
    <s v="Phoebe Anne Fortaleza"/>
  </r>
  <r>
    <n v="1484"/>
    <x v="1"/>
    <x v="39"/>
    <s v="L000007937"/>
    <m/>
    <s v="L000013676"/>
    <x v="1"/>
    <x v="0"/>
    <x v="0"/>
    <x v="2"/>
    <m/>
    <m/>
    <s v="Phoebe Anne Fortaleza"/>
  </r>
  <r>
    <n v="1485"/>
    <x v="1"/>
    <x v="39"/>
    <s v="L000007958"/>
    <m/>
    <s v="L000013676"/>
    <x v="1"/>
    <x v="0"/>
    <x v="0"/>
    <x v="2"/>
    <m/>
    <m/>
    <s v="Phoebe Anne Fortaleza"/>
  </r>
  <r>
    <n v="1486"/>
    <x v="1"/>
    <x v="39"/>
    <s v="L000008284"/>
    <m/>
    <s v="L000013675"/>
    <x v="1"/>
    <x v="0"/>
    <x v="0"/>
    <x v="2"/>
    <m/>
    <m/>
    <s v="Phoebe Anne Fortaleza"/>
  </r>
  <r>
    <n v="1487"/>
    <x v="1"/>
    <x v="39"/>
    <s v="L000005329"/>
    <m/>
    <s v="L000008350"/>
    <x v="1"/>
    <x v="0"/>
    <x v="0"/>
    <x v="2"/>
    <m/>
    <m/>
    <s v="Phoebe Anne Fortaleza"/>
  </r>
  <r>
    <n v="1488"/>
    <x v="1"/>
    <x v="39"/>
    <s v="L000005490"/>
    <m/>
    <s v="L000008350"/>
    <x v="1"/>
    <x v="0"/>
    <x v="0"/>
    <x v="2"/>
    <m/>
    <m/>
    <s v="Phoebe Anne Fortaleza"/>
  </r>
  <r>
    <n v="1489"/>
    <x v="1"/>
    <x v="39"/>
    <s v="L000011998"/>
    <m/>
    <s v="L000008350"/>
    <x v="1"/>
    <x v="0"/>
    <x v="0"/>
    <x v="2"/>
    <m/>
    <m/>
    <s v="Phoebe Anne Fortaleza"/>
  </r>
  <r>
    <n v="1490"/>
    <x v="1"/>
    <x v="39"/>
    <s v="L000011999"/>
    <m/>
    <s v="L000008350"/>
    <x v="1"/>
    <x v="0"/>
    <x v="0"/>
    <x v="2"/>
    <m/>
    <m/>
    <s v="Phoebe Anne Fortaleza"/>
  </r>
  <r>
    <n v="1491"/>
    <x v="1"/>
    <x v="39"/>
    <s v="L000012487"/>
    <m/>
    <s v="L000008350"/>
    <x v="1"/>
    <x v="0"/>
    <x v="0"/>
    <x v="2"/>
    <m/>
    <m/>
    <s v="Phoebe Anne Fortaleza"/>
  </r>
  <r>
    <n v="1492"/>
    <x v="1"/>
    <x v="39"/>
    <s v="L000012489"/>
    <m/>
    <s v="L000008350"/>
    <x v="1"/>
    <x v="0"/>
    <x v="0"/>
    <x v="2"/>
    <m/>
    <m/>
    <s v="Phoebe Anne Fortaleza"/>
  </r>
  <r>
    <n v="1493"/>
    <x v="1"/>
    <x v="39"/>
    <s v="L000012503"/>
    <m/>
    <s v="L000008350"/>
    <x v="1"/>
    <x v="0"/>
    <x v="0"/>
    <x v="2"/>
    <m/>
    <m/>
    <s v="Phoebe Anne Fortaleza"/>
  </r>
  <r>
    <n v="1494"/>
    <x v="1"/>
    <x v="39"/>
    <s v="L000006305"/>
    <m/>
    <s v="L000012324"/>
    <x v="1"/>
    <x v="0"/>
    <x v="0"/>
    <x v="2"/>
    <m/>
    <m/>
    <s v="Phoebe Anne Fortaleza"/>
  </r>
  <r>
    <n v="1495"/>
    <x v="1"/>
    <x v="39"/>
    <s v="L000006694"/>
    <m/>
    <s v="L000012324"/>
    <x v="1"/>
    <x v="0"/>
    <x v="0"/>
    <x v="2"/>
    <m/>
    <m/>
    <s v="Phoebe Anne Fortaleza"/>
  </r>
  <r>
    <n v="1496"/>
    <x v="1"/>
    <x v="39"/>
    <s v="L000011645"/>
    <m/>
    <s v="L000013220"/>
    <x v="1"/>
    <x v="0"/>
    <x v="0"/>
    <x v="2"/>
    <m/>
    <m/>
    <s v="Phoebe Anne Fortaleza"/>
  </r>
  <r>
    <n v="1497"/>
    <x v="1"/>
    <x v="39"/>
    <s v="L000006311"/>
    <m/>
    <s v="L000012393"/>
    <x v="1"/>
    <x v="0"/>
    <x v="0"/>
    <x v="2"/>
    <m/>
    <m/>
    <s v="Phoebe Anne Fortaleza"/>
  </r>
  <r>
    <n v="1498"/>
    <x v="1"/>
    <x v="39"/>
    <s v="L000006315"/>
    <m/>
    <s v="L000012392"/>
    <x v="1"/>
    <x v="0"/>
    <x v="0"/>
    <x v="2"/>
    <m/>
    <m/>
    <s v="Phoebe Anne Fortaleza"/>
  </r>
  <r>
    <n v="1499"/>
    <x v="1"/>
    <x v="39"/>
    <s v="L000011461"/>
    <m/>
    <s v="L000012393"/>
    <x v="1"/>
    <x v="0"/>
    <x v="0"/>
    <x v="2"/>
    <m/>
    <m/>
    <s v="Phoebe Anne Fortaleza"/>
  </r>
  <r>
    <n v="1500"/>
    <x v="1"/>
    <x v="39"/>
    <s v="L000012319"/>
    <m/>
    <s v="L000013527"/>
    <x v="1"/>
    <x v="0"/>
    <x v="0"/>
    <x v="2"/>
    <m/>
    <m/>
    <s v="Phoebe Anne Fortaleza"/>
  </r>
  <r>
    <n v="1501"/>
    <x v="1"/>
    <x v="39"/>
    <s v="L000012477"/>
    <m/>
    <s v="L000013527"/>
    <x v="1"/>
    <x v="0"/>
    <x v="0"/>
    <x v="2"/>
    <m/>
    <m/>
    <s v="Phoebe Anne Fortaleza"/>
  </r>
  <r>
    <n v="1502"/>
    <x v="1"/>
    <x v="39"/>
    <s v="L000013139"/>
    <m/>
    <s v="L000013562"/>
    <x v="1"/>
    <x v="0"/>
    <x v="0"/>
    <x v="2"/>
    <m/>
    <m/>
    <s v="Phoebe Anne Fortaleza"/>
  </r>
  <r>
    <n v="1503"/>
    <x v="1"/>
    <x v="39"/>
    <s v="L000013142"/>
    <m/>
    <s v="L000006562"/>
    <x v="1"/>
    <x v="0"/>
    <x v="0"/>
    <x v="2"/>
    <m/>
    <m/>
    <s v="Phoebe Anne Fortaleza"/>
  </r>
  <r>
    <n v="1504"/>
    <x v="1"/>
    <x v="39"/>
    <s v="L000013678"/>
    <s v="57576 UK Haverhill Tech Dev Prod Indirect-G"/>
    <s v="L000009675"/>
    <x v="0"/>
    <x v="0"/>
    <x v="0"/>
    <x v="2"/>
    <m/>
    <m/>
    <s v="Phoebe Anne Fortaleza"/>
  </r>
  <r>
    <n v="1505"/>
    <x v="1"/>
    <x v="39"/>
    <s v="L000013675"/>
    <s v="AGH and Pharma/Biotech Sales"/>
    <s v="L000007925"/>
    <x v="0"/>
    <x v="0"/>
    <x v="0"/>
    <x v="2"/>
    <m/>
    <m/>
    <s v="Phoebe Anne Fortaleza"/>
  </r>
  <r>
    <n v="1506"/>
    <x v="1"/>
    <x v="39"/>
    <s v="L000013681"/>
    <s v="Deleted ISCO"/>
    <s v="L000009201"/>
    <x v="0"/>
    <x v="0"/>
    <x v="0"/>
    <x v="2"/>
    <m/>
    <m/>
    <s v="Phoebe Anne Fortaleza"/>
  </r>
  <r>
    <n v="1507"/>
    <x v="1"/>
    <x v="39"/>
    <s v="L000013685"/>
    <s v="Deleted LSS"/>
    <s v="L000013128"/>
    <x v="0"/>
    <x v="0"/>
    <x v="0"/>
    <x v="2"/>
    <m/>
    <m/>
    <s v="Phoebe Anne Fortaleza"/>
  </r>
  <r>
    <n v="1508"/>
    <x v="1"/>
    <x v="39"/>
    <s v="L000013682"/>
    <s v="Deleted MGF"/>
    <s v="L000010621"/>
    <x v="0"/>
    <x v="0"/>
    <x v="0"/>
    <x v="2"/>
    <m/>
    <m/>
    <s v="Phoebe Anne Fortaleza"/>
  </r>
  <r>
    <n v="1509"/>
    <x v="1"/>
    <x v="39"/>
    <s v="L000013686"/>
    <s v="Deleted MGF-BP"/>
    <s v="L000013620"/>
    <x v="0"/>
    <x v="0"/>
    <x v="0"/>
    <x v="2"/>
    <m/>
    <m/>
    <s v="Phoebe Anne Fortaleza"/>
  </r>
  <r>
    <n v="1510"/>
    <x v="1"/>
    <x v="39"/>
    <s v="L000013683"/>
    <s v="Deleted MGT"/>
    <s v="L000011110"/>
    <x v="0"/>
    <x v="0"/>
    <x v="0"/>
    <x v="2"/>
    <m/>
    <m/>
    <s v="Phoebe Anne Fortaleza"/>
  </r>
  <r>
    <n v="1511"/>
    <x v="1"/>
    <x v="39"/>
    <s v="L000013687"/>
    <s v="Deleted MGT-BP"/>
    <s v="L000013623"/>
    <x v="0"/>
    <x v="0"/>
    <x v="0"/>
    <x v="2"/>
    <m/>
    <m/>
    <s v="Phoebe Anne Fortaleza"/>
  </r>
  <r>
    <n v="1512"/>
    <x v="1"/>
    <x v="39"/>
    <s v="L000013688"/>
    <s v="Deleted Not Assigned"/>
    <s v="L000005044"/>
    <x v="0"/>
    <x v="0"/>
    <x v="0"/>
    <x v="2"/>
    <m/>
    <m/>
    <s v="Phoebe Anne Fortaleza"/>
  </r>
  <r>
    <n v="1513"/>
    <x v="1"/>
    <x v="39"/>
    <s v="L000013679"/>
    <s v="Deleted PS"/>
    <s v="L000006294"/>
    <x v="0"/>
    <x v="0"/>
    <x v="0"/>
    <x v="2"/>
    <m/>
    <m/>
    <s v="Phoebe Anne Fortaleza"/>
  </r>
  <r>
    <n v="1514"/>
    <x v="1"/>
    <x v="39"/>
    <s v="L000013684"/>
    <s v="Deleted QRM"/>
    <s v="L000011355"/>
    <x v="0"/>
    <x v="0"/>
    <x v="0"/>
    <x v="2"/>
    <m/>
    <m/>
    <s v="Phoebe Anne Fortaleza"/>
  </r>
  <r>
    <n v="1515"/>
    <x v="1"/>
    <x v="39"/>
    <s v="L000013680"/>
    <s v="Deleted SLS"/>
    <s v="L000007596"/>
    <x v="0"/>
    <x v="0"/>
    <x v="0"/>
    <x v="2"/>
    <m/>
    <m/>
    <s v="Phoebe Anne Fortaleza"/>
  </r>
  <r>
    <n v="1516"/>
    <x v="1"/>
    <x v="39"/>
    <s v="L000013673"/>
    <s v="Diagnostics &amp; Regul. Materials Dummy -G"/>
    <s v="L000005842"/>
    <x v="0"/>
    <x v="0"/>
    <x v="0"/>
    <x v="2"/>
    <m/>
    <m/>
    <s v="Phoebe Anne Fortaleza"/>
  </r>
  <r>
    <n v="1517"/>
    <x v="1"/>
    <x v="39"/>
    <s v="L000013674"/>
    <s v="I&amp;T and IVD Sales"/>
    <s v="L000007925"/>
    <x v="0"/>
    <x v="0"/>
    <x v="0"/>
    <x v="2"/>
    <m/>
    <m/>
    <s v="Phoebe Anne Fortaleza"/>
  </r>
  <r>
    <n v="1518"/>
    <x v="1"/>
    <x v="39"/>
    <s v="L000013670"/>
    <s v="Molsheim Operation-Novaseptum"/>
    <s v="L000013669"/>
    <x v="0"/>
    <x v="0"/>
    <x v="0"/>
    <x v="2"/>
    <m/>
    <m/>
    <s v="Phoebe Anne Fortaleza"/>
  </r>
  <r>
    <n v="1519"/>
    <x v="1"/>
    <x v="39"/>
    <s v="L000013669"/>
    <s v="Molsheim Operation-SSU"/>
    <s v="L000010484"/>
    <x v="0"/>
    <x v="0"/>
    <x v="0"/>
    <x v="2"/>
    <m/>
    <m/>
    <s v="Phoebe Anne Fortaleza"/>
  </r>
  <r>
    <n v="1520"/>
    <x v="1"/>
    <x v="39"/>
    <s v="L000013677"/>
    <s v="ONE PS / Bridge Exceptionals"/>
    <s v="L000007433"/>
    <x v="0"/>
    <x v="0"/>
    <x v="0"/>
    <x v="2"/>
    <m/>
    <m/>
    <s v="Phoebe Anne Fortaleza"/>
  </r>
  <r>
    <n v="1521"/>
    <x v="1"/>
    <x v="39"/>
    <s v="L000013667"/>
    <s v="SAC Commercial Operations"/>
    <s v="L000013666"/>
    <x v="0"/>
    <x v="0"/>
    <x v="0"/>
    <x v="2"/>
    <m/>
    <m/>
    <s v="Phoebe Anne Fortaleza"/>
  </r>
  <r>
    <n v="1522"/>
    <x v="1"/>
    <x v="39"/>
    <s v="L000013668"/>
    <s v="SAC Proposal Management"/>
    <s v="L000013666"/>
    <x v="0"/>
    <x v="0"/>
    <x v="0"/>
    <x v="2"/>
    <m/>
    <m/>
    <s v="Phoebe Anne Fortaleza"/>
  </r>
  <r>
    <n v="1523"/>
    <x v="1"/>
    <x v="39"/>
    <s v="L000013666"/>
    <s v="SAC Sales"/>
    <s v="L000006295"/>
    <x v="0"/>
    <x v="0"/>
    <x v="0"/>
    <x v="2"/>
    <m/>
    <m/>
    <s v="Phoebe Anne Fortaleza"/>
  </r>
  <r>
    <n v="1524"/>
    <x v="1"/>
    <x v="39"/>
    <s v="L000013676"/>
    <s v="Sales Specialists and F&amp;SM"/>
    <s v="L000007925"/>
    <x v="0"/>
    <x v="0"/>
    <x v="0"/>
    <x v="2"/>
    <m/>
    <m/>
    <s v="Phoebe Anne Fortaleza"/>
  </r>
  <r>
    <n v="1525"/>
    <x v="1"/>
    <x v="39"/>
    <s v="L000013672"/>
    <s v="SLS BD - ICON"/>
    <s v="L000005336"/>
    <x v="0"/>
    <x v="0"/>
    <x v="0"/>
    <x v="2"/>
    <m/>
    <m/>
    <s v="Phoebe Anne Fortaleza"/>
  </r>
  <r>
    <n v="1526"/>
    <x v="1"/>
    <x v="39"/>
    <s v="L000013671"/>
    <s v="SLS Business Ops  Team"/>
    <s v="L000005300"/>
    <x v="0"/>
    <x v="0"/>
    <x v="0"/>
    <x v="2"/>
    <m/>
    <m/>
    <s v="Phoebe Anne Fortaleza"/>
  </r>
  <r>
    <n v="1527"/>
    <x v="1"/>
    <x v="39"/>
    <s v="L000010019"/>
    <s v="Schnelldorf &amp; Lyon"/>
    <m/>
    <x v="2"/>
    <x v="0"/>
    <x v="0"/>
    <x v="2"/>
    <m/>
    <m/>
    <s v="Phoebe Anne Fortaleza"/>
  </r>
  <r>
    <n v="1528"/>
    <x v="1"/>
    <x v="39"/>
    <s v="L000010031"/>
    <s v="UK 3PL Warehouse - Pulleyns"/>
    <m/>
    <x v="2"/>
    <x v="0"/>
    <x v="0"/>
    <x v="2"/>
    <m/>
    <m/>
    <s v="Phoebe Anne Fortaleza"/>
  </r>
  <r>
    <n v="1529"/>
    <x v="1"/>
    <x v="39"/>
    <s v="L000011444"/>
    <s v="mRNA Integrated Offering"/>
    <m/>
    <x v="2"/>
    <x v="0"/>
    <x v="0"/>
    <x v="2"/>
    <m/>
    <m/>
    <s v="Phoebe Anne Fortaleza"/>
  </r>
  <r>
    <n v="1530"/>
    <x v="1"/>
    <x v="39"/>
    <s v="L000013595"/>
    <s v="SAC mRNA Operations Darmstadt + Hamburg"/>
    <m/>
    <x v="2"/>
    <x v="0"/>
    <x v="0"/>
    <x v="2"/>
    <m/>
    <m/>
    <s v="Phoebe Anne Fortaleza"/>
  </r>
  <r>
    <n v="1531"/>
    <x v="1"/>
    <x v="39"/>
    <s v="L000012371"/>
    <s v="mRNA Site Operations Hamburg"/>
    <m/>
    <x v="2"/>
    <x v="0"/>
    <x v="0"/>
    <x v="2"/>
    <m/>
    <m/>
    <s v="Phoebe Anne Fortaleza"/>
  </r>
  <r>
    <n v="1532"/>
    <x v="1"/>
    <x v="39"/>
    <s v="L000013330"/>
    <s v="mRNA Site Operations Darmstadt D33"/>
    <m/>
    <x v="2"/>
    <x v="0"/>
    <x v="0"/>
    <x v="2"/>
    <m/>
    <m/>
    <s v="Phoebe Anne Fortaleza"/>
  </r>
  <r>
    <n v="1533"/>
    <x v="1"/>
    <x v="39"/>
    <s v="L000013429"/>
    <s v="Technical Objects SM Neo D33"/>
    <m/>
    <x v="2"/>
    <x v="0"/>
    <x v="0"/>
    <x v="2"/>
    <m/>
    <m/>
    <s v="Phoebe Anne Fortaleza"/>
  </r>
  <r>
    <n v="1534"/>
    <x v="1"/>
    <x v="39"/>
    <s v="L000005300"/>
    <s v="SLS Business Operations"/>
    <m/>
    <x v="2"/>
    <x v="0"/>
    <x v="0"/>
    <x v="2"/>
    <m/>
    <m/>
    <s v="Phoebe Anne Fortaleza"/>
  </r>
  <r>
    <n v="1535"/>
    <x v="1"/>
    <x v="39"/>
    <s v="L000005425"/>
    <s v="SLS Tradeshows &amp; Events"/>
    <m/>
    <x v="2"/>
    <x v="0"/>
    <x v="0"/>
    <x v="2"/>
    <m/>
    <m/>
    <s v="Phoebe Anne Fortaleza"/>
  </r>
  <r>
    <n v="1536"/>
    <x v="1"/>
    <x v="39"/>
    <s v="L000005326"/>
    <s v="SLS Strategy"/>
    <m/>
    <x v="2"/>
    <x v="0"/>
    <x v="0"/>
    <x v="2"/>
    <m/>
    <m/>
    <s v="Phoebe Anne Fortaleza"/>
  </r>
  <r>
    <n v="1537"/>
    <x v="1"/>
    <x v="39"/>
    <s v="L000005327"/>
    <s v="SLS Strategy &amp; Market Insights"/>
    <m/>
    <x v="2"/>
    <x v="0"/>
    <x v="0"/>
    <x v="2"/>
    <m/>
    <m/>
    <s v="Phoebe Anne Fortaleza"/>
  </r>
  <r>
    <n v="1538"/>
    <x v="1"/>
    <x v="39"/>
    <s v="L000005330"/>
    <s v="GE679500 SLS Strategy"/>
    <m/>
    <x v="2"/>
    <x v="0"/>
    <x v="0"/>
    <x v="2"/>
    <m/>
    <m/>
    <s v="Phoebe Anne Fortaleza"/>
  </r>
  <r>
    <n v="1539"/>
    <x v="1"/>
    <x v="39"/>
    <s v="L000005335"/>
    <s v="US SLS Strategy"/>
    <m/>
    <x v="2"/>
    <x v="0"/>
    <x v="0"/>
    <x v="2"/>
    <m/>
    <m/>
    <s v="Phoebe Anne Fortaleza"/>
  </r>
  <r>
    <n v="1540"/>
    <x v="1"/>
    <x v="39"/>
    <s v="L000005485"/>
    <s v="Segment Intelligence &amp; Execution"/>
    <m/>
    <x v="2"/>
    <x v="0"/>
    <x v="0"/>
    <x v="2"/>
    <m/>
    <m/>
    <s v="Phoebe Anne Fortaleza"/>
  </r>
  <r>
    <n v="1541"/>
    <x v="1"/>
    <x v="39"/>
    <s v="L000005487"/>
    <s v="BR Segment Intelligence"/>
    <m/>
    <x v="2"/>
    <x v="0"/>
    <x v="0"/>
    <x v="2"/>
    <m/>
    <m/>
    <s v="Phoebe Anne Fortaleza"/>
  </r>
  <r>
    <n v="1542"/>
    <x v="1"/>
    <x v="39"/>
    <s v="L000005488"/>
    <s v="FR Segment Intelligence"/>
    <m/>
    <x v="2"/>
    <x v="0"/>
    <x v="0"/>
    <x v="2"/>
    <m/>
    <m/>
    <s v="Phoebe Anne Fortaleza"/>
  </r>
  <r>
    <n v="1543"/>
    <x v="1"/>
    <x v="39"/>
    <s v="L000005489"/>
    <s v="GE Segment Intelligence"/>
    <m/>
    <x v="2"/>
    <x v="0"/>
    <x v="0"/>
    <x v="2"/>
    <m/>
    <m/>
    <s v="Phoebe Anne Fortaleza"/>
  </r>
  <r>
    <n v="1544"/>
    <x v="1"/>
    <x v="39"/>
    <s v="L000005491"/>
    <s v="US Segment Intelligence"/>
    <m/>
    <x v="2"/>
    <x v="0"/>
    <x v="0"/>
    <x v="2"/>
    <m/>
    <m/>
    <s v="Phoebe Anne Fortaleza"/>
  </r>
  <r>
    <n v="1545"/>
    <x v="1"/>
    <x v="39"/>
    <s v="L000005492"/>
    <s v="US Segment Intelligence"/>
    <m/>
    <x v="2"/>
    <x v="0"/>
    <x v="0"/>
    <x v="2"/>
    <m/>
    <m/>
    <s v="Phoebe Anne Fortaleza"/>
  </r>
  <r>
    <n v="1546"/>
    <x v="1"/>
    <x v="39"/>
    <s v="L000011965"/>
    <s v="Segment Intelligence General"/>
    <m/>
    <x v="2"/>
    <x v="0"/>
    <x v="0"/>
    <x v="2"/>
    <m/>
    <m/>
    <s v="Phoebe Anne Fortaleza"/>
  </r>
  <r>
    <n v="1547"/>
    <x v="1"/>
    <x v="39"/>
    <s v="L000011995"/>
    <s v="SLS Strategy General"/>
    <m/>
    <x v="2"/>
    <x v="0"/>
    <x v="0"/>
    <x v="2"/>
    <m/>
    <m/>
    <s v="Phoebe Anne Fortaleza"/>
  </r>
  <r>
    <n v="1548"/>
    <x v="1"/>
    <x v="39"/>
    <s v="L000012486"/>
    <s v="FR Strategy"/>
    <m/>
    <x v="2"/>
    <x v="0"/>
    <x v="0"/>
    <x v="2"/>
    <m/>
    <m/>
    <s v="Phoebe Anne Fortaleza"/>
  </r>
  <r>
    <n v="1549"/>
    <x v="1"/>
    <x v="39"/>
    <s v="L000012941"/>
    <s v="Strategy Analytics and Insights"/>
    <m/>
    <x v="2"/>
    <x v="0"/>
    <x v="0"/>
    <x v="2"/>
    <m/>
    <m/>
    <s v="Phoebe Anne Fortaleza"/>
  </r>
  <r>
    <n v="1550"/>
    <x v="1"/>
    <x v="39"/>
    <s v="L000009199"/>
    <s v="Strategy Analytics"/>
    <m/>
    <x v="2"/>
    <x v="0"/>
    <x v="0"/>
    <x v="2"/>
    <m/>
    <m/>
    <s v="Phoebe Anne Fortaleza"/>
  </r>
  <r>
    <n v="1551"/>
    <x v="1"/>
    <x v="39"/>
    <s v="L000012931"/>
    <s v="SLS Strategy SBS"/>
    <m/>
    <x v="2"/>
    <x v="0"/>
    <x v="0"/>
    <x v="2"/>
    <m/>
    <m/>
    <s v="Phoebe Anne Fortaleza"/>
  </r>
  <r>
    <n v="1552"/>
    <x v="1"/>
    <x v="39"/>
    <s v="L000005348"/>
    <s v="Licensing, Innov, &amp; Partn Team"/>
    <m/>
    <x v="2"/>
    <x v="0"/>
    <x v="0"/>
    <x v="2"/>
    <m/>
    <m/>
    <s v="Phoebe Anne Fortaleza"/>
  </r>
  <r>
    <n v="1553"/>
    <x v="1"/>
    <x v="39"/>
    <s v="L000005351"/>
    <s v="FR Lic, Innov &amp; Strat Partn"/>
    <m/>
    <x v="2"/>
    <x v="0"/>
    <x v="0"/>
    <x v="2"/>
    <m/>
    <m/>
    <s v="Phoebe Anne Fortaleza"/>
  </r>
  <r>
    <n v="1554"/>
    <x v="1"/>
    <x v="39"/>
    <s v="L000005353"/>
    <s v="UK Lic, Innov &amp; Strat"/>
    <m/>
    <x v="2"/>
    <x v="0"/>
    <x v="0"/>
    <x v="2"/>
    <m/>
    <m/>
    <s v="Phoebe Anne Fortaleza"/>
  </r>
  <r>
    <n v="1555"/>
    <x v="1"/>
    <x v="39"/>
    <s v="L000005355"/>
    <s v="US Lic, Innov &amp; Strat Partn"/>
    <m/>
    <x v="2"/>
    <x v="0"/>
    <x v="0"/>
    <x v="2"/>
    <m/>
    <m/>
    <s v="Phoebe Anne Fortaleza"/>
  </r>
  <r>
    <n v="1556"/>
    <x v="1"/>
    <x v="39"/>
    <s v="L000005356"/>
    <s v="Lic, Innov, &amp; Strat General"/>
    <m/>
    <x v="2"/>
    <x v="0"/>
    <x v="0"/>
    <x v="2"/>
    <m/>
    <m/>
    <s v="Phoebe Anne Fortaleza"/>
  </r>
  <r>
    <n v="1557"/>
    <x v="1"/>
    <x v="39"/>
    <s v="L000005357"/>
    <s v="Lic, Innov, &amp; Strat Partn"/>
    <m/>
    <x v="2"/>
    <x v="0"/>
    <x v="0"/>
    <x v="2"/>
    <m/>
    <m/>
    <s v="Phoebe Anne Fortaleza"/>
  </r>
  <r>
    <n v="1558"/>
    <x v="1"/>
    <x v="39"/>
    <s v="L000011961"/>
    <s v="Lic, Innov, &amp; Strat M&amp;S General"/>
    <m/>
    <x v="2"/>
    <x v="0"/>
    <x v="0"/>
    <x v="2"/>
    <m/>
    <m/>
    <s v="Phoebe Anne Fortaleza"/>
  </r>
  <r>
    <n v="1559"/>
    <x v="1"/>
    <x v="39"/>
    <s v="L000011962"/>
    <s v="Lic, Innov, &amp; Strat R&amp;D General"/>
    <m/>
    <x v="2"/>
    <x v="0"/>
    <x v="0"/>
    <x v="2"/>
    <m/>
    <m/>
    <s v="Phoebe Anne Fortaleza"/>
  </r>
  <r>
    <n v="1560"/>
    <x v="1"/>
    <x v="39"/>
    <s v="L000009145"/>
    <s v="BD LICENSE GENERAL"/>
    <m/>
    <x v="2"/>
    <x v="0"/>
    <x v="0"/>
    <x v="2"/>
    <m/>
    <m/>
    <s v="Phoebe Anne Fortaleza"/>
  </r>
  <r>
    <n v="1561"/>
    <x v="1"/>
    <x v="39"/>
    <s v="L000009147"/>
    <s v="BUSINESS DEV EU"/>
    <m/>
    <x v="2"/>
    <x v="0"/>
    <x v="0"/>
    <x v="2"/>
    <m/>
    <m/>
    <s v="Phoebe Anne Fortaleza"/>
  </r>
  <r>
    <n v="1562"/>
    <x v="1"/>
    <x v="39"/>
    <s v="L000009148"/>
    <s v="BUSINESS DEV US"/>
    <m/>
    <x v="2"/>
    <x v="0"/>
    <x v="0"/>
    <x v="2"/>
    <m/>
    <m/>
    <s v="Phoebe Anne Fortaleza"/>
  </r>
  <r>
    <n v="1563"/>
    <x v="1"/>
    <x v="39"/>
    <s v="L000009177"/>
    <s v="MKE BUSINESS DEV"/>
    <m/>
    <x v="2"/>
    <x v="0"/>
    <x v="0"/>
    <x v="2"/>
    <m/>
    <m/>
    <s v="Phoebe Anne Fortaleza"/>
  </r>
  <r>
    <n v="1564"/>
    <x v="1"/>
    <x v="39"/>
    <s v="L000005430"/>
    <s v="SLS IBM"/>
    <m/>
    <x v="2"/>
    <x v="0"/>
    <x v="0"/>
    <x v="2"/>
    <m/>
    <m/>
    <s v="Phoebe Anne Fortaleza"/>
  </r>
  <r>
    <n v="1565"/>
    <x v="1"/>
    <x v="39"/>
    <s v="L000005431"/>
    <s v="GE698102 SLS IBM"/>
    <m/>
    <x v="2"/>
    <x v="0"/>
    <x v="0"/>
    <x v="2"/>
    <m/>
    <m/>
    <s v="Phoebe Anne Fortaleza"/>
  </r>
  <r>
    <n v="1566"/>
    <x v="1"/>
    <x v="39"/>
    <s v="L000005432"/>
    <s v="US5908 SLS IBM"/>
    <m/>
    <x v="2"/>
    <x v="0"/>
    <x v="0"/>
    <x v="2"/>
    <m/>
    <m/>
    <s v="Phoebe Anne Fortaleza"/>
  </r>
  <r>
    <n v="1567"/>
    <x v="1"/>
    <x v="39"/>
    <s v="L000011955"/>
    <s v="SLS IBM Projects"/>
    <m/>
    <x v="2"/>
    <x v="0"/>
    <x v="0"/>
    <x v="2"/>
    <m/>
    <m/>
    <s v="Phoebe Anne Fortaleza"/>
  </r>
  <r>
    <n v="1568"/>
    <x v="1"/>
    <x v="39"/>
    <s v="L000011956"/>
    <s v="SLS IBM General"/>
    <m/>
    <x v="2"/>
    <x v="0"/>
    <x v="0"/>
    <x v="2"/>
    <m/>
    <m/>
    <s v="Phoebe Anne Fortaleza"/>
  </r>
  <r>
    <n v="1569"/>
    <x v="1"/>
    <x v="39"/>
    <s v="L000011957"/>
    <s v="SLS IBM SBS"/>
    <m/>
    <x v="2"/>
    <x v="0"/>
    <x v="0"/>
    <x v="2"/>
    <m/>
    <m/>
    <s v="Phoebe Anne Fortaleza"/>
  </r>
  <r>
    <n v="1570"/>
    <x v="1"/>
    <x v="39"/>
    <s v="L000005433"/>
    <s v="SLS PMO"/>
    <m/>
    <x v="2"/>
    <x v="0"/>
    <x v="0"/>
    <x v="2"/>
    <m/>
    <m/>
    <s v="Phoebe Anne Fortaleza"/>
  </r>
  <r>
    <n v="1571"/>
    <x v="1"/>
    <x v="39"/>
    <s v="L000005434"/>
    <s v="Innovation PMO America"/>
    <m/>
    <x v="2"/>
    <x v="0"/>
    <x v="0"/>
    <x v="2"/>
    <m/>
    <m/>
    <s v="Phoebe Anne Fortaleza"/>
  </r>
  <r>
    <n v="1572"/>
    <x v="1"/>
    <x v="39"/>
    <s v="L000005435"/>
    <s v="SLS Innovation PMO"/>
    <m/>
    <x v="2"/>
    <x v="0"/>
    <x v="0"/>
    <x v="2"/>
    <m/>
    <m/>
    <s v="Phoebe Anne Fortaleza"/>
  </r>
  <r>
    <n v="1573"/>
    <x v="1"/>
    <x v="39"/>
    <s v="L000005436"/>
    <s v="US2148R00001  Innovation PMO"/>
    <m/>
    <x v="2"/>
    <x v="0"/>
    <x v="0"/>
    <x v="2"/>
    <m/>
    <m/>
    <s v="Phoebe Anne Fortaleza"/>
  </r>
  <r>
    <n v="1574"/>
    <x v="1"/>
    <x v="39"/>
    <s v="L000005437"/>
    <s v="US496920 AS Innovation PMO"/>
    <m/>
    <x v="2"/>
    <x v="0"/>
    <x v="0"/>
    <x v="2"/>
    <m/>
    <m/>
    <s v="Phoebe Anne Fortaleza"/>
  </r>
  <r>
    <n v="1575"/>
    <x v="1"/>
    <x v="39"/>
    <s v="L000005438"/>
    <s v="US6030 AS Innovation PMO"/>
    <m/>
    <x v="2"/>
    <x v="0"/>
    <x v="0"/>
    <x v="2"/>
    <m/>
    <m/>
    <s v="Phoebe Anne Fortaleza"/>
  </r>
  <r>
    <n v="1576"/>
    <x v="1"/>
    <x v="39"/>
    <s v="L000005439"/>
    <s v="US6109 AS Innovation PMO"/>
    <m/>
    <x v="2"/>
    <x v="0"/>
    <x v="0"/>
    <x v="2"/>
    <m/>
    <m/>
    <s v="Phoebe Anne Fortaleza"/>
  </r>
  <r>
    <n v="1577"/>
    <x v="1"/>
    <x v="39"/>
    <s v="L000005440"/>
    <s v="US6413 AS Innovation PMO"/>
    <m/>
    <x v="2"/>
    <x v="0"/>
    <x v="0"/>
    <x v="2"/>
    <m/>
    <m/>
    <s v="Phoebe Anne Fortaleza"/>
  </r>
  <r>
    <n v="1578"/>
    <x v="1"/>
    <x v="39"/>
    <s v="L000005441"/>
    <s v="Innovation PMO Europe"/>
    <m/>
    <x v="2"/>
    <x v="0"/>
    <x v="0"/>
    <x v="2"/>
    <m/>
    <m/>
    <s v="Phoebe Anne Fortaleza"/>
  </r>
  <r>
    <n v="1579"/>
    <x v="1"/>
    <x v="39"/>
    <s v="L000005442"/>
    <s v="FR6109 AS Innovation PMO (EU)"/>
    <m/>
    <x v="2"/>
    <x v="0"/>
    <x v="0"/>
    <x v="2"/>
    <m/>
    <m/>
    <s v="Phoebe Anne Fortaleza"/>
  </r>
  <r>
    <n v="1580"/>
    <x v="1"/>
    <x v="39"/>
    <s v="L000005443"/>
    <s v="GE687000 AS Innovation PMO"/>
    <m/>
    <x v="2"/>
    <x v="0"/>
    <x v="0"/>
    <x v="2"/>
    <m/>
    <m/>
    <s v="Phoebe Anne Fortaleza"/>
  </r>
  <r>
    <n v="1581"/>
    <x v="1"/>
    <x v="39"/>
    <s v="L000012484"/>
    <s v="CH56496 AS Innovation EU"/>
    <m/>
    <x v="2"/>
    <x v="0"/>
    <x v="0"/>
    <x v="2"/>
    <m/>
    <m/>
    <s v="Phoebe Anne Fortaleza"/>
  </r>
  <r>
    <n v="1582"/>
    <x v="1"/>
    <x v="39"/>
    <s v="L000009198"/>
    <s v="SLS  PMO General"/>
    <m/>
    <x v="2"/>
    <x v="0"/>
    <x v="0"/>
    <x v="2"/>
    <m/>
    <m/>
    <s v="Phoebe Anne Fortaleza"/>
  </r>
  <r>
    <n v="1583"/>
    <x v="1"/>
    <x v="39"/>
    <s v="L000011963"/>
    <s v="Innovation PMO Mgmt"/>
    <m/>
    <x v="2"/>
    <x v="0"/>
    <x v="0"/>
    <x v="2"/>
    <m/>
    <m/>
    <s v="Phoebe Anne Fortaleza"/>
  </r>
  <r>
    <n v="1584"/>
    <x v="1"/>
    <x v="39"/>
    <s v="L000005445"/>
    <s v="FR6413 AS Innovation PMO"/>
    <m/>
    <x v="2"/>
    <x v="0"/>
    <x v="0"/>
    <x v="2"/>
    <m/>
    <m/>
    <s v="Phoebe Anne Fortaleza"/>
  </r>
  <r>
    <n v="1585"/>
    <x v="1"/>
    <x v="39"/>
    <s v="L000005446"/>
    <s v="US20525 AS Innovation PMO"/>
    <m/>
    <x v="2"/>
    <x v="0"/>
    <x v="0"/>
    <x v="2"/>
    <m/>
    <m/>
    <s v="Phoebe Anne Fortaleza"/>
  </r>
  <r>
    <n v="1586"/>
    <x v="1"/>
    <x v="39"/>
    <s v="L000011964"/>
    <s v="Innovation PMO General"/>
    <m/>
    <x v="2"/>
    <x v="0"/>
    <x v="0"/>
    <x v="2"/>
    <m/>
    <m/>
    <s v="Phoebe Anne Fortaleza"/>
  </r>
  <r>
    <n v="1587"/>
    <x v="1"/>
    <x v="39"/>
    <s v="L000005448"/>
    <s v="SLS List Price Analytics &amp; Tools"/>
    <m/>
    <x v="2"/>
    <x v="0"/>
    <x v="0"/>
    <x v="2"/>
    <m/>
    <m/>
    <s v="Phoebe Anne Fortaleza"/>
  </r>
  <r>
    <n v="1588"/>
    <x v="1"/>
    <x v="39"/>
    <s v="L000005449"/>
    <s v="SLS Pricing"/>
    <m/>
    <x v="2"/>
    <x v="0"/>
    <x v="0"/>
    <x v="2"/>
    <m/>
    <m/>
    <s v="Phoebe Anne Fortaleza"/>
  </r>
  <r>
    <n v="1589"/>
    <x v="1"/>
    <x v="39"/>
    <s v="L000005451"/>
    <s v="SLS List Price Analytics"/>
    <m/>
    <x v="2"/>
    <x v="0"/>
    <x v="0"/>
    <x v="2"/>
    <m/>
    <m/>
    <s v="Phoebe Anne Fortaleza"/>
  </r>
  <r>
    <n v="1590"/>
    <x v="1"/>
    <x v="39"/>
    <s v="L000005452"/>
    <s v="SLS Price Analytics&amp;Tools"/>
    <m/>
    <x v="2"/>
    <x v="0"/>
    <x v="0"/>
    <x v="2"/>
    <m/>
    <m/>
    <s v="Phoebe Anne Fortaleza"/>
  </r>
  <r>
    <n v="1591"/>
    <x v="1"/>
    <x v="39"/>
    <s v="L000005453"/>
    <s v="UK SLS Price Realization"/>
    <m/>
    <x v="2"/>
    <x v="0"/>
    <x v="0"/>
    <x v="2"/>
    <m/>
    <m/>
    <s v="Phoebe Anne Fortaleza"/>
  </r>
  <r>
    <n v="1592"/>
    <x v="1"/>
    <x v="39"/>
    <s v="L000005454"/>
    <s v="US SLS Price Realization"/>
    <m/>
    <x v="2"/>
    <x v="0"/>
    <x v="0"/>
    <x v="2"/>
    <m/>
    <m/>
    <s v="Phoebe Anne Fortaleza"/>
  </r>
  <r>
    <n v="1593"/>
    <x v="1"/>
    <x v="39"/>
    <s v="L000005455"/>
    <s v="US5996 SLS Pricing"/>
    <m/>
    <x v="2"/>
    <x v="0"/>
    <x v="0"/>
    <x v="2"/>
    <m/>
    <m/>
    <s v="Phoebe Anne Fortaleza"/>
  </r>
  <r>
    <n v="1594"/>
    <x v="1"/>
    <x v="39"/>
    <s v="L000005456"/>
    <s v="SLS Pricing Business Partner Team"/>
    <m/>
    <x v="2"/>
    <x v="0"/>
    <x v="0"/>
    <x v="2"/>
    <m/>
    <m/>
    <s v="Phoebe Anne Fortaleza"/>
  </r>
  <r>
    <n v="1595"/>
    <x v="1"/>
    <x v="39"/>
    <s v="L000005458"/>
    <s v="GE698204 SLS Pricing"/>
    <m/>
    <x v="2"/>
    <x v="0"/>
    <x v="0"/>
    <x v="2"/>
    <m/>
    <m/>
    <s v="Phoebe Anne Fortaleza"/>
  </r>
  <r>
    <n v="1596"/>
    <x v="1"/>
    <x v="39"/>
    <s v="L000005459"/>
    <s v="US20331 SLS Pricing"/>
    <m/>
    <x v="2"/>
    <x v="0"/>
    <x v="0"/>
    <x v="2"/>
    <m/>
    <m/>
    <s v="Phoebe Anne Fortaleza"/>
  </r>
  <r>
    <n v="1597"/>
    <x v="1"/>
    <x v="39"/>
    <s v="L000012490"/>
    <s v="US5982 SLS Pricing BP"/>
    <m/>
    <x v="2"/>
    <x v="0"/>
    <x v="0"/>
    <x v="2"/>
    <m/>
    <m/>
    <s v="Phoebe Anne Fortaleza"/>
  </r>
  <r>
    <n v="1598"/>
    <x v="1"/>
    <x v="39"/>
    <s v="L000005460"/>
    <s v="SLS Pricing Mgmt"/>
    <m/>
    <x v="2"/>
    <x v="0"/>
    <x v="0"/>
    <x v="2"/>
    <m/>
    <m/>
    <s v="Phoebe Anne Fortaleza"/>
  </r>
  <r>
    <n v="1599"/>
    <x v="1"/>
    <x v="39"/>
    <s v="L000005461"/>
    <s v="UK1756C00738 SLS Pricing"/>
    <m/>
    <x v="2"/>
    <x v="0"/>
    <x v="0"/>
    <x v="2"/>
    <m/>
    <m/>
    <s v="Phoebe Anne Fortaleza"/>
  </r>
  <r>
    <n v="1600"/>
    <x v="1"/>
    <x v="39"/>
    <s v="L000005462"/>
    <s v="GE15225 SLS Pricing Mgmt"/>
    <m/>
    <x v="2"/>
    <x v="0"/>
    <x v="0"/>
    <x v="2"/>
    <m/>
    <m/>
    <s v="Phoebe Anne Fortaleza"/>
  </r>
  <r>
    <n v="1601"/>
    <x v="1"/>
    <x v="39"/>
    <s v="L000005463"/>
    <s v="UK1756C07325 SLS Pricing"/>
    <m/>
    <x v="2"/>
    <x v="0"/>
    <x v="0"/>
    <x v="2"/>
    <m/>
    <m/>
    <s v="Phoebe Anne Fortaleza"/>
  </r>
  <r>
    <n v="1602"/>
    <x v="1"/>
    <x v="39"/>
    <s v="L000005464"/>
    <s v="US20351 SLS Pricing Mgmt"/>
    <m/>
    <x v="2"/>
    <x v="0"/>
    <x v="0"/>
    <x v="2"/>
    <m/>
    <m/>
    <s v="Phoebe Anne Fortaleza"/>
  </r>
  <r>
    <n v="1603"/>
    <x v="1"/>
    <x v="39"/>
    <s v="L000005465"/>
    <s v="SLS Pricing Operations"/>
    <m/>
    <x v="2"/>
    <x v="0"/>
    <x v="0"/>
    <x v="2"/>
    <m/>
    <m/>
    <s v="Phoebe Anne Fortaleza"/>
  </r>
  <r>
    <n v="1604"/>
    <x v="1"/>
    <x v="39"/>
    <s v="L000005466"/>
    <s v="SLS Pricing SBS"/>
    <m/>
    <x v="2"/>
    <x v="0"/>
    <x v="0"/>
    <x v="2"/>
    <m/>
    <m/>
    <s v="Phoebe Anne Fortaleza"/>
  </r>
  <r>
    <n v="1605"/>
    <x v="1"/>
    <x v="39"/>
    <s v="L000005467"/>
    <s v="GE695000 SLS Pricing"/>
    <m/>
    <x v="2"/>
    <x v="0"/>
    <x v="0"/>
    <x v="2"/>
    <m/>
    <m/>
    <s v="Phoebe Anne Fortaleza"/>
  </r>
  <r>
    <n v="1606"/>
    <x v="1"/>
    <x v="39"/>
    <s v="L000005468"/>
    <s v="US21441 SLS Pricing Operations"/>
    <m/>
    <x v="2"/>
    <x v="0"/>
    <x v="0"/>
    <x v="2"/>
    <m/>
    <m/>
    <s v="Phoebe Anne Fortaleza"/>
  </r>
  <r>
    <n v="1607"/>
    <x v="1"/>
    <x v="39"/>
    <s v="L000011993"/>
    <s v="SLS Pricing General"/>
    <m/>
    <x v="2"/>
    <x v="0"/>
    <x v="0"/>
    <x v="2"/>
    <m/>
    <m/>
    <s v="Phoebe Anne Fortaleza"/>
  </r>
  <r>
    <n v="1608"/>
    <x v="1"/>
    <x v="39"/>
    <s v="L000008350 "/>
    <s v="APAC SLS Commercial Operations -G"/>
    <m/>
    <x v="2"/>
    <x v="0"/>
    <x v="0"/>
    <x v="2"/>
    <m/>
    <m/>
    <s v="Phoebe Anne Fortaleza"/>
  </r>
  <r>
    <n v="1609"/>
    <x v="1"/>
    <x v="39"/>
    <s v="L000008359 "/>
    <s v="APAC Commercial Excellence - G"/>
    <m/>
    <x v="2"/>
    <x v="0"/>
    <x v="0"/>
    <x v="2"/>
    <m/>
    <m/>
    <s v="Phoebe Anne Fortaleza"/>
  </r>
  <r>
    <n v="1610"/>
    <x v="1"/>
    <x v="39"/>
    <s v="L000013268 "/>
    <s v="APAC Digital &amp; eCommerce Operations -G"/>
    <m/>
    <x v="2"/>
    <x v="0"/>
    <x v="0"/>
    <x v="2"/>
    <m/>
    <m/>
    <s v="Phoebe Anne Fortaleza"/>
  </r>
  <r>
    <n v="1611"/>
    <x v="1"/>
    <x v="39"/>
    <s v="L000005109 "/>
    <s v="APAC - Regional Mktg - SEA"/>
    <m/>
    <x v="2"/>
    <x v="0"/>
    <x v="0"/>
    <x v="2"/>
    <m/>
    <m/>
    <s v="Phoebe Anne Fortaleza"/>
  </r>
  <r>
    <n v="1612"/>
    <x v="1"/>
    <x v="39"/>
    <s v="L000005110 "/>
    <s v="APAC - Regional Mktg - ANZ"/>
    <m/>
    <x v="2"/>
    <x v="0"/>
    <x v="0"/>
    <x v="2"/>
    <m/>
    <m/>
    <s v="Phoebe Anne Fortaleza"/>
  </r>
  <r>
    <n v="1613"/>
    <x v="1"/>
    <x v="39"/>
    <s v="L000006425"/>
    <s v="mRNA Delivery &amp; PEGs DA"/>
    <m/>
    <x v="2"/>
    <x v="0"/>
    <x v="0"/>
    <x v="2"/>
    <m/>
    <m/>
    <s v="Phoebe Anne Fortaleza"/>
  </r>
  <r>
    <n v="1614"/>
    <x v="1"/>
    <x v="39"/>
    <s v="L000013220"/>
    <s v="CA EB &amp; Novel Modalities PS EMEA"/>
    <m/>
    <x v="2"/>
    <x v="0"/>
    <x v="0"/>
    <x v="2"/>
    <m/>
    <m/>
    <s v="Phoebe Anne Fortaleza"/>
  </r>
  <r>
    <n v="1615"/>
    <x v="1"/>
    <x v="39"/>
    <s v="L000006908"/>
    <s v="PS CA Novel Modalities-G"/>
    <m/>
    <x v="2"/>
    <x v="0"/>
    <x v="0"/>
    <x v="2"/>
    <m/>
    <m/>
    <s v="Phoebe Anne Fortaleza"/>
  </r>
  <r>
    <n v="1616"/>
    <x v="1"/>
    <x v="39"/>
    <s v="L000012387"/>
    <s v="CA Downstream Region 1 &amp; 3 PS EMEA"/>
    <m/>
    <x v="2"/>
    <x v="0"/>
    <x v="0"/>
    <x v="2"/>
    <m/>
    <m/>
    <s v="Phoebe Anne Fortaleza"/>
  </r>
  <r>
    <n v="1617"/>
    <x v="1"/>
    <x v="39"/>
    <s v="L000011669"/>
    <s v="PS-North Asia - to be deleted"/>
    <m/>
    <x v="2"/>
    <x v="0"/>
    <x v="0"/>
    <x v="2"/>
    <m/>
    <m/>
    <s v="Phoebe Anne Fortaleza"/>
  </r>
  <r>
    <n v="1618"/>
    <x v="1"/>
    <x v="39"/>
    <s v="L000012392"/>
    <s v="PS-Korea"/>
    <m/>
    <x v="2"/>
    <x v="0"/>
    <x v="0"/>
    <x v="2"/>
    <m/>
    <m/>
    <s v="Phoebe Anne Fortaleza"/>
  </r>
  <r>
    <n v="1619"/>
    <x v="1"/>
    <x v="39"/>
    <s v="L000012393"/>
    <s v="PS-Japan"/>
    <m/>
    <x v="2"/>
    <x v="0"/>
    <x v="0"/>
    <x v="2"/>
    <m/>
    <m/>
    <s v="Phoebe Anne Fortaleza"/>
  </r>
  <r>
    <n v="1620"/>
    <x v="1"/>
    <x v="39"/>
    <s v="L000006553"/>
    <s v="PSMMOR1975.5355 5355 BioP-G-to be delet"/>
    <m/>
    <x v="2"/>
    <x v="0"/>
    <x v="0"/>
    <x v="2"/>
    <m/>
    <m/>
    <s v="Phoebe Anne Fortaleza"/>
  </r>
  <r>
    <n v="1621"/>
    <x v="1"/>
    <x v="39"/>
    <s v="L000013153"/>
    <s v="SAC Indianapolis"/>
    <s v="L000013151"/>
    <x v="4"/>
    <x v="0"/>
    <x v="0"/>
    <x v="2"/>
    <m/>
    <m/>
    <s v="Phoebe Anne Fortaleza"/>
  </r>
  <r>
    <n v="1622"/>
    <x v="1"/>
    <x v="39"/>
    <s v="L000005419"/>
    <s v="US21306 Print Fulfillment"/>
    <s v="L000005424"/>
    <x v="4"/>
    <x v="0"/>
    <x v="0"/>
    <x v="2"/>
    <m/>
    <m/>
    <s v="Phoebe Anne Fortaleza"/>
  </r>
  <r>
    <n v="1623"/>
    <x v="1"/>
    <x v="39"/>
    <s v="L000005424"/>
    <s v="SLS Tradeshows Tier 1 &amp; 2"/>
    <s v="L000005425"/>
    <x v="4"/>
    <x v="0"/>
    <x v="0"/>
    <x v="2"/>
    <m/>
    <m/>
    <s v="Phoebe Anne Fortaleza"/>
  </r>
  <r>
    <n v="1624"/>
    <x v="1"/>
    <x v="39"/>
    <s v="L000005426"/>
    <s v="FR5404 SLS Tradeshow Team (EMEA)"/>
    <s v="L000013671"/>
    <x v="4"/>
    <x v="0"/>
    <x v="0"/>
    <x v="2"/>
    <m/>
    <m/>
    <s v="Phoebe Anne Fortaleza"/>
  </r>
  <r>
    <n v="1625"/>
    <x v="1"/>
    <x v="39"/>
    <s v="L000005428"/>
    <s v="US5404 SLS Tradeshow Team (US)"/>
    <s v="L000013671"/>
    <x v="4"/>
    <x v="0"/>
    <x v="0"/>
    <x v="2"/>
    <m/>
    <m/>
    <s v="Phoebe Anne Fortaleza"/>
  </r>
  <r>
    <n v="1626"/>
    <x v="1"/>
    <x v="39"/>
    <s v="L000009146"/>
    <s v="Business Dev - ICON"/>
    <s v="L000013672"/>
    <x v="4"/>
    <x v="0"/>
    <x v="0"/>
    <x v="2"/>
    <m/>
    <m/>
    <s v="Phoebe Anne Fortaleza"/>
  </r>
  <r>
    <n v="1627"/>
    <x v="1"/>
    <x v="39"/>
    <s v="L000006562"/>
    <s v="PS Royalties"/>
    <s v="L000013562"/>
    <x v="4"/>
    <x v="0"/>
    <x v="0"/>
    <x v="2"/>
    <m/>
    <m/>
    <s v="Phoebe Anne Fortaleza"/>
  </r>
  <r>
    <n v="1628"/>
    <x v="1"/>
    <x v="40"/>
    <s v="L000013426"/>
    <m/>
    <s v="L000013685"/>
    <x v="1"/>
    <x v="0"/>
    <x v="0"/>
    <x v="2"/>
    <m/>
    <m/>
    <s v="Phoebe Anne Fortaleza"/>
  </r>
  <r>
    <n v="1629"/>
    <x v="1"/>
    <x v="40"/>
    <s v="L000013427"/>
    <m/>
    <s v="L000013685"/>
    <x v="1"/>
    <x v="0"/>
    <x v="0"/>
    <x v="2"/>
    <m/>
    <m/>
    <s v="Phoebe Anne Fortaleza"/>
  </r>
  <r>
    <n v="1630"/>
    <x v="1"/>
    <x v="40"/>
    <s v="L000013428"/>
    <m/>
    <s v="L000013685"/>
    <x v="1"/>
    <x v="0"/>
    <x v="0"/>
    <x v="2"/>
    <m/>
    <m/>
    <s v="Phoebe Anne Fortaleza"/>
  </r>
  <r>
    <n v="1631"/>
    <x v="1"/>
    <x v="40"/>
    <s v="L000008352"/>
    <m/>
    <s v="L000013680"/>
    <x v="1"/>
    <x v="0"/>
    <x v="0"/>
    <x v="2"/>
    <m/>
    <m/>
    <s v="Phoebe Anne Fortaleza"/>
  </r>
  <r>
    <n v="1632"/>
    <x v="1"/>
    <x v="40"/>
    <s v="L000008353"/>
    <m/>
    <s v="L000013680"/>
    <x v="1"/>
    <x v="0"/>
    <x v="0"/>
    <x v="2"/>
    <m/>
    <m/>
    <s v="Phoebe Anne Fortaleza"/>
  </r>
  <r>
    <n v="1633"/>
    <x v="1"/>
    <x v="40"/>
    <s v="L000008354"/>
    <m/>
    <s v="L000013680"/>
    <x v="1"/>
    <x v="0"/>
    <x v="0"/>
    <x v="2"/>
    <m/>
    <m/>
    <s v="Phoebe Anne Fortaleza"/>
  </r>
  <r>
    <n v="1634"/>
    <x v="1"/>
    <x v="40"/>
    <s v="L000005360"/>
    <m/>
    <s v="L000013680"/>
    <x v="1"/>
    <x v="0"/>
    <x v="0"/>
    <x v="2"/>
    <m/>
    <m/>
    <s v="Phoebe Anne Fortaleza"/>
  </r>
  <r>
    <n v="1635"/>
    <x v="1"/>
    <x v="40"/>
    <s v="L000011997"/>
    <m/>
    <s v="L000013680"/>
    <x v="1"/>
    <x v="0"/>
    <x v="0"/>
    <x v="2"/>
    <m/>
    <m/>
    <s v="Phoebe Anne Fortaleza"/>
  </r>
  <r>
    <n v="1636"/>
    <x v="1"/>
    <x v="41"/>
    <s v="P000000759"/>
    <s v="EL-BP-I Electronics_I"/>
    <m/>
    <x v="2"/>
    <x v="0"/>
    <x v="0"/>
    <x v="0"/>
    <m/>
    <m/>
    <s v="Joshua Cachola"/>
  </r>
  <r>
    <n v="1637"/>
    <x v="1"/>
    <x v="41"/>
    <s v="G000000305"/>
    <s v="IT-EJ"/>
    <m/>
    <x v="2"/>
    <x v="0"/>
    <x v="0"/>
    <x v="0"/>
    <m/>
    <m/>
    <s v="Joshua Cachola"/>
  </r>
  <r>
    <n v="1638"/>
    <x v="1"/>
    <x v="42"/>
    <s v="P000000854"/>
    <s v="EL-FO-PM Patterning Marketing"/>
    <m/>
    <x v="2"/>
    <x v="0"/>
    <x v="0"/>
    <x v="3"/>
    <m/>
    <m/>
    <s v="Edward Arevalo"/>
  </r>
  <r>
    <n v="1639"/>
    <x v="1"/>
    <x v="42"/>
    <s v="P000001161"/>
    <s v="LWFM"/>
    <s v="P000000658"/>
    <x v="0"/>
    <x v="0"/>
    <x v="0"/>
    <x v="3"/>
    <m/>
    <m/>
    <s v="Edward Arevalo"/>
  </r>
  <r>
    <n v="1640"/>
    <x v="1"/>
    <x v="42"/>
    <s v="P000001162"/>
    <s v="Project E"/>
    <s v="P000000658"/>
    <x v="0"/>
    <x v="0"/>
    <x v="0"/>
    <x v="3"/>
    <m/>
    <m/>
    <s v="Edward Arevalo"/>
  </r>
  <r>
    <n v="1641"/>
    <x v="1"/>
    <x v="42"/>
    <s v="P000001163"/>
    <s v="Dummy_1"/>
    <s v="P000000658"/>
    <x v="0"/>
    <x v="0"/>
    <x v="0"/>
    <x v="3"/>
    <m/>
    <m/>
    <s v="Edward Arevalo"/>
  </r>
  <r>
    <n v="1642"/>
    <x v="1"/>
    <x v="42"/>
    <s v="P000001164"/>
    <s v="Dummy_2"/>
    <s v="P000000658"/>
    <x v="0"/>
    <x v="0"/>
    <x v="0"/>
    <x v="3"/>
    <m/>
    <m/>
    <s v="Edward Arevalo"/>
  </r>
  <r>
    <n v="1643"/>
    <x v="1"/>
    <x v="42"/>
    <s v="P000001094"/>
    <s v="Dummy_3"/>
    <m/>
    <x v="2"/>
    <x v="0"/>
    <x v="0"/>
    <x v="3"/>
    <m/>
    <m/>
    <s v="Edward Arevalo"/>
  </r>
  <r>
    <n v="1644"/>
    <x v="1"/>
    <x v="42"/>
    <s v="P000001095"/>
    <s v="Dummy_4"/>
    <m/>
    <x v="2"/>
    <x v="0"/>
    <x v="0"/>
    <x v="3"/>
    <m/>
    <m/>
    <s v="Edward Arevalo"/>
  </r>
  <r>
    <n v="1645"/>
    <x v="1"/>
    <x v="42"/>
    <s v="P000001096"/>
    <s v="Dummy_5"/>
    <m/>
    <x v="2"/>
    <x v="0"/>
    <x v="0"/>
    <x v="3"/>
    <m/>
    <m/>
    <s v="Edward Arevalo"/>
  </r>
  <r>
    <n v="1646"/>
    <x v="1"/>
    <x v="42"/>
    <s v="P000001097"/>
    <s v="Dummy_6"/>
    <m/>
    <x v="2"/>
    <x v="0"/>
    <x v="0"/>
    <x v="3"/>
    <m/>
    <m/>
    <s v="Edward Arevalo"/>
  </r>
  <r>
    <n v="1647"/>
    <x v="1"/>
    <x v="42"/>
    <s v="P000001098"/>
    <s v="Dummy_7"/>
    <m/>
    <x v="2"/>
    <x v="0"/>
    <x v="0"/>
    <x v="3"/>
    <m/>
    <m/>
    <s v="Edward Arevalo"/>
  </r>
  <r>
    <n v="1648"/>
    <x v="1"/>
    <x v="42"/>
    <s v="P000001099"/>
    <s v="Dummy_8"/>
    <m/>
    <x v="2"/>
    <x v="0"/>
    <x v="0"/>
    <x v="3"/>
    <m/>
    <m/>
    <s v="Edward Arevalo"/>
  </r>
  <r>
    <n v="1649"/>
    <x v="1"/>
    <x v="42"/>
    <s v="P000001100"/>
    <s v="Dummy_9"/>
    <m/>
    <x v="2"/>
    <x v="0"/>
    <x v="0"/>
    <x v="3"/>
    <m/>
    <m/>
    <s v="Edward Arevalo"/>
  </r>
  <r>
    <n v="1650"/>
    <x v="1"/>
    <x v="42"/>
    <s v="P000001101"/>
    <s v="Dummy_10"/>
    <m/>
    <x v="2"/>
    <x v="0"/>
    <x v="0"/>
    <x v="3"/>
    <m/>
    <m/>
    <s v="Edward Arevalo"/>
  </r>
  <r>
    <n v="1651"/>
    <x v="1"/>
    <x v="42"/>
    <s v="P000001165"/>
    <s v="Patterning Silica"/>
    <s v="P000000864"/>
    <x v="0"/>
    <x v="0"/>
    <x v="0"/>
    <x v="3"/>
    <m/>
    <m/>
    <s v="Edward Arevalo"/>
  </r>
  <r>
    <n v="1652"/>
    <x v="1"/>
    <x v="43"/>
    <s v="P000000379"/>
    <s v="EL-CN Electronics China"/>
    <m/>
    <x v="2"/>
    <x v="0"/>
    <x v="0"/>
    <x v="3"/>
    <m/>
    <m/>
    <s v="Edward Arevalo"/>
  </r>
  <r>
    <n v="1653"/>
    <x v="1"/>
    <x v="43"/>
    <s v="P000000571"/>
    <m/>
    <s v="P000000379"/>
    <x v="1"/>
    <x v="0"/>
    <x v="0"/>
    <x v="3"/>
    <m/>
    <m/>
    <s v="Edward Arevalo"/>
  </r>
  <r>
    <n v="1654"/>
    <x v="1"/>
    <x v="43"/>
    <s v="P000000748"/>
    <s v="EL-BP Business Partnering Electronics"/>
    <m/>
    <x v="2"/>
    <x v="0"/>
    <x v="0"/>
    <x v="3"/>
    <m/>
    <m/>
    <s v="Edward Arevalo"/>
  </r>
  <r>
    <n v="1655"/>
    <x v="1"/>
    <x v="43"/>
    <s v="P000000749"/>
    <s v="EL-CE Chief Financial Officer"/>
    <s v="P000000962"/>
    <x v="4"/>
    <x v="0"/>
    <x v="0"/>
    <x v="3"/>
    <m/>
    <m/>
    <s v="Edward Arevalo"/>
  </r>
  <r>
    <n v="1656"/>
    <x v="1"/>
    <x v="43"/>
    <s v="P000000755"/>
    <s v="EL-BP-P Procurement Electronics"/>
    <m/>
    <x v="2"/>
    <x v="0"/>
    <x v="0"/>
    <x v="3"/>
    <m/>
    <m/>
    <s v="Edward Arevalo"/>
  </r>
  <r>
    <n v="1657"/>
    <x v="1"/>
    <x v="43"/>
    <s v="P000000756"/>
    <s v="EL-CM Electronics Communications &amp; CEO Office"/>
    <s v="P000000962"/>
    <x v="4"/>
    <x v="0"/>
    <x v="0"/>
    <x v="3"/>
    <m/>
    <m/>
    <s v="Edward Arevalo"/>
  </r>
  <r>
    <n v="1658"/>
    <x v="1"/>
    <x v="43"/>
    <s v="P000000757"/>
    <s v="EL-BP-H HR Business Partner"/>
    <m/>
    <x v="2"/>
    <x v="0"/>
    <x v="0"/>
    <x v="3"/>
    <m/>
    <m/>
    <s v="Edward Arevalo"/>
  </r>
  <r>
    <n v="1659"/>
    <x v="1"/>
    <x v="43"/>
    <s v="P000000495"/>
    <s v="EL-SC-D Process Development_General"/>
    <m/>
    <x v="2"/>
    <x v="0"/>
    <x v="0"/>
    <x v="3"/>
    <m/>
    <m/>
    <s v="Edward Arevalo"/>
  </r>
  <r>
    <n v="1660"/>
    <x v="1"/>
    <x v="43"/>
    <s v="P000000578"/>
    <s v="XX EL-SC ISC General"/>
    <m/>
    <x v="2"/>
    <x v="0"/>
    <x v="0"/>
    <x v="3"/>
    <m/>
    <m/>
    <s v="Edward Arevalo"/>
  </r>
  <r>
    <n v="1661"/>
    <x v="1"/>
    <x v="43"/>
    <s v="P000001138"/>
    <s v="EL-SC-H Safety &amp; Sustainability Electronics"/>
    <m/>
    <x v="2"/>
    <x v="0"/>
    <x v="0"/>
    <x v="3"/>
    <m/>
    <m/>
    <s v="Edward Arevalo"/>
  </r>
  <r>
    <n v="1662"/>
    <x v="1"/>
    <x v="43"/>
    <s v="P000001139"/>
    <m/>
    <s v="O000000009"/>
    <x v="3"/>
    <x v="0"/>
    <x v="0"/>
    <x v="3"/>
    <m/>
    <m/>
    <s v="Edward Arevalo"/>
  </r>
  <r>
    <n v="1663"/>
    <x v="1"/>
    <x v="43"/>
    <s v="P000001143"/>
    <s v="EL-FO Formulated Materials"/>
    <m/>
    <x v="2"/>
    <x v="0"/>
    <x v="0"/>
    <x v="3"/>
    <m/>
    <m/>
    <s v="Edward Arevalo"/>
  </r>
  <r>
    <n v="1664"/>
    <x v="1"/>
    <x v="43"/>
    <s v="P000000542"/>
    <s v="CCO Overhead"/>
    <s v="P000001159"/>
    <x v="4"/>
    <x v="0"/>
    <x v="0"/>
    <x v="3"/>
    <m/>
    <m/>
    <s v="Edward Arevalo"/>
  </r>
  <r>
    <n v="1665"/>
    <x v="1"/>
    <x v="43"/>
    <s v="P000001159"/>
    <m/>
    <s v="P000000962"/>
    <x v="1"/>
    <x v="0"/>
    <x v="0"/>
    <x v="3"/>
    <m/>
    <m/>
    <s v="Edward Arevalo"/>
  </r>
  <r>
    <n v="1666"/>
    <x v="1"/>
    <x v="43"/>
    <s v="P000000411"/>
    <s v="EL-CC-S Strategy &amp; Business Transformation"/>
    <m/>
    <x v="2"/>
    <x v="0"/>
    <x v="0"/>
    <x v="3"/>
    <m/>
    <m/>
    <s v="Edward Arevalo"/>
  </r>
  <r>
    <n v="1667"/>
    <x v="1"/>
    <x v="43"/>
    <s v="P000000443"/>
    <m/>
    <s v="O000000009"/>
    <x v="3"/>
    <x v="0"/>
    <x v="0"/>
    <x v="3"/>
    <m/>
    <m/>
    <s v="Edward Arevalo"/>
  </r>
  <r>
    <n v="1668"/>
    <x v="1"/>
    <x v="43"/>
    <s v="P000000451"/>
    <m/>
    <s v="O000000009"/>
    <x v="3"/>
    <x v="0"/>
    <x v="0"/>
    <x v="3"/>
    <m/>
    <m/>
    <s v="Edward Arevalo"/>
  </r>
  <r>
    <n v="1669"/>
    <x v="1"/>
    <x v="43"/>
    <s v="P000000960"/>
    <m/>
    <s v="O000000009"/>
    <x v="3"/>
    <x v="0"/>
    <x v="0"/>
    <x v="3"/>
    <m/>
    <m/>
    <s v="Edward Arevalo"/>
  </r>
  <r>
    <n v="1670"/>
    <x v="1"/>
    <x v="43"/>
    <s v="P000001166"/>
    <s v="EL-BP-S Integrated Solutions Partner"/>
    <s v="P000000748"/>
    <x v="0"/>
    <x v="0"/>
    <x v="0"/>
    <x v="3"/>
    <m/>
    <m/>
    <s v="Edward Arevalo"/>
  </r>
  <r>
    <n v="1671"/>
    <x v="1"/>
    <x v="44"/>
    <s v="H000001104"/>
    <m/>
    <s v="H000000916"/>
    <x v="1"/>
    <x v="0"/>
    <x v="0"/>
    <x v="1"/>
    <m/>
    <m/>
    <s v="Henry Ifurung Jr."/>
  </r>
  <r>
    <n v="1672"/>
    <x v="1"/>
    <x v="45"/>
    <s v="P000000859"/>
    <s v="EL-FO-PATE Core Products, Lithography US/EU Regions"/>
    <m/>
    <x v="2"/>
    <x v="0"/>
    <x v="0"/>
    <x v="3"/>
    <m/>
    <m/>
    <s v="Edward Arevalo"/>
  </r>
  <r>
    <n v="1673"/>
    <x v="1"/>
    <x v="45"/>
    <s v="P000000858"/>
    <s v="EL-FO-PAT Customer Applications, Core Products"/>
    <m/>
    <x v="2"/>
    <x v="0"/>
    <x v="0"/>
    <x v="3"/>
    <m/>
    <m/>
    <s v="Edward Arevalo"/>
  </r>
  <r>
    <n v="1674"/>
    <x v="1"/>
    <x v="45"/>
    <s v="P000000860"/>
    <s v="EL-FO-PATJ Core Products, Lithography JP Region"/>
    <m/>
    <x v="2"/>
    <x v="0"/>
    <x v="0"/>
    <x v="3"/>
    <m/>
    <m/>
    <s v="Edward Arevalo"/>
  </r>
  <r>
    <n v="1675"/>
    <x v="1"/>
    <x v="45"/>
    <s v="P000000861"/>
    <s v="EL-FO-PATJA Lithography JP Region, Product Solutions"/>
    <m/>
    <x v="2"/>
    <x v="0"/>
    <x v="0"/>
    <x v="3"/>
    <m/>
    <m/>
    <s v="Edward Arevalo"/>
  </r>
  <r>
    <n v="1676"/>
    <x v="1"/>
    <x v="45"/>
    <s v="P000000862"/>
    <s v="EL-FO-PATJT Lithography JP Region, Customer Solutions"/>
    <m/>
    <x v="2"/>
    <x v="0"/>
    <x v="0"/>
    <x v="3"/>
    <m/>
    <m/>
    <s v="Edward Arevalo"/>
  </r>
  <r>
    <n v="1677"/>
    <x v="1"/>
    <x v="45"/>
    <s v="P000000863"/>
    <s v="EL-FO-PATT Core Products, Lithography TW/SEA Regions"/>
    <m/>
    <x v="2"/>
    <x v="0"/>
    <x v="0"/>
    <x v="3"/>
    <m/>
    <m/>
    <s v="Edward Arevalo"/>
  </r>
  <r>
    <n v="1678"/>
    <x v="1"/>
    <x v="45"/>
    <s v="P000000864"/>
    <s v="EL-FO-PATU Core Products, SP&amp;C"/>
    <m/>
    <x v="2"/>
    <x v="0"/>
    <x v="0"/>
    <x v="3"/>
    <m/>
    <m/>
    <s v="Edward Arevalo"/>
  </r>
  <r>
    <n v="1679"/>
    <x v="1"/>
    <x v="45"/>
    <s v="P000000544"/>
    <s v="EL-TF-R R&amp;D Thin Film"/>
    <m/>
    <x v="2"/>
    <x v="0"/>
    <x v="0"/>
    <x v="3"/>
    <m/>
    <m/>
    <s v="Edward Arevalo"/>
  </r>
  <r>
    <n v="1680"/>
    <x v="1"/>
    <x v="45"/>
    <s v="P000000866"/>
    <s v="Planarization ISC"/>
    <m/>
    <x v="2"/>
    <x v="0"/>
    <x v="0"/>
    <x v="3"/>
    <m/>
    <m/>
    <s v="Edward Arevalo"/>
  </r>
  <r>
    <n v="1681"/>
    <x v="1"/>
    <x v="45"/>
    <s v="P000000868"/>
    <s v="EL-FO-AY Supply Chain Planning Planarization"/>
    <m/>
    <x v="2"/>
    <x v="0"/>
    <x v="0"/>
    <x v="3"/>
    <m/>
    <m/>
    <s v="Edward Arevalo"/>
  </r>
  <r>
    <n v="1682"/>
    <x v="1"/>
    <x v="45"/>
    <s v="P000000869"/>
    <s v="EL-FO-AD Plant Operations Planarization"/>
    <m/>
    <x v="2"/>
    <x v="0"/>
    <x v="0"/>
    <x v="3"/>
    <m/>
    <m/>
    <s v="Edward Arevalo"/>
  </r>
  <r>
    <n v="1683"/>
    <x v="1"/>
    <x v="45"/>
    <s v="P000000903"/>
    <s v="EL-FO-AA Applications Asia"/>
    <m/>
    <x v="2"/>
    <x v="0"/>
    <x v="0"/>
    <x v="3"/>
    <m/>
    <m/>
    <s v="Edward Arevalo"/>
  </r>
  <r>
    <n v="1684"/>
    <x v="1"/>
    <x v="45"/>
    <s v="P000000546"/>
    <s v="EL-FO-AR Planarization R&amp;D "/>
    <m/>
    <x v="2"/>
    <x v="0"/>
    <x v="0"/>
    <x v="3"/>
    <m/>
    <m/>
    <s v="Edward Arevalo"/>
  </r>
  <r>
    <n v="1685"/>
    <x v="1"/>
    <x v="45"/>
    <s v="P000000870"/>
    <s v="EL-FO-AO PLA Ops &amp; Analytical Tech"/>
    <m/>
    <x v="2"/>
    <x v="0"/>
    <x v="0"/>
    <x v="3"/>
    <m/>
    <m/>
    <s v="Edward Arevalo"/>
  </r>
  <r>
    <n v="1686"/>
    <x v="1"/>
    <x v="45"/>
    <s v="P000000871"/>
    <s v="EL-FO-AG PLA Global Product Mgmt."/>
    <m/>
    <x v="2"/>
    <x v="0"/>
    <x v="0"/>
    <x v="3"/>
    <m/>
    <m/>
    <s v="Edward Arevalo"/>
  </r>
  <r>
    <n v="1687"/>
    <x v="1"/>
    <x v="45"/>
    <s v="P000000872"/>
    <s v="EL-FO-AOD PLA Process Development &amp; Sampling"/>
    <m/>
    <x v="2"/>
    <x v="0"/>
    <x v="0"/>
    <x v="3"/>
    <m/>
    <m/>
    <s v="Edward Arevalo"/>
  </r>
  <r>
    <n v="1688"/>
    <x v="1"/>
    <x v="45"/>
    <s v="P000000873"/>
    <s v="EL-FO-AOC PLA Manufacturing Technology"/>
    <m/>
    <x v="2"/>
    <x v="0"/>
    <x v="0"/>
    <x v="3"/>
    <m/>
    <m/>
    <s v="Edward Arevalo"/>
  </r>
  <r>
    <n v="1689"/>
    <x v="1"/>
    <x v="45"/>
    <s v="P000000874"/>
    <s v="EL-FO-AOB PLA Analytical Technology"/>
    <m/>
    <x v="2"/>
    <x v="0"/>
    <x v="0"/>
    <x v="3"/>
    <m/>
    <m/>
    <s v="Edward Arevalo"/>
  </r>
  <r>
    <n v="1690"/>
    <x v="1"/>
    <x v="45"/>
    <s v="P000000056"/>
    <s v="EL-DS-SD Site Darmstadt, Germany"/>
    <m/>
    <x v="2"/>
    <x v="0"/>
    <x v="0"/>
    <x v="3"/>
    <m/>
    <m/>
    <s v="Edward Arevalo"/>
  </r>
  <r>
    <n v="1691"/>
    <x v="1"/>
    <x v="45"/>
    <s v="P000000774"/>
    <s v="GrEx, DIS-DE-DA, Darmstadt, Germany"/>
    <m/>
    <x v="2"/>
    <x v="0"/>
    <x v="0"/>
    <x v="3"/>
    <m/>
    <m/>
    <s v="Edward Arevalo"/>
  </r>
  <r>
    <n v="1692"/>
    <x v="1"/>
    <x v="45"/>
    <s v="P000000057"/>
    <s v="DIS-DE-DA Production (T1)"/>
    <m/>
    <x v="2"/>
    <x v="0"/>
    <x v="0"/>
    <x v="3"/>
    <m/>
    <m/>
    <s v="Edward Arevalo"/>
  </r>
  <r>
    <n v="1693"/>
    <x v="1"/>
    <x v="45"/>
    <s v="P000000058"/>
    <s v="DIS-DE-DA -  EL-DOD-1"/>
    <m/>
    <x v="2"/>
    <x v="0"/>
    <x v="0"/>
    <x v="3"/>
    <m/>
    <m/>
    <s v="Edward Arevalo"/>
  </r>
  <r>
    <n v="1694"/>
    <x v="1"/>
    <x v="45"/>
    <s v="P000000059"/>
    <s v="DIS-DE-DA N5 Production"/>
    <m/>
    <x v="2"/>
    <x v="0"/>
    <x v="0"/>
    <x v="3"/>
    <m/>
    <m/>
    <s v="Edward Arevalo"/>
  </r>
  <r>
    <n v="1695"/>
    <x v="1"/>
    <x v="45"/>
    <s v="P000000060"/>
    <s v="DIS-DE-DA G1 Poly"/>
    <m/>
    <x v="2"/>
    <x v="0"/>
    <x v="0"/>
    <x v="3"/>
    <m/>
    <m/>
    <s v="Edward Arevalo"/>
  </r>
  <r>
    <n v="1696"/>
    <x v="1"/>
    <x v="45"/>
    <s v="P000000061"/>
    <s v="DIS-DE-DA Wittig"/>
    <m/>
    <x v="2"/>
    <x v="0"/>
    <x v="0"/>
    <x v="3"/>
    <m/>
    <m/>
    <s v="Edward Arevalo"/>
  </r>
  <r>
    <n v="1697"/>
    <x v="1"/>
    <x v="45"/>
    <s v="P000000062"/>
    <s v="DIS-DE-DA -  EL-DOD-2 G1+N5"/>
    <m/>
    <x v="2"/>
    <x v="0"/>
    <x v="0"/>
    <x v="3"/>
    <m/>
    <m/>
    <s v="Edward Arevalo"/>
  </r>
  <r>
    <n v="1698"/>
    <x v="1"/>
    <x v="45"/>
    <s v="P000000063"/>
    <s v="DIS-DE-DA -  EL-DOD-3"/>
    <m/>
    <x v="2"/>
    <x v="0"/>
    <x v="0"/>
    <x v="3"/>
    <m/>
    <m/>
    <s v="Edward Arevalo"/>
  </r>
  <r>
    <n v="1699"/>
    <x v="1"/>
    <x v="45"/>
    <s v="P000000064"/>
    <s v="DIS-DE-DA Laboratory"/>
    <m/>
    <x v="2"/>
    <x v="0"/>
    <x v="0"/>
    <x v="3"/>
    <m/>
    <m/>
    <s v="Edward Arevalo"/>
  </r>
  <r>
    <n v="1700"/>
    <x v="1"/>
    <x v="45"/>
    <s v="P000000065"/>
    <s v="DIS-DE-DA H2+H4 Production"/>
    <m/>
    <x v="2"/>
    <x v="0"/>
    <x v="0"/>
    <x v="3"/>
    <m/>
    <m/>
    <s v="Edward Arevalo"/>
  </r>
  <r>
    <n v="1701"/>
    <x v="1"/>
    <x v="45"/>
    <s v="P000000066"/>
    <s v="DIS-DE-DA H5 OLED"/>
    <m/>
    <x v="2"/>
    <x v="0"/>
    <x v="0"/>
    <x v="3"/>
    <m/>
    <m/>
    <s v="Edward Arevalo"/>
  </r>
  <r>
    <n v="1702"/>
    <x v="1"/>
    <x v="45"/>
    <s v="P000000067"/>
    <s v="DIS-DE-DA -  EL-DOD-4"/>
    <m/>
    <x v="2"/>
    <x v="0"/>
    <x v="0"/>
    <x v="3"/>
    <m/>
    <m/>
    <s v="Edward Arevalo"/>
  </r>
  <r>
    <n v="1703"/>
    <x v="1"/>
    <x v="45"/>
    <s v="P000000071"/>
    <s v="DIS-DE-DA G20 Production"/>
    <m/>
    <x v="2"/>
    <x v="0"/>
    <x v="0"/>
    <x v="3"/>
    <m/>
    <m/>
    <s v="Edward Arevalo"/>
  </r>
  <r>
    <n v="1704"/>
    <x v="1"/>
    <x v="45"/>
    <s v="P000000072"/>
    <s v="DIS-DE-DA K12/K25/X28 Poly"/>
    <m/>
    <x v="2"/>
    <x v="0"/>
    <x v="0"/>
    <x v="3"/>
    <m/>
    <m/>
    <s v="Edward Arevalo"/>
  </r>
  <r>
    <n v="1705"/>
    <x v="1"/>
    <x v="45"/>
    <s v="P000000073"/>
    <s v="DIS-DE-DA K10 Mono"/>
    <m/>
    <x v="2"/>
    <x v="0"/>
    <x v="0"/>
    <x v="3"/>
    <m/>
    <m/>
    <s v="Edward Arevalo"/>
  </r>
  <r>
    <n v="1706"/>
    <x v="1"/>
    <x v="45"/>
    <s v="P000000074"/>
    <s v="DIS-DE-DA L29 API"/>
    <m/>
    <x v="2"/>
    <x v="0"/>
    <x v="0"/>
    <x v="3"/>
    <m/>
    <m/>
    <s v="Edward Arevalo"/>
  </r>
  <r>
    <n v="1707"/>
    <x v="1"/>
    <x v="45"/>
    <s v="P000000069"/>
    <s v="DIS-DE-DA -  EL-DOD-6"/>
    <m/>
    <x v="2"/>
    <x v="0"/>
    <x v="0"/>
    <x v="3"/>
    <m/>
    <m/>
    <s v="Edward Arevalo"/>
  </r>
  <r>
    <n v="1708"/>
    <x v="1"/>
    <x v="45"/>
    <s v="P000000068"/>
    <s v="DIS-DE-DA -  EL-DOD-5 J36-J45"/>
    <m/>
    <x v="2"/>
    <x v="0"/>
    <x v="0"/>
    <x v="3"/>
    <m/>
    <m/>
    <s v="Edward Arevalo"/>
  </r>
  <r>
    <n v="1709"/>
    <x v="1"/>
    <x v="45"/>
    <s v="P000000070"/>
    <s v="DIS-DE-DA -  EL-DOD-7 P24"/>
    <m/>
    <x v="2"/>
    <x v="0"/>
    <x v="0"/>
    <x v="3"/>
    <m/>
    <m/>
    <s v="Edward Arevalo"/>
  </r>
  <r>
    <n v="1710"/>
    <x v="1"/>
    <x v="45"/>
    <s v="P000000075"/>
    <s v="DIS-DE-DA -  EL-DOD-S"/>
    <m/>
    <x v="2"/>
    <x v="0"/>
    <x v="0"/>
    <x v="3"/>
    <m/>
    <m/>
    <s v="Edward Arevalo"/>
  </r>
  <r>
    <n v="1711"/>
    <x v="1"/>
    <x v="45"/>
    <s v="P000000076"/>
    <s v="DIS-DE-DA -  EL-DOD Production Reserve"/>
    <m/>
    <x v="2"/>
    <x v="0"/>
    <x v="0"/>
    <x v="3"/>
    <m/>
    <m/>
    <s v="Edward Arevalo"/>
  </r>
  <r>
    <n v="1712"/>
    <x v="1"/>
    <x v="45"/>
    <s v="P000000077"/>
    <s v="DIS-DE-DA Analytics (T6c)."/>
    <m/>
    <x v="2"/>
    <x v="0"/>
    <x v="0"/>
    <x v="3"/>
    <m/>
    <m/>
    <s v="Edward Arevalo"/>
  </r>
  <r>
    <n v="1713"/>
    <x v="1"/>
    <x v="45"/>
    <s v="P000000078"/>
    <s v="DIS-DE-DA Maintenance/Engineering (T3)."/>
    <m/>
    <x v="2"/>
    <x v="0"/>
    <x v="0"/>
    <x v="3"/>
    <m/>
    <m/>
    <s v="Edward Arevalo"/>
  </r>
  <r>
    <n v="1714"/>
    <x v="1"/>
    <x v="45"/>
    <s v="P000000079"/>
    <s v="DIS-DE-DA Energies/Utilities (T4)."/>
    <m/>
    <x v="2"/>
    <x v="0"/>
    <x v="0"/>
    <x v="3"/>
    <m/>
    <m/>
    <s v="Edward Arevalo"/>
  </r>
  <r>
    <n v="1715"/>
    <x v="1"/>
    <x v="45"/>
    <s v="P000000080"/>
    <s v="DIS-DE-DA Environmental Protection (T5)"/>
    <m/>
    <x v="2"/>
    <x v="0"/>
    <x v="0"/>
    <x v="3"/>
    <m/>
    <m/>
    <s v="Edward Arevalo"/>
  </r>
  <r>
    <n v="1716"/>
    <x v="1"/>
    <x v="45"/>
    <s v="P000000081"/>
    <s v="DIS-DE-DA Prod.infrast. &amp; non-off-buil."/>
    <m/>
    <x v="2"/>
    <x v="0"/>
    <x v="0"/>
    <x v="3"/>
    <m/>
    <m/>
    <s v="Edward Arevalo"/>
  </r>
  <r>
    <n v="1717"/>
    <x v="1"/>
    <x v="45"/>
    <s v="P000000082"/>
    <s v="DIS-DE-DA Incom. storage&amp;handling (T7)"/>
    <m/>
    <x v="2"/>
    <x v="0"/>
    <x v="0"/>
    <x v="3"/>
    <m/>
    <m/>
    <s v="Edward Arevalo"/>
  </r>
  <r>
    <n v="1718"/>
    <x v="1"/>
    <x v="45"/>
    <s v="P000000083"/>
    <s v="DIS-DE-DA Local Prod./Proc. Dev. &amp; Opt."/>
    <m/>
    <x v="2"/>
    <x v="0"/>
    <x v="0"/>
    <x v="3"/>
    <m/>
    <m/>
    <s v="Edward Arevalo"/>
  </r>
  <r>
    <n v="1719"/>
    <x v="1"/>
    <x v="45"/>
    <s v="P000000084"/>
    <s v="DIS-DE-DA Other"/>
    <m/>
    <x v="2"/>
    <x v="0"/>
    <x v="0"/>
    <x v="3"/>
    <m/>
    <m/>
    <s v="Edward Arevalo"/>
  </r>
  <r>
    <n v="1720"/>
    <x v="1"/>
    <x v="45"/>
    <s v="P000000085"/>
    <s v="DIS-DE-DA Other_I"/>
    <m/>
    <x v="2"/>
    <x v="0"/>
    <x v="0"/>
    <x v="3"/>
    <m/>
    <m/>
    <s v="Edward Arevalo"/>
  </r>
  <r>
    <n v="1721"/>
    <x v="1"/>
    <x v="45"/>
    <s v="P000000086"/>
    <s v="DIS-DE-DA - EL-DOD Projects"/>
    <m/>
    <x v="2"/>
    <x v="0"/>
    <x v="0"/>
    <x v="3"/>
    <m/>
    <m/>
    <s v="Edward Arevalo"/>
  </r>
  <r>
    <n v="1722"/>
    <x v="1"/>
    <x v="45"/>
    <s v="P000000328"/>
    <s v="DIS-DE-DA Local quality Darmstadt"/>
    <m/>
    <x v="2"/>
    <x v="0"/>
    <x v="0"/>
    <x v="3"/>
    <m/>
    <m/>
    <s v="Edward Arevalo"/>
  </r>
  <r>
    <n v="1723"/>
    <x v="1"/>
    <x v="45"/>
    <s v="P000000329"/>
    <s v="DIS-DE-DA Quality (T2)"/>
    <m/>
    <x v="2"/>
    <x v="0"/>
    <x v="0"/>
    <x v="3"/>
    <m/>
    <m/>
    <s v="Edward Arevalo"/>
  </r>
  <r>
    <n v="1724"/>
    <x v="1"/>
    <x v="45"/>
    <s v="P000000775"/>
    <s v="Non-Grex, DIS-DE-DA, Darmstadt, Germany"/>
    <m/>
    <x v="2"/>
    <x v="0"/>
    <x v="0"/>
    <x v="3"/>
    <m/>
    <m/>
    <s v="Edward Arevalo"/>
  </r>
  <r>
    <n v="1725"/>
    <x v="1"/>
    <x v="45"/>
    <s v="P000000087"/>
    <s v="EL-DS-SA Site Atsugi, Japan"/>
    <m/>
    <x v="2"/>
    <x v="0"/>
    <x v="0"/>
    <x v="3"/>
    <m/>
    <m/>
    <s v="Edward Arevalo"/>
  </r>
  <r>
    <n v="1726"/>
    <x v="1"/>
    <x v="45"/>
    <s v="P000000776"/>
    <s v="GrEx, DIS-JP-AT, Atsugi, Japan"/>
    <m/>
    <x v="2"/>
    <x v="0"/>
    <x v="0"/>
    <x v="3"/>
    <m/>
    <m/>
    <s v="Edward Arevalo"/>
  </r>
  <r>
    <n v="1727"/>
    <x v="1"/>
    <x v="45"/>
    <s v="P000000088"/>
    <s v="DIS-JP-AT Production (T1)"/>
    <m/>
    <x v="2"/>
    <x v="0"/>
    <x v="0"/>
    <x v="3"/>
    <m/>
    <m/>
    <s v="Edward Arevalo"/>
  </r>
  <r>
    <n v="1728"/>
    <x v="1"/>
    <x v="45"/>
    <s v="P000000089"/>
    <s v="DIS-JP-AT Analytics (T6c)"/>
    <m/>
    <x v="2"/>
    <x v="0"/>
    <x v="0"/>
    <x v="3"/>
    <m/>
    <m/>
    <s v="Edward Arevalo"/>
  </r>
  <r>
    <n v="1729"/>
    <x v="1"/>
    <x v="45"/>
    <s v="P000000090"/>
    <s v="DIS-JP-AT Maintenance/Engineering (T3)"/>
    <m/>
    <x v="2"/>
    <x v="0"/>
    <x v="0"/>
    <x v="3"/>
    <m/>
    <m/>
    <s v="Edward Arevalo"/>
  </r>
  <r>
    <n v="1730"/>
    <x v="1"/>
    <x v="45"/>
    <s v="P000000091"/>
    <s v="DIS-JP-AT Energies/Utilities (T4)"/>
    <m/>
    <x v="2"/>
    <x v="0"/>
    <x v="0"/>
    <x v="3"/>
    <m/>
    <m/>
    <s v="Edward Arevalo"/>
  </r>
  <r>
    <n v="1731"/>
    <x v="1"/>
    <x v="45"/>
    <s v="P000000092"/>
    <s v="DIS-JP-AT Environmental Protection (T5)"/>
    <m/>
    <x v="2"/>
    <x v="0"/>
    <x v="0"/>
    <x v="3"/>
    <m/>
    <m/>
    <s v="Edward Arevalo"/>
  </r>
  <r>
    <n v="1732"/>
    <x v="1"/>
    <x v="45"/>
    <s v="P000000093"/>
    <s v="DIS-JP-AT Prod.infrast. &amp; non-off-buil."/>
    <m/>
    <x v="2"/>
    <x v="0"/>
    <x v="0"/>
    <x v="3"/>
    <m/>
    <m/>
    <s v="Edward Arevalo"/>
  </r>
  <r>
    <n v="1733"/>
    <x v="1"/>
    <x v="45"/>
    <s v="P000000094"/>
    <s v="DIS-JP-AT Incom. storage&amp;handling (T7)"/>
    <m/>
    <x v="2"/>
    <x v="0"/>
    <x v="0"/>
    <x v="3"/>
    <m/>
    <m/>
    <s v="Edward Arevalo"/>
  </r>
  <r>
    <n v="1734"/>
    <x v="1"/>
    <x v="45"/>
    <s v="P000000095"/>
    <s v="DIS-JP-AT Local Prod./Proc. Dev. &amp; Opt."/>
    <m/>
    <x v="2"/>
    <x v="0"/>
    <x v="0"/>
    <x v="3"/>
    <m/>
    <m/>
    <s v="Edward Arevalo"/>
  </r>
  <r>
    <n v="1735"/>
    <x v="1"/>
    <x v="45"/>
    <s v="P000000096"/>
    <s v="DIS-JP-AT Other"/>
    <m/>
    <x v="2"/>
    <x v="0"/>
    <x v="0"/>
    <x v="3"/>
    <m/>
    <m/>
    <s v="Edward Arevalo"/>
  </r>
  <r>
    <n v="1736"/>
    <x v="1"/>
    <x v="45"/>
    <s v="P000000306"/>
    <s v="DIS-JP-AT Local quality Atsugi"/>
    <m/>
    <x v="2"/>
    <x v="0"/>
    <x v="0"/>
    <x v="3"/>
    <m/>
    <m/>
    <s v="Edward Arevalo"/>
  </r>
  <r>
    <n v="1737"/>
    <x v="1"/>
    <x v="45"/>
    <s v="P000000307"/>
    <s v="DIS-JP-AT Quality (T2)"/>
    <m/>
    <x v="2"/>
    <x v="0"/>
    <x v="0"/>
    <x v="3"/>
    <m/>
    <m/>
    <s v="Edward Arevalo"/>
  </r>
  <r>
    <n v="1738"/>
    <x v="1"/>
    <x v="45"/>
    <s v="P000000097"/>
    <s v="EL-DS-SZ Site Suzhou, China"/>
    <m/>
    <x v="2"/>
    <x v="0"/>
    <x v="0"/>
    <x v="3"/>
    <m/>
    <m/>
    <s v="Edward Arevalo"/>
  </r>
  <r>
    <n v="1739"/>
    <x v="1"/>
    <x v="45"/>
    <s v="P000000778"/>
    <s v="GrEx, DIS-CN-SU, Suzhou, China"/>
    <m/>
    <x v="2"/>
    <x v="0"/>
    <x v="0"/>
    <x v="3"/>
    <m/>
    <m/>
    <s v="Edward Arevalo"/>
  </r>
  <r>
    <n v="1740"/>
    <x v="1"/>
    <x v="45"/>
    <s v="P000000098"/>
    <s v="DIS-CN-SU Production (T1)"/>
    <m/>
    <x v="2"/>
    <x v="0"/>
    <x v="0"/>
    <x v="3"/>
    <m/>
    <m/>
    <s v="Edward Arevalo"/>
  </r>
  <r>
    <n v="1741"/>
    <x v="1"/>
    <x v="45"/>
    <s v="P000000099"/>
    <s v="DIS-CN-SU Analytics (T6c)."/>
    <m/>
    <x v="2"/>
    <x v="0"/>
    <x v="0"/>
    <x v="3"/>
    <m/>
    <m/>
    <s v="Edward Arevalo"/>
  </r>
  <r>
    <n v="1742"/>
    <x v="1"/>
    <x v="45"/>
    <s v="P000000100"/>
    <s v="DIS-CN-SU Maintenance/Engineering (T3)."/>
    <m/>
    <x v="2"/>
    <x v="0"/>
    <x v="0"/>
    <x v="3"/>
    <m/>
    <m/>
    <s v="Edward Arevalo"/>
  </r>
  <r>
    <n v="1743"/>
    <x v="1"/>
    <x v="45"/>
    <s v="P000000101"/>
    <s v="DIS-CN-SU Energies/Utilities (T4)."/>
    <m/>
    <x v="2"/>
    <x v="0"/>
    <x v="0"/>
    <x v="3"/>
    <m/>
    <m/>
    <s v="Edward Arevalo"/>
  </r>
  <r>
    <n v="1744"/>
    <x v="1"/>
    <x v="45"/>
    <s v="P000000102"/>
    <s v="DIS-CN-SU Environmental Protection (T5)"/>
    <m/>
    <x v="2"/>
    <x v="0"/>
    <x v="0"/>
    <x v="3"/>
    <m/>
    <m/>
    <s v="Edward Arevalo"/>
  </r>
  <r>
    <n v="1745"/>
    <x v="1"/>
    <x v="45"/>
    <s v="P000000103"/>
    <s v="DIS-CN-SU Prod.infrast. &amp; non-off-buil."/>
    <m/>
    <x v="2"/>
    <x v="0"/>
    <x v="0"/>
    <x v="3"/>
    <m/>
    <m/>
    <s v="Edward Arevalo"/>
  </r>
  <r>
    <n v="1746"/>
    <x v="1"/>
    <x v="45"/>
    <s v="P000000104"/>
    <s v="DIS-CN-SU Incom. storage&amp;handling (T7)"/>
    <m/>
    <x v="2"/>
    <x v="0"/>
    <x v="0"/>
    <x v="3"/>
    <m/>
    <m/>
    <s v="Edward Arevalo"/>
  </r>
  <r>
    <n v="1747"/>
    <x v="1"/>
    <x v="45"/>
    <s v="P000000105"/>
    <s v="DIS-CN-SU Local Prod./Proc. Dev. &amp; Opt."/>
    <m/>
    <x v="2"/>
    <x v="0"/>
    <x v="0"/>
    <x v="3"/>
    <m/>
    <m/>
    <s v="Edward Arevalo"/>
  </r>
  <r>
    <n v="1748"/>
    <x v="1"/>
    <x v="45"/>
    <s v="P000000106"/>
    <s v="DIS-CN-SU Other"/>
    <m/>
    <x v="2"/>
    <x v="0"/>
    <x v="0"/>
    <x v="3"/>
    <m/>
    <m/>
    <s v="Edward Arevalo"/>
  </r>
  <r>
    <n v="1749"/>
    <x v="1"/>
    <x v="45"/>
    <s v="P000000320"/>
    <s v="DIS-CN-SU - Local quality Suzhou"/>
    <m/>
    <x v="2"/>
    <x v="0"/>
    <x v="0"/>
    <x v="3"/>
    <m/>
    <m/>
    <s v="Edward Arevalo"/>
  </r>
  <r>
    <n v="1750"/>
    <x v="1"/>
    <x v="45"/>
    <s v="P000000321"/>
    <s v="DIS-CN-SU Quality (T2)"/>
    <m/>
    <x v="2"/>
    <x v="0"/>
    <x v="0"/>
    <x v="3"/>
    <m/>
    <m/>
    <s v="Edward Arevalo"/>
  </r>
  <r>
    <n v="1751"/>
    <x v="1"/>
    <x v="45"/>
    <s v="P000000779"/>
    <s v="Non-GrEx, DIS-CN-SU, Suzhou, China"/>
    <m/>
    <x v="2"/>
    <x v="0"/>
    <x v="0"/>
    <x v="3"/>
    <m/>
    <m/>
    <s v="Edward Arevalo"/>
  </r>
  <r>
    <n v="1752"/>
    <x v="1"/>
    <x v="45"/>
    <s v="P000000107"/>
    <s v="EL-DS-ST Site Taoyuan, Taiwan"/>
    <m/>
    <x v="2"/>
    <x v="0"/>
    <x v="0"/>
    <x v="3"/>
    <m/>
    <m/>
    <s v="Edward Arevalo"/>
  </r>
  <r>
    <n v="1753"/>
    <x v="1"/>
    <x v="45"/>
    <s v="P000000780"/>
    <s v="GrEx, DIS-TW-TA, Taoyuan, Taiwan"/>
    <m/>
    <x v="2"/>
    <x v="0"/>
    <x v="0"/>
    <x v="3"/>
    <m/>
    <m/>
    <s v="Edward Arevalo"/>
  </r>
  <r>
    <n v="1754"/>
    <x v="1"/>
    <x v="45"/>
    <s v="P000000108"/>
    <s v="DIS-TW-TA Production (T1)"/>
    <m/>
    <x v="2"/>
    <x v="0"/>
    <x v="0"/>
    <x v="3"/>
    <m/>
    <m/>
    <s v="Edward Arevalo"/>
  </r>
  <r>
    <n v="1755"/>
    <x v="1"/>
    <x v="45"/>
    <s v="P000000109"/>
    <s v="DIS-TW-TA Analytics (T6c)"/>
    <m/>
    <x v="2"/>
    <x v="0"/>
    <x v="0"/>
    <x v="3"/>
    <m/>
    <m/>
    <s v="Edward Arevalo"/>
  </r>
  <r>
    <n v="1756"/>
    <x v="1"/>
    <x v="45"/>
    <s v="P000000110"/>
    <s v="DIS-TW-TA Maintenance/Engineering (T3)"/>
    <m/>
    <x v="2"/>
    <x v="0"/>
    <x v="0"/>
    <x v="3"/>
    <m/>
    <m/>
    <s v="Edward Arevalo"/>
  </r>
  <r>
    <n v="1757"/>
    <x v="1"/>
    <x v="45"/>
    <s v="P000000111"/>
    <s v="DIS-TW-TA Energies/Utilities (T4)"/>
    <m/>
    <x v="2"/>
    <x v="0"/>
    <x v="0"/>
    <x v="3"/>
    <m/>
    <m/>
    <s v="Edward Arevalo"/>
  </r>
  <r>
    <n v="1758"/>
    <x v="1"/>
    <x v="45"/>
    <s v="P000000112"/>
    <s v="DIS-TW-TA Environmental Protection (T5)"/>
    <m/>
    <x v="2"/>
    <x v="0"/>
    <x v="0"/>
    <x v="3"/>
    <m/>
    <m/>
    <s v="Edward Arevalo"/>
  </r>
  <r>
    <n v="1759"/>
    <x v="1"/>
    <x v="45"/>
    <s v="P000000113"/>
    <s v="DIS-TW-TA Prod.infrast. &amp; non-off-buil."/>
    <m/>
    <x v="2"/>
    <x v="0"/>
    <x v="0"/>
    <x v="3"/>
    <m/>
    <m/>
    <s v="Edward Arevalo"/>
  </r>
  <r>
    <n v="1760"/>
    <x v="1"/>
    <x v="45"/>
    <s v="P000000114"/>
    <s v="DIS-TW-TA Incom. storage&amp;handling (T7)"/>
    <m/>
    <x v="2"/>
    <x v="0"/>
    <x v="0"/>
    <x v="3"/>
    <m/>
    <m/>
    <s v="Edward Arevalo"/>
  </r>
  <r>
    <n v="1761"/>
    <x v="1"/>
    <x v="45"/>
    <s v="P000000115"/>
    <s v="DIS-TW-TA Local Prod./Proc. Dev. &amp; Opt."/>
    <m/>
    <x v="2"/>
    <x v="0"/>
    <x v="0"/>
    <x v="3"/>
    <m/>
    <m/>
    <s v="Edward Arevalo"/>
  </r>
  <r>
    <n v="1762"/>
    <x v="1"/>
    <x v="45"/>
    <s v="P000000116"/>
    <s v="DIS-TW-TA Other"/>
    <m/>
    <x v="2"/>
    <x v="0"/>
    <x v="0"/>
    <x v="3"/>
    <m/>
    <m/>
    <s v="Edward Arevalo"/>
  </r>
  <r>
    <n v="1763"/>
    <x v="1"/>
    <x v="45"/>
    <s v="P000000334"/>
    <s v="DIS-TW-TA Local quality Taoyuan"/>
    <m/>
    <x v="2"/>
    <x v="0"/>
    <x v="0"/>
    <x v="3"/>
    <m/>
    <m/>
    <s v="Edward Arevalo"/>
  </r>
  <r>
    <n v="1764"/>
    <x v="1"/>
    <x v="45"/>
    <s v="P000000335"/>
    <s v="DIS-TW-TA Quality (T2)"/>
    <m/>
    <x v="2"/>
    <x v="0"/>
    <x v="0"/>
    <x v="3"/>
    <m/>
    <m/>
    <s v="Edward Arevalo"/>
  </r>
  <r>
    <n v="1765"/>
    <x v="1"/>
    <x v="45"/>
    <s v="P000000781"/>
    <s v="Non-GrEx, DIS-TW-TA, Taoyuan, Taiwan"/>
    <m/>
    <x v="2"/>
    <x v="0"/>
    <x v="0"/>
    <x v="3"/>
    <m/>
    <m/>
    <s v="Edward Arevalo"/>
  </r>
  <r>
    <n v="1766"/>
    <x v="1"/>
    <x v="45"/>
    <s v="P000000117"/>
    <s v="EL-DS-SH Site Hsinchu, Taiwan"/>
    <m/>
    <x v="2"/>
    <x v="0"/>
    <x v="0"/>
    <x v="3"/>
    <m/>
    <m/>
    <s v="Edward Arevalo"/>
  </r>
  <r>
    <n v="1767"/>
    <x v="1"/>
    <x v="45"/>
    <s v="P000000782"/>
    <s v="GrEx, DIS-TW-HS, Hsinchu, Taiwan"/>
    <m/>
    <x v="2"/>
    <x v="0"/>
    <x v="0"/>
    <x v="3"/>
    <m/>
    <m/>
    <s v="Edward Arevalo"/>
  </r>
  <r>
    <n v="1768"/>
    <x v="1"/>
    <x v="45"/>
    <s v="P000000118"/>
    <s v="DIS-TW-HS Production (T1)"/>
    <m/>
    <x v="2"/>
    <x v="0"/>
    <x v="0"/>
    <x v="3"/>
    <m/>
    <m/>
    <s v="Edward Arevalo"/>
  </r>
  <r>
    <n v="1769"/>
    <x v="1"/>
    <x v="45"/>
    <s v="P000000119"/>
    <s v="DIS-TW-HS Analytics (T6c)"/>
    <m/>
    <x v="2"/>
    <x v="0"/>
    <x v="0"/>
    <x v="3"/>
    <m/>
    <m/>
    <s v="Edward Arevalo"/>
  </r>
  <r>
    <n v="1770"/>
    <x v="1"/>
    <x v="45"/>
    <s v="P000000120"/>
    <s v="DIS-TW-HS Maintenance/Engineering (T3)"/>
    <m/>
    <x v="2"/>
    <x v="0"/>
    <x v="0"/>
    <x v="3"/>
    <m/>
    <m/>
    <s v="Edward Arevalo"/>
  </r>
  <r>
    <n v="1771"/>
    <x v="1"/>
    <x v="45"/>
    <s v="P000000121"/>
    <s v="DIS-TW-HS Energies/Utilities (T4)"/>
    <m/>
    <x v="2"/>
    <x v="0"/>
    <x v="0"/>
    <x v="3"/>
    <m/>
    <m/>
    <s v="Edward Arevalo"/>
  </r>
  <r>
    <n v="1772"/>
    <x v="1"/>
    <x v="45"/>
    <s v="P000000122"/>
    <s v="DIS-TW-HS Environmental Protection (T5)"/>
    <m/>
    <x v="2"/>
    <x v="0"/>
    <x v="0"/>
    <x v="3"/>
    <m/>
    <m/>
    <s v="Edward Arevalo"/>
  </r>
  <r>
    <n v="1773"/>
    <x v="1"/>
    <x v="45"/>
    <s v="P000000123"/>
    <s v="DIS-TW-HS Prod.infrast. &amp; non-off-buil."/>
    <m/>
    <x v="2"/>
    <x v="0"/>
    <x v="0"/>
    <x v="3"/>
    <m/>
    <m/>
    <s v="Edward Arevalo"/>
  </r>
  <r>
    <n v="1774"/>
    <x v="1"/>
    <x v="45"/>
    <s v="P000000124"/>
    <s v="DIS-TW-HS Incom. storage&amp;handling (T7)"/>
    <m/>
    <x v="2"/>
    <x v="0"/>
    <x v="0"/>
    <x v="3"/>
    <m/>
    <m/>
    <s v="Edward Arevalo"/>
  </r>
  <r>
    <n v="1775"/>
    <x v="1"/>
    <x v="45"/>
    <s v="P000000125"/>
    <s v="DIS-TW-HS Local Prod./Proc. Dev. &amp; Opt."/>
    <m/>
    <x v="2"/>
    <x v="0"/>
    <x v="0"/>
    <x v="3"/>
    <m/>
    <m/>
    <s v="Edward Arevalo"/>
  </r>
  <r>
    <n v="1776"/>
    <x v="1"/>
    <x v="45"/>
    <s v="P000000126"/>
    <s v="DIS-TW-HS Other"/>
    <m/>
    <x v="2"/>
    <x v="0"/>
    <x v="0"/>
    <x v="3"/>
    <m/>
    <m/>
    <s v="Edward Arevalo"/>
  </r>
  <r>
    <n v="1777"/>
    <x v="1"/>
    <x v="45"/>
    <s v="P000000322"/>
    <s v="DIS-TW-HS Local quality Hsinchu"/>
    <m/>
    <x v="2"/>
    <x v="0"/>
    <x v="0"/>
    <x v="3"/>
    <m/>
    <m/>
    <s v="Edward Arevalo"/>
  </r>
  <r>
    <n v="1778"/>
    <x v="1"/>
    <x v="45"/>
    <s v="P000000323"/>
    <s v="DIS-TW-HS Quality (T2)"/>
    <m/>
    <x v="2"/>
    <x v="0"/>
    <x v="0"/>
    <x v="3"/>
    <m/>
    <m/>
    <s v="Edward Arevalo"/>
  </r>
  <r>
    <n v="1779"/>
    <x v="1"/>
    <x v="45"/>
    <s v="P000000783"/>
    <s v="Non-GrEx, DIS-TW-HS, Hsinchu, Taiwan"/>
    <m/>
    <x v="2"/>
    <x v="0"/>
    <x v="0"/>
    <x v="3"/>
    <m/>
    <m/>
    <s v="Edward Arevalo"/>
  </r>
  <r>
    <n v="1780"/>
    <x v="1"/>
    <x v="45"/>
    <s v="P000000127"/>
    <s v="EL-DS-SP Site Poseung, S. Korea"/>
    <m/>
    <x v="2"/>
    <x v="0"/>
    <x v="0"/>
    <x v="3"/>
    <m/>
    <m/>
    <s v="Edward Arevalo"/>
  </r>
  <r>
    <n v="1781"/>
    <x v="1"/>
    <x v="45"/>
    <s v="P000000784"/>
    <s v="GrEx, DIS-KR-PO, Poseung, S. Korea"/>
    <m/>
    <x v="2"/>
    <x v="0"/>
    <x v="0"/>
    <x v="3"/>
    <m/>
    <m/>
    <s v="Edward Arevalo"/>
  </r>
  <r>
    <n v="1782"/>
    <x v="1"/>
    <x v="45"/>
    <s v="P000000128"/>
    <s v="DIS-KR-PO Production (T1)"/>
    <m/>
    <x v="2"/>
    <x v="0"/>
    <x v="0"/>
    <x v="3"/>
    <m/>
    <m/>
    <s v="Edward Arevalo"/>
  </r>
  <r>
    <n v="1783"/>
    <x v="1"/>
    <x v="45"/>
    <s v="P000000129"/>
    <s v="DIS-KR-PO Analytics (T6c)"/>
    <m/>
    <x v="2"/>
    <x v="0"/>
    <x v="0"/>
    <x v="3"/>
    <m/>
    <m/>
    <s v="Edward Arevalo"/>
  </r>
  <r>
    <n v="1784"/>
    <x v="1"/>
    <x v="45"/>
    <s v="P000000130"/>
    <s v="DIS-KR-PO Maintenance/Engineering (T3)"/>
    <m/>
    <x v="2"/>
    <x v="0"/>
    <x v="0"/>
    <x v="3"/>
    <m/>
    <m/>
    <s v="Edward Arevalo"/>
  </r>
  <r>
    <n v="1785"/>
    <x v="1"/>
    <x v="45"/>
    <s v="P000000131"/>
    <s v="DIS-KR-PO Energies/Utilities (T4)"/>
    <m/>
    <x v="2"/>
    <x v="0"/>
    <x v="0"/>
    <x v="3"/>
    <m/>
    <m/>
    <s v="Edward Arevalo"/>
  </r>
  <r>
    <n v="1786"/>
    <x v="1"/>
    <x v="45"/>
    <s v="P000000132"/>
    <s v="DIS-KR-PO Environmental Protection (T5)"/>
    <m/>
    <x v="2"/>
    <x v="0"/>
    <x v="0"/>
    <x v="3"/>
    <m/>
    <m/>
    <s v="Edward Arevalo"/>
  </r>
  <r>
    <n v="1787"/>
    <x v="1"/>
    <x v="45"/>
    <s v="P000000133"/>
    <s v="DIS-KR-PO Prod.infrast. &amp; non-off-buil."/>
    <m/>
    <x v="2"/>
    <x v="0"/>
    <x v="0"/>
    <x v="3"/>
    <m/>
    <m/>
    <s v="Edward Arevalo"/>
  </r>
  <r>
    <n v="1788"/>
    <x v="1"/>
    <x v="45"/>
    <s v="P000000134"/>
    <s v="DIS-KR-PO Incom. storage&amp;handling (T7)"/>
    <m/>
    <x v="2"/>
    <x v="0"/>
    <x v="0"/>
    <x v="3"/>
    <m/>
    <m/>
    <s v="Edward Arevalo"/>
  </r>
  <r>
    <n v="1789"/>
    <x v="1"/>
    <x v="45"/>
    <s v="P000000135"/>
    <s v="DIS-KR-PO Local Prod./Proc. Dev. &amp; Opt."/>
    <m/>
    <x v="2"/>
    <x v="0"/>
    <x v="0"/>
    <x v="3"/>
    <m/>
    <m/>
    <s v="Edward Arevalo"/>
  </r>
  <r>
    <n v="1790"/>
    <x v="1"/>
    <x v="45"/>
    <s v="P000000136"/>
    <s v="DIS-KR-PO Other"/>
    <m/>
    <x v="2"/>
    <x v="0"/>
    <x v="0"/>
    <x v="3"/>
    <m/>
    <m/>
    <s v="Edward Arevalo"/>
  </r>
  <r>
    <n v="1791"/>
    <x v="1"/>
    <x v="45"/>
    <s v="P000000324"/>
    <s v="DIS-KR-PO Local quality Poseung"/>
    <m/>
    <x v="2"/>
    <x v="0"/>
    <x v="0"/>
    <x v="3"/>
    <m/>
    <m/>
    <s v="Edward Arevalo"/>
  </r>
  <r>
    <n v="1792"/>
    <x v="1"/>
    <x v="45"/>
    <s v="P000000325"/>
    <s v="DIS-KR-PO Quality (T2)"/>
    <m/>
    <x v="2"/>
    <x v="0"/>
    <x v="0"/>
    <x v="3"/>
    <m/>
    <m/>
    <s v="Edward Arevalo"/>
  </r>
  <r>
    <n v="1793"/>
    <x v="1"/>
    <x v="45"/>
    <s v="P000000785"/>
    <s v="Non-GrEx, DIS-KR-PO, Poseung, S. Korea"/>
    <m/>
    <x v="2"/>
    <x v="0"/>
    <x v="0"/>
    <x v="3"/>
    <m/>
    <m/>
    <s v="Edward Arevalo"/>
  </r>
  <r>
    <n v="1794"/>
    <x v="1"/>
    <x v="45"/>
    <s v="P000000137"/>
    <s v="EL-DS-SS Site Shanghai, China"/>
    <m/>
    <x v="2"/>
    <x v="0"/>
    <x v="0"/>
    <x v="3"/>
    <m/>
    <m/>
    <s v="Edward Arevalo"/>
  </r>
  <r>
    <n v="1795"/>
    <x v="1"/>
    <x v="45"/>
    <s v="P000000149"/>
    <s v="EL-PS-OK Site Khopoli, India"/>
    <m/>
    <x v="2"/>
    <x v="0"/>
    <x v="0"/>
    <x v="3"/>
    <m/>
    <m/>
    <s v="Edward Arevalo"/>
  </r>
  <r>
    <n v="1796"/>
    <x v="1"/>
    <x v="45"/>
    <s v="P000000789"/>
    <s v="GrEx, SRF-IN-KH, Khopoli, India"/>
    <m/>
    <x v="2"/>
    <x v="0"/>
    <x v="0"/>
    <x v="3"/>
    <m/>
    <m/>
    <s v="Edward Arevalo"/>
  </r>
  <r>
    <n v="1797"/>
    <x v="1"/>
    <x v="45"/>
    <s v="P000000150"/>
    <s v="SRF-IN-KH Production (T1)"/>
    <m/>
    <x v="2"/>
    <x v="0"/>
    <x v="0"/>
    <x v="3"/>
    <m/>
    <m/>
    <s v="Edward Arevalo"/>
  </r>
  <r>
    <n v="1798"/>
    <x v="1"/>
    <x v="45"/>
    <s v="P000000151"/>
    <s v="SRF-IN-KH Analytics (T6c)."/>
    <m/>
    <x v="2"/>
    <x v="0"/>
    <x v="0"/>
    <x v="3"/>
    <m/>
    <m/>
    <s v="Edward Arevalo"/>
  </r>
  <r>
    <n v="1799"/>
    <x v="1"/>
    <x v="45"/>
    <s v="P000000152"/>
    <s v="SRF-IN-KH Maintenance/Engineering (T3)."/>
    <m/>
    <x v="2"/>
    <x v="0"/>
    <x v="0"/>
    <x v="3"/>
    <m/>
    <m/>
    <s v="Edward Arevalo"/>
  </r>
  <r>
    <n v="1800"/>
    <x v="1"/>
    <x v="45"/>
    <s v="P000000153"/>
    <s v="SRF-IN-KH Energies/Utilities (T4)."/>
    <m/>
    <x v="2"/>
    <x v="0"/>
    <x v="0"/>
    <x v="3"/>
    <m/>
    <m/>
    <s v="Edward Arevalo"/>
  </r>
  <r>
    <n v="1801"/>
    <x v="1"/>
    <x v="45"/>
    <s v="P000000154"/>
    <s v="SRF-IN-KH Environmental Protection (T5)"/>
    <m/>
    <x v="2"/>
    <x v="0"/>
    <x v="0"/>
    <x v="3"/>
    <m/>
    <m/>
    <s v="Edward Arevalo"/>
  </r>
  <r>
    <n v="1802"/>
    <x v="1"/>
    <x v="45"/>
    <s v="P000000155"/>
    <s v="SRF-IN-KH Prod.infrast. &amp; non-off-buil."/>
    <m/>
    <x v="2"/>
    <x v="0"/>
    <x v="0"/>
    <x v="3"/>
    <m/>
    <m/>
    <s v="Edward Arevalo"/>
  </r>
  <r>
    <n v="1803"/>
    <x v="1"/>
    <x v="45"/>
    <s v="P000000156"/>
    <s v="SRF-IN-KH Incom. storage&amp;handling (T7)"/>
    <m/>
    <x v="2"/>
    <x v="0"/>
    <x v="0"/>
    <x v="3"/>
    <m/>
    <m/>
    <s v="Edward Arevalo"/>
  </r>
  <r>
    <n v="1804"/>
    <x v="1"/>
    <x v="45"/>
    <s v="P000000157"/>
    <s v="SRF-IN-KH Local Prod./Proc. Dev. &amp; Opt."/>
    <m/>
    <x v="2"/>
    <x v="0"/>
    <x v="0"/>
    <x v="3"/>
    <m/>
    <m/>
    <s v="Edward Arevalo"/>
  </r>
  <r>
    <n v="1805"/>
    <x v="1"/>
    <x v="45"/>
    <s v="P000000158"/>
    <s v="SRF-IN-KH Other"/>
    <m/>
    <x v="2"/>
    <x v="0"/>
    <x v="0"/>
    <x v="3"/>
    <m/>
    <m/>
    <s v="Edward Arevalo"/>
  </r>
  <r>
    <n v="1806"/>
    <x v="1"/>
    <x v="45"/>
    <s v="P000000336"/>
    <s v="SRF-IN-KH Local Quality Khopoli"/>
    <m/>
    <x v="2"/>
    <x v="0"/>
    <x v="0"/>
    <x v="3"/>
    <m/>
    <m/>
    <s v="Edward Arevalo"/>
  </r>
  <r>
    <n v="1807"/>
    <x v="1"/>
    <x v="45"/>
    <s v="P000000337"/>
    <s v="SRF-IN-KH Quality (T2)"/>
    <m/>
    <x v="2"/>
    <x v="0"/>
    <x v="0"/>
    <x v="3"/>
    <m/>
    <m/>
    <s v="Edward Arevalo"/>
  </r>
  <r>
    <n v="1808"/>
    <x v="1"/>
    <x v="45"/>
    <s v="P000000790"/>
    <s v="Non-GrEx, SRF-IN-KH, Khopoli, India"/>
    <m/>
    <x v="2"/>
    <x v="0"/>
    <x v="0"/>
    <x v="3"/>
    <m/>
    <m/>
    <s v="Edward Arevalo"/>
  </r>
  <r>
    <n v="1809"/>
    <x v="1"/>
    <x v="45"/>
    <s v="P000000159"/>
    <s v="EL-PS-OS Site Savannah, USA"/>
    <m/>
    <x v="2"/>
    <x v="0"/>
    <x v="0"/>
    <x v="3"/>
    <m/>
    <m/>
    <s v="Edward Arevalo"/>
  </r>
  <r>
    <n v="1810"/>
    <x v="1"/>
    <x v="45"/>
    <s v="P000000791"/>
    <s v="GrEx, SRF-US-SA, Savannah, USA"/>
    <m/>
    <x v="2"/>
    <x v="0"/>
    <x v="0"/>
    <x v="3"/>
    <m/>
    <m/>
    <s v="Edward Arevalo"/>
  </r>
  <r>
    <n v="1811"/>
    <x v="1"/>
    <x v="45"/>
    <s v="P000000160"/>
    <s v="SRF-US-SA Production (T1)"/>
    <m/>
    <x v="2"/>
    <x v="0"/>
    <x v="0"/>
    <x v="3"/>
    <m/>
    <m/>
    <s v="Edward Arevalo"/>
  </r>
  <r>
    <n v="1812"/>
    <x v="1"/>
    <x v="45"/>
    <s v="P000000161"/>
    <s v="SRF-US-SA Analytics (T6c)"/>
    <m/>
    <x v="2"/>
    <x v="0"/>
    <x v="0"/>
    <x v="3"/>
    <m/>
    <m/>
    <s v="Edward Arevalo"/>
  </r>
  <r>
    <n v="1813"/>
    <x v="1"/>
    <x v="45"/>
    <s v="P000000162"/>
    <s v="SRF-US-SA Maintenance/Engineering (T3)"/>
    <m/>
    <x v="2"/>
    <x v="0"/>
    <x v="0"/>
    <x v="3"/>
    <m/>
    <m/>
    <s v="Edward Arevalo"/>
  </r>
  <r>
    <n v="1814"/>
    <x v="1"/>
    <x v="45"/>
    <s v="P000000163"/>
    <s v="SRF-US-SA Energies/Utilities (T4)"/>
    <m/>
    <x v="2"/>
    <x v="0"/>
    <x v="0"/>
    <x v="3"/>
    <m/>
    <m/>
    <s v="Edward Arevalo"/>
  </r>
  <r>
    <n v="1815"/>
    <x v="1"/>
    <x v="45"/>
    <s v="P000000164"/>
    <s v="SRF-US-SA Environmental Protection (T5)"/>
    <m/>
    <x v="2"/>
    <x v="0"/>
    <x v="0"/>
    <x v="3"/>
    <m/>
    <m/>
    <s v="Edward Arevalo"/>
  </r>
  <r>
    <n v="1816"/>
    <x v="1"/>
    <x v="45"/>
    <s v="P000000165"/>
    <s v="SRF-US-SA Prod.infrast. &amp; non-off-buil."/>
    <m/>
    <x v="2"/>
    <x v="0"/>
    <x v="0"/>
    <x v="3"/>
    <m/>
    <m/>
    <s v="Edward Arevalo"/>
  </r>
  <r>
    <n v="1817"/>
    <x v="1"/>
    <x v="45"/>
    <s v="P000000166"/>
    <s v="SRF-US-SA Incom. storage&amp;handling (T7)"/>
    <m/>
    <x v="2"/>
    <x v="0"/>
    <x v="0"/>
    <x v="3"/>
    <m/>
    <m/>
    <s v="Edward Arevalo"/>
  </r>
  <r>
    <n v="1818"/>
    <x v="1"/>
    <x v="45"/>
    <s v="P000000167"/>
    <s v="SRF-US-SA Local Prod./Proc. Dev. &amp; Opt."/>
    <m/>
    <x v="2"/>
    <x v="0"/>
    <x v="0"/>
    <x v="3"/>
    <m/>
    <m/>
    <s v="Edward Arevalo"/>
  </r>
  <r>
    <n v="1819"/>
    <x v="1"/>
    <x v="45"/>
    <s v="P000000168"/>
    <s v="SRF-US-SA Other"/>
    <m/>
    <x v="2"/>
    <x v="0"/>
    <x v="0"/>
    <x v="3"/>
    <m/>
    <m/>
    <s v="Edward Arevalo"/>
  </r>
  <r>
    <n v="1820"/>
    <x v="1"/>
    <x v="45"/>
    <s v="P000000318"/>
    <s v="SRF-US-SA Local quality Savannah"/>
    <m/>
    <x v="2"/>
    <x v="0"/>
    <x v="0"/>
    <x v="3"/>
    <m/>
    <m/>
    <s v="Edward Arevalo"/>
  </r>
  <r>
    <n v="1821"/>
    <x v="1"/>
    <x v="45"/>
    <s v="P000000319"/>
    <s v="SRF-US-SA Quality (T2)"/>
    <m/>
    <x v="2"/>
    <x v="0"/>
    <x v="0"/>
    <x v="3"/>
    <m/>
    <m/>
    <s v="Edward Arevalo"/>
  </r>
  <r>
    <n v="1822"/>
    <x v="1"/>
    <x v="45"/>
    <s v="P000000792"/>
    <s v="Non-GrEx, SRF-US-SA, Savannah, USA"/>
    <m/>
    <x v="2"/>
    <x v="0"/>
    <x v="0"/>
    <x v="3"/>
    <m/>
    <m/>
    <s v="Edward Arevalo"/>
  </r>
  <r>
    <n v="1823"/>
    <x v="1"/>
    <x v="45"/>
    <s v="P000000169"/>
    <s v="EL-PS-OI Site Onahama, Japan"/>
    <m/>
    <x v="2"/>
    <x v="0"/>
    <x v="0"/>
    <x v="3"/>
    <m/>
    <m/>
    <s v="Edward Arevalo"/>
  </r>
  <r>
    <n v="1824"/>
    <x v="1"/>
    <x v="45"/>
    <s v="P000000793"/>
    <s v="GrEx, SRF-JP-ON, Onahama, Japan"/>
    <m/>
    <x v="2"/>
    <x v="0"/>
    <x v="0"/>
    <x v="3"/>
    <m/>
    <m/>
    <s v="Edward Arevalo"/>
  </r>
  <r>
    <n v="1825"/>
    <x v="1"/>
    <x v="45"/>
    <s v="P000000170"/>
    <s v="SRF-JP-ON Production (T1)"/>
    <m/>
    <x v="2"/>
    <x v="0"/>
    <x v="0"/>
    <x v="3"/>
    <m/>
    <m/>
    <s v="Edward Arevalo"/>
  </r>
  <r>
    <n v="1826"/>
    <x v="1"/>
    <x v="45"/>
    <s v="P000000171"/>
    <s v="SRF-JP-ON Analytics (T6c)"/>
    <m/>
    <x v="2"/>
    <x v="0"/>
    <x v="0"/>
    <x v="3"/>
    <m/>
    <m/>
    <s v="Edward Arevalo"/>
  </r>
  <r>
    <n v="1827"/>
    <x v="1"/>
    <x v="45"/>
    <s v="P000000172"/>
    <s v="SRF-JP-ON Maintenance/Engineering (T3)"/>
    <m/>
    <x v="2"/>
    <x v="0"/>
    <x v="0"/>
    <x v="3"/>
    <m/>
    <m/>
    <s v="Edward Arevalo"/>
  </r>
  <r>
    <n v="1828"/>
    <x v="1"/>
    <x v="45"/>
    <s v="P000000173"/>
    <s v="SRF-JP-ON Energies/Utilities (T4)"/>
    <m/>
    <x v="2"/>
    <x v="0"/>
    <x v="0"/>
    <x v="3"/>
    <m/>
    <m/>
    <s v="Edward Arevalo"/>
  </r>
  <r>
    <n v="1829"/>
    <x v="1"/>
    <x v="45"/>
    <s v="P000000174"/>
    <s v="SRF-JP-ON Environmental Protection (T5)"/>
    <m/>
    <x v="2"/>
    <x v="0"/>
    <x v="0"/>
    <x v="3"/>
    <m/>
    <m/>
    <s v="Edward Arevalo"/>
  </r>
  <r>
    <n v="1830"/>
    <x v="1"/>
    <x v="45"/>
    <s v="P000000175"/>
    <s v="SRF-JP-ON Prod.infrast. &amp; non-off-buil."/>
    <m/>
    <x v="2"/>
    <x v="0"/>
    <x v="0"/>
    <x v="3"/>
    <m/>
    <m/>
    <s v="Edward Arevalo"/>
  </r>
  <r>
    <n v="1831"/>
    <x v="1"/>
    <x v="45"/>
    <s v="P000000176"/>
    <s v="SRF-JP-ON Incom. storage&amp;handling (T7)"/>
    <m/>
    <x v="2"/>
    <x v="0"/>
    <x v="0"/>
    <x v="3"/>
    <m/>
    <m/>
    <s v="Edward Arevalo"/>
  </r>
  <r>
    <n v="1832"/>
    <x v="1"/>
    <x v="45"/>
    <s v="P000000177"/>
    <s v="SRF-JP-ON Local Prod./Proc. Dev. &amp; Opt."/>
    <m/>
    <x v="2"/>
    <x v="0"/>
    <x v="0"/>
    <x v="3"/>
    <m/>
    <m/>
    <s v="Edward Arevalo"/>
  </r>
  <r>
    <n v="1833"/>
    <x v="1"/>
    <x v="45"/>
    <s v="P000000178"/>
    <s v="SRF-JP-ON Other"/>
    <m/>
    <x v="2"/>
    <x v="0"/>
    <x v="0"/>
    <x v="3"/>
    <m/>
    <m/>
    <s v="Edward Arevalo"/>
  </r>
  <r>
    <n v="1834"/>
    <x v="1"/>
    <x v="45"/>
    <s v="P000000316"/>
    <s v="SRF-JP-ON Local quality Onahama"/>
    <m/>
    <x v="2"/>
    <x v="0"/>
    <x v="0"/>
    <x v="3"/>
    <m/>
    <m/>
    <s v="Edward Arevalo"/>
  </r>
  <r>
    <n v="1835"/>
    <x v="1"/>
    <x v="45"/>
    <s v="P000000317"/>
    <s v="SRF-JP-ON Quality (T2)"/>
    <m/>
    <x v="2"/>
    <x v="0"/>
    <x v="0"/>
    <x v="3"/>
    <m/>
    <m/>
    <s v="Edward Arevalo"/>
  </r>
  <r>
    <n v="1836"/>
    <x v="1"/>
    <x v="45"/>
    <s v="P000000794"/>
    <s v="Non-GrEx, SRF-JP-ON, Onahama, Japan"/>
    <m/>
    <x v="2"/>
    <x v="0"/>
    <x v="0"/>
    <x v="3"/>
    <m/>
    <m/>
    <s v="Edward Arevalo"/>
  </r>
  <r>
    <n v="1837"/>
    <x v="1"/>
    <x v="45"/>
    <s v="P000000179"/>
    <s v="EL-PS-OU Site Urbana, USA"/>
    <m/>
    <x v="2"/>
    <x v="0"/>
    <x v="0"/>
    <x v="3"/>
    <m/>
    <m/>
    <s v="Edward Arevalo"/>
  </r>
  <r>
    <n v="1838"/>
    <x v="1"/>
    <x v="45"/>
    <s v="P000000180"/>
    <s v="GrEx, SRF-US-UB, Urbana, USA"/>
    <m/>
    <x v="2"/>
    <x v="0"/>
    <x v="0"/>
    <x v="3"/>
    <m/>
    <m/>
    <s v="Edward Arevalo"/>
  </r>
  <r>
    <n v="1839"/>
    <x v="1"/>
    <x v="45"/>
    <s v="P000000181"/>
    <s v="SRF-US-UB Direct Labor"/>
    <m/>
    <x v="2"/>
    <x v="0"/>
    <x v="0"/>
    <x v="3"/>
    <m/>
    <m/>
    <s v="Edward Arevalo"/>
  </r>
  <r>
    <n v="1840"/>
    <x v="1"/>
    <x v="45"/>
    <s v="P000000182"/>
    <s v="SRF-US-UB Main Cost Collector"/>
    <m/>
    <x v="2"/>
    <x v="0"/>
    <x v="0"/>
    <x v="3"/>
    <m/>
    <m/>
    <s v="Edward Arevalo"/>
  </r>
  <r>
    <n v="1841"/>
    <x v="1"/>
    <x v="45"/>
    <s v="P000000183"/>
    <s v="SRF-US-UB Equipment"/>
    <m/>
    <x v="2"/>
    <x v="0"/>
    <x v="0"/>
    <x v="3"/>
    <m/>
    <m/>
    <s v="Edward Arevalo"/>
  </r>
  <r>
    <n v="1842"/>
    <x v="1"/>
    <x v="45"/>
    <s v="P000000184"/>
    <s v="SRF-US-UB QC"/>
    <m/>
    <x v="2"/>
    <x v="0"/>
    <x v="0"/>
    <x v="3"/>
    <m/>
    <m/>
    <s v="Edward Arevalo"/>
  </r>
  <r>
    <n v="1843"/>
    <x v="1"/>
    <x v="45"/>
    <s v="P000000185"/>
    <s v="SRF-US-UB Management"/>
    <m/>
    <x v="2"/>
    <x v="0"/>
    <x v="0"/>
    <x v="3"/>
    <m/>
    <m/>
    <s v="Edward Arevalo"/>
  </r>
  <r>
    <n v="1844"/>
    <x v="1"/>
    <x v="45"/>
    <s v="P000000186"/>
    <s v="SRF-US-UB Urbana MAOH"/>
    <m/>
    <x v="2"/>
    <x v="0"/>
    <x v="0"/>
    <x v="3"/>
    <m/>
    <m/>
    <s v="Edward Arevalo"/>
  </r>
  <r>
    <n v="1845"/>
    <x v="1"/>
    <x v="45"/>
    <s v="P000000187"/>
    <s v="SRF-US-UB Warehouse and Distribution"/>
    <m/>
    <x v="2"/>
    <x v="0"/>
    <x v="0"/>
    <x v="3"/>
    <m/>
    <m/>
    <s v="Edward Arevalo"/>
  </r>
  <r>
    <n v="1846"/>
    <x v="1"/>
    <x v="45"/>
    <s v="P000000188"/>
    <s v="SRF-US-UB Other"/>
    <m/>
    <x v="2"/>
    <x v="0"/>
    <x v="0"/>
    <x v="3"/>
    <m/>
    <m/>
    <s v="Edward Arevalo"/>
  </r>
  <r>
    <n v="1847"/>
    <x v="1"/>
    <x v="45"/>
    <s v="P000000333"/>
    <s v="SRF-US-UB Quality (T2)"/>
    <m/>
    <x v="2"/>
    <x v="0"/>
    <x v="0"/>
    <x v="3"/>
    <m/>
    <m/>
    <s v="Edward Arevalo"/>
  </r>
  <r>
    <n v="1848"/>
    <x v="1"/>
    <x v="45"/>
    <s v="P000000332"/>
    <s v="Non-GrEx, SRF-US-UB, Urbana, USA"/>
    <m/>
    <x v="2"/>
    <x v="0"/>
    <x v="0"/>
    <x v="3"/>
    <m/>
    <m/>
    <s v="Edward Arevalo"/>
  </r>
  <r>
    <n v="1849"/>
    <x v="1"/>
    <x v="45"/>
    <s v="P000000795"/>
    <s v="SRF-US-UB R&amp;D"/>
    <m/>
    <x v="2"/>
    <x v="0"/>
    <x v="0"/>
    <x v="3"/>
    <m/>
    <m/>
    <s v="Edward Arevalo"/>
  </r>
  <r>
    <n v="1850"/>
    <x v="1"/>
    <x v="45"/>
    <s v="P000000189"/>
    <s v="EL-PS-OG Site Gernsheim, Germany"/>
    <m/>
    <x v="2"/>
    <x v="0"/>
    <x v="0"/>
    <x v="3"/>
    <m/>
    <m/>
    <s v="Edward Arevalo"/>
  </r>
  <r>
    <n v="1851"/>
    <x v="1"/>
    <x v="45"/>
    <s v="P000000796"/>
    <s v="GrEx, SRF-DE-PG, Gernsheim, Germany"/>
    <m/>
    <x v="2"/>
    <x v="0"/>
    <x v="0"/>
    <x v="3"/>
    <m/>
    <m/>
    <s v="Edward Arevalo"/>
  </r>
  <r>
    <n v="1852"/>
    <x v="1"/>
    <x v="45"/>
    <s v="P000000190"/>
    <s v="SRF-DE-PG Production (T1)"/>
    <m/>
    <x v="2"/>
    <x v="0"/>
    <x v="0"/>
    <x v="3"/>
    <m/>
    <m/>
    <s v="Edward Arevalo"/>
  </r>
  <r>
    <n v="1853"/>
    <x v="1"/>
    <x v="45"/>
    <s v="P000000191"/>
    <s v="SRF-DE-PG Production (T1)_I"/>
    <m/>
    <x v="2"/>
    <x v="0"/>
    <x v="0"/>
    <x v="3"/>
    <m/>
    <m/>
    <s v="Edward Arevalo"/>
  </r>
  <r>
    <n v="1854"/>
    <x v="1"/>
    <x v="45"/>
    <s v="P000000192"/>
    <s v="SRF-DE-PG - Patinal+Silica Production"/>
    <m/>
    <x v="2"/>
    <x v="0"/>
    <x v="0"/>
    <x v="3"/>
    <m/>
    <m/>
    <s v="Edward Arevalo"/>
  </r>
  <r>
    <n v="1855"/>
    <x v="1"/>
    <x v="45"/>
    <s v="P000000193"/>
    <s v="SRF-DE-PG - EL-OPG-3"/>
    <m/>
    <x v="2"/>
    <x v="0"/>
    <x v="0"/>
    <x v="3"/>
    <m/>
    <m/>
    <s v="Edward Arevalo"/>
  </r>
  <r>
    <n v="1856"/>
    <x v="1"/>
    <x v="45"/>
    <s v="P000000194"/>
    <s v="SRF-DE-PG - EL-OPG-8"/>
    <m/>
    <x v="2"/>
    <x v="0"/>
    <x v="0"/>
    <x v="3"/>
    <m/>
    <m/>
    <s v="Edward Arevalo"/>
  </r>
  <r>
    <n v="1857"/>
    <x v="1"/>
    <x v="45"/>
    <s v="P000000195"/>
    <s v="SRF-DE-PG - Pigments Production"/>
    <m/>
    <x v="2"/>
    <x v="0"/>
    <x v="0"/>
    <x v="3"/>
    <m/>
    <m/>
    <s v="Edward Arevalo"/>
  </r>
  <r>
    <n v="1858"/>
    <x v="1"/>
    <x v="45"/>
    <s v="P000000196"/>
    <s v="SRF-DE-PG - EL-OPG-1"/>
    <m/>
    <x v="2"/>
    <x v="0"/>
    <x v="0"/>
    <x v="3"/>
    <m/>
    <m/>
    <s v="Edward Arevalo"/>
  </r>
  <r>
    <n v="1859"/>
    <x v="1"/>
    <x v="45"/>
    <s v="P000000197"/>
    <s v="SRF-DE-PG - EL-OPG-2"/>
    <m/>
    <x v="2"/>
    <x v="0"/>
    <x v="0"/>
    <x v="3"/>
    <m/>
    <m/>
    <s v="Edward Arevalo"/>
  </r>
  <r>
    <n v="1860"/>
    <x v="1"/>
    <x v="45"/>
    <s v="P000000198"/>
    <s v="SRF-DE-PG - EL-OPG-5"/>
    <m/>
    <x v="2"/>
    <x v="0"/>
    <x v="0"/>
    <x v="3"/>
    <m/>
    <m/>
    <s v="Edward Arevalo"/>
  </r>
  <r>
    <n v="1861"/>
    <x v="1"/>
    <x v="45"/>
    <s v="P000000199"/>
    <s v="SRF-DE-PG Analytics (T6c)"/>
    <m/>
    <x v="2"/>
    <x v="0"/>
    <x v="0"/>
    <x v="3"/>
    <m/>
    <m/>
    <s v="Edward Arevalo"/>
  </r>
  <r>
    <n v="1862"/>
    <x v="1"/>
    <x v="45"/>
    <s v="P000000200"/>
    <s v="SRF-DE-PG Maintenance/Engineering (T3)"/>
    <m/>
    <x v="2"/>
    <x v="0"/>
    <x v="0"/>
    <x v="3"/>
    <m/>
    <m/>
    <s v="Edward Arevalo"/>
  </r>
  <r>
    <n v="1863"/>
    <x v="1"/>
    <x v="45"/>
    <s v="P000000201"/>
    <s v="SRF-DE-PG Energies/Utilities (T4)"/>
    <m/>
    <x v="2"/>
    <x v="0"/>
    <x v="0"/>
    <x v="3"/>
    <m/>
    <m/>
    <s v="Edward Arevalo"/>
  </r>
  <r>
    <n v="1864"/>
    <x v="1"/>
    <x v="45"/>
    <s v="P000000202"/>
    <s v="SRF-DE-PG Environmental Protection (T5)"/>
    <m/>
    <x v="2"/>
    <x v="0"/>
    <x v="0"/>
    <x v="3"/>
    <m/>
    <m/>
    <s v="Edward Arevalo"/>
  </r>
  <r>
    <n v="1865"/>
    <x v="1"/>
    <x v="45"/>
    <s v="P000000203"/>
    <s v="SRF-DE-PG Prod.infrast. &amp; non-off-buil."/>
    <m/>
    <x v="2"/>
    <x v="0"/>
    <x v="0"/>
    <x v="3"/>
    <m/>
    <m/>
    <s v="Edward Arevalo"/>
  </r>
  <r>
    <n v="1866"/>
    <x v="1"/>
    <x v="45"/>
    <s v="P000000204"/>
    <s v="SRF-DE-PG Incom. storage&amp;handling (T7)"/>
    <m/>
    <x v="2"/>
    <x v="0"/>
    <x v="0"/>
    <x v="3"/>
    <m/>
    <m/>
    <s v="Edward Arevalo"/>
  </r>
  <r>
    <n v="1867"/>
    <x v="1"/>
    <x v="45"/>
    <s v="P000000205"/>
    <s v="SRF-DE-PG Local Prod./Proc. Dev. &amp; Opt."/>
    <m/>
    <x v="2"/>
    <x v="0"/>
    <x v="0"/>
    <x v="3"/>
    <m/>
    <m/>
    <s v="Edward Arevalo"/>
  </r>
  <r>
    <n v="1868"/>
    <x v="1"/>
    <x v="45"/>
    <s v="P000000206"/>
    <s v="SRF-DE-PG Other"/>
    <m/>
    <x v="2"/>
    <x v="0"/>
    <x v="0"/>
    <x v="3"/>
    <m/>
    <m/>
    <s v="Edward Arevalo"/>
  </r>
  <r>
    <n v="1869"/>
    <x v="1"/>
    <x v="45"/>
    <s v="P000000330"/>
    <s v="SRF-DE-PG Quality (T2)"/>
    <m/>
    <x v="2"/>
    <x v="0"/>
    <x v="0"/>
    <x v="3"/>
    <m/>
    <m/>
    <s v="Edward Arevalo"/>
  </r>
  <r>
    <n v="1870"/>
    <x v="1"/>
    <x v="45"/>
    <s v="P000000331"/>
    <s v="Non-GrEx, SRF-DE-PG, Gernsheim, Germany"/>
    <m/>
    <x v="2"/>
    <x v="0"/>
    <x v="0"/>
    <x v="3"/>
    <m/>
    <m/>
    <s v="Edward Arevalo"/>
  </r>
  <r>
    <n v="1871"/>
    <x v="1"/>
    <x v="45"/>
    <s v="P000000797"/>
    <s v="Non-GrEx, SRF-DE-PG, Gernsheim, Germany"/>
    <m/>
    <x v="2"/>
    <x v="0"/>
    <x v="0"/>
    <x v="3"/>
    <m/>
    <m/>
    <s v="Edward Arevalo"/>
  </r>
  <r>
    <n v="1872"/>
    <x v="1"/>
    <x v="45"/>
    <s v="P000000967"/>
    <s v="EL-ND-NE Allentown, USA"/>
    <m/>
    <x v="2"/>
    <x v="0"/>
    <x v="0"/>
    <x v="3"/>
    <m/>
    <m/>
    <s v="Edward Arevalo"/>
  </r>
  <r>
    <n v="1873"/>
    <x v="1"/>
    <x v="45"/>
    <s v="P000000968"/>
    <s v="GrEx, DSS-US-VT, Allentown, USA"/>
    <m/>
    <x v="2"/>
    <x v="0"/>
    <x v="0"/>
    <x v="3"/>
    <m/>
    <m/>
    <s v="Edward Arevalo"/>
  </r>
  <r>
    <n v="1874"/>
    <x v="1"/>
    <x v="45"/>
    <s v="P000000969"/>
    <s v="DSS-US-VT Direct Manufacturing"/>
    <m/>
    <x v="2"/>
    <x v="0"/>
    <x v="0"/>
    <x v="3"/>
    <m/>
    <m/>
    <s v="Edward Arevalo"/>
  </r>
  <r>
    <n v="1875"/>
    <x v="1"/>
    <x v="45"/>
    <s v="P000000970"/>
    <s v="DSS-US-VT Indirect Manufacturing"/>
    <m/>
    <x v="2"/>
    <x v="0"/>
    <x v="0"/>
    <x v="3"/>
    <m/>
    <m/>
    <s v="Edward Arevalo"/>
  </r>
  <r>
    <n v="1876"/>
    <x v="1"/>
    <x v="45"/>
    <s v="P000000971"/>
    <s v="Non-GrEx, DSS-US-VT, Allentown, USA"/>
    <m/>
    <x v="2"/>
    <x v="0"/>
    <x v="0"/>
    <x v="3"/>
    <m/>
    <m/>
    <s v="Edward Arevalo"/>
  </r>
  <r>
    <n v="1877"/>
    <x v="1"/>
    <x v="45"/>
    <s v="P000000972"/>
    <s v="EL-ND-NC Chandler, USA"/>
    <m/>
    <x v="2"/>
    <x v="0"/>
    <x v="0"/>
    <x v="3"/>
    <m/>
    <m/>
    <s v="Edward Arevalo"/>
  </r>
  <r>
    <n v="1878"/>
    <x v="1"/>
    <x v="45"/>
    <s v="P000000973"/>
    <s v="GrEx, DSS-US-CH, Chandler, USA"/>
    <m/>
    <x v="2"/>
    <x v="0"/>
    <x v="0"/>
    <x v="3"/>
    <m/>
    <m/>
    <s v="Edward Arevalo"/>
  </r>
  <r>
    <n v="1879"/>
    <x v="1"/>
    <x v="45"/>
    <s v="P000000974"/>
    <s v="DSS-US-CH Direct Manufacturing"/>
    <m/>
    <x v="2"/>
    <x v="0"/>
    <x v="0"/>
    <x v="3"/>
    <m/>
    <m/>
    <s v="Edward Arevalo"/>
  </r>
  <r>
    <n v="1880"/>
    <x v="1"/>
    <x v="45"/>
    <s v="P000000975"/>
    <s v="DSS-US-CH Indirect Manufacturing"/>
    <m/>
    <x v="2"/>
    <x v="0"/>
    <x v="0"/>
    <x v="3"/>
    <m/>
    <m/>
    <s v="Edward Arevalo"/>
  </r>
  <r>
    <n v="1881"/>
    <x v="1"/>
    <x v="45"/>
    <s v="P000000976"/>
    <s v="Non-GrEx, DSS-US-CH, Chandler, USA"/>
    <m/>
    <x v="2"/>
    <x v="0"/>
    <x v="0"/>
    <x v="3"/>
    <m/>
    <m/>
    <s v="Edward Arevalo"/>
  </r>
  <r>
    <n v="1882"/>
    <x v="1"/>
    <x v="45"/>
    <s v="P000000981"/>
    <s v="EL-ND-AC Shanghai, China"/>
    <m/>
    <x v="2"/>
    <x v="0"/>
    <x v="0"/>
    <x v="3"/>
    <m/>
    <m/>
    <s v="Edward Arevalo"/>
  </r>
  <r>
    <n v="1883"/>
    <x v="1"/>
    <x v="45"/>
    <s v="P000000982"/>
    <s v="GrEx, DSS-CN-WG, Shanghai, China"/>
    <m/>
    <x v="2"/>
    <x v="0"/>
    <x v="0"/>
    <x v="3"/>
    <m/>
    <m/>
    <s v="Edward Arevalo"/>
  </r>
  <r>
    <n v="1884"/>
    <x v="1"/>
    <x v="45"/>
    <s v="P000000983"/>
    <s v="DSS-CN-WG Direct Manufacturing"/>
    <m/>
    <x v="2"/>
    <x v="0"/>
    <x v="0"/>
    <x v="3"/>
    <m/>
    <m/>
    <s v="Edward Arevalo"/>
  </r>
  <r>
    <n v="1885"/>
    <x v="1"/>
    <x v="45"/>
    <s v="P000000984"/>
    <s v="DSS-CN-WG Indirect Manufacturing"/>
    <m/>
    <x v="2"/>
    <x v="0"/>
    <x v="0"/>
    <x v="3"/>
    <m/>
    <m/>
    <s v="Edward Arevalo"/>
  </r>
  <r>
    <n v="1886"/>
    <x v="1"/>
    <x v="45"/>
    <s v="P000000985"/>
    <s v="Non-GrEx, DSS-CN-WG, Shanghai, China"/>
    <m/>
    <x v="2"/>
    <x v="0"/>
    <x v="0"/>
    <x v="3"/>
    <m/>
    <m/>
    <s v="Edward Arevalo"/>
  </r>
  <r>
    <n v="1887"/>
    <x v="1"/>
    <x v="45"/>
    <s v="P000000986"/>
    <s v="DSS-TW-KA Kaohsiung, Taiwan"/>
    <m/>
    <x v="2"/>
    <x v="0"/>
    <x v="0"/>
    <x v="3"/>
    <m/>
    <m/>
    <s v="Edward Arevalo"/>
  </r>
  <r>
    <n v="1888"/>
    <x v="1"/>
    <x v="45"/>
    <s v="P000000987"/>
    <s v="GrEx, DSS-TW-KA, Kaohsiung, Taiwan"/>
    <m/>
    <x v="2"/>
    <x v="0"/>
    <x v="0"/>
    <x v="3"/>
    <m/>
    <m/>
    <s v="Edward Arevalo"/>
  </r>
  <r>
    <n v="1889"/>
    <x v="1"/>
    <x v="45"/>
    <s v="P000000988"/>
    <s v="DSS-TW-KA Direct Manufacturing"/>
    <m/>
    <x v="2"/>
    <x v="0"/>
    <x v="0"/>
    <x v="3"/>
    <m/>
    <m/>
    <s v="Edward Arevalo"/>
  </r>
  <r>
    <n v="1890"/>
    <x v="1"/>
    <x v="45"/>
    <s v="P000000989"/>
    <s v="DSS-TW-KA Indirect Manufacturing"/>
    <m/>
    <x v="2"/>
    <x v="0"/>
    <x v="0"/>
    <x v="3"/>
    <m/>
    <m/>
    <s v="Edward Arevalo"/>
  </r>
  <r>
    <n v="1891"/>
    <x v="1"/>
    <x v="45"/>
    <s v="P000000990"/>
    <s v="Non-GrEx, DSS-TW-KA, Kaohsiung, Taiwan"/>
    <m/>
    <x v="2"/>
    <x v="0"/>
    <x v="0"/>
    <x v="3"/>
    <m/>
    <m/>
    <s v="Edward Arevalo"/>
  </r>
  <r>
    <n v="1892"/>
    <x v="1"/>
    <x v="45"/>
    <s v="P000000994"/>
    <s v="EL-ND-KB Ansan, S. Korea"/>
    <m/>
    <x v="2"/>
    <x v="0"/>
    <x v="0"/>
    <x v="3"/>
    <m/>
    <m/>
    <s v="Edward Arevalo"/>
  </r>
  <r>
    <n v="1893"/>
    <x v="1"/>
    <x v="45"/>
    <s v="P000000995"/>
    <s v="GrEx, DSS-KR-HY, Ansan, S. Korea"/>
    <m/>
    <x v="2"/>
    <x v="0"/>
    <x v="0"/>
    <x v="3"/>
    <m/>
    <m/>
    <s v="Edward Arevalo"/>
  </r>
  <r>
    <n v="1894"/>
    <x v="1"/>
    <x v="45"/>
    <s v="P000000996"/>
    <s v="DSS-KR-HY Direct Manufacturing"/>
    <m/>
    <x v="2"/>
    <x v="0"/>
    <x v="0"/>
    <x v="3"/>
    <m/>
    <m/>
    <s v="Edward Arevalo"/>
  </r>
  <r>
    <n v="1895"/>
    <x v="1"/>
    <x v="45"/>
    <s v="P000000997"/>
    <s v="DSS-KR-HY Indirect Manufacturing"/>
    <m/>
    <x v="2"/>
    <x v="0"/>
    <x v="0"/>
    <x v="3"/>
    <m/>
    <m/>
    <s v="Edward Arevalo"/>
  </r>
  <r>
    <n v="1896"/>
    <x v="1"/>
    <x v="45"/>
    <s v="P000000998"/>
    <s v="Non-GrEx, DSS-KR-HY, Ansan, S. Korea"/>
    <m/>
    <x v="2"/>
    <x v="0"/>
    <x v="0"/>
    <x v="3"/>
    <m/>
    <m/>
    <s v="Edward Arevalo"/>
  </r>
  <r>
    <n v="1897"/>
    <x v="1"/>
    <x v="45"/>
    <s v="P000000249"/>
    <s v="EL-TF-DK Kaohsiung, Taiwan"/>
    <m/>
    <x v="2"/>
    <x v="0"/>
    <x v="0"/>
    <x v="3"/>
    <m/>
    <m/>
    <s v="Edward Arevalo"/>
  </r>
  <r>
    <n v="1898"/>
    <x v="1"/>
    <x v="45"/>
    <s v="P000000811"/>
    <s v="GrEx, THF-TW-KA, Kaohsiung, Taiwan"/>
    <m/>
    <x v="2"/>
    <x v="0"/>
    <x v="0"/>
    <x v="3"/>
    <m/>
    <m/>
    <s v="Edward Arevalo"/>
  </r>
  <r>
    <n v="1899"/>
    <x v="1"/>
    <x v="45"/>
    <s v="P000000250"/>
    <s v="THF-TW-KA Production (T1)"/>
    <m/>
    <x v="2"/>
    <x v="0"/>
    <x v="0"/>
    <x v="3"/>
    <m/>
    <m/>
    <s v="Edward Arevalo"/>
  </r>
  <r>
    <n v="1900"/>
    <x v="1"/>
    <x v="45"/>
    <s v="P000000251"/>
    <s v="THF-TW-KA Analytics (T6c)"/>
    <m/>
    <x v="2"/>
    <x v="0"/>
    <x v="0"/>
    <x v="3"/>
    <m/>
    <m/>
    <s v="Edward Arevalo"/>
  </r>
  <r>
    <n v="1901"/>
    <x v="1"/>
    <x v="45"/>
    <s v="P000000252"/>
    <s v="THF-TW-KA Maintenance/Engineering (T3)"/>
    <m/>
    <x v="2"/>
    <x v="0"/>
    <x v="0"/>
    <x v="3"/>
    <m/>
    <m/>
    <s v="Edward Arevalo"/>
  </r>
  <r>
    <n v="1902"/>
    <x v="1"/>
    <x v="45"/>
    <s v="P000000253"/>
    <s v="THF-TW-KA Energies/Utilities supply (T4"/>
    <m/>
    <x v="2"/>
    <x v="0"/>
    <x v="0"/>
    <x v="3"/>
    <m/>
    <m/>
    <s v="Edward Arevalo"/>
  </r>
  <r>
    <n v="1903"/>
    <x v="1"/>
    <x v="45"/>
    <s v="P000000254"/>
    <s v="THF-TW-KA Environmental Protection (T5)"/>
    <m/>
    <x v="2"/>
    <x v="0"/>
    <x v="0"/>
    <x v="3"/>
    <m/>
    <m/>
    <s v="Edward Arevalo"/>
  </r>
  <r>
    <n v="1904"/>
    <x v="1"/>
    <x v="45"/>
    <s v="P000000255"/>
    <s v="THF-TW-KA Prod.infrast. &amp; non-off-buil."/>
    <m/>
    <x v="2"/>
    <x v="0"/>
    <x v="0"/>
    <x v="3"/>
    <m/>
    <m/>
    <s v="Edward Arevalo"/>
  </r>
  <r>
    <n v="1905"/>
    <x v="1"/>
    <x v="45"/>
    <s v="P000000256"/>
    <s v="THF-TW-KA Incom. storage&amp;handling (T7)"/>
    <m/>
    <x v="2"/>
    <x v="0"/>
    <x v="0"/>
    <x v="3"/>
    <m/>
    <m/>
    <s v="Edward Arevalo"/>
  </r>
  <r>
    <n v="1906"/>
    <x v="1"/>
    <x v="45"/>
    <s v="P000000257"/>
    <s v="THF-TW-KA Local Prod./Proc. Dev. &amp; Opt."/>
    <m/>
    <x v="2"/>
    <x v="0"/>
    <x v="0"/>
    <x v="3"/>
    <m/>
    <m/>
    <s v="Edward Arevalo"/>
  </r>
  <r>
    <n v="1907"/>
    <x v="1"/>
    <x v="45"/>
    <s v="P000000258"/>
    <s v="THF-TW-KA Other"/>
    <m/>
    <x v="2"/>
    <x v="0"/>
    <x v="0"/>
    <x v="3"/>
    <m/>
    <m/>
    <s v="Edward Arevalo"/>
  </r>
  <r>
    <n v="1908"/>
    <x v="1"/>
    <x v="45"/>
    <s v="P000000340"/>
    <s v="THF-TW-KA  Local Quality Kaohsiung"/>
    <m/>
    <x v="2"/>
    <x v="0"/>
    <x v="0"/>
    <x v="3"/>
    <m/>
    <m/>
    <s v="Edward Arevalo"/>
  </r>
  <r>
    <n v="1909"/>
    <x v="1"/>
    <x v="45"/>
    <s v="P000000341"/>
    <s v="THF-TW-KA Quality (T2)"/>
    <m/>
    <x v="2"/>
    <x v="0"/>
    <x v="0"/>
    <x v="3"/>
    <m/>
    <m/>
    <s v="Edward Arevalo"/>
  </r>
  <r>
    <n v="1910"/>
    <x v="1"/>
    <x v="45"/>
    <s v="P000000812"/>
    <s v="Non-GrEx, THF-TW-KA, Kaohsiung, Taiwan"/>
    <m/>
    <x v="2"/>
    <x v="0"/>
    <x v="0"/>
    <x v="3"/>
    <m/>
    <m/>
    <s v="Edward Arevalo"/>
  </r>
  <r>
    <n v="1911"/>
    <x v="1"/>
    <x v="45"/>
    <s v="P000000527"/>
    <s v="EL-TF-DC Carlsbad, USA"/>
    <m/>
    <x v="2"/>
    <x v="0"/>
    <x v="0"/>
    <x v="3"/>
    <m/>
    <m/>
    <s v="Edward Arevalo"/>
  </r>
  <r>
    <n v="1912"/>
    <x v="1"/>
    <x v="45"/>
    <s v="P000000813"/>
    <s v="GrEx, THF-US-CB, Carlsbad, USA"/>
    <m/>
    <x v="2"/>
    <x v="0"/>
    <x v="0"/>
    <x v="3"/>
    <m/>
    <m/>
    <s v="Edward Arevalo"/>
  </r>
  <r>
    <n v="1913"/>
    <x v="1"/>
    <x v="45"/>
    <s v="P000000814"/>
    <s v="THF-US-CB Direct Manufacturing"/>
    <m/>
    <x v="2"/>
    <x v="0"/>
    <x v="0"/>
    <x v="3"/>
    <m/>
    <m/>
    <s v="Edward Arevalo"/>
  </r>
  <r>
    <n v="1914"/>
    <x v="1"/>
    <x v="45"/>
    <s v="P000000815"/>
    <s v="THF-US-CB Indirect Manufacturing"/>
    <m/>
    <x v="2"/>
    <x v="0"/>
    <x v="0"/>
    <x v="3"/>
    <m/>
    <m/>
    <s v="Edward Arevalo"/>
  </r>
  <r>
    <n v="1915"/>
    <x v="1"/>
    <x v="45"/>
    <s v="P000000816"/>
    <s v="THF-US-CB Manuf. Overhead"/>
    <m/>
    <x v="2"/>
    <x v="0"/>
    <x v="0"/>
    <x v="3"/>
    <m/>
    <m/>
    <s v="Edward Arevalo"/>
  </r>
  <r>
    <n v="1916"/>
    <x v="1"/>
    <x v="45"/>
    <s v="P000000817"/>
    <s v="THF-US-CB Quality"/>
    <m/>
    <x v="2"/>
    <x v="0"/>
    <x v="0"/>
    <x v="3"/>
    <m/>
    <m/>
    <s v="Edward Arevalo"/>
  </r>
  <r>
    <n v="1917"/>
    <x v="1"/>
    <x v="45"/>
    <s v="P000000818"/>
    <s v="THF-US-CB Container Prep"/>
    <m/>
    <x v="2"/>
    <x v="0"/>
    <x v="0"/>
    <x v="3"/>
    <m/>
    <m/>
    <s v="Edward Arevalo"/>
  </r>
  <r>
    <n v="1918"/>
    <x v="1"/>
    <x v="45"/>
    <s v="P000000819"/>
    <s v="Non-GrEx, THF-US-CB, Carlsbad, USA"/>
    <m/>
    <x v="2"/>
    <x v="0"/>
    <x v="0"/>
    <x v="3"/>
    <m/>
    <m/>
    <s v="Edward Arevalo"/>
  </r>
  <r>
    <n v="1919"/>
    <x v="1"/>
    <x v="45"/>
    <s v="P000000528"/>
    <s v="EL-TF-DA Banwol, S. Korea"/>
    <m/>
    <x v="2"/>
    <x v="0"/>
    <x v="0"/>
    <x v="3"/>
    <m/>
    <m/>
    <s v="Edward Arevalo"/>
  </r>
  <r>
    <n v="1920"/>
    <x v="1"/>
    <x v="45"/>
    <s v="P000000820"/>
    <s v="GrEx, THF-KR-BA, KRB8-2323, Banwol, KR"/>
    <m/>
    <x v="2"/>
    <x v="0"/>
    <x v="0"/>
    <x v="3"/>
    <m/>
    <m/>
    <s v="Edward Arevalo"/>
  </r>
  <r>
    <n v="1921"/>
    <x v="1"/>
    <x v="45"/>
    <s v="P000000821"/>
    <s v="THF-KR-BA Direct Manufacturing"/>
    <m/>
    <x v="2"/>
    <x v="0"/>
    <x v="0"/>
    <x v="3"/>
    <m/>
    <m/>
    <s v="Edward Arevalo"/>
  </r>
  <r>
    <n v="1922"/>
    <x v="1"/>
    <x v="45"/>
    <s v="P000000822"/>
    <s v="THF-KR-BA TF Direct Manufact."/>
    <m/>
    <x v="2"/>
    <x v="0"/>
    <x v="0"/>
    <x v="3"/>
    <m/>
    <m/>
    <s v="Edward Arevalo"/>
  </r>
  <r>
    <n v="1923"/>
    <x v="1"/>
    <x v="45"/>
    <s v="P000000823"/>
    <s v="THF-KR-BA SG Direct Manufact."/>
    <m/>
    <x v="2"/>
    <x v="0"/>
    <x v="0"/>
    <x v="3"/>
    <m/>
    <m/>
    <s v="Edward Arevalo"/>
  </r>
  <r>
    <n v="1924"/>
    <x v="1"/>
    <x v="45"/>
    <s v="P000000824"/>
    <s v="THF-KR-BA Indirect Manufacturing"/>
    <m/>
    <x v="2"/>
    <x v="0"/>
    <x v="0"/>
    <x v="3"/>
    <m/>
    <m/>
    <s v="Edward Arevalo"/>
  </r>
  <r>
    <n v="1925"/>
    <x v="1"/>
    <x v="45"/>
    <s v="P000000825"/>
    <s v="THF-KR-BA Manufact. Overhead"/>
    <m/>
    <x v="2"/>
    <x v="0"/>
    <x v="0"/>
    <x v="3"/>
    <m/>
    <m/>
    <s v="Edward Arevalo"/>
  </r>
  <r>
    <n v="1926"/>
    <x v="1"/>
    <x v="45"/>
    <s v="P000000826"/>
    <s v="THF-KR-BA Container Prep"/>
    <m/>
    <x v="2"/>
    <x v="0"/>
    <x v="0"/>
    <x v="3"/>
    <m/>
    <m/>
    <s v="Edward Arevalo"/>
  </r>
  <r>
    <n v="1927"/>
    <x v="1"/>
    <x v="45"/>
    <s v="P000000827"/>
    <s v="THF-KR-BA Quality"/>
    <m/>
    <x v="2"/>
    <x v="0"/>
    <x v="0"/>
    <x v="3"/>
    <m/>
    <m/>
    <s v="Edward Arevalo"/>
  </r>
  <r>
    <n v="1928"/>
    <x v="1"/>
    <x v="45"/>
    <s v="P000000828"/>
    <s v="Non-GrEx, THF-KR-BA, Banwol, South Korea"/>
    <m/>
    <x v="2"/>
    <x v="0"/>
    <x v="0"/>
    <x v="3"/>
    <m/>
    <m/>
    <s v="Edward Arevalo"/>
  </r>
  <r>
    <n v="1929"/>
    <x v="1"/>
    <x v="45"/>
    <s v="P000000805"/>
    <s v="EL-TF-DB Eumseong, S. Korea"/>
    <m/>
    <x v="2"/>
    <x v="0"/>
    <x v="0"/>
    <x v="3"/>
    <m/>
    <m/>
    <s v="Edward Arevalo"/>
  </r>
  <r>
    <n v="1930"/>
    <x v="1"/>
    <x v="45"/>
    <s v="P000000806"/>
    <s v="GrEx, THF-KR-ES, Eumseong, S. Korea"/>
    <m/>
    <x v="2"/>
    <x v="0"/>
    <x v="0"/>
    <x v="3"/>
    <m/>
    <m/>
    <s v="Edward Arevalo"/>
  </r>
  <r>
    <n v="1931"/>
    <x v="1"/>
    <x v="45"/>
    <s v="P000000807"/>
    <s v="Non-GrEx, THF-KR-ES, Eumseong, S. Korea"/>
    <m/>
    <x v="2"/>
    <x v="0"/>
    <x v="0"/>
    <x v="3"/>
    <m/>
    <m/>
    <s v="Edward Arevalo"/>
  </r>
  <r>
    <n v="1932"/>
    <x v="1"/>
    <x v="45"/>
    <s v="P000000514"/>
    <s v="EL-SG-DAF Ulsan, S. Korea"/>
    <m/>
    <x v="2"/>
    <x v="0"/>
    <x v="0"/>
    <x v="3"/>
    <m/>
    <m/>
    <s v="Edward Arevalo"/>
  </r>
  <r>
    <n v="1933"/>
    <x v="1"/>
    <x v="45"/>
    <s v="P000000910"/>
    <s v="GrEx, SPG-KR-UL, Ulsan, S. Korea"/>
    <m/>
    <x v="2"/>
    <x v="0"/>
    <x v="0"/>
    <x v="3"/>
    <m/>
    <m/>
    <s v="Edward Arevalo"/>
  </r>
  <r>
    <n v="1934"/>
    <x v="1"/>
    <x v="45"/>
    <s v="P000000911"/>
    <s v="SPG-KR-UL Direct Manufacturing"/>
    <m/>
    <x v="2"/>
    <x v="0"/>
    <x v="0"/>
    <x v="3"/>
    <m/>
    <m/>
    <s v="Edward Arevalo"/>
  </r>
  <r>
    <n v="1935"/>
    <x v="1"/>
    <x v="45"/>
    <s v="P000000912"/>
    <s v="SPG-KR-UL Indirect Manufacturing"/>
    <m/>
    <x v="2"/>
    <x v="0"/>
    <x v="0"/>
    <x v="3"/>
    <m/>
    <m/>
    <s v="Edward Arevalo"/>
  </r>
  <r>
    <n v="1936"/>
    <x v="1"/>
    <x v="45"/>
    <s v="P000000913"/>
    <s v="SPG-KR-UL Manufact. Overhead"/>
    <m/>
    <x v="2"/>
    <x v="0"/>
    <x v="0"/>
    <x v="3"/>
    <m/>
    <m/>
    <s v="Edward Arevalo"/>
  </r>
  <r>
    <n v="1937"/>
    <x v="1"/>
    <x v="45"/>
    <s v="P000000914"/>
    <s v="SPG-KR-UL Container Prep"/>
    <m/>
    <x v="2"/>
    <x v="0"/>
    <x v="0"/>
    <x v="3"/>
    <m/>
    <m/>
    <s v="Edward Arevalo"/>
  </r>
  <r>
    <n v="1938"/>
    <x v="1"/>
    <x v="45"/>
    <s v="P000000915"/>
    <s v="SPG-KR-UL Quality"/>
    <m/>
    <x v="2"/>
    <x v="0"/>
    <x v="0"/>
    <x v="3"/>
    <m/>
    <m/>
    <s v="Edward Arevalo"/>
  </r>
  <r>
    <n v="1939"/>
    <x v="1"/>
    <x v="45"/>
    <s v="P000000916"/>
    <s v="Non-GrEx, SPG-KR-UL, Ulsan, S. Korea"/>
    <m/>
    <x v="2"/>
    <x v="0"/>
    <x v="0"/>
    <x v="3"/>
    <m/>
    <m/>
    <s v="Edward Arevalo"/>
  </r>
  <r>
    <n v="1940"/>
    <x v="1"/>
    <x v="45"/>
    <s v="P000000515"/>
    <s v="EL-SG-DAA Sihwa, S. Korea"/>
    <m/>
    <x v="2"/>
    <x v="0"/>
    <x v="0"/>
    <x v="3"/>
    <m/>
    <m/>
    <s v="Edward Arevalo"/>
  </r>
  <r>
    <n v="1941"/>
    <x v="1"/>
    <x v="45"/>
    <s v="P000000917"/>
    <s v="GrEx, SPG-KR-SH, Sihwa, S. Korea"/>
    <m/>
    <x v="2"/>
    <x v="0"/>
    <x v="0"/>
    <x v="3"/>
    <m/>
    <m/>
    <s v="Edward Arevalo"/>
  </r>
  <r>
    <n v="1942"/>
    <x v="1"/>
    <x v="45"/>
    <s v="P000000918"/>
    <s v="SPG-KR-SH Direct Manufacturing"/>
    <m/>
    <x v="2"/>
    <x v="0"/>
    <x v="0"/>
    <x v="3"/>
    <m/>
    <m/>
    <s v="Edward Arevalo"/>
  </r>
  <r>
    <n v="1943"/>
    <x v="1"/>
    <x v="45"/>
    <s v="P000000919"/>
    <s v="SPG-KR-SH TF Direct Manufact."/>
    <m/>
    <x v="2"/>
    <x v="0"/>
    <x v="0"/>
    <x v="3"/>
    <m/>
    <m/>
    <s v="Edward Arevalo"/>
  </r>
  <r>
    <n v="1944"/>
    <x v="1"/>
    <x v="45"/>
    <s v="P000000920"/>
    <s v="SPG-KR-SH SG Direct Manufact."/>
    <m/>
    <x v="2"/>
    <x v="0"/>
    <x v="0"/>
    <x v="3"/>
    <m/>
    <m/>
    <s v="Edward Arevalo"/>
  </r>
  <r>
    <n v="1945"/>
    <x v="1"/>
    <x v="45"/>
    <s v="P000000921"/>
    <s v="SPG-KR-SH Indirect Manufacturing"/>
    <m/>
    <x v="2"/>
    <x v="0"/>
    <x v="0"/>
    <x v="3"/>
    <m/>
    <m/>
    <s v="Edward Arevalo"/>
  </r>
  <r>
    <n v="1946"/>
    <x v="1"/>
    <x v="45"/>
    <s v="P000000922"/>
    <s v="SPG-KR-SH Manufact. Overhead"/>
    <m/>
    <x v="2"/>
    <x v="0"/>
    <x v="0"/>
    <x v="3"/>
    <m/>
    <m/>
    <s v="Edward Arevalo"/>
  </r>
  <r>
    <n v="1947"/>
    <x v="1"/>
    <x v="45"/>
    <s v="P000000923"/>
    <s v="SPG-KR-SH Container Prep"/>
    <m/>
    <x v="2"/>
    <x v="0"/>
    <x v="0"/>
    <x v="3"/>
    <m/>
    <m/>
    <s v="Edward Arevalo"/>
  </r>
  <r>
    <n v="1948"/>
    <x v="1"/>
    <x v="45"/>
    <s v="P000000924"/>
    <s v="SPG-KR-SH Quality"/>
    <m/>
    <x v="2"/>
    <x v="0"/>
    <x v="0"/>
    <x v="3"/>
    <m/>
    <m/>
    <s v="Edward Arevalo"/>
  </r>
  <r>
    <n v="1949"/>
    <x v="1"/>
    <x v="45"/>
    <s v="P000000925"/>
    <s v="Non-GrEx, SPG-KR-SH, Sihwa, S. Korea"/>
    <m/>
    <x v="2"/>
    <x v="0"/>
    <x v="0"/>
    <x v="3"/>
    <m/>
    <m/>
    <s v="Edward Arevalo"/>
  </r>
  <r>
    <n v="1950"/>
    <x v="1"/>
    <x v="45"/>
    <s v="P000000516"/>
    <s v="EL-SG-DH Hometown, USA"/>
    <m/>
    <x v="2"/>
    <x v="0"/>
    <x v="0"/>
    <x v="3"/>
    <m/>
    <m/>
    <s v="Edward Arevalo"/>
  </r>
  <r>
    <n v="1951"/>
    <x v="1"/>
    <x v="45"/>
    <s v="P000000926"/>
    <s v="GrEx, SPG-US-HT, Hometown, USA"/>
    <m/>
    <x v="2"/>
    <x v="0"/>
    <x v="0"/>
    <x v="3"/>
    <m/>
    <m/>
    <s v="Edward Arevalo"/>
  </r>
  <r>
    <n v="1952"/>
    <x v="1"/>
    <x v="45"/>
    <s v="P000000927"/>
    <s v="SPG-US-HT Direct Manufacturing"/>
    <m/>
    <x v="2"/>
    <x v="0"/>
    <x v="0"/>
    <x v="3"/>
    <m/>
    <m/>
    <s v="Edward Arevalo"/>
  </r>
  <r>
    <n v="1953"/>
    <x v="1"/>
    <x v="45"/>
    <s v="P000000928"/>
    <s v="SPG-US-HT TF Direct Manufact."/>
    <m/>
    <x v="2"/>
    <x v="0"/>
    <x v="0"/>
    <x v="3"/>
    <m/>
    <m/>
    <s v="Edward Arevalo"/>
  </r>
  <r>
    <n v="1954"/>
    <x v="1"/>
    <x v="45"/>
    <s v="P000000929"/>
    <s v="SPG-US-HT SG Direct Manufact."/>
    <m/>
    <x v="2"/>
    <x v="0"/>
    <x v="0"/>
    <x v="3"/>
    <m/>
    <m/>
    <s v="Edward Arevalo"/>
  </r>
  <r>
    <n v="1955"/>
    <x v="1"/>
    <x v="45"/>
    <s v="P000000930"/>
    <s v="SPG-US-HT Indirect Manufacturing"/>
    <m/>
    <x v="2"/>
    <x v="0"/>
    <x v="0"/>
    <x v="3"/>
    <m/>
    <m/>
    <s v="Edward Arevalo"/>
  </r>
  <r>
    <n v="1956"/>
    <x v="1"/>
    <x v="45"/>
    <s v="P000000931"/>
    <s v="SPG-US-HT SG Manufact. Overhead"/>
    <m/>
    <x v="2"/>
    <x v="0"/>
    <x v="0"/>
    <x v="3"/>
    <m/>
    <m/>
    <s v="Edward Arevalo"/>
  </r>
  <r>
    <n v="1957"/>
    <x v="1"/>
    <x v="45"/>
    <s v="P000000932"/>
    <s v="SPG-US-HT SG Container Prep"/>
    <m/>
    <x v="2"/>
    <x v="0"/>
    <x v="0"/>
    <x v="3"/>
    <m/>
    <m/>
    <s v="Edward Arevalo"/>
  </r>
  <r>
    <n v="1958"/>
    <x v="1"/>
    <x v="45"/>
    <s v="P000000933"/>
    <s v="SPG-US-HT TF Manufact. Overhead"/>
    <m/>
    <x v="2"/>
    <x v="0"/>
    <x v="0"/>
    <x v="3"/>
    <m/>
    <m/>
    <s v="Edward Arevalo"/>
  </r>
  <r>
    <n v="1959"/>
    <x v="1"/>
    <x v="45"/>
    <s v="P000000934"/>
    <s v="SPG-US-HT TF Container Prep"/>
    <m/>
    <x v="2"/>
    <x v="0"/>
    <x v="0"/>
    <x v="3"/>
    <m/>
    <m/>
    <s v="Edward Arevalo"/>
  </r>
  <r>
    <n v="1960"/>
    <x v="1"/>
    <x v="45"/>
    <s v="P000000935"/>
    <s v="SPG-US-HT Quality"/>
    <m/>
    <x v="2"/>
    <x v="0"/>
    <x v="0"/>
    <x v="3"/>
    <m/>
    <m/>
    <s v="Edward Arevalo"/>
  </r>
  <r>
    <n v="1961"/>
    <x v="1"/>
    <x v="45"/>
    <s v="P000000936"/>
    <s v="Non-GrEx, SPG-US-HT, Hometown, USA"/>
    <m/>
    <x v="2"/>
    <x v="0"/>
    <x v="0"/>
    <x v="3"/>
    <m/>
    <m/>
    <s v="Edward Arevalo"/>
  </r>
  <r>
    <n v="1962"/>
    <x v="1"/>
    <x v="45"/>
    <s v="P000000517"/>
    <s v="EL-SG-DN Nanke, Taiwan"/>
    <m/>
    <x v="2"/>
    <x v="0"/>
    <x v="0"/>
    <x v="3"/>
    <m/>
    <m/>
    <s v="Edward Arevalo"/>
  </r>
  <r>
    <n v="1963"/>
    <x v="1"/>
    <x v="45"/>
    <s v="P000000937"/>
    <s v="GrEx, SPG-TW-NA, Nanke, Taiwan"/>
    <m/>
    <x v="2"/>
    <x v="0"/>
    <x v="0"/>
    <x v="3"/>
    <m/>
    <m/>
    <s v="Edward Arevalo"/>
  </r>
  <r>
    <n v="1964"/>
    <x v="1"/>
    <x v="45"/>
    <s v="P000000938"/>
    <s v="SPG-TW-NA Direct Manufacturing"/>
    <m/>
    <x v="2"/>
    <x v="0"/>
    <x v="0"/>
    <x v="3"/>
    <m/>
    <m/>
    <s v="Edward Arevalo"/>
  </r>
  <r>
    <n v="1965"/>
    <x v="1"/>
    <x v="45"/>
    <s v="P000000939"/>
    <s v="SPG-TW-NA TF Direct Manufact."/>
    <m/>
    <x v="2"/>
    <x v="0"/>
    <x v="0"/>
    <x v="3"/>
    <m/>
    <m/>
    <s v="Edward Arevalo"/>
  </r>
  <r>
    <n v="1966"/>
    <x v="1"/>
    <x v="45"/>
    <s v="P000000940"/>
    <s v="SPG-TW-NA SG Direct Manufact."/>
    <m/>
    <x v="2"/>
    <x v="0"/>
    <x v="0"/>
    <x v="3"/>
    <m/>
    <m/>
    <s v="Edward Arevalo"/>
  </r>
  <r>
    <n v="1967"/>
    <x v="1"/>
    <x v="45"/>
    <s v="P000000941"/>
    <s v="SPG-TW-NA Indirect Manufacturing"/>
    <m/>
    <x v="2"/>
    <x v="0"/>
    <x v="0"/>
    <x v="3"/>
    <m/>
    <m/>
    <s v="Edward Arevalo"/>
  </r>
  <r>
    <n v="1968"/>
    <x v="1"/>
    <x v="45"/>
    <s v="P000000942"/>
    <s v="SPG-TW-NA Manufact. Overhead"/>
    <m/>
    <x v="2"/>
    <x v="0"/>
    <x v="0"/>
    <x v="3"/>
    <m/>
    <m/>
    <s v="Edward Arevalo"/>
  </r>
  <r>
    <n v="1969"/>
    <x v="1"/>
    <x v="45"/>
    <s v="P000000943"/>
    <s v="SPG-TW-NA Container Prep"/>
    <m/>
    <x v="2"/>
    <x v="0"/>
    <x v="0"/>
    <x v="3"/>
    <m/>
    <m/>
    <s v="Edward Arevalo"/>
  </r>
  <r>
    <n v="1970"/>
    <x v="1"/>
    <x v="45"/>
    <s v="P000000944"/>
    <s v="SPG-TW-NA Quality"/>
    <m/>
    <x v="2"/>
    <x v="0"/>
    <x v="0"/>
    <x v="3"/>
    <m/>
    <m/>
    <s v="Edward Arevalo"/>
  </r>
  <r>
    <n v="1971"/>
    <x v="1"/>
    <x v="45"/>
    <s v="P000000945"/>
    <s v="Non-GrEx, SPG-TW-NA, Nanke, Taiwan"/>
    <m/>
    <x v="2"/>
    <x v="0"/>
    <x v="0"/>
    <x v="3"/>
    <m/>
    <m/>
    <s v="Edward Arevalo"/>
  </r>
  <r>
    <n v="1972"/>
    <x v="1"/>
    <x v="45"/>
    <s v="P000000946"/>
    <s v="GrEx, THF-US-CT, Catoosa, USA"/>
    <m/>
    <x v="2"/>
    <x v="0"/>
    <x v="0"/>
    <x v="3"/>
    <m/>
    <m/>
    <s v="Edward Arevalo"/>
  </r>
  <r>
    <n v="1973"/>
    <x v="1"/>
    <x v="45"/>
    <s v="P000000947"/>
    <s v="THF-US-CT Direct Manufacturing"/>
    <m/>
    <x v="2"/>
    <x v="0"/>
    <x v="0"/>
    <x v="3"/>
    <m/>
    <m/>
    <s v="Edward Arevalo"/>
  </r>
  <r>
    <n v="1974"/>
    <x v="1"/>
    <x v="45"/>
    <s v="P000000948"/>
    <s v="THF-US-CT TF Direct Manufact."/>
    <m/>
    <x v="2"/>
    <x v="0"/>
    <x v="0"/>
    <x v="3"/>
    <m/>
    <m/>
    <s v="Edward Arevalo"/>
  </r>
  <r>
    <n v="1975"/>
    <x v="1"/>
    <x v="45"/>
    <s v="P000000949"/>
    <s v="THF-US-CT SG Direct Manufact."/>
    <m/>
    <x v="2"/>
    <x v="0"/>
    <x v="0"/>
    <x v="3"/>
    <m/>
    <m/>
    <s v="Edward Arevalo"/>
  </r>
  <r>
    <n v="1976"/>
    <x v="1"/>
    <x v="45"/>
    <s v="P000000950"/>
    <s v="THF-US-CT Indirect Manufacturing"/>
    <m/>
    <x v="2"/>
    <x v="0"/>
    <x v="0"/>
    <x v="3"/>
    <m/>
    <m/>
    <s v="Edward Arevalo"/>
  </r>
  <r>
    <n v="1977"/>
    <x v="1"/>
    <x v="45"/>
    <s v="P000000951"/>
    <s v="THF-US-CT Manufact. Overhead"/>
    <m/>
    <x v="2"/>
    <x v="0"/>
    <x v="0"/>
    <x v="3"/>
    <m/>
    <m/>
    <s v="Edward Arevalo"/>
  </r>
  <r>
    <n v="1978"/>
    <x v="1"/>
    <x v="45"/>
    <s v="P000000952"/>
    <s v="THF-US-CT Quality"/>
    <m/>
    <x v="2"/>
    <x v="0"/>
    <x v="0"/>
    <x v="3"/>
    <m/>
    <m/>
    <s v="Edward Arevalo"/>
  </r>
  <r>
    <n v="1979"/>
    <x v="1"/>
    <x v="45"/>
    <s v="P000000953"/>
    <s v="Non-GrEx, THF-US-CT, Catoosa, USA"/>
    <m/>
    <x v="2"/>
    <x v="0"/>
    <x v="0"/>
    <x v="3"/>
    <m/>
    <m/>
    <s v="Edward Arevalo"/>
  </r>
  <r>
    <n v="1980"/>
    <x v="1"/>
    <x v="45"/>
    <s v="P000000909"/>
    <s v="EL-SG-DR ZhangJiaGang, China"/>
    <m/>
    <x v="2"/>
    <x v="0"/>
    <x v="0"/>
    <x v="3"/>
    <m/>
    <m/>
    <s v="Edward Arevalo"/>
  </r>
  <r>
    <n v="1981"/>
    <x v="1"/>
    <x v="45"/>
    <s v="P000000209"/>
    <s v="EL-FO-PDB Branchburg, USA"/>
    <m/>
    <x v="2"/>
    <x v="0"/>
    <x v="0"/>
    <x v="3"/>
    <m/>
    <m/>
    <s v="Edward Arevalo"/>
  </r>
  <r>
    <n v="1982"/>
    <x v="1"/>
    <x v="45"/>
    <s v="P000000842"/>
    <s v="GrEx, PAT-US-BU, Branchburg, USA"/>
    <m/>
    <x v="2"/>
    <x v="0"/>
    <x v="0"/>
    <x v="3"/>
    <m/>
    <m/>
    <s v="Edward Arevalo"/>
  </r>
  <r>
    <n v="1983"/>
    <x v="1"/>
    <x v="45"/>
    <s v="P000000210"/>
    <s v="PAT-US-BU Production (T1)"/>
    <m/>
    <x v="2"/>
    <x v="0"/>
    <x v="0"/>
    <x v="3"/>
    <m/>
    <m/>
    <s v="Edward Arevalo"/>
  </r>
  <r>
    <n v="1984"/>
    <x v="1"/>
    <x v="45"/>
    <s v="P000000211"/>
    <s v="PAT-US-BU Analytics (T6c)."/>
    <m/>
    <x v="2"/>
    <x v="0"/>
    <x v="0"/>
    <x v="3"/>
    <m/>
    <m/>
    <s v="Edward Arevalo"/>
  </r>
  <r>
    <n v="1985"/>
    <x v="1"/>
    <x v="45"/>
    <s v="P000000212"/>
    <s v="PAT-US-BU Maintenance/Engineering (T3)."/>
    <m/>
    <x v="2"/>
    <x v="0"/>
    <x v="0"/>
    <x v="3"/>
    <m/>
    <m/>
    <s v="Edward Arevalo"/>
  </r>
  <r>
    <n v="1986"/>
    <x v="1"/>
    <x v="45"/>
    <s v="P000000213"/>
    <s v="PAT-US-BU Energies/Utilities (T4)."/>
    <m/>
    <x v="2"/>
    <x v="0"/>
    <x v="0"/>
    <x v="3"/>
    <m/>
    <m/>
    <s v="Edward Arevalo"/>
  </r>
  <r>
    <n v="1987"/>
    <x v="1"/>
    <x v="45"/>
    <s v="P000000214"/>
    <s v="PAT-US-BU Environmental Protection (T5)"/>
    <m/>
    <x v="2"/>
    <x v="0"/>
    <x v="0"/>
    <x v="3"/>
    <m/>
    <m/>
    <s v="Edward Arevalo"/>
  </r>
  <r>
    <n v="1988"/>
    <x v="1"/>
    <x v="45"/>
    <s v="P000000215"/>
    <s v="PAT-US-BU Prod.infrast. &amp; non-off-buil."/>
    <m/>
    <x v="2"/>
    <x v="0"/>
    <x v="0"/>
    <x v="3"/>
    <m/>
    <m/>
    <s v="Edward Arevalo"/>
  </r>
  <r>
    <n v="1989"/>
    <x v="1"/>
    <x v="45"/>
    <s v="P000000216"/>
    <s v="PAT-US-BU Incom. storage&amp;handling (T7)"/>
    <m/>
    <x v="2"/>
    <x v="0"/>
    <x v="0"/>
    <x v="3"/>
    <m/>
    <m/>
    <s v="Edward Arevalo"/>
  </r>
  <r>
    <n v="1990"/>
    <x v="1"/>
    <x v="45"/>
    <s v="P000000217"/>
    <s v="PAT-US-BU Local Prod./Proc. Dev. &amp; Opt."/>
    <m/>
    <x v="2"/>
    <x v="0"/>
    <x v="0"/>
    <x v="3"/>
    <m/>
    <m/>
    <s v="Edward Arevalo"/>
  </r>
  <r>
    <n v="1991"/>
    <x v="1"/>
    <x v="45"/>
    <s v="P000000218"/>
    <s v="PAT-US-BU Other"/>
    <m/>
    <x v="2"/>
    <x v="0"/>
    <x v="0"/>
    <x v="3"/>
    <m/>
    <m/>
    <s v="Edward Arevalo"/>
  </r>
  <r>
    <n v="1992"/>
    <x v="1"/>
    <x v="45"/>
    <s v="P000000314"/>
    <s v="PAT-US-BU Local Quality Branchburg"/>
    <m/>
    <x v="2"/>
    <x v="0"/>
    <x v="0"/>
    <x v="3"/>
    <m/>
    <m/>
    <s v="Edward Arevalo"/>
  </r>
  <r>
    <n v="1993"/>
    <x v="1"/>
    <x v="45"/>
    <s v="P000000315"/>
    <s v="PAT-US-BU Quality (T2)"/>
    <m/>
    <x v="2"/>
    <x v="0"/>
    <x v="0"/>
    <x v="3"/>
    <m/>
    <m/>
    <s v="Edward Arevalo"/>
  </r>
  <r>
    <n v="1994"/>
    <x v="1"/>
    <x v="45"/>
    <s v="P000000843"/>
    <s v="Non-GrEx, PAT-US-BU, Branchburg, USA"/>
    <m/>
    <x v="2"/>
    <x v="0"/>
    <x v="0"/>
    <x v="3"/>
    <m/>
    <m/>
    <s v="Edward Arevalo"/>
  </r>
  <r>
    <n v="1995"/>
    <x v="1"/>
    <x v="45"/>
    <s v="P000000229"/>
    <s v="EL-FO-PDS Shizuoka, Japan"/>
    <m/>
    <x v="2"/>
    <x v="0"/>
    <x v="0"/>
    <x v="3"/>
    <m/>
    <m/>
    <s v="Edward Arevalo"/>
  </r>
  <r>
    <n v="1996"/>
    <x v="1"/>
    <x v="45"/>
    <s v="P000000844"/>
    <s v="GrEx, PAT-JP-SZ, Shizuoka, Japan"/>
    <m/>
    <x v="2"/>
    <x v="0"/>
    <x v="0"/>
    <x v="3"/>
    <m/>
    <m/>
    <s v="Edward Arevalo"/>
  </r>
  <r>
    <n v="1997"/>
    <x v="1"/>
    <x v="45"/>
    <s v="P000000230"/>
    <s v="PAT-JP-SZ Production (T1)"/>
    <m/>
    <x v="2"/>
    <x v="0"/>
    <x v="0"/>
    <x v="3"/>
    <m/>
    <m/>
    <s v="Edward Arevalo"/>
  </r>
  <r>
    <n v="1998"/>
    <x v="1"/>
    <x v="45"/>
    <s v="P000000231"/>
    <s v="PAT-JP-SZ Analytics (T6c)"/>
    <m/>
    <x v="2"/>
    <x v="0"/>
    <x v="0"/>
    <x v="3"/>
    <m/>
    <m/>
    <s v="Edward Arevalo"/>
  </r>
  <r>
    <n v="1999"/>
    <x v="1"/>
    <x v="45"/>
    <s v="P000000232"/>
    <s v="PAT-JP-SZ Maintenance/Engineering (T3)"/>
    <m/>
    <x v="2"/>
    <x v="0"/>
    <x v="0"/>
    <x v="3"/>
    <m/>
    <m/>
    <s v="Edward Arevalo"/>
  </r>
  <r>
    <n v="2000"/>
    <x v="1"/>
    <x v="45"/>
    <s v="P000000233"/>
    <s v="PAT-JP-SZ Energies/Utilities (T4)"/>
    <m/>
    <x v="2"/>
    <x v="0"/>
    <x v="0"/>
    <x v="3"/>
    <m/>
    <m/>
    <s v="Edward Arevalo"/>
  </r>
  <r>
    <n v="2001"/>
    <x v="1"/>
    <x v="45"/>
    <s v="P000000234"/>
    <s v="PAT-JP-SZ Environmental Protection (T5)"/>
    <m/>
    <x v="2"/>
    <x v="0"/>
    <x v="0"/>
    <x v="3"/>
    <m/>
    <m/>
    <s v="Edward Arevalo"/>
  </r>
  <r>
    <n v="2002"/>
    <x v="1"/>
    <x v="45"/>
    <s v="P000000235"/>
    <s v="PAT-JP-SZ Prod.infrast. &amp; non-off-buil."/>
    <m/>
    <x v="2"/>
    <x v="0"/>
    <x v="0"/>
    <x v="3"/>
    <m/>
    <m/>
    <s v="Edward Arevalo"/>
  </r>
  <r>
    <n v="2003"/>
    <x v="1"/>
    <x v="45"/>
    <s v="P000000236"/>
    <s v="PAT-JP-SZ Incom. storage&amp;handling (T7)"/>
    <m/>
    <x v="2"/>
    <x v="0"/>
    <x v="0"/>
    <x v="3"/>
    <m/>
    <m/>
    <s v="Edward Arevalo"/>
  </r>
  <r>
    <n v="2004"/>
    <x v="1"/>
    <x v="45"/>
    <s v="P000000237"/>
    <s v="PAT-JP-SZ Local Prod./Proc. Dev. &amp; Opt."/>
    <m/>
    <x v="2"/>
    <x v="0"/>
    <x v="0"/>
    <x v="3"/>
    <m/>
    <m/>
    <s v="Edward Arevalo"/>
  </r>
  <r>
    <n v="2005"/>
    <x v="1"/>
    <x v="45"/>
    <s v="P000000238"/>
    <s v="PAT-JP-SZ Other"/>
    <m/>
    <x v="2"/>
    <x v="0"/>
    <x v="0"/>
    <x v="3"/>
    <m/>
    <m/>
    <s v="Edward Arevalo"/>
  </r>
  <r>
    <n v="2006"/>
    <x v="1"/>
    <x v="45"/>
    <s v="P000000304"/>
    <s v="PAT-JP-SZ Local Quality Shizuoka"/>
    <m/>
    <x v="2"/>
    <x v="0"/>
    <x v="0"/>
    <x v="3"/>
    <m/>
    <m/>
    <s v="Edward Arevalo"/>
  </r>
  <r>
    <n v="2007"/>
    <x v="1"/>
    <x v="45"/>
    <s v="P000000305"/>
    <s v="PAT-JP-SZ  Quality (T2)"/>
    <m/>
    <x v="2"/>
    <x v="0"/>
    <x v="0"/>
    <x v="3"/>
    <m/>
    <m/>
    <s v="Edward Arevalo"/>
  </r>
  <r>
    <n v="2008"/>
    <x v="1"/>
    <x v="45"/>
    <s v="P000000845"/>
    <s v="Non-GrEx, PAT-JP-SZ, Shizuoka, Japan"/>
    <m/>
    <x v="2"/>
    <x v="0"/>
    <x v="0"/>
    <x v="3"/>
    <m/>
    <m/>
    <s v="Edward Arevalo"/>
  </r>
  <r>
    <n v="2009"/>
    <x v="1"/>
    <x v="45"/>
    <s v="P000000239"/>
    <s v="EL-FO-PDW Wiesbaden, Germany"/>
    <m/>
    <x v="2"/>
    <x v="0"/>
    <x v="0"/>
    <x v="3"/>
    <m/>
    <m/>
    <s v="Edward Arevalo"/>
  </r>
  <r>
    <n v="2010"/>
    <x v="1"/>
    <x v="45"/>
    <s v="P000000846"/>
    <s v="GrEx, PAT-DE-WI, Wiesbaden, Germany"/>
    <m/>
    <x v="2"/>
    <x v="0"/>
    <x v="0"/>
    <x v="3"/>
    <m/>
    <m/>
    <s v="Edward Arevalo"/>
  </r>
  <r>
    <n v="2011"/>
    <x v="1"/>
    <x v="45"/>
    <s v="P000000240"/>
    <s v="PAT-DE-WI Production (T1)"/>
    <m/>
    <x v="2"/>
    <x v="0"/>
    <x v="0"/>
    <x v="3"/>
    <m/>
    <m/>
    <s v="Edward Arevalo"/>
  </r>
  <r>
    <n v="2012"/>
    <x v="1"/>
    <x v="45"/>
    <s v="P000000241"/>
    <s v="PAT-DE-WI Analytics (T6c)."/>
    <m/>
    <x v="2"/>
    <x v="0"/>
    <x v="0"/>
    <x v="3"/>
    <m/>
    <m/>
    <s v="Edward Arevalo"/>
  </r>
  <r>
    <n v="2013"/>
    <x v="1"/>
    <x v="45"/>
    <s v="P000000242"/>
    <s v="PAT-DE-WI Maintenance/Engineering (T3)."/>
    <m/>
    <x v="2"/>
    <x v="0"/>
    <x v="0"/>
    <x v="3"/>
    <m/>
    <m/>
    <s v="Edward Arevalo"/>
  </r>
  <r>
    <n v="2014"/>
    <x v="1"/>
    <x v="45"/>
    <s v="P000000243"/>
    <s v="PAT-DE-WI Energies/Utilities (T4)."/>
    <m/>
    <x v="2"/>
    <x v="0"/>
    <x v="0"/>
    <x v="3"/>
    <m/>
    <m/>
    <s v="Edward Arevalo"/>
  </r>
  <r>
    <n v="2015"/>
    <x v="1"/>
    <x v="45"/>
    <s v="P000000244"/>
    <s v="PAT-DE-WI Environmental Protection (T5)"/>
    <m/>
    <x v="2"/>
    <x v="0"/>
    <x v="0"/>
    <x v="3"/>
    <m/>
    <m/>
    <s v="Edward Arevalo"/>
  </r>
  <r>
    <n v="2016"/>
    <x v="1"/>
    <x v="45"/>
    <s v="P000000245"/>
    <s v="PAT-DE-WI Prod.infrast. &amp; non-off-buil."/>
    <m/>
    <x v="2"/>
    <x v="0"/>
    <x v="0"/>
    <x v="3"/>
    <m/>
    <m/>
    <s v="Edward Arevalo"/>
  </r>
  <r>
    <n v="2017"/>
    <x v="1"/>
    <x v="45"/>
    <s v="P000000246"/>
    <s v="PAT-DE-WI Incom. storage&amp;handling (T7)"/>
    <m/>
    <x v="2"/>
    <x v="0"/>
    <x v="0"/>
    <x v="3"/>
    <m/>
    <m/>
    <s v="Edward Arevalo"/>
  </r>
  <r>
    <n v="2018"/>
    <x v="1"/>
    <x v="45"/>
    <s v="P000000247"/>
    <s v="PAT-DE-WI Development (EL-OTI)"/>
    <m/>
    <x v="2"/>
    <x v="0"/>
    <x v="0"/>
    <x v="3"/>
    <m/>
    <m/>
    <s v="Edward Arevalo"/>
  </r>
  <r>
    <n v="2019"/>
    <x v="1"/>
    <x v="45"/>
    <s v="P000000248"/>
    <s v="PAT-DE-WI Other"/>
    <m/>
    <x v="2"/>
    <x v="0"/>
    <x v="0"/>
    <x v="3"/>
    <m/>
    <m/>
    <s v="Edward Arevalo"/>
  </r>
  <r>
    <n v="2020"/>
    <x v="1"/>
    <x v="45"/>
    <s v="P000000326"/>
    <s v="PAT-DE-WI Local Quality Wiesbaden"/>
    <m/>
    <x v="2"/>
    <x v="0"/>
    <x v="0"/>
    <x v="3"/>
    <m/>
    <m/>
    <s v="Edward Arevalo"/>
  </r>
  <r>
    <n v="2021"/>
    <x v="1"/>
    <x v="45"/>
    <s v="P000000327"/>
    <s v="PAT-DE-WI Quality (T2)"/>
    <m/>
    <x v="2"/>
    <x v="0"/>
    <x v="0"/>
    <x v="3"/>
    <m/>
    <m/>
    <s v="Edward Arevalo"/>
  </r>
  <r>
    <n v="2022"/>
    <x v="1"/>
    <x v="45"/>
    <s v="P000000847"/>
    <s v="Non-GrEx, PAT-DE-WI, Wiesbaden, Germany"/>
    <m/>
    <x v="2"/>
    <x v="0"/>
    <x v="0"/>
    <x v="3"/>
    <m/>
    <m/>
    <s v="Edward Arevalo"/>
  </r>
  <r>
    <n v="2023"/>
    <x v="1"/>
    <x v="45"/>
    <s v="P000000259"/>
    <s v="EL-FO-PCM Martin, USA"/>
    <m/>
    <x v="2"/>
    <x v="0"/>
    <x v="0"/>
    <x v="3"/>
    <m/>
    <m/>
    <s v="Edward Arevalo"/>
  </r>
  <r>
    <n v="2024"/>
    <x v="1"/>
    <x v="45"/>
    <s v="P000000875"/>
    <s v="GrEx, PAT-US-MA, Martin, USA"/>
    <m/>
    <x v="2"/>
    <x v="0"/>
    <x v="0"/>
    <x v="3"/>
    <m/>
    <m/>
    <s v="Edward Arevalo"/>
  </r>
  <r>
    <n v="2025"/>
    <x v="1"/>
    <x v="45"/>
    <s v="P000000260"/>
    <s v="PAT-US-MA Production (T1)"/>
    <m/>
    <x v="2"/>
    <x v="0"/>
    <x v="0"/>
    <x v="3"/>
    <m/>
    <m/>
    <s v="Edward Arevalo"/>
  </r>
  <r>
    <n v="2026"/>
    <x v="1"/>
    <x v="45"/>
    <s v="P000000261"/>
    <s v="PAT-US-MA Analytics (T6c)"/>
    <m/>
    <x v="2"/>
    <x v="0"/>
    <x v="0"/>
    <x v="3"/>
    <m/>
    <m/>
    <s v="Edward Arevalo"/>
  </r>
  <r>
    <n v="2027"/>
    <x v="1"/>
    <x v="45"/>
    <s v="P000000262"/>
    <s v="PAT-US-MA Maintenance/Engineering (T3)"/>
    <m/>
    <x v="2"/>
    <x v="0"/>
    <x v="0"/>
    <x v="3"/>
    <m/>
    <m/>
    <s v="Edward Arevalo"/>
  </r>
  <r>
    <n v="2028"/>
    <x v="1"/>
    <x v="45"/>
    <s v="P000000263"/>
    <s v="PAT-US-MA Energies/Utilities (T4)"/>
    <m/>
    <x v="2"/>
    <x v="0"/>
    <x v="0"/>
    <x v="3"/>
    <m/>
    <m/>
    <s v="Edward Arevalo"/>
  </r>
  <r>
    <n v="2029"/>
    <x v="1"/>
    <x v="45"/>
    <s v="P000000264"/>
    <s v="PAT-US-MA Environmental Protection (T5)"/>
    <m/>
    <x v="2"/>
    <x v="0"/>
    <x v="0"/>
    <x v="3"/>
    <m/>
    <m/>
    <s v="Edward Arevalo"/>
  </r>
  <r>
    <n v="2030"/>
    <x v="1"/>
    <x v="45"/>
    <s v="P000000265"/>
    <s v="PAT-US-MA Prod.infrast. &amp; non-off-buil."/>
    <m/>
    <x v="2"/>
    <x v="0"/>
    <x v="0"/>
    <x v="3"/>
    <m/>
    <m/>
    <s v="Edward Arevalo"/>
  </r>
  <r>
    <n v="2031"/>
    <x v="1"/>
    <x v="45"/>
    <s v="P000000266"/>
    <s v="PAT-US-MA Incom. storage&amp;handling (T7)"/>
    <m/>
    <x v="2"/>
    <x v="0"/>
    <x v="0"/>
    <x v="3"/>
    <m/>
    <m/>
    <s v="Edward Arevalo"/>
  </r>
  <r>
    <n v="2032"/>
    <x v="1"/>
    <x v="45"/>
    <s v="P000000267"/>
    <s v="PAT-US-MA Local Prod./Proc. Dev. &amp; Opt."/>
    <m/>
    <x v="2"/>
    <x v="0"/>
    <x v="0"/>
    <x v="3"/>
    <m/>
    <m/>
    <s v="Edward Arevalo"/>
  </r>
  <r>
    <n v="2033"/>
    <x v="1"/>
    <x v="45"/>
    <s v="P000000268"/>
    <s v="PAT-US-MA Other"/>
    <m/>
    <x v="2"/>
    <x v="0"/>
    <x v="0"/>
    <x v="3"/>
    <m/>
    <m/>
    <s v="Edward Arevalo"/>
  </r>
  <r>
    <n v="2034"/>
    <x v="1"/>
    <x v="45"/>
    <s v="P000000312"/>
    <s v="PAT-US-MA  Local quality Martin"/>
    <m/>
    <x v="2"/>
    <x v="0"/>
    <x v="0"/>
    <x v="3"/>
    <m/>
    <m/>
    <s v="Edward Arevalo"/>
  </r>
  <r>
    <n v="2035"/>
    <x v="1"/>
    <x v="45"/>
    <s v="P000000313"/>
    <s v="PAT-US-MA Quality (T2)"/>
    <m/>
    <x v="2"/>
    <x v="0"/>
    <x v="0"/>
    <x v="3"/>
    <m/>
    <m/>
    <s v="Edward Arevalo"/>
  </r>
  <r>
    <n v="2036"/>
    <x v="1"/>
    <x v="45"/>
    <s v="P000000876"/>
    <s v="Non-GrEx, PAT-US-MA, Martin, USA"/>
    <m/>
    <x v="2"/>
    <x v="0"/>
    <x v="0"/>
    <x v="3"/>
    <m/>
    <m/>
    <s v="Edward Arevalo"/>
  </r>
  <r>
    <n v="2037"/>
    <x v="1"/>
    <x v="45"/>
    <s v="P000000269"/>
    <s v="EL-FO-PCL Lamotte, France"/>
    <m/>
    <x v="2"/>
    <x v="0"/>
    <x v="0"/>
    <x v="3"/>
    <m/>
    <m/>
    <s v="Edward Arevalo"/>
  </r>
  <r>
    <n v="2038"/>
    <x v="1"/>
    <x v="45"/>
    <s v="P000000877"/>
    <s v="GrEx, PAT-FR-LA, Lamotte, France"/>
    <m/>
    <x v="2"/>
    <x v="0"/>
    <x v="0"/>
    <x v="3"/>
    <m/>
    <m/>
    <s v="Edward Arevalo"/>
  </r>
  <r>
    <n v="2039"/>
    <x v="1"/>
    <x v="45"/>
    <s v="P000000270"/>
    <s v="PAT-FR-LA Production (T1)"/>
    <m/>
    <x v="2"/>
    <x v="0"/>
    <x v="0"/>
    <x v="3"/>
    <m/>
    <m/>
    <s v="Edward Arevalo"/>
  </r>
  <r>
    <n v="2040"/>
    <x v="1"/>
    <x v="45"/>
    <s v="P000000271"/>
    <s v="PAT-FR-LA Analytics (T6c)"/>
    <m/>
    <x v="2"/>
    <x v="0"/>
    <x v="0"/>
    <x v="3"/>
    <m/>
    <m/>
    <s v="Edward Arevalo"/>
  </r>
  <r>
    <n v="2041"/>
    <x v="1"/>
    <x v="45"/>
    <s v="P000000272"/>
    <s v="PAT-FR-LA Maintenance/Engineering (T3)"/>
    <m/>
    <x v="2"/>
    <x v="0"/>
    <x v="0"/>
    <x v="3"/>
    <m/>
    <m/>
    <s v="Edward Arevalo"/>
  </r>
  <r>
    <n v="2042"/>
    <x v="1"/>
    <x v="45"/>
    <s v="P000000273"/>
    <s v="PAT-FR-LA Energies/Utilities (T4)"/>
    <m/>
    <x v="2"/>
    <x v="0"/>
    <x v="0"/>
    <x v="3"/>
    <m/>
    <m/>
    <s v="Edward Arevalo"/>
  </r>
  <r>
    <n v="2043"/>
    <x v="1"/>
    <x v="45"/>
    <s v="P000000274"/>
    <s v="PAT-FR-LA Environmental Protection (T5)"/>
    <m/>
    <x v="2"/>
    <x v="0"/>
    <x v="0"/>
    <x v="3"/>
    <m/>
    <m/>
    <s v="Edward Arevalo"/>
  </r>
  <r>
    <n v="2044"/>
    <x v="1"/>
    <x v="45"/>
    <s v="P000000275"/>
    <s v="PAT-FR-LA Prod.infrast. &amp; non-off-buil."/>
    <m/>
    <x v="2"/>
    <x v="0"/>
    <x v="0"/>
    <x v="3"/>
    <m/>
    <m/>
    <s v="Edward Arevalo"/>
  </r>
  <r>
    <n v="2045"/>
    <x v="1"/>
    <x v="45"/>
    <s v="P000000276"/>
    <s v="PAT-FR-LA Incom. storage&amp;handling (T7)"/>
    <m/>
    <x v="2"/>
    <x v="0"/>
    <x v="0"/>
    <x v="3"/>
    <m/>
    <m/>
    <s v="Edward Arevalo"/>
  </r>
  <r>
    <n v="2046"/>
    <x v="1"/>
    <x v="45"/>
    <s v="P000000277"/>
    <s v="PAT-FR-LA Local Prod./Proc. Dev. &amp; Opt."/>
    <m/>
    <x v="2"/>
    <x v="0"/>
    <x v="0"/>
    <x v="3"/>
    <m/>
    <m/>
    <s v="Edward Arevalo"/>
  </r>
  <r>
    <n v="2047"/>
    <x v="1"/>
    <x v="45"/>
    <s v="P000000278"/>
    <s v="PAT-FR-LA Other"/>
    <m/>
    <x v="2"/>
    <x v="0"/>
    <x v="0"/>
    <x v="3"/>
    <m/>
    <m/>
    <s v="Edward Arevalo"/>
  </r>
  <r>
    <n v="2048"/>
    <x v="1"/>
    <x v="45"/>
    <s v="P000000308"/>
    <s v="PAT-FR-LA Local Quality Lamotte"/>
    <m/>
    <x v="2"/>
    <x v="0"/>
    <x v="0"/>
    <x v="3"/>
    <m/>
    <m/>
    <s v="Edward Arevalo"/>
  </r>
  <r>
    <n v="2049"/>
    <x v="1"/>
    <x v="45"/>
    <s v="P000000309"/>
    <s v="PAT-FR-LA Quality (T2)"/>
    <m/>
    <x v="2"/>
    <x v="0"/>
    <x v="0"/>
    <x v="3"/>
    <m/>
    <m/>
    <s v="Edward Arevalo"/>
  </r>
  <r>
    <n v="2050"/>
    <x v="1"/>
    <x v="45"/>
    <s v="P000000878"/>
    <s v="Non-GrEx, PAT-FR-LA, Lamotte, France"/>
    <m/>
    <x v="2"/>
    <x v="0"/>
    <x v="0"/>
    <x v="3"/>
    <m/>
    <m/>
    <s v="Edward Arevalo"/>
  </r>
  <r>
    <n v="2051"/>
    <x v="1"/>
    <x v="45"/>
    <s v="P000000279"/>
    <s v="EL-FO-PDA Anseong, S. Korea"/>
    <m/>
    <x v="2"/>
    <x v="0"/>
    <x v="0"/>
    <x v="3"/>
    <m/>
    <m/>
    <s v="Edward Arevalo"/>
  </r>
  <r>
    <n v="2052"/>
    <x v="1"/>
    <x v="45"/>
    <s v="P000000848"/>
    <s v="GrEx, PAT-KR-AN, Anseong, S. Korea"/>
    <m/>
    <x v="2"/>
    <x v="0"/>
    <x v="0"/>
    <x v="3"/>
    <m/>
    <m/>
    <s v="Edward Arevalo"/>
  </r>
  <r>
    <n v="2053"/>
    <x v="1"/>
    <x v="45"/>
    <s v="P000000280"/>
    <s v="PAT-KR-AN Production (T1)"/>
    <m/>
    <x v="2"/>
    <x v="0"/>
    <x v="0"/>
    <x v="3"/>
    <m/>
    <m/>
    <s v="Edward Arevalo"/>
  </r>
  <r>
    <n v="2054"/>
    <x v="1"/>
    <x v="45"/>
    <s v="P000000281"/>
    <s v="PAT-KR-AN Analytics (T6c)"/>
    <m/>
    <x v="2"/>
    <x v="0"/>
    <x v="0"/>
    <x v="3"/>
    <m/>
    <m/>
    <s v="Edward Arevalo"/>
  </r>
  <r>
    <n v="2055"/>
    <x v="1"/>
    <x v="45"/>
    <s v="P000000282"/>
    <s v="PAT-KR-AN Maintenance/Engineering (T3)"/>
    <m/>
    <x v="2"/>
    <x v="0"/>
    <x v="0"/>
    <x v="3"/>
    <m/>
    <m/>
    <s v="Edward Arevalo"/>
  </r>
  <r>
    <n v="2056"/>
    <x v="1"/>
    <x v="45"/>
    <s v="P000000283"/>
    <s v="PAT-KR-AN Energies/Utilities (T4)"/>
    <m/>
    <x v="2"/>
    <x v="0"/>
    <x v="0"/>
    <x v="3"/>
    <m/>
    <m/>
    <s v="Edward Arevalo"/>
  </r>
  <r>
    <n v="2057"/>
    <x v="1"/>
    <x v="45"/>
    <s v="P000000284"/>
    <s v="PAT-KR-AN Environmental Protection (T5)"/>
    <m/>
    <x v="2"/>
    <x v="0"/>
    <x v="0"/>
    <x v="3"/>
    <m/>
    <m/>
    <s v="Edward Arevalo"/>
  </r>
  <r>
    <n v="2058"/>
    <x v="1"/>
    <x v="45"/>
    <s v="P000000285"/>
    <s v="PAT-KR-AN Prod.infrast. &amp; non-off-buil."/>
    <m/>
    <x v="2"/>
    <x v="0"/>
    <x v="0"/>
    <x v="3"/>
    <m/>
    <m/>
    <s v="Edward Arevalo"/>
  </r>
  <r>
    <n v="2059"/>
    <x v="1"/>
    <x v="45"/>
    <s v="P000000286"/>
    <s v="PAT-KR-AN Incom. storage&amp;handling (T7)"/>
    <m/>
    <x v="2"/>
    <x v="0"/>
    <x v="0"/>
    <x v="3"/>
    <m/>
    <m/>
    <s v="Edward Arevalo"/>
  </r>
  <r>
    <n v="2060"/>
    <x v="1"/>
    <x v="45"/>
    <s v="P000000287"/>
    <s v="PAT-KR-AN Local Prod./Proc. Dev. &amp; Opt."/>
    <m/>
    <x v="2"/>
    <x v="0"/>
    <x v="0"/>
    <x v="3"/>
    <m/>
    <m/>
    <s v="Edward Arevalo"/>
  </r>
  <r>
    <n v="2061"/>
    <x v="1"/>
    <x v="45"/>
    <s v="P000000288"/>
    <s v="PAT-KR-AN Other"/>
    <m/>
    <x v="2"/>
    <x v="0"/>
    <x v="0"/>
    <x v="3"/>
    <m/>
    <m/>
    <s v="Edward Arevalo"/>
  </r>
  <r>
    <n v="2062"/>
    <x v="1"/>
    <x v="45"/>
    <s v="P000000338"/>
    <s v="PAT-KR-AN  Local quality Anseong"/>
    <m/>
    <x v="2"/>
    <x v="0"/>
    <x v="0"/>
    <x v="3"/>
    <m/>
    <m/>
    <s v="Edward Arevalo"/>
  </r>
  <r>
    <n v="2063"/>
    <x v="1"/>
    <x v="45"/>
    <s v="P000000339"/>
    <s v="PAT-KR-AN Quality (T2)"/>
    <m/>
    <x v="2"/>
    <x v="0"/>
    <x v="0"/>
    <x v="3"/>
    <m/>
    <m/>
    <s v="Edward Arevalo"/>
  </r>
  <r>
    <n v="2064"/>
    <x v="1"/>
    <x v="45"/>
    <s v="P000000849"/>
    <s v="Non-GrEx, PAT-KR-AN, Anseong, S. Korea"/>
    <m/>
    <x v="2"/>
    <x v="0"/>
    <x v="0"/>
    <x v="3"/>
    <m/>
    <m/>
    <s v="Edward Arevalo"/>
  </r>
  <r>
    <n v="2065"/>
    <x v="1"/>
    <x v="45"/>
    <s v="P000000523"/>
    <s v="EL-FO-ADD Dallas, USA"/>
    <m/>
    <x v="2"/>
    <x v="0"/>
    <x v="0"/>
    <x v="3"/>
    <m/>
    <m/>
    <s v="Edward Arevalo"/>
  </r>
  <r>
    <n v="2066"/>
    <x v="1"/>
    <x v="45"/>
    <s v="P000000879"/>
    <s v="GrEx, PLA-US-DA, Dallas, USA"/>
    <m/>
    <x v="2"/>
    <x v="0"/>
    <x v="0"/>
    <x v="3"/>
    <m/>
    <m/>
    <s v="Edward Arevalo"/>
  </r>
  <r>
    <n v="2067"/>
    <x v="1"/>
    <x v="45"/>
    <s v="P000000880"/>
    <s v="PLA-US-DA Direct Manufacturing"/>
    <m/>
    <x v="2"/>
    <x v="0"/>
    <x v="0"/>
    <x v="3"/>
    <m/>
    <m/>
    <s v="Edward Arevalo"/>
  </r>
  <r>
    <n v="2068"/>
    <x v="1"/>
    <x v="45"/>
    <s v="P000001066"/>
    <s v="PLA-US-DA PLA Direct Manufact."/>
    <m/>
    <x v="2"/>
    <x v="0"/>
    <x v="0"/>
    <x v="3"/>
    <m/>
    <m/>
    <s v="Edward Arevalo"/>
  </r>
  <r>
    <n v="2069"/>
    <x v="1"/>
    <x v="45"/>
    <s v="P000001067"/>
    <s v="PLA-US-DA PAT Direct Manufact."/>
    <m/>
    <x v="2"/>
    <x v="0"/>
    <x v="0"/>
    <x v="3"/>
    <m/>
    <m/>
    <s v="Edward Arevalo"/>
  </r>
  <r>
    <n v="2070"/>
    <x v="1"/>
    <x v="45"/>
    <s v="P000000883"/>
    <s v="PLA-US-DA Indirect Manufacturing"/>
    <m/>
    <x v="2"/>
    <x v="0"/>
    <x v="0"/>
    <x v="3"/>
    <m/>
    <m/>
    <s v="Edward Arevalo"/>
  </r>
  <r>
    <n v="2071"/>
    <x v="1"/>
    <x v="45"/>
    <s v="P000001068"/>
    <s v="PLA-US-DA Manufact. Overhead"/>
    <m/>
    <x v="2"/>
    <x v="0"/>
    <x v="0"/>
    <x v="3"/>
    <m/>
    <m/>
    <s v="Edward Arevalo"/>
  </r>
  <r>
    <n v="2072"/>
    <x v="1"/>
    <x v="45"/>
    <s v="P000001069"/>
    <s v="PLA-US-DA Quality"/>
    <m/>
    <x v="2"/>
    <x v="0"/>
    <x v="0"/>
    <x v="3"/>
    <m/>
    <m/>
    <s v="Edward Arevalo"/>
  </r>
  <r>
    <n v="2073"/>
    <x v="1"/>
    <x v="45"/>
    <s v="P000000886"/>
    <s v="Non-GrEx, PLA-US-DA, Dallas, USA"/>
    <m/>
    <x v="2"/>
    <x v="0"/>
    <x v="0"/>
    <x v="3"/>
    <m/>
    <m/>
    <s v="Edward Arevalo"/>
  </r>
  <r>
    <n v="2074"/>
    <x v="1"/>
    <x v="45"/>
    <s v="P000000524"/>
    <s v="EL-FO-ADT Tempe, USA"/>
    <m/>
    <x v="2"/>
    <x v="0"/>
    <x v="0"/>
    <x v="3"/>
    <m/>
    <m/>
    <s v="Edward Arevalo"/>
  </r>
  <r>
    <n v="2075"/>
    <x v="1"/>
    <x v="45"/>
    <s v="P000000887"/>
    <s v="GrEx, PLA-US-TP, Tempe, USA"/>
    <m/>
    <x v="2"/>
    <x v="0"/>
    <x v="0"/>
    <x v="3"/>
    <m/>
    <m/>
    <s v="Edward Arevalo"/>
  </r>
  <r>
    <n v="2076"/>
    <x v="1"/>
    <x v="45"/>
    <s v="P000000888"/>
    <s v="PLA-US-TP Direct Manufacturing"/>
    <m/>
    <x v="2"/>
    <x v="0"/>
    <x v="0"/>
    <x v="3"/>
    <m/>
    <m/>
    <s v="Edward Arevalo"/>
  </r>
  <r>
    <n v="2077"/>
    <x v="1"/>
    <x v="45"/>
    <s v="P000000889"/>
    <s v="PLA-US-TP Indirect Manufacturing"/>
    <m/>
    <x v="2"/>
    <x v="0"/>
    <x v="0"/>
    <x v="3"/>
    <m/>
    <m/>
    <s v="Edward Arevalo"/>
  </r>
  <r>
    <n v="2078"/>
    <x v="1"/>
    <x v="45"/>
    <s v="P000001064"/>
    <s v="PLA-US-TP Manufact. Overhead"/>
    <m/>
    <x v="2"/>
    <x v="0"/>
    <x v="0"/>
    <x v="3"/>
    <m/>
    <m/>
    <s v="Edward Arevalo"/>
  </r>
  <r>
    <n v="2079"/>
    <x v="1"/>
    <x v="45"/>
    <s v="P000001065"/>
    <s v="PLA-US-TP Quality"/>
    <m/>
    <x v="2"/>
    <x v="0"/>
    <x v="0"/>
    <x v="3"/>
    <m/>
    <m/>
    <s v="Edward Arevalo"/>
  </r>
  <r>
    <n v="2080"/>
    <x v="1"/>
    <x v="45"/>
    <s v="P000000892"/>
    <s v="Non-GrEx, PLA-US-TP, Tempe, USA"/>
    <m/>
    <x v="2"/>
    <x v="0"/>
    <x v="0"/>
    <x v="3"/>
    <m/>
    <m/>
    <s v="Edward Arevalo"/>
  </r>
  <r>
    <n v="2081"/>
    <x v="1"/>
    <x v="45"/>
    <s v="P000000525"/>
    <s v="EL-FO-ADA Pyeongtaek, S. Korea"/>
    <m/>
    <x v="2"/>
    <x v="0"/>
    <x v="0"/>
    <x v="3"/>
    <m/>
    <m/>
    <s v="Edward Arevalo"/>
  </r>
  <r>
    <n v="2082"/>
    <x v="1"/>
    <x v="45"/>
    <s v="P000000893"/>
    <s v="GrEx, PLA-KR-PT, Pyeongtaek, S. Korea"/>
    <m/>
    <x v="2"/>
    <x v="0"/>
    <x v="0"/>
    <x v="3"/>
    <m/>
    <m/>
    <s v="Edward Arevalo"/>
  </r>
  <r>
    <n v="2083"/>
    <x v="1"/>
    <x v="45"/>
    <s v="P000000894"/>
    <s v="PLA-KR-PT Direct Manufacturing"/>
    <m/>
    <x v="2"/>
    <x v="0"/>
    <x v="0"/>
    <x v="3"/>
    <m/>
    <m/>
    <s v="Edward Arevalo"/>
  </r>
  <r>
    <n v="2084"/>
    <x v="1"/>
    <x v="45"/>
    <s v="P000001060"/>
    <s v="PLA-KR-PT PLA Direct Manufact."/>
    <m/>
    <x v="2"/>
    <x v="0"/>
    <x v="0"/>
    <x v="3"/>
    <m/>
    <m/>
    <s v="Edward Arevalo"/>
  </r>
  <r>
    <n v="2085"/>
    <x v="1"/>
    <x v="45"/>
    <s v="P000001061"/>
    <s v="PLA-KR-PT PAT Direct Manufact."/>
    <m/>
    <x v="2"/>
    <x v="0"/>
    <x v="0"/>
    <x v="3"/>
    <m/>
    <m/>
    <s v="Edward Arevalo"/>
  </r>
  <r>
    <n v="2086"/>
    <x v="1"/>
    <x v="45"/>
    <s v="P000000897"/>
    <s v="PLA-KR-PT Indirect Manufacturing"/>
    <m/>
    <x v="2"/>
    <x v="0"/>
    <x v="0"/>
    <x v="3"/>
    <m/>
    <m/>
    <s v="Edward Arevalo"/>
  </r>
  <r>
    <n v="2087"/>
    <x v="1"/>
    <x v="45"/>
    <s v="P000001062"/>
    <s v="PLA-KR-PT Manufact. Overhead"/>
    <m/>
    <x v="2"/>
    <x v="0"/>
    <x v="0"/>
    <x v="3"/>
    <m/>
    <m/>
    <s v="Edward Arevalo"/>
  </r>
  <r>
    <n v="2088"/>
    <x v="1"/>
    <x v="45"/>
    <s v="P000001063"/>
    <s v="PLA-KR-PT Quality"/>
    <m/>
    <x v="2"/>
    <x v="0"/>
    <x v="0"/>
    <x v="3"/>
    <m/>
    <m/>
    <s v="Edward Arevalo"/>
  </r>
  <r>
    <n v="2089"/>
    <x v="1"/>
    <x v="45"/>
    <s v="P000000900"/>
    <s v="Non-GrEx, PLA-KR-PT, Pyeongtaek, S. Kore"/>
    <m/>
    <x v="2"/>
    <x v="0"/>
    <x v="0"/>
    <x v="3"/>
    <m/>
    <m/>
    <s v="Edward Arevalo"/>
  </r>
  <r>
    <n v="2090"/>
    <x v="1"/>
    <x v="45"/>
    <s v="P000001167"/>
    <s v="EL-DS-SG Global Demand &amp; Supply Planning"/>
    <s v="P000000055"/>
    <x v="0"/>
    <x v="0"/>
    <x v="0"/>
    <x v="3"/>
    <m/>
    <m/>
    <s v="Edward Arevalo"/>
  </r>
  <r>
    <n v="2091"/>
    <x v="1"/>
    <x v="45"/>
    <s v="P000001168"/>
    <s v="EL-DS-SV Value Stream Mngt"/>
    <s v="P000000055"/>
    <x v="0"/>
    <x v="0"/>
    <x v="0"/>
    <x v="3"/>
    <m/>
    <m/>
    <s v="Edward Arevalo"/>
  </r>
  <r>
    <n v="2092"/>
    <x v="1"/>
    <x v="45"/>
    <s v="P000000518"/>
    <s v="EL-TF-DT Catoosa, USA"/>
    <s v="P000000804"/>
    <x v="4"/>
    <x v="0"/>
    <x v="0"/>
    <x v="3"/>
    <m/>
    <m/>
    <s v="Edward Arevalo"/>
  </r>
  <r>
    <n v="2093"/>
    <x v="1"/>
    <x v="46"/>
    <s v="G000000411"/>
    <s v="SM-I Infr. Build. &amp; Open Area"/>
    <m/>
    <x v="2"/>
    <x v="0"/>
    <x v="0"/>
    <x v="0"/>
    <m/>
    <m/>
    <s v="Manuel Walther"/>
  </r>
  <r>
    <n v="2094"/>
    <x v="1"/>
    <x v="46"/>
    <s v="G000000498"/>
    <m/>
    <s v="G000000411"/>
    <x v="1"/>
    <x v="0"/>
    <x v="0"/>
    <x v="0"/>
    <m/>
    <m/>
    <s v="Manuel Walther"/>
  </r>
  <r>
    <n v="2095"/>
    <x v="1"/>
    <x v="46"/>
    <s v="G000001011"/>
    <m/>
    <s v="G000000411"/>
    <x v="1"/>
    <x v="0"/>
    <x v="0"/>
    <x v="0"/>
    <m/>
    <m/>
    <s v="Manuel Walther"/>
  </r>
  <r>
    <n v="2096"/>
    <x v="1"/>
    <x v="46"/>
    <s v="G000000686"/>
    <s v="SM-X dummy 4"/>
    <s v="G000000355"/>
    <x v="4"/>
    <x v="0"/>
    <x v="0"/>
    <x v="0"/>
    <m/>
    <m/>
    <s v="Manuel Walther"/>
  </r>
  <r>
    <n v="2097"/>
    <x v="1"/>
    <x v="47"/>
    <s v="G000001233"/>
    <s v="EF-IT-EA EF Group Applications"/>
    <s v="G000000317"/>
    <x v="0"/>
    <x v="0"/>
    <x v="0"/>
    <x v="0"/>
    <m/>
    <m/>
    <s v="Joshua Cachola"/>
  </r>
  <r>
    <n v="2098"/>
    <x v="1"/>
    <x v="47"/>
    <s v="G000001234"/>
    <s v="EF-IT-EI MITC Management"/>
    <s v="G000000317"/>
    <x v="0"/>
    <x v="0"/>
    <x v="0"/>
    <x v="0"/>
    <m/>
    <m/>
    <s v="Joshua Cachola"/>
  </r>
  <r>
    <n v="2099"/>
    <x v="1"/>
    <x v="47"/>
    <s v="G000001235"/>
    <s v="EF-IT-PA Corporate ERP Apps"/>
    <s v="G000000340"/>
    <x v="0"/>
    <x v="0"/>
    <x v="0"/>
    <x v="0"/>
    <m/>
    <m/>
    <s v="Joshua Cachola"/>
  </r>
  <r>
    <n v="2100"/>
    <x v="1"/>
    <x v="47"/>
    <s v="G000001236"/>
    <s v="EF-DD-AD Data Office for Enabling Functions"/>
    <s v="G000001118"/>
    <x v="0"/>
    <x v="0"/>
    <x v="0"/>
    <x v="0"/>
    <m/>
    <m/>
    <s v="Joshua Cachola"/>
  </r>
  <r>
    <n v="2101"/>
    <x v="1"/>
    <x v="47"/>
    <s v="G000001237"/>
    <s v="EF-DD-AC Key Capabilities"/>
    <s v="G000001118"/>
    <x v="0"/>
    <x v="0"/>
    <x v="0"/>
    <x v="0"/>
    <m/>
    <m/>
    <s v="Joshua Cachola"/>
  </r>
  <r>
    <n v="2102"/>
    <x v="1"/>
    <x v="48"/>
    <s v="P000001165"/>
    <s v="Patterning Silica"/>
    <s v="P000000642"/>
    <x v="1"/>
    <x v="0"/>
    <x v="0"/>
    <x v="3"/>
    <m/>
    <m/>
    <s v="Edward Arevalo"/>
  </r>
  <r>
    <n v="2103"/>
    <x v="1"/>
    <x v="48"/>
    <s v="P000001169"/>
    <s v="EL-FO-PAI Customer Applications, Innovation Products"/>
    <s v="P000000856"/>
    <x v="0"/>
    <x v="0"/>
    <x v="0"/>
    <x v="3"/>
    <m/>
    <m/>
    <s v="Edward Arevalo"/>
  </r>
  <r>
    <n v="2104"/>
    <x v="1"/>
    <x v="48"/>
    <s v="P000001170"/>
    <s v="EL-CN-S6B Customer Applications Patterning"/>
    <s v="P000000856"/>
    <x v="0"/>
    <x v="0"/>
    <x v="0"/>
    <x v="3"/>
    <m/>
    <m/>
    <s v="Edward Arevalo"/>
  </r>
  <r>
    <n v="2105"/>
    <x v="1"/>
    <x v="48"/>
    <s v="P000001171"/>
    <s v="EL-FO-ADZ Toll Manufacturing"/>
    <s v="P000000869"/>
    <x v="0"/>
    <x v="0"/>
    <x v="0"/>
    <x v="3"/>
    <m/>
    <m/>
    <s v="Edward Arevalo"/>
  </r>
  <r>
    <n v="2106"/>
    <x v="1"/>
    <x v="49"/>
    <s v="G000000884"/>
    <s v="Container Cleaining und Packaging"/>
    <s v="L000013247"/>
    <x v="1"/>
    <x v="0"/>
    <x v="0"/>
    <x v="2"/>
    <m/>
    <m/>
    <s v="Marcus Avemarie"/>
  </r>
  <r>
    <n v="2107"/>
    <x v="1"/>
    <x v="50"/>
    <s v="IT06071800"/>
    <s v="EF-IT-EA EF Group Applications"/>
    <s v="G000001233"/>
    <x v="0"/>
    <x v="0"/>
    <x v="0"/>
    <x v="0"/>
    <m/>
    <m/>
    <s v="Joshua Cachola"/>
  </r>
  <r>
    <n v="2108"/>
    <x v="1"/>
    <x v="50"/>
    <s v="IT06071900"/>
    <s v="EF-IT-EI MITC Management"/>
    <s v="G000001234"/>
    <x v="0"/>
    <x v="0"/>
    <x v="0"/>
    <x v="0"/>
    <m/>
    <m/>
    <s v="Joshua Cachola"/>
  </r>
  <r>
    <n v="2109"/>
    <x v="1"/>
    <x v="50"/>
    <s v="IT06100600"/>
    <s v="EF-IT-PA Corporate ERP Apps"/>
    <s v="G000001235"/>
    <x v="0"/>
    <x v="0"/>
    <x v="0"/>
    <x v="0"/>
    <m/>
    <m/>
    <s v="Joshua Cachola"/>
  </r>
  <r>
    <n v="2110"/>
    <x v="1"/>
    <x v="50"/>
    <s v="IT07010300"/>
    <s v="EF-DD-AD Data Office for Enabling Functions"/>
    <s v="G000001236"/>
    <x v="0"/>
    <x v="0"/>
    <x v="0"/>
    <x v="0"/>
    <m/>
    <m/>
    <s v="Joshua Cachola"/>
  </r>
  <r>
    <n v="2111"/>
    <x v="1"/>
    <x v="50"/>
    <s v="IT07010400"/>
    <s v="EF-DD-AC Key Capabilities"/>
    <s v="G000001237"/>
    <x v="0"/>
    <x v="0"/>
    <x v="0"/>
    <x v="0"/>
    <m/>
    <m/>
    <s v="Joshua Cachola"/>
  </r>
  <r>
    <n v="2112"/>
    <x v="1"/>
    <x v="51"/>
    <s v="G000000244"/>
    <s v="EF-IT Merck IT_I"/>
    <m/>
    <x v="2"/>
    <x v="0"/>
    <x v="0"/>
    <x v="0"/>
    <m/>
    <m/>
    <s v="Joshua Cachola"/>
  </r>
  <r>
    <n v="2113"/>
    <x v="1"/>
    <x v="51"/>
    <s v="G000000243"/>
    <s v="EF-IT Merck IT"/>
    <m/>
    <x v="2"/>
    <x v="0"/>
    <x v="0"/>
    <x v="0"/>
    <m/>
    <m/>
    <s v="Joshua Cachola"/>
  </r>
  <r>
    <n v="2114"/>
    <x v="1"/>
    <x v="51"/>
    <s v="G000000255"/>
    <s v="EF-IT-AR R&amp;D"/>
    <m/>
    <x v="2"/>
    <x v="0"/>
    <x v="0"/>
    <x v="0"/>
    <m/>
    <m/>
    <s v="Joshua Cachola"/>
  </r>
  <r>
    <n v="2115"/>
    <x v="1"/>
    <x v="51"/>
    <s v="G000000256"/>
    <s v="EF-IT-AS Marketing &amp; Sales"/>
    <m/>
    <x v="2"/>
    <x v="0"/>
    <x v="0"/>
    <x v="0"/>
    <m/>
    <m/>
    <s v="Joshua Cachola"/>
  </r>
  <r>
    <n v="2116"/>
    <x v="1"/>
    <x v="51"/>
    <s v="G000000893"/>
    <s v="EF-IT-AT Automation Strategy"/>
    <m/>
    <x v="2"/>
    <x v="0"/>
    <x v="0"/>
    <x v="0"/>
    <m/>
    <m/>
    <s v="Joshua Cachola"/>
  </r>
  <r>
    <n v="2117"/>
    <x v="1"/>
    <x v="51"/>
    <s v="G000001099"/>
    <s v="EF-IT-AZ IT-App Tech CoE"/>
    <m/>
    <x v="2"/>
    <x v="0"/>
    <x v="0"/>
    <x v="0"/>
    <m/>
    <m/>
    <s v="Joshua Cachola"/>
  </r>
  <r>
    <n v="2118"/>
    <x v="1"/>
    <x v="51"/>
    <s v="G000001116"/>
    <s v="EF-IT-AF EF Group Applications"/>
    <m/>
    <x v="2"/>
    <x v="0"/>
    <x v="0"/>
    <x v="0"/>
    <m/>
    <m/>
    <s v="Joshua Cachola"/>
  </r>
  <r>
    <n v="2119"/>
    <x v="1"/>
    <x v="51"/>
    <s v="H000004177"/>
    <s v="HC-BA-D Digital, Data and IT Healthcare"/>
    <m/>
    <x v="2"/>
    <x v="0"/>
    <x v="0"/>
    <x v="0"/>
    <m/>
    <m/>
    <s v="Joshua Cachola"/>
  </r>
  <r>
    <n v="2120"/>
    <x v="1"/>
    <x v="51"/>
    <s v="H000004178"/>
    <s v="HC-BA-D Digital,Data and IT Healthcare_I"/>
    <m/>
    <x v="2"/>
    <x v="0"/>
    <x v="0"/>
    <x v="0"/>
    <m/>
    <m/>
    <s v="Joshua Cachola"/>
  </r>
  <r>
    <n v="2121"/>
    <x v="1"/>
    <x v="51"/>
    <s v="H000004179"/>
    <s v="HC-BA-DP Performance &amp; Portfolio Mgmt"/>
    <m/>
    <x v="2"/>
    <x v="0"/>
    <x v="0"/>
    <x v="0"/>
    <m/>
    <m/>
    <s v="Joshua Cachola"/>
  </r>
  <r>
    <n v="2122"/>
    <x v="1"/>
    <x v="51"/>
    <s v="L000013388"/>
    <s v="LS-IT IT Life Science"/>
    <m/>
    <x v="2"/>
    <x v="0"/>
    <x v="0"/>
    <x v="0"/>
    <m/>
    <m/>
    <s v="Joshua Cachola"/>
  </r>
  <r>
    <n v="2123"/>
    <x v="1"/>
    <x v="51"/>
    <s v="L000013389"/>
    <s v="LS-IT IT Life Science_I"/>
    <m/>
    <x v="2"/>
    <x v="0"/>
    <x v="0"/>
    <x v="0"/>
    <m/>
    <m/>
    <s v="Joshua Cachola"/>
  </r>
  <r>
    <n v="2124"/>
    <x v="1"/>
    <x v="51"/>
    <s v="L000013396"/>
    <s v="LS-IT-E Sales &amp; Distribution"/>
    <m/>
    <x v="2"/>
    <x v="0"/>
    <x v="0"/>
    <x v="0"/>
    <m/>
    <m/>
    <s v="Joshua Cachola"/>
  </r>
  <r>
    <n v="2125"/>
    <x v="1"/>
    <x v="51"/>
    <s v="L000013392"/>
    <s v="LS-IT-P Performance &amp; Porfolio Mgmt"/>
    <m/>
    <x v="2"/>
    <x v="0"/>
    <x v="0"/>
    <x v="0"/>
    <m/>
    <m/>
    <s v="Joshua Cachola"/>
  </r>
  <r>
    <n v="2126"/>
    <x v="1"/>
    <x v="51"/>
    <s v="P000000758"/>
    <s v="EL-BP-I IT Electronics"/>
    <m/>
    <x v="2"/>
    <x v="0"/>
    <x v="0"/>
    <x v="0"/>
    <m/>
    <m/>
    <s v="Joshua Cachola"/>
  </r>
  <r>
    <n v="2127"/>
    <x v="1"/>
    <x v="51"/>
    <s v="P000000759"/>
    <s v="EL-BP-I IT Electronics_I"/>
    <m/>
    <x v="2"/>
    <x v="0"/>
    <x v="0"/>
    <x v="0"/>
    <m/>
    <m/>
    <s v="Joshua Cachola"/>
  </r>
  <r>
    <n v="2128"/>
    <x v="1"/>
    <x v="51"/>
    <s v="P000000760"/>
    <s v="EL-BP-ID Business Partner Display Solution"/>
    <m/>
    <x v="2"/>
    <x v="0"/>
    <x v="0"/>
    <x v="0"/>
    <m/>
    <m/>
    <s v="Joshua Cachola"/>
  </r>
  <r>
    <n v="2129"/>
    <x v="1"/>
    <x v="51"/>
    <s v="P000000766"/>
    <s v="EL-BP-II Business Partner Semiconductor"/>
    <m/>
    <x v="2"/>
    <x v="0"/>
    <x v="0"/>
    <x v="0"/>
    <m/>
    <m/>
    <s v="Joshua Cachola"/>
  </r>
  <r>
    <n v="2130"/>
    <x v="1"/>
    <x v="51"/>
    <s v="P000000761"/>
    <s v="EL-BP-IO Performance &amp; Portfolio Mgmt"/>
    <m/>
    <x v="2"/>
    <x v="0"/>
    <x v="0"/>
    <x v="0"/>
    <m/>
    <m/>
    <s v="Joshua Cachola"/>
  </r>
  <r>
    <n v="2131"/>
    <x v="1"/>
    <x v="51"/>
    <s v="P000000767"/>
    <s v="EL-BP-IN Business Partner DS&amp;S"/>
    <m/>
    <x v="2"/>
    <x v="0"/>
    <x v="0"/>
    <x v="0"/>
    <m/>
    <m/>
    <s v="Joshua Cachola"/>
  </r>
  <r>
    <n v="2132"/>
    <x v="1"/>
    <x v="51"/>
    <s v="P000000768"/>
    <s v="EL-BP-IT CIO Office IT Electronics"/>
    <m/>
    <x v="2"/>
    <x v="0"/>
    <x v="0"/>
    <x v="0"/>
    <m/>
    <m/>
    <s v="Joshua Cachola"/>
  </r>
  <r>
    <n v="2133"/>
    <x v="1"/>
    <x v="51"/>
    <s v="P000000763"/>
    <s v="EL-BP-IP Business Partner Surface Solution"/>
    <m/>
    <x v="2"/>
    <x v="0"/>
    <x v="0"/>
    <x v="0"/>
    <m/>
    <m/>
    <s v="Joshua Cachola"/>
  </r>
  <r>
    <n v="2134"/>
    <x v="1"/>
    <x v="51"/>
    <s v="P000000765"/>
    <s v="EL-BP-IR Electronics ERP"/>
    <m/>
    <x v="2"/>
    <x v="0"/>
    <x v="0"/>
    <x v="0"/>
    <m/>
    <m/>
    <s v="Joshua Cachola"/>
  </r>
  <r>
    <n v="2135"/>
    <x v="1"/>
    <x v="51"/>
    <s v="G000001125"/>
    <s v="EF-IT-EC CoE Key Capabilities"/>
    <m/>
    <x v="2"/>
    <x v="0"/>
    <x v="0"/>
    <x v="0"/>
    <m/>
    <m/>
    <s v="Joshua Cachola"/>
  </r>
  <r>
    <n v="2136"/>
    <x v="1"/>
    <x v="51"/>
    <s v="G000000752"/>
    <s v="EF-IT-PM MGF"/>
    <m/>
    <x v="2"/>
    <x v="0"/>
    <x v="0"/>
    <x v="0"/>
    <m/>
    <m/>
    <s v="Joshua Cachola"/>
  </r>
  <r>
    <n v="2137"/>
    <x v="1"/>
    <x v="51"/>
    <s v="G000000785"/>
    <s v="EF-IT-GA IT Audit &amp; Compliance"/>
    <m/>
    <x v="2"/>
    <x v="0"/>
    <x v="0"/>
    <x v="0"/>
    <m/>
    <m/>
    <s v="Joshua Cachola"/>
  </r>
  <r>
    <n v="2138"/>
    <x v="1"/>
    <x v="51"/>
    <s v="IT06000000"/>
    <s v="EF-IT Merck IT"/>
    <m/>
    <x v="2"/>
    <x v="0"/>
    <x v="0"/>
    <x v="0"/>
    <m/>
    <m/>
    <s v="Joshua Cachola"/>
  </r>
  <r>
    <n v="2139"/>
    <x v="1"/>
    <x v="51"/>
    <s v="IT06020800"/>
    <s v="EF-IT-AR R&amp;D"/>
    <m/>
    <x v="2"/>
    <x v="0"/>
    <x v="0"/>
    <x v="0"/>
    <m/>
    <m/>
    <s v="Joshua Cachola"/>
  </r>
  <r>
    <n v="2140"/>
    <x v="1"/>
    <x v="51"/>
    <s v="IT06020900"/>
    <s v="EF-IT-AS Marketing &amp; Sales"/>
    <m/>
    <x v="2"/>
    <x v="0"/>
    <x v="0"/>
    <x v="0"/>
    <m/>
    <m/>
    <s v="Joshua Cachola"/>
  </r>
  <r>
    <n v="2141"/>
    <x v="1"/>
    <x v="51"/>
    <s v="IT06021400"/>
    <s v="EF-IT-AT Automation Strategy"/>
    <m/>
    <x v="2"/>
    <x v="0"/>
    <x v="0"/>
    <x v="0"/>
    <m/>
    <m/>
    <s v="Joshua Cachola"/>
  </r>
  <r>
    <n v="2142"/>
    <x v="1"/>
    <x v="51"/>
    <s v="IT06021500"/>
    <s v="EF-IT-AZ IT-App Tech CoE"/>
    <m/>
    <x v="2"/>
    <x v="0"/>
    <x v="0"/>
    <x v="0"/>
    <m/>
    <m/>
    <s v="Joshua Cachola"/>
  </r>
  <r>
    <n v="2143"/>
    <x v="1"/>
    <x v="51"/>
    <s v="IT06021600"/>
    <s v="EF-IT-AF EF Group Applications"/>
    <m/>
    <x v="2"/>
    <x v="0"/>
    <x v="0"/>
    <x v="0"/>
    <m/>
    <m/>
    <s v="Joshua Cachola"/>
  </r>
  <r>
    <n v="2144"/>
    <x v="1"/>
    <x v="51"/>
    <s v="IT06030000"/>
    <s v="HC-BA-D Digital, Data and IT Healthcare"/>
    <m/>
    <x v="2"/>
    <x v="0"/>
    <x v="0"/>
    <x v="0"/>
    <m/>
    <m/>
    <s v="Joshua Cachola"/>
  </r>
  <r>
    <n v="2145"/>
    <x v="1"/>
    <x v="51"/>
    <s v="IT06030100"/>
    <s v="HC-BA-DP Performance &amp; Portfolio Management"/>
    <m/>
    <x v="2"/>
    <x v="0"/>
    <x v="0"/>
    <x v="0"/>
    <m/>
    <m/>
    <s v="Joshua Cachola"/>
  </r>
  <r>
    <n v="2146"/>
    <x v="1"/>
    <x v="51"/>
    <s v="IT06050000"/>
    <s v="LS-IT IT Life Science"/>
    <m/>
    <x v="2"/>
    <x v="0"/>
    <x v="0"/>
    <x v="0"/>
    <m/>
    <m/>
    <s v="Joshua Cachola"/>
  </r>
  <r>
    <n v="2147"/>
    <x v="1"/>
    <x v="51"/>
    <s v="IT06050100"/>
    <s v="LS-IT-E Sales &amp; Distribution"/>
    <m/>
    <x v="2"/>
    <x v="0"/>
    <x v="0"/>
    <x v="0"/>
    <m/>
    <m/>
    <s v="Joshua Cachola"/>
  </r>
  <r>
    <n v="2148"/>
    <x v="1"/>
    <x v="51"/>
    <s v="IT06050500"/>
    <s v="LS-IT-P Performance &amp; Porfolio Management"/>
    <m/>
    <x v="2"/>
    <x v="0"/>
    <x v="0"/>
    <x v="0"/>
    <m/>
    <m/>
    <s v="Joshua Cachola"/>
  </r>
  <r>
    <n v="2149"/>
    <x v="1"/>
    <x v="51"/>
    <s v="IT06060000"/>
    <s v="EL-BP-I IT Electronics"/>
    <m/>
    <x v="2"/>
    <x v="0"/>
    <x v="0"/>
    <x v="0"/>
    <m/>
    <m/>
    <s v="Joshua Cachola"/>
  </r>
  <r>
    <n v="2150"/>
    <x v="1"/>
    <x v="51"/>
    <s v="IT06060100"/>
    <s v="EL-BP-ID Business Partner Display Solution"/>
    <m/>
    <x v="2"/>
    <x v="0"/>
    <x v="0"/>
    <x v="0"/>
    <m/>
    <m/>
    <s v="Joshua Cachola"/>
  </r>
  <r>
    <n v="2151"/>
    <x v="1"/>
    <x v="51"/>
    <s v="IT06060200"/>
    <s v="EL-BP-II Business Partner Semiconductor M/"/>
    <m/>
    <x v="2"/>
    <x v="0"/>
    <x v="0"/>
    <x v="0"/>
    <m/>
    <m/>
    <s v="Joshua Cachola"/>
  </r>
  <r>
    <n v="2152"/>
    <x v="1"/>
    <x v="51"/>
    <s v="IT06060300"/>
    <s v="EL-BP-IO Performance &amp; Portfolio Management"/>
    <m/>
    <x v="2"/>
    <x v="0"/>
    <x v="0"/>
    <x v="0"/>
    <m/>
    <m/>
    <s v="Joshua Cachola"/>
  </r>
  <r>
    <n v="2153"/>
    <x v="1"/>
    <x v="51"/>
    <s v="IT06060400"/>
    <s v="EL-BP-IN Business Partner DS&amp;S"/>
    <m/>
    <x v="2"/>
    <x v="0"/>
    <x v="0"/>
    <x v="0"/>
    <m/>
    <m/>
    <s v="Joshua Cachola"/>
  </r>
  <r>
    <n v="2154"/>
    <x v="1"/>
    <x v="51"/>
    <s v="IT06060600"/>
    <s v="EL-BP-IT CIO Office IT Electronics"/>
    <m/>
    <x v="2"/>
    <x v="0"/>
    <x v="0"/>
    <x v="0"/>
    <m/>
    <m/>
    <s v="Joshua Cachola"/>
  </r>
  <r>
    <n v="2155"/>
    <x v="1"/>
    <x v="51"/>
    <s v="IT06060700"/>
    <s v="EL-BP-IP Business Partner Surface Solution"/>
    <m/>
    <x v="2"/>
    <x v="0"/>
    <x v="0"/>
    <x v="0"/>
    <m/>
    <m/>
    <s v="Joshua Cachola"/>
  </r>
  <r>
    <n v="2156"/>
    <x v="1"/>
    <x v="51"/>
    <s v="IT06060900"/>
    <s v="EL-BP-IR Electronics ERP"/>
    <m/>
    <x v="2"/>
    <x v="0"/>
    <x v="0"/>
    <x v="0"/>
    <m/>
    <m/>
    <s v="Joshua Cachola"/>
  </r>
  <r>
    <n v="2157"/>
    <x v="1"/>
    <x v="51"/>
    <s v="IT06071600"/>
    <s v="EF-IT-EC CoE Key Capabilities"/>
    <m/>
    <x v="2"/>
    <x v="0"/>
    <x v="0"/>
    <x v="0"/>
    <m/>
    <m/>
    <s v="Joshua Cachola"/>
  </r>
  <r>
    <n v="2158"/>
    <x v="1"/>
    <x v="51"/>
    <s v="IT06100500"/>
    <s v="EF-IT-PM MGF"/>
    <m/>
    <x v="2"/>
    <x v="0"/>
    <x v="0"/>
    <x v="0"/>
    <m/>
    <m/>
    <s v="Joshua Cachola"/>
  </r>
  <r>
    <n v="2159"/>
    <x v="1"/>
    <x v="51"/>
    <s v="IT06130600"/>
    <s v="EF-IT-GA IT Audit &amp; Compliance"/>
    <m/>
    <x v="2"/>
    <x v="0"/>
    <x v="0"/>
    <x v="0"/>
    <m/>
    <m/>
    <s v="Joshua Cachola"/>
  </r>
  <r>
    <n v="2160"/>
    <x v="2"/>
    <x v="52"/>
    <s v="RDC0000432"/>
    <m/>
    <s v="RDC0000430"/>
    <x v="1"/>
    <x v="0"/>
    <x v="0"/>
    <x v="0"/>
    <m/>
    <m/>
    <s v="Erjo Miguel Tagle"/>
  </r>
  <r>
    <n v="2161"/>
    <x v="2"/>
    <x v="53"/>
    <s v="H000000645"/>
    <m/>
    <s v="H000000640"/>
    <x v="1"/>
    <x v="0"/>
    <x v="0"/>
    <x v="1"/>
    <m/>
    <m/>
    <s v="Lara Lucchetta"/>
  </r>
  <r>
    <n v="2162"/>
    <x v="2"/>
    <x v="54"/>
    <s v="G000000393"/>
    <s v="SM-PA Automation &amp; Robotics "/>
    <m/>
    <x v="2"/>
    <x v="0"/>
    <x v="0"/>
    <x v="0"/>
    <m/>
    <m/>
    <s v="Francesco Ricioppo"/>
  </r>
  <r>
    <n v="2163"/>
    <x v="2"/>
    <x v="54"/>
    <s v="G000000918"/>
    <s v="SM-PMT Material Management "/>
    <m/>
    <x v="2"/>
    <x v="0"/>
    <x v="0"/>
    <x v="0"/>
    <m/>
    <m/>
    <s v="Francesco Ricioppo"/>
  </r>
  <r>
    <n v="2164"/>
    <x v="2"/>
    <x v="54"/>
    <s v="G000000919 "/>
    <s v="SM-PMT Technical Warehouse "/>
    <m/>
    <x v="2"/>
    <x v="0"/>
    <x v="0"/>
    <x v="0"/>
    <m/>
    <m/>
    <s v="Francesco Ricioppo"/>
  </r>
  <r>
    <n v="2165"/>
    <x v="2"/>
    <x v="54"/>
    <s v="G000000920"/>
    <s v="SM-PMT IVV Allocation CCs "/>
    <m/>
    <x v="2"/>
    <x v="0"/>
    <x v="0"/>
    <x v="0"/>
    <m/>
    <m/>
    <s v="Francesco Ricioppo"/>
  </r>
  <r>
    <n v="2166"/>
    <x v="2"/>
    <x v="54"/>
    <s v="G000000390 "/>
    <s v="Closed CCs"/>
    <m/>
    <x v="2"/>
    <x v="0"/>
    <x v="0"/>
    <x v="0"/>
    <m/>
    <m/>
    <s v="Francesco Ricioppo"/>
  </r>
  <r>
    <n v="2167"/>
    <x v="2"/>
    <x v="54"/>
    <s v="G000000397"/>
    <s v="Unmapped CCs"/>
    <m/>
    <x v="2"/>
    <x v="0"/>
    <x v="0"/>
    <x v="0"/>
    <m/>
    <m/>
    <s v="Francesco Ricioppo"/>
  </r>
  <r>
    <n v="2168"/>
    <x v="2"/>
    <x v="54"/>
    <s v="G000000897"/>
    <s v="Unused nodes"/>
    <m/>
    <x v="2"/>
    <x v="0"/>
    <x v="0"/>
    <x v="0"/>
    <m/>
    <m/>
    <s v="Francesco Ricioppo"/>
  </r>
  <r>
    <n v="2169"/>
    <x v="2"/>
    <x v="54"/>
    <s v="G000000860"/>
    <m/>
    <s v="G000000873"/>
    <x v="1"/>
    <x v="0"/>
    <x v="0"/>
    <x v="0"/>
    <m/>
    <m/>
    <s v="Francesco Ricioppo"/>
  </r>
  <r>
    <n v="2170"/>
    <x v="2"/>
    <x v="54"/>
    <s v="G000000861"/>
    <m/>
    <s v="G000000873"/>
    <x v="1"/>
    <x v="0"/>
    <x v="0"/>
    <x v="0"/>
    <m/>
    <m/>
    <s v="Francesco Ricioppo"/>
  </r>
  <r>
    <n v="2171"/>
    <x v="2"/>
    <x v="54"/>
    <s v="G000000862"/>
    <m/>
    <s v="G000000873"/>
    <x v="1"/>
    <x v="0"/>
    <x v="0"/>
    <x v="0"/>
    <m/>
    <m/>
    <s v="Francesco Ricioppo"/>
  </r>
  <r>
    <n v="2172"/>
    <x v="2"/>
    <x v="54"/>
    <s v="G000000686"/>
    <m/>
    <s v="G000000873"/>
    <x v="1"/>
    <x v="0"/>
    <x v="0"/>
    <x v="0"/>
    <m/>
    <m/>
    <s v="Francesco Ricioppo"/>
  </r>
  <r>
    <n v="2173"/>
    <x v="2"/>
    <x v="54"/>
    <s v="G000000376"/>
    <m/>
    <s v="G000000873"/>
    <x v="1"/>
    <x v="0"/>
    <x v="0"/>
    <x v="0"/>
    <m/>
    <m/>
    <s v="Francesco Ricioppo"/>
  </r>
  <r>
    <n v="2174"/>
    <x v="2"/>
    <x v="54"/>
    <s v="G000001110"/>
    <m/>
    <s v="G000000873"/>
    <x v="1"/>
    <x v="0"/>
    <x v="0"/>
    <x v="0"/>
    <m/>
    <m/>
    <s v="Francesco Ricioppo"/>
  </r>
  <r>
    <n v="2175"/>
    <x v="2"/>
    <x v="55"/>
    <s v="H000004377"/>
    <s v="Other"/>
    <s v="H000004217"/>
    <x v="0"/>
    <x v="0"/>
    <x v="0"/>
    <x v="1"/>
    <m/>
    <m/>
    <s v="Lara Lucchetta"/>
  </r>
  <r>
    <n v="2176"/>
    <x v="2"/>
    <x v="55"/>
    <s v="H000004378"/>
    <s v="GBM - MP"/>
    <s v="H000000641"/>
    <x v="0"/>
    <x v="0"/>
    <x v="0"/>
    <x v="1"/>
    <m/>
    <m/>
    <s v="Lara Lucchetta"/>
  </r>
  <r>
    <n v="2177"/>
    <x v="2"/>
    <x v="55"/>
    <s v="H000004219"/>
    <s v="BT Project"/>
    <m/>
    <x v="2"/>
    <x v="0"/>
    <x v="0"/>
    <x v="1"/>
    <m/>
    <m/>
    <s v="Lara Lucchetta"/>
  </r>
  <r>
    <n v="2178"/>
    <x v="2"/>
    <x v="56"/>
    <s v="H000004379"/>
    <s v="BD,AM &amp; EI"/>
    <s v="H000000975"/>
    <x v="0"/>
    <x v="0"/>
    <x v="0"/>
    <x v="0"/>
    <m/>
    <m/>
    <s v="Erjo Miguel Tagle"/>
  </r>
  <r>
    <n v="2179"/>
    <x v="2"/>
    <x v="57"/>
    <s v="G000000364"/>
    <s v="SM-HM Sponsoring topics"/>
    <m/>
    <x v="2"/>
    <x v="0"/>
    <x v="0"/>
    <x v="0"/>
    <m/>
    <m/>
    <s v="Marcus Morowski"/>
  </r>
  <r>
    <n v="2180"/>
    <x v="2"/>
    <x v="57"/>
    <s v="G000000497"/>
    <s v="SM-HE Site development"/>
    <m/>
    <x v="2"/>
    <x v="0"/>
    <x v="0"/>
    <x v="0"/>
    <m/>
    <m/>
    <s v="Marcus Morowski"/>
  </r>
  <r>
    <n v="2181"/>
    <x v="2"/>
    <x v="57"/>
    <s v="G000000511"/>
    <s v="SM-HE Site Hohenbrunn"/>
    <m/>
    <x v="2"/>
    <x v="0"/>
    <x v="0"/>
    <x v="0"/>
    <m/>
    <m/>
    <s v="Marcus Morowski"/>
  </r>
  <r>
    <n v="2182"/>
    <x v="2"/>
    <x v="57"/>
    <s v="G000000515"/>
    <s v="SM-HE Plots KGaA"/>
    <m/>
    <x v="2"/>
    <x v="0"/>
    <x v="0"/>
    <x v="0"/>
    <m/>
    <m/>
    <s v="Marcus Morowski"/>
  </r>
  <r>
    <n v="2183"/>
    <x v="2"/>
    <x v="57"/>
    <s v="G000001017"/>
    <s v="SM-HE Site Hohenbrunn"/>
    <m/>
    <x v="2"/>
    <x v="0"/>
    <x v="0"/>
    <x v="0"/>
    <m/>
    <m/>
    <s v="Marcus Morowski"/>
  </r>
  <r>
    <n v="2184"/>
    <x v="2"/>
    <x v="57"/>
    <s v="G000001067"/>
    <s v="SM-HE DA Deconstruction Bldg."/>
    <m/>
    <x v="2"/>
    <x v="0"/>
    <x v="0"/>
    <x v="0"/>
    <m/>
    <m/>
    <s v="Marcus Morowski"/>
  </r>
  <r>
    <n v="2185"/>
    <x v="2"/>
    <x v="58"/>
    <s v="H000004380"/>
    <s v="BDC Switzerland"/>
    <s v="H000000616"/>
    <x v="0"/>
    <x v="0"/>
    <x v="0"/>
    <x v="1"/>
    <m/>
    <m/>
    <s v="Lena Brand"/>
  </r>
  <r>
    <n v="2186"/>
    <x v="2"/>
    <x v="59"/>
    <s v="G000000390"/>
    <s v="Unmapped CC's"/>
    <m/>
    <x v="2"/>
    <x v="0"/>
    <x v="0"/>
    <x v="0"/>
    <m/>
    <m/>
    <s v="Francesco Ricioppo"/>
  </r>
  <r>
    <n v="2187"/>
    <x v="2"/>
    <x v="59"/>
    <s v="G000000397"/>
    <s v="Closed CC's"/>
    <m/>
    <x v="2"/>
    <x v="0"/>
    <x v="0"/>
    <x v="0"/>
    <m/>
    <m/>
    <s v="Francesco Ricioppo"/>
  </r>
  <r>
    <n v="2188"/>
    <x v="2"/>
    <x v="59"/>
    <s v="G000000873"/>
    <s v="Dummy nodes"/>
    <m/>
    <x v="2"/>
    <x v="0"/>
    <x v="0"/>
    <x v="0"/>
    <m/>
    <m/>
    <s v="Francesco Ricioppo"/>
  </r>
  <r>
    <n v="2189"/>
    <x v="2"/>
    <x v="59"/>
    <s v="G000000922"/>
    <s v="SM-IP L4"/>
    <m/>
    <x v="2"/>
    <x v="0"/>
    <x v="0"/>
    <x v="0"/>
    <m/>
    <m/>
    <s v="Francesco Ricioppo"/>
  </r>
  <r>
    <n v="2190"/>
    <x v="2"/>
    <x v="59"/>
    <s v="G000000686"/>
    <s v="SM-IPC"/>
    <s v="G000000922"/>
    <x v="4"/>
    <x v="0"/>
    <x v="0"/>
    <x v="0"/>
    <m/>
    <m/>
    <s v="Francesco Ricioppo"/>
  </r>
  <r>
    <n v="2191"/>
    <x v="2"/>
    <x v="59"/>
    <s v="G000000860"/>
    <s v="SM-IPE"/>
    <s v="G000000922"/>
    <x v="4"/>
    <x v="0"/>
    <x v="0"/>
    <x v="0"/>
    <m/>
    <m/>
    <s v="Francesco Ricioppo"/>
  </r>
  <r>
    <n v="2192"/>
    <x v="2"/>
    <x v="59"/>
    <s v="G000000861"/>
    <s v="SM-IPI"/>
    <s v="G000000922"/>
    <x v="4"/>
    <x v="0"/>
    <x v="0"/>
    <x v="0"/>
    <m/>
    <m/>
    <s v="Francesco Ricioppo"/>
  </r>
  <r>
    <n v="2193"/>
    <x v="2"/>
    <x v="59"/>
    <s v="G000000862"/>
    <s v="SM-IPP"/>
    <s v="G000000922"/>
    <x v="4"/>
    <x v="0"/>
    <x v="0"/>
    <x v="0"/>
    <m/>
    <m/>
    <s v="Francesco Ricioppo"/>
  </r>
  <r>
    <n v="2194"/>
    <x v="2"/>
    <x v="60"/>
    <s v="G000000915 "/>
    <m/>
    <s v="G000000873"/>
    <x v="1"/>
    <x v="0"/>
    <x v="0"/>
    <x v="0"/>
    <m/>
    <m/>
    <s v="Francesco Ricioppo"/>
  </r>
  <r>
    <n v="2195"/>
    <x v="2"/>
    <x v="60"/>
    <s v="G000000897"/>
    <s v="SM-IU Energy Gen. &amp; Supply "/>
    <m/>
    <x v="2"/>
    <x v="0"/>
    <x v="0"/>
    <x v="0"/>
    <m/>
    <m/>
    <s v="Francesco Ricioppo"/>
  </r>
  <r>
    <n v="2196"/>
    <x v="2"/>
    <x v="61"/>
    <s v="G000001238"/>
    <s v="EF-IT-PB BTP CoE"/>
    <s v="G000000340"/>
    <x v="0"/>
    <x v="0"/>
    <x v="0"/>
    <x v="0"/>
    <m/>
    <m/>
    <s v="Joshua Cachola"/>
  </r>
  <r>
    <n v="2197"/>
    <x v="2"/>
    <x v="61"/>
    <s v="G000001239"/>
    <s v="EF-IT-PD Data Migration &amp; Integration"/>
    <s v="G000000340"/>
    <x v="0"/>
    <x v="0"/>
    <x v="0"/>
    <x v="0"/>
    <m/>
    <m/>
    <s v="Joshua Cachola"/>
  </r>
  <r>
    <n v="2198"/>
    <x v="2"/>
    <x v="61"/>
    <s v="IT06100700"/>
    <s v="EF-IT-PB BTP CoE"/>
    <s v="G000001238"/>
    <x v="0"/>
    <x v="0"/>
    <x v="0"/>
    <x v="0"/>
    <m/>
    <m/>
    <s v="Joshua Cachola"/>
  </r>
  <r>
    <n v="2199"/>
    <x v="2"/>
    <x v="61"/>
    <s v="IT06100800"/>
    <s v="EF-IT-PD Data Migration &amp; Integration"/>
    <s v="G000001239"/>
    <x v="0"/>
    <x v="0"/>
    <x v="0"/>
    <x v="0"/>
    <m/>
    <m/>
    <s v="Joshua Cachola"/>
  </r>
  <r>
    <n v="2200"/>
    <x v="2"/>
    <x v="61"/>
    <s v="G000001240"/>
    <s v="EF-IT-IO Technology Platform Operations"/>
    <s v="G000000272"/>
    <x v="0"/>
    <x v="0"/>
    <x v="0"/>
    <x v="0"/>
    <m/>
    <m/>
    <s v="Joshua Cachola"/>
  </r>
  <r>
    <n v="2201"/>
    <x v="2"/>
    <x v="61"/>
    <s v="IT06042500"/>
    <s v="EF-IT-IO Technology Platform Operations"/>
    <s v="G000001240"/>
    <x v="0"/>
    <x v="0"/>
    <x v="0"/>
    <x v="0"/>
    <m/>
    <m/>
    <s v="Joshua Cachola"/>
  </r>
  <r>
    <n v="2202"/>
    <x v="2"/>
    <x v="61"/>
    <s v="G000001236"/>
    <m/>
    <s v="G000001119"/>
    <x v="1"/>
    <x v="0"/>
    <x v="0"/>
    <x v="0"/>
    <m/>
    <m/>
    <s v="Joshua Cachola"/>
  </r>
  <r>
    <n v="2203"/>
    <x v="2"/>
    <x v="61"/>
    <s v="G000001237"/>
    <m/>
    <s v="G000001119"/>
    <x v="1"/>
    <x v="0"/>
    <x v="0"/>
    <x v="0"/>
    <m/>
    <m/>
    <s v="Joshua Cachola"/>
  </r>
  <r>
    <n v="2204"/>
    <x v="2"/>
    <x v="61"/>
    <s v="H000004177"/>
    <s v="HC-HF-I Digital, Data and IT Healthcare"/>
    <m/>
    <x v="2"/>
    <x v="0"/>
    <x v="0"/>
    <x v="0"/>
    <m/>
    <m/>
    <s v="Joshua Cachola"/>
  </r>
  <r>
    <n v="2205"/>
    <x v="2"/>
    <x v="61"/>
    <s v="H000004178"/>
    <s v="HC-HF-I Digital, Data and IT Healthcar_I"/>
    <m/>
    <x v="2"/>
    <x v="0"/>
    <x v="0"/>
    <x v="0"/>
    <m/>
    <m/>
    <s v="Joshua Cachola"/>
  </r>
  <r>
    <n v="2206"/>
    <x v="2"/>
    <x v="61"/>
    <s v="IT06030000"/>
    <s v="HC-HF-I Digital, Data and IT Healthcare"/>
    <m/>
    <x v="2"/>
    <x v="0"/>
    <x v="0"/>
    <x v="0"/>
    <m/>
    <m/>
    <s v="Joshua Cachola"/>
  </r>
  <r>
    <n v="2207"/>
    <x v="2"/>
    <x v="61"/>
    <s v="H000004179"/>
    <s v="HC-HF-IP Performance &amp; Portfolio Mgmt"/>
    <m/>
    <x v="2"/>
    <x v="0"/>
    <x v="0"/>
    <x v="0"/>
    <m/>
    <m/>
    <s v="Joshua Cachola"/>
  </r>
  <r>
    <n v="2208"/>
    <x v="2"/>
    <x v="61"/>
    <s v="IT06030100"/>
    <s v="HC-HF-IP Performance &amp; Portfolio Mgmt"/>
    <m/>
    <x v="2"/>
    <x v="0"/>
    <x v="0"/>
    <x v="0"/>
    <m/>
    <m/>
    <s v="Joshua Cachola"/>
  </r>
  <r>
    <n v="2209"/>
    <x v="2"/>
    <x v="61"/>
    <s v="H000004180"/>
    <s v="HC-HF-IC DDIT China Healthcare"/>
    <m/>
    <x v="2"/>
    <x v="0"/>
    <x v="0"/>
    <x v="0"/>
    <m/>
    <m/>
    <s v="Joshua Cachola"/>
  </r>
  <r>
    <n v="2210"/>
    <x v="2"/>
    <x v="61"/>
    <s v="IT06031200"/>
    <s v="HC-HF-IC DDIT China Healthcare"/>
    <m/>
    <x v="2"/>
    <x v="0"/>
    <x v="0"/>
    <x v="0"/>
    <m/>
    <m/>
    <s v="Joshua Cachola"/>
  </r>
  <r>
    <n v="2211"/>
    <x v="2"/>
    <x v="61"/>
    <s v="H000004182"/>
    <s v="HC-HF-IN DDIT NorthAmerica &amp; IMFranchise"/>
    <m/>
    <x v="2"/>
    <x v="0"/>
    <x v="0"/>
    <x v="0"/>
    <m/>
    <m/>
    <s v="Joshua Cachola"/>
  </r>
  <r>
    <n v="2212"/>
    <x v="2"/>
    <x v="61"/>
    <s v="IT06030400"/>
    <s v="HC-HF-IN DDIT NorthAmerica &amp; IMFranchise"/>
    <m/>
    <x v="2"/>
    <x v="0"/>
    <x v="0"/>
    <x v="0"/>
    <m/>
    <m/>
    <s v="Joshua Cachola"/>
  </r>
  <r>
    <n v="2213"/>
    <x v="2"/>
    <x v="61"/>
    <s v="H000004183"/>
    <s v="HC-HF-II DDIT International Commercial"/>
    <m/>
    <x v="2"/>
    <x v="0"/>
    <x v="0"/>
    <x v="0"/>
    <m/>
    <m/>
    <s v="Joshua Cachola"/>
  </r>
  <r>
    <n v="2214"/>
    <x v="2"/>
    <x v="61"/>
    <s v="IT06030500"/>
    <s v="HC-HF-II DDIT International Commercial"/>
    <m/>
    <x v="2"/>
    <x v="0"/>
    <x v="0"/>
    <x v="0"/>
    <m/>
    <m/>
    <s v="Joshua Cachola"/>
  </r>
  <r>
    <n v="2215"/>
    <x v="2"/>
    <x v="61"/>
    <s v="H000004184"/>
    <s v="HC-HF-IR Digital, Data &amp; IT R&amp;D"/>
    <m/>
    <x v="2"/>
    <x v="0"/>
    <x v="0"/>
    <x v="0"/>
    <m/>
    <m/>
    <s v="Joshua Cachola"/>
  </r>
  <r>
    <n v="2216"/>
    <x v="2"/>
    <x v="61"/>
    <s v="IT06030600"/>
    <s v="HC-HF-IR Digital, Data &amp; IT R&amp;D"/>
    <m/>
    <x v="2"/>
    <x v="0"/>
    <x v="0"/>
    <x v="0"/>
    <m/>
    <m/>
    <s v="Joshua Cachola"/>
  </r>
  <r>
    <n v="2217"/>
    <x v="2"/>
    <x v="61"/>
    <s v="H000004185"/>
    <s v="HC-HF-IG Digital, Data &amp; IT GHO"/>
    <m/>
    <x v="2"/>
    <x v="0"/>
    <x v="0"/>
    <x v="0"/>
    <m/>
    <m/>
    <s v="Joshua Cachola"/>
  </r>
  <r>
    <n v="2218"/>
    <x v="2"/>
    <x v="61"/>
    <s v="IT06030700"/>
    <s v="HC-HF-IG Digital, Data &amp; IT GHO"/>
    <m/>
    <x v="2"/>
    <x v="0"/>
    <x v="0"/>
    <x v="0"/>
    <m/>
    <m/>
    <s v="Joshua Cachola"/>
  </r>
  <r>
    <n v="2219"/>
    <x v="2"/>
    <x v="61"/>
    <s v="H000004350"/>
    <s v="HC-HF-IX Centers of Excellence"/>
    <m/>
    <x v="2"/>
    <x v="0"/>
    <x v="0"/>
    <x v="0"/>
    <m/>
    <m/>
    <s v="Joshua Cachola"/>
  </r>
  <r>
    <n v="2220"/>
    <x v="2"/>
    <x v="61"/>
    <s v="IT06031300"/>
    <s v="HC-HF-IX Centers of Excellence"/>
    <m/>
    <x v="2"/>
    <x v="0"/>
    <x v="0"/>
    <x v="0"/>
    <m/>
    <m/>
    <s v="Joshua Cachola"/>
  </r>
  <r>
    <n v="2221"/>
    <x v="2"/>
    <x v="62"/>
    <s v="G000000095"/>
    <s v="GM7 LE - XPERTS Enabling Function"/>
    <m/>
    <x v="2"/>
    <x v="0"/>
    <x v="0"/>
    <x v="0"/>
    <m/>
    <m/>
    <s v="Jojeff Tagnong"/>
  </r>
  <r>
    <n v="2222"/>
    <x v="2"/>
    <x v="62"/>
    <s v="G000000066"/>
    <s v="F16 GC - Global Communications"/>
    <m/>
    <x v="2"/>
    <x v="0"/>
    <x v="0"/>
    <x v="0"/>
    <m/>
    <m/>
    <s v="Jojeff Tagnong"/>
  </r>
  <r>
    <n v="2223"/>
    <x v="2"/>
    <x v="62"/>
    <s v="G000000580"/>
    <s v="GC - MGF Reporting"/>
    <m/>
    <x v="2"/>
    <x v="0"/>
    <x v="0"/>
    <x v="0"/>
    <m/>
    <m/>
    <s v="Jojeff Tagnong"/>
  </r>
  <r>
    <n v="2224"/>
    <x v="2"/>
    <x v="62"/>
    <s v="G000000581"/>
    <s v="GC - non-MGF Reporting"/>
    <m/>
    <x v="2"/>
    <x v="0"/>
    <x v="0"/>
    <x v="0"/>
    <m/>
    <m/>
    <s v="Jojeff Tagnong"/>
  </r>
  <r>
    <n v="2225"/>
    <x v="2"/>
    <x v="62"/>
    <s v="G000000073"/>
    <s v="GL7 GC – Head, Strategy, China"/>
    <m/>
    <x v="2"/>
    <x v="0"/>
    <x v="0"/>
    <x v="0"/>
    <m/>
    <m/>
    <s v="Jojeff Tagnong"/>
  </r>
  <r>
    <n v="2226"/>
    <x v="2"/>
    <x v="62"/>
    <s v="G000000753"/>
    <s v="GLA GC - Corporate Affairs"/>
    <m/>
    <x v="2"/>
    <x v="0"/>
    <x v="0"/>
    <x v="0"/>
    <m/>
    <m/>
    <s v="Jojeff Tagnong"/>
  </r>
  <r>
    <n v="2227"/>
    <x v="2"/>
    <x v="62"/>
    <s v="G000001001"/>
    <s v="GLE GC - Brand &amp; Content Marketing"/>
    <m/>
    <x v="2"/>
    <x v="0"/>
    <x v="0"/>
    <x v="0"/>
    <m/>
    <m/>
    <s v="Jojeff Tagnong"/>
  </r>
  <r>
    <n v="2228"/>
    <x v="2"/>
    <x v="62"/>
    <s v="G000001002"/>
    <s v="GLC GC - Media Relations &amp; Executive Pos"/>
    <m/>
    <x v="2"/>
    <x v="0"/>
    <x v="0"/>
    <x v="0"/>
    <m/>
    <m/>
    <s v="Jojeff Tagnong"/>
  </r>
  <r>
    <n v="2229"/>
    <x v="2"/>
    <x v="62"/>
    <s v="G000001003"/>
    <s v="GLD GC - Internal Communications"/>
    <m/>
    <x v="2"/>
    <x v="0"/>
    <x v="0"/>
    <x v="0"/>
    <m/>
    <m/>
    <s v="Jojeff Tagnong"/>
  </r>
  <r>
    <n v="2230"/>
    <x v="2"/>
    <x v="62"/>
    <s v="G000000072"/>
    <s v="GL6 GC - Live Communication"/>
    <m/>
    <x v="2"/>
    <x v="0"/>
    <x v="0"/>
    <x v="0"/>
    <m/>
    <m/>
    <s v="Jojeff Tagnong"/>
  </r>
  <r>
    <n v="2231"/>
    <x v="2"/>
    <x v="62"/>
    <s v="G000001241"/>
    <s v="FK4 MBS - Intercompany Charges"/>
    <s v="G000000609"/>
    <x v="0"/>
    <x v="0"/>
    <x v="0"/>
    <x v="0"/>
    <m/>
    <m/>
    <s v="Jojeff Tagnong"/>
  </r>
  <r>
    <n v="2232"/>
    <x v="2"/>
    <x v="62"/>
    <s v="G000001242"/>
    <s v="FK5 MBS - Intercompany Charges"/>
    <s v="G000000611"/>
    <x v="0"/>
    <x v="0"/>
    <x v="0"/>
    <x v="0"/>
    <m/>
    <m/>
    <s v="Jojeff Tagnong"/>
  </r>
  <r>
    <n v="2233"/>
    <x v="2"/>
    <x v="62"/>
    <s v="G000001243"/>
    <s v="FK6 MBS - Intercompany Charges"/>
    <s v="G000000613"/>
    <x v="0"/>
    <x v="0"/>
    <x v="0"/>
    <x v="0"/>
    <m/>
    <m/>
    <s v="Jojeff Tagnong"/>
  </r>
  <r>
    <n v="2234"/>
    <x v="2"/>
    <x v="62"/>
    <s v="G000001244"/>
    <s v="FAO MBS - Intercompany Charges"/>
    <s v="G000001149"/>
    <x v="0"/>
    <x v="0"/>
    <x v="0"/>
    <x v="0"/>
    <m/>
    <m/>
    <s v="Jojeff Tagnong"/>
  </r>
  <r>
    <n v="2235"/>
    <x v="2"/>
    <x v="62"/>
    <s v="G000001245"/>
    <s v="FAO MBS - Exceptionals"/>
    <s v="G000001149"/>
    <x v="0"/>
    <x v="0"/>
    <x v="0"/>
    <x v="0"/>
    <m/>
    <m/>
    <s v="Jojeff Tagnong"/>
  </r>
  <r>
    <n v="2236"/>
    <x v="2"/>
    <x v="62"/>
    <s v="G000001246"/>
    <s v="FAP MBS - Intercompany Charges"/>
    <s v="G000001150"/>
    <x v="0"/>
    <x v="0"/>
    <x v="0"/>
    <x v="0"/>
    <m/>
    <m/>
    <s v="Jojeff Tagnong"/>
  </r>
  <r>
    <n v="2237"/>
    <x v="2"/>
    <x v="62"/>
    <s v="G000001247"/>
    <s v="FAP MBS - Exceptionals"/>
    <s v="G000001150"/>
    <x v="0"/>
    <x v="0"/>
    <x v="0"/>
    <x v="0"/>
    <m/>
    <m/>
    <s v="Jojeff Tagnong"/>
  </r>
  <r>
    <n v="2238"/>
    <x v="2"/>
    <x v="62"/>
    <s v="G000001248"/>
    <s v="FAQ MBS - Intercompany Charges"/>
    <s v="G000001151"/>
    <x v="0"/>
    <x v="0"/>
    <x v="0"/>
    <x v="0"/>
    <m/>
    <m/>
    <s v="Jojeff Tagnong"/>
  </r>
  <r>
    <n v="2239"/>
    <x v="2"/>
    <x v="62"/>
    <s v="G000001249"/>
    <s v="FAQ MBS - Exceptionals"/>
    <s v="G000001151"/>
    <x v="0"/>
    <x v="0"/>
    <x v="0"/>
    <x v="0"/>
    <m/>
    <m/>
    <s v="Jojeff Tagnong"/>
  </r>
  <r>
    <n v="2240"/>
    <x v="2"/>
    <x v="62"/>
    <s v="G000001250"/>
    <s v="FAR MBS - Intercompany Charges"/>
    <s v="G000001152"/>
    <x v="0"/>
    <x v="0"/>
    <x v="0"/>
    <x v="0"/>
    <m/>
    <m/>
    <s v="Jojeff Tagnong"/>
  </r>
  <r>
    <n v="2241"/>
    <x v="2"/>
    <x v="62"/>
    <s v="G000001251"/>
    <s v="FAR MBS - Exceptionals"/>
    <s v="G000001152"/>
    <x v="0"/>
    <x v="0"/>
    <x v="0"/>
    <x v="0"/>
    <m/>
    <m/>
    <s v="Jojeff Tagnong"/>
  </r>
  <r>
    <n v="2242"/>
    <x v="2"/>
    <x v="62"/>
    <s v="G000001252"/>
    <s v="FAS MBS - Intercompany Charges"/>
    <s v="G000001153"/>
    <x v="0"/>
    <x v="0"/>
    <x v="0"/>
    <x v="0"/>
    <m/>
    <m/>
    <s v="Jojeff Tagnong"/>
  </r>
  <r>
    <n v="2243"/>
    <x v="2"/>
    <x v="62"/>
    <s v="G000001253"/>
    <s v="FAS MBS - Exceptionals"/>
    <s v="G000001153"/>
    <x v="0"/>
    <x v="0"/>
    <x v="0"/>
    <x v="0"/>
    <m/>
    <m/>
    <s v="Jojeff Tagnong"/>
  </r>
  <r>
    <n v="2244"/>
    <x v="2"/>
    <x v="62"/>
    <s v="G000001254"/>
    <s v="FAT MBS - Intercompany Charges"/>
    <s v="G000001154"/>
    <x v="0"/>
    <x v="0"/>
    <x v="0"/>
    <x v="0"/>
    <m/>
    <m/>
    <s v="Jojeff Tagnong"/>
  </r>
  <r>
    <n v="2245"/>
    <x v="2"/>
    <x v="62"/>
    <s v="G000001255"/>
    <s v="FAT MBS - Exceptionals"/>
    <s v="G000001154"/>
    <x v="0"/>
    <x v="0"/>
    <x v="0"/>
    <x v="0"/>
    <m/>
    <m/>
    <s v="Jojeff Tagnong"/>
  </r>
  <r>
    <n v="2246"/>
    <x v="2"/>
    <x v="62"/>
    <s v="G000001256"/>
    <s v="FAU MBS - Intercompany Charges"/>
    <s v="G000001155"/>
    <x v="0"/>
    <x v="0"/>
    <x v="0"/>
    <x v="0"/>
    <m/>
    <m/>
    <s v="Jojeff Tagnong"/>
  </r>
  <r>
    <n v="2247"/>
    <x v="2"/>
    <x v="62"/>
    <s v="G000001257"/>
    <s v="FAU MBS - Exceptionals"/>
    <s v="G000001155"/>
    <x v="0"/>
    <x v="0"/>
    <x v="0"/>
    <x v="0"/>
    <m/>
    <m/>
    <s v="Jojeff Tagnong"/>
  </r>
  <r>
    <n v="2248"/>
    <x v="2"/>
    <x v="62"/>
    <s v="G000001258"/>
    <s v="FAV MBS - Intercompany Charges"/>
    <s v="G000001156"/>
    <x v="0"/>
    <x v="0"/>
    <x v="0"/>
    <x v="0"/>
    <m/>
    <m/>
    <s v="Jojeff Tagnong"/>
  </r>
  <r>
    <n v="2249"/>
    <x v="2"/>
    <x v="62"/>
    <s v="G000001259"/>
    <s v="FAV MBS - Exceptionals"/>
    <s v="G000001156"/>
    <x v="0"/>
    <x v="0"/>
    <x v="0"/>
    <x v="0"/>
    <m/>
    <m/>
    <s v="Jojeff Tagnong"/>
  </r>
  <r>
    <n v="2250"/>
    <x v="2"/>
    <x v="62"/>
    <s v="G000001260"/>
    <s v="FAW RC - Intercompany Charges"/>
    <s v="G000001230"/>
    <x v="0"/>
    <x v="0"/>
    <x v="0"/>
    <x v="0"/>
    <m/>
    <m/>
    <s v="Jojeff Tagnong"/>
  </r>
  <r>
    <n v="2251"/>
    <x v="2"/>
    <x v="62"/>
    <s v="G000001261"/>
    <s v="FAW RC - Exceptionals"/>
    <s v="G000001230"/>
    <x v="0"/>
    <x v="0"/>
    <x v="0"/>
    <x v="0"/>
    <m/>
    <m/>
    <s v="Jojeff Tagnong"/>
  </r>
  <r>
    <n v="2252"/>
    <x v="2"/>
    <x v="62"/>
    <s v="G000001232"/>
    <m/>
    <s v="G000001142"/>
    <x v="1"/>
    <x v="0"/>
    <x v="0"/>
    <x v="0"/>
    <m/>
    <m/>
    <s v="Jojeff Tagnong"/>
  </r>
  <r>
    <n v="2253"/>
    <x v="2"/>
    <x v="63"/>
    <s v="H000004210"/>
    <m/>
    <s v="H000004379"/>
    <x v="1"/>
    <x v="0"/>
    <x v="0"/>
    <x v="1"/>
    <m/>
    <m/>
    <s v="Gay Geanuza del Mundo"/>
  </r>
  <r>
    <n v="2254"/>
    <x v="2"/>
    <x v="64"/>
    <s v="L000013689"/>
    <s v="P&amp;T Assembly"/>
    <s v="L000009402"/>
    <x v="0"/>
    <x v="0"/>
    <x v="0"/>
    <x v="2"/>
    <m/>
    <m/>
    <s v="Phoebe Anne Fortaleza"/>
  </r>
  <r>
    <n v="2255"/>
    <x v="2"/>
    <x v="64"/>
    <s v="L000013690"/>
    <s v="Distribution Darmstadt- G"/>
    <s v="L000009975 "/>
    <x v="0"/>
    <x v="0"/>
    <x v="0"/>
    <x v="2"/>
    <m/>
    <m/>
    <s v="Phoebe Anne Fortaleza"/>
  </r>
  <r>
    <n v="2256"/>
    <x v="2"/>
    <x v="64"/>
    <s v="L000013691"/>
    <s v="Darmstadt Internal Transport -G"/>
    <s v="L000009975 "/>
    <x v="0"/>
    <x v="0"/>
    <x v="0"/>
    <x v="2"/>
    <m/>
    <m/>
    <s v="Phoebe Anne Fortaleza"/>
  </r>
  <r>
    <n v="2257"/>
    <x v="2"/>
    <x v="64"/>
    <s v="L000013692"/>
    <s v="Darmstadt Maintenance &amp; Technical- G"/>
    <s v="L000009975 "/>
    <x v="0"/>
    <x v="0"/>
    <x v="0"/>
    <x v="2"/>
    <m/>
    <m/>
    <s v="Phoebe Anne Fortaleza"/>
  </r>
  <r>
    <n v="2258"/>
    <x v="2"/>
    <x v="64"/>
    <s v="L000013693"/>
    <s v="SLS Tradeshows Team"/>
    <s v="L000005425"/>
    <x v="0"/>
    <x v="0"/>
    <x v="0"/>
    <x v="2"/>
    <m/>
    <m/>
    <s v="Phoebe Anne Fortaleza"/>
  </r>
  <r>
    <n v="2259"/>
    <x v="2"/>
    <x v="64"/>
    <s v="L000013694"/>
    <s v="LW EMEA"/>
    <s v="L000005964"/>
    <x v="0"/>
    <x v="0"/>
    <x v="0"/>
    <x v="2"/>
    <m/>
    <m/>
    <s v="Phoebe Anne Fortaleza"/>
  </r>
  <r>
    <n v="2260"/>
    <x v="2"/>
    <x v="64"/>
    <s v="L000013695"/>
    <s v="LW -  MCS WE -G"/>
    <s v="L000013696"/>
    <x v="0"/>
    <x v="0"/>
    <x v="0"/>
    <x v="2"/>
    <m/>
    <m/>
    <s v="Phoebe Anne Fortaleza"/>
  </r>
  <r>
    <n v="2261"/>
    <x v="2"/>
    <x v="64"/>
    <s v="L000013696"/>
    <s v="LW - Sales &amp; Service (WE)"/>
    <s v="L000013694"/>
    <x v="0"/>
    <x v="0"/>
    <x v="0"/>
    <x v="2"/>
    <m/>
    <m/>
    <s v="Phoebe Anne Fortaleza"/>
  </r>
  <r>
    <n v="2262"/>
    <x v="2"/>
    <x v="64"/>
    <s v="L000013697"/>
    <s v="LW APAC"/>
    <s v="L000005964"/>
    <x v="0"/>
    <x v="0"/>
    <x v="0"/>
    <x v="2"/>
    <m/>
    <m/>
    <s v="Phoebe Anne Fortaleza"/>
  </r>
  <r>
    <n v="2263"/>
    <x v="2"/>
    <x v="64"/>
    <s v="L000013698"/>
    <s v="LW - Sales APAC SEA -G"/>
    <s v="L000006102"/>
    <x v="0"/>
    <x v="0"/>
    <x v="0"/>
    <x v="2"/>
    <m/>
    <m/>
    <s v="Phoebe Anne Fortaleza"/>
  </r>
  <r>
    <n v="2264"/>
    <x v="2"/>
    <x v="64"/>
    <s v="L000013699"/>
    <s v="LW - Sales APAC 6 -G"/>
    <s v="L000006118"/>
    <x v="0"/>
    <x v="0"/>
    <x v="0"/>
    <x v="2"/>
    <m/>
    <m/>
    <s v="Phoebe Anne Fortaleza"/>
  </r>
  <r>
    <n v="2265"/>
    <x v="2"/>
    <x v="64"/>
    <s v="L000013700"/>
    <s v="LW - Field Service APAC 6 -G"/>
    <s v="L000006118"/>
    <x v="0"/>
    <x v="0"/>
    <x v="0"/>
    <x v="2"/>
    <m/>
    <m/>
    <s v="Phoebe Anne Fortaleza"/>
  </r>
  <r>
    <n v="2266"/>
    <x v="2"/>
    <x v="64"/>
    <s v="L000013701"/>
    <s v="LW AMERICAS"/>
    <s v="L000005964"/>
    <x v="0"/>
    <x v="0"/>
    <x v="0"/>
    <x v="2"/>
    <m/>
    <m/>
    <s v="Phoebe Anne Fortaleza"/>
  </r>
  <r>
    <n v="2267"/>
    <x v="2"/>
    <x v="64"/>
    <s v="L000013702"/>
    <s v="LW - MCS NA -G"/>
    <s v="L000006151"/>
    <x v="0"/>
    <x v="0"/>
    <x v="0"/>
    <x v="2"/>
    <m/>
    <m/>
    <s v="Phoebe Anne Fortaleza"/>
  </r>
  <r>
    <n v="2268"/>
    <x v="2"/>
    <x v="64"/>
    <s v="L000013703"/>
    <s v="Marketing"/>
    <s v="L000005964"/>
    <x v="0"/>
    <x v="0"/>
    <x v="0"/>
    <x v="2"/>
    <m/>
    <m/>
    <s v="Phoebe Anne Fortaleza"/>
  </r>
  <r>
    <n v="2269"/>
    <x v="2"/>
    <x v="64"/>
    <s v="L000013704"/>
    <s v="LW - S&amp;PM -G"/>
    <s v="L000006209"/>
    <x v="0"/>
    <x v="0"/>
    <x v="0"/>
    <x v="2"/>
    <m/>
    <m/>
    <s v="Phoebe Anne Fortaleza"/>
  </r>
  <r>
    <n v="2270"/>
    <x v="2"/>
    <x v="64"/>
    <s v="L000013705"/>
    <s v="Chem Synth Solutions"/>
    <s v="L000007757"/>
    <x v="0"/>
    <x v="0"/>
    <x v="0"/>
    <x v="2"/>
    <m/>
    <m/>
    <s v="Phoebe Anne Fortaleza"/>
  </r>
  <r>
    <n v="2271"/>
    <x v="2"/>
    <x v="64"/>
    <s v="L000013706"/>
    <s v="Marketing &amp; Business Excellence"/>
    <s v="L000007757"/>
    <x v="0"/>
    <x v="0"/>
    <x v="0"/>
    <x v="2"/>
    <m/>
    <m/>
    <s v="Phoebe Anne Fortaleza"/>
  </r>
  <r>
    <n v="2272"/>
    <x v="2"/>
    <x v="64"/>
    <s v="L000013707"/>
    <s v="Hungary"/>
    <s v="L000008956"/>
    <x v="0"/>
    <x v="0"/>
    <x v="0"/>
    <x v="2"/>
    <m/>
    <m/>
    <s v="Phoebe Anne Fortaleza"/>
  </r>
  <r>
    <n v="2273"/>
    <x v="2"/>
    <x v="64"/>
    <s v="L000013708"/>
    <s v="Maghreb"/>
    <s v="L000008982"/>
    <x v="0"/>
    <x v="0"/>
    <x v="0"/>
    <x v="2"/>
    <m/>
    <m/>
    <s v="Phoebe Anne Fortaleza"/>
  </r>
  <r>
    <n v="2274"/>
    <x v="2"/>
    <x v="64"/>
    <s v="L000013709"/>
    <s v="MEA Field Marketing"/>
    <s v="L000008895"/>
    <x v="0"/>
    <x v="0"/>
    <x v="0"/>
    <x v="2"/>
    <m/>
    <m/>
    <s v="Phoebe Anne Fortaleza"/>
  </r>
  <r>
    <n v="2275"/>
    <x v="2"/>
    <x v="64"/>
    <s v="L000013710"/>
    <s v="Cork Operations - Blarney -G"/>
    <s v="L000010287 "/>
    <x v="0"/>
    <x v="0"/>
    <x v="0"/>
    <x v="2"/>
    <m/>
    <m/>
    <s v="Phoebe Anne Fortaleza"/>
  </r>
  <r>
    <n v="2276"/>
    <x v="2"/>
    <x v="64"/>
    <s v="L000013711"/>
    <s v="Blarney DSP-G"/>
    <s v="L000010287 "/>
    <x v="0"/>
    <x v="0"/>
    <x v="0"/>
    <x v="2"/>
    <m/>
    <m/>
    <s v="Phoebe Anne Fortaleza"/>
  </r>
  <r>
    <n v="2277"/>
    <x v="2"/>
    <x v="64"/>
    <s v="L000013712"/>
    <s v="Blarney Encapsulation-G"/>
    <s v="L000010287 "/>
    <x v="0"/>
    <x v="0"/>
    <x v="0"/>
    <x v="2"/>
    <m/>
    <m/>
    <s v="Phoebe Anne Fortaleza"/>
  </r>
  <r>
    <n v="2278"/>
    <x v="2"/>
    <x v="64"/>
    <s v="L000013713"/>
    <s v="Blarney VPRO-G"/>
    <s v="L000010287 "/>
    <x v="0"/>
    <x v="0"/>
    <x v="0"/>
    <x v="2"/>
    <m/>
    <m/>
    <s v="Phoebe Anne Fortaleza"/>
  </r>
  <r>
    <n v="2279"/>
    <x v="2"/>
    <x v="64"/>
    <s v="L000013714"/>
    <s v="Blarney Pellicon 3-G"/>
    <s v="L000010287 "/>
    <x v="0"/>
    <x v="0"/>
    <x v="0"/>
    <x v="2"/>
    <m/>
    <m/>
    <s v="Phoebe Anne Fortaleza"/>
  </r>
  <r>
    <n v="2280"/>
    <x v="2"/>
    <x v="64"/>
    <s v="L000013715"/>
    <s v="Blarney Quality-G"/>
    <s v="L000010287 "/>
    <x v="0"/>
    <x v="0"/>
    <x v="0"/>
    <x v="2"/>
    <m/>
    <m/>
    <s v="Phoebe Anne Fortaleza"/>
  </r>
  <r>
    <n v="2281"/>
    <x v="2"/>
    <x v="64"/>
    <s v="L000013716"/>
    <s v="Blarney Maintenance-G"/>
    <s v="L000010287 "/>
    <x v="0"/>
    <x v="0"/>
    <x v="0"/>
    <x v="2"/>
    <m/>
    <m/>
    <s v="Phoebe Anne Fortaleza"/>
  </r>
  <r>
    <n v="2282"/>
    <x v="2"/>
    <x v="64"/>
    <s v="L000013717"/>
    <s v="Blarney Process &amp; Technology-G"/>
    <s v="L000010287 "/>
    <x v="0"/>
    <x v="0"/>
    <x v="0"/>
    <x v="2"/>
    <m/>
    <m/>
    <s v="Phoebe Anne Fortaleza"/>
  </r>
  <r>
    <n v="2283"/>
    <x v="2"/>
    <x v="64"/>
    <s v="L000013718"/>
    <s v="Blarney Facilities-G"/>
    <s v="L000010287 "/>
    <x v="0"/>
    <x v="0"/>
    <x v="0"/>
    <x v="2"/>
    <m/>
    <m/>
    <s v="Phoebe Anne Fortaleza"/>
  </r>
  <r>
    <n v="2284"/>
    <x v="2"/>
    <x v="64"/>
    <s v="L000013719"/>
    <s v="Blarney EHS-G"/>
    <s v="L000010287 "/>
    <x v="0"/>
    <x v="0"/>
    <x v="0"/>
    <x v="2"/>
    <m/>
    <m/>
    <s v="Phoebe Anne Fortaleza"/>
  </r>
  <r>
    <n v="2285"/>
    <x v="2"/>
    <x v="64"/>
    <s v="L000013720"/>
    <s v="Blarney WWTP-G"/>
    <s v="L000010287 "/>
    <x v="0"/>
    <x v="0"/>
    <x v="0"/>
    <x v="2"/>
    <m/>
    <m/>
    <s v="Phoebe Anne Fortaleza"/>
  </r>
  <r>
    <n v="2286"/>
    <x v="2"/>
    <x v="64"/>
    <s v="L000013721"/>
    <s v="Blarney Operations Management-G"/>
    <s v="L000010287 "/>
    <x v="0"/>
    <x v="0"/>
    <x v="0"/>
    <x v="2"/>
    <m/>
    <m/>
    <s v="Phoebe Anne Fortaleza"/>
  </r>
  <r>
    <n v="2287"/>
    <x v="2"/>
    <x v="64"/>
    <s v="L000013722"/>
    <s v="Blarney Planning-G"/>
    <s v="L000010287 "/>
    <x v="0"/>
    <x v="0"/>
    <x v="0"/>
    <x v="2"/>
    <m/>
    <m/>
    <s v="Phoebe Anne Fortaleza"/>
  </r>
  <r>
    <n v="2288"/>
    <x v="2"/>
    <x v="64"/>
    <s v="L000013723"/>
    <s v="Blarney Sterilisation-G"/>
    <s v="L000010287 "/>
    <x v="0"/>
    <x v="0"/>
    <x v="0"/>
    <x v="2"/>
    <m/>
    <m/>
    <s v="Phoebe Anne Fortaleza"/>
  </r>
  <r>
    <n v="2289"/>
    <x v="2"/>
    <x v="64"/>
    <s v="L000013724"/>
    <s v="Blarney Warehouse-G"/>
    <s v="L000010287 "/>
    <x v="0"/>
    <x v="0"/>
    <x v="0"/>
    <x v="2"/>
    <m/>
    <m/>
    <s v="Phoebe Anne Fortaleza"/>
  </r>
  <r>
    <n v="2290"/>
    <x v="2"/>
    <x v="64"/>
    <s v="L000013725"/>
    <s v="Spruce-R"/>
    <s v="L000009623"/>
    <x v="0"/>
    <x v="0"/>
    <x v="0"/>
    <x v="2"/>
    <m/>
    <m/>
    <s v="Phoebe Anne Fortaleza"/>
  </r>
  <r>
    <n v="2291"/>
    <x v="2"/>
    <x v="64"/>
    <s v="L000013726"/>
    <s v="Molsheim Support Functions"/>
    <s v="L000010485"/>
    <x v="0"/>
    <x v="0"/>
    <x v="0"/>
    <x v="2"/>
    <m/>
    <m/>
    <s v="Phoebe Anne Fortaleza"/>
  </r>
  <r>
    <n v="2292"/>
    <x v="2"/>
    <x v="64"/>
    <s v="L000013727"/>
    <s v="BioMonitoring Operations"/>
    <s v="L000010485"/>
    <x v="0"/>
    <x v="0"/>
    <x v="0"/>
    <x v="2"/>
    <m/>
    <m/>
    <s v="Phoebe Anne Fortaleza"/>
  </r>
  <r>
    <n v="2293"/>
    <x v="2"/>
    <x v="64"/>
    <s v="L000013728"/>
    <s v="Global Distribution"/>
    <s v="L000009794"/>
    <x v="0"/>
    <x v="0"/>
    <x v="0"/>
    <x v="2"/>
    <m/>
    <m/>
    <s v="Phoebe Anne Fortaleza"/>
  </r>
  <r>
    <n v="2294"/>
    <x v="2"/>
    <x v="64"/>
    <s v="L000013729"/>
    <s v="Temecula "/>
    <s v="L000009795"/>
    <x v="0"/>
    <x v="0"/>
    <x v="0"/>
    <x v="2"/>
    <m/>
    <m/>
    <s v="Phoebe Anne Fortaleza"/>
  </r>
  <r>
    <n v="2295"/>
    <x v="2"/>
    <x v="64"/>
    <s v="L000013730"/>
    <s v="Visalia"/>
    <s v="L000009795"/>
    <x v="0"/>
    <x v="0"/>
    <x v="0"/>
    <x v="2"/>
    <m/>
    <m/>
    <s v="Phoebe Anne Fortaleza"/>
  </r>
  <r>
    <n v="2296"/>
    <x v="2"/>
    <x v="64"/>
    <s v="L000013731"/>
    <s v="Schnelldorf"/>
    <s v="L000013434"/>
    <x v="0"/>
    <x v="0"/>
    <x v="0"/>
    <x v="2"/>
    <m/>
    <m/>
    <s v="Phoebe Anne Fortaleza"/>
  </r>
  <r>
    <n v="2297"/>
    <x v="2"/>
    <x v="64"/>
    <s v="L000013732"/>
    <s v="Stockholm"/>
    <s v="L000013434"/>
    <x v="0"/>
    <x v="0"/>
    <x v="0"/>
    <x v="2"/>
    <m/>
    <m/>
    <s v="Phoebe Anne Fortaleza"/>
  </r>
  <r>
    <n v="2298"/>
    <x v="2"/>
    <x v="64"/>
    <s v="L000013733"/>
    <s v="Ireland"/>
    <s v="L000013434"/>
    <x v="0"/>
    <x v="0"/>
    <x v="0"/>
    <x v="2"/>
    <m/>
    <m/>
    <s v="Phoebe Anne Fortaleza"/>
  </r>
  <r>
    <n v="2299"/>
    <x v="2"/>
    <x v="64"/>
    <s v="L000013734"/>
    <s v="BMS &amp; Business Partnering LS"/>
    <s v="L000013623"/>
    <x v="0"/>
    <x v="0"/>
    <x v="0"/>
    <x v="2"/>
    <m/>
    <m/>
    <s v="Phoebe Anne Fortaleza"/>
  </r>
  <r>
    <n v="2300"/>
    <x v="2"/>
    <x v="64"/>
    <s v="L000013735"/>
    <s v="Business Development PS"/>
    <s v="L000011322"/>
    <x v="0"/>
    <x v="0"/>
    <x v="0"/>
    <x v="2"/>
    <m/>
    <m/>
    <s v="Phoebe Anne Fortaleza"/>
  </r>
  <r>
    <n v="2301"/>
    <x v="2"/>
    <x v="64"/>
    <s v="L000013736"/>
    <s v="Business Development SLS"/>
    <s v="L000011322 "/>
    <x v="0"/>
    <x v="0"/>
    <x v="0"/>
    <x v="2"/>
    <m/>
    <m/>
    <s v="Phoebe Anne Fortaleza"/>
  </r>
  <r>
    <n v="2302"/>
    <x v="2"/>
    <x v="64"/>
    <s v="L000013737"/>
    <s v="Business Development LSS"/>
    <s v="L000011322"/>
    <x v="0"/>
    <x v="0"/>
    <x v="0"/>
    <x v="2"/>
    <m/>
    <m/>
    <s v="Phoebe Anne Fortaleza"/>
  </r>
  <r>
    <n v="2303"/>
    <x v="2"/>
    <x v="64"/>
    <s v="L000013738"/>
    <s v="M&amp;A Business Development"/>
    <s v="L000011322 "/>
    <x v="0"/>
    <x v="0"/>
    <x v="0"/>
    <x v="2"/>
    <m/>
    <m/>
    <s v="Phoebe Anne Fortaleza"/>
  </r>
  <r>
    <n v="2304"/>
    <x v="2"/>
    <x v="64"/>
    <s v="L000013739"/>
    <s v="ERP Process Manager"/>
    <s v="L000013622"/>
    <x v="0"/>
    <x v="0"/>
    <x v="0"/>
    <x v="2"/>
    <m/>
    <m/>
    <s v="Phoebe Anne Fortaleza"/>
  </r>
  <r>
    <n v="2305"/>
    <x v="2"/>
    <x v="64"/>
    <s v="L000013740"/>
    <s v="GSS Center of Excellence"/>
    <s v="L000013623"/>
    <x v="0"/>
    <x v="0"/>
    <x v="0"/>
    <x v="2"/>
    <m/>
    <m/>
    <s v="Phoebe Anne Fortaleza"/>
  </r>
  <r>
    <n v="2306"/>
    <x v="2"/>
    <x v="64"/>
    <s v="L000013741"/>
    <s v="GSS - SLS"/>
    <s v="L000013740"/>
    <x v="0"/>
    <x v="0"/>
    <x v="0"/>
    <x v="2"/>
    <m/>
    <m/>
    <s v="Phoebe Anne Fortaleza"/>
  </r>
  <r>
    <n v="2307"/>
    <x v="2"/>
    <x v="64"/>
    <s v="L000013742"/>
    <s v="GSS - Business Operation"/>
    <s v="L000013741"/>
    <x v="0"/>
    <x v="0"/>
    <x v="0"/>
    <x v="2"/>
    <m/>
    <m/>
    <s v="Phoebe Anne Fortaleza"/>
  </r>
  <r>
    <n v="2308"/>
    <x v="2"/>
    <x v="64"/>
    <s v="L000013743"/>
    <s v="GSS - Biomonitoring"/>
    <s v="L000013741"/>
    <x v="0"/>
    <x v="0"/>
    <x v="0"/>
    <x v="2"/>
    <m/>
    <m/>
    <s v="Phoebe Anne Fortaleza"/>
  </r>
  <r>
    <n v="2309"/>
    <x v="2"/>
    <x v="64"/>
    <s v="L000013744"/>
    <s v="GSS - Diagnistics &amp; Regulated Materials"/>
    <s v="L000013741"/>
    <x v="0"/>
    <x v="0"/>
    <x v="0"/>
    <x v="2"/>
    <m/>
    <m/>
    <s v="Phoebe Anne Fortaleza"/>
  </r>
  <r>
    <n v="2310"/>
    <x v="2"/>
    <x v="64"/>
    <s v="L000013745"/>
    <s v="GSS - Lab Water"/>
    <s v="L000013741"/>
    <x v="0"/>
    <x v="0"/>
    <x v="0"/>
    <x v="2"/>
    <m/>
    <m/>
    <s v="Phoebe Anne Fortaleza"/>
  </r>
  <r>
    <n v="2311"/>
    <x v="2"/>
    <x v="64"/>
    <s v="L000013746"/>
    <s v="GSS - eCommerce"/>
    <s v="L000013741"/>
    <x v="0"/>
    <x v="0"/>
    <x v="0"/>
    <x v="2"/>
    <m/>
    <m/>
    <s v="Phoebe Anne Fortaleza"/>
  </r>
  <r>
    <n v="2312"/>
    <x v="2"/>
    <x v="64"/>
    <s v="L000013747"/>
    <s v="GSS -  Chemistry"/>
    <s v="L000013741"/>
    <x v="0"/>
    <x v="0"/>
    <x v="0"/>
    <x v="2"/>
    <m/>
    <m/>
    <s v="Phoebe Anne Fortaleza"/>
  </r>
  <r>
    <n v="2313"/>
    <x v="2"/>
    <x v="64"/>
    <s v="L000013748"/>
    <s v="GSS - SLS Commercial Americas"/>
    <s v="L000013741"/>
    <x v="0"/>
    <x v="0"/>
    <x v="0"/>
    <x v="2"/>
    <m/>
    <m/>
    <s v="Phoebe Anne Fortaleza"/>
  </r>
  <r>
    <n v="2314"/>
    <x v="2"/>
    <x v="64"/>
    <s v="L000013749"/>
    <s v="GSS - SLS Commercial APAC"/>
    <s v="L000013741"/>
    <x v="0"/>
    <x v="0"/>
    <x v="0"/>
    <x v="2"/>
    <m/>
    <m/>
    <s v="Phoebe Anne Fortaleza"/>
  </r>
  <r>
    <n v="2315"/>
    <x v="2"/>
    <x v="64"/>
    <s v="L000013750"/>
    <s v="GSS - SLS Commercial EMEA"/>
    <s v="L000013741"/>
    <x v="0"/>
    <x v="0"/>
    <x v="0"/>
    <x v="2"/>
    <m/>
    <m/>
    <s v="Phoebe Anne Fortaleza"/>
  </r>
  <r>
    <n v="2316"/>
    <x v="2"/>
    <x v="64"/>
    <s v="L000013751"/>
    <s v="GSS - Biology"/>
    <s v="L000013741"/>
    <x v="0"/>
    <x v="0"/>
    <x v="0"/>
    <x v="2"/>
    <m/>
    <m/>
    <s v="Phoebe Anne Fortaleza"/>
  </r>
  <r>
    <n v="2317"/>
    <x v="2"/>
    <x v="64"/>
    <s v="L000013752"/>
    <s v="GSS - LSS"/>
    <s v="L000013740"/>
    <x v="0"/>
    <x v="0"/>
    <x v="0"/>
    <x v="2"/>
    <m/>
    <m/>
    <s v="Phoebe Anne Fortaleza"/>
  </r>
  <r>
    <n v="2318"/>
    <x v="2"/>
    <x v="64"/>
    <s v="L000013753"/>
    <s v="GSS - Contract Testing Services"/>
    <s v="L000013752"/>
    <x v="0"/>
    <x v="0"/>
    <x v="0"/>
    <x v="2"/>
    <m/>
    <m/>
    <s v="Phoebe Anne Fortaleza"/>
  </r>
  <r>
    <n v="2319"/>
    <x v="2"/>
    <x v="64"/>
    <s v="L000013754"/>
    <s v="GSS - PS"/>
    <s v="L000013740"/>
    <x v="0"/>
    <x v="0"/>
    <x v="0"/>
    <x v="2"/>
    <m/>
    <m/>
    <s v="Phoebe Anne Fortaleza"/>
  </r>
  <r>
    <n v="2320"/>
    <x v="2"/>
    <x v="64"/>
    <s v="L000013755"/>
    <s v="GSS - PS Global Strategic Accounts &amp; Services"/>
    <s v="L000013754"/>
    <x v="0"/>
    <x v="0"/>
    <x v="0"/>
    <x v="2"/>
    <m/>
    <m/>
    <s v="Phoebe Anne Fortaleza"/>
  </r>
  <r>
    <n v="2321"/>
    <x v="2"/>
    <x v="64"/>
    <s v="L000013756"/>
    <s v="GSS- PS Business Franchises"/>
    <s v="L000013754"/>
    <x v="0"/>
    <x v="0"/>
    <x v="0"/>
    <x v="2"/>
    <m/>
    <m/>
    <s v="Phoebe Anne Fortaleza"/>
  </r>
  <r>
    <n v="2322"/>
    <x v="2"/>
    <x v="64"/>
    <s v="L000013757"/>
    <s v="GSS - ISCO"/>
    <s v="L000013740"/>
    <x v="0"/>
    <x v="0"/>
    <x v="0"/>
    <x v="2"/>
    <m/>
    <m/>
    <s v="Phoebe Anne Fortaleza"/>
  </r>
  <r>
    <n v="2323"/>
    <x v="2"/>
    <x v="64"/>
    <s v="L000013758"/>
    <s v="GSS - Supply Chain &amp; Distribution"/>
    <s v="L000013757"/>
    <x v="0"/>
    <x v="0"/>
    <x v="0"/>
    <x v="2"/>
    <m/>
    <m/>
    <s v="Phoebe Anne Fortaleza"/>
  </r>
  <r>
    <n v="2324"/>
    <x v="2"/>
    <x v="64"/>
    <s v="L000013759"/>
    <s v="GSS - Global Plant Operation"/>
    <s v="L000013757"/>
    <x v="0"/>
    <x v="0"/>
    <x v="0"/>
    <x v="2"/>
    <m/>
    <m/>
    <s v="Phoebe Anne Fortaleza"/>
  </r>
  <r>
    <n v="2325"/>
    <x v="2"/>
    <x v="64"/>
    <s v="L000013760"/>
    <s v="GSS - Warehouse &amp; Distribution"/>
    <s v="L000013757"/>
    <x v="0"/>
    <x v="0"/>
    <x v="0"/>
    <x v="2"/>
    <m/>
    <m/>
    <s v="Phoebe Anne Fortaleza"/>
  </r>
  <r>
    <n v="2326"/>
    <x v="2"/>
    <x v="64"/>
    <s v="L000013761"/>
    <s v="Enabling Functions GSS COE"/>
    <s v="L000013740"/>
    <x v="0"/>
    <x v="0"/>
    <x v="0"/>
    <x v="2"/>
    <m/>
    <m/>
    <s v="Phoebe Anne Fortaleza"/>
  </r>
  <r>
    <n v="2327"/>
    <x v="2"/>
    <x v="64"/>
    <s v="L000013762"/>
    <s v="GSS - Technology Office"/>
    <s v="L000013761"/>
    <x v="0"/>
    <x v="0"/>
    <x v="0"/>
    <x v="2"/>
    <m/>
    <m/>
    <s v="Phoebe Anne Fortaleza"/>
  </r>
  <r>
    <n v="2328"/>
    <x v="2"/>
    <x v="64"/>
    <s v="L000013763"/>
    <s v="GSS - LS QRM"/>
    <s v="L000013761"/>
    <x v="0"/>
    <x v="0"/>
    <x v="0"/>
    <x v="2"/>
    <m/>
    <m/>
    <s v="Phoebe Anne Fortaleza"/>
  </r>
  <r>
    <n v="2329"/>
    <x v="2"/>
    <x v="64"/>
    <s v="L000013764"/>
    <s v="GSS - LS-QD Digital &amp; Data Mgmnt"/>
    <s v="L000013763"/>
    <x v="0"/>
    <x v="0"/>
    <x v="0"/>
    <x v="2"/>
    <m/>
    <m/>
    <s v="Phoebe Anne Fortaleza"/>
  </r>
  <r>
    <n v="2330"/>
    <x v="2"/>
    <x v="64"/>
    <s v="L000013765"/>
    <s v="GSS - LS-QH Haz Com &amp; Chem. Reg."/>
    <s v="L000013763"/>
    <x v="0"/>
    <x v="0"/>
    <x v="0"/>
    <x v="2"/>
    <m/>
    <m/>
    <s v="Phoebe Anne Fortaleza"/>
  </r>
  <r>
    <n v="2331"/>
    <x v="2"/>
    <x v="64"/>
    <s v="L000013766"/>
    <s v="GSS - LS-QS Quality Services"/>
    <s v="L000013763"/>
    <x v="0"/>
    <x v="0"/>
    <x v="0"/>
    <x v="2"/>
    <m/>
    <m/>
    <s v="Phoebe Anne Fortaleza"/>
  </r>
  <r>
    <n v="2332"/>
    <x v="2"/>
    <x v="64"/>
    <s v="L000013767"/>
    <s v="GSS - LS-QR Regulatory Management"/>
    <s v="L000013763"/>
    <x v="0"/>
    <x v="0"/>
    <x v="0"/>
    <x v="2"/>
    <m/>
    <m/>
    <s v="Phoebe Anne Fortaleza"/>
  </r>
  <r>
    <n v="2333"/>
    <x v="2"/>
    <x v="64"/>
    <s v="L000013768"/>
    <s v="GSS - EF Sourcing"/>
    <s v="L000013761"/>
    <x v="0"/>
    <x v="0"/>
    <x v="0"/>
    <x v="2"/>
    <m/>
    <m/>
    <s v="Phoebe Anne Fortaleza"/>
  </r>
  <r>
    <n v="2334"/>
    <x v="2"/>
    <x v="64"/>
    <s v="L000013769"/>
    <s v="GSS - Administration"/>
    <s v="L000013761"/>
    <x v="0"/>
    <x v="0"/>
    <x v="0"/>
    <x v="2"/>
    <m/>
    <m/>
    <s v="Phoebe Anne Fortaleza"/>
  </r>
  <r>
    <n v="2335"/>
    <x v="2"/>
    <x v="64"/>
    <s v="L000009402"/>
    <s v="Smart manufacturing"/>
    <m/>
    <x v="2"/>
    <x v="0"/>
    <x v="0"/>
    <x v="2"/>
    <m/>
    <m/>
    <s v="Phoebe Anne Fortaleza"/>
  </r>
  <r>
    <n v="2336"/>
    <x v="2"/>
    <x v="64"/>
    <s v="L000009403"/>
    <s v="Smart Manufacturing USA "/>
    <m/>
    <x v="2"/>
    <x v="0"/>
    <x v="0"/>
    <x v="2"/>
    <m/>
    <m/>
    <s v="Phoebe Anne Fortaleza"/>
  </r>
  <r>
    <n v="2337"/>
    <x v="2"/>
    <x v="64"/>
    <s v="L000010049"/>
    <s v="External Manufacturing - Supply Chain -G"/>
    <m/>
    <x v="2"/>
    <x v="0"/>
    <x v="0"/>
    <x v="2"/>
    <m/>
    <m/>
    <s v="Phoebe Anne Fortaleza"/>
  </r>
  <r>
    <n v="2338"/>
    <x v="2"/>
    <x v="64"/>
    <s v="L000010050"/>
    <s v="EMSC APAC-G"/>
    <m/>
    <x v="2"/>
    <x v="0"/>
    <x v="0"/>
    <x v="2"/>
    <m/>
    <m/>
    <s v="Phoebe Anne Fortaleza"/>
  </r>
  <r>
    <n v="2339"/>
    <x v="2"/>
    <x v="64"/>
    <s v="L000010051"/>
    <s v="EMSC EU-G"/>
    <m/>
    <x v="2"/>
    <x v="0"/>
    <x v="0"/>
    <x v="2"/>
    <m/>
    <m/>
    <s v="Phoebe Anne Fortaleza"/>
  </r>
  <r>
    <n v="2340"/>
    <x v="2"/>
    <x v="64"/>
    <s v="L000010052"/>
    <s v="EMSC Supplier Quality - GTO-G"/>
    <m/>
    <x v="2"/>
    <x v="0"/>
    <x v="0"/>
    <x v="2"/>
    <m/>
    <m/>
    <s v="Phoebe Anne Fortaleza"/>
  </r>
  <r>
    <n v="2341"/>
    <x v="2"/>
    <x v="64"/>
    <s v="L000010053"/>
    <s v="EMSC US-G"/>
    <m/>
    <x v="2"/>
    <x v="0"/>
    <x v="0"/>
    <x v="2"/>
    <m/>
    <m/>
    <s v="Phoebe Anne Fortaleza"/>
  </r>
  <r>
    <n v="2342"/>
    <x v="2"/>
    <x v="64"/>
    <s v="L000012190"/>
    <s v="EMSC Production -G"/>
    <m/>
    <x v="2"/>
    <x v="0"/>
    <x v="0"/>
    <x v="2"/>
    <m/>
    <m/>
    <s v="Phoebe Anne Fortaleza"/>
  </r>
  <r>
    <n v="2343"/>
    <x v="2"/>
    <x v="64"/>
    <s v="L000010054"/>
    <s v="EMSC Production Applied-G"/>
    <m/>
    <x v="2"/>
    <x v="0"/>
    <x v="0"/>
    <x v="2"/>
    <m/>
    <m/>
    <s v="Phoebe Anne Fortaleza"/>
  </r>
  <r>
    <n v="2344"/>
    <x v="2"/>
    <x v="64"/>
    <s v="L000010055"/>
    <s v="EMSC Production Process-G"/>
    <m/>
    <x v="2"/>
    <x v="0"/>
    <x v="0"/>
    <x v="2"/>
    <m/>
    <m/>
    <s v="Phoebe Anne Fortaleza"/>
  </r>
  <r>
    <n v="2345"/>
    <x v="2"/>
    <x v="64"/>
    <s v="L000010056"/>
    <s v="EMSC Production Research-G"/>
    <m/>
    <x v="2"/>
    <x v="0"/>
    <x v="0"/>
    <x v="2"/>
    <m/>
    <m/>
    <s v="Phoebe Anne Fortaleza"/>
  </r>
  <r>
    <n v="2346"/>
    <x v="2"/>
    <x v="64"/>
    <s v="L000006425"/>
    <s v="mRNA Delivery &amp; PEGs DA &amp; SH"/>
    <m/>
    <x v="2"/>
    <x v="0"/>
    <x v="0"/>
    <x v="2"/>
    <m/>
    <m/>
    <s v="Phoebe Anne Fortaleza"/>
  </r>
  <r>
    <n v="2347"/>
    <x v="2"/>
    <x v="64"/>
    <s v="L000006432"/>
    <s v="Intermediates India"/>
    <m/>
    <x v="2"/>
    <x v="0"/>
    <x v="0"/>
    <x v="2"/>
    <m/>
    <m/>
    <s v="Phoebe Anne Fortaleza"/>
  </r>
  <r>
    <n v="2348"/>
    <x v="2"/>
    <x v="64"/>
    <s v="L000013454"/>
    <s v="Proj &amp; Eng-USA"/>
    <m/>
    <x v="2"/>
    <x v="0"/>
    <x v="0"/>
    <x v="2"/>
    <m/>
    <m/>
    <s v="Phoebe Anne Fortaleza"/>
  </r>
  <r>
    <n v="2349"/>
    <x v="2"/>
    <x v="64"/>
    <s v="L000013455"/>
    <s v="Proj &amp; Eng-Central Europe"/>
    <m/>
    <x v="2"/>
    <x v="0"/>
    <x v="0"/>
    <x v="2"/>
    <m/>
    <m/>
    <s v="Phoebe Anne Fortaleza"/>
  </r>
  <r>
    <n v="2350"/>
    <x v="2"/>
    <x v="64"/>
    <s v="L000013456"/>
    <s v="Proj &amp; Eng-Western Europe &amp; Middle East"/>
    <m/>
    <x v="2"/>
    <x v="0"/>
    <x v="0"/>
    <x v="2"/>
    <m/>
    <m/>
    <s v="Phoebe Anne Fortaleza"/>
  </r>
  <r>
    <n v="2351"/>
    <x v="2"/>
    <x v="64"/>
    <s v="L000013457"/>
    <s v="Proj &amp; Eng-APAC"/>
    <m/>
    <x v="2"/>
    <x v="0"/>
    <x v="0"/>
    <x v="2"/>
    <m/>
    <m/>
    <s v="Phoebe Anne Fortaleza"/>
  </r>
  <r>
    <n v="2352"/>
    <x v="2"/>
    <x v="64"/>
    <s v="L000005330"/>
    <s v="SLS Strategy Group"/>
    <m/>
    <x v="2"/>
    <x v="0"/>
    <x v="0"/>
    <x v="2"/>
    <m/>
    <m/>
    <s v="Phoebe Anne Fortaleza"/>
  </r>
  <r>
    <n v="2353"/>
    <x v="2"/>
    <x v="64"/>
    <s v="L000005336"/>
    <s v="SLS Business Development"/>
    <m/>
    <x v="2"/>
    <x v="0"/>
    <x v="0"/>
    <x v="2"/>
    <m/>
    <m/>
    <s v="Phoebe Anne Fortaleza"/>
  </r>
  <r>
    <n v="2354"/>
    <x v="2"/>
    <x v="64"/>
    <s v="L000005348"/>
    <s v="SLS BD &amp; Licensing"/>
    <m/>
    <x v="2"/>
    <x v="0"/>
    <x v="0"/>
    <x v="2"/>
    <m/>
    <m/>
    <s v="Phoebe Anne Fortaleza"/>
  </r>
  <r>
    <n v="2355"/>
    <x v="2"/>
    <x v="64"/>
    <s v="L000009147"/>
    <s v="SLS Business Dev Group"/>
    <m/>
    <x v="2"/>
    <x v="0"/>
    <x v="0"/>
    <x v="2"/>
    <m/>
    <m/>
    <s v="Phoebe Anne Fortaleza"/>
  </r>
  <r>
    <n v="2356"/>
    <x v="2"/>
    <x v="64"/>
    <s v="L000005434"/>
    <s v="SLS Innovation PMO US"/>
    <m/>
    <x v="2"/>
    <x v="0"/>
    <x v="0"/>
    <x v="2"/>
    <m/>
    <m/>
    <s v="Phoebe Anne Fortaleza"/>
  </r>
  <r>
    <n v="2357"/>
    <x v="2"/>
    <x v="64"/>
    <s v="L000005437"/>
    <s v="US496920 Innovation PMO"/>
    <m/>
    <x v="2"/>
    <x v="0"/>
    <x v="0"/>
    <x v="2"/>
    <m/>
    <m/>
    <s v="Phoebe Anne Fortaleza"/>
  </r>
  <r>
    <n v="2358"/>
    <x v="2"/>
    <x v="64"/>
    <s v="L000005438"/>
    <s v="US6030 Innovation PMO"/>
    <m/>
    <x v="2"/>
    <x v="0"/>
    <x v="0"/>
    <x v="2"/>
    <m/>
    <m/>
    <s v="Phoebe Anne Fortaleza"/>
  </r>
  <r>
    <n v="2359"/>
    <x v="2"/>
    <x v="64"/>
    <s v="L000005439"/>
    <s v="US6109 Innovation PMO"/>
    <m/>
    <x v="2"/>
    <x v="0"/>
    <x v="0"/>
    <x v="2"/>
    <m/>
    <m/>
    <s v="Phoebe Anne Fortaleza"/>
  </r>
  <r>
    <n v="2360"/>
    <x v="2"/>
    <x v="64"/>
    <s v="L000005440"/>
    <s v="US6413 Innovation PMO"/>
    <m/>
    <x v="2"/>
    <x v="0"/>
    <x v="0"/>
    <x v="2"/>
    <m/>
    <m/>
    <s v="Phoebe Anne Fortaleza"/>
  </r>
  <r>
    <n v="2361"/>
    <x v="2"/>
    <x v="64"/>
    <s v="L000005441"/>
    <s v="SLS Innovation PMO EU"/>
    <m/>
    <x v="2"/>
    <x v="0"/>
    <x v="0"/>
    <x v="2"/>
    <m/>
    <m/>
    <s v="Phoebe Anne Fortaleza"/>
  </r>
  <r>
    <n v="2362"/>
    <x v="2"/>
    <x v="64"/>
    <s v="L000005442"/>
    <s v="FR6109 Innovation PMO (EU)"/>
    <m/>
    <x v="2"/>
    <x v="0"/>
    <x v="0"/>
    <x v="2"/>
    <m/>
    <m/>
    <s v="Phoebe Anne Fortaleza"/>
  </r>
  <r>
    <n v="2363"/>
    <x v="2"/>
    <x v="64"/>
    <s v="L000005443"/>
    <s v="GE687000 Innovation PMO"/>
    <m/>
    <x v="2"/>
    <x v="0"/>
    <x v="0"/>
    <x v="2"/>
    <m/>
    <m/>
    <s v="Phoebe Anne Fortaleza"/>
  </r>
  <r>
    <n v="2364"/>
    <x v="2"/>
    <x v="64"/>
    <s v="L000012484"/>
    <s v="CH56496 Innovation EU"/>
    <m/>
    <x v="2"/>
    <x v="0"/>
    <x v="0"/>
    <x v="2"/>
    <m/>
    <m/>
    <s v="Phoebe Anne Fortaleza"/>
  </r>
  <r>
    <n v="2365"/>
    <x v="2"/>
    <x v="64"/>
    <s v="L000005445"/>
    <s v="FR6413 Innovation PMO"/>
    <m/>
    <x v="2"/>
    <x v="0"/>
    <x v="0"/>
    <x v="2"/>
    <m/>
    <m/>
    <s v="Phoebe Anne Fortaleza"/>
  </r>
  <r>
    <n v="2366"/>
    <x v="2"/>
    <x v="64"/>
    <s v="L000005446"/>
    <s v="US20525 Innovation PMO"/>
    <m/>
    <x v="2"/>
    <x v="0"/>
    <x v="0"/>
    <x v="2"/>
    <m/>
    <m/>
    <s v="Phoebe Anne Fortaleza"/>
  </r>
  <r>
    <n v="2367"/>
    <x v="2"/>
    <x v="64"/>
    <s v="L000006046"/>
    <s v="FS - 2023C03108 - F. Service Ireland -G"/>
    <m/>
    <x v="2"/>
    <x v="0"/>
    <x v="0"/>
    <x v="2"/>
    <m/>
    <m/>
    <s v="Phoebe Anne Fortaleza"/>
  </r>
  <r>
    <n v="2368"/>
    <x v="2"/>
    <x v="64"/>
    <s v="L000008902"/>
    <s v="FS - 2011C03060 CZ-G"/>
    <m/>
    <x v="2"/>
    <x v="0"/>
    <x v="0"/>
    <x v="2"/>
    <m/>
    <m/>
    <s v="Phoebe Anne Fortaleza"/>
  </r>
  <r>
    <n v="2369"/>
    <x v="2"/>
    <x v="64"/>
    <s v="L000008904"/>
    <s v="FS - 2018C03060 Hungary-G"/>
    <m/>
    <x v="2"/>
    <x v="0"/>
    <x v="0"/>
    <x v="2"/>
    <m/>
    <m/>
    <s v="Phoebe Anne Fortaleza"/>
  </r>
  <r>
    <n v="2370"/>
    <x v="2"/>
    <x v="64"/>
    <s v="L000008906"/>
    <s v="Field Service Romania-G"/>
    <m/>
    <x v="2"/>
    <x v="0"/>
    <x v="0"/>
    <x v="2"/>
    <m/>
    <m/>
    <s v="Phoebe Anne Fortaleza"/>
  </r>
  <r>
    <n v="2371"/>
    <x v="2"/>
    <x v="64"/>
    <s v="L000008907"/>
    <s v="FS- 2057C02041 Russia-G"/>
    <m/>
    <x v="2"/>
    <x v="0"/>
    <x v="0"/>
    <x v="2"/>
    <m/>
    <m/>
    <s v="Phoebe Anne Fortaleza"/>
  </r>
  <r>
    <n v="2372"/>
    <x v="2"/>
    <x v="64"/>
    <s v="L000008983"/>
    <s v="FS - TR10FS1101 Turkey-G"/>
    <m/>
    <x v="2"/>
    <x v="0"/>
    <x v="0"/>
    <x v="2"/>
    <m/>
    <m/>
    <s v="Phoebe Anne Fortaleza"/>
  </r>
  <r>
    <n v="2373"/>
    <x v="2"/>
    <x v="64"/>
    <s v="L000011883"/>
    <s v="LW - Field Service APAC SEA -G"/>
    <m/>
    <x v="2"/>
    <x v="0"/>
    <x v="0"/>
    <x v="2"/>
    <m/>
    <m/>
    <s v="Phoebe Anne Fortaleza"/>
  </r>
  <r>
    <n v="2374"/>
    <x v="2"/>
    <x v="64"/>
    <s v="L000005988"/>
    <s v="FS - 2063CS3004 - F. Service Canada -G"/>
    <m/>
    <x v="2"/>
    <x v="0"/>
    <x v="0"/>
    <x v="2"/>
    <m/>
    <m/>
    <s v="Phoebe Anne Fortaleza"/>
  </r>
  <r>
    <n v="2375"/>
    <x v="2"/>
    <x v="64"/>
    <s v="L000012464"/>
    <s v="LW - US5973 - Digital Sales -G"/>
    <m/>
    <x v="2"/>
    <x v="0"/>
    <x v="0"/>
    <x v="2"/>
    <m/>
    <m/>
    <s v="Phoebe Anne Fortaleza"/>
  </r>
  <r>
    <n v="2376"/>
    <x v="2"/>
    <x v="64"/>
    <s v="L000008394"/>
    <s v="Area Sales Japan"/>
    <m/>
    <x v="2"/>
    <x v="0"/>
    <x v="0"/>
    <x v="2"/>
    <m/>
    <m/>
    <s v="Phoebe Anne Fortaleza"/>
  </r>
  <r>
    <n v="2377"/>
    <x v="2"/>
    <x v="64"/>
    <s v="L000008395"/>
    <s v="Area Sales Japan"/>
    <m/>
    <x v="2"/>
    <x v="0"/>
    <x v="0"/>
    <x v="2"/>
    <m/>
    <m/>
    <s v="Phoebe Anne Fortaleza"/>
  </r>
  <r>
    <n v="2378"/>
    <x v="2"/>
    <x v="64"/>
    <s v="L000013193"/>
    <s v="Production Materials Sales Japan "/>
    <m/>
    <x v="2"/>
    <x v="0"/>
    <x v="0"/>
    <x v="2"/>
    <m/>
    <m/>
    <s v="Phoebe Anne Fortaleza"/>
  </r>
  <r>
    <n v="2379"/>
    <x v="2"/>
    <x v="64"/>
    <s v="L000008420"/>
    <s v="SLS AGH Sales S Korea -G"/>
    <m/>
    <x v="2"/>
    <x v="0"/>
    <x v="0"/>
    <x v="2"/>
    <m/>
    <m/>
    <s v="Phoebe Anne Fortaleza"/>
  </r>
  <r>
    <n v="2380"/>
    <x v="2"/>
    <x v="64"/>
    <s v="L000008422"/>
    <s v="SLS I&amp;T Sales S Korea -G"/>
    <m/>
    <x v="2"/>
    <x v="0"/>
    <x v="0"/>
    <x v="2"/>
    <m/>
    <m/>
    <s v="Phoebe Anne Fortaleza"/>
  </r>
  <r>
    <n v="2381"/>
    <x v="2"/>
    <x v="64"/>
    <s v="L000008423"/>
    <s v="SLS I&amp;T Sales S Korea "/>
    <m/>
    <x v="2"/>
    <x v="0"/>
    <x v="0"/>
    <x v="2"/>
    <m/>
    <m/>
    <s v="Phoebe Anne Fortaleza"/>
  </r>
  <r>
    <n v="2382"/>
    <x v="2"/>
    <x v="64"/>
    <s v="L000008428"/>
    <s v="S Korea Commercial Enablement -G"/>
    <m/>
    <x v="2"/>
    <x v="0"/>
    <x v="0"/>
    <x v="2"/>
    <m/>
    <m/>
    <s v="Phoebe Anne Fortaleza"/>
  </r>
  <r>
    <n v="2383"/>
    <x v="2"/>
    <x v="64"/>
    <s v="L000013604"/>
    <s v="SLS P&amp;B Sales S Korea -G"/>
    <m/>
    <x v="2"/>
    <x v="0"/>
    <x v="0"/>
    <x v="2"/>
    <m/>
    <m/>
    <s v="Phoebe Anne Fortaleza"/>
  </r>
  <r>
    <n v="2384"/>
    <x v="2"/>
    <x v="64"/>
    <s v="L000008784"/>
    <s v="EMEP"/>
    <m/>
    <x v="2"/>
    <x v="0"/>
    <x v="0"/>
    <x v="2"/>
    <m/>
    <m/>
    <s v="Phoebe Anne Fortaleza"/>
  </r>
  <r>
    <n v="2385"/>
    <x v="2"/>
    <x v="64"/>
    <s v="L000008828"/>
    <s v="South Africa Plus"/>
    <m/>
    <x v="2"/>
    <x v="0"/>
    <x v="0"/>
    <x v="2"/>
    <m/>
    <m/>
    <s v="Phoebe Anne Fortaleza"/>
  </r>
  <r>
    <n v="2386"/>
    <x v="2"/>
    <x v="64"/>
    <s v="L000005151"/>
    <s v="EEMEA Management"/>
    <m/>
    <x v="2"/>
    <x v="0"/>
    <x v="0"/>
    <x v="2"/>
    <m/>
    <m/>
    <s v="Phoebe Anne Fortaleza"/>
  </r>
  <r>
    <n v="2387"/>
    <x v="2"/>
    <x v="64"/>
    <s v="L000008911"/>
    <s v="NCEE Plus"/>
    <m/>
    <x v="2"/>
    <x v="0"/>
    <x v="0"/>
    <x v="2"/>
    <m/>
    <m/>
    <s v="Phoebe Anne Fortaleza"/>
  </r>
  <r>
    <n v="2388"/>
    <x v="2"/>
    <x v="64"/>
    <s v="L000008956"/>
    <s v="HSEEI"/>
    <m/>
    <x v="2"/>
    <x v="0"/>
    <x v="0"/>
    <x v="2"/>
    <m/>
    <m/>
    <s v="Phoebe Anne Fortaleza"/>
  </r>
  <r>
    <n v="2389"/>
    <x v="2"/>
    <x v="64"/>
    <s v="L000008982"/>
    <s v="Turkey Plus"/>
    <m/>
    <x v="2"/>
    <x v="0"/>
    <x v="0"/>
    <x v="2"/>
    <m/>
    <m/>
    <s v="Phoebe Anne Fortaleza"/>
  </r>
  <r>
    <n v="2390"/>
    <x v="2"/>
    <x v="64"/>
    <s v="L000010554"/>
    <s v="FR2534 Molsheim LW Prod Planning-G"/>
    <m/>
    <x v="2"/>
    <x v="0"/>
    <x v="0"/>
    <x v="2"/>
    <m/>
    <m/>
    <s v="Phoebe Anne Fortaleza"/>
  </r>
  <r>
    <n v="2391"/>
    <x v="2"/>
    <x v="64"/>
    <s v="L000010569"/>
    <s v="FR2554 Molsheim HSO Prod Planning-G"/>
    <m/>
    <x v="2"/>
    <x v="0"/>
    <x v="0"/>
    <x v="2"/>
    <m/>
    <m/>
    <s v="Phoebe Anne Fortaleza"/>
  </r>
  <r>
    <n v="2392"/>
    <x v="2"/>
    <x v="64"/>
    <s v="L000012425"/>
    <s v="Molsheim Operations Mobius Europe -G"/>
    <m/>
    <x v="2"/>
    <x v="0"/>
    <x v="0"/>
    <x v="2"/>
    <m/>
    <m/>
    <s v="Phoebe Anne Fortaleza"/>
  </r>
  <r>
    <n v="2393"/>
    <x v="2"/>
    <x v="64"/>
    <s v="L000013045"/>
    <s v="2079 - FR Mobius Prod Planning-G"/>
    <m/>
    <x v="2"/>
    <x v="0"/>
    <x v="0"/>
    <x v="2"/>
    <m/>
    <m/>
    <s v="Phoebe Anne Fortaleza"/>
  </r>
  <r>
    <n v="2394"/>
    <x v="2"/>
    <x v="64"/>
    <s v="L000013050"/>
    <s v="2090 - FR Mobius - Idl-G"/>
    <m/>
    <x v="2"/>
    <x v="0"/>
    <x v="0"/>
    <x v="2"/>
    <m/>
    <m/>
    <s v="Phoebe Anne Fortaleza"/>
  </r>
  <r>
    <n v="2395"/>
    <x v="2"/>
    <x v="64"/>
    <s v="L000012219"/>
    <s v="UK "/>
    <m/>
    <x v="2"/>
    <x v="0"/>
    <x v="0"/>
    <x v="2"/>
    <m/>
    <m/>
    <s v="Phoebe Anne Fortaleza"/>
  </r>
  <r>
    <n v="2396"/>
    <x v="2"/>
    <x v="64"/>
    <s v="L000010019"/>
    <s v="Lyon"/>
    <m/>
    <x v="2"/>
    <x v="0"/>
    <x v="0"/>
    <x v="2"/>
    <m/>
    <m/>
    <s v="Phoebe Anne Fortaleza"/>
  </r>
  <r>
    <n v="2397"/>
    <x v="2"/>
    <x v="64"/>
    <s v="L000011110"/>
    <s v="Other LS Management"/>
    <m/>
    <x v="2"/>
    <x v="0"/>
    <x v="0"/>
    <x v="2"/>
    <m/>
    <m/>
    <s v="Phoebe Anne Fortaleza"/>
  </r>
  <r>
    <n v="2398"/>
    <x v="2"/>
    <x v="64"/>
    <s v="L000013623"/>
    <s v="Enabling Functions Business Partnering"/>
    <m/>
    <x v="2"/>
    <x v="0"/>
    <x v="0"/>
    <x v="2"/>
    <m/>
    <m/>
    <s v="Phoebe Anne Fortaleza"/>
  </r>
  <r>
    <n v="2399"/>
    <x v="2"/>
    <x v="64"/>
    <s v="L000011321"/>
    <s v="Strategy &amp; Transformation Office"/>
    <m/>
    <x v="2"/>
    <x v="0"/>
    <x v="0"/>
    <x v="2"/>
    <m/>
    <m/>
    <s v="Phoebe Anne Fortaleza"/>
  </r>
  <r>
    <n v="2400"/>
    <x v="2"/>
    <x v="64"/>
    <s v="L000011322"/>
    <s v="Corp. &amp; Business Development LS"/>
    <m/>
    <x v="2"/>
    <x v="0"/>
    <x v="0"/>
    <x v="2"/>
    <m/>
    <m/>
    <s v="Phoebe Anne Fortaleza"/>
  </r>
  <r>
    <n v="2401"/>
    <x v="2"/>
    <x v="64"/>
    <s v="L000011328"/>
    <s v="Global Portfolio Branding"/>
    <m/>
    <x v="2"/>
    <x v="0"/>
    <x v="0"/>
    <x v="2"/>
    <m/>
    <m/>
    <s v="Phoebe Anne Fortaleza"/>
  </r>
  <r>
    <n v="2402"/>
    <x v="2"/>
    <x v="64"/>
    <s v="L000011344"/>
    <s v="Strategy &amp; Mkt Intelligence"/>
    <m/>
    <x v="2"/>
    <x v="0"/>
    <x v="0"/>
    <x v="2"/>
    <m/>
    <m/>
    <s v="Phoebe Anne Fortaleza"/>
  </r>
  <r>
    <n v="2403"/>
    <x v="2"/>
    <x v="64"/>
    <s v="L000011345"/>
    <s v="Strategic Intelligence"/>
    <m/>
    <x v="2"/>
    <x v="0"/>
    <x v="0"/>
    <x v="2"/>
    <m/>
    <m/>
    <s v="Phoebe Anne Fortaleza"/>
  </r>
  <r>
    <n v="2404"/>
    <x v="2"/>
    <x v="64"/>
    <s v="L000011353"/>
    <s v="Program Mgmnt &amp; Chg"/>
    <m/>
    <x v="2"/>
    <x v="0"/>
    <x v="0"/>
    <x v="2"/>
    <m/>
    <m/>
    <s v="Phoebe Anne Fortaleza"/>
  </r>
  <r>
    <n v="2405"/>
    <x v="2"/>
    <x v="64"/>
    <s v="L000012995"/>
    <s v="LS Business Serv &amp; Social Leadership"/>
    <m/>
    <x v="2"/>
    <x v="0"/>
    <x v="0"/>
    <x v="2"/>
    <m/>
    <m/>
    <s v="Phoebe Anne Fortaleza"/>
  </r>
  <r>
    <n v="2406"/>
    <x v="2"/>
    <x v="64"/>
    <s v="L000013002"/>
    <s v="LS Strategy &amp; Transformation"/>
    <m/>
    <x v="2"/>
    <x v="0"/>
    <x v="0"/>
    <x v="2"/>
    <m/>
    <m/>
    <s v="Phoebe Anne Fortaleza"/>
  </r>
  <r>
    <n v="2407"/>
    <x v="2"/>
    <x v="64"/>
    <s v="L000013622"/>
    <s v="ERP Center of Excellence"/>
    <m/>
    <x v="2"/>
    <x v="0"/>
    <x v="0"/>
    <x v="2"/>
    <m/>
    <m/>
    <s v="Phoebe Anne Fortaleza"/>
  </r>
  <r>
    <n v="2408"/>
    <x v="2"/>
    <x v="64"/>
    <s v="L000006013"/>
    <s v="LW Field Service &amp; Support Functions -G"/>
    <m/>
    <x v="2"/>
    <x v="0"/>
    <x v="0"/>
    <x v="2"/>
    <m/>
    <m/>
    <s v="Phoebe Anne Fortaleza"/>
  </r>
  <r>
    <n v="2409"/>
    <x v="2"/>
    <x v="64"/>
    <s v="L000006082"/>
    <s v="LW Marketing Ops"/>
    <m/>
    <x v="2"/>
    <x v="0"/>
    <x v="0"/>
    <x v="2"/>
    <m/>
    <m/>
    <s v="Phoebe Anne Fortaleza"/>
  </r>
  <r>
    <n v="2410"/>
    <x v="2"/>
    <x v="64"/>
    <s v="L000006102"/>
    <s v="LW Sales &amp; Service-APAC SEA -G"/>
    <m/>
    <x v="2"/>
    <x v="0"/>
    <x v="0"/>
    <x v="2"/>
    <m/>
    <m/>
    <s v="Phoebe Anne Fortaleza"/>
  </r>
  <r>
    <n v="2411"/>
    <x v="2"/>
    <x v="64"/>
    <s v="L000006118"/>
    <s v="LW Sales &amp; Service- APAC 6 -G"/>
    <m/>
    <x v="2"/>
    <x v="0"/>
    <x v="0"/>
    <x v="2"/>
    <m/>
    <m/>
    <s v="Phoebe Anne Fortaleza"/>
  </r>
  <r>
    <n v="2412"/>
    <x v="2"/>
    <x v="64"/>
    <s v="L000008939"/>
    <s v="NCEE-CZ Customer commissions"/>
    <m/>
    <x v="2"/>
    <x v="0"/>
    <x v="0"/>
    <x v="2"/>
    <m/>
    <m/>
    <s v="Phoebe Anne Fortaleza"/>
  </r>
  <r>
    <n v="2413"/>
    <x v="2"/>
    <x v="64"/>
    <s v="L000009969"/>
    <s v="Distribution Advancement -G"/>
    <m/>
    <x v="2"/>
    <x v="0"/>
    <x v="0"/>
    <x v="2"/>
    <m/>
    <m/>
    <s v="Phoebe Anne Fortaleza"/>
  </r>
  <r>
    <n v="2414"/>
    <x v="2"/>
    <x v="64"/>
    <s v="L000011127"/>
    <s v="GSS  Business &amp; Market Services"/>
    <m/>
    <x v="2"/>
    <x v="0"/>
    <x v="0"/>
    <x v="2"/>
    <m/>
    <m/>
    <s v="Phoebe Anne Fortaleza"/>
  </r>
  <r>
    <n v="2415"/>
    <x v="2"/>
    <x v="64"/>
    <s v="L000011352"/>
    <s v="GSS - STO"/>
    <m/>
    <x v="2"/>
    <x v="0"/>
    <x v="0"/>
    <x v="2"/>
    <m/>
    <m/>
    <s v="Phoebe Anne Fortaleza"/>
  </r>
  <r>
    <n v="2416"/>
    <x v="2"/>
    <x v="64"/>
    <s v="L000013119"/>
    <s v="Legal Entity Transformation"/>
    <m/>
    <x v="2"/>
    <x v="0"/>
    <x v="0"/>
    <x v="2"/>
    <m/>
    <m/>
    <s v="Phoebe Anne Fortaleza"/>
  </r>
  <r>
    <n v="2417"/>
    <x v="2"/>
    <x v="65"/>
    <s v="L000012931"/>
    <m/>
    <s v="L000005327"/>
    <x v="1"/>
    <x v="0"/>
    <x v="0"/>
    <x v="2"/>
    <m/>
    <m/>
    <s v="Phoebe Anne Fortaleza"/>
  </r>
  <r>
    <n v="2418"/>
    <x v="2"/>
    <x v="65"/>
    <s v="L000005430"/>
    <m/>
    <s v="L000005300"/>
    <x v="1"/>
    <x v="0"/>
    <x v="0"/>
    <x v="2"/>
    <m/>
    <m/>
    <s v="Phoebe Anne Fortaleza"/>
  </r>
  <r>
    <n v="2419"/>
    <x v="2"/>
    <x v="65"/>
    <s v="L000005433"/>
    <m/>
    <s v="L000005300"/>
    <x v="1"/>
    <x v="0"/>
    <x v="0"/>
    <x v="2"/>
    <m/>
    <m/>
    <s v="Phoebe Anne Fortaleza"/>
  </r>
  <r>
    <n v="2420"/>
    <x v="2"/>
    <x v="65"/>
    <s v="L000005447"/>
    <m/>
    <s v="L000005300"/>
    <x v="1"/>
    <x v="0"/>
    <x v="0"/>
    <x v="2"/>
    <m/>
    <m/>
    <s v="Phoebe Anne Fortaleza"/>
  </r>
  <r>
    <n v="2421"/>
    <x v="2"/>
    <x v="65"/>
    <s v="L000007835"/>
    <m/>
    <s v="L000005300"/>
    <x v="1"/>
    <x v="0"/>
    <x v="0"/>
    <x v="2"/>
    <m/>
    <m/>
    <s v="Phoebe Anne Fortaleza"/>
  </r>
  <r>
    <n v="2422"/>
    <x v="2"/>
    <x v="65"/>
    <s v="L000013172"/>
    <m/>
    <s v="L000005300"/>
    <x v="1"/>
    <x v="0"/>
    <x v="0"/>
    <x v="2"/>
    <m/>
    <m/>
    <s v="Phoebe Anne Fortaleza"/>
  </r>
  <r>
    <n v="2423"/>
    <x v="2"/>
    <x v="65"/>
    <s v="L000006014"/>
    <m/>
    <s v="L000013696"/>
    <x v="1"/>
    <x v="0"/>
    <x v="0"/>
    <x v="2"/>
    <m/>
    <m/>
    <s v="Phoebe Anne Fortaleza"/>
  </r>
  <r>
    <n v="2424"/>
    <x v="2"/>
    <x v="65"/>
    <s v="L000006016"/>
    <m/>
    <s v="L000013695"/>
    <x v="1"/>
    <x v="0"/>
    <x v="0"/>
    <x v="2"/>
    <m/>
    <m/>
    <s v="Phoebe Anne Fortaleza"/>
  </r>
  <r>
    <n v="2425"/>
    <x v="2"/>
    <x v="65"/>
    <s v="L000006035"/>
    <m/>
    <s v="L000013695"/>
    <x v="1"/>
    <x v="0"/>
    <x v="0"/>
    <x v="2"/>
    <m/>
    <m/>
    <s v="Phoebe Anne Fortaleza"/>
  </r>
  <r>
    <n v="2426"/>
    <x v="2"/>
    <x v="65"/>
    <s v="L000006051"/>
    <m/>
    <s v="L000013695"/>
    <x v="1"/>
    <x v="0"/>
    <x v="0"/>
    <x v="2"/>
    <m/>
    <m/>
    <s v="Phoebe Anne Fortaleza"/>
  </r>
  <r>
    <n v="2427"/>
    <x v="2"/>
    <x v="65"/>
    <s v="L000006054"/>
    <m/>
    <s v="L000013695"/>
    <x v="1"/>
    <x v="0"/>
    <x v="0"/>
    <x v="2"/>
    <m/>
    <m/>
    <s v="Phoebe Anne Fortaleza"/>
  </r>
  <r>
    <n v="2428"/>
    <x v="2"/>
    <x v="65"/>
    <s v="L000006061"/>
    <m/>
    <s v="L000013695"/>
    <x v="1"/>
    <x v="0"/>
    <x v="0"/>
    <x v="2"/>
    <m/>
    <m/>
    <s v="Phoebe Anne Fortaleza"/>
  </r>
  <r>
    <n v="2429"/>
    <x v="2"/>
    <x v="65"/>
    <s v="L000006064"/>
    <m/>
    <s v="L000013695"/>
    <x v="1"/>
    <x v="0"/>
    <x v="0"/>
    <x v="2"/>
    <m/>
    <m/>
    <s v="Phoebe Anne Fortaleza"/>
  </r>
  <r>
    <n v="2430"/>
    <x v="2"/>
    <x v="65"/>
    <s v="L000006069"/>
    <m/>
    <s v="L000013695"/>
    <x v="1"/>
    <x v="0"/>
    <x v="0"/>
    <x v="2"/>
    <m/>
    <m/>
    <s v="Phoebe Anne Fortaleza"/>
  </r>
  <r>
    <n v="2431"/>
    <x v="2"/>
    <x v="65"/>
    <s v="L000006072"/>
    <m/>
    <s v="L000013695"/>
    <x v="1"/>
    <x v="0"/>
    <x v="0"/>
    <x v="2"/>
    <m/>
    <m/>
    <s v="Phoebe Anne Fortaleza"/>
  </r>
  <r>
    <n v="2432"/>
    <x v="2"/>
    <x v="65"/>
    <s v="L000006074"/>
    <m/>
    <s v="L000013695"/>
    <x v="1"/>
    <x v="0"/>
    <x v="0"/>
    <x v="2"/>
    <m/>
    <m/>
    <s v="Phoebe Anne Fortaleza"/>
  </r>
  <r>
    <n v="2433"/>
    <x v="2"/>
    <x v="65"/>
    <s v="L000013195"/>
    <m/>
    <s v="L000013694"/>
    <x v="1"/>
    <x v="0"/>
    <x v="0"/>
    <x v="2"/>
    <m/>
    <m/>
    <s v="Phoebe Anne Fortaleza"/>
  </r>
  <r>
    <n v="2434"/>
    <x v="2"/>
    <x v="65"/>
    <s v="L000013198"/>
    <m/>
    <s v="L000006092 "/>
    <x v="1"/>
    <x v="0"/>
    <x v="0"/>
    <x v="2"/>
    <m/>
    <m/>
    <s v="Phoebe Anne Fortaleza"/>
  </r>
  <r>
    <n v="2435"/>
    <x v="2"/>
    <x v="65"/>
    <s v="L000006103"/>
    <m/>
    <s v="L000013700"/>
    <x v="1"/>
    <x v="0"/>
    <x v="0"/>
    <x v="2"/>
    <m/>
    <m/>
    <s v="Phoebe Anne Fortaleza"/>
  </r>
  <r>
    <n v="2436"/>
    <x v="2"/>
    <x v="65"/>
    <s v="L000006104"/>
    <m/>
    <s v="L000013700"/>
    <x v="1"/>
    <x v="0"/>
    <x v="0"/>
    <x v="2"/>
    <m/>
    <m/>
    <s v="Phoebe Anne Fortaleza"/>
  </r>
  <r>
    <n v="2437"/>
    <x v="2"/>
    <x v="65"/>
    <s v="L000006107"/>
    <m/>
    <s v="L000013700"/>
    <x v="1"/>
    <x v="0"/>
    <x v="0"/>
    <x v="2"/>
    <m/>
    <m/>
    <s v="Phoebe Anne Fortaleza"/>
  </r>
  <r>
    <n v="2438"/>
    <x v="2"/>
    <x v="65"/>
    <s v="L000006108"/>
    <m/>
    <s v="L000013700"/>
    <x v="1"/>
    <x v="0"/>
    <x v="0"/>
    <x v="2"/>
    <m/>
    <m/>
    <s v="Phoebe Anne Fortaleza"/>
  </r>
  <r>
    <n v="2439"/>
    <x v="2"/>
    <x v="65"/>
    <s v="L000006111"/>
    <m/>
    <s v="L000011883"/>
    <x v="1"/>
    <x v="0"/>
    <x v="0"/>
    <x v="2"/>
    <m/>
    <m/>
    <s v="Phoebe Anne Fortaleza"/>
  </r>
  <r>
    <n v="2440"/>
    <x v="2"/>
    <x v="65"/>
    <s v="L000006112"/>
    <m/>
    <s v="L000011883"/>
    <x v="1"/>
    <x v="0"/>
    <x v="0"/>
    <x v="2"/>
    <m/>
    <m/>
    <s v="Phoebe Anne Fortaleza"/>
  </r>
  <r>
    <n v="2441"/>
    <x v="2"/>
    <x v="65"/>
    <s v="L000006117"/>
    <m/>
    <s v="L000013700"/>
    <x v="1"/>
    <x v="0"/>
    <x v="0"/>
    <x v="2"/>
    <m/>
    <m/>
    <s v="Phoebe Anne Fortaleza"/>
  </r>
  <r>
    <n v="2442"/>
    <x v="2"/>
    <x v="65"/>
    <s v="L000006120"/>
    <m/>
    <s v="L000013699"/>
    <x v="1"/>
    <x v="0"/>
    <x v="0"/>
    <x v="2"/>
    <m/>
    <m/>
    <s v="Phoebe Anne Fortaleza"/>
  </r>
  <r>
    <n v="2443"/>
    <x v="2"/>
    <x v="65"/>
    <s v="L000006121"/>
    <m/>
    <s v="L000013699"/>
    <x v="1"/>
    <x v="0"/>
    <x v="0"/>
    <x v="2"/>
    <m/>
    <m/>
    <s v="Phoebe Anne Fortaleza"/>
  </r>
  <r>
    <n v="2444"/>
    <x v="2"/>
    <x v="65"/>
    <s v="L000006137"/>
    <m/>
    <s v="L000013699"/>
    <x v="1"/>
    <x v="0"/>
    <x v="0"/>
    <x v="2"/>
    <m/>
    <m/>
    <s v="Phoebe Anne Fortaleza"/>
  </r>
  <r>
    <n v="2445"/>
    <x v="2"/>
    <x v="65"/>
    <s v="L000006126"/>
    <m/>
    <s v="L000013699"/>
    <x v="1"/>
    <x v="0"/>
    <x v="0"/>
    <x v="2"/>
    <m/>
    <m/>
    <s v="Phoebe Anne Fortaleza"/>
  </r>
  <r>
    <n v="2446"/>
    <x v="2"/>
    <x v="65"/>
    <s v="L000006127"/>
    <m/>
    <s v="L000013699"/>
    <x v="1"/>
    <x v="0"/>
    <x v="0"/>
    <x v="2"/>
    <m/>
    <m/>
    <s v="Phoebe Anne Fortaleza"/>
  </r>
  <r>
    <n v="2447"/>
    <x v="2"/>
    <x v="65"/>
    <s v="L000006128"/>
    <m/>
    <s v="L000013699"/>
    <x v="1"/>
    <x v="0"/>
    <x v="0"/>
    <x v="2"/>
    <m/>
    <m/>
    <s v="Phoebe Anne Fortaleza"/>
  </r>
  <r>
    <n v="2448"/>
    <x v="2"/>
    <x v="65"/>
    <s v="L000006133"/>
    <m/>
    <s v="L000013699"/>
    <x v="1"/>
    <x v="0"/>
    <x v="0"/>
    <x v="2"/>
    <m/>
    <m/>
    <s v="Phoebe Anne Fortaleza"/>
  </r>
  <r>
    <n v="2449"/>
    <x v="2"/>
    <x v="65"/>
    <s v="L000006140"/>
    <m/>
    <s v="L000013699"/>
    <x v="1"/>
    <x v="0"/>
    <x v="0"/>
    <x v="2"/>
    <m/>
    <m/>
    <s v="Phoebe Anne Fortaleza"/>
  </r>
  <r>
    <n v="2450"/>
    <x v="2"/>
    <x v="65"/>
    <s v="L000006145"/>
    <m/>
    <s v="L000013698"/>
    <x v="1"/>
    <x v="0"/>
    <x v="0"/>
    <x v="2"/>
    <m/>
    <m/>
    <s v="Phoebe Anne Fortaleza"/>
  </r>
  <r>
    <n v="2451"/>
    <x v="2"/>
    <x v="65"/>
    <s v="L000006146"/>
    <m/>
    <s v="L000013698"/>
    <x v="1"/>
    <x v="0"/>
    <x v="0"/>
    <x v="2"/>
    <m/>
    <m/>
    <s v="Phoebe Anne Fortaleza"/>
  </r>
  <r>
    <n v="2452"/>
    <x v="2"/>
    <x v="65"/>
    <s v="L000008466"/>
    <m/>
    <s v="L000011883"/>
    <x v="1"/>
    <x v="0"/>
    <x v="0"/>
    <x v="2"/>
    <m/>
    <m/>
    <s v="Phoebe Anne Fortaleza"/>
  </r>
  <r>
    <n v="2453"/>
    <x v="2"/>
    <x v="65"/>
    <s v="L000008480"/>
    <m/>
    <s v="L000011883"/>
    <x v="1"/>
    <x v="0"/>
    <x v="0"/>
    <x v="2"/>
    <m/>
    <m/>
    <s v="Phoebe Anne Fortaleza"/>
  </r>
  <r>
    <n v="2454"/>
    <x v="2"/>
    <x v="65"/>
    <s v="L000008492"/>
    <m/>
    <s v="L000011883"/>
    <x v="1"/>
    <x v="0"/>
    <x v="0"/>
    <x v="2"/>
    <m/>
    <m/>
    <s v="Phoebe Anne Fortaleza"/>
  </r>
  <r>
    <n v="2455"/>
    <x v="2"/>
    <x v="65"/>
    <s v="L000008505"/>
    <m/>
    <s v="L000011883"/>
    <x v="1"/>
    <x v="0"/>
    <x v="0"/>
    <x v="2"/>
    <m/>
    <m/>
    <s v="Phoebe Anne Fortaleza"/>
  </r>
  <r>
    <n v="2456"/>
    <x v="2"/>
    <x v="65"/>
    <s v="L000008517"/>
    <m/>
    <s v="L000011883"/>
    <x v="1"/>
    <x v="0"/>
    <x v="0"/>
    <x v="2"/>
    <m/>
    <m/>
    <s v="Phoebe Anne Fortaleza"/>
  </r>
  <r>
    <n v="2457"/>
    <x v="2"/>
    <x v="65"/>
    <s v="L000008529"/>
    <m/>
    <s v="L000011883"/>
    <x v="1"/>
    <x v="0"/>
    <x v="0"/>
    <x v="2"/>
    <m/>
    <m/>
    <s v="Phoebe Anne Fortaleza"/>
  </r>
  <r>
    <n v="2458"/>
    <x v="2"/>
    <x v="65"/>
    <s v="L000011884"/>
    <m/>
    <s v="L000011883"/>
    <x v="1"/>
    <x v="0"/>
    <x v="0"/>
    <x v="2"/>
    <m/>
    <m/>
    <s v="Phoebe Anne Fortaleza"/>
  </r>
  <r>
    <n v="2459"/>
    <x v="2"/>
    <x v="65"/>
    <s v="L000012442"/>
    <m/>
    <s v="L000013697"/>
    <x v="1"/>
    <x v="0"/>
    <x v="0"/>
    <x v="2"/>
    <m/>
    <m/>
    <s v="Phoebe Anne Fortaleza"/>
  </r>
  <r>
    <n v="2460"/>
    <x v="2"/>
    <x v="65"/>
    <s v="L000012016"/>
    <m/>
    <s v="L000013697"/>
    <x v="1"/>
    <x v="0"/>
    <x v="0"/>
    <x v="2"/>
    <m/>
    <m/>
    <s v="Phoebe Anne Fortaleza"/>
  </r>
  <r>
    <n v="2461"/>
    <x v="2"/>
    <x v="65"/>
    <s v="L000006105"/>
    <m/>
    <s v="L000013700"/>
    <x v="1"/>
    <x v="0"/>
    <x v="0"/>
    <x v="2"/>
    <m/>
    <m/>
    <s v="Phoebe Anne Fortaleza"/>
  </r>
  <r>
    <n v="2462"/>
    <x v="2"/>
    <x v="65"/>
    <s v="L000006106"/>
    <m/>
    <s v="L000013700"/>
    <x v="1"/>
    <x v="0"/>
    <x v="0"/>
    <x v="2"/>
    <m/>
    <m/>
    <s v="Phoebe Anne Fortaleza"/>
  </r>
  <r>
    <n v="2463"/>
    <x v="2"/>
    <x v="65"/>
    <s v="L000006109"/>
    <m/>
    <s v="L000013700"/>
    <x v="1"/>
    <x v="0"/>
    <x v="0"/>
    <x v="2"/>
    <m/>
    <m/>
    <s v="Phoebe Anne Fortaleza"/>
  </r>
  <r>
    <n v="2464"/>
    <x v="2"/>
    <x v="65"/>
    <s v="L000006110"/>
    <m/>
    <s v="L000013700"/>
    <x v="1"/>
    <x v="0"/>
    <x v="0"/>
    <x v="2"/>
    <m/>
    <m/>
    <s v="Phoebe Anne Fortaleza"/>
  </r>
  <r>
    <n v="2465"/>
    <x v="2"/>
    <x v="65"/>
    <s v="L000006113"/>
    <m/>
    <s v="L000013700"/>
    <x v="1"/>
    <x v="0"/>
    <x v="0"/>
    <x v="2"/>
    <m/>
    <m/>
    <s v="Phoebe Anne Fortaleza"/>
  </r>
  <r>
    <n v="2466"/>
    <x v="2"/>
    <x v="65"/>
    <s v="L000006114"/>
    <m/>
    <s v="L000013700"/>
    <x v="1"/>
    <x v="0"/>
    <x v="0"/>
    <x v="2"/>
    <m/>
    <m/>
    <s v="Phoebe Anne Fortaleza"/>
  </r>
  <r>
    <n v="2467"/>
    <x v="2"/>
    <x v="65"/>
    <s v="L000006115"/>
    <m/>
    <s v="L000013700"/>
    <x v="1"/>
    <x v="0"/>
    <x v="0"/>
    <x v="2"/>
    <m/>
    <m/>
    <s v="Phoebe Anne Fortaleza"/>
  </r>
  <r>
    <n v="2468"/>
    <x v="2"/>
    <x v="65"/>
    <s v="L000006116"/>
    <m/>
    <s v="L000013700"/>
    <x v="1"/>
    <x v="0"/>
    <x v="0"/>
    <x v="2"/>
    <m/>
    <m/>
    <s v="Phoebe Anne Fortaleza"/>
  </r>
  <r>
    <n v="2469"/>
    <x v="2"/>
    <x v="65"/>
    <s v="L000006122"/>
    <m/>
    <s v="L000013699"/>
    <x v="1"/>
    <x v="0"/>
    <x v="0"/>
    <x v="2"/>
    <m/>
    <m/>
    <s v="Phoebe Anne Fortaleza"/>
  </r>
  <r>
    <n v="2470"/>
    <x v="2"/>
    <x v="65"/>
    <s v="L000006123"/>
    <m/>
    <s v="L000013699"/>
    <x v="1"/>
    <x v="0"/>
    <x v="0"/>
    <x v="2"/>
    <m/>
    <m/>
    <s v="Phoebe Anne Fortaleza"/>
  </r>
  <r>
    <n v="2471"/>
    <x v="2"/>
    <x v="65"/>
    <s v="L000006124"/>
    <m/>
    <s v="L000013699"/>
    <x v="1"/>
    <x v="0"/>
    <x v="0"/>
    <x v="2"/>
    <m/>
    <m/>
    <s v="Phoebe Anne Fortaleza"/>
  </r>
  <r>
    <n v="2472"/>
    <x v="2"/>
    <x v="65"/>
    <s v="L000006125"/>
    <m/>
    <s v="L000013699"/>
    <x v="1"/>
    <x v="0"/>
    <x v="0"/>
    <x v="2"/>
    <m/>
    <m/>
    <s v="Phoebe Anne Fortaleza"/>
  </r>
  <r>
    <n v="2473"/>
    <x v="2"/>
    <x v="65"/>
    <s v="L000006132"/>
    <m/>
    <s v="L000013699"/>
    <x v="1"/>
    <x v="0"/>
    <x v="0"/>
    <x v="2"/>
    <m/>
    <m/>
    <s v="Phoebe Anne Fortaleza"/>
  </r>
  <r>
    <n v="2474"/>
    <x v="2"/>
    <x v="65"/>
    <s v="L000006129"/>
    <m/>
    <s v="L000013699"/>
    <x v="1"/>
    <x v="0"/>
    <x v="0"/>
    <x v="2"/>
    <m/>
    <m/>
    <s v="Phoebe Anne Fortaleza"/>
  </r>
  <r>
    <n v="2475"/>
    <x v="2"/>
    <x v="65"/>
    <s v="L000006130"/>
    <m/>
    <s v="L000013699"/>
    <x v="1"/>
    <x v="0"/>
    <x v="0"/>
    <x v="2"/>
    <m/>
    <m/>
    <s v="Phoebe Anne Fortaleza"/>
  </r>
  <r>
    <n v="2476"/>
    <x v="2"/>
    <x v="65"/>
    <s v="L000006134"/>
    <m/>
    <s v="L000013699"/>
    <x v="1"/>
    <x v="0"/>
    <x v="0"/>
    <x v="2"/>
    <m/>
    <m/>
    <s v="Phoebe Anne Fortaleza"/>
  </r>
  <r>
    <n v="2477"/>
    <x v="2"/>
    <x v="65"/>
    <s v="L000006141"/>
    <m/>
    <s v="L000013699"/>
    <x v="1"/>
    <x v="0"/>
    <x v="0"/>
    <x v="2"/>
    <m/>
    <m/>
    <s v="Phoebe Anne Fortaleza"/>
  </r>
  <r>
    <n v="2478"/>
    <x v="2"/>
    <x v="65"/>
    <s v="L000006131"/>
    <m/>
    <s v="L000013699"/>
    <x v="1"/>
    <x v="0"/>
    <x v="0"/>
    <x v="2"/>
    <m/>
    <m/>
    <s v="Phoebe Anne Fortaleza"/>
  </r>
  <r>
    <n v="2479"/>
    <x v="2"/>
    <x v="65"/>
    <s v="L000006138"/>
    <m/>
    <s v="L000013699"/>
    <x v="1"/>
    <x v="0"/>
    <x v="0"/>
    <x v="2"/>
    <m/>
    <m/>
    <s v="Phoebe Anne Fortaleza"/>
  </r>
  <r>
    <n v="2480"/>
    <x v="2"/>
    <x v="65"/>
    <s v="L000006139"/>
    <m/>
    <s v="L000013699"/>
    <x v="1"/>
    <x v="0"/>
    <x v="0"/>
    <x v="2"/>
    <m/>
    <m/>
    <s v="Phoebe Anne Fortaleza"/>
  </r>
  <r>
    <n v="2481"/>
    <x v="2"/>
    <x v="65"/>
    <s v="L000006142"/>
    <m/>
    <s v="L000013698"/>
    <x v="1"/>
    <x v="0"/>
    <x v="0"/>
    <x v="2"/>
    <m/>
    <m/>
    <s v="Phoebe Anne Fortaleza"/>
  </r>
  <r>
    <n v="2482"/>
    <x v="2"/>
    <x v="65"/>
    <s v="L000006143"/>
    <m/>
    <s v="L000013699"/>
    <x v="1"/>
    <x v="0"/>
    <x v="0"/>
    <x v="2"/>
    <m/>
    <m/>
    <s v="Phoebe Anne Fortaleza"/>
  </r>
  <r>
    <n v="2483"/>
    <x v="2"/>
    <x v="65"/>
    <s v="L000006144"/>
    <m/>
    <s v="L000013699"/>
    <x v="1"/>
    <x v="0"/>
    <x v="0"/>
    <x v="2"/>
    <m/>
    <m/>
    <s v="Phoebe Anne Fortaleza"/>
  </r>
  <r>
    <n v="2484"/>
    <x v="2"/>
    <x v="65"/>
    <s v="L000006147"/>
    <m/>
    <s v="L000013699"/>
    <x v="1"/>
    <x v="0"/>
    <x v="0"/>
    <x v="2"/>
    <m/>
    <m/>
    <s v="Phoebe Anne Fortaleza"/>
  </r>
  <r>
    <n v="2485"/>
    <x v="2"/>
    <x v="65"/>
    <s v="L000006135"/>
    <m/>
    <s v="L000013699"/>
    <x v="1"/>
    <x v="0"/>
    <x v="0"/>
    <x v="2"/>
    <m/>
    <m/>
    <s v="Phoebe Anne Fortaleza"/>
  </r>
  <r>
    <n v="2486"/>
    <x v="2"/>
    <x v="65"/>
    <s v="L000006148"/>
    <m/>
    <s v="L000013699"/>
    <x v="1"/>
    <x v="0"/>
    <x v="0"/>
    <x v="2"/>
    <m/>
    <m/>
    <s v="Phoebe Anne Fortaleza"/>
  </r>
  <r>
    <n v="2487"/>
    <x v="2"/>
    <x v="65"/>
    <s v="L000006149"/>
    <m/>
    <s v="L000013699"/>
    <x v="1"/>
    <x v="0"/>
    <x v="0"/>
    <x v="2"/>
    <m/>
    <m/>
    <s v="Phoebe Anne Fortaleza"/>
  </r>
  <r>
    <n v="2488"/>
    <x v="2"/>
    <x v="65"/>
    <s v="L000006136"/>
    <m/>
    <s v="L000013699"/>
    <x v="1"/>
    <x v="0"/>
    <x v="0"/>
    <x v="2"/>
    <m/>
    <m/>
    <s v="Phoebe Anne Fortaleza"/>
  </r>
  <r>
    <n v="2489"/>
    <x v="2"/>
    <x v="65"/>
    <s v="L000006150"/>
    <m/>
    <s v="L000013699"/>
    <x v="1"/>
    <x v="0"/>
    <x v="0"/>
    <x v="2"/>
    <m/>
    <m/>
    <s v="Phoebe Anne Fortaleza"/>
  </r>
  <r>
    <n v="2490"/>
    <x v="2"/>
    <x v="65"/>
    <s v="L000012441"/>
    <m/>
    <s v="L000013699"/>
    <x v="1"/>
    <x v="0"/>
    <x v="0"/>
    <x v="2"/>
    <m/>
    <m/>
    <s v="Phoebe Anne Fortaleza"/>
  </r>
  <r>
    <n v="2491"/>
    <x v="2"/>
    <x v="65"/>
    <s v="L000006119"/>
    <m/>
    <s v="L000013699"/>
    <x v="1"/>
    <x v="0"/>
    <x v="0"/>
    <x v="2"/>
    <m/>
    <m/>
    <s v="Phoebe Anne Fortaleza"/>
  </r>
  <r>
    <n v="2492"/>
    <x v="2"/>
    <x v="65"/>
    <s v="L000012443"/>
    <m/>
    <s v="L000013699"/>
    <x v="1"/>
    <x v="0"/>
    <x v="0"/>
    <x v="2"/>
    <m/>
    <m/>
    <s v="Phoebe Anne Fortaleza"/>
  </r>
  <r>
    <n v="2493"/>
    <x v="2"/>
    <x v="65"/>
    <s v="L000012917"/>
    <m/>
    <s v="L000013699"/>
    <x v="1"/>
    <x v="0"/>
    <x v="0"/>
    <x v="2"/>
    <m/>
    <m/>
    <s v="Phoebe Anne Fortaleza"/>
  </r>
  <r>
    <n v="2494"/>
    <x v="2"/>
    <x v="65"/>
    <s v="L000006151"/>
    <m/>
    <s v="L000013701"/>
    <x v="1"/>
    <x v="0"/>
    <x v="0"/>
    <x v="2"/>
    <m/>
    <m/>
    <s v="Phoebe Anne Fortaleza"/>
  </r>
  <r>
    <n v="2495"/>
    <x v="2"/>
    <x v="65"/>
    <s v="L000005994"/>
    <m/>
    <s v="L000013702"/>
    <x v="1"/>
    <x v="0"/>
    <x v="0"/>
    <x v="2"/>
    <m/>
    <m/>
    <s v="Phoebe Anne Fortaleza"/>
  </r>
  <r>
    <n v="2496"/>
    <x v="2"/>
    <x v="65"/>
    <s v="L000005995"/>
    <m/>
    <s v="L000013702"/>
    <x v="1"/>
    <x v="0"/>
    <x v="0"/>
    <x v="2"/>
    <m/>
    <m/>
    <s v="Phoebe Anne Fortaleza"/>
  </r>
  <r>
    <n v="2497"/>
    <x v="2"/>
    <x v="65"/>
    <s v="L000006171"/>
    <m/>
    <s v="L000013696"/>
    <x v="1"/>
    <x v="0"/>
    <x v="0"/>
    <x v="2"/>
    <m/>
    <m/>
    <s v="Phoebe Anne Fortaleza"/>
  </r>
  <r>
    <n v="2498"/>
    <x v="2"/>
    <x v="65"/>
    <s v="L000006209"/>
    <m/>
    <s v="L000013703"/>
    <x v="1"/>
    <x v="0"/>
    <x v="0"/>
    <x v="2"/>
    <m/>
    <m/>
    <s v="Phoebe Anne Fortaleza"/>
  </r>
  <r>
    <n v="2499"/>
    <x v="2"/>
    <x v="65"/>
    <s v="L000012335"/>
    <m/>
    <s v="L000013701"/>
    <x v="1"/>
    <x v="0"/>
    <x v="0"/>
    <x v="2"/>
    <m/>
    <m/>
    <s v="Phoebe Anne Fortaleza"/>
  </r>
  <r>
    <n v="2500"/>
    <x v="2"/>
    <x v="65"/>
    <s v="L000007771"/>
    <m/>
    <s v="L000013705"/>
    <x v="1"/>
    <x v="0"/>
    <x v="0"/>
    <x v="2"/>
    <m/>
    <m/>
    <s v="Phoebe Anne Fortaleza"/>
  </r>
  <r>
    <n v="2501"/>
    <x v="2"/>
    <x v="65"/>
    <s v="L000007817"/>
    <m/>
    <s v="L000013706"/>
    <x v="1"/>
    <x v="0"/>
    <x v="0"/>
    <x v="2"/>
    <m/>
    <m/>
    <s v="Phoebe Anne Fortaleza"/>
  </r>
  <r>
    <n v="2502"/>
    <x v="2"/>
    <x v="65"/>
    <s v="L000013170"/>
    <m/>
    <s v="L000013706"/>
    <x v="1"/>
    <x v="0"/>
    <x v="0"/>
    <x v="2"/>
    <m/>
    <m/>
    <s v="Phoebe Anne Fortaleza"/>
  </r>
  <r>
    <n v="2503"/>
    <x v="2"/>
    <x v="65"/>
    <s v="L000013503"/>
    <m/>
    <s v="L000013705"/>
    <x v="1"/>
    <x v="0"/>
    <x v="0"/>
    <x v="2"/>
    <m/>
    <m/>
    <s v="Phoebe Anne Fortaleza"/>
  </r>
  <r>
    <n v="2504"/>
    <x v="2"/>
    <x v="65"/>
    <s v="L000005852"/>
    <m/>
    <s v="L000008422"/>
    <x v="1"/>
    <x v="0"/>
    <x v="0"/>
    <x v="2"/>
    <m/>
    <m/>
    <s v="Phoebe Anne Fortaleza"/>
  </r>
  <r>
    <n v="2505"/>
    <x v="2"/>
    <x v="65"/>
    <s v="L000008817"/>
    <m/>
    <s v="L000013708"/>
    <x v="1"/>
    <x v="0"/>
    <x v="0"/>
    <x v="2"/>
    <m/>
    <m/>
    <s v="Phoebe Anne Fortaleza"/>
  </r>
  <r>
    <n v="2506"/>
    <x v="2"/>
    <x v="65"/>
    <s v="L000008818"/>
    <m/>
    <s v="L000013708"/>
    <x v="1"/>
    <x v="0"/>
    <x v="0"/>
    <x v="2"/>
    <m/>
    <m/>
    <s v="Phoebe Anne Fortaleza"/>
  </r>
  <r>
    <n v="2507"/>
    <x v="2"/>
    <x v="65"/>
    <s v="L000008823"/>
    <m/>
    <s v="L000013708"/>
    <x v="1"/>
    <x v="0"/>
    <x v="0"/>
    <x v="2"/>
    <m/>
    <m/>
    <s v="Phoebe Anne Fortaleza"/>
  </r>
  <r>
    <n v="2508"/>
    <x v="2"/>
    <x v="65"/>
    <s v="L000008824"/>
    <m/>
    <s v="L000013708"/>
    <x v="1"/>
    <x v="0"/>
    <x v="0"/>
    <x v="2"/>
    <m/>
    <m/>
    <s v="Phoebe Anne Fortaleza"/>
  </r>
  <r>
    <n v="2509"/>
    <x v="2"/>
    <x v="65"/>
    <s v="L000008825"/>
    <m/>
    <s v="L000013708"/>
    <x v="1"/>
    <x v="0"/>
    <x v="0"/>
    <x v="2"/>
    <m/>
    <m/>
    <s v="Phoebe Anne Fortaleza"/>
  </r>
  <r>
    <n v="2510"/>
    <x v="2"/>
    <x v="65"/>
    <s v="L000008826"/>
    <m/>
    <s v="L000013708"/>
    <x v="1"/>
    <x v="0"/>
    <x v="0"/>
    <x v="2"/>
    <m/>
    <m/>
    <s v="Phoebe Anne Fortaleza"/>
  </r>
  <r>
    <n v="2511"/>
    <x v="2"/>
    <x v="65"/>
    <s v="L000008827"/>
    <m/>
    <s v="L000013708"/>
    <x v="1"/>
    <x v="0"/>
    <x v="0"/>
    <x v="2"/>
    <m/>
    <m/>
    <s v="Phoebe Anne Fortaleza"/>
  </r>
  <r>
    <n v="2512"/>
    <x v="2"/>
    <x v="65"/>
    <s v="L000008839"/>
    <m/>
    <s v="L000008828"/>
    <x v="1"/>
    <x v="0"/>
    <x v="0"/>
    <x v="2"/>
    <m/>
    <m/>
    <s v="Phoebe Anne Fortaleza"/>
  </r>
  <r>
    <n v="2513"/>
    <x v="2"/>
    <x v="65"/>
    <s v="L000008934"/>
    <m/>
    <s v="L000013707"/>
    <x v="1"/>
    <x v="0"/>
    <x v="0"/>
    <x v="2"/>
    <m/>
    <m/>
    <s v="Phoebe Anne Fortaleza"/>
  </r>
  <r>
    <n v="2514"/>
    <x v="2"/>
    <x v="65"/>
    <s v="L000008941"/>
    <m/>
    <s v="L000011823"/>
    <x v="1"/>
    <x v="0"/>
    <x v="0"/>
    <x v="2"/>
    <m/>
    <m/>
    <s v="Phoebe Anne Fortaleza"/>
  </r>
  <r>
    <n v="2515"/>
    <x v="2"/>
    <x v="65"/>
    <s v="L000008942"/>
    <m/>
    <s v="L000013707"/>
    <x v="1"/>
    <x v="0"/>
    <x v="0"/>
    <x v="2"/>
    <m/>
    <m/>
    <s v="Phoebe Anne Fortaleza"/>
  </r>
  <r>
    <n v="2516"/>
    <x v="2"/>
    <x v="65"/>
    <s v="L000012786"/>
    <m/>
    <s v="L000011823"/>
    <x v="1"/>
    <x v="0"/>
    <x v="0"/>
    <x v="2"/>
    <m/>
    <m/>
    <s v="Phoebe Anne Fortaleza"/>
  </r>
  <r>
    <n v="2517"/>
    <x v="2"/>
    <x v="65"/>
    <s v="L000008944"/>
    <m/>
    <s v="L000011826"/>
    <x v="1"/>
    <x v="0"/>
    <x v="0"/>
    <x v="2"/>
    <m/>
    <m/>
    <s v="Phoebe Anne Fortaleza"/>
  </r>
  <r>
    <n v="2518"/>
    <x v="2"/>
    <x v="65"/>
    <s v="L000008945"/>
    <m/>
    <s v="L000011826"/>
    <x v="1"/>
    <x v="0"/>
    <x v="0"/>
    <x v="2"/>
    <m/>
    <m/>
    <s v="Phoebe Anne Fortaleza"/>
  </r>
  <r>
    <n v="2519"/>
    <x v="2"/>
    <x v="65"/>
    <s v="L000008946"/>
    <m/>
    <s v="L000013707"/>
    <x v="1"/>
    <x v="0"/>
    <x v="0"/>
    <x v="2"/>
    <m/>
    <m/>
    <s v="Phoebe Anne Fortaleza"/>
  </r>
  <r>
    <n v="2520"/>
    <x v="2"/>
    <x v="65"/>
    <s v="L000008949"/>
    <m/>
    <s v="L000011825"/>
    <x v="1"/>
    <x v="0"/>
    <x v="0"/>
    <x v="2"/>
    <m/>
    <m/>
    <s v="Phoebe Anne Fortaleza"/>
  </r>
  <r>
    <n v="2521"/>
    <x v="2"/>
    <x v="65"/>
    <s v="L000008950"/>
    <m/>
    <s v="L000013707"/>
    <x v="1"/>
    <x v="0"/>
    <x v="0"/>
    <x v="2"/>
    <m/>
    <m/>
    <s v="Phoebe Anne Fortaleza"/>
  </r>
  <r>
    <n v="2522"/>
    <x v="2"/>
    <x v="65"/>
    <s v="L000008951"/>
    <m/>
    <s v="L000011825"/>
    <x v="1"/>
    <x v="0"/>
    <x v="0"/>
    <x v="2"/>
    <m/>
    <m/>
    <s v="Phoebe Anne Fortaleza"/>
  </r>
  <r>
    <n v="2523"/>
    <x v="2"/>
    <x v="65"/>
    <s v="L000008955"/>
    <m/>
    <s v="L000011827"/>
    <x v="1"/>
    <x v="0"/>
    <x v="0"/>
    <x v="2"/>
    <m/>
    <m/>
    <s v="Phoebe Anne Fortaleza"/>
  </r>
  <r>
    <n v="2524"/>
    <x v="2"/>
    <x v="65"/>
    <s v="L000012467"/>
    <m/>
    <s v="L000011827"/>
    <x v="1"/>
    <x v="0"/>
    <x v="0"/>
    <x v="2"/>
    <m/>
    <m/>
    <s v="Phoebe Anne Fortaleza"/>
  </r>
  <r>
    <n v="2525"/>
    <x v="2"/>
    <x v="65"/>
    <s v="L000012468"/>
    <m/>
    <s v="L000013707"/>
    <x v="1"/>
    <x v="0"/>
    <x v="0"/>
    <x v="2"/>
    <m/>
    <m/>
    <s v="Phoebe Anne Fortaleza"/>
  </r>
  <r>
    <n v="2526"/>
    <x v="2"/>
    <x v="65"/>
    <s v="L000011837"/>
    <m/>
    <s v="L000008982"/>
    <x v="1"/>
    <x v="0"/>
    <x v="0"/>
    <x v="2"/>
    <m/>
    <m/>
    <s v="Phoebe Anne Fortaleza"/>
  </r>
  <r>
    <n v="2527"/>
    <x v="2"/>
    <x v="65"/>
    <s v="L000010486"/>
    <m/>
    <s v="L000013727"/>
    <x v="1"/>
    <x v="0"/>
    <x v="0"/>
    <x v="2"/>
    <m/>
    <m/>
    <s v="Phoebe Anne Fortaleza"/>
  </r>
  <r>
    <n v="2528"/>
    <x v="2"/>
    <x v="65"/>
    <s v="L000010487"/>
    <m/>
    <s v="L000013727"/>
    <x v="1"/>
    <x v="0"/>
    <x v="0"/>
    <x v="2"/>
    <m/>
    <m/>
    <s v="Phoebe Anne Fortaleza"/>
  </r>
  <r>
    <n v="2529"/>
    <x v="2"/>
    <x v="65"/>
    <s v="L000010488"/>
    <m/>
    <s v="L000013727"/>
    <x v="1"/>
    <x v="0"/>
    <x v="0"/>
    <x v="2"/>
    <m/>
    <m/>
    <s v="Phoebe Anne Fortaleza"/>
  </r>
  <r>
    <n v="2530"/>
    <x v="2"/>
    <x v="65"/>
    <s v="L000010489"/>
    <m/>
    <s v="L000013727"/>
    <x v="1"/>
    <x v="0"/>
    <x v="0"/>
    <x v="2"/>
    <m/>
    <m/>
    <s v="Phoebe Anne Fortaleza"/>
  </r>
  <r>
    <n v="2531"/>
    <x v="2"/>
    <x v="65"/>
    <s v="L000010490"/>
    <m/>
    <s v="L000013726"/>
    <x v="1"/>
    <x v="0"/>
    <x v="0"/>
    <x v="2"/>
    <m/>
    <m/>
    <s v="Phoebe Anne Fortaleza"/>
  </r>
  <r>
    <n v="2532"/>
    <x v="2"/>
    <x v="65"/>
    <s v="L000010491"/>
    <m/>
    <s v="L000013726"/>
    <x v="1"/>
    <x v="0"/>
    <x v="0"/>
    <x v="2"/>
    <m/>
    <m/>
    <s v="Phoebe Anne Fortaleza"/>
  </r>
  <r>
    <n v="2533"/>
    <x v="2"/>
    <x v="65"/>
    <s v="L000010494"/>
    <m/>
    <s v="L000013727"/>
    <x v="1"/>
    <x v="0"/>
    <x v="0"/>
    <x v="2"/>
    <m/>
    <m/>
    <s v="Phoebe Anne Fortaleza"/>
  </r>
  <r>
    <n v="2534"/>
    <x v="2"/>
    <x v="65"/>
    <s v="L000010495"/>
    <m/>
    <s v="L000013727"/>
    <x v="1"/>
    <x v="0"/>
    <x v="0"/>
    <x v="2"/>
    <m/>
    <m/>
    <s v="Phoebe Anne Fortaleza"/>
  </r>
  <r>
    <n v="2535"/>
    <x v="2"/>
    <x v="65"/>
    <s v="L000010496"/>
    <m/>
    <s v="L000013727"/>
    <x v="1"/>
    <x v="0"/>
    <x v="0"/>
    <x v="2"/>
    <m/>
    <m/>
    <s v="Phoebe Anne Fortaleza"/>
  </r>
  <r>
    <n v="2536"/>
    <x v="2"/>
    <x v="65"/>
    <s v="L000010497"/>
    <m/>
    <s v="L000013727"/>
    <x v="1"/>
    <x v="0"/>
    <x v="0"/>
    <x v="2"/>
    <m/>
    <m/>
    <s v="Phoebe Anne Fortaleza"/>
  </r>
  <r>
    <n v="2537"/>
    <x v="2"/>
    <x v="65"/>
    <s v="L000010498"/>
    <m/>
    <s v="L000013727"/>
    <x v="1"/>
    <x v="0"/>
    <x v="0"/>
    <x v="2"/>
    <m/>
    <m/>
    <s v="Phoebe Anne Fortaleza"/>
  </r>
  <r>
    <n v="2538"/>
    <x v="2"/>
    <x v="65"/>
    <s v="L000010499"/>
    <m/>
    <s v="L000013727"/>
    <x v="1"/>
    <x v="0"/>
    <x v="0"/>
    <x v="2"/>
    <m/>
    <m/>
    <s v="Phoebe Anne Fortaleza"/>
  </r>
  <r>
    <n v="2539"/>
    <x v="2"/>
    <x v="65"/>
    <s v="L000010500"/>
    <m/>
    <s v="L000013727"/>
    <x v="1"/>
    <x v="0"/>
    <x v="0"/>
    <x v="2"/>
    <m/>
    <m/>
    <s v="Phoebe Anne Fortaleza"/>
  </r>
  <r>
    <n v="2540"/>
    <x v="2"/>
    <x v="65"/>
    <s v="L000010501"/>
    <m/>
    <s v="L000013727"/>
    <x v="1"/>
    <x v="0"/>
    <x v="0"/>
    <x v="2"/>
    <m/>
    <m/>
    <s v="Phoebe Anne Fortaleza"/>
  </r>
  <r>
    <n v="2541"/>
    <x v="2"/>
    <x v="65"/>
    <s v="L000010502"/>
    <m/>
    <s v="L000013727"/>
    <x v="1"/>
    <x v="0"/>
    <x v="0"/>
    <x v="2"/>
    <m/>
    <m/>
    <s v="Phoebe Anne Fortaleza"/>
  </r>
  <r>
    <n v="2542"/>
    <x v="2"/>
    <x v="65"/>
    <s v="L000010503"/>
    <m/>
    <s v="L000013727"/>
    <x v="1"/>
    <x v="0"/>
    <x v="0"/>
    <x v="2"/>
    <m/>
    <m/>
    <s v="Phoebe Anne Fortaleza"/>
  </r>
  <r>
    <n v="2543"/>
    <x v="2"/>
    <x v="65"/>
    <s v="L000010504"/>
    <m/>
    <s v="L000013727"/>
    <x v="1"/>
    <x v="0"/>
    <x v="0"/>
    <x v="2"/>
    <m/>
    <m/>
    <s v="Phoebe Anne Fortaleza"/>
  </r>
  <r>
    <n v="2544"/>
    <x v="2"/>
    <x v="65"/>
    <s v="L000010505"/>
    <m/>
    <s v="L000013727"/>
    <x v="1"/>
    <x v="0"/>
    <x v="0"/>
    <x v="2"/>
    <m/>
    <m/>
    <s v="Phoebe Anne Fortaleza"/>
  </r>
  <r>
    <n v="2545"/>
    <x v="2"/>
    <x v="65"/>
    <s v="L000010506"/>
    <m/>
    <s v="L000013727"/>
    <x v="1"/>
    <x v="0"/>
    <x v="0"/>
    <x v="2"/>
    <m/>
    <m/>
    <s v="Phoebe Anne Fortaleza"/>
  </r>
  <r>
    <n v="2546"/>
    <x v="2"/>
    <x v="65"/>
    <s v="L000010507"/>
    <m/>
    <s v="L000013727"/>
    <x v="1"/>
    <x v="0"/>
    <x v="0"/>
    <x v="2"/>
    <m/>
    <m/>
    <s v="Phoebe Anne Fortaleza"/>
  </r>
  <r>
    <n v="2547"/>
    <x v="2"/>
    <x v="65"/>
    <s v="L000010508"/>
    <m/>
    <s v="L000013727"/>
    <x v="1"/>
    <x v="0"/>
    <x v="0"/>
    <x v="2"/>
    <m/>
    <m/>
    <s v="Phoebe Anne Fortaleza"/>
  </r>
  <r>
    <n v="2548"/>
    <x v="2"/>
    <x v="65"/>
    <s v="L000010509"/>
    <m/>
    <s v="L000013727"/>
    <x v="1"/>
    <x v="0"/>
    <x v="0"/>
    <x v="2"/>
    <m/>
    <m/>
    <s v="Phoebe Anne Fortaleza"/>
  </r>
  <r>
    <n v="2549"/>
    <x v="2"/>
    <x v="65"/>
    <s v="L000010510"/>
    <m/>
    <s v="L000013727"/>
    <x v="1"/>
    <x v="0"/>
    <x v="0"/>
    <x v="2"/>
    <m/>
    <m/>
    <s v="Phoebe Anne Fortaleza"/>
  </r>
  <r>
    <n v="2550"/>
    <x v="2"/>
    <x v="65"/>
    <s v="L000010511"/>
    <m/>
    <s v="L000013727"/>
    <x v="1"/>
    <x v="0"/>
    <x v="0"/>
    <x v="2"/>
    <m/>
    <m/>
    <s v="Phoebe Anne Fortaleza"/>
  </r>
  <r>
    <n v="2551"/>
    <x v="2"/>
    <x v="65"/>
    <s v="L000010512"/>
    <m/>
    <s v="L000013726"/>
    <x v="1"/>
    <x v="0"/>
    <x v="0"/>
    <x v="2"/>
    <m/>
    <m/>
    <s v="Phoebe Anne Fortaleza"/>
  </r>
  <r>
    <n v="2552"/>
    <x v="2"/>
    <x v="65"/>
    <s v="L000010513"/>
    <m/>
    <s v="L000013727"/>
    <x v="1"/>
    <x v="0"/>
    <x v="0"/>
    <x v="2"/>
    <m/>
    <m/>
    <s v="Phoebe Anne Fortaleza"/>
  </r>
  <r>
    <n v="2553"/>
    <x v="2"/>
    <x v="65"/>
    <s v="L000010514"/>
    <m/>
    <s v="L000013727"/>
    <x v="1"/>
    <x v="0"/>
    <x v="0"/>
    <x v="2"/>
    <m/>
    <m/>
    <s v="Phoebe Anne Fortaleza"/>
  </r>
  <r>
    <n v="2554"/>
    <x v="2"/>
    <x v="65"/>
    <s v="L000010515"/>
    <m/>
    <s v="L000013727"/>
    <x v="1"/>
    <x v="0"/>
    <x v="0"/>
    <x v="2"/>
    <m/>
    <m/>
    <s v="Phoebe Anne Fortaleza"/>
  </r>
  <r>
    <n v="2555"/>
    <x v="2"/>
    <x v="65"/>
    <s v="L000010516"/>
    <m/>
    <s v="L000013726"/>
    <x v="1"/>
    <x v="0"/>
    <x v="0"/>
    <x v="2"/>
    <m/>
    <m/>
    <s v="Phoebe Anne Fortaleza"/>
  </r>
  <r>
    <n v="2556"/>
    <x v="2"/>
    <x v="65"/>
    <s v="L000010517"/>
    <m/>
    <s v="L000013727"/>
    <x v="1"/>
    <x v="0"/>
    <x v="0"/>
    <x v="2"/>
    <m/>
    <m/>
    <s v="Phoebe Anne Fortaleza"/>
  </r>
  <r>
    <n v="2557"/>
    <x v="2"/>
    <x v="65"/>
    <s v="L000010518"/>
    <m/>
    <s v="L000013727"/>
    <x v="1"/>
    <x v="0"/>
    <x v="0"/>
    <x v="2"/>
    <m/>
    <m/>
    <s v="Phoebe Anne Fortaleza"/>
  </r>
  <r>
    <n v="2558"/>
    <x v="2"/>
    <x v="65"/>
    <s v="L000010519"/>
    <m/>
    <s v="L000013727"/>
    <x v="1"/>
    <x v="0"/>
    <x v="0"/>
    <x v="2"/>
    <m/>
    <m/>
    <s v="Phoebe Anne Fortaleza"/>
  </r>
  <r>
    <n v="2559"/>
    <x v="2"/>
    <x v="65"/>
    <s v="L000010520"/>
    <m/>
    <s v="L000013727"/>
    <x v="1"/>
    <x v="0"/>
    <x v="0"/>
    <x v="2"/>
    <m/>
    <m/>
    <s v="Phoebe Anne Fortaleza"/>
  </r>
  <r>
    <n v="2560"/>
    <x v="2"/>
    <x v="65"/>
    <s v="L000010521"/>
    <m/>
    <s v="L000013727"/>
    <x v="1"/>
    <x v="0"/>
    <x v="0"/>
    <x v="2"/>
    <m/>
    <m/>
    <s v="Phoebe Anne Fortaleza"/>
  </r>
  <r>
    <n v="2561"/>
    <x v="2"/>
    <x v="65"/>
    <s v="L000010522"/>
    <m/>
    <s v="L000013726"/>
    <x v="1"/>
    <x v="0"/>
    <x v="0"/>
    <x v="2"/>
    <m/>
    <m/>
    <s v="Phoebe Anne Fortaleza"/>
  </r>
  <r>
    <n v="2562"/>
    <x v="2"/>
    <x v="65"/>
    <s v="L000010523"/>
    <m/>
    <s v="L000013726"/>
    <x v="1"/>
    <x v="0"/>
    <x v="0"/>
    <x v="2"/>
    <m/>
    <m/>
    <s v="Phoebe Anne Fortaleza"/>
  </r>
  <r>
    <n v="2563"/>
    <x v="2"/>
    <x v="65"/>
    <s v="L000010524"/>
    <m/>
    <s v="L000013726"/>
    <x v="1"/>
    <x v="0"/>
    <x v="0"/>
    <x v="2"/>
    <m/>
    <m/>
    <s v="Phoebe Anne Fortaleza"/>
  </r>
  <r>
    <n v="2564"/>
    <x v="2"/>
    <x v="65"/>
    <s v="L000010525"/>
    <m/>
    <s v="L000013726"/>
    <x v="1"/>
    <x v="0"/>
    <x v="0"/>
    <x v="2"/>
    <m/>
    <m/>
    <s v="Phoebe Anne Fortaleza"/>
  </r>
  <r>
    <n v="2565"/>
    <x v="2"/>
    <x v="65"/>
    <s v="L000010526"/>
    <m/>
    <s v="L000013726"/>
    <x v="1"/>
    <x v="0"/>
    <x v="0"/>
    <x v="2"/>
    <m/>
    <m/>
    <s v="Phoebe Anne Fortaleza"/>
  </r>
  <r>
    <n v="2566"/>
    <x v="2"/>
    <x v="65"/>
    <s v="L000010527"/>
    <m/>
    <s v="L000013726"/>
    <x v="1"/>
    <x v="0"/>
    <x v="0"/>
    <x v="2"/>
    <m/>
    <m/>
    <s v="Phoebe Anne Fortaleza"/>
  </r>
  <r>
    <n v="2567"/>
    <x v="2"/>
    <x v="65"/>
    <s v="L000010528"/>
    <m/>
    <s v="L000013726"/>
    <x v="1"/>
    <x v="0"/>
    <x v="0"/>
    <x v="2"/>
    <m/>
    <m/>
    <s v="Phoebe Anne Fortaleza"/>
  </r>
  <r>
    <n v="2568"/>
    <x v="2"/>
    <x v="65"/>
    <s v="L000010529"/>
    <m/>
    <s v="L000013726"/>
    <x v="1"/>
    <x v="0"/>
    <x v="0"/>
    <x v="2"/>
    <m/>
    <m/>
    <s v="Phoebe Anne Fortaleza"/>
  </r>
  <r>
    <n v="2569"/>
    <x v="2"/>
    <x v="65"/>
    <s v="L000010530"/>
    <m/>
    <s v="L000013726"/>
    <x v="1"/>
    <x v="0"/>
    <x v="0"/>
    <x v="2"/>
    <m/>
    <m/>
    <s v="Phoebe Anne Fortaleza"/>
  </r>
  <r>
    <n v="2570"/>
    <x v="2"/>
    <x v="65"/>
    <s v="L000010531"/>
    <m/>
    <s v="L000013727"/>
    <x v="1"/>
    <x v="0"/>
    <x v="0"/>
    <x v="2"/>
    <m/>
    <m/>
    <s v="Phoebe Anne Fortaleza"/>
  </r>
  <r>
    <n v="2571"/>
    <x v="2"/>
    <x v="65"/>
    <s v="L000010239"/>
    <m/>
    <s v="L000013727"/>
    <x v="1"/>
    <x v="0"/>
    <x v="0"/>
    <x v="2"/>
    <m/>
    <m/>
    <s v="Phoebe Anne Fortaleza"/>
  </r>
  <r>
    <n v="2572"/>
    <x v="2"/>
    <x v="65"/>
    <s v="L000010532"/>
    <m/>
    <s v="L000013726"/>
    <x v="1"/>
    <x v="0"/>
    <x v="0"/>
    <x v="2"/>
    <m/>
    <m/>
    <s v="Phoebe Anne Fortaleza"/>
  </r>
  <r>
    <n v="2573"/>
    <x v="2"/>
    <x v="65"/>
    <s v="L000010533"/>
    <m/>
    <s v="L000013726"/>
    <x v="1"/>
    <x v="0"/>
    <x v="0"/>
    <x v="2"/>
    <m/>
    <m/>
    <s v="Phoebe Anne Fortaleza"/>
  </r>
  <r>
    <n v="2574"/>
    <x v="2"/>
    <x v="65"/>
    <s v="L000010534"/>
    <m/>
    <s v="L000013727"/>
    <x v="1"/>
    <x v="0"/>
    <x v="0"/>
    <x v="2"/>
    <m/>
    <m/>
    <s v="Phoebe Anne Fortaleza"/>
  </r>
  <r>
    <n v="2575"/>
    <x v="2"/>
    <x v="65"/>
    <s v="L000013070"/>
    <m/>
    <s v="L000013727"/>
    <x v="1"/>
    <x v="0"/>
    <x v="0"/>
    <x v="2"/>
    <m/>
    <m/>
    <s v="Phoebe Anne Fortaleza"/>
  </r>
  <r>
    <n v="2576"/>
    <x v="2"/>
    <x v="65"/>
    <s v="L000013071"/>
    <m/>
    <s v="L000013727"/>
    <x v="1"/>
    <x v="0"/>
    <x v="0"/>
    <x v="2"/>
    <m/>
    <m/>
    <s v="Phoebe Anne Fortaleza"/>
  </r>
  <r>
    <n v="2577"/>
    <x v="2"/>
    <x v="65"/>
    <s v="L000013073"/>
    <m/>
    <s v="L000013727"/>
    <x v="1"/>
    <x v="0"/>
    <x v="0"/>
    <x v="2"/>
    <m/>
    <m/>
    <s v="Phoebe Anne Fortaleza"/>
  </r>
  <r>
    <n v="2578"/>
    <x v="2"/>
    <x v="65"/>
    <s v="L000009817"/>
    <m/>
    <s v="L000013729"/>
    <x v="1"/>
    <x v="0"/>
    <x v="0"/>
    <x v="2"/>
    <m/>
    <m/>
    <s v="Phoebe Anne Fortaleza"/>
  </r>
  <r>
    <n v="2579"/>
    <x v="2"/>
    <x v="65"/>
    <s v="L000009818"/>
    <m/>
    <s v="L000013729"/>
    <x v="1"/>
    <x v="0"/>
    <x v="0"/>
    <x v="2"/>
    <m/>
    <m/>
    <s v="Phoebe Anne Fortaleza"/>
  </r>
  <r>
    <n v="2580"/>
    <x v="2"/>
    <x v="65"/>
    <s v="L000009819"/>
    <m/>
    <s v="L000013730"/>
    <x v="1"/>
    <x v="0"/>
    <x v="0"/>
    <x v="2"/>
    <m/>
    <m/>
    <s v="Phoebe Anne Fortaleza"/>
  </r>
  <r>
    <n v="2581"/>
    <x v="2"/>
    <x v="65"/>
    <s v="L000009998"/>
    <m/>
    <s v="L000009997"/>
    <x v="1"/>
    <x v="0"/>
    <x v="0"/>
    <x v="2"/>
    <m/>
    <m/>
    <s v="Phoebe Anne Fortaleza"/>
  </r>
  <r>
    <n v="2582"/>
    <x v="2"/>
    <x v="65"/>
    <s v="L000010003"/>
    <m/>
    <s v="L000009997"/>
    <x v="1"/>
    <x v="0"/>
    <x v="0"/>
    <x v="2"/>
    <m/>
    <m/>
    <s v="Phoebe Anne Fortaleza"/>
  </r>
  <r>
    <n v="2583"/>
    <x v="2"/>
    <x v="65"/>
    <s v="L000010037"/>
    <m/>
    <s v="L000013731"/>
    <x v="1"/>
    <x v="0"/>
    <x v="0"/>
    <x v="2"/>
    <m/>
    <m/>
    <s v="Phoebe Anne Fortaleza"/>
  </r>
  <r>
    <n v="2584"/>
    <x v="2"/>
    <x v="65"/>
    <s v="L000010039"/>
    <m/>
    <s v="L000013732"/>
    <x v="1"/>
    <x v="0"/>
    <x v="0"/>
    <x v="2"/>
    <m/>
    <m/>
    <s v="Phoebe Anne Fortaleza"/>
  </r>
  <r>
    <n v="2585"/>
    <x v="2"/>
    <x v="65"/>
    <s v="L000010036"/>
    <m/>
    <s v="L000010042"/>
    <x v="1"/>
    <x v="0"/>
    <x v="0"/>
    <x v="2"/>
    <m/>
    <m/>
    <s v="Phoebe Anne Fortaleza"/>
  </r>
  <r>
    <n v="2586"/>
    <x v="2"/>
    <x v="65"/>
    <s v="L000012472"/>
    <m/>
    <s v="L000010042"/>
    <x v="1"/>
    <x v="0"/>
    <x v="0"/>
    <x v="2"/>
    <m/>
    <m/>
    <s v="Phoebe Anne Fortaleza"/>
  </r>
  <r>
    <n v="2587"/>
    <x v="2"/>
    <x v="65"/>
    <s v="L000012473"/>
    <m/>
    <s v="L000010042 "/>
    <x v="1"/>
    <x v="0"/>
    <x v="0"/>
    <x v="2"/>
    <m/>
    <m/>
    <s v="Phoebe Anne Fortaleza"/>
  </r>
  <r>
    <n v="2588"/>
    <x v="2"/>
    <x v="65"/>
    <s v="L000012474"/>
    <m/>
    <s v="L000010042 "/>
    <x v="1"/>
    <x v="0"/>
    <x v="0"/>
    <x v="2"/>
    <m/>
    <m/>
    <s v="Phoebe Anne Fortaleza"/>
  </r>
  <r>
    <n v="2589"/>
    <x v="2"/>
    <x v="65"/>
    <s v="L000012789"/>
    <m/>
    <s v="L000010042"/>
    <x v="1"/>
    <x v="0"/>
    <x v="0"/>
    <x v="2"/>
    <m/>
    <m/>
    <s v="Phoebe Anne Fortaleza"/>
  </r>
  <r>
    <n v="2590"/>
    <x v="2"/>
    <x v="65"/>
    <s v="L000012790"/>
    <m/>
    <s v="L000010042"/>
    <x v="1"/>
    <x v="0"/>
    <x v="0"/>
    <x v="2"/>
    <m/>
    <m/>
    <s v="Phoebe Anne Fortaleza"/>
  </r>
  <r>
    <n v="2591"/>
    <x v="2"/>
    <x v="65"/>
    <s v="L000012802"/>
    <m/>
    <s v="L000010042 "/>
    <x v="1"/>
    <x v="0"/>
    <x v="0"/>
    <x v="2"/>
    <m/>
    <m/>
    <s v="Phoebe Anne Fortaleza"/>
  </r>
  <r>
    <n v="2592"/>
    <x v="2"/>
    <x v="65"/>
    <s v="L000012221"/>
    <m/>
    <s v="L000013733"/>
    <x v="1"/>
    <x v="0"/>
    <x v="0"/>
    <x v="2"/>
    <m/>
    <m/>
    <s v="Phoebe Anne Fortaleza"/>
  </r>
  <r>
    <n v="2593"/>
    <x v="2"/>
    <x v="65"/>
    <s v="L000009966"/>
    <m/>
    <s v="L000013434"/>
    <x v="1"/>
    <x v="0"/>
    <x v="0"/>
    <x v="2"/>
    <m/>
    <m/>
    <s v="Phoebe Anne Fortaleza"/>
  </r>
  <r>
    <n v="2594"/>
    <x v="2"/>
    <x v="65"/>
    <s v="L000009997"/>
    <m/>
    <s v="L000013728"/>
    <x v="1"/>
    <x v="0"/>
    <x v="0"/>
    <x v="2"/>
    <m/>
    <m/>
    <s v="Phoebe Anne Fortaleza"/>
  </r>
  <r>
    <n v="2595"/>
    <x v="2"/>
    <x v="65"/>
    <s v="L000009229"/>
    <m/>
    <s v="L000013728"/>
    <x v="1"/>
    <x v="0"/>
    <x v="0"/>
    <x v="2"/>
    <m/>
    <m/>
    <s v="Phoebe Anne Fortaleza"/>
  </r>
  <r>
    <n v="2596"/>
    <x v="2"/>
    <x v="65"/>
    <s v="L000009971"/>
    <m/>
    <s v="L000013728"/>
    <x v="1"/>
    <x v="0"/>
    <x v="0"/>
    <x v="2"/>
    <m/>
    <m/>
    <s v="Phoebe Anne Fortaleza"/>
  </r>
  <r>
    <n v="2597"/>
    <x v="2"/>
    <x v="65"/>
    <s v="L000013434"/>
    <m/>
    <s v="L000013728"/>
    <x v="1"/>
    <x v="0"/>
    <x v="0"/>
    <x v="2"/>
    <m/>
    <m/>
    <s v="Phoebe Anne Fortaleza"/>
  </r>
  <r>
    <n v="2598"/>
    <x v="2"/>
    <x v="65"/>
    <s v="L000010621"/>
    <m/>
    <s v="L000011110"/>
    <x v="1"/>
    <x v="0"/>
    <x v="0"/>
    <x v="2"/>
    <m/>
    <m/>
    <s v="Phoebe Anne Fortaleza"/>
  </r>
  <r>
    <n v="2599"/>
    <x v="2"/>
    <x v="65"/>
    <s v="L000011355"/>
    <m/>
    <s v="L000013623"/>
    <x v="1"/>
    <x v="0"/>
    <x v="0"/>
    <x v="2"/>
    <m/>
    <m/>
    <s v="Phoebe Anne Fortaleza"/>
  </r>
  <r>
    <n v="2600"/>
    <x v="2"/>
    <x v="65"/>
    <s v="L000010622"/>
    <m/>
    <s v="L000013388 "/>
    <x v="1"/>
    <x v="0"/>
    <x v="0"/>
    <x v="2"/>
    <m/>
    <m/>
    <s v="Phoebe Anne Fortaleza"/>
  </r>
  <r>
    <n v="2601"/>
    <x v="2"/>
    <x v="65"/>
    <s v="L000013375"/>
    <m/>
    <s v="L000013623 "/>
    <x v="1"/>
    <x v="0"/>
    <x v="0"/>
    <x v="2"/>
    <m/>
    <m/>
    <s v="Phoebe Anne Fortaleza"/>
  </r>
  <r>
    <n v="2602"/>
    <x v="2"/>
    <x v="65"/>
    <s v="L000013385"/>
    <m/>
    <s v="L000013623"/>
    <x v="1"/>
    <x v="0"/>
    <x v="0"/>
    <x v="2"/>
    <m/>
    <m/>
    <s v="Phoebe Anne Fortaleza"/>
  </r>
  <r>
    <n v="2603"/>
    <x v="2"/>
    <x v="65"/>
    <s v="L000013386"/>
    <m/>
    <s v="L000013734"/>
    <x v="1"/>
    <x v="0"/>
    <x v="0"/>
    <x v="2"/>
    <m/>
    <m/>
    <s v="Phoebe Anne Fortaleza"/>
  </r>
  <r>
    <n v="2604"/>
    <x v="2"/>
    <x v="65"/>
    <s v="L000013387"/>
    <m/>
    <s v="L000013623 "/>
    <x v="1"/>
    <x v="0"/>
    <x v="0"/>
    <x v="2"/>
    <m/>
    <m/>
    <s v="Phoebe Anne Fortaleza"/>
  </r>
  <r>
    <n v="2605"/>
    <x v="2"/>
    <x v="65"/>
    <s v="L000013388"/>
    <m/>
    <s v="L000013623"/>
    <x v="1"/>
    <x v="0"/>
    <x v="0"/>
    <x v="2"/>
    <m/>
    <m/>
    <s v="Phoebe Anne Fortaleza"/>
  </r>
  <r>
    <n v="2606"/>
    <x v="2"/>
    <x v="65"/>
    <s v="L000011111"/>
    <m/>
    <s v="L000013734"/>
    <x v="1"/>
    <x v="0"/>
    <x v="0"/>
    <x v="2"/>
    <m/>
    <m/>
    <s v="Phoebe Anne Fortaleza"/>
  </r>
  <r>
    <n v="2607"/>
    <x v="2"/>
    <x v="65"/>
    <s v="L000011146"/>
    <m/>
    <s v="L000013734"/>
    <x v="1"/>
    <x v="0"/>
    <x v="0"/>
    <x v="2"/>
    <m/>
    <m/>
    <s v="Phoebe Anne Fortaleza"/>
  </r>
  <r>
    <n v="2608"/>
    <x v="2"/>
    <x v="65"/>
    <s v="L000011323"/>
    <m/>
    <s v="L000013738"/>
    <x v="1"/>
    <x v="0"/>
    <x v="0"/>
    <x v="2"/>
    <m/>
    <m/>
    <s v="Phoebe Anne Fortaleza"/>
  </r>
  <r>
    <n v="2609"/>
    <x v="2"/>
    <x v="65"/>
    <s v="L000011324"/>
    <m/>
    <s v="L000013738"/>
    <x v="1"/>
    <x v="0"/>
    <x v="0"/>
    <x v="2"/>
    <m/>
    <m/>
    <s v="Phoebe Anne Fortaleza"/>
  </r>
  <r>
    <n v="2610"/>
    <x v="2"/>
    <x v="65"/>
    <s v="L000011325"/>
    <m/>
    <s v="L000013738"/>
    <x v="1"/>
    <x v="0"/>
    <x v="0"/>
    <x v="2"/>
    <m/>
    <m/>
    <s v="Phoebe Anne Fortaleza"/>
  </r>
  <r>
    <n v="2611"/>
    <x v="2"/>
    <x v="65"/>
    <s v="L000011326"/>
    <m/>
    <s v="L000013738"/>
    <x v="1"/>
    <x v="0"/>
    <x v="0"/>
    <x v="2"/>
    <m/>
    <m/>
    <s v="Phoebe Anne Fortaleza"/>
  </r>
  <r>
    <n v="2612"/>
    <x v="2"/>
    <x v="65"/>
    <s v="L000011742"/>
    <m/>
    <s v="L000013119"/>
    <x v="1"/>
    <x v="0"/>
    <x v="0"/>
    <x v="2"/>
    <m/>
    <m/>
    <s v="Phoebe Anne Fortaleza"/>
  </r>
  <r>
    <n v="2613"/>
    <x v="2"/>
    <x v="65"/>
    <s v="L000013003"/>
    <m/>
    <s v="L000011322"/>
    <x v="1"/>
    <x v="0"/>
    <x v="0"/>
    <x v="2"/>
    <m/>
    <m/>
    <s v="Phoebe Anne Fortaleza"/>
  </r>
  <r>
    <n v="2614"/>
    <x v="2"/>
    <x v="65"/>
    <s v="L000013120"/>
    <m/>
    <s v="L000013388"/>
    <x v="1"/>
    <x v="0"/>
    <x v="0"/>
    <x v="2"/>
    <m/>
    <m/>
    <s v="Phoebe Anne Fortaleza"/>
  </r>
  <r>
    <n v="2615"/>
    <x v="2"/>
    <x v="65"/>
    <s v="L000006301"/>
    <m/>
    <s v="L000012374 "/>
    <x v="1"/>
    <x v="0"/>
    <x v="0"/>
    <x v="2"/>
    <m/>
    <m/>
    <s v="Phoebe Anne Fortaleza"/>
  </r>
  <r>
    <n v="2616"/>
    <x v="2"/>
    <x v="65"/>
    <s v="L000006302"/>
    <m/>
    <s v="L000012478 "/>
    <x v="1"/>
    <x v="0"/>
    <x v="0"/>
    <x v="2"/>
    <m/>
    <m/>
    <s v="Phoebe Anne Fortaleza"/>
  </r>
  <r>
    <n v="2617"/>
    <x v="2"/>
    <x v="65"/>
    <s v="L000012715"/>
    <m/>
    <s v="L000012376 "/>
    <x v="1"/>
    <x v="0"/>
    <x v="0"/>
    <x v="2"/>
    <m/>
    <m/>
    <s v="Phoebe Anne Fortaleza"/>
  </r>
  <r>
    <n v="2618"/>
    <x v="2"/>
    <x v="65"/>
    <s v="L000012392"/>
    <m/>
    <s v="L000011664"/>
    <x v="1"/>
    <x v="0"/>
    <x v="0"/>
    <x v="2"/>
    <m/>
    <m/>
    <s v="Phoebe Anne Fortaleza"/>
  </r>
  <r>
    <n v="2619"/>
    <x v="2"/>
    <x v="65"/>
    <s v="L000012393"/>
    <m/>
    <s v="L000011664"/>
    <x v="1"/>
    <x v="0"/>
    <x v="0"/>
    <x v="2"/>
    <m/>
    <m/>
    <s v="Phoebe Anne Fortaleza"/>
  </r>
  <r>
    <n v="2620"/>
    <x v="2"/>
    <x v="65"/>
    <s v="L000009795"/>
    <m/>
    <s v="L000013728"/>
    <x v="1"/>
    <x v="0"/>
    <x v="0"/>
    <x v="2"/>
    <m/>
    <m/>
    <s v="Phoebe Anne Fortaleza"/>
  </r>
  <r>
    <n v="2621"/>
    <x v="2"/>
    <x v="65"/>
    <s v="L000006013"/>
    <m/>
    <s v="L000013696"/>
    <x v="1"/>
    <x v="0"/>
    <x v="0"/>
    <x v="2"/>
    <m/>
    <m/>
    <s v="Phoebe Anne Fortaleza"/>
  </r>
  <r>
    <n v="2622"/>
    <x v="2"/>
    <x v="65"/>
    <s v="L000006082"/>
    <m/>
    <s v="L000006092"/>
    <x v="1"/>
    <x v="0"/>
    <x v="0"/>
    <x v="2"/>
    <m/>
    <m/>
    <s v="Phoebe Anne Fortaleza"/>
  </r>
  <r>
    <n v="2623"/>
    <x v="2"/>
    <x v="65"/>
    <s v="L000006102"/>
    <m/>
    <s v="L000013697"/>
    <x v="1"/>
    <x v="0"/>
    <x v="0"/>
    <x v="2"/>
    <m/>
    <m/>
    <s v="Phoebe Anne Fortaleza"/>
  </r>
  <r>
    <n v="2624"/>
    <x v="2"/>
    <x v="65"/>
    <s v="L000006118"/>
    <m/>
    <s v="L000013697"/>
    <x v="1"/>
    <x v="0"/>
    <x v="0"/>
    <x v="2"/>
    <m/>
    <m/>
    <s v="Phoebe Anne Fortaleza"/>
  </r>
  <r>
    <n v="2625"/>
    <x v="2"/>
    <x v="65"/>
    <s v="L000008939"/>
    <m/>
    <s v="L000008911"/>
    <x v="1"/>
    <x v="0"/>
    <x v="0"/>
    <x v="2"/>
    <m/>
    <m/>
    <s v="Phoebe Anne Fortaleza"/>
  </r>
  <r>
    <n v="2626"/>
    <x v="2"/>
    <x v="65"/>
    <s v="L000009969"/>
    <m/>
    <s v="L000013728"/>
    <x v="1"/>
    <x v="0"/>
    <x v="0"/>
    <x v="2"/>
    <m/>
    <m/>
    <s v="Phoebe Anne Fortaleza"/>
  </r>
  <r>
    <n v="2627"/>
    <x v="2"/>
    <x v="65"/>
    <s v="L000011127"/>
    <m/>
    <s v="L000013761"/>
    <x v="1"/>
    <x v="0"/>
    <x v="0"/>
    <x v="2"/>
    <m/>
    <m/>
    <s v="Phoebe Anne Fortaleza"/>
  </r>
  <r>
    <n v="2628"/>
    <x v="2"/>
    <x v="65"/>
    <s v="L000011352"/>
    <m/>
    <s v="L000013761"/>
    <x v="1"/>
    <x v="0"/>
    <x v="0"/>
    <x v="2"/>
    <m/>
    <m/>
    <s v="Phoebe Anne Fortaleza"/>
  </r>
  <r>
    <n v="2629"/>
    <x v="2"/>
    <x v="65"/>
    <s v="L000013119"/>
    <m/>
    <s v="L000013622"/>
    <x v="1"/>
    <x v="0"/>
    <x v="0"/>
    <x v="2"/>
    <m/>
    <m/>
    <s v="Phoebe Anne Fortaleza"/>
  </r>
  <r>
    <n v="2630"/>
    <x v="2"/>
    <x v="65"/>
    <s v="L000009972"/>
    <m/>
    <s v="L000013681"/>
    <x v="1"/>
    <x v="0"/>
    <x v="0"/>
    <x v="2"/>
    <m/>
    <m/>
    <s v="Phoebe Anne Fortaleza"/>
  </r>
  <r>
    <n v="2631"/>
    <x v="2"/>
    <x v="65"/>
    <s v="L000009973"/>
    <m/>
    <s v="L000013681"/>
    <x v="1"/>
    <x v="0"/>
    <x v="0"/>
    <x v="2"/>
    <m/>
    <m/>
    <s v="Phoebe Anne Fortaleza"/>
  </r>
  <r>
    <n v="2632"/>
    <x v="2"/>
    <x v="65"/>
    <s v="L000010023"/>
    <m/>
    <s v="L000013681"/>
    <x v="1"/>
    <x v="0"/>
    <x v="0"/>
    <x v="2"/>
    <m/>
    <m/>
    <s v="Phoebe Anne Fortaleza"/>
  </r>
  <r>
    <n v="2633"/>
    <x v="2"/>
    <x v="65"/>
    <s v="L000010024"/>
    <m/>
    <s v="L000013681"/>
    <x v="1"/>
    <x v="0"/>
    <x v="0"/>
    <x v="2"/>
    <m/>
    <m/>
    <s v="Phoebe Anne Fortaleza"/>
  </r>
  <r>
    <n v="2634"/>
    <x v="2"/>
    <x v="65"/>
    <s v="L000010038"/>
    <m/>
    <s v="L000013681"/>
    <x v="1"/>
    <x v="0"/>
    <x v="0"/>
    <x v="2"/>
    <m/>
    <m/>
    <s v="Phoebe Anne Fortaleza"/>
  </r>
  <r>
    <n v="2635"/>
    <x v="2"/>
    <x v="65"/>
    <s v="L000012214"/>
    <m/>
    <s v="L000013681"/>
    <x v="1"/>
    <x v="0"/>
    <x v="0"/>
    <x v="2"/>
    <m/>
    <m/>
    <s v="Phoebe Anne Fortaleza"/>
  </r>
  <r>
    <n v="2636"/>
    <x v="2"/>
    <x v="65"/>
    <s v="L000010040"/>
    <m/>
    <s v="L000013681"/>
    <x v="1"/>
    <x v="0"/>
    <x v="0"/>
    <x v="2"/>
    <m/>
    <m/>
    <s v="Phoebe Anne Fortaleza"/>
  </r>
  <r>
    <n v="2637"/>
    <x v="2"/>
    <x v="65"/>
    <s v="L000010041"/>
    <m/>
    <s v="L000013681"/>
    <x v="1"/>
    <x v="0"/>
    <x v="0"/>
    <x v="2"/>
    <m/>
    <m/>
    <s v="Phoebe Anne Fortaleza"/>
  </r>
  <r>
    <n v="2638"/>
    <x v="2"/>
    <x v="65"/>
    <s v="L000012215"/>
    <m/>
    <s v="L000013681"/>
    <x v="1"/>
    <x v="0"/>
    <x v="0"/>
    <x v="2"/>
    <m/>
    <m/>
    <s v="Phoebe Anne Fortaleza"/>
  </r>
  <r>
    <n v="2639"/>
    <x v="2"/>
    <x v="65"/>
    <s v="L000010021"/>
    <m/>
    <s v="L000013681"/>
    <x v="1"/>
    <x v="0"/>
    <x v="0"/>
    <x v="2"/>
    <m/>
    <m/>
    <s v="Phoebe Anne Fortaleza"/>
  </r>
  <r>
    <n v="2640"/>
    <x v="2"/>
    <x v="65"/>
    <s v="L000012220"/>
    <m/>
    <s v="L000013681"/>
    <x v="1"/>
    <x v="0"/>
    <x v="0"/>
    <x v="2"/>
    <m/>
    <m/>
    <s v="Phoebe Anne Fortaleza"/>
  </r>
  <r>
    <n v="2641"/>
    <x v="2"/>
    <x v="65"/>
    <s v="L000009986"/>
    <m/>
    <s v="L000013681"/>
    <x v="1"/>
    <x v="0"/>
    <x v="0"/>
    <x v="2"/>
    <m/>
    <m/>
    <s v="Phoebe Anne Fortaleza"/>
  </r>
  <r>
    <n v="2642"/>
    <x v="2"/>
    <x v="65"/>
    <s v="L000009977"/>
    <m/>
    <s v="L000013681"/>
    <x v="1"/>
    <x v="0"/>
    <x v="0"/>
    <x v="2"/>
    <m/>
    <m/>
    <s v="Phoebe Anne Fortaleza"/>
  </r>
  <r>
    <n v="2643"/>
    <x v="2"/>
    <x v="65"/>
    <s v="L000009967"/>
    <m/>
    <s v="L000013681"/>
    <x v="1"/>
    <x v="0"/>
    <x v="0"/>
    <x v="2"/>
    <m/>
    <m/>
    <s v="Phoebe Anne Fortaleza"/>
  </r>
  <r>
    <n v="2644"/>
    <x v="2"/>
    <x v="65"/>
    <s v="L000009968"/>
    <m/>
    <s v="L000013681"/>
    <x v="1"/>
    <x v="0"/>
    <x v="0"/>
    <x v="2"/>
    <m/>
    <m/>
    <s v="Phoebe Anne Fortaleza"/>
  </r>
  <r>
    <n v="2645"/>
    <x v="2"/>
    <x v="65"/>
    <s v="L000013430"/>
    <m/>
    <s v="L000013681"/>
    <x v="1"/>
    <x v="0"/>
    <x v="0"/>
    <x v="2"/>
    <m/>
    <m/>
    <s v="Phoebe Anne Fortaleza"/>
  </r>
  <r>
    <n v="2646"/>
    <x v="2"/>
    <x v="65"/>
    <s v="L000013433"/>
    <m/>
    <s v="L000013681"/>
    <x v="1"/>
    <x v="0"/>
    <x v="0"/>
    <x v="2"/>
    <m/>
    <m/>
    <s v="Phoebe Anne Fortaleza"/>
  </r>
  <r>
    <n v="2647"/>
    <x v="2"/>
    <x v="65"/>
    <s v="L000009796"/>
    <m/>
    <s v="L000013681"/>
    <x v="1"/>
    <x v="0"/>
    <x v="0"/>
    <x v="2"/>
    <m/>
    <m/>
    <s v="Phoebe Anne Fortaleza"/>
  </r>
  <r>
    <n v="2648"/>
    <x v="2"/>
    <x v="65"/>
    <s v="L000009804"/>
    <m/>
    <s v="L000013681"/>
    <x v="1"/>
    <x v="0"/>
    <x v="0"/>
    <x v="2"/>
    <m/>
    <m/>
    <s v="Phoebe Anne Fortaleza"/>
  </r>
  <r>
    <n v="2649"/>
    <x v="2"/>
    <x v="65"/>
    <s v="L000009816"/>
    <m/>
    <s v="L000013681"/>
    <x v="1"/>
    <x v="0"/>
    <x v="0"/>
    <x v="2"/>
    <m/>
    <m/>
    <s v="Phoebe Anne Fortaleza"/>
  </r>
  <r>
    <n v="2650"/>
    <x v="2"/>
    <x v="65"/>
    <s v="L000012475"/>
    <m/>
    <s v="L000013681"/>
    <x v="1"/>
    <x v="0"/>
    <x v="0"/>
    <x v="2"/>
    <m/>
    <m/>
    <s v="Phoebe Anne Fortaleza"/>
  </r>
  <r>
    <n v="2651"/>
    <x v="2"/>
    <x v="65"/>
    <s v="L000009970"/>
    <m/>
    <s v="L000013681"/>
    <x v="1"/>
    <x v="0"/>
    <x v="0"/>
    <x v="2"/>
    <m/>
    <m/>
    <s v="Phoebe Anne Fortaleza"/>
  </r>
  <r>
    <n v="2652"/>
    <x v="2"/>
    <x v="65"/>
    <s v="L000010043"/>
    <m/>
    <s v="L000013681"/>
    <x v="1"/>
    <x v="0"/>
    <x v="0"/>
    <x v="2"/>
    <m/>
    <m/>
    <s v="Phoebe Anne Fortaleza"/>
  </r>
  <r>
    <n v="2653"/>
    <x v="2"/>
    <x v="65"/>
    <s v="L000010044"/>
    <m/>
    <s v="L000013681"/>
    <x v="1"/>
    <x v="0"/>
    <x v="0"/>
    <x v="2"/>
    <m/>
    <m/>
    <s v="Phoebe Anne Fortaleza"/>
  </r>
  <r>
    <n v="2654"/>
    <x v="2"/>
    <x v="65"/>
    <s v="L000012222"/>
    <m/>
    <s v="L000013681"/>
    <x v="1"/>
    <x v="0"/>
    <x v="0"/>
    <x v="2"/>
    <m/>
    <m/>
    <s v="Phoebe Anne Fortaleza"/>
  </r>
  <r>
    <n v="2655"/>
    <x v="2"/>
    <x v="65"/>
    <s v="L000010030"/>
    <m/>
    <s v="L000013681"/>
    <x v="1"/>
    <x v="0"/>
    <x v="0"/>
    <x v="2"/>
    <m/>
    <m/>
    <s v="Phoebe Anne Fortaleza"/>
  </r>
  <r>
    <n v="2656"/>
    <x v="2"/>
    <x v="65"/>
    <s v="L000006418"/>
    <m/>
    <s v="L000013685"/>
    <x v="1"/>
    <x v="0"/>
    <x v="0"/>
    <x v="2"/>
    <m/>
    <m/>
    <s v="Phoebe Anne Fortaleza"/>
  </r>
  <r>
    <n v="2657"/>
    <x v="2"/>
    <x v="65"/>
    <s v="L000006426"/>
    <m/>
    <s v="L000013685"/>
    <x v="1"/>
    <x v="0"/>
    <x v="0"/>
    <x v="2"/>
    <m/>
    <m/>
    <s v="Phoebe Anne Fortaleza"/>
  </r>
  <r>
    <n v="2658"/>
    <x v="2"/>
    <x v="65"/>
    <s v="L000006436"/>
    <m/>
    <s v="L000013685"/>
    <x v="1"/>
    <x v="0"/>
    <x v="0"/>
    <x v="2"/>
    <m/>
    <m/>
    <s v="Phoebe Anne Fortaleza"/>
  </r>
  <r>
    <n v="2659"/>
    <x v="2"/>
    <x v="65"/>
    <s v="L000006427"/>
    <m/>
    <s v="L000013685"/>
    <x v="1"/>
    <x v="0"/>
    <x v="0"/>
    <x v="2"/>
    <m/>
    <m/>
    <s v="Phoebe Anne Fortaleza"/>
  </r>
  <r>
    <n v="2660"/>
    <x v="2"/>
    <x v="65"/>
    <s v="L000011351"/>
    <m/>
    <s v="L000013687"/>
    <x v="1"/>
    <x v="0"/>
    <x v="0"/>
    <x v="2"/>
    <m/>
    <m/>
    <s v="Phoebe Anne Fortaleza"/>
  </r>
  <r>
    <n v="2661"/>
    <x v="2"/>
    <x v="65"/>
    <s v="L000013004"/>
    <m/>
    <s v="L000013687"/>
    <x v="1"/>
    <x v="0"/>
    <x v="0"/>
    <x v="2"/>
    <m/>
    <m/>
    <s v="Phoebe Anne Fortaleza"/>
  </r>
  <r>
    <n v="2662"/>
    <x v="2"/>
    <x v="65"/>
    <s v="L000007541"/>
    <m/>
    <s v="L000013679"/>
    <x v="1"/>
    <x v="0"/>
    <x v="0"/>
    <x v="2"/>
    <m/>
    <m/>
    <s v="Phoebe Anne Fortaleza"/>
  </r>
  <r>
    <n v="2663"/>
    <x v="2"/>
    <x v="65"/>
    <s v="L000006703"/>
    <m/>
    <s v="L000013679"/>
    <x v="1"/>
    <x v="0"/>
    <x v="0"/>
    <x v="2"/>
    <m/>
    <m/>
    <s v="Phoebe Anne Fortaleza"/>
  </r>
  <r>
    <n v="2664"/>
    <x v="2"/>
    <x v="65"/>
    <s v="L000006704"/>
    <m/>
    <s v="L000013679"/>
    <x v="1"/>
    <x v="0"/>
    <x v="0"/>
    <x v="2"/>
    <m/>
    <m/>
    <s v="Phoebe Anne Fortaleza"/>
  </r>
  <r>
    <n v="2665"/>
    <x v="2"/>
    <x v="65"/>
    <s v="L000006706"/>
    <m/>
    <s v="L000013679"/>
    <x v="1"/>
    <x v="0"/>
    <x v="0"/>
    <x v="2"/>
    <m/>
    <m/>
    <s v="Phoebe Anne Fortaleza"/>
  </r>
  <r>
    <n v="2666"/>
    <x v="2"/>
    <x v="65"/>
    <s v="L000006707"/>
    <m/>
    <s v="L000013679"/>
    <x v="1"/>
    <x v="0"/>
    <x v="0"/>
    <x v="2"/>
    <m/>
    <m/>
    <s v="Phoebe Anne Fortaleza"/>
  </r>
  <r>
    <n v="2667"/>
    <x v="2"/>
    <x v="65"/>
    <s v="L000006708"/>
    <m/>
    <s v="L000013679"/>
    <x v="1"/>
    <x v="0"/>
    <x v="0"/>
    <x v="2"/>
    <m/>
    <m/>
    <s v="Phoebe Anne Fortaleza"/>
  </r>
  <r>
    <n v="2668"/>
    <x v="2"/>
    <x v="65"/>
    <s v="L000006709"/>
    <m/>
    <s v="L000013679"/>
    <x v="1"/>
    <x v="0"/>
    <x v="0"/>
    <x v="2"/>
    <m/>
    <m/>
    <s v="Phoebe Anne Fortaleza"/>
  </r>
  <r>
    <n v="2669"/>
    <x v="2"/>
    <x v="65"/>
    <s v="L000006710"/>
    <m/>
    <s v="L000013679"/>
    <x v="1"/>
    <x v="0"/>
    <x v="0"/>
    <x v="2"/>
    <m/>
    <m/>
    <s v="Phoebe Anne Fortaleza"/>
  </r>
  <r>
    <n v="2670"/>
    <x v="2"/>
    <x v="65"/>
    <s v="L000006711"/>
    <m/>
    <s v="L000013679"/>
    <x v="1"/>
    <x v="0"/>
    <x v="0"/>
    <x v="2"/>
    <m/>
    <m/>
    <s v="Phoebe Anne Fortaleza"/>
  </r>
  <r>
    <n v="2671"/>
    <x v="2"/>
    <x v="65"/>
    <s v="L000006714"/>
    <m/>
    <s v="L000013679"/>
    <x v="1"/>
    <x v="0"/>
    <x v="0"/>
    <x v="2"/>
    <m/>
    <m/>
    <s v="Phoebe Anne Fortaleza"/>
  </r>
  <r>
    <n v="2672"/>
    <x v="2"/>
    <x v="65"/>
    <s v="L000011590"/>
    <m/>
    <s v="L000013679"/>
    <x v="1"/>
    <x v="0"/>
    <x v="0"/>
    <x v="2"/>
    <m/>
    <m/>
    <s v="Phoebe Anne Fortaleza"/>
  </r>
  <r>
    <n v="2673"/>
    <x v="2"/>
    <x v="65"/>
    <s v="L000012540"/>
    <m/>
    <s v="L000013679"/>
    <x v="1"/>
    <x v="0"/>
    <x v="0"/>
    <x v="2"/>
    <m/>
    <m/>
    <s v="Phoebe Anne Fortaleza"/>
  </r>
  <r>
    <n v="2674"/>
    <x v="2"/>
    <x v="65"/>
    <s v="L000006843"/>
    <m/>
    <s v="L000013679"/>
    <x v="1"/>
    <x v="0"/>
    <x v="0"/>
    <x v="2"/>
    <m/>
    <m/>
    <s v="Phoebe Anne Fortaleza"/>
  </r>
  <r>
    <n v="2675"/>
    <x v="2"/>
    <x v="65"/>
    <s v="L000006845"/>
    <m/>
    <s v="L000013679"/>
    <x v="1"/>
    <x v="0"/>
    <x v="0"/>
    <x v="2"/>
    <m/>
    <m/>
    <s v="Phoebe Anne Fortaleza"/>
  </r>
  <r>
    <n v="2676"/>
    <x v="2"/>
    <x v="65"/>
    <s v="L000006846"/>
    <m/>
    <s v="L000013679"/>
    <x v="1"/>
    <x v="0"/>
    <x v="0"/>
    <x v="2"/>
    <m/>
    <m/>
    <s v="Phoebe Anne Fortaleza"/>
  </r>
  <r>
    <n v="2677"/>
    <x v="2"/>
    <x v="65"/>
    <s v="L000006847"/>
    <m/>
    <s v="L000013679"/>
    <x v="1"/>
    <x v="0"/>
    <x v="0"/>
    <x v="2"/>
    <m/>
    <m/>
    <s v="Phoebe Anne Fortaleza"/>
  </r>
  <r>
    <n v="2678"/>
    <x v="2"/>
    <x v="65"/>
    <s v="L000006849"/>
    <m/>
    <s v="L000013679"/>
    <x v="1"/>
    <x v="0"/>
    <x v="0"/>
    <x v="2"/>
    <m/>
    <m/>
    <s v="Phoebe Anne Fortaleza"/>
  </r>
  <r>
    <n v="2679"/>
    <x v="2"/>
    <x v="65"/>
    <s v="L000006851"/>
    <m/>
    <s v="L000013679"/>
    <x v="1"/>
    <x v="0"/>
    <x v="0"/>
    <x v="2"/>
    <m/>
    <m/>
    <s v="Phoebe Anne Fortaleza"/>
  </r>
  <r>
    <n v="2680"/>
    <x v="2"/>
    <x v="65"/>
    <s v="L000011657"/>
    <m/>
    <s v="L000013679"/>
    <x v="1"/>
    <x v="0"/>
    <x v="0"/>
    <x v="2"/>
    <m/>
    <m/>
    <s v="Phoebe Anne Fortaleza"/>
  </r>
  <r>
    <n v="2681"/>
    <x v="2"/>
    <x v="65"/>
    <s v="L000011658"/>
    <m/>
    <s v="L000013679"/>
    <x v="1"/>
    <x v="0"/>
    <x v="0"/>
    <x v="2"/>
    <m/>
    <m/>
    <s v="Phoebe Anne Fortaleza"/>
  </r>
  <r>
    <n v="2682"/>
    <x v="2"/>
    <x v="65"/>
    <s v="L000011659"/>
    <m/>
    <s v="L000013679"/>
    <x v="1"/>
    <x v="0"/>
    <x v="0"/>
    <x v="2"/>
    <m/>
    <m/>
    <s v="Phoebe Anne Fortaleza"/>
  </r>
  <r>
    <n v="2683"/>
    <x v="2"/>
    <x v="65"/>
    <s v="L000011660"/>
    <m/>
    <s v="L000013679"/>
    <x v="1"/>
    <x v="0"/>
    <x v="0"/>
    <x v="2"/>
    <m/>
    <m/>
    <s v="Phoebe Anne Fortaleza"/>
  </r>
  <r>
    <n v="2684"/>
    <x v="2"/>
    <x v="65"/>
    <s v="L000011661"/>
    <m/>
    <s v="L000013679"/>
    <x v="1"/>
    <x v="0"/>
    <x v="0"/>
    <x v="2"/>
    <m/>
    <m/>
    <s v="Phoebe Anne Fortaleza"/>
  </r>
  <r>
    <n v="2685"/>
    <x v="2"/>
    <x v="65"/>
    <s v="L000011662"/>
    <m/>
    <s v="L000013679"/>
    <x v="1"/>
    <x v="0"/>
    <x v="0"/>
    <x v="2"/>
    <m/>
    <m/>
    <s v="Phoebe Anne Fortaleza"/>
  </r>
  <r>
    <n v="2686"/>
    <x v="2"/>
    <x v="65"/>
    <s v="L000012643"/>
    <m/>
    <s v="L000013679"/>
    <x v="1"/>
    <x v="0"/>
    <x v="0"/>
    <x v="2"/>
    <m/>
    <m/>
    <s v="Phoebe Anne Fortaleza"/>
  </r>
  <r>
    <n v="2687"/>
    <x v="2"/>
    <x v="65"/>
    <s v="L000012664"/>
    <m/>
    <s v="L000013679"/>
    <x v="1"/>
    <x v="0"/>
    <x v="0"/>
    <x v="2"/>
    <m/>
    <m/>
    <s v="Phoebe Anne Fortaleza"/>
  </r>
  <r>
    <n v="2688"/>
    <x v="2"/>
    <x v="65"/>
    <s v="L000012728"/>
    <m/>
    <s v="L000013679"/>
    <x v="1"/>
    <x v="0"/>
    <x v="0"/>
    <x v="2"/>
    <m/>
    <m/>
    <s v="Phoebe Anne Fortaleza"/>
  </r>
  <r>
    <n v="2689"/>
    <x v="2"/>
    <x v="65"/>
    <s v="L000006748"/>
    <m/>
    <s v="L000013679"/>
    <x v="1"/>
    <x v="0"/>
    <x v="0"/>
    <x v="2"/>
    <m/>
    <m/>
    <s v="Phoebe Anne Fortaleza"/>
  </r>
  <r>
    <n v="2690"/>
    <x v="2"/>
    <x v="65"/>
    <s v="L000006750"/>
    <m/>
    <s v="L000013679"/>
    <x v="1"/>
    <x v="0"/>
    <x v="0"/>
    <x v="2"/>
    <m/>
    <m/>
    <s v="Phoebe Anne Fortaleza"/>
  </r>
  <r>
    <n v="2691"/>
    <x v="2"/>
    <x v="65"/>
    <s v="L000006751"/>
    <m/>
    <s v="L000013679"/>
    <x v="1"/>
    <x v="0"/>
    <x v="0"/>
    <x v="2"/>
    <m/>
    <m/>
    <s v="Phoebe Anne Fortaleza"/>
  </r>
  <r>
    <n v="2692"/>
    <x v="2"/>
    <x v="65"/>
    <s v="L000006754"/>
    <m/>
    <s v="L000013679"/>
    <x v="1"/>
    <x v="0"/>
    <x v="0"/>
    <x v="2"/>
    <m/>
    <m/>
    <s v="Phoebe Anne Fortaleza"/>
  </r>
  <r>
    <n v="2693"/>
    <x v="2"/>
    <x v="65"/>
    <s v="L000006756"/>
    <m/>
    <s v="L000013679"/>
    <x v="1"/>
    <x v="0"/>
    <x v="0"/>
    <x v="2"/>
    <m/>
    <m/>
    <s v="Phoebe Anne Fortaleza"/>
  </r>
  <r>
    <n v="2694"/>
    <x v="2"/>
    <x v="65"/>
    <s v="L000006757"/>
    <m/>
    <s v="L000013679"/>
    <x v="1"/>
    <x v="0"/>
    <x v="0"/>
    <x v="2"/>
    <m/>
    <m/>
    <s v="Phoebe Anne Fortaleza"/>
  </r>
  <r>
    <n v="2695"/>
    <x v="2"/>
    <x v="65"/>
    <s v="L000006760"/>
    <m/>
    <s v="L000013679"/>
    <x v="1"/>
    <x v="0"/>
    <x v="0"/>
    <x v="2"/>
    <m/>
    <m/>
    <s v="Phoebe Anne Fortaleza"/>
  </r>
  <r>
    <n v="2696"/>
    <x v="2"/>
    <x v="65"/>
    <s v="L000006761"/>
    <m/>
    <s v="L000013679"/>
    <x v="1"/>
    <x v="0"/>
    <x v="0"/>
    <x v="2"/>
    <m/>
    <m/>
    <s v="Phoebe Anne Fortaleza"/>
  </r>
  <r>
    <n v="2697"/>
    <x v="2"/>
    <x v="65"/>
    <s v="L000006762"/>
    <m/>
    <s v="L000013679"/>
    <x v="1"/>
    <x v="0"/>
    <x v="0"/>
    <x v="2"/>
    <m/>
    <m/>
    <s v="Phoebe Anne Fortaleza"/>
  </r>
  <r>
    <n v="2698"/>
    <x v="2"/>
    <x v="65"/>
    <s v="L000006763"/>
    <m/>
    <s v="L000013679"/>
    <x v="1"/>
    <x v="0"/>
    <x v="0"/>
    <x v="2"/>
    <m/>
    <m/>
    <s v="Phoebe Anne Fortaleza"/>
  </r>
  <r>
    <n v="2699"/>
    <x v="2"/>
    <x v="65"/>
    <s v="L000006764"/>
    <m/>
    <s v="L000013679"/>
    <x v="1"/>
    <x v="0"/>
    <x v="0"/>
    <x v="2"/>
    <m/>
    <m/>
    <s v="Phoebe Anne Fortaleza"/>
  </r>
  <r>
    <n v="2700"/>
    <x v="2"/>
    <x v="65"/>
    <s v="L000006766"/>
    <m/>
    <s v="L000013679"/>
    <x v="1"/>
    <x v="0"/>
    <x v="0"/>
    <x v="2"/>
    <m/>
    <m/>
    <s v="Phoebe Anne Fortaleza"/>
  </r>
  <r>
    <n v="2701"/>
    <x v="2"/>
    <x v="65"/>
    <s v="L000006768"/>
    <m/>
    <s v="L000013679"/>
    <x v="1"/>
    <x v="0"/>
    <x v="0"/>
    <x v="2"/>
    <m/>
    <m/>
    <s v="Phoebe Anne Fortaleza"/>
  </r>
  <r>
    <n v="2702"/>
    <x v="2"/>
    <x v="65"/>
    <s v="L000011688"/>
    <m/>
    <s v="L000013679"/>
    <x v="1"/>
    <x v="0"/>
    <x v="0"/>
    <x v="2"/>
    <m/>
    <m/>
    <s v="Phoebe Anne Fortaleza"/>
  </r>
  <r>
    <n v="2703"/>
    <x v="2"/>
    <x v="65"/>
    <s v="L000012553"/>
    <m/>
    <s v="L000013679"/>
    <x v="1"/>
    <x v="0"/>
    <x v="0"/>
    <x v="2"/>
    <m/>
    <m/>
    <s v="Phoebe Anne Fortaleza"/>
  </r>
  <r>
    <n v="2704"/>
    <x v="2"/>
    <x v="65"/>
    <s v="L000012567"/>
    <m/>
    <s v="L000013679"/>
    <x v="1"/>
    <x v="0"/>
    <x v="0"/>
    <x v="2"/>
    <m/>
    <m/>
    <s v="Phoebe Anne Fortaleza"/>
  </r>
  <r>
    <n v="2705"/>
    <x v="2"/>
    <x v="65"/>
    <s v="L000011707"/>
    <m/>
    <s v="L000013679"/>
    <x v="1"/>
    <x v="0"/>
    <x v="0"/>
    <x v="2"/>
    <m/>
    <m/>
    <s v="Phoebe Anne Fortaleza"/>
  </r>
  <r>
    <n v="2706"/>
    <x v="2"/>
    <x v="65"/>
    <s v="L000011714"/>
    <m/>
    <s v="L000013679"/>
    <x v="1"/>
    <x v="0"/>
    <x v="0"/>
    <x v="2"/>
    <m/>
    <m/>
    <s v="Phoebe Anne Fortaleza"/>
  </r>
  <r>
    <n v="2707"/>
    <x v="2"/>
    <x v="65"/>
    <s v="L000011715"/>
    <m/>
    <s v="L000013679"/>
    <x v="1"/>
    <x v="0"/>
    <x v="0"/>
    <x v="2"/>
    <m/>
    <m/>
    <s v="Phoebe Anne Fortaleza"/>
  </r>
  <r>
    <n v="2708"/>
    <x v="2"/>
    <x v="65"/>
    <s v="L000011718"/>
    <m/>
    <s v="L000013679"/>
    <x v="1"/>
    <x v="0"/>
    <x v="0"/>
    <x v="2"/>
    <m/>
    <m/>
    <s v="Phoebe Anne Fortaleza"/>
  </r>
  <r>
    <n v="2709"/>
    <x v="2"/>
    <x v="65"/>
    <s v="L000012534"/>
    <m/>
    <s v="L000013679"/>
    <x v="1"/>
    <x v="0"/>
    <x v="0"/>
    <x v="2"/>
    <m/>
    <m/>
    <s v="Phoebe Anne Fortaleza"/>
  </r>
  <r>
    <n v="2710"/>
    <x v="2"/>
    <x v="65"/>
    <s v="L000012733"/>
    <m/>
    <s v="L000013679"/>
    <x v="1"/>
    <x v="0"/>
    <x v="0"/>
    <x v="2"/>
    <m/>
    <m/>
    <s v="Phoebe Anne Fortaleza"/>
  </r>
  <r>
    <n v="2711"/>
    <x v="2"/>
    <x v="65"/>
    <s v="L000007291"/>
    <m/>
    <s v="L000013679"/>
    <x v="1"/>
    <x v="0"/>
    <x v="0"/>
    <x v="2"/>
    <m/>
    <m/>
    <s v="Phoebe Anne Fortaleza"/>
  </r>
  <r>
    <n v="2712"/>
    <x v="2"/>
    <x v="65"/>
    <s v="L000007294"/>
    <m/>
    <s v="L000013679"/>
    <x v="1"/>
    <x v="0"/>
    <x v="0"/>
    <x v="2"/>
    <m/>
    <m/>
    <s v="Phoebe Anne Fortaleza"/>
  </r>
  <r>
    <n v="2713"/>
    <x v="2"/>
    <x v="65"/>
    <s v="L000007298"/>
    <m/>
    <s v="L000013679"/>
    <x v="1"/>
    <x v="0"/>
    <x v="0"/>
    <x v="2"/>
    <m/>
    <m/>
    <s v="Phoebe Anne Fortaleza"/>
  </r>
  <r>
    <n v="2714"/>
    <x v="2"/>
    <x v="65"/>
    <s v="L000007300"/>
    <m/>
    <s v="L000013679"/>
    <x v="1"/>
    <x v="0"/>
    <x v="0"/>
    <x v="2"/>
    <m/>
    <m/>
    <s v="Phoebe Anne Fortaleza"/>
  </r>
  <r>
    <n v="2715"/>
    <x v="2"/>
    <x v="65"/>
    <s v="L000007302"/>
    <m/>
    <s v="L000013679"/>
    <x v="1"/>
    <x v="0"/>
    <x v="0"/>
    <x v="2"/>
    <m/>
    <m/>
    <s v="Phoebe Anne Fortaleza"/>
  </r>
  <r>
    <n v="2716"/>
    <x v="2"/>
    <x v="65"/>
    <s v="L000007303"/>
    <m/>
    <s v="L000013679"/>
    <x v="1"/>
    <x v="0"/>
    <x v="0"/>
    <x v="2"/>
    <m/>
    <m/>
    <s v="Phoebe Anne Fortaleza"/>
  </r>
  <r>
    <n v="2717"/>
    <x v="2"/>
    <x v="65"/>
    <s v="L000007511"/>
    <m/>
    <s v="L000013679"/>
    <x v="1"/>
    <x v="0"/>
    <x v="0"/>
    <x v="2"/>
    <m/>
    <m/>
    <s v="Phoebe Anne Fortaleza"/>
  </r>
  <r>
    <n v="2718"/>
    <x v="2"/>
    <x v="65"/>
    <s v="L000007512"/>
    <m/>
    <s v="L000013679"/>
    <x v="1"/>
    <x v="0"/>
    <x v="0"/>
    <x v="2"/>
    <m/>
    <m/>
    <s v="Phoebe Anne Fortaleza"/>
  </r>
  <r>
    <n v="2719"/>
    <x v="2"/>
    <x v="65"/>
    <s v="L000011722"/>
    <m/>
    <s v="L000013679"/>
    <x v="1"/>
    <x v="0"/>
    <x v="0"/>
    <x v="2"/>
    <m/>
    <m/>
    <s v="Phoebe Anne Fortaleza"/>
  </r>
  <r>
    <n v="2720"/>
    <x v="2"/>
    <x v="65"/>
    <s v="L000011724"/>
    <m/>
    <s v="L000013679"/>
    <x v="1"/>
    <x v="0"/>
    <x v="0"/>
    <x v="2"/>
    <m/>
    <m/>
    <s v="Phoebe Anne Fortaleza"/>
  </r>
  <r>
    <n v="2721"/>
    <x v="2"/>
    <x v="65"/>
    <s v="L000012593"/>
    <m/>
    <s v="L000013679"/>
    <x v="1"/>
    <x v="0"/>
    <x v="0"/>
    <x v="2"/>
    <m/>
    <m/>
    <s v="Phoebe Anne Fortaleza"/>
  </r>
  <r>
    <n v="2722"/>
    <x v="2"/>
    <x v="65"/>
    <s v="L000012691"/>
    <m/>
    <s v="L000013679"/>
    <x v="1"/>
    <x v="0"/>
    <x v="0"/>
    <x v="2"/>
    <m/>
    <m/>
    <s v="Phoebe Anne Fortaleza"/>
  </r>
  <r>
    <n v="2723"/>
    <x v="2"/>
    <x v="65"/>
    <s v="L000006939"/>
    <m/>
    <s v="L000013679"/>
    <x v="1"/>
    <x v="0"/>
    <x v="0"/>
    <x v="2"/>
    <m/>
    <m/>
    <s v="Phoebe Anne Fortaleza"/>
  </r>
  <r>
    <n v="2724"/>
    <x v="2"/>
    <x v="65"/>
    <s v="L000007318"/>
    <m/>
    <s v="L000013679"/>
    <x v="1"/>
    <x v="0"/>
    <x v="0"/>
    <x v="2"/>
    <m/>
    <m/>
    <s v="Phoebe Anne Fortaleza"/>
  </r>
  <r>
    <n v="2725"/>
    <x v="2"/>
    <x v="65"/>
    <s v="L000011735"/>
    <m/>
    <s v="L000013679"/>
    <x v="1"/>
    <x v="0"/>
    <x v="0"/>
    <x v="2"/>
    <m/>
    <m/>
    <s v="Phoebe Anne Fortaleza"/>
  </r>
  <r>
    <n v="2726"/>
    <x v="2"/>
    <x v="65"/>
    <s v="L000007297"/>
    <m/>
    <s v="L000013679"/>
    <x v="1"/>
    <x v="0"/>
    <x v="0"/>
    <x v="2"/>
    <m/>
    <m/>
    <s v="Phoebe Anne Fortaleza"/>
  </r>
  <r>
    <n v="2727"/>
    <x v="2"/>
    <x v="65"/>
    <s v="L000007310"/>
    <m/>
    <s v="L000013679"/>
    <x v="1"/>
    <x v="0"/>
    <x v="0"/>
    <x v="2"/>
    <m/>
    <m/>
    <s v="Phoebe Anne Fortaleza"/>
  </r>
  <r>
    <n v="2728"/>
    <x v="2"/>
    <x v="65"/>
    <s v="L000007315"/>
    <m/>
    <s v="L000013679"/>
    <x v="1"/>
    <x v="0"/>
    <x v="0"/>
    <x v="2"/>
    <m/>
    <m/>
    <s v="Phoebe Anne Fortaleza"/>
  </r>
  <r>
    <n v="2729"/>
    <x v="2"/>
    <x v="65"/>
    <s v="L000007317"/>
    <m/>
    <s v="L000013679"/>
    <x v="1"/>
    <x v="0"/>
    <x v="0"/>
    <x v="2"/>
    <m/>
    <m/>
    <s v="Phoebe Anne Fortaleza"/>
  </r>
  <r>
    <n v="2730"/>
    <x v="2"/>
    <x v="65"/>
    <s v="L000007339"/>
    <m/>
    <s v="L000013679"/>
    <x v="1"/>
    <x v="0"/>
    <x v="0"/>
    <x v="2"/>
    <m/>
    <m/>
    <s v="Phoebe Anne Fortaleza"/>
  </r>
  <r>
    <n v="2731"/>
    <x v="2"/>
    <x v="65"/>
    <s v="L000007514"/>
    <m/>
    <s v="L000013679"/>
    <x v="1"/>
    <x v="0"/>
    <x v="0"/>
    <x v="2"/>
    <m/>
    <m/>
    <s v="Phoebe Anne Fortaleza"/>
  </r>
  <r>
    <n v="2732"/>
    <x v="2"/>
    <x v="65"/>
    <s v="L000012689"/>
    <m/>
    <s v="L000013679"/>
    <x v="1"/>
    <x v="0"/>
    <x v="0"/>
    <x v="2"/>
    <m/>
    <m/>
    <s v="Phoebe Anne Fortaleza"/>
  </r>
  <r>
    <n v="2733"/>
    <x v="2"/>
    <x v="65"/>
    <s v="L000007327"/>
    <m/>
    <s v="L000013679"/>
    <x v="1"/>
    <x v="0"/>
    <x v="0"/>
    <x v="2"/>
    <m/>
    <m/>
    <s v="Phoebe Anne Fortaleza"/>
  </r>
  <r>
    <n v="2734"/>
    <x v="2"/>
    <x v="65"/>
    <s v="L000011713"/>
    <m/>
    <s v="L000013679"/>
    <x v="1"/>
    <x v="0"/>
    <x v="0"/>
    <x v="2"/>
    <m/>
    <m/>
    <s v="Phoebe Anne Fortaleza"/>
  </r>
  <r>
    <n v="2735"/>
    <x v="2"/>
    <x v="65"/>
    <s v="L000007287"/>
    <m/>
    <s v="L000013679"/>
    <x v="1"/>
    <x v="0"/>
    <x v="0"/>
    <x v="2"/>
    <m/>
    <m/>
    <s v="Phoebe Anne Fortaleza"/>
  </r>
  <r>
    <n v="2736"/>
    <x v="2"/>
    <x v="65"/>
    <s v="L000007307"/>
    <m/>
    <s v="L000013679"/>
    <x v="1"/>
    <x v="0"/>
    <x v="0"/>
    <x v="2"/>
    <m/>
    <m/>
    <s v="Phoebe Anne Fortaleza"/>
  </r>
  <r>
    <n v="2737"/>
    <x v="2"/>
    <x v="65"/>
    <s v="L000007330"/>
    <m/>
    <s v="L000013679"/>
    <x v="1"/>
    <x v="0"/>
    <x v="0"/>
    <x v="2"/>
    <m/>
    <m/>
    <s v="Phoebe Anne Fortaleza"/>
  </r>
  <r>
    <n v="2738"/>
    <x v="2"/>
    <x v="65"/>
    <s v="L000007340"/>
    <m/>
    <s v="L000013679"/>
    <x v="1"/>
    <x v="0"/>
    <x v="0"/>
    <x v="2"/>
    <m/>
    <m/>
    <s v="Phoebe Anne Fortaleza"/>
  </r>
  <r>
    <n v="2739"/>
    <x v="2"/>
    <x v="65"/>
    <s v="L000011692"/>
    <m/>
    <s v="L000013679"/>
    <x v="1"/>
    <x v="0"/>
    <x v="0"/>
    <x v="2"/>
    <m/>
    <m/>
    <s v="Phoebe Anne Fortaleza"/>
  </r>
  <r>
    <n v="2740"/>
    <x v="2"/>
    <x v="65"/>
    <s v="L000011693"/>
    <m/>
    <s v="L000013679"/>
    <x v="1"/>
    <x v="0"/>
    <x v="0"/>
    <x v="2"/>
    <m/>
    <m/>
    <s v="Phoebe Anne Fortaleza"/>
  </r>
  <r>
    <n v="2741"/>
    <x v="2"/>
    <x v="65"/>
    <s v="L000007516"/>
    <m/>
    <s v="L000013679"/>
    <x v="1"/>
    <x v="0"/>
    <x v="0"/>
    <x v="2"/>
    <m/>
    <m/>
    <s v="Phoebe Anne Fortaleza"/>
  </r>
  <r>
    <n v="2742"/>
    <x v="2"/>
    <x v="65"/>
    <s v="L000006989"/>
    <m/>
    <s v="L000013679"/>
    <x v="1"/>
    <x v="0"/>
    <x v="0"/>
    <x v="2"/>
    <m/>
    <m/>
    <s v="Phoebe Anne Fortaleza"/>
  </r>
  <r>
    <n v="2743"/>
    <x v="2"/>
    <x v="65"/>
    <s v="L000006990"/>
    <m/>
    <s v="L000013679"/>
    <x v="1"/>
    <x v="0"/>
    <x v="0"/>
    <x v="2"/>
    <m/>
    <m/>
    <s v="Phoebe Anne Fortaleza"/>
  </r>
  <r>
    <n v="2744"/>
    <x v="2"/>
    <x v="65"/>
    <s v="L000006991"/>
    <m/>
    <s v="L000013679"/>
    <x v="1"/>
    <x v="0"/>
    <x v="0"/>
    <x v="2"/>
    <m/>
    <m/>
    <s v="Phoebe Anne Fortaleza"/>
  </r>
  <r>
    <n v="2745"/>
    <x v="2"/>
    <x v="65"/>
    <s v="L000006992"/>
    <m/>
    <s v="L000013679"/>
    <x v="1"/>
    <x v="0"/>
    <x v="0"/>
    <x v="2"/>
    <m/>
    <m/>
    <s v="Phoebe Anne Fortaleza"/>
  </r>
  <r>
    <n v="2746"/>
    <x v="2"/>
    <x v="65"/>
    <s v="L000006994"/>
    <m/>
    <s v="L000013679"/>
    <x v="1"/>
    <x v="0"/>
    <x v="0"/>
    <x v="2"/>
    <m/>
    <m/>
    <s v="Phoebe Anne Fortaleza"/>
  </r>
  <r>
    <n v="2747"/>
    <x v="2"/>
    <x v="65"/>
    <s v="L000006996"/>
    <m/>
    <s v="L000013679"/>
    <x v="1"/>
    <x v="0"/>
    <x v="0"/>
    <x v="2"/>
    <m/>
    <m/>
    <s v="Phoebe Anne Fortaleza"/>
  </r>
  <r>
    <n v="2748"/>
    <x v="2"/>
    <x v="65"/>
    <s v="L000006997"/>
    <m/>
    <s v="L000013679"/>
    <x v="1"/>
    <x v="0"/>
    <x v="0"/>
    <x v="2"/>
    <m/>
    <m/>
    <s v="Phoebe Anne Fortaleza"/>
  </r>
  <r>
    <n v="2749"/>
    <x v="2"/>
    <x v="65"/>
    <s v="L000006998"/>
    <m/>
    <s v="L000013679"/>
    <x v="1"/>
    <x v="0"/>
    <x v="0"/>
    <x v="2"/>
    <m/>
    <m/>
    <s v="Phoebe Anne Fortaleza"/>
  </r>
  <r>
    <n v="2750"/>
    <x v="2"/>
    <x v="65"/>
    <s v="L000006999"/>
    <m/>
    <s v="L000013679"/>
    <x v="1"/>
    <x v="0"/>
    <x v="0"/>
    <x v="2"/>
    <m/>
    <m/>
    <s v="Phoebe Anne Fortaleza"/>
  </r>
  <r>
    <n v="2751"/>
    <x v="2"/>
    <x v="65"/>
    <s v="L000007000"/>
    <m/>
    <s v="L000013679"/>
    <x v="1"/>
    <x v="0"/>
    <x v="0"/>
    <x v="2"/>
    <m/>
    <m/>
    <s v="Phoebe Anne Fortaleza"/>
  </r>
  <r>
    <n v="2752"/>
    <x v="2"/>
    <x v="65"/>
    <s v="L000007002"/>
    <m/>
    <s v="L000013679"/>
    <x v="1"/>
    <x v="0"/>
    <x v="0"/>
    <x v="2"/>
    <m/>
    <m/>
    <s v="Phoebe Anne Fortaleza"/>
  </r>
  <r>
    <n v="2753"/>
    <x v="2"/>
    <x v="65"/>
    <s v="L000007003"/>
    <m/>
    <s v="L000013679"/>
    <x v="1"/>
    <x v="0"/>
    <x v="0"/>
    <x v="2"/>
    <m/>
    <m/>
    <s v="Phoebe Anne Fortaleza"/>
  </r>
  <r>
    <n v="2754"/>
    <x v="2"/>
    <x v="65"/>
    <s v="L000007005"/>
    <m/>
    <s v="L000013679"/>
    <x v="1"/>
    <x v="0"/>
    <x v="0"/>
    <x v="2"/>
    <m/>
    <m/>
    <s v="Phoebe Anne Fortaleza"/>
  </r>
  <r>
    <n v="2755"/>
    <x v="2"/>
    <x v="65"/>
    <s v="L000011431"/>
    <m/>
    <s v="L000013679"/>
    <x v="1"/>
    <x v="0"/>
    <x v="0"/>
    <x v="2"/>
    <m/>
    <m/>
    <s v="Phoebe Anne Fortaleza"/>
  </r>
  <r>
    <n v="2756"/>
    <x v="2"/>
    <x v="65"/>
    <s v="L000006526"/>
    <m/>
    <s v="L000013679"/>
    <x v="1"/>
    <x v="0"/>
    <x v="0"/>
    <x v="2"/>
    <m/>
    <m/>
    <s v="Phoebe Anne Fortaleza"/>
  </r>
  <r>
    <n v="2757"/>
    <x v="2"/>
    <x v="65"/>
    <s v="L000006529"/>
    <m/>
    <s v="L000013679"/>
    <x v="1"/>
    <x v="0"/>
    <x v="0"/>
    <x v="2"/>
    <m/>
    <m/>
    <s v="Phoebe Anne Fortaleza"/>
  </r>
  <r>
    <n v="2758"/>
    <x v="2"/>
    <x v="65"/>
    <s v="L000011422"/>
    <m/>
    <s v="L000013679"/>
    <x v="1"/>
    <x v="0"/>
    <x v="0"/>
    <x v="2"/>
    <m/>
    <m/>
    <s v="Phoebe Anne Fortaleza"/>
  </r>
  <r>
    <n v="2759"/>
    <x v="2"/>
    <x v="65"/>
    <s v="L000012723"/>
    <m/>
    <s v="L000013679"/>
    <x v="1"/>
    <x v="0"/>
    <x v="0"/>
    <x v="2"/>
    <m/>
    <m/>
    <s v="Phoebe Anne Fortaleza"/>
  </r>
  <r>
    <n v="2760"/>
    <x v="2"/>
    <x v="65"/>
    <s v="L000007123"/>
    <m/>
    <s v="L000013679"/>
    <x v="1"/>
    <x v="0"/>
    <x v="0"/>
    <x v="2"/>
    <m/>
    <m/>
    <s v="Phoebe Anne Fortaleza"/>
  </r>
  <r>
    <n v="2761"/>
    <x v="2"/>
    <x v="65"/>
    <s v="L000007124"/>
    <m/>
    <s v="L000013679"/>
    <x v="1"/>
    <x v="0"/>
    <x v="0"/>
    <x v="2"/>
    <m/>
    <m/>
    <s v="Phoebe Anne Fortaleza"/>
  </r>
  <r>
    <n v="2762"/>
    <x v="2"/>
    <x v="65"/>
    <s v="L000007126"/>
    <m/>
    <s v="L000013679"/>
    <x v="1"/>
    <x v="0"/>
    <x v="0"/>
    <x v="2"/>
    <m/>
    <m/>
    <s v="Phoebe Anne Fortaleza"/>
  </r>
  <r>
    <n v="2763"/>
    <x v="2"/>
    <x v="65"/>
    <s v="L000007127"/>
    <m/>
    <s v="L000013679"/>
    <x v="1"/>
    <x v="0"/>
    <x v="0"/>
    <x v="2"/>
    <m/>
    <m/>
    <s v="Phoebe Anne Fortaleza"/>
  </r>
  <r>
    <n v="2764"/>
    <x v="2"/>
    <x v="65"/>
    <s v="L000007129"/>
    <m/>
    <s v="L000013679"/>
    <x v="1"/>
    <x v="0"/>
    <x v="0"/>
    <x v="2"/>
    <m/>
    <m/>
    <s v="Phoebe Anne Fortaleza"/>
  </r>
  <r>
    <n v="2765"/>
    <x v="2"/>
    <x v="65"/>
    <s v="L000007130"/>
    <m/>
    <s v="L000013679"/>
    <x v="1"/>
    <x v="0"/>
    <x v="0"/>
    <x v="2"/>
    <m/>
    <m/>
    <s v="Phoebe Anne Fortaleza"/>
  </r>
  <r>
    <n v="2766"/>
    <x v="2"/>
    <x v="65"/>
    <s v="L000007131"/>
    <m/>
    <s v="L000013679"/>
    <x v="1"/>
    <x v="0"/>
    <x v="0"/>
    <x v="2"/>
    <m/>
    <m/>
    <s v="Phoebe Anne Fortaleza"/>
  </r>
  <r>
    <n v="2767"/>
    <x v="2"/>
    <x v="65"/>
    <s v="L000007132"/>
    <m/>
    <s v="L000013679"/>
    <x v="1"/>
    <x v="0"/>
    <x v="0"/>
    <x v="2"/>
    <m/>
    <m/>
    <s v="Phoebe Anne Fortaleza"/>
  </r>
  <r>
    <n v="2768"/>
    <x v="2"/>
    <x v="65"/>
    <s v="L000007133"/>
    <m/>
    <s v="L000013679"/>
    <x v="1"/>
    <x v="0"/>
    <x v="0"/>
    <x v="2"/>
    <m/>
    <m/>
    <s v="Phoebe Anne Fortaleza"/>
  </r>
  <r>
    <n v="2769"/>
    <x v="2"/>
    <x v="65"/>
    <s v="L000007134"/>
    <m/>
    <s v="L000013679"/>
    <x v="1"/>
    <x v="0"/>
    <x v="0"/>
    <x v="2"/>
    <m/>
    <m/>
    <s v="Phoebe Anne Fortaleza"/>
  </r>
  <r>
    <n v="2770"/>
    <x v="2"/>
    <x v="65"/>
    <s v="L000007260"/>
    <m/>
    <s v="L000013679"/>
    <x v="1"/>
    <x v="0"/>
    <x v="0"/>
    <x v="2"/>
    <m/>
    <m/>
    <s v="Phoebe Anne Fortaleza"/>
  </r>
  <r>
    <n v="2771"/>
    <x v="2"/>
    <x v="65"/>
    <s v="L000011473"/>
    <m/>
    <s v="L000013679"/>
    <x v="1"/>
    <x v="0"/>
    <x v="0"/>
    <x v="2"/>
    <m/>
    <m/>
    <s v="Phoebe Anne Fortaleza"/>
  </r>
  <r>
    <n v="2772"/>
    <x v="2"/>
    <x v="65"/>
    <s v="L000011479"/>
    <m/>
    <s v="L000013679"/>
    <x v="1"/>
    <x v="0"/>
    <x v="0"/>
    <x v="2"/>
    <m/>
    <m/>
    <s v="Phoebe Anne Fortaleza"/>
  </r>
  <r>
    <n v="2773"/>
    <x v="2"/>
    <x v="65"/>
    <s v="L000012851"/>
    <m/>
    <s v="L000013679"/>
    <x v="1"/>
    <x v="0"/>
    <x v="0"/>
    <x v="2"/>
    <m/>
    <m/>
    <s v="Phoebe Anne Fortaleza"/>
  </r>
  <r>
    <n v="2774"/>
    <x v="2"/>
    <x v="65"/>
    <s v="L000007125"/>
    <m/>
    <s v="L000013679"/>
    <x v="1"/>
    <x v="0"/>
    <x v="0"/>
    <x v="2"/>
    <m/>
    <m/>
    <s v="Phoebe Anne Fortaleza"/>
  </r>
  <r>
    <n v="2775"/>
    <x v="2"/>
    <x v="65"/>
    <s v="L000007230"/>
    <m/>
    <s v="L000013679"/>
    <x v="1"/>
    <x v="0"/>
    <x v="0"/>
    <x v="2"/>
    <m/>
    <m/>
    <s v="Phoebe Anne Fortaleza"/>
  </r>
  <r>
    <n v="2776"/>
    <x v="2"/>
    <x v="65"/>
    <s v="L000007231"/>
    <m/>
    <s v="L000013679"/>
    <x v="1"/>
    <x v="0"/>
    <x v="0"/>
    <x v="2"/>
    <m/>
    <m/>
    <s v="Phoebe Anne Fortaleza"/>
  </r>
  <r>
    <n v="2777"/>
    <x v="2"/>
    <x v="65"/>
    <s v="L000007232"/>
    <m/>
    <s v="L000013679"/>
    <x v="1"/>
    <x v="0"/>
    <x v="0"/>
    <x v="2"/>
    <m/>
    <m/>
    <s v="Phoebe Anne Fortaleza"/>
  </r>
  <r>
    <n v="2778"/>
    <x v="2"/>
    <x v="65"/>
    <s v="L000007233"/>
    <m/>
    <s v="L000013679"/>
    <x v="1"/>
    <x v="0"/>
    <x v="0"/>
    <x v="2"/>
    <m/>
    <m/>
    <s v="Phoebe Anne Fortaleza"/>
  </r>
  <r>
    <n v="2779"/>
    <x v="2"/>
    <x v="65"/>
    <s v="L000007234"/>
    <m/>
    <s v="L000013679"/>
    <x v="1"/>
    <x v="0"/>
    <x v="0"/>
    <x v="2"/>
    <m/>
    <m/>
    <s v="Phoebe Anne Fortaleza"/>
  </r>
  <r>
    <n v="2780"/>
    <x v="2"/>
    <x v="65"/>
    <s v="L000012680"/>
    <m/>
    <s v="L000013679"/>
    <x v="1"/>
    <x v="0"/>
    <x v="0"/>
    <x v="2"/>
    <m/>
    <m/>
    <s v="Phoebe Anne Fortaleza"/>
  </r>
  <r>
    <n v="2781"/>
    <x v="2"/>
    <x v="65"/>
    <s v="L000012834"/>
    <m/>
    <s v="L000013679"/>
    <x v="1"/>
    <x v="0"/>
    <x v="0"/>
    <x v="2"/>
    <m/>
    <m/>
    <s v="Phoebe Anne Fortaleza"/>
  </r>
  <r>
    <n v="2782"/>
    <x v="2"/>
    <x v="65"/>
    <s v="L000007301"/>
    <m/>
    <s v="L000013679"/>
    <x v="1"/>
    <x v="0"/>
    <x v="0"/>
    <x v="2"/>
    <m/>
    <m/>
    <s v="Phoebe Anne Fortaleza"/>
  </r>
  <r>
    <n v="2783"/>
    <x v="2"/>
    <x v="65"/>
    <s v="L000007468"/>
    <m/>
    <s v="L000013679"/>
    <x v="1"/>
    <x v="0"/>
    <x v="0"/>
    <x v="2"/>
    <m/>
    <m/>
    <s v="Phoebe Anne Fortaleza"/>
  </r>
  <r>
    <n v="2784"/>
    <x v="2"/>
    <x v="65"/>
    <s v="L000007595"/>
    <m/>
    <s v="L000013679"/>
    <x v="1"/>
    <x v="0"/>
    <x v="0"/>
    <x v="2"/>
    <m/>
    <m/>
    <s v="Phoebe Anne Fortaleza"/>
  </r>
  <r>
    <n v="2785"/>
    <x v="2"/>
    <x v="65"/>
    <s v="L000007326"/>
    <m/>
    <s v="L000013679"/>
    <x v="1"/>
    <x v="0"/>
    <x v="0"/>
    <x v="2"/>
    <m/>
    <m/>
    <s v="Phoebe Anne Fortaleza"/>
  </r>
  <r>
    <n v="2786"/>
    <x v="2"/>
    <x v="65"/>
    <s v="L000007476"/>
    <m/>
    <s v="L000013679"/>
    <x v="1"/>
    <x v="0"/>
    <x v="0"/>
    <x v="2"/>
    <m/>
    <m/>
    <s v="Phoebe Anne Fortaleza"/>
  </r>
  <r>
    <n v="2787"/>
    <x v="2"/>
    <x v="65"/>
    <s v="L000007299"/>
    <m/>
    <s v="L000013679"/>
    <x v="1"/>
    <x v="0"/>
    <x v="0"/>
    <x v="2"/>
    <m/>
    <m/>
    <s v="Phoebe Anne Fortaleza"/>
  </r>
  <r>
    <n v="2788"/>
    <x v="2"/>
    <x v="65"/>
    <s v="L000005419"/>
    <m/>
    <s v="L000013680"/>
    <x v="1"/>
    <x v="0"/>
    <x v="0"/>
    <x v="2"/>
    <m/>
    <m/>
    <s v="Phoebe Anne Fortaleza"/>
  </r>
  <r>
    <n v="2789"/>
    <x v="2"/>
    <x v="65"/>
    <s v="L000013057"/>
    <m/>
    <s v="L000013680"/>
    <x v="1"/>
    <x v="0"/>
    <x v="0"/>
    <x v="2"/>
    <m/>
    <m/>
    <s v="Phoebe Anne Fortaleza"/>
  </r>
  <r>
    <n v="2790"/>
    <x v="2"/>
    <x v="65"/>
    <s v="L000005428"/>
    <m/>
    <s v="L000013680"/>
    <x v="1"/>
    <x v="0"/>
    <x v="0"/>
    <x v="2"/>
    <m/>
    <m/>
    <s v="Phoebe Anne Fortaleza"/>
  </r>
  <r>
    <n v="2791"/>
    <x v="2"/>
    <x v="65"/>
    <s v="L000005486"/>
    <m/>
    <s v="L000013680"/>
    <x v="1"/>
    <x v="0"/>
    <x v="0"/>
    <x v="2"/>
    <m/>
    <m/>
    <s v="Phoebe Anne Fortaleza"/>
  </r>
  <r>
    <n v="2792"/>
    <x v="2"/>
    <x v="65"/>
    <s v="L000005492"/>
    <m/>
    <s v="L000013680"/>
    <x v="1"/>
    <x v="0"/>
    <x v="0"/>
    <x v="2"/>
    <m/>
    <m/>
    <s v="Phoebe Anne Fortaleza"/>
  </r>
  <r>
    <n v="2793"/>
    <x v="2"/>
    <x v="65"/>
    <s v="L000011965"/>
    <m/>
    <s v="L000013680"/>
    <x v="1"/>
    <x v="0"/>
    <x v="0"/>
    <x v="2"/>
    <m/>
    <m/>
    <s v="Phoebe Anne Fortaleza"/>
  </r>
  <r>
    <n v="2794"/>
    <x v="2"/>
    <x v="65"/>
    <s v="L000011995"/>
    <m/>
    <s v="L000013680"/>
    <x v="1"/>
    <x v="0"/>
    <x v="0"/>
    <x v="2"/>
    <m/>
    <m/>
    <s v="Phoebe Anne Fortaleza"/>
  </r>
  <r>
    <n v="2795"/>
    <x v="2"/>
    <x v="65"/>
    <s v="L000012747"/>
    <m/>
    <s v="L000013680"/>
    <x v="1"/>
    <x v="0"/>
    <x v="0"/>
    <x v="2"/>
    <m/>
    <m/>
    <s v="Phoebe Anne Fortaleza"/>
  </r>
  <r>
    <n v="2796"/>
    <x v="2"/>
    <x v="65"/>
    <s v="L000005350"/>
    <m/>
    <s v="L000013680"/>
    <x v="1"/>
    <x v="0"/>
    <x v="0"/>
    <x v="2"/>
    <m/>
    <m/>
    <s v="Phoebe Anne Fortaleza"/>
  </r>
  <r>
    <n v="2797"/>
    <x v="2"/>
    <x v="65"/>
    <s v="L000011961"/>
    <m/>
    <s v="L000013680"/>
    <x v="1"/>
    <x v="0"/>
    <x v="0"/>
    <x v="2"/>
    <m/>
    <m/>
    <s v="Phoebe Anne Fortaleza"/>
  </r>
  <r>
    <n v="2798"/>
    <x v="2"/>
    <x v="65"/>
    <s v="L000011962"/>
    <m/>
    <s v="L000013680"/>
    <x v="1"/>
    <x v="0"/>
    <x v="0"/>
    <x v="2"/>
    <m/>
    <m/>
    <s v="Phoebe Anne Fortaleza"/>
  </r>
  <r>
    <n v="2799"/>
    <x v="2"/>
    <x v="65"/>
    <s v="L000005373"/>
    <m/>
    <s v="L000013680"/>
    <x v="1"/>
    <x v="0"/>
    <x v="0"/>
    <x v="2"/>
    <m/>
    <m/>
    <s v="Phoebe Anne Fortaleza"/>
  </r>
  <r>
    <n v="2800"/>
    <x v="2"/>
    <x v="65"/>
    <s v="L000013013"/>
    <m/>
    <s v="L000013680"/>
    <x v="1"/>
    <x v="0"/>
    <x v="0"/>
    <x v="2"/>
    <m/>
    <m/>
    <s v="Phoebe Anne Fortaleza"/>
  </r>
  <r>
    <n v="2801"/>
    <x v="2"/>
    <x v="65"/>
    <s v="L000005363"/>
    <m/>
    <s v="L000013680"/>
    <x v="1"/>
    <x v="0"/>
    <x v="0"/>
    <x v="2"/>
    <m/>
    <m/>
    <s v="Phoebe Anne Fortaleza"/>
  </r>
  <r>
    <n v="2802"/>
    <x v="2"/>
    <x v="65"/>
    <s v="L000005482"/>
    <m/>
    <s v="L000013680"/>
    <x v="1"/>
    <x v="0"/>
    <x v="0"/>
    <x v="2"/>
    <m/>
    <m/>
    <s v="Phoebe Anne Fortaleza"/>
  </r>
  <r>
    <n v="2803"/>
    <x v="2"/>
    <x v="65"/>
    <s v="L000012491"/>
    <m/>
    <s v="L000013680"/>
    <x v="1"/>
    <x v="0"/>
    <x v="0"/>
    <x v="2"/>
    <m/>
    <m/>
    <s v="Phoebe Anne Fortaleza"/>
  </r>
  <r>
    <n v="2804"/>
    <x v="2"/>
    <x v="65"/>
    <s v="L000005429"/>
    <m/>
    <s v="L000013680"/>
    <x v="1"/>
    <x v="0"/>
    <x v="0"/>
    <x v="2"/>
    <m/>
    <m/>
    <s v="Phoebe Anne Fortaleza"/>
  </r>
  <r>
    <n v="2805"/>
    <x v="2"/>
    <x v="65"/>
    <s v="L000011970"/>
    <m/>
    <s v="L000013680"/>
    <x v="1"/>
    <x v="0"/>
    <x v="0"/>
    <x v="2"/>
    <m/>
    <m/>
    <s v="Phoebe Anne Fortaleza"/>
  </r>
  <r>
    <n v="2806"/>
    <x v="2"/>
    <x v="65"/>
    <s v="L000013066"/>
    <m/>
    <s v="L000013680"/>
    <x v="1"/>
    <x v="0"/>
    <x v="0"/>
    <x v="2"/>
    <m/>
    <m/>
    <s v="Phoebe Anne Fortaleza"/>
  </r>
  <r>
    <n v="2807"/>
    <x v="2"/>
    <x v="65"/>
    <s v="L000005418"/>
    <m/>
    <s v="L000013680"/>
    <x v="1"/>
    <x v="0"/>
    <x v="0"/>
    <x v="2"/>
    <m/>
    <m/>
    <s v="Phoebe Anne Fortaleza"/>
  </r>
  <r>
    <n v="2808"/>
    <x v="2"/>
    <x v="65"/>
    <s v="L000013067"/>
    <m/>
    <s v="L000013680"/>
    <x v="1"/>
    <x v="0"/>
    <x v="0"/>
    <x v="2"/>
    <m/>
    <m/>
    <s v="Phoebe Anne Fortaleza"/>
  </r>
  <r>
    <n v="2809"/>
    <x v="2"/>
    <x v="65"/>
    <s v="L000005444"/>
    <m/>
    <s v="L000013680"/>
    <x v="1"/>
    <x v="0"/>
    <x v="0"/>
    <x v="2"/>
    <m/>
    <m/>
    <s v="Phoebe Anne Fortaleza"/>
  </r>
  <r>
    <n v="2810"/>
    <x v="2"/>
    <x v="65"/>
    <s v="L000005468"/>
    <m/>
    <s v="L000013680"/>
    <x v="1"/>
    <x v="0"/>
    <x v="0"/>
    <x v="2"/>
    <m/>
    <m/>
    <s v="Phoebe Anne Fortaleza"/>
  </r>
  <r>
    <n v="2811"/>
    <x v="2"/>
    <x v="65"/>
    <s v="L000005469"/>
    <m/>
    <s v="L000013680"/>
    <x v="1"/>
    <x v="0"/>
    <x v="0"/>
    <x v="2"/>
    <m/>
    <m/>
    <s v="Phoebe Anne Fortaleza"/>
  </r>
  <r>
    <n v="2812"/>
    <x v="2"/>
    <x v="65"/>
    <s v="L000011993"/>
    <m/>
    <s v="L000013680"/>
    <x v="1"/>
    <x v="0"/>
    <x v="0"/>
    <x v="2"/>
    <m/>
    <m/>
    <s v="Phoebe Anne Fortaleza"/>
  </r>
  <r>
    <n v="2813"/>
    <x v="2"/>
    <x v="65"/>
    <s v="L000005301"/>
    <m/>
    <s v="L000013680"/>
    <x v="1"/>
    <x v="0"/>
    <x v="0"/>
    <x v="2"/>
    <m/>
    <m/>
    <s v="Phoebe Anne Fortaleza"/>
  </r>
  <r>
    <n v="2814"/>
    <x v="2"/>
    <x v="65"/>
    <s v="L000011954"/>
    <m/>
    <s v="L000013680"/>
    <x v="1"/>
    <x v="0"/>
    <x v="0"/>
    <x v="2"/>
    <m/>
    <m/>
    <s v="Phoebe Anne Fortaleza"/>
  </r>
  <r>
    <n v="2815"/>
    <x v="2"/>
    <x v="65"/>
    <s v="L000008429"/>
    <m/>
    <s v="L000013680"/>
    <x v="1"/>
    <x v="0"/>
    <x v="0"/>
    <x v="2"/>
    <m/>
    <m/>
    <s v="Phoebe Anne Fortaleza"/>
  </r>
  <r>
    <n v="2816"/>
    <x v="2"/>
    <x v="65"/>
    <s v="L000008430"/>
    <m/>
    <s v="L000013680"/>
    <x v="1"/>
    <x v="0"/>
    <x v="0"/>
    <x v="2"/>
    <m/>
    <m/>
    <s v="Phoebe Anne Fortaleza"/>
  </r>
  <r>
    <n v="2817"/>
    <x v="2"/>
    <x v="65"/>
    <s v="L000008431"/>
    <m/>
    <s v="L000013680"/>
    <x v="1"/>
    <x v="0"/>
    <x v="0"/>
    <x v="2"/>
    <m/>
    <m/>
    <s v="Phoebe Anne Fortaleza"/>
  </r>
  <r>
    <n v="2818"/>
    <x v="2"/>
    <x v="65"/>
    <s v="L000008432"/>
    <m/>
    <s v="L000013680"/>
    <x v="1"/>
    <x v="0"/>
    <x v="0"/>
    <x v="2"/>
    <m/>
    <m/>
    <s v="Phoebe Anne Fortaleza"/>
  </r>
  <r>
    <n v="2819"/>
    <x v="2"/>
    <x v="65"/>
    <s v="L000008436"/>
    <m/>
    <s v="L000013680"/>
    <x v="1"/>
    <x v="0"/>
    <x v="0"/>
    <x v="2"/>
    <m/>
    <m/>
    <s v="Phoebe Anne Fortaleza"/>
  </r>
  <r>
    <n v="2820"/>
    <x v="2"/>
    <x v="66"/>
    <s v="G000000463"/>
    <m/>
    <s v="G000000873"/>
    <x v="1"/>
    <x v="0"/>
    <x v="0"/>
    <x v="0"/>
    <m/>
    <m/>
    <s v="Nadine Anic"/>
  </r>
  <r>
    <n v="2821"/>
    <x v="2"/>
    <x v="66"/>
    <s v="G000000868"/>
    <m/>
    <s v="G000000873"/>
    <x v="1"/>
    <x v="0"/>
    <x v="0"/>
    <x v="0"/>
    <m/>
    <m/>
    <s v="Nadine Anic"/>
  </r>
  <r>
    <n v="2822"/>
    <x v="2"/>
    <x v="67"/>
    <s v="H000001993"/>
    <m/>
    <s v="O000000009"/>
    <x v="3"/>
    <x v="0"/>
    <x v="0"/>
    <x v="1"/>
    <m/>
    <m/>
    <s v="John Poulie Borromeo"/>
  </r>
  <r>
    <n v="2823"/>
    <x v="2"/>
    <x v="67"/>
    <s v="H000001999"/>
    <m/>
    <s v="O000000009"/>
    <x v="3"/>
    <x v="0"/>
    <x v="0"/>
    <x v="1"/>
    <m/>
    <m/>
    <s v="John Poulie Borromeo"/>
  </r>
  <r>
    <n v="2824"/>
    <x v="2"/>
    <x v="67"/>
    <s v="H000002001"/>
    <m/>
    <s v="O000000009"/>
    <x v="3"/>
    <x v="0"/>
    <x v="0"/>
    <x v="1"/>
    <m/>
    <m/>
    <s v="John Poulie Borromeo"/>
  </r>
  <r>
    <n v="2825"/>
    <x v="2"/>
    <x v="67"/>
    <s v="H000002002"/>
    <m/>
    <s v="O000000009"/>
    <x v="3"/>
    <x v="0"/>
    <x v="0"/>
    <x v="1"/>
    <m/>
    <m/>
    <s v="John Poulie Borromeo"/>
  </r>
  <r>
    <n v="2826"/>
    <x v="2"/>
    <x v="67"/>
    <s v="H000002003"/>
    <m/>
    <s v="O000000009"/>
    <x v="3"/>
    <x v="0"/>
    <x v="0"/>
    <x v="1"/>
    <m/>
    <m/>
    <s v="John Poulie Borromeo"/>
  </r>
  <r>
    <n v="2827"/>
    <x v="2"/>
    <x v="67"/>
    <s v="H000002004"/>
    <m/>
    <s v="O000000009"/>
    <x v="3"/>
    <x v="0"/>
    <x v="0"/>
    <x v="1"/>
    <m/>
    <m/>
    <s v="John Poulie Borromeo"/>
  </r>
  <r>
    <n v="2828"/>
    <x v="2"/>
    <x v="67"/>
    <s v="H000002005"/>
    <m/>
    <s v="O000000009"/>
    <x v="3"/>
    <x v="0"/>
    <x v="0"/>
    <x v="1"/>
    <m/>
    <m/>
    <s v="John Poulie Borromeo"/>
  </r>
  <r>
    <n v="2829"/>
    <x v="2"/>
    <x v="67"/>
    <s v="H000002009"/>
    <m/>
    <s v="O000000009"/>
    <x v="3"/>
    <x v="0"/>
    <x v="0"/>
    <x v="1"/>
    <m/>
    <m/>
    <s v="John Poulie Borromeo"/>
  </r>
  <r>
    <n v="2830"/>
    <x v="2"/>
    <x v="67"/>
    <s v="H000002010"/>
    <m/>
    <s v="O000000009"/>
    <x v="3"/>
    <x v="0"/>
    <x v="0"/>
    <x v="1"/>
    <m/>
    <m/>
    <s v="John Poulie Borromeo"/>
  </r>
  <r>
    <n v="2831"/>
    <x v="2"/>
    <x v="67"/>
    <s v="H000002011"/>
    <m/>
    <s v="O000000009"/>
    <x v="3"/>
    <x v="0"/>
    <x v="0"/>
    <x v="1"/>
    <m/>
    <m/>
    <s v="John Poulie Borromeo"/>
  </r>
  <r>
    <n v="2832"/>
    <x v="2"/>
    <x v="67"/>
    <s v="H000002012"/>
    <m/>
    <s v="O000000009"/>
    <x v="3"/>
    <x v="0"/>
    <x v="0"/>
    <x v="1"/>
    <m/>
    <m/>
    <s v="John Poulie Borromeo"/>
  </r>
  <r>
    <n v="2833"/>
    <x v="2"/>
    <x v="67"/>
    <s v="H000002017"/>
    <m/>
    <s v="O000000009"/>
    <x v="3"/>
    <x v="0"/>
    <x v="0"/>
    <x v="1"/>
    <m/>
    <m/>
    <s v="John Poulie Borromeo"/>
  </r>
  <r>
    <n v="2834"/>
    <x v="2"/>
    <x v="68"/>
    <s v="G000000404"/>
    <m/>
    <s v="G000000873"/>
    <x v="1"/>
    <x v="0"/>
    <x v="0"/>
    <x v="0"/>
    <m/>
    <m/>
    <s v="Francesco Ricioppo"/>
  </r>
  <r>
    <n v="2835"/>
    <x v="2"/>
    <x v="69"/>
    <s v="G000001262"/>
    <s v="GMN MBS Innovation &amp; Data – MDM"/>
    <s v="G000001145"/>
    <x v="0"/>
    <x v="0"/>
    <x v="0"/>
    <x v="0"/>
    <m/>
    <m/>
    <s v="Jojeff Tagnong"/>
  </r>
  <r>
    <n v="2836"/>
    <x v="2"/>
    <x v="70"/>
    <s v="P000001172"/>
    <s v="EL-DS-SDPP Production Planning"/>
    <s v="P000000057"/>
    <x v="0"/>
    <x v="0"/>
    <x v="0"/>
    <x v="3"/>
    <m/>
    <m/>
    <s v="Edward Arevalo"/>
  </r>
  <r>
    <n v="2837"/>
    <x v="2"/>
    <x v="70"/>
    <s v="P000001173"/>
    <s v="EL-SC-D General Internal Order"/>
    <s v="P000000495"/>
    <x v="0"/>
    <x v="0"/>
    <x v="0"/>
    <x v="3"/>
    <m/>
    <m/>
    <s v="Edward Arevalo"/>
  </r>
  <r>
    <n v="2838"/>
    <x v="2"/>
    <x v="70"/>
    <s v="P000001174"/>
    <s v="EL-SC-DD Process Development Display IO's"/>
    <s v="P000000497"/>
    <x v="0"/>
    <x v="0"/>
    <x v="0"/>
    <x v="3"/>
    <m/>
    <m/>
    <s v="Edward Arevalo"/>
  </r>
  <r>
    <n v="2839"/>
    <x v="2"/>
    <x v="70"/>
    <s v="P000001175"/>
    <s v="EL-SC-DE Process Development Engineering IO's"/>
    <s v="P000000498"/>
    <x v="0"/>
    <x v="0"/>
    <x v="0"/>
    <x v="3"/>
    <m/>
    <m/>
    <s v="Edward Arevalo"/>
  </r>
  <r>
    <n v="2840"/>
    <x v="2"/>
    <x v="70"/>
    <s v="P000001176"/>
    <s v="EL-SC-DF Process Development Safety IO's"/>
    <s v="P000000499"/>
    <x v="0"/>
    <x v="0"/>
    <x v="0"/>
    <x v="3"/>
    <m/>
    <m/>
    <s v="Edward Arevalo"/>
  </r>
  <r>
    <n v="2841"/>
    <x v="2"/>
    <x v="70"/>
    <s v="P000001177"/>
    <s v="EL-SC-DF Process Development Semicon IO's"/>
    <s v="P000000500"/>
    <x v="0"/>
    <x v="0"/>
    <x v="0"/>
    <x v="3"/>
    <m/>
    <m/>
    <s v="Edward Arevalo"/>
  </r>
  <r>
    <n v="2842"/>
    <x v="2"/>
    <x v="70"/>
    <s v="P000001178"/>
    <s v="EL-SC-DI Process Development Hometown Pilot Plant "/>
    <s v="P000000500"/>
    <x v="0"/>
    <x v="0"/>
    <x v="0"/>
    <x v="3"/>
    <m/>
    <m/>
    <s v="Edward Arevalo"/>
  </r>
  <r>
    <n v="2843"/>
    <x v="2"/>
    <x v="70"/>
    <s v="P000001179"/>
    <s v="EL-SC-DX Process Development Enablement IO's"/>
    <s v="P000000502"/>
    <x v="0"/>
    <x v="0"/>
    <x v="0"/>
    <x v="3"/>
    <m/>
    <m/>
    <s v="Edward Arevalo"/>
  </r>
  <r>
    <n v="2844"/>
    <x v="2"/>
    <x v="70"/>
    <s v="P000001180"/>
    <s v="EL-SC-DS Process Development Synthesis IO's"/>
    <s v="P000000503"/>
    <x v="0"/>
    <x v="0"/>
    <x v="0"/>
    <x v="3"/>
    <m/>
    <m/>
    <s v="Edward Arevalo"/>
  </r>
  <r>
    <n v="2845"/>
    <x v="2"/>
    <x v="70"/>
    <s v="P000001181"/>
    <s v="EL-SC-DU Process Development Pilot Plant IO's"/>
    <s v="P000000504"/>
    <x v="0"/>
    <x v="0"/>
    <x v="0"/>
    <x v="3"/>
    <m/>
    <m/>
    <s v="Edward Arevalo"/>
  </r>
  <r>
    <n v="2846"/>
    <x v="2"/>
    <x v="70"/>
    <s v="P000000502 "/>
    <s v="EL-SC-DX Process Development Project Enablement"/>
    <m/>
    <x v="2"/>
    <x v="0"/>
    <x v="0"/>
    <x v="3"/>
    <m/>
    <m/>
    <s v="Edward Arevalo"/>
  </r>
  <r>
    <n v="2847"/>
    <x v="2"/>
    <x v="70"/>
    <s v="P000000062"/>
    <m/>
    <s v="P000000057"/>
    <x v="1"/>
    <x v="0"/>
    <x v="0"/>
    <x v="3"/>
    <m/>
    <m/>
    <s v="Edward Arevalo"/>
  </r>
  <r>
    <n v="2848"/>
    <x v="2"/>
    <x v="70"/>
    <s v="P000000066"/>
    <m/>
    <s v="P000000062"/>
    <x v="1"/>
    <x v="0"/>
    <x v="0"/>
    <x v="3"/>
    <m/>
    <m/>
    <s v="Edward Arevalo"/>
  </r>
  <r>
    <n v="2849"/>
    <x v="2"/>
    <x v="70"/>
    <s v="P000000072"/>
    <m/>
    <s v="P000000069"/>
    <x v="1"/>
    <x v="0"/>
    <x v="0"/>
    <x v="3"/>
    <m/>
    <m/>
    <s v="Edward Arevalo"/>
  </r>
  <r>
    <n v="2850"/>
    <x v="2"/>
    <x v="70"/>
    <s v="P000000074"/>
    <m/>
    <s v="P000000069"/>
    <x v="1"/>
    <x v="0"/>
    <x v="0"/>
    <x v="3"/>
    <m/>
    <m/>
    <s v="Edward Arevalo"/>
  </r>
  <r>
    <n v="2851"/>
    <x v="2"/>
    <x v="71"/>
    <s v="G000000775"/>
    <s v="Global Health &amp; Health Equity"/>
    <m/>
    <x v="2"/>
    <x v="0"/>
    <x v="0"/>
    <x v="1"/>
    <m/>
    <m/>
    <s v="Birgit Kroeling-Neumann"/>
  </r>
  <r>
    <n v="2852"/>
    <x v="2"/>
    <x v="71"/>
    <s v="G000000776"/>
    <s v="Global Health Management"/>
    <m/>
    <x v="2"/>
    <x v="0"/>
    <x v="0"/>
    <x v="1"/>
    <m/>
    <m/>
    <s v="Birgit Kroeling-Neumann"/>
  </r>
  <r>
    <n v="2853"/>
    <x v="2"/>
    <x v="71"/>
    <s v="H000000454"/>
    <s v="Global Business Excellence &amp; Innovation"/>
    <m/>
    <x v="2"/>
    <x v="0"/>
    <x v="0"/>
    <x v="1"/>
    <m/>
    <m/>
    <s v="Birgit Kroeling-Neumann"/>
  </r>
  <r>
    <n v="2854"/>
    <x v="2"/>
    <x v="71"/>
    <s v="H000000939"/>
    <s v="Global Launch Excellence &amp; Cap.Building"/>
    <m/>
    <x v="2"/>
    <x v="0"/>
    <x v="0"/>
    <x v="1"/>
    <m/>
    <m/>
    <s v="Birgit Kroeling-Neumann"/>
  </r>
  <r>
    <n v="2855"/>
    <x v="2"/>
    <x v="71"/>
    <s v="H000000940"/>
    <s v="Global Customer Excellence"/>
    <m/>
    <x v="2"/>
    <x v="0"/>
    <x v="0"/>
    <x v="1"/>
    <m/>
    <m/>
    <s v="Birgit Kroeling-Neumann"/>
  </r>
  <r>
    <n v="2856"/>
    <x v="2"/>
    <x v="71"/>
    <s v="H000000945"/>
    <s v="Global Business Transformation"/>
    <m/>
    <x v="2"/>
    <x v="0"/>
    <x v="0"/>
    <x v="1"/>
    <m/>
    <m/>
    <s v="Birgit Kroeling-Neumann"/>
  </r>
  <r>
    <n v="2857"/>
    <x v="2"/>
    <x v="71"/>
    <s v="H000000947"/>
    <m/>
    <s v="H000000153"/>
    <x v="1"/>
    <x v="0"/>
    <x v="0"/>
    <x v="1"/>
    <m/>
    <m/>
    <s v="Birgit Kroeling-Neumann"/>
  </r>
  <r>
    <n v="2858"/>
    <x v="2"/>
    <x v="71"/>
    <s v="H000000949"/>
    <m/>
    <s v="H000000000"/>
    <x v="1"/>
    <x v="0"/>
    <x v="0"/>
    <x v="1"/>
    <m/>
    <m/>
    <s v="Birgit Kroeling-Neumann"/>
  </r>
  <r>
    <n v="2859"/>
    <x v="2"/>
    <x v="71"/>
    <s v="H000000285"/>
    <m/>
    <s v="H000000915"/>
    <x v="1"/>
    <x v="0"/>
    <x v="0"/>
    <x v="1"/>
    <m/>
    <m/>
    <s v="Birgit Kroeling-Neumann"/>
  </r>
  <r>
    <n v="2860"/>
    <x v="2"/>
    <x v="71"/>
    <s v="H000000456"/>
    <m/>
    <s v="H000000005"/>
    <x v="1"/>
    <x v="0"/>
    <x v="0"/>
    <x v="1"/>
    <m/>
    <m/>
    <s v="Birgit Kroeling-Neumann"/>
  </r>
  <r>
    <n v="2861"/>
    <x v="2"/>
    <x v="71"/>
    <s v="H000000946"/>
    <m/>
    <s v="H000000451"/>
    <x v="1"/>
    <x v="0"/>
    <x v="0"/>
    <x v="1"/>
    <m/>
    <m/>
    <s v="Birgit Kroeling-Neumann"/>
  </r>
  <r>
    <n v="2862"/>
    <x v="2"/>
    <x v="71"/>
    <s v="H000000942"/>
    <m/>
    <s v="O000000009"/>
    <x v="3"/>
    <x v="0"/>
    <x v="0"/>
    <x v="1"/>
    <m/>
    <m/>
    <s v="Birgit Kroeling-Neumann"/>
  </r>
  <r>
    <n v="2863"/>
    <x v="2"/>
    <x v="71"/>
    <s v="H000000455"/>
    <m/>
    <s v="O000000009"/>
    <x v="3"/>
    <x v="0"/>
    <x v="0"/>
    <x v="1"/>
    <m/>
    <m/>
    <s v="Birgit Kroeling-Neumann"/>
  </r>
  <r>
    <n v="2864"/>
    <x v="2"/>
    <x v="72"/>
    <s v="H000004379"/>
    <s v="Global Business Devel &amp; Alliance Mgmt"/>
    <s v="H000000687"/>
    <x v="4"/>
    <x v="0"/>
    <x v="0"/>
    <x v="1"/>
    <m/>
    <m/>
    <s v="Gay Geanuza del Mundo"/>
  </r>
  <r>
    <n v="2865"/>
    <x v="2"/>
    <x v="73"/>
    <s v="G000000361"/>
    <s v="SM-H Projects"/>
    <m/>
    <x v="2"/>
    <x v="0"/>
    <x v="0"/>
    <x v="0"/>
    <m/>
    <m/>
    <s v="Francesco Ricioppo"/>
  </r>
  <r>
    <n v="2866"/>
    <x v="2"/>
    <x v="74"/>
    <s v="P000001182"/>
    <s v="EL-PS-SEC Supply Chain COS Actives"/>
    <s v="P000000464"/>
    <x v="0"/>
    <x v="0"/>
    <x v="0"/>
    <x v="3"/>
    <m/>
    <m/>
    <s v="Edward Arevalo"/>
  </r>
  <r>
    <n v="2867"/>
    <x v="2"/>
    <x v="75"/>
    <s v="G000001069 "/>
    <m/>
    <s v="G000000873"/>
    <x v="1"/>
    <x v="0"/>
    <x v="0"/>
    <x v="0"/>
    <m/>
    <m/>
    <s v="Francesco Ricioppo"/>
  </r>
  <r>
    <n v="2868"/>
    <x v="2"/>
    <x v="76"/>
    <s v="G000000868"/>
    <m/>
    <s v="G000000359"/>
    <x v="1"/>
    <x v="0"/>
    <x v="0"/>
    <x v="0"/>
    <m/>
    <m/>
    <s v="Francesco Ricioppo"/>
  </r>
  <r>
    <n v="2869"/>
    <x v="2"/>
    <x v="76"/>
    <s v="G000000497"/>
    <m/>
    <s v="G000000868"/>
    <x v="1"/>
    <x v="0"/>
    <x v="0"/>
    <x v="0"/>
    <m/>
    <m/>
    <s v="Francesco Ricioppo"/>
  </r>
  <r>
    <n v="2870"/>
    <x v="2"/>
    <x v="76"/>
    <s v="G000000515"/>
    <m/>
    <s v="G000000868"/>
    <x v="1"/>
    <x v="0"/>
    <x v="0"/>
    <x v="0"/>
    <m/>
    <m/>
    <s v="Francesco Ricioppo"/>
  </r>
  <r>
    <n v="2871"/>
    <x v="2"/>
    <x v="76"/>
    <s v="G000001067"/>
    <m/>
    <s v="G000000868"/>
    <x v="1"/>
    <x v="0"/>
    <x v="0"/>
    <x v="0"/>
    <m/>
    <m/>
    <s v="Francesco Ricioppo"/>
  </r>
  <r>
    <n v="2872"/>
    <x v="2"/>
    <x v="77"/>
    <s v="G000000891"/>
    <m/>
    <s v="G000000873"/>
    <x v="1"/>
    <x v="0"/>
    <x v="0"/>
    <x v="0"/>
    <m/>
    <m/>
    <s v="Francesco Ricioppo"/>
  </r>
  <r>
    <n v="2873"/>
    <x v="2"/>
    <x v="78"/>
    <s v="H000004381"/>
    <s v="CN - FD ISS MKT Pogoveris"/>
    <s v="H000001455"/>
    <x v="0"/>
    <x v="0"/>
    <x v="0"/>
    <x v="1"/>
    <m/>
    <m/>
    <s v="Carlo Umali"/>
  </r>
  <r>
    <n v="2874"/>
    <x v="2"/>
    <x v="78"/>
    <s v="H000004382"/>
    <s v="CN - FD SP MKT Pogoveris"/>
    <s v="H000001485"/>
    <x v="0"/>
    <x v="0"/>
    <x v="0"/>
    <x v="1"/>
    <m/>
    <m/>
    <s v="Carlo Umali"/>
  </r>
  <r>
    <n v="2875"/>
    <x v="2"/>
    <x v="79"/>
    <s v="P000001183"/>
    <s v="EL-PS-SO Op. Product Mgmt"/>
    <s v="P000000509"/>
    <x v="0"/>
    <x v="0"/>
    <x v="0"/>
    <x v="3"/>
    <m/>
    <m/>
    <s v="Edward Arevalo"/>
  </r>
  <r>
    <n v="2876"/>
    <x v="2"/>
    <x v="79"/>
    <s v="P000001184"/>
    <s v="EL-PS-SE Freight EMEA"/>
    <s v="P000000464"/>
    <x v="0"/>
    <x v="0"/>
    <x v="0"/>
    <x v="3"/>
    <m/>
    <m/>
    <s v="Edward Arevalo"/>
  </r>
  <r>
    <n v="2877"/>
    <x v="2"/>
    <x v="79"/>
    <s v="P000001185"/>
    <s v="EL-PS-SE Freight ASIA"/>
    <s v="P000000601"/>
    <x v="0"/>
    <x v="0"/>
    <x v="0"/>
    <x v="3"/>
    <m/>
    <m/>
    <s v="Edward Arevalo"/>
  </r>
  <r>
    <n v="2878"/>
    <x v="2"/>
    <x v="79"/>
    <s v="P000001186"/>
    <s v="EL-PS-SE Freight AMERICAS"/>
    <s v="P000000605"/>
    <x v="0"/>
    <x v="0"/>
    <x v="0"/>
    <x v="3"/>
    <m/>
    <m/>
    <s v="Edward Arevalo"/>
  </r>
  <r>
    <n v="2879"/>
    <x v="2"/>
    <x v="80"/>
    <s v="L000011665"/>
    <s v="PS China"/>
    <m/>
    <x v="2"/>
    <x v="0"/>
    <x v="1"/>
    <x v="1"/>
    <m/>
    <m/>
    <s v="Elsa Shen"/>
  </r>
  <r>
    <n v="2880"/>
    <x v="2"/>
    <x v="80"/>
    <s v="L000013564"/>
    <s v="L000011665"/>
    <m/>
    <x v="1"/>
    <x v="0"/>
    <x v="1"/>
    <x v="1"/>
    <m/>
    <m/>
    <s v="Elsa Shen"/>
  </r>
  <r>
    <n v="2881"/>
    <x v="2"/>
    <x v="81"/>
    <s v="G000000891"/>
    <m/>
    <s v="G000000359"/>
    <x v="1"/>
    <x v="0"/>
    <x v="0"/>
    <x v="0"/>
    <m/>
    <m/>
    <s v="Francesco Ricioppo"/>
  </r>
  <r>
    <n v="2882"/>
    <x v="2"/>
    <x v="82"/>
    <s v="G000001078"/>
    <m/>
    <s v="G000000873"/>
    <x v="1"/>
    <x v="0"/>
    <x v="0"/>
    <x v="0"/>
    <m/>
    <m/>
    <s v="Francesco Ricioppo"/>
  </r>
  <r>
    <n v="2883"/>
    <x v="2"/>
    <x v="82"/>
    <s v="G000001092"/>
    <m/>
    <s v="G000000873"/>
    <x v="1"/>
    <x v="0"/>
    <x v="0"/>
    <x v="0"/>
    <m/>
    <m/>
    <s v="Francesco Ricioppo"/>
  </r>
  <r>
    <n v="2884"/>
    <x v="3"/>
    <x v="83"/>
    <s v="H000000858"/>
    <s v="Medicinal Chemistry &amp; Drug Design"/>
    <m/>
    <x v="2"/>
    <x v="0"/>
    <x v="0"/>
    <x v="1"/>
    <m/>
    <m/>
    <s v="Gay Geanuza del Mundo"/>
  </r>
  <r>
    <n v="2885"/>
    <x v="3"/>
    <x v="83"/>
    <s v="H000000871"/>
    <s v="ADC Technologies"/>
    <s v="H000000857"/>
    <x v="1"/>
    <x v="0"/>
    <x v="0"/>
    <x v="1"/>
    <m/>
    <m/>
    <s v="Gay Geanuza del Mundo"/>
  </r>
  <r>
    <n v="2886"/>
    <x v="3"/>
    <x v="84"/>
    <s v="H000000645"/>
    <m/>
    <s v="O000000009"/>
    <x v="3"/>
    <x v="0"/>
    <x v="0"/>
    <x v="1"/>
    <m/>
    <m/>
    <s v="Lara Lucchetta"/>
  </r>
  <r>
    <n v="2887"/>
    <x v="3"/>
    <x v="84"/>
    <s v="H000004242"/>
    <m/>
    <s v="O000000009"/>
    <x v="3"/>
    <x v="0"/>
    <x v="0"/>
    <x v="1"/>
    <m/>
    <m/>
    <s v="Lara Lucchetta"/>
  </r>
  <r>
    <n v="2888"/>
    <x v="3"/>
    <x v="84"/>
    <s v="H000004243"/>
    <m/>
    <s v="O000000009"/>
    <x v="3"/>
    <x v="0"/>
    <x v="0"/>
    <x v="1"/>
    <m/>
    <m/>
    <s v="Lara Lucchetta"/>
  </r>
  <r>
    <n v="2889"/>
    <x v="3"/>
    <x v="84"/>
    <s v="H000004244"/>
    <m/>
    <s v="O000000009"/>
    <x v="3"/>
    <x v="0"/>
    <x v="0"/>
    <x v="1"/>
    <m/>
    <m/>
    <s v="Lara Lucchetta"/>
  </r>
  <r>
    <n v="2890"/>
    <x v="3"/>
    <x v="85"/>
    <s v="G000000883"/>
    <s v="SM-IE Energy Management &amp; Sustainability"/>
    <m/>
    <x v="2"/>
    <x v="0"/>
    <x v="0"/>
    <x v="0"/>
    <s v="renamed successfully in kr00"/>
    <m/>
    <s v="Francesco Ricioppo"/>
  </r>
  <r>
    <n v="2891"/>
    <x v="3"/>
    <x v="86"/>
    <s v="G000000411"/>
    <m/>
    <s v="G000000873"/>
    <x v="1"/>
    <x v="0"/>
    <x v="0"/>
    <x v="0"/>
    <m/>
    <m/>
    <s v="Francesco Ricioppo"/>
  </r>
  <r>
    <n v="2892"/>
    <x v="3"/>
    <x v="85"/>
    <s v="G000000923"/>
    <m/>
    <s v="G000000883"/>
    <x v="1"/>
    <x v="0"/>
    <x v="0"/>
    <x v="0"/>
    <m/>
    <m/>
    <s v="Francesco Ricioppo"/>
  </r>
  <r>
    <n v="2893"/>
    <x v="3"/>
    <x v="85"/>
    <s v="G000000924"/>
    <m/>
    <s v="G000000883"/>
    <x v="1"/>
    <x v="0"/>
    <x v="0"/>
    <x v="0"/>
    <m/>
    <m/>
    <s v="Francesco Ricioppo"/>
  </r>
  <r>
    <n v="2894"/>
    <x v="3"/>
    <x v="85"/>
    <s v="G000000925"/>
    <m/>
    <s v="G000000883"/>
    <x v="1"/>
    <x v="0"/>
    <x v="0"/>
    <x v="0"/>
    <m/>
    <m/>
    <s v="Francesco Ricioppo"/>
  </r>
  <r>
    <n v="2895"/>
    <x v="3"/>
    <x v="87"/>
    <s v="H000000398"/>
    <s v="APACEC Frontier Markets"/>
    <m/>
    <x v="2"/>
    <x v="0"/>
    <x v="0"/>
    <x v="1"/>
    <m/>
    <m/>
    <s v="Carlo Umali"/>
  </r>
  <r>
    <n v="2896"/>
    <x v="3"/>
    <x v="88"/>
    <s v="L000013718"/>
    <m/>
    <s v="L000013710"/>
    <x v="1"/>
    <x v="0"/>
    <x v="0"/>
    <x v="2"/>
    <m/>
    <m/>
    <s v="Phoebe Anne Fortaleza"/>
  </r>
  <r>
    <n v="2897"/>
    <x v="3"/>
    <x v="89"/>
    <s v="G000000887"/>
    <m/>
    <s v="G000000873"/>
    <x v="1"/>
    <x v="0"/>
    <x v="0"/>
    <x v="0"/>
    <m/>
    <m/>
    <s v="Francesco Ricioppo"/>
  </r>
  <r>
    <n v="2898"/>
    <x v="3"/>
    <x v="90"/>
    <s v="G000000897"/>
    <s v="SM-IE Energy Gen. &amp; Supply"/>
    <m/>
    <x v="2"/>
    <x v="0"/>
    <x v="0"/>
    <x v="0"/>
    <s v="renamed successfully in kr00"/>
    <m/>
    <s v="Francesco Ricioppo"/>
  </r>
  <r>
    <n v="2899"/>
    <x v="3"/>
    <x v="90"/>
    <s v="G000000909"/>
    <s v="SM-IE Energy Buildings"/>
    <m/>
    <x v="2"/>
    <x v="0"/>
    <x v="0"/>
    <x v="0"/>
    <s v="renamed successfully in kr00"/>
    <m/>
    <s v="Francesco Ricioppo"/>
  </r>
  <r>
    <n v="2900"/>
    <x v="3"/>
    <x v="91"/>
    <s v="G000000360"/>
    <m/>
    <s v="G000000397"/>
    <x v="1"/>
    <x v="0"/>
    <x v="0"/>
    <x v="0"/>
    <m/>
    <m/>
    <s v="Marcus Morowski"/>
  </r>
  <r>
    <n v="2901"/>
    <x v="3"/>
    <x v="92"/>
    <s v="H000004364"/>
    <m/>
    <s v="H000000507"/>
    <x v="1"/>
    <x v="0"/>
    <x v="0"/>
    <x v="1"/>
    <m/>
    <m/>
    <s v="Lena Brand"/>
  </r>
  <r>
    <n v="2902"/>
    <x v="3"/>
    <x v="93"/>
    <s v="H000004383"/>
    <s v="Tumor Immunology"/>
    <s v="H000000964"/>
    <x v="0"/>
    <x v="0"/>
    <x v="0"/>
    <x v="1"/>
    <m/>
    <m/>
    <s v="Gay Geanuza del Mundo"/>
  </r>
  <r>
    <n v="2903"/>
    <x v="3"/>
    <x v="93"/>
    <s v="H000000746"/>
    <m/>
    <s v="H000000964"/>
    <x v="1"/>
    <x v="0"/>
    <x v="0"/>
    <x v="1"/>
    <m/>
    <m/>
    <s v="Gay Geanuza del Mundo"/>
  </r>
  <r>
    <n v="2904"/>
    <x v="3"/>
    <x v="93"/>
    <s v="H000000747"/>
    <m/>
    <s v="H000000964"/>
    <x v="1"/>
    <x v="0"/>
    <x v="0"/>
    <x v="1"/>
    <m/>
    <m/>
    <s v="Gay Geanuza del Mundo"/>
  </r>
  <r>
    <n v="2905"/>
    <x v="3"/>
    <x v="93"/>
    <s v="H000000748"/>
    <m/>
    <s v="H000000964"/>
    <x v="1"/>
    <x v="0"/>
    <x v="0"/>
    <x v="1"/>
    <m/>
    <m/>
    <s v="Gay Geanuza del Mundo"/>
  </r>
  <r>
    <n v="2906"/>
    <x v="3"/>
    <x v="93"/>
    <s v="H000000749"/>
    <m/>
    <s v="H000000964"/>
    <x v="1"/>
    <x v="0"/>
    <x v="0"/>
    <x v="1"/>
    <m/>
    <m/>
    <s v="Gay Geanuza del Mundo"/>
  </r>
  <r>
    <n v="2907"/>
    <x v="3"/>
    <x v="93"/>
    <s v="H000000750"/>
    <m/>
    <s v="H000000964"/>
    <x v="1"/>
    <x v="0"/>
    <x v="0"/>
    <x v="1"/>
    <m/>
    <m/>
    <s v="Gay Geanuza del Mundo"/>
  </r>
  <r>
    <n v="2908"/>
    <x v="3"/>
    <x v="93"/>
    <s v="H000000751"/>
    <m/>
    <s v="H000000964"/>
    <x v="1"/>
    <x v="0"/>
    <x v="0"/>
    <x v="1"/>
    <m/>
    <m/>
    <s v="Gay Geanuza del Mundo"/>
  </r>
  <r>
    <n v="2909"/>
    <x v="3"/>
    <x v="94"/>
    <s v="H000004384"/>
    <s v="CN - GMA"/>
    <s v="H000001555"/>
    <x v="0"/>
    <x v="0"/>
    <x v="0"/>
    <x v="1"/>
    <m/>
    <m/>
    <s v="Carlo Umali"/>
  </r>
  <r>
    <n v="2910"/>
    <x v="3"/>
    <x v="95"/>
    <s v="H000004385"/>
    <s v="Merck Export"/>
    <s v="H000000153"/>
    <x v="0"/>
    <x v="0"/>
    <x v="0"/>
    <x v="1"/>
    <m/>
    <m/>
    <s v="Birgit Kroeling-Neumann"/>
  </r>
  <r>
    <n v="2911"/>
    <x v="3"/>
    <x v="95"/>
    <s v="G000000776"/>
    <s v="Global Health and HEA Management"/>
    <m/>
    <x v="2"/>
    <x v="0"/>
    <x v="0"/>
    <x v="1"/>
    <e v="#REF!"/>
    <s v="checked renamed in Kr00"/>
    <s v="Birgit Kroeling-Neumann"/>
  </r>
  <r>
    <n v="2912"/>
    <x v="3"/>
    <x v="95"/>
    <s v="G000000780"/>
    <m/>
    <s v="O000000009"/>
    <x v="3"/>
    <x v="0"/>
    <x v="0"/>
    <x v="1"/>
    <s v="check kr00"/>
    <m/>
    <s v="Birgit Kroeling-Neumann"/>
  </r>
  <r>
    <n v="2913"/>
    <x v="3"/>
    <x v="95"/>
    <s v="H000000168"/>
    <m/>
    <s v="O000000009"/>
    <x v="3"/>
    <x v="0"/>
    <x v="0"/>
    <x v="1"/>
    <m/>
    <m/>
    <s v="Birgit Kroeling-Neumann"/>
  </r>
  <r>
    <n v="2914"/>
    <x v="3"/>
    <x v="95"/>
    <s v="H000000921"/>
    <m/>
    <s v="O000000009"/>
    <x v="3"/>
    <x v="0"/>
    <x v="0"/>
    <x v="1"/>
    <m/>
    <m/>
    <s v="Birgit Kroeling-Neumann"/>
  </r>
  <r>
    <n v="2915"/>
    <x v="3"/>
    <x v="96"/>
    <s v="G000001218"/>
    <s v="GMF MBS FS&amp;P Ent.S.- GPO Idea2Scale Proc"/>
    <m/>
    <x v="2"/>
    <x v="0"/>
    <x v="0"/>
    <x v="0"/>
    <s v="renamed successfully in kr00"/>
    <m/>
    <s v="Jojeff Tagnong"/>
  </r>
  <r>
    <n v="2916"/>
    <x v="3"/>
    <x v="96"/>
    <s v="G000001219"/>
    <s v="GMG MBS FS&amp;P Ent.S.- Comm &amp; Transl. Serv"/>
    <m/>
    <x v="2"/>
    <x v="0"/>
    <x v="0"/>
    <x v="0"/>
    <s v="renamed successfully in kr00"/>
    <m/>
    <s v="Jojeff Tagnong"/>
  </r>
  <r>
    <n v="2917"/>
    <x v="3"/>
    <x v="96"/>
    <s v="G000001221"/>
    <s v="GMI MBS FS&amp;P Ent.S.- Serv. Standards&amp;Exp"/>
    <m/>
    <x v="2"/>
    <x v="0"/>
    <x v="0"/>
    <x v="0"/>
    <s v="renamed successfully in kr00"/>
    <m/>
    <s v="Jojeff Tagnong"/>
  </r>
  <r>
    <n v="2918"/>
    <x v="3"/>
    <x v="96"/>
    <s v="G000000044"/>
    <s v="FF1 FR - Financial Reporting"/>
    <m/>
    <x v="2"/>
    <x v="0"/>
    <x v="0"/>
    <x v="0"/>
    <s v="renamed successfully in kr00"/>
    <m/>
    <s v="Jojeff Tagnong"/>
  </r>
  <r>
    <n v="2919"/>
    <x v="3"/>
    <x v="96"/>
    <s v="G000000574"/>
    <s v="FR - MGF Reporting"/>
    <m/>
    <x v="2"/>
    <x v="0"/>
    <x v="0"/>
    <x v="0"/>
    <s v="renamed successfully in kr00"/>
    <m/>
    <s v="Jojeff Tagnong"/>
  </r>
  <r>
    <n v="2920"/>
    <x v="3"/>
    <x v="96"/>
    <s v="G000000575"/>
    <s v="FR - non-MGF Reporting"/>
    <m/>
    <x v="2"/>
    <x v="0"/>
    <x v="0"/>
    <x v="0"/>
    <s v="renamed successfully in kr00"/>
    <m/>
    <s v="Jojeff Tagnong"/>
  </r>
  <r>
    <n v="2921"/>
    <x v="3"/>
    <x v="96"/>
    <s v="G000000046"/>
    <s v="GX6 FR - Financial Reporting (L2)"/>
    <m/>
    <x v="2"/>
    <x v="0"/>
    <x v="0"/>
    <x v="0"/>
    <s v="renamed successfully in kr00"/>
    <m/>
    <s v="Jojeff Tagnong"/>
  </r>
  <r>
    <n v="2922"/>
    <x v="3"/>
    <x v="96"/>
    <s v="G000000045"/>
    <s v="FF1 FR - Intercompany Charges"/>
    <m/>
    <x v="2"/>
    <x v="0"/>
    <x v="0"/>
    <x v="0"/>
    <s v="renamed successfully in kr00"/>
    <m/>
    <s v="Jojeff Tagnong"/>
  </r>
  <r>
    <n v="2923"/>
    <x v="3"/>
    <x v="96"/>
    <s v="G000000047"/>
    <s v="FF1 FR - Exceptionals"/>
    <m/>
    <x v="2"/>
    <x v="0"/>
    <x v="0"/>
    <x v="0"/>
    <s v="renamed successfully in kr00"/>
    <m/>
    <s v="Jojeff Tagnong"/>
  </r>
  <r>
    <n v="2924"/>
    <x v="3"/>
    <x v="96"/>
    <s v="G000000763"/>
    <s v="GDB ST - Seed Funding"/>
    <m/>
    <x v="2"/>
    <x v="0"/>
    <x v="0"/>
    <x v="0"/>
    <s v="renamed successfully in kr00"/>
    <m/>
    <s v="Jojeff Tagnong"/>
  </r>
  <r>
    <n v="2925"/>
    <x v="3"/>
    <x v="96"/>
    <s v="G000000764"/>
    <s v="GDE ST - Innovation Excellence"/>
    <m/>
    <x v="2"/>
    <x v="0"/>
    <x v="0"/>
    <x v="0"/>
    <s v="renamed successfully in kr00"/>
    <m/>
    <s v="Jojeff Tagnong"/>
  </r>
  <r>
    <n v="2926"/>
    <x v="3"/>
    <x v="96"/>
    <s v="G000000235"/>
    <s v="G5W DX - Project Lumina"/>
    <m/>
    <x v="2"/>
    <x v="0"/>
    <x v="0"/>
    <x v="0"/>
    <s v="renamed successfully in kr00"/>
    <m/>
    <s v="Jojeff Tagnong"/>
  </r>
  <r>
    <n v="2927"/>
    <x v="3"/>
    <x v="96"/>
    <s v="G000001263"/>
    <s v="GXX MBS Hub Wroclaw - Global Mobility"/>
    <s v="G000001143"/>
    <x v="0"/>
    <x v="0"/>
    <x v="0"/>
    <x v="0"/>
    <m/>
    <m/>
    <s v="Jojeff Tagnong"/>
  </r>
  <r>
    <n v="2928"/>
    <x v="3"/>
    <x v="96"/>
    <s v="G000001264"/>
    <s v="GXX MBS Hub Bangalore - Employee Service"/>
    <s v="G000001144"/>
    <x v="0"/>
    <x v="0"/>
    <x v="0"/>
    <x v="0"/>
    <m/>
    <m/>
    <s v="Jojeff Tagnong"/>
  </r>
  <r>
    <n v="2929"/>
    <x v="3"/>
    <x v="96"/>
    <s v="G000001265"/>
    <s v="GXX MBS Innovation &amp; Data-Fin.ERPProgMgr"/>
    <s v="G000001145"/>
    <x v="0"/>
    <x v="0"/>
    <x v="0"/>
    <x v="0"/>
    <m/>
    <m/>
    <s v="Jojeff Tagnong"/>
  </r>
  <r>
    <n v="2930"/>
    <x v="3"/>
    <x v="96"/>
    <s v="G000001266"/>
    <s v="FXX CP - Chief Political Office"/>
    <s v="G000000001"/>
    <x v="0"/>
    <x v="0"/>
    <x v="0"/>
    <x v="0"/>
    <m/>
    <m/>
    <s v="Jojeff Tagnong"/>
  </r>
  <r>
    <n v="2931"/>
    <x v="3"/>
    <x v="96"/>
    <s v="G000001267"/>
    <s v="CP - MGF Reporting"/>
    <s v="G000001266"/>
    <x v="0"/>
    <x v="0"/>
    <x v="0"/>
    <x v="0"/>
    <m/>
    <m/>
    <s v="Jojeff Tagnong"/>
  </r>
  <r>
    <n v="2932"/>
    <x v="3"/>
    <x v="96"/>
    <s v="G000001268"/>
    <s v="CP - non-MGF Reporting"/>
    <s v="G000001266"/>
    <x v="0"/>
    <x v="0"/>
    <x v="0"/>
    <x v="0"/>
    <m/>
    <m/>
    <s v="Jojeff Tagnong"/>
  </r>
  <r>
    <n v="2933"/>
    <x v="3"/>
    <x v="96"/>
    <s v="G000001269"/>
    <s v="GXX CP - Chief Political Office (L2)"/>
    <s v="G000001267"/>
    <x v="0"/>
    <x v="0"/>
    <x v="0"/>
    <x v="0"/>
    <m/>
    <m/>
    <s v="Jojeff Tagnong"/>
  </r>
  <r>
    <n v="2934"/>
    <x v="3"/>
    <x v="96"/>
    <s v="G000001270"/>
    <s v="FXX CP - Intercompany Charges"/>
    <s v="G000001268"/>
    <x v="0"/>
    <x v="0"/>
    <x v="0"/>
    <x v="0"/>
    <m/>
    <m/>
    <s v="Jojeff Tagnong"/>
  </r>
  <r>
    <n v="2935"/>
    <x v="3"/>
    <x v="96"/>
    <s v="G000001271"/>
    <s v="FXX CP - Exceptionals"/>
    <s v="G000001268"/>
    <x v="0"/>
    <x v="0"/>
    <x v="0"/>
    <x v="0"/>
    <m/>
    <m/>
    <s v="Jojeff Tagnong"/>
  </r>
  <r>
    <n v="2936"/>
    <x v="3"/>
    <x v="96"/>
    <s v="G000001272"/>
    <s v="GXX FR - Sustainability Management"/>
    <s v="G000000574"/>
    <x v="0"/>
    <x v="0"/>
    <x v="0"/>
    <x v="0"/>
    <m/>
    <m/>
    <s v="Jojeff Tagnong"/>
  </r>
  <r>
    <n v="2937"/>
    <x v="3"/>
    <x v="97"/>
    <s v="G000001273"/>
    <s v="EF-IT-PB BTP CoE"/>
    <s v="G000000340"/>
    <x v="0"/>
    <x v="0"/>
    <x v="0"/>
    <x v="0"/>
    <m/>
    <m/>
    <s v="Joshua Cachola"/>
  </r>
  <r>
    <n v="2938"/>
    <x v="3"/>
    <x v="97"/>
    <s v="G000001274"/>
    <s v="EF-IT-PD Data Migration &amp; Integration"/>
    <s v="G000000340"/>
    <x v="0"/>
    <x v="0"/>
    <x v="0"/>
    <x v="0"/>
    <m/>
    <m/>
    <s v="Joshua Cachola"/>
  </r>
  <r>
    <n v="2939"/>
    <x v="3"/>
    <x v="97"/>
    <s v="IT06100700"/>
    <s v="EF-IT-PB BTP CoE"/>
    <s v="G000001273"/>
    <x v="0"/>
    <x v="0"/>
    <x v="0"/>
    <x v="0"/>
    <m/>
    <m/>
    <s v="Joshua Cachola"/>
  </r>
  <r>
    <n v="2940"/>
    <x v="3"/>
    <x v="97"/>
    <s v="IT06100800"/>
    <s v="EF-IT-PD Data Migration &amp; Integration"/>
    <s v="G000001274"/>
    <x v="0"/>
    <x v="0"/>
    <x v="0"/>
    <x v="0"/>
    <m/>
    <m/>
    <s v="Joshua Cachola"/>
  </r>
  <r>
    <n v="2941"/>
    <x v="3"/>
    <x v="97"/>
    <s v="G000001275"/>
    <s v="EF-IT-IO Technology Platform Operations"/>
    <s v="G000000272"/>
    <x v="0"/>
    <x v="0"/>
    <x v="0"/>
    <x v="0"/>
    <m/>
    <m/>
    <s v="Joshua Cachola"/>
  </r>
  <r>
    <n v="2942"/>
    <x v="3"/>
    <x v="97"/>
    <s v="IT06042500"/>
    <s v="EF-IT-IO Technology Platform Operations"/>
    <s v="G000001275"/>
    <x v="0"/>
    <x v="0"/>
    <x v="0"/>
    <x v="0"/>
    <m/>
    <m/>
    <s v="Joshua Cachola"/>
  </r>
  <r>
    <n v="2943"/>
    <x v="3"/>
    <x v="97"/>
    <s v="H000004177"/>
    <s v="HC-HF-I Digital, Data and IT Healthcare"/>
    <m/>
    <x v="2"/>
    <x v="0"/>
    <x v="0"/>
    <x v="0"/>
    <s v="renamed successfully in kr00"/>
    <m/>
    <s v="Joshua Cachola"/>
  </r>
  <r>
    <n v="2944"/>
    <x v="3"/>
    <x v="97"/>
    <s v="H000004178"/>
    <s v="HC-HF-I Digital, Data and IT Healthcar_I"/>
    <m/>
    <x v="2"/>
    <x v="0"/>
    <x v="0"/>
    <x v="0"/>
    <s v="renamed successfully in kr00"/>
    <m/>
    <s v="Joshua Cachola"/>
  </r>
  <r>
    <n v="2945"/>
    <x v="3"/>
    <x v="97"/>
    <s v="IT06030000"/>
    <s v="HC-HF-I Digital, Data and IT Healthcare"/>
    <m/>
    <x v="2"/>
    <x v="0"/>
    <x v="0"/>
    <x v="0"/>
    <s v="renamed successfully in kr00"/>
    <m/>
    <s v="Joshua Cachola"/>
  </r>
  <r>
    <n v="2946"/>
    <x v="3"/>
    <x v="97"/>
    <s v="H000004179"/>
    <s v="HC-HF-IP Performance &amp; Portfolio Mgmt"/>
    <m/>
    <x v="2"/>
    <x v="0"/>
    <x v="0"/>
    <x v="0"/>
    <s v="renamed successfully in kr00"/>
    <m/>
    <s v="Joshua Cachola"/>
  </r>
  <r>
    <n v="2947"/>
    <x v="3"/>
    <x v="97"/>
    <s v="IT06030100"/>
    <s v="HC-HF-IP Performance &amp; Portfolio Mgmt"/>
    <m/>
    <x v="2"/>
    <x v="0"/>
    <x v="0"/>
    <x v="0"/>
    <s v="renamed successfully in kr00"/>
    <m/>
    <s v="Joshua Cachola"/>
  </r>
  <r>
    <n v="2948"/>
    <x v="3"/>
    <x v="97"/>
    <s v="H000004180"/>
    <s v="HC-HF-IC DDIT China Healthcare"/>
    <m/>
    <x v="2"/>
    <x v="0"/>
    <x v="0"/>
    <x v="0"/>
    <s v="renamed successfully in kr00"/>
    <m/>
    <s v="Joshua Cachola"/>
  </r>
  <r>
    <n v="2949"/>
    <x v="3"/>
    <x v="97"/>
    <s v="IT06031200"/>
    <s v="HC-HF-IC DDIT China Healthcare"/>
    <m/>
    <x v="2"/>
    <x v="0"/>
    <x v="0"/>
    <x v="0"/>
    <s v="renamed successfully in kr00"/>
    <m/>
    <s v="Joshua Cachola"/>
  </r>
  <r>
    <n v="2950"/>
    <x v="3"/>
    <x v="97"/>
    <s v="H000004182"/>
    <s v="HC-HF-IN DDIT NorthAmerica &amp; IMFranchise"/>
    <m/>
    <x v="2"/>
    <x v="0"/>
    <x v="0"/>
    <x v="0"/>
    <s v="renamed successfully in kr00"/>
    <m/>
    <s v="Joshua Cachola"/>
  </r>
  <r>
    <n v="2951"/>
    <x v="3"/>
    <x v="97"/>
    <s v="IT06030400"/>
    <s v="HC-HF-IN DDIT NorthAmerica &amp; IMFranchise"/>
    <m/>
    <x v="2"/>
    <x v="0"/>
    <x v="0"/>
    <x v="0"/>
    <s v="renamed successfully in kr00"/>
    <m/>
    <s v="Joshua Cachola"/>
  </r>
  <r>
    <n v="2952"/>
    <x v="3"/>
    <x v="97"/>
    <s v="H000004183"/>
    <s v="HC-HF-II DDIT International Commercial"/>
    <m/>
    <x v="2"/>
    <x v="0"/>
    <x v="0"/>
    <x v="0"/>
    <s v="renamed successfully in kr00"/>
    <m/>
    <s v="Joshua Cachola"/>
  </r>
  <r>
    <n v="2953"/>
    <x v="3"/>
    <x v="97"/>
    <s v="IT06030500"/>
    <s v="HC-HF-II DDIT International Commercial"/>
    <m/>
    <x v="2"/>
    <x v="0"/>
    <x v="0"/>
    <x v="0"/>
    <s v="renamed successfully in kr00"/>
    <m/>
    <s v="Joshua Cachola"/>
  </r>
  <r>
    <n v="2954"/>
    <x v="3"/>
    <x v="97"/>
    <s v="H000004184"/>
    <s v="HC-HF-IR Digital, Data &amp; IT R&amp;D"/>
    <m/>
    <x v="2"/>
    <x v="0"/>
    <x v="0"/>
    <x v="0"/>
    <s v="renamed successfully in kr00"/>
    <m/>
    <s v="Joshua Cachola"/>
  </r>
  <r>
    <n v="2955"/>
    <x v="3"/>
    <x v="97"/>
    <s v="IT06030600"/>
    <s v="HC-HF-IR Digital, Data &amp; IT R&amp;D"/>
    <m/>
    <x v="2"/>
    <x v="0"/>
    <x v="0"/>
    <x v="0"/>
    <s v="renamed successfully in kr00"/>
    <m/>
    <s v="Joshua Cachola"/>
  </r>
  <r>
    <n v="2956"/>
    <x v="3"/>
    <x v="97"/>
    <s v="H000004185"/>
    <s v="HC-HF-IG Digital, Data &amp; IT GHO"/>
    <m/>
    <x v="2"/>
    <x v="0"/>
    <x v="0"/>
    <x v="0"/>
    <s v="renamed successfully in kr00"/>
    <m/>
    <s v="Joshua Cachola"/>
  </r>
  <r>
    <n v="2957"/>
    <x v="3"/>
    <x v="97"/>
    <s v="IT06030700"/>
    <s v="HC-HF-IG Digital, Data &amp; IT GHO"/>
    <m/>
    <x v="2"/>
    <x v="0"/>
    <x v="0"/>
    <x v="0"/>
    <s v="renamed successfully in kr00"/>
    <m/>
    <s v="Joshua Cachola"/>
  </r>
  <r>
    <n v="2958"/>
    <x v="3"/>
    <x v="97"/>
    <s v="H000004350"/>
    <s v="HC-HF-IX Centers of Excellence"/>
    <m/>
    <x v="2"/>
    <x v="0"/>
    <x v="0"/>
    <x v="0"/>
    <s v="renamed successfully in kr00"/>
    <m/>
    <s v="Joshua Cachola"/>
  </r>
  <r>
    <n v="2959"/>
    <x v="3"/>
    <x v="97"/>
    <s v="IT06031300"/>
    <s v="HC-HF-IX Centers of Excellence"/>
    <m/>
    <x v="2"/>
    <x v="0"/>
    <x v="0"/>
    <x v="0"/>
    <s v="renamed successfully in kr00"/>
    <m/>
    <s v="Joshua Cachola"/>
  </r>
  <r>
    <n v="2960"/>
    <x v="3"/>
    <x v="97"/>
    <s v="G000001236"/>
    <m/>
    <s v="G000001119"/>
    <x v="1"/>
    <x v="0"/>
    <x v="0"/>
    <x v="0"/>
    <m/>
    <m/>
    <s v="Joshua Cachola"/>
  </r>
  <r>
    <n v="2961"/>
    <x v="3"/>
    <x v="97"/>
    <s v="G000001237"/>
    <m/>
    <s v="G000001119"/>
    <x v="1"/>
    <x v="0"/>
    <x v="0"/>
    <x v="0"/>
    <m/>
    <m/>
    <s v="Joshua Cachola"/>
  </r>
  <r>
    <n v="2962"/>
    <x v="3"/>
    <x v="98"/>
    <s v="H000001565"/>
    <m/>
    <s v="H000004384"/>
    <x v="1"/>
    <x v="0"/>
    <x v="0"/>
    <x v="1"/>
    <m/>
    <m/>
    <s v="Carlo Umali"/>
  </r>
  <r>
    <n v="2963"/>
    <x v="3"/>
    <x v="98"/>
    <s v="H000001590"/>
    <m/>
    <s v="H000004384"/>
    <x v="1"/>
    <x v="0"/>
    <x v="0"/>
    <x v="1"/>
    <m/>
    <m/>
    <s v="Carlo Umali"/>
  </r>
  <r>
    <n v="2964"/>
    <x v="3"/>
    <x v="98"/>
    <s v="H000001572"/>
    <m/>
    <s v="H000001341"/>
    <x v="1"/>
    <x v="0"/>
    <x v="0"/>
    <x v="1"/>
    <m/>
    <m/>
    <s v="Carlo Umali"/>
  </r>
  <r>
    <n v="2965"/>
    <x v="3"/>
    <x v="99"/>
    <s v="L000013770"/>
    <s v="GPO - Ext Manufact &amp; Global Tech Transfe"/>
    <s v="L000009201"/>
    <x v="0"/>
    <x v="0"/>
    <x v="0"/>
    <x v="2"/>
    <m/>
    <m/>
    <s v="Jayson Martinez"/>
  </r>
  <r>
    <n v="2966"/>
    <x v="3"/>
    <x v="99"/>
    <s v="L000013771"/>
    <s v="Global Technology Transfers"/>
    <s v="L000013770"/>
    <x v="0"/>
    <x v="0"/>
    <x v="0"/>
    <x v="2"/>
    <m/>
    <m/>
    <s v="Jayson Martinez"/>
  </r>
  <r>
    <n v="2967"/>
    <x v="3"/>
    <x v="99"/>
    <s v="L000013772"/>
    <s v="St. Louis Hub"/>
    <s v="L000013656"/>
    <x v="0"/>
    <x v="0"/>
    <x v="0"/>
    <x v="2"/>
    <m/>
    <m/>
    <s v="Jayson Martinez"/>
  </r>
  <r>
    <n v="2968"/>
    <x v="3"/>
    <x v="99"/>
    <s v="L000013773"/>
    <s v="LS QC Quality CTDMO"/>
    <s v="L000011355"/>
    <x v="0"/>
    <x v="0"/>
    <x v="0"/>
    <x v="2"/>
    <m/>
    <m/>
    <s v="Jayson Martinez"/>
  </r>
  <r>
    <n v="2969"/>
    <x v="3"/>
    <x v="99"/>
    <s v="L000013774"/>
    <s v="LS Bridge"/>
    <s v="L000011355"/>
    <x v="0"/>
    <x v="0"/>
    <x v="0"/>
    <x v="2"/>
    <m/>
    <m/>
    <s v="Jayson Martinez"/>
  </r>
  <r>
    <n v="2970"/>
    <x v="3"/>
    <x v="99"/>
    <s v="L000013775"/>
    <s v="LS - Life Science IT"/>
    <s v="L000013388"/>
    <x v="0"/>
    <x v="0"/>
    <x v="0"/>
    <x v="2"/>
    <m/>
    <m/>
    <s v="Jayson Martinez"/>
  </r>
  <r>
    <n v="2971"/>
    <x v="3"/>
    <x v="99"/>
    <s v="L000013776"/>
    <s v="GSS-PS Value Stream"/>
    <s v="L000013757"/>
    <x v="0"/>
    <x v="0"/>
    <x v="0"/>
    <x v="2"/>
    <m/>
    <m/>
    <s v="Jayson Martinez"/>
  </r>
  <r>
    <n v="2972"/>
    <x v="3"/>
    <x v="99"/>
    <s v="L000013777"/>
    <s v="GSS-WCOGS"/>
    <s v="L000013757"/>
    <x v="0"/>
    <x v="0"/>
    <x v="0"/>
    <x v="2"/>
    <m/>
    <m/>
    <s v="Jayson Martinez"/>
  </r>
  <r>
    <n v="2973"/>
    <x v="3"/>
    <x v="99"/>
    <s v="L000013778"/>
    <s v="GSS-Tech &amp; Eng."/>
    <s v="L000013757"/>
    <x v="0"/>
    <x v="0"/>
    <x v="0"/>
    <x v="2"/>
    <m/>
    <m/>
    <s v="Jayson Martinez"/>
  </r>
  <r>
    <n v="2974"/>
    <x v="3"/>
    <x v="99"/>
    <s v="L000013779"/>
    <s v="LSS Business Transformation"/>
    <s v="L000013128"/>
    <x v="0"/>
    <x v="0"/>
    <x v="0"/>
    <x v="2"/>
    <m/>
    <m/>
    <s v="Jayson Martinez"/>
  </r>
  <r>
    <n v="2975"/>
    <x v="3"/>
    <x v="99"/>
    <s v="L000013780"/>
    <s v="BM-Comm NA - Tech Service; DSS &amp; MCS"/>
    <s v="L000005717"/>
    <x v="0"/>
    <x v="0"/>
    <x v="0"/>
    <x v="2"/>
    <m/>
    <m/>
    <s v="Jayson Martinez"/>
  </r>
  <r>
    <n v="2976"/>
    <x v="3"/>
    <x v="99"/>
    <s v="L000013781"/>
    <s v="LW - R&amp;D Core"/>
    <s v="L000006092"/>
    <x v="0"/>
    <x v="0"/>
    <x v="0"/>
    <x v="2"/>
    <m/>
    <m/>
    <s v="Jayson Martinez"/>
  </r>
  <r>
    <n v="2977"/>
    <x v="3"/>
    <x v="99"/>
    <s v="L000013782"/>
    <s v="LW - Marketing Ops"/>
    <s v="L000013703"/>
    <x v="0"/>
    <x v="0"/>
    <x v="0"/>
    <x v="2"/>
    <m/>
    <m/>
    <s v="Jayson Martinez"/>
  </r>
  <r>
    <n v="2978"/>
    <x v="3"/>
    <x v="99"/>
    <s v="L000013783"/>
    <s v="LSS CDMO"/>
    <s v="L000013128"/>
    <x v="0"/>
    <x v="0"/>
    <x v="0"/>
    <x v="2"/>
    <m/>
    <m/>
    <s v="Jayson Martinez"/>
  </r>
  <r>
    <n v="2979"/>
    <x v="3"/>
    <x v="99"/>
    <s v="L000013784"/>
    <s v="CDMO - Global Business Lead"/>
    <s v="L000013783"/>
    <x v="0"/>
    <x v="0"/>
    <x v="0"/>
    <x v="2"/>
    <m/>
    <m/>
    <s v="Jayson Martinez"/>
  </r>
  <r>
    <n v="2980"/>
    <x v="3"/>
    <x v="99"/>
    <s v="L000013785"/>
    <s v="CDMO - Innovation"/>
    <s v="L000013783"/>
    <x v="0"/>
    <x v="0"/>
    <x v="0"/>
    <x v="2"/>
    <m/>
    <m/>
    <s v="Jayson Martinez"/>
  </r>
  <r>
    <n v="2981"/>
    <x v="3"/>
    <x v="99"/>
    <s v="L000013786"/>
    <s v="CDMO - Client Program Management"/>
    <s v="L000013783"/>
    <x v="0"/>
    <x v="0"/>
    <x v="0"/>
    <x v="2"/>
    <m/>
    <m/>
    <s v="Jayson Martinez"/>
  </r>
  <r>
    <n v="2982"/>
    <x v="3"/>
    <x v="99"/>
    <s v="L000013787"/>
    <s v="CDMO - Commercial"/>
    <s v="L000013783"/>
    <x v="0"/>
    <x v="0"/>
    <x v="0"/>
    <x v="2"/>
    <m/>
    <m/>
    <s v="Jayson Martinez"/>
  </r>
  <r>
    <n v="2983"/>
    <x v="3"/>
    <x v="99"/>
    <s v="L000013788"/>
    <s v="CDMO - Demand Planning"/>
    <s v="L000013783"/>
    <x v="0"/>
    <x v="0"/>
    <x v="0"/>
    <x v="2"/>
    <m/>
    <m/>
    <s v="Jayson Martinez"/>
  </r>
  <r>
    <n v="2984"/>
    <x v="3"/>
    <x v="99"/>
    <s v="L000013789"/>
    <s v="CDMO - Management &amp; BPI"/>
    <s v="L000013783"/>
    <x v="0"/>
    <x v="0"/>
    <x v="0"/>
    <x v="2"/>
    <m/>
    <m/>
    <s v="Jayson Martinez"/>
  </r>
  <r>
    <n v="2985"/>
    <x v="3"/>
    <x v="99"/>
    <s v="L000012995"/>
    <s v="Sustainability &amp;  Social Innovation"/>
    <m/>
    <x v="2"/>
    <x v="0"/>
    <x v="0"/>
    <x v="2"/>
    <m/>
    <m/>
    <s v="Jayson Martinez"/>
  </r>
  <r>
    <n v="2986"/>
    <x v="3"/>
    <x v="99"/>
    <s v="L000013002"/>
    <s v="Strategy &amp; Transformation Office"/>
    <m/>
    <x v="2"/>
    <x v="0"/>
    <x v="0"/>
    <x v="2"/>
    <m/>
    <m/>
    <s v="Jayson Martinez"/>
  </r>
  <r>
    <n v="2987"/>
    <x v="3"/>
    <x v="99"/>
    <s v="L000013118"/>
    <s v="Integrated Business Management"/>
    <m/>
    <x v="2"/>
    <x v="0"/>
    <x v="0"/>
    <x v="2"/>
    <m/>
    <m/>
    <s v="Jayson Martinez"/>
  </r>
  <r>
    <n v="2988"/>
    <x v="3"/>
    <x v="99"/>
    <s v="L000012316"/>
    <s v="LS-QP Governm&amp;PublicAffairs"/>
    <m/>
    <x v="2"/>
    <x v="0"/>
    <x v="0"/>
    <x v="2"/>
    <m/>
    <m/>
    <s v="Jayson Martinez"/>
  </r>
  <r>
    <n v="2989"/>
    <x v="3"/>
    <x v="99"/>
    <s v="L000012886"/>
    <s v="LS-QP Governm&amp;PublicAffairs"/>
    <m/>
    <x v="2"/>
    <x v="0"/>
    <x v="0"/>
    <x v="2"/>
    <m/>
    <m/>
    <s v="Jayson Martinez"/>
  </r>
  <r>
    <n v="2990"/>
    <x v="3"/>
    <x v="99"/>
    <s v="L000013277"/>
    <s v="AI Accelerator"/>
    <m/>
    <x v="2"/>
    <x v="0"/>
    <x v="0"/>
    <x v="2"/>
    <m/>
    <m/>
    <s v="Jayson Martinez"/>
  </r>
  <r>
    <n v="2991"/>
    <x v="3"/>
    <x v="99"/>
    <s v="L000013324"/>
    <s v="Digital Advanced Research Project (ARC)"/>
    <m/>
    <x v="2"/>
    <x v="0"/>
    <x v="0"/>
    <x v="2"/>
    <m/>
    <m/>
    <s v="Jayson Martinez"/>
  </r>
  <r>
    <n v="2992"/>
    <x v="3"/>
    <x v="99"/>
    <s v="L000013326"/>
    <s v="Technology Fund Projects"/>
    <m/>
    <x v="2"/>
    <x v="0"/>
    <x v="0"/>
    <x v="2"/>
    <m/>
    <m/>
    <s v="Jayson Martinez"/>
  </r>
  <r>
    <n v="2993"/>
    <x v="3"/>
    <x v="99"/>
    <s v="L000012321"/>
    <s v="LSS Strategy"/>
    <m/>
    <x v="2"/>
    <x v="0"/>
    <x v="0"/>
    <x v="2"/>
    <m/>
    <m/>
    <s v="Jayson Martinez"/>
  </r>
  <r>
    <n v="2994"/>
    <x v="3"/>
    <x v="99"/>
    <s v="L000013183"/>
    <s v="LSS Commercial Excellence"/>
    <m/>
    <x v="2"/>
    <x v="0"/>
    <x v="0"/>
    <x v="2"/>
    <m/>
    <m/>
    <s v="Jayson Martinez"/>
  </r>
  <r>
    <n v="2995"/>
    <x v="3"/>
    <x v="99"/>
    <s v="L000005719"/>
    <s v="BM - Comm NA - North Pharma"/>
    <m/>
    <x v="2"/>
    <x v="0"/>
    <x v="0"/>
    <x v="2"/>
    <m/>
    <m/>
    <s v="Jayson Martinez"/>
  </r>
  <r>
    <n v="2996"/>
    <x v="3"/>
    <x v="99"/>
    <s v="L000005722"/>
    <s v="BM - Comm NA - Souh Pharma"/>
    <m/>
    <x v="2"/>
    <x v="0"/>
    <x v="0"/>
    <x v="2"/>
    <m/>
    <m/>
    <s v="Jayson Martinez"/>
  </r>
  <r>
    <n v="2997"/>
    <x v="3"/>
    <x v="99"/>
    <s v="L000005724"/>
    <s v="BM - Comm NA - Commercial Application"/>
    <m/>
    <x v="2"/>
    <x v="0"/>
    <x v="0"/>
    <x v="2"/>
    <m/>
    <m/>
    <s v="Jayson Martinez"/>
  </r>
  <r>
    <n v="2998"/>
    <x v="3"/>
    <x v="99"/>
    <s v="L000005734"/>
    <s v="BM - Comm NA - Services &amp; Validation"/>
    <m/>
    <x v="2"/>
    <x v="0"/>
    <x v="0"/>
    <x v="2"/>
    <m/>
    <m/>
    <s v="Jayson Martinez"/>
  </r>
  <r>
    <n v="2999"/>
    <x v="3"/>
    <x v="99"/>
    <s v="L000005770"/>
    <s v="BM - Comm WEU - FSE &amp; Validation"/>
    <m/>
    <x v="2"/>
    <x v="0"/>
    <x v="0"/>
    <x v="2"/>
    <m/>
    <m/>
    <s v="Jayson Martinez"/>
  </r>
  <r>
    <n v="3000"/>
    <x v="3"/>
    <x v="99"/>
    <s v="L000005775"/>
    <s v="BM - Comm WEU - Commercial Application"/>
    <m/>
    <x v="2"/>
    <x v="0"/>
    <x v="0"/>
    <x v="2"/>
    <m/>
    <m/>
    <s v="Jayson Martinez"/>
  </r>
  <r>
    <n v="3001"/>
    <x v="3"/>
    <x v="99"/>
    <s v="L000005795"/>
    <s v="BM - Comm WEU - DSS &amp; MCS"/>
    <m/>
    <x v="2"/>
    <x v="0"/>
    <x v="0"/>
    <x v="2"/>
    <m/>
    <m/>
    <s v="Jayson Martinez"/>
  </r>
  <r>
    <n v="3002"/>
    <x v="3"/>
    <x v="99"/>
    <s v="L000006209"/>
    <s v="LW - Marketing Strategy &amp; PM"/>
    <m/>
    <x v="2"/>
    <x v="0"/>
    <x v="0"/>
    <x v="2"/>
    <m/>
    <m/>
    <s v="Jayson Martinez"/>
  </r>
  <r>
    <n v="3003"/>
    <x v="3"/>
    <x v="99"/>
    <s v="L000005256"/>
    <s v="Analytical Chemistry"/>
    <m/>
    <x v="2"/>
    <x v="0"/>
    <x v="0"/>
    <x v="2"/>
    <m/>
    <m/>
    <s v="Jayson Martinez"/>
  </r>
  <r>
    <n v="3004"/>
    <x v="3"/>
    <x v="99"/>
    <s v="L000007793"/>
    <s v="Analytical Essentials"/>
    <m/>
    <x v="2"/>
    <x v="0"/>
    <x v="0"/>
    <x v="2"/>
    <m/>
    <m/>
    <s v="Jayson Martinez"/>
  </r>
  <r>
    <n v="3005"/>
    <x v="3"/>
    <x v="99"/>
    <s v="L000008394"/>
    <s v="Channel &amp; Customer Segment Sales Japan"/>
    <m/>
    <x v="2"/>
    <x v="0"/>
    <x v="0"/>
    <x v="2"/>
    <m/>
    <m/>
    <s v="Jayson Martinez"/>
  </r>
  <r>
    <n v="3006"/>
    <x v="3"/>
    <x v="99"/>
    <s v="L000008698"/>
    <s v="CaSE Operations WE -G"/>
    <m/>
    <x v="2"/>
    <x v="0"/>
    <x v="0"/>
    <x v="2"/>
    <m/>
    <m/>
    <s v="Jayson Martinez"/>
  </r>
  <r>
    <n v="3007"/>
    <x v="3"/>
    <x v="99"/>
    <s v="L000008710"/>
    <s v="CaSE Operations WE -G"/>
    <m/>
    <x v="2"/>
    <x v="0"/>
    <x v="0"/>
    <x v="2"/>
    <m/>
    <m/>
    <s v="Jayson Martinez"/>
  </r>
  <r>
    <n v="3008"/>
    <x v="3"/>
    <x v="99"/>
    <s v="L000008712"/>
    <s v="Commercial Execution WE -G"/>
    <m/>
    <x v="2"/>
    <x v="0"/>
    <x v="0"/>
    <x v="2"/>
    <m/>
    <m/>
    <s v="Jayson Martinez"/>
  </r>
  <r>
    <n v="3009"/>
    <x v="3"/>
    <x v="99"/>
    <s v="L000008729"/>
    <s v="Commercial Execution WE -G"/>
    <m/>
    <x v="2"/>
    <x v="0"/>
    <x v="0"/>
    <x v="2"/>
    <m/>
    <m/>
    <s v="Jayson Martinez"/>
  </r>
  <r>
    <n v="3010"/>
    <x v="3"/>
    <x v="99"/>
    <s v="L000009539"/>
    <s v="CDMO - Schaffhausen"/>
    <m/>
    <x v="2"/>
    <x v="0"/>
    <x v="0"/>
    <x v="2"/>
    <m/>
    <m/>
    <s v="Jayson Martinez"/>
  </r>
  <r>
    <n v="3011"/>
    <x v="3"/>
    <x v="99"/>
    <s v="L000013153"/>
    <s v="CDMO - Indianapolis"/>
    <m/>
    <x v="2"/>
    <x v="0"/>
    <x v="0"/>
    <x v="2"/>
    <m/>
    <m/>
    <s v="Jayson Martinez"/>
  </r>
  <r>
    <n v="3012"/>
    <x v="3"/>
    <x v="99"/>
    <s v="L000013155"/>
    <s v="CDMO - Cherokee CM"/>
    <m/>
    <x v="2"/>
    <x v="0"/>
    <x v="0"/>
    <x v="2"/>
    <m/>
    <m/>
    <s v="Jayson Martinez"/>
  </r>
  <r>
    <n v="3013"/>
    <x v="3"/>
    <x v="99"/>
    <s v="L000013159"/>
    <s v="CDMO - Madison &amp; Verona"/>
    <m/>
    <x v="2"/>
    <x v="0"/>
    <x v="0"/>
    <x v="2"/>
    <m/>
    <m/>
    <s v="Jayson Martinez"/>
  </r>
  <r>
    <n v="3014"/>
    <x v="3"/>
    <x v="99"/>
    <s v="L000013331"/>
    <s v="CDMO - Supply Chain"/>
    <m/>
    <x v="2"/>
    <x v="0"/>
    <x v="0"/>
    <x v="2"/>
    <m/>
    <m/>
    <s v="Jayson Martinez"/>
  </r>
  <r>
    <n v="3015"/>
    <x v="3"/>
    <x v="99"/>
    <s v="L000013595"/>
    <s v="CDMO - mRNA Ops Darmstadt + Hamburg"/>
    <m/>
    <x v="2"/>
    <x v="0"/>
    <x v="0"/>
    <x v="2"/>
    <m/>
    <m/>
    <s v="Jayson Martinez"/>
  </r>
  <r>
    <n v="3016"/>
    <x v="3"/>
    <x v="99"/>
    <s v="L000013154"/>
    <s v="Mirus Bio"/>
    <m/>
    <x v="2"/>
    <x v="0"/>
    <x v="0"/>
    <x v="2"/>
    <m/>
    <m/>
    <s v="Jayson Martinez"/>
  </r>
  <r>
    <n v="3017"/>
    <x v="3"/>
    <x v="99"/>
    <s v="L000013683"/>
    <s v="Deleted Other LS Mngt"/>
    <m/>
    <x v="2"/>
    <x v="0"/>
    <x v="0"/>
    <x v="2"/>
    <m/>
    <m/>
    <s v="Jayson Martinez"/>
  </r>
  <r>
    <n v="3018"/>
    <x v="3"/>
    <x v="99"/>
    <s v="L000013687"/>
    <s v="Deleted EFBP"/>
    <m/>
    <x v="2"/>
    <x v="0"/>
    <x v="0"/>
    <x v="2"/>
    <m/>
    <m/>
    <s v="Jayson Martinez"/>
  </r>
  <r>
    <n v="3019"/>
    <x v="3"/>
    <x v="99"/>
    <s v="L000010052"/>
    <s v="External Manufacturing Quality"/>
    <s v="L000013770"/>
    <x v="1"/>
    <x v="0"/>
    <x v="0"/>
    <x v="2"/>
    <m/>
    <m/>
    <s v="Jayson Martinez"/>
  </r>
  <r>
    <n v="3020"/>
    <x v="3"/>
    <x v="99"/>
    <s v="L000013350"/>
    <s v="APAC CDMO"/>
    <s v="L000013787"/>
    <x v="1"/>
    <x v="0"/>
    <x v="0"/>
    <x v="2"/>
    <m/>
    <m/>
    <s v="Jayson Martinez"/>
  </r>
  <r>
    <n v="3021"/>
    <x v="3"/>
    <x v="99"/>
    <s v="L000012394"/>
    <s v="PS SG/SEA/TW -G"/>
    <s v="L000011664"/>
    <x v="1"/>
    <x v="0"/>
    <x v="0"/>
    <x v="2"/>
    <m/>
    <m/>
    <s v="Jayson Martinez"/>
  </r>
  <r>
    <n v="3022"/>
    <x v="3"/>
    <x v="99"/>
    <s v="L000012395"/>
    <s v="PS INDIA - G"/>
    <s v="L000011664"/>
    <x v="1"/>
    <x v="0"/>
    <x v="0"/>
    <x v="2"/>
    <m/>
    <m/>
    <s v="Jayson Martinez"/>
  </r>
  <r>
    <n v="3023"/>
    <x v="3"/>
    <x v="99"/>
    <s v="L000006414"/>
    <s v="Synthesis &amp; ADC CDMO Management"/>
    <s v="L000013789"/>
    <x v="1"/>
    <x v="0"/>
    <x v="0"/>
    <x v="2"/>
    <m/>
    <m/>
    <s v="Jayson Martinez"/>
  </r>
  <r>
    <n v="3024"/>
    <x v="3"/>
    <x v="99"/>
    <s v="L000006448"/>
    <s v="SAC Strategy &amp; BD"/>
    <s v="L000012321"/>
    <x v="1"/>
    <x v="0"/>
    <x v="0"/>
    <x v="2"/>
    <m/>
    <m/>
    <s v="Jayson Martinez"/>
  </r>
  <r>
    <n v="3025"/>
    <x v="3"/>
    <x v="99"/>
    <s v="L000013151"/>
    <s v="CDMO Operations"/>
    <s v="L000009201"/>
    <x v="1"/>
    <x v="0"/>
    <x v="0"/>
    <x v="2"/>
    <m/>
    <m/>
    <s v="Jayson Martinez"/>
  </r>
  <r>
    <n v="3026"/>
    <x v="3"/>
    <x v="99"/>
    <s v="L000013152"/>
    <s v="SAC BP &amp; Implementation"/>
    <s v="L000013789"/>
    <x v="1"/>
    <x v="0"/>
    <x v="0"/>
    <x v="2"/>
    <m/>
    <m/>
    <s v="Jayson Martinez"/>
  </r>
  <r>
    <n v="3027"/>
    <x v="3"/>
    <x v="99"/>
    <s v="L000006947"/>
    <s v="BioVV - Management"/>
    <s v="L000013789"/>
    <x v="1"/>
    <x v="0"/>
    <x v="0"/>
    <x v="2"/>
    <m/>
    <m/>
    <s v="Jayson Martinez"/>
  </r>
  <r>
    <n v="3028"/>
    <x v="3"/>
    <x v="99"/>
    <s v="L000006952"/>
    <s v="BioVV - Strategy"/>
    <s v="L000012321"/>
    <x v="1"/>
    <x v="0"/>
    <x v="0"/>
    <x v="2"/>
    <m/>
    <m/>
    <s v="Jayson Martinez"/>
  </r>
  <r>
    <n v="3029"/>
    <x v="3"/>
    <x v="99"/>
    <s v="L000009432"/>
    <s v="CDMO - Carlsbad"/>
    <s v="L000013151"/>
    <x v="1"/>
    <x v="0"/>
    <x v="0"/>
    <x v="2"/>
    <m/>
    <m/>
    <s v="Jayson Martinez"/>
  </r>
  <r>
    <n v="3030"/>
    <x v="3"/>
    <x v="99"/>
    <s v="L000011494"/>
    <s v="CDMO - Martillac"/>
    <s v="L000013151"/>
    <x v="1"/>
    <x v="0"/>
    <x v="0"/>
    <x v="2"/>
    <m/>
    <m/>
    <s v="Jayson Martinez"/>
  </r>
  <r>
    <n v="3031"/>
    <x v="3"/>
    <x v="99"/>
    <s v="L000011503"/>
    <s v="CDMO - Burlington"/>
    <s v="L000013151"/>
    <x v="1"/>
    <x v="0"/>
    <x v="0"/>
    <x v="2"/>
    <m/>
    <m/>
    <s v="Jayson Martinez"/>
  </r>
  <r>
    <n v="3032"/>
    <x v="3"/>
    <x v="99"/>
    <s v="L000013178"/>
    <s v="BioVV - Bus. Planning &amp; Implementation"/>
    <s v="L000013789"/>
    <x v="1"/>
    <x v="0"/>
    <x v="0"/>
    <x v="2"/>
    <m/>
    <m/>
    <s v="Jayson Martinez"/>
  </r>
  <r>
    <n v="3033"/>
    <x v="3"/>
    <x v="99"/>
    <s v="L000013398"/>
    <s v="CDMO - Shanghai"/>
    <s v="L000013151"/>
    <x v="1"/>
    <x v="0"/>
    <x v="0"/>
    <x v="2"/>
    <m/>
    <m/>
    <s v="Jayson Martinez"/>
  </r>
  <r>
    <n v="3034"/>
    <x v="3"/>
    <x v="99"/>
    <s v="L000009369"/>
    <m/>
    <s v="L000009386"/>
    <x v="1"/>
    <x v="0"/>
    <x v="0"/>
    <x v="2"/>
    <m/>
    <m/>
    <s v="Jayson Martinez"/>
  </r>
  <r>
    <n v="3035"/>
    <x v="3"/>
    <x v="99"/>
    <s v="L000009390"/>
    <m/>
    <s v="L000009386"/>
    <x v="1"/>
    <x v="0"/>
    <x v="0"/>
    <x v="2"/>
    <m/>
    <m/>
    <s v="Jayson Martinez"/>
  </r>
  <r>
    <n v="3036"/>
    <x v="3"/>
    <x v="99"/>
    <s v="L000009448"/>
    <m/>
    <s v="L000013772"/>
    <x v="1"/>
    <x v="0"/>
    <x v="0"/>
    <x v="2"/>
    <m/>
    <m/>
    <s v="Jayson Martinez"/>
  </r>
  <r>
    <n v="3037"/>
    <x v="3"/>
    <x v="99"/>
    <s v="L000009492"/>
    <m/>
    <s v="L000013772"/>
    <x v="1"/>
    <x v="0"/>
    <x v="0"/>
    <x v="2"/>
    <m/>
    <m/>
    <s v="Jayson Martinez"/>
  </r>
  <r>
    <n v="3038"/>
    <x v="3"/>
    <x v="99"/>
    <s v="L000009582"/>
    <m/>
    <s v="L000013772"/>
    <x v="1"/>
    <x v="0"/>
    <x v="0"/>
    <x v="2"/>
    <m/>
    <m/>
    <s v="Jayson Martinez"/>
  </r>
  <r>
    <n v="3039"/>
    <x v="3"/>
    <x v="99"/>
    <s v="L000009591"/>
    <m/>
    <s v="L000013772"/>
    <x v="1"/>
    <x v="0"/>
    <x v="0"/>
    <x v="2"/>
    <m/>
    <m/>
    <s v="Jayson Martinez"/>
  </r>
  <r>
    <n v="3040"/>
    <x v="3"/>
    <x v="99"/>
    <s v="L000009593"/>
    <m/>
    <s v="L000013772"/>
    <x v="1"/>
    <x v="0"/>
    <x v="0"/>
    <x v="2"/>
    <m/>
    <m/>
    <s v="Jayson Martinez"/>
  </r>
  <r>
    <n v="3041"/>
    <x v="3"/>
    <x v="99"/>
    <s v="L000012887"/>
    <m/>
    <s v="L000013772"/>
    <x v="1"/>
    <x v="0"/>
    <x v="0"/>
    <x v="2"/>
    <m/>
    <m/>
    <s v="Jayson Martinez"/>
  </r>
  <r>
    <n v="3042"/>
    <x v="3"/>
    <x v="99"/>
    <s v="L000012888"/>
    <m/>
    <s v="L000013772"/>
    <x v="1"/>
    <x v="0"/>
    <x v="0"/>
    <x v="2"/>
    <m/>
    <m/>
    <s v="Jayson Martinez"/>
  </r>
  <r>
    <n v="3043"/>
    <x v="3"/>
    <x v="99"/>
    <s v="L000009604"/>
    <m/>
    <s v="L000013772"/>
    <x v="1"/>
    <x v="0"/>
    <x v="0"/>
    <x v="2"/>
    <m/>
    <m/>
    <s v="Jayson Martinez"/>
  </r>
  <r>
    <n v="3044"/>
    <x v="3"/>
    <x v="99"/>
    <s v="L000009610"/>
    <m/>
    <s v="L000013772"/>
    <x v="1"/>
    <x v="0"/>
    <x v="0"/>
    <x v="2"/>
    <m/>
    <m/>
    <s v="Jayson Martinez"/>
  </r>
  <r>
    <n v="3045"/>
    <x v="3"/>
    <x v="99"/>
    <s v="L000010608"/>
    <m/>
    <s v="L000013772"/>
    <x v="1"/>
    <x v="0"/>
    <x v="0"/>
    <x v="2"/>
    <m/>
    <m/>
    <s v="Jayson Martinez"/>
  </r>
  <r>
    <n v="3046"/>
    <x v="3"/>
    <x v="99"/>
    <s v="L000012889"/>
    <m/>
    <s v="L000013772"/>
    <x v="1"/>
    <x v="0"/>
    <x v="0"/>
    <x v="2"/>
    <m/>
    <m/>
    <s v="Jayson Martinez"/>
  </r>
  <r>
    <n v="3047"/>
    <x v="3"/>
    <x v="99"/>
    <s v="L000006432"/>
    <m/>
    <s v="L000006420"/>
    <x v="1"/>
    <x v="0"/>
    <x v="0"/>
    <x v="2"/>
    <m/>
    <m/>
    <s v="Jayson Martinez"/>
  </r>
  <r>
    <n v="3048"/>
    <x v="3"/>
    <x v="99"/>
    <s v="L000013325"/>
    <m/>
    <s v="L000013326"/>
    <x v="1"/>
    <x v="0"/>
    <x v="0"/>
    <x v="2"/>
    <m/>
    <m/>
    <s v="Jayson Martinez"/>
  </r>
  <r>
    <n v="3049"/>
    <x v="3"/>
    <x v="99"/>
    <s v="L000013464"/>
    <m/>
    <s v="L000013326"/>
    <x v="1"/>
    <x v="0"/>
    <x v="0"/>
    <x v="2"/>
    <m/>
    <m/>
    <s v="Jayson Martinez"/>
  </r>
  <r>
    <n v="3050"/>
    <x v="3"/>
    <x v="99"/>
    <s v="L000013465"/>
    <m/>
    <s v="L000013326"/>
    <x v="1"/>
    <x v="0"/>
    <x v="0"/>
    <x v="2"/>
    <m/>
    <m/>
    <s v="Jayson Martinez"/>
  </r>
  <r>
    <n v="3051"/>
    <x v="3"/>
    <x v="99"/>
    <s v="L000013624"/>
    <m/>
    <s v="L000013326"/>
    <x v="1"/>
    <x v="0"/>
    <x v="0"/>
    <x v="2"/>
    <m/>
    <m/>
    <s v="Jayson Martinez"/>
  </r>
  <r>
    <n v="3052"/>
    <x v="3"/>
    <x v="99"/>
    <s v="L000013625"/>
    <m/>
    <s v="L000013326"/>
    <x v="1"/>
    <x v="0"/>
    <x v="0"/>
    <x v="2"/>
    <m/>
    <m/>
    <s v="Jayson Martinez"/>
  </r>
  <r>
    <n v="3053"/>
    <x v="3"/>
    <x v="99"/>
    <s v="L000013389"/>
    <m/>
    <s v="L000013775"/>
    <x v="1"/>
    <x v="0"/>
    <x v="0"/>
    <x v="2"/>
    <m/>
    <m/>
    <s v="Jayson Martinez"/>
  </r>
  <r>
    <n v="3054"/>
    <x v="3"/>
    <x v="99"/>
    <s v="IT06050000"/>
    <m/>
    <s v="L000013775"/>
    <x v="1"/>
    <x v="0"/>
    <x v="0"/>
    <x v="2"/>
    <m/>
    <m/>
    <s v="Jayson Martinez"/>
  </r>
  <r>
    <n v="3055"/>
    <x v="3"/>
    <x v="99"/>
    <s v="L000013390"/>
    <m/>
    <s v="L000013775"/>
    <x v="1"/>
    <x v="0"/>
    <x v="0"/>
    <x v="2"/>
    <m/>
    <m/>
    <s v="Jayson Martinez"/>
  </r>
  <r>
    <n v="3056"/>
    <x v="3"/>
    <x v="99"/>
    <s v="IT06050300"/>
    <m/>
    <s v="L000013775"/>
    <x v="1"/>
    <x v="0"/>
    <x v="0"/>
    <x v="2"/>
    <m/>
    <m/>
    <s v="Jayson Martinez"/>
  </r>
  <r>
    <n v="3057"/>
    <x v="3"/>
    <x v="99"/>
    <s v="L000013391"/>
    <m/>
    <s v="L000013775"/>
    <x v="1"/>
    <x v="0"/>
    <x v="0"/>
    <x v="2"/>
    <m/>
    <m/>
    <s v="Jayson Martinez"/>
  </r>
  <r>
    <n v="3058"/>
    <x v="3"/>
    <x v="99"/>
    <s v="IT06050400"/>
    <m/>
    <s v="L000013775"/>
    <x v="1"/>
    <x v="0"/>
    <x v="0"/>
    <x v="2"/>
    <m/>
    <m/>
    <s v="Jayson Martinez"/>
  </r>
  <r>
    <n v="3059"/>
    <x v="3"/>
    <x v="99"/>
    <s v="L000013392"/>
    <m/>
    <s v="L000013775"/>
    <x v="1"/>
    <x v="0"/>
    <x v="0"/>
    <x v="2"/>
    <m/>
    <m/>
    <s v="Jayson Martinez"/>
  </r>
  <r>
    <n v="3060"/>
    <x v="3"/>
    <x v="99"/>
    <s v="IT06050500"/>
    <m/>
    <s v="L000013775"/>
    <x v="1"/>
    <x v="0"/>
    <x v="0"/>
    <x v="2"/>
    <m/>
    <m/>
    <s v="Jayson Martinez"/>
  </r>
  <r>
    <n v="3061"/>
    <x v="3"/>
    <x v="99"/>
    <s v="L000013393"/>
    <m/>
    <s v="L000013775"/>
    <x v="1"/>
    <x v="0"/>
    <x v="0"/>
    <x v="2"/>
    <m/>
    <m/>
    <s v="Jayson Martinez"/>
  </r>
  <r>
    <n v="3062"/>
    <x v="3"/>
    <x v="99"/>
    <s v="IT06050700"/>
    <m/>
    <s v="L000013775"/>
    <x v="1"/>
    <x v="0"/>
    <x v="0"/>
    <x v="2"/>
    <m/>
    <m/>
    <s v="Jayson Martinez"/>
  </r>
  <r>
    <n v="3063"/>
    <x v="3"/>
    <x v="99"/>
    <s v="L000013394"/>
    <m/>
    <s v="L000013775"/>
    <x v="1"/>
    <x v="0"/>
    <x v="0"/>
    <x v="2"/>
    <m/>
    <m/>
    <s v="Jayson Martinez"/>
  </r>
  <r>
    <n v="3064"/>
    <x v="3"/>
    <x v="99"/>
    <s v="IT06050900"/>
    <m/>
    <s v="L000013775"/>
    <x v="1"/>
    <x v="0"/>
    <x v="0"/>
    <x v="2"/>
    <m/>
    <m/>
    <s v="Jayson Martinez"/>
  </r>
  <r>
    <n v="3065"/>
    <x v="3"/>
    <x v="99"/>
    <s v="L000013395"/>
    <m/>
    <s v="L000013775"/>
    <x v="1"/>
    <x v="0"/>
    <x v="0"/>
    <x v="2"/>
    <m/>
    <m/>
    <s v="Jayson Martinez"/>
  </r>
  <r>
    <n v="3066"/>
    <x v="3"/>
    <x v="99"/>
    <s v="IT06050200"/>
    <m/>
    <s v="L000013775"/>
    <x v="1"/>
    <x v="0"/>
    <x v="0"/>
    <x v="2"/>
    <m/>
    <m/>
    <s v="Jayson Martinez"/>
  </r>
  <r>
    <n v="3067"/>
    <x v="3"/>
    <x v="99"/>
    <s v="L000013396"/>
    <m/>
    <s v="L000013775"/>
    <x v="1"/>
    <x v="0"/>
    <x v="0"/>
    <x v="2"/>
    <m/>
    <m/>
    <s v="Jayson Martinez"/>
  </r>
  <r>
    <n v="3068"/>
    <x v="3"/>
    <x v="99"/>
    <s v="IT06050100"/>
    <m/>
    <s v="L000013775"/>
    <x v="1"/>
    <x v="0"/>
    <x v="0"/>
    <x v="2"/>
    <m/>
    <m/>
    <s v="Jayson Martinez"/>
  </r>
  <r>
    <n v="3069"/>
    <x v="3"/>
    <x v="99"/>
    <s v="L000013397"/>
    <m/>
    <s v="L000013775"/>
    <x v="1"/>
    <x v="0"/>
    <x v="0"/>
    <x v="2"/>
    <m/>
    <m/>
    <s v="Jayson Martinez"/>
  </r>
  <r>
    <n v="3070"/>
    <x v="3"/>
    <x v="99"/>
    <s v="IT06050600"/>
    <m/>
    <s v="L000013775"/>
    <x v="1"/>
    <x v="0"/>
    <x v="0"/>
    <x v="2"/>
    <m/>
    <m/>
    <s v="Jayson Martinez"/>
  </r>
  <r>
    <n v="3071"/>
    <x v="3"/>
    <x v="99"/>
    <s v="L000013599"/>
    <m/>
    <s v="L000013775"/>
    <x v="1"/>
    <x v="0"/>
    <x v="0"/>
    <x v="2"/>
    <m/>
    <m/>
    <s v="Jayson Martinez"/>
  </r>
  <r>
    <n v="3072"/>
    <x v="3"/>
    <x v="99"/>
    <s v="IT06051000"/>
    <m/>
    <s v="L000013775"/>
    <x v="1"/>
    <x v="0"/>
    <x v="0"/>
    <x v="2"/>
    <m/>
    <m/>
    <s v="Jayson Martinez"/>
  </r>
  <r>
    <n v="3073"/>
    <x v="3"/>
    <x v="99"/>
    <s v="L000011146"/>
    <m/>
    <s v="L000013386"/>
    <x v="1"/>
    <x v="0"/>
    <x v="0"/>
    <x v="2"/>
    <m/>
    <m/>
    <s v="Jayson Martinez"/>
  </r>
  <r>
    <n v="3074"/>
    <x v="3"/>
    <x v="99"/>
    <s v="L000013365"/>
    <m/>
    <s v="L000013182"/>
    <x v="1"/>
    <x v="0"/>
    <x v="0"/>
    <x v="2"/>
    <m/>
    <m/>
    <s v="Jayson Martinez"/>
  </r>
  <r>
    <n v="3075"/>
    <x v="3"/>
    <x v="99"/>
    <s v="L000013718"/>
    <m/>
    <s v="L000013710"/>
    <x v="1"/>
    <x v="0"/>
    <x v="0"/>
    <x v="2"/>
    <m/>
    <m/>
    <s v="Jayson Martinez"/>
  </r>
  <r>
    <n v="3076"/>
    <x v="3"/>
    <x v="99"/>
    <s v="L000006094"/>
    <m/>
    <s v="L000013781"/>
    <x v="1"/>
    <x v="0"/>
    <x v="0"/>
    <x v="2"/>
    <m/>
    <m/>
    <s v="Jayson Martinez"/>
  </r>
  <r>
    <n v="3077"/>
    <x v="3"/>
    <x v="99"/>
    <s v="L000006095"/>
    <m/>
    <s v="L000013781"/>
    <x v="1"/>
    <x v="0"/>
    <x v="0"/>
    <x v="2"/>
    <m/>
    <m/>
    <s v="Jayson Martinez"/>
  </r>
  <r>
    <n v="3078"/>
    <x v="3"/>
    <x v="99"/>
    <s v="L000006096"/>
    <m/>
    <s v="L000013781"/>
    <x v="1"/>
    <x v="0"/>
    <x v="0"/>
    <x v="2"/>
    <m/>
    <m/>
    <s v="Jayson Martinez"/>
  </r>
  <r>
    <n v="3079"/>
    <x v="3"/>
    <x v="99"/>
    <s v="L000006097"/>
    <m/>
    <s v="L000013781"/>
    <x v="1"/>
    <x v="0"/>
    <x v="0"/>
    <x v="2"/>
    <m/>
    <m/>
    <s v="Jayson Martinez"/>
  </r>
  <r>
    <n v="3080"/>
    <x v="3"/>
    <x v="99"/>
    <s v="L000006098"/>
    <m/>
    <s v="L000013781"/>
    <x v="1"/>
    <x v="0"/>
    <x v="0"/>
    <x v="2"/>
    <m/>
    <m/>
    <s v="Jayson Martinez"/>
  </r>
  <r>
    <n v="3081"/>
    <x v="3"/>
    <x v="99"/>
    <s v="L000006099"/>
    <m/>
    <s v="L000013781"/>
    <x v="1"/>
    <x v="0"/>
    <x v="0"/>
    <x v="2"/>
    <m/>
    <m/>
    <s v="Jayson Martinez"/>
  </r>
  <r>
    <n v="3082"/>
    <x v="3"/>
    <x v="99"/>
    <s v="L000006100"/>
    <m/>
    <s v="L000013781"/>
    <x v="1"/>
    <x v="0"/>
    <x v="0"/>
    <x v="2"/>
    <m/>
    <m/>
    <s v="Jayson Martinez"/>
  </r>
  <r>
    <n v="3083"/>
    <x v="3"/>
    <x v="99"/>
    <s v="L000006086"/>
    <m/>
    <s v="L000013782"/>
    <x v="1"/>
    <x v="0"/>
    <x v="0"/>
    <x v="2"/>
    <m/>
    <m/>
    <s v="Jayson Martinez"/>
  </r>
  <r>
    <n v="3084"/>
    <x v="3"/>
    <x v="99"/>
    <s v="L000008682"/>
    <m/>
    <s v="L000008712"/>
    <x v="1"/>
    <x v="0"/>
    <x v="0"/>
    <x v="2"/>
    <m/>
    <m/>
    <s v="Jayson Martinez"/>
  </r>
  <r>
    <n v="3085"/>
    <x v="3"/>
    <x v="99"/>
    <s v="L000013664"/>
    <m/>
    <s v="L000008712"/>
    <x v="1"/>
    <x v="0"/>
    <x v="0"/>
    <x v="2"/>
    <m/>
    <m/>
    <s v="Jayson Martinez"/>
  </r>
  <r>
    <n v="3086"/>
    <x v="3"/>
    <x v="99"/>
    <s v="L000006299"/>
    <m/>
    <s v="L000012323"/>
    <x v="1"/>
    <x v="0"/>
    <x v="0"/>
    <x v="2"/>
    <m/>
    <m/>
    <s v="Jayson Martinez"/>
  </r>
  <r>
    <n v="3087"/>
    <x v="3"/>
    <x v="99"/>
    <s v="L000006300"/>
    <m/>
    <s v="L000012324"/>
    <x v="1"/>
    <x v="0"/>
    <x v="0"/>
    <x v="2"/>
    <m/>
    <m/>
    <s v="Jayson Martinez"/>
  </r>
  <r>
    <n v="3088"/>
    <x v="3"/>
    <x v="99"/>
    <s v="L000006303"/>
    <m/>
    <s v="L000012323"/>
    <x v="1"/>
    <x v="0"/>
    <x v="0"/>
    <x v="2"/>
    <m/>
    <m/>
    <s v="Jayson Martinez"/>
  </r>
  <r>
    <n v="3089"/>
    <x v="3"/>
    <x v="99"/>
    <s v="L000006306"/>
    <m/>
    <s v="L000012323"/>
    <x v="1"/>
    <x v="0"/>
    <x v="0"/>
    <x v="2"/>
    <m/>
    <m/>
    <s v="Jayson Martinez"/>
  </r>
  <r>
    <n v="3090"/>
    <x v="3"/>
    <x v="99"/>
    <s v="L000006349"/>
    <m/>
    <s v="L000012323"/>
    <x v="1"/>
    <x v="0"/>
    <x v="0"/>
    <x v="2"/>
    <m/>
    <m/>
    <s v="Jayson Martinez"/>
  </r>
  <r>
    <n v="3091"/>
    <x v="3"/>
    <x v="99"/>
    <s v="L000006308"/>
    <m/>
    <s v="L000012394"/>
    <x v="1"/>
    <x v="0"/>
    <x v="0"/>
    <x v="2"/>
    <m/>
    <m/>
    <s v="Jayson Martinez"/>
  </r>
  <r>
    <n v="3092"/>
    <x v="3"/>
    <x v="99"/>
    <s v="L000006309"/>
    <m/>
    <s v="L000012394"/>
    <x v="1"/>
    <x v="0"/>
    <x v="0"/>
    <x v="2"/>
    <m/>
    <m/>
    <s v="Jayson Martinez"/>
  </r>
  <r>
    <n v="3093"/>
    <x v="3"/>
    <x v="99"/>
    <s v="L000006310"/>
    <m/>
    <s v="L000012394"/>
    <x v="1"/>
    <x v="0"/>
    <x v="0"/>
    <x v="2"/>
    <m/>
    <m/>
    <s v="Jayson Martinez"/>
  </r>
  <r>
    <n v="3094"/>
    <x v="3"/>
    <x v="99"/>
    <s v="L000006313"/>
    <m/>
    <s v="L000012394"/>
    <x v="1"/>
    <x v="0"/>
    <x v="0"/>
    <x v="2"/>
    <m/>
    <m/>
    <s v="Jayson Martinez"/>
  </r>
  <r>
    <n v="3095"/>
    <x v="3"/>
    <x v="99"/>
    <s v="L000006314"/>
    <m/>
    <s v="L000012394"/>
    <x v="1"/>
    <x v="0"/>
    <x v="0"/>
    <x v="2"/>
    <m/>
    <m/>
    <s v="Jayson Martinez"/>
  </r>
  <r>
    <n v="3096"/>
    <x v="3"/>
    <x v="99"/>
    <s v="L000006316"/>
    <m/>
    <s v="L000012394"/>
    <x v="1"/>
    <x v="0"/>
    <x v="0"/>
    <x v="2"/>
    <m/>
    <m/>
    <s v="Jayson Martinez"/>
  </r>
  <r>
    <n v="3097"/>
    <x v="3"/>
    <x v="99"/>
    <s v="L000006317"/>
    <m/>
    <s v="L000012394"/>
    <x v="1"/>
    <x v="0"/>
    <x v="0"/>
    <x v="2"/>
    <m/>
    <m/>
    <s v="Jayson Martinez"/>
  </r>
  <r>
    <n v="3098"/>
    <x v="3"/>
    <x v="99"/>
    <s v="L000006336"/>
    <m/>
    <s v="L000012395"/>
    <x v="1"/>
    <x v="0"/>
    <x v="0"/>
    <x v="2"/>
    <m/>
    <m/>
    <s v="Jayson Martinez"/>
  </r>
  <r>
    <n v="3099"/>
    <x v="3"/>
    <x v="99"/>
    <s v="L000006337"/>
    <m/>
    <s v="L000012395"/>
    <x v="1"/>
    <x v="0"/>
    <x v="0"/>
    <x v="2"/>
    <m/>
    <m/>
    <s v="Jayson Martinez"/>
  </r>
  <r>
    <n v="3100"/>
    <x v="3"/>
    <x v="99"/>
    <s v="L000011460"/>
    <m/>
    <s v="L000012394"/>
    <x v="1"/>
    <x v="0"/>
    <x v="0"/>
    <x v="2"/>
    <m/>
    <m/>
    <s v="Jayson Martinez"/>
  </r>
  <r>
    <n v="3101"/>
    <x v="3"/>
    <x v="99"/>
    <s v="L000012533"/>
    <m/>
    <s v="L000012394"/>
    <x v="1"/>
    <x v="0"/>
    <x v="0"/>
    <x v="2"/>
    <m/>
    <m/>
    <s v="Jayson Martinez"/>
  </r>
  <r>
    <n v="3102"/>
    <x v="3"/>
    <x v="99"/>
    <s v="L000012631"/>
    <m/>
    <s v="L000012394"/>
    <x v="1"/>
    <x v="0"/>
    <x v="0"/>
    <x v="2"/>
    <m/>
    <m/>
    <s v="Jayson Martinez"/>
  </r>
  <r>
    <n v="3103"/>
    <x v="3"/>
    <x v="99"/>
    <s v="L000012759"/>
    <m/>
    <s v="L000012395"/>
    <x v="1"/>
    <x v="0"/>
    <x v="0"/>
    <x v="2"/>
    <m/>
    <m/>
    <s v="Jayson Martinez"/>
  </r>
  <r>
    <n v="3104"/>
    <x v="3"/>
    <x v="99"/>
    <s v="L000011696"/>
    <m/>
    <s v="L000011719"/>
    <x v="1"/>
    <x v="0"/>
    <x v="0"/>
    <x v="2"/>
    <m/>
    <m/>
    <s v="Jayson Martinez"/>
  </r>
  <r>
    <n v="3105"/>
    <x v="3"/>
    <x v="99"/>
    <s v="L000013292"/>
    <m/>
    <s v="L000013519"/>
    <x v="1"/>
    <x v="0"/>
    <x v="0"/>
    <x v="2"/>
    <m/>
    <m/>
    <s v="Jayson Martinez"/>
  </r>
  <r>
    <n v="3106"/>
    <x v="3"/>
    <x v="99"/>
    <s v="L000006391"/>
    <m/>
    <s v="L000013786"/>
    <x v="1"/>
    <x v="0"/>
    <x v="0"/>
    <x v="2"/>
    <m/>
    <m/>
    <s v="Jayson Martinez"/>
  </r>
  <r>
    <n v="3107"/>
    <x v="3"/>
    <x v="99"/>
    <s v="L000006420"/>
    <m/>
    <s v="L000013785"/>
    <x v="1"/>
    <x v="0"/>
    <x v="0"/>
    <x v="2"/>
    <m/>
    <m/>
    <s v="Jayson Martinez"/>
  </r>
  <r>
    <n v="3108"/>
    <x v="3"/>
    <x v="99"/>
    <s v="L000006496"/>
    <m/>
    <s v="L000013784"/>
    <x v="1"/>
    <x v="0"/>
    <x v="0"/>
    <x v="2"/>
    <m/>
    <m/>
    <s v="Jayson Martinez"/>
  </r>
  <r>
    <n v="3109"/>
    <x v="3"/>
    <x v="99"/>
    <s v="L000011470"/>
    <m/>
    <s v="L000013783"/>
    <x v="1"/>
    <x v="0"/>
    <x v="0"/>
    <x v="2"/>
    <m/>
    <m/>
    <s v="Jayson Martinez"/>
  </r>
  <r>
    <n v="3110"/>
    <x v="3"/>
    <x v="99"/>
    <s v="L000013666"/>
    <m/>
    <s v="L000013787"/>
    <x v="1"/>
    <x v="0"/>
    <x v="0"/>
    <x v="2"/>
    <m/>
    <m/>
    <s v="Jayson Martinez"/>
  </r>
  <r>
    <n v="3111"/>
    <x v="3"/>
    <x v="99"/>
    <s v="L000006936"/>
    <m/>
    <s v="L000013786"/>
    <x v="1"/>
    <x v="0"/>
    <x v="0"/>
    <x v="2"/>
    <m/>
    <m/>
    <s v="Jayson Martinez"/>
  </r>
  <r>
    <n v="3112"/>
    <x v="3"/>
    <x v="99"/>
    <s v="L000007043"/>
    <m/>
    <s v="L000013787"/>
    <x v="1"/>
    <x v="0"/>
    <x v="0"/>
    <x v="2"/>
    <m/>
    <m/>
    <s v="Jayson Martinez"/>
  </r>
  <r>
    <n v="3113"/>
    <x v="3"/>
    <x v="99"/>
    <s v="L000011506"/>
    <m/>
    <s v="L000013784"/>
    <x v="1"/>
    <x v="0"/>
    <x v="0"/>
    <x v="2"/>
    <m/>
    <m/>
    <s v="Jayson Martinez"/>
  </r>
  <r>
    <n v="3114"/>
    <x v="3"/>
    <x v="99"/>
    <s v="L000013174"/>
    <m/>
    <s v="L000013785"/>
    <x v="1"/>
    <x v="0"/>
    <x v="0"/>
    <x v="2"/>
    <m/>
    <m/>
    <s v="Jayson Martinez"/>
  </r>
  <r>
    <n v="3115"/>
    <x v="3"/>
    <x v="99"/>
    <s v="L000006432"/>
    <m/>
    <s v="L000006420"/>
    <x v="1"/>
    <x v="0"/>
    <x v="0"/>
    <x v="2"/>
    <m/>
    <m/>
    <s v="Jayson Martinez"/>
  </r>
  <r>
    <n v="3116"/>
    <x v="3"/>
    <x v="99"/>
    <s v="L000007553"/>
    <m/>
    <s v="L000013558"/>
    <x v="1"/>
    <x v="0"/>
    <x v="0"/>
    <x v="2"/>
    <m/>
    <m/>
    <s v="Jayson Martinez"/>
  </r>
  <r>
    <n v="3117"/>
    <x v="3"/>
    <x v="99"/>
    <s v="L000007575"/>
    <m/>
    <s v="L000013558"/>
    <x v="1"/>
    <x v="0"/>
    <x v="0"/>
    <x v="2"/>
    <m/>
    <m/>
    <s v="Jayson Martinez"/>
  </r>
  <r>
    <n v="3118"/>
    <x v="3"/>
    <x v="99"/>
    <s v="L000012763"/>
    <m/>
    <s v="L000013558"/>
    <x v="1"/>
    <x v="0"/>
    <x v="0"/>
    <x v="2"/>
    <m/>
    <m/>
    <s v="Jayson Martinez"/>
  </r>
  <r>
    <n v="3119"/>
    <x v="3"/>
    <x v="99"/>
    <s v="L000011464"/>
    <m/>
    <s v="L000012394"/>
    <x v="1"/>
    <x v="0"/>
    <x v="0"/>
    <x v="2"/>
    <m/>
    <m/>
    <s v="Jayson Martinez"/>
  </r>
  <r>
    <n v="3120"/>
    <x v="3"/>
    <x v="99"/>
    <s v="L000013475"/>
    <m/>
    <s v="L000009623"/>
    <x v="1"/>
    <x v="0"/>
    <x v="0"/>
    <x v="2"/>
    <m/>
    <m/>
    <s v="Jayson Martinez"/>
  </r>
  <r>
    <n v="3121"/>
    <x v="3"/>
    <x v="99"/>
    <s v="L000012195"/>
    <m/>
    <s v="L000013681"/>
    <x v="1"/>
    <x v="0"/>
    <x v="0"/>
    <x v="2"/>
    <m/>
    <m/>
    <s v="Jayson Martinez"/>
  </r>
  <r>
    <n v="3122"/>
    <x v="3"/>
    <x v="99"/>
    <s v="L000012196"/>
    <m/>
    <s v="L000013681"/>
    <x v="1"/>
    <x v="0"/>
    <x v="0"/>
    <x v="2"/>
    <m/>
    <m/>
    <s v="Jayson Martinez"/>
  </r>
  <r>
    <n v="3123"/>
    <x v="3"/>
    <x v="99"/>
    <s v="L000012197"/>
    <m/>
    <s v="L000013681"/>
    <x v="1"/>
    <x v="0"/>
    <x v="0"/>
    <x v="2"/>
    <m/>
    <m/>
    <s v="Jayson Martinez"/>
  </r>
  <r>
    <n v="3124"/>
    <x v="3"/>
    <x v="99"/>
    <s v="L000012198"/>
    <m/>
    <s v="L000013681"/>
    <x v="1"/>
    <x v="0"/>
    <x v="0"/>
    <x v="2"/>
    <m/>
    <m/>
    <s v="Jayson Martinez"/>
  </r>
  <r>
    <n v="3125"/>
    <x v="3"/>
    <x v="99"/>
    <s v="L000012199"/>
    <m/>
    <s v="L000013681"/>
    <x v="1"/>
    <x v="0"/>
    <x v="0"/>
    <x v="2"/>
    <m/>
    <m/>
    <s v="Jayson Martinez"/>
  </r>
  <r>
    <n v="3126"/>
    <x v="3"/>
    <x v="99"/>
    <s v="L000012200"/>
    <m/>
    <s v="L000013681"/>
    <x v="1"/>
    <x v="0"/>
    <x v="0"/>
    <x v="2"/>
    <m/>
    <m/>
    <s v="Jayson Martinez"/>
  </r>
  <r>
    <n v="3127"/>
    <x v="3"/>
    <x v="99"/>
    <s v="L000012201"/>
    <m/>
    <s v="L000013681"/>
    <x v="1"/>
    <x v="0"/>
    <x v="0"/>
    <x v="2"/>
    <m/>
    <m/>
    <s v="Jayson Martinez"/>
  </r>
  <r>
    <n v="3128"/>
    <x v="3"/>
    <x v="99"/>
    <s v="L000012202"/>
    <m/>
    <s v="L000013681"/>
    <x v="1"/>
    <x v="0"/>
    <x v="0"/>
    <x v="2"/>
    <m/>
    <m/>
    <s v="Jayson Martinez"/>
  </r>
  <r>
    <n v="3129"/>
    <x v="3"/>
    <x v="99"/>
    <s v="L000012203"/>
    <m/>
    <s v="L000013681"/>
    <x v="1"/>
    <x v="0"/>
    <x v="0"/>
    <x v="2"/>
    <m/>
    <m/>
    <s v="Jayson Martinez"/>
  </r>
  <r>
    <n v="3130"/>
    <x v="3"/>
    <x v="99"/>
    <s v="L000012204"/>
    <m/>
    <s v="L000013681"/>
    <x v="1"/>
    <x v="0"/>
    <x v="0"/>
    <x v="2"/>
    <m/>
    <m/>
    <s v="Jayson Martinez"/>
  </r>
  <r>
    <n v="3131"/>
    <x v="3"/>
    <x v="99"/>
    <s v="L000012205"/>
    <m/>
    <s v="L000013681"/>
    <x v="1"/>
    <x v="0"/>
    <x v="0"/>
    <x v="2"/>
    <m/>
    <m/>
    <s v="Jayson Martinez"/>
  </r>
  <r>
    <n v="3132"/>
    <x v="3"/>
    <x v="99"/>
    <s v="L000012206"/>
    <m/>
    <s v="L000013681"/>
    <x v="1"/>
    <x v="0"/>
    <x v="0"/>
    <x v="2"/>
    <m/>
    <m/>
    <s v="Jayson Martinez"/>
  </r>
  <r>
    <n v="3133"/>
    <x v="3"/>
    <x v="99"/>
    <s v="L000009965"/>
    <m/>
    <s v="L000013681"/>
    <x v="1"/>
    <x v="0"/>
    <x v="0"/>
    <x v="2"/>
    <m/>
    <m/>
    <s v="Jayson Martinez"/>
  </r>
  <r>
    <n v="3134"/>
    <x v="3"/>
    <x v="99"/>
    <s v="L000012428"/>
    <m/>
    <s v="L000013681"/>
    <x v="1"/>
    <x v="0"/>
    <x v="0"/>
    <x v="2"/>
    <m/>
    <m/>
    <s v="Jayson Martinez"/>
  </r>
  <r>
    <n v="3135"/>
    <x v="3"/>
    <x v="99"/>
    <s v="L000011338"/>
    <m/>
    <s v="L000013687"/>
    <x v="1"/>
    <x v="0"/>
    <x v="0"/>
    <x v="2"/>
    <m/>
    <m/>
    <s v="Jayson Martinez"/>
  </r>
  <r>
    <n v="3136"/>
    <x v="3"/>
    <x v="99"/>
    <s v="L000007803"/>
    <m/>
    <s v="L000013680"/>
    <x v="1"/>
    <x v="0"/>
    <x v="0"/>
    <x v="2"/>
    <m/>
    <m/>
    <s v="Jayson Martinez"/>
  </r>
  <r>
    <n v="3137"/>
    <x v="3"/>
    <x v="99"/>
    <s v="L000013214"/>
    <m/>
    <s v="L000013680"/>
    <x v="1"/>
    <x v="0"/>
    <x v="0"/>
    <x v="2"/>
    <m/>
    <m/>
    <s v="Jayson Martinez"/>
  </r>
  <r>
    <n v="3138"/>
    <x v="3"/>
    <x v="99"/>
    <s v="L000012792"/>
    <m/>
    <s v="L000013680"/>
    <x v="1"/>
    <x v="0"/>
    <x v="0"/>
    <x v="2"/>
    <m/>
    <m/>
    <s v="Jayson Martinez"/>
  </r>
  <r>
    <n v="3139"/>
    <x v="3"/>
    <x v="99"/>
    <s v="L000008395"/>
    <m/>
    <s v="L000013680"/>
    <x v="1"/>
    <x v="0"/>
    <x v="0"/>
    <x v="2"/>
    <m/>
    <m/>
    <s v="Jayson Martinez"/>
  </r>
  <r>
    <n v="3140"/>
    <x v="3"/>
    <x v="99"/>
    <s v="L000008397"/>
    <m/>
    <s v="L000013680"/>
    <x v="1"/>
    <x v="0"/>
    <x v="0"/>
    <x v="2"/>
    <m/>
    <m/>
    <s v="Jayson Martinez"/>
  </r>
  <r>
    <n v="3141"/>
    <x v="3"/>
    <x v="99"/>
    <s v="L000008404"/>
    <m/>
    <s v="L000013680"/>
    <x v="1"/>
    <x v="0"/>
    <x v="0"/>
    <x v="2"/>
    <m/>
    <m/>
    <s v="Jayson Martinez"/>
  </r>
  <r>
    <n v="3142"/>
    <x v="3"/>
    <x v="99"/>
    <s v="L000008413"/>
    <m/>
    <s v="L000013680"/>
    <x v="1"/>
    <x v="0"/>
    <x v="0"/>
    <x v="2"/>
    <m/>
    <m/>
    <s v="Jayson Martinez"/>
  </r>
  <r>
    <n v="3143"/>
    <x v="3"/>
    <x v="99"/>
    <s v="L000008399"/>
    <m/>
    <s v="L000013680"/>
    <x v="1"/>
    <x v="0"/>
    <x v="0"/>
    <x v="2"/>
    <m/>
    <m/>
    <s v="Jayson Martinez"/>
  </r>
  <r>
    <n v="3144"/>
    <x v="3"/>
    <x v="99"/>
    <s v="L000008421"/>
    <m/>
    <s v="L000013680"/>
    <x v="1"/>
    <x v="0"/>
    <x v="0"/>
    <x v="2"/>
    <m/>
    <m/>
    <s v="Jayson Martinez"/>
  </r>
  <r>
    <n v="3145"/>
    <x v="3"/>
    <x v="99"/>
    <s v="L000008425"/>
    <m/>
    <s v="L000013680"/>
    <x v="1"/>
    <x v="0"/>
    <x v="0"/>
    <x v="2"/>
    <m/>
    <m/>
    <s v="Jayson Martinez"/>
  </r>
  <r>
    <n v="3146"/>
    <x v="3"/>
    <x v="99"/>
    <s v="L000008435"/>
    <m/>
    <s v="L000013680"/>
    <x v="1"/>
    <x v="0"/>
    <x v="0"/>
    <x v="2"/>
    <m/>
    <m/>
    <s v="Jayson Martinez"/>
  </r>
  <r>
    <n v="3147"/>
    <x v="3"/>
    <x v="99"/>
    <s v="L000008434"/>
    <m/>
    <s v="L000013680"/>
    <x v="1"/>
    <x v="0"/>
    <x v="0"/>
    <x v="2"/>
    <m/>
    <m/>
    <s v="Jayson Martinez"/>
  </r>
  <r>
    <n v="3148"/>
    <x v="3"/>
    <x v="99"/>
    <s v="L000008438"/>
    <m/>
    <s v="L000013680"/>
    <x v="1"/>
    <x v="0"/>
    <x v="0"/>
    <x v="2"/>
    <m/>
    <m/>
    <s v="Jayson Martinez"/>
  </r>
  <r>
    <n v="3149"/>
    <x v="3"/>
    <x v="99"/>
    <s v="L000008440"/>
    <m/>
    <s v="L000013680"/>
    <x v="1"/>
    <x v="0"/>
    <x v="0"/>
    <x v="2"/>
    <m/>
    <m/>
    <s v="Jayson Martinez"/>
  </r>
  <r>
    <n v="3150"/>
    <x v="3"/>
    <x v="99"/>
    <s v="L000013112"/>
    <m/>
    <s v="L000013680"/>
    <x v="1"/>
    <x v="0"/>
    <x v="0"/>
    <x v="2"/>
    <m/>
    <m/>
    <s v="Jayson Martinez"/>
  </r>
  <r>
    <n v="3151"/>
    <x v="3"/>
    <x v="99"/>
    <s v="L000011670"/>
    <m/>
    <s v="L000013679"/>
    <x v="1"/>
    <x v="0"/>
    <x v="0"/>
    <x v="2"/>
    <m/>
    <m/>
    <s v="Jayson Martinez"/>
  </r>
  <r>
    <n v="3152"/>
    <x v="3"/>
    <x v="99"/>
    <s v="L000006295"/>
    <m/>
    <s v="L000013685"/>
    <x v="1"/>
    <x v="0"/>
    <x v="0"/>
    <x v="2"/>
    <m/>
    <m/>
    <s v="Jayson Martinez"/>
  </r>
  <r>
    <n v="3153"/>
    <x v="3"/>
    <x v="99"/>
    <s v="L000006935"/>
    <m/>
    <s v="L000013685"/>
    <x v="1"/>
    <x v="0"/>
    <x v="0"/>
    <x v="2"/>
    <m/>
    <m/>
    <s v="Jayson Martinez"/>
  </r>
  <r>
    <n v="3154"/>
    <x v="3"/>
    <x v="100"/>
    <s v="H000004376"/>
    <s v="RD-K MU N&amp;I, Fertility and CM&amp;E"/>
    <m/>
    <x v="2"/>
    <x v="0"/>
    <x v="0"/>
    <x v="0"/>
    <s v="renamed successfully in kr00"/>
    <m/>
    <s v="Erjo Miguel Tagle"/>
  </r>
  <r>
    <n v="3155"/>
    <x v="3"/>
    <x v="101"/>
    <s v="H000004386"/>
    <s v="HC-HF-IB Bus. Managed App &amp; IT Complianc"/>
    <s v="H000004178"/>
    <x v="0"/>
    <x v="0"/>
    <x v="0"/>
    <x v="0"/>
    <s v="not yet remapped"/>
    <s v="not yet renamed"/>
    <s v="Joshua Cachola"/>
  </r>
  <r>
    <n v="3156"/>
    <x v="3"/>
    <x v="101"/>
    <s v="H000004387"/>
    <s v="HC-HF-ID Sector Data Office"/>
    <s v="H000004178"/>
    <x v="0"/>
    <x v="0"/>
    <x v="0"/>
    <x v="0"/>
    <s v="not yet remapped"/>
    <s v="not yet renamed"/>
    <s v="Joshua Cachola"/>
  </r>
  <r>
    <n v="3157"/>
    <x v="3"/>
    <x v="101"/>
    <s v="G000001276"/>
    <s v="EF-IT-EG MBS &amp; Procurement"/>
    <s v="G000000317"/>
    <x v="0"/>
    <x v="0"/>
    <x v="0"/>
    <x v="0"/>
    <m/>
    <m/>
    <s v="Joshua Cachola"/>
  </r>
  <r>
    <n v="3158"/>
    <x v="3"/>
    <x v="101"/>
    <s v="IT06031400"/>
    <s v="HC-HF-IB Bus. Managed App &amp; IT Complianc"/>
    <s v="H000004386"/>
    <x v="2"/>
    <x v="0"/>
    <x v="0"/>
    <x v="0"/>
    <s v="renamed successfully in kr00"/>
    <m/>
    <s v="Joshua Cachola"/>
  </r>
  <r>
    <n v="3159"/>
    <x v="3"/>
    <x v="101"/>
    <s v="IT06031500"/>
    <s v="HC-HF-ID Sector Data Office"/>
    <s v="H000004387"/>
    <x v="2"/>
    <x v="0"/>
    <x v="0"/>
    <x v="0"/>
    <s v="renamed successfully in kr00"/>
    <m/>
    <s v="Joshua Cachola"/>
  </r>
  <r>
    <n v="3160"/>
    <x v="3"/>
    <x v="101"/>
    <s v="IT06072000"/>
    <s v="EF-IT-EG MBS &amp; Procurement"/>
    <s v="G000001276"/>
    <x v="2"/>
    <x v="0"/>
    <x v="0"/>
    <x v="0"/>
    <s v="renamed successfully in kr00"/>
    <m/>
    <s v="Joshua Cachola"/>
  </r>
  <r>
    <n v="3161"/>
    <x v="3"/>
    <x v="101"/>
    <s v="O000000010"/>
    <s v="IT Global Service Charge Provider KGaA"/>
    <s v="O000000005"/>
    <x v="0"/>
    <x v="0"/>
    <x v="0"/>
    <x v="0"/>
    <m/>
    <m/>
    <s v="Joshua Cachola"/>
  </r>
  <r>
    <n v="3162"/>
    <x v="3"/>
    <x v="101"/>
    <s v="G000001277"/>
    <s v="EF-IT-EO Strategy &amp; Transformation"/>
    <s v="G000000317"/>
    <x v="0"/>
    <x v="0"/>
    <x v="0"/>
    <x v="0"/>
    <m/>
    <m/>
    <s v="Joshua Cachola"/>
  </r>
  <r>
    <n v="3163"/>
    <x v="3"/>
    <x v="101"/>
    <s v="G000001278"/>
    <s v="EF-IT-EX Architechture &amp; Security"/>
    <s v="G000000317"/>
    <x v="0"/>
    <x v="0"/>
    <x v="0"/>
    <x v="0"/>
    <m/>
    <m/>
    <s v="Joshua Cachola"/>
  </r>
  <r>
    <n v="3164"/>
    <x v="3"/>
    <x v="101"/>
    <s v="IT06072100"/>
    <s v="EF-IT-EO Strategy &amp; Transformation"/>
    <s v="G000001277"/>
    <x v="2"/>
    <x v="0"/>
    <x v="0"/>
    <x v="0"/>
    <s v="renamed successfully in kr00"/>
    <m/>
    <s v="Joshua Cachola"/>
  </r>
  <r>
    <n v="3165"/>
    <x v="3"/>
    <x v="101"/>
    <s v="IT06072200"/>
    <s v="EF-IT-EX Architechture &amp; Security"/>
    <s v="G000001278"/>
    <x v="2"/>
    <x v="0"/>
    <x v="0"/>
    <x v="0"/>
    <s v="renamed successfully in kr00"/>
    <m/>
    <s v="Joshua Cachola"/>
  </r>
  <r>
    <n v="3166"/>
    <x v="3"/>
    <x v="102"/>
    <s v="G000000361"/>
    <m/>
    <s v="G000000873"/>
    <x v="1"/>
    <x v="0"/>
    <x v="0"/>
    <x v="0"/>
    <m/>
    <m/>
    <s v="Francesco Ricioppo"/>
  </r>
  <r>
    <n v="3167"/>
    <x v="3"/>
    <x v="102"/>
    <s v="G000000496"/>
    <m/>
    <s v="G000000873"/>
    <x v="1"/>
    <x v="0"/>
    <x v="0"/>
    <x v="0"/>
    <m/>
    <m/>
    <s v="Francesco Ricioppo"/>
  </r>
  <r>
    <n v="3168"/>
    <x v="3"/>
    <x v="102"/>
    <s v="G000000949"/>
    <m/>
    <s v="G000000873"/>
    <x v="1"/>
    <x v="0"/>
    <x v="0"/>
    <x v="0"/>
    <m/>
    <m/>
    <s v="Francesco Ricioppo"/>
  </r>
  <r>
    <n v="3169"/>
    <x v="3"/>
    <x v="102"/>
    <s v="G000000468"/>
    <m/>
    <s v="G000000873"/>
    <x v="1"/>
    <x v="0"/>
    <x v="0"/>
    <x v="0"/>
    <m/>
    <m/>
    <s v="Francesco Ricioppo"/>
  </r>
  <r>
    <n v="3170"/>
    <x v="3"/>
    <x v="103"/>
    <s v="G000001017 "/>
    <s v="FS Warehouse DA"/>
    <m/>
    <x v="2"/>
    <x v="0"/>
    <x v="0"/>
    <x v="0"/>
    <s v="renamed successfully in kr00"/>
    <m/>
    <s v="Francesco Ricioppo"/>
  </r>
  <r>
    <n v="3171"/>
    <x v="3"/>
    <x v="104"/>
    <s v="S01-K02026"/>
    <s v="CDMO mRNA Operations DA+HH"/>
    <s v=" S01-214985"/>
    <x v="0"/>
    <x v="0"/>
    <x v="1"/>
    <x v="0"/>
    <m/>
    <m/>
    <s v="Marvin Graef"/>
  </r>
  <r>
    <n v="3172"/>
    <x v="3"/>
    <x v="105"/>
    <s v="P000001187"/>
    <s v="EL-SC-E Global Engineering Head"/>
    <s v="P000000635"/>
    <x v="0"/>
    <x v="0"/>
    <x v="0"/>
    <x v="3"/>
    <s v="renamed successfully in kr00"/>
    <m/>
    <s v="Edward Arevalo"/>
  </r>
  <r>
    <n v="3173"/>
    <x v="3"/>
    <x v="105"/>
    <s v="P000001188"/>
    <s v="EL-SC-EC Regional Engineering CN/TW"/>
    <s v="P000000635"/>
    <x v="0"/>
    <x v="0"/>
    <x v="0"/>
    <x v="3"/>
    <s v="renamed successfully in kr00"/>
    <m/>
    <s v="Edward Arevalo"/>
  </r>
  <r>
    <n v="3174"/>
    <x v="3"/>
    <x v="105"/>
    <s v="P000001189"/>
    <s v="EL-SC-EK Regional Engineering KR"/>
    <s v="P000000635"/>
    <x v="0"/>
    <x v="0"/>
    <x v="0"/>
    <x v="3"/>
    <s v="renamed successfully in kr00"/>
    <m/>
    <s v="Edward Arevalo"/>
  </r>
  <r>
    <n v="3175"/>
    <x v="3"/>
    <x v="105"/>
    <s v="P000001190"/>
    <s v="EL-SC-EU Regional Engineering US/EU"/>
    <s v="P000000635"/>
    <x v="0"/>
    <x v="0"/>
    <x v="0"/>
    <x v="3"/>
    <s v="renamed successfully in kr00"/>
    <m/>
    <s v="Edward Arevalo"/>
  </r>
  <r>
    <n v="3176"/>
    <x v="3"/>
    <x v="105"/>
    <s v="P000001191"/>
    <s v="EL-SC-EE Capital Efficiency &amp; Project Development"/>
    <s v="P000000635"/>
    <x v="0"/>
    <x v="0"/>
    <x v="0"/>
    <x v="3"/>
    <s v="renamed successfully in kr00"/>
    <m/>
    <s v="Edward Arevalo"/>
  </r>
  <r>
    <n v="3177"/>
    <x v="3"/>
    <x v="105"/>
    <s v="P000001192"/>
    <s v="EL-SC-EJ Project Jade"/>
    <s v="P000000635"/>
    <x v="0"/>
    <x v="0"/>
    <x v="0"/>
    <x v="3"/>
    <s v="renamed successfully in kr00"/>
    <m/>
    <s v="Edward Arevalo"/>
  </r>
  <r>
    <n v="3178"/>
    <x v="3"/>
    <x v="105"/>
    <s v="P000001193"/>
    <s v="EL-SC-ER Project Redox"/>
    <s v="P000000635"/>
    <x v="0"/>
    <x v="0"/>
    <x v="0"/>
    <x v="3"/>
    <s v="renamed successfully in kr00"/>
    <m/>
    <s v="Edward Arevalo"/>
  </r>
  <r>
    <n v="3179"/>
    <x v="3"/>
    <x v="105"/>
    <s v="P000001194"/>
    <s v="EL-SC-ES Global Process Safety"/>
    <s v="P000000635"/>
    <x v="0"/>
    <x v="0"/>
    <x v="0"/>
    <x v="3"/>
    <s v="renamed successfully in kr00"/>
    <m/>
    <s v="Edward Arevalo"/>
  </r>
  <r>
    <n v="3180"/>
    <x v="3"/>
    <x v="105"/>
    <s v="P000001195"/>
    <s v="EL-SC-ET Global Technology &amp; Engineering SMEs"/>
    <s v="P000000635"/>
    <x v="0"/>
    <x v="0"/>
    <x v="0"/>
    <x v="3"/>
    <s v="renamed successfully in kr00"/>
    <m/>
    <s v="Edward Arevalo"/>
  </r>
  <r>
    <n v="3181"/>
    <x v="3"/>
    <x v="105"/>
    <s v="P000001196"/>
    <s v="EL-SC-E Global Engineering Projects"/>
    <s v="P000000635"/>
    <x v="0"/>
    <x v="0"/>
    <x v="0"/>
    <x v="3"/>
    <s v="renamed successfully in kr00"/>
    <m/>
    <s v="Edward Arevalo"/>
  </r>
  <r>
    <n v="3182"/>
    <x v="3"/>
    <x v="105"/>
    <s v="P000000590"/>
    <m/>
    <s v="P000001117"/>
    <x v="1"/>
    <x v="0"/>
    <x v="0"/>
    <x v="3"/>
    <m/>
    <m/>
    <s v="Edward Arevalo"/>
  </r>
  <r>
    <n v="3183"/>
    <x v="3"/>
    <x v="105"/>
    <s v="P000000591"/>
    <m/>
    <s v="P000001126"/>
    <x v="1"/>
    <x v="0"/>
    <x v="0"/>
    <x v="3"/>
    <m/>
    <m/>
    <s v="Edward Arevalo"/>
  </r>
  <r>
    <n v="3184"/>
    <x v="3"/>
    <x v="105"/>
    <s v="P000000592"/>
    <m/>
    <s v="P000001117"/>
    <x v="1"/>
    <x v="0"/>
    <x v="0"/>
    <x v="3"/>
    <m/>
    <m/>
    <s v="Edward Arevalo"/>
  </r>
  <r>
    <n v="3185"/>
    <x v="3"/>
    <x v="105"/>
    <s v="P000000593"/>
    <m/>
    <s v="P000001130"/>
    <x v="1"/>
    <x v="0"/>
    <x v="0"/>
    <x v="3"/>
    <m/>
    <m/>
    <s v="Edward Arevalo"/>
  </r>
  <r>
    <n v="3186"/>
    <x v="3"/>
    <x v="105"/>
    <s v="P000000594"/>
    <m/>
    <s v="P000000001"/>
    <x v="1"/>
    <x v="0"/>
    <x v="0"/>
    <x v="3"/>
    <m/>
    <m/>
    <s v="Edward Arevalo"/>
  </r>
  <r>
    <n v="3187"/>
    <x v="3"/>
    <x v="105"/>
    <s v="P000000687_IO"/>
    <m/>
    <s v="P000001121"/>
    <x v="1"/>
    <x v="0"/>
    <x v="1"/>
    <x v="3"/>
    <m/>
    <m/>
    <s v="Edward Arevalo"/>
  </r>
  <r>
    <n v="3188"/>
    <x v="3"/>
    <x v="105"/>
    <s v="P000000003"/>
    <m/>
    <s v="O000000009"/>
    <x v="1"/>
    <x v="0"/>
    <x v="0"/>
    <x v="3"/>
    <m/>
    <m/>
    <s v="Edward Arevalo"/>
  </r>
  <r>
    <n v="3189"/>
    <x v="3"/>
    <x v="105"/>
    <s v="P000000004"/>
    <m/>
    <s v="O000000009"/>
    <x v="1"/>
    <x v="0"/>
    <x v="0"/>
    <x v="3"/>
    <m/>
    <m/>
    <s v="Edward Arevalo"/>
  </r>
  <r>
    <n v="3190"/>
    <x v="3"/>
    <x v="105"/>
    <s v="P000000005"/>
    <m/>
    <s v="O000000009"/>
    <x v="1"/>
    <x v="0"/>
    <x v="0"/>
    <x v="3"/>
    <m/>
    <m/>
    <s v="Edward Arevalo"/>
  </r>
  <r>
    <n v="3191"/>
    <x v="3"/>
    <x v="105"/>
    <s v="P000000006"/>
    <m/>
    <s v="O000000009"/>
    <x v="1"/>
    <x v="0"/>
    <x v="0"/>
    <x v="3"/>
    <m/>
    <m/>
    <s v="Edward Arevalo"/>
  </r>
  <r>
    <n v="3192"/>
    <x v="3"/>
    <x v="105"/>
    <s v="P000000008"/>
    <m/>
    <s v="O000000009"/>
    <x v="1"/>
    <x v="0"/>
    <x v="0"/>
    <x v="3"/>
    <m/>
    <m/>
    <s v="Edward Arevalo"/>
  </r>
  <r>
    <n v="3193"/>
    <x v="3"/>
    <x v="105"/>
    <s v="P000000009"/>
    <m/>
    <s v="O000000009"/>
    <x v="1"/>
    <x v="0"/>
    <x v="0"/>
    <x v="3"/>
    <m/>
    <m/>
    <s v="Edward Arevalo"/>
  </r>
  <r>
    <n v="3194"/>
    <x v="3"/>
    <x v="105"/>
    <s v="P000000589"/>
    <m/>
    <s v="O000000009"/>
    <x v="1"/>
    <x v="0"/>
    <x v="0"/>
    <x v="3"/>
    <m/>
    <m/>
    <s v="Edward Arevalo"/>
  </r>
  <r>
    <n v="3195"/>
    <x v="3"/>
    <x v="105"/>
    <s v="P000000010"/>
    <m/>
    <s v="O000000009"/>
    <x v="1"/>
    <x v="0"/>
    <x v="0"/>
    <x v="3"/>
    <m/>
    <m/>
    <s v="Edward Arevalo"/>
  </r>
  <r>
    <n v="3196"/>
    <x v="3"/>
    <x v="105"/>
    <s v="P000000684"/>
    <m/>
    <s v="O000000009"/>
    <x v="1"/>
    <x v="0"/>
    <x v="0"/>
    <x v="3"/>
    <m/>
    <m/>
    <s v="Edward Arevalo"/>
  </r>
  <r>
    <n v="3197"/>
    <x v="3"/>
    <x v="105"/>
    <s v="P000000685"/>
    <m/>
    <s v="O000000009"/>
    <x v="1"/>
    <x v="0"/>
    <x v="0"/>
    <x v="3"/>
    <m/>
    <m/>
    <s v="Edward Arevalo"/>
  </r>
  <r>
    <n v="3198"/>
    <x v="3"/>
    <x v="105"/>
    <s v="P000000686"/>
    <m/>
    <s v="O000000009"/>
    <x v="1"/>
    <x v="0"/>
    <x v="0"/>
    <x v="3"/>
    <m/>
    <m/>
    <s v="Edward Arevalo"/>
  </r>
  <r>
    <n v="3199"/>
    <x v="3"/>
    <x v="105"/>
    <s v="P000000687"/>
    <m/>
    <s v="P000001121"/>
    <x v="1"/>
    <x v="0"/>
    <x v="0"/>
    <x v="3"/>
    <m/>
    <m/>
    <s v="Edward Arevalo"/>
  </r>
  <r>
    <n v="3200"/>
    <x v="3"/>
    <x v="105"/>
    <s v="P000000011"/>
    <m/>
    <s v="O000000009"/>
    <x v="1"/>
    <x v="0"/>
    <x v="0"/>
    <x v="3"/>
    <m/>
    <m/>
    <s v="Edward Arevalo"/>
  </r>
  <r>
    <n v="3201"/>
    <x v="3"/>
    <x v="105"/>
    <s v="P000000012"/>
    <m/>
    <s v="O000000009"/>
    <x v="1"/>
    <x v="0"/>
    <x v="0"/>
    <x v="3"/>
    <m/>
    <m/>
    <s v="Edward Arevalo"/>
  </r>
  <r>
    <n v="3202"/>
    <x v="3"/>
    <x v="105"/>
    <s v="P000000013"/>
    <m/>
    <s v="O000000009"/>
    <x v="1"/>
    <x v="0"/>
    <x v="0"/>
    <x v="3"/>
    <m/>
    <m/>
    <s v="Edward Arevalo"/>
  </r>
  <r>
    <n v="3203"/>
    <x v="3"/>
    <x v="105"/>
    <s v="P000000014"/>
    <m/>
    <s v="O000000009"/>
    <x v="1"/>
    <x v="0"/>
    <x v="0"/>
    <x v="3"/>
    <m/>
    <m/>
    <s v="Edward Arevalo"/>
  </r>
  <r>
    <n v="3204"/>
    <x v="3"/>
    <x v="105"/>
    <s v="P000000015"/>
    <m/>
    <s v="O000000009"/>
    <x v="1"/>
    <x v="0"/>
    <x v="0"/>
    <x v="3"/>
    <m/>
    <m/>
    <s v="Edward Arevalo"/>
  </r>
  <r>
    <n v="3205"/>
    <x v="3"/>
    <x v="105"/>
    <s v="P000000016"/>
    <m/>
    <s v="O000000009"/>
    <x v="1"/>
    <x v="0"/>
    <x v="0"/>
    <x v="3"/>
    <m/>
    <m/>
    <s v="Edward Arevalo"/>
  </r>
  <r>
    <n v="3206"/>
    <x v="3"/>
    <x v="105"/>
    <s v="P000000017"/>
    <m/>
    <s v="O000000009"/>
    <x v="1"/>
    <x v="0"/>
    <x v="0"/>
    <x v="3"/>
    <m/>
    <m/>
    <s v="Edward Arevalo"/>
  </r>
  <r>
    <n v="3207"/>
    <x v="3"/>
    <x v="105"/>
    <s v="P000000018"/>
    <m/>
    <s v="O000000009"/>
    <x v="1"/>
    <x v="0"/>
    <x v="0"/>
    <x v="3"/>
    <m/>
    <m/>
    <s v="Edward Arevalo"/>
  </r>
  <r>
    <n v="3208"/>
    <x v="3"/>
    <x v="105"/>
    <s v="P000000699"/>
    <m/>
    <s v="O000000009"/>
    <x v="1"/>
    <x v="0"/>
    <x v="0"/>
    <x v="3"/>
    <m/>
    <m/>
    <s v="Edward Arevalo"/>
  </r>
  <r>
    <n v="3209"/>
    <x v="3"/>
    <x v="105"/>
    <s v="P000000700"/>
    <m/>
    <s v="O000000009"/>
    <x v="1"/>
    <x v="0"/>
    <x v="0"/>
    <x v="3"/>
    <m/>
    <m/>
    <s v="Edward Arevalo"/>
  </r>
  <r>
    <n v="3210"/>
    <x v="3"/>
    <x v="105"/>
    <s v="P000000020"/>
    <m/>
    <s v="O000000009"/>
    <x v="1"/>
    <x v="0"/>
    <x v="0"/>
    <x v="3"/>
    <m/>
    <m/>
    <s v="Edward Arevalo"/>
  </r>
  <r>
    <n v="3211"/>
    <x v="3"/>
    <x v="105"/>
    <s v="P000000701"/>
    <m/>
    <s v="O000000009"/>
    <x v="1"/>
    <x v="0"/>
    <x v="0"/>
    <x v="3"/>
    <m/>
    <m/>
    <s v="Edward Arevalo"/>
  </r>
  <r>
    <n v="3212"/>
    <x v="3"/>
    <x v="105"/>
    <s v="P000000702"/>
    <m/>
    <s v="O000000009"/>
    <x v="1"/>
    <x v="0"/>
    <x v="0"/>
    <x v="3"/>
    <m/>
    <m/>
    <s v="Edward Arevalo"/>
  </r>
  <r>
    <n v="3213"/>
    <x v="3"/>
    <x v="105"/>
    <s v="P000000021"/>
    <m/>
    <s v="O000000009"/>
    <x v="1"/>
    <x v="0"/>
    <x v="0"/>
    <x v="3"/>
    <m/>
    <m/>
    <s v="Edward Arevalo"/>
  </r>
  <r>
    <n v="3214"/>
    <x v="3"/>
    <x v="105"/>
    <s v="P000000429"/>
    <m/>
    <s v="O000000009"/>
    <x v="1"/>
    <x v="0"/>
    <x v="0"/>
    <x v="3"/>
    <m/>
    <m/>
    <s v="Edward Arevalo"/>
  </r>
  <r>
    <n v="3215"/>
    <x v="3"/>
    <x v="105"/>
    <s v="P000000430"/>
    <m/>
    <s v="O000000009"/>
    <x v="1"/>
    <x v="0"/>
    <x v="0"/>
    <x v="3"/>
    <m/>
    <m/>
    <s v="Edward Arevalo"/>
  </r>
  <r>
    <n v="3216"/>
    <x v="3"/>
    <x v="105"/>
    <s v="P000000431"/>
    <m/>
    <s v="O000000009"/>
    <x v="1"/>
    <x v="0"/>
    <x v="0"/>
    <x v="3"/>
    <m/>
    <m/>
    <s v="Edward Arevalo"/>
  </r>
  <r>
    <n v="3217"/>
    <x v="3"/>
    <x v="105"/>
    <s v="P000000432"/>
    <m/>
    <s v="O000000009"/>
    <x v="1"/>
    <x v="0"/>
    <x v="0"/>
    <x v="3"/>
    <m/>
    <m/>
    <s v="Edward Arevalo"/>
  </r>
  <r>
    <n v="3218"/>
    <x v="3"/>
    <x v="105"/>
    <s v="P000000692"/>
    <m/>
    <s v="O000000009"/>
    <x v="1"/>
    <x v="0"/>
    <x v="0"/>
    <x v="3"/>
    <m/>
    <m/>
    <s v="Edward Arevalo"/>
  </r>
  <r>
    <n v="3219"/>
    <x v="3"/>
    <x v="105"/>
    <s v="P000000693"/>
    <m/>
    <s v="O000000009"/>
    <x v="1"/>
    <x v="0"/>
    <x v="0"/>
    <x v="3"/>
    <m/>
    <m/>
    <s v="Edward Arevalo"/>
  </r>
  <r>
    <n v="3220"/>
    <x v="3"/>
    <x v="105"/>
    <s v="P000000694"/>
    <m/>
    <s v="O000000009"/>
    <x v="1"/>
    <x v="0"/>
    <x v="0"/>
    <x v="3"/>
    <m/>
    <m/>
    <s v="Edward Arevalo"/>
  </r>
  <r>
    <n v="3221"/>
    <x v="3"/>
    <x v="105"/>
    <s v="P000000433"/>
    <m/>
    <s v="O000000009"/>
    <x v="1"/>
    <x v="0"/>
    <x v="0"/>
    <x v="3"/>
    <m/>
    <m/>
    <s v="Edward Arevalo"/>
  </r>
  <r>
    <n v="3222"/>
    <x v="3"/>
    <x v="105"/>
    <s v="P000000434"/>
    <m/>
    <s v="O000000009"/>
    <x v="1"/>
    <x v="0"/>
    <x v="0"/>
    <x v="3"/>
    <m/>
    <m/>
    <s v="Edward Arevalo"/>
  </r>
  <r>
    <n v="3223"/>
    <x v="3"/>
    <x v="105"/>
    <s v="P000000703"/>
    <m/>
    <s v="O000000009"/>
    <x v="1"/>
    <x v="0"/>
    <x v="0"/>
    <x v="3"/>
    <m/>
    <m/>
    <s v="Edward Arevalo"/>
  </r>
  <r>
    <n v="3224"/>
    <x v="3"/>
    <x v="105"/>
    <s v="P000000704"/>
    <m/>
    <s v="O000000009"/>
    <x v="1"/>
    <x v="0"/>
    <x v="0"/>
    <x v="3"/>
    <m/>
    <m/>
    <s v="Edward Arevalo"/>
  </r>
  <r>
    <n v="3225"/>
    <x v="3"/>
    <x v="105"/>
    <s v="P000000440"/>
    <m/>
    <s v="O000000009"/>
    <x v="1"/>
    <x v="0"/>
    <x v="0"/>
    <x v="3"/>
    <m/>
    <m/>
    <s v="Edward Arevalo"/>
  </r>
  <r>
    <n v="3226"/>
    <x v="3"/>
    <x v="105"/>
    <s v="P000000441"/>
    <m/>
    <s v="O000000009"/>
    <x v="1"/>
    <x v="0"/>
    <x v="0"/>
    <x v="3"/>
    <m/>
    <m/>
    <s v="Edward Arevalo"/>
  </r>
  <r>
    <n v="3227"/>
    <x v="3"/>
    <x v="105"/>
    <s v="P000000442"/>
    <m/>
    <s v="O000000009"/>
    <x v="1"/>
    <x v="0"/>
    <x v="0"/>
    <x v="3"/>
    <m/>
    <m/>
    <s v="Edward Arevalo"/>
  </r>
  <r>
    <n v="3228"/>
    <x v="3"/>
    <x v="105"/>
    <s v="P000000563"/>
    <m/>
    <s v="O000000009"/>
    <x v="1"/>
    <x v="0"/>
    <x v="0"/>
    <x v="3"/>
    <m/>
    <m/>
    <s v="Edward Arevalo"/>
  </r>
  <r>
    <n v="3229"/>
    <x v="3"/>
    <x v="105"/>
    <s v="P000000564"/>
    <m/>
    <s v="O000000009"/>
    <x v="1"/>
    <x v="0"/>
    <x v="0"/>
    <x v="3"/>
    <m/>
    <m/>
    <s v="Edward Arevalo"/>
  </r>
  <r>
    <n v="3230"/>
    <x v="3"/>
    <x v="105"/>
    <s v="P000000740"/>
    <m/>
    <s v="O000000009"/>
    <x v="1"/>
    <x v="0"/>
    <x v="0"/>
    <x v="3"/>
    <m/>
    <m/>
    <s v="Edward Arevalo"/>
  </r>
  <r>
    <n v="3231"/>
    <x v="3"/>
    <x v="105"/>
    <s v="P000000741"/>
    <m/>
    <s v="O000000009"/>
    <x v="1"/>
    <x v="0"/>
    <x v="0"/>
    <x v="3"/>
    <m/>
    <m/>
    <s v="Edward Arevalo"/>
  </r>
  <r>
    <n v="3232"/>
    <x v="3"/>
    <x v="105"/>
    <s v="P000000444"/>
    <m/>
    <s v="O000000009"/>
    <x v="1"/>
    <x v="0"/>
    <x v="0"/>
    <x v="3"/>
    <m/>
    <m/>
    <s v="Edward Arevalo"/>
  </r>
  <r>
    <n v="3233"/>
    <x v="3"/>
    <x v="105"/>
    <s v="P000000452"/>
    <m/>
    <s v="O000000009"/>
    <x v="1"/>
    <x v="0"/>
    <x v="0"/>
    <x v="3"/>
    <m/>
    <m/>
    <s v="Edward Arevalo"/>
  </r>
  <r>
    <n v="3234"/>
    <x v="3"/>
    <x v="105"/>
    <s v="P000000449"/>
    <m/>
    <s v="O000000009"/>
    <x v="1"/>
    <x v="0"/>
    <x v="0"/>
    <x v="3"/>
    <m/>
    <m/>
    <s v="Edward Arevalo"/>
  </r>
  <r>
    <n v="3235"/>
    <x v="3"/>
    <x v="105"/>
    <s v="P000000704_IO EL-DS-J Japan Other (IO)"/>
    <m/>
    <s v="O000000009"/>
    <x v="1"/>
    <x v="0"/>
    <x v="1"/>
    <x v="3"/>
    <m/>
    <m/>
    <s v="Edward Arevalo"/>
  </r>
  <r>
    <n v="3236"/>
    <x v="3"/>
    <x v="106"/>
    <s v="G000000500"/>
    <s v="SM-RR Add.Bldg.Services"/>
    <s v="G000000498 "/>
    <x v="4"/>
    <x v="0"/>
    <x v="0"/>
    <x v="0"/>
    <s v="rename remaining"/>
    <m/>
    <s v="Francesco Ricioppo"/>
  </r>
  <r>
    <n v="3237"/>
    <x v="3"/>
    <x v="107"/>
    <s v="G000000362"/>
    <s v="SM-HM Marketing &amp; Dialog ALL"/>
    <m/>
    <x v="2"/>
    <x v="0"/>
    <x v="0"/>
    <x v="0"/>
    <s v="rename remaining"/>
    <m/>
    <s v="Francesco Ricioppo"/>
  </r>
  <r>
    <n v="3238"/>
    <x v="3"/>
    <x v="107"/>
    <s v="G000000364"/>
    <s v="SM-HM Topics "/>
    <m/>
    <x v="2"/>
    <x v="0"/>
    <x v="0"/>
    <x v="0"/>
    <s v="rename remaining"/>
    <m/>
    <s v="Francesco Ricioppo"/>
  </r>
  <r>
    <n v="3239"/>
    <x v="3"/>
    <x v="108"/>
    <s v="L000012995"/>
    <s v="Sustainability &amp;  Social Innovation"/>
    <m/>
    <x v="2"/>
    <x v="0"/>
    <x v="0"/>
    <x v="2"/>
    <m/>
    <m/>
    <s v="Jayson Martinez"/>
  </r>
  <r>
    <n v="3240"/>
    <x v="3"/>
    <x v="108"/>
    <s v="L000013002"/>
    <s v="Strategy &amp; Transformation Office"/>
    <m/>
    <x v="2"/>
    <x v="0"/>
    <x v="0"/>
    <x v="2"/>
    <m/>
    <m/>
    <s v="Jayson Martinez"/>
  </r>
  <r>
    <n v="3241"/>
    <x v="3"/>
    <x v="108"/>
    <s v="L000013118"/>
    <s v="Integrated Business Management"/>
    <m/>
    <x v="2"/>
    <x v="0"/>
    <x v="0"/>
    <x v="2"/>
    <m/>
    <m/>
    <s v="Jayson Martinez"/>
  </r>
  <r>
    <n v="3242"/>
    <x v="3"/>
    <x v="108"/>
    <s v="L000012316"/>
    <s v="LS-QP Governm&amp;PublicAffairs"/>
    <m/>
    <x v="2"/>
    <x v="0"/>
    <x v="0"/>
    <x v="2"/>
    <m/>
    <m/>
    <s v="Jayson Martinez"/>
  </r>
  <r>
    <n v="3243"/>
    <x v="3"/>
    <x v="108"/>
    <s v="L000012886"/>
    <s v="LS-QP Governm&amp;PublicAffairs"/>
    <m/>
    <x v="2"/>
    <x v="0"/>
    <x v="0"/>
    <x v="2"/>
    <m/>
    <m/>
    <s v="Jayson Martinez"/>
  </r>
  <r>
    <n v="3244"/>
    <x v="3"/>
    <x v="108"/>
    <s v="L000013277"/>
    <s v="AI Accelerator"/>
    <m/>
    <x v="2"/>
    <x v="0"/>
    <x v="0"/>
    <x v="2"/>
    <m/>
    <m/>
    <s v="Jayson Martinez"/>
  </r>
  <r>
    <n v="3245"/>
    <x v="3"/>
    <x v="108"/>
    <s v="L000013324"/>
    <s v="Digital Advanced Research Project (ARC)"/>
    <m/>
    <x v="2"/>
    <x v="0"/>
    <x v="0"/>
    <x v="2"/>
    <m/>
    <m/>
    <s v="Jayson Martinez"/>
  </r>
  <r>
    <n v="3246"/>
    <x v="3"/>
    <x v="108"/>
    <s v="L000013326"/>
    <s v="Technology Fund Projects"/>
    <m/>
    <x v="2"/>
    <x v="0"/>
    <x v="0"/>
    <x v="2"/>
    <m/>
    <m/>
    <s v="Jayson Martinez"/>
  </r>
  <r>
    <n v="3247"/>
    <x v="3"/>
    <x v="108"/>
    <s v="L000012321"/>
    <s v="LSS Strategy"/>
    <m/>
    <x v="2"/>
    <x v="0"/>
    <x v="0"/>
    <x v="2"/>
    <m/>
    <m/>
    <s v="Jayson Martinez"/>
  </r>
  <r>
    <n v="3248"/>
    <x v="3"/>
    <x v="108"/>
    <s v="L000013183"/>
    <s v="LSS Commercial Excellence"/>
    <m/>
    <x v="2"/>
    <x v="0"/>
    <x v="0"/>
    <x v="2"/>
    <m/>
    <m/>
    <s v="Jayson Martinez"/>
  </r>
  <r>
    <n v="3249"/>
    <x v="3"/>
    <x v="108"/>
    <s v="L000005719"/>
    <s v="BM - Comm NA - North Pharma"/>
    <m/>
    <x v="2"/>
    <x v="0"/>
    <x v="0"/>
    <x v="2"/>
    <m/>
    <m/>
    <s v="Jayson Martinez"/>
  </r>
  <r>
    <n v="3250"/>
    <x v="3"/>
    <x v="108"/>
    <s v="L000005722"/>
    <s v="BM - Comm NA - Souh Pharma"/>
    <m/>
    <x v="2"/>
    <x v="0"/>
    <x v="0"/>
    <x v="2"/>
    <m/>
    <m/>
    <s v="Jayson Martinez"/>
  </r>
  <r>
    <n v="3251"/>
    <x v="3"/>
    <x v="108"/>
    <s v="L000005724"/>
    <s v="BM - Comm NA - Commercial Application"/>
    <m/>
    <x v="2"/>
    <x v="0"/>
    <x v="0"/>
    <x v="2"/>
    <m/>
    <m/>
    <s v="Jayson Martinez"/>
  </r>
  <r>
    <n v="3252"/>
    <x v="3"/>
    <x v="108"/>
    <s v="L000005734"/>
    <s v="BM - Comm NA - Services &amp; Validation"/>
    <m/>
    <x v="2"/>
    <x v="0"/>
    <x v="0"/>
    <x v="2"/>
    <m/>
    <m/>
    <s v="Jayson Martinez"/>
  </r>
  <r>
    <n v="3253"/>
    <x v="3"/>
    <x v="108"/>
    <s v="L000005770"/>
    <s v="BM - Comm WEU - FSE &amp; Validation"/>
    <m/>
    <x v="2"/>
    <x v="0"/>
    <x v="0"/>
    <x v="2"/>
    <m/>
    <m/>
    <s v="Jayson Martinez"/>
  </r>
  <r>
    <n v="3254"/>
    <x v="3"/>
    <x v="108"/>
    <s v="L000005775"/>
    <s v="BM - Comm WEU - Commercial Application"/>
    <m/>
    <x v="2"/>
    <x v="0"/>
    <x v="0"/>
    <x v="2"/>
    <m/>
    <m/>
    <s v="Jayson Martinez"/>
  </r>
  <r>
    <n v="3255"/>
    <x v="3"/>
    <x v="108"/>
    <s v="L000005795"/>
    <s v="BM - Comm WEU - DSS &amp; MCS"/>
    <m/>
    <x v="2"/>
    <x v="0"/>
    <x v="0"/>
    <x v="2"/>
    <m/>
    <m/>
    <s v="Jayson Martinez"/>
  </r>
  <r>
    <n v="3256"/>
    <x v="3"/>
    <x v="108"/>
    <s v="L000006209"/>
    <s v="LW - Marketing Strategy &amp; PM"/>
    <m/>
    <x v="2"/>
    <x v="0"/>
    <x v="0"/>
    <x v="2"/>
    <m/>
    <m/>
    <s v="Jayson Martinez"/>
  </r>
  <r>
    <n v="3257"/>
    <x v="3"/>
    <x v="108"/>
    <s v="L000005256"/>
    <s v="Analytical Chemistry"/>
    <m/>
    <x v="2"/>
    <x v="0"/>
    <x v="0"/>
    <x v="2"/>
    <m/>
    <m/>
    <s v="Jayson Martinez"/>
  </r>
  <r>
    <n v="3258"/>
    <x v="3"/>
    <x v="108"/>
    <s v="L000007793"/>
    <s v="Analytical Essentials"/>
    <m/>
    <x v="2"/>
    <x v="0"/>
    <x v="0"/>
    <x v="2"/>
    <m/>
    <m/>
    <s v="Jayson Martinez"/>
  </r>
  <r>
    <n v="3259"/>
    <x v="3"/>
    <x v="108"/>
    <s v="L000008394"/>
    <s v="Channel &amp; Customer Segment Sales Japan"/>
    <m/>
    <x v="2"/>
    <x v="0"/>
    <x v="0"/>
    <x v="2"/>
    <m/>
    <m/>
    <s v="Jayson Martinez"/>
  </r>
  <r>
    <n v="3260"/>
    <x v="3"/>
    <x v="108"/>
    <s v="L000008698"/>
    <s v="CaSE Operations WE -G"/>
    <m/>
    <x v="2"/>
    <x v="0"/>
    <x v="0"/>
    <x v="2"/>
    <m/>
    <m/>
    <s v="Jayson Martinez"/>
  </r>
  <r>
    <n v="3261"/>
    <x v="3"/>
    <x v="108"/>
    <s v="L000008710"/>
    <s v="CaSE Operations WE -G"/>
    <m/>
    <x v="2"/>
    <x v="0"/>
    <x v="0"/>
    <x v="2"/>
    <m/>
    <m/>
    <s v="Jayson Martinez"/>
  </r>
  <r>
    <n v="3262"/>
    <x v="3"/>
    <x v="108"/>
    <s v="L000008712"/>
    <s v="Commercial Execution WE -G"/>
    <m/>
    <x v="2"/>
    <x v="0"/>
    <x v="0"/>
    <x v="2"/>
    <m/>
    <m/>
    <s v="Jayson Martinez"/>
  </r>
  <r>
    <n v="3263"/>
    <x v="3"/>
    <x v="108"/>
    <s v="L000008729"/>
    <s v="Commercial Execution WE -G"/>
    <m/>
    <x v="2"/>
    <x v="0"/>
    <x v="0"/>
    <x v="2"/>
    <m/>
    <m/>
    <s v="Jayson Martinez"/>
  </r>
  <r>
    <n v="3264"/>
    <x v="3"/>
    <x v="108"/>
    <s v="L000009539"/>
    <s v="CDMO - Schaffhausen"/>
    <m/>
    <x v="2"/>
    <x v="0"/>
    <x v="0"/>
    <x v="2"/>
    <m/>
    <m/>
    <s v="Jayson Martinez"/>
  </r>
  <r>
    <n v="3265"/>
    <x v="3"/>
    <x v="108"/>
    <s v="L000013153"/>
    <s v="CDMO - Indianapolis"/>
    <m/>
    <x v="2"/>
    <x v="0"/>
    <x v="0"/>
    <x v="2"/>
    <m/>
    <m/>
    <s v="Jayson Martinez"/>
  </r>
  <r>
    <n v="3266"/>
    <x v="3"/>
    <x v="108"/>
    <s v="L000013155"/>
    <s v="CDMO - Cherokee CM"/>
    <m/>
    <x v="2"/>
    <x v="0"/>
    <x v="0"/>
    <x v="2"/>
    <m/>
    <m/>
    <s v="Jayson Martinez"/>
  </r>
  <r>
    <n v="3267"/>
    <x v="3"/>
    <x v="108"/>
    <s v="L000013159"/>
    <s v="CDMO - Madison &amp; Verona"/>
    <m/>
    <x v="2"/>
    <x v="0"/>
    <x v="0"/>
    <x v="2"/>
    <m/>
    <m/>
    <s v="Jayson Martinez"/>
  </r>
  <r>
    <n v="3268"/>
    <x v="3"/>
    <x v="108"/>
    <s v="L000013331"/>
    <s v="CDMO - Supply Chain"/>
    <m/>
    <x v="2"/>
    <x v="0"/>
    <x v="0"/>
    <x v="2"/>
    <m/>
    <m/>
    <s v="Jayson Martinez"/>
  </r>
  <r>
    <n v="3269"/>
    <x v="3"/>
    <x v="108"/>
    <s v="L000013595"/>
    <s v="CDMO - mRNA Ops Darmstadt + Hamburg"/>
    <m/>
    <x v="2"/>
    <x v="0"/>
    <x v="0"/>
    <x v="2"/>
    <m/>
    <m/>
    <s v="Jayson Martinez"/>
  </r>
  <r>
    <n v="3270"/>
    <x v="3"/>
    <x v="108"/>
    <s v="L000013154"/>
    <s v="Mirus Bio"/>
    <m/>
    <x v="2"/>
    <x v="0"/>
    <x v="0"/>
    <x v="2"/>
    <m/>
    <m/>
    <s v="Jayson Martinez"/>
  </r>
  <r>
    <n v="3271"/>
    <x v="3"/>
    <x v="108"/>
    <s v="L000013683"/>
    <s v="Deleted Other LS Mngt"/>
    <m/>
    <x v="2"/>
    <x v="0"/>
    <x v="0"/>
    <x v="2"/>
    <m/>
    <m/>
    <s v="Jayson Martinez"/>
  </r>
  <r>
    <n v="3272"/>
    <x v="3"/>
    <x v="108"/>
    <s v="L000013687"/>
    <s v="Deleted EFBP"/>
    <m/>
    <x v="2"/>
    <x v="0"/>
    <x v="0"/>
    <x v="2"/>
    <m/>
    <m/>
    <s v="Jayson Martinez"/>
  </r>
  <r>
    <n v="3273"/>
    <x v="3"/>
    <x v="108"/>
    <s v="L000010052"/>
    <s v="External Manufacturing Quality"/>
    <s v="L000013770"/>
    <x v="4"/>
    <x v="0"/>
    <x v="0"/>
    <x v="2"/>
    <m/>
    <m/>
    <s v="Jayson Martinez"/>
  </r>
  <r>
    <n v="3274"/>
    <x v="3"/>
    <x v="108"/>
    <s v="L000013350"/>
    <s v="APAC CDMO"/>
    <s v="L000013787"/>
    <x v="4"/>
    <x v="0"/>
    <x v="0"/>
    <x v="2"/>
    <m/>
    <m/>
    <s v="Jayson Martinez"/>
  </r>
  <r>
    <n v="3275"/>
    <x v="3"/>
    <x v="108"/>
    <s v="L000012394"/>
    <s v="PS SG/SEA/TW -G"/>
    <s v="L000011664"/>
    <x v="4"/>
    <x v="0"/>
    <x v="0"/>
    <x v="2"/>
    <m/>
    <m/>
    <s v="Jayson Martinez"/>
  </r>
  <r>
    <n v="3276"/>
    <x v="3"/>
    <x v="108"/>
    <s v="L000012395"/>
    <s v="PS INDIA - G"/>
    <s v="L000011664"/>
    <x v="4"/>
    <x v="0"/>
    <x v="0"/>
    <x v="2"/>
    <m/>
    <m/>
    <s v="Jayson Martinez"/>
  </r>
  <r>
    <n v="3277"/>
    <x v="3"/>
    <x v="108"/>
    <s v="L000009369"/>
    <m/>
    <s v="L000009386"/>
    <x v="1"/>
    <x v="0"/>
    <x v="0"/>
    <x v="2"/>
    <m/>
    <m/>
    <s v="Jayson Martinez"/>
  </r>
  <r>
    <n v="3278"/>
    <x v="3"/>
    <x v="108"/>
    <s v="L000009390"/>
    <m/>
    <s v="L000009386"/>
    <x v="1"/>
    <x v="0"/>
    <x v="0"/>
    <x v="2"/>
    <m/>
    <m/>
    <s v="Jayson Martinez"/>
  </r>
  <r>
    <n v="3279"/>
    <x v="3"/>
    <x v="108"/>
    <s v="L000009448"/>
    <m/>
    <s v="L000013772"/>
    <x v="1"/>
    <x v="0"/>
    <x v="0"/>
    <x v="2"/>
    <m/>
    <m/>
    <s v="Jayson Martinez"/>
  </r>
  <r>
    <n v="3280"/>
    <x v="3"/>
    <x v="108"/>
    <s v="L000009492"/>
    <m/>
    <s v="L000013772"/>
    <x v="1"/>
    <x v="0"/>
    <x v="0"/>
    <x v="2"/>
    <m/>
    <m/>
    <s v="Jayson Martinez"/>
  </r>
  <r>
    <n v="3281"/>
    <x v="3"/>
    <x v="108"/>
    <s v="L000009582"/>
    <m/>
    <s v="L000013772"/>
    <x v="1"/>
    <x v="0"/>
    <x v="0"/>
    <x v="2"/>
    <m/>
    <m/>
    <s v="Jayson Martinez"/>
  </r>
  <r>
    <n v="3282"/>
    <x v="3"/>
    <x v="108"/>
    <s v="L000009591"/>
    <m/>
    <s v="L000013772"/>
    <x v="1"/>
    <x v="0"/>
    <x v="0"/>
    <x v="2"/>
    <m/>
    <m/>
    <s v="Jayson Martinez"/>
  </r>
  <r>
    <n v="3283"/>
    <x v="3"/>
    <x v="108"/>
    <s v="L000009593"/>
    <m/>
    <s v="L000013772"/>
    <x v="1"/>
    <x v="0"/>
    <x v="0"/>
    <x v="2"/>
    <m/>
    <m/>
    <s v="Jayson Martinez"/>
  </r>
  <r>
    <n v="3284"/>
    <x v="3"/>
    <x v="108"/>
    <s v="L000012887"/>
    <m/>
    <s v="L000013772"/>
    <x v="1"/>
    <x v="0"/>
    <x v="0"/>
    <x v="2"/>
    <m/>
    <m/>
    <s v="Jayson Martinez"/>
  </r>
  <r>
    <n v="3285"/>
    <x v="3"/>
    <x v="108"/>
    <s v="L000012888"/>
    <m/>
    <s v="L000013772"/>
    <x v="1"/>
    <x v="0"/>
    <x v="0"/>
    <x v="2"/>
    <m/>
    <m/>
    <s v="Jayson Martinez"/>
  </r>
  <r>
    <n v="3286"/>
    <x v="3"/>
    <x v="108"/>
    <s v="L000009604"/>
    <m/>
    <s v="L000013772"/>
    <x v="1"/>
    <x v="0"/>
    <x v="0"/>
    <x v="2"/>
    <m/>
    <m/>
    <s v="Jayson Martinez"/>
  </r>
  <r>
    <n v="3287"/>
    <x v="3"/>
    <x v="108"/>
    <s v="L000009610"/>
    <m/>
    <s v="L000013772"/>
    <x v="1"/>
    <x v="0"/>
    <x v="0"/>
    <x v="2"/>
    <m/>
    <m/>
    <s v="Jayson Martinez"/>
  </r>
  <r>
    <n v="3288"/>
    <x v="3"/>
    <x v="108"/>
    <s v="L000010608"/>
    <m/>
    <s v="L000013772"/>
    <x v="1"/>
    <x v="0"/>
    <x v="0"/>
    <x v="2"/>
    <m/>
    <m/>
    <s v="Jayson Martinez"/>
  </r>
  <r>
    <n v="3289"/>
    <x v="3"/>
    <x v="108"/>
    <s v="L000012889"/>
    <m/>
    <s v="L000013772"/>
    <x v="1"/>
    <x v="0"/>
    <x v="0"/>
    <x v="2"/>
    <m/>
    <m/>
    <s v="Jayson Martinez"/>
  </r>
  <r>
    <n v="3290"/>
    <x v="3"/>
    <x v="108"/>
    <s v="L000006432"/>
    <m/>
    <s v="L000006420"/>
    <x v="1"/>
    <x v="0"/>
    <x v="0"/>
    <x v="2"/>
    <m/>
    <m/>
    <s v="Jayson Martinez"/>
  </r>
  <r>
    <n v="3291"/>
    <x v="3"/>
    <x v="108"/>
    <s v="L000013325"/>
    <m/>
    <s v="L000013326"/>
    <x v="1"/>
    <x v="0"/>
    <x v="0"/>
    <x v="2"/>
    <m/>
    <m/>
    <s v="Jayson Martinez"/>
  </r>
  <r>
    <n v="3292"/>
    <x v="3"/>
    <x v="108"/>
    <s v="L000013464"/>
    <m/>
    <s v="L000013326"/>
    <x v="1"/>
    <x v="0"/>
    <x v="0"/>
    <x v="2"/>
    <m/>
    <m/>
    <s v="Jayson Martinez"/>
  </r>
  <r>
    <n v="3293"/>
    <x v="3"/>
    <x v="108"/>
    <s v="L000013465"/>
    <m/>
    <s v="L000013326"/>
    <x v="1"/>
    <x v="0"/>
    <x v="0"/>
    <x v="2"/>
    <m/>
    <m/>
    <s v="Jayson Martinez"/>
  </r>
  <r>
    <n v="3294"/>
    <x v="3"/>
    <x v="108"/>
    <s v="L000013624"/>
    <m/>
    <s v="L000013326"/>
    <x v="1"/>
    <x v="0"/>
    <x v="0"/>
    <x v="2"/>
    <m/>
    <m/>
    <s v="Jayson Martinez"/>
  </r>
  <r>
    <n v="3295"/>
    <x v="3"/>
    <x v="108"/>
    <s v="L000013625"/>
    <m/>
    <s v="L000013326"/>
    <x v="1"/>
    <x v="0"/>
    <x v="0"/>
    <x v="2"/>
    <m/>
    <m/>
    <s v="Jayson Martinez"/>
  </r>
  <r>
    <n v="3296"/>
    <x v="3"/>
    <x v="108"/>
    <s v="L000013389"/>
    <m/>
    <s v="L000013775"/>
    <x v="1"/>
    <x v="0"/>
    <x v="0"/>
    <x v="2"/>
    <m/>
    <m/>
    <s v="Jayson Martinez"/>
  </r>
  <r>
    <n v="3297"/>
    <x v="3"/>
    <x v="108"/>
    <s v="IT06050000"/>
    <m/>
    <s v="L000013775"/>
    <x v="1"/>
    <x v="0"/>
    <x v="0"/>
    <x v="2"/>
    <m/>
    <m/>
    <s v="Jayson Martinez"/>
  </r>
  <r>
    <n v="3298"/>
    <x v="3"/>
    <x v="108"/>
    <s v="L000013390"/>
    <m/>
    <s v="L000013775"/>
    <x v="1"/>
    <x v="0"/>
    <x v="0"/>
    <x v="2"/>
    <m/>
    <m/>
    <s v="Jayson Martinez"/>
  </r>
  <r>
    <n v="3299"/>
    <x v="3"/>
    <x v="108"/>
    <s v="IT06050300"/>
    <m/>
    <s v="L000013775"/>
    <x v="1"/>
    <x v="0"/>
    <x v="0"/>
    <x v="2"/>
    <m/>
    <m/>
    <s v="Jayson Martinez"/>
  </r>
  <r>
    <n v="3300"/>
    <x v="3"/>
    <x v="108"/>
    <s v="L000013391"/>
    <m/>
    <s v="L000013775"/>
    <x v="1"/>
    <x v="0"/>
    <x v="0"/>
    <x v="2"/>
    <m/>
    <m/>
    <s v="Jayson Martinez"/>
  </r>
  <r>
    <n v="3301"/>
    <x v="3"/>
    <x v="108"/>
    <s v="IT06050400"/>
    <m/>
    <s v="L000013775"/>
    <x v="1"/>
    <x v="0"/>
    <x v="0"/>
    <x v="2"/>
    <m/>
    <m/>
    <s v="Jayson Martinez"/>
  </r>
  <r>
    <n v="3302"/>
    <x v="3"/>
    <x v="108"/>
    <s v="L000013392"/>
    <m/>
    <s v="L000013775"/>
    <x v="1"/>
    <x v="0"/>
    <x v="0"/>
    <x v="2"/>
    <m/>
    <m/>
    <s v="Jayson Martinez"/>
  </r>
  <r>
    <n v="3303"/>
    <x v="3"/>
    <x v="108"/>
    <s v="IT06050500"/>
    <m/>
    <s v="L000013775"/>
    <x v="1"/>
    <x v="0"/>
    <x v="0"/>
    <x v="2"/>
    <m/>
    <m/>
    <s v="Jayson Martinez"/>
  </r>
  <r>
    <n v="3304"/>
    <x v="3"/>
    <x v="108"/>
    <s v="L000013393"/>
    <m/>
    <s v="L000013775"/>
    <x v="1"/>
    <x v="0"/>
    <x v="0"/>
    <x v="2"/>
    <m/>
    <m/>
    <s v="Jayson Martinez"/>
  </r>
  <r>
    <n v="3305"/>
    <x v="3"/>
    <x v="108"/>
    <s v="IT06050700"/>
    <m/>
    <s v="L000013775"/>
    <x v="1"/>
    <x v="0"/>
    <x v="0"/>
    <x v="2"/>
    <m/>
    <m/>
    <s v="Jayson Martinez"/>
  </r>
  <r>
    <n v="3306"/>
    <x v="3"/>
    <x v="108"/>
    <s v="L000013394"/>
    <m/>
    <s v="L000013775"/>
    <x v="1"/>
    <x v="0"/>
    <x v="0"/>
    <x v="2"/>
    <m/>
    <m/>
    <s v="Jayson Martinez"/>
  </r>
  <r>
    <n v="3307"/>
    <x v="3"/>
    <x v="108"/>
    <s v="IT06050900"/>
    <m/>
    <s v="L000013775"/>
    <x v="1"/>
    <x v="0"/>
    <x v="0"/>
    <x v="2"/>
    <m/>
    <m/>
    <s v="Jayson Martinez"/>
  </r>
  <r>
    <n v="3308"/>
    <x v="3"/>
    <x v="108"/>
    <s v="L000013395"/>
    <m/>
    <s v="L000013775"/>
    <x v="1"/>
    <x v="0"/>
    <x v="0"/>
    <x v="2"/>
    <m/>
    <m/>
    <s v="Jayson Martinez"/>
  </r>
  <r>
    <n v="3309"/>
    <x v="3"/>
    <x v="108"/>
    <s v="IT06050200"/>
    <m/>
    <s v="L000013775"/>
    <x v="1"/>
    <x v="0"/>
    <x v="0"/>
    <x v="2"/>
    <m/>
    <m/>
    <s v="Jayson Martinez"/>
  </r>
  <r>
    <n v="3310"/>
    <x v="3"/>
    <x v="108"/>
    <s v="L000013396"/>
    <m/>
    <s v="L000013775"/>
    <x v="1"/>
    <x v="0"/>
    <x v="0"/>
    <x v="2"/>
    <m/>
    <m/>
    <s v="Jayson Martinez"/>
  </r>
  <r>
    <n v="3311"/>
    <x v="3"/>
    <x v="108"/>
    <s v="IT06050100"/>
    <m/>
    <s v="L000013775"/>
    <x v="1"/>
    <x v="0"/>
    <x v="0"/>
    <x v="2"/>
    <m/>
    <m/>
    <s v="Jayson Martinez"/>
  </r>
  <r>
    <n v="3312"/>
    <x v="3"/>
    <x v="108"/>
    <s v="L000013397"/>
    <m/>
    <s v="L000013775"/>
    <x v="1"/>
    <x v="0"/>
    <x v="0"/>
    <x v="2"/>
    <m/>
    <m/>
    <s v="Jayson Martinez"/>
  </r>
  <r>
    <n v="3313"/>
    <x v="3"/>
    <x v="108"/>
    <s v="IT06050600"/>
    <m/>
    <s v="L000013775"/>
    <x v="1"/>
    <x v="0"/>
    <x v="0"/>
    <x v="2"/>
    <m/>
    <m/>
    <s v="Jayson Martinez"/>
  </r>
  <r>
    <n v="3314"/>
    <x v="3"/>
    <x v="108"/>
    <s v="L000013599"/>
    <m/>
    <s v="L000013775"/>
    <x v="1"/>
    <x v="0"/>
    <x v="0"/>
    <x v="2"/>
    <m/>
    <m/>
    <s v="Jayson Martinez"/>
  </r>
  <r>
    <n v="3315"/>
    <x v="3"/>
    <x v="108"/>
    <s v="IT06051000"/>
    <m/>
    <s v="L000013775"/>
    <x v="1"/>
    <x v="0"/>
    <x v="0"/>
    <x v="2"/>
    <m/>
    <m/>
    <s v="Jayson Martinez"/>
  </r>
  <r>
    <n v="3316"/>
    <x v="3"/>
    <x v="108"/>
    <s v="L000011146"/>
    <m/>
    <s v="L000013386"/>
    <x v="1"/>
    <x v="0"/>
    <x v="0"/>
    <x v="2"/>
    <m/>
    <m/>
    <s v="Jayson Martinez"/>
  </r>
  <r>
    <n v="3317"/>
    <x v="3"/>
    <x v="108"/>
    <s v="L000013365"/>
    <m/>
    <s v="L000013182"/>
    <x v="1"/>
    <x v="0"/>
    <x v="0"/>
    <x v="2"/>
    <m/>
    <m/>
    <s v="Jayson Martinez"/>
  </r>
  <r>
    <n v="3318"/>
    <x v="3"/>
    <x v="108"/>
    <s v="L000013718"/>
    <m/>
    <s v="L000013710"/>
    <x v="1"/>
    <x v="0"/>
    <x v="0"/>
    <x v="2"/>
    <m/>
    <m/>
    <s v="Jayson Martinez"/>
  </r>
  <r>
    <n v="3319"/>
    <x v="3"/>
    <x v="108"/>
    <s v="L000006094"/>
    <m/>
    <s v="L000013781"/>
    <x v="1"/>
    <x v="0"/>
    <x v="0"/>
    <x v="2"/>
    <m/>
    <m/>
    <s v="Jayson Martinez"/>
  </r>
  <r>
    <n v="3320"/>
    <x v="3"/>
    <x v="108"/>
    <s v="L000006095"/>
    <m/>
    <s v="L000013781"/>
    <x v="1"/>
    <x v="0"/>
    <x v="0"/>
    <x v="2"/>
    <m/>
    <m/>
    <s v="Jayson Martinez"/>
  </r>
  <r>
    <n v="3321"/>
    <x v="3"/>
    <x v="108"/>
    <s v="L000006096"/>
    <m/>
    <s v="L000013781"/>
    <x v="1"/>
    <x v="0"/>
    <x v="0"/>
    <x v="2"/>
    <m/>
    <m/>
    <s v="Jayson Martinez"/>
  </r>
  <r>
    <n v="3322"/>
    <x v="3"/>
    <x v="108"/>
    <s v="L000006097"/>
    <m/>
    <s v="L000013781"/>
    <x v="1"/>
    <x v="0"/>
    <x v="0"/>
    <x v="2"/>
    <m/>
    <m/>
    <s v="Jayson Martinez"/>
  </r>
  <r>
    <n v="3323"/>
    <x v="3"/>
    <x v="108"/>
    <s v="L000006098"/>
    <m/>
    <s v="L000013781"/>
    <x v="1"/>
    <x v="0"/>
    <x v="0"/>
    <x v="2"/>
    <m/>
    <m/>
    <s v="Jayson Martinez"/>
  </r>
  <r>
    <n v="3324"/>
    <x v="3"/>
    <x v="108"/>
    <s v="L000006099"/>
    <m/>
    <s v="L000013781"/>
    <x v="1"/>
    <x v="0"/>
    <x v="0"/>
    <x v="2"/>
    <m/>
    <m/>
    <s v="Jayson Martinez"/>
  </r>
  <r>
    <n v="3325"/>
    <x v="3"/>
    <x v="108"/>
    <s v="L000006100"/>
    <m/>
    <s v="L000013781"/>
    <x v="1"/>
    <x v="0"/>
    <x v="0"/>
    <x v="2"/>
    <m/>
    <m/>
    <s v="Jayson Martinez"/>
  </r>
  <r>
    <n v="3326"/>
    <x v="3"/>
    <x v="108"/>
    <s v="L000006086"/>
    <m/>
    <s v="L000013782"/>
    <x v="1"/>
    <x v="0"/>
    <x v="0"/>
    <x v="2"/>
    <m/>
    <m/>
    <s v="Jayson Martinez"/>
  </r>
  <r>
    <n v="3327"/>
    <x v="3"/>
    <x v="108"/>
    <s v="L000008682"/>
    <m/>
    <s v="L000008712"/>
    <x v="1"/>
    <x v="0"/>
    <x v="0"/>
    <x v="2"/>
    <m/>
    <m/>
    <s v="Jayson Martinez"/>
  </r>
  <r>
    <n v="3328"/>
    <x v="3"/>
    <x v="108"/>
    <s v="L000013664"/>
    <m/>
    <s v="L000008712"/>
    <x v="1"/>
    <x v="0"/>
    <x v="0"/>
    <x v="2"/>
    <m/>
    <m/>
    <s v="Jayson Martinez"/>
  </r>
  <r>
    <n v="3329"/>
    <x v="3"/>
    <x v="108"/>
    <s v="L000006299"/>
    <m/>
    <s v="L000012323"/>
    <x v="1"/>
    <x v="0"/>
    <x v="0"/>
    <x v="2"/>
    <m/>
    <m/>
    <s v="Jayson Martinez"/>
  </r>
  <r>
    <n v="3330"/>
    <x v="3"/>
    <x v="108"/>
    <s v="L000006300"/>
    <m/>
    <s v="L000012324"/>
    <x v="1"/>
    <x v="0"/>
    <x v="0"/>
    <x v="2"/>
    <m/>
    <m/>
    <s v="Jayson Martinez"/>
  </r>
  <r>
    <n v="3331"/>
    <x v="3"/>
    <x v="108"/>
    <s v="L000006303"/>
    <m/>
    <s v="L000012323"/>
    <x v="1"/>
    <x v="0"/>
    <x v="0"/>
    <x v="2"/>
    <m/>
    <m/>
    <s v="Jayson Martinez"/>
  </r>
  <r>
    <n v="3332"/>
    <x v="3"/>
    <x v="108"/>
    <s v="L000006306"/>
    <m/>
    <s v="L000012323"/>
    <x v="1"/>
    <x v="0"/>
    <x v="0"/>
    <x v="2"/>
    <m/>
    <m/>
    <s v="Jayson Martinez"/>
  </r>
  <r>
    <n v="3333"/>
    <x v="3"/>
    <x v="108"/>
    <s v="L000006349"/>
    <m/>
    <s v="L000012323"/>
    <x v="1"/>
    <x v="0"/>
    <x v="0"/>
    <x v="2"/>
    <m/>
    <m/>
    <s v="Jayson Martinez"/>
  </r>
  <r>
    <n v="3334"/>
    <x v="3"/>
    <x v="108"/>
    <s v="L000006308"/>
    <m/>
    <s v="L000012394"/>
    <x v="1"/>
    <x v="0"/>
    <x v="0"/>
    <x v="2"/>
    <m/>
    <m/>
    <s v="Jayson Martinez"/>
  </r>
  <r>
    <n v="3335"/>
    <x v="3"/>
    <x v="108"/>
    <s v="L000006309"/>
    <m/>
    <s v="L000012394"/>
    <x v="1"/>
    <x v="0"/>
    <x v="0"/>
    <x v="2"/>
    <m/>
    <m/>
    <s v="Jayson Martinez"/>
  </r>
  <r>
    <n v="3336"/>
    <x v="3"/>
    <x v="108"/>
    <s v="L000006310"/>
    <m/>
    <s v="L000012394"/>
    <x v="1"/>
    <x v="0"/>
    <x v="0"/>
    <x v="2"/>
    <m/>
    <m/>
    <s v="Jayson Martinez"/>
  </r>
  <r>
    <n v="3337"/>
    <x v="3"/>
    <x v="108"/>
    <s v="L000006313"/>
    <m/>
    <s v="L000012394"/>
    <x v="1"/>
    <x v="0"/>
    <x v="0"/>
    <x v="2"/>
    <m/>
    <m/>
    <s v="Jayson Martinez"/>
  </r>
  <r>
    <n v="3338"/>
    <x v="3"/>
    <x v="108"/>
    <s v="L000006314"/>
    <m/>
    <s v="L000012394"/>
    <x v="1"/>
    <x v="0"/>
    <x v="0"/>
    <x v="2"/>
    <m/>
    <m/>
    <s v="Jayson Martinez"/>
  </r>
  <r>
    <n v="3339"/>
    <x v="3"/>
    <x v="108"/>
    <s v="L000006316"/>
    <m/>
    <s v="L000012394"/>
    <x v="1"/>
    <x v="0"/>
    <x v="0"/>
    <x v="2"/>
    <m/>
    <m/>
    <s v="Jayson Martinez"/>
  </r>
  <r>
    <n v="3340"/>
    <x v="3"/>
    <x v="108"/>
    <s v="L000006317"/>
    <m/>
    <s v="L000012394"/>
    <x v="1"/>
    <x v="0"/>
    <x v="0"/>
    <x v="2"/>
    <m/>
    <m/>
    <s v="Jayson Martinez"/>
  </r>
  <r>
    <n v="3341"/>
    <x v="3"/>
    <x v="108"/>
    <s v="L000006336"/>
    <m/>
    <s v="L000012395"/>
    <x v="1"/>
    <x v="0"/>
    <x v="0"/>
    <x v="2"/>
    <m/>
    <m/>
    <s v="Jayson Martinez"/>
  </r>
  <r>
    <n v="3342"/>
    <x v="3"/>
    <x v="108"/>
    <s v="L000006337"/>
    <m/>
    <s v="L000012395"/>
    <x v="1"/>
    <x v="0"/>
    <x v="0"/>
    <x v="2"/>
    <m/>
    <m/>
    <s v="Jayson Martinez"/>
  </r>
  <r>
    <n v="3343"/>
    <x v="3"/>
    <x v="108"/>
    <s v="L000011460"/>
    <m/>
    <s v="L000012394"/>
    <x v="1"/>
    <x v="0"/>
    <x v="0"/>
    <x v="2"/>
    <m/>
    <m/>
    <s v="Jayson Martinez"/>
  </r>
  <r>
    <n v="3344"/>
    <x v="3"/>
    <x v="108"/>
    <s v="L000012533"/>
    <m/>
    <s v="L000012394"/>
    <x v="1"/>
    <x v="0"/>
    <x v="0"/>
    <x v="2"/>
    <m/>
    <m/>
    <s v="Jayson Martinez"/>
  </r>
  <r>
    <n v="3345"/>
    <x v="3"/>
    <x v="108"/>
    <s v="L000012631"/>
    <m/>
    <s v="L000012394"/>
    <x v="1"/>
    <x v="0"/>
    <x v="0"/>
    <x v="2"/>
    <m/>
    <m/>
    <s v="Jayson Martinez"/>
  </r>
  <r>
    <n v="3346"/>
    <x v="3"/>
    <x v="108"/>
    <s v="L000012759"/>
    <m/>
    <s v="L000012395"/>
    <x v="1"/>
    <x v="0"/>
    <x v="0"/>
    <x v="2"/>
    <m/>
    <m/>
    <s v="Jayson Martinez"/>
  </r>
  <r>
    <n v="3347"/>
    <x v="3"/>
    <x v="108"/>
    <s v="L000011696"/>
    <m/>
    <s v="L000011719"/>
    <x v="1"/>
    <x v="0"/>
    <x v="0"/>
    <x v="2"/>
    <m/>
    <m/>
    <s v="Jayson Martinez"/>
  </r>
  <r>
    <n v="3348"/>
    <x v="3"/>
    <x v="108"/>
    <s v="L000013292"/>
    <m/>
    <s v="L000013519"/>
    <x v="1"/>
    <x v="0"/>
    <x v="0"/>
    <x v="2"/>
    <m/>
    <m/>
    <s v="Jayson Martinez"/>
  </r>
  <r>
    <n v="3349"/>
    <x v="3"/>
    <x v="108"/>
    <s v="L000006432"/>
    <m/>
    <s v="L000006420"/>
    <x v="1"/>
    <x v="0"/>
    <x v="0"/>
    <x v="2"/>
    <m/>
    <m/>
    <s v="Jayson Martinez"/>
  </r>
  <r>
    <n v="3350"/>
    <x v="3"/>
    <x v="108"/>
    <s v="L000007553"/>
    <m/>
    <s v="L000013558"/>
    <x v="1"/>
    <x v="0"/>
    <x v="0"/>
    <x v="2"/>
    <m/>
    <m/>
    <s v="Jayson Martinez"/>
  </r>
  <r>
    <n v="3351"/>
    <x v="3"/>
    <x v="108"/>
    <s v="L000007575"/>
    <m/>
    <s v="L000013558"/>
    <x v="1"/>
    <x v="0"/>
    <x v="0"/>
    <x v="2"/>
    <m/>
    <m/>
    <s v="Jayson Martinez"/>
  </r>
  <r>
    <n v="3352"/>
    <x v="3"/>
    <x v="108"/>
    <s v="L000012763"/>
    <m/>
    <s v="L000013558"/>
    <x v="1"/>
    <x v="0"/>
    <x v="0"/>
    <x v="2"/>
    <m/>
    <m/>
    <s v="Jayson Martinez"/>
  </r>
  <r>
    <n v="3353"/>
    <x v="3"/>
    <x v="108"/>
    <s v="L000011464"/>
    <m/>
    <s v="L000012394"/>
    <x v="1"/>
    <x v="0"/>
    <x v="0"/>
    <x v="2"/>
    <m/>
    <m/>
    <s v="Jayson Martinez"/>
  </r>
  <r>
    <n v="3354"/>
    <x v="3"/>
    <x v="108"/>
    <s v="L000013475"/>
    <m/>
    <s v="L000009623"/>
    <x v="1"/>
    <x v="0"/>
    <x v="0"/>
    <x v="2"/>
    <m/>
    <m/>
    <s v="Jayson Martinez"/>
  </r>
  <r>
    <n v="3355"/>
    <x v="3"/>
    <x v="108"/>
    <s v="L000012195"/>
    <m/>
    <s v="L000013681"/>
    <x v="1"/>
    <x v="0"/>
    <x v="0"/>
    <x v="2"/>
    <m/>
    <m/>
    <s v="Jayson Martinez"/>
  </r>
  <r>
    <n v="3356"/>
    <x v="3"/>
    <x v="108"/>
    <s v="L000012196"/>
    <m/>
    <s v="L000013681"/>
    <x v="1"/>
    <x v="0"/>
    <x v="0"/>
    <x v="2"/>
    <m/>
    <m/>
    <s v="Jayson Martinez"/>
  </r>
  <r>
    <n v="3357"/>
    <x v="3"/>
    <x v="108"/>
    <s v="L000012197"/>
    <m/>
    <s v="L000013681"/>
    <x v="1"/>
    <x v="0"/>
    <x v="0"/>
    <x v="2"/>
    <m/>
    <m/>
    <s v="Jayson Martinez"/>
  </r>
  <r>
    <n v="3358"/>
    <x v="3"/>
    <x v="108"/>
    <s v="L000012198"/>
    <m/>
    <s v="L000013681"/>
    <x v="1"/>
    <x v="0"/>
    <x v="0"/>
    <x v="2"/>
    <m/>
    <m/>
    <s v="Jayson Martinez"/>
  </r>
  <r>
    <n v="3359"/>
    <x v="3"/>
    <x v="108"/>
    <s v="L000012199"/>
    <m/>
    <s v="L000013681"/>
    <x v="1"/>
    <x v="0"/>
    <x v="0"/>
    <x v="2"/>
    <m/>
    <m/>
    <s v="Jayson Martinez"/>
  </r>
  <r>
    <n v="3360"/>
    <x v="3"/>
    <x v="108"/>
    <s v="L000012200"/>
    <m/>
    <s v="L000013681"/>
    <x v="1"/>
    <x v="0"/>
    <x v="0"/>
    <x v="2"/>
    <m/>
    <m/>
    <s v="Jayson Martinez"/>
  </r>
  <r>
    <n v="3361"/>
    <x v="3"/>
    <x v="108"/>
    <s v="L000012201"/>
    <m/>
    <s v="L000013681"/>
    <x v="1"/>
    <x v="0"/>
    <x v="0"/>
    <x v="2"/>
    <m/>
    <m/>
    <s v="Jayson Martinez"/>
  </r>
  <r>
    <n v="3362"/>
    <x v="3"/>
    <x v="108"/>
    <s v="L000012202"/>
    <m/>
    <s v="L000013681"/>
    <x v="1"/>
    <x v="0"/>
    <x v="0"/>
    <x v="2"/>
    <m/>
    <m/>
    <s v="Jayson Martinez"/>
  </r>
  <r>
    <n v="3363"/>
    <x v="3"/>
    <x v="108"/>
    <s v="L000012203"/>
    <m/>
    <s v="L000013681"/>
    <x v="1"/>
    <x v="0"/>
    <x v="0"/>
    <x v="2"/>
    <m/>
    <m/>
    <s v="Jayson Martinez"/>
  </r>
  <r>
    <n v="3364"/>
    <x v="3"/>
    <x v="108"/>
    <s v="L000012204"/>
    <m/>
    <s v="L000013681"/>
    <x v="1"/>
    <x v="0"/>
    <x v="0"/>
    <x v="2"/>
    <m/>
    <m/>
    <s v="Jayson Martinez"/>
  </r>
  <r>
    <n v="3365"/>
    <x v="3"/>
    <x v="108"/>
    <s v="L000012205"/>
    <m/>
    <s v="L000013681"/>
    <x v="1"/>
    <x v="0"/>
    <x v="0"/>
    <x v="2"/>
    <m/>
    <m/>
    <s v="Jayson Martinez"/>
  </r>
  <r>
    <n v="3366"/>
    <x v="3"/>
    <x v="108"/>
    <s v="L000012206"/>
    <m/>
    <s v="L000013681"/>
    <x v="1"/>
    <x v="0"/>
    <x v="0"/>
    <x v="2"/>
    <m/>
    <m/>
    <s v="Jayson Martinez"/>
  </r>
  <r>
    <n v="3367"/>
    <x v="3"/>
    <x v="108"/>
    <s v="L000009965"/>
    <m/>
    <s v="L000013681"/>
    <x v="1"/>
    <x v="0"/>
    <x v="0"/>
    <x v="2"/>
    <m/>
    <m/>
    <s v="Jayson Martinez"/>
  </r>
  <r>
    <n v="3368"/>
    <x v="3"/>
    <x v="108"/>
    <s v="L000012428"/>
    <m/>
    <s v="L000013681"/>
    <x v="1"/>
    <x v="0"/>
    <x v="0"/>
    <x v="2"/>
    <m/>
    <m/>
    <s v="Jayson Martinez"/>
  </r>
  <r>
    <n v="3369"/>
    <x v="3"/>
    <x v="108"/>
    <s v="L000011338"/>
    <m/>
    <s v="L000013687"/>
    <x v="1"/>
    <x v="0"/>
    <x v="0"/>
    <x v="2"/>
    <m/>
    <m/>
    <s v="Jayson Martinez"/>
  </r>
  <r>
    <n v="3370"/>
    <x v="3"/>
    <x v="108"/>
    <s v="L000007803"/>
    <m/>
    <s v="L000013680"/>
    <x v="1"/>
    <x v="0"/>
    <x v="0"/>
    <x v="2"/>
    <m/>
    <m/>
    <s v="Jayson Martinez"/>
  </r>
  <r>
    <n v="3371"/>
    <x v="3"/>
    <x v="108"/>
    <s v="L000013214"/>
    <m/>
    <s v="L000013680"/>
    <x v="1"/>
    <x v="0"/>
    <x v="0"/>
    <x v="2"/>
    <m/>
    <m/>
    <s v="Jayson Martinez"/>
  </r>
  <r>
    <n v="3372"/>
    <x v="3"/>
    <x v="108"/>
    <s v="L000012792"/>
    <m/>
    <s v="L000013680"/>
    <x v="1"/>
    <x v="0"/>
    <x v="0"/>
    <x v="2"/>
    <m/>
    <m/>
    <s v="Jayson Martinez"/>
  </r>
  <r>
    <n v="3373"/>
    <x v="3"/>
    <x v="108"/>
    <s v="L000008395"/>
    <m/>
    <s v="L000013680"/>
    <x v="1"/>
    <x v="0"/>
    <x v="0"/>
    <x v="2"/>
    <m/>
    <m/>
    <s v="Jayson Martinez"/>
  </r>
  <r>
    <n v="3374"/>
    <x v="3"/>
    <x v="108"/>
    <s v="L000008397"/>
    <m/>
    <s v="L000013680"/>
    <x v="1"/>
    <x v="0"/>
    <x v="0"/>
    <x v="2"/>
    <m/>
    <m/>
    <s v="Jayson Martinez"/>
  </r>
  <r>
    <n v="3375"/>
    <x v="3"/>
    <x v="108"/>
    <s v="L000008404"/>
    <m/>
    <s v="L000013680"/>
    <x v="1"/>
    <x v="0"/>
    <x v="0"/>
    <x v="2"/>
    <m/>
    <m/>
    <s v="Jayson Martinez"/>
  </r>
  <r>
    <n v="3376"/>
    <x v="3"/>
    <x v="108"/>
    <s v="L000008413"/>
    <m/>
    <s v="L000013680"/>
    <x v="1"/>
    <x v="0"/>
    <x v="0"/>
    <x v="2"/>
    <m/>
    <m/>
    <s v="Jayson Martinez"/>
  </r>
  <r>
    <n v="3377"/>
    <x v="3"/>
    <x v="108"/>
    <s v="L000008399"/>
    <m/>
    <s v="L000013680"/>
    <x v="1"/>
    <x v="0"/>
    <x v="0"/>
    <x v="2"/>
    <m/>
    <m/>
    <s v="Jayson Martinez"/>
  </r>
  <r>
    <n v="3378"/>
    <x v="3"/>
    <x v="108"/>
    <s v="L000008421"/>
    <m/>
    <s v="L000013680"/>
    <x v="1"/>
    <x v="0"/>
    <x v="0"/>
    <x v="2"/>
    <m/>
    <m/>
    <s v="Jayson Martinez"/>
  </r>
  <r>
    <n v="3379"/>
    <x v="3"/>
    <x v="108"/>
    <s v="L000008425"/>
    <m/>
    <s v="L000013680"/>
    <x v="1"/>
    <x v="0"/>
    <x v="0"/>
    <x v="2"/>
    <m/>
    <m/>
    <s v="Jayson Martinez"/>
  </r>
  <r>
    <n v="3380"/>
    <x v="3"/>
    <x v="108"/>
    <s v="L000008435"/>
    <m/>
    <s v="L000013680"/>
    <x v="1"/>
    <x v="0"/>
    <x v="0"/>
    <x v="2"/>
    <m/>
    <m/>
    <s v="Jayson Martinez"/>
  </r>
  <r>
    <n v="3381"/>
    <x v="3"/>
    <x v="108"/>
    <s v="L000008434"/>
    <m/>
    <s v="L000013680"/>
    <x v="1"/>
    <x v="0"/>
    <x v="0"/>
    <x v="2"/>
    <m/>
    <m/>
    <s v="Jayson Martinez"/>
  </r>
  <r>
    <n v="3382"/>
    <x v="3"/>
    <x v="108"/>
    <s v="L000008438"/>
    <m/>
    <s v="L000013680"/>
    <x v="1"/>
    <x v="0"/>
    <x v="0"/>
    <x v="2"/>
    <m/>
    <m/>
    <s v="Jayson Martinez"/>
  </r>
  <r>
    <n v="3383"/>
    <x v="3"/>
    <x v="108"/>
    <s v="L000008440"/>
    <m/>
    <s v="L000013680"/>
    <x v="1"/>
    <x v="0"/>
    <x v="0"/>
    <x v="2"/>
    <m/>
    <m/>
    <s v="Jayson Martinez"/>
  </r>
  <r>
    <n v="3384"/>
    <x v="3"/>
    <x v="108"/>
    <s v="L000013112"/>
    <m/>
    <s v="L000013680"/>
    <x v="1"/>
    <x v="0"/>
    <x v="0"/>
    <x v="2"/>
    <m/>
    <m/>
    <s v="Jayson Martinez"/>
  </r>
  <r>
    <n v="3385"/>
    <x v="3"/>
    <x v="108"/>
    <s v="L000011670"/>
    <m/>
    <s v="L000013679"/>
    <x v="1"/>
    <x v="0"/>
    <x v="0"/>
    <x v="2"/>
    <m/>
    <m/>
    <s v="Jayson Martinez"/>
  </r>
  <r>
    <n v="3386"/>
    <x v="3"/>
    <x v="109"/>
    <s v="P000001197"/>
    <s v="EL-PS-TSS Sustainability"/>
    <s v="P000000045"/>
    <x v="0"/>
    <x v="0"/>
    <x v="0"/>
    <x v="3"/>
    <m/>
    <m/>
    <s v="Edward Arevalo"/>
  </r>
  <r>
    <n v="3387"/>
    <x v="3"/>
    <x v="109"/>
    <s v="P000001198"/>
    <s v="Project SPICE"/>
    <s v="P000000561"/>
    <x v="0"/>
    <x v="0"/>
    <x v="0"/>
    <x v="3"/>
    <m/>
    <m/>
    <s v="Edward Arevalo"/>
  </r>
  <r>
    <n v="3388"/>
    <x v="3"/>
    <x v="109"/>
    <s v="P000000743"/>
    <m/>
    <s v="P000001183"/>
    <x v="1"/>
    <x v="0"/>
    <x v="0"/>
    <x v="3"/>
    <m/>
    <m/>
    <s v="Edward Arevalo"/>
  </r>
  <r>
    <n v="3389"/>
    <x v="3"/>
    <x v="109"/>
    <s v="P000000668"/>
    <m/>
    <s v="O000000009"/>
    <x v="1"/>
    <x v="0"/>
    <x v="0"/>
    <x v="3"/>
    <m/>
    <m/>
    <s v="Edward Arevalo"/>
  </r>
  <r>
    <n v="3390"/>
    <x v="3"/>
    <x v="109"/>
    <s v="P000000440"/>
    <m/>
    <s v="O000000009"/>
    <x v="1"/>
    <x v="0"/>
    <x v="0"/>
    <x v="3"/>
    <m/>
    <m/>
    <s v="Edward Arevalo"/>
  </r>
  <r>
    <n v="3391"/>
    <x v="3"/>
    <x v="109"/>
    <s v="P000000441"/>
    <m/>
    <s v="O000000009"/>
    <x v="1"/>
    <x v="0"/>
    <x v="0"/>
    <x v="3"/>
    <m/>
    <m/>
    <s v="Edward Arevalo"/>
  </r>
  <r>
    <n v="3392"/>
    <x v="3"/>
    <x v="109"/>
    <s v="P000000442"/>
    <m/>
    <s v="O000000009"/>
    <x v="1"/>
    <x v="0"/>
    <x v="0"/>
    <x v="3"/>
    <m/>
    <m/>
    <s v="Edward Arevalo"/>
  </r>
  <r>
    <n v="3393"/>
    <x v="3"/>
    <x v="109"/>
    <s v="P000000563"/>
    <m/>
    <s v="O000000009"/>
    <x v="1"/>
    <x v="0"/>
    <x v="0"/>
    <x v="3"/>
    <m/>
    <m/>
    <s v="Edward Arevalo"/>
  </r>
  <r>
    <n v="3394"/>
    <x v="3"/>
    <x v="109"/>
    <s v="P000000564"/>
    <m/>
    <s v="O000000009"/>
    <x v="1"/>
    <x v="0"/>
    <x v="0"/>
    <x v="3"/>
    <m/>
    <m/>
    <s v="Edward Arevalo"/>
  </r>
  <r>
    <n v="3395"/>
    <x v="3"/>
    <x v="109"/>
    <s v="P000000740"/>
    <m/>
    <s v="O000000009"/>
    <x v="1"/>
    <x v="0"/>
    <x v="0"/>
    <x v="3"/>
    <m/>
    <m/>
    <s v="Edward Arevalo"/>
  </r>
  <r>
    <n v="3396"/>
    <x v="3"/>
    <x v="109"/>
    <s v="P000000741"/>
    <m/>
    <s v="O000000009"/>
    <x v="1"/>
    <x v="0"/>
    <x v="0"/>
    <x v="3"/>
    <m/>
    <m/>
    <s v="Edward Arevalo"/>
  </r>
  <r>
    <n v="3397"/>
    <x v="3"/>
    <x v="109"/>
    <s v="P000000444"/>
    <m/>
    <s v="O000000009"/>
    <x v="1"/>
    <x v="0"/>
    <x v="0"/>
    <x v="3"/>
    <m/>
    <m/>
    <s v="Edward Arevalo"/>
  </r>
  <r>
    <n v="3398"/>
    <x v="3"/>
    <x v="109"/>
    <s v="P000000452"/>
    <m/>
    <s v="O000000009"/>
    <x v="1"/>
    <x v="0"/>
    <x v="0"/>
    <x v="3"/>
    <m/>
    <m/>
    <s v="Edward Arevalo"/>
  </r>
  <r>
    <n v="3399"/>
    <x v="3"/>
    <x v="109"/>
    <s v="P000000449"/>
    <m/>
    <s v="O000000009"/>
    <x v="1"/>
    <x v="0"/>
    <x v="0"/>
    <x v="3"/>
    <m/>
    <m/>
    <s v="Edward Arevalo"/>
  </r>
  <r>
    <n v="3400"/>
    <x v="3"/>
    <x v="109"/>
    <s v="P000000444"/>
    <m/>
    <s v="O000000009"/>
    <x v="1"/>
    <x v="0"/>
    <x v="0"/>
    <x v="3"/>
    <m/>
    <m/>
    <s v="Edward Arevalo"/>
  </r>
  <r>
    <n v="3401"/>
    <x v="3"/>
    <x v="109"/>
    <s v="P000001160"/>
    <s v="EL-PS-TSP Surface Solutions Portal"/>
    <s v="P000000045"/>
    <x v="4"/>
    <x v="0"/>
    <x v="0"/>
    <x v="3"/>
    <m/>
    <m/>
    <s v="Edward Arevalo"/>
  </r>
  <r>
    <n v="3402"/>
    <x v="3"/>
    <x v="109"/>
    <s v="P000000026"/>
    <s v="EL-PS-T Strategy &amp; Transformation"/>
    <m/>
    <x v="2"/>
    <x v="0"/>
    <x v="0"/>
    <x v="3"/>
    <s v="renamed successfully in kr00"/>
    <m/>
    <s v="Edward Arevalo"/>
  </r>
  <r>
    <n v="3403"/>
    <x v="3"/>
    <x v="109"/>
    <s v="P000001043"/>
    <s v="EL-PS-T Strategy &amp; Transformation Team"/>
    <m/>
    <x v="2"/>
    <x v="0"/>
    <x v="0"/>
    <x v="3"/>
    <s v="renamed successfully in kr00"/>
    <m/>
    <s v="Edward Arevalo"/>
  </r>
  <r>
    <n v="3404"/>
    <x v="3"/>
    <x v="109"/>
    <s v="P000000667"/>
    <s v="EL-PS-AC Customer Excellence ASIA"/>
    <m/>
    <x v="2"/>
    <x v="0"/>
    <x v="0"/>
    <x v="3"/>
    <s v="renamed successfully in kr00"/>
    <m/>
    <s v="Edward Arevalo"/>
  </r>
  <r>
    <n v="3405"/>
    <x v="3"/>
    <x v="110"/>
    <s v="H000004386"/>
    <m/>
    <s v="H000004177"/>
    <x v="1"/>
    <x v="0"/>
    <x v="0"/>
    <x v="0"/>
    <s v="not yet remapped"/>
    <m/>
    <s v="Joshua Cachola"/>
  </r>
  <r>
    <n v="3406"/>
    <x v="3"/>
    <x v="110"/>
    <s v="H000004387"/>
    <m/>
    <s v="H000004177"/>
    <x v="1"/>
    <x v="0"/>
    <x v="0"/>
    <x v="0"/>
    <s v="not yet remapped"/>
    <m/>
    <s v="Joshua Cachola"/>
  </r>
  <r>
    <n v="3407"/>
    <x v="3"/>
    <x v="111"/>
    <s v="G000000921"/>
    <m/>
    <s v="G000000545"/>
    <x v="1"/>
    <x v="0"/>
    <x v="0"/>
    <x v="0"/>
    <m/>
    <m/>
    <s v="Francesco Ricioppo"/>
  </r>
  <r>
    <n v="3408"/>
    <x v="3"/>
    <x v="112"/>
    <s v="G000000385"/>
    <s v="xxxSM-PB Building Technologies"/>
    <m/>
    <x v="2"/>
    <x v="0"/>
    <x v="0"/>
    <x v="0"/>
    <m/>
    <m/>
    <s v="Francesco Ricioppo"/>
  </r>
  <r>
    <n v="3409"/>
    <x v="3"/>
    <x v="112"/>
    <s v="G000000393"/>
    <s v="xxxSM-PA Automation &amp; Robotics "/>
    <m/>
    <x v="2"/>
    <x v="0"/>
    <x v="0"/>
    <x v="0"/>
    <m/>
    <m/>
    <s v="Francesco Ricioppo"/>
  </r>
  <r>
    <n v="3410"/>
    <x v="3"/>
    <x v="113"/>
    <s v="P000001199"/>
    <s v="Historical cost objects"/>
    <s v="P000000001"/>
    <x v="0"/>
    <x v="0"/>
    <x v="0"/>
    <x v="3"/>
    <m/>
    <m/>
    <s v="Uros Jablanov"/>
  </r>
  <r>
    <n v="3411"/>
    <x v="3"/>
    <x v="114"/>
    <s v="G000001263"/>
    <s v="GMP MBS Hub Wroclaw - Global Mobility"/>
    <m/>
    <x v="2"/>
    <x v="0"/>
    <x v="0"/>
    <x v="0"/>
    <m/>
    <m/>
    <s v="Jojeff Tagnong"/>
  </r>
  <r>
    <n v="3412"/>
    <x v="3"/>
    <x v="114"/>
    <s v="G000001264"/>
    <s v="GMQ MBS Hub Bangalore - Employee Service"/>
    <m/>
    <x v="2"/>
    <x v="0"/>
    <x v="0"/>
    <x v="0"/>
    <m/>
    <m/>
    <s v="Jojeff Tagnong"/>
  </r>
  <r>
    <n v="3413"/>
    <x v="3"/>
    <x v="114"/>
    <s v="G000001265"/>
    <s v="GMR MBS Innovation &amp; Data-Fin.ERPProgMgr"/>
    <m/>
    <x v="2"/>
    <x v="0"/>
    <x v="0"/>
    <x v="0"/>
    <m/>
    <m/>
    <s v="Jojeff Tagnong"/>
  </r>
  <r>
    <n v="3414"/>
    <x v="3"/>
    <x v="114"/>
    <s v="G000001266"/>
    <s v="FEA CP - Chief Political Office"/>
    <m/>
    <x v="2"/>
    <x v="0"/>
    <x v="0"/>
    <x v="0"/>
    <m/>
    <m/>
    <s v="Jojeff Tagnong"/>
  </r>
  <r>
    <n v="3415"/>
    <x v="3"/>
    <x v="114"/>
    <s v="G000001269"/>
    <s v="GEA CP - Chief Political Office (L2)"/>
    <m/>
    <x v="2"/>
    <x v="0"/>
    <x v="0"/>
    <x v="0"/>
    <m/>
    <m/>
    <s v="Jojeff Tagnong"/>
  </r>
  <r>
    <n v="3416"/>
    <x v="3"/>
    <x v="114"/>
    <s v="G000001270"/>
    <s v="FEA CP - Intercompany Charges"/>
    <m/>
    <x v="2"/>
    <x v="0"/>
    <x v="0"/>
    <x v="0"/>
    <m/>
    <m/>
    <s v="Jojeff Tagnong"/>
  </r>
  <r>
    <n v="3417"/>
    <x v="3"/>
    <x v="114"/>
    <s v="G000001271"/>
    <s v="FEA CP - Exceptionals"/>
    <m/>
    <x v="2"/>
    <x v="0"/>
    <x v="0"/>
    <x v="0"/>
    <m/>
    <m/>
    <s v="Jojeff Tagnong"/>
  </r>
  <r>
    <n v="3418"/>
    <x v="3"/>
    <x v="114"/>
    <s v="G000001272"/>
    <s v="GXA FR - Sustainability Management"/>
    <m/>
    <x v="2"/>
    <x v="0"/>
    <x v="0"/>
    <x v="0"/>
    <m/>
    <m/>
    <s v="Jojeff Tagnong"/>
  </r>
  <r>
    <n v="3419"/>
    <x v="3"/>
    <x v="115"/>
    <s v="G000000497"/>
    <s v="SM-HS Site development"/>
    <m/>
    <x v="2"/>
    <x v="0"/>
    <x v="0"/>
    <x v="0"/>
    <m/>
    <m/>
    <s v="Francesco Ricioppo"/>
  </r>
  <r>
    <n v="3420"/>
    <x v="3"/>
    <x v="115"/>
    <s v="G000000515"/>
    <s v="SM-HS Plots KGaA"/>
    <m/>
    <x v="2"/>
    <x v="0"/>
    <x v="0"/>
    <x v="0"/>
    <m/>
    <m/>
    <s v="Francesco Ricioppo"/>
  </r>
  <r>
    <n v="3421"/>
    <x v="3"/>
    <x v="115"/>
    <s v="G000001067"/>
    <s v="SM-HS DA Deconstruction Bldg. "/>
    <m/>
    <x v="2"/>
    <x v="0"/>
    <x v="0"/>
    <x v="0"/>
    <m/>
    <m/>
    <s v="Francesco Ricioppo"/>
  </r>
  <r>
    <n v="3422"/>
    <x v="0"/>
    <x v="116"/>
    <s v="IT06042500"/>
    <m/>
    <s v="G000001240"/>
    <x v="1"/>
    <x v="0"/>
    <x v="0"/>
    <x v="0"/>
    <m/>
    <m/>
    <s v="Joshua Cachola"/>
  </r>
  <r>
    <n v="3423"/>
    <x v="0"/>
    <x v="116"/>
    <s v="IT06100700"/>
    <m/>
    <s v="G000001238"/>
    <x v="1"/>
    <x v="0"/>
    <x v="0"/>
    <x v="0"/>
    <m/>
    <m/>
    <s v="Joshua Cachola"/>
  </r>
  <r>
    <n v="3424"/>
    <x v="0"/>
    <x v="116"/>
    <s v="IT06100800"/>
    <m/>
    <s v="G000001239"/>
    <x v="1"/>
    <x v="0"/>
    <x v="0"/>
    <x v="0"/>
    <m/>
    <m/>
    <s v="Joshua Cachola"/>
  </r>
  <r>
    <n v="3425"/>
    <x v="0"/>
    <x v="117"/>
    <s v="G000001096"/>
    <m/>
    <s v="G000000873 "/>
    <x v="1"/>
    <x v="0"/>
    <x v="0"/>
    <x v="0"/>
    <m/>
    <m/>
    <s v="Francesco Ricioppo"/>
  </r>
  <r>
    <n v="3426"/>
    <x v="0"/>
    <x v="117"/>
    <s v="G000000378"/>
    <m/>
    <s v="G000000873 "/>
    <x v="1"/>
    <x v="0"/>
    <x v="0"/>
    <x v="0"/>
    <m/>
    <m/>
    <s v="Francesco Ricioppo"/>
  </r>
  <r>
    <n v="3427"/>
    <x v="0"/>
    <x v="117"/>
    <s v="G000000869"/>
    <m/>
    <s v="G000000873 "/>
    <x v="1"/>
    <x v="0"/>
    <x v="0"/>
    <x v="0"/>
    <m/>
    <m/>
    <s v="Francesco Ricioppo"/>
  </r>
  <r>
    <n v="3428"/>
    <x v="0"/>
    <x v="117"/>
    <s v="G000000870"/>
    <m/>
    <s v="G000000873 "/>
    <x v="1"/>
    <x v="0"/>
    <x v="0"/>
    <x v="0"/>
    <m/>
    <m/>
    <s v="Francesco Ricioppo"/>
  </r>
  <r>
    <n v="3429"/>
    <x v="0"/>
    <x v="117"/>
    <s v="G000000871"/>
    <m/>
    <s v="G000000873 "/>
    <x v="1"/>
    <x v="0"/>
    <x v="0"/>
    <x v="0"/>
    <m/>
    <m/>
    <s v="Francesco Ricioppo"/>
  </r>
  <r>
    <n v="3430"/>
    <x v="0"/>
    <x v="117"/>
    <s v="G000000872"/>
    <m/>
    <s v="G000000873 "/>
    <x v="1"/>
    <x v="0"/>
    <x v="0"/>
    <x v="0"/>
    <m/>
    <m/>
    <s v="Francesco Ricioppo"/>
  </r>
  <r>
    <n v="3431"/>
    <x v="0"/>
    <x v="117"/>
    <s v="G000000464"/>
    <m/>
    <s v="G000000873 "/>
    <x v="1"/>
    <x v="0"/>
    <x v="0"/>
    <x v="0"/>
    <m/>
    <m/>
    <s v="Francesco Ricioppo"/>
  </r>
  <r>
    <n v="3432"/>
    <x v="0"/>
    <x v="117"/>
    <s v="G000000998"/>
    <m/>
    <s v="G000000873 "/>
    <x v="1"/>
    <x v="0"/>
    <x v="0"/>
    <x v="0"/>
    <m/>
    <m/>
    <s v="Francesco Ricioppo"/>
  </r>
  <r>
    <n v="3433"/>
    <x v="0"/>
    <x v="117"/>
    <s v="G000000996"/>
    <m/>
    <s v="G000000873 "/>
    <x v="1"/>
    <x v="0"/>
    <x v="0"/>
    <x v="0"/>
    <m/>
    <m/>
    <s v="Francesco Ricioppo"/>
  </r>
  <r>
    <n v="3434"/>
    <x v="0"/>
    <x v="117"/>
    <s v="G000000997"/>
    <m/>
    <s v="G000000873 "/>
    <x v="1"/>
    <x v="0"/>
    <x v="0"/>
    <x v="0"/>
    <m/>
    <m/>
    <s v="Francesco Ricioppo"/>
  </r>
  <r>
    <n v="3435"/>
    <x v="0"/>
    <x v="118"/>
    <s v="G000001020"/>
    <s v="FS Contractors DA"/>
    <m/>
    <x v="2"/>
    <x v="0"/>
    <x v="0"/>
    <x v="0"/>
    <m/>
    <m/>
    <s v="Francesco Ricioppo"/>
  </r>
  <r>
    <n v="3436"/>
    <x v="0"/>
    <x v="118"/>
    <s v="G000001011"/>
    <s v="Contractors/Externals Area"/>
    <s v="G000001020"/>
    <x v="2"/>
    <x v="0"/>
    <x v="0"/>
    <x v="0"/>
    <m/>
    <m/>
    <s v="Francesco Ricioppo"/>
  </r>
  <r>
    <n v="3437"/>
    <x v="0"/>
    <x v="118"/>
    <s v="G000001026"/>
    <s v="Z-Area"/>
    <s v="G000001020"/>
    <x v="2"/>
    <x v="0"/>
    <x v="0"/>
    <x v="0"/>
    <m/>
    <m/>
    <s v="Francesco Ricioppo"/>
  </r>
  <r>
    <n v="3438"/>
    <x v="0"/>
    <x v="118"/>
    <s v="G000001010"/>
    <s v="W-Area"/>
    <s v="G000001020"/>
    <x v="2"/>
    <x v="0"/>
    <x v="0"/>
    <x v="0"/>
    <m/>
    <m/>
    <s v="Francesco Ricioppo"/>
  </r>
  <r>
    <n v="3439"/>
    <x v="0"/>
    <x v="119"/>
    <s v="G000000398"/>
    <m/>
    <s v="G000000873 "/>
    <x v="1"/>
    <x v="0"/>
    <x v="0"/>
    <x v="0"/>
    <m/>
    <m/>
    <s v="Francesco Ricioppo"/>
  </r>
  <r>
    <n v="3440"/>
    <x v="0"/>
    <x v="119"/>
    <s v="G000000356"/>
    <m/>
    <s v="G000000873 "/>
    <x v="1"/>
    <x v="0"/>
    <x v="0"/>
    <x v="0"/>
    <m/>
    <m/>
    <s v="Francesco Ricioppo"/>
  </r>
  <r>
    <n v="3441"/>
    <x v="0"/>
    <x v="119"/>
    <s v="G000000357"/>
    <m/>
    <s v="G000000873 "/>
    <x v="1"/>
    <x v="0"/>
    <x v="0"/>
    <x v="0"/>
    <m/>
    <m/>
    <s v="Francesco Ricioppo"/>
  </r>
  <r>
    <n v="3442"/>
    <x v="0"/>
    <x v="119"/>
    <s v="G000000358"/>
    <m/>
    <s v="G000000873 "/>
    <x v="1"/>
    <x v="0"/>
    <x v="0"/>
    <x v="0"/>
    <m/>
    <m/>
    <s v="Francesco Ricioppo"/>
  </r>
  <r>
    <n v="3443"/>
    <x v="0"/>
    <x v="119"/>
    <s v="G000000399"/>
    <m/>
    <s v="G000000873 "/>
    <x v="1"/>
    <x v="0"/>
    <x v="0"/>
    <x v="0"/>
    <m/>
    <m/>
    <s v="Francesco Ricioppo"/>
  </r>
  <r>
    <n v="3444"/>
    <x v="0"/>
    <x v="119"/>
    <s v="G000000400"/>
    <m/>
    <s v="G000000873 "/>
    <x v="1"/>
    <x v="0"/>
    <x v="0"/>
    <x v="0"/>
    <m/>
    <m/>
    <s v="Francesco Ricioppo"/>
  </r>
  <r>
    <n v="3445"/>
    <x v="0"/>
    <x v="119"/>
    <s v="G000000401"/>
    <m/>
    <s v="G000000873 "/>
    <x v="1"/>
    <x v="0"/>
    <x v="0"/>
    <x v="0"/>
    <m/>
    <m/>
    <s v="Francesco Ricioppo"/>
  </r>
  <r>
    <n v="3446"/>
    <x v="0"/>
    <x v="120"/>
    <s v="G000000878 "/>
    <s v="SM-SF/SC Fire Brigade &amp; Security "/>
    <m/>
    <x v="2"/>
    <x v="0"/>
    <x v="0"/>
    <x v="0"/>
    <m/>
    <m/>
    <s v="Francesco Ricioppo"/>
  </r>
  <r>
    <n v="3447"/>
    <x v="0"/>
    <x v="120"/>
    <s v="G000000435"/>
    <s v="SM-SF Fire Protection"/>
    <s v="G000000878"/>
    <x v="4"/>
    <x v="0"/>
    <x v="0"/>
    <x v="0"/>
    <m/>
    <m/>
    <s v="Francesco Ricioppo"/>
  </r>
  <r>
    <n v="3448"/>
    <x v="0"/>
    <x v="120"/>
    <s v="G000000436"/>
    <s v="SM-SC Site Security &amp; Cross Services"/>
    <s v="G000000878"/>
    <x v="4"/>
    <x v="0"/>
    <x v="0"/>
    <x v="0"/>
    <m/>
    <m/>
    <s v="Francesco Ricioppo"/>
  </r>
  <r>
    <n v="3449"/>
    <x v="0"/>
    <x v="121"/>
    <s v="H000004388"/>
    <s v="GCD WBS elements"/>
    <s v="H000000616"/>
    <x v="0"/>
    <x v="0"/>
    <x v="0"/>
    <x v="1"/>
    <m/>
    <m/>
    <s v="Lena Brand"/>
  </r>
  <r>
    <n v="3450"/>
    <x v="0"/>
    <x v="122"/>
    <s v="P000001200"/>
    <s v="Separation Cost"/>
    <s v="P000001198"/>
    <x v="0"/>
    <x v="0"/>
    <x v="0"/>
    <x v="3"/>
    <m/>
    <m/>
    <s v="Eivy Denine Cruz"/>
  </r>
  <r>
    <n v="3451"/>
    <x v="0"/>
    <x v="122"/>
    <s v="P000001201"/>
    <s v="Set up of NewCos"/>
    <s v="P000001200"/>
    <x v="0"/>
    <x v="0"/>
    <x v="0"/>
    <x v="3"/>
    <m/>
    <m/>
    <s v="Eivy Denine Cruz"/>
  </r>
  <r>
    <n v="3452"/>
    <x v="0"/>
    <x v="122"/>
    <s v="P000001202"/>
    <s v="Set up of Export Model &amp; Hubs"/>
    <s v="P000001200"/>
    <x v="0"/>
    <x v="0"/>
    <x v="0"/>
    <x v="3"/>
    <m/>
    <m/>
    <s v="Eivy Denine Cruz"/>
  </r>
  <r>
    <n v="3453"/>
    <x v="0"/>
    <x v="122"/>
    <s v="P000001203"/>
    <s v="Physical separation"/>
    <s v="P000001200"/>
    <x v="0"/>
    <x v="0"/>
    <x v="0"/>
    <x v="3"/>
    <m/>
    <m/>
    <s v="Eivy Denine Cruz"/>
  </r>
  <r>
    <n v="3454"/>
    <x v="0"/>
    <x v="122"/>
    <s v="P000001204"/>
    <s v="Legal C/O of POG-8 &amp; POG-3 out of_x000a_current legal entities"/>
    <s v="P000001200"/>
    <x v="0"/>
    <x v="0"/>
    <x v="0"/>
    <x v="3"/>
    <m/>
    <m/>
    <s v="Eivy Denine Cruz"/>
  </r>
  <r>
    <n v="3455"/>
    <x v="0"/>
    <x v="122"/>
    <s v="P000001205"/>
    <s v="IT Separation"/>
    <s v="P000001200"/>
    <x v="0"/>
    <x v="0"/>
    <x v="0"/>
    <x v="3"/>
    <m/>
    <m/>
    <s v="Eivy Denine Cruz"/>
  </r>
  <r>
    <n v="3456"/>
    <x v="0"/>
    <x v="122"/>
    <s v="P000001206"/>
    <s v="Business Backfills"/>
    <s v="P000001205"/>
    <x v="0"/>
    <x v="0"/>
    <x v="0"/>
    <x v="3"/>
    <m/>
    <m/>
    <s v="Eivy Denine Cruz"/>
  </r>
  <r>
    <n v="3457"/>
    <x v="0"/>
    <x v="122"/>
    <s v="P000001207"/>
    <s v="MBS Backfills &amp; support"/>
    <s v="P000001205"/>
    <x v="0"/>
    <x v="0"/>
    <x v="0"/>
    <x v="3"/>
    <m/>
    <m/>
    <s v="Eivy Denine Cruz"/>
  </r>
  <r>
    <n v="3458"/>
    <x v="0"/>
    <x v="122"/>
    <s v="P000001208"/>
    <s v="Additional Cost"/>
    <s v="P000001198"/>
    <x v="0"/>
    <x v="0"/>
    <x v="0"/>
    <x v="3"/>
    <m/>
    <m/>
    <s v="Eivy Denine Cruz"/>
  </r>
  <r>
    <n v="3459"/>
    <x v="0"/>
    <x v="122"/>
    <s v="P000001209"/>
    <s v="EL-DS-LR LC/DPM R&amp;D General Expenses"/>
    <s v="P000001117"/>
    <x v="0"/>
    <x v="0"/>
    <x v="0"/>
    <x v="3"/>
    <m/>
    <m/>
    <s v="Eivy Denine Cruz"/>
  </r>
  <r>
    <n v="3460"/>
    <x v="0"/>
    <x v="122"/>
    <s v="P000001210"/>
    <s v="QA"/>
    <s v="P000001209"/>
    <x v="0"/>
    <x v="0"/>
    <x v="0"/>
    <x v="3"/>
    <m/>
    <m/>
    <s v="Eivy Denine Cruz"/>
  </r>
  <r>
    <n v="3461"/>
    <x v="0"/>
    <x v="122"/>
    <s v="P000001211"/>
    <s v="CC Variances"/>
    <s v="P000001209"/>
    <x v="0"/>
    <x v="0"/>
    <x v="0"/>
    <x v="3"/>
    <m/>
    <m/>
    <s v="Eivy Denine Cruz"/>
  </r>
  <r>
    <n v="3462"/>
    <x v="0"/>
    <x v="122"/>
    <s v="P000001212"/>
    <s v="General R&amp;D other"/>
    <s v="P000001209"/>
    <x v="0"/>
    <x v="0"/>
    <x v="0"/>
    <x v="3"/>
    <m/>
    <m/>
    <s v="Eivy Denine Cruz"/>
  </r>
  <r>
    <n v="3463"/>
    <x v="0"/>
    <x v="122"/>
    <s v="P000001213"/>
    <s v="Commercialized Display"/>
    <s v="P000000590"/>
    <x v="0"/>
    <x v="0"/>
    <x v="0"/>
    <x v="3"/>
    <m/>
    <m/>
    <s v="Eivy Denine Cruz"/>
  </r>
  <r>
    <n v="3464"/>
    <x v="0"/>
    <x v="122"/>
    <s v="P000001214"/>
    <s v="IPS/FFS"/>
    <s v="P000001213"/>
    <x v="0"/>
    <x v="0"/>
    <x v="0"/>
    <x v="3"/>
    <m/>
    <m/>
    <s v="Eivy Denine Cruz"/>
  </r>
  <r>
    <n v="3465"/>
    <x v="0"/>
    <x v="122"/>
    <s v="P000001215"/>
    <s v="PS-VA"/>
    <s v="P000001213"/>
    <x v="0"/>
    <x v="0"/>
    <x v="0"/>
    <x v="3"/>
    <m/>
    <m/>
    <s v="Eivy Denine Cruz"/>
  </r>
  <r>
    <n v="3466"/>
    <x v="0"/>
    <x v="122"/>
    <s v="P000001216"/>
    <s v="UB-FFS"/>
    <s v="P000001213"/>
    <x v="0"/>
    <x v="0"/>
    <x v="0"/>
    <x v="3"/>
    <m/>
    <m/>
    <s v="Eivy Denine Cruz"/>
  </r>
  <r>
    <n v="3467"/>
    <x v="0"/>
    <x v="122"/>
    <s v="P000001217"/>
    <s v="Other Customer Projects"/>
    <s v="P000001213"/>
    <x v="0"/>
    <x v="0"/>
    <x v="0"/>
    <x v="3"/>
    <m/>
    <m/>
    <s v="Eivy Denine Cruz"/>
  </r>
  <r>
    <n v="3468"/>
    <x v="0"/>
    <x v="122"/>
    <s v="P000001218"/>
    <s v="New display modes"/>
    <s v="P000000590"/>
    <x v="0"/>
    <x v="0"/>
    <x v="0"/>
    <x v="3"/>
    <m/>
    <m/>
    <s v="Eivy Denine Cruz"/>
  </r>
  <r>
    <n v="3469"/>
    <x v="0"/>
    <x v="122"/>
    <s v="P000001219"/>
    <s v="UB plus"/>
    <s v="P000001218"/>
    <x v="0"/>
    <x v="0"/>
    <x v="0"/>
    <x v="3"/>
    <m/>
    <m/>
    <s v="Eivy Denine Cruz"/>
  </r>
  <r>
    <n v="3470"/>
    <x v="0"/>
    <x v="122"/>
    <s v="P000001220"/>
    <s v="SA-VA"/>
    <s v="P000001218"/>
    <x v="0"/>
    <x v="0"/>
    <x v="0"/>
    <x v="3"/>
    <m/>
    <m/>
    <s v="Eivy Denine Cruz"/>
  </r>
  <r>
    <n v="3471"/>
    <x v="0"/>
    <x v="122"/>
    <s v="P000001221"/>
    <s v="EL-DS-OR OLED R&amp;D General Expenses"/>
    <s v="P000001126"/>
    <x v="0"/>
    <x v="0"/>
    <x v="0"/>
    <x v="3"/>
    <m/>
    <m/>
    <s v="Eivy Denine Cruz"/>
  </r>
  <r>
    <n v="3472"/>
    <x v="0"/>
    <x v="122"/>
    <s v="P000001222"/>
    <s v="IC Cross Charges"/>
    <s v="P000001221"/>
    <x v="0"/>
    <x v="0"/>
    <x v="0"/>
    <x v="3"/>
    <m/>
    <m/>
    <s v="Eivy Denine Cruz"/>
  </r>
  <r>
    <n v="3473"/>
    <x v="0"/>
    <x v="122"/>
    <s v="P000001223"/>
    <s v="Maintenance/Process Optimization"/>
    <s v="P000001221"/>
    <x v="0"/>
    <x v="0"/>
    <x v="0"/>
    <x v="3"/>
    <m/>
    <m/>
    <s v="Eivy Denine Cruz"/>
  </r>
  <r>
    <n v="3474"/>
    <x v="0"/>
    <x v="122"/>
    <s v="P000001224"/>
    <s v="CC variances"/>
    <s v="P000001221"/>
    <x v="0"/>
    <x v="0"/>
    <x v="0"/>
    <x v="3"/>
    <m/>
    <m/>
    <s v="Eivy Denine Cruz"/>
  </r>
  <r>
    <n v="3475"/>
    <x v="0"/>
    <x v="122"/>
    <s v="P000001225"/>
    <s v="General R&amp;D other"/>
    <s v="P000001221"/>
    <x v="0"/>
    <x v="0"/>
    <x v="0"/>
    <x v="3"/>
    <m/>
    <m/>
    <s v="Eivy Denine Cruz"/>
  </r>
  <r>
    <n v="3476"/>
    <x v="0"/>
    <x v="122"/>
    <s v="P000001226"/>
    <s v="OLED Customer Projects"/>
    <s v="P000000591"/>
    <x v="0"/>
    <x v="0"/>
    <x v="0"/>
    <x v="3"/>
    <m/>
    <m/>
    <s v="Eivy Denine Cruz"/>
  </r>
  <r>
    <n v="3477"/>
    <x v="0"/>
    <x v="122"/>
    <s v="P000001227"/>
    <s v="AUO"/>
    <s v="P000001226"/>
    <x v="0"/>
    <x v="0"/>
    <x v="0"/>
    <x v="3"/>
    <m/>
    <m/>
    <s v="Eivy Denine Cruz"/>
  </r>
  <r>
    <n v="3478"/>
    <x v="0"/>
    <x v="122"/>
    <s v="P000001228"/>
    <s v="BOE"/>
    <s v="P000001226"/>
    <x v="0"/>
    <x v="0"/>
    <x v="0"/>
    <x v="3"/>
    <m/>
    <m/>
    <s v="Eivy Denine Cruz"/>
  </r>
  <r>
    <n v="3479"/>
    <x v="0"/>
    <x v="122"/>
    <s v="P000001229"/>
    <s v="CSOT"/>
    <s v="P000001226"/>
    <x v="0"/>
    <x v="0"/>
    <x v="0"/>
    <x v="3"/>
    <m/>
    <m/>
    <s v="Eivy Denine Cruz"/>
  </r>
  <r>
    <n v="3480"/>
    <x v="0"/>
    <x v="122"/>
    <s v="P000001230"/>
    <s v="GVO"/>
    <s v="P000001226"/>
    <x v="0"/>
    <x v="0"/>
    <x v="0"/>
    <x v="3"/>
    <m/>
    <m/>
    <s v="Eivy Denine Cruz"/>
  </r>
  <r>
    <n v="3481"/>
    <x v="0"/>
    <x v="122"/>
    <s v="P000001231"/>
    <s v="SHTM"/>
    <s v="P000001226"/>
    <x v="0"/>
    <x v="0"/>
    <x v="0"/>
    <x v="3"/>
    <m/>
    <m/>
    <s v="Eivy Denine Cruz"/>
  </r>
  <r>
    <n v="3482"/>
    <x v="0"/>
    <x v="122"/>
    <s v="P000001232"/>
    <s v="LGD"/>
    <s v="P000001226"/>
    <x v="0"/>
    <x v="0"/>
    <x v="0"/>
    <x v="3"/>
    <m/>
    <m/>
    <s v="Eivy Denine Cruz"/>
  </r>
  <r>
    <n v="3483"/>
    <x v="0"/>
    <x v="122"/>
    <s v="P000001233"/>
    <s v="SDC"/>
    <s v="P000001226"/>
    <x v="0"/>
    <x v="0"/>
    <x v="0"/>
    <x v="3"/>
    <m/>
    <m/>
    <s v="Eivy Denine Cruz"/>
  </r>
  <r>
    <n v="3484"/>
    <x v="0"/>
    <x v="122"/>
    <s v="P000001234"/>
    <s v="OLED Platforms"/>
    <s v="P000000591"/>
    <x v="0"/>
    <x v="0"/>
    <x v="0"/>
    <x v="3"/>
    <m/>
    <m/>
    <s v="Eivy Denine Cruz"/>
  </r>
  <r>
    <n v="3485"/>
    <x v="0"/>
    <x v="122"/>
    <s v="P000001235"/>
    <s v="HTM"/>
    <s v="P000001234"/>
    <x v="0"/>
    <x v="0"/>
    <x v="0"/>
    <x v="3"/>
    <m/>
    <m/>
    <s v="Eivy Denine Cruz"/>
  </r>
  <r>
    <n v="3486"/>
    <x v="0"/>
    <x v="122"/>
    <s v="P000001236"/>
    <s v="TMM"/>
    <s v="P000001234"/>
    <x v="0"/>
    <x v="0"/>
    <x v="0"/>
    <x v="3"/>
    <m/>
    <m/>
    <s v="Eivy Denine Cruz"/>
  </r>
  <r>
    <n v="3487"/>
    <x v="0"/>
    <x v="122"/>
    <s v="P000001237"/>
    <s v="Emitter"/>
    <s v="P000001234"/>
    <x v="0"/>
    <x v="0"/>
    <x v="0"/>
    <x v="3"/>
    <m/>
    <m/>
    <s v="Eivy Denine Cruz"/>
  </r>
  <r>
    <n v="3488"/>
    <x v="0"/>
    <x v="122"/>
    <s v="P000001238"/>
    <s v="Printing"/>
    <s v="P000001234"/>
    <x v="0"/>
    <x v="0"/>
    <x v="0"/>
    <x v="3"/>
    <m/>
    <m/>
    <s v="Eivy Denine Cruz"/>
  </r>
  <r>
    <n v="3489"/>
    <x v="0"/>
    <x v="122"/>
    <s v="P000001239"/>
    <s v="OLED General R&amp;D"/>
    <s v="P000001234"/>
    <x v="0"/>
    <x v="0"/>
    <x v="0"/>
    <x v="3"/>
    <m/>
    <m/>
    <s v="Eivy Denine Cruz"/>
  </r>
  <r>
    <n v="3490"/>
    <x v="0"/>
    <x v="122"/>
    <s v="P000001240"/>
    <s v="NGB"/>
    <s v="P000001234"/>
    <x v="0"/>
    <x v="0"/>
    <x v="0"/>
    <x v="3"/>
    <m/>
    <m/>
    <s v="Eivy Denine Cruz"/>
  </r>
  <r>
    <n v="3491"/>
    <x v="0"/>
    <x v="122"/>
    <s v="P000001241"/>
    <s v="EL-PD Other"/>
    <s v="P000001234"/>
    <x v="0"/>
    <x v="0"/>
    <x v="0"/>
    <x v="3"/>
    <m/>
    <m/>
    <s v="Eivy Denine Cruz"/>
  </r>
  <r>
    <n v="3492"/>
    <x v="0"/>
    <x v="122"/>
    <s v="P000001242"/>
    <s v="ETM"/>
    <s v="P000001234"/>
    <x v="0"/>
    <x v="0"/>
    <x v="0"/>
    <x v="3"/>
    <m/>
    <m/>
    <s v="Eivy Denine Cruz"/>
  </r>
  <r>
    <n v="3493"/>
    <x v="0"/>
    <x v="122"/>
    <s v="P000001243"/>
    <s v="EL-DS BF FD R&amp;D General Expenses"/>
    <s v="P000001130"/>
    <x v="0"/>
    <x v="0"/>
    <x v="0"/>
    <x v="3"/>
    <m/>
    <m/>
    <s v="Eivy Denine Cruz"/>
  </r>
  <r>
    <n v="3494"/>
    <x v="0"/>
    <x v="122"/>
    <s v="P000001244"/>
    <s v="CC variances"/>
    <s v="P000001243"/>
    <x v="0"/>
    <x v="0"/>
    <x v="0"/>
    <x v="3"/>
    <m/>
    <m/>
    <s v="Eivy Denine Cruz"/>
  </r>
  <r>
    <n v="3495"/>
    <x v="0"/>
    <x v="122"/>
    <s v="P000001245"/>
    <s v="Smart Antenna"/>
    <s v="P000000593"/>
    <x v="0"/>
    <x v="0"/>
    <x v="0"/>
    <x v="3"/>
    <m/>
    <m/>
    <s v="Eivy Denine Cruz"/>
  </r>
  <r>
    <n v="3496"/>
    <x v="0"/>
    <x v="122"/>
    <s v="P000001246"/>
    <s v="Display Enabling Materials"/>
    <s v="P000000593"/>
    <x v="0"/>
    <x v="0"/>
    <x v="0"/>
    <x v="3"/>
    <m/>
    <m/>
    <s v="Eivy Denine Cruz"/>
  </r>
  <r>
    <n v="3497"/>
    <x v="0"/>
    <x v="122"/>
    <s v="P000001247"/>
    <s v="Flexible Hard Coat"/>
    <s v="P000001246"/>
    <x v="0"/>
    <x v="0"/>
    <x v="0"/>
    <x v="3"/>
    <m/>
    <m/>
    <s v="Eivy Denine Cruz"/>
  </r>
  <r>
    <n v="3498"/>
    <x v="0"/>
    <x v="122"/>
    <s v="P000001248"/>
    <s v="Low-K"/>
    <s v="P000001246"/>
    <x v="0"/>
    <x v="0"/>
    <x v="0"/>
    <x v="3"/>
    <m/>
    <m/>
    <s v="Eivy Denine Cruz"/>
  </r>
  <r>
    <n v="3499"/>
    <x v="0"/>
    <x v="122"/>
    <s v="P000001249"/>
    <s v="On-Cell touch"/>
    <s v="P000001246"/>
    <x v="0"/>
    <x v="0"/>
    <x v="0"/>
    <x v="3"/>
    <m/>
    <m/>
    <s v="Eivy Denine Cruz"/>
  </r>
  <r>
    <n v="3500"/>
    <x v="0"/>
    <x v="122"/>
    <s v="P000001250"/>
    <s v="OLED structures"/>
    <s v="P000001246"/>
    <x v="0"/>
    <x v="0"/>
    <x v="0"/>
    <x v="3"/>
    <m/>
    <m/>
    <s v="Eivy Denine Cruz"/>
  </r>
  <r>
    <n v="3501"/>
    <x v="0"/>
    <x v="122"/>
    <s v="P000001251"/>
    <s v="Reactive Mesogens"/>
    <s v="P000000593"/>
    <x v="0"/>
    <x v="0"/>
    <x v="0"/>
    <x v="3"/>
    <m/>
    <m/>
    <s v="Eivy Denine Cruz"/>
  </r>
  <r>
    <n v="3502"/>
    <x v="0"/>
    <x v="122"/>
    <s v="P000001252"/>
    <s v="Digital Optics"/>
    <s v="P000000593"/>
    <x v="0"/>
    <x v="0"/>
    <x v="0"/>
    <x v="3"/>
    <m/>
    <m/>
    <s v="Eivy Denine Cruz"/>
  </r>
  <r>
    <n v="3503"/>
    <x v="0"/>
    <x v="122"/>
    <s v="P000001253"/>
    <s v="Feasibility"/>
    <s v="P000000593"/>
    <x v="0"/>
    <x v="0"/>
    <x v="0"/>
    <x v="3"/>
    <m/>
    <m/>
    <s v="Eivy Denine Cruz"/>
  </r>
  <r>
    <n v="3504"/>
    <x v="0"/>
    <x v="122"/>
    <s v="P000000551"/>
    <m/>
    <s v="O000000009"/>
    <x v="3"/>
    <x v="0"/>
    <x v="0"/>
    <x v="3"/>
    <m/>
    <m/>
    <s v="Eivy Denine Cruz"/>
  </r>
  <r>
    <n v="3505"/>
    <x v="0"/>
    <x v="123"/>
    <s v="H000004389"/>
    <s v="CN - Onco ISS BU Pimi MKT"/>
    <s v="H000001411"/>
    <x v="0"/>
    <x v="0"/>
    <x v="0"/>
    <x v="1"/>
    <m/>
    <m/>
    <s v="Carlo Umali"/>
  </r>
  <r>
    <n v="3506"/>
    <x v="0"/>
    <x v="123"/>
    <s v="H000004390"/>
    <s v="CN - Onco Sales Promotion Pimi MKT"/>
    <s v="H000001421"/>
    <x v="0"/>
    <x v="0"/>
    <x v="0"/>
    <x v="1"/>
    <m/>
    <m/>
    <s v="Carlo Umali"/>
  </r>
  <r>
    <n v="3507"/>
    <x v="0"/>
    <x v="123"/>
    <s v="H000004391"/>
    <s v="CN - Medical Team Pimi MA"/>
    <s v="H000001526"/>
    <x v="0"/>
    <x v="0"/>
    <x v="0"/>
    <x v="1"/>
    <m/>
    <m/>
    <s v="Carlo Umali"/>
  </r>
  <r>
    <n v="3508"/>
    <x v="0"/>
    <x v="123"/>
    <s v="H000004392"/>
    <s v="CN - Medical activities Pimi MA"/>
    <s v="H000001539"/>
    <x v="0"/>
    <x v="0"/>
    <x v="0"/>
    <x v="1"/>
    <m/>
    <m/>
    <s v="Carlo Umali"/>
  </r>
  <r>
    <n v="3509"/>
    <x v="0"/>
    <x v="123"/>
    <s v="H000004393"/>
    <s v="CN - Local studies Pimi MA"/>
    <s v="H000001549"/>
    <x v="0"/>
    <x v="0"/>
    <x v="0"/>
    <x v="1"/>
    <m/>
    <m/>
    <s v="Carlo Umali"/>
  </r>
  <r>
    <n v="3510"/>
    <x v="0"/>
    <x v="124"/>
    <s v="H000000451"/>
    <m/>
    <s v="O000000009"/>
    <x v="3"/>
    <x v="0"/>
    <x v="0"/>
    <x v="1"/>
    <m/>
    <m/>
    <s v="Henry Ifurung Jr."/>
  </r>
  <r>
    <n v="3511"/>
    <x v="0"/>
    <x v="124"/>
    <s v="H000000452"/>
    <m/>
    <s v="O000000009"/>
    <x v="3"/>
    <x v="0"/>
    <x v="0"/>
    <x v="1"/>
    <m/>
    <m/>
    <s v="Henry Ifurung Jr."/>
  </r>
  <r>
    <n v="3512"/>
    <x v="0"/>
    <x v="124"/>
    <s v="H000000453"/>
    <m/>
    <s v="O000000009"/>
    <x v="3"/>
    <x v="0"/>
    <x v="0"/>
    <x v="1"/>
    <m/>
    <m/>
    <s v="Henry Ifurung Jr."/>
  </r>
  <r>
    <n v="3513"/>
    <x v="0"/>
    <x v="124"/>
    <s v="H000000946"/>
    <m/>
    <s v="O000000009"/>
    <x v="3"/>
    <x v="0"/>
    <x v="0"/>
    <x v="1"/>
    <m/>
    <m/>
    <s v="Henry Ifurung Jr."/>
  </r>
  <r>
    <n v="3514"/>
    <x v="0"/>
    <x v="125"/>
    <s v="H000000718"/>
    <s v="RD-R Regulatory, Quality, Safety"/>
    <m/>
    <x v="2"/>
    <x v="0"/>
    <x v="0"/>
    <x v="1"/>
    <m/>
    <m/>
    <s v="Gay Geanuza del Mundo"/>
  </r>
  <r>
    <n v="3515"/>
    <x v="0"/>
    <x v="125"/>
    <s v="H000000719"/>
    <s v="R&amp;D Quality &amp; Risk Management"/>
    <m/>
    <x v="2"/>
    <x v="0"/>
    <x v="0"/>
    <x v="1"/>
    <m/>
    <m/>
    <s v="Gay Geanuza del Mundo"/>
  </r>
  <r>
    <n v="3516"/>
    <x v="0"/>
    <x v="125"/>
    <s v="H000000720"/>
    <s v="RQS Operations"/>
    <m/>
    <x v="2"/>
    <x v="0"/>
    <x v="0"/>
    <x v="1"/>
    <m/>
    <m/>
    <s v="Gay Geanuza del Mundo"/>
  </r>
  <r>
    <n v="3517"/>
    <x v="0"/>
    <x v="125"/>
    <s v="H000000723"/>
    <s v="International Regulatory Affairs"/>
    <m/>
    <x v="2"/>
    <x v="0"/>
    <x v="0"/>
    <x v="1"/>
    <m/>
    <m/>
    <s v="Gay Geanuza del Mundo"/>
  </r>
  <r>
    <n v="3518"/>
    <x v="0"/>
    <x v="125"/>
    <s v="H000000737"/>
    <s v="TA Neurology, Immunology &amp; Establ. Prod."/>
    <m/>
    <x v="2"/>
    <x v="0"/>
    <x v="0"/>
    <x v="1"/>
    <m/>
    <m/>
    <s v="Gay Geanuza del Mundo"/>
  </r>
  <r>
    <n v="3519"/>
    <x v="0"/>
    <x v="125"/>
    <s v="H000000740"/>
    <s v="RQS Head"/>
    <m/>
    <x v="2"/>
    <x v="0"/>
    <x v="0"/>
    <x v="1"/>
    <m/>
    <m/>
    <s v="Gay Geanuza del Mundo"/>
  </r>
  <r>
    <n v="3520"/>
    <x v="0"/>
    <x v="125"/>
    <s v="H000000743"/>
    <s v="Regulatory CMC &amp; Devices"/>
    <m/>
    <x v="2"/>
    <x v="0"/>
    <x v="0"/>
    <x v="1"/>
    <m/>
    <m/>
    <s v="Gay Geanuza del Mundo"/>
  </r>
  <r>
    <n v="3521"/>
    <x v="0"/>
    <x v="125"/>
    <s v="H000000908"/>
    <s v="Labeling Strategy &amp; Advertising &amp; Promo"/>
    <m/>
    <x v="2"/>
    <x v="0"/>
    <x v="0"/>
    <x v="1"/>
    <m/>
    <m/>
    <s v="Gay Geanuza del Mundo"/>
  </r>
  <r>
    <n v="3522"/>
    <x v="0"/>
    <x v="126"/>
    <s v="IT06100500"/>
    <s v="EF-IT-PB"/>
    <s v="G000001238"/>
    <x v="1"/>
    <x v="0"/>
    <x v="0"/>
    <x v="0"/>
    <m/>
    <m/>
    <s v="Joshua Cachola"/>
  </r>
  <r>
    <n v="3523"/>
    <x v="0"/>
    <x v="126"/>
    <s v="G000001275"/>
    <m/>
    <s v="O000000009"/>
    <x v="3"/>
    <x v="0"/>
    <x v="0"/>
    <x v="0"/>
    <m/>
    <m/>
    <s v="Joshua Cachola"/>
  </r>
  <r>
    <n v="3524"/>
    <x v="0"/>
    <x v="126"/>
    <s v="G000001273"/>
    <m/>
    <s v="O000000009"/>
    <x v="3"/>
    <x v="0"/>
    <x v="0"/>
    <x v="0"/>
    <m/>
    <m/>
    <s v="Joshua Cachola"/>
  </r>
  <r>
    <n v="3525"/>
    <x v="0"/>
    <x v="126"/>
    <s v="G000001274"/>
    <m/>
    <s v="O000000009"/>
    <x v="3"/>
    <x v="0"/>
    <x v="0"/>
    <x v="0"/>
    <m/>
    <m/>
    <s v="Joshua Cachola"/>
  </r>
  <r>
    <n v="3526"/>
    <x v="0"/>
    <x v="127"/>
    <s v="G000001265"/>
    <s v="GMR MBS Innovation &amp; Data-Int.Automation"/>
    <m/>
    <x v="2"/>
    <x v="0"/>
    <x v="0"/>
    <x v="0"/>
    <m/>
    <m/>
    <s v="Jojeff Tagnong"/>
  </r>
  <r>
    <n v="3527"/>
    <x v="0"/>
    <x v="127"/>
    <s v="G000001211"/>
    <s v="GLW MBS FS&amp;P PO-Perform.Mgmt &amp;Compl. PO"/>
    <m/>
    <x v="2"/>
    <x v="0"/>
    <x v="0"/>
    <x v="0"/>
    <m/>
    <m/>
    <s v="Jojeff Tagnong"/>
  </r>
  <r>
    <n v="3528"/>
    <x v="0"/>
    <x v="127"/>
    <s v="G000001219"/>
    <s v="GMG MBS FS&amp;P Ent.S.-Communication Serv."/>
    <m/>
    <x v="2"/>
    <x v="0"/>
    <x v="0"/>
    <x v="0"/>
    <m/>
    <m/>
    <s v="Jojeff Tagnong"/>
  </r>
  <r>
    <n v="3529"/>
    <x v="0"/>
    <x v="127"/>
    <s v="G000001279"/>
    <s v="GMS MBS Innovation &amp; Data-Data Sci &amp; AI"/>
    <s v="G000001145"/>
    <x v="0"/>
    <x v="0"/>
    <x v="0"/>
    <x v="0"/>
    <m/>
    <m/>
    <s v="Jojeff Tagnong"/>
  </r>
  <r>
    <n v="3530"/>
    <x v="0"/>
    <x v="127"/>
    <s v="G000001280"/>
    <s v="GMT MBS FS&amp;P Ent.S.- Event Services"/>
    <s v="G000001148"/>
    <x v="0"/>
    <x v="0"/>
    <x v="0"/>
    <x v="0"/>
    <m/>
    <m/>
    <s v="Jojeff Tagnong"/>
  </r>
  <r>
    <n v="3531"/>
    <x v="0"/>
    <x v="127"/>
    <s v="G000001281"/>
    <s v="GN9 PS - Core Ext.Cost"/>
    <s v="G000000131"/>
    <x v="0"/>
    <x v="0"/>
    <x v="0"/>
    <x v="0"/>
    <m/>
    <m/>
    <s v="Jojeff Tagnong"/>
  </r>
  <r>
    <n v="3532"/>
    <x v="0"/>
    <x v="127"/>
    <s v="G000001282"/>
    <s v="GP0 PS - Healthcare Ext.Cost"/>
    <s v="G000000132"/>
    <x v="0"/>
    <x v="0"/>
    <x v="0"/>
    <x v="0"/>
    <m/>
    <m/>
    <s v="Jojeff Tagnong"/>
  </r>
  <r>
    <n v="3533"/>
    <x v="0"/>
    <x v="127"/>
    <s v="G000001283"/>
    <s v="GP1 PS - Life Science Ext.Cost"/>
    <s v="G000000133"/>
    <x v="0"/>
    <x v="0"/>
    <x v="0"/>
    <x v="0"/>
    <m/>
    <m/>
    <s v="Jojeff Tagnong"/>
  </r>
  <r>
    <n v="3534"/>
    <x v="0"/>
    <x v="127"/>
    <s v="G000001284"/>
    <s v="GY1 PS - Electronics Ext.Cost"/>
    <s v="G000000134"/>
    <x v="0"/>
    <x v="0"/>
    <x v="0"/>
    <x v="0"/>
    <m/>
    <m/>
    <s v="Jojeff Tagnong"/>
  </r>
  <r>
    <n v="3535"/>
    <x v="0"/>
    <x v="127"/>
    <s v="G000001285"/>
    <s v="GMU SQ - Bioethics"/>
    <s v="G000000586"/>
    <x v="0"/>
    <x v="0"/>
    <x v="0"/>
    <x v="0"/>
    <m/>
    <m/>
    <s v="Jojeff Tagnong"/>
  </r>
  <r>
    <n v="3536"/>
    <x v="0"/>
    <x v="128"/>
    <s v="L000013790"/>
    <s v="Regional management_US East"/>
    <s v="L000013446"/>
    <x v="0"/>
    <x v="0"/>
    <x v="0"/>
    <x v="2"/>
    <m/>
    <m/>
    <s v="Jayson Martinez"/>
  </r>
  <r>
    <n v="3537"/>
    <x v="0"/>
    <x v="128"/>
    <s v="L000013791"/>
    <s v="Regional management_US Mid West"/>
    <s v="L000013447"/>
    <x v="0"/>
    <x v="0"/>
    <x v="0"/>
    <x v="2"/>
    <m/>
    <m/>
    <s v="Jayson Martinez"/>
  </r>
  <r>
    <n v="3538"/>
    <x v="0"/>
    <x v="128"/>
    <s v="L000013792"/>
    <s v="Regional management_US West"/>
    <s v="L000013448"/>
    <x v="0"/>
    <x v="0"/>
    <x v="0"/>
    <x v="2"/>
    <m/>
    <m/>
    <s v="Jayson Martinez"/>
  </r>
  <r>
    <n v="3539"/>
    <x v="0"/>
    <x v="128"/>
    <s v="L000013793"/>
    <s v="Regional management_Western Europe &amp; ME"/>
    <s v="L000013450"/>
    <x v="0"/>
    <x v="0"/>
    <x v="0"/>
    <x v="2"/>
    <m/>
    <m/>
    <s v="Jayson Martinez"/>
  </r>
  <r>
    <n v="3540"/>
    <x v="0"/>
    <x v="128"/>
    <s v="L000013794"/>
    <s v="Regional management_Central Europe"/>
    <s v="L000013451"/>
    <x v="0"/>
    <x v="0"/>
    <x v="0"/>
    <x v="2"/>
    <m/>
    <m/>
    <s v="Jayson Martinez"/>
  </r>
  <r>
    <n v="3541"/>
    <x v="0"/>
    <x v="128"/>
    <s v="L000013795"/>
    <s v="Systems &amp; Maintenance Engineering"/>
    <s v="L000013452"/>
    <x v="0"/>
    <x v="0"/>
    <x v="0"/>
    <x v="2"/>
    <m/>
    <m/>
    <s v="Jayson Martinez"/>
  </r>
  <r>
    <n v="3542"/>
    <x v="0"/>
    <x v="128"/>
    <s v="L000013796"/>
    <s v="Performance Management &amp; Transformation"/>
    <s v="L000009794"/>
    <x v="0"/>
    <x v="0"/>
    <x v="0"/>
    <x v="2"/>
    <m/>
    <m/>
    <s v="Jayson Martinez"/>
  </r>
  <r>
    <n v="3543"/>
    <x v="0"/>
    <x v="128"/>
    <s v="L000013797"/>
    <s v="Supply Chain LSS"/>
    <s v="L000009794"/>
    <x v="0"/>
    <x v="0"/>
    <x v="0"/>
    <x v="2"/>
    <m/>
    <m/>
    <s v="Jayson Martinez"/>
  </r>
  <r>
    <n v="3544"/>
    <x v="0"/>
    <x v="128"/>
    <s v="L000013798"/>
    <s v="ONE LS ERP"/>
    <s v="L000013623"/>
    <x v="0"/>
    <x v="0"/>
    <x v="0"/>
    <x v="2"/>
    <m/>
    <m/>
    <s v="Jayson Martinez"/>
  </r>
  <r>
    <n v="3545"/>
    <x v="0"/>
    <x v="128"/>
    <s v="L000013799"/>
    <s v="ONE LS ERP Business"/>
    <s v="L000013798"/>
    <x v="0"/>
    <x v="0"/>
    <x v="0"/>
    <x v="2"/>
    <m/>
    <m/>
    <s v="Jayson Martinez"/>
  </r>
  <r>
    <n v="3546"/>
    <x v="0"/>
    <x v="128"/>
    <s v="L000013800"/>
    <s v="ISCO"/>
    <s v="L000013799"/>
    <x v="0"/>
    <x v="0"/>
    <x v="0"/>
    <x v="2"/>
    <m/>
    <m/>
    <s v="Jayson Martinez"/>
  </r>
  <r>
    <n v="3547"/>
    <x v="0"/>
    <x v="128"/>
    <s v="L000013801"/>
    <s v="MBS"/>
    <s v="L000013799"/>
    <x v="0"/>
    <x v="0"/>
    <x v="0"/>
    <x v="2"/>
    <m/>
    <m/>
    <s v="Jayson Martinez"/>
  </r>
  <r>
    <n v="3548"/>
    <x v="0"/>
    <x v="128"/>
    <s v="L000013802"/>
    <s v="Quality &amp; Data"/>
    <s v="L000013799"/>
    <x v="0"/>
    <x v="0"/>
    <x v="0"/>
    <x v="2"/>
    <m/>
    <m/>
    <s v="Jayson Martinez"/>
  </r>
  <r>
    <n v="3549"/>
    <x v="0"/>
    <x v="128"/>
    <s v="L000013803"/>
    <s v="STO - Commercial, Change Mngmt &amp; Comms"/>
    <s v="L000013799"/>
    <x v="0"/>
    <x v="0"/>
    <x v="0"/>
    <x v="2"/>
    <m/>
    <m/>
    <s v="Jayson Martinez"/>
  </r>
  <r>
    <n v="3550"/>
    <x v="0"/>
    <x v="128"/>
    <s v="L000013804"/>
    <s v="LS Finance"/>
    <s v="L000013799"/>
    <x v="0"/>
    <x v="0"/>
    <x v="0"/>
    <x v="2"/>
    <m/>
    <m/>
    <s v="Jayson Martinez"/>
  </r>
  <r>
    <n v="3551"/>
    <x v="0"/>
    <x v="128"/>
    <s v="L000013805"/>
    <s v="Business External"/>
    <s v="L000013799"/>
    <x v="0"/>
    <x v="0"/>
    <x v="0"/>
    <x v="2"/>
    <m/>
    <m/>
    <s v="Jayson Martinez"/>
  </r>
  <r>
    <n v="3552"/>
    <x v="0"/>
    <x v="128"/>
    <s v="L000013806"/>
    <s v="Business Labor"/>
    <s v="L000013799"/>
    <x v="0"/>
    <x v="0"/>
    <x v="0"/>
    <x v="2"/>
    <m/>
    <m/>
    <s v="Jayson Martinez"/>
  </r>
  <r>
    <n v="3553"/>
    <x v="0"/>
    <x v="128"/>
    <s v="L000013807"/>
    <s v="ONE LS ERP IT"/>
    <s v="L000013798"/>
    <x v="0"/>
    <x v="0"/>
    <x v="0"/>
    <x v="2"/>
    <m/>
    <m/>
    <s v="Jayson Martinez"/>
  </r>
  <r>
    <n v="3554"/>
    <x v="0"/>
    <x v="128"/>
    <s v="L000013808"/>
    <s v="IT LS"/>
    <s v="L000013807"/>
    <x v="0"/>
    <x v="0"/>
    <x v="0"/>
    <x v="2"/>
    <m/>
    <m/>
    <s v="Jayson Martinez"/>
  </r>
  <r>
    <n v="3555"/>
    <x v="0"/>
    <x v="128"/>
    <s v="L000013809"/>
    <s v="IT Group CIO"/>
    <s v="L000013807"/>
    <x v="0"/>
    <x v="0"/>
    <x v="0"/>
    <x v="2"/>
    <m/>
    <m/>
    <s v="Jayson Martinez"/>
  </r>
  <r>
    <n v="3556"/>
    <x v="0"/>
    <x v="128"/>
    <s v="L000013810"/>
    <s v="IT External"/>
    <s v="L000013807"/>
    <x v="0"/>
    <x v="0"/>
    <x v="0"/>
    <x v="2"/>
    <m/>
    <m/>
    <s v="Jayson Martinez"/>
  </r>
  <r>
    <n v="3557"/>
    <x v="0"/>
    <x v="128"/>
    <s v="L000013811"/>
    <s v="IT Labor"/>
    <s v="L000013807"/>
    <x v="0"/>
    <x v="0"/>
    <x v="0"/>
    <x v="2"/>
    <m/>
    <m/>
    <s v="Jayson Martinez"/>
  </r>
  <r>
    <n v="3558"/>
    <x v="0"/>
    <x v="128"/>
    <s v="L000013812"/>
    <s v="IT Accounting"/>
    <s v="L000013798"/>
    <x v="0"/>
    <x v="0"/>
    <x v="0"/>
    <x v="2"/>
    <m/>
    <m/>
    <s v="Jayson Martinez"/>
  </r>
  <r>
    <n v="3559"/>
    <x v="0"/>
    <x v="128"/>
    <s v="L000013813"/>
    <s v="Technology Leadership Fund - KAIST"/>
    <s v="L000013326"/>
    <x v="0"/>
    <x v="0"/>
    <x v="0"/>
    <x v="2"/>
    <m/>
    <m/>
    <s v="Jayson Martinez"/>
  </r>
  <r>
    <n v="3560"/>
    <x v="0"/>
    <x v="128"/>
    <s v="L000013814"/>
    <s v="LSS Marketing Communication"/>
    <s v="L000013183"/>
    <x v="0"/>
    <x v="0"/>
    <x v="0"/>
    <x v="2"/>
    <m/>
    <m/>
    <s v="Jayson Martinez"/>
  </r>
  <r>
    <n v="3561"/>
    <x v="0"/>
    <x v="128"/>
    <s v="L000013815"/>
    <s v="LSS Commercial Enablement"/>
    <s v="L000013183"/>
    <x v="0"/>
    <x v="0"/>
    <x v="0"/>
    <x v="2"/>
    <m/>
    <m/>
    <s v="Jayson Martinez"/>
  </r>
  <r>
    <n v="3562"/>
    <x v="0"/>
    <x v="128"/>
    <s v="L000013816"/>
    <s v="Spruce - Cell Marque Operations"/>
    <s v="L000013656"/>
    <x v="0"/>
    <x v="0"/>
    <x v="0"/>
    <x v="2"/>
    <m/>
    <m/>
    <s v="Jayson Martinez"/>
  </r>
  <r>
    <n v="3563"/>
    <x v="0"/>
    <x v="128"/>
    <s v="L000005678"/>
    <s v="BM - Mktg - Pharma &amp; F&amp;B -G"/>
    <m/>
    <x v="2"/>
    <x v="0"/>
    <x v="0"/>
    <x v="2"/>
    <m/>
    <m/>
    <s v="Jayson Martinez"/>
  </r>
  <r>
    <n v="3564"/>
    <x v="0"/>
    <x v="128"/>
    <s v="L000005683"/>
    <s v="BM - Technical Support"/>
    <m/>
    <x v="2"/>
    <x v="0"/>
    <x v="0"/>
    <x v="2"/>
    <m/>
    <m/>
    <s v="Jayson Martinez"/>
  </r>
  <r>
    <n v="3565"/>
    <x v="0"/>
    <x v="128"/>
    <s v="L000013611"/>
    <s v="DxRM - Molecular &amp; Immunoassay Mat Old"/>
    <m/>
    <x v="2"/>
    <x v="0"/>
    <x v="0"/>
    <x v="2"/>
    <m/>
    <m/>
    <s v="Jayson Martinez"/>
  </r>
  <r>
    <n v="3566"/>
    <x v="0"/>
    <x v="128"/>
    <s v="L000013554"/>
    <s v="SingleUse &amp; Integrated Platform Solution"/>
    <m/>
    <x v="2"/>
    <x v="0"/>
    <x v="0"/>
    <x v="2"/>
    <m/>
    <m/>
    <s v="Jayson Martinez"/>
  </r>
  <r>
    <n v="3567"/>
    <x v="0"/>
    <x v="128"/>
    <s v="L000008293"/>
    <s v="SLS Commercial APeC -G"/>
    <m/>
    <x v="2"/>
    <x v="0"/>
    <x v="0"/>
    <x v="2"/>
    <m/>
    <m/>
    <s v="Jayson Martinez"/>
  </r>
  <r>
    <n v="3568"/>
    <x v="0"/>
    <x v="128"/>
    <s v="L000011139"/>
    <s v="Analytics CoE"/>
    <m/>
    <x v="2"/>
    <x v="0"/>
    <x v="0"/>
    <x v="2"/>
    <m/>
    <m/>
    <s v="Jayson Martinez"/>
  </r>
  <r>
    <n v="3569"/>
    <x v="0"/>
    <x v="128"/>
    <s v="L000011322"/>
    <s v="Life Science Business Development"/>
    <m/>
    <x v="2"/>
    <x v="0"/>
    <x v="0"/>
    <x v="2"/>
    <m/>
    <m/>
    <s v="Jayson Martinez"/>
  </r>
  <r>
    <n v="3570"/>
    <x v="0"/>
    <x v="128"/>
    <s v="L000011344"/>
    <s v="Strategy &amp; Market Intelligence"/>
    <m/>
    <x v="2"/>
    <x v="0"/>
    <x v="0"/>
    <x v="2"/>
    <m/>
    <m/>
    <s v="Jayson Martinez"/>
  </r>
  <r>
    <n v="3571"/>
    <x v="0"/>
    <x v="128"/>
    <s v="L000011353"/>
    <s v="Program Management and Change"/>
    <m/>
    <x v="2"/>
    <x v="0"/>
    <x v="0"/>
    <x v="2"/>
    <m/>
    <m/>
    <s v="Jayson Martinez"/>
  </r>
  <r>
    <n v="3572"/>
    <x v="0"/>
    <x v="128"/>
    <s v="L000012995"/>
    <s v="Sustainability &amp; Social Business Innovat"/>
    <m/>
    <x v="2"/>
    <x v="0"/>
    <x v="0"/>
    <x v="2"/>
    <m/>
    <m/>
    <s v="Jayson Martinez"/>
  </r>
  <r>
    <n v="3573"/>
    <x v="0"/>
    <x v="128"/>
    <s v="L000005915"/>
    <s v="DxRM - Immunoassay Materials"/>
    <s v="L000005842"/>
    <x v="4"/>
    <x v="0"/>
    <x v="0"/>
    <x v="2"/>
    <m/>
    <m/>
    <s v="Jayson Martinez"/>
  </r>
  <r>
    <n v="3574"/>
    <x v="0"/>
    <x v="128"/>
    <s v="L000006082"/>
    <s v="LW MEA"/>
    <s v="L000013197"/>
    <x v="4"/>
    <x v="0"/>
    <x v="0"/>
    <x v="2"/>
    <m/>
    <m/>
    <s v="Jayson Martinez"/>
  </r>
  <r>
    <n v="3575"/>
    <x v="0"/>
    <x v="128"/>
    <s v="L000013711"/>
    <m/>
    <s v="L000013710"/>
    <x v="1"/>
    <x v="0"/>
    <x v="0"/>
    <x v="2"/>
    <m/>
    <m/>
    <s v="Jayson Martinez"/>
  </r>
  <r>
    <n v="3576"/>
    <x v="0"/>
    <x v="128"/>
    <s v="L000013712"/>
    <m/>
    <s v="L000013710"/>
    <x v="1"/>
    <x v="0"/>
    <x v="0"/>
    <x v="2"/>
    <m/>
    <m/>
    <s v="Jayson Martinez"/>
  </r>
  <r>
    <n v="3577"/>
    <x v="0"/>
    <x v="128"/>
    <s v="L000013713"/>
    <m/>
    <s v="L000013710"/>
    <x v="1"/>
    <x v="0"/>
    <x v="0"/>
    <x v="2"/>
    <m/>
    <m/>
    <s v="Jayson Martinez"/>
  </r>
  <r>
    <n v="3578"/>
    <x v="0"/>
    <x v="128"/>
    <s v="L000013714"/>
    <m/>
    <s v="L000013710"/>
    <x v="1"/>
    <x v="0"/>
    <x v="0"/>
    <x v="2"/>
    <m/>
    <m/>
    <s v="Jayson Martinez"/>
  </r>
  <r>
    <n v="3579"/>
    <x v="0"/>
    <x v="128"/>
    <s v="L000013715"/>
    <m/>
    <s v="L000013710"/>
    <x v="1"/>
    <x v="0"/>
    <x v="0"/>
    <x v="2"/>
    <m/>
    <m/>
    <s v="Jayson Martinez"/>
  </r>
  <r>
    <n v="3580"/>
    <x v="0"/>
    <x v="128"/>
    <s v="L000013716"/>
    <m/>
    <s v="L000013710"/>
    <x v="1"/>
    <x v="0"/>
    <x v="0"/>
    <x v="2"/>
    <m/>
    <m/>
    <s v="Jayson Martinez"/>
  </r>
  <r>
    <n v="3581"/>
    <x v="0"/>
    <x v="128"/>
    <s v="L000013717"/>
    <m/>
    <s v="L000013710"/>
    <x v="1"/>
    <x v="0"/>
    <x v="0"/>
    <x v="2"/>
    <m/>
    <m/>
    <s v="Jayson Martinez"/>
  </r>
  <r>
    <n v="3582"/>
    <x v="0"/>
    <x v="128"/>
    <s v="L000013719"/>
    <m/>
    <s v="L000013710"/>
    <x v="1"/>
    <x v="0"/>
    <x v="0"/>
    <x v="2"/>
    <m/>
    <m/>
    <s v="Jayson Martinez"/>
  </r>
  <r>
    <n v="3583"/>
    <x v="0"/>
    <x v="128"/>
    <s v="L000013720"/>
    <m/>
    <s v="L000013710"/>
    <x v="1"/>
    <x v="0"/>
    <x v="0"/>
    <x v="2"/>
    <m/>
    <m/>
    <s v="Jayson Martinez"/>
  </r>
  <r>
    <n v="3584"/>
    <x v="0"/>
    <x v="128"/>
    <s v="L000013721"/>
    <m/>
    <s v="L000013710"/>
    <x v="1"/>
    <x v="0"/>
    <x v="0"/>
    <x v="2"/>
    <m/>
    <m/>
    <s v="Jayson Martinez"/>
  </r>
  <r>
    <n v="3585"/>
    <x v="0"/>
    <x v="128"/>
    <s v="L000013722"/>
    <m/>
    <s v="L000013710"/>
    <x v="1"/>
    <x v="0"/>
    <x v="0"/>
    <x v="2"/>
    <m/>
    <m/>
    <s v="Jayson Martinez"/>
  </r>
  <r>
    <n v="3586"/>
    <x v="0"/>
    <x v="128"/>
    <s v="L000013723"/>
    <m/>
    <s v="L000013710"/>
    <x v="1"/>
    <x v="0"/>
    <x v="0"/>
    <x v="2"/>
    <m/>
    <m/>
    <s v="Jayson Martinez"/>
  </r>
  <r>
    <n v="3587"/>
    <x v="0"/>
    <x v="128"/>
    <s v="L000013724"/>
    <m/>
    <s v="L000013710"/>
    <x v="1"/>
    <x v="0"/>
    <x v="0"/>
    <x v="2"/>
    <m/>
    <m/>
    <s v="Jayson Martinez"/>
  </r>
  <r>
    <n v="3588"/>
    <x v="0"/>
    <x v="128"/>
    <s v="L000005672"/>
    <m/>
    <s v="L000005678"/>
    <x v="1"/>
    <x v="0"/>
    <x v="0"/>
    <x v="2"/>
    <m/>
    <m/>
    <s v="Jayson Martinez"/>
  </r>
  <r>
    <n v="3589"/>
    <x v="0"/>
    <x v="128"/>
    <s v="L000005673"/>
    <m/>
    <s v="L000005678"/>
    <x v="1"/>
    <x v="0"/>
    <x v="0"/>
    <x v="2"/>
    <m/>
    <m/>
    <s v="Jayson Martinez"/>
  </r>
  <r>
    <n v="3590"/>
    <x v="0"/>
    <x v="128"/>
    <s v="L000005674"/>
    <m/>
    <s v="L000005678"/>
    <x v="1"/>
    <x v="0"/>
    <x v="0"/>
    <x v="2"/>
    <m/>
    <m/>
    <s v="Jayson Martinez"/>
  </r>
  <r>
    <n v="3591"/>
    <x v="0"/>
    <x v="128"/>
    <s v="L000005694"/>
    <m/>
    <s v="L000005668"/>
    <x v="1"/>
    <x v="0"/>
    <x v="0"/>
    <x v="2"/>
    <m/>
    <m/>
    <s v="Jayson Martinez"/>
  </r>
  <r>
    <n v="3592"/>
    <x v="0"/>
    <x v="128"/>
    <s v="L000005837"/>
    <m/>
    <s v="L000005668"/>
    <x v="1"/>
    <x v="0"/>
    <x v="0"/>
    <x v="2"/>
    <m/>
    <m/>
    <s v="Jayson Martinez"/>
  </r>
  <r>
    <n v="3593"/>
    <x v="0"/>
    <x v="128"/>
    <s v="L000005839"/>
    <m/>
    <s v="L000005826"/>
    <x v="1"/>
    <x v="0"/>
    <x v="0"/>
    <x v="2"/>
    <m/>
    <m/>
    <s v="Jayson Martinez"/>
  </r>
  <r>
    <n v="3594"/>
    <x v="0"/>
    <x v="128"/>
    <s v="L000005684"/>
    <m/>
    <s v="L000005382"/>
    <x v="1"/>
    <x v="0"/>
    <x v="0"/>
    <x v="2"/>
    <m/>
    <m/>
    <s v="Jayson Martinez"/>
  </r>
  <r>
    <n v="3595"/>
    <x v="0"/>
    <x v="128"/>
    <s v="L000005685"/>
    <m/>
    <s v="L000005382"/>
    <x v="1"/>
    <x v="0"/>
    <x v="0"/>
    <x v="2"/>
    <m/>
    <m/>
    <s v="Jayson Martinez"/>
  </r>
  <r>
    <n v="3596"/>
    <x v="0"/>
    <x v="128"/>
    <s v="L000005686"/>
    <m/>
    <s v="L000005382"/>
    <x v="1"/>
    <x v="0"/>
    <x v="0"/>
    <x v="2"/>
    <m/>
    <m/>
    <s v="Jayson Martinez"/>
  </r>
  <r>
    <n v="3597"/>
    <x v="0"/>
    <x v="128"/>
    <s v="L000005687"/>
    <m/>
    <s v="L000005382"/>
    <x v="1"/>
    <x v="0"/>
    <x v="0"/>
    <x v="2"/>
    <m/>
    <m/>
    <s v="Jayson Martinez"/>
  </r>
  <r>
    <n v="3598"/>
    <x v="0"/>
    <x v="128"/>
    <s v="L000005926"/>
    <m/>
    <s v="L000005842"/>
    <x v="1"/>
    <x v="0"/>
    <x v="0"/>
    <x v="2"/>
    <m/>
    <m/>
    <s v="Jayson Martinez"/>
  </r>
  <r>
    <n v="3599"/>
    <x v="0"/>
    <x v="128"/>
    <s v="L000013198"/>
    <m/>
    <s v="L000013703"/>
    <x v="1"/>
    <x v="0"/>
    <x v="0"/>
    <x v="2"/>
    <m/>
    <m/>
    <s v="Jayson Martinez"/>
  </r>
  <r>
    <n v="3600"/>
    <x v="0"/>
    <x v="128"/>
    <s v="L000006100"/>
    <m/>
    <s v="L000006092"/>
    <x v="1"/>
    <x v="0"/>
    <x v="0"/>
    <x v="2"/>
    <m/>
    <m/>
    <s v="Jayson Martinez"/>
  </r>
  <r>
    <n v="3601"/>
    <x v="0"/>
    <x v="128"/>
    <s v="L000009961"/>
    <m/>
    <s v="L000013796"/>
    <x v="1"/>
    <x v="0"/>
    <x v="0"/>
    <x v="2"/>
    <m/>
    <m/>
    <s v="Jayson Martinez"/>
  </r>
  <r>
    <n v="3602"/>
    <x v="0"/>
    <x v="128"/>
    <s v="L000010062"/>
    <m/>
    <s v="L000013796"/>
    <x v="1"/>
    <x v="0"/>
    <x v="0"/>
    <x v="2"/>
    <m/>
    <m/>
    <s v="Jayson Martinez"/>
  </r>
  <r>
    <n v="3603"/>
    <x v="0"/>
    <x v="128"/>
    <s v="L000013556"/>
    <m/>
    <s v="L000013554"/>
    <x v="1"/>
    <x v="0"/>
    <x v="0"/>
    <x v="2"/>
    <m/>
    <m/>
    <s v="Jayson Martinez"/>
  </r>
  <r>
    <n v="3604"/>
    <x v="0"/>
    <x v="128"/>
    <s v="L000008319"/>
    <m/>
    <s v="L000007596"/>
    <x v="1"/>
    <x v="0"/>
    <x v="0"/>
    <x v="2"/>
    <m/>
    <m/>
    <s v="Jayson Martinez"/>
  </r>
  <r>
    <n v="3605"/>
    <x v="0"/>
    <x v="128"/>
    <s v="L000013488"/>
    <m/>
    <s v="L000010182"/>
    <x v="1"/>
    <x v="0"/>
    <x v="0"/>
    <x v="2"/>
    <m/>
    <m/>
    <s v="Jayson Martinez"/>
  </r>
  <r>
    <n v="3606"/>
    <x v="0"/>
    <x v="128"/>
    <s v="L000009448"/>
    <m/>
    <s v="L000009444"/>
    <x v="1"/>
    <x v="0"/>
    <x v="0"/>
    <x v="2"/>
    <m/>
    <m/>
    <s v="Jayson Martinez"/>
  </r>
  <r>
    <n v="3607"/>
    <x v="0"/>
    <x v="128"/>
    <s v="L000009582"/>
    <m/>
    <s v="L000009581"/>
    <x v="1"/>
    <x v="0"/>
    <x v="0"/>
    <x v="2"/>
    <m/>
    <m/>
    <s v="Jayson Martinez"/>
  </r>
  <r>
    <n v="3608"/>
    <x v="0"/>
    <x v="128"/>
    <s v="L000009604"/>
    <m/>
    <s v="L000009599"/>
    <x v="1"/>
    <x v="0"/>
    <x v="0"/>
    <x v="2"/>
    <m/>
    <m/>
    <s v="Jayson Martinez"/>
  </r>
  <r>
    <n v="3609"/>
    <x v="0"/>
    <x v="128"/>
    <s v="L000009610"/>
    <m/>
    <s v="L000009599"/>
    <x v="1"/>
    <x v="0"/>
    <x v="0"/>
    <x v="2"/>
    <m/>
    <m/>
    <s v="Jayson Martinez"/>
  </r>
  <r>
    <n v="3610"/>
    <x v="0"/>
    <x v="128"/>
    <s v="L000013605"/>
    <m/>
    <s v="L000013680"/>
    <x v="3"/>
    <x v="0"/>
    <x v="0"/>
    <x v="2"/>
    <m/>
    <m/>
    <s v="Jayson Martinez"/>
  </r>
  <r>
    <n v="3611"/>
    <x v="0"/>
    <x v="128"/>
    <s v="L000005840"/>
    <m/>
    <s v="L000013680"/>
    <x v="3"/>
    <x v="0"/>
    <x v="0"/>
    <x v="2"/>
    <m/>
    <m/>
    <s v="Jayson Martinez"/>
  </r>
  <r>
    <n v="3612"/>
    <x v="0"/>
    <x v="128"/>
    <s v="L000012505"/>
    <m/>
    <s v="L000013680"/>
    <x v="3"/>
    <x v="0"/>
    <x v="0"/>
    <x v="2"/>
    <m/>
    <m/>
    <s v="Jayson Martinez"/>
  </r>
  <r>
    <n v="3613"/>
    <x v="0"/>
    <x v="128"/>
    <s v="L000012823"/>
    <m/>
    <s v="L000013680"/>
    <x v="3"/>
    <x v="0"/>
    <x v="0"/>
    <x v="2"/>
    <m/>
    <m/>
    <s v="Jayson Martinez"/>
  </r>
  <r>
    <n v="3614"/>
    <x v="0"/>
    <x v="128"/>
    <s v="L000011669"/>
    <m/>
    <s v="L000013679"/>
    <x v="3"/>
    <x v="0"/>
    <x v="0"/>
    <x v="2"/>
    <m/>
    <m/>
    <s v="Jayson Martinez"/>
  </r>
  <r>
    <n v="3615"/>
    <x v="0"/>
    <x v="128"/>
    <s v="L000013360"/>
    <m/>
    <s v="L000013685"/>
    <x v="3"/>
    <x v="0"/>
    <x v="0"/>
    <x v="2"/>
    <m/>
    <m/>
    <s v="Jayson Martinez"/>
  </r>
  <r>
    <n v="3616"/>
    <x v="0"/>
    <x v="128"/>
    <s v="L000013361"/>
    <m/>
    <s v="L000013685"/>
    <x v="3"/>
    <x v="0"/>
    <x v="0"/>
    <x v="2"/>
    <m/>
    <m/>
    <s v="Jayson Martinez"/>
  </r>
  <r>
    <n v="3617"/>
    <x v="0"/>
    <x v="128"/>
    <s v="L000013362"/>
    <m/>
    <s v="L000013685"/>
    <x v="3"/>
    <x v="0"/>
    <x v="0"/>
    <x v="2"/>
    <m/>
    <m/>
    <s v="Jayson Martinez"/>
  </r>
  <r>
    <n v="3618"/>
    <x v="0"/>
    <x v="129"/>
    <s v="G000000477"/>
    <s v="SM-Z Merck Interim Service"/>
    <m/>
    <x v="2"/>
    <x v="0"/>
    <x v="0"/>
    <x v="0"/>
    <m/>
    <m/>
    <s v="Francesco Ricioppo"/>
  </r>
  <r>
    <n v="3619"/>
    <x v="0"/>
    <x v="130"/>
    <s v="G000001286"/>
    <s v="MBS Hub Bangalore - SLS"/>
    <s v="G000001144"/>
    <x v="0"/>
    <x v="0"/>
    <x v="0"/>
    <x v="0"/>
    <m/>
    <m/>
    <s v="Christoph Mueller"/>
  </r>
  <r>
    <n v="3620"/>
    <x v="0"/>
    <x v="130"/>
    <s v="G000001287"/>
    <s v="MBS Hub Bangalore - SLS Business Operation"/>
    <s v="G000001286"/>
    <x v="0"/>
    <x v="0"/>
    <x v="0"/>
    <x v="0"/>
    <m/>
    <m/>
    <s v="Christoph Mueller"/>
  </r>
  <r>
    <n v="3621"/>
    <x v="0"/>
    <x v="130"/>
    <s v="G000001288"/>
    <s v="MBS Hub Bangalore - SLS Biomonitoring"/>
    <s v="G000001286"/>
    <x v="0"/>
    <x v="0"/>
    <x v="0"/>
    <x v="0"/>
    <m/>
    <m/>
    <s v="Christoph Mueller"/>
  </r>
  <r>
    <n v="3622"/>
    <x v="0"/>
    <x v="130"/>
    <s v="G000001289"/>
    <s v="MBS Hub Bangalore - SLS Diagnistics &amp; Regulated Materials"/>
    <s v="G000001286"/>
    <x v="0"/>
    <x v="0"/>
    <x v="0"/>
    <x v="0"/>
    <m/>
    <m/>
    <s v="Christoph Mueller"/>
  </r>
  <r>
    <n v="3623"/>
    <x v="0"/>
    <x v="130"/>
    <s v="G000001290"/>
    <s v="MBS Hub Bangalore - SLS Lab Water"/>
    <s v="G000001286"/>
    <x v="0"/>
    <x v="0"/>
    <x v="0"/>
    <x v="0"/>
    <m/>
    <m/>
    <s v="Christoph Mueller"/>
  </r>
  <r>
    <n v="3624"/>
    <x v="0"/>
    <x v="130"/>
    <s v="G000001291"/>
    <s v="MBS Hub Bangalore - SLS eCommerce"/>
    <s v="G000001286"/>
    <x v="0"/>
    <x v="0"/>
    <x v="0"/>
    <x v="0"/>
    <m/>
    <m/>
    <s v="Christoph Mueller"/>
  </r>
  <r>
    <n v="3625"/>
    <x v="0"/>
    <x v="130"/>
    <s v="G000001292"/>
    <s v="MBS Hub Bangalore - SLS  Chemistry"/>
    <s v="G000001286"/>
    <x v="0"/>
    <x v="0"/>
    <x v="0"/>
    <x v="0"/>
    <m/>
    <m/>
    <s v="Christoph Mueller"/>
  </r>
  <r>
    <n v="3626"/>
    <x v="0"/>
    <x v="130"/>
    <s v="G000001293"/>
    <s v="MBS Hub Bangalore - SLS SLS Commercial Americas"/>
    <s v="G000001286"/>
    <x v="0"/>
    <x v="0"/>
    <x v="0"/>
    <x v="0"/>
    <m/>
    <m/>
    <s v="Christoph Mueller"/>
  </r>
  <r>
    <n v="3627"/>
    <x v="0"/>
    <x v="130"/>
    <s v="G000001294"/>
    <s v="MBS Hub Bangalore - SLS SLS Commercial APAC"/>
    <s v="G000001286"/>
    <x v="0"/>
    <x v="0"/>
    <x v="0"/>
    <x v="0"/>
    <m/>
    <m/>
    <s v="Christoph Mueller"/>
  </r>
  <r>
    <n v="3628"/>
    <x v="0"/>
    <x v="130"/>
    <s v="G000001295"/>
    <s v="MBS Hub Bangalore - SLS SLS Commercial EMEA"/>
    <s v="G000001286"/>
    <x v="0"/>
    <x v="0"/>
    <x v="0"/>
    <x v="0"/>
    <m/>
    <m/>
    <s v="Christoph Mueller"/>
  </r>
  <r>
    <n v="3629"/>
    <x v="0"/>
    <x v="130"/>
    <s v="G000001296"/>
    <s v="MBS Hub Bangalore - SLS Biology"/>
    <s v="G000001286"/>
    <x v="0"/>
    <x v="0"/>
    <x v="0"/>
    <x v="0"/>
    <m/>
    <m/>
    <s v="Christoph Mueller"/>
  </r>
  <r>
    <n v="3630"/>
    <x v="0"/>
    <x v="130"/>
    <s v="G000001297"/>
    <s v="MBS Hub Bangalore - SLS (direct input)"/>
    <s v="G000001286"/>
    <x v="0"/>
    <x v="0"/>
    <x v="0"/>
    <x v="0"/>
    <m/>
    <m/>
    <s v="Christoph Mueller"/>
  </r>
  <r>
    <n v="3631"/>
    <x v="0"/>
    <x v="130"/>
    <s v="G000001298"/>
    <s v="MBS Hub Bangalore - LSS"/>
    <s v="G000001144"/>
    <x v="0"/>
    <x v="0"/>
    <x v="0"/>
    <x v="0"/>
    <m/>
    <m/>
    <s v="Christoph Mueller"/>
  </r>
  <r>
    <n v="3632"/>
    <x v="0"/>
    <x v="130"/>
    <s v="G000001299"/>
    <s v="MBS Hub Bangalore - LSS Contract Testing Services"/>
    <s v="G000001298"/>
    <x v="0"/>
    <x v="0"/>
    <x v="0"/>
    <x v="0"/>
    <m/>
    <m/>
    <s v="Christoph Mueller"/>
  </r>
  <r>
    <n v="3633"/>
    <x v="0"/>
    <x v="130"/>
    <s v="G000001300"/>
    <s v="MBS Hub Bangalore - LSS (direct input)"/>
    <s v="G000001298"/>
    <x v="0"/>
    <x v="0"/>
    <x v="0"/>
    <x v="0"/>
    <m/>
    <m/>
    <s v="Christoph Mueller"/>
  </r>
  <r>
    <n v="3634"/>
    <x v="0"/>
    <x v="130"/>
    <s v="G000001301"/>
    <s v="MBS Hub Bangalore - PS"/>
    <s v="G000001144"/>
    <x v="0"/>
    <x v="0"/>
    <x v="0"/>
    <x v="0"/>
    <m/>
    <m/>
    <s v="Christoph Mueller"/>
  </r>
  <r>
    <n v="3635"/>
    <x v="0"/>
    <x v="130"/>
    <s v="G000001302"/>
    <s v="MBS Hub Bangalore - PS Global Strategic Accounts &amp; Ser"/>
    <s v="G000001301"/>
    <x v="0"/>
    <x v="0"/>
    <x v="0"/>
    <x v="0"/>
    <m/>
    <m/>
    <s v="Christoph Mueller"/>
  </r>
  <r>
    <n v="3636"/>
    <x v="0"/>
    <x v="130"/>
    <s v="G000001303"/>
    <s v="MBS Hub Bangalore - PS Business Franchises"/>
    <s v="G000001301"/>
    <x v="0"/>
    <x v="0"/>
    <x v="0"/>
    <x v="0"/>
    <m/>
    <m/>
    <s v="Christoph Mueller"/>
  </r>
  <r>
    <n v="3637"/>
    <x v="0"/>
    <x v="130"/>
    <s v="G000001304"/>
    <s v="MBS Hub Bangalore - PS (direct input)"/>
    <s v="G000001301"/>
    <x v="0"/>
    <x v="0"/>
    <x v="0"/>
    <x v="0"/>
    <m/>
    <m/>
    <s v="Christoph Mueller"/>
  </r>
  <r>
    <n v="3638"/>
    <x v="0"/>
    <x v="130"/>
    <s v="G000001305"/>
    <s v="MBS Hub Bangalore - ISCO"/>
    <s v="G000001144"/>
    <x v="0"/>
    <x v="0"/>
    <x v="0"/>
    <x v="0"/>
    <m/>
    <m/>
    <s v="Christoph Mueller"/>
  </r>
  <r>
    <n v="3639"/>
    <x v="0"/>
    <x v="130"/>
    <s v="G000001306"/>
    <s v="MBS Hub Bangalore - ISCO Supply Chain &amp; Distribution"/>
    <s v="G000001305"/>
    <x v="0"/>
    <x v="0"/>
    <x v="0"/>
    <x v="0"/>
    <m/>
    <m/>
    <s v="Christoph Mueller"/>
  </r>
  <r>
    <n v="3640"/>
    <x v="0"/>
    <x v="130"/>
    <s v="G000001307"/>
    <s v="MBS Hub Bangalore - ISCO Global Plant Operation"/>
    <s v="G000001305"/>
    <x v="0"/>
    <x v="0"/>
    <x v="0"/>
    <x v="0"/>
    <m/>
    <m/>
    <s v="Christoph Mueller"/>
  </r>
  <r>
    <n v="3641"/>
    <x v="0"/>
    <x v="130"/>
    <s v="G000001308"/>
    <s v="MBS Hub Bangalore - ISCO Warehouse &amp; Distribution"/>
    <s v="G000001305"/>
    <x v="0"/>
    <x v="0"/>
    <x v="0"/>
    <x v="0"/>
    <m/>
    <m/>
    <s v="Christoph Mueller"/>
  </r>
  <r>
    <n v="3642"/>
    <x v="0"/>
    <x v="130"/>
    <s v="G000001309"/>
    <s v="MBS Hub Bangalore - ISCO PS Value Stream"/>
    <s v="G000001305"/>
    <x v="0"/>
    <x v="0"/>
    <x v="0"/>
    <x v="0"/>
    <m/>
    <m/>
    <s v="Christoph Mueller"/>
  </r>
  <r>
    <n v="3643"/>
    <x v="0"/>
    <x v="130"/>
    <s v="G000001310"/>
    <s v="MBS Hub Bangalore - ISCO WCOGS"/>
    <s v="G000001305"/>
    <x v="0"/>
    <x v="0"/>
    <x v="0"/>
    <x v="0"/>
    <m/>
    <m/>
    <s v="Christoph Mueller"/>
  </r>
  <r>
    <n v="3644"/>
    <x v="0"/>
    <x v="130"/>
    <s v="G000001311"/>
    <s v="MBS Hub Bangalore - ISCO Tech &amp; Eng."/>
    <s v="G000001305"/>
    <x v="0"/>
    <x v="0"/>
    <x v="0"/>
    <x v="0"/>
    <m/>
    <m/>
    <s v="Christoph Mueller"/>
  </r>
  <r>
    <n v="3645"/>
    <x v="0"/>
    <x v="130"/>
    <s v="G000001312"/>
    <s v="MBS Hub Bangalore - ISCO (direct input)"/>
    <s v="G000001305"/>
    <x v="0"/>
    <x v="0"/>
    <x v="0"/>
    <x v="0"/>
    <m/>
    <m/>
    <s v="Christoph Mueller"/>
  </r>
  <r>
    <n v="3646"/>
    <x v="0"/>
    <x v="130"/>
    <s v="G000001313"/>
    <s v="MBS Hub Bangalore - EF GSS COE"/>
    <s v="G000001144"/>
    <x v="0"/>
    <x v="0"/>
    <x v="0"/>
    <x v="0"/>
    <m/>
    <m/>
    <s v="Christoph Mueller"/>
  </r>
  <r>
    <n v="3647"/>
    <x v="0"/>
    <x v="130"/>
    <s v="G000001314"/>
    <s v="MBS Hub Bangalore - EF GSS COE Business &amp; Market Services"/>
    <s v="G000001313"/>
    <x v="0"/>
    <x v="0"/>
    <x v="0"/>
    <x v="0"/>
    <m/>
    <m/>
    <s v="Christoph Mueller"/>
  </r>
  <r>
    <n v="3648"/>
    <x v="0"/>
    <x v="130"/>
    <s v="G000001315"/>
    <s v="MBS Hub Bangalore - EF GSS COE STO"/>
    <s v="G000001313"/>
    <x v="0"/>
    <x v="0"/>
    <x v="0"/>
    <x v="0"/>
    <m/>
    <m/>
    <s v="Christoph Mueller"/>
  </r>
  <r>
    <n v="3649"/>
    <x v="0"/>
    <x v="130"/>
    <s v="G000001316"/>
    <s v="MBS Hub Bangalore - EF GSS COE Technology Office"/>
    <s v="G000001313"/>
    <x v="0"/>
    <x v="0"/>
    <x v="0"/>
    <x v="0"/>
    <m/>
    <m/>
    <s v="Christoph Mueller"/>
  </r>
  <r>
    <n v="3650"/>
    <x v="0"/>
    <x v="130"/>
    <s v="G000001317"/>
    <s v="MBS Hub Bangalore - EF GSS COE LS QRM"/>
    <s v="G000001313"/>
    <x v="0"/>
    <x v="0"/>
    <x v="0"/>
    <x v="0"/>
    <m/>
    <m/>
    <s v="Christoph Mueller"/>
  </r>
  <r>
    <n v="3651"/>
    <x v="0"/>
    <x v="130"/>
    <s v="G000001318"/>
    <s v="MBS Hub Bangalore - EF GSS COE EF Sourcing"/>
    <s v="G000001313"/>
    <x v="0"/>
    <x v="0"/>
    <x v="0"/>
    <x v="0"/>
    <m/>
    <m/>
    <s v="Christoph Mueller"/>
  </r>
  <r>
    <n v="3652"/>
    <x v="0"/>
    <x v="130"/>
    <s v="G000001319"/>
    <s v="MBS Hub Bangalore - EF GSS COE Administration"/>
    <s v="G000001313"/>
    <x v="0"/>
    <x v="0"/>
    <x v="0"/>
    <x v="0"/>
    <m/>
    <m/>
    <s v="Christoph Mueller"/>
  </r>
  <r>
    <n v="3653"/>
    <x v="0"/>
    <x v="130"/>
    <s v="G000001320"/>
    <s v="MBS Hub Bangalore - EF GSS COE (direct input)"/>
    <s v="G000001313"/>
    <x v="0"/>
    <x v="0"/>
    <x v="0"/>
    <x v="0"/>
    <m/>
    <m/>
    <s v="Christoph Mueller"/>
  </r>
  <r>
    <n v="3654"/>
    <x v="0"/>
    <x v="130"/>
    <s v="G000001321"/>
    <s v="MBS I&amp;D - SLS"/>
    <s v="G000001144"/>
    <x v="0"/>
    <x v="0"/>
    <x v="0"/>
    <x v="0"/>
    <m/>
    <m/>
    <s v="Christoph Mueller"/>
  </r>
  <r>
    <n v="3655"/>
    <x v="0"/>
    <x v="130"/>
    <s v="G000001322"/>
    <s v="MBS I&amp;D - SLS Business Operation"/>
    <s v="G000001321"/>
    <x v="0"/>
    <x v="0"/>
    <x v="0"/>
    <x v="0"/>
    <m/>
    <m/>
    <s v="Christoph Mueller"/>
  </r>
  <r>
    <n v="3656"/>
    <x v="0"/>
    <x v="130"/>
    <s v="G000001323"/>
    <s v="MBS I&amp;D - SLS Biomonitoring"/>
    <s v="G000001321"/>
    <x v="0"/>
    <x v="0"/>
    <x v="0"/>
    <x v="0"/>
    <m/>
    <m/>
    <s v="Christoph Mueller"/>
  </r>
  <r>
    <n v="3657"/>
    <x v="0"/>
    <x v="130"/>
    <s v="G000001324"/>
    <s v="MBS I&amp;D - SLS Diagnistics &amp; Regulated Materials"/>
    <s v="G000001321"/>
    <x v="0"/>
    <x v="0"/>
    <x v="0"/>
    <x v="0"/>
    <m/>
    <m/>
    <s v="Christoph Mueller"/>
  </r>
  <r>
    <n v="3658"/>
    <x v="0"/>
    <x v="130"/>
    <s v="G000001325"/>
    <s v="MBS I&amp;D - SLS Lab Water"/>
    <s v="G000001321"/>
    <x v="0"/>
    <x v="0"/>
    <x v="0"/>
    <x v="0"/>
    <m/>
    <m/>
    <s v="Christoph Mueller"/>
  </r>
  <r>
    <n v="3659"/>
    <x v="0"/>
    <x v="130"/>
    <s v="G000001326"/>
    <s v="MBS I&amp;D - SLS eCommerce"/>
    <s v="G000001321"/>
    <x v="0"/>
    <x v="0"/>
    <x v="0"/>
    <x v="0"/>
    <m/>
    <m/>
    <s v="Christoph Mueller"/>
  </r>
  <r>
    <n v="3660"/>
    <x v="0"/>
    <x v="130"/>
    <s v="G000001327"/>
    <s v="MBS I&amp;D - SLS  Chemistry"/>
    <s v="G000001321"/>
    <x v="0"/>
    <x v="0"/>
    <x v="0"/>
    <x v="0"/>
    <m/>
    <m/>
    <s v="Christoph Mueller"/>
  </r>
  <r>
    <n v="3661"/>
    <x v="0"/>
    <x v="130"/>
    <s v="G000001328"/>
    <s v="MBS I&amp;D - SLS SLS Commercial Americas"/>
    <s v="G000001321"/>
    <x v="0"/>
    <x v="0"/>
    <x v="0"/>
    <x v="0"/>
    <m/>
    <m/>
    <s v="Christoph Mueller"/>
  </r>
  <r>
    <n v="3662"/>
    <x v="0"/>
    <x v="130"/>
    <s v="G000001329"/>
    <s v="MBS I&amp;D - SLS SLS Commercial APAC"/>
    <s v="G000001321"/>
    <x v="0"/>
    <x v="0"/>
    <x v="0"/>
    <x v="0"/>
    <m/>
    <m/>
    <s v="Christoph Mueller"/>
  </r>
  <r>
    <n v="3663"/>
    <x v="0"/>
    <x v="130"/>
    <s v="G000001330"/>
    <s v="MBS I&amp;D - SLS SLS Commercial EMEA"/>
    <s v="G000001321"/>
    <x v="0"/>
    <x v="0"/>
    <x v="0"/>
    <x v="0"/>
    <m/>
    <m/>
    <s v="Christoph Mueller"/>
  </r>
  <r>
    <n v="3664"/>
    <x v="0"/>
    <x v="130"/>
    <s v="G000001331"/>
    <s v="MBS I&amp;D - SLS Biology"/>
    <s v="G000001321"/>
    <x v="0"/>
    <x v="0"/>
    <x v="0"/>
    <x v="0"/>
    <m/>
    <m/>
    <s v="Christoph Mueller"/>
  </r>
  <r>
    <n v="3665"/>
    <x v="0"/>
    <x v="130"/>
    <s v="G000001332"/>
    <s v="MBS I&amp;D - SLS  - SLS (direct input)"/>
    <s v="G000001321"/>
    <x v="0"/>
    <x v="0"/>
    <x v="0"/>
    <x v="0"/>
    <m/>
    <m/>
    <s v="Christoph Mueller"/>
  </r>
  <r>
    <n v="3666"/>
    <x v="0"/>
    <x v="130"/>
    <s v="G000001333"/>
    <s v="MBS I&amp;D - LSS"/>
    <s v="G000001144"/>
    <x v="0"/>
    <x v="0"/>
    <x v="0"/>
    <x v="0"/>
    <m/>
    <m/>
    <s v="Christoph Mueller"/>
  </r>
  <r>
    <n v="3667"/>
    <x v="0"/>
    <x v="130"/>
    <s v="G000001334"/>
    <s v="MBS I&amp;D - LSS Contract Testing Services"/>
    <s v="G000001333"/>
    <x v="0"/>
    <x v="0"/>
    <x v="0"/>
    <x v="0"/>
    <m/>
    <m/>
    <s v="Christoph Mueller"/>
  </r>
  <r>
    <n v="3668"/>
    <x v="0"/>
    <x v="130"/>
    <s v="G000001335"/>
    <s v="MBS I&amp;D - LSS (direct input)"/>
    <s v="G000001333"/>
    <x v="0"/>
    <x v="0"/>
    <x v="0"/>
    <x v="0"/>
    <m/>
    <m/>
    <s v="Christoph Mueller"/>
  </r>
  <r>
    <n v="3669"/>
    <x v="0"/>
    <x v="130"/>
    <s v="G000001336"/>
    <s v="MBS I&amp;D - PS"/>
    <s v="G000001144"/>
    <x v="0"/>
    <x v="0"/>
    <x v="0"/>
    <x v="0"/>
    <m/>
    <m/>
    <s v="Christoph Mueller"/>
  </r>
  <r>
    <n v="3670"/>
    <x v="0"/>
    <x v="130"/>
    <s v="G000001337"/>
    <s v="MBS I&amp;D - PS Global Strategic Accounts &amp; Ser"/>
    <s v="G000001336"/>
    <x v="0"/>
    <x v="0"/>
    <x v="0"/>
    <x v="0"/>
    <m/>
    <m/>
    <s v="Christoph Mueller"/>
  </r>
  <r>
    <n v="3671"/>
    <x v="0"/>
    <x v="130"/>
    <s v="G000001338"/>
    <s v="MBS I&amp;D - PS Business Franchises"/>
    <s v="G000001336"/>
    <x v="0"/>
    <x v="0"/>
    <x v="0"/>
    <x v="0"/>
    <m/>
    <m/>
    <s v="Christoph Mueller"/>
  </r>
  <r>
    <n v="3672"/>
    <x v="0"/>
    <x v="130"/>
    <s v="G000001339"/>
    <s v="MBS I&amp;D - PS (direct input)"/>
    <s v="G000001336"/>
    <x v="0"/>
    <x v="0"/>
    <x v="0"/>
    <x v="0"/>
    <m/>
    <m/>
    <s v="Christoph Mueller"/>
  </r>
  <r>
    <n v="3673"/>
    <x v="0"/>
    <x v="130"/>
    <s v="G000001340"/>
    <s v="MBS I&amp;D - ISCO"/>
    <s v="G000001144"/>
    <x v="0"/>
    <x v="0"/>
    <x v="0"/>
    <x v="0"/>
    <m/>
    <m/>
    <s v="Christoph Mueller"/>
  </r>
  <r>
    <n v="3674"/>
    <x v="0"/>
    <x v="130"/>
    <s v="G000001341"/>
    <s v="MBS I&amp;D - ISCO Supply Chain &amp; Distribution"/>
    <s v="G000001340"/>
    <x v="0"/>
    <x v="0"/>
    <x v="0"/>
    <x v="0"/>
    <m/>
    <m/>
    <s v="Christoph Mueller"/>
  </r>
  <r>
    <n v="3675"/>
    <x v="0"/>
    <x v="130"/>
    <s v="G000001342"/>
    <s v="MBS I&amp;D - ISCO Global Plant Operation"/>
    <s v="G000001340"/>
    <x v="0"/>
    <x v="0"/>
    <x v="0"/>
    <x v="0"/>
    <m/>
    <m/>
    <s v="Christoph Mueller"/>
  </r>
  <r>
    <n v="3676"/>
    <x v="0"/>
    <x v="130"/>
    <s v="G000001343"/>
    <s v="MBS I&amp;D - ISCO Warehouse &amp; Distribution"/>
    <s v="G000001340"/>
    <x v="0"/>
    <x v="0"/>
    <x v="0"/>
    <x v="0"/>
    <m/>
    <m/>
    <s v="Christoph Mueller"/>
  </r>
  <r>
    <n v="3677"/>
    <x v="0"/>
    <x v="130"/>
    <s v="G000001344"/>
    <s v="MBS I&amp;D - ISCO PS Value Stream"/>
    <s v="G000001340"/>
    <x v="0"/>
    <x v="0"/>
    <x v="0"/>
    <x v="0"/>
    <m/>
    <m/>
    <s v="Christoph Mueller"/>
  </r>
  <r>
    <n v="3678"/>
    <x v="0"/>
    <x v="130"/>
    <s v="G000001345"/>
    <s v="MBS I&amp;D - ISCO WCOGS"/>
    <s v="G000001340"/>
    <x v="0"/>
    <x v="0"/>
    <x v="0"/>
    <x v="0"/>
    <m/>
    <m/>
    <s v="Christoph Mueller"/>
  </r>
  <r>
    <n v="3679"/>
    <x v="0"/>
    <x v="130"/>
    <s v="G000001346"/>
    <s v="MBS I&amp;D - ISCO Tech &amp; Eng."/>
    <s v="G000001340"/>
    <x v="0"/>
    <x v="0"/>
    <x v="0"/>
    <x v="0"/>
    <m/>
    <m/>
    <s v="Christoph Mueller"/>
  </r>
  <r>
    <n v="3680"/>
    <x v="0"/>
    <x v="130"/>
    <s v="G000001347"/>
    <s v="MBS I&amp;D - ISCO (direct input)"/>
    <s v="G000001340"/>
    <x v="0"/>
    <x v="0"/>
    <x v="0"/>
    <x v="0"/>
    <m/>
    <m/>
    <s v="Christoph Mueller"/>
  </r>
  <r>
    <n v="3681"/>
    <x v="0"/>
    <x v="130"/>
    <s v="G000001348"/>
    <s v="MBS I&amp;D - EF GSS COE"/>
    <s v="G000001144"/>
    <x v="0"/>
    <x v="0"/>
    <x v="0"/>
    <x v="0"/>
    <m/>
    <m/>
    <s v="Christoph Mueller"/>
  </r>
  <r>
    <n v="3682"/>
    <x v="0"/>
    <x v="130"/>
    <s v="G000001349"/>
    <s v="MBS I&amp;D - EF GSS COE Business &amp; Market Services"/>
    <s v="G000001348"/>
    <x v="0"/>
    <x v="0"/>
    <x v="0"/>
    <x v="0"/>
    <m/>
    <m/>
    <s v="Christoph Mueller"/>
  </r>
  <r>
    <n v="3683"/>
    <x v="0"/>
    <x v="130"/>
    <s v="G000001350"/>
    <s v="MBS I&amp;D - EF GSS COE STO"/>
    <s v="G000001348"/>
    <x v="0"/>
    <x v="0"/>
    <x v="0"/>
    <x v="0"/>
    <m/>
    <m/>
    <s v="Christoph Mueller"/>
  </r>
  <r>
    <n v="3684"/>
    <x v="0"/>
    <x v="130"/>
    <s v="G000001351"/>
    <s v="MBS I&amp;D - EF GSS COE Technology Office"/>
    <s v="G000001348"/>
    <x v="0"/>
    <x v="0"/>
    <x v="0"/>
    <x v="0"/>
    <m/>
    <m/>
    <s v="Christoph Mueller"/>
  </r>
  <r>
    <n v="3685"/>
    <x v="0"/>
    <x v="130"/>
    <s v="G000001352"/>
    <s v="MBS I&amp;D - EF GSS COE LS QRM"/>
    <s v="G000001348"/>
    <x v="0"/>
    <x v="0"/>
    <x v="0"/>
    <x v="0"/>
    <m/>
    <m/>
    <s v="Christoph Mueller"/>
  </r>
  <r>
    <n v="3686"/>
    <x v="0"/>
    <x v="130"/>
    <s v="G000001353"/>
    <s v="MBS I&amp;D - EF GSS COE EF Sourcing"/>
    <s v="G000001348"/>
    <x v="0"/>
    <x v="0"/>
    <x v="0"/>
    <x v="0"/>
    <m/>
    <m/>
    <s v="Christoph Mueller"/>
  </r>
  <r>
    <n v="3687"/>
    <x v="0"/>
    <x v="130"/>
    <s v="G000001354"/>
    <s v="MBS I&amp;D - EF GSS COE Administration"/>
    <s v="G000001348"/>
    <x v="0"/>
    <x v="0"/>
    <x v="0"/>
    <x v="0"/>
    <m/>
    <m/>
    <s v="Christoph Mueller"/>
  </r>
  <r>
    <n v="3688"/>
    <x v="0"/>
    <x v="130"/>
    <s v="G000001355"/>
    <s v="MBS I&amp;D - EF GSS COE (direct input)"/>
    <s v="G000001348"/>
    <x v="0"/>
    <x v="0"/>
    <x v="0"/>
    <x v="0"/>
    <m/>
    <m/>
    <s v="Christoph Mueller"/>
  </r>
  <r>
    <n v="3689"/>
    <x v="0"/>
    <x v="131"/>
    <s v="G000001281"/>
    <s v="GPA PS - Core Ext.Cost"/>
    <s v="G000000590"/>
    <x v="1"/>
    <x v="0"/>
    <x v="0"/>
    <x v="0"/>
    <m/>
    <m/>
    <s v="Jojeff Tagnong"/>
  </r>
  <r>
    <n v="3690"/>
    <x v="0"/>
    <x v="131"/>
    <s v="G000001282"/>
    <s v="GPB PS - Healthcare Ext.Cost"/>
    <s v="G000000590"/>
    <x v="1"/>
    <x v="0"/>
    <x v="0"/>
    <x v="0"/>
    <m/>
    <m/>
    <s v="Jojeff Tagnong"/>
  </r>
  <r>
    <n v="3691"/>
    <x v="0"/>
    <x v="131"/>
    <s v="G000001283"/>
    <s v="GPC PS - Life Science Ext.Cost"/>
    <s v="G000000590"/>
    <x v="1"/>
    <x v="0"/>
    <x v="0"/>
    <x v="0"/>
    <m/>
    <m/>
    <s v="Jojeff Tagnong"/>
  </r>
  <r>
    <n v="3692"/>
    <x v="0"/>
    <x v="131"/>
    <s v="G000001284"/>
    <s v="GPD PS - Electronics Ext.Cost"/>
    <s v="G000000590"/>
    <x v="1"/>
    <x v="0"/>
    <x v="0"/>
    <x v="0"/>
    <m/>
    <m/>
    <s v="Jojeff Tagnong"/>
  </r>
  <r>
    <n v="3693"/>
    <x v="0"/>
    <x v="132"/>
    <s v="G000001356"/>
    <s v="EF-IT-PX"/>
    <s v="G000000340"/>
    <x v="0"/>
    <x v="0"/>
    <x v="0"/>
    <x v="0"/>
    <m/>
    <m/>
    <s v="Joshua Cachola"/>
  </r>
  <r>
    <n v="3694"/>
    <x v="0"/>
    <x v="132"/>
    <s v="IT06100900"/>
    <s v="EF-IT-PX"/>
    <s v="G000001356"/>
    <x v="0"/>
    <x v="0"/>
    <x v="0"/>
    <x v="0"/>
    <m/>
    <m/>
    <s v="Joshua Cachola"/>
  </r>
  <r>
    <n v="3695"/>
    <x v="0"/>
    <x v="133"/>
    <s v="G000001321"/>
    <m/>
    <s v="G000001145"/>
    <x v="1"/>
    <x v="0"/>
    <x v="0"/>
    <x v="0"/>
    <m/>
    <m/>
    <s v="Jojeff Tagnong"/>
  </r>
  <r>
    <n v="3696"/>
    <x v="0"/>
    <x v="133"/>
    <s v="G000001333"/>
    <m/>
    <s v="G000001145"/>
    <x v="1"/>
    <x v="0"/>
    <x v="0"/>
    <x v="0"/>
    <m/>
    <m/>
    <s v="Jojeff Tagnong"/>
  </r>
  <r>
    <n v="3697"/>
    <x v="0"/>
    <x v="133"/>
    <s v="G000001336"/>
    <m/>
    <s v="G000001145"/>
    <x v="1"/>
    <x v="0"/>
    <x v="0"/>
    <x v="0"/>
    <m/>
    <m/>
    <s v="Jojeff Tagnong"/>
  </r>
  <r>
    <n v="3698"/>
    <x v="0"/>
    <x v="133"/>
    <s v="G000001340"/>
    <m/>
    <s v="G000001145"/>
    <x v="1"/>
    <x v="0"/>
    <x v="0"/>
    <x v="0"/>
    <m/>
    <m/>
    <s v="Jojeff Tagnong"/>
  </r>
  <r>
    <n v="3699"/>
    <x v="0"/>
    <x v="133"/>
    <s v="G000001348"/>
    <m/>
    <s v="G000001145"/>
    <x v="1"/>
    <x v="0"/>
    <x v="0"/>
    <x v="0"/>
    <m/>
    <m/>
    <s v="Jojeff Tagnong"/>
  </r>
  <r>
    <n v="3700"/>
    <x v="0"/>
    <x v="134"/>
    <s v="IT06050000"/>
    <m/>
    <s v="L000013389"/>
    <x v="1"/>
    <x v="0"/>
    <x v="0"/>
    <x v="0"/>
    <m/>
    <m/>
    <s v="Joshua Cachola"/>
  </r>
  <r>
    <n v="3701"/>
    <x v="0"/>
    <x v="134"/>
    <s v="IT06050300"/>
    <m/>
    <s v="L000013390"/>
    <x v="1"/>
    <x v="0"/>
    <x v="0"/>
    <x v="0"/>
    <m/>
    <m/>
    <s v="Joshua Cachola"/>
  </r>
  <r>
    <n v="3702"/>
    <x v="0"/>
    <x v="134"/>
    <s v="IT06050400"/>
    <m/>
    <s v="L000013391"/>
    <x v="1"/>
    <x v="0"/>
    <x v="0"/>
    <x v="0"/>
    <m/>
    <m/>
    <s v="Joshua Cachola"/>
  </r>
  <r>
    <n v="3703"/>
    <x v="0"/>
    <x v="134"/>
    <s v="IT06050500"/>
    <m/>
    <s v="L000013392"/>
    <x v="1"/>
    <x v="0"/>
    <x v="0"/>
    <x v="0"/>
    <m/>
    <m/>
    <s v="Joshua Cachola"/>
  </r>
  <r>
    <n v="3704"/>
    <x v="0"/>
    <x v="134"/>
    <s v="IT06050700"/>
    <m/>
    <s v="L000013393"/>
    <x v="1"/>
    <x v="0"/>
    <x v="0"/>
    <x v="0"/>
    <m/>
    <m/>
    <s v="Joshua Cachola"/>
  </r>
  <r>
    <n v="3705"/>
    <x v="0"/>
    <x v="134"/>
    <s v="IT06050900"/>
    <m/>
    <s v="L000013394"/>
    <x v="1"/>
    <x v="0"/>
    <x v="0"/>
    <x v="0"/>
    <m/>
    <m/>
    <s v="Joshua Cachola"/>
  </r>
  <r>
    <n v="3706"/>
    <x v="0"/>
    <x v="134"/>
    <s v="IT06050200"/>
    <m/>
    <s v="L000013395"/>
    <x v="1"/>
    <x v="0"/>
    <x v="0"/>
    <x v="0"/>
    <m/>
    <m/>
    <s v="Joshua Cachola"/>
  </r>
  <r>
    <n v="3707"/>
    <x v="0"/>
    <x v="134"/>
    <s v="IT06050100"/>
    <m/>
    <s v="L000013396"/>
    <x v="1"/>
    <x v="0"/>
    <x v="0"/>
    <x v="0"/>
    <m/>
    <m/>
    <s v="Joshua Cachola"/>
  </r>
  <r>
    <n v="3708"/>
    <x v="0"/>
    <x v="134"/>
    <s v="IT06050600"/>
    <m/>
    <s v="L000013397"/>
    <x v="1"/>
    <x v="0"/>
    <x v="0"/>
    <x v="0"/>
    <m/>
    <m/>
    <s v="Joshua Cachola"/>
  </r>
  <r>
    <n v="3709"/>
    <x v="0"/>
    <x v="134"/>
    <s v="IT06051000"/>
    <m/>
    <s v="L000013599"/>
    <x v="1"/>
    <x v="0"/>
    <x v="0"/>
    <x v="0"/>
    <m/>
    <m/>
    <s v="Joshua Cachola"/>
  </r>
  <r>
    <n v="3710"/>
    <x v="0"/>
    <x v="135"/>
    <s v="G000000359"/>
    <s v="SM-H Site &amp; HQ Development Services"/>
    <m/>
    <x v="2"/>
    <x v="0"/>
    <x v="0"/>
    <x v="0"/>
    <m/>
    <m/>
    <s v="Francesco Ricioppo"/>
  </r>
  <r>
    <n v="3711"/>
    <x v="1"/>
    <x v="136"/>
    <s v="G000000994 "/>
    <m/>
    <s v="G000000529"/>
    <x v="1"/>
    <x v="1"/>
    <x v="0"/>
    <x v="0"/>
    <m/>
    <m/>
    <s v="Francesco Ricioppo"/>
  </r>
  <r>
    <n v="3712"/>
    <x v="1"/>
    <x v="136"/>
    <s v="G000000995 "/>
    <m/>
    <s v="G000000529"/>
    <x v="1"/>
    <x v="1"/>
    <x v="0"/>
    <x v="0"/>
    <m/>
    <m/>
    <s v="Francesco Ricioppo"/>
  </r>
  <r>
    <n v="3713"/>
    <x v="1"/>
    <x v="136"/>
    <s v="G000000993 "/>
    <m/>
    <s v="G000000873"/>
    <x v="1"/>
    <x v="1"/>
    <x v="0"/>
    <x v="0"/>
    <m/>
    <m/>
    <s v="Francesco Ricioppo"/>
  </r>
  <r>
    <n v="3714"/>
    <x v="1"/>
    <x v="137"/>
    <s v="G000001357"/>
    <s v="MBS S&amp;T Learning &amp; Develop., Knwldg Mgt"/>
    <s v="G000001146"/>
    <x v="0"/>
    <x v="1"/>
    <x v="0"/>
    <x v="0"/>
    <m/>
    <m/>
    <s v="Yvonne Doernhofer"/>
  </r>
  <r>
    <n v="3715"/>
    <x v="1"/>
    <x v="137"/>
    <s v="G000001191"/>
    <s v="MBS S&amp;T - Business Process Management"/>
    <m/>
    <x v="2"/>
    <x v="1"/>
    <x v="0"/>
    <x v="0"/>
    <m/>
    <m/>
    <s v="Yvonne Doernhofer"/>
  </r>
  <r>
    <n v="3716"/>
    <x v="1"/>
    <x v="138"/>
    <s v="G000000511"/>
    <m/>
    <s v="G000000873"/>
    <x v="1"/>
    <x v="1"/>
    <x v="0"/>
    <x v="0"/>
    <m/>
    <m/>
    <s v="Francesco Ricioppo"/>
  </r>
  <r>
    <n v="3717"/>
    <x v="1"/>
    <x v="138"/>
    <s v="G000000512"/>
    <m/>
    <s v="G000000873"/>
    <x v="1"/>
    <x v="1"/>
    <x v="0"/>
    <x v="0"/>
    <m/>
    <m/>
    <s v="Francesco Ricioppo"/>
  </r>
  <r>
    <n v="3718"/>
    <x v="1"/>
    <x v="138"/>
    <s v="G000000513"/>
    <m/>
    <s v="G000000873"/>
    <x v="1"/>
    <x v="1"/>
    <x v="0"/>
    <x v="0"/>
    <m/>
    <m/>
    <s v="Francesco Ricioppo"/>
  </r>
  <r>
    <n v="3719"/>
    <x v="1"/>
    <x v="138"/>
    <s v="G000000514"/>
    <m/>
    <s v="G000000873"/>
    <x v="1"/>
    <x v="1"/>
    <x v="0"/>
    <x v="0"/>
    <m/>
    <m/>
    <s v="Francesco Ricioppo"/>
  </r>
  <r>
    <n v="3720"/>
    <x v="1"/>
    <x v="138"/>
    <s v="G000001007"/>
    <m/>
    <s v="G000000873"/>
    <x v="1"/>
    <x v="1"/>
    <x v="0"/>
    <x v="0"/>
    <m/>
    <m/>
    <s v="Francesco Ricioppo"/>
  </r>
  <r>
    <n v="3721"/>
    <x v="1"/>
    <x v="138"/>
    <s v="G000001065"/>
    <m/>
    <s v="G000000873"/>
    <x v="1"/>
    <x v="1"/>
    <x v="0"/>
    <x v="0"/>
    <m/>
    <m/>
    <s v="Francesco Ricioppo"/>
  </r>
  <r>
    <n v="3722"/>
    <x v="1"/>
    <x v="138"/>
    <s v="G000001066"/>
    <m/>
    <s v="G000000873"/>
    <x v="1"/>
    <x v="1"/>
    <x v="0"/>
    <x v="0"/>
    <m/>
    <m/>
    <s v="Francesco Ricioppo"/>
  </r>
  <r>
    <n v="3723"/>
    <x v="1"/>
    <x v="139"/>
    <s v="G000000392"/>
    <s v="SM-PT"/>
    <m/>
    <x v="2"/>
    <x v="1"/>
    <x v="0"/>
    <x v="0"/>
    <m/>
    <m/>
    <s v="Marcus Morowski"/>
  </r>
  <r>
    <n v="3724"/>
    <x v="1"/>
    <x v="139"/>
    <s v="G000000389"/>
    <s v="SM-PM und PT"/>
    <m/>
    <x v="2"/>
    <x v="1"/>
    <x v="0"/>
    <x v="0"/>
    <m/>
    <m/>
    <s v="Marcus Morowski"/>
  </r>
  <r>
    <n v="3725"/>
    <x v="1"/>
    <x v="139"/>
    <s v="G000000918"/>
    <s v="SM-PTT Material Management"/>
    <m/>
    <x v="2"/>
    <x v="1"/>
    <x v="0"/>
    <x v="0"/>
    <m/>
    <m/>
    <s v="Marcus Morowski"/>
  </r>
  <r>
    <n v="3726"/>
    <x v="1"/>
    <x v="139"/>
    <s v="G000000919"/>
    <s v="SM-PTT Technical Warehouse"/>
    <m/>
    <x v="2"/>
    <x v="1"/>
    <x v="0"/>
    <x v="0"/>
    <m/>
    <m/>
    <s v="Marcus Morowski"/>
  </r>
  <r>
    <n v="3727"/>
    <x v="1"/>
    <x v="139"/>
    <s v="G000000919"/>
    <s v="SM-PTT IVV Allocation CCs"/>
    <m/>
    <x v="2"/>
    <x v="1"/>
    <x v="1"/>
    <x v="0"/>
    <s v="WTF, duplicated"/>
    <s v="not done"/>
    <s v="Marcus Morowski"/>
  </r>
  <r>
    <n v="3728"/>
    <x v="1"/>
    <x v="139"/>
    <s v="G000000387"/>
    <s v="SM-PM"/>
    <s v="G000000389"/>
    <x v="4"/>
    <x v="1"/>
    <x v="0"/>
    <x v="0"/>
    <m/>
    <m/>
    <s v="Marcus Morowski"/>
  </r>
  <r>
    <n v="3729"/>
    <x v="1"/>
    <x v="139"/>
    <s v="G000000391"/>
    <s v="SM-PMA"/>
    <s v="G000000387"/>
    <x v="4"/>
    <x v="1"/>
    <x v="0"/>
    <x v="0"/>
    <m/>
    <m/>
    <s v="Marcus Morowski"/>
  </r>
  <r>
    <n v="3730"/>
    <x v="1"/>
    <x v="140"/>
    <s v="P000000196"/>
    <s v="PG1 Blending+Packaging"/>
    <m/>
    <x v="2"/>
    <x v="1"/>
    <x v="0"/>
    <x v="3"/>
    <m/>
    <m/>
    <s v="Gerhard Doeller"/>
  </r>
  <r>
    <n v="3731"/>
    <x v="1"/>
    <x v="140"/>
    <s v="P000000197"/>
    <s v="PG2 Coating"/>
    <m/>
    <x v="2"/>
    <x v="1"/>
    <x v="0"/>
    <x v="3"/>
    <m/>
    <m/>
    <s v="Gerhard Doeller"/>
  </r>
  <r>
    <n v="3732"/>
    <x v="1"/>
    <x v="140"/>
    <s v="P000000198"/>
    <s v="PG1 Substrates"/>
    <m/>
    <x v="2"/>
    <x v="1"/>
    <x v="0"/>
    <x v="3"/>
    <m/>
    <m/>
    <s v="Gerhard Doeller"/>
  </r>
  <r>
    <n v="3733"/>
    <x v="1"/>
    <x v="141"/>
    <s v="L000013817"/>
    <s v="Business Integration _GPO "/>
    <s v="L000013445"/>
    <x v="0"/>
    <x v="1"/>
    <x v="0"/>
    <x v="2"/>
    <m/>
    <m/>
    <s v="Jayson Martinez"/>
  </r>
  <r>
    <n v="3734"/>
    <x v="1"/>
    <x v="141"/>
    <s v="L000013818"/>
    <s v="Business Integration _PS VS "/>
    <s v="L000013417"/>
    <x v="0"/>
    <x v="1"/>
    <x v="0"/>
    <x v="2"/>
    <m/>
    <m/>
    <s v="Jayson Martinez"/>
  </r>
  <r>
    <n v="3735"/>
    <x v="1"/>
    <x v="141"/>
    <s v="L000013819"/>
    <s v="mRNA and LNP Innovation"/>
    <s v="L000006420"/>
    <x v="0"/>
    <x v="1"/>
    <x v="0"/>
    <x v="2"/>
    <m/>
    <m/>
    <s v="Jayson Martinez"/>
  </r>
  <r>
    <n v="3736"/>
    <x v="1"/>
    <x v="141"/>
    <s v="L000013820"/>
    <s v="Bioconujation and SM Innovation"/>
    <s v="L000006420"/>
    <x v="0"/>
    <x v="1"/>
    <x v="0"/>
    <x v="2"/>
    <m/>
    <m/>
    <s v="Jayson Martinez"/>
  </r>
  <r>
    <n v="3737"/>
    <x v="1"/>
    <x v="141"/>
    <s v="L000013821"/>
    <s v="Viral Vectors Innovation"/>
    <s v="L000013174"/>
    <x v="0"/>
    <x v="1"/>
    <x v="0"/>
    <x v="2"/>
    <m/>
    <m/>
    <s v="Jayson Martinez"/>
  </r>
  <r>
    <n v="3738"/>
    <x v="1"/>
    <x v="141"/>
    <s v="L000013822"/>
    <s v="Biologics Innovation"/>
    <s v="L000013174"/>
    <x v="0"/>
    <x v="1"/>
    <x v="0"/>
    <x v="2"/>
    <m/>
    <m/>
    <s v="Jayson Martinez"/>
  </r>
  <r>
    <n v="3739"/>
    <x v="1"/>
    <x v="141"/>
    <s v="L000013823"/>
    <s v="PMO CDMO Innovation"/>
    <s v="L000013785"/>
    <x v="0"/>
    <x v="1"/>
    <x v="0"/>
    <x v="2"/>
    <m/>
    <m/>
    <s v="Jayson Martinez"/>
  </r>
  <r>
    <n v="3740"/>
    <x v="1"/>
    <x v="141"/>
    <s v="L000005722"/>
    <s v="BM - Comm NA - South Pharma"/>
    <m/>
    <x v="2"/>
    <x v="1"/>
    <x v="0"/>
    <x v="2"/>
    <m/>
    <m/>
    <s v="Jayson Martinez"/>
  </r>
  <r>
    <n v="3741"/>
    <x v="1"/>
    <x v="141"/>
    <s v="L000013350"/>
    <s v="CDMO - APAC Sales"/>
    <m/>
    <x v="2"/>
    <x v="1"/>
    <x v="0"/>
    <x v="2"/>
    <m/>
    <m/>
    <s v="Jayson Martinez"/>
  </r>
  <r>
    <n v="3742"/>
    <x v="1"/>
    <x v="141"/>
    <s v="L000006425"/>
    <s v="Synthesis mRNA delivery &amp; PEG's"/>
    <s v="L000013819"/>
    <x v="4"/>
    <x v="1"/>
    <x v="0"/>
    <x v="2"/>
    <m/>
    <m/>
    <s v="Jayson Martinez"/>
  </r>
  <r>
    <n v="3743"/>
    <x v="1"/>
    <x v="141"/>
    <s v="L000006429"/>
    <s v="mRNA Delivery / Manufacturing"/>
    <s v="L000013819"/>
    <x v="4"/>
    <x v="1"/>
    <x v="0"/>
    <x v="2"/>
    <m/>
    <m/>
    <s v="Jayson Martinez"/>
  </r>
  <r>
    <n v="3744"/>
    <x v="1"/>
    <x v="141"/>
    <s v="L000006431"/>
    <s v="ADC Payload Automation &amp; Digital"/>
    <s v="L000013820"/>
    <x v="4"/>
    <x v="1"/>
    <x v="0"/>
    <x v="2"/>
    <m/>
    <m/>
    <s v="Jayson Martinez"/>
  </r>
  <r>
    <n v="3745"/>
    <x v="1"/>
    <x v="141"/>
    <s v="L000011451"/>
    <s v="ADC Bionconjugation Template"/>
    <s v="L000013820"/>
    <x v="4"/>
    <x v="1"/>
    <x v="0"/>
    <x v="2"/>
    <m/>
    <m/>
    <s v="Jayson Martinez"/>
  </r>
  <r>
    <n v="3746"/>
    <x v="1"/>
    <x v="141"/>
    <s v="L000007087"/>
    <s v="VV Innovation"/>
    <s v="L000013821"/>
    <x v="4"/>
    <x v="1"/>
    <x v="0"/>
    <x v="2"/>
    <m/>
    <m/>
    <s v="Jayson Martinez"/>
  </r>
  <r>
    <n v="3747"/>
    <x v="1"/>
    <x v="141"/>
    <s v="L000006414"/>
    <s v="Synthesis &amp; ADC CDMO Management"/>
    <s v="L000013789"/>
    <x v="4"/>
    <x v="1"/>
    <x v="0"/>
    <x v="2"/>
    <m/>
    <m/>
    <s v="Jayson Martinez"/>
  </r>
  <r>
    <n v="3748"/>
    <x v="1"/>
    <x v="141"/>
    <s v="L000013151"/>
    <s v="CDMO Operations"/>
    <s v="L000009201"/>
    <x v="4"/>
    <x v="1"/>
    <x v="0"/>
    <x v="2"/>
    <m/>
    <m/>
    <s v="Jayson Martinez"/>
  </r>
  <r>
    <n v="3749"/>
    <x v="1"/>
    <x v="141"/>
    <s v="L000013152"/>
    <s v="SAC BP &amp; Implementation"/>
    <s v="L000013789"/>
    <x v="4"/>
    <x v="1"/>
    <x v="0"/>
    <x v="2"/>
    <m/>
    <m/>
    <s v="Jayson Martinez"/>
  </r>
  <r>
    <n v="3750"/>
    <x v="1"/>
    <x v="141"/>
    <s v="L000006947"/>
    <s v="BioVV - Management"/>
    <s v="L000013789"/>
    <x v="4"/>
    <x v="1"/>
    <x v="0"/>
    <x v="2"/>
    <m/>
    <m/>
    <s v="Jayson Martinez"/>
  </r>
  <r>
    <n v="3751"/>
    <x v="1"/>
    <x v="141"/>
    <s v="L000006952"/>
    <s v="BioVV - Strategy"/>
    <s v="L000012321"/>
    <x v="4"/>
    <x v="1"/>
    <x v="0"/>
    <x v="2"/>
    <m/>
    <m/>
    <s v="Jayson Martinez"/>
  </r>
  <r>
    <n v="3752"/>
    <x v="1"/>
    <x v="141"/>
    <s v="L000009432"/>
    <s v="CDMO - Carlsbad"/>
    <s v="L000013151"/>
    <x v="4"/>
    <x v="1"/>
    <x v="0"/>
    <x v="2"/>
    <m/>
    <m/>
    <s v="Jayson Martinez"/>
  </r>
  <r>
    <n v="3753"/>
    <x v="1"/>
    <x v="141"/>
    <s v="L000011494"/>
    <s v="CDMO - Martillac"/>
    <s v="L000013151"/>
    <x v="4"/>
    <x v="1"/>
    <x v="0"/>
    <x v="2"/>
    <m/>
    <m/>
    <s v="Jayson Martinez"/>
  </r>
  <r>
    <n v="3754"/>
    <x v="1"/>
    <x v="141"/>
    <s v="L000011503"/>
    <s v="CDMO - Burlington"/>
    <s v="L000013151"/>
    <x v="4"/>
    <x v="1"/>
    <x v="0"/>
    <x v="2"/>
    <m/>
    <m/>
    <s v="Jayson Martinez"/>
  </r>
  <r>
    <n v="3755"/>
    <x v="1"/>
    <x v="141"/>
    <s v="L000013178"/>
    <s v="BioVV - Bus. Planning &amp; Implementation"/>
    <s v="L000013789"/>
    <x v="4"/>
    <x v="1"/>
    <x v="0"/>
    <x v="2"/>
    <m/>
    <m/>
    <s v="Jayson Martinez"/>
  </r>
  <r>
    <n v="3756"/>
    <x v="1"/>
    <x v="141"/>
    <s v="L000013398"/>
    <s v="CDMO - Shanghai"/>
    <s v="L000013151"/>
    <x v="4"/>
    <x v="1"/>
    <x v="0"/>
    <x v="2"/>
    <m/>
    <m/>
    <s v="Jayson Martinez"/>
  </r>
  <r>
    <n v="3757"/>
    <x v="1"/>
    <x v="141"/>
    <s v="L000013527"/>
    <m/>
    <s v="L000013817"/>
    <x v="1"/>
    <x v="1"/>
    <x v="0"/>
    <x v="2"/>
    <m/>
    <m/>
    <s v="Jayson Martinez"/>
  </r>
  <r>
    <n v="3758"/>
    <x v="1"/>
    <x v="141"/>
    <s v="L000006951"/>
    <m/>
    <s v="L000013779"/>
    <x v="1"/>
    <x v="1"/>
    <x v="0"/>
    <x v="2"/>
    <m/>
    <m/>
    <s v="Jayson Martinez"/>
  </r>
  <r>
    <n v="3759"/>
    <x v="1"/>
    <x v="141"/>
    <s v="L000007094"/>
    <m/>
    <s v="L000013821"/>
    <x v="1"/>
    <x v="1"/>
    <x v="0"/>
    <x v="2"/>
    <m/>
    <m/>
    <s v="Jayson Martinez"/>
  </r>
  <r>
    <n v="3760"/>
    <x v="1"/>
    <x v="141"/>
    <s v="L000013272"/>
    <m/>
    <s v="L000013821"/>
    <x v="1"/>
    <x v="1"/>
    <x v="0"/>
    <x v="2"/>
    <m/>
    <m/>
    <s v="Jayson Martinez"/>
  </r>
  <r>
    <n v="3761"/>
    <x v="1"/>
    <x v="141"/>
    <s v="L000013808"/>
    <m/>
    <s v="L000013775"/>
    <x v="1"/>
    <x v="1"/>
    <x v="0"/>
    <x v="2"/>
    <m/>
    <m/>
    <s v="Jayson Martinez"/>
  </r>
  <r>
    <n v="3762"/>
    <x v="1"/>
    <x v="141"/>
    <s v="L000005433"/>
    <m/>
    <s v="L000005326"/>
    <x v="1"/>
    <x v="1"/>
    <x v="0"/>
    <x v="2"/>
    <m/>
    <m/>
    <s v="Jayson Martinez"/>
  </r>
  <r>
    <n v="3763"/>
    <x v="1"/>
    <x v="141"/>
    <s v="L000005673"/>
    <m/>
    <s v="L000005668"/>
    <x v="1"/>
    <x v="1"/>
    <x v="0"/>
    <x v="2"/>
    <m/>
    <m/>
    <s v="Jayson Martinez"/>
  </r>
  <r>
    <n v="3764"/>
    <x v="1"/>
    <x v="141"/>
    <s v="L000006391"/>
    <m/>
    <s v="L000013786"/>
    <x v="1"/>
    <x v="1"/>
    <x v="0"/>
    <x v="2"/>
    <m/>
    <m/>
    <s v="Jayson Martinez"/>
  </r>
  <r>
    <n v="3765"/>
    <x v="1"/>
    <x v="141"/>
    <s v="L000006420"/>
    <m/>
    <s v="L000013785"/>
    <x v="1"/>
    <x v="1"/>
    <x v="0"/>
    <x v="2"/>
    <m/>
    <m/>
    <s v="Jayson Martinez"/>
  </r>
  <r>
    <n v="3766"/>
    <x v="1"/>
    <x v="141"/>
    <s v="L000006448"/>
    <m/>
    <s v="L000012321"/>
    <x v="1"/>
    <x v="1"/>
    <x v="0"/>
    <x v="2"/>
    <m/>
    <m/>
    <s v="Jayson Martinez"/>
  </r>
  <r>
    <n v="3767"/>
    <x v="1"/>
    <x v="141"/>
    <s v="L000006496"/>
    <m/>
    <s v="L000013784"/>
    <x v="1"/>
    <x v="1"/>
    <x v="0"/>
    <x v="2"/>
    <m/>
    <m/>
    <s v="Jayson Martinez"/>
  </r>
  <r>
    <n v="3768"/>
    <x v="1"/>
    <x v="141"/>
    <s v="L000011470"/>
    <m/>
    <s v="L000013783"/>
    <x v="1"/>
    <x v="1"/>
    <x v="0"/>
    <x v="2"/>
    <m/>
    <m/>
    <s v="Jayson Martinez"/>
  </r>
  <r>
    <n v="3769"/>
    <x v="1"/>
    <x v="141"/>
    <s v="L000013666"/>
    <m/>
    <s v="L000013787"/>
    <x v="1"/>
    <x v="1"/>
    <x v="0"/>
    <x v="2"/>
    <m/>
    <m/>
    <s v="Jayson Martinez"/>
  </r>
  <r>
    <n v="3770"/>
    <x v="1"/>
    <x v="141"/>
    <s v="L000006936"/>
    <m/>
    <s v="L000013786"/>
    <x v="1"/>
    <x v="1"/>
    <x v="0"/>
    <x v="2"/>
    <m/>
    <m/>
    <s v="Jayson Martinez"/>
  </r>
  <r>
    <n v="3771"/>
    <x v="1"/>
    <x v="141"/>
    <s v="L000007043"/>
    <m/>
    <s v="L000013787"/>
    <x v="1"/>
    <x v="1"/>
    <x v="0"/>
    <x v="2"/>
    <m/>
    <m/>
    <s v="Jayson Martinez"/>
  </r>
  <r>
    <n v="3772"/>
    <x v="1"/>
    <x v="141"/>
    <s v="L000011506"/>
    <m/>
    <s v="L000013784"/>
    <x v="1"/>
    <x v="1"/>
    <x v="0"/>
    <x v="2"/>
    <m/>
    <m/>
    <s v="Jayson Martinez"/>
  </r>
  <r>
    <n v="3773"/>
    <x v="1"/>
    <x v="141"/>
    <s v="L000013174"/>
    <m/>
    <s v="L000013785"/>
    <x v="1"/>
    <x v="1"/>
    <x v="0"/>
    <x v="2"/>
    <m/>
    <m/>
    <s v="Jayson Martinez"/>
  </r>
  <r>
    <n v="3774"/>
    <x v="1"/>
    <x v="141"/>
    <s v="L000006295"/>
    <m/>
    <s v="L000013685"/>
    <x v="1"/>
    <x v="1"/>
    <x v="0"/>
    <x v="2"/>
    <m/>
    <m/>
    <s v="Jayson Martinez"/>
  </r>
  <r>
    <n v="3775"/>
    <x v="1"/>
    <x v="142"/>
    <s v="G000001358"/>
    <s v="GMV MBS Hub Wroclaw - ABP"/>
    <s v="G000001143"/>
    <x v="0"/>
    <x v="1"/>
    <x v="0"/>
    <x v="0"/>
    <m/>
    <m/>
    <s v="Jojeff Tagnong"/>
  </r>
  <r>
    <n v="3776"/>
    <x v="1"/>
    <x v="143"/>
    <s v="P000001254"/>
    <s v="EL-OP-M Metrology &amp; Inspection"/>
    <s v="P000000001"/>
    <x v="0"/>
    <x v="1"/>
    <x v="0"/>
    <x v="3"/>
    <m/>
    <m/>
    <s v="Eivy Denine Cruz"/>
  </r>
  <r>
    <n v="3777"/>
    <x v="1"/>
    <x v="143"/>
    <s v="P000001255"/>
    <s v="EL-OP-M M&amp;I Sales"/>
    <s v="P000001254"/>
    <x v="0"/>
    <x v="1"/>
    <x v="0"/>
    <x v="3"/>
    <m/>
    <m/>
    <s v="Eivy Denine Cruz"/>
  </r>
  <r>
    <n v="3778"/>
    <x v="1"/>
    <x v="143"/>
    <s v="P000001256"/>
    <s v="EL-OP-M M&amp;I Marketing"/>
    <s v="P000001254"/>
    <x v="0"/>
    <x v="1"/>
    <x v="0"/>
    <x v="3"/>
    <m/>
    <m/>
    <s v="Eivy Denine Cruz"/>
  </r>
  <r>
    <n v="3779"/>
    <x v="1"/>
    <x v="143"/>
    <s v="P000001257"/>
    <s v="EL-OP-M M&amp;I Operations"/>
    <s v="P000001254"/>
    <x v="0"/>
    <x v="1"/>
    <x v="0"/>
    <x v="3"/>
    <m/>
    <m/>
    <s v="Eivy Denine Cruz"/>
  </r>
  <r>
    <n v="3780"/>
    <x v="1"/>
    <x v="143"/>
    <s v="P000001258"/>
    <s v="EL-OP-M M&amp;I R&amp;D"/>
    <s v="P000001254"/>
    <x v="0"/>
    <x v="1"/>
    <x v="0"/>
    <x v="3"/>
    <m/>
    <m/>
    <s v="Eivy Denine Cruz"/>
  </r>
  <r>
    <n v="3781"/>
    <x v="1"/>
    <x v="143"/>
    <s v="P000001194"/>
    <m/>
    <s v="P000000635"/>
    <x v="1"/>
    <x v="1"/>
    <x v="0"/>
    <x v="3"/>
    <m/>
    <m/>
    <s v="Eivy Denine Cruz"/>
  </r>
  <r>
    <n v="3782"/>
    <x v="1"/>
    <x v="143"/>
    <s v="P000000391"/>
    <m/>
    <s v="O000000009"/>
    <x v="3"/>
    <x v="1"/>
    <x v="0"/>
    <x v="3"/>
    <m/>
    <m/>
    <s v="Eivy Denine Cruz"/>
  </r>
  <r>
    <n v="3783"/>
    <x v="1"/>
    <x v="143"/>
    <s v="P000000773"/>
    <m/>
    <s v="O000000009"/>
    <x v="3"/>
    <x v="1"/>
    <x v="0"/>
    <x v="3"/>
    <m/>
    <m/>
    <s v="Eivy Denine Cruz"/>
  </r>
  <r>
    <n v="3784"/>
    <x v="1"/>
    <x v="143"/>
    <s v="P000000543"/>
    <m/>
    <s v="O000000009"/>
    <x v="3"/>
    <x v="1"/>
    <x v="0"/>
    <x v="3"/>
    <m/>
    <m/>
    <s v="Eivy Denine Cruz"/>
  </r>
  <r>
    <n v="3785"/>
    <x v="1"/>
    <x v="143"/>
    <s v="P000000549"/>
    <m/>
    <s v="O000000009"/>
    <x v="3"/>
    <x v="1"/>
    <x v="0"/>
    <x v="3"/>
    <m/>
    <m/>
    <s v="Eivy Denine Cruz"/>
  </r>
  <r>
    <n v="3786"/>
    <x v="1"/>
    <x v="143"/>
    <s v="P000000798"/>
    <m/>
    <s v="O000000009"/>
    <x v="3"/>
    <x v="1"/>
    <x v="0"/>
    <x v="3"/>
    <m/>
    <m/>
    <s v="Eivy Denine Cruz"/>
  </r>
  <r>
    <n v="3787"/>
    <x v="1"/>
    <x v="143"/>
    <s v="P000000799"/>
    <m/>
    <s v="O000000009"/>
    <x v="3"/>
    <x v="1"/>
    <x v="0"/>
    <x v="3"/>
    <m/>
    <m/>
    <s v="Eivy Denine Cruz"/>
  </r>
  <r>
    <n v="3788"/>
    <x v="1"/>
    <x v="143"/>
    <s v="P000000961"/>
    <m/>
    <s v="O000000009"/>
    <x v="3"/>
    <x v="1"/>
    <x v="0"/>
    <x v="3"/>
    <m/>
    <m/>
    <s v="Eivy Denine Cruz"/>
  </r>
  <r>
    <n v="3789"/>
    <x v="1"/>
    <x v="143"/>
    <s v="P000001095"/>
    <m/>
    <s v="O000000009"/>
    <x v="3"/>
    <x v="1"/>
    <x v="0"/>
    <x v="3"/>
    <m/>
    <m/>
    <s v="Eivy Denine Cruz"/>
  </r>
  <r>
    <n v="3790"/>
    <x v="1"/>
    <x v="143"/>
    <s v="P000001096"/>
    <m/>
    <s v="O000000009"/>
    <x v="3"/>
    <x v="1"/>
    <x v="0"/>
    <x v="3"/>
    <m/>
    <m/>
    <s v="Eivy Denine Cruz"/>
  </r>
  <r>
    <n v="3791"/>
    <x v="1"/>
    <x v="143"/>
    <s v="P000001097"/>
    <m/>
    <s v="O000000009"/>
    <x v="3"/>
    <x v="1"/>
    <x v="0"/>
    <x v="3"/>
    <m/>
    <m/>
    <s v="Eivy Denine Cruz"/>
  </r>
  <r>
    <n v="3792"/>
    <x v="1"/>
    <x v="143"/>
    <s v="P000001098"/>
    <m/>
    <s v="O000000009"/>
    <x v="3"/>
    <x v="1"/>
    <x v="0"/>
    <x v="3"/>
    <m/>
    <m/>
    <s v="Eivy Denine Cruz"/>
  </r>
  <r>
    <n v="3793"/>
    <x v="1"/>
    <x v="143"/>
    <s v="P000001099"/>
    <m/>
    <s v="O000000009"/>
    <x v="3"/>
    <x v="1"/>
    <x v="0"/>
    <x v="3"/>
    <m/>
    <m/>
    <s v="Eivy Denine Cruz"/>
  </r>
  <r>
    <n v="3794"/>
    <x v="1"/>
    <x v="143"/>
    <s v="P000001100"/>
    <m/>
    <s v="O000000009"/>
    <x v="3"/>
    <x v="1"/>
    <x v="0"/>
    <x v="3"/>
    <m/>
    <m/>
    <s v="Eivy Denine Cruz"/>
  </r>
  <r>
    <n v="3795"/>
    <x v="1"/>
    <x v="143"/>
    <s v="P000001101"/>
    <m/>
    <s v="O000000009"/>
    <x v="3"/>
    <x v="1"/>
    <x v="0"/>
    <x v="3"/>
    <m/>
    <m/>
    <s v="Eivy Denine Cruz"/>
  </r>
  <r>
    <n v="3796"/>
    <x v="1"/>
    <x v="143"/>
    <s v="P000001163"/>
    <m/>
    <s v="O000000009"/>
    <x v="3"/>
    <x v="1"/>
    <x v="0"/>
    <x v="3"/>
    <m/>
    <m/>
    <s v="Eivy Denine Cruz"/>
  </r>
  <r>
    <n v="3797"/>
    <x v="1"/>
    <x v="143"/>
    <s v="P000001164"/>
    <m/>
    <s v="O000000009"/>
    <x v="3"/>
    <x v="1"/>
    <x v="0"/>
    <x v="3"/>
    <m/>
    <m/>
    <s v="Eivy Denine Cruz"/>
  </r>
  <r>
    <n v="3798"/>
    <x v="1"/>
    <x v="143"/>
    <s v="P000000001"/>
    <s v="EL-OP Optronics"/>
    <m/>
    <x v="2"/>
    <x v="1"/>
    <x v="0"/>
    <x v="3"/>
    <m/>
    <m/>
    <s v="Eivy Denine Cruz"/>
  </r>
  <r>
    <n v="3799"/>
    <x v="1"/>
    <x v="143"/>
    <s v="P000000002"/>
    <s v="EL-OP BU Head &amp; Other"/>
    <m/>
    <x v="2"/>
    <x v="1"/>
    <x v="0"/>
    <x v="3"/>
    <m/>
    <m/>
    <s v="Eivy Denine Cruz"/>
  </r>
  <r>
    <n v="3800"/>
    <x v="1"/>
    <x v="143"/>
    <s v="P000000695"/>
    <s v="EL-OP BU head Organization"/>
    <m/>
    <x v="2"/>
    <x v="1"/>
    <x v="0"/>
    <x v="3"/>
    <m/>
    <m/>
    <s v="Eivy Denine Cruz"/>
  </r>
  <r>
    <n v="3801"/>
    <x v="1"/>
    <x v="143"/>
    <s v="P000000696"/>
    <s v="EL-OP Inventor Remuneration"/>
    <m/>
    <x v="2"/>
    <x v="1"/>
    <x v="0"/>
    <x v="3"/>
    <m/>
    <m/>
    <s v="Eivy Denine Cruz"/>
  </r>
  <r>
    <n v="3802"/>
    <x v="1"/>
    <x v="143"/>
    <s v="P000000697"/>
    <s v="EL-OP Intangible Assets"/>
    <m/>
    <x v="2"/>
    <x v="1"/>
    <x v="0"/>
    <x v="3"/>
    <m/>
    <m/>
    <s v="Eivy Denine Cruz"/>
  </r>
  <r>
    <n v="3803"/>
    <x v="1"/>
    <x v="143"/>
    <s v="P000000698"/>
    <s v="EL-OP Other"/>
    <m/>
    <x v="2"/>
    <x v="1"/>
    <x v="0"/>
    <x v="3"/>
    <m/>
    <m/>
    <s v="Eivy Denine Cruz"/>
  </r>
  <r>
    <n v="3804"/>
    <x v="1"/>
    <x v="143"/>
    <s v="P000000022"/>
    <s v="EL-OP-W LC Windows"/>
    <m/>
    <x v="2"/>
    <x v="1"/>
    <x v="0"/>
    <x v="3"/>
    <m/>
    <m/>
    <s v="Eivy Denine Cruz"/>
  </r>
  <r>
    <n v="3805"/>
    <x v="1"/>
    <x v="143"/>
    <s v="P000000055"/>
    <s v="EL-OP-S Supply Chain Optronics"/>
    <m/>
    <x v="2"/>
    <x v="1"/>
    <x v="0"/>
    <x v="3"/>
    <m/>
    <m/>
    <s v="Eivy Denine Cruz"/>
  </r>
  <r>
    <n v="3806"/>
    <x v="1"/>
    <x v="143"/>
    <s v="P000000505"/>
    <s v="Optronics Production Sites"/>
    <m/>
    <x v="2"/>
    <x v="1"/>
    <x v="0"/>
    <x v="3"/>
    <m/>
    <m/>
    <s v="Eivy Denine Cruz"/>
  </r>
  <r>
    <n v="3807"/>
    <x v="1"/>
    <x v="143"/>
    <s v="P000000056"/>
    <s v="EL-OP-SD Site Darmstadt, Germany"/>
    <m/>
    <x v="2"/>
    <x v="1"/>
    <x v="0"/>
    <x v="3"/>
    <m/>
    <m/>
    <s v="Eivy Denine Cruz"/>
  </r>
  <r>
    <n v="3808"/>
    <x v="1"/>
    <x v="143"/>
    <s v="P000001172"/>
    <s v="EL-OP-SDPP Production Planning"/>
    <m/>
    <x v="2"/>
    <x v="1"/>
    <x v="0"/>
    <x v="3"/>
    <m/>
    <m/>
    <s v="Eivy Denine Cruz"/>
  </r>
  <r>
    <n v="3809"/>
    <x v="1"/>
    <x v="143"/>
    <s v="P000000087"/>
    <s v="EL-OP-SA Site Atsugi, Japan"/>
    <m/>
    <x v="2"/>
    <x v="1"/>
    <x v="0"/>
    <x v="3"/>
    <m/>
    <m/>
    <s v="Eivy Denine Cruz"/>
  </r>
  <r>
    <n v="3810"/>
    <x v="1"/>
    <x v="143"/>
    <s v="P000000097"/>
    <s v="EL-OP-SZ Site Suzhou, China"/>
    <m/>
    <x v="2"/>
    <x v="1"/>
    <x v="0"/>
    <x v="3"/>
    <m/>
    <m/>
    <s v="Eivy Denine Cruz"/>
  </r>
  <r>
    <n v="3811"/>
    <x v="1"/>
    <x v="143"/>
    <s v="P000000107"/>
    <s v="EL-OP-ST Site Taoyuan, Taiwan"/>
    <m/>
    <x v="2"/>
    <x v="1"/>
    <x v="0"/>
    <x v="3"/>
    <m/>
    <m/>
    <s v="Eivy Denine Cruz"/>
  </r>
  <r>
    <n v="3812"/>
    <x v="1"/>
    <x v="143"/>
    <s v="P000000117"/>
    <s v="EL-OP-SH Site Hsinchu, Taiwan"/>
    <m/>
    <x v="2"/>
    <x v="1"/>
    <x v="0"/>
    <x v="3"/>
    <m/>
    <m/>
    <s v="Eivy Denine Cruz"/>
  </r>
  <r>
    <n v="3813"/>
    <x v="1"/>
    <x v="143"/>
    <s v="P000000127"/>
    <s v="EL-OP-SP Site Poseung, S. Korea"/>
    <m/>
    <x v="2"/>
    <x v="1"/>
    <x v="0"/>
    <x v="3"/>
    <m/>
    <m/>
    <s v="Eivy Denine Cruz"/>
  </r>
  <r>
    <n v="3814"/>
    <x v="1"/>
    <x v="143"/>
    <s v="P000000137"/>
    <s v="EL-OP-SS Site Shanghai, China"/>
    <m/>
    <x v="2"/>
    <x v="1"/>
    <x v="0"/>
    <x v="3"/>
    <m/>
    <m/>
    <s v="Eivy Denine Cruz"/>
  </r>
  <r>
    <n v="3815"/>
    <x v="1"/>
    <x v="143"/>
    <s v="P000000506"/>
    <s v="EL-OP-SC Supply Chain Excellence"/>
    <m/>
    <x v="2"/>
    <x v="1"/>
    <x v="0"/>
    <x v="3"/>
    <m/>
    <m/>
    <s v="Eivy Denine Cruz"/>
  </r>
  <r>
    <n v="3816"/>
    <x v="1"/>
    <x v="143"/>
    <s v="P000000507"/>
    <s v="EL-OP-SQ QA Optronics"/>
    <m/>
    <x v="2"/>
    <x v="1"/>
    <x v="0"/>
    <x v="3"/>
    <m/>
    <m/>
    <s v="Eivy Denine Cruz"/>
  </r>
  <r>
    <n v="3817"/>
    <x v="1"/>
    <x v="143"/>
    <s v="P000001167"/>
    <s v="EL-OP-SG Global Demand &amp; Supply Planning"/>
    <m/>
    <x v="2"/>
    <x v="1"/>
    <x v="0"/>
    <x v="3"/>
    <m/>
    <m/>
    <s v="Eivy Denine Cruz"/>
  </r>
  <r>
    <n v="3818"/>
    <x v="1"/>
    <x v="143"/>
    <s v="P000001168"/>
    <s v="EL-OP-SV Value Stream Mngt"/>
    <m/>
    <x v="2"/>
    <x v="1"/>
    <x v="0"/>
    <x v="3"/>
    <m/>
    <m/>
    <s v="Eivy Denine Cruz"/>
  </r>
  <r>
    <n v="3819"/>
    <x v="1"/>
    <x v="143"/>
    <s v="P000001109"/>
    <s v="EL-OP-L LC/DPM"/>
    <m/>
    <x v="2"/>
    <x v="1"/>
    <x v="0"/>
    <x v="3"/>
    <m/>
    <m/>
    <s v="Eivy Denine Cruz"/>
  </r>
  <r>
    <n v="3820"/>
    <x v="1"/>
    <x v="143"/>
    <s v="P000001110"/>
    <s v="EL-OP-LC LC/DPM Sales CN"/>
    <m/>
    <x v="2"/>
    <x v="1"/>
    <x v="0"/>
    <x v="3"/>
    <m/>
    <m/>
    <s v="Eivy Denine Cruz"/>
  </r>
  <r>
    <n v="3821"/>
    <x v="1"/>
    <x v="143"/>
    <s v="P000001111"/>
    <s v="EL-OP-LT LC/DPM Sales TW &amp; JP"/>
    <m/>
    <x v="2"/>
    <x v="1"/>
    <x v="0"/>
    <x v="3"/>
    <m/>
    <m/>
    <s v="Eivy Denine Cruz"/>
  </r>
  <r>
    <n v="3822"/>
    <x v="1"/>
    <x v="143"/>
    <s v="P000001112"/>
    <s v="EL-OP-LM LC/DPM Marketing"/>
    <m/>
    <x v="2"/>
    <x v="1"/>
    <x v="0"/>
    <x v="3"/>
    <m/>
    <m/>
    <s v="Eivy Denine Cruz"/>
  </r>
  <r>
    <n v="3823"/>
    <x v="1"/>
    <x v="143"/>
    <s v="P000001113"/>
    <s v="EL-OP-LM LC/DPM Marketing Organization"/>
    <m/>
    <x v="2"/>
    <x v="1"/>
    <x v="0"/>
    <x v="3"/>
    <m/>
    <m/>
    <s v="Eivy Denine Cruz"/>
  </r>
  <r>
    <n v="3824"/>
    <x v="1"/>
    <x v="143"/>
    <s v="P000001114"/>
    <s v="EL-OP-LM LC/DPM Sales Promotion"/>
    <m/>
    <x v="2"/>
    <x v="1"/>
    <x v="0"/>
    <x v="3"/>
    <m/>
    <m/>
    <s v="Eivy Denine Cruz"/>
  </r>
  <r>
    <n v="3825"/>
    <x v="1"/>
    <x v="143"/>
    <s v="P000001115"/>
    <s v="EL-OP-L LC/DPM Royalties/Commissions"/>
    <m/>
    <x v="2"/>
    <x v="1"/>
    <x v="0"/>
    <x v="3"/>
    <m/>
    <m/>
    <s v="Eivy Denine Cruz"/>
  </r>
  <r>
    <n v="3826"/>
    <x v="1"/>
    <x v="143"/>
    <s v="P000001116"/>
    <s v="EL-OP-L LC/DPM Other"/>
    <m/>
    <x v="2"/>
    <x v="1"/>
    <x v="0"/>
    <x v="3"/>
    <m/>
    <m/>
    <s v="Eivy Denine Cruz"/>
  </r>
  <r>
    <n v="3827"/>
    <x v="1"/>
    <x v="143"/>
    <s v="P000001117"/>
    <s v="EL-OP-LR LC/DPM R&amp;D"/>
    <m/>
    <x v="2"/>
    <x v="1"/>
    <x v="0"/>
    <x v="3"/>
    <m/>
    <m/>
    <s v="Eivy Denine Cruz"/>
  </r>
  <r>
    <n v="3828"/>
    <x v="1"/>
    <x v="143"/>
    <s v="P000001209"/>
    <s v="EL-OP-LR LC/DPM R&amp;D General Expenses"/>
    <m/>
    <x v="2"/>
    <x v="1"/>
    <x v="0"/>
    <x v="3"/>
    <m/>
    <m/>
    <s v="Eivy Denine Cruz"/>
  </r>
  <r>
    <n v="3829"/>
    <x v="1"/>
    <x v="143"/>
    <s v="P000001118"/>
    <s v="EL-OP-O OLED"/>
    <m/>
    <x v="2"/>
    <x v="1"/>
    <x v="0"/>
    <x v="3"/>
    <m/>
    <m/>
    <s v="Eivy Denine Cruz"/>
  </r>
  <r>
    <n v="3830"/>
    <x v="1"/>
    <x v="143"/>
    <s v="P000001119"/>
    <s v="EL-OP-OC OLED Sales CN"/>
    <m/>
    <x v="2"/>
    <x v="1"/>
    <x v="0"/>
    <x v="3"/>
    <m/>
    <m/>
    <s v="Eivy Denine Cruz"/>
  </r>
  <r>
    <n v="3831"/>
    <x v="1"/>
    <x v="143"/>
    <s v="P000001120"/>
    <s v="EL-OP-OK OLED Sales KR"/>
    <m/>
    <x v="2"/>
    <x v="1"/>
    <x v="0"/>
    <x v="3"/>
    <m/>
    <m/>
    <s v="Eivy Denine Cruz"/>
  </r>
  <r>
    <n v="3832"/>
    <x v="1"/>
    <x v="143"/>
    <s v="P000001121"/>
    <s v="EL-OP-OM OLED Marketing"/>
    <m/>
    <x v="2"/>
    <x v="1"/>
    <x v="0"/>
    <x v="3"/>
    <m/>
    <m/>
    <s v="Eivy Denine Cruz"/>
  </r>
  <r>
    <n v="3833"/>
    <x v="1"/>
    <x v="143"/>
    <s v="P000000687"/>
    <s v="XX_EL-OP-M Global Mkt Other"/>
    <m/>
    <x v="2"/>
    <x v="1"/>
    <x v="0"/>
    <x v="3"/>
    <m/>
    <m/>
    <s v="Eivy Denine Cruz"/>
  </r>
  <r>
    <n v="3834"/>
    <x v="1"/>
    <x v="143"/>
    <s v="P000001122"/>
    <s v="EL-OP-OM OLED Marketing Organization"/>
    <m/>
    <x v="2"/>
    <x v="1"/>
    <x v="0"/>
    <x v="3"/>
    <m/>
    <m/>
    <s v="Eivy Denine Cruz"/>
  </r>
  <r>
    <n v="3835"/>
    <x v="1"/>
    <x v="143"/>
    <s v="P000001123"/>
    <s v="EL-OP-OM OLED Sales Promotion"/>
    <m/>
    <x v="2"/>
    <x v="1"/>
    <x v="0"/>
    <x v="3"/>
    <m/>
    <m/>
    <s v="Eivy Denine Cruz"/>
  </r>
  <r>
    <n v="3836"/>
    <x v="1"/>
    <x v="143"/>
    <s v="P000001124"/>
    <s v="EL-OP-O OLED Royalties/Commissions"/>
    <m/>
    <x v="2"/>
    <x v="1"/>
    <x v="0"/>
    <x v="3"/>
    <m/>
    <m/>
    <s v="Eivy Denine Cruz"/>
  </r>
  <r>
    <n v="3837"/>
    <x v="1"/>
    <x v="143"/>
    <s v="P000001125"/>
    <s v="EL-OP-O OLED Other"/>
    <m/>
    <x v="2"/>
    <x v="1"/>
    <x v="0"/>
    <x v="3"/>
    <m/>
    <m/>
    <s v="Eivy Denine Cruz"/>
  </r>
  <r>
    <n v="3838"/>
    <x v="1"/>
    <x v="143"/>
    <s v="P000001126"/>
    <s v="EL-OP-OR OLED R&amp;D"/>
    <m/>
    <x v="2"/>
    <x v="1"/>
    <x v="0"/>
    <x v="3"/>
    <m/>
    <m/>
    <s v="Eivy Denine Cruz"/>
  </r>
  <r>
    <n v="3839"/>
    <x v="1"/>
    <x v="143"/>
    <s v="P000001221"/>
    <s v="EL-OP-OR OLED R&amp;D General Expenses"/>
    <m/>
    <x v="2"/>
    <x v="1"/>
    <x v="0"/>
    <x v="3"/>
    <m/>
    <m/>
    <s v="Eivy Denine Cruz"/>
  </r>
  <r>
    <n v="3840"/>
    <x v="1"/>
    <x v="143"/>
    <s v="P000001127"/>
    <s v="EL-OP-B BS&amp;S"/>
    <m/>
    <x v="2"/>
    <x v="1"/>
    <x v="0"/>
    <x v="3"/>
    <m/>
    <m/>
    <s v="Eivy Denine Cruz"/>
  </r>
  <r>
    <n v="3841"/>
    <x v="1"/>
    <x v="143"/>
    <s v="P000001128"/>
    <s v="EL-OP-BF Optical Technologies"/>
    <m/>
    <x v="2"/>
    <x v="1"/>
    <x v="0"/>
    <x v="3"/>
    <m/>
    <m/>
    <s v="Eivy Denine Cruz"/>
  </r>
  <r>
    <n v="3842"/>
    <x v="1"/>
    <x v="143"/>
    <s v="P000001129"/>
    <s v="EL-OP BF OT Business Development Org"/>
    <m/>
    <x v="2"/>
    <x v="1"/>
    <x v="0"/>
    <x v="3"/>
    <m/>
    <m/>
    <s v="Eivy Denine Cruz"/>
  </r>
  <r>
    <n v="3843"/>
    <x v="1"/>
    <x v="143"/>
    <s v="P000001130"/>
    <s v="EL-OP BF OT R&amp;D"/>
    <m/>
    <x v="2"/>
    <x v="1"/>
    <x v="0"/>
    <x v="3"/>
    <m/>
    <m/>
    <s v="Eivy Denine Cruz"/>
  </r>
  <r>
    <n v="3844"/>
    <x v="1"/>
    <x v="143"/>
    <s v="P000000593"/>
    <s v="OT Projects"/>
    <m/>
    <x v="2"/>
    <x v="1"/>
    <x v="0"/>
    <x v="3"/>
    <m/>
    <m/>
    <s v="Eivy Denine Cruz"/>
  </r>
  <r>
    <n v="3845"/>
    <x v="1"/>
    <x v="143"/>
    <s v="P000001251"/>
    <s v="Antireflection Technology"/>
    <m/>
    <x v="2"/>
    <x v="1"/>
    <x v="0"/>
    <x v="3"/>
    <m/>
    <m/>
    <s v="Eivy Denine Cruz"/>
  </r>
  <r>
    <n v="3846"/>
    <x v="1"/>
    <x v="143"/>
    <s v="P000001252"/>
    <s v="PVH"/>
    <m/>
    <x v="2"/>
    <x v="1"/>
    <x v="0"/>
    <x v="3"/>
    <m/>
    <m/>
    <s v="Eivy Denine Cruz"/>
  </r>
  <r>
    <n v="3847"/>
    <x v="1"/>
    <x v="143"/>
    <s v="P000001243"/>
    <s v="EL-OP BF OT R&amp;D General Expenses"/>
    <m/>
    <x v="2"/>
    <x v="1"/>
    <x v="0"/>
    <x v="3"/>
    <m/>
    <m/>
    <s v="Eivy Denine Cruz"/>
  </r>
  <r>
    <n v="3848"/>
    <x v="1"/>
    <x v="143"/>
    <s v="P000001131"/>
    <s v="EL-OP BF OT Sales Promotion"/>
    <m/>
    <x v="2"/>
    <x v="1"/>
    <x v="0"/>
    <x v="3"/>
    <m/>
    <m/>
    <s v="Eivy Denine Cruz"/>
  </r>
  <r>
    <n v="3849"/>
    <x v="1"/>
    <x v="143"/>
    <s v="P000001132"/>
    <s v="EL-OP BF OT Royalties/Commissions"/>
    <m/>
    <x v="2"/>
    <x v="1"/>
    <x v="0"/>
    <x v="3"/>
    <m/>
    <m/>
    <s v="Eivy Denine Cruz"/>
  </r>
  <r>
    <n v="3850"/>
    <x v="1"/>
    <x v="143"/>
    <s v="P000001133"/>
    <s v="EL-OP BF OT Other"/>
    <m/>
    <x v="2"/>
    <x v="1"/>
    <x v="0"/>
    <x v="3"/>
    <m/>
    <m/>
    <s v="Eivy Denine Cruz"/>
  </r>
  <r>
    <n v="3851"/>
    <x v="1"/>
    <x v="143"/>
    <s v="P000001134"/>
    <s v="EL-OP-B BS&amp;S Organization"/>
    <m/>
    <x v="2"/>
    <x v="1"/>
    <x v="0"/>
    <x v="3"/>
    <m/>
    <m/>
    <s v="Eivy Denine Cruz"/>
  </r>
  <r>
    <n v="3852"/>
    <x v="1"/>
    <x v="143"/>
    <s v="P000001135"/>
    <s v="EL-OP-BN Novel Tools"/>
    <m/>
    <x v="2"/>
    <x v="1"/>
    <x v="0"/>
    <x v="3"/>
    <m/>
    <m/>
    <s v="Eivy Denine Cruz"/>
  </r>
  <r>
    <n v="3853"/>
    <x v="1"/>
    <x v="143"/>
    <s v="P000001136"/>
    <s v="EL-OP-B BS&amp;S MarCom"/>
    <m/>
    <x v="2"/>
    <x v="1"/>
    <x v="0"/>
    <x v="3"/>
    <m/>
    <m/>
    <s v="Eivy Denine Cruz"/>
  </r>
  <r>
    <n v="3854"/>
    <x v="1"/>
    <x v="143"/>
    <s v="P000001137"/>
    <s v="EL-OP-B BS&amp;S Other"/>
    <m/>
    <x v="2"/>
    <x v="1"/>
    <x v="0"/>
    <x v="3"/>
    <m/>
    <m/>
    <s v="Eivy Denine Cruz"/>
  </r>
  <r>
    <n v="3855"/>
    <x v="1"/>
    <x v="143"/>
    <s v="P000000659"/>
    <s v="BOI"/>
    <m/>
    <x v="2"/>
    <x v="1"/>
    <x v="0"/>
    <x v="3"/>
    <m/>
    <m/>
    <s v="Eivy Denine Cruz"/>
  </r>
  <r>
    <n v="3856"/>
    <x v="1"/>
    <x v="143"/>
    <s v="P000000673"/>
    <s v="AR hardware"/>
    <m/>
    <x v="2"/>
    <x v="1"/>
    <x v="0"/>
    <x v="3"/>
    <m/>
    <m/>
    <s v="Eivy Denine Cruz"/>
  </r>
  <r>
    <n v="3857"/>
    <x v="1"/>
    <x v="143"/>
    <s v="P000000674"/>
    <s v="EUVen MORe"/>
    <m/>
    <x v="2"/>
    <x v="1"/>
    <x v="0"/>
    <x v="3"/>
    <m/>
    <m/>
    <s v="Eivy Denine Cruz"/>
  </r>
  <r>
    <n v="3858"/>
    <x v="1"/>
    <x v="143"/>
    <s v="P000000675"/>
    <s v="Mat. Info DRAM"/>
    <m/>
    <x v="2"/>
    <x v="1"/>
    <x v="0"/>
    <x v="3"/>
    <m/>
    <m/>
    <s v="Eivy Denine Cruz"/>
  </r>
  <r>
    <n v="3859"/>
    <x v="1"/>
    <x v="143"/>
    <s v="P000000678"/>
    <s v="OSC"/>
    <m/>
    <x v="2"/>
    <x v="1"/>
    <x v="0"/>
    <x v="3"/>
    <m/>
    <m/>
    <s v="Eivy Denine Cruz"/>
  </r>
  <r>
    <n v="3860"/>
    <x v="1"/>
    <x v="143"/>
    <s v="P000000679"/>
    <s v="Planarization Incubator"/>
    <m/>
    <x v="2"/>
    <x v="1"/>
    <x v="0"/>
    <x v="3"/>
    <m/>
    <m/>
    <s v="Eivy Denine Cruz"/>
  </r>
  <r>
    <n v="3861"/>
    <x v="1"/>
    <x v="143"/>
    <s v="P000000681"/>
    <s v="HIT'M/BN"/>
    <m/>
    <x v="2"/>
    <x v="1"/>
    <x v="0"/>
    <x v="3"/>
    <m/>
    <m/>
    <s v="Eivy Denine Cruz"/>
  </r>
  <r>
    <n v="3862"/>
    <x v="1"/>
    <x v="143"/>
    <s v="P000001052"/>
    <s v="AR VR Lab"/>
    <m/>
    <x v="2"/>
    <x v="1"/>
    <x v="0"/>
    <x v="3"/>
    <m/>
    <m/>
    <s v="Eivy Denine Cruz"/>
  </r>
  <r>
    <n v="3863"/>
    <x v="1"/>
    <x v="143"/>
    <s v="P000001058"/>
    <s v="RM for IJP"/>
    <m/>
    <x v="2"/>
    <x v="1"/>
    <x v="0"/>
    <x v="3"/>
    <m/>
    <m/>
    <s v="Eivy Denine Cruz"/>
  </r>
  <r>
    <n v="3864"/>
    <x v="1"/>
    <x v="143"/>
    <s v="P000001094"/>
    <s v="LTD-MAP"/>
    <m/>
    <x v="2"/>
    <x v="1"/>
    <x v="0"/>
    <x v="3"/>
    <m/>
    <m/>
    <s v="Eivy Denine Cruz"/>
  </r>
  <r>
    <n v="3865"/>
    <x v="1"/>
    <x v="143"/>
    <s v="P000000745"/>
    <s v="CTO Organization"/>
    <m/>
    <x v="2"/>
    <x v="1"/>
    <x v="0"/>
    <x v="3"/>
    <m/>
    <m/>
    <s v="Eivy Denine Cruz"/>
  </r>
  <r>
    <n v="3866"/>
    <x v="1"/>
    <x v="143"/>
    <s v="P000000645"/>
    <s v="MIP Cost Variance"/>
    <m/>
    <x v="2"/>
    <x v="1"/>
    <x v="0"/>
    <x v="3"/>
    <m/>
    <m/>
    <s v="Eivy Denine Cruz"/>
  </r>
  <r>
    <n v="3867"/>
    <x v="1"/>
    <x v="143"/>
    <s v="P000000646"/>
    <s v="CTO Leadership"/>
    <m/>
    <x v="2"/>
    <x v="1"/>
    <x v="0"/>
    <x v="3"/>
    <m/>
    <m/>
    <s v="Eivy Denine Cruz"/>
  </r>
  <r>
    <n v="3868"/>
    <x v="1"/>
    <x v="143"/>
    <s v="P000000648"/>
    <s v="Materials AI"/>
    <m/>
    <x v="2"/>
    <x v="1"/>
    <x v="0"/>
    <x v="3"/>
    <m/>
    <m/>
    <s v="Eivy Denine Cruz"/>
  </r>
  <r>
    <n v="3869"/>
    <x v="1"/>
    <x v="143"/>
    <s v="P000000649"/>
    <s v="Business Development  AR VR"/>
    <m/>
    <x v="2"/>
    <x v="1"/>
    <x v="0"/>
    <x v="3"/>
    <m/>
    <m/>
    <s v="Eivy Denine Cruz"/>
  </r>
  <r>
    <n v="3870"/>
    <x v="1"/>
    <x v="143"/>
    <s v="P000001102"/>
    <s v="Technology Strategy &amp; Roadmap"/>
    <m/>
    <x v="2"/>
    <x v="1"/>
    <x v="0"/>
    <x v="3"/>
    <m/>
    <m/>
    <s v="Eivy Denine Cruz"/>
  </r>
  <r>
    <n v="3871"/>
    <x v="1"/>
    <x v="143"/>
    <s v="P000001103"/>
    <s v="CTO Labs Capex"/>
    <m/>
    <x v="2"/>
    <x v="1"/>
    <x v="0"/>
    <x v="3"/>
    <m/>
    <m/>
    <s v="Eivy Denine Cruz"/>
  </r>
  <r>
    <n v="3872"/>
    <x v="1"/>
    <x v="143"/>
    <s v="P000000484"/>
    <s v="EL-SC-Q Quality &amp; Compliance Mgmt."/>
    <m/>
    <x v="2"/>
    <x v="1"/>
    <x v="0"/>
    <x v="3"/>
    <m/>
    <m/>
    <s v="Eivy Denine Cruz"/>
  </r>
  <r>
    <n v="3873"/>
    <x v="1"/>
    <x v="143"/>
    <s v="P000000487"/>
    <s v="EL-SC-QS Global Supplier Quality"/>
    <m/>
    <x v="2"/>
    <x v="1"/>
    <x v="0"/>
    <x v="3"/>
    <m/>
    <m/>
    <s v="Eivy Denine Cruz"/>
  </r>
  <r>
    <n v="3874"/>
    <x v="1"/>
    <x v="143"/>
    <s v="P000000490"/>
    <s v="EL-SC-QT Trade Compliance China"/>
    <m/>
    <x v="2"/>
    <x v="1"/>
    <x v="0"/>
    <x v="3"/>
    <m/>
    <m/>
    <s v="Eivy Denine Cruz"/>
  </r>
  <r>
    <n v="3875"/>
    <x v="1"/>
    <x v="143"/>
    <s v="P000000497"/>
    <s v="EL-SC-DO Process Development Optronics"/>
    <m/>
    <x v="2"/>
    <x v="1"/>
    <x v="0"/>
    <x v="3"/>
    <m/>
    <m/>
    <s v="Eivy Denine Cruz"/>
  </r>
  <r>
    <n v="3876"/>
    <x v="1"/>
    <x v="143"/>
    <s v="P000001071"/>
    <s v="EL-SC-DO Projects"/>
    <m/>
    <x v="2"/>
    <x v="1"/>
    <x v="0"/>
    <x v="3"/>
    <m/>
    <m/>
    <s v="Eivy Denine Cruz"/>
  </r>
  <r>
    <n v="3877"/>
    <x v="1"/>
    <x v="143"/>
    <s v="P000001072"/>
    <s v="EL-SC-DO Investments"/>
    <m/>
    <x v="2"/>
    <x v="1"/>
    <x v="0"/>
    <x v="3"/>
    <m/>
    <m/>
    <s v="Eivy Denine Cruz"/>
  </r>
  <r>
    <n v="3878"/>
    <x v="1"/>
    <x v="143"/>
    <s v="P000001174"/>
    <s v="EL-SC-DO Process Development OptronicsIO"/>
    <m/>
    <x v="2"/>
    <x v="1"/>
    <x v="0"/>
    <x v="3"/>
    <m/>
    <m/>
    <s v="Eivy Denine Cruz"/>
  </r>
  <r>
    <n v="3879"/>
    <x v="1"/>
    <x v="143"/>
    <s v="P000001081"/>
    <s v="EL-SC-DX Projects"/>
    <m/>
    <x v="2"/>
    <x v="1"/>
    <x v="0"/>
    <x v="3"/>
    <m/>
    <m/>
    <s v="Eivy Denine Cruz"/>
  </r>
  <r>
    <n v="3880"/>
    <x v="1"/>
    <x v="143"/>
    <s v="P000001082"/>
    <s v="EL-SC-DX Investments"/>
    <m/>
    <x v="2"/>
    <x v="1"/>
    <x v="0"/>
    <x v="3"/>
    <m/>
    <m/>
    <s v="Eivy Denine Cruz"/>
  </r>
  <r>
    <n v="3881"/>
    <x v="1"/>
    <x v="143"/>
    <s v="P000000635"/>
    <s v="EL-SC-E Engineering"/>
    <m/>
    <x v="2"/>
    <x v="1"/>
    <x v="0"/>
    <x v="3"/>
    <m/>
    <m/>
    <s v="Eivy Denine Cruz"/>
  </r>
  <r>
    <n v="3882"/>
    <x v="1"/>
    <x v="143"/>
    <s v="P000001187"/>
    <s v="EL-SC-E Engineering Head"/>
    <m/>
    <x v="2"/>
    <x v="1"/>
    <x v="0"/>
    <x v="3"/>
    <m/>
    <m/>
    <s v="Eivy Denine Cruz"/>
  </r>
  <r>
    <n v="3883"/>
    <x v="1"/>
    <x v="143"/>
    <s v="P000001188"/>
    <s v="EL-SC-EC Regional Engineering China/Taiw"/>
    <m/>
    <x v="2"/>
    <x v="1"/>
    <x v="0"/>
    <x v="3"/>
    <m/>
    <m/>
    <s v="Eivy Denine Cruz"/>
  </r>
  <r>
    <n v="3884"/>
    <x v="1"/>
    <x v="143"/>
    <s v="P000001189"/>
    <s v="EL-SC-EK Regional Engineering Korea"/>
    <m/>
    <x v="2"/>
    <x v="1"/>
    <x v="0"/>
    <x v="3"/>
    <m/>
    <m/>
    <s v="Eivy Denine Cruz"/>
  </r>
  <r>
    <n v="3885"/>
    <x v="1"/>
    <x v="143"/>
    <s v="P000001191"/>
    <s v="EL-SC-EE Global Capital Efficiency &amp; Pro"/>
    <m/>
    <x v="2"/>
    <x v="1"/>
    <x v="0"/>
    <x v="3"/>
    <m/>
    <m/>
    <s v="Eivy Denine Cruz"/>
  </r>
  <r>
    <n v="3886"/>
    <x v="1"/>
    <x v="144"/>
    <s v="G000000414 "/>
    <m/>
    <s v="G000000873"/>
    <x v="1"/>
    <x v="1"/>
    <x v="0"/>
    <x v="0"/>
    <m/>
    <m/>
    <s v="Francesco Ricioppo"/>
  </r>
  <r>
    <n v="3887"/>
    <x v="1"/>
    <x v="144"/>
    <s v="G000000415"/>
    <m/>
    <s v="G000000873"/>
    <x v="1"/>
    <x v="1"/>
    <x v="0"/>
    <x v="0"/>
    <m/>
    <m/>
    <s v="Francesco Ricioppo"/>
  </r>
  <r>
    <n v="3888"/>
    <x v="1"/>
    <x v="144"/>
    <s v="G000000879 "/>
    <m/>
    <s v="G000000873"/>
    <x v="1"/>
    <x v="1"/>
    <x v="0"/>
    <x v="0"/>
    <m/>
    <m/>
    <s v="Francesco Ricioppo"/>
  </r>
  <r>
    <n v="3889"/>
    <x v="1"/>
    <x v="144"/>
    <s v="G000000417"/>
    <m/>
    <s v="G000000873"/>
    <x v="1"/>
    <x v="1"/>
    <x v="0"/>
    <x v="0"/>
    <m/>
    <m/>
    <s v="Francesco Ricioppo"/>
  </r>
  <r>
    <n v="3890"/>
    <x v="1"/>
    <x v="144"/>
    <s v="G000000880"/>
    <m/>
    <s v="G000000873"/>
    <x v="1"/>
    <x v="1"/>
    <x v="0"/>
    <x v="0"/>
    <m/>
    <m/>
    <s v="Francesco Ricioppo"/>
  </r>
  <r>
    <n v="3891"/>
    <x v="1"/>
    <x v="144"/>
    <s v="G000000881"/>
    <m/>
    <s v="G000000873"/>
    <x v="1"/>
    <x v="1"/>
    <x v="0"/>
    <x v="0"/>
    <m/>
    <m/>
    <s v="Francesco Ricioppo"/>
  </r>
  <r>
    <n v="3892"/>
    <x v="1"/>
    <x v="144"/>
    <s v="G000000495 "/>
    <m/>
    <s v="G000000523"/>
    <x v="1"/>
    <x v="1"/>
    <x v="0"/>
    <x v="0"/>
    <m/>
    <m/>
    <s v="Francesco Ricioppo"/>
  </r>
  <r>
    <n v="3893"/>
    <x v="1"/>
    <x v="145"/>
    <s v="P000001259"/>
    <s v="EL-PS Support Functions"/>
    <s v="P000000024"/>
    <x v="0"/>
    <x v="1"/>
    <x v="0"/>
    <x v="3"/>
    <m/>
    <m/>
    <s v="Eivy Denine Cruz"/>
  </r>
  <r>
    <n v="3894"/>
    <x v="1"/>
    <x v="145"/>
    <s v="P000001260"/>
    <s v="EL-PSL Legal"/>
    <s v="P000001259"/>
    <x v="0"/>
    <x v="1"/>
    <x v="0"/>
    <x v="3"/>
    <m/>
    <m/>
    <s v="Eivy Denine Cruz"/>
  </r>
  <r>
    <n v="3895"/>
    <x v="1"/>
    <x v="145"/>
    <s v="P000001261"/>
    <s v="EL-PSH HR"/>
    <s v="P000001259"/>
    <x v="0"/>
    <x v="1"/>
    <x v="0"/>
    <x v="3"/>
    <m/>
    <m/>
    <s v="Eivy Denine Cruz"/>
  </r>
  <r>
    <n v="3896"/>
    <x v="1"/>
    <x v="145"/>
    <s v="P000001262"/>
    <s v="EL-PSF Finance"/>
    <s v="P000001259"/>
    <x v="0"/>
    <x v="1"/>
    <x v="0"/>
    <x v="3"/>
    <m/>
    <m/>
    <s v="Eivy Denine Cruz"/>
  </r>
  <r>
    <n v="3897"/>
    <x v="1"/>
    <x v="145"/>
    <s v="P000001263"/>
    <s v="EL-PSP Procurement"/>
    <s v="P000001259"/>
    <x v="0"/>
    <x v="1"/>
    <x v="0"/>
    <x v="3"/>
    <m/>
    <m/>
    <s v="Eivy Denine Cruz"/>
  </r>
  <r>
    <n v="3898"/>
    <x v="1"/>
    <x v="145"/>
    <s v="P000001264"/>
    <s v="EL-PSI IT"/>
    <s v="P000001259"/>
    <x v="0"/>
    <x v="1"/>
    <x v="0"/>
    <x v="3"/>
    <m/>
    <m/>
    <s v="Eivy Denine Cruz"/>
  </r>
  <r>
    <n v="3899"/>
    <x v="1"/>
    <x v="145"/>
    <s v="P000000148"/>
    <s v="EL-PS-O Global Operations General"/>
    <m/>
    <x v="2"/>
    <x v="1"/>
    <x v="0"/>
    <x v="3"/>
    <m/>
    <m/>
    <s v="Eivy Denine Cruz"/>
  </r>
  <r>
    <n v="3900"/>
    <x v="1"/>
    <x v="146"/>
    <s v="G000001023"/>
    <m/>
    <s v="G000000873"/>
    <x v="1"/>
    <x v="1"/>
    <x v="0"/>
    <x v="0"/>
    <m/>
    <m/>
    <s v="Francesco Ricioppo"/>
  </r>
  <r>
    <n v="3901"/>
    <x v="1"/>
    <x v="146"/>
    <s v="G000001024"/>
    <m/>
    <s v="G000000873"/>
    <x v="1"/>
    <x v="1"/>
    <x v="0"/>
    <x v="0"/>
    <m/>
    <m/>
    <s v="Francesco Ricioppo"/>
  </r>
  <r>
    <n v="3902"/>
    <x v="1"/>
    <x v="146"/>
    <s v="G000000950"/>
    <m/>
    <s v="G000000873"/>
    <x v="1"/>
    <x v="1"/>
    <x v="0"/>
    <x v="0"/>
    <m/>
    <m/>
    <s v="Francesco Ricioppo"/>
  </r>
  <r>
    <n v="3903"/>
    <x v="1"/>
    <x v="146"/>
    <s v="G000000415"/>
    <m/>
    <s v="G000000873"/>
    <x v="1"/>
    <x v="1"/>
    <x v="0"/>
    <x v="0"/>
    <m/>
    <m/>
    <s v="Francesco Ricioppo"/>
  </r>
  <r>
    <n v="3904"/>
    <x v="1"/>
    <x v="146"/>
    <s v="G000000414"/>
    <m/>
    <s v="G000000873"/>
    <x v="1"/>
    <x v="1"/>
    <x v="0"/>
    <x v="0"/>
    <m/>
    <m/>
    <s v="Francesco Ricioppo"/>
  </r>
  <r>
    <n v="3905"/>
    <x v="1"/>
    <x v="146"/>
    <s v="G000000417"/>
    <m/>
    <s v="G000000873"/>
    <x v="1"/>
    <x v="1"/>
    <x v="0"/>
    <x v="0"/>
    <m/>
    <m/>
    <s v="Francesco Ricioppo"/>
  </r>
  <r>
    <n v="3906"/>
    <x v="1"/>
    <x v="146"/>
    <s v="G000000880"/>
    <m/>
    <s v="G000000873"/>
    <x v="1"/>
    <x v="1"/>
    <x v="0"/>
    <x v="0"/>
    <m/>
    <m/>
    <s v="Francesco Ricioppo"/>
  </r>
  <r>
    <n v="3907"/>
    <x v="1"/>
    <x v="146"/>
    <s v="G000000881"/>
    <m/>
    <s v="G000000873"/>
    <x v="1"/>
    <x v="1"/>
    <x v="0"/>
    <x v="0"/>
    <m/>
    <m/>
    <s v="Francesco Ricioppo"/>
  </r>
  <r>
    <n v="3908"/>
    <x v="1"/>
    <x v="146"/>
    <s v="G000000363"/>
    <m/>
    <s v="G000000873"/>
    <x v="1"/>
    <x v="1"/>
    <x v="0"/>
    <x v="0"/>
    <m/>
    <m/>
    <s v="Francesco Ricioppo"/>
  </r>
  <r>
    <n v="3909"/>
    <x v="1"/>
    <x v="146"/>
    <s v="G000000888"/>
    <m/>
    <s v="G000000873"/>
    <x v="1"/>
    <x v="1"/>
    <x v="0"/>
    <x v="0"/>
    <m/>
    <m/>
    <s v="Francesco Ricioppo"/>
  </r>
  <r>
    <n v="3910"/>
    <x v="1"/>
    <x v="146"/>
    <s v="G000001008"/>
    <m/>
    <s v="G000000873"/>
    <x v="1"/>
    <x v="1"/>
    <x v="0"/>
    <x v="0"/>
    <m/>
    <m/>
    <s v="Francesco Ricioppo"/>
  </r>
  <r>
    <n v="3911"/>
    <x v="1"/>
    <x v="146"/>
    <s v="G000000471"/>
    <m/>
    <s v="G000000873"/>
    <x v="1"/>
    <x v="1"/>
    <x v="0"/>
    <x v="0"/>
    <m/>
    <m/>
    <s v="Francesco Ricioppo"/>
  </r>
  <r>
    <n v="3912"/>
    <x v="1"/>
    <x v="146"/>
    <s v="G000000467"/>
    <m/>
    <s v="G000000873"/>
    <x v="1"/>
    <x v="1"/>
    <x v="0"/>
    <x v="0"/>
    <m/>
    <m/>
    <s v="Francesco Ricioppo"/>
  </r>
  <r>
    <n v="3913"/>
    <x v="1"/>
    <x v="147"/>
    <s v="P000001265"/>
    <s v="IC Cross charges"/>
    <s v="P000001209"/>
    <x v="0"/>
    <x v="1"/>
    <x v="0"/>
    <x v="3"/>
    <m/>
    <m/>
    <s v="Eivy Denine Cruz"/>
  </r>
  <r>
    <n v="3914"/>
    <x v="1"/>
    <x v="147"/>
    <s v="P000001266"/>
    <s v="IC Cross charges"/>
    <s v="P000001243"/>
    <x v="0"/>
    <x v="1"/>
    <x v="0"/>
    <x v="3"/>
    <m/>
    <m/>
    <s v="Eivy Denine Cruz"/>
  </r>
  <r>
    <n v="3915"/>
    <x v="1"/>
    <x v="147"/>
    <s v="P000001267"/>
    <s v="Licrivision"/>
    <s v="P000000590"/>
    <x v="0"/>
    <x v="1"/>
    <x v="0"/>
    <x v="3"/>
    <m/>
    <m/>
    <s v="Eivy Denine Cruz"/>
  </r>
  <r>
    <n v="3916"/>
    <x v="1"/>
    <x v="148"/>
    <s v="L000013824"/>
    <s v="mRNA CDMO QAO"/>
    <s v="L000013595"/>
    <x v="0"/>
    <x v="1"/>
    <x v="0"/>
    <x v="0"/>
    <m/>
    <m/>
    <s v="Marvin Graef"/>
  </r>
  <r>
    <n v="3917"/>
    <x v="1"/>
    <x v="148"/>
    <s v="L000013825"/>
    <s v="mRNA CDMO Support Functions"/>
    <s v="L000013595"/>
    <x v="0"/>
    <x v="1"/>
    <x v="0"/>
    <x v="0"/>
    <m/>
    <m/>
    <s v="Marvin Graef"/>
  </r>
  <r>
    <n v="3918"/>
    <x v="1"/>
    <x v="149"/>
    <s v="P000000331"/>
    <s v="Quality Gernsheim"/>
    <m/>
    <x v="2"/>
    <x v="1"/>
    <x v="0"/>
    <x v="3"/>
    <m/>
    <m/>
    <s v="Eivy Denine Cruz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F3E7B-2CAF-4002-A19D-1836C27E307F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33" firstHeaderRow="1" firstDataRow="1" firstDataCol="1" rowPageCount="1" colPageCount="1"/>
  <pivotFields count="13">
    <pivotField dataField="1" showAll="0"/>
    <pivotField showAll="0"/>
    <pivotField axis="axisRow" showAll="0">
      <items count="233">
        <item sd="0" m="1" x="210"/>
        <item sd="0" m="1" x="198"/>
        <item sd="0" m="1" x="178"/>
        <item sd="0" m="1" x="199"/>
        <item sd="0" m="1" x="217"/>
        <item sd="0" m="1" x="161"/>
        <item sd="0" m="1" x="164"/>
        <item sd="0" m="1" x="153"/>
        <item sd="0" m="1" x="231"/>
        <item sd="0" m="1" x="175"/>
        <item sd="0" m="1" x="207"/>
        <item sd="0" m="1" x="196"/>
        <item sd="0" m="1" x="212"/>
        <item sd="0" m="1" x="201"/>
        <item sd="0" m="1" x="220"/>
        <item sd="0" m="1" x="180"/>
        <item sd="0" m="1" x="188"/>
        <item sd="0" m="1" x="157"/>
        <item sd="0" m="1" x="216"/>
        <item sd="0" m="1" x="211"/>
        <item sd="0" m="1" x="177"/>
        <item sd="0" m="1" x="213"/>
        <item sd="0" m="1" x="202"/>
        <item sd="0" m="1" x="197"/>
        <item sd="0" m="1" x="192"/>
        <item sd="0" m="1" x="155"/>
        <item sd="0" m="1" x="190"/>
        <item sd="0" m="1" x="156"/>
        <item sd="0" m="1" x="205"/>
        <item sd="0" x="0"/>
        <item sd="0" m="1" x="159"/>
        <item sd="0" m="1" x="221"/>
        <item sd="0" m="1" x="228"/>
        <item sd="0" m="1" x="179"/>
        <item sd="0" m="1" x="151"/>
        <item sd="0" m="1" x="176"/>
        <item sd="0" m="1" x="191"/>
        <item sd="0" m="1" x="227"/>
        <item sd="0" m="1" x="208"/>
        <item sd="0" m="1" x="214"/>
        <item sd="0" m="1" x="152"/>
        <item sd="0" m="1" x="209"/>
        <item sd="0" m="1" x="200"/>
        <item sd="0" m="1" x="169"/>
        <item sd="0" m="1" x="226"/>
        <item sd="0" m="1" x="158"/>
        <item sd="0" m="1" x="174"/>
        <item sd="0" m="1" x="206"/>
        <item sd="0" m="1" x="167"/>
        <item sd="0" m="1" x="171"/>
        <item sd="0" m="1" x="223"/>
        <item sd="0" m="1" x="203"/>
        <item sd="0" m="1" x="193"/>
        <item sd="0" m="1" x="215"/>
        <item sd="0" m="1" x="189"/>
        <item sd="0" m="1" x="218"/>
        <item sd="0" m="1" x="194"/>
        <item sd="0" m="1" x="172"/>
        <item sd="0" m="1" x="222"/>
        <item sd="0" m="1" x="186"/>
        <item sd="0" m="1" x="168"/>
        <item sd="0" m="1" x="225"/>
        <item sd="0" m="1" x="163"/>
        <item sd="0" m="1" x="224"/>
        <item sd="0" m="1" x="165"/>
        <item sd="0" m="1" x="162"/>
        <item sd="0" m="1" x="185"/>
        <item sd="0" m="1" x="173"/>
        <item sd="0" m="1" x="184"/>
        <item sd="0" m="1" x="154"/>
        <item sd="0" m="1" x="195"/>
        <item sd="0" m="1" x="229"/>
        <item sd="0" m="1" x="187"/>
        <item sd="0" m="1" x="182"/>
        <item sd="0" m="1" x="219"/>
        <item sd="0" m="1" x="204"/>
        <item sd="0" m="1" x="181"/>
        <item sd="0" m="1" x="160"/>
        <item sd="0" x="2"/>
        <item sd="0" x="3"/>
        <item sd="0" x="1"/>
        <item sd="0" x="4"/>
        <item sd="0" x="5"/>
        <item sd="0" m="1" x="183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3"/>
        <item sd="0" x="34"/>
        <item sd="0" x="35"/>
        <item sd="0" x="32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x="46"/>
        <item m="1" x="230"/>
        <item x="47"/>
        <item m="1" x="150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m="1" x="166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sd="0" x="128"/>
        <item sd="0" x="129"/>
        <item x="130"/>
        <item m="1" x="17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 sd="0"/>
      </items>
    </pivotField>
    <pivotField showAll="0"/>
    <pivotField showAll="0"/>
    <pivotField showAll="0"/>
    <pivotField showAll="0"/>
    <pivotField axis="axisPage" multipleItemSelectionAllowed="1" showAll="0">
      <items count="11">
        <item h="1" x="0"/>
        <item h="1" m="1" x="7"/>
        <item h="1" m="1" x="9"/>
        <item h="1" m="1" x="5"/>
        <item h="1" m="1" x="8"/>
        <item h="1" m="1" x="2"/>
        <item h="1" m="1" x="4"/>
        <item h="1" m="1" x="6"/>
        <item h="1" m="1" x="3"/>
        <item x="1"/>
        <item t="default"/>
      </items>
    </pivotField>
    <pivotField axis="axisRow" showAll="0">
      <items count="23">
        <item x="0"/>
        <item m="1" x="3"/>
        <item m="1" x="2"/>
        <item m="1" x="18"/>
        <item m="1" x="9"/>
        <item m="1" x="19"/>
        <item m="1" x="17"/>
        <item m="1" x="8"/>
        <item x="1"/>
        <item m="1" x="20"/>
        <item m="1" x="13"/>
        <item m="1" x="5"/>
        <item m="1" x="4"/>
        <item m="1" x="15"/>
        <item m="1" x="7"/>
        <item m="1" x="14"/>
        <item m="1" x="11"/>
        <item m="1" x="10"/>
        <item m="1" x="21"/>
        <item m="1" x="6"/>
        <item m="1" x="12"/>
        <item m="1" x="16"/>
        <item t="default"/>
      </items>
    </pivotField>
    <pivotField showAll="0"/>
    <pivotField showAll="0"/>
    <pivotField showAll="0"/>
    <pivotField showAll="0"/>
  </pivotFields>
  <rowFields count="2">
    <field x="2"/>
    <field x="8"/>
  </rowFields>
  <rowItems count="30">
    <i>
      <x v="218"/>
    </i>
    <i r="1">
      <x/>
    </i>
    <i>
      <x v="219"/>
    </i>
    <i r="1">
      <x/>
    </i>
    <i>
      <x v="220"/>
    </i>
    <i r="1">
      <x/>
    </i>
    <i>
      <x v="221"/>
    </i>
    <i r="1">
      <x/>
    </i>
    <i r="1">
      <x v="8"/>
    </i>
    <i>
      <x v="222"/>
    </i>
    <i r="1">
      <x/>
    </i>
    <i>
      <x v="223"/>
    </i>
    <i r="1">
      <x/>
    </i>
    <i>
      <x v="224"/>
    </i>
    <i r="1">
      <x/>
    </i>
    <i>
      <x v="225"/>
    </i>
    <i r="1">
      <x/>
    </i>
    <i>
      <x v="226"/>
    </i>
    <i r="1">
      <x/>
    </i>
    <i>
      <x v="227"/>
    </i>
    <i r="1">
      <x/>
    </i>
    <i>
      <x v="228"/>
    </i>
    <i r="1">
      <x/>
    </i>
    <i>
      <x v="229"/>
    </i>
    <i r="1">
      <x/>
    </i>
    <i>
      <x v="230"/>
    </i>
    <i r="1">
      <x/>
    </i>
    <i>
      <x v="231"/>
    </i>
    <i r="1">
      <x/>
    </i>
    <i t="grand">
      <x/>
    </i>
  </rowItems>
  <colItems count="1">
    <i/>
  </colItems>
  <pageFields count="1">
    <pageField fld="7" hier="-1"/>
  </pageFields>
  <dataFields count="1">
    <dataField name="Count of No." fld="0" subtotal="count" baseField="1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F0913-8E7E-4BBD-95FB-C9FAE35735C4}" name="PivotTable3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Z11" firstHeaderRow="1" firstDataRow="3" firstDataCol="1" rowPageCount="1" colPageCount="1"/>
  <pivotFields count="13">
    <pivotField dataField="1" showAll="0"/>
    <pivotField axis="axisCol" multipleItemSelectionAllowed="1" showAll="0" sortType="ascending">
      <items count="6">
        <item x="0"/>
        <item x="1"/>
        <item x="2"/>
        <item x="3"/>
        <item h="1" m="1" x="4"/>
        <item t="default"/>
      </items>
    </pivotField>
    <pivotField showAll="0"/>
    <pivotField showAll="0"/>
    <pivotField showAll="0"/>
    <pivotField showAll="0"/>
    <pivotField axis="axisCol" multipleItemSelectionAllowed="1" showAll="0">
      <items count="7">
        <item x="3"/>
        <item x="1"/>
        <item x="0"/>
        <item x="2"/>
        <item x="4"/>
        <item m="1" x="5"/>
        <item t="default"/>
      </items>
    </pivotField>
    <pivotField axis="axisPage" multipleItemSelectionAllowed="1" showAll="0">
      <items count="11">
        <item x="0"/>
        <item m="1" x="7"/>
        <item m="1" x="9"/>
        <item m="1" x="5"/>
        <item m="1" x="8"/>
        <item m="1" x="2"/>
        <item m="1" x="4"/>
        <item m="1" x="6"/>
        <item m="1" x="3"/>
        <item x="1"/>
        <item t="default"/>
      </items>
    </pivotField>
    <pivotField showAll="0"/>
    <pivotField axis="axisRow" showAll="0">
      <items count="6">
        <item sd="0" x="0"/>
        <item sd="0" x="2"/>
        <item sd="0" x="1"/>
        <item sd="0" x="3"/>
        <item m="1" x="4"/>
        <item t="default"/>
      </items>
    </pivotField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6"/>
  </colFields>
  <colItems count="25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colItems>
  <pageFields count="1">
    <pageField fld="7" hier="-1"/>
  </pageFields>
  <dataFields count="1">
    <dataField name="Count of No." fld="0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2F1FDB-2DE3-4F2F-AC05-259118646336}" name="Table2" displayName="Table2" ref="A1:M3919" totalsRowShown="0" headerRowDxfId="7" headerRowBorderDxfId="6" tableBorderDxfId="5">
  <autoFilter ref="A1:M3919" xr:uid="{542F1FDB-2DE3-4F2F-AC05-259118646336}"/>
  <sortState xmlns:xlrd2="http://schemas.microsoft.com/office/spreadsheetml/2017/richdata2" ref="A3173:M3407">
    <sortCondition ref="C1:C3407"/>
  </sortState>
  <tableColumns count="13">
    <tableColumn id="1" xr3:uid="{5ACBE26F-C7D0-4820-B605-735A7C0A6E63}" name="No." dataDxfId="4">
      <calculatedColumnFormula>1+A1</calculatedColumnFormula>
    </tableColumn>
    <tableColumn id="9" xr3:uid="{38BD95CF-CFD8-48E1-A3A9-C1B032A82BFC}" name="Forecast?"/>
    <tableColumn id="2" xr3:uid="{8D463605-B323-4186-B189-5B395FD92702}" name="Ticket"/>
    <tableColumn id="3" xr3:uid="{FB8CE876-15BA-4956-9042-177A456751CF}" name="Node"/>
    <tableColumn id="4" xr3:uid="{FCEEB02E-E6E0-404C-B14D-B89372875AD5}" name="Name"/>
    <tableColumn id="5" xr3:uid="{1D47A8B1-DCEE-452D-B19D-2F1062DF01D3}" name="Parent"/>
    <tableColumn id="6" xr3:uid="{7F1410C2-44E6-44D5-A931-79FAD2F63283}" name="Action"/>
    <tableColumn id="7" xr3:uid="{B125FE5C-A48B-45FE-97DE-28E37015A5F5}" name="STATUS" dataDxfId="3">
      <calculatedColumnFormula>IFERROR(VLOOKUP(Table2[[#This Row],[Ticket]],Okey!A:B,2,0),"")</calculatedColumnFormula>
    </tableColumn>
    <tableColumn id="8" xr3:uid="{F1AB0725-8E56-405D-9016-422FD81CACFE}" name="STATUS Check"/>
    <tableColumn id="10" xr3:uid="{F0CC5DCA-459C-4F79-9A48-1C7BF877CB90}" name="Sector">
      <calculatedColumnFormula>VLOOKUP(Table2[[#This Row],[Author]],People!A:B,2,0)</calculatedColumnFormula>
    </tableColumn>
    <tableColumn id="11" xr3:uid="{E402CD93-9AC5-4AB5-85B2-91FCF9A05E00}" name="Comments"/>
    <tableColumn id="15" xr3:uid="{A1A71094-DDC4-420F-A1CF-A2E406BFAABA}" name="SANITY" dataDxfId="2"/>
    <tableColumn id="12" xr3:uid="{1AAB63C7-1996-4494-B1E0-921B6C4AE328}" name="Author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B04C3-6033-4594-BBCB-519997BAC0CC}" name="Table1" displayName="Table1" ref="A1:M2" totalsRowShown="0">
  <autoFilter ref="A1:M2" xr:uid="{E9CB04C3-6033-4594-BBCB-519997BAC0CC}"/>
  <tableColumns count="13">
    <tableColumn id="1" xr3:uid="{A5605BB3-3188-4E14-BCB3-1B4C081C89E0}" name="No."/>
    <tableColumn id="2" xr3:uid="{FC9AA324-BBB1-4DFD-9ECB-8C947409D130}" name="Forecast?"/>
    <tableColumn id="3" xr3:uid="{BA7431BA-066F-4146-BFA4-288672EEEB3F}" name="Ticket"/>
    <tableColumn id="4" xr3:uid="{FF9F5E0F-8D22-4936-864E-D520A174B8B7}" name="Node"/>
    <tableColumn id="5" xr3:uid="{6A87CB5B-7B9D-4AFC-BF33-16C120E1E1F9}" name="Name"/>
    <tableColumn id="6" xr3:uid="{503DF9C4-F957-4C45-91A7-37EBF672CA8F}" name="Parent"/>
    <tableColumn id="7" xr3:uid="{F7CDA836-5CC9-46E8-BA80-ED3A95FA3AD3}" name="Action"/>
    <tableColumn id="8" xr3:uid="{EC0DBF5E-8BBF-4324-B9EA-4C30FCC001E5}" name="STATUS"/>
    <tableColumn id="9" xr3:uid="{7F745FF1-933F-4ACA-A13A-E033B04F0742}" name="STATUS Check"/>
    <tableColumn id="10" xr3:uid="{7E3A60A2-2E97-4988-A1EC-8FAE6B5A0F8A}" name="Sector"/>
    <tableColumn id="11" xr3:uid="{F4CDEA4E-3F2A-4044-8AAA-C83D82072A1F}" name="Comments"/>
    <tableColumn id="12" xr3:uid="{54398BC2-224F-4AC5-B282-D831C4AA7BD1}" name="SANITY"/>
    <tableColumn id="13" xr3:uid="{8A702707-36E3-42D9-9E81-A9974C0D6FC1}" name="Auth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82AD-1C3E-4267-80AB-83A20C227F9E}">
  <sheetPr codeName="Sheet1"/>
  <dimension ref="A1:M3919"/>
  <sheetViews>
    <sheetView tabSelected="1" topLeftCell="A2812" zoomScale="85" zoomScaleNormal="85" workbookViewId="0">
      <selection activeCell="K2821" sqref="K2821"/>
    </sheetView>
  </sheetViews>
  <sheetFormatPr defaultRowHeight="15" x14ac:dyDescent="0.25"/>
  <cols>
    <col min="1" max="1" width="8.42578125" bestFit="1" customWidth="1"/>
    <col min="2" max="2" width="6.28515625" customWidth="1"/>
    <col min="3" max="3" width="10.140625" bestFit="1" customWidth="1"/>
    <col min="4" max="4" width="37.28515625" bestFit="1" customWidth="1"/>
    <col min="5" max="5" width="57.28515625" bestFit="1" customWidth="1"/>
    <col min="6" max="6" width="38" bestFit="1" customWidth="1"/>
    <col min="7" max="7" width="14.28515625" bestFit="1" customWidth="1"/>
    <col min="8" max="8" width="9.85546875" customWidth="1"/>
    <col min="9" max="9" width="20" bestFit="1" customWidth="1"/>
    <col min="10" max="10" width="11.42578125" bestFit="1" customWidth="1"/>
    <col min="11" max="11" width="49.5703125" bestFit="1" customWidth="1"/>
    <col min="12" max="12" width="41.140625" bestFit="1" customWidth="1"/>
    <col min="13" max="13" width="26.5703125" bestFit="1" customWidth="1"/>
  </cols>
  <sheetData>
    <row r="1" spans="1:13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>
        <v>1</v>
      </c>
      <c r="B2" s="37" t="s">
        <v>13</v>
      </c>
      <c r="C2" t="s">
        <v>14</v>
      </c>
      <c r="D2" t="s">
        <v>15</v>
      </c>
      <c r="E2" s="20" t="s">
        <v>16</v>
      </c>
      <c r="F2" s="20" t="s">
        <v>17</v>
      </c>
      <c r="G2" t="s">
        <v>18</v>
      </c>
      <c r="H2" t="str">
        <f>IFERROR(VLOOKUP(Table2[[#This Row],[Ticket]],Okey!A:B,2,0),"")</f>
        <v>Ok</v>
      </c>
      <c r="I2" t="s">
        <v>19</v>
      </c>
      <c r="J2" t="str">
        <f>VLOOKUP(Table2[[#This Row],[Author]],People!A:B,2,0)</f>
        <v>MGF</v>
      </c>
      <c r="M2" t="s">
        <v>20</v>
      </c>
    </row>
    <row r="3" spans="1:13" x14ac:dyDescent="0.25">
      <c r="A3">
        <v>2</v>
      </c>
      <c r="B3" t="s">
        <v>13</v>
      </c>
      <c r="C3" t="s">
        <v>21</v>
      </c>
      <c r="D3" t="s">
        <v>22</v>
      </c>
      <c r="F3" t="s">
        <v>23</v>
      </c>
      <c r="G3" t="s">
        <v>24</v>
      </c>
      <c r="H3" s="75" t="str">
        <f>IFERROR(VLOOKUP(Table2[[#This Row],[Ticket]],Okey!A:B,2,0),"")</f>
        <v>ok</v>
      </c>
      <c r="I3" t="s">
        <v>19</v>
      </c>
      <c r="J3" t="str">
        <f>VLOOKUP(Table2[[#This Row],[Author]],People!A:B,2,0)</f>
        <v>MGF</v>
      </c>
      <c r="M3" t="s">
        <v>25</v>
      </c>
    </row>
    <row r="4" spans="1:13" x14ac:dyDescent="0.25">
      <c r="A4">
        <v>3</v>
      </c>
      <c r="B4" t="s">
        <v>13</v>
      </c>
      <c r="C4" t="s">
        <v>26</v>
      </c>
      <c r="D4" t="s">
        <v>27</v>
      </c>
      <c r="E4" t="s">
        <v>28</v>
      </c>
      <c r="F4" t="s">
        <v>29</v>
      </c>
      <c r="G4" t="s">
        <v>18</v>
      </c>
      <c r="H4" s="75" t="str">
        <f>IFERROR(VLOOKUP(Table2[[#This Row],[Ticket]],Okey!A:B,2,0),"")</f>
        <v>ok</v>
      </c>
      <c r="I4" t="s">
        <v>19</v>
      </c>
      <c r="J4" t="str">
        <f>VLOOKUP(Table2[[#This Row],[Author]],People!A:B,2,0)</f>
        <v>HC</v>
      </c>
      <c r="M4" t="s">
        <v>30</v>
      </c>
    </row>
    <row r="5" spans="1:13" x14ac:dyDescent="0.25">
      <c r="A5">
        <v>4</v>
      </c>
      <c r="B5" s="44" t="s">
        <v>13</v>
      </c>
      <c r="C5" t="s">
        <v>26</v>
      </c>
      <c r="D5" t="s">
        <v>31</v>
      </c>
      <c r="E5" t="s">
        <v>32</v>
      </c>
      <c r="F5" t="s">
        <v>29</v>
      </c>
      <c r="G5" t="s">
        <v>18</v>
      </c>
      <c r="H5" s="75" t="str">
        <f>IFERROR(VLOOKUP(Table2[[#This Row],[Ticket]],Okey!A:B,2,0),"")</f>
        <v>ok</v>
      </c>
      <c r="I5" t="s">
        <v>19</v>
      </c>
      <c r="J5" t="str">
        <f>VLOOKUP(Table2[[#This Row],[Author]],People!A:B,2,0)</f>
        <v>HC</v>
      </c>
      <c r="M5" t="s">
        <v>30</v>
      </c>
    </row>
    <row r="6" spans="1:13" x14ac:dyDescent="0.25">
      <c r="A6">
        <v>5</v>
      </c>
      <c r="B6" s="44" t="s">
        <v>13</v>
      </c>
      <c r="C6" t="s">
        <v>33</v>
      </c>
      <c r="D6" t="s">
        <v>34</v>
      </c>
      <c r="E6" t="s">
        <v>28</v>
      </c>
      <c r="F6" t="s">
        <v>35</v>
      </c>
      <c r="G6" t="s">
        <v>18</v>
      </c>
      <c r="H6" s="75" t="str">
        <f>IFERROR(VLOOKUP(Table2[[#This Row],[Ticket]],Okey!A:B,2,0),"")</f>
        <v>ok</v>
      </c>
      <c r="I6" t="s">
        <v>19</v>
      </c>
      <c r="J6" t="str">
        <f>VLOOKUP(Table2[[#This Row],[Author]],People!A:B,2,0)</f>
        <v>HC</v>
      </c>
      <c r="M6" t="s">
        <v>30</v>
      </c>
    </row>
    <row r="7" spans="1:13" x14ac:dyDescent="0.25">
      <c r="A7">
        <v>6</v>
      </c>
      <c r="B7" s="44" t="s">
        <v>13</v>
      </c>
      <c r="C7" t="s">
        <v>36</v>
      </c>
      <c r="D7" t="s">
        <v>37</v>
      </c>
      <c r="E7" t="s">
        <v>38</v>
      </c>
      <c r="F7" t="s">
        <v>39</v>
      </c>
      <c r="G7" t="s">
        <v>18</v>
      </c>
      <c r="H7" s="75" t="str">
        <f>IFERROR(VLOOKUP(Table2[[#This Row],[Ticket]],Okey!A:B,2,0),"")</f>
        <v>ok</v>
      </c>
      <c r="I7" t="s">
        <v>19</v>
      </c>
      <c r="J7" t="str">
        <f>VLOOKUP(Table2[[#This Row],[Author]],People!A:B,2,0)</f>
        <v>MGF</v>
      </c>
      <c r="M7" t="s">
        <v>40</v>
      </c>
    </row>
    <row r="8" spans="1:13" x14ac:dyDescent="0.25">
      <c r="A8">
        <v>7</v>
      </c>
      <c r="B8" t="s">
        <v>13</v>
      </c>
      <c r="C8" t="s">
        <v>36</v>
      </c>
      <c r="D8" t="s">
        <v>41</v>
      </c>
      <c r="E8" t="s">
        <v>42</v>
      </c>
      <c r="F8" t="s">
        <v>43</v>
      </c>
      <c r="G8" t="s">
        <v>18</v>
      </c>
      <c r="H8" s="75" t="str">
        <f>IFERROR(VLOOKUP(Table2[[#This Row],[Ticket]],Okey!A:B,2,0),"")</f>
        <v>ok</v>
      </c>
      <c r="I8" t="s">
        <v>19</v>
      </c>
      <c r="J8" t="str">
        <f>VLOOKUP(Table2[[#This Row],[Author]],People!A:B,2,0)</f>
        <v>MGF</v>
      </c>
      <c r="M8" t="s">
        <v>40</v>
      </c>
    </row>
    <row r="9" spans="1:13" x14ac:dyDescent="0.25">
      <c r="A9">
        <f t="shared" ref="A9:A72" si="0">1+A8</f>
        <v>8</v>
      </c>
      <c r="B9" t="s">
        <v>13</v>
      </c>
      <c r="C9" t="s">
        <v>36</v>
      </c>
      <c r="D9" t="s">
        <v>44</v>
      </c>
      <c r="E9" t="s">
        <v>45</v>
      </c>
      <c r="F9" t="s">
        <v>46</v>
      </c>
      <c r="G9" t="s">
        <v>18</v>
      </c>
      <c r="H9" s="75" t="str">
        <f>IFERROR(VLOOKUP(Table2[[#This Row],[Ticket]],Okey!A:B,2,0),"")</f>
        <v>ok</v>
      </c>
      <c r="I9" t="s">
        <v>19</v>
      </c>
      <c r="J9" t="str">
        <f>VLOOKUP(Table2[[#This Row],[Author]],People!A:B,2,0)</f>
        <v>MGF</v>
      </c>
      <c r="M9" t="s">
        <v>40</v>
      </c>
    </row>
    <row r="10" spans="1:13" x14ac:dyDescent="0.25">
      <c r="A10">
        <f t="shared" si="0"/>
        <v>9</v>
      </c>
      <c r="B10" t="s">
        <v>13</v>
      </c>
      <c r="C10" t="s">
        <v>36</v>
      </c>
      <c r="D10" t="s">
        <v>47</v>
      </c>
      <c r="E10" t="s">
        <v>48</v>
      </c>
      <c r="F10" t="s">
        <v>49</v>
      </c>
      <c r="G10" t="s">
        <v>18</v>
      </c>
      <c r="H10" s="75" t="str">
        <f>IFERROR(VLOOKUP(Table2[[#This Row],[Ticket]],Okey!A:B,2,0),"")</f>
        <v>ok</v>
      </c>
      <c r="I10" t="s">
        <v>19</v>
      </c>
      <c r="J10" t="str">
        <f>VLOOKUP(Table2[[#This Row],[Author]],People!A:B,2,0)</f>
        <v>MGF</v>
      </c>
      <c r="M10" t="s">
        <v>40</v>
      </c>
    </row>
    <row r="11" spans="1:13" x14ac:dyDescent="0.25">
      <c r="A11" s="75">
        <f t="shared" si="0"/>
        <v>10</v>
      </c>
      <c r="B11" t="s">
        <v>13</v>
      </c>
      <c r="C11" t="s">
        <v>36</v>
      </c>
      <c r="D11" t="s">
        <v>50</v>
      </c>
      <c r="E11" t="s">
        <v>51</v>
      </c>
      <c r="F11" t="s">
        <v>49</v>
      </c>
      <c r="G11" t="s">
        <v>18</v>
      </c>
      <c r="H11" s="75" t="str">
        <f>IFERROR(VLOOKUP(Table2[[#This Row],[Ticket]],Okey!A:B,2,0),"")</f>
        <v>ok</v>
      </c>
      <c r="I11" t="s">
        <v>19</v>
      </c>
      <c r="J11" t="str">
        <f>VLOOKUP(Table2[[#This Row],[Author]],People!A:B,2,0)</f>
        <v>MGF</v>
      </c>
      <c r="M11" t="s">
        <v>40</v>
      </c>
    </row>
    <row r="12" spans="1:13" x14ac:dyDescent="0.25">
      <c r="A12" s="75">
        <f t="shared" si="0"/>
        <v>11</v>
      </c>
      <c r="B12" t="s">
        <v>13</v>
      </c>
      <c r="C12" t="s">
        <v>36</v>
      </c>
      <c r="D12" t="s">
        <v>52</v>
      </c>
      <c r="E12" t="s">
        <v>53</v>
      </c>
      <c r="F12" t="s">
        <v>49</v>
      </c>
      <c r="G12" t="s">
        <v>18</v>
      </c>
      <c r="H12" s="75" t="str">
        <f>IFERROR(VLOOKUP(Table2[[#This Row],[Ticket]],Okey!A:B,2,0),"")</f>
        <v>ok</v>
      </c>
      <c r="I12" t="s">
        <v>19</v>
      </c>
      <c r="J12" t="str">
        <f>VLOOKUP(Table2[[#This Row],[Author]],People!A:B,2,0)</f>
        <v>MGF</v>
      </c>
      <c r="M12" t="s">
        <v>40</v>
      </c>
    </row>
    <row r="13" spans="1:13" x14ac:dyDescent="0.25">
      <c r="A13" s="75">
        <f t="shared" si="0"/>
        <v>12</v>
      </c>
      <c r="B13" t="s">
        <v>13</v>
      </c>
      <c r="C13" t="s">
        <v>36</v>
      </c>
      <c r="D13" t="s">
        <v>54</v>
      </c>
      <c r="E13" t="s">
        <v>38</v>
      </c>
      <c r="F13" t="s">
        <v>37</v>
      </c>
      <c r="G13" t="s">
        <v>18</v>
      </c>
      <c r="H13" s="75" t="str">
        <f>IFERROR(VLOOKUP(Table2[[#This Row],[Ticket]],Okey!A:B,2,0),"")</f>
        <v>ok</v>
      </c>
      <c r="I13" t="s">
        <v>19</v>
      </c>
      <c r="J13" t="str">
        <f>VLOOKUP(Table2[[#This Row],[Author]],People!A:B,2,0)</f>
        <v>MGF</v>
      </c>
      <c r="M13" t="s">
        <v>40</v>
      </c>
    </row>
    <row r="14" spans="1:13" x14ac:dyDescent="0.25">
      <c r="A14" s="75">
        <f t="shared" si="0"/>
        <v>13</v>
      </c>
      <c r="B14" t="s">
        <v>13</v>
      </c>
      <c r="C14" t="s">
        <v>36</v>
      </c>
      <c r="D14" t="s">
        <v>55</v>
      </c>
      <c r="E14" t="s">
        <v>42</v>
      </c>
      <c r="F14" t="s">
        <v>41</v>
      </c>
      <c r="G14" t="s">
        <v>18</v>
      </c>
      <c r="H14" s="75" t="str">
        <f>IFERROR(VLOOKUP(Table2[[#This Row],[Ticket]],Okey!A:B,2,0),"")</f>
        <v>ok</v>
      </c>
      <c r="I14" t="s">
        <v>19</v>
      </c>
      <c r="J14" t="str">
        <f>VLOOKUP(Table2[[#This Row],[Author]],People!A:B,2,0)</f>
        <v>MGF</v>
      </c>
      <c r="M14" t="s">
        <v>40</v>
      </c>
    </row>
    <row r="15" spans="1:13" x14ac:dyDescent="0.25">
      <c r="A15" s="75">
        <f t="shared" si="0"/>
        <v>14</v>
      </c>
      <c r="B15" t="s">
        <v>13</v>
      </c>
      <c r="C15" t="s">
        <v>36</v>
      </c>
      <c r="D15" t="s">
        <v>56</v>
      </c>
      <c r="E15" t="s">
        <v>45</v>
      </c>
      <c r="F15" t="s">
        <v>44</v>
      </c>
      <c r="G15" t="s">
        <v>18</v>
      </c>
      <c r="H15" s="75" t="str">
        <f>IFERROR(VLOOKUP(Table2[[#This Row],[Ticket]],Okey!A:B,2,0),"")</f>
        <v>ok</v>
      </c>
      <c r="I15" t="s">
        <v>19</v>
      </c>
      <c r="J15" t="str">
        <f>VLOOKUP(Table2[[#This Row],[Author]],People!A:B,2,0)</f>
        <v>MGF</v>
      </c>
      <c r="M15" t="s">
        <v>40</v>
      </c>
    </row>
    <row r="16" spans="1:13" x14ac:dyDescent="0.25">
      <c r="A16" s="75">
        <f t="shared" si="0"/>
        <v>15</v>
      </c>
      <c r="B16" t="s">
        <v>13</v>
      </c>
      <c r="C16" t="s">
        <v>36</v>
      </c>
      <c r="D16" t="s">
        <v>57</v>
      </c>
      <c r="E16" t="s">
        <v>48</v>
      </c>
      <c r="F16" t="s">
        <v>47</v>
      </c>
      <c r="G16" t="s">
        <v>18</v>
      </c>
      <c r="H16" s="75" t="str">
        <f>IFERROR(VLOOKUP(Table2[[#This Row],[Ticket]],Okey!A:B,2,0),"")</f>
        <v>ok</v>
      </c>
      <c r="I16" t="s">
        <v>19</v>
      </c>
      <c r="J16" t="str">
        <f>VLOOKUP(Table2[[#This Row],[Author]],People!A:B,2,0)</f>
        <v>MGF</v>
      </c>
      <c r="M16" t="s">
        <v>40</v>
      </c>
    </row>
    <row r="17" spans="1:13" x14ac:dyDescent="0.25">
      <c r="A17" s="75">
        <f t="shared" si="0"/>
        <v>16</v>
      </c>
      <c r="B17" t="s">
        <v>13</v>
      </c>
      <c r="C17" t="s">
        <v>36</v>
      </c>
      <c r="D17" t="s">
        <v>58</v>
      </c>
      <c r="E17" t="s">
        <v>51</v>
      </c>
      <c r="F17" t="s">
        <v>50</v>
      </c>
      <c r="G17" t="s">
        <v>18</v>
      </c>
      <c r="H17" s="75" t="str">
        <f>IFERROR(VLOOKUP(Table2[[#This Row],[Ticket]],Okey!A:B,2,0),"")</f>
        <v>ok</v>
      </c>
      <c r="I17" t="s">
        <v>19</v>
      </c>
      <c r="J17" t="str">
        <f>VLOOKUP(Table2[[#This Row],[Author]],People!A:B,2,0)</f>
        <v>MGF</v>
      </c>
      <c r="M17" t="s">
        <v>40</v>
      </c>
    </row>
    <row r="18" spans="1:13" x14ac:dyDescent="0.25">
      <c r="A18" s="75">
        <f t="shared" si="0"/>
        <v>17</v>
      </c>
      <c r="B18" t="s">
        <v>13</v>
      </c>
      <c r="C18" t="s">
        <v>36</v>
      </c>
      <c r="D18" t="s">
        <v>59</v>
      </c>
      <c r="E18" t="s">
        <v>53</v>
      </c>
      <c r="F18" t="s">
        <v>52</v>
      </c>
      <c r="G18" t="s">
        <v>18</v>
      </c>
      <c r="H18" s="75" t="str">
        <f>IFERROR(VLOOKUP(Table2[[#This Row],[Ticket]],Okey!A:B,2,0),"")</f>
        <v>ok</v>
      </c>
      <c r="I18" t="s">
        <v>19</v>
      </c>
      <c r="J18" t="str">
        <f>VLOOKUP(Table2[[#This Row],[Author]],People!A:B,2,0)</f>
        <v>MGF</v>
      </c>
      <c r="M18" t="s">
        <v>40</v>
      </c>
    </row>
    <row r="19" spans="1:13" x14ac:dyDescent="0.25">
      <c r="A19" s="75">
        <f t="shared" si="0"/>
        <v>18</v>
      </c>
      <c r="B19" t="s">
        <v>13</v>
      </c>
      <c r="C19" t="s">
        <v>60</v>
      </c>
      <c r="D19" t="s">
        <v>61</v>
      </c>
      <c r="E19" t="s">
        <v>62</v>
      </c>
      <c r="G19" t="s">
        <v>63</v>
      </c>
      <c r="H19" s="75" t="str">
        <f>IFERROR(VLOOKUP(Table2[[#This Row],[Ticket]],Okey!A:B,2,0),"")</f>
        <v>ok</v>
      </c>
      <c r="I19" t="s">
        <v>19</v>
      </c>
      <c r="J19" t="str">
        <f>VLOOKUP(Table2[[#This Row],[Author]],People!A:B,2,0)</f>
        <v>MGF</v>
      </c>
      <c r="M19" t="s">
        <v>40</v>
      </c>
    </row>
    <row r="20" spans="1:13" x14ac:dyDescent="0.25">
      <c r="A20" s="75">
        <f t="shared" si="0"/>
        <v>19</v>
      </c>
      <c r="B20" t="s">
        <v>13</v>
      </c>
      <c r="C20" t="s">
        <v>60</v>
      </c>
      <c r="D20" t="s">
        <v>64</v>
      </c>
      <c r="E20" t="s">
        <v>65</v>
      </c>
      <c r="G20" t="s">
        <v>63</v>
      </c>
      <c r="H20" s="75" t="str">
        <f>IFERROR(VLOOKUP(Table2[[#This Row],[Ticket]],Okey!A:B,2,0),"")</f>
        <v>ok</v>
      </c>
      <c r="I20" t="s">
        <v>19</v>
      </c>
      <c r="J20" t="str">
        <f>VLOOKUP(Table2[[#This Row],[Author]],People!A:B,2,0)</f>
        <v>MGF</v>
      </c>
      <c r="M20" t="s">
        <v>40</v>
      </c>
    </row>
    <row r="21" spans="1:13" x14ac:dyDescent="0.25">
      <c r="A21" s="75">
        <f t="shared" si="0"/>
        <v>20</v>
      </c>
      <c r="B21" t="s">
        <v>13</v>
      </c>
      <c r="C21" t="s">
        <v>60</v>
      </c>
      <c r="D21" t="s">
        <v>66</v>
      </c>
      <c r="E21" t="s">
        <v>67</v>
      </c>
      <c r="G21" t="s">
        <v>63</v>
      </c>
      <c r="H21" s="75" t="str">
        <f>IFERROR(VLOOKUP(Table2[[#This Row],[Ticket]],Okey!A:B,2,0),"")</f>
        <v>ok</v>
      </c>
      <c r="I21" t="s">
        <v>19</v>
      </c>
      <c r="J21" t="str">
        <f>VLOOKUP(Table2[[#This Row],[Author]],People!A:B,2,0)</f>
        <v>MGF</v>
      </c>
      <c r="M21" t="s">
        <v>40</v>
      </c>
    </row>
    <row r="22" spans="1:13" x14ac:dyDescent="0.25">
      <c r="A22" s="75">
        <f t="shared" si="0"/>
        <v>21</v>
      </c>
      <c r="B22" t="s">
        <v>13</v>
      </c>
      <c r="C22" t="s">
        <v>60</v>
      </c>
      <c r="D22" t="s">
        <v>68</v>
      </c>
      <c r="E22" t="s">
        <v>69</v>
      </c>
      <c r="G22" t="s">
        <v>63</v>
      </c>
      <c r="H22" s="75" t="str">
        <f>IFERROR(VLOOKUP(Table2[[#This Row],[Ticket]],Okey!A:B,2,0),"")</f>
        <v>ok</v>
      </c>
      <c r="I22" t="s">
        <v>19</v>
      </c>
      <c r="J22" t="str">
        <f>VLOOKUP(Table2[[#This Row],[Author]],People!A:B,2,0)</f>
        <v>MGF</v>
      </c>
      <c r="M22" t="s">
        <v>40</v>
      </c>
    </row>
    <row r="23" spans="1:13" x14ac:dyDescent="0.25">
      <c r="A23" s="75">
        <f t="shared" si="0"/>
        <v>22</v>
      </c>
      <c r="B23" t="s">
        <v>13</v>
      </c>
      <c r="C23" t="s">
        <v>60</v>
      </c>
      <c r="D23" t="s">
        <v>70</v>
      </c>
      <c r="E23" t="s">
        <v>71</v>
      </c>
      <c r="G23" t="s">
        <v>63</v>
      </c>
      <c r="H23" s="75" t="str">
        <f>IFERROR(VLOOKUP(Table2[[#This Row],[Ticket]],Okey!A:B,2,0),"")</f>
        <v>ok</v>
      </c>
      <c r="I23" t="s">
        <v>19</v>
      </c>
      <c r="J23" t="str">
        <f>VLOOKUP(Table2[[#This Row],[Author]],People!A:B,2,0)</f>
        <v>MGF</v>
      </c>
      <c r="M23" t="s">
        <v>40</v>
      </c>
    </row>
    <row r="24" spans="1:13" x14ac:dyDescent="0.25">
      <c r="A24" s="75">
        <f t="shared" si="0"/>
        <v>23</v>
      </c>
      <c r="B24" t="s">
        <v>13</v>
      </c>
      <c r="C24" t="s">
        <v>60</v>
      </c>
      <c r="D24" t="s">
        <v>72</v>
      </c>
      <c r="E24" t="s">
        <v>73</v>
      </c>
      <c r="G24" t="s">
        <v>63</v>
      </c>
      <c r="H24" s="75" t="str">
        <f>IFERROR(VLOOKUP(Table2[[#This Row],[Ticket]],Okey!A:B,2,0),"")</f>
        <v>ok</v>
      </c>
      <c r="I24" t="s">
        <v>19</v>
      </c>
      <c r="J24" t="str">
        <f>VLOOKUP(Table2[[#This Row],[Author]],People!A:B,2,0)</f>
        <v>MGF</v>
      </c>
      <c r="M24" t="s">
        <v>40</v>
      </c>
    </row>
    <row r="25" spans="1:13" x14ac:dyDescent="0.25">
      <c r="A25" s="75">
        <f t="shared" si="0"/>
        <v>24</v>
      </c>
      <c r="B25" t="s">
        <v>13</v>
      </c>
      <c r="C25" t="s">
        <v>60</v>
      </c>
      <c r="D25" t="s">
        <v>74</v>
      </c>
      <c r="E25" t="s">
        <v>75</v>
      </c>
      <c r="G25" t="s">
        <v>63</v>
      </c>
      <c r="H25" s="75" t="str">
        <f>IFERROR(VLOOKUP(Table2[[#This Row],[Ticket]],Okey!A:B,2,0),"")</f>
        <v>ok</v>
      </c>
      <c r="I25" t="s">
        <v>19</v>
      </c>
      <c r="J25" t="str">
        <f>VLOOKUP(Table2[[#This Row],[Author]],People!A:B,2,0)</f>
        <v>MGF</v>
      </c>
      <c r="M25" t="s">
        <v>40</v>
      </c>
    </row>
    <row r="26" spans="1:13" x14ac:dyDescent="0.25">
      <c r="A26" s="75">
        <f t="shared" si="0"/>
        <v>25</v>
      </c>
      <c r="B26" t="s">
        <v>13</v>
      </c>
      <c r="C26" t="s">
        <v>60</v>
      </c>
      <c r="D26" t="s">
        <v>76</v>
      </c>
      <c r="E26" t="s">
        <v>77</v>
      </c>
      <c r="G26" t="s">
        <v>63</v>
      </c>
      <c r="H26" s="75" t="str">
        <f>IFERROR(VLOOKUP(Table2[[#This Row],[Ticket]],Okey!A:B,2,0),"")</f>
        <v>ok</v>
      </c>
      <c r="I26" t="s">
        <v>19</v>
      </c>
      <c r="J26" t="str">
        <f>VLOOKUP(Table2[[#This Row],[Author]],People!A:B,2,0)</f>
        <v>MGF</v>
      </c>
      <c r="M26" t="s">
        <v>40</v>
      </c>
    </row>
    <row r="27" spans="1:13" x14ac:dyDescent="0.25">
      <c r="A27" s="75">
        <f t="shared" si="0"/>
        <v>26</v>
      </c>
      <c r="B27" t="s">
        <v>13</v>
      </c>
      <c r="C27" t="s">
        <v>60</v>
      </c>
      <c r="D27" t="s">
        <v>78</v>
      </c>
      <c r="E27" t="s">
        <v>79</v>
      </c>
      <c r="G27" t="s">
        <v>63</v>
      </c>
      <c r="H27" s="75" t="str">
        <f>IFERROR(VLOOKUP(Table2[[#This Row],[Ticket]],Okey!A:B,2,0),"")</f>
        <v>ok</v>
      </c>
      <c r="I27" t="s">
        <v>19</v>
      </c>
      <c r="J27" t="str">
        <f>VLOOKUP(Table2[[#This Row],[Author]],People!A:B,2,0)</f>
        <v>MGF</v>
      </c>
      <c r="M27" t="s">
        <v>40</v>
      </c>
    </row>
    <row r="28" spans="1:13" x14ac:dyDescent="0.25">
      <c r="A28" s="75">
        <f t="shared" si="0"/>
        <v>27</v>
      </c>
      <c r="B28" t="s">
        <v>13</v>
      </c>
      <c r="C28" t="s">
        <v>60</v>
      </c>
      <c r="D28" t="s">
        <v>80</v>
      </c>
      <c r="E28" t="s">
        <v>81</v>
      </c>
      <c r="G28" t="s">
        <v>63</v>
      </c>
      <c r="H28" s="75" t="str">
        <f>IFERROR(VLOOKUP(Table2[[#This Row],[Ticket]],Okey!A:B,2,0),"")</f>
        <v>ok</v>
      </c>
      <c r="I28" t="s">
        <v>19</v>
      </c>
      <c r="J28" t="str">
        <f>VLOOKUP(Table2[[#This Row],[Author]],People!A:B,2,0)</f>
        <v>MGF</v>
      </c>
      <c r="M28" t="s">
        <v>40</v>
      </c>
    </row>
    <row r="29" spans="1:13" x14ac:dyDescent="0.25">
      <c r="A29" s="75">
        <f t="shared" si="0"/>
        <v>28</v>
      </c>
      <c r="B29" t="s">
        <v>13</v>
      </c>
      <c r="C29" t="s">
        <v>60</v>
      </c>
      <c r="D29" t="s">
        <v>82</v>
      </c>
      <c r="E29" t="s">
        <v>83</v>
      </c>
      <c r="G29" t="s">
        <v>63</v>
      </c>
      <c r="H29" s="75" t="str">
        <f>IFERROR(VLOOKUP(Table2[[#This Row],[Ticket]],Okey!A:B,2,0),"")</f>
        <v>ok</v>
      </c>
      <c r="I29" t="s">
        <v>19</v>
      </c>
      <c r="J29" t="str">
        <f>VLOOKUP(Table2[[#This Row],[Author]],People!A:B,2,0)</f>
        <v>MGF</v>
      </c>
      <c r="M29" t="s">
        <v>40</v>
      </c>
    </row>
    <row r="30" spans="1:13" x14ac:dyDescent="0.25">
      <c r="A30" s="75">
        <f t="shared" si="0"/>
        <v>29</v>
      </c>
      <c r="B30" t="s">
        <v>13</v>
      </c>
      <c r="C30" t="s">
        <v>60</v>
      </c>
      <c r="D30" t="s">
        <v>84</v>
      </c>
      <c r="E30" t="s">
        <v>85</v>
      </c>
      <c r="G30" t="s">
        <v>63</v>
      </c>
      <c r="H30" s="75" t="str">
        <f>IFERROR(VLOOKUP(Table2[[#This Row],[Ticket]],Okey!A:B,2,0),"")</f>
        <v>ok</v>
      </c>
      <c r="I30" t="s">
        <v>19</v>
      </c>
      <c r="J30" t="str">
        <f>VLOOKUP(Table2[[#This Row],[Author]],People!A:B,2,0)</f>
        <v>MGF</v>
      </c>
      <c r="M30" t="s">
        <v>40</v>
      </c>
    </row>
    <row r="31" spans="1:13" x14ac:dyDescent="0.25">
      <c r="A31" s="75">
        <f t="shared" si="0"/>
        <v>30</v>
      </c>
      <c r="B31" t="s">
        <v>13</v>
      </c>
      <c r="C31" t="s">
        <v>60</v>
      </c>
      <c r="D31" t="s">
        <v>86</v>
      </c>
      <c r="E31" t="s">
        <v>87</v>
      </c>
      <c r="G31" t="s">
        <v>63</v>
      </c>
      <c r="H31" s="75" t="str">
        <f>IFERROR(VLOOKUP(Table2[[#This Row],[Ticket]],Okey!A:B,2,0),"")</f>
        <v>ok</v>
      </c>
      <c r="I31" t="s">
        <v>19</v>
      </c>
      <c r="J31" t="str">
        <f>VLOOKUP(Table2[[#This Row],[Author]],People!A:B,2,0)</f>
        <v>MGF</v>
      </c>
      <c r="M31" t="s">
        <v>40</v>
      </c>
    </row>
    <row r="32" spans="1:13" x14ac:dyDescent="0.25">
      <c r="A32" s="75">
        <f t="shared" si="0"/>
        <v>31</v>
      </c>
      <c r="B32" t="s">
        <v>13</v>
      </c>
      <c r="C32" t="s">
        <v>60</v>
      </c>
      <c r="D32" t="s">
        <v>88</v>
      </c>
      <c r="E32" t="s">
        <v>89</v>
      </c>
      <c r="G32" t="s">
        <v>63</v>
      </c>
      <c r="H32" s="75" t="str">
        <f>IFERROR(VLOOKUP(Table2[[#This Row],[Ticket]],Okey!A:B,2,0),"")</f>
        <v>ok</v>
      </c>
      <c r="I32" t="s">
        <v>19</v>
      </c>
      <c r="J32" t="str">
        <f>VLOOKUP(Table2[[#This Row],[Author]],People!A:B,2,0)</f>
        <v>MGF</v>
      </c>
      <c r="M32" t="s">
        <v>40</v>
      </c>
    </row>
    <row r="33" spans="1:13" x14ac:dyDescent="0.25">
      <c r="A33" s="75">
        <f t="shared" si="0"/>
        <v>32</v>
      </c>
      <c r="B33" t="s">
        <v>13</v>
      </c>
      <c r="C33" t="s">
        <v>60</v>
      </c>
      <c r="D33" t="s">
        <v>90</v>
      </c>
      <c r="E33" t="s">
        <v>91</v>
      </c>
      <c r="G33" t="s">
        <v>63</v>
      </c>
      <c r="H33" s="75" t="str">
        <f>IFERROR(VLOOKUP(Table2[[#This Row],[Ticket]],Okey!A:B,2,0),"")</f>
        <v>ok</v>
      </c>
      <c r="I33" t="s">
        <v>19</v>
      </c>
      <c r="J33" t="str">
        <f>VLOOKUP(Table2[[#This Row],[Author]],People!A:B,2,0)</f>
        <v>MGF</v>
      </c>
      <c r="M33" t="s">
        <v>40</v>
      </c>
    </row>
    <row r="34" spans="1:13" x14ac:dyDescent="0.25">
      <c r="A34" s="75">
        <f t="shared" si="0"/>
        <v>33</v>
      </c>
      <c r="B34" t="s">
        <v>13</v>
      </c>
      <c r="C34" t="s">
        <v>60</v>
      </c>
      <c r="D34" t="s">
        <v>92</v>
      </c>
      <c r="E34" t="s">
        <v>93</v>
      </c>
      <c r="G34" t="s">
        <v>63</v>
      </c>
      <c r="H34" s="75" t="str">
        <f>IFERROR(VLOOKUP(Table2[[#This Row],[Ticket]],Okey!A:B,2,0),"")</f>
        <v>ok</v>
      </c>
      <c r="I34" t="s">
        <v>19</v>
      </c>
      <c r="J34" t="str">
        <f>VLOOKUP(Table2[[#This Row],[Author]],People!A:B,2,0)</f>
        <v>MGF</v>
      </c>
      <c r="M34" t="s">
        <v>40</v>
      </c>
    </row>
    <row r="35" spans="1:13" x14ac:dyDescent="0.25">
      <c r="A35" s="75">
        <f t="shared" si="0"/>
        <v>34</v>
      </c>
      <c r="B35" t="s">
        <v>13</v>
      </c>
      <c r="C35" t="s">
        <v>60</v>
      </c>
      <c r="D35" t="s">
        <v>94</v>
      </c>
      <c r="E35" t="s">
        <v>95</v>
      </c>
      <c r="G35" t="s">
        <v>63</v>
      </c>
      <c r="H35" s="75" t="str">
        <f>IFERROR(VLOOKUP(Table2[[#This Row],[Ticket]],Okey!A:B,2,0),"")</f>
        <v>ok</v>
      </c>
      <c r="I35" t="s">
        <v>19</v>
      </c>
      <c r="J35" t="str">
        <f>VLOOKUP(Table2[[#This Row],[Author]],People!A:B,2,0)</f>
        <v>MGF</v>
      </c>
      <c r="M35" t="s">
        <v>40</v>
      </c>
    </row>
    <row r="36" spans="1:13" x14ac:dyDescent="0.25">
      <c r="A36" s="75">
        <f t="shared" si="0"/>
        <v>35</v>
      </c>
      <c r="B36" t="s">
        <v>13</v>
      </c>
      <c r="C36" t="s">
        <v>60</v>
      </c>
      <c r="D36" t="s">
        <v>96</v>
      </c>
      <c r="E36" t="s">
        <v>97</v>
      </c>
      <c r="G36" t="s">
        <v>63</v>
      </c>
      <c r="H36" s="75" t="str">
        <f>IFERROR(VLOOKUP(Table2[[#This Row],[Ticket]],Okey!A:B,2,0),"")</f>
        <v>ok</v>
      </c>
      <c r="I36" t="s">
        <v>19</v>
      </c>
      <c r="J36" t="str">
        <f>VLOOKUP(Table2[[#This Row],[Author]],People!A:B,2,0)</f>
        <v>MGF</v>
      </c>
      <c r="M36" t="s">
        <v>40</v>
      </c>
    </row>
    <row r="37" spans="1:13" x14ac:dyDescent="0.25">
      <c r="A37" s="75">
        <f t="shared" si="0"/>
        <v>36</v>
      </c>
      <c r="B37" t="s">
        <v>13</v>
      </c>
      <c r="C37" t="s">
        <v>60</v>
      </c>
      <c r="D37" t="s">
        <v>98</v>
      </c>
      <c r="E37" t="s">
        <v>99</v>
      </c>
      <c r="G37" t="s">
        <v>63</v>
      </c>
      <c r="H37" s="75" t="str">
        <f>IFERROR(VLOOKUP(Table2[[#This Row],[Ticket]],Okey!A:B,2,0),"")</f>
        <v>ok</v>
      </c>
      <c r="I37" t="s">
        <v>19</v>
      </c>
      <c r="J37" t="str">
        <f>VLOOKUP(Table2[[#This Row],[Author]],People!A:B,2,0)</f>
        <v>MGF</v>
      </c>
      <c r="M37" t="s">
        <v>40</v>
      </c>
    </row>
    <row r="38" spans="1:13" x14ac:dyDescent="0.25">
      <c r="A38" s="75">
        <f t="shared" si="0"/>
        <v>37</v>
      </c>
      <c r="B38" t="s">
        <v>13</v>
      </c>
      <c r="C38" t="s">
        <v>60</v>
      </c>
      <c r="D38" t="s">
        <v>100</v>
      </c>
      <c r="E38" t="s">
        <v>101</v>
      </c>
      <c r="G38" t="s">
        <v>63</v>
      </c>
      <c r="H38" s="75" t="str">
        <f>IFERROR(VLOOKUP(Table2[[#This Row],[Ticket]],Okey!A:B,2,0),"")</f>
        <v>ok</v>
      </c>
      <c r="I38" t="s">
        <v>19</v>
      </c>
      <c r="J38" t="str">
        <f>VLOOKUP(Table2[[#This Row],[Author]],People!A:B,2,0)</f>
        <v>MGF</v>
      </c>
      <c r="M38" t="s">
        <v>40</v>
      </c>
    </row>
    <row r="39" spans="1:13" x14ac:dyDescent="0.25">
      <c r="A39" s="75">
        <f t="shared" si="0"/>
        <v>38</v>
      </c>
      <c r="B39" t="s">
        <v>13</v>
      </c>
      <c r="C39" t="s">
        <v>60</v>
      </c>
      <c r="D39" t="s">
        <v>102</v>
      </c>
      <c r="E39" t="s">
        <v>103</v>
      </c>
      <c r="G39" t="s">
        <v>63</v>
      </c>
      <c r="H39" s="75" t="str">
        <f>IFERROR(VLOOKUP(Table2[[#This Row],[Ticket]],Okey!A:B,2,0),"")</f>
        <v>ok</v>
      </c>
      <c r="I39" t="s">
        <v>19</v>
      </c>
      <c r="J39" t="str">
        <f>VLOOKUP(Table2[[#This Row],[Author]],People!A:B,2,0)</f>
        <v>MGF</v>
      </c>
      <c r="M39" t="s">
        <v>40</v>
      </c>
    </row>
    <row r="40" spans="1:13" x14ac:dyDescent="0.25">
      <c r="A40" s="75">
        <f t="shared" si="0"/>
        <v>39</v>
      </c>
      <c r="B40" t="s">
        <v>13</v>
      </c>
      <c r="C40" t="s">
        <v>60</v>
      </c>
      <c r="D40" t="s">
        <v>104</v>
      </c>
      <c r="E40" t="s">
        <v>105</v>
      </c>
      <c r="G40" t="s">
        <v>63</v>
      </c>
      <c r="H40" s="75" t="str">
        <f>IFERROR(VLOOKUP(Table2[[#This Row],[Ticket]],Okey!A:B,2,0),"")</f>
        <v>ok</v>
      </c>
      <c r="I40" t="s">
        <v>19</v>
      </c>
      <c r="J40" t="str">
        <f>VLOOKUP(Table2[[#This Row],[Author]],People!A:B,2,0)</f>
        <v>MGF</v>
      </c>
      <c r="M40" t="s">
        <v>40</v>
      </c>
    </row>
    <row r="41" spans="1:13" x14ac:dyDescent="0.25">
      <c r="A41" s="75">
        <f t="shared" si="0"/>
        <v>40</v>
      </c>
      <c r="B41" t="s">
        <v>13</v>
      </c>
      <c r="C41" t="s">
        <v>60</v>
      </c>
      <c r="D41" t="s">
        <v>106</v>
      </c>
      <c r="E41" t="s">
        <v>107</v>
      </c>
      <c r="G41" t="s">
        <v>63</v>
      </c>
      <c r="H41" s="75" t="str">
        <f>IFERROR(VLOOKUP(Table2[[#This Row],[Ticket]],Okey!A:B,2,0),"")</f>
        <v>ok</v>
      </c>
      <c r="I41" t="s">
        <v>19</v>
      </c>
      <c r="J41" t="str">
        <f>VLOOKUP(Table2[[#This Row],[Author]],People!A:B,2,0)</f>
        <v>MGF</v>
      </c>
      <c r="M41" t="s">
        <v>40</v>
      </c>
    </row>
    <row r="42" spans="1:13" x14ac:dyDescent="0.25">
      <c r="A42" s="75">
        <f t="shared" si="0"/>
        <v>41</v>
      </c>
      <c r="B42" t="s">
        <v>13</v>
      </c>
      <c r="C42" t="s">
        <v>60</v>
      </c>
      <c r="D42" t="s">
        <v>108</v>
      </c>
      <c r="E42" t="s">
        <v>109</v>
      </c>
      <c r="G42" t="s">
        <v>63</v>
      </c>
      <c r="H42" s="75" t="str">
        <f>IFERROR(VLOOKUP(Table2[[#This Row],[Ticket]],Okey!A:B,2,0),"")</f>
        <v>ok</v>
      </c>
      <c r="I42" t="s">
        <v>19</v>
      </c>
      <c r="J42" t="str">
        <f>VLOOKUP(Table2[[#This Row],[Author]],People!A:B,2,0)</f>
        <v>MGF</v>
      </c>
      <c r="M42" t="s">
        <v>40</v>
      </c>
    </row>
    <row r="43" spans="1:13" x14ac:dyDescent="0.25">
      <c r="A43" s="75">
        <f t="shared" si="0"/>
        <v>42</v>
      </c>
      <c r="B43" t="s">
        <v>13</v>
      </c>
      <c r="C43" t="s">
        <v>60</v>
      </c>
      <c r="D43" t="s">
        <v>110</v>
      </c>
      <c r="E43" t="s">
        <v>111</v>
      </c>
      <c r="G43" t="s">
        <v>63</v>
      </c>
      <c r="H43" s="75" t="str">
        <f>IFERROR(VLOOKUP(Table2[[#This Row],[Ticket]],Okey!A:B,2,0),"")</f>
        <v>ok</v>
      </c>
      <c r="I43" t="s">
        <v>19</v>
      </c>
      <c r="J43" t="str">
        <f>VLOOKUP(Table2[[#This Row],[Author]],People!A:B,2,0)</f>
        <v>MGF</v>
      </c>
      <c r="M43" t="s">
        <v>40</v>
      </c>
    </row>
    <row r="44" spans="1:13" x14ac:dyDescent="0.25">
      <c r="A44" s="75">
        <f t="shared" si="0"/>
        <v>43</v>
      </c>
      <c r="B44" t="s">
        <v>13</v>
      </c>
      <c r="C44" t="s">
        <v>60</v>
      </c>
      <c r="D44" t="s">
        <v>112</v>
      </c>
      <c r="E44" t="s">
        <v>113</v>
      </c>
      <c r="G44" t="s">
        <v>63</v>
      </c>
      <c r="H44" s="75" t="str">
        <f>IFERROR(VLOOKUP(Table2[[#This Row],[Ticket]],Okey!A:B,2,0),"")</f>
        <v>ok</v>
      </c>
      <c r="I44" t="s">
        <v>19</v>
      </c>
      <c r="J44" t="str">
        <f>VLOOKUP(Table2[[#This Row],[Author]],People!A:B,2,0)</f>
        <v>MGF</v>
      </c>
      <c r="M44" t="s">
        <v>40</v>
      </c>
    </row>
    <row r="45" spans="1:13" x14ac:dyDescent="0.25">
      <c r="A45" s="75">
        <f t="shared" si="0"/>
        <v>44</v>
      </c>
      <c r="B45" t="s">
        <v>13</v>
      </c>
      <c r="C45" t="s">
        <v>60</v>
      </c>
      <c r="D45" t="s">
        <v>114</v>
      </c>
      <c r="E45" t="s">
        <v>115</v>
      </c>
      <c r="G45" t="s">
        <v>63</v>
      </c>
      <c r="H45" s="75" t="str">
        <f>IFERROR(VLOOKUP(Table2[[#This Row],[Ticket]],Okey!A:B,2,0),"")</f>
        <v>ok</v>
      </c>
      <c r="I45" t="s">
        <v>19</v>
      </c>
      <c r="J45" t="str">
        <f>VLOOKUP(Table2[[#This Row],[Author]],People!A:B,2,0)</f>
        <v>MGF</v>
      </c>
      <c r="M45" t="s">
        <v>40</v>
      </c>
    </row>
    <row r="46" spans="1:13" x14ac:dyDescent="0.25">
      <c r="A46" s="75">
        <f t="shared" si="0"/>
        <v>45</v>
      </c>
      <c r="B46" t="s">
        <v>13</v>
      </c>
      <c r="C46" t="s">
        <v>60</v>
      </c>
      <c r="D46" t="s">
        <v>116</v>
      </c>
      <c r="E46" t="s">
        <v>117</v>
      </c>
      <c r="G46" t="s">
        <v>63</v>
      </c>
      <c r="H46" s="75" t="str">
        <f>IFERROR(VLOOKUP(Table2[[#This Row],[Ticket]],Okey!A:B,2,0),"")</f>
        <v>ok</v>
      </c>
      <c r="I46" t="s">
        <v>19</v>
      </c>
      <c r="J46" t="str">
        <f>VLOOKUP(Table2[[#This Row],[Author]],People!A:B,2,0)</f>
        <v>MGF</v>
      </c>
      <c r="M46" t="s">
        <v>40</v>
      </c>
    </row>
    <row r="47" spans="1:13" x14ac:dyDescent="0.25">
      <c r="A47" s="75">
        <f t="shared" si="0"/>
        <v>46</v>
      </c>
      <c r="B47" t="s">
        <v>13</v>
      </c>
      <c r="C47" t="s">
        <v>60</v>
      </c>
      <c r="D47" t="s">
        <v>118</v>
      </c>
      <c r="E47" t="s">
        <v>119</v>
      </c>
      <c r="G47" t="s">
        <v>63</v>
      </c>
      <c r="H47" s="75" t="str">
        <f>IFERROR(VLOOKUP(Table2[[#This Row],[Ticket]],Okey!A:B,2,0),"")</f>
        <v>ok</v>
      </c>
      <c r="I47" t="s">
        <v>19</v>
      </c>
      <c r="J47" t="str">
        <f>VLOOKUP(Table2[[#This Row],[Author]],People!A:B,2,0)</f>
        <v>MGF</v>
      </c>
      <c r="M47" t="s">
        <v>40</v>
      </c>
    </row>
    <row r="48" spans="1:13" x14ac:dyDescent="0.25">
      <c r="A48" s="75">
        <f t="shared" si="0"/>
        <v>47</v>
      </c>
      <c r="B48" t="s">
        <v>13</v>
      </c>
      <c r="C48" t="s">
        <v>60</v>
      </c>
      <c r="D48" t="s">
        <v>120</v>
      </c>
      <c r="E48" t="s">
        <v>121</v>
      </c>
      <c r="G48" t="s">
        <v>63</v>
      </c>
      <c r="H48" s="75" t="str">
        <f>IFERROR(VLOOKUP(Table2[[#This Row],[Ticket]],Okey!A:B,2,0),"")</f>
        <v>ok</v>
      </c>
      <c r="I48" t="s">
        <v>19</v>
      </c>
      <c r="J48" t="str">
        <f>VLOOKUP(Table2[[#This Row],[Author]],People!A:B,2,0)</f>
        <v>MGF</v>
      </c>
      <c r="M48" t="s">
        <v>40</v>
      </c>
    </row>
    <row r="49" spans="1:13" x14ac:dyDescent="0.25">
      <c r="A49" s="75">
        <f t="shared" si="0"/>
        <v>48</v>
      </c>
      <c r="B49" t="s">
        <v>13</v>
      </c>
      <c r="C49" t="s">
        <v>60</v>
      </c>
      <c r="D49" t="s">
        <v>122</v>
      </c>
      <c r="E49" t="s">
        <v>123</v>
      </c>
      <c r="G49" t="s">
        <v>63</v>
      </c>
      <c r="H49" s="75" t="str">
        <f>IFERROR(VLOOKUP(Table2[[#This Row],[Ticket]],Okey!A:B,2,0),"")</f>
        <v>ok</v>
      </c>
      <c r="I49" t="s">
        <v>19</v>
      </c>
      <c r="J49" t="str">
        <f>VLOOKUP(Table2[[#This Row],[Author]],People!A:B,2,0)</f>
        <v>MGF</v>
      </c>
      <c r="M49" t="s">
        <v>40</v>
      </c>
    </row>
    <row r="50" spans="1:13" x14ac:dyDescent="0.25">
      <c r="A50" s="75">
        <f t="shared" si="0"/>
        <v>49</v>
      </c>
      <c r="B50" t="s">
        <v>13</v>
      </c>
      <c r="C50" t="s">
        <v>60</v>
      </c>
      <c r="D50" t="s">
        <v>124</v>
      </c>
      <c r="E50" t="s">
        <v>125</v>
      </c>
      <c r="G50" t="s">
        <v>63</v>
      </c>
      <c r="H50" s="75" t="str">
        <f>IFERROR(VLOOKUP(Table2[[#This Row],[Ticket]],Okey!A:B,2,0),"")</f>
        <v>ok</v>
      </c>
      <c r="I50" t="s">
        <v>19</v>
      </c>
      <c r="J50" t="str">
        <f>VLOOKUP(Table2[[#This Row],[Author]],People!A:B,2,0)</f>
        <v>MGF</v>
      </c>
      <c r="M50" t="s">
        <v>40</v>
      </c>
    </row>
    <row r="51" spans="1:13" x14ac:dyDescent="0.25">
      <c r="A51" s="75">
        <f t="shared" si="0"/>
        <v>50</v>
      </c>
      <c r="B51" t="s">
        <v>13</v>
      </c>
      <c r="C51" t="s">
        <v>60</v>
      </c>
      <c r="D51" t="s">
        <v>126</v>
      </c>
      <c r="E51" t="s">
        <v>127</v>
      </c>
      <c r="G51" t="s">
        <v>63</v>
      </c>
      <c r="H51" s="75" t="str">
        <f>IFERROR(VLOOKUP(Table2[[#This Row],[Ticket]],Okey!A:B,2,0),"")</f>
        <v>ok</v>
      </c>
      <c r="I51" t="s">
        <v>19</v>
      </c>
      <c r="J51" t="str">
        <f>VLOOKUP(Table2[[#This Row],[Author]],People!A:B,2,0)</f>
        <v>MGF</v>
      </c>
      <c r="M51" t="s">
        <v>40</v>
      </c>
    </row>
    <row r="52" spans="1:13" x14ac:dyDescent="0.25">
      <c r="A52" s="75">
        <f t="shared" si="0"/>
        <v>51</v>
      </c>
      <c r="B52" t="s">
        <v>13</v>
      </c>
      <c r="C52" t="s">
        <v>60</v>
      </c>
      <c r="D52" t="s">
        <v>128</v>
      </c>
      <c r="E52" t="s">
        <v>129</v>
      </c>
      <c r="G52" t="s">
        <v>63</v>
      </c>
      <c r="H52" s="75" t="str">
        <f>IFERROR(VLOOKUP(Table2[[#This Row],[Ticket]],Okey!A:B,2,0),"")</f>
        <v>ok</v>
      </c>
      <c r="I52" t="s">
        <v>19</v>
      </c>
      <c r="J52" t="str">
        <f>VLOOKUP(Table2[[#This Row],[Author]],People!A:B,2,0)</f>
        <v>MGF</v>
      </c>
      <c r="M52" t="s">
        <v>40</v>
      </c>
    </row>
    <row r="53" spans="1:13" x14ac:dyDescent="0.25">
      <c r="A53" s="75">
        <f t="shared" si="0"/>
        <v>52</v>
      </c>
      <c r="B53" t="s">
        <v>13</v>
      </c>
      <c r="C53" t="s">
        <v>60</v>
      </c>
      <c r="D53" t="s">
        <v>130</v>
      </c>
      <c r="E53" t="s">
        <v>131</v>
      </c>
      <c r="G53" t="s">
        <v>63</v>
      </c>
      <c r="H53" s="75" t="str">
        <f>IFERROR(VLOOKUP(Table2[[#This Row],[Ticket]],Okey!A:B,2,0),"")</f>
        <v>ok</v>
      </c>
      <c r="I53" t="s">
        <v>19</v>
      </c>
      <c r="J53" t="str">
        <f>VLOOKUP(Table2[[#This Row],[Author]],People!A:B,2,0)</f>
        <v>MGF</v>
      </c>
      <c r="M53" t="s">
        <v>40</v>
      </c>
    </row>
    <row r="54" spans="1:13" x14ac:dyDescent="0.25">
      <c r="A54" s="75">
        <f t="shared" si="0"/>
        <v>53</v>
      </c>
      <c r="B54" t="s">
        <v>13</v>
      </c>
      <c r="C54" t="s">
        <v>60</v>
      </c>
      <c r="D54" t="s">
        <v>132</v>
      </c>
      <c r="E54" t="s">
        <v>133</v>
      </c>
      <c r="G54" t="s">
        <v>63</v>
      </c>
      <c r="H54" s="75" t="str">
        <f>IFERROR(VLOOKUP(Table2[[#This Row],[Ticket]],Okey!A:B,2,0),"")</f>
        <v>ok</v>
      </c>
      <c r="I54" t="s">
        <v>19</v>
      </c>
      <c r="J54" t="str">
        <f>VLOOKUP(Table2[[#This Row],[Author]],People!A:B,2,0)</f>
        <v>MGF</v>
      </c>
      <c r="M54" t="s">
        <v>40</v>
      </c>
    </row>
    <row r="55" spans="1:13" x14ac:dyDescent="0.25">
      <c r="A55" s="75">
        <f t="shared" si="0"/>
        <v>54</v>
      </c>
      <c r="B55" t="s">
        <v>13</v>
      </c>
      <c r="C55" t="s">
        <v>60</v>
      </c>
      <c r="D55" t="s">
        <v>134</v>
      </c>
      <c r="E55" t="s">
        <v>135</v>
      </c>
      <c r="G55" t="s">
        <v>63</v>
      </c>
      <c r="H55" s="75" t="str">
        <f>IFERROR(VLOOKUP(Table2[[#This Row],[Ticket]],Okey!A:B,2,0),"")</f>
        <v>ok</v>
      </c>
      <c r="I55" t="s">
        <v>19</v>
      </c>
      <c r="J55" t="str">
        <f>VLOOKUP(Table2[[#This Row],[Author]],People!A:B,2,0)</f>
        <v>MGF</v>
      </c>
      <c r="M55" t="s">
        <v>40</v>
      </c>
    </row>
    <row r="56" spans="1:13" x14ac:dyDescent="0.25">
      <c r="A56" s="75">
        <f t="shared" si="0"/>
        <v>55</v>
      </c>
      <c r="B56" t="s">
        <v>13</v>
      </c>
      <c r="C56" t="s">
        <v>60</v>
      </c>
      <c r="D56" t="s">
        <v>136</v>
      </c>
      <c r="E56" t="s">
        <v>137</v>
      </c>
      <c r="G56" t="s">
        <v>63</v>
      </c>
      <c r="H56" s="75" t="str">
        <f>IFERROR(VLOOKUP(Table2[[#This Row],[Ticket]],Okey!A:B,2,0),"")</f>
        <v>ok</v>
      </c>
      <c r="I56" t="s">
        <v>19</v>
      </c>
      <c r="J56" t="str">
        <f>VLOOKUP(Table2[[#This Row],[Author]],People!A:B,2,0)</f>
        <v>MGF</v>
      </c>
      <c r="M56" t="s">
        <v>40</v>
      </c>
    </row>
    <row r="57" spans="1:13" x14ac:dyDescent="0.25">
      <c r="A57" s="75">
        <f t="shared" si="0"/>
        <v>56</v>
      </c>
      <c r="B57" t="s">
        <v>13</v>
      </c>
      <c r="C57" t="s">
        <v>60</v>
      </c>
      <c r="D57" t="s">
        <v>138</v>
      </c>
      <c r="E57" t="s">
        <v>139</v>
      </c>
      <c r="G57" t="s">
        <v>63</v>
      </c>
      <c r="H57" s="75" t="str">
        <f>IFERROR(VLOOKUP(Table2[[#This Row],[Ticket]],Okey!A:B,2,0),"")</f>
        <v>ok</v>
      </c>
      <c r="I57" t="s">
        <v>19</v>
      </c>
      <c r="J57" t="str">
        <f>VLOOKUP(Table2[[#This Row],[Author]],People!A:B,2,0)</f>
        <v>MGF</v>
      </c>
      <c r="M57" t="s">
        <v>40</v>
      </c>
    </row>
    <row r="58" spans="1:13" x14ac:dyDescent="0.25">
      <c r="A58" s="75">
        <f t="shared" si="0"/>
        <v>57</v>
      </c>
      <c r="B58" t="s">
        <v>13</v>
      </c>
      <c r="C58" t="s">
        <v>60</v>
      </c>
      <c r="D58" t="s">
        <v>140</v>
      </c>
      <c r="E58" t="s">
        <v>141</v>
      </c>
      <c r="G58" t="s">
        <v>63</v>
      </c>
      <c r="H58" s="75" t="str">
        <f>IFERROR(VLOOKUP(Table2[[#This Row],[Ticket]],Okey!A:B,2,0),"")</f>
        <v>ok</v>
      </c>
      <c r="I58" t="s">
        <v>19</v>
      </c>
      <c r="J58" t="str">
        <f>VLOOKUP(Table2[[#This Row],[Author]],People!A:B,2,0)</f>
        <v>MGF</v>
      </c>
      <c r="M58" t="s">
        <v>40</v>
      </c>
    </row>
    <row r="59" spans="1:13" x14ac:dyDescent="0.25">
      <c r="A59" s="75">
        <f t="shared" si="0"/>
        <v>58</v>
      </c>
      <c r="B59" t="s">
        <v>13</v>
      </c>
      <c r="C59" t="s">
        <v>60</v>
      </c>
      <c r="D59" t="s">
        <v>142</v>
      </c>
      <c r="E59" t="s">
        <v>143</v>
      </c>
      <c r="G59" t="s">
        <v>63</v>
      </c>
      <c r="H59" s="75" t="str">
        <f>IFERROR(VLOOKUP(Table2[[#This Row],[Ticket]],Okey!A:B,2,0),"")</f>
        <v>ok</v>
      </c>
      <c r="I59" t="s">
        <v>19</v>
      </c>
      <c r="J59" t="str">
        <f>VLOOKUP(Table2[[#This Row],[Author]],People!A:B,2,0)</f>
        <v>MGF</v>
      </c>
      <c r="M59" t="s">
        <v>40</v>
      </c>
    </row>
    <row r="60" spans="1:13" x14ac:dyDescent="0.25">
      <c r="A60" s="75">
        <f t="shared" si="0"/>
        <v>59</v>
      </c>
      <c r="B60" t="s">
        <v>13</v>
      </c>
      <c r="C60" t="s">
        <v>60</v>
      </c>
      <c r="D60" t="s">
        <v>144</v>
      </c>
      <c r="E60" t="s">
        <v>145</v>
      </c>
      <c r="G60" t="s">
        <v>63</v>
      </c>
      <c r="H60" s="75" t="str">
        <f>IFERROR(VLOOKUP(Table2[[#This Row],[Ticket]],Okey!A:B,2,0),"")</f>
        <v>ok</v>
      </c>
      <c r="I60" t="s">
        <v>19</v>
      </c>
      <c r="J60" t="str">
        <f>VLOOKUP(Table2[[#This Row],[Author]],People!A:B,2,0)</f>
        <v>MGF</v>
      </c>
      <c r="M60" t="s">
        <v>40</v>
      </c>
    </row>
    <row r="61" spans="1:13" x14ac:dyDescent="0.25">
      <c r="A61" s="75">
        <f t="shared" si="0"/>
        <v>60</v>
      </c>
      <c r="B61" t="s">
        <v>13</v>
      </c>
      <c r="C61" t="s">
        <v>60</v>
      </c>
      <c r="D61" t="s">
        <v>146</v>
      </c>
      <c r="E61" t="s">
        <v>147</v>
      </c>
      <c r="G61" t="s">
        <v>63</v>
      </c>
      <c r="H61" s="75" t="str">
        <f>IFERROR(VLOOKUP(Table2[[#This Row],[Ticket]],Okey!A:B,2,0),"")</f>
        <v>ok</v>
      </c>
      <c r="I61" t="s">
        <v>19</v>
      </c>
      <c r="J61" t="str">
        <f>VLOOKUP(Table2[[#This Row],[Author]],People!A:B,2,0)</f>
        <v>MGF</v>
      </c>
      <c r="M61" t="s">
        <v>40</v>
      </c>
    </row>
    <row r="62" spans="1:13" x14ac:dyDescent="0.25">
      <c r="A62" s="75">
        <f t="shared" si="0"/>
        <v>61</v>
      </c>
      <c r="B62" t="s">
        <v>13</v>
      </c>
      <c r="C62" t="s">
        <v>60</v>
      </c>
      <c r="D62" t="s">
        <v>148</v>
      </c>
      <c r="E62" t="s">
        <v>149</v>
      </c>
      <c r="G62" t="s">
        <v>63</v>
      </c>
      <c r="H62" s="75" t="str">
        <f>IFERROR(VLOOKUP(Table2[[#This Row],[Ticket]],Okey!A:B,2,0),"")</f>
        <v>ok</v>
      </c>
      <c r="I62" t="s">
        <v>19</v>
      </c>
      <c r="J62" t="str">
        <f>VLOOKUP(Table2[[#This Row],[Author]],People!A:B,2,0)</f>
        <v>MGF</v>
      </c>
      <c r="M62" t="s">
        <v>40</v>
      </c>
    </row>
    <row r="63" spans="1:13" x14ac:dyDescent="0.25">
      <c r="A63" s="75">
        <f t="shared" si="0"/>
        <v>62</v>
      </c>
      <c r="B63" t="s">
        <v>13</v>
      </c>
      <c r="C63" t="s">
        <v>60</v>
      </c>
      <c r="D63" t="s">
        <v>150</v>
      </c>
      <c r="E63" t="s">
        <v>151</v>
      </c>
      <c r="G63" t="s">
        <v>63</v>
      </c>
      <c r="H63" s="75" t="str">
        <f>IFERROR(VLOOKUP(Table2[[#This Row],[Ticket]],Okey!A:B,2,0),"")</f>
        <v>ok</v>
      </c>
      <c r="I63" t="s">
        <v>19</v>
      </c>
      <c r="J63" t="str">
        <f>VLOOKUP(Table2[[#This Row],[Author]],People!A:B,2,0)</f>
        <v>MGF</v>
      </c>
      <c r="M63" t="s">
        <v>40</v>
      </c>
    </row>
    <row r="64" spans="1:13" x14ac:dyDescent="0.25">
      <c r="A64" s="75">
        <f t="shared" si="0"/>
        <v>63</v>
      </c>
      <c r="B64" t="s">
        <v>13</v>
      </c>
      <c r="C64" t="s">
        <v>60</v>
      </c>
      <c r="D64" t="s">
        <v>152</v>
      </c>
      <c r="E64" t="s">
        <v>153</v>
      </c>
      <c r="G64" t="s">
        <v>63</v>
      </c>
      <c r="H64" s="75" t="str">
        <f>IFERROR(VLOOKUP(Table2[[#This Row],[Ticket]],Okey!A:B,2,0),"")</f>
        <v>ok</v>
      </c>
      <c r="I64" t="s">
        <v>19</v>
      </c>
      <c r="J64" t="str">
        <f>VLOOKUP(Table2[[#This Row],[Author]],People!A:B,2,0)</f>
        <v>MGF</v>
      </c>
      <c r="M64" t="s">
        <v>40</v>
      </c>
    </row>
    <row r="65" spans="1:13" x14ac:dyDescent="0.25">
      <c r="A65" s="75">
        <f t="shared" si="0"/>
        <v>64</v>
      </c>
      <c r="B65" t="s">
        <v>13</v>
      </c>
      <c r="C65" t="s">
        <v>60</v>
      </c>
      <c r="D65" t="s">
        <v>154</v>
      </c>
      <c r="E65" t="s">
        <v>155</v>
      </c>
      <c r="G65" t="s">
        <v>63</v>
      </c>
      <c r="H65" s="75" t="str">
        <f>IFERROR(VLOOKUP(Table2[[#This Row],[Ticket]],Okey!A:B,2,0),"")</f>
        <v>ok</v>
      </c>
      <c r="I65" t="s">
        <v>19</v>
      </c>
      <c r="J65" t="str">
        <f>VLOOKUP(Table2[[#This Row],[Author]],People!A:B,2,0)</f>
        <v>MGF</v>
      </c>
      <c r="M65" t="s">
        <v>40</v>
      </c>
    </row>
    <row r="66" spans="1:13" x14ac:dyDescent="0.25">
      <c r="A66" s="75">
        <f t="shared" si="0"/>
        <v>65</v>
      </c>
      <c r="B66" t="s">
        <v>13</v>
      </c>
      <c r="C66" t="s">
        <v>60</v>
      </c>
      <c r="D66" t="s">
        <v>156</v>
      </c>
      <c r="E66" t="s">
        <v>157</v>
      </c>
      <c r="G66" t="s">
        <v>63</v>
      </c>
      <c r="H66" s="75" t="str">
        <f>IFERROR(VLOOKUP(Table2[[#This Row],[Ticket]],Okey!A:B,2,0),"")</f>
        <v>ok</v>
      </c>
      <c r="I66" t="s">
        <v>19</v>
      </c>
      <c r="J66" t="str">
        <f>VLOOKUP(Table2[[#This Row],[Author]],People!A:B,2,0)</f>
        <v>MGF</v>
      </c>
      <c r="M66" t="s">
        <v>40</v>
      </c>
    </row>
    <row r="67" spans="1:13" x14ac:dyDescent="0.25">
      <c r="A67" s="75">
        <f t="shared" si="0"/>
        <v>66</v>
      </c>
      <c r="B67" t="s">
        <v>13</v>
      </c>
      <c r="C67" t="s">
        <v>60</v>
      </c>
      <c r="D67" t="s">
        <v>158</v>
      </c>
      <c r="E67" t="s">
        <v>159</v>
      </c>
      <c r="G67" t="s">
        <v>63</v>
      </c>
      <c r="H67" s="75" t="str">
        <f>IFERROR(VLOOKUP(Table2[[#This Row],[Ticket]],Okey!A:B,2,0),"")</f>
        <v>ok</v>
      </c>
      <c r="I67" t="s">
        <v>19</v>
      </c>
      <c r="J67" t="str">
        <f>VLOOKUP(Table2[[#This Row],[Author]],People!A:B,2,0)</f>
        <v>MGF</v>
      </c>
      <c r="M67" t="s">
        <v>40</v>
      </c>
    </row>
    <row r="68" spans="1:13" x14ac:dyDescent="0.25">
      <c r="A68" s="75">
        <f t="shared" si="0"/>
        <v>67</v>
      </c>
      <c r="B68" t="s">
        <v>13</v>
      </c>
      <c r="C68" t="s">
        <v>60</v>
      </c>
      <c r="D68" t="s">
        <v>160</v>
      </c>
      <c r="E68" t="s">
        <v>161</v>
      </c>
      <c r="G68" t="s">
        <v>63</v>
      </c>
      <c r="H68" s="75" t="str">
        <f>IFERROR(VLOOKUP(Table2[[#This Row],[Ticket]],Okey!A:B,2,0),"")</f>
        <v>ok</v>
      </c>
      <c r="I68" t="s">
        <v>19</v>
      </c>
      <c r="J68" t="str">
        <f>VLOOKUP(Table2[[#This Row],[Author]],People!A:B,2,0)</f>
        <v>MGF</v>
      </c>
      <c r="M68" t="s">
        <v>40</v>
      </c>
    </row>
    <row r="69" spans="1:13" x14ac:dyDescent="0.25">
      <c r="A69" s="75">
        <f t="shared" si="0"/>
        <v>68</v>
      </c>
      <c r="B69" t="s">
        <v>13</v>
      </c>
      <c r="C69" t="s">
        <v>60</v>
      </c>
      <c r="D69" t="s">
        <v>162</v>
      </c>
      <c r="E69" t="s">
        <v>163</v>
      </c>
      <c r="G69" t="s">
        <v>63</v>
      </c>
      <c r="H69" s="75" t="str">
        <f>IFERROR(VLOOKUP(Table2[[#This Row],[Ticket]],Okey!A:B,2,0),"")</f>
        <v>ok</v>
      </c>
      <c r="I69" t="s">
        <v>19</v>
      </c>
      <c r="J69" t="str">
        <f>VLOOKUP(Table2[[#This Row],[Author]],People!A:B,2,0)</f>
        <v>MGF</v>
      </c>
      <c r="M69" t="s">
        <v>40</v>
      </c>
    </row>
    <row r="70" spans="1:13" x14ac:dyDescent="0.25">
      <c r="A70" s="75">
        <f t="shared" si="0"/>
        <v>69</v>
      </c>
      <c r="B70" t="s">
        <v>13</v>
      </c>
      <c r="C70" t="s">
        <v>60</v>
      </c>
      <c r="D70" t="s">
        <v>164</v>
      </c>
      <c r="E70" t="s">
        <v>165</v>
      </c>
      <c r="G70" t="s">
        <v>63</v>
      </c>
      <c r="H70" s="75" t="str">
        <f>IFERROR(VLOOKUP(Table2[[#This Row],[Ticket]],Okey!A:B,2,0),"")</f>
        <v>ok</v>
      </c>
      <c r="I70" t="s">
        <v>19</v>
      </c>
      <c r="J70" t="str">
        <f>VLOOKUP(Table2[[#This Row],[Author]],People!A:B,2,0)</f>
        <v>MGF</v>
      </c>
      <c r="M70" t="s">
        <v>40</v>
      </c>
    </row>
    <row r="71" spans="1:13" x14ac:dyDescent="0.25">
      <c r="A71" s="75">
        <f t="shared" si="0"/>
        <v>70</v>
      </c>
      <c r="B71" t="s">
        <v>13</v>
      </c>
      <c r="C71" t="s">
        <v>60</v>
      </c>
      <c r="D71" t="s">
        <v>166</v>
      </c>
      <c r="E71" t="s">
        <v>167</v>
      </c>
      <c r="G71" t="s">
        <v>63</v>
      </c>
      <c r="H71" s="75" t="str">
        <f>IFERROR(VLOOKUP(Table2[[#This Row],[Ticket]],Okey!A:B,2,0),"")</f>
        <v>ok</v>
      </c>
      <c r="I71" t="s">
        <v>19</v>
      </c>
      <c r="J71" t="str">
        <f>VLOOKUP(Table2[[#This Row],[Author]],People!A:B,2,0)</f>
        <v>MGF</v>
      </c>
      <c r="M71" t="s">
        <v>40</v>
      </c>
    </row>
    <row r="72" spans="1:13" x14ac:dyDescent="0.25">
      <c r="A72" s="75">
        <f t="shared" si="0"/>
        <v>71</v>
      </c>
      <c r="B72" t="s">
        <v>13</v>
      </c>
      <c r="C72" t="s">
        <v>60</v>
      </c>
      <c r="D72" t="s">
        <v>168</v>
      </c>
      <c r="E72" t="s">
        <v>169</v>
      </c>
      <c r="G72" t="s">
        <v>63</v>
      </c>
      <c r="H72" s="75" t="str">
        <f>IFERROR(VLOOKUP(Table2[[#This Row],[Ticket]],Okey!A:B,2,0),"")</f>
        <v>ok</v>
      </c>
      <c r="I72" t="s">
        <v>19</v>
      </c>
      <c r="J72" t="str">
        <f>VLOOKUP(Table2[[#This Row],[Author]],People!A:B,2,0)</f>
        <v>MGF</v>
      </c>
      <c r="M72" t="s">
        <v>40</v>
      </c>
    </row>
    <row r="73" spans="1:13" x14ac:dyDescent="0.25">
      <c r="A73" s="75">
        <f t="shared" ref="A73:A136" si="1">1+A72</f>
        <v>72</v>
      </c>
      <c r="B73" t="s">
        <v>13</v>
      </c>
      <c r="C73" t="s">
        <v>60</v>
      </c>
      <c r="D73" t="s">
        <v>170</v>
      </c>
      <c r="E73" t="s">
        <v>171</v>
      </c>
      <c r="G73" t="s">
        <v>63</v>
      </c>
      <c r="H73" s="75" t="str">
        <f>IFERROR(VLOOKUP(Table2[[#This Row],[Ticket]],Okey!A:B,2,0),"")</f>
        <v>ok</v>
      </c>
      <c r="I73" t="s">
        <v>19</v>
      </c>
      <c r="J73" t="str">
        <f>VLOOKUP(Table2[[#This Row],[Author]],People!A:B,2,0)</f>
        <v>MGF</v>
      </c>
      <c r="M73" t="s">
        <v>40</v>
      </c>
    </row>
    <row r="74" spans="1:13" x14ac:dyDescent="0.25">
      <c r="A74" s="75">
        <f t="shared" si="1"/>
        <v>73</v>
      </c>
      <c r="B74" t="s">
        <v>13</v>
      </c>
      <c r="C74" t="s">
        <v>60</v>
      </c>
      <c r="D74" t="s">
        <v>172</v>
      </c>
      <c r="E74" t="s">
        <v>173</v>
      </c>
      <c r="G74" t="s">
        <v>63</v>
      </c>
      <c r="H74" s="75" t="str">
        <f>IFERROR(VLOOKUP(Table2[[#This Row],[Ticket]],Okey!A:B,2,0),"")</f>
        <v>ok</v>
      </c>
      <c r="I74" t="s">
        <v>19</v>
      </c>
      <c r="J74" t="str">
        <f>VLOOKUP(Table2[[#This Row],[Author]],People!A:B,2,0)</f>
        <v>MGF</v>
      </c>
      <c r="M74" t="s">
        <v>40</v>
      </c>
    </row>
    <row r="75" spans="1:13" x14ac:dyDescent="0.25">
      <c r="A75" s="75">
        <f t="shared" si="1"/>
        <v>74</v>
      </c>
      <c r="B75" t="s">
        <v>13</v>
      </c>
      <c r="C75" t="s">
        <v>60</v>
      </c>
      <c r="D75" t="s">
        <v>174</v>
      </c>
      <c r="E75" t="s">
        <v>175</v>
      </c>
      <c r="G75" t="s">
        <v>63</v>
      </c>
      <c r="H75" s="75" t="str">
        <f>IFERROR(VLOOKUP(Table2[[#This Row],[Ticket]],Okey!A:B,2,0),"")</f>
        <v>ok</v>
      </c>
      <c r="I75" t="s">
        <v>19</v>
      </c>
      <c r="J75" t="str">
        <f>VLOOKUP(Table2[[#This Row],[Author]],People!A:B,2,0)</f>
        <v>MGF</v>
      </c>
      <c r="M75" t="s">
        <v>40</v>
      </c>
    </row>
    <row r="76" spans="1:13" x14ac:dyDescent="0.25">
      <c r="A76" s="75">
        <f t="shared" si="1"/>
        <v>75</v>
      </c>
      <c r="B76" t="s">
        <v>13</v>
      </c>
      <c r="C76" t="s">
        <v>60</v>
      </c>
      <c r="D76" t="s">
        <v>176</v>
      </c>
      <c r="E76" t="s">
        <v>177</v>
      </c>
      <c r="G76" t="s">
        <v>63</v>
      </c>
      <c r="H76" s="75" t="str">
        <f>IFERROR(VLOOKUP(Table2[[#This Row],[Ticket]],Okey!A:B,2,0),"")</f>
        <v>ok</v>
      </c>
      <c r="I76" t="s">
        <v>19</v>
      </c>
      <c r="J76" t="str">
        <f>VLOOKUP(Table2[[#This Row],[Author]],People!A:B,2,0)</f>
        <v>MGF</v>
      </c>
      <c r="M76" t="s">
        <v>40</v>
      </c>
    </row>
    <row r="77" spans="1:13" x14ac:dyDescent="0.25">
      <c r="A77" s="75">
        <f t="shared" si="1"/>
        <v>76</v>
      </c>
      <c r="B77" t="s">
        <v>13</v>
      </c>
      <c r="C77" t="s">
        <v>60</v>
      </c>
      <c r="D77" t="s">
        <v>178</v>
      </c>
      <c r="E77" t="s">
        <v>179</v>
      </c>
      <c r="G77" t="s">
        <v>63</v>
      </c>
      <c r="H77" s="75" t="str">
        <f>IFERROR(VLOOKUP(Table2[[#This Row],[Ticket]],Okey!A:B,2,0),"")</f>
        <v>ok</v>
      </c>
      <c r="I77" t="s">
        <v>19</v>
      </c>
      <c r="J77" t="str">
        <f>VLOOKUP(Table2[[#This Row],[Author]],People!A:B,2,0)</f>
        <v>MGF</v>
      </c>
      <c r="M77" t="s">
        <v>40</v>
      </c>
    </row>
    <row r="78" spans="1:13" x14ac:dyDescent="0.25">
      <c r="A78" s="75">
        <f t="shared" si="1"/>
        <v>77</v>
      </c>
      <c r="B78" t="s">
        <v>13</v>
      </c>
      <c r="C78" t="s">
        <v>60</v>
      </c>
      <c r="D78" t="s">
        <v>180</v>
      </c>
      <c r="E78" t="s">
        <v>181</v>
      </c>
      <c r="G78" t="s">
        <v>63</v>
      </c>
      <c r="H78" s="75" t="str">
        <f>IFERROR(VLOOKUP(Table2[[#This Row],[Ticket]],Okey!A:B,2,0),"")</f>
        <v>ok</v>
      </c>
      <c r="I78" t="s">
        <v>19</v>
      </c>
      <c r="J78" t="str">
        <f>VLOOKUP(Table2[[#This Row],[Author]],People!A:B,2,0)</f>
        <v>MGF</v>
      </c>
      <c r="M78" t="s">
        <v>40</v>
      </c>
    </row>
    <row r="79" spans="1:13" x14ac:dyDescent="0.25">
      <c r="A79" s="75">
        <f t="shared" si="1"/>
        <v>78</v>
      </c>
      <c r="B79" t="s">
        <v>13</v>
      </c>
      <c r="C79" t="s">
        <v>60</v>
      </c>
      <c r="D79" t="s">
        <v>182</v>
      </c>
      <c r="E79" t="s">
        <v>183</v>
      </c>
      <c r="G79" t="s">
        <v>63</v>
      </c>
      <c r="H79" s="75" t="str">
        <f>IFERROR(VLOOKUP(Table2[[#This Row],[Ticket]],Okey!A:B,2,0),"")</f>
        <v>ok</v>
      </c>
      <c r="I79" t="s">
        <v>19</v>
      </c>
      <c r="J79" t="str">
        <f>VLOOKUP(Table2[[#This Row],[Author]],People!A:B,2,0)</f>
        <v>MGF</v>
      </c>
      <c r="M79" t="s">
        <v>40</v>
      </c>
    </row>
    <row r="80" spans="1:13" x14ac:dyDescent="0.25">
      <c r="A80" s="75">
        <f t="shared" si="1"/>
        <v>79</v>
      </c>
      <c r="B80" t="s">
        <v>13</v>
      </c>
      <c r="C80" t="s">
        <v>60</v>
      </c>
      <c r="D80" t="s">
        <v>184</v>
      </c>
      <c r="E80" t="s">
        <v>185</v>
      </c>
      <c r="G80" t="s">
        <v>63</v>
      </c>
      <c r="H80" s="75" t="str">
        <f>IFERROR(VLOOKUP(Table2[[#This Row],[Ticket]],Okey!A:B,2,0),"")</f>
        <v>ok</v>
      </c>
      <c r="I80" t="s">
        <v>19</v>
      </c>
      <c r="J80" t="str">
        <f>VLOOKUP(Table2[[#This Row],[Author]],People!A:B,2,0)</f>
        <v>MGF</v>
      </c>
      <c r="M80" t="s">
        <v>40</v>
      </c>
    </row>
    <row r="81" spans="1:13" x14ac:dyDescent="0.25">
      <c r="A81" s="75">
        <f t="shared" si="1"/>
        <v>80</v>
      </c>
      <c r="B81" t="s">
        <v>13</v>
      </c>
      <c r="C81" t="s">
        <v>60</v>
      </c>
      <c r="D81" t="s">
        <v>186</v>
      </c>
      <c r="E81" t="s">
        <v>187</v>
      </c>
      <c r="G81" t="s">
        <v>63</v>
      </c>
      <c r="H81" s="75" t="str">
        <f>IFERROR(VLOOKUP(Table2[[#This Row],[Ticket]],Okey!A:B,2,0),"")</f>
        <v>ok</v>
      </c>
      <c r="I81" t="s">
        <v>19</v>
      </c>
      <c r="J81" t="str">
        <f>VLOOKUP(Table2[[#This Row],[Author]],People!A:B,2,0)</f>
        <v>MGF</v>
      </c>
      <c r="M81" t="s">
        <v>40</v>
      </c>
    </row>
    <row r="82" spans="1:13" x14ac:dyDescent="0.25">
      <c r="A82" s="75">
        <f t="shared" si="1"/>
        <v>81</v>
      </c>
      <c r="B82" t="s">
        <v>13</v>
      </c>
      <c r="C82" t="s">
        <v>60</v>
      </c>
      <c r="D82" t="s">
        <v>188</v>
      </c>
      <c r="E82" t="s">
        <v>189</v>
      </c>
      <c r="G82" t="s">
        <v>63</v>
      </c>
      <c r="H82" s="75" t="str">
        <f>IFERROR(VLOOKUP(Table2[[#This Row],[Ticket]],Okey!A:B,2,0),"")</f>
        <v>ok</v>
      </c>
      <c r="I82" t="s">
        <v>19</v>
      </c>
      <c r="J82" t="str">
        <f>VLOOKUP(Table2[[#This Row],[Author]],People!A:B,2,0)</f>
        <v>MGF</v>
      </c>
      <c r="M82" t="s">
        <v>40</v>
      </c>
    </row>
    <row r="83" spans="1:13" x14ac:dyDescent="0.25">
      <c r="A83" s="75">
        <f t="shared" si="1"/>
        <v>82</v>
      </c>
      <c r="B83" t="s">
        <v>13</v>
      </c>
      <c r="C83" t="s">
        <v>60</v>
      </c>
      <c r="D83" t="s">
        <v>190</v>
      </c>
      <c r="E83" t="s">
        <v>191</v>
      </c>
      <c r="G83" t="s">
        <v>63</v>
      </c>
      <c r="H83" s="75" t="str">
        <f>IFERROR(VLOOKUP(Table2[[#This Row],[Ticket]],Okey!A:B,2,0),"")</f>
        <v>ok</v>
      </c>
      <c r="I83" t="s">
        <v>19</v>
      </c>
      <c r="J83" t="str">
        <f>VLOOKUP(Table2[[#This Row],[Author]],People!A:B,2,0)</f>
        <v>MGF</v>
      </c>
      <c r="M83" t="s">
        <v>40</v>
      </c>
    </row>
    <row r="84" spans="1:13" x14ac:dyDescent="0.25">
      <c r="A84" s="75">
        <f t="shared" si="1"/>
        <v>83</v>
      </c>
      <c r="B84" t="s">
        <v>13</v>
      </c>
      <c r="C84" t="s">
        <v>60</v>
      </c>
      <c r="D84" t="s">
        <v>192</v>
      </c>
      <c r="E84" t="s">
        <v>193</v>
      </c>
      <c r="G84" t="s">
        <v>63</v>
      </c>
      <c r="H84" s="75" t="str">
        <f>IFERROR(VLOOKUP(Table2[[#This Row],[Ticket]],Okey!A:B,2,0),"")</f>
        <v>ok</v>
      </c>
      <c r="I84" t="s">
        <v>19</v>
      </c>
      <c r="J84" t="str">
        <f>VLOOKUP(Table2[[#This Row],[Author]],People!A:B,2,0)</f>
        <v>MGF</v>
      </c>
      <c r="M84" t="s">
        <v>40</v>
      </c>
    </row>
    <row r="85" spans="1:13" x14ac:dyDescent="0.25">
      <c r="A85" s="75">
        <f t="shared" si="1"/>
        <v>84</v>
      </c>
      <c r="B85" t="s">
        <v>13</v>
      </c>
      <c r="C85" t="s">
        <v>60</v>
      </c>
      <c r="D85" t="s">
        <v>194</v>
      </c>
      <c r="E85" t="s">
        <v>195</v>
      </c>
      <c r="G85" t="s">
        <v>63</v>
      </c>
      <c r="H85" s="75" t="str">
        <f>IFERROR(VLOOKUP(Table2[[#This Row],[Ticket]],Okey!A:B,2,0),"")</f>
        <v>ok</v>
      </c>
      <c r="I85" t="s">
        <v>19</v>
      </c>
      <c r="J85" t="str">
        <f>VLOOKUP(Table2[[#This Row],[Author]],People!A:B,2,0)</f>
        <v>MGF</v>
      </c>
      <c r="M85" t="s">
        <v>40</v>
      </c>
    </row>
    <row r="86" spans="1:13" x14ac:dyDescent="0.25">
      <c r="A86" s="75">
        <f t="shared" si="1"/>
        <v>85</v>
      </c>
      <c r="B86" t="s">
        <v>13</v>
      </c>
      <c r="C86" t="s">
        <v>60</v>
      </c>
      <c r="D86" t="s">
        <v>196</v>
      </c>
      <c r="E86" t="s">
        <v>197</v>
      </c>
      <c r="G86" t="s">
        <v>63</v>
      </c>
      <c r="H86" s="75" t="str">
        <f>IFERROR(VLOOKUP(Table2[[#This Row],[Ticket]],Okey!A:B,2,0),"")</f>
        <v>ok</v>
      </c>
      <c r="I86" t="s">
        <v>19</v>
      </c>
      <c r="J86" t="str">
        <f>VLOOKUP(Table2[[#This Row],[Author]],People!A:B,2,0)</f>
        <v>MGF</v>
      </c>
      <c r="M86" t="s">
        <v>40</v>
      </c>
    </row>
    <row r="87" spans="1:13" x14ac:dyDescent="0.25">
      <c r="A87" s="75">
        <f t="shared" si="1"/>
        <v>86</v>
      </c>
      <c r="B87" t="s">
        <v>13</v>
      </c>
      <c r="C87" t="s">
        <v>60</v>
      </c>
      <c r="D87" t="s">
        <v>198</v>
      </c>
      <c r="E87" t="s">
        <v>199</v>
      </c>
      <c r="G87" t="s">
        <v>63</v>
      </c>
      <c r="H87" s="75" t="str">
        <f>IFERROR(VLOOKUP(Table2[[#This Row],[Ticket]],Okey!A:B,2,0),"")</f>
        <v>ok</v>
      </c>
      <c r="I87" t="s">
        <v>19</v>
      </c>
      <c r="J87" t="str">
        <f>VLOOKUP(Table2[[#This Row],[Author]],People!A:B,2,0)</f>
        <v>MGF</v>
      </c>
      <c r="M87" t="s">
        <v>40</v>
      </c>
    </row>
    <row r="88" spans="1:13" x14ac:dyDescent="0.25">
      <c r="A88" s="75">
        <f t="shared" si="1"/>
        <v>87</v>
      </c>
      <c r="B88" t="s">
        <v>13</v>
      </c>
      <c r="C88" t="s">
        <v>60</v>
      </c>
      <c r="D88" t="s">
        <v>200</v>
      </c>
      <c r="E88" t="s">
        <v>201</v>
      </c>
      <c r="G88" t="s">
        <v>63</v>
      </c>
      <c r="H88" s="75" t="str">
        <f>IFERROR(VLOOKUP(Table2[[#This Row],[Ticket]],Okey!A:B,2,0),"")</f>
        <v>ok</v>
      </c>
      <c r="I88" t="s">
        <v>19</v>
      </c>
      <c r="J88" t="str">
        <f>VLOOKUP(Table2[[#This Row],[Author]],People!A:B,2,0)</f>
        <v>MGF</v>
      </c>
      <c r="M88" t="s">
        <v>40</v>
      </c>
    </row>
    <row r="89" spans="1:13" x14ac:dyDescent="0.25">
      <c r="A89" s="75">
        <f t="shared" si="1"/>
        <v>88</v>
      </c>
      <c r="B89" t="s">
        <v>13</v>
      </c>
      <c r="C89" t="s">
        <v>60</v>
      </c>
      <c r="D89" t="s">
        <v>202</v>
      </c>
      <c r="E89" t="s">
        <v>203</v>
      </c>
      <c r="G89" t="s">
        <v>63</v>
      </c>
      <c r="H89" s="75" t="str">
        <f>IFERROR(VLOOKUP(Table2[[#This Row],[Ticket]],Okey!A:B,2,0),"")</f>
        <v>ok</v>
      </c>
      <c r="I89" t="s">
        <v>19</v>
      </c>
      <c r="J89" t="str">
        <f>VLOOKUP(Table2[[#This Row],[Author]],People!A:B,2,0)</f>
        <v>MGF</v>
      </c>
      <c r="M89" t="s">
        <v>40</v>
      </c>
    </row>
    <row r="90" spans="1:13" x14ac:dyDescent="0.25">
      <c r="A90" s="75">
        <f t="shared" si="1"/>
        <v>89</v>
      </c>
      <c r="B90" t="s">
        <v>13</v>
      </c>
      <c r="C90" t="s">
        <v>60</v>
      </c>
      <c r="D90" t="s">
        <v>204</v>
      </c>
      <c r="E90" t="s">
        <v>205</v>
      </c>
      <c r="G90" t="s">
        <v>63</v>
      </c>
      <c r="H90" s="75" t="str">
        <f>IFERROR(VLOOKUP(Table2[[#This Row],[Ticket]],Okey!A:B,2,0),"")</f>
        <v>ok</v>
      </c>
      <c r="I90" t="s">
        <v>19</v>
      </c>
      <c r="J90" t="str">
        <f>VLOOKUP(Table2[[#This Row],[Author]],People!A:B,2,0)</f>
        <v>MGF</v>
      </c>
      <c r="M90" t="s">
        <v>40</v>
      </c>
    </row>
    <row r="91" spans="1:13" x14ac:dyDescent="0.25">
      <c r="A91" s="75">
        <f t="shared" si="1"/>
        <v>90</v>
      </c>
      <c r="B91" t="s">
        <v>13</v>
      </c>
      <c r="C91" t="s">
        <v>60</v>
      </c>
      <c r="D91" t="s">
        <v>206</v>
      </c>
      <c r="E91" t="s">
        <v>207</v>
      </c>
      <c r="G91" t="s">
        <v>63</v>
      </c>
      <c r="H91" s="75" t="str">
        <f>IFERROR(VLOOKUP(Table2[[#This Row],[Ticket]],Okey!A:B,2,0),"")</f>
        <v>ok</v>
      </c>
      <c r="I91" t="s">
        <v>19</v>
      </c>
      <c r="J91" t="str">
        <f>VLOOKUP(Table2[[#This Row],[Author]],People!A:B,2,0)</f>
        <v>MGF</v>
      </c>
      <c r="M91" t="s">
        <v>40</v>
      </c>
    </row>
    <row r="92" spans="1:13" x14ac:dyDescent="0.25">
      <c r="A92" s="75">
        <f t="shared" si="1"/>
        <v>91</v>
      </c>
      <c r="B92" t="s">
        <v>13</v>
      </c>
      <c r="C92" t="s">
        <v>60</v>
      </c>
      <c r="D92" t="s">
        <v>208</v>
      </c>
      <c r="E92" t="s">
        <v>209</v>
      </c>
      <c r="G92" t="s">
        <v>63</v>
      </c>
      <c r="H92" s="75" t="str">
        <f>IFERROR(VLOOKUP(Table2[[#This Row],[Ticket]],Okey!A:B,2,0),"")</f>
        <v>ok</v>
      </c>
      <c r="I92" t="s">
        <v>19</v>
      </c>
      <c r="J92" t="str">
        <f>VLOOKUP(Table2[[#This Row],[Author]],People!A:B,2,0)</f>
        <v>MGF</v>
      </c>
      <c r="M92" t="s">
        <v>40</v>
      </c>
    </row>
    <row r="93" spans="1:13" x14ac:dyDescent="0.25">
      <c r="A93" s="75">
        <f t="shared" si="1"/>
        <v>92</v>
      </c>
      <c r="B93" t="s">
        <v>13</v>
      </c>
      <c r="C93" t="s">
        <v>60</v>
      </c>
      <c r="D93" t="s">
        <v>210</v>
      </c>
      <c r="E93" t="s">
        <v>211</v>
      </c>
      <c r="G93" t="s">
        <v>63</v>
      </c>
      <c r="H93" s="75" t="str">
        <f>IFERROR(VLOOKUP(Table2[[#This Row],[Ticket]],Okey!A:B,2,0),"")</f>
        <v>ok</v>
      </c>
      <c r="I93" t="s">
        <v>19</v>
      </c>
      <c r="J93" t="str">
        <f>VLOOKUP(Table2[[#This Row],[Author]],People!A:B,2,0)</f>
        <v>MGF</v>
      </c>
      <c r="M93" t="s">
        <v>40</v>
      </c>
    </row>
    <row r="94" spans="1:13" x14ac:dyDescent="0.25">
      <c r="A94" s="75">
        <f t="shared" si="1"/>
        <v>93</v>
      </c>
      <c r="B94" t="s">
        <v>13</v>
      </c>
      <c r="C94" t="s">
        <v>60</v>
      </c>
      <c r="D94" t="s">
        <v>212</v>
      </c>
      <c r="E94" t="s">
        <v>213</v>
      </c>
      <c r="G94" t="s">
        <v>63</v>
      </c>
      <c r="H94" s="75" t="str">
        <f>IFERROR(VLOOKUP(Table2[[#This Row],[Ticket]],Okey!A:B,2,0),"")</f>
        <v>ok</v>
      </c>
      <c r="I94" t="s">
        <v>19</v>
      </c>
      <c r="J94" t="str">
        <f>VLOOKUP(Table2[[#This Row],[Author]],People!A:B,2,0)</f>
        <v>MGF</v>
      </c>
      <c r="M94" t="s">
        <v>40</v>
      </c>
    </row>
    <row r="95" spans="1:13" x14ac:dyDescent="0.25">
      <c r="A95" s="75">
        <f t="shared" si="1"/>
        <v>94</v>
      </c>
      <c r="B95" t="s">
        <v>13</v>
      </c>
      <c r="C95" t="s">
        <v>60</v>
      </c>
      <c r="D95" t="s">
        <v>214</v>
      </c>
      <c r="E95" t="s">
        <v>215</v>
      </c>
      <c r="G95" t="s">
        <v>63</v>
      </c>
      <c r="H95" s="75" t="str">
        <f>IFERROR(VLOOKUP(Table2[[#This Row],[Ticket]],Okey!A:B,2,0),"")</f>
        <v>ok</v>
      </c>
      <c r="I95" t="s">
        <v>19</v>
      </c>
      <c r="J95" t="str">
        <f>VLOOKUP(Table2[[#This Row],[Author]],People!A:B,2,0)</f>
        <v>MGF</v>
      </c>
      <c r="M95" t="s">
        <v>40</v>
      </c>
    </row>
    <row r="96" spans="1:13" x14ac:dyDescent="0.25">
      <c r="A96" s="75">
        <f t="shared" si="1"/>
        <v>95</v>
      </c>
      <c r="B96" t="s">
        <v>13</v>
      </c>
      <c r="C96" t="s">
        <v>60</v>
      </c>
      <c r="D96" t="s">
        <v>216</v>
      </c>
      <c r="E96" t="s">
        <v>217</v>
      </c>
      <c r="G96" t="s">
        <v>63</v>
      </c>
      <c r="H96" s="75" t="str">
        <f>IFERROR(VLOOKUP(Table2[[#This Row],[Ticket]],Okey!A:B,2,0),"")</f>
        <v>ok</v>
      </c>
      <c r="I96" t="s">
        <v>19</v>
      </c>
      <c r="J96" t="str">
        <f>VLOOKUP(Table2[[#This Row],[Author]],People!A:B,2,0)</f>
        <v>MGF</v>
      </c>
      <c r="M96" t="s">
        <v>40</v>
      </c>
    </row>
    <row r="97" spans="1:13" x14ac:dyDescent="0.25">
      <c r="A97" s="75">
        <f t="shared" si="1"/>
        <v>96</v>
      </c>
      <c r="B97" t="s">
        <v>13</v>
      </c>
      <c r="C97" t="s">
        <v>60</v>
      </c>
      <c r="D97" t="s">
        <v>218</v>
      </c>
      <c r="E97" t="s">
        <v>219</v>
      </c>
      <c r="G97" t="s">
        <v>63</v>
      </c>
      <c r="H97" s="75" t="str">
        <f>IFERROR(VLOOKUP(Table2[[#This Row],[Ticket]],Okey!A:B,2,0),"")</f>
        <v>ok</v>
      </c>
      <c r="I97" t="s">
        <v>19</v>
      </c>
      <c r="J97" t="str">
        <f>VLOOKUP(Table2[[#This Row],[Author]],People!A:B,2,0)</f>
        <v>MGF</v>
      </c>
      <c r="M97" t="s">
        <v>40</v>
      </c>
    </row>
    <row r="98" spans="1:13" x14ac:dyDescent="0.25">
      <c r="A98" s="75">
        <f t="shared" si="1"/>
        <v>97</v>
      </c>
      <c r="B98" t="s">
        <v>13</v>
      </c>
      <c r="C98" t="s">
        <v>60</v>
      </c>
      <c r="D98" t="s">
        <v>220</v>
      </c>
      <c r="E98" t="s">
        <v>221</v>
      </c>
      <c r="G98" t="s">
        <v>63</v>
      </c>
      <c r="H98" s="75" t="str">
        <f>IFERROR(VLOOKUP(Table2[[#This Row],[Ticket]],Okey!A:B,2,0),"")</f>
        <v>ok</v>
      </c>
      <c r="I98" t="s">
        <v>19</v>
      </c>
      <c r="J98" t="str">
        <f>VLOOKUP(Table2[[#This Row],[Author]],People!A:B,2,0)</f>
        <v>MGF</v>
      </c>
      <c r="M98" t="s">
        <v>40</v>
      </c>
    </row>
    <row r="99" spans="1:13" x14ac:dyDescent="0.25">
      <c r="A99" s="75">
        <f t="shared" si="1"/>
        <v>98</v>
      </c>
      <c r="B99" t="s">
        <v>13</v>
      </c>
      <c r="C99" t="s">
        <v>60</v>
      </c>
      <c r="D99" t="s">
        <v>222</v>
      </c>
      <c r="E99" t="s">
        <v>223</v>
      </c>
      <c r="G99" t="s">
        <v>63</v>
      </c>
      <c r="H99" s="75" t="str">
        <f>IFERROR(VLOOKUP(Table2[[#This Row],[Ticket]],Okey!A:B,2,0),"")</f>
        <v>ok</v>
      </c>
      <c r="I99" t="s">
        <v>19</v>
      </c>
      <c r="J99" t="str">
        <f>VLOOKUP(Table2[[#This Row],[Author]],People!A:B,2,0)</f>
        <v>MGF</v>
      </c>
      <c r="M99" t="s">
        <v>40</v>
      </c>
    </row>
    <row r="100" spans="1:13" x14ac:dyDescent="0.25">
      <c r="A100" s="75">
        <f t="shared" si="1"/>
        <v>99</v>
      </c>
      <c r="B100" t="s">
        <v>13</v>
      </c>
      <c r="C100" t="s">
        <v>60</v>
      </c>
      <c r="D100" t="s">
        <v>224</v>
      </c>
      <c r="E100" t="s">
        <v>225</v>
      </c>
      <c r="G100" t="s">
        <v>63</v>
      </c>
      <c r="H100" s="75" t="str">
        <f>IFERROR(VLOOKUP(Table2[[#This Row],[Ticket]],Okey!A:B,2,0),"")</f>
        <v>ok</v>
      </c>
      <c r="I100" t="s">
        <v>19</v>
      </c>
      <c r="J100" t="str">
        <f>VLOOKUP(Table2[[#This Row],[Author]],People!A:B,2,0)</f>
        <v>MGF</v>
      </c>
      <c r="M100" t="s">
        <v>40</v>
      </c>
    </row>
    <row r="101" spans="1:13" x14ac:dyDescent="0.25">
      <c r="A101" s="75">
        <f t="shared" si="1"/>
        <v>100</v>
      </c>
      <c r="B101" t="s">
        <v>13</v>
      </c>
      <c r="C101" t="s">
        <v>60</v>
      </c>
      <c r="D101" t="s">
        <v>226</v>
      </c>
      <c r="E101" t="s">
        <v>227</v>
      </c>
      <c r="G101" t="s">
        <v>63</v>
      </c>
      <c r="H101" s="75" t="str">
        <f>IFERROR(VLOOKUP(Table2[[#This Row],[Ticket]],Okey!A:B,2,0),"")</f>
        <v>ok</v>
      </c>
      <c r="I101" t="s">
        <v>19</v>
      </c>
      <c r="J101" t="str">
        <f>VLOOKUP(Table2[[#This Row],[Author]],People!A:B,2,0)</f>
        <v>MGF</v>
      </c>
      <c r="M101" t="s">
        <v>40</v>
      </c>
    </row>
    <row r="102" spans="1:13" x14ac:dyDescent="0.25">
      <c r="A102" s="75">
        <f t="shared" si="1"/>
        <v>101</v>
      </c>
      <c r="B102" t="s">
        <v>13</v>
      </c>
      <c r="C102" t="s">
        <v>60</v>
      </c>
      <c r="D102" t="s">
        <v>228</v>
      </c>
      <c r="E102" t="s">
        <v>229</v>
      </c>
      <c r="G102" t="s">
        <v>63</v>
      </c>
      <c r="H102" s="75" t="str">
        <f>IFERROR(VLOOKUP(Table2[[#This Row],[Ticket]],Okey!A:B,2,0),"")</f>
        <v>ok</v>
      </c>
      <c r="I102" t="s">
        <v>19</v>
      </c>
      <c r="J102" t="str">
        <f>VLOOKUP(Table2[[#This Row],[Author]],People!A:B,2,0)</f>
        <v>MGF</v>
      </c>
      <c r="M102" t="s">
        <v>40</v>
      </c>
    </row>
    <row r="103" spans="1:13" x14ac:dyDescent="0.25">
      <c r="A103" s="75">
        <f t="shared" si="1"/>
        <v>102</v>
      </c>
      <c r="B103" t="s">
        <v>13</v>
      </c>
      <c r="C103" t="s">
        <v>60</v>
      </c>
      <c r="D103" t="s">
        <v>230</v>
      </c>
      <c r="E103" t="s">
        <v>231</v>
      </c>
      <c r="G103" t="s">
        <v>63</v>
      </c>
      <c r="H103" s="75" t="str">
        <f>IFERROR(VLOOKUP(Table2[[#This Row],[Ticket]],Okey!A:B,2,0),"")</f>
        <v>ok</v>
      </c>
      <c r="I103" t="s">
        <v>19</v>
      </c>
      <c r="J103" t="str">
        <f>VLOOKUP(Table2[[#This Row],[Author]],People!A:B,2,0)</f>
        <v>MGF</v>
      </c>
      <c r="M103" t="s">
        <v>40</v>
      </c>
    </row>
    <row r="104" spans="1:13" x14ac:dyDescent="0.25">
      <c r="A104" s="75">
        <f t="shared" si="1"/>
        <v>103</v>
      </c>
      <c r="B104" t="s">
        <v>13</v>
      </c>
      <c r="C104" t="s">
        <v>60</v>
      </c>
      <c r="D104" t="s">
        <v>232</v>
      </c>
      <c r="E104" t="s">
        <v>233</v>
      </c>
      <c r="G104" t="s">
        <v>63</v>
      </c>
      <c r="H104" s="75" t="str">
        <f>IFERROR(VLOOKUP(Table2[[#This Row],[Ticket]],Okey!A:B,2,0),"")</f>
        <v>ok</v>
      </c>
      <c r="I104" t="s">
        <v>19</v>
      </c>
      <c r="J104" t="str">
        <f>VLOOKUP(Table2[[#This Row],[Author]],People!A:B,2,0)</f>
        <v>MGF</v>
      </c>
      <c r="M104" t="s">
        <v>40</v>
      </c>
    </row>
    <row r="105" spans="1:13" x14ac:dyDescent="0.25">
      <c r="A105" s="75">
        <f t="shared" si="1"/>
        <v>104</v>
      </c>
      <c r="B105" t="s">
        <v>13</v>
      </c>
      <c r="C105" t="s">
        <v>60</v>
      </c>
      <c r="D105" t="s">
        <v>234</v>
      </c>
      <c r="E105" t="s">
        <v>235</v>
      </c>
      <c r="G105" t="s">
        <v>63</v>
      </c>
      <c r="H105" s="75" t="str">
        <f>IFERROR(VLOOKUP(Table2[[#This Row],[Ticket]],Okey!A:B,2,0),"")</f>
        <v>ok</v>
      </c>
      <c r="I105" t="s">
        <v>19</v>
      </c>
      <c r="J105" t="str">
        <f>VLOOKUP(Table2[[#This Row],[Author]],People!A:B,2,0)</f>
        <v>MGF</v>
      </c>
      <c r="M105" t="s">
        <v>40</v>
      </c>
    </row>
    <row r="106" spans="1:13" x14ac:dyDescent="0.25">
      <c r="A106" s="75">
        <f t="shared" si="1"/>
        <v>105</v>
      </c>
      <c r="B106" t="s">
        <v>13</v>
      </c>
      <c r="C106" t="s">
        <v>60</v>
      </c>
      <c r="D106" t="s">
        <v>236</v>
      </c>
      <c r="E106" t="s">
        <v>237</v>
      </c>
      <c r="G106" t="s">
        <v>63</v>
      </c>
      <c r="H106" s="75" t="str">
        <f>IFERROR(VLOOKUP(Table2[[#This Row],[Ticket]],Okey!A:B,2,0),"")</f>
        <v>ok</v>
      </c>
      <c r="I106" t="s">
        <v>19</v>
      </c>
      <c r="J106" t="str">
        <f>VLOOKUP(Table2[[#This Row],[Author]],People!A:B,2,0)</f>
        <v>MGF</v>
      </c>
      <c r="M106" t="s">
        <v>40</v>
      </c>
    </row>
    <row r="107" spans="1:13" x14ac:dyDescent="0.25">
      <c r="A107" s="75">
        <f t="shared" si="1"/>
        <v>106</v>
      </c>
      <c r="B107" t="s">
        <v>13</v>
      </c>
      <c r="C107" t="s">
        <v>60</v>
      </c>
      <c r="D107" t="s">
        <v>200</v>
      </c>
      <c r="E107" t="s">
        <v>237</v>
      </c>
      <c r="G107" t="s">
        <v>63</v>
      </c>
      <c r="H107" s="75" t="str">
        <f>IFERROR(VLOOKUP(Table2[[#This Row],[Ticket]],Okey!A:B,2,0),"")</f>
        <v>ok</v>
      </c>
      <c r="I107" t="s">
        <v>19</v>
      </c>
      <c r="J107" t="str">
        <f>VLOOKUP(Table2[[#This Row],[Author]],People!A:B,2,0)</f>
        <v>MGF</v>
      </c>
      <c r="M107" t="s">
        <v>40</v>
      </c>
    </row>
    <row r="108" spans="1:13" x14ac:dyDescent="0.25">
      <c r="A108" s="75">
        <f t="shared" si="1"/>
        <v>107</v>
      </c>
      <c r="B108" t="s">
        <v>13</v>
      </c>
      <c r="C108" t="s">
        <v>60</v>
      </c>
      <c r="D108" t="s">
        <v>238</v>
      </c>
      <c r="E108" t="s">
        <v>239</v>
      </c>
      <c r="G108" t="s">
        <v>63</v>
      </c>
      <c r="H108" s="75" t="str">
        <f>IFERROR(VLOOKUP(Table2[[#This Row],[Ticket]],Okey!A:B,2,0),"")</f>
        <v>ok</v>
      </c>
      <c r="I108" t="s">
        <v>19</v>
      </c>
      <c r="J108" t="str">
        <f>VLOOKUP(Table2[[#This Row],[Author]],People!A:B,2,0)</f>
        <v>MGF</v>
      </c>
      <c r="M108" t="s">
        <v>40</v>
      </c>
    </row>
    <row r="109" spans="1:13" x14ac:dyDescent="0.25">
      <c r="A109" s="75">
        <f t="shared" si="1"/>
        <v>108</v>
      </c>
      <c r="B109" t="s">
        <v>13</v>
      </c>
      <c r="C109" t="s">
        <v>60</v>
      </c>
      <c r="D109" t="s">
        <v>240</v>
      </c>
      <c r="E109" t="s">
        <v>241</v>
      </c>
      <c r="G109" t="s">
        <v>63</v>
      </c>
      <c r="H109" s="75" t="str">
        <f>IFERROR(VLOOKUP(Table2[[#This Row],[Ticket]],Okey!A:B,2,0),"")</f>
        <v>ok</v>
      </c>
      <c r="I109" t="s">
        <v>19</v>
      </c>
      <c r="J109" t="str">
        <f>VLOOKUP(Table2[[#This Row],[Author]],People!A:B,2,0)</f>
        <v>MGF</v>
      </c>
      <c r="M109" t="s">
        <v>40</v>
      </c>
    </row>
    <row r="110" spans="1:13" x14ac:dyDescent="0.25">
      <c r="A110" s="75">
        <f t="shared" si="1"/>
        <v>109</v>
      </c>
      <c r="B110" t="s">
        <v>13</v>
      </c>
      <c r="C110" t="s">
        <v>60</v>
      </c>
      <c r="D110" t="s">
        <v>242</v>
      </c>
      <c r="E110" t="s">
        <v>243</v>
      </c>
      <c r="G110" t="s">
        <v>63</v>
      </c>
      <c r="H110" s="75" t="str">
        <f>IFERROR(VLOOKUP(Table2[[#This Row],[Ticket]],Okey!A:B,2,0),"")</f>
        <v>ok</v>
      </c>
      <c r="I110" t="s">
        <v>19</v>
      </c>
      <c r="J110" t="str">
        <f>VLOOKUP(Table2[[#This Row],[Author]],People!A:B,2,0)</f>
        <v>MGF</v>
      </c>
      <c r="M110" t="s">
        <v>40</v>
      </c>
    </row>
    <row r="111" spans="1:13" x14ac:dyDescent="0.25">
      <c r="A111" s="75">
        <f t="shared" si="1"/>
        <v>110</v>
      </c>
      <c r="B111" t="s">
        <v>13</v>
      </c>
      <c r="C111" t="s">
        <v>60</v>
      </c>
      <c r="D111" t="s">
        <v>244</v>
      </c>
      <c r="E111" t="s">
        <v>62</v>
      </c>
      <c r="G111" t="s">
        <v>63</v>
      </c>
      <c r="H111" s="75" t="str">
        <f>IFERROR(VLOOKUP(Table2[[#This Row],[Ticket]],Okey!A:B,2,0),"")</f>
        <v>ok</v>
      </c>
      <c r="I111" t="s">
        <v>19</v>
      </c>
      <c r="J111" t="str">
        <f>VLOOKUP(Table2[[#This Row],[Author]],People!A:B,2,0)</f>
        <v>MGF</v>
      </c>
      <c r="M111" t="s">
        <v>40</v>
      </c>
    </row>
    <row r="112" spans="1:13" x14ac:dyDescent="0.25">
      <c r="A112" s="75">
        <f t="shared" si="1"/>
        <v>111</v>
      </c>
      <c r="B112" t="s">
        <v>13</v>
      </c>
      <c r="C112" t="s">
        <v>60</v>
      </c>
      <c r="D112" t="s">
        <v>245</v>
      </c>
      <c r="E112" t="s">
        <v>65</v>
      </c>
      <c r="G112" t="s">
        <v>63</v>
      </c>
      <c r="H112" s="75" t="str">
        <f>IFERROR(VLOOKUP(Table2[[#This Row],[Ticket]],Okey!A:B,2,0),"")</f>
        <v>ok</v>
      </c>
      <c r="I112" t="s">
        <v>19</v>
      </c>
      <c r="J112" t="str">
        <f>VLOOKUP(Table2[[#This Row],[Author]],People!A:B,2,0)</f>
        <v>MGF</v>
      </c>
      <c r="M112" t="s">
        <v>40</v>
      </c>
    </row>
    <row r="113" spans="1:13" x14ac:dyDescent="0.25">
      <c r="A113" s="75">
        <f t="shared" si="1"/>
        <v>112</v>
      </c>
      <c r="B113" t="s">
        <v>13</v>
      </c>
      <c r="C113" t="s">
        <v>60</v>
      </c>
      <c r="D113" t="s">
        <v>246</v>
      </c>
      <c r="E113" t="s">
        <v>67</v>
      </c>
      <c r="G113" t="s">
        <v>63</v>
      </c>
      <c r="H113" s="75" t="str">
        <f>IFERROR(VLOOKUP(Table2[[#This Row],[Ticket]],Okey!A:B,2,0),"")</f>
        <v>ok</v>
      </c>
      <c r="I113" t="s">
        <v>19</v>
      </c>
      <c r="J113" t="str">
        <f>VLOOKUP(Table2[[#This Row],[Author]],People!A:B,2,0)</f>
        <v>MGF</v>
      </c>
      <c r="M113" t="s">
        <v>40</v>
      </c>
    </row>
    <row r="114" spans="1:13" x14ac:dyDescent="0.25">
      <c r="A114" s="75">
        <f t="shared" si="1"/>
        <v>113</v>
      </c>
      <c r="B114" t="s">
        <v>13</v>
      </c>
      <c r="C114" t="s">
        <v>60</v>
      </c>
      <c r="D114" t="s">
        <v>247</v>
      </c>
      <c r="E114" t="s">
        <v>69</v>
      </c>
      <c r="G114" t="s">
        <v>63</v>
      </c>
      <c r="H114" s="75" t="str">
        <f>IFERROR(VLOOKUP(Table2[[#This Row],[Ticket]],Okey!A:B,2,0),"")</f>
        <v>ok</v>
      </c>
      <c r="I114" t="s">
        <v>19</v>
      </c>
      <c r="J114" t="str">
        <f>VLOOKUP(Table2[[#This Row],[Author]],People!A:B,2,0)</f>
        <v>MGF</v>
      </c>
      <c r="M114" t="s">
        <v>40</v>
      </c>
    </row>
    <row r="115" spans="1:13" x14ac:dyDescent="0.25">
      <c r="A115" s="75">
        <f t="shared" si="1"/>
        <v>114</v>
      </c>
      <c r="B115" t="s">
        <v>13</v>
      </c>
      <c r="C115" t="s">
        <v>60</v>
      </c>
      <c r="D115" t="s">
        <v>248</v>
      </c>
      <c r="E115" t="s">
        <v>71</v>
      </c>
      <c r="G115" t="s">
        <v>63</v>
      </c>
      <c r="H115" s="75" t="str">
        <f>IFERROR(VLOOKUP(Table2[[#This Row],[Ticket]],Okey!A:B,2,0),"")</f>
        <v>ok</v>
      </c>
      <c r="I115" t="s">
        <v>19</v>
      </c>
      <c r="J115" t="str">
        <f>VLOOKUP(Table2[[#This Row],[Author]],People!A:B,2,0)</f>
        <v>MGF</v>
      </c>
      <c r="M115" t="s">
        <v>40</v>
      </c>
    </row>
    <row r="116" spans="1:13" x14ac:dyDescent="0.25">
      <c r="A116" s="75">
        <f t="shared" si="1"/>
        <v>115</v>
      </c>
      <c r="B116" t="s">
        <v>13</v>
      </c>
      <c r="C116" t="s">
        <v>60</v>
      </c>
      <c r="D116" t="s">
        <v>249</v>
      </c>
      <c r="E116" t="s">
        <v>73</v>
      </c>
      <c r="G116" t="s">
        <v>63</v>
      </c>
      <c r="H116" s="75" t="str">
        <f>IFERROR(VLOOKUP(Table2[[#This Row],[Ticket]],Okey!A:B,2,0),"")</f>
        <v>ok</v>
      </c>
      <c r="I116" t="s">
        <v>19</v>
      </c>
      <c r="J116" t="str">
        <f>VLOOKUP(Table2[[#This Row],[Author]],People!A:B,2,0)</f>
        <v>MGF</v>
      </c>
      <c r="M116" t="s">
        <v>40</v>
      </c>
    </row>
    <row r="117" spans="1:13" x14ac:dyDescent="0.25">
      <c r="A117" s="75">
        <f t="shared" si="1"/>
        <v>116</v>
      </c>
      <c r="B117" t="s">
        <v>13</v>
      </c>
      <c r="C117" t="s">
        <v>60</v>
      </c>
      <c r="D117" t="s">
        <v>250</v>
      </c>
      <c r="E117" t="s">
        <v>75</v>
      </c>
      <c r="G117" t="s">
        <v>63</v>
      </c>
      <c r="H117" s="75" t="str">
        <f>IFERROR(VLOOKUP(Table2[[#This Row],[Ticket]],Okey!A:B,2,0),"")</f>
        <v>ok</v>
      </c>
      <c r="I117" t="s">
        <v>19</v>
      </c>
      <c r="J117" t="str">
        <f>VLOOKUP(Table2[[#This Row],[Author]],People!A:B,2,0)</f>
        <v>MGF</v>
      </c>
      <c r="M117" t="s">
        <v>40</v>
      </c>
    </row>
    <row r="118" spans="1:13" x14ac:dyDescent="0.25">
      <c r="A118" s="75">
        <f t="shared" si="1"/>
        <v>117</v>
      </c>
      <c r="B118" t="s">
        <v>13</v>
      </c>
      <c r="C118" t="s">
        <v>60</v>
      </c>
      <c r="D118" t="s">
        <v>251</v>
      </c>
      <c r="E118" t="s">
        <v>77</v>
      </c>
      <c r="G118" t="s">
        <v>63</v>
      </c>
      <c r="H118" s="75" t="str">
        <f>IFERROR(VLOOKUP(Table2[[#This Row],[Ticket]],Okey!A:B,2,0),"")</f>
        <v>ok</v>
      </c>
      <c r="I118" t="s">
        <v>19</v>
      </c>
      <c r="J118" t="str">
        <f>VLOOKUP(Table2[[#This Row],[Author]],People!A:B,2,0)</f>
        <v>MGF</v>
      </c>
      <c r="M118" t="s">
        <v>40</v>
      </c>
    </row>
    <row r="119" spans="1:13" x14ac:dyDescent="0.25">
      <c r="A119" s="75">
        <f t="shared" si="1"/>
        <v>118</v>
      </c>
      <c r="B119" t="s">
        <v>13</v>
      </c>
      <c r="C119" t="s">
        <v>60</v>
      </c>
      <c r="D119" t="s">
        <v>252</v>
      </c>
      <c r="E119" t="s">
        <v>79</v>
      </c>
      <c r="G119" t="s">
        <v>63</v>
      </c>
      <c r="H119" s="75" t="str">
        <f>IFERROR(VLOOKUP(Table2[[#This Row],[Ticket]],Okey!A:B,2,0),"")</f>
        <v>ok</v>
      </c>
      <c r="I119" t="s">
        <v>19</v>
      </c>
      <c r="J119" t="str">
        <f>VLOOKUP(Table2[[#This Row],[Author]],People!A:B,2,0)</f>
        <v>MGF</v>
      </c>
      <c r="M119" t="s">
        <v>40</v>
      </c>
    </row>
    <row r="120" spans="1:13" x14ac:dyDescent="0.25">
      <c r="A120" s="75">
        <f t="shared" si="1"/>
        <v>119</v>
      </c>
      <c r="B120" t="s">
        <v>13</v>
      </c>
      <c r="C120" t="s">
        <v>60</v>
      </c>
      <c r="D120" t="s">
        <v>253</v>
      </c>
      <c r="E120" t="s">
        <v>81</v>
      </c>
      <c r="G120" t="s">
        <v>63</v>
      </c>
      <c r="H120" s="75" t="str">
        <f>IFERROR(VLOOKUP(Table2[[#This Row],[Ticket]],Okey!A:B,2,0),"")</f>
        <v>ok</v>
      </c>
      <c r="I120" t="s">
        <v>19</v>
      </c>
      <c r="J120" t="str">
        <f>VLOOKUP(Table2[[#This Row],[Author]],People!A:B,2,0)</f>
        <v>MGF</v>
      </c>
      <c r="M120" t="s">
        <v>40</v>
      </c>
    </row>
    <row r="121" spans="1:13" x14ac:dyDescent="0.25">
      <c r="A121" s="75">
        <f t="shared" si="1"/>
        <v>120</v>
      </c>
      <c r="B121" t="s">
        <v>13</v>
      </c>
      <c r="C121" t="s">
        <v>60</v>
      </c>
      <c r="D121" t="s">
        <v>254</v>
      </c>
      <c r="E121" t="s">
        <v>83</v>
      </c>
      <c r="G121" t="s">
        <v>63</v>
      </c>
      <c r="H121" s="75" t="str">
        <f>IFERROR(VLOOKUP(Table2[[#This Row],[Ticket]],Okey!A:B,2,0),"")</f>
        <v>ok</v>
      </c>
      <c r="I121" t="s">
        <v>19</v>
      </c>
      <c r="J121" t="str">
        <f>VLOOKUP(Table2[[#This Row],[Author]],People!A:B,2,0)</f>
        <v>MGF</v>
      </c>
      <c r="M121" t="s">
        <v>40</v>
      </c>
    </row>
    <row r="122" spans="1:13" x14ac:dyDescent="0.25">
      <c r="A122" s="75">
        <f t="shared" si="1"/>
        <v>121</v>
      </c>
      <c r="B122" t="s">
        <v>13</v>
      </c>
      <c r="C122" t="s">
        <v>60</v>
      </c>
      <c r="D122" t="s">
        <v>255</v>
      </c>
      <c r="E122" t="s">
        <v>85</v>
      </c>
      <c r="G122" t="s">
        <v>63</v>
      </c>
      <c r="H122" s="75" t="str">
        <f>IFERROR(VLOOKUP(Table2[[#This Row],[Ticket]],Okey!A:B,2,0),"")</f>
        <v>ok</v>
      </c>
      <c r="I122" t="s">
        <v>19</v>
      </c>
      <c r="J122" t="str">
        <f>VLOOKUP(Table2[[#This Row],[Author]],People!A:B,2,0)</f>
        <v>MGF</v>
      </c>
      <c r="M122" t="s">
        <v>40</v>
      </c>
    </row>
    <row r="123" spans="1:13" x14ac:dyDescent="0.25">
      <c r="A123" s="75">
        <f t="shared" si="1"/>
        <v>122</v>
      </c>
      <c r="B123" t="s">
        <v>13</v>
      </c>
      <c r="C123" t="s">
        <v>60</v>
      </c>
      <c r="D123" t="s">
        <v>256</v>
      </c>
      <c r="E123" t="s">
        <v>87</v>
      </c>
      <c r="G123" t="s">
        <v>63</v>
      </c>
      <c r="H123" s="75" t="str">
        <f>IFERROR(VLOOKUP(Table2[[#This Row],[Ticket]],Okey!A:B,2,0),"")</f>
        <v>ok</v>
      </c>
      <c r="I123" t="s">
        <v>19</v>
      </c>
      <c r="J123" t="str">
        <f>VLOOKUP(Table2[[#This Row],[Author]],People!A:B,2,0)</f>
        <v>MGF</v>
      </c>
      <c r="M123" t="s">
        <v>40</v>
      </c>
    </row>
    <row r="124" spans="1:13" x14ac:dyDescent="0.25">
      <c r="A124" s="75">
        <f t="shared" si="1"/>
        <v>123</v>
      </c>
      <c r="B124" t="s">
        <v>13</v>
      </c>
      <c r="C124" t="s">
        <v>60</v>
      </c>
      <c r="D124" t="s">
        <v>257</v>
      </c>
      <c r="E124" t="s">
        <v>89</v>
      </c>
      <c r="G124" t="s">
        <v>63</v>
      </c>
      <c r="H124" s="75" t="str">
        <f>IFERROR(VLOOKUP(Table2[[#This Row],[Ticket]],Okey!A:B,2,0),"")</f>
        <v>ok</v>
      </c>
      <c r="I124" t="s">
        <v>19</v>
      </c>
      <c r="J124" t="str">
        <f>VLOOKUP(Table2[[#This Row],[Author]],People!A:B,2,0)</f>
        <v>MGF</v>
      </c>
      <c r="M124" t="s">
        <v>40</v>
      </c>
    </row>
    <row r="125" spans="1:13" x14ac:dyDescent="0.25">
      <c r="A125" s="75">
        <f t="shared" si="1"/>
        <v>124</v>
      </c>
      <c r="B125" t="s">
        <v>13</v>
      </c>
      <c r="C125" t="s">
        <v>60</v>
      </c>
      <c r="D125" t="s">
        <v>258</v>
      </c>
      <c r="E125" t="s">
        <v>91</v>
      </c>
      <c r="G125" t="s">
        <v>63</v>
      </c>
      <c r="H125" s="75" t="str">
        <f>IFERROR(VLOOKUP(Table2[[#This Row],[Ticket]],Okey!A:B,2,0),"")</f>
        <v>ok</v>
      </c>
      <c r="I125" t="s">
        <v>19</v>
      </c>
      <c r="J125" t="str">
        <f>VLOOKUP(Table2[[#This Row],[Author]],People!A:B,2,0)</f>
        <v>MGF</v>
      </c>
      <c r="M125" t="s">
        <v>40</v>
      </c>
    </row>
    <row r="126" spans="1:13" x14ac:dyDescent="0.25">
      <c r="A126" s="75">
        <f t="shared" si="1"/>
        <v>125</v>
      </c>
      <c r="B126" t="s">
        <v>13</v>
      </c>
      <c r="C126" t="s">
        <v>60</v>
      </c>
      <c r="D126" t="s">
        <v>39</v>
      </c>
      <c r="E126" t="s">
        <v>93</v>
      </c>
      <c r="G126" t="s">
        <v>63</v>
      </c>
      <c r="H126" s="75" t="str">
        <f>IFERROR(VLOOKUP(Table2[[#This Row],[Ticket]],Okey!A:B,2,0),"")</f>
        <v>ok</v>
      </c>
      <c r="I126" t="s">
        <v>19</v>
      </c>
      <c r="J126" t="str">
        <f>VLOOKUP(Table2[[#This Row],[Author]],People!A:B,2,0)</f>
        <v>MGF</v>
      </c>
      <c r="M126" t="s">
        <v>40</v>
      </c>
    </row>
    <row r="127" spans="1:13" x14ac:dyDescent="0.25">
      <c r="A127" s="75">
        <f t="shared" si="1"/>
        <v>126</v>
      </c>
      <c r="B127" t="s">
        <v>13</v>
      </c>
      <c r="C127" t="s">
        <v>60</v>
      </c>
      <c r="D127" t="s">
        <v>259</v>
      </c>
      <c r="E127" t="s">
        <v>95</v>
      </c>
      <c r="G127" t="s">
        <v>63</v>
      </c>
      <c r="H127" s="75" t="str">
        <f>IFERROR(VLOOKUP(Table2[[#This Row],[Ticket]],Okey!A:B,2,0),"")</f>
        <v>ok</v>
      </c>
      <c r="I127" t="s">
        <v>19</v>
      </c>
      <c r="J127" t="str">
        <f>VLOOKUP(Table2[[#This Row],[Author]],People!A:B,2,0)</f>
        <v>MGF</v>
      </c>
      <c r="M127" t="s">
        <v>40</v>
      </c>
    </row>
    <row r="128" spans="1:13" x14ac:dyDescent="0.25">
      <c r="A128" s="75">
        <f t="shared" si="1"/>
        <v>127</v>
      </c>
      <c r="B128" t="s">
        <v>13</v>
      </c>
      <c r="C128" t="s">
        <v>60</v>
      </c>
      <c r="D128" t="s">
        <v>260</v>
      </c>
      <c r="E128" t="s">
        <v>97</v>
      </c>
      <c r="G128" t="s">
        <v>63</v>
      </c>
      <c r="H128" s="75" t="str">
        <f>IFERROR(VLOOKUP(Table2[[#This Row],[Ticket]],Okey!A:B,2,0),"")</f>
        <v>ok</v>
      </c>
      <c r="I128" t="s">
        <v>19</v>
      </c>
      <c r="J128" t="str">
        <f>VLOOKUP(Table2[[#This Row],[Author]],People!A:B,2,0)</f>
        <v>MGF</v>
      </c>
      <c r="M128" t="s">
        <v>40</v>
      </c>
    </row>
    <row r="129" spans="1:13" x14ac:dyDescent="0.25">
      <c r="A129" s="75">
        <f t="shared" si="1"/>
        <v>128</v>
      </c>
      <c r="B129" t="s">
        <v>13</v>
      </c>
      <c r="C129" t="s">
        <v>60</v>
      </c>
      <c r="D129" t="s">
        <v>261</v>
      </c>
      <c r="E129" t="s">
        <v>99</v>
      </c>
      <c r="G129" t="s">
        <v>63</v>
      </c>
      <c r="H129" s="75" t="str">
        <f>IFERROR(VLOOKUP(Table2[[#This Row],[Ticket]],Okey!A:B,2,0),"")</f>
        <v>ok</v>
      </c>
      <c r="I129" t="s">
        <v>19</v>
      </c>
      <c r="J129" t="str">
        <f>VLOOKUP(Table2[[#This Row],[Author]],People!A:B,2,0)</f>
        <v>MGF</v>
      </c>
      <c r="M129" t="s">
        <v>40</v>
      </c>
    </row>
    <row r="130" spans="1:13" x14ac:dyDescent="0.25">
      <c r="A130" s="75">
        <f t="shared" si="1"/>
        <v>129</v>
      </c>
      <c r="B130" t="s">
        <v>13</v>
      </c>
      <c r="C130" t="s">
        <v>60</v>
      </c>
      <c r="D130" t="s">
        <v>262</v>
      </c>
      <c r="E130" t="s">
        <v>101</v>
      </c>
      <c r="G130" t="s">
        <v>63</v>
      </c>
      <c r="H130" s="75" t="str">
        <f>IFERROR(VLOOKUP(Table2[[#This Row],[Ticket]],Okey!A:B,2,0),"")</f>
        <v>ok</v>
      </c>
      <c r="I130" t="s">
        <v>19</v>
      </c>
      <c r="J130" t="str">
        <f>VLOOKUP(Table2[[#This Row],[Author]],People!A:B,2,0)</f>
        <v>MGF</v>
      </c>
      <c r="M130" t="s">
        <v>40</v>
      </c>
    </row>
    <row r="131" spans="1:13" x14ac:dyDescent="0.25">
      <c r="A131" s="75">
        <f t="shared" si="1"/>
        <v>130</v>
      </c>
      <c r="B131" t="s">
        <v>13</v>
      </c>
      <c r="C131" t="s">
        <v>60</v>
      </c>
      <c r="D131" t="s">
        <v>263</v>
      </c>
      <c r="E131" t="s">
        <v>103</v>
      </c>
      <c r="G131" t="s">
        <v>63</v>
      </c>
      <c r="H131" s="75" t="str">
        <f>IFERROR(VLOOKUP(Table2[[#This Row],[Ticket]],Okey!A:B,2,0),"")</f>
        <v>ok</v>
      </c>
      <c r="I131" t="s">
        <v>19</v>
      </c>
      <c r="J131" t="str">
        <f>VLOOKUP(Table2[[#This Row],[Author]],People!A:B,2,0)</f>
        <v>MGF</v>
      </c>
      <c r="M131" t="s">
        <v>40</v>
      </c>
    </row>
    <row r="132" spans="1:13" x14ac:dyDescent="0.25">
      <c r="A132" s="75">
        <f t="shared" si="1"/>
        <v>131</v>
      </c>
      <c r="B132" t="s">
        <v>13</v>
      </c>
      <c r="C132" t="s">
        <v>60</v>
      </c>
      <c r="D132" t="s">
        <v>264</v>
      </c>
      <c r="E132" t="s">
        <v>105</v>
      </c>
      <c r="G132" t="s">
        <v>63</v>
      </c>
      <c r="H132" s="75" t="str">
        <f>IFERROR(VLOOKUP(Table2[[#This Row],[Ticket]],Okey!A:B,2,0),"")</f>
        <v>ok</v>
      </c>
      <c r="I132" t="s">
        <v>19</v>
      </c>
      <c r="J132" t="str">
        <f>VLOOKUP(Table2[[#This Row],[Author]],People!A:B,2,0)</f>
        <v>MGF</v>
      </c>
      <c r="M132" t="s">
        <v>40</v>
      </c>
    </row>
    <row r="133" spans="1:13" x14ac:dyDescent="0.25">
      <c r="A133" s="75">
        <f t="shared" si="1"/>
        <v>132</v>
      </c>
      <c r="B133" t="s">
        <v>13</v>
      </c>
      <c r="C133" t="s">
        <v>60</v>
      </c>
      <c r="D133" t="s">
        <v>265</v>
      </c>
      <c r="E133" t="s">
        <v>107</v>
      </c>
      <c r="G133" t="s">
        <v>63</v>
      </c>
      <c r="H133" s="75" t="str">
        <f>IFERROR(VLOOKUP(Table2[[#This Row],[Ticket]],Okey!A:B,2,0),"")</f>
        <v>ok</v>
      </c>
      <c r="I133" t="s">
        <v>19</v>
      </c>
      <c r="J133" t="str">
        <f>VLOOKUP(Table2[[#This Row],[Author]],People!A:B,2,0)</f>
        <v>MGF</v>
      </c>
      <c r="M133" t="s">
        <v>40</v>
      </c>
    </row>
    <row r="134" spans="1:13" x14ac:dyDescent="0.25">
      <c r="A134" s="75">
        <f t="shared" si="1"/>
        <v>133</v>
      </c>
      <c r="B134" t="s">
        <v>13</v>
      </c>
      <c r="C134" t="s">
        <v>60</v>
      </c>
      <c r="D134" t="s">
        <v>266</v>
      </c>
      <c r="E134" t="s">
        <v>109</v>
      </c>
      <c r="G134" t="s">
        <v>63</v>
      </c>
      <c r="H134" s="75" t="str">
        <f>IFERROR(VLOOKUP(Table2[[#This Row],[Ticket]],Okey!A:B,2,0),"")</f>
        <v>ok</v>
      </c>
      <c r="I134" t="s">
        <v>19</v>
      </c>
      <c r="J134" t="str">
        <f>VLOOKUP(Table2[[#This Row],[Author]],People!A:B,2,0)</f>
        <v>MGF</v>
      </c>
      <c r="M134" t="s">
        <v>40</v>
      </c>
    </row>
    <row r="135" spans="1:13" x14ac:dyDescent="0.25">
      <c r="A135" s="75">
        <f t="shared" si="1"/>
        <v>134</v>
      </c>
      <c r="B135" t="s">
        <v>13</v>
      </c>
      <c r="C135" t="s">
        <v>60</v>
      </c>
      <c r="D135" t="s">
        <v>267</v>
      </c>
      <c r="E135" t="s">
        <v>111</v>
      </c>
      <c r="G135" t="s">
        <v>63</v>
      </c>
      <c r="H135" s="75" t="str">
        <f>IFERROR(VLOOKUP(Table2[[#This Row],[Ticket]],Okey!A:B,2,0),"")</f>
        <v>ok</v>
      </c>
      <c r="I135" t="s">
        <v>19</v>
      </c>
      <c r="J135" t="str">
        <f>VLOOKUP(Table2[[#This Row],[Author]],People!A:B,2,0)</f>
        <v>MGF</v>
      </c>
      <c r="M135" t="s">
        <v>40</v>
      </c>
    </row>
    <row r="136" spans="1:13" x14ac:dyDescent="0.25">
      <c r="A136" s="75">
        <f t="shared" si="1"/>
        <v>135</v>
      </c>
      <c r="B136" t="s">
        <v>13</v>
      </c>
      <c r="C136" t="s">
        <v>60</v>
      </c>
      <c r="D136" t="s">
        <v>268</v>
      </c>
      <c r="E136" t="s">
        <v>113</v>
      </c>
      <c r="G136" t="s">
        <v>63</v>
      </c>
      <c r="H136" s="75" t="str">
        <f>IFERROR(VLOOKUP(Table2[[#This Row],[Ticket]],Okey!A:B,2,0),"")</f>
        <v>ok</v>
      </c>
      <c r="I136" t="s">
        <v>19</v>
      </c>
      <c r="J136" t="str">
        <f>VLOOKUP(Table2[[#This Row],[Author]],People!A:B,2,0)</f>
        <v>MGF</v>
      </c>
      <c r="M136" t="s">
        <v>40</v>
      </c>
    </row>
    <row r="137" spans="1:13" x14ac:dyDescent="0.25">
      <c r="A137" s="75">
        <f t="shared" ref="A137:A200" si="2">1+A136</f>
        <v>136</v>
      </c>
      <c r="B137" t="s">
        <v>13</v>
      </c>
      <c r="C137" t="s">
        <v>60</v>
      </c>
      <c r="D137" t="s">
        <v>269</v>
      </c>
      <c r="E137" t="s">
        <v>115</v>
      </c>
      <c r="G137" t="s">
        <v>63</v>
      </c>
      <c r="H137" s="75" t="str">
        <f>IFERROR(VLOOKUP(Table2[[#This Row],[Ticket]],Okey!A:B,2,0),"")</f>
        <v>ok</v>
      </c>
      <c r="I137" t="s">
        <v>19</v>
      </c>
      <c r="J137" t="str">
        <f>VLOOKUP(Table2[[#This Row],[Author]],People!A:B,2,0)</f>
        <v>MGF</v>
      </c>
      <c r="M137" t="s">
        <v>40</v>
      </c>
    </row>
    <row r="138" spans="1:13" x14ac:dyDescent="0.25">
      <c r="A138" s="75">
        <f t="shared" si="2"/>
        <v>137</v>
      </c>
      <c r="B138" t="s">
        <v>13</v>
      </c>
      <c r="C138" t="s">
        <v>60</v>
      </c>
      <c r="D138" t="s">
        <v>270</v>
      </c>
      <c r="E138" t="s">
        <v>117</v>
      </c>
      <c r="G138" t="s">
        <v>63</v>
      </c>
      <c r="H138" s="75" t="str">
        <f>IFERROR(VLOOKUP(Table2[[#This Row],[Ticket]],Okey!A:B,2,0),"")</f>
        <v>ok</v>
      </c>
      <c r="I138" t="s">
        <v>19</v>
      </c>
      <c r="J138" t="str">
        <f>VLOOKUP(Table2[[#This Row],[Author]],People!A:B,2,0)</f>
        <v>MGF</v>
      </c>
      <c r="M138" t="s">
        <v>40</v>
      </c>
    </row>
    <row r="139" spans="1:13" x14ac:dyDescent="0.25">
      <c r="A139" s="75">
        <f t="shared" si="2"/>
        <v>138</v>
      </c>
      <c r="B139" t="s">
        <v>13</v>
      </c>
      <c r="C139" t="s">
        <v>60</v>
      </c>
      <c r="D139" t="s">
        <v>271</v>
      </c>
      <c r="E139" t="s">
        <v>119</v>
      </c>
      <c r="G139" t="s">
        <v>63</v>
      </c>
      <c r="H139" s="75" t="str">
        <f>IFERROR(VLOOKUP(Table2[[#This Row],[Ticket]],Okey!A:B,2,0),"")</f>
        <v>ok</v>
      </c>
      <c r="I139" t="s">
        <v>19</v>
      </c>
      <c r="J139" t="str">
        <f>VLOOKUP(Table2[[#This Row],[Author]],People!A:B,2,0)</f>
        <v>MGF</v>
      </c>
      <c r="M139" t="s">
        <v>40</v>
      </c>
    </row>
    <row r="140" spans="1:13" x14ac:dyDescent="0.25">
      <c r="A140" s="75">
        <f t="shared" si="2"/>
        <v>139</v>
      </c>
      <c r="B140" t="s">
        <v>13</v>
      </c>
      <c r="C140" t="s">
        <v>60</v>
      </c>
      <c r="D140" t="s">
        <v>43</v>
      </c>
      <c r="E140" t="s">
        <v>121</v>
      </c>
      <c r="G140" t="s">
        <v>63</v>
      </c>
      <c r="H140" s="75" t="str">
        <f>IFERROR(VLOOKUP(Table2[[#This Row],[Ticket]],Okey!A:B,2,0),"")</f>
        <v>ok</v>
      </c>
      <c r="I140" t="s">
        <v>19</v>
      </c>
      <c r="J140" t="str">
        <f>VLOOKUP(Table2[[#This Row],[Author]],People!A:B,2,0)</f>
        <v>MGF</v>
      </c>
      <c r="M140" t="s">
        <v>40</v>
      </c>
    </row>
    <row r="141" spans="1:13" x14ac:dyDescent="0.25">
      <c r="A141" s="75">
        <f t="shared" si="2"/>
        <v>140</v>
      </c>
      <c r="B141" t="s">
        <v>13</v>
      </c>
      <c r="C141" t="s">
        <v>60</v>
      </c>
      <c r="D141" t="s">
        <v>272</v>
      </c>
      <c r="E141" t="s">
        <v>123</v>
      </c>
      <c r="G141" t="s">
        <v>63</v>
      </c>
      <c r="H141" s="75" t="str">
        <f>IFERROR(VLOOKUP(Table2[[#This Row],[Ticket]],Okey!A:B,2,0),"")</f>
        <v>ok</v>
      </c>
      <c r="I141" t="s">
        <v>19</v>
      </c>
      <c r="J141" t="str">
        <f>VLOOKUP(Table2[[#This Row],[Author]],People!A:B,2,0)</f>
        <v>MGF</v>
      </c>
      <c r="M141" t="s">
        <v>40</v>
      </c>
    </row>
    <row r="142" spans="1:13" x14ac:dyDescent="0.25">
      <c r="A142" s="75">
        <f t="shared" si="2"/>
        <v>141</v>
      </c>
      <c r="B142" t="s">
        <v>13</v>
      </c>
      <c r="C142" t="s">
        <v>60</v>
      </c>
      <c r="D142" t="s">
        <v>273</v>
      </c>
      <c r="E142" t="s">
        <v>125</v>
      </c>
      <c r="G142" t="s">
        <v>63</v>
      </c>
      <c r="H142" s="75" t="str">
        <f>IFERROR(VLOOKUP(Table2[[#This Row],[Ticket]],Okey!A:B,2,0),"")</f>
        <v>ok</v>
      </c>
      <c r="I142" t="s">
        <v>19</v>
      </c>
      <c r="J142" t="str">
        <f>VLOOKUP(Table2[[#This Row],[Author]],People!A:B,2,0)</f>
        <v>MGF</v>
      </c>
      <c r="M142" t="s">
        <v>40</v>
      </c>
    </row>
    <row r="143" spans="1:13" x14ac:dyDescent="0.25">
      <c r="A143" s="75">
        <f t="shared" si="2"/>
        <v>142</v>
      </c>
      <c r="B143" t="s">
        <v>13</v>
      </c>
      <c r="C143" t="s">
        <v>60</v>
      </c>
      <c r="D143" t="s">
        <v>274</v>
      </c>
      <c r="E143" t="s">
        <v>127</v>
      </c>
      <c r="G143" t="s">
        <v>63</v>
      </c>
      <c r="H143" s="75" t="str">
        <f>IFERROR(VLOOKUP(Table2[[#This Row],[Ticket]],Okey!A:B,2,0),"")</f>
        <v>ok</v>
      </c>
      <c r="I143" t="s">
        <v>19</v>
      </c>
      <c r="J143" t="str">
        <f>VLOOKUP(Table2[[#This Row],[Author]],People!A:B,2,0)</f>
        <v>MGF</v>
      </c>
      <c r="M143" t="s">
        <v>40</v>
      </c>
    </row>
    <row r="144" spans="1:13" x14ac:dyDescent="0.25">
      <c r="A144" s="75">
        <f t="shared" si="2"/>
        <v>143</v>
      </c>
      <c r="B144" t="s">
        <v>13</v>
      </c>
      <c r="C144" t="s">
        <v>60</v>
      </c>
      <c r="D144" t="s">
        <v>275</v>
      </c>
      <c r="E144" t="s">
        <v>129</v>
      </c>
      <c r="G144" t="s">
        <v>63</v>
      </c>
      <c r="H144" s="75" t="str">
        <f>IFERROR(VLOOKUP(Table2[[#This Row],[Ticket]],Okey!A:B,2,0),"")</f>
        <v>ok</v>
      </c>
      <c r="I144" t="s">
        <v>19</v>
      </c>
      <c r="J144" t="str">
        <f>VLOOKUP(Table2[[#This Row],[Author]],People!A:B,2,0)</f>
        <v>MGF</v>
      </c>
      <c r="M144" t="s">
        <v>40</v>
      </c>
    </row>
    <row r="145" spans="1:13" x14ac:dyDescent="0.25">
      <c r="A145" s="75">
        <f t="shared" si="2"/>
        <v>144</v>
      </c>
      <c r="B145" t="s">
        <v>13</v>
      </c>
      <c r="C145" t="s">
        <v>60</v>
      </c>
      <c r="D145" t="s">
        <v>276</v>
      </c>
      <c r="E145" t="s">
        <v>131</v>
      </c>
      <c r="G145" t="s">
        <v>63</v>
      </c>
      <c r="H145" s="75" t="str">
        <f>IFERROR(VLOOKUP(Table2[[#This Row],[Ticket]],Okey!A:B,2,0),"")</f>
        <v>ok</v>
      </c>
      <c r="I145" t="s">
        <v>19</v>
      </c>
      <c r="J145" t="str">
        <f>VLOOKUP(Table2[[#This Row],[Author]],People!A:B,2,0)</f>
        <v>MGF</v>
      </c>
      <c r="M145" t="s">
        <v>40</v>
      </c>
    </row>
    <row r="146" spans="1:13" x14ac:dyDescent="0.25">
      <c r="A146" s="75">
        <f t="shared" si="2"/>
        <v>145</v>
      </c>
      <c r="B146" t="s">
        <v>13</v>
      </c>
      <c r="C146" t="s">
        <v>60</v>
      </c>
      <c r="D146" t="s">
        <v>277</v>
      </c>
      <c r="E146" t="s">
        <v>133</v>
      </c>
      <c r="G146" t="s">
        <v>63</v>
      </c>
      <c r="H146" s="75" t="str">
        <f>IFERROR(VLOOKUP(Table2[[#This Row],[Ticket]],Okey!A:B,2,0),"")</f>
        <v>ok</v>
      </c>
      <c r="I146" t="s">
        <v>19</v>
      </c>
      <c r="J146" t="str">
        <f>VLOOKUP(Table2[[#This Row],[Author]],People!A:B,2,0)</f>
        <v>MGF</v>
      </c>
      <c r="M146" t="s">
        <v>40</v>
      </c>
    </row>
    <row r="147" spans="1:13" x14ac:dyDescent="0.25">
      <c r="A147" s="75">
        <f t="shared" si="2"/>
        <v>146</v>
      </c>
      <c r="B147" t="s">
        <v>13</v>
      </c>
      <c r="C147" t="s">
        <v>60</v>
      </c>
      <c r="D147" t="s">
        <v>278</v>
      </c>
      <c r="E147" t="s">
        <v>135</v>
      </c>
      <c r="G147" t="s">
        <v>63</v>
      </c>
      <c r="H147" s="75" t="str">
        <f>IFERROR(VLOOKUP(Table2[[#This Row],[Ticket]],Okey!A:B,2,0),"")</f>
        <v>ok</v>
      </c>
      <c r="I147" t="s">
        <v>19</v>
      </c>
      <c r="J147" t="str">
        <f>VLOOKUP(Table2[[#This Row],[Author]],People!A:B,2,0)</f>
        <v>MGF</v>
      </c>
      <c r="M147" t="s">
        <v>40</v>
      </c>
    </row>
    <row r="148" spans="1:13" x14ac:dyDescent="0.25">
      <c r="A148" s="75">
        <f t="shared" si="2"/>
        <v>147</v>
      </c>
      <c r="B148" t="s">
        <v>13</v>
      </c>
      <c r="C148" t="s">
        <v>60</v>
      </c>
      <c r="D148" t="s">
        <v>279</v>
      </c>
      <c r="E148" t="s">
        <v>137</v>
      </c>
      <c r="G148" t="s">
        <v>63</v>
      </c>
      <c r="H148" s="75" t="str">
        <f>IFERROR(VLOOKUP(Table2[[#This Row],[Ticket]],Okey!A:B,2,0),"")</f>
        <v>ok</v>
      </c>
      <c r="I148" t="s">
        <v>19</v>
      </c>
      <c r="J148" t="str">
        <f>VLOOKUP(Table2[[#This Row],[Author]],People!A:B,2,0)</f>
        <v>MGF</v>
      </c>
      <c r="M148" t="s">
        <v>40</v>
      </c>
    </row>
    <row r="149" spans="1:13" x14ac:dyDescent="0.25">
      <c r="A149" s="75">
        <f t="shared" si="2"/>
        <v>148</v>
      </c>
      <c r="B149" t="s">
        <v>13</v>
      </c>
      <c r="C149" t="s">
        <v>60</v>
      </c>
      <c r="D149" t="s">
        <v>280</v>
      </c>
      <c r="E149" t="s">
        <v>139</v>
      </c>
      <c r="G149" t="s">
        <v>63</v>
      </c>
      <c r="H149" s="75" t="str">
        <f>IFERROR(VLOOKUP(Table2[[#This Row],[Ticket]],Okey!A:B,2,0),"")</f>
        <v>ok</v>
      </c>
      <c r="I149" t="s">
        <v>19</v>
      </c>
      <c r="J149" t="str">
        <f>VLOOKUP(Table2[[#This Row],[Author]],People!A:B,2,0)</f>
        <v>MGF</v>
      </c>
      <c r="M149" t="s">
        <v>40</v>
      </c>
    </row>
    <row r="150" spans="1:13" x14ac:dyDescent="0.25">
      <c r="A150" s="75">
        <f t="shared" si="2"/>
        <v>149</v>
      </c>
      <c r="B150" t="s">
        <v>13</v>
      </c>
      <c r="C150" t="s">
        <v>60</v>
      </c>
      <c r="D150" t="s">
        <v>281</v>
      </c>
      <c r="E150" t="s">
        <v>141</v>
      </c>
      <c r="G150" t="s">
        <v>63</v>
      </c>
      <c r="H150" s="75" t="str">
        <f>IFERROR(VLOOKUP(Table2[[#This Row],[Ticket]],Okey!A:B,2,0),"")</f>
        <v>ok</v>
      </c>
      <c r="I150" t="s">
        <v>19</v>
      </c>
      <c r="J150" t="str">
        <f>VLOOKUP(Table2[[#This Row],[Author]],People!A:B,2,0)</f>
        <v>MGF</v>
      </c>
      <c r="M150" t="s">
        <v>40</v>
      </c>
    </row>
    <row r="151" spans="1:13" x14ac:dyDescent="0.25">
      <c r="A151" s="75">
        <f t="shared" si="2"/>
        <v>150</v>
      </c>
      <c r="B151" t="s">
        <v>13</v>
      </c>
      <c r="C151" t="s">
        <v>60</v>
      </c>
      <c r="D151" t="s">
        <v>282</v>
      </c>
      <c r="E151" t="s">
        <v>143</v>
      </c>
      <c r="G151" t="s">
        <v>63</v>
      </c>
      <c r="H151" s="75" t="str">
        <f>IFERROR(VLOOKUP(Table2[[#This Row],[Ticket]],Okey!A:B,2,0),"")</f>
        <v>ok</v>
      </c>
      <c r="I151" t="s">
        <v>19</v>
      </c>
      <c r="J151" t="str">
        <f>VLOOKUP(Table2[[#This Row],[Author]],People!A:B,2,0)</f>
        <v>MGF</v>
      </c>
      <c r="M151" t="s">
        <v>40</v>
      </c>
    </row>
    <row r="152" spans="1:13" x14ac:dyDescent="0.25">
      <c r="A152" s="75">
        <f t="shared" si="2"/>
        <v>151</v>
      </c>
      <c r="B152" t="s">
        <v>13</v>
      </c>
      <c r="C152" t="s">
        <v>60</v>
      </c>
      <c r="D152" t="s">
        <v>283</v>
      </c>
      <c r="E152" t="s">
        <v>145</v>
      </c>
      <c r="G152" t="s">
        <v>63</v>
      </c>
      <c r="H152" s="75" t="str">
        <f>IFERROR(VLOOKUP(Table2[[#This Row],[Ticket]],Okey!A:B,2,0),"")</f>
        <v>ok</v>
      </c>
      <c r="I152" t="s">
        <v>19</v>
      </c>
      <c r="J152" t="str">
        <f>VLOOKUP(Table2[[#This Row],[Author]],People!A:B,2,0)</f>
        <v>MGF</v>
      </c>
      <c r="M152" t="s">
        <v>40</v>
      </c>
    </row>
    <row r="153" spans="1:13" x14ac:dyDescent="0.25">
      <c r="A153" s="75">
        <f t="shared" si="2"/>
        <v>152</v>
      </c>
      <c r="B153" t="s">
        <v>13</v>
      </c>
      <c r="C153" t="s">
        <v>60</v>
      </c>
      <c r="D153" t="s">
        <v>284</v>
      </c>
      <c r="E153" t="s">
        <v>147</v>
      </c>
      <c r="G153" t="s">
        <v>63</v>
      </c>
      <c r="H153" s="75" t="str">
        <f>IFERROR(VLOOKUP(Table2[[#This Row],[Ticket]],Okey!A:B,2,0),"")</f>
        <v>ok</v>
      </c>
      <c r="I153" t="s">
        <v>19</v>
      </c>
      <c r="J153" t="str">
        <f>VLOOKUP(Table2[[#This Row],[Author]],People!A:B,2,0)</f>
        <v>MGF</v>
      </c>
      <c r="M153" t="s">
        <v>40</v>
      </c>
    </row>
    <row r="154" spans="1:13" x14ac:dyDescent="0.25">
      <c r="A154" s="75">
        <f t="shared" si="2"/>
        <v>153</v>
      </c>
      <c r="B154" t="s">
        <v>13</v>
      </c>
      <c r="C154" t="s">
        <v>60</v>
      </c>
      <c r="D154" t="s">
        <v>285</v>
      </c>
      <c r="E154" t="s">
        <v>149</v>
      </c>
      <c r="G154" t="s">
        <v>63</v>
      </c>
      <c r="H154" s="75" t="str">
        <f>IFERROR(VLOOKUP(Table2[[#This Row],[Ticket]],Okey!A:B,2,0),"")</f>
        <v>ok</v>
      </c>
      <c r="I154" t="s">
        <v>19</v>
      </c>
      <c r="J154" t="str">
        <f>VLOOKUP(Table2[[#This Row],[Author]],People!A:B,2,0)</f>
        <v>MGF</v>
      </c>
      <c r="M154" t="s">
        <v>40</v>
      </c>
    </row>
    <row r="155" spans="1:13" x14ac:dyDescent="0.25">
      <c r="A155" s="75">
        <f t="shared" si="2"/>
        <v>154</v>
      </c>
      <c r="B155" t="s">
        <v>13</v>
      </c>
      <c r="C155" t="s">
        <v>60</v>
      </c>
      <c r="D155" t="s">
        <v>286</v>
      </c>
      <c r="E155" t="s">
        <v>151</v>
      </c>
      <c r="G155" t="s">
        <v>63</v>
      </c>
      <c r="H155" s="75" t="str">
        <f>IFERROR(VLOOKUP(Table2[[#This Row],[Ticket]],Okey!A:B,2,0),"")</f>
        <v>ok</v>
      </c>
      <c r="I155" t="s">
        <v>19</v>
      </c>
      <c r="J155" t="str">
        <f>VLOOKUP(Table2[[#This Row],[Author]],People!A:B,2,0)</f>
        <v>MGF</v>
      </c>
      <c r="M155" t="s">
        <v>40</v>
      </c>
    </row>
    <row r="156" spans="1:13" x14ac:dyDescent="0.25">
      <c r="A156" s="75">
        <f t="shared" si="2"/>
        <v>155</v>
      </c>
      <c r="B156" t="s">
        <v>13</v>
      </c>
      <c r="C156" t="s">
        <v>60</v>
      </c>
      <c r="D156" t="s">
        <v>287</v>
      </c>
      <c r="E156" t="s">
        <v>153</v>
      </c>
      <c r="G156" t="s">
        <v>63</v>
      </c>
      <c r="H156" s="75" t="str">
        <f>IFERROR(VLOOKUP(Table2[[#This Row],[Ticket]],Okey!A:B,2,0),"")</f>
        <v>ok</v>
      </c>
      <c r="I156" t="s">
        <v>19</v>
      </c>
      <c r="J156" t="str">
        <f>VLOOKUP(Table2[[#This Row],[Author]],People!A:B,2,0)</f>
        <v>MGF</v>
      </c>
      <c r="M156" t="s">
        <v>40</v>
      </c>
    </row>
    <row r="157" spans="1:13" x14ac:dyDescent="0.25">
      <c r="A157" s="75">
        <f t="shared" si="2"/>
        <v>156</v>
      </c>
      <c r="B157" t="s">
        <v>13</v>
      </c>
      <c r="C157" t="s">
        <v>60</v>
      </c>
      <c r="D157" t="s">
        <v>288</v>
      </c>
      <c r="E157" t="s">
        <v>155</v>
      </c>
      <c r="G157" t="s">
        <v>63</v>
      </c>
      <c r="H157" s="75" t="str">
        <f>IFERROR(VLOOKUP(Table2[[#This Row],[Ticket]],Okey!A:B,2,0),"")</f>
        <v>ok</v>
      </c>
      <c r="I157" t="s">
        <v>19</v>
      </c>
      <c r="J157" t="str">
        <f>VLOOKUP(Table2[[#This Row],[Author]],People!A:B,2,0)</f>
        <v>MGF</v>
      </c>
      <c r="M157" t="s">
        <v>40</v>
      </c>
    </row>
    <row r="158" spans="1:13" x14ac:dyDescent="0.25">
      <c r="A158" s="75">
        <f t="shared" si="2"/>
        <v>157</v>
      </c>
      <c r="B158" t="s">
        <v>13</v>
      </c>
      <c r="C158" t="s">
        <v>60</v>
      </c>
      <c r="D158" t="s">
        <v>49</v>
      </c>
      <c r="E158" t="s">
        <v>157</v>
      </c>
      <c r="G158" t="s">
        <v>63</v>
      </c>
      <c r="H158" s="75" t="str">
        <f>IFERROR(VLOOKUP(Table2[[#This Row],[Ticket]],Okey!A:B,2,0),"")</f>
        <v>ok</v>
      </c>
      <c r="I158" t="s">
        <v>19</v>
      </c>
      <c r="J158" t="str">
        <f>VLOOKUP(Table2[[#This Row],[Author]],People!A:B,2,0)</f>
        <v>MGF</v>
      </c>
      <c r="M158" t="s">
        <v>40</v>
      </c>
    </row>
    <row r="159" spans="1:13" x14ac:dyDescent="0.25">
      <c r="A159" s="75">
        <f t="shared" si="2"/>
        <v>158</v>
      </c>
      <c r="B159" t="s">
        <v>13</v>
      </c>
      <c r="C159" t="s">
        <v>60</v>
      </c>
      <c r="D159" t="s">
        <v>289</v>
      </c>
      <c r="E159" t="s">
        <v>159</v>
      </c>
      <c r="G159" t="s">
        <v>63</v>
      </c>
      <c r="H159" s="75" t="str">
        <f>IFERROR(VLOOKUP(Table2[[#This Row],[Ticket]],Okey!A:B,2,0),"")</f>
        <v>ok</v>
      </c>
      <c r="I159" t="s">
        <v>19</v>
      </c>
      <c r="J159" t="str">
        <f>VLOOKUP(Table2[[#This Row],[Author]],People!A:B,2,0)</f>
        <v>MGF</v>
      </c>
      <c r="M159" t="s">
        <v>40</v>
      </c>
    </row>
    <row r="160" spans="1:13" x14ac:dyDescent="0.25">
      <c r="A160" s="75">
        <f t="shared" si="2"/>
        <v>159</v>
      </c>
      <c r="B160" t="s">
        <v>13</v>
      </c>
      <c r="C160" t="s">
        <v>60</v>
      </c>
      <c r="D160" t="s">
        <v>290</v>
      </c>
      <c r="E160" t="s">
        <v>161</v>
      </c>
      <c r="G160" t="s">
        <v>63</v>
      </c>
      <c r="H160" s="75" t="str">
        <f>IFERROR(VLOOKUP(Table2[[#This Row],[Ticket]],Okey!A:B,2,0),"")</f>
        <v>ok</v>
      </c>
      <c r="I160" t="s">
        <v>19</v>
      </c>
      <c r="J160" t="str">
        <f>VLOOKUP(Table2[[#This Row],[Author]],People!A:B,2,0)</f>
        <v>MGF</v>
      </c>
      <c r="M160" t="s">
        <v>40</v>
      </c>
    </row>
    <row r="161" spans="1:13" x14ac:dyDescent="0.25">
      <c r="A161" s="75">
        <f t="shared" si="2"/>
        <v>160</v>
      </c>
      <c r="B161" t="s">
        <v>13</v>
      </c>
      <c r="C161" t="s">
        <v>60</v>
      </c>
      <c r="D161" t="s">
        <v>291</v>
      </c>
      <c r="E161" t="s">
        <v>163</v>
      </c>
      <c r="G161" t="s">
        <v>63</v>
      </c>
      <c r="H161" s="75" t="str">
        <f>IFERROR(VLOOKUP(Table2[[#This Row],[Ticket]],Okey!A:B,2,0),"")</f>
        <v>ok</v>
      </c>
      <c r="I161" t="s">
        <v>19</v>
      </c>
      <c r="J161" t="str">
        <f>VLOOKUP(Table2[[#This Row],[Author]],People!A:B,2,0)</f>
        <v>MGF</v>
      </c>
      <c r="M161" t="s">
        <v>40</v>
      </c>
    </row>
    <row r="162" spans="1:13" x14ac:dyDescent="0.25">
      <c r="A162" s="75">
        <f t="shared" si="2"/>
        <v>161</v>
      </c>
      <c r="B162" t="s">
        <v>13</v>
      </c>
      <c r="C162" t="s">
        <v>60</v>
      </c>
      <c r="D162" t="s">
        <v>292</v>
      </c>
      <c r="E162" t="s">
        <v>165</v>
      </c>
      <c r="G162" t="s">
        <v>63</v>
      </c>
      <c r="H162" s="75" t="str">
        <f>IFERROR(VLOOKUP(Table2[[#This Row],[Ticket]],Okey!A:B,2,0),"")</f>
        <v>ok</v>
      </c>
      <c r="I162" t="s">
        <v>19</v>
      </c>
      <c r="J162" t="str">
        <f>VLOOKUP(Table2[[#This Row],[Author]],People!A:B,2,0)</f>
        <v>MGF</v>
      </c>
      <c r="M162" t="s">
        <v>40</v>
      </c>
    </row>
    <row r="163" spans="1:13" x14ac:dyDescent="0.25">
      <c r="A163" s="75">
        <f t="shared" si="2"/>
        <v>162</v>
      </c>
      <c r="B163" t="s">
        <v>13</v>
      </c>
      <c r="C163" t="s">
        <v>60</v>
      </c>
      <c r="D163" t="s">
        <v>293</v>
      </c>
      <c r="E163" t="s">
        <v>167</v>
      </c>
      <c r="G163" t="s">
        <v>63</v>
      </c>
      <c r="H163" s="75" t="str">
        <f>IFERROR(VLOOKUP(Table2[[#This Row],[Ticket]],Okey!A:B,2,0),"")</f>
        <v>ok</v>
      </c>
      <c r="I163" t="s">
        <v>19</v>
      </c>
      <c r="J163" t="str">
        <f>VLOOKUP(Table2[[#This Row],[Author]],People!A:B,2,0)</f>
        <v>MGF</v>
      </c>
      <c r="M163" t="s">
        <v>40</v>
      </c>
    </row>
    <row r="164" spans="1:13" x14ac:dyDescent="0.25">
      <c r="A164" s="75">
        <f t="shared" si="2"/>
        <v>163</v>
      </c>
      <c r="B164" t="s">
        <v>13</v>
      </c>
      <c r="C164" t="s">
        <v>60</v>
      </c>
      <c r="D164" t="s">
        <v>294</v>
      </c>
      <c r="E164" t="s">
        <v>169</v>
      </c>
      <c r="G164" t="s">
        <v>63</v>
      </c>
      <c r="H164" s="75" t="str">
        <f>IFERROR(VLOOKUP(Table2[[#This Row],[Ticket]],Okey!A:B,2,0),"")</f>
        <v>ok</v>
      </c>
      <c r="I164" t="s">
        <v>19</v>
      </c>
      <c r="J164" t="str">
        <f>VLOOKUP(Table2[[#This Row],[Author]],People!A:B,2,0)</f>
        <v>MGF</v>
      </c>
      <c r="M164" t="s">
        <v>40</v>
      </c>
    </row>
    <row r="165" spans="1:13" x14ac:dyDescent="0.25">
      <c r="A165" s="75">
        <f t="shared" si="2"/>
        <v>164</v>
      </c>
      <c r="B165" t="s">
        <v>13</v>
      </c>
      <c r="C165" t="s">
        <v>60</v>
      </c>
      <c r="D165" t="s">
        <v>295</v>
      </c>
      <c r="E165" t="s">
        <v>171</v>
      </c>
      <c r="G165" t="s">
        <v>63</v>
      </c>
      <c r="H165" s="75" t="str">
        <f>IFERROR(VLOOKUP(Table2[[#This Row],[Ticket]],Okey!A:B,2,0),"")</f>
        <v>ok</v>
      </c>
      <c r="I165" t="s">
        <v>19</v>
      </c>
      <c r="J165" t="str">
        <f>VLOOKUP(Table2[[#This Row],[Author]],People!A:B,2,0)</f>
        <v>MGF</v>
      </c>
      <c r="M165" t="s">
        <v>40</v>
      </c>
    </row>
    <row r="166" spans="1:13" x14ac:dyDescent="0.25">
      <c r="A166" s="75">
        <f t="shared" si="2"/>
        <v>165</v>
      </c>
      <c r="B166" t="s">
        <v>13</v>
      </c>
      <c r="C166" t="s">
        <v>60</v>
      </c>
      <c r="D166" t="s">
        <v>296</v>
      </c>
      <c r="E166" t="s">
        <v>173</v>
      </c>
      <c r="G166" t="s">
        <v>63</v>
      </c>
      <c r="H166" s="75" t="str">
        <f>IFERROR(VLOOKUP(Table2[[#This Row],[Ticket]],Okey!A:B,2,0),"")</f>
        <v>ok</v>
      </c>
      <c r="I166" t="s">
        <v>19</v>
      </c>
      <c r="J166" t="str">
        <f>VLOOKUP(Table2[[#This Row],[Author]],People!A:B,2,0)</f>
        <v>MGF</v>
      </c>
      <c r="M166" t="s">
        <v>40</v>
      </c>
    </row>
    <row r="167" spans="1:13" x14ac:dyDescent="0.25">
      <c r="A167" s="75">
        <f t="shared" si="2"/>
        <v>166</v>
      </c>
      <c r="B167" t="s">
        <v>13</v>
      </c>
      <c r="C167" t="s">
        <v>60</v>
      </c>
      <c r="D167" t="s">
        <v>297</v>
      </c>
      <c r="E167" t="s">
        <v>175</v>
      </c>
      <c r="G167" t="s">
        <v>63</v>
      </c>
      <c r="H167" s="75" t="str">
        <f>IFERROR(VLOOKUP(Table2[[#This Row],[Ticket]],Okey!A:B,2,0),"")</f>
        <v>ok</v>
      </c>
      <c r="I167" t="s">
        <v>19</v>
      </c>
      <c r="J167" t="str">
        <f>VLOOKUP(Table2[[#This Row],[Author]],People!A:B,2,0)</f>
        <v>MGF</v>
      </c>
      <c r="M167" t="s">
        <v>40</v>
      </c>
    </row>
    <row r="168" spans="1:13" x14ac:dyDescent="0.25">
      <c r="A168" s="75">
        <f t="shared" si="2"/>
        <v>167</v>
      </c>
      <c r="B168" t="s">
        <v>13</v>
      </c>
      <c r="C168" t="s">
        <v>60</v>
      </c>
      <c r="D168" t="s">
        <v>298</v>
      </c>
      <c r="E168" t="s">
        <v>177</v>
      </c>
      <c r="G168" t="s">
        <v>63</v>
      </c>
      <c r="H168" s="75" t="str">
        <f>IFERROR(VLOOKUP(Table2[[#This Row],[Ticket]],Okey!A:B,2,0),"")</f>
        <v>ok</v>
      </c>
      <c r="I168" t="s">
        <v>19</v>
      </c>
      <c r="J168" t="str">
        <f>VLOOKUP(Table2[[#This Row],[Author]],People!A:B,2,0)</f>
        <v>MGF</v>
      </c>
      <c r="M168" t="s">
        <v>40</v>
      </c>
    </row>
    <row r="169" spans="1:13" x14ac:dyDescent="0.25">
      <c r="A169" s="75">
        <f t="shared" si="2"/>
        <v>168</v>
      </c>
      <c r="B169" t="s">
        <v>13</v>
      </c>
      <c r="C169" t="s">
        <v>60</v>
      </c>
      <c r="D169" t="s">
        <v>299</v>
      </c>
      <c r="E169" t="s">
        <v>179</v>
      </c>
      <c r="G169" t="s">
        <v>63</v>
      </c>
      <c r="H169" s="75" t="str">
        <f>IFERROR(VLOOKUP(Table2[[#This Row],[Ticket]],Okey!A:B,2,0),"")</f>
        <v>ok</v>
      </c>
      <c r="I169" t="s">
        <v>19</v>
      </c>
      <c r="J169" t="str">
        <f>VLOOKUP(Table2[[#This Row],[Author]],People!A:B,2,0)</f>
        <v>MGF</v>
      </c>
      <c r="M169" t="s">
        <v>40</v>
      </c>
    </row>
    <row r="170" spans="1:13" x14ac:dyDescent="0.25">
      <c r="A170" s="75">
        <f t="shared" si="2"/>
        <v>169</v>
      </c>
      <c r="B170" t="s">
        <v>13</v>
      </c>
      <c r="C170" t="s">
        <v>60</v>
      </c>
      <c r="D170" t="s">
        <v>300</v>
      </c>
      <c r="E170" t="s">
        <v>181</v>
      </c>
      <c r="G170" t="s">
        <v>63</v>
      </c>
      <c r="H170" s="75" t="str">
        <f>IFERROR(VLOOKUP(Table2[[#This Row],[Ticket]],Okey!A:B,2,0),"")</f>
        <v>ok</v>
      </c>
      <c r="I170" t="s">
        <v>19</v>
      </c>
      <c r="J170" t="str">
        <f>VLOOKUP(Table2[[#This Row],[Author]],People!A:B,2,0)</f>
        <v>MGF</v>
      </c>
      <c r="M170" t="s">
        <v>40</v>
      </c>
    </row>
    <row r="171" spans="1:13" x14ac:dyDescent="0.25">
      <c r="A171" s="75">
        <f t="shared" si="2"/>
        <v>170</v>
      </c>
      <c r="B171" t="s">
        <v>13</v>
      </c>
      <c r="C171" t="s">
        <v>60</v>
      </c>
      <c r="D171" t="s">
        <v>301</v>
      </c>
      <c r="E171" t="s">
        <v>183</v>
      </c>
      <c r="G171" t="s">
        <v>63</v>
      </c>
      <c r="H171" s="75" t="str">
        <f>IFERROR(VLOOKUP(Table2[[#This Row],[Ticket]],Okey!A:B,2,0),"")</f>
        <v>ok</v>
      </c>
      <c r="I171" t="s">
        <v>19</v>
      </c>
      <c r="J171" t="str">
        <f>VLOOKUP(Table2[[#This Row],[Author]],People!A:B,2,0)</f>
        <v>MGF</v>
      </c>
      <c r="M171" t="s">
        <v>40</v>
      </c>
    </row>
    <row r="172" spans="1:13" x14ac:dyDescent="0.25">
      <c r="A172" s="75">
        <f t="shared" si="2"/>
        <v>171</v>
      </c>
      <c r="B172" t="s">
        <v>13</v>
      </c>
      <c r="C172" t="s">
        <v>60</v>
      </c>
      <c r="D172" t="s">
        <v>302</v>
      </c>
      <c r="E172" t="s">
        <v>185</v>
      </c>
      <c r="G172" t="s">
        <v>63</v>
      </c>
      <c r="H172" s="75" t="str">
        <f>IFERROR(VLOOKUP(Table2[[#This Row],[Ticket]],Okey!A:B,2,0),"")</f>
        <v>ok</v>
      </c>
      <c r="I172" t="s">
        <v>19</v>
      </c>
      <c r="J172" t="str">
        <f>VLOOKUP(Table2[[#This Row],[Author]],People!A:B,2,0)</f>
        <v>MGF</v>
      </c>
      <c r="M172" t="s">
        <v>40</v>
      </c>
    </row>
    <row r="173" spans="1:13" x14ac:dyDescent="0.25">
      <c r="A173" s="75">
        <f t="shared" si="2"/>
        <v>172</v>
      </c>
      <c r="B173" t="s">
        <v>13</v>
      </c>
      <c r="C173" t="s">
        <v>60</v>
      </c>
      <c r="D173" t="s">
        <v>303</v>
      </c>
      <c r="E173" t="s">
        <v>187</v>
      </c>
      <c r="G173" t="s">
        <v>63</v>
      </c>
      <c r="H173" s="75" t="str">
        <f>IFERROR(VLOOKUP(Table2[[#This Row],[Ticket]],Okey!A:B,2,0),"")</f>
        <v>ok</v>
      </c>
      <c r="I173" t="s">
        <v>19</v>
      </c>
      <c r="J173" t="str">
        <f>VLOOKUP(Table2[[#This Row],[Author]],People!A:B,2,0)</f>
        <v>MGF</v>
      </c>
      <c r="M173" t="s">
        <v>40</v>
      </c>
    </row>
    <row r="174" spans="1:13" x14ac:dyDescent="0.25">
      <c r="A174" s="75">
        <f t="shared" si="2"/>
        <v>173</v>
      </c>
      <c r="B174" t="s">
        <v>13</v>
      </c>
      <c r="C174" t="s">
        <v>60</v>
      </c>
      <c r="D174" t="s">
        <v>304</v>
      </c>
      <c r="E174" t="s">
        <v>189</v>
      </c>
      <c r="G174" t="s">
        <v>63</v>
      </c>
      <c r="H174" s="75" t="str">
        <f>IFERROR(VLOOKUP(Table2[[#This Row],[Ticket]],Okey!A:B,2,0),"")</f>
        <v>ok</v>
      </c>
      <c r="I174" t="s">
        <v>19</v>
      </c>
      <c r="J174" t="str">
        <f>VLOOKUP(Table2[[#This Row],[Author]],People!A:B,2,0)</f>
        <v>MGF</v>
      </c>
      <c r="M174" t="s">
        <v>40</v>
      </c>
    </row>
    <row r="175" spans="1:13" x14ac:dyDescent="0.25">
      <c r="A175" s="75">
        <f t="shared" si="2"/>
        <v>174</v>
      </c>
      <c r="B175" t="s">
        <v>13</v>
      </c>
      <c r="C175" t="s">
        <v>60</v>
      </c>
      <c r="D175" t="s">
        <v>305</v>
      </c>
      <c r="E175" t="s">
        <v>191</v>
      </c>
      <c r="G175" t="s">
        <v>63</v>
      </c>
      <c r="H175" s="75" t="str">
        <f>IFERROR(VLOOKUP(Table2[[#This Row],[Ticket]],Okey!A:B,2,0),"")</f>
        <v>ok</v>
      </c>
      <c r="I175" t="s">
        <v>19</v>
      </c>
      <c r="J175" t="str">
        <f>VLOOKUP(Table2[[#This Row],[Author]],People!A:B,2,0)</f>
        <v>MGF</v>
      </c>
      <c r="M175" t="s">
        <v>40</v>
      </c>
    </row>
    <row r="176" spans="1:13" x14ac:dyDescent="0.25">
      <c r="A176" s="75">
        <f t="shared" si="2"/>
        <v>175</v>
      </c>
      <c r="B176" t="s">
        <v>13</v>
      </c>
      <c r="C176" t="s">
        <v>60</v>
      </c>
      <c r="D176" t="s">
        <v>306</v>
      </c>
      <c r="E176" t="s">
        <v>193</v>
      </c>
      <c r="G176" t="s">
        <v>63</v>
      </c>
      <c r="H176" s="75" t="str">
        <f>IFERROR(VLOOKUP(Table2[[#This Row],[Ticket]],Okey!A:B,2,0),"")</f>
        <v>ok</v>
      </c>
      <c r="I176" t="s">
        <v>19</v>
      </c>
      <c r="J176" t="str">
        <f>VLOOKUP(Table2[[#This Row],[Author]],People!A:B,2,0)</f>
        <v>MGF</v>
      </c>
      <c r="M176" t="s">
        <v>40</v>
      </c>
    </row>
    <row r="177" spans="1:13" x14ac:dyDescent="0.25">
      <c r="A177" s="75">
        <f t="shared" si="2"/>
        <v>176</v>
      </c>
      <c r="B177" t="s">
        <v>13</v>
      </c>
      <c r="C177" t="s">
        <v>60</v>
      </c>
      <c r="D177" t="s">
        <v>307</v>
      </c>
      <c r="E177" t="s">
        <v>195</v>
      </c>
      <c r="G177" t="s">
        <v>63</v>
      </c>
      <c r="H177" s="75" t="str">
        <f>IFERROR(VLOOKUP(Table2[[#This Row],[Ticket]],Okey!A:B,2,0),"")</f>
        <v>ok</v>
      </c>
      <c r="I177" t="s">
        <v>19</v>
      </c>
      <c r="J177" t="str">
        <f>VLOOKUP(Table2[[#This Row],[Author]],People!A:B,2,0)</f>
        <v>MGF</v>
      </c>
      <c r="M177" t="s">
        <v>40</v>
      </c>
    </row>
    <row r="178" spans="1:13" x14ac:dyDescent="0.25">
      <c r="A178" s="75">
        <f t="shared" si="2"/>
        <v>177</v>
      </c>
      <c r="B178" t="s">
        <v>13</v>
      </c>
      <c r="C178" t="s">
        <v>60</v>
      </c>
      <c r="D178" t="s">
        <v>308</v>
      </c>
      <c r="E178" t="s">
        <v>197</v>
      </c>
      <c r="G178" t="s">
        <v>63</v>
      </c>
      <c r="H178" s="75" t="str">
        <f>IFERROR(VLOOKUP(Table2[[#This Row],[Ticket]],Okey!A:B,2,0),"")</f>
        <v>ok</v>
      </c>
      <c r="I178" t="s">
        <v>19</v>
      </c>
      <c r="J178" t="str">
        <f>VLOOKUP(Table2[[#This Row],[Author]],People!A:B,2,0)</f>
        <v>MGF</v>
      </c>
      <c r="M178" t="s">
        <v>40</v>
      </c>
    </row>
    <row r="179" spans="1:13" x14ac:dyDescent="0.25">
      <c r="A179" s="75">
        <f t="shared" si="2"/>
        <v>178</v>
      </c>
      <c r="B179" t="s">
        <v>13</v>
      </c>
      <c r="C179" t="s">
        <v>60</v>
      </c>
      <c r="D179" t="s">
        <v>309</v>
      </c>
      <c r="E179" t="s">
        <v>199</v>
      </c>
      <c r="G179" t="s">
        <v>63</v>
      </c>
      <c r="H179" s="75" t="str">
        <f>IFERROR(VLOOKUP(Table2[[#This Row],[Ticket]],Okey!A:B,2,0),"")</f>
        <v>ok</v>
      </c>
      <c r="I179" t="s">
        <v>19</v>
      </c>
      <c r="J179" t="str">
        <f>VLOOKUP(Table2[[#This Row],[Author]],People!A:B,2,0)</f>
        <v>MGF</v>
      </c>
      <c r="M179" t="s">
        <v>40</v>
      </c>
    </row>
    <row r="180" spans="1:13" x14ac:dyDescent="0.25">
      <c r="A180" s="75">
        <f t="shared" si="2"/>
        <v>179</v>
      </c>
      <c r="B180" t="s">
        <v>13</v>
      </c>
      <c r="C180" t="s">
        <v>60</v>
      </c>
      <c r="D180" t="s">
        <v>310</v>
      </c>
      <c r="E180" t="s">
        <v>201</v>
      </c>
      <c r="G180" t="s">
        <v>63</v>
      </c>
      <c r="H180" s="75" t="str">
        <f>IFERROR(VLOOKUP(Table2[[#This Row],[Ticket]],Okey!A:B,2,0),"")</f>
        <v>ok</v>
      </c>
      <c r="I180" t="s">
        <v>19</v>
      </c>
      <c r="J180" t="str">
        <f>VLOOKUP(Table2[[#This Row],[Author]],People!A:B,2,0)</f>
        <v>MGF</v>
      </c>
      <c r="M180" t="s">
        <v>40</v>
      </c>
    </row>
    <row r="181" spans="1:13" x14ac:dyDescent="0.25">
      <c r="A181" s="75">
        <f t="shared" si="2"/>
        <v>180</v>
      </c>
      <c r="B181" t="s">
        <v>13</v>
      </c>
      <c r="C181" t="s">
        <v>60</v>
      </c>
      <c r="D181" t="s">
        <v>311</v>
      </c>
      <c r="E181" t="s">
        <v>203</v>
      </c>
      <c r="G181" t="s">
        <v>63</v>
      </c>
      <c r="H181" s="75" t="str">
        <f>IFERROR(VLOOKUP(Table2[[#This Row],[Ticket]],Okey!A:B,2,0),"")</f>
        <v>ok</v>
      </c>
      <c r="I181" t="s">
        <v>19</v>
      </c>
      <c r="J181" t="str">
        <f>VLOOKUP(Table2[[#This Row],[Author]],People!A:B,2,0)</f>
        <v>MGF</v>
      </c>
      <c r="M181" t="s">
        <v>40</v>
      </c>
    </row>
    <row r="182" spans="1:13" x14ac:dyDescent="0.25">
      <c r="A182" s="75">
        <f t="shared" si="2"/>
        <v>181</v>
      </c>
      <c r="B182" t="s">
        <v>13</v>
      </c>
      <c r="C182" t="s">
        <v>60</v>
      </c>
      <c r="D182" t="s">
        <v>312</v>
      </c>
      <c r="E182" t="s">
        <v>205</v>
      </c>
      <c r="G182" t="s">
        <v>63</v>
      </c>
      <c r="H182" s="75" t="str">
        <f>IFERROR(VLOOKUP(Table2[[#This Row],[Ticket]],Okey!A:B,2,0),"")</f>
        <v>ok</v>
      </c>
      <c r="I182" t="s">
        <v>19</v>
      </c>
      <c r="J182" t="str">
        <f>VLOOKUP(Table2[[#This Row],[Author]],People!A:B,2,0)</f>
        <v>MGF</v>
      </c>
      <c r="M182" t="s">
        <v>40</v>
      </c>
    </row>
    <row r="183" spans="1:13" x14ac:dyDescent="0.25">
      <c r="A183" s="75">
        <f t="shared" si="2"/>
        <v>182</v>
      </c>
      <c r="B183" t="s">
        <v>13</v>
      </c>
      <c r="C183" t="s">
        <v>60</v>
      </c>
      <c r="D183" t="s">
        <v>313</v>
      </c>
      <c r="E183" t="s">
        <v>207</v>
      </c>
      <c r="G183" t="s">
        <v>63</v>
      </c>
      <c r="H183" s="75" t="str">
        <f>IFERROR(VLOOKUP(Table2[[#This Row],[Ticket]],Okey!A:B,2,0),"")</f>
        <v>ok</v>
      </c>
      <c r="I183" t="s">
        <v>19</v>
      </c>
      <c r="J183" t="str">
        <f>VLOOKUP(Table2[[#This Row],[Author]],People!A:B,2,0)</f>
        <v>MGF</v>
      </c>
      <c r="M183" t="s">
        <v>40</v>
      </c>
    </row>
    <row r="184" spans="1:13" x14ac:dyDescent="0.25">
      <c r="A184" s="75">
        <f t="shared" si="2"/>
        <v>183</v>
      </c>
      <c r="B184" t="s">
        <v>13</v>
      </c>
      <c r="C184" t="s">
        <v>60</v>
      </c>
      <c r="D184" t="s">
        <v>314</v>
      </c>
      <c r="E184" t="s">
        <v>209</v>
      </c>
      <c r="G184" t="s">
        <v>63</v>
      </c>
      <c r="H184" s="75" t="str">
        <f>IFERROR(VLOOKUP(Table2[[#This Row],[Ticket]],Okey!A:B,2,0),"")</f>
        <v>ok</v>
      </c>
      <c r="I184" t="s">
        <v>19</v>
      </c>
      <c r="J184" t="str">
        <f>VLOOKUP(Table2[[#This Row],[Author]],People!A:B,2,0)</f>
        <v>MGF</v>
      </c>
      <c r="M184" t="s">
        <v>40</v>
      </c>
    </row>
    <row r="185" spans="1:13" x14ac:dyDescent="0.25">
      <c r="A185" s="75">
        <f t="shared" si="2"/>
        <v>184</v>
      </c>
      <c r="B185" t="s">
        <v>13</v>
      </c>
      <c r="C185" t="s">
        <v>60</v>
      </c>
      <c r="D185" t="s">
        <v>315</v>
      </c>
      <c r="E185" t="s">
        <v>211</v>
      </c>
      <c r="G185" t="s">
        <v>63</v>
      </c>
      <c r="H185" s="75" t="str">
        <f>IFERROR(VLOOKUP(Table2[[#This Row],[Ticket]],Okey!A:B,2,0),"")</f>
        <v>ok</v>
      </c>
      <c r="I185" t="s">
        <v>19</v>
      </c>
      <c r="J185" t="str">
        <f>VLOOKUP(Table2[[#This Row],[Author]],People!A:B,2,0)</f>
        <v>MGF</v>
      </c>
      <c r="M185" t="s">
        <v>40</v>
      </c>
    </row>
    <row r="186" spans="1:13" x14ac:dyDescent="0.25">
      <c r="A186" s="75">
        <f t="shared" si="2"/>
        <v>185</v>
      </c>
      <c r="B186" t="s">
        <v>13</v>
      </c>
      <c r="C186" t="s">
        <v>60</v>
      </c>
      <c r="D186" t="s">
        <v>316</v>
      </c>
      <c r="E186" t="s">
        <v>213</v>
      </c>
      <c r="G186" t="s">
        <v>63</v>
      </c>
      <c r="H186" s="75" t="str">
        <f>IFERROR(VLOOKUP(Table2[[#This Row],[Ticket]],Okey!A:B,2,0),"")</f>
        <v>ok</v>
      </c>
      <c r="I186" t="s">
        <v>19</v>
      </c>
      <c r="J186" t="str">
        <f>VLOOKUP(Table2[[#This Row],[Author]],People!A:B,2,0)</f>
        <v>MGF</v>
      </c>
      <c r="M186" t="s">
        <v>40</v>
      </c>
    </row>
    <row r="187" spans="1:13" x14ac:dyDescent="0.25">
      <c r="A187" s="75">
        <f t="shared" si="2"/>
        <v>186</v>
      </c>
      <c r="B187" t="s">
        <v>13</v>
      </c>
      <c r="C187" t="s">
        <v>60</v>
      </c>
      <c r="D187" t="s">
        <v>317</v>
      </c>
      <c r="E187" t="s">
        <v>215</v>
      </c>
      <c r="G187" t="s">
        <v>63</v>
      </c>
      <c r="H187" s="75" t="str">
        <f>IFERROR(VLOOKUP(Table2[[#This Row],[Ticket]],Okey!A:B,2,0),"")</f>
        <v>ok</v>
      </c>
      <c r="I187" t="s">
        <v>19</v>
      </c>
      <c r="J187" t="str">
        <f>VLOOKUP(Table2[[#This Row],[Author]],People!A:B,2,0)</f>
        <v>MGF</v>
      </c>
      <c r="M187" t="s">
        <v>40</v>
      </c>
    </row>
    <row r="188" spans="1:13" x14ac:dyDescent="0.25">
      <c r="A188" s="75">
        <f t="shared" si="2"/>
        <v>187</v>
      </c>
      <c r="B188" t="s">
        <v>13</v>
      </c>
      <c r="C188" t="s">
        <v>60</v>
      </c>
      <c r="D188" t="s">
        <v>318</v>
      </c>
      <c r="E188" t="s">
        <v>217</v>
      </c>
      <c r="G188" t="s">
        <v>63</v>
      </c>
      <c r="H188" s="75" t="str">
        <f>IFERROR(VLOOKUP(Table2[[#This Row],[Ticket]],Okey!A:B,2,0),"")</f>
        <v>ok</v>
      </c>
      <c r="I188" t="s">
        <v>19</v>
      </c>
      <c r="J188" t="str">
        <f>VLOOKUP(Table2[[#This Row],[Author]],People!A:B,2,0)</f>
        <v>MGF</v>
      </c>
      <c r="M188" t="s">
        <v>40</v>
      </c>
    </row>
    <row r="189" spans="1:13" x14ac:dyDescent="0.25">
      <c r="A189" s="75">
        <f t="shared" si="2"/>
        <v>188</v>
      </c>
      <c r="B189" t="s">
        <v>13</v>
      </c>
      <c r="C189" t="s">
        <v>60</v>
      </c>
      <c r="D189" t="s">
        <v>319</v>
      </c>
      <c r="E189" t="s">
        <v>219</v>
      </c>
      <c r="G189" t="s">
        <v>63</v>
      </c>
      <c r="H189" s="75" t="str">
        <f>IFERROR(VLOOKUP(Table2[[#This Row],[Ticket]],Okey!A:B,2,0),"")</f>
        <v>ok</v>
      </c>
      <c r="I189" t="s">
        <v>19</v>
      </c>
      <c r="J189" t="str">
        <f>VLOOKUP(Table2[[#This Row],[Author]],People!A:B,2,0)</f>
        <v>MGF</v>
      </c>
      <c r="M189" t="s">
        <v>40</v>
      </c>
    </row>
    <row r="190" spans="1:13" x14ac:dyDescent="0.25">
      <c r="A190" s="75">
        <f t="shared" si="2"/>
        <v>189</v>
      </c>
      <c r="B190" t="s">
        <v>13</v>
      </c>
      <c r="C190" t="s">
        <v>320</v>
      </c>
      <c r="D190" t="s">
        <v>27</v>
      </c>
      <c r="E190" t="s">
        <v>321</v>
      </c>
      <c r="G190" t="s">
        <v>63</v>
      </c>
      <c r="H190" s="75" t="str">
        <f>IFERROR(VLOOKUP(Table2[[#This Row],[Ticket]],Okey!A:B,2,0),"")</f>
        <v>ok</v>
      </c>
      <c r="I190" t="s">
        <v>19</v>
      </c>
      <c r="J190" t="str">
        <f>VLOOKUP(Table2[[#This Row],[Author]],People!A:B,2,0)</f>
        <v>HC</v>
      </c>
      <c r="M190" t="s">
        <v>322</v>
      </c>
    </row>
    <row r="191" spans="1:13" x14ac:dyDescent="0.25">
      <c r="A191" s="75">
        <f t="shared" si="2"/>
        <v>190</v>
      </c>
      <c r="B191" t="s">
        <v>13</v>
      </c>
      <c r="C191" t="s">
        <v>320</v>
      </c>
      <c r="D191" t="s">
        <v>31</v>
      </c>
      <c r="E191" t="s">
        <v>323</v>
      </c>
      <c r="G191" t="s">
        <v>63</v>
      </c>
      <c r="H191" s="75" t="str">
        <f>IFERROR(VLOOKUP(Table2[[#This Row],[Ticket]],Okey!A:B,2,0),"")</f>
        <v>ok</v>
      </c>
      <c r="I191" t="s">
        <v>19</v>
      </c>
      <c r="J191" t="str">
        <f>VLOOKUP(Table2[[#This Row],[Author]],People!A:B,2,0)</f>
        <v>HC</v>
      </c>
      <c r="M191" t="s">
        <v>322</v>
      </c>
    </row>
    <row r="192" spans="1:13" x14ac:dyDescent="0.25">
      <c r="A192" s="75">
        <f t="shared" si="2"/>
        <v>191</v>
      </c>
      <c r="B192" t="s">
        <v>13</v>
      </c>
      <c r="C192" t="s">
        <v>320</v>
      </c>
      <c r="D192" t="s">
        <v>34</v>
      </c>
      <c r="E192" t="s">
        <v>324</v>
      </c>
      <c r="G192" t="s">
        <v>63</v>
      </c>
      <c r="H192" s="75" t="str">
        <f>IFERROR(VLOOKUP(Table2[[#This Row],[Ticket]],Okey!A:B,2,0),"")</f>
        <v>ok</v>
      </c>
      <c r="I192" t="s">
        <v>19</v>
      </c>
      <c r="J192" t="str">
        <f>VLOOKUP(Table2[[#This Row],[Author]],People!A:B,2,0)</f>
        <v>HC</v>
      </c>
      <c r="M192" t="s">
        <v>322</v>
      </c>
    </row>
    <row r="193" spans="1:13" x14ac:dyDescent="0.25">
      <c r="A193" s="75">
        <f t="shared" si="2"/>
        <v>192</v>
      </c>
      <c r="B193" s="38" t="s">
        <v>13</v>
      </c>
      <c r="C193" s="38" t="s">
        <v>325</v>
      </c>
      <c r="D193" t="s">
        <v>326</v>
      </c>
      <c r="F193" t="s">
        <v>327</v>
      </c>
      <c r="G193" t="s">
        <v>328</v>
      </c>
      <c r="H193" s="75" t="str">
        <f>IFERROR(VLOOKUP(Table2[[#This Row],[Ticket]],Okey!A:B,2,0),"")</f>
        <v>ok</v>
      </c>
      <c r="I193" t="s">
        <v>19</v>
      </c>
      <c r="J193" t="str">
        <f>VLOOKUP(Table2[[#This Row],[Author]],People!A:B,2,0)</f>
        <v>MGF</v>
      </c>
      <c r="M193" t="s">
        <v>329</v>
      </c>
    </row>
    <row r="194" spans="1:13" x14ac:dyDescent="0.25">
      <c r="A194" s="75">
        <f t="shared" si="2"/>
        <v>193</v>
      </c>
      <c r="B194" s="38" t="s">
        <v>13</v>
      </c>
      <c r="C194" s="38" t="s">
        <v>325</v>
      </c>
      <c r="D194" t="s">
        <v>330</v>
      </c>
      <c r="F194" t="s">
        <v>327</v>
      </c>
      <c r="G194" t="s">
        <v>328</v>
      </c>
      <c r="H194" s="75" t="str">
        <f>IFERROR(VLOOKUP(Table2[[#This Row],[Ticket]],Okey!A:B,2,0),"")</f>
        <v>ok</v>
      </c>
      <c r="I194" t="s">
        <v>19</v>
      </c>
      <c r="J194" t="str">
        <f>VLOOKUP(Table2[[#This Row],[Author]],People!A:B,2,0)</f>
        <v>MGF</v>
      </c>
      <c r="M194" t="s">
        <v>329</v>
      </c>
    </row>
    <row r="195" spans="1:13" x14ac:dyDescent="0.25">
      <c r="A195" s="75">
        <f t="shared" si="2"/>
        <v>194</v>
      </c>
      <c r="B195" s="38" t="s">
        <v>13</v>
      </c>
      <c r="C195" s="38" t="s">
        <v>325</v>
      </c>
      <c r="D195" t="s">
        <v>331</v>
      </c>
      <c r="F195" t="s">
        <v>327</v>
      </c>
      <c r="G195" t="s">
        <v>328</v>
      </c>
      <c r="H195" s="75" t="str">
        <f>IFERROR(VLOOKUP(Table2[[#This Row],[Ticket]],Okey!A:B,2,0),"")</f>
        <v>ok</v>
      </c>
      <c r="I195" t="s">
        <v>19</v>
      </c>
      <c r="J195" t="str">
        <f>VLOOKUP(Table2[[#This Row],[Author]],People!A:B,2,0)</f>
        <v>MGF</v>
      </c>
      <c r="M195" t="s">
        <v>329</v>
      </c>
    </row>
    <row r="196" spans="1:13" x14ac:dyDescent="0.25">
      <c r="A196" s="75">
        <f t="shared" si="2"/>
        <v>195</v>
      </c>
      <c r="B196" s="38" t="s">
        <v>13</v>
      </c>
      <c r="C196" s="38" t="s">
        <v>325</v>
      </c>
      <c r="D196" t="s">
        <v>332</v>
      </c>
      <c r="F196" t="s">
        <v>327</v>
      </c>
      <c r="G196" t="s">
        <v>328</v>
      </c>
      <c r="H196" s="75" t="str">
        <f>IFERROR(VLOOKUP(Table2[[#This Row],[Ticket]],Okey!A:B,2,0),"")</f>
        <v>ok</v>
      </c>
      <c r="I196" t="s">
        <v>19</v>
      </c>
      <c r="J196" t="str">
        <f>VLOOKUP(Table2[[#This Row],[Author]],People!A:B,2,0)</f>
        <v>MGF</v>
      </c>
      <c r="M196" t="s">
        <v>329</v>
      </c>
    </row>
    <row r="197" spans="1:13" x14ac:dyDescent="0.25">
      <c r="A197" s="75">
        <f t="shared" si="2"/>
        <v>196</v>
      </c>
      <c r="B197" s="38" t="s">
        <v>13</v>
      </c>
      <c r="C197" s="38" t="s">
        <v>325</v>
      </c>
      <c r="D197" t="s">
        <v>333</v>
      </c>
      <c r="F197" t="s">
        <v>327</v>
      </c>
      <c r="G197" t="s">
        <v>328</v>
      </c>
      <c r="H197" s="75" t="str">
        <f>IFERROR(VLOOKUP(Table2[[#This Row],[Ticket]],Okey!A:B,2,0),"")</f>
        <v>ok</v>
      </c>
      <c r="I197" t="s">
        <v>19</v>
      </c>
      <c r="J197" t="str">
        <f>VLOOKUP(Table2[[#This Row],[Author]],People!A:B,2,0)</f>
        <v>MGF</v>
      </c>
      <c r="M197" t="s">
        <v>329</v>
      </c>
    </row>
    <row r="198" spans="1:13" x14ac:dyDescent="0.25">
      <c r="A198" s="75">
        <f t="shared" si="2"/>
        <v>197</v>
      </c>
      <c r="B198" s="38" t="s">
        <v>13</v>
      </c>
      <c r="C198" s="38" t="s">
        <v>325</v>
      </c>
      <c r="D198" t="s">
        <v>334</v>
      </c>
      <c r="F198" t="s">
        <v>327</v>
      </c>
      <c r="G198" t="s">
        <v>328</v>
      </c>
      <c r="H198" s="75" t="str">
        <f>IFERROR(VLOOKUP(Table2[[#This Row],[Ticket]],Okey!A:B,2,0),"")</f>
        <v>ok</v>
      </c>
      <c r="I198" t="s">
        <v>19</v>
      </c>
      <c r="J198" t="str">
        <f>VLOOKUP(Table2[[#This Row],[Author]],People!A:B,2,0)</f>
        <v>MGF</v>
      </c>
      <c r="M198" t="s">
        <v>329</v>
      </c>
    </row>
    <row r="199" spans="1:13" x14ac:dyDescent="0.25">
      <c r="A199" s="75">
        <f t="shared" si="2"/>
        <v>198</v>
      </c>
      <c r="B199" s="38" t="s">
        <v>13</v>
      </c>
      <c r="C199" s="38" t="s">
        <v>325</v>
      </c>
      <c r="D199" t="s">
        <v>335</v>
      </c>
      <c r="F199" t="s">
        <v>327</v>
      </c>
      <c r="G199" t="s">
        <v>328</v>
      </c>
      <c r="H199" s="75" t="str">
        <f>IFERROR(VLOOKUP(Table2[[#This Row],[Ticket]],Okey!A:B,2,0),"")</f>
        <v>ok</v>
      </c>
      <c r="I199" t="s">
        <v>19</v>
      </c>
      <c r="J199" t="str">
        <f>VLOOKUP(Table2[[#This Row],[Author]],People!A:B,2,0)</f>
        <v>MGF</v>
      </c>
      <c r="M199" t="s">
        <v>329</v>
      </c>
    </row>
    <row r="200" spans="1:13" x14ac:dyDescent="0.25">
      <c r="A200" s="75">
        <f t="shared" si="2"/>
        <v>199</v>
      </c>
      <c r="B200" s="38" t="s">
        <v>13</v>
      </c>
      <c r="C200" s="38" t="s">
        <v>325</v>
      </c>
      <c r="D200" t="s">
        <v>336</v>
      </c>
      <c r="F200" t="s">
        <v>327</v>
      </c>
      <c r="G200" t="s">
        <v>328</v>
      </c>
      <c r="H200" s="75" t="str">
        <f>IFERROR(VLOOKUP(Table2[[#This Row],[Ticket]],Okey!A:B,2,0),"")</f>
        <v>ok</v>
      </c>
      <c r="I200" t="s">
        <v>19</v>
      </c>
      <c r="J200" t="str">
        <f>VLOOKUP(Table2[[#This Row],[Author]],People!A:B,2,0)</f>
        <v>MGF</v>
      </c>
      <c r="M200" t="s">
        <v>329</v>
      </c>
    </row>
    <row r="201" spans="1:13" x14ac:dyDescent="0.25">
      <c r="A201" s="75">
        <f t="shared" ref="A201:A264" si="3">1+A200</f>
        <v>200</v>
      </c>
      <c r="B201" s="38" t="s">
        <v>13</v>
      </c>
      <c r="C201" s="38" t="s">
        <v>325</v>
      </c>
      <c r="D201" t="s">
        <v>337</v>
      </c>
      <c r="F201" t="s">
        <v>327</v>
      </c>
      <c r="G201" t="s">
        <v>328</v>
      </c>
      <c r="H201" s="75" t="str">
        <f>IFERROR(VLOOKUP(Table2[[#This Row],[Ticket]],Okey!A:B,2,0),"")</f>
        <v>ok</v>
      </c>
      <c r="I201" t="s">
        <v>19</v>
      </c>
      <c r="J201" t="str">
        <f>VLOOKUP(Table2[[#This Row],[Author]],People!A:B,2,0)</f>
        <v>MGF</v>
      </c>
      <c r="M201" t="s">
        <v>329</v>
      </c>
    </row>
    <row r="202" spans="1:13" x14ac:dyDescent="0.25">
      <c r="A202" s="75">
        <f t="shared" si="3"/>
        <v>201</v>
      </c>
      <c r="B202" s="38" t="s">
        <v>13</v>
      </c>
      <c r="C202" s="38" t="s">
        <v>325</v>
      </c>
      <c r="D202" t="s">
        <v>338</v>
      </c>
      <c r="F202" t="s">
        <v>327</v>
      </c>
      <c r="G202" t="s">
        <v>328</v>
      </c>
      <c r="H202" s="75" t="str">
        <f>IFERROR(VLOOKUP(Table2[[#This Row],[Ticket]],Okey!A:B,2,0),"")</f>
        <v>ok</v>
      </c>
      <c r="I202" t="s">
        <v>19</v>
      </c>
      <c r="J202" t="str">
        <f>VLOOKUP(Table2[[#This Row],[Author]],People!A:B,2,0)</f>
        <v>MGF</v>
      </c>
      <c r="M202" t="s">
        <v>329</v>
      </c>
    </row>
    <row r="203" spans="1:13" x14ac:dyDescent="0.25">
      <c r="A203" s="75">
        <f t="shared" si="3"/>
        <v>202</v>
      </c>
      <c r="B203" s="38" t="s">
        <v>13</v>
      </c>
      <c r="C203" s="38" t="s">
        <v>325</v>
      </c>
      <c r="D203" t="s">
        <v>339</v>
      </c>
      <c r="F203" t="s">
        <v>327</v>
      </c>
      <c r="G203" t="s">
        <v>328</v>
      </c>
      <c r="H203" s="75" t="str">
        <f>IFERROR(VLOOKUP(Table2[[#This Row],[Ticket]],Okey!A:B,2,0),"")</f>
        <v>ok</v>
      </c>
      <c r="I203" t="s">
        <v>19</v>
      </c>
      <c r="J203" t="str">
        <f>VLOOKUP(Table2[[#This Row],[Author]],People!A:B,2,0)</f>
        <v>MGF</v>
      </c>
      <c r="M203" t="s">
        <v>329</v>
      </c>
    </row>
    <row r="204" spans="1:13" x14ac:dyDescent="0.25">
      <c r="A204" s="75">
        <f t="shared" si="3"/>
        <v>203</v>
      </c>
      <c r="B204" s="38" t="s">
        <v>13</v>
      </c>
      <c r="C204" s="38" t="s">
        <v>325</v>
      </c>
      <c r="D204" t="s">
        <v>340</v>
      </c>
      <c r="F204" t="s">
        <v>327</v>
      </c>
      <c r="G204" t="s">
        <v>328</v>
      </c>
      <c r="H204" s="75" t="str">
        <f>IFERROR(VLOOKUP(Table2[[#This Row],[Ticket]],Okey!A:B,2,0),"")</f>
        <v>ok</v>
      </c>
      <c r="I204" t="s">
        <v>19</v>
      </c>
      <c r="J204" t="str">
        <f>VLOOKUP(Table2[[#This Row],[Author]],People!A:B,2,0)</f>
        <v>MGF</v>
      </c>
      <c r="M204" t="s">
        <v>329</v>
      </c>
    </row>
    <row r="205" spans="1:13" x14ac:dyDescent="0.25">
      <c r="A205" s="75">
        <f t="shared" si="3"/>
        <v>204</v>
      </c>
      <c r="B205" s="38" t="s">
        <v>13</v>
      </c>
      <c r="C205" s="38" t="s">
        <v>325</v>
      </c>
      <c r="D205" t="s">
        <v>341</v>
      </c>
      <c r="F205" t="s">
        <v>327</v>
      </c>
      <c r="G205" t="s">
        <v>328</v>
      </c>
      <c r="H205" s="75" t="str">
        <f>IFERROR(VLOOKUP(Table2[[#This Row],[Ticket]],Okey!A:B,2,0),"")</f>
        <v>ok</v>
      </c>
      <c r="I205" t="s">
        <v>19</v>
      </c>
      <c r="J205" t="str">
        <f>VLOOKUP(Table2[[#This Row],[Author]],People!A:B,2,0)</f>
        <v>MGF</v>
      </c>
      <c r="M205" t="s">
        <v>329</v>
      </c>
    </row>
    <row r="206" spans="1:13" x14ac:dyDescent="0.25">
      <c r="A206" s="75">
        <f t="shared" si="3"/>
        <v>205</v>
      </c>
      <c r="B206" s="38" t="s">
        <v>13</v>
      </c>
      <c r="C206" s="38" t="s">
        <v>325</v>
      </c>
      <c r="D206" t="s">
        <v>342</v>
      </c>
      <c r="F206" t="s">
        <v>327</v>
      </c>
      <c r="G206" t="s">
        <v>328</v>
      </c>
      <c r="H206" s="75" t="str">
        <f>IFERROR(VLOOKUP(Table2[[#This Row],[Ticket]],Okey!A:B,2,0),"")</f>
        <v>ok</v>
      </c>
      <c r="I206" t="s">
        <v>19</v>
      </c>
      <c r="J206" t="str">
        <f>VLOOKUP(Table2[[#This Row],[Author]],People!A:B,2,0)</f>
        <v>MGF</v>
      </c>
      <c r="M206" t="s">
        <v>329</v>
      </c>
    </row>
    <row r="207" spans="1:13" x14ac:dyDescent="0.25">
      <c r="A207" s="75">
        <f t="shared" si="3"/>
        <v>206</v>
      </c>
      <c r="B207" s="38" t="s">
        <v>13</v>
      </c>
      <c r="C207" s="38" t="s">
        <v>325</v>
      </c>
      <c r="D207" t="s">
        <v>343</v>
      </c>
      <c r="F207" t="s">
        <v>327</v>
      </c>
      <c r="G207" t="s">
        <v>328</v>
      </c>
      <c r="H207" s="75" t="str">
        <f>IFERROR(VLOOKUP(Table2[[#This Row],[Ticket]],Okey!A:B,2,0),"")</f>
        <v>ok</v>
      </c>
      <c r="I207" t="s">
        <v>19</v>
      </c>
      <c r="J207" t="str">
        <f>VLOOKUP(Table2[[#This Row],[Author]],People!A:B,2,0)</f>
        <v>MGF</v>
      </c>
      <c r="M207" t="s">
        <v>329</v>
      </c>
    </row>
    <row r="208" spans="1:13" x14ac:dyDescent="0.25">
      <c r="A208" s="75">
        <f t="shared" si="3"/>
        <v>207</v>
      </c>
      <c r="B208" s="38" t="s">
        <v>13</v>
      </c>
      <c r="C208" s="38" t="s">
        <v>325</v>
      </c>
      <c r="D208" t="s">
        <v>344</v>
      </c>
      <c r="F208" t="s">
        <v>327</v>
      </c>
      <c r="G208" t="s">
        <v>328</v>
      </c>
      <c r="H208" s="75" t="str">
        <f>IFERROR(VLOOKUP(Table2[[#This Row],[Ticket]],Okey!A:B,2,0),"")</f>
        <v>ok</v>
      </c>
      <c r="I208" t="s">
        <v>19</v>
      </c>
      <c r="J208" t="str">
        <f>VLOOKUP(Table2[[#This Row],[Author]],People!A:B,2,0)</f>
        <v>MGF</v>
      </c>
      <c r="M208" t="s">
        <v>329</v>
      </c>
    </row>
    <row r="209" spans="1:13" x14ac:dyDescent="0.25">
      <c r="A209" s="75">
        <f t="shared" si="3"/>
        <v>208</v>
      </c>
      <c r="B209" s="38" t="s">
        <v>13</v>
      </c>
      <c r="C209" s="38" t="s">
        <v>325</v>
      </c>
      <c r="D209" t="s">
        <v>345</v>
      </c>
      <c r="F209" t="s">
        <v>327</v>
      </c>
      <c r="G209" t="s">
        <v>328</v>
      </c>
      <c r="H209" s="75" t="str">
        <f>IFERROR(VLOOKUP(Table2[[#This Row],[Ticket]],Okey!A:B,2,0),"")</f>
        <v>ok</v>
      </c>
      <c r="I209" t="s">
        <v>19</v>
      </c>
      <c r="J209" t="str">
        <f>VLOOKUP(Table2[[#This Row],[Author]],People!A:B,2,0)</f>
        <v>MGF</v>
      </c>
      <c r="M209" t="s">
        <v>329</v>
      </c>
    </row>
    <row r="210" spans="1:13" x14ac:dyDescent="0.25">
      <c r="A210" s="75">
        <f t="shared" si="3"/>
        <v>209</v>
      </c>
      <c r="B210" s="38" t="s">
        <v>13</v>
      </c>
      <c r="C210" s="38" t="s">
        <v>325</v>
      </c>
      <c r="D210" t="s">
        <v>346</v>
      </c>
      <c r="F210" t="s">
        <v>327</v>
      </c>
      <c r="G210" t="s">
        <v>328</v>
      </c>
      <c r="H210" s="75" t="str">
        <f>IFERROR(VLOOKUP(Table2[[#This Row],[Ticket]],Okey!A:B,2,0),"")</f>
        <v>ok</v>
      </c>
      <c r="I210" t="s">
        <v>19</v>
      </c>
      <c r="J210" t="str">
        <f>VLOOKUP(Table2[[#This Row],[Author]],People!A:B,2,0)</f>
        <v>MGF</v>
      </c>
      <c r="M210" t="s">
        <v>329</v>
      </c>
    </row>
    <row r="211" spans="1:13" x14ac:dyDescent="0.25">
      <c r="A211" s="75">
        <f t="shared" si="3"/>
        <v>210</v>
      </c>
      <c r="B211" s="38" t="s">
        <v>13</v>
      </c>
      <c r="C211" s="38" t="s">
        <v>325</v>
      </c>
      <c r="D211" t="s">
        <v>347</v>
      </c>
      <c r="F211" t="s">
        <v>327</v>
      </c>
      <c r="G211" t="s">
        <v>328</v>
      </c>
      <c r="H211" s="75" t="str">
        <f>IFERROR(VLOOKUP(Table2[[#This Row],[Ticket]],Okey!A:B,2,0),"")</f>
        <v>ok</v>
      </c>
      <c r="I211" t="s">
        <v>19</v>
      </c>
      <c r="J211" t="str">
        <f>VLOOKUP(Table2[[#This Row],[Author]],People!A:B,2,0)</f>
        <v>MGF</v>
      </c>
      <c r="M211" t="s">
        <v>329</v>
      </c>
    </row>
    <row r="212" spans="1:13" x14ac:dyDescent="0.25">
      <c r="A212" s="75">
        <f t="shared" si="3"/>
        <v>211</v>
      </c>
      <c r="B212" s="38" t="s">
        <v>13</v>
      </c>
      <c r="C212" s="38" t="s">
        <v>325</v>
      </c>
      <c r="D212" t="s">
        <v>348</v>
      </c>
      <c r="F212" t="s">
        <v>327</v>
      </c>
      <c r="G212" t="s">
        <v>328</v>
      </c>
      <c r="H212" s="75" t="str">
        <f>IFERROR(VLOOKUP(Table2[[#This Row],[Ticket]],Okey!A:B,2,0),"")</f>
        <v>ok</v>
      </c>
      <c r="I212" t="s">
        <v>19</v>
      </c>
      <c r="J212" t="str">
        <f>VLOOKUP(Table2[[#This Row],[Author]],People!A:B,2,0)</f>
        <v>MGF</v>
      </c>
      <c r="M212" t="s">
        <v>329</v>
      </c>
    </row>
    <row r="213" spans="1:13" x14ac:dyDescent="0.25">
      <c r="A213" s="75">
        <f t="shared" si="3"/>
        <v>212</v>
      </c>
      <c r="B213" s="38" t="s">
        <v>13</v>
      </c>
      <c r="C213" s="38" t="s">
        <v>325</v>
      </c>
      <c r="D213" t="s">
        <v>349</v>
      </c>
      <c r="F213" t="s">
        <v>327</v>
      </c>
      <c r="G213" t="s">
        <v>328</v>
      </c>
      <c r="H213" s="75" t="str">
        <f>IFERROR(VLOOKUP(Table2[[#This Row],[Ticket]],Okey!A:B,2,0),"")</f>
        <v>ok</v>
      </c>
      <c r="I213" t="s">
        <v>19</v>
      </c>
      <c r="J213" t="str">
        <f>VLOOKUP(Table2[[#This Row],[Author]],People!A:B,2,0)</f>
        <v>MGF</v>
      </c>
      <c r="M213" t="s">
        <v>329</v>
      </c>
    </row>
    <row r="214" spans="1:13" x14ac:dyDescent="0.25">
      <c r="A214" s="75">
        <f t="shared" si="3"/>
        <v>213</v>
      </c>
      <c r="B214" s="38" t="s">
        <v>13</v>
      </c>
      <c r="C214" s="38" t="s">
        <v>325</v>
      </c>
      <c r="D214" t="s">
        <v>350</v>
      </c>
      <c r="F214" t="s">
        <v>327</v>
      </c>
      <c r="G214" t="s">
        <v>328</v>
      </c>
      <c r="H214" s="75" t="str">
        <f>IFERROR(VLOOKUP(Table2[[#This Row],[Ticket]],Okey!A:B,2,0),"")</f>
        <v>ok</v>
      </c>
      <c r="I214" t="s">
        <v>19</v>
      </c>
      <c r="J214" t="str">
        <f>VLOOKUP(Table2[[#This Row],[Author]],People!A:B,2,0)</f>
        <v>MGF</v>
      </c>
      <c r="M214" t="s">
        <v>329</v>
      </c>
    </row>
    <row r="215" spans="1:13" x14ac:dyDescent="0.25">
      <c r="A215" s="75">
        <f t="shared" si="3"/>
        <v>214</v>
      </c>
      <c r="B215" s="38" t="s">
        <v>13</v>
      </c>
      <c r="C215" s="38" t="s">
        <v>325</v>
      </c>
      <c r="D215" t="s">
        <v>351</v>
      </c>
      <c r="F215" t="s">
        <v>327</v>
      </c>
      <c r="G215" t="s">
        <v>328</v>
      </c>
      <c r="H215" s="75" t="str">
        <f>IFERROR(VLOOKUP(Table2[[#This Row],[Ticket]],Okey!A:B,2,0),"")</f>
        <v>ok</v>
      </c>
      <c r="I215" t="s">
        <v>19</v>
      </c>
      <c r="J215" t="str">
        <f>VLOOKUP(Table2[[#This Row],[Author]],People!A:B,2,0)</f>
        <v>MGF</v>
      </c>
      <c r="M215" t="s">
        <v>329</v>
      </c>
    </row>
    <row r="216" spans="1:13" x14ac:dyDescent="0.25">
      <c r="A216" s="75">
        <f t="shared" si="3"/>
        <v>215</v>
      </c>
      <c r="B216" s="38" t="s">
        <v>13</v>
      </c>
      <c r="C216" s="38" t="s">
        <v>325</v>
      </c>
      <c r="D216" t="s">
        <v>352</v>
      </c>
      <c r="F216" t="s">
        <v>327</v>
      </c>
      <c r="G216" t="s">
        <v>328</v>
      </c>
      <c r="H216" s="75" t="str">
        <f>IFERROR(VLOOKUP(Table2[[#This Row],[Ticket]],Okey!A:B,2,0),"")</f>
        <v>ok</v>
      </c>
      <c r="I216" t="s">
        <v>19</v>
      </c>
      <c r="J216" t="str">
        <f>VLOOKUP(Table2[[#This Row],[Author]],People!A:B,2,0)</f>
        <v>MGF</v>
      </c>
      <c r="M216" t="s">
        <v>329</v>
      </c>
    </row>
    <row r="217" spans="1:13" x14ac:dyDescent="0.25">
      <c r="A217" s="75">
        <f t="shared" si="3"/>
        <v>216</v>
      </c>
      <c r="B217" s="38" t="s">
        <v>13</v>
      </c>
      <c r="C217" s="38" t="s">
        <v>325</v>
      </c>
      <c r="D217" t="s">
        <v>353</v>
      </c>
      <c r="F217" t="s">
        <v>327</v>
      </c>
      <c r="G217" t="s">
        <v>328</v>
      </c>
      <c r="H217" s="75" t="str">
        <f>IFERROR(VLOOKUP(Table2[[#This Row],[Ticket]],Okey!A:B,2,0),"")</f>
        <v>ok</v>
      </c>
      <c r="I217" t="s">
        <v>19</v>
      </c>
      <c r="J217" t="str">
        <f>VLOOKUP(Table2[[#This Row],[Author]],People!A:B,2,0)</f>
        <v>MGF</v>
      </c>
      <c r="M217" t="s">
        <v>329</v>
      </c>
    </row>
    <row r="218" spans="1:13" x14ac:dyDescent="0.25">
      <c r="A218" s="75">
        <f t="shared" si="3"/>
        <v>217</v>
      </c>
      <c r="B218" s="38" t="s">
        <v>13</v>
      </c>
      <c r="C218" s="38" t="s">
        <v>325</v>
      </c>
      <c r="D218" t="s">
        <v>354</v>
      </c>
      <c r="F218" t="s">
        <v>327</v>
      </c>
      <c r="G218" t="s">
        <v>328</v>
      </c>
      <c r="H218" s="75" t="str">
        <f>IFERROR(VLOOKUP(Table2[[#This Row],[Ticket]],Okey!A:B,2,0),"")</f>
        <v>ok</v>
      </c>
      <c r="I218" t="s">
        <v>19</v>
      </c>
      <c r="J218" t="str">
        <f>VLOOKUP(Table2[[#This Row],[Author]],People!A:B,2,0)</f>
        <v>MGF</v>
      </c>
      <c r="M218" t="s">
        <v>329</v>
      </c>
    </row>
    <row r="219" spans="1:13" x14ac:dyDescent="0.25">
      <c r="A219" s="75">
        <f t="shared" si="3"/>
        <v>218</v>
      </c>
      <c r="B219" s="38" t="s">
        <v>13</v>
      </c>
      <c r="C219" s="38" t="s">
        <v>325</v>
      </c>
      <c r="D219" t="s">
        <v>355</v>
      </c>
      <c r="F219" t="s">
        <v>327</v>
      </c>
      <c r="G219" t="s">
        <v>328</v>
      </c>
      <c r="H219" s="75" t="str">
        <f>IFERROR(VLOOKUP(Table2[[#This Row],[Ticket]],Okey!A:B,2,0),"")</f>
        <v>ok</v>
      </c>
      <c r="I219" t="s">
        <v>19</v>
      </c>
      <c r="J219" t="str">
        <f>VLOOKUP(Table2[[#This Row],[Author]],People!A:B,2,0)</f>
        <v>MGF</v>
      </c>
      <c r="M219" t="s">
        <v>329</v>
      </c>
    </row>
    <row r="220" spans="1:13" x14ac:dyDescent="0.25">
      <c r="A220" s="75">
        <f t="shared" si="3"/>
        <v>219</v>
      </c>
      <c r="B220" s="38" t="s">
        <v>13</v>
      </c>
      <c r="C220" s="38" t="s">
        <v>325</v>
      </c>
      <c r="D220" t="s">
        <v>356</v>
      </c>
      <c r="F220" t="s">
        <v>327</v>
      </c>
      <c r="G220" t="s">
        <v>328</v>
      </c>
      <c r="H220" s="75" t="str">
        <f>IFERROR(VLOOKUP(Table2[[#This Row],[Ticket]],Okey!A:B,2,0),"")</f>
        <v>ok</v>
      </c>
      <c r="I220" t="s">
        <v>19</v>
      </c>
      <c r="J220" t="str">
        <f>VLOOKUP(Table2[[#This Row],[Author]],People!A:B,2,0)</f>
        <v>MGF</v>
      </c>
      <c r="M220" t="s">
        <v>329</v>
      </c>
    </row>
    <row r="221" spans="1:13" x14ac:dyDescent="0.25">
      <c r="A221" s="75">
        <f t="shared" si="3"/>
        <v>220</v>
      </c>
      <c r="B221" s="38" t="s">
        <v>13</v>
      </c>
      <c r="C221" s="38" t="s">
        <v>325</v>
      </c>
      <c r="D221" t="s">
        <v>357</v>
      </c>
      <c r="F221" t="s">
        <v>327</v>
      </c>
      <c r="G221" t="s">
        <v>328</v>
      </c>
      <c r="H221" s="75" t="str">
        <f>IFERROR(VLOOKUP(Table2[[#This Row],[Ticket]],Okey!A:B,2,0),"")</f>
        <v>ok</v>
      </c>
      <c r="I221" t="s">
        <v>19</v>
      </c>
      <c r="J221" t="str">
        <f>VLOOKUP(Table2[[#This Row],[Author]],People!A:B,2,0)</f>
        <v>MGF</v>
      </c>
      <c r="M221" t="s">
        <v>329</v>
      </c>
    </row>
    <row r="222" spans="1:13" x14ac:dyDescent="0.25">
      <c r="A222" s="75">
        <f t="shared" si="3"/>
        <v>221</v>
      </c>
      <c r="B222" s="38" t="s">
        <v>13</v>
      </c>
      <c r="C222" s="38" t="s">
        <v>325</v>
      </c>
      <c r="D222" t="s">
        <v>358</v>
      </c>
      <c r="F222" t="s">
        <v>327</v>
      </c>
      <c r="G222" t="s">
        <v>328</v>
      </c>
      <c r="H222" s="75" t="str">
        <f>IFERROR(VLOOKUP(Table2[[#This Row],[Ticket]],Okey!A:B,2,0),"")</f>
        <v>ok</v>
      </c>
      <c r="I222" t="s">
        <v>19</v>
      </c>
      <c r="J222" t="str">
        <f>VLOOKUP(Table2[[#This Row],[Author]],People!A:B,2,0)</f>
        <v>MGF</v>
      </c>
      <c r="M222" t="s">
        <v>329</v>
      </c>
    </row>
    <row r="223" spans="1:13" x14ac:dyDescent="0.25">
      <c r="A223" s="75">
        <f t="shared" si="3"/>
        <v>222</v>
      </c>
      <c r="B223" s="38" t="s">
        <v>13</v>
      </c>
      <c r="C223" s="38" t="s">
        <v>325</v>
      </c>
      <c r="D223" t="s">
        <v>359</v>
      </c>
      <c r="F223" t="s">
        <v>327</v>
      </c>
      <c r="G223" t="s">
        <v>328</v>
      </c>
      <c r="H223" s="75" t="str">
        <f>IFERROR(VLOOKUP(Table2[[#This Row],[Ticket]],Okey!A:B,2,0),"")</f>
        <v>ok</v>
      </c>
      <c r="I223" t="s">
        <v>19</v>
      </c>
      <c r="J223" t="str">
        <f>VLOOKUP(Table2[[#This Row],[Author]],People!A:B,2,0)</f>
        <v>MGF</v>
      </c>
      <c r="M223" t="s">
        <v>329</v>
      </c>
    </row>
    <row r="224" spans="1:13" x14ac:dyDescent="0.25">
      <c r="A224" s="75">
        <f t="shared" si="3"/>
        <v>223</v>
      </c>
      <c r="B224" s="38" t="s">
        <v>13</v>
      </c>
      <c r="C224" s="38" t="s">
        <v>325</v>
      </c>
      <c r="D224" t="s">
        <v>360</v>
      </c>
      <c r="F224" t="s">
        <v>327</v>
      </c>
      <c r="G224" t="s">
        <v>328</v>
      </c>
      <c r="H224" s="75" t="str">
        <f>IFERROR(VLOOKUP(Table2[[#This Row],[Ticket]],Okey!A:B,2,0),"")</f>
        <v>ok</v>
      </c>
      <c r="I224" t="s">
        <v>19</v>
      </c>
      <c r="J224" t="str">
        <f>VLOOKUP(Table2[[#This Row],[Author]],People!A:B,2,0)</f>
        <v>MGF</v>
      </c>
      <c r="M224" t="s">
        <v>329</v>
      </c>
    </row>
    <row r="225" spans="1:13" x14ac:dyDescent="0.25">
      <c r="A225" s="75">
        <f t="shared" si="3"/>
        <v>224</v>
      </c>
      <c r="B225" s="38" t="s">
        <v>13</v>
      </c>
      <c r="C225" s="38" t="s">
        <v>325</v>
      </c>
      <c r="D225" t="s">
        <v>361</v>
      </c>
      <c r="F225" t="s">
        <v>327</v>
      </c>
      <c r="G225" t="s">
        <v>328</v>
      </c>
      <c r="H225" s="75" t="str">
        <f>IFERROR(VLOOKUP(Table2[[#This Row],[Ticket]],Okey!A:B,2,0),"")</f>
        <v>ok</v>
      </c>
      <c r="I225" t="s">
        <v>19</v>
      </c>
      <c r="J225" t="str">
        <f>VLOOKUP(Table2[[#This Row],[Author]],People!A:B,2,0)</f>
        <v>MGF</v>
      </c>
      <c r="M225" t="s">
        <v>329</v>
      </c>
    </row>
    <row r="226" spans="1:13" x14ac:dyDescent="0.25">
      <c r="A226" s="75">
        <f t="shared" si="3"/>
        <v>225</v>
      </c>
      <c r="B226" s="38" t="s">
        <v>13</v>
      </c>
      <c r="C226" s="38" t="s">
        <v>325</v>
      </c>
      <c r="D226" t="s">
        <v>362</v>
      </c>
      <c r="F226" t="s">
        <v>327</v>
      </c>
      <c r="G226" t="s">
        <v>328</v>
      </c>
      <c r="H226" s="75" t="str">
        <f>IFERROR(VLOOKUP(Table2[[#This Row],[Ticket]],Okey!A:B,2,0),"")</f>
        <v>ok</v>
      </c>
      <c r="I226" t="s">
        <v>19</v>
      </c>
      <c r="J226" t="str">
        <f>VLOOKUP(Table2[[#This Row],[Author]],People!A:B,2,0)</f>
        <v>MGF</v>
      </c>
      <c r="M226" t="s">
        <v>329</v>
      </c>
    </row>
    <row r="227" spans="1:13" x14ac:dyDescent="0.25">
      <c r="A227" s="75">
        <f t="shared" si="3"/>
        <v>226</v>
      </c>
      <c r="B227" s="38" t="s">
        <v>13</v>
      </c>
      <c r="C227" s="38" t="s">
        <v>325</v>
      </c>
      <c r="D227" t="s">
        <v>363</v>
      </c>
      <c r="F227" t="s">
        <v>327</v>
      </c>
      <c r="G227" t="s">
        <v>328</v>
      </c>
      <c r="H227" s="75" t="str">
        <f>IFERROR(VLOOKUP(Table2[[#This Row],[Ticket]],Okey!A:B,2,0),"")</f>
        <v>ok</v>
      </c>
      <c r="I227" t="s">
        <v>19</v>
      </c>
      <c r="J227" t="str">
        <f>VLOOKUP(Table2[[#This Row],[Author]],People!A:B,2,0)</f>
        <v>MGF</v>
      </c>
      <c r="M227" t="s">
        <v>329</v>
      </c>
    </row>
    <row r="228" spans="1:13" x14ac:dyDescent="0.25">
      <c r="A228" s="75">
        <f t="shared" si="3"/>
        <v>227</v>
      </c>
      <c r="B228" s="38" t="s">
        <v>13</v>
      </c>
      <c r="C228" s="38" t="s">
        <v>325</v>
      </c>
      <c r="D228" t="s">
        <v>364</v>
      </c>
      <c r="F228" t="s">
        <v>327</v>
      </c>
      <c r="G228" t="s">
        <v>328</v>
      </c>
      <c r="H228" s="75" t="str">
        <f>IFERROR(VLOOKUP(Table2[[#This Row],[Ticket]],Okey!A:B,2,0),"")</f>
        <v>ok</v>
      </c>
      <c r="I228" t="s">
        <v>19</v>
      </c>
      <c r="J228" t="str">
        <f>VLOOKUP(Table2[[#This Row],[Author]],People!A:B,2,0)</f>
        <v>MGF</v>
      </c>
      <c r="M228" t="s">
        <v>329</v>
      </c>
    </row>
    <row r="229" spans="1:13" x14ac:dyDescent="0.25">
      <c r="A229" s="75">
        <f t="shared" si="3"/>
        <v>228</v>
      </c>
      <c r="B229" s="38" t="s">
        <v>13</v>
      </c>
      <c r="C229" s="38" t="s">
        <v>325</v>
      </c>
      <c r="D229" t="s">
        <v>365</v>
      </c>
      <c r="F229" t="s">
        <v>327</v>
      </c>
      <c r="G229" t="s">
        <v>328</v>
      </c>
      <c r="H229" s="75" t="str">
        <f>IFERROR(VLOOKUP(Table2[[#This Row],[Ticket]],Okey!A:B,2,0),"")</f>
        <v>ok</v>
      </c>
      <c r="I229" t="s">
        <v>19</v>
      </c>
      <c r="J229" t="str">
        <f>VLOOKUP(Table2[[#This Row],[Author]],People!A:B,2,0)</f>
        <v>MGF</v>
      </c>
      <c r="M229" t="s">
        <v>329</v>
      </c>
    </row>
    <row r="230" spans="1:13" x14ac:dyDescent="0.25">
      <c r="A230" s="75">
        <f t="shared" si="3"/>
        <v>229</v>
      </c>
      <c r="B230" s="38" t="s">
        <v>13</v>
      </c>
      <c r="C230" s="38" t="s">
        <v>325</v>
      </c>
      <c r="D230" t="s">
        <v>366</v>
      </c>
      <c r="F230" t="s">
        <v>327</v>
      </c>
      <c r="G230" t="s">
        <v>328</v>
      </c>
      <c r="H230" s="75" t="str">
        <f>IFERROR(VLOOKUP(Table2[[#This Row],[Ticket]],Okey!A:B,2,0),"")</f>
        <v>ok</v>
      </c>
      <c r="I230" t="s">
        <v>19</v>
      </c>
      <c r="J230" t="str">
        <f>VLOOKUP(Table2[[#This Row],[Author]],People!A:B,2,0)</f>
        <v>MGF</v>
      </c>
      <c r="M230" t="s">
        <v>329</v>
      </c>
    </row>
    <row r="231" spans="1:13" x14ac:dyDescent="0.25">
      <c r="A231" s="75">
        <f t="shared" si="3"/>
        <v>230</v>
      </c>
      <c r="B231" s="38" t="s">
        <v>13</v>
      </c>
      <c r="C231" s="38" t="s">
        <v>325</v>
      </c>
      <c r="D231" t="s">
        <v>367</v>
      </c>
      <c r="F231" t="s">
        <v>327</v>
      </c>
      <c r="G231" t="s">
        <v>328</v>
      </c>
      <c r="H231" s="75" t="str">
        <f>IFERROR(VLOOKUP(Table2[[#This Row],[Ticket]],Okey!A:B,2,0),"")</f>
        <v>ok</v>
      </c>
      <c r="I231" t="s">
        <v>19</v>
      </c>
      <c r="J231" t="str">
        <f>VLOOKUP(Table2[[#This Row],[Author]],People!A:B,2,0)</f>
        <v>MGF</v>
      </c>
      <c r="M231" t="s">
        <v>329</v>
      </c>
    </row>
    <row r="232" spans="1:13" x14ac:dyDescent="0.25">
      <c r="A232" s="75">
        <f t="shared" si="3"/>
        <v>231</v>
      </c>
      <c r="B232" s="38" t="s">
        <v>13</v>
      </c>
      <c r="C232" s="38" t="s">
        <v>325</v>
      </c>
      <c r="D232" t="s">
        <v>368</v>
      </c>
      <c r="F232" t="s">
        <v>327</v>
      </c>
      <c r="G232" t="s">
        <v>328</v>
      </c>
      <c r="H232" s="75" t="str">
        <f>IFERROR(VLOOKUP(Table2[[#This Row],[Ticket]],Okey!A:B,2,0),"")</f>
        <v>ok</v>
      </c>
      <c r="I232" t="s">
        <v>19</v>
      </c>
      <c r="J232" t="str">
        <f>VLOOKUP(Table2[[#This Row],[Author]],People!A:B,2,0)</f>
        <v>MGF</v>
      </c>
      <c r="M232" t="s">
        <v>329</v>
      </c>
    </row>
    <row r="233" spans="1:13" x14ac:dyDescent="0.25">
      <c r="A233" s="75">
        <f t="shared" si="3"/>
        <v>232</v>
      </c>
      <c r="B233" s="38" t="s">
        <v>13</v>
      </c>
      <c r="C233" s="38" t="s">
        <v>325</v>
      </c>
      <c r="D233" t="s">
        <v>369</v>
      </c>
      <c r="F233" t="s">
        <v>327</v>
      </c>
      <c r="G233" t="s">
        <v>328</v>
      </c>
      <c r="H233" s="75" t="str">
        <f>IFERROR(VLOOKUP(Table2[[#This Row],[Ticket]],Okey!A:B,2,0),"")</f>
        <v>ok</v>
      </c>
      <c r="I233" t="s">
        <v>19</v>
      </c>
      <c r="J233" t="str">
        <f>VLOOKUP(Table2[[#This Row],[Author]],People!A:B,2,0)</f>
        <v>MGF</v>
      </c>
      <c r="M233" t="s">
        <v>329</v>
      </c>
    </row>
    <row r="234" spans="1:13" x14ac:dyDescent="0.25">
      <c r="A234" s="75">
        <f t="shared" si="3"/>
        <v>233</v>
      </c>
      <c r="B234" s="38" t="s">
        <v>13</v>
      </c>
      <c r="C234" s="38" t="s">
        <v>325</v>
      </c>
      <c r="D234" t="s">
        <v>370</v>
      </c>
      <c r="F234" t="s">
        <v>327</v>
      </c>
      <c r="G234" t="s">
        <v>328</v>
      </c>
      <c r="H234" s="75" t="str">
        <f>IFERROR(VLOOKUP(Table2[[#This Row],[Ticket]],Okey!A:B,2,0),"")</f>
        <v>ok</v>
      </c>
      <c r="I234" t="s">
        <v>19</v>
      </c>
      <c r="J234" t="str">
        <f>VLOOKUP(Table2[[#This Row],[Author]],People!A:B,2,0)</f>
        <v>MGF</v>
      </c>
      <c r="M234" t="s">
        <v>329</v>
      </c>
    </row>
    <row r="235" spans="1:13" x14ac:dyDescent="0.25">
      <c r="A235" s="75">
        <f t="shared" si="3"/>
        <v>234</v>
      </c>
      <c r="B235" s="38" t="s">
        <v>13</v>
      </c>
      <c r="C235" s="38" t="s">
        <v>325</v>
      </c>
      <c r="D235" t="s">
        <v>371</v>
      </c>
      <c r="F235" t="s">
        <v>327</v>
      </c>
      <c r="G235" t="s">
        <v>328</v>
      </c>
      <c r="H235" s="75" t="str">
        <f>IFERROR(VLOOKUP(Table2[[#This Row],[Ticket]],Okey!A:B,2,0),"")</f>
        <v>ok</v>
      </c>
      <c r="I235" t="s">
        <v>19</v>
      </c>
      <c r="J235" t="str">
        <f>VLOOKUP(Table2[[#This Row],[Author]],People!A:B,2,0)</f>
        <v>MGF</v>
      </c>
      <c r="M235" t="s">
        <v>329</v>
      </c>
    </row>
    <row r="236" spans="1:13" x14ac:dyDescent="0.25">
      <c r="A236" s="75">
        <f t="shared" si="3"/>
        <v>235</v>
      </c>
      <c r="B236" s="38" t="s">
        <v>13</v>
      </c>
      <c r="C236" s="38" t="s">
        <v>325</v>
      </c>
      <c r="D236" t="s">
        <v>372</v>
      </c>
      <c r="F236" t="s">
        <v>327</v>
      </c>
      <c r="G236" t="s">
        <v>328</v>
      </c>
      <c r="H236" s="75" t="str">
        <f>IFERROR(VLOOKUP(Table2[[#This Row],[Ticket]],Okey!A:B,2,0),"")</f>
        <v>ok</v>
      </c>
      <c r="I236" t="s">
        <v>19</v>
      </c>
      <c r="J236" t="str">
        <f>VLOOKUP(Table2[[#This Row],[Author]],People!A:B,2,0)</f>
        <v>MGF</v>
      </c>
      <c r="M236" t="s">
        <v>329</v>
      </c>
    </row>
    <row r="237" spans="1:13" x14ac:dyDescent="0.25">
      <c r="A237" s="75">
        <f t="shared" si="3"/>
        <v>236</v>
      </c>
      <c r="B237" s="38" t="s">
        <v>13</v>
      </c>
      <c r="C237" s="38" t="s">
        <v>325</v>
      </c>
      <c r="D237" t="s">
        <v>373</v>
      </c>
      <c r="F237" t="s">
        <v>327</v>
      </c>
      <c r="G237" t="s">
        <v>328</v>
      </c>
      <c r="H237" s="75" t="str">
        <f>IFERROR(VLOOKUP(Table2[[#This Row],[Ticket]],Okey!A:B,2,0),"")</f>
        <v>ok</v>
      </c>
      <c r="I237" t="s">
        <v>19</v>
      </c>
      <c r="J237" t="str">
        <f>VLOOKUP(Table2[[#This Row],[Author]],People!A:B,2,0)</f>
        <v>MGF</v>
      </c>
      <c r="M237" t="s">
        <v>329</v>
      </c>
    </row>
    <row r="238" spans="1:13" x14ac:dyDescent="0.25">
      <c r="A238" s="75">
        <f t="shared" si="3"/>
        <v>237</v>
      </c>
      <c r="B238" s="38" t="s">
        <v>13</v>
      </c>
      <c r="C238" s="38" t="s">
        <v>325</v>
      </c>
      <c r="D238" t="s">
        <v>374</v>
      </c>
      <c r="F238" t="s">
        <v>327</v>
      </c>
      <c r="G238" t="s">
        <v>328</v>
      </c>
      <c r="H238" s="75" t="str">
        <f>IFERROR(VLOOKUP(Table2[[#This Row],[Ticket]],Okey!A:B,2,0),"")</f>
        <v>ok</v>
      </c>
      <c r="I238" t="s">
        <v>19</v>
      </c>
      <c r="J238" t="str">
        <f>VLOOKUP(Table2[[#This Row],[Author]],People!A:B,2,0)</f>
        <v>MGF</v>
      </c>
      <c r="M238" t="s">
        <v>329</v>
      </c>
    </row>
    <row r="239" spans="1:13" x14ac:dyDescent="0.25">
      <c r="A239" s="75">
        <f t="shared" si="3"/>
        <v>238</v>
      </c>
      <c r="B239" s="38" t="s">
        <v>13</v>
      </c>
      <c r="C239" s="38" t="s">
        <v>325</v>
      </c>
      <c r="D239" t="s">
        <v>375</v>
      </c>
      <c r="F239" t="s">
        <v>327</v>
      </c>
      <c r="G239" t="s">
        <v>328</v>
      </c>
      <c r="H239" s="75" t="str">
        <f>IFERROR(VLOOKUP(Table2[[#This Row],[Ticket]],Okey!A:B,2,0),"")</f>
        <v>ok</v>
      </c>
      <c r="I239" t="s">
        <v>19</v>
      </c>
      <c r="J239" t="str">
        <f>VLOOKUP(Table2[[#This Row],[Author]],People!A:B,2,0)</f>
        <v>MGF</v>
      </c>
      <c r="M239" t="s">
        <v>329</v>
      </c>
    </row>
    <row r="240" spans="1:13" x14ac:dyDescent="0.25">
      <c r="A240" s="75">
        <f t="shared" si="3"/>
        <v>239</v>
      </c>
      <c r="B240" s="38" t="s">
        <v>13</v>
      </c>
      <c r="C240" s="38" t="s">
        <v>325</v>
      </c>
      <c r="D240" t="s">
        <v>376</v>
      </c>
      <c r="F240" t="s">
        <v>377</v>
      </c>
      <c r="G240" t="s">
        <v>24</v>
      </c>
      <c r="H240" s="75" t="str">
        <f>IFERROR(VLOOKUP(Table2[[#This Row],[Ticket]],Okey!A:B,2,0),"")</f>
        <v>ok</v>
      </c>
      <c r="I240" t="s">
        <v>19</v>
      </c>
      <c r="J240" t="str">
        <f>VLOOKUP(Table2[[#This Row],[Author]],People!A:B,2,0)</f>
        <v>MGF</v>
      </c>
      <c r="M240" t="s">
        <v>329</v>
      </c>
    </row>
    <row r="241" spans="1:13" x14ac:dyDescent="0.25">
      <c r="A241" s="75">
        <f t="shared" si="3"/>
        <v>240</v>
      </c>
      <c r="B241" s="38" t="s">
        <v>13</v>
      </c>
      <c r="C241" s="38" t="s">
        <v>325</v>
      </c>
      <c r="D241" t="s">
        <v>378</v>
      </c>
      <c r="F241" t="s">
        <v>379</v>
      </c>
      <c r="G241" t="s">
        <v>24</v>
      </c>
      <c r="H241" s="75" t="str">
        <f>IFERROR(VLOOKUP(Table2[[#This Row],[Ticket]],Okey!A:B,2,0),"")</f>
        <v>ok</v>
      </c>
      <c r="I241" t="s">
        <v>19</v>
      </c>
      <c r="J241" t="str">
        <f>VLOOKUP(Table2[[#This Row],[Author]],People!A:B,2,0)</f>
        <v>MGF</v>
      </c>
      <c r="M241" t="s">
        <v>329</v>
      </c>
    </row>
    <row r="242" spans="1:13" x14ac:dyDescent="0.25">
      <c r="A242" s="75">
        <f t="shared" si="3"/>
        <v>241</v>
      </c>
      <c r="B242" s="38" t="s">
        <v>13</v>
      </c>
      <c r="C242" s="38" t="s">
        <v>325</v>
      </c>
      <c r="D242" t="s">
        <v>380</v>
      </c>
      <c r="F242" t="s">
        <v>381</v>
      </c>
      <c r="G242" t="s">
        <v>24</v>
      </c>
      <c r="H242" s="75" t="str">
        <f>IFERROR(VLOOKUP(Table2[[#This Row],[Ticket]],Okey!A:B,2,0),"")</f>
        <v>ok</v>
      </c>
      <c r="I242" t="s">
        <v>19</v>
      </c>
      <c r="J242" t="str">
        <f>VLOOKUP(Table2[[#This Row],[Author]],People!A:B,2,0)</f>
        <v>MGF</v>
      </c>
      <c r="M242" t="s">
        <v>329</v>
      </c>
    </row>
    <row r="243" spans="1:13" x14ac:dyDescent="0.25">
      <c r="A243" s="75">
        <f t="shared" si="3"/>
        <v>242</v>
      </c>
      <c r="B243" s="38" t="s">
        <v>13</v>
      </c>
      <c r="C243" s="38" t="s">
        <v>325</v>
      </c>
      <c r="D243" t="s">
        <v>382</v>
      </c>
      <c r="F243" t="s">
        <v>381</v>
      </c>
      <c r="G243" t="s">
        <v>24</v>
      </c>
      <c r="H243" s="75" t="str">
        <f>IFERROR(VLOOKUP(Table2[[#This Row],[Ticket]],Okey!A:B,2,0),"")</f>
        <v>ok</v>
      </c>
      <c r="I243" t="s">
        <v>19</v>
      </c>
      <c r="J243" t="str">
        <f>VLOOKUP(Table2[[#This Row],[Author]],People!A:B,2,0)</f>
        <v>MGF</v>
      </c>
      <c r="M243" t="s">
        <v>329</v>
      </c>
    </row>
    <row r="244" spans="1:13" x14ac:dyDescent="0.25">
      <c r="A244" s="75">
        <f t="shared" si="3"/>
        <v>243</v>
      </c>
      <c r="B244" s="38" t="s">
        <v>13</v>
      </c>
      <c r="C244" s="38" t="s">
        <v>325</v>
      </c>
      <c r="D244" t="s">
        <v>383</v>
      </c>
      <c r="F244" t="s">
        <v>384</v>
      </c>
      <c r="G244" t="s">
        <v>24</v>
      </c>
      <c r="H244" s="75" t="str">
        <f>IFERROR(VLOOKUP(Table2[[#This Row],[Ticket]],Okey!A:B,2,0),"")</f>
        <v>ok</v>
      </c>
      <c r="I244" t="s">
        <v>19</v>
      </c>
      <c r="J244" t="str">
        <f>VLOOKUP(Table2[[#This Row],[Author]],People!A:B,2,0)</f>
        <v>MGF</v>
      </c>
      <c r="M244" t="s">
        <v>329</v>
      </c>
    </row>
    <row r="245" spans="1:13" x14ac:dyDescent="0.25">
      <c r="A245" s="75">
        <f t="shared" si="3"/>
        <v>244</v>
      </c>
      <c r="B245" s="13" t="s">
        <v>13</v>
      </c>
      <c r="C245" s="13" t="s">
        <v>325</v>
      </c>
      <c r="D245" t="s">
        <v>385</v>
      </c>
      <c r="F245" t="s">
        <v>386</v>
      </c>
      <c r="G245" t="s">
        <v>24</v>
      </c>
      <c r="H245" s="75" t="str">
        <f>IFERROR(VLOOKUP(Table2[[#This Row],[Ticket]],Okey!A:B,2,0),"")</f>
        <v>ok</v>
      </c>
      <c r="I245" t="s">
        <v>19</v>
      </c>
      <c r="J245" t="str">
        <f>VLOOKUP(Table2[[#This Row],[Author]],People!A:B,2,0)</f>
        <v>MGF</v>
      </c>
      <c r="M245" t="s">
        <v>329</v>
      </c>
    </row>
    <row r="246" spans="1:13" x14ac:dyDescent="0.25">
      <c r="A246" s="75">
        <f t="shared" si="3"/>
        <v>245</v>
      </c>
      <c r="B246" s="13" t="s">
        <v>13</v>
      </c>
      <c r="C246" s="13" t="s">
        <v>325</v>
      </c>
      <c r="D246" t="s">
        <v>387</v>
      </c>
      <c r="E246" t="s">
        <v>388</v>
      </c>
      <c r="F246" t="s">
        <v>389</v>
      </c>
      <c r="G246" t="s">
        <v>18</v>
      </c>
      <c r="H246" s="75" t="str">
        <f>IFERROR(VLOOKUP(Table2[[#This Row],[Ticket]],Okey!A:B,2,0),"")</f>
        <v>ok</v>
      </c>
      <c r="I246" t="s">
        <v>19</v>
      </c>
      <c r="J246" t="str">
        <f>VLOOKUP(Table2[[#This Row],[Author]],People!A:B,2,0)</f>
        <v>MGF</v>
      </c>
      <c r="M246" t="s">
        <v>329</v>
      </c>
    </row>
    <row r="247" spans="1:13" x14ac:dyDescent="0.25">
      <c r="A247" s="75">
        <f t="shared" si="3"/>
        <v>246</v>
      </c>
      <c r="B247" s="37" t="s">
        <v>13</v>
      </c>
      <c r="C247" s="37" t="s">
        <v>325</v>
      </c>
      <c r="D247" t="s">
        <v>390</v>
      </c>
      <c r="E247" t="s">
        <v>391</v>
      </c>
      <c r="G247" t="s">
        <v>63</v>
      </c>
      <c r="H247" s="75" t="str">
        <f>IFERROR(VLOOKUP(Table2[[#This Row],[Ticket]],Okey!A:B,2,0),"")</f>
        <v>ok</v>
      </c>
      <c r="I247" t="s">
        <v>19</v>
      </c>
      <c r="J247" t="str">
        <f>VLOOKUP(Table2[[#This Row],[Author]],People!A:B,2,0)</f>
        <v>MGF</v>
      </c>
      <c r="M247" t="s">
        <v>329</v>
      </c>
    </row>
    <row r="248" spans="1:13" x14ac:dyDescent="0.25">
      <c r="A248" s="75">
        <f t="shared" si="3"/>
        <v>247</v>
      </c>
      <c r="B248" s="37" t="s">
        <v>13</v>
      </c>
      <c r="C248" s="37" t="s">
        <v>325</v>
      </c>
      <c r="D248" t="s">
        <v>392</v>
      </c>
      <c r="E248" t="s">
        <v>391</v>
      </c>
      <c r="G248" t="s">
        <v>63</v>
      </c>
      <c r="H248" s="75" t="str">
        <f>IFERROR(VLOOKUP(Table2[[#This Row],[Ticket]],Okey!A:B,2,0),"")</f>
        <v>ok</v>
      </c>
      <c r="I248" t="s">
        <v>19</v>
      </c>
      <c r="J248" t="str">
        <f>VLOOKUP(Table2[[#This Row],[Author]],People!A:B,2,0)</f>
        <v>MGF</v>
      </c>
      <c r="M248" t="s">
        <v>329</v>
      </c>
    </row>
    <row r="249" spans="1:13" x14ac:dyDescent="0.25">
      <c r="A249" s="75">
        <f t="shared" si="3"/>
        <v>248</v>
      </c>
      <c r="B249" s="37" t="s">
        <v>13</v>
      </c>
      <c r="C249" s="37" t="s">
        <v>325</v>
      </c>
      <c r="D249" t="s">
        <v>393</v>
      </c>
      <c r="E249" t="s">
        <v>394</v>
      </c>
      <c r="G249" t="s">
        <v>63</v>
      </c>
      <c r="H249" s="75" t="str">
        <f>IFERROR(VLOOKUP(Table2[[#This Row],[Ticket]],Okey!A:B,2,0),"")</f>
        <v>ok</v>
      </c>
      <c r="I249" t="s">
        <v>19</v>
      </c>
      <c r="J249" t="str">
        <f>VLOOKUP(Table2[[#This Row],[Author]],People!A:B,2,0)</f>
        <v>MGF</v>
      </c>
      <c r="M249" t="s">
        <v>329</v>
      </c>
    </row>
    <row r="250" spans="1:13" x14ac:dyDescent="0.25">
      <c r="A250" s="75">
        <f t="shared" si="3"/>
        <v>249</v>
      </c>
      <c r="B250" s="37" t="s">
        <v>13</v>
      </c>
      <c r="C250" s="37" t="s">
        <v>325</v>
      </c>
      <c r="D250" t="s">
        <v>395</v>
      </c>
      <c r="E250" t="s">
        <v>396</v>
      </c>
      <c r="G250" t="s">
        <v>63</v>
      </c>
      <c r="H250" s="75" t="str">
        <f>IFERROR(VLOOKUP(Table2[[#This Row],[Ticket]],Okey!A:B,2,0),"")</f>
        <v>ok</v>
      </c>
      <c r="I250" t="s">
        <v>19</v>
      </c>
      <c r="J250" t="str">
        <f>VLOOKUP(Table2[[#This Row],[Author]],People!A:B,2,0)</f>
        <v>MGF</v>
      </c>
      <c r="M250" t="s">
        <v>329</v>
      </c>
    </row>
    <row r="251" spans="1:13" x14ac:dyDescent="0.25">
      <c r="A251" s="75">
        <f t="shared" si="3"/>
        <v>250</v>
      </c>
      <c r="B251" s="37" t="s">
        <v>13</v>
      </c>
      <c r="C251" s="37" t="s">
        <v>325</v>
      </c>
      <c r="D251" t="s">
        <v>397</v>
      </c>
      <c r="E251" t="s">
        <v>398</v>
      </c>
      <c r="G251" t="s">
        <v>63</v>
      </c>
      <c r="H251" s="75" t="str">
        <f>IFERROR(VLOOKUP(Table2[[#This Row],[Ticket]],Okey!A:B,2,0),"")</f>
        <v>ok</v>
      </c>
      <c r="I251" t="s">
        <v>19</v>
      </c>
      <c r="J251" t="str">
        <f>VLOOKUP(Table2[[#This Row],[Author]],People!A:B,2,0)</f>
        <v>MGF</v>
      </c>
      <c r="M251" t="s">
        <v>329</v>
      </c>
    </row>
    <row r="252" spans="1:13" x14ac:dyDescent="0.25">
      <c r="A252" s="75">
        <f t="shared" si="3"/>
        <v>251</v>
      </c>
      <c r="B252" s="37" t="s">
        <v>13</v>
      </c>
      <c r="C252" s="37" t="s">
        <v>325</v>
      </c>
      <c r="D252" t="s">
        <v>399</v>
      </c>
      <c r="E252" t="s">
        <v>400</v>
      </c>
      <c r="G252" t="s">
        <v>63</v>
      </c>
      <c r="H252" s="75" t="str">
        <f>IFERROR(VLOOKUP(Table2[[#This Row],[Ticket]],Okey!A:B,2,0),"")</f>
        <v>ok</v>
      </c>
      <c r="I252" t="s">
        <v>19</v>
      </c>
      <c r="J252" t="str">
        <f>VLOOKUP(Table2[[#This Row],[Author]],People!A:B,2,0)</f>
        <v>MGF</v>
      </c>
      <c r="M252" t="s">
        <v>329</v>
      </c>
    </row>
    <row r="253" spans="1:13" x14ac:dyDescent="0.25">
      <c r="A253" s="75">
        <f t="shared" si="3"/>
        <v>252</v>
      </c>
      <c r="B253" s="37" t="s">
        <v>13</v>
      </c>
      <c r="C253" s="37" t="s">
        <v>325</v>
      </c>
      <c r="D253" t="s">
        <v>401</v>
      </c>
      <c r="E253" t="s">
        <v>400</v>
      </c>
      <c r="G253" t="s">
        <v>63</v>
      </c>
      <c r="H253" s="75" t="str">
        <f>IFERROR(VLOOKUP(Table2[[#This Row],[Ticket]],Okey!A:B,2,0),"")</f>
        <v>ok</v>
      </c>
      <c r="I253" t="s">
        <v>19</v>
      </c>
      <c r="J253" t="str">
        <f>VLOOKUP(Table2[[#This Row],[Author]],People!A:B,2,0)</f>
        <v>MGF</v>
      </c>
      <c r="M253" t="s">
        <v>329</v>
      </c>
    </row>
    <row r="254" spans="1:13" x14ac:dyDescent="0.25">
      <c r="A254" s="75">
        <f t="shared" si="3"/>
        <v>253</v>
      </c>
      <c r="B254" s="37" t="s">
        <v>13</v>
      </c>
      <c r="C254" s="37" t="s">
        <v>325</v>
      </c>
      <c r="D254" t="s">
        <v>402</v>
      </c>
      <c r="E254" t="s">
        <v>403</v>
      </c>
      <c r="G254" t="s">
        <v>63</v>
      </c>
      <c r="H254" s="75" t="str">
        <f>IFERROR(VLOOKUP(Table2[[#This Row],[Ticket]],Okey!A:B,2,0),"")</f>
        <v>ok</v>
      </c>
      <c r="I254" t="s">
        <v>19</v>
      </c>
      <c r="J254" t="str">
        <f>VLOOKUP(Table2[[#This Row],[Author]],People!A:B,2,0)</f>
        <v>MGF</v>
      </c>
      <c r="M254" t="s">
        <v>329</v>
      </c>
    </row>
    <row r="255" spans="1:13" x14ac:dyDescent="0.25">
      <c r="A255" s="75">
        <f t="shared" si="3"/>
        <v>254</v>
      </c>
      <c r="B255" s="37" t="s">
        <v>13</v>
      </c>
      <c r="C255" s="37" t="s">
        <v>325</v>
      </c>
      <c r="D255" t="s">
        <v>404</v>
      </c>
      <c r="E255" t="s">
        <v>405</v>
      </c>
      <c r="G255" t="s">
        <v>63</v>
      </c>
      <c r="H255" s="75" t="str">
        <f>IFERROR(VLOOKUP(Table2[[#This Row],[Ticket]],Okey!A:B,2,0),"")</f>
        <v>ok</v>
      </c>
      <c r="I255" t="s">
        <v>19</v>
      </c>
      <c r="J255" t="str">
        <f>VLOOKUP(Table2[[#This Row],[Author]],People!A:B,2,0)</f>
        <v>MGF</v>
      </c>
      <c r="M255" t="s">
        <v>329</v>
      </c>
    </row>
    <row r="256" spans="1:13" x14ac:dyDescent="0.25">
      <c r="A256" s="75">
        <f t="shared" si="3"/>
        <v>255</v>
      </c>
      <c r="B256" s="37" t="s">
        <v>13</v>
      </c>
      <c r="C256" s="37" t="s">
        <v>325</v>
      </c>
      <c r="D256" t="s">
        <v>406</v>
      </c>
      <c r="E256" t="s">
        <v>407</v>
      </c>
      <c r="G256" t="s">
        <v>63</v>
      </c>
      <c r="H256" s="75" t="str">
        <f>IFERROR(VLOOKUP(Table2[[#This Row],[Ticket]],Okey!A:B,2,0),"")</f>
        <v>ok</v>
      </c>
      <c r="I256" t="s">
        <v>19</v>
      </c>
      <c r="J256" t="str">
        <f>VLOOKUP(Table2[[#This Row],[Author]],People!A:B,2,0)</f>
        <v>MGF</v>
      </c>
      <c r="M256" t="s">
        <v>329</v>
      </c>
    </row>
    <row r="257" spans="1:13" x14ac:dyDescent="0.25">
      <c r="A257" s="75">
        <f t="shared" si="3"/>
        <v>256</v>
      </c>
      <c r="B257" s="37" t="s">
        <v>13</v>
      </c>
      <c r="C257" s="37" t="s">
        <v>325</v>
      </c>
      <c r="D257" t="s">
        <v>408</v>
      </c>
      <c r="E257" t="s">
        <v>409</v>
      </c>
      <c r="G257" t="s">
        <v>63</v>
      </c>
      <c r="H257" s="75" t="str">
        <f>IFERROR(VLOOKUP(Table2[[#This Row],[Ticket]],Okey!A:B,2,0),"")</f>
        <v>ok</v>
      </c>
      <c r="I257" t="s">
        <v>19</v>
      </c>
      <c r="J257" t="str">
        <f>VLOOKUP(Table2[[#This Row],[Author]],People!A:B,2,0)</f>
        <v>MGF</v>
      </c>
      <c r="M257" t="s">
        <v>329</v>
      </c>
    </row>
    <row r="258" spans="1:13" x14ac:dyDescent="0.25">
      <c r="A258" s="75">
        <f t="shared" si="3"/>
        <v>257</v>
      </c>
      <c r="B258" s="37" t="s">
        <v>13</v>
      </c>
      <c r="C258" s="37" t="s">
        <v>325</v>
      </c>
      <c r="D258" t="s">
        <v>410</v>
      </c>
      <c r="E258" t="s">
        <v>411</v>
      </c>
      <c r="G258" t="s">
        <v>63</v>
      </c>
      <c r="H258" s="75" t="str">
        <f>IFERROR(VLOOKUP(Table2[[#This Row],[Ticket]],Okey!A:B,2,0),"")</f>
        <v>ok</v>
      </c>
      <c r="I258" t="s">
        <v>19</v>
      </c>
      <c r="J258" t="str">
        <f>VLOOKUP(Table2[[#This Row],[Author]],People!A:B,2,0)</f>
        <v>MGF</v>
      </c>
      <c r="M258" t="s">
        <v>329</v>
      </c>
    </row>
    <row r="259" spans="1:13" x14ac:dyDescent="0.25">
      <c r="A259" s="75">
        <f t="shared" si="3"/>
        <v>258</v>
      </c>
      <c r="B259" s="37" t="s">
        <v>13</v>
      </c>
      <c r="C259" s="37" t="s">
        <v>325</v>
      </c>
      <c r="D259" t="s">
        <v>412</v>
      </c>
      <c r="E259" t="s">
        <v>413</v>
      </c>
      <c r="G259" t="s">
        <v>63</v>
      </c>
      <c r="H259" s="75" t="str">
        <f>IFERROR(VLOOKUP(Table2[[#This Row],[Ticket]],Okey!A:B,2,0),"")</f>
        <v>ok</v>
      </c>
      <c r="I259" t="s">
        <v>19</v>
      </c>
      <c r="J259" t="str">
        <f>VLOOKUP(Table2[[#This Row],[Author]],People!A:B,2,0)</f>
        <v>MGF</v>
      </c>
      <c r="M259" t="s">
        <v>329</v>
      </c>
    </row>
    <row r="260" spans="1:13" x14ac:dyDescent="0.25">
      <c r="A260" s="75">
        <f t="shared" si="3"/>
        <v>259</v>
      </c>
      <c r="B260" s="37" t="s">
        <v>13</v>
      </c>
      <c r="C260" s="37" t="s">
        <v>325</v>
      </c>
      <c r="D260" t="s">
        <v>414</v>
      </c>
      <c r="E260" t="s">
        <v>415</v>
      </c>
      <c r="G260" t="s">
        <v>63</v>
      </c>
      <c r="H260" s="75" t="str">
        <f>IFERROR(VLOOKUP(Table2[[#This Row],[Ticket]],Okey!A:B,2,0),"")</f>
        <v>ok</v>
      </c>
      <c r="I260" t="s">
        <v>19</v>
      </c>
      <c r="J260" t="str">
        <f>VLOOKUP(Table2[[#This Row],[Author]],People!A:B,2,0)</f>
        <v>MGF</v>
      </c>
      <c r="M260" t="s">
        <v>329</v>
      </c>
    </row>
    <row r="261" spans="1:13" x14ac:dyDescent="0.25">
      <c r="A261" s="75">
        <f t="shared" si="3"/>
        <v>260</v>
      </c>
      <c r="B261" s="37" t="s">
        <v>13</v>
      </c>
      <c r="C261" s="37" t="s">
        <v>325</v>
      </c>
      <c r="D261" t="s">
        <v>416</v>
      </c>
      <c r="E261" t="s">
        <v>417</v>
      </c>
      <c r="G261" t="s">
        <v>63</v>
      </c>
      <c r="H261" s="75" t="str">
        <f>IFERROR(VLOOKUP(Table2[[#This Row],[Ticket]],Okey!A:B,2,0),"")</f>
        <v>ok</v>
      </c>
      <c r="I261" t="s">
        <v>19</v>
      </c>
      <c r="J261" t="str">
        <f>VLOOKUP(Table2[[#This Row],[Author]],People!A:B,2,0)</f>
        <v>MGF</v>
      </c>
      <c r="M261" t="s">
        <v>329</v>
      </c>
    </row>
    <row r="262" spans="1:13" x14ac:dyDescent="0.25">
      <c r="A262" s="75">
        <f t="shared" si="3"/>
        <v>261</v>
      </c>
      <c r="B262" s="37" t="s">
        <v>13</v>
      </c>
      <c r="C262" s="37" t="s">
        <v>325</v>
      </c>
      <c r="D262" t="s">
        <v>418</v>
      </c>
      <c r="E262" t="s">
        <v>419</v>
      </c>
      <c r="G262" t="s">
        <v>63</v>
      </c>
      <c r="H262" s="75" t="str">
        <f>IFERROR(VLOOKUP(Table2[[#This Row],[Ticket]],Okey!A:B,2,0),"")</f>
        <v>ok</v>
      </c>
      <c r="I262" t="s">
        <v>19</v>
      </c>
      <c r="J262" t="str">
        <f>VLOOKUP(Table2[[#This Row],[Author]],People!A:B,2,0)</f>
        <v>MGF</v>
      </c>
      <c r="M262" t="s">
        <v>329</v>
      </c>
    </row>
    <row r="263" spans="1:13" x14ac:dyDescent="0.25">
      <c r="A263" s="75">
        <f t="shared" si="3"/>
        <v>262</v>
      </c>
      <c r="B263" s="37" t="s">
        <v>13</v>
      </c>
      <c r="C263" s="37" t="s">
        <v>325</v>
      </c>
      <c r="D263" t="s">
        <v>420</v>
      </c>
      <c r="E263" t="s">
        <v>421</v>
      </c>
      <c r="G263" t="s">
        <v>63</v>
      </c>
      <c r="H263" s="75" t="str">
        <f>IFERROR(VLOOKUP(Table2[[#This Row],[Ticket]],Okey!A:B,2,0),"")</f>
        <v>ok</v>
      </c>
      <c r="I263" t="s">
        <v>19</v>
      </c>
      <c r="J263" t="str">
        <f>VLOOKUP(Table2[[#This Row],[Author]],People!A:B,2,0)</f>
        <v>MGF</v>
      </c>
      <c r="M263" t="s">
        <v>329</v>
      </c>
    </row>
    <row r="264" spans="1:13" x14ac:dyDescent="0.25">
      <c r="A264" s="75">
        <f t="shared" si="3"/>
        <v>263</v>
      </c>
      <c r="B264" s="37" t="s">
        <v>13</v>
      </c>
      <c r="C264" s="37" t="s">
        <v>325</v>
      </c>
      <c r="D264" t="s">
        <v>422</v>
      </c>
      <c r="E264" t="s">
        <v>423</v>
      </c>
      <c r="G264" t="s">
        <v>63</v>
      </c>
      <c r="H264" s="75" t="str">
        <f>IFERROR(VLOOKUP(Table2[[#This Row],[Ticket]],Okey!A:B,2,0),"")</f>
        <v>ok</v>
      </c>
      <c r="I264" t="s">
        <v>19</v>
      </c>
      <c r="J264" t="str">
        <f>VLOOKUP(Table2[[#This Row],[Author]],People!A:B,2,0)</f>
        <v>MGF</v>
      </c>
      <c r="M264" t="s">
        <v>329</v>
      </c>
    </row>
    <row r="265" spans="1:13" x14ac:dyDescent="0.25">
      <c r="A265" s="75">
        <f t="shared" ref="A265:A328" si="4">1+A264</f>
        <v>264</v>
      </c>
      <c r="B265" s="37" t="s">
        <v>13</v>
      </c>
      <c r="C265" s="37" t="s">
        <v>325</v>
      </c>
      <c r="D265" t="s">
        <v>424</v>
      </c>
      <c r="E265" t="s">
        <v>425</v>
      </c>
      <c r="G265" t="s">
        <v>63</v>
      </c>
      <c r="H265" s="75" t="str">
        <f>IFERROR(VLOOKUP(Table2[[#This Row],[Ticket]],Okey!A:B,2,0),"")</f>
        <v>ok</v>
      </c>
      <c r="I265" t="s">
        <v>19</v>
      </c>
      <c r="J265" t="str">
        <f>VLOOKUP(Table2[[#This Row],[Author]],People!A:B,2,0)</f>
        <v>MGF</v>
      </c>
      <c r="M265" t="s">
        <v>329</v>
      </c>
    </row>
    <row r="266" spans="1:13" x14ac:dyDescent="0.25">
      <c r="A266" s="75">
        <f t="shared" si="4"/>
        <v>265</v>
      </c>
      <c r="B266" s="37" t="s">
        <v>13</v>
      </c>
      <c r="C266" s="37" t="s">
        <v>325</v>
      </c>
      <c r="D266" t="s">
        <v>426</v>
      </c>
      <c r="E266" t="s">
        <v>427</v>
      </c>
      <c r="G266" t="s">
        <v>63</v>
      </c>
      <c r="H266" s="75" t="str">
        <f>IFERROR(VLOOKUP(Table2[[#This Row],[Ticket]],Okey!A:B,2,0),"")</f>
        <v>ok</v>
      </c>
      <c r="I266" t="s">
        <v>19</v>
      </c>
      <c r="J266" t="str">
        <f>VLOOKUP(Table2[[#This Row],[Author]],People!A:B,2,0)</f>
        <v>MGF</v>
      </c>
      <c r="M266" t="s">
        <v>329</v>
      </c>
    </row>
    <row r="267" spans="1:13" x14ac:dyDescent="0.25">
      <c r="A267" s="75">
        <f t="shared" si="4"/>
        <v>266</v>
      </c>
      <c r="B267" s="37" t="s">
        <v>13</v>
      </c>
      <c r="C267" s="37" t="s">
        <v>325</v>
      </c>
      <c r="D267" t="s">
        <v>428</v>
      </c>
      <c r="E267" t="s">
        <v>429</v>
      </c>
      <c r="G267" t="s">
        <v>63</v>
      </c>
      <c r="H267" s="75" t="str">
        <f>IFERROR(VLOOKUP(Table2[[#This Row],[Ticket]],Okey!A:B,2,0),"")</f>
        <v>ok</v>
      </c>
      <c r="I267" t="s">
        <v>19</v>
      </c>
      <c r="J267" t="str">
        <f>VLOOKUP(Table2[[#This Row],[Author]],People!A:B,2,0)</f>
        <v>MGF</v>
      </c>
      <c r="M267" t="s">
        <v>329</v>
      </c>
    </row>
    <row r="268" spans="1:13" x14ac:dyDescent="0.25">
      <c r="A268" s="75">
        <f t="shared" si="4"/>
        <v>267</v>
      </c>
      <c r="B268" s="37" t="s">
        <v>13</v>
      </c>
      <c r="C268" s="37" t="s">
        <v>325</v>
      </c>
      <c r="D268" t="s">
        <v>430</v>
      </c>
      <c r="E268" t="s">
        <v>431</v>
      </c>
      <c r="G268" t="s">
        <v>63</v>
      </c>
      <c r="H268" s="75" t="str">
        <f>IFERROR(VLOOKUP(Table2[[#This Row],[Ticket]],Okey!A:B,2,0),"")</f>
        <v>ok</v>
      </c>
      <c r="I268" t="s">
        <v>19</v>
      </c>
      <c r="J268" t="str">
        <f>VLOOKUP(Table2[[#This Row],[Author]],People!A:B,2,0)</f>
        <v>MGF</v>
      </c>
      <c r="M268" t="s">
        <v>329</v>
      </c>
    </row>
    <row r="269" spans="1:13" x14ac:dyDescent="0.25">
      <c r="A269" s="75">
        <f t="shared" si="4"/>
        <v>268</v>
      </c>
      <c r="B269" s="37" t="s">
        <v>13</v>
      </c>
      <c r="C269" s="37" t="s">
        <v>325</v>
      </c>
      <c r="D269" t="s">
        <v>432</v>
      </c>
      <c r="E269" t="s">
        <v>433</v>
      </c>
      <c r="G269" t="s">
        <v>63</v>
      </c>
      <c r="H269" s="75" t="str">
        <f>IFERROR(VLOOKUP(Table2[[#This Row],[Ticket]],Okey!A:B,2,0),"")</f>
        <v>ok</v>
      </c>
      <c r="I269" t="s">
        <v>19</v>
      </c>
      <c r="J269" t="str">
        <f>VLOOKUP(Table2[[#This Row],[Author]],People!A:B,2,0)</f>
        <v>MGF</v>
      </c>
      <c r="M269" t="s">
        <v>329</v>
      </c>
    </row>
    <row r="270" spans="1:13" x14ac:dyDescent="0.25">
      <c r="A270" s="75">
        <f t="shared" si="4"/>
        <v>269</v>
      </c>
      <c r="B270" s="37" t="s">
        <v>13</v>
      </c>
      <c r="C270" s="37" t="s">
        <v>325</v>
      </c>
      <c r="D270" t="s">
        <v>434</v>
      </c>
      <c r="E270" t="s">
        <v>435</v>
      </c>
      <c r="G270" t="s">
        <v>63</v>
      </c>
      <c r="H270" s="75" t="str">
        <f>IFERROR(VLOOKUP(Table2[[#This Row],[Ticket]],Okey!A:B,2,0),"")</f>
        <v>ok</v>
      </c>
      <c r="I270" t="s">
        <v>19</v>
      </c>
      <c r="J270" t="str">
        <f>VLOOKUP(Table2[[#This Row],[Author]],People!A:B,2,0)</f>
        <v>MGF</v>
      </c>
      <c r="M270" t="s">
        <v>329</v>
      </c>
    </row>
    <row r="271" spans="1:13" x14ac:dyDescent="0.25">
      <c r="A271" s="75">
        <f t="shared" si="4"/>
        <v>270</v>
      </c>
      <c r="B271" s="37" t="s">
        <v>13</v>
      </c>
      <c r="C271" s="37" t="s">
        <v>325</v>
      </c>
      <c r="D271" t="s">
        <v>436</v>
      </c>
      <c r="E271" t="s">
        <v>437</v>
      </c>
      <c r="G271" t="s">
        <v>63</v>
      </c>
      <c r="H271" s="75" t="str">
        <f>IFERROR(VLOOKUP(Table2[[#This Row],[Ticket]],Okey!A:B,2,0),"")</f>
        <v>ok</v>
      </c>
      <c r="I271" t="s">
        <v>19</v>
      </c>
      <c r="J271" t="str">
        <f>VLOOKUP(Table2[[#This Row],[Author]],People!A:B,2,0)</f>
        <v>MGF</v>
      </c>
      <c r="M271" t="s">
        <v>329</v>
      </c>
    </row>
    <row r="272" spans="1:13" x14ac:dyDescent="0.25">
      <c r="A272" s="75">
        <f t="shared" si="4"/>
        <v>271</v>
      </c>
      <c r="B272" s="37" t="s">
        <v>13</v>
      </c>
      <c r="C272" s="37" t="s">
        <v>325</v>
      </c>
      <c r="D272" t="s">
        <v>438</v>
      </c>
      <c r="E272" t="s">
        <v>439</v>
      </c>
      <c r="G272" t="s">
        <v>63</v>
      </c>
      <c r="H272" s="75" t="str">
        <f>IFERROR(VLOOKUP(Table2[[#This Row],[Ticket]],Okey!A:B,2,0),"")</f>
        <v>ok</v>
      </c>
      <c r="I272" t="s">
        <v>19</v>
      </c>
      <c r="J272" t="str">
        <f>VLOOKUP(Table2[[#This Row],[Author]],People!A:B,2,0)</f>
        <v>MGF</v>
      </c>
      <c r="M272" t="s">
        <v>329</v>
      </c>
    </row>
    <row r="273" spans="1:13" x14ac:dyDescent="0.25">
      <c r="A273" s="75">
        <f t="shared" si="4"/>
        <v>272</v>
      </c>
      <c r="B273" s="37" t="s">
        <v>13</v>
      </c>
      <c r="C273" s="37" t="s">
        <v>325</v>
      </c>
      <c r="D273" t="s">
        <v>440</v>
      </c>
      <c r="E273" t="s">
        <v>441</v>
      </c>
      <c r="G273" t="s">
        <v>63</v>
      </c>
      <c r="H273" s="75" t="str">
        <f>IFERROR(VLOOKUP(Table2[[#This Row],[Ticket]],Okey!A:B,2,0),"")</f>
        <v>ok</v>
      </c>
      <c r="I273" t="s">
        <v>19</v>
      </c>
      <c r="J273" t="str">
        <f>VLOOKUP(Table2[[#This Row],[Author]],People!A:B,2,0)</f>
        <v>MGF</v>
      </c>
      <c r="M273" t="s">
        <v>329</v>
      </c>
    </row>
    <row r="274" spans="1:13" x14ac:dyDescent="0.25">
      <c r="A274" s="75">
        <f t="shared" si="4"/>
        <v>273</v>
      </c>
      <c r="B274" s="37" t="s">
        <v>13</v>
      </c>
      <c r="C274" s="37" t="s">
        <v>325</v>
      </c>
      <c r="D274" t="s">
        <v>442</v>
      </c>
      <c r="E274" t="s">
        <v>443</v>
      </c>
      <c r="G274" t="s">
        <v>63</v>
      </c>
      <c r="H274" s="75" t="str">
        <f>IFERROR(VLOOKUP(Table2[[#This Row],[Ticket]],Okey!A:B,2,0),"")</f>
        <v>ok</v>
      </c>
      <c r="I274" t="s">
        <v>19</v>
      </c>
      <c r="J274" t="str">
        <f>VLOOKUP(Table2[[#This Row],[Author]],People!A:B,2,0)</f>
        <v>MGF</v>
      </c>
      <c r="M274" t="s">
        <v>329</v>
      </c>
    </row>
    <row r="275" spans="1:13" x14ac:dyDescent="0.25">
      <c r="A275" s="75">
        <f t="shared" si="4"/>
        <v>274</v>
      </c>
      <c r="B275" s="37" t="s">
        <v>13</v>
      </c>
      <c r="C275" s="37" t="s">
        <v>325</v>
      </c>
      <c r="D275" t="s">
        <v>444</v>
      </c>
      <c r="E275" t="s">
        <v>445</v>
      </c>
      <c r="G275" t="s">
        <v>63</v>
      </c>
      <c r="H275" s="75" t="str">
        <f>IFERROR(VLOOKUP(Table2[[#This Row],[Ticket]],Okey!A:B,2,0),"")</f>
        <v>ok</v>
      </c>
      <c r="I275" t="s">
        <v>19</v>
      </c>
      <c r="J275" t="str">
        <f>VLOOKUP(Table2[[#This Row],[Author]],People!A:B,2,0)</f>
        <v>MGF</v>
      </c>
      <c r="M275" t="s">
        <v>329</v>
      </c>
    </row>
    <row r="276" spans="1:13" x14ac:dyDescent="0.25">
      <c r="A276" s="75">
        <f t="shared" si="4"/>
        <v>275</v>
      </c>
      <c r="B276" s="37" t="s">
        <v>13</v>
      </c>
      <c r="C276" s="37" t="s">
        <v>325</v>
      </c>
      <c r="D276" t="s">
        <v>446</v>
      </c>
      <c r="E276" t="s">
        <v>447</v>
      </c>
      <c r="G276" t="s">
        <v>63</v>
      </c>
      <c r="H276" s="75" t="str">
        <f>IFERROR(VLOOKUP(Table2[[#This Row],[Ticket]],Okey!A:B,2,0),"")</f>
        <v>ok</v>
      </c>
      <c r="I276" t="s">
        <v>19</v>
      </c>
      <c r="J276" t="str">
        <f>VLOOKUP(Table2[[#This Row],[Author]],People!A:B,2,0)</f>
        <v>MGF</v>
      </c>
      <c r="M276" t="s">
        <v>329</v>
      </c>
    </row>
    <row r="277" spans="1:13" x14ac:dyDescent="0.25">
      <c r="A277" s="75">
        <f t="shared" si="4"/>
        <v>276</v>
      </c>
      <c r="B277" s="37" t="s">
        <v>13</v>
      </c>
      <c r="C277" s="37" t="s">
        <v>325</v>
      </c>
      <c r="D277" t="s">
        <v>448</v>
      </c>
      <c r="E277" t="s">
        <v>449</v>
      </c>
      <c r="G277" t="s">
        <v>63</v>
      </c>
      <c r="H277" s="75" t="str">
        <f>IFERROR(VLOOKUP(Table2[[#This Row],[Ticket]],Okey!A:B,2,0),"")</f>
        <v>ok</v>
      </c>
      <c r="I277" t="s">
        <v>19</v>
      </c>
      <c r="J277" t="str">
        <f>VLOOKUP(Table2[[#This Row],[Author]],People!A:B,2,0)</f>
        <v>MGF</v>
      </c>
      <c r="M277" t="s">
        <v>329</v>
      </c>
    </row>
    <row r="278" spans="1:13" x14ac:dyDescent="0.25">
      <c r="A278" s="75">
        <f t="shared" si="4"/>
        <v>277</v>
      </c>
      <c r="B278" s="37" t="s">
        <v>13</v>
      </c>
      <c r="C278" s="37" t="s">
        <v>325</v>
      </c>
      <c r="D278" t="s">
        <v>450</v>
      </c>
      <c r="E278" t="s">
        <v>451</v>
      </c>
      <c r="G278" t="s">
        <v>63</v>
      </c>
      <c r="H278" s="75" t="str">
        <f>IFERROR(VLOOKUP(Table2[[#This Row],[Ticket]],Okey!A:B,2,0),"")</f>
        <v>ok</v>
      </c>
      <c r="I278" t="s">
        <v>19</v>
      </c>
      <c r="J278" t="str">
        <f>VLOOKUP(Table2[[#This Row],[Author]],People!A:B,2,0)</f>
        <v>MGF</v>
      </c>
      <c r="M278" t="s">
        <v>329</v>
      </c>
    </row>
    <row r="279" spans="1:13" x14ac:dyDescent="0.25">
      <c r="A279" s="75">
        <f t="shared" si="4"/>
        <v>278</v>
      </c>
      <c r="B279" s="37" t="s">
        <v>13</v>
      </c>
      <c r="C279" s="37" t="s">
        <v>325</v>
      </c>
      <c r="D279" t="s">
        <v>452</v>
      </c>
      <c r="E279" t="s">
        <v>453</v>
      </c>
      <c r="G279" t="s">
        <v>63</v>
      </c>
      <c r="H279" s="75" t="str">
        <f>IFERROR(VLOOKUP(Table2[[#This Row],[Ticket]],Okey!A:B,2,0),"")</f>
        <v>ok</v>
      </c>
      <c r="I279" t="s">
        <v>19</v>
      </c>
      <c r="J279" t="str">
        <f>VLOOKUP(Table2[[#This Row],[Author]],People!A:B,2,0)</f>
        <v>MGF</v>
      </c>
      <c r="M279" t="s">
        <v>329</v>
      </c>
    </row>
    <row r="280" spans="1:13" x14ac:dyDescent="0.25">
      <c r="A280" s="75">
        <f t="shared" si="4"/>
        <v>279</v>
      </c>
      <c r="B280" s="37" t="s">
        <v>13</v>
      </c>
      <c r="C280" s="37" t="s">
        <v>325</v>
      </c>
      <c r="D280" t="s">
        <v>454</v>
      </c>
      <c r="E280" t="s">
        <v>455</v>
      </c>
      <c r="G280" t="s">
        <v>63</v>
      </c>
      <c r="H280" s="75" t="str">
        <f>IFERROR(VLOOKUP(Table2[[#This Row],[Ticket]],Okey!A:B,2,0),"")</f>
        <v>ok</v>
      </c>
      <c r="I280" t="s">
        <v>19</v>
      </c>
      <c r="J280" t="str">
        <f>VLOOKUP(Table2[[#This Row],[Author]],People!A:B,2,0)</f>
        <v>MGF</v>
      </c>
      <c r="M280" t="s">
        <v>329</v>
      </c>
    </row>
    <row r="281" spans="1:13" x14ac:dyDescent="0.25">
      <c r="A281" s="75">
        <f t="shared" si="4"/>
        <v>280</v>
      </c>
      <c r="B281" s="37" t="s">
        <v>13</v>
      </c>
      <c r="C281" s="37" t="s">
        <v>325</v>
      </c>
      <c r="D281" t="s">
        <v>456</v>
      </c>
      <c r="E281" t="s">
        <v>457</v>
      </c>
      <c r="G281" t="s">
        <v>63</v>
      </c>
      <c r="H281" s="75" t="str">
        <f>IFERROR(VLOOKUP(Table2[[#This Row],[Ticket]],Okey!A:B,2,0),"")</f>
        <v>ok</v>
      </c>
      <c r="I281" t="s">
        <v>19</v>
      </c>
      <c r="J281" t="str">
        <f>VLOOKUP(Table2[[#This Row],[Author]],People!A:B,2,0)</f>
        <v>MGF</v>
      </c>
      <c r="M281" t="s">
        <v>329</v>
      </c>
    </row>
    <row r="282" spans="1:13" x14ac:dyDescent="0.25">
      <c r="A282" s="75">
        <f t="shared" si="4"/>
        <v>281</v>
      </c>
      <c r="B282" s="37" t="s">
        <v>13</v>
      </c>
      <c r="C282" s="37" t="s">
        <v>325</v>
      </c>
      <c r="D282" t="s">
        <v>458</v>
      </c>
      <c r="E282" t="s">
        <v>459</v>
      </c>
      <c r="G282" t="s">
        <v>63</v>
      </c>
      <c r="H282" s="75" t="str">
        <f>IFERROR(VLOOKUP(Table2[[#This Row],[Ticket]],Okey!A:B,2,0),"")</f>
        <v>ok</v>
      </c>
      <c r="I282" t="s">
        <v>19</v>
      </c>
      <c r="J282" t="str">
        <f>VLOOKUP(Table2[[#This Row],[Author]],People!A:B,2,0)</f>
        <v>MGF</v>
      </c>
      <c r="M282" t="s">
        <v>329</v>
      </c>
    </row>
    <row r="283" spans="1:13" x14ac:dyDescent="0.25">
      <c r="A283" s="75">
        <f t="shared" si="4"/>
        <v>282</v>
      </c>
      <c r="B283" s="37" t="s">
        <v>13</v>
      </c>
      <c r="C283" s="37" t="s">
        <v>325</v>
      </c>
      <c r="D283" t="s">
        <v>460</v>
      </c>
      <c r="E283" t="s">
        <v>461</v>
      </c>
      <c r="G283" t="s">
        <v>63</v>
      </c>
      <c r="H283" s="75" t="str">
        <f>IFERROR(VLOOKUP(Table2[[#This Row],[Ticket]],Okey!A:B,2,0),"")</f>
        <v>ok</v>
      </c>
      <c r="I283" t="s">
        <v>19</v>
      </c>
      <c r="J283" t="str">
        <f>VLOOKUP(Table2[[#This Row],[Author]],People!A:B,2,0)</f>
        <v>MGF</v>
      </c>
      <c r="M283" t="s">
        <v>329</v>
      </c>
    </row>
    <row r="284" spans="1:13" x14ac:dyDescent="0.25">
      <c r="A284" s="75">
        <f t="shared" si="4"/>
        <v>283</v>
      </c>
      <c r="B284" s="37" t="s">
        <v>13</v>
      </c>
      <c r="C284" s="37" t="s">
        <v>325</v>
      </c>
      <c r="D284" t="s">
        <v>462</v>
      </c>
      <c r="E284" t="s">
        <v>463</v>
      </c>
      <c r="G284" t="s">
        <v>63</v>
      </c>
      <c r="H284" s="75" t="str">
        <f>IFERROR(VLOOKUP(Table2[[#This Row],[Ticket]],Okey!A:B,2,0),"")</f>
        <v>ok</v>
      </c>
      <c r="I284" t="s">
        <v>19</v>
      </c>
      <c r="J284" t="str">
        <f>VLOOKUP(Table2[[#This Row],[Author]],People!A:B,2,0)</f>
        <v>MGF</v>
      </c>
      <c r="M284" t="s">
        <v>329</v>
      </c>
    </row>
    <row r="285" spans="1:13" x14ac:dyDescent="0.25">
      <c r="A285" s="75">
        <f t="shared" si="4"/>
        <v>284</v>
      </c>
      <c r="B285" s="37" t="s">
        <v>13</v>
      </c>
      <c r="C285" s="37" t="s">
        <v>325</v>
      </c>
      <c r="D285" t="s">
        <v>464</v>
      </c>
      <c r="E285" t="s">
        <v>465</v>
      </c>
      <c r="G285" t="s">
        <v>63</v>
      </c>
      <c r="H285" s="75" t="str">
        <f>IFERROR(VLOOKUP(Table2[[#This Row],[Ticket]],Okey!A:B,2,0),"")</f>
        <v>ok</v>
      </c>
      <c r="I285" t="s">
        <v>19</v>
      </c>
      <c r="J285" t="str">
        <f>VLOOKUP(Table2[[#This Row],[Author]],People!A:B,2,0)</f>
        <v>MGF</v>
      </c>
      <c r="M285" t="s">
        <v>329</v>
      </c>
    </row>
    <row r="286" spans="1:13" x14ac:dyDescent="0.25">
      <c r="A286" s="75">
        <f t="shared" si="4"/>
        <v>285</v>
      </c>
      <c r="B286" s="37" t="s">
        <v>13</v>
      </c>
      <c r="C286" s="37" t="s">
        <v>325</v>
      </c>
      <c r="D286" t="s">
        <v>466</v>
      </c>
      <c r="E286" t="s">
        <v>467</v>
      </c>
      <c r="G286" t="s">
        <v>63</v>
      </c>
      <c r="H286" s="75" t="str">
        <f>IFERROR(VLOOKUP(Table2[[#This Row],[Ticket]],Okey!A:B,2,0),"")</f>
        <v>ok</v>
      </c>
      <c r="I286" t="s">
        <v>19</v>
      </c>
      <c r="J286" t="str">
        <f>VLOOKUP(Table2[[#This Row],[Author]],People!A:B,2,0)</f>
        <v>MGF</v>
      </c>
      <c r="M286" t="s">
        <v>329</v>
      </c>
    </row>
    <row r="287" spans="1:13" x14ac:dyDescent="0.25">
      <c r="A287" s="75">
        <f t="shared" si="4"/>
        <v>286</v>
      </c>
      <c r="B287" s="37" t="s">
        <v>13</v>
      </c>
      <c r="C287" s="37" t="s">
        <v>325</v>
      </c>
      <c r="D287" t="s">
        <v>468</v>
      </c>
      <c r="E287" t="s">
        <v>469</v>
      </c>
      <c r="G287" t="s">
        <v>63</v>
      </c>
      <c r="H287" s="75" t="str">
        <f>IFERROR(VLOOKUP(Table2[[#This Row],[Ticket]],Okey!A:B,2,0),"")</f>
        <v>ok</v>
      </c>
      <c r="I287" t="s">
        <v>19</v>
      </c>
      <c r="J287" t="str">
        <f>VLOOKUP(Table2[[#This Row],[Author]],People!A:B,2,0)</f>
        <v>MGF</v>
      </c>
      <c r="M287" t="s">
        <v>329</v>
      </c>
    </row>
    <row r="288" spans="1:13" x14ac:dyDescent="0.25">
      <c r="A288" s="75">
        <f t="shared" si="4"/>
        <v>287</v>
      </c>
      <c r="B288" s="37" t="s">
        <v>13</v>
      </c>
      <c r="C288" s="37" t="s">
        <v>325</v>
      </c>
      <c r="D288" t="s">
        <v>470</v>
      </c>
      <c r="E288" t="s">
        <v>471</v>
      </c>
      <c r="G288" t="s">
        <v>63</v>
      </c>
      <c r="H288" s="75" t="str">
        <f>IFERROR(VLOOKUP(Table2[[#This Row],[Ticket]],Okey!A:B,2,0),"")</f>
        <v>ok</v>
      </c>
      <c r="I288" t="s">
        <v>19</v>
      </c>
      <c r="J288" t="str">
        <f>VLOOKUP(Table2[[#This Row],[Author]],People!A:B,2,0)</f>
        <v>MGF</v>
      </c>
      <c r="M288" t="s">
        <v>329</v>
      </c>
    </row>
    <row r="289" spans="1:13" x14ac:dyDescent="0.25">
      <c r="A289" s="75">
        <f t="shared" si="4"/>
        <v>288</v>
      </c>
      <c r="B289" s="37" t="s">
        <v>13</v>
      </c>
      <c r="C289" s="37" t="s">
        <v>325</v>
      </c>
      <c r="D289" t="s">
        <v>472</v>
      </c>
      <c r="E289" t="s">
        <v>473</v>
      </c>
      <c r="G289" t="s">
        <v>63</v>
      </c>
      <c r="H289" s="75" t="str">
        <f>IFERROR(VLOOKUP(Table2[[#This Row],[Ticket]],Okey!A:B,2,0),"")</f>
        <v>ok</v>
      </c>
      <c r="I289" t="s">
        <v>19</v>
      </c>
      <c r="J289" t="str">
        <f>VLOOKUP(Table2[[#This Row],[Author]],People!A:B,2,0)</f>
        <v>MGF</v>
      </c>
      <c r="M289" t="s">
        <v>329</v>
      </c>
    </row>
    <row r="290" spans="1:13" x14ac:dyDescent="0.25">
      <c r="A290" s="75">
        <f t="shared" si="4"/>
        <v>289</v>
      </c>
      <c r="B290" s="37" t="s">
        <v>13</v>
      </c>
      <c r="C290" s="37" t="s">
        <v>325</v>
      </c>
      <c r="D290" t="s">
        <v>474</v>
      </c>
      <c r="E290" t="s">
        <v>475</v>
      </c>
      <c r="G290" t="s">
        <v>63</v>
      </c>
      <c r="H290" s="75" t="str">
        <f>IFERROR(VLOOKUP(Table2[[#This Row],[Ticket]],Okey!A:B,2,0),"")</f>
        <v>ok</v>
      </c>
      <c r="I290" t="s">
        <v>19</v>
      </c>
      <c r="J290" t="str">
        <f>VLOOKUP(Table2[[#This Row],[Author]],People!A:B,2,0)</f>
        <v>MGF</v>
      </c>
      <c r="M290" t="s">
        <v>329</v>
      </c>
    </row>
    <row r="291" spans="1:13" x14ac:dyDescent="0.25">
      <c r="A291" s="75">
        <f t="shared" si="4"/>
        <v>290</v>
      </c>
      <c r="B291" s="37" t="s">
        <v>13</v>
      </c>
      <c r="C291" s="37" t="s">
        <v>325</v>
      </c>
      <c r="D291" t="s">
        <v>476</v>
      </c>
      <c r="E291" t="s">
        <v>477</v>
      </c>
      <c r="G291" t="s">
        <v>63</v>
      </c>
      <c r="H291" s="75" t="str">
        <f>IFERROR(VLOOKUP(Table2[[#This Row],[Ticket]],Okey!A:B,2,0),"")</f>
        <v>ok</v>
      </c>
      <c r="I291" t="s">
        <v>19</v>
      </c>
      <c r="J291" t="str">
        <f>VLOOKUP(Table2[[#This Row],[Author]],People!A:B,2,0)</f>
        <v>MGF</v>
      </c>
      <c r="M291" t="s">
        <v>329</v>
      </c>
    </row>
    <row r="292" spans="1:13" x14ac:dyDescent="0.25">
      <c r="A292" s="75">
        <f t="shared" si="4"/>
        <v>291</v>
      </c>
      <c r="B292" s="37" t="s">
        <v>13</v>
      </c>
      <c r="C292" s="37" t="s">
        <v>325</v>
      </c>
      <c r="D292" t="s">
        <v>478</v>
      </c>
      <c r="E292" t="s">
        <v>479</v>
      </c>
      <c r="G292" t="s">
        <v>63</v>
      </c>
      <c r="H292" s="75" t="str">
        <f>IFERROR(VLOOKUP(Table2[[#This Row],[Ticket]],Okey!A:B,2,0),"")</f>
        <v>ok</v>
      </c>
      <c r="I292" t="s">
        <v>19</v>
      </c>
      <c r="J292" t="str">
        <f>VLOOKUP(Table2[[#This Row],[Author]],People!A:B,2,0)</f>
        <v>MGF</v>
      </c>
      <c r="M292" t="s">
        <v>329</v>
      </c>
    </row>
    <row r="293" spans="1:13" x14ac:dyDescent="0.25">
      <c r="A293" s="75">
        <f t="shared" si="4"/>
        <v>292</v>
      </c>
      <c r="B293" s="37" t="s">
        <v>13</v>
      </c>
      <c r="C293" s="37" t="s">
        <v>325</v>
      </c>
      <c r="D293" t="s">
        <v>480</v>
      </c>
      <c r="E293" t="s">
        <v>481</v>
      </c>
      <c r="G293" t="s">
        <v>63</v>
      </c>
      <c r="H293" s="75" t="str">
        <f>IFERROR(VLOOKUP(Table2[[#This Row],[Ticket]],Okey!A:B,2,0),"")</f>
        <v>ok</v>
      </c>
      <c r="I293" t="s">
        <v>19</v>
      </c>
      <c r="J293" t="str">
        <f>VLOOKUP(Table2[[#This Row],[Author]],People!A:B,2,0)</f>
        <v>MGF</v>
      </c>
      <c r="M293" t="s">
        <v>329</v>
      </c>
    </row>
    <row r="294" spans="1:13" x14ac:dyDescent="0.25">
      <c r="A294" s="75">
        <f t="shared" si="4"/>
        <v>293</v>
      </c>
      <c r="B294" s="37" t="s">
        <v>13</v>
      </c>
      <c r="C294" s="37" t="s">
        <v>325</v>
      </c>
      <c r="D294" t="s">
        <v>482</v>
      </c>
      <c r="E294" t="s">
        <v>483</v>
      </c>
      <c r="G294" t="s">
        <v>63</v>
      </c>
      <c r="H294" s="75" t="str">
        <f>IFERROR(VLOOKUP(Table2[[#This Row],[Ticket]],Okey!A:B,2,0),"")</f>
        <v>ok</v>
      </c>
      <c r="I294" t="s">
        <v>19</v>
      </c>
      <c r="J294" t="str">
        <f>VLOOKUP(Table2[[#This Row],[Author]],People!A:B,2,0)</f>
        <v>MGF</v>
      </c>
      <c r="M294" t="s">
        <v>329</v>
      </c>
    </row>
    <row r="295" spans="1:13" x14ac:dyDescent="0.25">
      <c r="A295" s="75">
        <f t="shared" si="4"/>
        <v>294</v>
      </c>
      <c r="B295" s="37" t="s">
        <v>13</v>
      </c>
      <c r="C295" s="37" t="s">
        <v>325</v>
      </c>
      <c r="D295" t="s">
        <v>484</v>
      </c>
      <c r="E295" t="s">
        <v>485</v>
      </c>
      <c r="G295" t="s">
        <v>63</v>
      </c>
      <c r="H295" s="75" t="str">
        <f>IFERROR(VLOOKUP(Table2[[#This Row],[Ticket]],Okey!A:B,2,0),"")</f>
        <v>ok</v>
      </c>
      <c r="I295" t="s">
        <v>19</v>
      </c>
      <c r="J295" t="str">
        <f>VLOOKUP(Table2[[#This Row],[Author]],People!A:B,2,0)</f>
        <v>MGF</v>
      </c>
      <c r="M295" t="s">
        <v>329</v>
      </c>
    </row>
    <row r="296" spans="1:13" x14ac:dyDescent="0.25">
      <c r="A296" s="75">
        <f t="shared" si="4"/>
        <v>295</v>
      </c>
      <c r="B296" s="37" t="s">
        <v>13</v>
      </c>
      <c r="C296" s="37" t="s">
        <v>325</v>
      </c>
      <c r="D296" t="s">
        <v>486</v>
      </c>
      <c r="E296" t="s">
        <v>487</v>
      </c>
      <c r="G296" t="s">
        <v>63</v>
      </c>
      <c r="H296" s="75" t="str">
        <f>IFERROR(VLOOKUP(Table2[[#This Row],[Ticket]],Okey!A:B,2,0),"")</f>
        <v>ok</v>
      </c>
      <c r="I296" t="s">
        <v>19</v>
      </c>
      <c r="J296" t="str">
        <f>VLOOKUP(Table2[[#This Row],[Author]],People!A:B,2,0)</f>
        <v>MGF</v>
      </c>
      <c r="M296" t="s">
        <v>329</v>
      </c>
    </row>
    <row r="297" spans="1:13" x14ac:dyDescent="0.25">
      <c r="A297" s="75">
        <f t="shared" si="4"/>
        <v>296</v>
      </c>
      <c r="B297" s="37" t="s">
        <v>13</v>
      </c>
      <c r="C297" s="37" t="s">
        <v>325</v>
      </c>
      <c r="D297" t="s">
        <v>488</v>
      </c>
      <c r="E297" t="s">
        <v>489</v>
      </c>
      <c r="G297" t="s">
        <v>63</v>
      </c>
      <c r="H297" s="75" t="str">
        <f>IFERROR(VLOOKUP(Table2[[#This Row],[Ticket]],Okey!A:B,2,0),"")</f>
        <v>ok</v>
      </c>
      <c r="I297" t="s">
        <v>19</v>
      </c>
      <c r="J297" t="str">
        <f>VLOOKUP(Table2[[#This Row],[Author]],People!A:B,2,0)</f>
        <v>MGF</v>
      </c>
      <c r="M297" t="s">
        <v>329</v>
      </c>
    </row>
    <row r="298" spans="1:13" x14ac:dyDescent="0.25">
      <c r="A298" s="75">
        <f t="shared" si="4"/>
        <v>297</v>
      </c>
      <c r="B298" s="37" t="s">
        <v>13</v>
      </c>
      <c r="C298" s="37" t="s">
        <v>325</v>
      </c>
      <c r="D298" t="s">
        <v>490</v>
      </c>
      <c r="E298" t="s">
        <v>491</v>
      </c>
      <c r="G298" t="s">
        <v>63</v>
      </c>
      <c r="H298" s="75" t="str">
        <f>IFERROR(VLOOKUP(Table2[[#This Row],[Ticket]],Okey!A:B,2,0),"")</f>
        <v>ok</v>
      </c>
      <c r="I298" t="s">
        <v>19</v>
      </c>
      <c r="J298" t="str">
        <f>VLOOKUP(Table2[[#This Row],[Author]],People!A:B,2,0)</f>
        <v>MGF</v>
      </c>
      <c r="M298" t="s">
        <v>329</v>
      </c>
    </row>
    <row r="299" spans="1:13" x14ac:dyDescent="0.25">
      <c r="A299" s="75">
        <f t="shared" si="4"/>
        <v>298</v>
      </c>
      <c r="B299" s="13" t="s">
        <v>13</v>
      </c>
      <c r="C299" s="13" t="s">
        <v>325</v>
      </c>
      <c r="D299" t="s">
        <v>492</v>
      </c>
      <c r="E299" t="s">
        <v>493</v>
      </c>
      <c r="G299" t="s">
        <v>63</v>
      </c>
      <c r="H299" s="75" t="str">
        <f>IFERROR(VLOOKUP(Table2[[#This Row],[Ticket]],Okey!A:B,2,0),"")</f>
        <v>ok</v>
      </c>
      <c r="I299" t="s">
        <v>19</v>
      </c>
      <c r="J299" t="str">
        <f>VLOOKUP(Table2[[#This Row],[Author]],People!A:B,2,0)</f>
        <v>MGF</v>
      </c>
      <c r="M299" t="s">
        <v>329</v>
      </c>
    </row>
    <row r="300" spans="1:13" x14ac:dyDescent="0.25">
      <c r="A300" s="75">
        <f t="shared" si="4"/>
        <v>299</v>
      </c>
      <c r="B300" s="13" t="s">
        <v>13</v>
      </c>
      <c r="C300" s="13" t="s">
        <v>325</v>
      </c>
      <c r="D300" t="s">
        <v>494</v>
      </c>
      <c r="E300" s="14" t="s">
        <v>495</v>
      </c>
      <c r="G300" t="s">
        <v>63</v>
      </c>
      <c r="H300" s="75" t="str">
        <f>IFERROR(VLOOKUP(Table2[[#This Row],[Ticket]],Okey!A:B,2,0),"")</f>
        <v>ok</v>
      </c>
      <c r="I300" t="s">
        <v>19</v>
      </c>
      <c r="J300" t="str">
        <f>VLOOKUP(Table2[[#This Row],[Author]],People!A:B,2,0)</f>
        <v>MGF</v>
      </c>
      <c r="M300" t="s">
        <v>329</v>
      </c>
    </row>
    <row r="301" spans="1:13" x14ac:dyDescent="0.25">
      <c r="A301" s="75">
        <f t="shared" si="4"/>
        <v>300</v>
      </c>
      <c r="B301" s="13" t="s">
        <v>13</v>
      </c>
      <c r="C301" s="13" t="s">
        <v>325</v>
      </c>
      <c r="D301" t="s">
        <v>494</v>
      </c>
      <c r="E301" t="s">
        <v>388</v>
      </c>
      <c r="F301" t="s">
        <v>389</v>
      </c>
      <c r="G301" t="s">
        <v>496</v>
      </c>
      <c r="H301" s="75" t="str">
        <f>IFERROR(VLOOKUP(Table2[[#This Row],[Ticket]],Okey!A:B,2,0),"")</f>
        <v>ok</v>
      </c>
      <c r="I301" t="s">
        <v>19</v>
      </c>
      <c r="J301" t="str">
        <f>VLOOKUP(Table2[[#This Row],[Author]],People!A:B,2,0)</f>
        <v>MGF</v>
      </c>
      <c r="M301" t="s">
        <v>329</v>
      </c>
    </row>
    <row r="302" spans="1:13" x14ac:dyDescent="0.25">
      <c r="A302" s="75">
        <f t="shared" si="4"/>
        <v>301</v>
      </c>
      <c r="B302" s="13" t="s">
        <v>13</v>
      </c>
      <c r="C302" s="13" t="s">
        <v>325</v>
      </c>
      <c r="D302" t="s">
        <v>497</v>
      </c>
      <c r="E302" t="s">
        <v>498</v>
      </c>
      <c r="F302" t="s">
        <v>499</v>
      </c>
      <c r="G302" t="s">
        <v>496</v>
      </c>
      <c r="H302" s="75" t="str">
        <f>IFERROR(VLOOKUP(Table2[[#This Row],[Ticket]],Okey!A:B,2,0),"")</f>
        <v>ok</v>
      </c>
      <c r="I302" t="s">
        <v>19</v>
      </c>
      <c r="J302" t="str">
        <f>VLOOKUP(Table2[[#This Row],[Author]],People!A:B,2,0)</f>
        <v>MGF</v>
      </c>
      <c r="M302" t="s">
        <v>329</v>
      </c>
    </row>
    <row r="303" spans="1:13" x14ac:dyDescent="0.25">
      <c r="A303" s="75">
        <f t="shared" si="4"/>
        <v>302</v>
      </c>
      <c r="B303" s="13" t="s">
        <v>13</v>
      </c>
      <c r="C303" s="13" t="s">
        <v>325</v>
      </c>
      <c r="D303" t="s">
        <v>500</v>
      </c>
      <c r="E303" t="s">
        <v>501</v>
      </c>
      <c r="F303" t="s">
        <v>390</v>
      </c>
      <c r="G303" t="s">
        <v>496</v>
      </c>
      <c r="H303" s="75" t="str">
        <f>IFERROR(VLOOKUP(Table2[[#This Row],[Ticket]],Okey!A:B,2,0),"")</f>
        <v>ok</v>
      </c>
      <c r="I303" t="s">
        <v>19</v>
      </c>
      <c r="J303" t="str">
        <f>VLOOKUP(Table2[[#This Row],[Author]],People!A:B,2,0)</f>
        <v>MGF</v>
      </c>
      <c r="M303" t="s">
        <v>329</v>
      </c>
    </row>
    <row r="304" spans="1:13" x14ac:dyDescent="0.25">
      <c r="A304" s="75">
        <f t="shared" si="4"/>
        <v>303</v>
      </c>
      <c r="B304" s="13" t="s">
        <v>13</v>
      </c>
      <c r="C304" s="13" t="s">
        <v>325</v>
      </c>
      <c r="D304" t="s">
        <v>502</v>
      </c>
      <c r="E304" t="s">
        <v>503</v>
      </c>
      <c r="F304" t="s">
        <v>390</v>
      </c>
      <c r="G304" t="s">
        <v>496</v>
      </c>
      <c r="H304" s="75" t="str">
        <f>IFERROR(VLOOKUP(Table2[[#This Row],[Ticket]],Okey!A:B,2,0),"")</f>
        <v>ok</v>
      </c>
      <c r="I304" t="s">
        <v>19</v>
      </c>
      <c r="J304" t="str">
        <f>VLOOKUP(Table2[[#This Row],[Author]],People!A:B,2,0)</f>
        <v>MGF</v>
      </c>
      <c r="M304" t="s">
        <v>329</v>
      </c>
    </row>
    <row r="305" spans="1:13" x14ac:dyDescent="0.25">
      <c r="A305" s="75">
        <f t="shared" si="4"/>
        <v>304</v>
      </c>
      <c r="B305" s="13" t="s">
        <v>13</v>
      </c>
      <c r="C305" s="13" t="s">
        <v>325</v>
      </c>
      <c r="D305" t="s">
        <v>504</v>
      </c>
      <c r="E305" t="s">
        <v>505</v>
      </c>
      <c r="F305" t="s">
        <v>390</v>
      </c>
      <c r="G305" t="s">
        <v>496</v>
      </c>
      <c r="H305" s="75" t="str">
        <f>IFERROR(VLOOKUP(Table2[[#This Row],[Ticket]],Okey!A:B,2,0),"")</f>
        <v>ok</v>
      </c>
      <c r="I305" t="s">
        <v>19</v>
      </c>
      <c r="J305" t="str">
        <f>VLOOKUP(Table2[[#This Row],[Author]],People!A:B,2,0)</f>
        <v>MGF</v>
      </c>
      <c r="M305" t="s">
        <v>329</v>
      </c>
    </row>
    <row r="306" spans="1:13" x14ac:dyDescent="0.25">
      <c r="A306" s="75">
        <f t="shared" si="4"/>
        <v>305</v>
      </c>
      <c r="B306" s="13" t="s">
        <v>13</v>
      </c>
      <c r="C306" s="13" t="s">
        <v>325</v>
      </c>
      <c r="D306" t="s">
        <v>499</v>
      </c>
      <c r="E306" t="s">
        <v>506</v>
      </c>
      <c r="F306" t="s">
        <v>390</v>
      </c>
      <c r="G306" t="s">
        <v>496</v>
      </c>
      <c r="H306" s="75" t="str">
        <f>IFERROR(VLOOKUP(Table2[[#This Row],[Ticket]],Okey!A:B,2,0),"")</f>
        <v>ok</v>
      </c>
      <c r="I306" t="s">
        <v>19</v>
      </c>
      <c r="J306" t="str">
        <f>VLOOKUP(Table2[[#This Row],[Author]],People!A:B,2,0)</f>
        <v>MGF</v>
      </c>
      <c r="M306" t="s">
        <v>329</v>
      </c>
    </row>
    <row r="307" spans="1:13" x14ac:dyDescent="0.25">
      <c r="A307" s="75">
        <f t="shared" si="4"/>
        <v>306</v>
      </c>
      <c r="B307" s="13" t="s">
        <v>13</v>
      </c>
      <c r="C307" s="13" t="s">
        <v>325</v>
      </c>
      <c r="D307" t="s">
        <v>507</v>
      </c>
      <c r="E307" t="s">
        <v>508</v>
      </c>
      <c r="F307" t="s">
        <v>408</v>
      </c>
      <c r="G307" t="s">
        <v>496</v>
      </c>
      <c r="H307" s="75" t="str">
        <f>IFERROR(VLOOKUP(Table2[[#This Row],[Ticket]],Okey!A:B,2,0),"")</f>
        <v>ok</v>
      </c>
      <c r="I307" t="s">
        <v>19</v>
      </c>
      <c r="J307" t="str">
        <f>VLOOKUP(Table2[[#This Row],[Author]],People!A:B,2,0)</f>
        <v>MGF</v>
      </c>
      <c r="M307" t="s">
        <v>329</v>
      </c>
    </row>
    <row r="308" spans="1:13" x14ac:dyDescent="0.25">
      <c r="A308" s="75">
        <f t="shared" si="4"/>
        <v>307</v>
      </c>
      <c r="B308" s="13" t="s">
        <v>13</v>
      </c>
      <c r="C308" s="13" t="s">
        <v>325</v>
      </c>
      <c r="D308" t="s">
        <v>509</v>
      </c>
      <c r="E308" t="s">
        <v>510</v>
      </c>
      <c r="F308" t="s">
        <v>408</v>
      </c>
      <c r="G308" t="s">
        <v>496</v>
      </c>
      <c r="H308" s="75" t="str">
        <f>IFERROR(VLOOKUP(Table2[[#This Row],[Ticket]],Okey!A:B,2,0),"")</f>
        <v>ok</v>
      </c>
      <c r="I308" t="s">
        <v>19</v>
      </c>
      <c r="J308" t="str">
        <f>VLOOKUP(Table2[[#This Row],[Author]],People!A:B,2,0)</f>
        <v>MGF</v>
      </c>
      <c r="M308" t="s">
        <v>329</v>
      </c>
    </row>
    <row r="309" spans="1:13" x14ac:dyDescent="0.25">
      <c r="A309" s="75">
        <f t="shared" si="4"/>
        <v>308</v>
      </c>
      <c r="B309" s="13" t="s">
        <v>13</v>
      </c>
      <c r="C309" s="13" t="s">
        <v>325</v>
      </c>
      <c r="D309" t="s">
        <v>511</v>
      </c>
      <c r="E309" t="s">
        <v>512</v>
      </c>
      <c r="F309" t="s">
        <v>408</v>
      </c>
      <c r="G309" t="s">
        <v>496</v>
      </c>
      <c r="H309" s="75" t="str">
        <f>IFERROR(VLOOKUP(Table2[[#This Row],[Ticket]],Okey!A:B,2,0),"")</f>
        <v>ok</v>
      </c>
      <c r="I309" t="s">
        <v>19</v>
      </c>
      <c r="J309" t="str">
        <f>VLOOKUP(Table2[[#This Row],[Author]],People!A:B,2,0)</f>
        <v>MGF</v>
      </c>
      <c r="M309" t="s">
        <v>329</v>
      </c>
    </row>
    <row r="310" spans="1:13" x14ac:dyDescent="0.25">
      <c r="A310" s="75">
        <f t="shared" si="4"/>
        <v>309</v>
      </c>
      <c r="B310" s="13" t="s">
        <v>13</v>
      </c>
      <c r="C310" s="13" t="s">
        <v>325</v>
      </c>
      <c r="D310" t="s">
        <v>513</v>
      </c>
      <c r="E310" t="s">
        <v>514</v>
      </c>
      <c r="F310" t="s">
        <v>408</v>
      </c>
      <c r="G310" t="s">
        <v>496</v>
      </c>
      <c r="H310" s="75" t="str">
        <f>IFERROR(VLOOKUP(Table2[[#This Row],[Ticket]],Okey!A:B,2,0),"")</f>
        <v>ok</v>
      </c>
      <c r="I310" t="s">
        <v>19</v>
      </c>
      <c r="J310" t="str">
        <f>VLOOKUP(Table2[[#This Row],[Author]],People!A:B,2,0)</f>
        <v>MGF</v>
      </c>
      <c r="M310" t="s">
        <v>329</v>
      </c>
    </row>
    <row r="311" spans="1:13" x14ac:dyDescent="0.25">
      <c r="A311" s="75">
        <f t="shared" si="4"/>
        <v>310</v>
      </c>
      <c r="B311" s="13" t="s">
        <v>13</v>
      </c>
      <c r="C311" s="13" t="s">
        <v>325</v>
      </c>
      <c r="D311" t="s">
        <v>515</v>
      </c>
      <c r="E311" t="s">
        <v>516</v>
      </c>
      <c r="F311" t="s">
        <v>408</v>
      </c>
      <c r="G311" t="s">
        <v>496</v>
      </c>
      <c r="H311" s="75" t="str">
        <f>IFERROR(VLOOKUP(Table2[[#This Row],[Ticket]],Okey!A:B,2,0),"")</f>
        <v>ok</v>
      </c>
      <c r="I311" t="s">
        <v>19</v>
      </c>
      <c r="J311" t="str">
        <f>VLOOKUP(Table2[[#This Row],[Author]],People!A:B,2,0)</f>
        <v>MGF</v>
      </c>
      <c r="M311" t="s">
        <v>329</v>
      </c>
    </row>
    <row r="312" spans="1:13" x14ac:dyDescent="0.25">
      <c r="A312" s="75">
        <f t="shared" si="4"/>
        <v>311</v>
      </c>
      <c r="B312" s="13" t="s">
        <v>13</v>
      </c>
      <c r="C312" s="13" t="s">
        <v>325</v>
      </c>
      <c r="D312" t="s">
        <v>517</v>
      </c>
      <c r="E312" t="s">
        <v>518</v>
      </c>
      <c r="F312" t="s">
        <v>412</v>
      </c>
      <c r="G312" t="s">
        <v>496</v>
      </c>
      <c r="H312" s="75" t="str">
        <f>IFERROR(VLOOKUP(Table2[[#This Row],[Ticket]],Okey!A:B,2,0),"")</f>
        <v>ok</v>
      </c>
      <c r="I312" t="s">
        <v>19</v>
      </c>
      <c r="J312" t="str">
        <f>VLOOKUP(Table2[[#This Row],[Author]],People!A:B,2,0)</f>
        <v>MGF</v>
      </c>
      <c r="M312" t="s">
        <v>329</v>
      </c>
    </row>
    <row r="313" spans="1:13" x14ac:dyDescent="0.25">
      <c r="A313" s="75">
        <f t="shared" si="4"/>
        <v>312</v>
      </c>
      <c r="B313" s="13" t="s">
        <v>13</v>
      </c>
      <c r="C313" s="13" t="s">
        <v>325</v>
      </c>
      <c r="D313" t="s">
        <v>379</v>
      </c>
      <c r="E313" t="s">
        <v>519</v>
      </c>
      <c r="F313" t="s">
        <v>412</v>
      </c>
      <c r="G313" t="s">
        <v>496</v>
      </c>
      <c r="H313" s="75" t="str">
        <f>IFERROR(VLOOKUP(Table2[[#This Row],[Ticket]],Okey!A:B,2,0),"")</f>
        <v>ok</v>
      </c>
      <c r="I313" t="s">
        <v>19</v>
      </c>
      <c r="J313" t="str">
        <f>VLOOKUP(Table2[[#This Row],[Author]],People!A:B,2,0)</f>
        <v>MGF</v>
      </c>
      <c r="M313" t="s">
        <v>329</v>
      </c>
    </row>
    <row r="314" spans="1:13" x14ac:dyDescent="0.25">
      <c r="A314" s="75">
        <f t="shared" si="4"/>
        <v>313</v>
      </c>
      <c r="B314" s="13" t="s">
        <v>13</v>
      </c>
      <c r="C314" s="13" t="s">
        <v>325</v>
      </c>
      <c r="D314" t="s">
        <v>520</v>
      </c>
      <c r="E314" t="s">
        <v>521</v>
      </c>
      <c r="F314" t="s">
        <v>412</v>
      </c>
      <c r="G314" t="s">
        <v>496</v>
      </c>
      <c r="H314" s="75" t="str">
        <f>IFERROR(VLOOKUP(Table2[[#This Row],[Ticket]],Okey!A:B,2,0),"")</f>
        <v>ok</v>
      </c>
      <c r="I314" t="s">
        <v>19</v>
      </c>
      <c r="J314" t="str">
        <f>VLOOKUP(Table2[[#This Row],[Author]],People!A:B,2,0)</f>
        <v>MGF</v>
      </c>
      <c r="M314" t="s">
        <v>329</v>
      </c>
    </row>
    <row r="315" spans="1:13" x14ac:dyDescent="0.25">
      <c r="A315" s="75">
        <f t="shared" si="4"/>
        <v>314</v>
      </c>
      <c r="B315" s="13" t="s">
        <v>13</v>
      </c>
      <c r="C315" s="13" t="s">
        <v>325</v>
      </c>
      <c r="D315" t="s">
        <v>522</v>
      </c>
      <c r="E315" t="s">
        <v>523</v>
      </c>
      <c r="F315" t="s">
        <v>414</v>
      </c>
      <c r="G315" t="s">
        <v>496</v>
      </c>
      <c r="H315" s="75" t="str">
        <f>IFERROR(VLOOKUP(Table2[[#This Row],[Ticket]],Okey!A:B,2,0),"")</f>
        <v>ok</v>
      </c>
      <c r="I315" t="s">
        <v>19</v>
      </c>
      <c r="J315" t="str">
        <f>VLOOKUP(Table2[[#This Row],[Author]],People!A:B,2,0)</f>
        <v>MGF</v>
      </c>
      <c r="M315" t="s">
        <v>329</v>
      </c>
    </row>
    <row r="316" spans="1:13" x14ac:dyDescent="0.25">
      <c r="A316" s="75">
        <f t="shared" si="4"/>
        <v>315</v>
      </c>
      <c r="B316" s="13" t="s">
        <v>13</v>
      </c>
      <c r="C316" s="13" t="s">
        <v>325</v>
      </c>
      <c r="D316" t="s">
        <v>524</v>
      </c>
      <c r="E316" t="s">
        <v>525</v>
      </c>
      <c r="F316" t="s">
        <v>522</v>
      </c>
      <c r="G316" t="s">
        <v>496</v>
      </c>
      <c r="H316" s="75" t="str">
        <f>IFERROR(VLOOKUP(Table2[[#This Row],[Ticket]],Okey!A:B,2,0),"")</f>
        <v>ok</v>
      </c>
      <c r="I316" t="s">
        <v>19</v>
      </c>
      <c r="J316" t="str">
        <f>VLOOKUP(Table2[[#This Row],[Author]],People!A:B,2,0)</f>
        <v>MGF</v>
      </c>
      <c r="M316" t="s">
        <v>329</v>
      </c>
    </row>
    <row r="317" spans="1:13" x14ac:dyDescent="0.25">
      <c r="A317" s="75">
        <f t="shared" si="4"/>
        <v>316</v>
      </c>
      <c r="B317" s="13" t="s">
        <v>13</v>
      </c>
      <c r="C317" s="13" t="s">
        <v>325</v>
      </c>
      <c r="D317" t="s">
        <v>526</v>
      </c>
      <c r="E317" t="s">
        <v>527</v>
      </c>
      <c r="F317" t="s">
        <v>522</v>
      </c>
      <c r="G317" t="s">
        <v>496</v>
      </c>
      <c r="H317" s="75" t="str">
        <f>IFERROR(VLOOKUP(Table2[[#This Row],[Ticket]],Okey!A:B,2,0),"")</f>
        <v>ok</v>
      </c>
      <c r="I317" t="s">
        <v>19</v>
      </c>
      <c r="J317" t="str">
        <f>VLOOKUP(Table2[[#This Row],[Author]],People!A:B,2,0)</f>
        <v>MGF</v>
      </c>
      <c r="M317" t="s">
        <v>329</v>
      </c>
    </row>
    <row r="318" spans="1:13" x14ac:dyDescent="0.25">
      <c r="A318" s="75">
        <f t="shared" si="4"/>
        <v>317</v>
      </c>
      <c r="B318" s="13" t="s">
        <v>13</v>
      </c>
      <c r="C318" s="13" t="s">
        <v>325</v>
      </c>
      <c r="D318" t="s">
        <v>528</v>
      </c>
      <c r="E318" t="s">
        <v>529</v>
      </c>
      <c r="F318" t="s">
        <v>530</v>
      </c>
      <c r="G318" t="s">
        <v>496</v>
      </c>
      <c r="H318" s="75" t="str">
        <f>IFERROR(VLOOKUP(Table2[[#This Row],[Ticket]],Okey!A:B,2,0),"")</f>
        <v>ok</v>
      </c>
      <c r="I318" t="s">
        <v>19</v>
      </c>
      <c r="J318" t="str">
        <f>VLOOKUP(Table2[[#This Row],[Author]],People!A:B,2,0)</f>
        <v>MGF</v>
      </c>
      <c r="M318" t="s">
        <v>329</v>
      </c>
    </row>
    <row r="319" spans="1:13" x14ac:dyDescent="0.25">
      <c r="A319" s="75">
        <f t="shared" si="4"/>
        <v>318</v>
      </c>
      <c r="B319" s="13" t="s">
        <v>13</v>
      </c>
      <c r="C319" s="13" t="s">
        <v>325</v>
      </c>
      <c r="D319" t="s">
        <v>531</v>
      </c>
      <c r="E319" t="s">
        <v>532</v>
      </c>
      <c r="F319" t="s">
        <v>533</v>
      </c>
      <c r="G319" t="s">
        <v>496</v>
      </c>
      <c r="H319" s="75" t="str">
        <f>IFERROR(VLOOKUP(Table2[[#This Row],[Ticket]],Okey!A:B,2,0),"")</f>
        <v>ok</v>
      </c>
      <c r="I319" t="s">
        <v>19</v>
      </c>
      <c r="J319" t="str">
        <f>VLOOKUP(Table2[[#This Row],[Author]],People!A:B,2,0)</f>
        <v>MGF</v>
      </c>
      <c r="M319" t="s">
        <v>329</v>
      </c>
    </row>
    <row r="320" spans="1:13" x14ac:dyDescent="0.25">
      <c r="A320" s="75">
        <f t="shared" si="4"/>
        <v>319</v>
      </c>
      <c r="B320" s="13" t="s">
        <v>13</v>
      </c>
      <c r="C320" s="13" t="s">
        <v>325</v>
      </c>
      <c r="D320" t="s">
        <v>534</v>
      </c>
      <c r="E320" t="s">
        <v>535</v>
      </c>
      <c r="F320" t="s">
        <v>416</v>
      </c>
      <c r="G320" t="s">
        <v>496</v>
      </c>
      <c r="H320" s="75" t="str">
        <f>IFERROR(VLOOKUP(Table2[[#This Row],[Ticket]],Okey!A:B,2,0),"")</f>
        <v>ok</v>
      </c>
      <c r="I320" t="s">
        <v>19</v>
      </c>
      <c r="J320" t="str">
        <f>VLOOKUP(Table2[[#This Row],[Author]],People!A:B,2,0)</f>
        <v>MGF</v>
      </c>
      <c r="M320" t="s">
        <v>329</v>
      </c>
    </row>
    <row r="321" spans="1:13" x14ac:dyDescent="0.25">
      <c r="A321" s="75">
        <f t="shared" si="4"/>
        <v>320</v>
      </c>
      <c r="B321" s="13" t="s">
        <v>13</v>
      </c>
      <c r="C321" s="13" t="s">
        <v>325</v>
      </c>
      <c r="D321" t="s">
        <v>536</v>
      </c>
      <c r="E321" t="s">
        <v>537</v>
      </c>
      <c r="F321" t="s">
        <v>534</v>
      </c>
      <c r="G321" t="s">
        <v>496</v>
      </c>
      <c r="H321" s="75" t="str">
        <f>IFERROR(VLOOKUP(Table2[[#This Row],[Ticket]],Okey!A:B,2,0),"")</f>
        <v>ok</v>
      </c>
      <c r="I321" t="s">
        <v>19</v>
      </c>
      <c r="J321" t="str">
        <f>VLOOKUP(Table2[[#This Row],[Author]],People!A:B,2,0)</f>
        <v>MGF</v>
      </c>
      <c r="M321" t="s">
        <v>329</v>
      </c>
    </row>
    <row r="322" spans="1:13" x14ac:dyDescent="0.25">
      <c r="A322" s="75">
        <f t="shared" si="4"/>
        <v>321</v>
      </c>
      <c r="B322" s="13" t="s">
        <v>13</v>
      </c>
      <c r="C322" s="13" t="s">
        <v>325</v>
      </c>
      <c r="D322" t="s">
        <v>538</v>
      </c>
      <c r="E322" t="s">
        <v>539</v>
      </c>
      <c r="F322" t="s">
        <v>534</v>
      </c>
      <c r="G322" t="s">
        <v>496</v>
      </c>
      <c r="H322" s="75" t="str">
        <f>IFERROR(VLOOKUP(Table2[[#This Row],[Ticket]],Okey!A:B,2,0),"")</f>
        <v>ok</v>
      </c>
      <c r="I322" t="s">
        <v>19</v>
      </c>
      <c r="J322" t="str">
        <f>VLOOKUP(Table2[[#This Row],[Author]],People!A:B,2,0)</f>
        <v>MGF</v>
      </c>
      <c r="M322" t="s">
        <v>329</v>
      </c>
    </row>
    <row r="323" spans="1:13" x14ac:dyDescent="0.25">
      <c r="A323" s="75">
        <f t="shared" si="4"/>
        <v>322</v>
      </c>
      <c r="B323" s="13" t="s">
        <v>13</v>
      </c>
      <c r="C323" s="13" t="s">
        <v>325</v>
      </c>
      <c r="D323" t="s">
        <v>533</v>
      </c>
      <c r="E323" t="s">
        <v>540</v>
      </c>
      <c r="F323" t="s">
        <v>416</v>
      </c>
      <c r="G323" t="s">
        <v>496</v>
      </c>
      <c r="H323" s="75" t="str">
        <f>IFERROR(VLOOKUP(Table2[[#This Row],[Ticket]],Okey!A:B,2,0),"")</f>
        <v>ok</v>
      </c>
      <c r="I323" t="s">
        <v>19</v>
      </c>
      <c r="J323" t="str">
        <f>VLOOKUP(Table2[[#This Row],[Author]],People!A:B,2,0)</f>
        <v>MGF</v>
      </c>
      <c r="M323" t="s">
        <v>329</v>
      </c>
    </row>
    <row r="324" spans="1:13" x14ac:dyDescent="0.25">
      <c r="A324" s="75">
        <f t="shared" si="4"/>
        <v>323</v>
      </c>
      <c r="B324" s="13" t="s">
        <v>13</v>
      </c>
      <c r="C324" s="13" t="s">
        <v>325</v>
      </c>
      <c r="D324" t="s">
        <v>541</v>
      </c>
      <c r="E324" t="s">
        <v>542</v>
      </c>
      <c r="F324" t="s">
        <v>416</v>
      </c>
      <c r="G324" t="s">
        <v>496</v>
      </c>
      <c r="H324" s="75" t="str">
        <f>IFERROR(VLOOKUP(Table2[[#This Row],[Ticket]],Okey!A:B,2,0),"")</f>
        <v>ok</v>
      </c>
      <c r="I324" t="s">
        <v>19</v>
      </c>
      <c r="J324" t="str">
        <f>VLOOKUP(Table2[[#This Row],[Author]],People!A:B,2,0)</f>
        <v>MGF</v>
      </c>
      <c r="M324" t="s">
        <v>329</v>
      </c>
    </row>
    <row r="325" spans="1:13" x14ac:dyDescent="0.25">
      <c r="A325" s="75">
        <f t="shared" si="4"/>
        <v>324</v>
      </c>
      <c r="B325" s="13" t="s">
        <v>13</v>
      </c>
      <c r="C325" s="13" t="s">
        <v>325</v>
      </c>
      <c r="D325" t="s">
        <v>543</v>
      </c>
      <c r="E325" t="s">
        <v>544</v>
      </c>
      <c r="F325" t="s">
        <v>545</v>
      </c>
      <c r="G325" t="s">
        <v>496</v>
      </c>
      <c r="H325" s="75" t="str">
        <f>IFERROR(VLOOKUP(Table2[[#This Row],[Ticket]],Okey!A:B,2,0),"")</f>
        <v>ok</v>
      </c>
      <c r="I325" t="s">
        <v>19</v>
      </c>
      <c r="J325" t="str">
        <f>VLOOKUP(Table2[[#This Row],[Author]],People!A:B,2,0)</f>
        <v>MGF</v>
      </c>
      <c r="M325" t="s">
        <v>329</v>
      </c>
    </row>
    <row r="326" spans="1:13" x14ac:dyDescent="0.25">
      <c r="A326" s="75">
        <f t="shared" si="4"/>
        <v>325</v>
      </c>
      <c r="B326" s="13" t="s">
        <v>13</v>
      </c>
      <c r="C326" s="13" t="s">
        <v>325</v>
      </c>
      <c r="D326" t="s">
        <v>546</v>
      </c>
      <c r="E326" t="s">
        <v>547</v>
      </c>
      <c r="F326" t="s">
        <v>416</v>
      </c>
      <c r="G326" t="s">
        <v>496</v>
      </c>
      <c r="H326" s="75" t="str">
        <f>IFERROR(VLOOKUP(Table2[[#This Row],[Ticket]],Okey!A:B,2,0),"")</f>
        <v>ok</v>
      </c>
      <c r="I326" t="s">
        <v>19</v>
      </c>
      <c r="J326" t="str">
        <f>VLOOKUP(Table2[[#This Row],[Author]],People!A:B,2,0)</f>
        <v>MGF</v>
      </c>
      <c r="M326" t="s">
        <v>329</v>
      </c>
    </row>
    <row r="327" spans="1:13" x14ac:dyDescent="0.25">
      <c r="A327" s="75">
        <f t="shared" si="4"/>
        <v>326</v>
      </c>
      <c r="B327" s="13" t="s">
        <v>13</v>
      </c>
      <c r="C327" s="13" t="s">
        <v>325</v>
      </c>
      <c r="D327" t="s">
        <v>530</v>
      </c>
      <c r="E327" t="s">
        <v>548</v>
      </c>
      <c r="F327" t="s">
        <v>416</v>
      </c>
      <c r="G327" t="s">
        <v>496</v>
      </c>
      <c r="H327" s="75" t="str">
        <f>IFERROR(VLOOKUP(Table2[[#This Row],[Ticket]],Okey!A:B,2,0),"")</f>
        <v>ok</v>
      </c>
      <c r="I327" t="s">
        <v>19</v>
      </c>
      <c r="J327" t="str">
        <f>VLOOKUP(Table2[[#This Row],[Author]],People!A:B,2,0)</f>
        <v>MGF</v>
      </c>
      <c r="M327" t="s">
        <v>329</v>
      </c>
    </row>
    <row r="328" spans="1:13" x14ac:dyDescent="0.25">
      <c r="A328" s="75">
        <f t="shared" si="4"/>
        <v>327</v>
      </c>
      <c r="B328" s="13" t="s">
        <v>13</v>
      </c>
      <c r="C328" s="13" t="s">
        <v>325</v>
      </c>
      <c r="D328" t="s">
        <v>549</v>
      </c>
      <c r="E328" t="s">
        <v>550</v>
      </c>
      <c r="F328" t="s">
        <v>416</v>
      </c>
      <c r="G328" t="s">
        <v>496</v>
      </c>
      <c r="H328" s="75" t="str">
        <f>IFERROR(VLOOKUP(Table2[[#This Row],[Ticket]],Okey!A:B,2,0),"")</f>
        <v>ok</v>
      </c>
      <c r="I328" t="s">
        <v>19</v>
      </c>
      <c r="J328" t="str">
        <f>VLOOKUP(Table2[[#This Row],[Author]],People!A:B,2,0)</f>
        <v>MGF</v>
      </c>
      <c r="M328" t="s">
        <v>329</v>
      </c>
    </row>
    <row r="329" spans="1:13" x14ac:dyDescent="0.25">
      <c r="A329" s="75">
        <f t="shared" ref="A329:A392" si="5">1+A328</f>
        <v>328</v>
      </c>
      <c r="B329" s="13" t="s">
        <v>13</v>
      </c>
      <c r="C329" s="13" t="s">
        <v>325</v>
      </c>
      <c r="D329" t="s">
        <v>551</v>
      </c>
      <c r="E329" t="s">
        <v>552</v>
      </c>
      <c r="F329" t="s">
        <v>389</v>
      </c>
      <c r="G329" t="s">
        <v>496</v>
      </c>
      <c r="H329" s="75" t="str">
        <f>IFERROR(VLOOKUP(Table2[[#This Row],[Ticket]],Okey!A:B,2,0),"")</f>
        <v>ok</v>
      </c>
      <c r="I329" t="s">
        <v>19</v>
      </c>
      <c r="J329" t="str">
        <f>VLOOKUP(Table2[[#This Row],[Author]],People!A:B,2,0)</f>
        <v>MGF</v>
      </c>
      <c r="M329" t="s">
        <v>329</v>
      </c>
    </row>
    <row r="330" spans="1:13" x14ac:dyDescent="0.25">
      <c r="A330" s="75">
        <f t="shared" si="5"/>
        <v>329</v>
      </c>
      <c r="B330" s="13" t="s">
        <v>13</v>
      </c>
      <c r="C330" s="13" t="s">
        <v>325</v>
      </c>
      <c r="D330" t="s">
        <v>553</v>
      </c>
      <c r="E330" t="s">
        <v>554</v>
      </c>
      <c r="F330" t="s">
        <v>555</v>
      </c>
      <c r="G330" t="s">
        <v>496</v>
      </c>
      <c r="H330" s="75" t="str">
        <f>IFERROR(VLOOKUP(Table2[[#This Row],[Ticket]],Okey!A:B,2,0),"")</f>
        <v>ok</v>
      </c>
      <c r="I330" t="s">
        <v>19</v>
      </c>
      <c r="J330" t="str">
        <f>VLOOKUP(Table2[[#This Row],[Author]],People!A:B,2,0)</f>
        <v>MGF</v>
      </c>
      <c r="M330" t="s">
        <v>329</v>
      </c>
    </row>
    <row r="331" spans="1:13" x14ac:dyDescent="0.25">
      <c r="A331" s="75">
        <f t="shared" si="5"/>
        <v>330</v>
      </c>
      <c r="B331" s="13" t="s">
        <v>13</v>
      </c>
      <c r="C331" s="13" t="s">
        <v>325</v>
      </c>
      <c r="D331" t="s">
        <v>556</v>
      </c>
      <c r="E331" t="s">
        <v>557</v>
      </c>
      <c r="F331" t="s">
        <v>553</v>
      </c>
      <c r="G331" t="s">
        <v>496</v>
      </c>
      <c r="H331" s="75" t="str">
        <f>IFERROR(VLOOKUP(Table2[[#This Row],[Ticket]],Okey!A:B,2,0),"")</f>
        <v>ok</v>
      </c>
      <c r="I331" t="s">
        <v>19</v>
      </c>
      <c r="J331" t="str">
        <f>VLOOKUP(Table2[[#This Row],[Author]],People!A:B,2,0)</f>
        <v>MGF</v>
      </c>
      <c r="M331" t="s">
        <v>329</v>
      </c>
    </row>
    <row r="332" spans="1:13" x14ac:dyDescent="0.25">
      <c r="A332" s="75">
        <f t="shared" si="5"/>
        <v>331</v>
      </c>
      <c r="B332" s="13" t="s">
        <v>13</v>
      </c>
      <c r="C332" s="13" t="s">
        <v>325</v>
      </c>
      <c r="D332" t="s">
        <v>558</v>
      </c>
      <c r="E332" t="s">
        <v>559</v>
      </c>
      <c r="F332" t="s">
        <v>553</v>
      </c>
      <c r="G332" t="s">
        <v>496</v>
      </c>
      <c r="H332" s="75" t="str">
        <f>IFERROR(VLOOKUP(Table2[[#This Row],[Ticket]],Okey!A:B,2,0),"")</f>
        <v>ok</v>
      </c>
      <c r="I332" t="s">
        <v>19</v>
      </c>
      <c r="J332" t="str">
        <f>VLOOKUP(Table2[[#This Row],[Author]],People!A:B,2,0)</f>
        <v>MGF</v>
      </c>
      <c r="M332" t="s">
        <v>329</v>
      </c>
    </row>
    <row r="333" spans="1:13" x14ac:dyDescent="0.25">
      <c r="A333" s="75">
        <f t="shared" si="5"/>
        <v>332</v>
      </c>
      <c r="B333" s="13" t="s">
        <v>13</v>
      </c>
      <c r="C333" s="13" t="s">
        <v>325</v>
      </c>
      <c r="D333" t="s">
        <v>386</v>
      </c>
      <c r="E333" t="s">
        <v>560</v>
      </c>
      <c r="F333" t="s">
        <v>474</v>
      </c>
      <c r="G333" t="s">
        <v>496</v>
      </c>
      <c r="H333" s="75" t="str">
        <f>IFERROR(VLOOKUP(Table2[[#This Row],[Ticket]],Okey!A:B,2,0),"")</f>
        <v>ok</v>
      </c>
      <c r="I333" t="s">
        <v>19</v>
      </c>
      <c r="J333" t="str">
        <f>VLOOKUP(Table2[[#This Row],[Author]],People!A:B,2,0)</f>
        <v>MGF</v>
      </c>
      <c r="M333" t="s">
        <v>329</v>
      </c>
    </row>
    <row r="334" spans="1:13" x14ac:dyDescent="0.25">
      <c r="A334" s="75">
        <f t="shared" si="5"/>
        <v>333</v>
      </c>
      <c r="B334" s="13" t="s">
        <v>13</v>
      </c>
      <c r="C334" s="13" t="s">
        <v>325</v>
      </c>
      <c r="D334" t="s">
        <v>561</v>
      </c>
      <c r="E334" t="s">
        <v>562</v>
      </c>
      <c r="F334" t="s">
        <v>386</v>
      </c>
      <c r="G334" t="s">
        <v>496</v>
      </c>
      <c r="H334" s="75" t="str">
        <f>IFERROR(VLOOKUP(Table2[[#This Row],[Ticket]],Okey!A:B,2,0),"")</f>
        <v>ok</v>
      </c>
      <c r="I334" t="s">
        <v>19</v>
      </c>
      <c r="J334" t="str">
        <f>VLOOKUP(Table2[[#This Row],[Author]],People!A:B,2,0)</f>
        <v>MGF</v>
      </c>
      <c r="M334" t="s">
        <v>329</v>
      </c>
    </row>
    <row r="335" spans="1:13" x14ac:dyDescent="0.25">
      <c r="A335" s="75">
        <f t="shared" si="5"/>
        <v>334</v>
      </c>
      <c r="B335" s="13" t="s">
        <v>13</v>
      </c>
      <c r="C335" s="13" t="s">
        <v>325</v>
      </c>
      <c r="D335" t="s">
        <v>563</v>
      </c>
      <c r="E335" t="s">
        <v>491</v>
      </c>
      <c r="F335" t="s">
        <v>386</v>
      </c>
      <c r="G335" t="s">
        <v>496</v>
      </c>
      <c r="H335" s="75" t="str">
        <f>IFERROR(VLOOKUP(Table2[[#This Row],[Ticket]],Okey!A:B,2,0),"")</f>
        <v>ok</v>
      </c>
      <c r="I335" t="s">
        <v>19</v>
      </c>
      <c r="J335" t="str">
        <f>VLOOKUP(Table2[[#This Row],[Author]],People!A:B,2,0)</f>
        <v>MGF</v>
      </c>
      <c r="M335" t="s">
        <v>329</v>
      </c>
    </row>
    <row r="336" spans="1:13" x14ac:dyDescent="0.25">
      <c r="A336" s="75">
        <f t="shared" si="5"/>
        <v>335</v>
      </c>
      <c r="B336" s="13" t="s">
        <v>13</v>
      </c>
      <c r="C336" s="13" t="s">
        <v>325</v>
      </c>
      <c r="D336" t="s">
        <v>564</v>
      </c>
      <c r="E336" t="s">
        <v>565</v>
      </c>
      <c r="F336" t="s">
        <v>386</v>
      </c>
      <c r="G336" t="s">
        <v>496</v>
      </c>
      <c r="H336" s="75" t="str">
        <f>IFERROR(VLOOKUP(Table2[[#This Row],[Ticket]],Okey!A:B,2,0),"")</f>
        <v>ok</v>
      </c>
      <c r="I336" t="s">
        <v>19</v>
      </c>
      <c r="J336" t="str">
        <f>VLOOKUP(Table2[[#This Row],[Author]],People!A:B,2,0)</f>
        <v>MGF</v>
      </c>
      <c r="M336" t="s">
        <v>329</v>
      </c>
    </row>
    <row r="337" spans="1:13" x14ac:dyDescent="0.25">
      <c r="A337" s="75">
        <f t="shared" si="5"/>
        <v>336</v>
      </c>
      <c r="B337" s="13" t="s">
        <v>13</v>
      </c>
      <c r="C337" s="13" t="s">
        <v>325</v>
      </c>
      <c r="D337" t="s">
        <v>566</v>
      </c>
      <c r="E337" t="s">
        <v>567</v>
      </c>
      <c r="F337" t="s">
        <v>386</v>
      </c>
      <c r="G337" t="s">
        <v>496</v>
      </c>
      <c r="H337" s="75" t="str">
        <f>IFERROR(VLOOKUP(Table2[[#This Row],[Ticket]],Okey!A:B,2,0),"")</f>
        <v>ok</v>
      </c>
      <c r="I337" t="s">
        <v>19</v>
      </c>
      <c r="J337" t="str">
        <f>VLOOKUP(Table2[[#This Row],[Author]],People!A:B,2,0)</f>
        <v>MGF</v>
      </c>
      <c r="M337" t="s">
        <v>329</v>
      </c>
    </row>
    <row r="338" spans="1:13" x14ac:dyDescent="0.25">
      <c r="A338" s="75">
        <f t="shared" si="5"/>
        <v>337</v>
      </c>
      <c r="B338" s="13" t="s">
        <v>13</v>
      </c>
      <c r="C338" s="13" t="s">
        <v>325</v>
      </c>
      <c r="D338" t="s">
        <v>568</v>
      </c>
      <c r="E338" t="s">
        <v>569</v>
      </c>
      <c r="F338" t="s">
        <v>386</v>
      </c>
      <c r="G338" t="s">
        <v>496</v>
      </c>
      <c r="H338" s="75" t="str">
        <f>IFERROR(VLOOKUP(Table2[[#This Row],[Ticket]],Okey!A:B,2,0),"")</f>
        <v>ok</v>
      </c>
      <c r="I338" t="s">
        <v>19</v>
      </c>
      <c r="J338" t="str">
        <f>VLOOKUP(Table2[[#This Row],[Author]],People!A:B,2,0)</f>
        <v>MGF</v>
      </c>
      <c r="M338" t="s">
        <v>329</v>
      </c>
    </row>
    <row r="339" spans="1:13" x14ac:dyDescent="0.25">
      <c r="A339" s="75">
        <f t="shared" si="5"/>
        <v>338</v>
      </c>
      <c r="B339" s="13" t="s">
        <v>13</v>
      </c>
      <c r="C339" s="13" t="s">
        <v>325</v>
      </c>
      <c r="D339" t="s">
        <v>570</v>
      </c>
      <c r="E339" t="s">
        <v>571</v>
      </c>
      <c r="F339" t="s">
        <v>386</v>
      </c>
      <c r="G339" t="s">
        <v>496</v>
      </c>
      <c r="H339" s="75" t="str">
        <f>IFERROR(VLOOKUP(Table2[[#This Row],[Ticket]],Okey!A:B,2,0),"")</f>
        <v>ok</v>
      </c>
      <c r="I339" t="s">
        <v>19</v>
      </c>
      <c r="J339" t="str">
        <f>VLOOKUP(Table2[[#This Row],[Author]],People!A:B,2,0)</f>
        <v>MGF</v>
      </c>
      <c r="M339" t="s">
        <v>329</v>
      </c>
    </row>
    <row r="340" spans="1:13" x14ac:dyDescent="0.25">
      <c r="A340" s="75">
        <f t="shared" si="5"/>
        <v>339</v>
      </c>
      <c r="B340" s="13" t="s">
        <v>13</v>
      </c>
      <c r="C340" s="13" t="s">
        <v>325</v>
      </c>
      <c r="D340" t="s">
        <v>572</v>
      </c>
      <c r="E340" t="s">
        <v>573</v>
      </c>
      <c r="F340" t="s">
        <v>386</v>
      </c>
      <c r="G340" t="s">
        <v>496</v>
      </c>
      <c r="H340" s="75" t="str">
        <f>IFERROR(VLOOKUP(Table2[[#This Row],[Ticket]],Okey!A:B,2,0),"")</f>
        <v>ok</v>
      </c>
      <c r="I340" t="s">
        <v>19</v>
      </c>
      <c r="J340" t="str">
        <f>VLOOKUP(Table2[[#This Row],[Author]],People!A:B,2,0)</f>
        <v>MGF</v>
      </c>
      <c r="M340" t="s">
        <v>329</v>
      </c>
    </row>
    <row r="341" spans="1:13" x14ac:dyDescent="0.25">
      <c r="A341" s="75">
        <f t="shared" si="5"/>
        <v>340</v>
      </c>
      <c r="B341" s="13" t="s">
        <v>13</v>
      </c>
      <c r="C341" s="13" t="s">
        <v>325</v>
      </c>
      <c r="D341" t="s">
        <v>385</v>
      </c>
      <c r="E341" t="s">
        <v>574</v>
      </c>
      <c r="F341" t="s">
        <v>386</v>
      </c>
      <c r="G341" t="s">
        <v>496</v>
      </c>
      <c r="H341" s="75" t="str">
        <f>IFERROR(VLOOKUP(Table2[[#This Row],[Ticket]],Okey!A:B,2,0),"")</f>
        <v>ok</v>
      </c>
      <c r="I341" t="s">
        <v>19</v>
      </c>
      <c r="J341" t="str">
        <f>VLOOKUP(Table2[[#This Row],[Author]],People!A:B,2,0)</f>
        <v>MGF</v>
      </c>
      <c r="M341" t="s">
        <v>329</v>
      </c>
    </row>
    <row r="342" spans="1:13" x14ac:dyDescent="0.25">
      <c r="A342" s="75">
        <f t="shared" si="5"/>
        <v>341</v>
      </c>
      <c r="B342" s="13" t="s">
        <v>13</v>
      </c>
      <c r="C342" s="13" t="s">
        <v>325</v>
      </c>
      <c r="D342" t="s">
        <v>575</v>
      </c>
      <c r="E342" t="s">
        <v>576</v>
      </c>
      <c r="F342" t="s">
        <v>386</v>
      </c>
      <c r="G342" t="s">
        <v>496</v>
      </c>
      <c r="H342" s="75" t="str">
        <f>IFERROR(VLOOKUP(Table2[[#This Row],[Ticket]],Okey!A:B,2,0),"")</f>
        <v>ok</v>
      </c>
      <c r="I342" t="s">
        <v>19</v>
      </c>
      <c r="J342" t="str">
        <f>VLOOKUP(Table2[[#This Row],[Author]],People!A:B,2,0)</f>
        <v>MGF</v>
      </c>
      <c r="M342" t="s">
        <v>329</v>
      </c>
    </row>
    <row r="343" spans="1:13" x14ac:dyDescent="0.25">
      <c r="A343" s="75">
        <f t="shared" si="5"/>
        <v>342</v>
      </c>
      <c r="B343" s="13" t="s">
        <v>13</v>
      </c>
      <c r="C343" s="13" t="s">
        <v>325</v>
      </c>
      <c r="D343" t="s">
        <v>577</v>
      </c>
      <c r="E343" t="s">
        <v>578</v>
      </c>
      <c r="F343" t="s">
        <v>386</v>
      </c>
      <c r="G343" t="s">
        <v>496</v>
      </c>
      <c r="H343" s="75" t="str">
        <f>IFERROR(VLOOKUP(Table2[[#This Row],[Ticket]],Okey!A:B,2,0),"")</f>
        <v>ok</v>
      </c>
      <c r="I343" t="s">
        <v>19</v>
      </c>
      <c r="J343" t="str">
        <f>VLOOKUP(Table2[[#This Row],[Author]],People!A:B,2,0)</f>
        <v>MGF</v>
      </c>
      <c r="M343" t="s">
        <v>329</v>
      </c>
    </row>
    <row r="344" spans="1:13" x14ac:dyDescent="0.25">
      <c r="A344" s="75">
        <f t="shared" si="5"/>
        <v>343</v>
      </c>
      <c r="B344" s="13" t="s">
        <v>13</v>
      </c>
      <c r="C344" s="13" t="s">
        <v>325</v>
      </c>
      <c r="D344" t="s">
        <v>579</v>
      </c>
      <c r="E344" t="s">
        <v>580</v>
      </c>
      <c r="F344" t="s">
        <v>474</v>
      </c>
      <c r="G344" t="s">
        <v>496</v>
      </c>
      <c r="H344" s="75" t="str">
        <f>IFERROR(VLOOKUP(Table2[[#This Row],[Ticket]],Okey!A:B,2,0),"")</f>
        <v>ok</v>
      </c>
      <c r="I344" t="s">
        <v>19</v>
      </c>
      <c r="J344" t="str">
        <f>VLOOKUP(Table2[[#This Row],[Author]],People!A:B,2,0)</f>
        <v>MGF</v>
      </c>
      <c r="M344" t="s">
        <v>329</v>
      </c>
    </row>
    <row r="345" spans="1:13" x14ac:dyDescent="0.25">
      <c r="A345" s="75">
        <f t="shared" si="5"/>
        <v>344</v>
      </c>
      <c r="B345" s="13" t="s">
        <v>13</v>
      </c>
      <c r="C345" s="13" t="s">
        <v>325</v>
      </c>
      <c r="D345" t="s">
        <v>581</v>
      </c>
      <c r="E345" t="s">
        <v>582</v>
      </c>
      <c r="F345" t="s">
        <v>474</v>
      </c>
      <c r="G345" t="s">
        <v>496</v>
      </c>
      <c r="H345" s="75" t="str">
        <f>IFERROR(VLOOKUP(Table2[[#This Row],[Ticket]],Okey!A:B,2,0),"")</f>
        <v>ok</v>
      </c>
      <c r="I345" t="s">
        <v>19</v>
      </c>
      <c r="J345" t="str">
        <f>VLOOKUP(Table2[[#This Row],[Author]],People!A:B,2,0)</f>
        <v>MGF</v>
      </c>
      <c r="M345" t="s">
        <v>329</v>
      </c>
    </row>
    <row r="346" spans="1:13" x14ac:dyDescent="0.25">
      <c r="A346" s="75">
        <f t="shared" si="5"/>
        <v>345</v>
      </c>
      <c r="B346" s="13" t="s">
        <v>13</v>
      </c>
      <c r="C346" s="13" t="s">
        <v>325</v>
      </c>
      <c r="D346" t="s">
        <v>583</v>
      </c>
      <c r="E346" t="s">
        <v>584</v>
      </c>
      <c r="F346" t="s">
        <v>474</v>
      </c>
      <c r="G346" t="s">
        <v>496</v>
      </c>
      <c r="H346" s="75" t="str">
        <f>IFERROR(VLOOKUP(Table2[[#This Row],[Ticket]],Okey!A:B,2,0),"")</f>
        <v>ok</v>
      </c>
      <c r="I346" t="s">
        <v>19</v>
      </c>
      <c r="J346" t="str">
        <f>VLOOKUP(Table2[[#This Row],[Author]],People!A:B,2,0)</f>
        <v>MGF</v>
      </c>
      <c r="M346" t="s">
        <v>329</v>
      </c>
    </row>
    <row r="347" spans="1:13" x14ac:dyDescent="0.25">
      <c r="A347" s="75">
        <f t="shared" si="5"/>
        <v>346</v>
      </c>
      <c r="B347" s="13" t="s">
        <v>13</v>
      </c>
      <c r="C347" s="13" t="s">
        <v>325</v>
      </c>
      <c r="D347" t="s">
        <v>585</v>
      </c>
      <c r="E347" t="s">
        <v>586</v>
      </c>
      <c r="F347" t="s">
        <v>474</v>
      </c>
      <c r="G347" t="s">
        <v>496</v>
      </c>
      <c r="H347" s="75" t="str">
        <f>IFERROR(VLOOKUP(Table2[[#This Row],[Ticket]],Okey!A:B,2,0),"")</f>
        <v>ok</v>
      </c>
      <c r="I347" t="s">
        <v>19</v>
      </c>
      <c r="J347" t="str">
        <f>VLOOKUP(Table2[[#This Row],[Author]],People!A:B,2,0)</f>
        <v>MGF</v>
      </c>
      <c r="M347" t="s">
        <v>329</v>
      </c>
    </row>
    <row r="348" spans="1:13" x14ac:dyDescent="0.25">
      <c r="A348" s="75">
        <f t="shared" si="5"/>
        <v>347</v>
      </c>
      <c r="B348" s="13" t="s">
        <v>13</v>
      </c>
      <c r="C348" s="13" t="s">
        <v>325</v>
      </c>
      <c r="D348" t="s">
        <v>587</v>
      </c>
      <c r="E348" t="s">
        <v>588</v>
      </c>
      <c r="F348" t="s">
        <v>585</v>
      </c>
      <c r="G348" t="s">
        <v>496</v>
      </c>
      <c r="H348" s="75" t="str">
        <f>IFERROR(VLOOKUP(Table2[[#This Row],[Ticket]],Okey!A:B,2,0),"")</f>
        <v>ok</v>
      </c>
      <c r="I348" t="s">
        <v>19</v>
      </c>
      <c r="J348" t="str">
        <f>VLOOKUP(Table2[[#This Row],[Author]],People!A:B,2,0)</f>
        <v>MGF</v>
      </c>
      <c r="M348" t="s">
        <v>329</v>
      </c>
    </row>
    <row r="349" spans="1:13" x14ac:dyDescent="0.25">
      <c r="A349" s="75">
        <f t="shared" si="5"/>
        <v>348</v>
      </c>
      <c r="B349" s="13" t="s">
        <v>13</v>
      </c>
      <c r="C349" s="13" t="s">
        <v>325</v>
      </c>
      <c r="D349" t="s">
        <v>589</v>
      </c>
      <c r="E349" t="s">
        <v>590</v>
      </c>
      <c r="F349" t="s">
        <v>474</v>
      </c>
      <c r="G349" t="s">
        <v>496</v>
      </c>
      <c r="H349" s="75" t="str">
        <f>IFERROR(VLOOKUP(Table2[[#This Row],[Ticket]],Okey!A:B,2,0),"")</f>
        <v>ok</v>
      </c>
      <c r="I349" t="s">
        <v>19</v>
      </c>
      <c r="J349" t="str">
        <f>VLOOKUP(Table2[[#This Row],[Author]],People!A:B,2,0)</f>
        <v>MGF</v>
      </c>
      <c r="M349" t="s">
        <v>329</v>
      </c>
    </row>
    <row r="350" spans="1:13" x14ac:dyDescent="0.25">
      <c r="A350" s="75">
        <f t="shared" si="5"/>
        <v>349</v>
      </c>
      <c r="B350" s="13" t="s">
        <v>13</v>
      </c>
      <c r="C350" s="13" t="s">
        <v>325</v>
      </c>
      <c r="D350" t="s">
        <v>591</v>
      </c>
      <c r="E350" t="s">
        <v>592</v>
      </c>
      <c r="F350" t="s">
        <v>581</v>
      </c>
      <c r="G350" t="s">
        <v>496</v>
      </c>
      <c r="H350" s="75" t="str">
        <f>IFERROR(VLOOKUP(Table2[[#This Row],[Ticket]],Okey!A:B,2,0),"")</f>
        <v>ok</v>
      </c>
      <c r="I350" t="s">
        <v>19</v>
      </c>
      <c r="J350" t="str">
        <f>VLOOKUP(Table2[[#This Row],[Author]],People!A:B,2,0)</f>
        <v>MGF</v>
      </c>
      <c r="M350" t="s">
        <v>329</v>
      </c>
    </row>
    <row r="351" spans="1:13" x14ac:dyDescent="0.25">
      <c r="A351" s="75">
        <f t="shared" si="5"/>
        <v>350</v>
      </c>
      <c r="B351" s="13" t="s">
        <v>13</v>
      </c>
      <c r="C351" s="13" t="s">
        <v>325</v>
      </c>
      <c r="D351" t="s">
        <v>593</v>
      </c>
      <c r="E351" t="s">
        <v>594</v>
      </c>
      <c r="F351" t="s">
        <v>551</v>
      </c>
      <c r="G351" t="s">
        <v>496</v>
      </c>
      <c r="H351" s="75" t="str">
        <f>IFERROR(VLOOKUP(Table2[[#This Row],[Ticket]],Okey!A:B,2,0),"")</f>
        <v>ok</v>
      </c>
      <c r="I351" t="s">
        <v>19</v>
      </c>
      <c r="J351" t="str">
        <f>VLOOKUP(Table2[[#This Row],[Author]],People!A:B,2,0)</f>
        <v>MGF</v>
      </c>
      <c r="M351" t="s">
        <v>329</v>
      </c>
    </row>
    <row r="352" spans="1:13" x14ac:dyDescent="0.25">
      <c r="A352" s="75">
        <f t="shared" si="5"/>
        <v>351</v>
      </c>
      <c r="B352" s="13" t="s">
        <v>13</v>
      </c>
      <c r="C352" s="13" t="s">
        <v>325</v>
      </c>
      <c r="D352" t="s">
        <v>595</v>
      </c>
      <c r="E352" t="s">
        <v>596</v>
      </c>
      <c r="F352" t="s">
        <v>551</v>
      </c>
      <c r="G352" t="s">
        <v>496</v>
      </c>
      <c r="H352" s="75" t="str">
        <f>IFERROR(VLOOKUP(Table2[[#This Row],[Ticket]],Okey!A:B,2,0),"")</f>
        <v>ok</v>
      </c>
      <c r="I352" t="s">
        <v>19</v>
      </c>
      <c r="J352" t="str">
        <f>VLOOKUP(Table2[[#This Row],[Author]],People!A:B,2,0)</f>
        <v>MGF</v>
      </c>
      <c r="M352" t="s">
        <v>329</v>
      </c>
    </row>
    <row r="353" spans="1:13" x14ac:dyDescent="0.25">
      <c r="A353" s="75">
        <f t="shared" si="5"/>
        <v>352</v>
      </c>
      <c r="B353" s="13" t="s">
        <v>13</v>
      </c>
      <c r="C353" s="13" t="s">
        <v>325</v>
      </c>
      <c r="D353" t="s">
        <v>597</v>
      </c>
      <c r="E353" t="s">
        <v>598</v>
      </c>
      <c r="F353" t="s">
        <v>551</v>
      </c>
      <c r="G353" t="s">
        <v>496</v>
      </c>
      <c r="H353" s="75" t="str">
        <f>IFERROR(VLOOKUP(Table2[[#This Row],[Ticket]],Okey!A:B,2,0),"")</f>
        <v>ok</v>
      </c>
      <c r="I353" t="s">
        <v>19</v>
      </c>
      <c r="J353" t="str">
        <f>VLOOKUP(Table2[[#This Row],[Author]],People!A:B,2,0)</f>
        <v>MGF</v>
      </c>
      <c r="M353" t="s">
        <v>329</v>
      </c>
    </row>
    <row r="354" spans="1:13" x14ac:dyDescent="0.25">
      <c r="A354" s="75">
        <f t="shared" si="5"/>
        <v>353</v>
      </c>
      <c r="B354" s="13" t="s">
        <v>13</v>
      </c>
      <c r="C354" s="13" t="s">
        <v>325</v>
      </c>
      <c r="D354" t="s">
        <v>599</v>
      </c>
      <c r="E354" t="s">
        <v>600</v>
      </c>
      <c r="F354" t="s">
        <v>551</v>
      </c>
      <c r="G354" t="s">
        <v>496</v>
      </c>
      <c r="H354" s="75" t="str">
        <f>IFERROR(VLOOKUP(Table2[[#This Row],[Ticket]],Okey!A:B,2,0),"")</f>
        <v>ok</v>
      </c>
      <c r="I354" t="s">
        <v>19</v>
      </c>
      <c r="J354" t="str">
        <f>VLOOKUP(Table2[[#This Row],[Author]],People!A:B,2,0)</f>
        <v>MGF</v>
      </c>
      <c r="M354" t="s">
        <v>329</v>
      </c>
    </row>
    <row r="355" spans="1:13" x14ac:dyDescent="0.25">
      <c r="A355" s="75">
        <f t="shared" si="5"/>
        <v>354</v>
      </c>
      <c r="B355" s="13" t="s">
        <v>13</v>
      </c>
      <c r="C355" s="13" t="s">
        <v>325</v>
      </c>
      <c r="D355" t="s">
        <v>601</v>
      </c>
      <c r="E355" t="s">
        <v>602</v>
      </c>
      <c r="F355" t="s">
        <v>385</v>
      </c>
      <c r="G355" t="s">
        <v>496</v>
      </c>
      <c r="H355" s="75" t="str">
        <f>IFERROR(VLOOKUP(Table2[[#This Row],[Ticket]],Okey!A:B,2,0),"")</f>
        <v>ok</v>
      </c>
      <c r="I355" t="s">
        <v>19</v>
      </c>
      <c r="J355" t="str">
        <f>VLOOKUP(Table2[[#This Row],[Author]],People!A:B,2,0)</f>
        <v>MGF</v>
      </c>
      <c r="M355" t="s">
        <v>329</v>
      </c>
    </row>
    <row r="356" spans="1:13" x14ac:dyDescent="0.25">
      <c r="A356" s="75">
        <f t="shared" si="5"/>
        <v>355</v>
      </c>
      <c r="B356" s="13" t="s">
        <v>13</v>
      </c>
      <c r="C356" s="13" t="s">
        <v>325</v>
      </c>
      <c r="D356" t="s">
        <v>603</v>
      </c>
      <c r="E356" t="s">
        <v>604</v>
      </c>
      <c r="F356" t="s">
        <v>385</v>
      </c>
      <c r="G356" t="s">
        <v>496</v>
      </c>
      <c r="H356" s="75" t="str">
        <f>IFERROR(VLOOKUP(Table2[[#This Row],[Ticket]],Okey!A:B,2,0),"")</f>
        <v>ok</v>
      </c>
      <c r="I356" t="s">
        <v>19</v>
      </c>
      <c r="J356" t="str">
        <f>VLOOKUP(Table2[[#This Row],[Author]],People!A:B,2,0)</f>
        <v>MGF</v>
      </c>
      <c r="M356" t="s">
        <v>329</v>
      </c>
    </row>
    <row r="357" spans="1:13" x14ac:dyDescent="0.25">
      <c r="A357" s="75">
        <f t="shared" si="5"/>
        <v>356</v>
      </c>
      <c r="B357" s="13" t="s">
        <v>13</v>
      </c>
      <c r="C357" s="13" t="s">
        <v>325</v>
      </c>
      <c r="D357" t="s">
        <v>605</v>
      </c>
      <c r="E357" t="s">
        <v>606</v>
      </c>
      <c r="F357" t="s">
        <v>385</v>
      </c>
      <c r="G357" t="s">
        <v>496</v>
      </c>
      <c r="H357" s="75" t="str">
        <f>IFERROR(VLOOKUP(Table2[[#This Row],[Ticket]],Okey!A:B,2,0),"")</f>
        <v>ok</v>
      </c>
      <c r="I357" t="s">
        <v>19</v>
      </c>
      <c r="J357" t="str">
        <f>VLOOKUP(Table2[[#This Row],[Author]],People!A:B,2,0)</f>
        <v>MGF</v>
      </c>
      <c r="M357" t="s">
        <v>329</v>
      </c>
    </row>
    <row r="358" spans="1:13" x14ac:dyDescent="0.25">
      <c r="A358" s="75">
        <f t="shared" si="5"/>
        <v>357</v>
      </c>
      <c r="B358" s="13" t="s">
        <v>13</v>
      </c>
      <c r="C358" s="13" t="s">
        <v>325</v>
      </c>
      <c r="D358" t="s">
        <v>385</v>
      </c>
      <c r="E358" t="s">
        <v>607</v>
      </c>
      <c r="F358" t="s">
        <v>563</v>
      </c>
      <c r="G358" t="s">
        <v>496</v>
      </c>
      <c r="H358" s="75" t="str">
        <f>IFERROR(VLOOKUP(Table2[[#This Row],[Ticket]],Okey!A:B,2,0),"")</f>
        <v>ok</v>
      </c>
      <c r="I358" t="s">
        <v>19</v>
      </c>
      <c r="J358" t="str">
        <f>VLOOKUP(Table2[[#This Row],[Author]],People!A:B,2,0)</f>
        <v>MGF</v>
      </c>
      <c r="M358" t="s">
        <v>329</v>
      </c>
    </row>
    <row r="359" spans="1:13" x14ac:dyDescent="0.25">
      <c r="A359" s="75">
        <f t="shared" si="5"/>
        <v>358</v>
      </c>
      <c r="B359" s="13" t="s">
        <v>13</v>
      </c>
      <c r="C359" s="13" t="s">
        <v>325</v>
      </c>
      <c r="D359" t="s">
        <v>608</v>
      </c>
      <c r="E359" t="s">
        <v>609</v>
      </c>
      <c r="F359" t="s">
        <v>610</v>
      </c>
      <c r="G359" t="s">
        <v>496</v>
      </c>
      <c r="H359" s="75" t="str">
        <f>IFERROR(VLOOKUP(Table2[[#This Row],[Ticket]],Okey!A:B,2,0),"")</f>
        <v>ok</v>
      </c>
      <c r="I359" t="s">
        <v>19</v>
      </c>
      <c r="J359" t="str">
        <f>VLOOKUP(Table2[[#This Row],[Author]],People!A:B,2,0)</f>
        <v>MGF</v>
      </c>
      <c r="M359" t="s">
        <v>329</v>
      </c>
    </row>
    <row r="360" spans="1:13" x14ac:dyDescent="0.25">
      <c r="A360" s="75">
        <f t="shared" si="5"/>
        <v>359</v>
      </c>
      <c r="B360" s="13" t="s">
        <v>13</v>
      </c>
      <c r="C360" s="13" t="s">
        <v>325</v>
      </c>
      <c r="D360" t="s">
        <v>611</v>
      </c>
      <c r="E360" t="s">
        <v>612</v>
      </c>
      <c r="F360" t="s">
        <v>608</v>
      </c>
      <c r="G360" t="s">
        <v>496</v>
      </c>
      <c r="H360" s="75" t="str">
        <f>IFERROR(VLOOKUP(Table2[[#This Row],[Ticket]],Okey!A:B,2,0),"")</f>
        <v>ok</v>
      </c>
      <c r="I360" t="s">
        <v>19</v>
      </c>
      <c r="J360" t="str">
        <f>VLOOKUP(Table2[[#This Row],[Author]],People!A:B,2,0)</f>
        <v>MGF</v>
      </c>
      <c r="M360" t="s">
        <v>329</v>
      </c>
    </row>
    <row r="361" spans="1:13" x14ac:dyDescent="0.25">
      <c r="A361" s="75">
        <f t="shared" si="5"/>
        <v>360</v>
      </c>
      <c r="B361" s="13" t="s">
        <v>13</v>
      </c>
      <c r="C361" s="13" t="s">
        <v>325</v>
      </c>
      <c r="D361" t="s">
        <v>613</v>
      </c>
      <c r="E361" t="s">
        <v>614</v>
      </c>
      <c r="F361" t="s">
        <v>608</v>
      </c>
      <c r="G361" t="s">
        <v>496</v>
      </c>
      <c r="H361" s="75" t="str">
        <f>IFERROR(VLOOKUP(Table2[[#This Row],[Ticket]],Okey!A:B,2,0),"")</f>
        <v>ok</v>
      </c>
      <c r="I361" t="s">
        <v>19</v>
      </c>
      <c r="J361" t="str">
        <f>VLOOKUP(Table2[[#This Row],[Author]],People!A:B,2,0)</f>
        <v>MGF</v>
      </c>
      <c r="M361" t="s">
        <v>329</v>
      </c>
    </row>
    <row r="362" spans="1:13" x14ac:dyDescent="0.25">
      <c r="A362" s="75">
        <f t="shared" si="5"/>
        <v>361</v>
      </c>
      <c r="B362" s="13" t="s">
        <v>13</v>
      </c>
      <c r="C362" s="13" t="s">
        <v>325</v>
      </c>
      <c r="D362" t="s">
        <v>615</v>
      </c>
      <c r="E362" t="s">
        <v>616</v>
      </c>
      <c r="F362" t="s">
        <v>482</v>
      </c>
      <c r="G362" t="s">
        <v>496</v>
      </c>
      <c r="H362" s="75" t="str">
        <f>IFERROR(VLOOKUP(Table2[[#This Row],[Ticket]],Okey!A:B,2,0),"")</f>
        <v>ok</v>
      </c>
      <c r="I362" t="s">
        <v>19</v>
      </c>
      <c r="J362" t="str">
        <f>VLOOKUP(Table2[[#This Row],[Author]],People!A:B,2,0)</f>
        <v>MGF</v>
      </c>
      <c r="M362" t="s">
        <v>329</v>
      </c>
    </row>
    <row r="363" spans="1:13" x14ac:dyDescent="0.25">
      <c r="A363" s="75">
        <f t="shared" si="5"/>
        <v>362</v>
      </c>
      <c r="B363" s="13" t="s">
        <v>13</v>
      </c>
      <c r="C363" s="13" t="s">
        <v>325</v>
      </c>
      <c r="D363" t="s">
        <v>617</v>
      </c>
      <c r="E363" t="s">
        <v>565</v>
      </c>
      <c r="F363" t="s">
        <v>486</v>
      </c>
      <c r="G363" t="s">
        <v>496</v>
      </c>
      <c r="H363" s="75" t="str">
        <f>IFERROR(VLOOKUP(Table2[[#This Row],[Ticket]],Okey!A:B,2,0),"")</f>
        <v>ok</v>
      </c>
      <c r="I363" t="s">
        <v>19</v>
      </c>
      <c r="J363" t="str">
        <f>VLOOKUP(Table2[[#This Row],[Author]],People!A:B,2,0)</f>
        <v>MGF</v>
      </c>
      <c r="M363" t="s">
        <v>329</v>
      </c>
    </row>
    <row r="364" spans="1:13" x14ac:dyDescent="0.25">
      <c r="A364" s="75">
        <f t="shared" si="5"/>
        <v>363</v>
      </c>
      <c r="B364" s="13" t="s">
        <v>13</v>
      </c>
      <c r="C364" s="13" t="s">
        <v>325</v>
      </c>
      <c r="D364" t="s">
        <v>618</v>
      </c>
      <c r="E364" t="s">
        <v>567</v>
      </c>
      <c r="F364" t="s">
        <v>486</v>
      </c>
      <c r="G364" t="s">
        <v>496</v>
      </c>
      <c r="H364" s="75" t="str">
        <f>IFERROR(VLOOKUP(Table2[[#This Row],[Ticket]],Okey!A:B,2,0),"")</f>
        <v>ok</v>
      </c>
      <c r="I364" t="s">
        <v>19</v>
      </c>
      <c r="J364" t="str">
        <f>VLOOKUP(Table2[[#This Row],[Author]],People!A:B,2,0)</f>
        <v>MGF</v>
      </c>
      <c r="M364" t="s">
        <v>329</v>
      </c>
    </row>
    <row r="365" spans="1:13" x14ac:dyDescent="0.25">
      <c r="A365" s="75">
        <f t="shared" si="5"/>
        <v>364</v>
      </c>
      <c r="B365" s="13" t="s">
        <v>13</v>
      </c>
      <c r="C365" s="13" t="s">
        <v>325</v>
      </c>
      <c r="D365" t="s">
        <v>619</v>
      </c>
      <c r="E365" t="s">
        <v>569</v>
      </c>
      <c r="F365" t="s">
        <v>486</v>
      </c>
      <c r="G365" t="s">
        <v>496</v>
      </c>
      <c r="H365" s="75" t="str">
        <f>IFERROR(VLOOKUP(Table2[[#This Row],[Ticket]],Okey!A:B,2,0),"")</f>
        <v>ok</v>
      </c>
      <c r="I365" t="s">
        <v>19</v>
      </c>
      <c r="J365" t="str">
        <f>VLOOKUP(Table2[[#This Row],[Author]],People!A:B,2,0)</f>
        <v>MGF</v>
      </c>
      <c r="M365" t="s">
        <v>329</v>
      </c>
    </row>
    <row r="366" spans="1:13" x14ac:dyDescent="0.25">
      <c r="A366" s="75">
        <f t="shared" si="5"/>
        <v>365</v>
      </c>
      <c r="B366" s="13" t="s">
        <v>13</v>
      </c>
      <c r="C366" s="13" t="s">
        <v>325</v>
      </c>
      <c r="D366" t="s">
        <v>620</v>
      </c>
      <c r="E366" t="s">
        <v>571</v>
      </c>
      <c r="F366" t="s">
        <v>486</v>
      </c>
      <c r="G366" t="s">
        <v>496</v>
      </c>
      <c r="H366" s="75" t="str">
        <f>IFERROR(VLOOKUP(Table2[[#This Row],[Ticket]],Okey!A:B,2,0),"")</f>
        <v>ok</v>
      </c>
      <c r="I366" t="s">
        <v>19</v>
      </c>
      <c r="J366" t="str">
        <f>VLOOKUP(Table2[[#This Row],[Author]],People!A:B,2,0)</f>
        <v>MGF</v>
      </c>
      <c r="M366" t="s">
        <v>329</v>
      </c>
    </row>
    <row r="367" spans="1:13" x14ac:dyDescent="0.25">
      <c r="A367" s="75">
        <f t="shared" si="5"/>
        <v>366</v>
      </c>
      <c r="B367" s="13" t="s">
        <v>13</v>
      </c>
      <c r="C367" s="13" t="s">
        <v>325</v>
      </c>
      <c r="D367" t="s">
        <v>621</v>
      </c>
      <c r="E367" t="s">
        <v>573</v>
      </c>
      <c r="F367" t="s">
        <v>486</v>
      </c>
      <c r="G367" t="s">
        <v>496</v>
      </c>
      <c r="H367" s="75" t="str">
        <f>IFERROR(VLOOKUP(Table2[[#This Row],[Ticket]],Okey!A:B,2,0),"")</f>
        <v>ok</v>
      </c>
      <c r="I367" t="s">
        <v>19</v>
      </c>
      <c r="J367" t="str">
        <f>VLOOKUP(Table2[[#This Row],[Author]],People!A:B,2,0)</f>
        <v>MGF</v>
      </c>
      <c r="M367" t="s">
        <v>329</v>
      </c>
    </row>
    <row r="368" spans="1:13" x14ac:dyDescent="0.25">
      <c r="A368" s="75">
        <f t="shared" si="5"/>
        <v>367</v>
      </c>
      <c r="B368" s="13" t="s">
        <v>13</v>
      </c>
      <c r="C368" s="13" t="s">
        <v>325</v>
      </c>
      <c r="D368" t="s">
        <v>622</v>
      </c>
      <c r="E368" t="s">
        <v>574</v>
      </c>
      <c r="F368" t="s">
        <v>486</v>
      </c>
      <c r="G368" t="s">
        <v>496</v>
      </c>
      <c r="H368" s="75" t="str">
        <f>IFERROR(VLOOKUP(Table2[[#This Row],[Ticket]],Okey!A:B,2,0),"")</f>
        <v>ok</v>
      </c>
      <c r="I368" t="s">
        <v>19</v>
      </c>
      <c r="J368" t="str">
        <f>VLOOKUP(Table2[[#This Row],[Author]],People!A:B,2,0)</f>
        <v>MGF</v>
      </c>
      <c r="M368" t="s">
        <v>329</v>
      </c>
    </row>
    <row r="369" spans="1:13" x14ac:dyDescent="0.25">
      <c r="A369" s="75">
        <f t="shared" si="5"/>
        <v>368</v>
      </c>
      <c r="B369" s="13" t="s">
        <v>13</v>
      </c>
      <c r="C369" s="13" t="s">
        <v>325</v>
      </c>
      <c r="D369" t="s">
        <v>623</v>
      </c>
      <c r="E369" t="s">
        <v>576</v>
      </c>
      <c r="F369" t="s">
        <v>486</v>
      </c>
      <c r="G369" t="s">
        <v>496</v>
      </c>
      <c r="H369" s="75" t="str">
        <f>IFERROR(VLOOKUP(Table2[[#This Row],[Ticket]],Okey!A:B,2,0),"")</f>
        <v>ok</v>
      </c>
      <c r="I369" t="s">
        <v>19</v>
      </c>
      <c r="J369" t="str">
        <f>VLOOKUP(Table2[[#This Row],[Author]],People!A:B,2,0)</f>
        <v>MGF</v>
      </c>
      <c r="M369" t="s">
        <v>329</v>
      </c>
    </row>
    <row r="370" spans="1:13" x14ac:dyDescent="0.25">
      <c r="A370" s="75">
        <f t="shared" si="5"/>
        <v>369</v>
      </c>
      <c r="B370" s="13" t="s">
        <v>13</v>
      </c>
      <c r="C370" s="13" t="s">
        <v>325</v>
      </c>
      <c r="D370" t="s">
        <v>624</v>
      </c>
      <c r="E370" t="s">
        <v>578</v>
      </c>
      <c r="F370" t="s">
        <v>486</v>
      </c>
      <c r="G370" t="s">
        <v>496</v>
      </c>
      <c r="H370" s="75" t="str">
        <f>IFERROR(VLOOKUP(Table2[[#This Row],[Ticket]],Okey!A:B,2,0),"")</f>
        <v>ok</v>
      </c>
      <c r="I370" t="s">
        <v>19</v>
      </c>
      <c r="J370" t="str">
        <f>VLOOKUP(Table2[[#This Row],[Author]],People!A:B,2,0)</f>
        <v>MGF</v>
      </c>
      <c r="M370" t="s">
        <v>329</v>
      </c>
    </row>
    <row r="371" spans="1:13" x14ac:dyDescent="0.25">
      <c r="A371" s="75">
        <f t="shared" si="5"/>
        <v>370</v>
      </c>
      <c r="B371" s="13" t="s">
        <v>13</v>
      </c>
      <c r="C371" s="13" t="s">
        <v>325</v>
      </c>
      <c r="D371" t="s">
        <v>625</v>
      </c>
      <c r="E371" t="s">
        <v>590</v>
      </c>
      <c r="F371" t="s">
        <v>484</v>
      </c>
      <c r="G371" t="s">
        <v>496</v>
      </c>
      <c r="H371" s="75" t="str">
        <f>IFERROR(VLOOKUP(Table2[[#This Row],[Ticket]],Okey!A:B,2,0),"")</f>
        <v>ok</v>
      </c>
      <c r="I371" t="s">
        <v>19</v>
      </c>
      <c r="J371" t="str">
        <f>VLOOKUP(Table2[[#This Row],[Author]],People!A:B,2,0)</f>
        <v>MGF</v>
      </c>
      <c r="M371" t="s">
        <v>329</v>
      </c>
    </row>
    <row r="372" spans="1:13" x14ac:dyDescent="0.25">
      <c r="A372" s="75">
        <f t="shared" si="5"/>
        <v>371</v>
      </c>
      <c r="B372" s="13" t="s">
        <v>13</v>
      </c>
      <c r="C372" s="13" t="s">
        <v>325</v>
      </c>
      <c r="D372" t="s">
        <v>626</v>
      </c>
      <c r="E372" t="s">
        <v>627</v>
      </c>
      <c r="F372" t="s">
        <v>625</v>
      </c>
      <c r="G372" t="s">
        <v>496</v>
      </c>
      <c r="H372" s="75" t="str">
        <f>IFERROR(VLOOKUP(Table2[[#This Row],[Ticket]],Okey!A:B,2,0),"")</f>
        <v>ok</v>
      </c>
      <c r="I372" t="s">
        <v>19</v>
      </c>
      <c r="J372" t="str">
        <f>VLOOKUP(Table2[[#This Row],[Author]],People!A:B,2,0)</f>
        <v>MGF</v>
      </c>
      <c r="M372" t="s">
        <v>329</v>
      </c>
    </row>
    <row r="373" spans="1:13" x14ac:dyDescent="0.25">
      <c r="A373" s="75">
        <f t="shared" si="5"/>
        <v>372</v>
      </c>
      <c r="B373" s="13" t="s">
        <v>13</v>
      </c>
      <c r="C373" s="13" t="s">
        <v>325</v>
      </c>
      <c r="D373" t="s">
        <v>628</v>
      </c>
      <c r="E373" t="s">
        <v>629</v>
      </c>
      <c r="F373" t="s">
        <v>625</v>
      </c>
      <c r="G373" t="s">
        <v>496</v>
      </c>
      <c r="H373" s="75" t="str">
        <f>IFERROR(VLOOKUP(Table2[[#This Row],[Ticket]],Okey!A:B,2,0),"")</f>
        <v>ok</v>
      </c>
      <c r="I373" t="s">
        <v>19</v>
      </c>
      <c r="J373" t="str">
        <f>VLOOKUP(Table2[[#This Row],[Author]],People!A:B,2,0)</f>
        <v>MGF</v>
      </c>
      <c r="M373" t="s">
        <v>329</v>
      </c>
    </row>
    <row r="374" spans="1:13" x14ac:dyDescent="0.25">
      <c r="A374" s="75">
        <f t="shared" si="5"/>
        <v>373</v>
      </c>
      <c r="B374" s="13" t="s">
        <v>13</v>
      </c>
      <c r="C374" s="13" t="s">
        <v>325</v>
      </c>
      <c r="D374" t="s">
        <v>630</v>
      </c>
      <c r="E374" t="s">
        <v>631</v>
      </c>
      <c r="F374" t="s">
        <v>625</v>
      </c>
      <c r="G374" t="s">
        <v>496</v>
      </c>
      <c r="H374" s="75" t="str">
        <f>IFERROR(VLOOKUP(Table2[[#This Row],[Ticket]],Okey!A:B,2,0),"")</f>
        <v>ok</v>
      </c>
      <c r="I374" t="s">
        <v>19</v>
      </c>
      <c r="J374" t="str">
        <f>VLOOKUP(Table2[[#This Row],[Author]],People!A:B,2,0)</f>
        <v>MGF</v>
      </c>
      <c r="M374" t="s">
        <v>329</v>
      </c>
    </row>
    <row r="375" spans="1:13" x14ac:dyDescent="0.25">
      <c r="A375" s="75">
        <f t="shared" si="5"/>
        <v>374</v>
      </c>
      <c r="B375" s="13" t="s">
        <v>13</v>
      </c>
      <c r="C375" s="39" t="s">
        <v>632</v>
      </c>
      <c r="D375" t="s">
        <v>633</v>
      </c>
      <c r="E375" t="s">
        <v>633</v>
      </c>
      <c r="F375" s="15" t="s">
        <v>634</v>
      </c>
      <c r="G375" t="s">
        <v>18</v>
      </c>
      <c r="H375" s="75" t="str">
        <f>IFERROR(VLOOKUP(Table2[[#This Row],[Ticket]],Okey!A:B,2,0),"")</f>
        <v>ok</v>
      </c>
      <c r="I375" t="s">
        <v>19</v>
      </c>
      <c r="J375" t="s">
        <v>635</v>
      </c>
      <c r="M375" t="s">
        <v>636</v>
      </c>
    </row>
    <row r="376" spans="1:13" x14ac:dyDescent="0.25">
      <c r="A376" s="75">
        <f t="shared" si="5"/>
        <v>375</v>
      </c>
      <c r="B376" s="13" t="s">
        <v>13</v>
      </c>
      <c r="C376" t="s">
        <v>637</v>
      </c>
      <c r="D376" t="s">
        <v>638</v>
      </c>
      <c r="E376" t="s">
        <v>639</v>
      </c>
      <c r="F376" t="s">
        <v>640</v>
      </c>
      <c r="G376" t="s">
        <v>18</v>
      </c>
      <c r="H376" s="75" t="str">
        <f>IFERROR(VLOOKUP(Table2[[#This Row],[Ticket]],Okey!A:B,2,0),"")</f>
        <v>ok</v>
      </c>
      <c r="I376" t="s">
        <v>19</v>
      </c>
      <c r="J376" t="str">
        <f>VLOOKUP(Table2[[#This Row],[Author]],People!A:B,2,0)</f>
        <v>HC</v>
      </c>
      <c r="M376" t="s">
        <v>642</v>
      </c>
    </row>
    <row r="377" spans="1:13" x14ac:dyDescent="0.25">
      <c r="A377" s="75">
        <f t="shared" si="5"/>
        <v>376</v>
      </c>
      <c r="B377" s="13" t="s">
        <v>13</v>
      </c>
      <c r="C377" t="s">
        <v>643</v>
      </c>
      <c r="D377" t="s">
        <v>644</v>
      </c>
      <c r="E377" t="s">
        <v>645</v>
      </c>
      <c r="G377" t="s">
        <v>63</v>
      </c>
      <c r="H377" s="75" t="str">
        <f>IFERROR(VLOOKUP(Table2[[#This Row],[Ticket]],Okey!A:B,2,0),"")</f>
        <v>ok</v>
      </c>
      <c r="I377" t="s">
        <v>19</v>
      </c>
      <c r="J377" t="str">
        <f>VLOOKUP(Table2[[#This Row],[Author]],People!A:B,2,0)</f>
        <v>HC</v>
      </c>
      <c r="M377" t="s">
        <v>322</v>
      </c>
    </row>
    <row r="378" spans="1:13" x14ac:dyDescent="0.25">
      <c r="A378" s="75">
        <f t="shared" si="5"/>
        <v>377</v>
      </c>
      <c r="B378" s="13" t="s">
        <v>13</v>
      </c>
      <c r="C378" t="s">
        <v>643</v>
      </c>
      <c r="D378" t="s">
        <v>646</v>
      </c>
      <c r="E378" t="s">
        <v>647</v>
      </c>
      <c r="G378" t="s">
        <v>63</v>
      </c>
      <c r="H378" s="75" t="str">
        <f>IFERROR(VLOOKUP(Table2[[#This Row],[Ticket]],Okey!A:B,2,0),"")</f>
        <v>ok</v>
      </c>
      <c r="I378" t="s">
        <v>19</v>
      </c>
      <c r="J378" t="str">
        <f>VLOOKUP(Table2[[#This Row],[Author]],People!A:B,2,0)</f>
        <v>HC</v>
      </c>
      <c r="M378" t="s">
        <v>322</v>
      </c>
    </row>
    <row r="379" spans="1:13" x14ac:dyDescent="0.25">
      <c r="A379" s="75">
        <f t="shared" si="5"/>
        <v>378</v>
      </c>
      <c r="B379" s="13" t="s">
        <v>13</v>
      </c>
      <c r="C379" t="s">
        <v>648</v>
      </c>
      <c r="D379" t="s">
        <v>34</v>
      </c>
      <c r="E379" s="37" t="s">
        <v>324</v>
      </c>
      <c r="G379" t="s">
        <v>63</v>
      </c>
      <c r="H379" s="75" t="str">
        <f>IFERROR(VLOOKUP(Table2[[#This Row],[Ticket]],Okey!A:B,2,0),"")</f>
        <v>ok</v>
      </c>
      <c r="I379" t="s">
        <v>19</v>
      </c>
      <c r="J379" t="str">
        <f>VLOOKUP(Table2[[#This Row],[Author]],People!A:B,2,0)</f>
        <v>HC</v>
      </c>
      <c r="M379" t="s">
        <v>322</v>
      </c>
    </row>
    <row r="380" spans="1:13" x14ac:dyDescent="0.25">
      <c r="A380" s="75">
        <f t="shared" si="5"/>
        <v>379</v>
      </c>
      <c r="B380" s="13" t="s">
        <v>13</v>
      </c>
      <c r="C380" t="s">
        <v>648</v>
      </c>
      <c r="D380" t="s">
        <v>649</v>
      </c>
      <c r="E380" s="38" t="s">
        <v>650</v>
      </c>
      <c r="F380" t="s">
        <v>651</v>
      </c>
      <c r="G380" t="s">
        <v>496</v>
      </c>
      <c r="H380" s="75" t="str">
        <f>IFERROR(VLOOKUP(Table2[[#This Row],[Ticket]],Okey!A:B,2,0),"")</f>
        <v>ok</v>
      </c>
      <c r="I380" t="s">
        <v>19</v>
      </c>
      <c r="J380" t="str">
        <f>VLOOKUP(Table2[[#This Row],[Author]],People!A:B,2,0)</f>
        <v>HC</v>
      </c>
      <c r="M380" t="s">
        <v>322</v>
      </c>
    </row>
    <row r="381" spans="1:13" x14ac:dyDescent="0.25">
      <c r="A381" s="75">
        <f t="shared" si="5"/>
        <v>380</v>
      </c>
      <c r="B381" s="13" t="s">
        <v>13</v>
      </c>
      <c r="C381" t="s">
        <v>648</v>
      </c>
      <c r="D381" t="s">
        <v>652</v>
      </c>
      <c r="E381" t="s">
        <v>653</v>
      </c>
      <c r="F381" t="s">
        <v>654</v>
      </c>
      <c r="G381" t="s">
        <v>496</v>
      </c>
      <c r="H381" s="75" t="str">
        <f>IFERROR(VLOOKUP(Table2[[#This Row],[Ticket]],Okey!A:B,2,0),"")</f>
        <v>ok</v>
      </c>
      <c r="I381" t="s">
        <v>19</v>
      </c>
      <c r="J381" t="str">
        <f>VLOOKUP(Table2[[#This Row],[Author]],People!A:B,2,0)</f>
        <v>HC</v>
      </c>
      <c r="M381" t="s">
        <v>322</v>
      </c>
    </row>
    <row r="382" spans="1:13" x14ac:dyDescent="0.25">
      <c r="A382" s="75">
        <f t="shared" si="5"/>
        <v>381</v>
      </c>
      <c r="B382" s="13" t="s">
        <v>13</v>
      </c>
      <c r="C382" t="s">
        <v>648</v>
      </c>
      <c r="D382" t="s">
        <v>655</v>
      </c>
      <c r="E382" t="s">
        <v>656</v>
      </c>
      <c r="F382" t="s">
        <v>651</v>
      </c>
      <c r="G382" t="s">
        <v>496</v>
      </c>
      <c r="H382" s="75" t="str">
        <f>IFERROR(VLOOKUP(Table2[[#This Row],[Ticket]],Okey!A:B,2,0),"")</f>
        <v>ok</v>
      </c>
      <c r="I382" t="s">
        <v>19</v>
      </c>
      <c r="J382" t="str">
        <f>VLOOKUP(Table2[[#This Row],[Author]],People!A:B,2,0)</f>
        <v>HC</v>
      </c>
      <c r="M382" t="s">
        <v>322</v>
      </c>
    </row>
    <row r="383" spans="1:13" x14ac:dyDescent="0.25">
      <c r="A383" s="75">
        <f t="shared" si="5"/>
        <v>382</v>
      </c>
      <c r="B383" s="13" t="s">
        <v>13</v>
      </c>
      <c r="C383" t="s">
        <v>648</v>
      </c>
      <c r="D383" t="s">
        <v>657</v>
      </c>
      <c r="E383" t="s">
        <v>658</v>
      </c>
      <c r="F383" t="s">
        <v>35</v>
      </c>
      <c r="G383" t="s">
        <v>496</v>
      </c>
      <c r="H383" s="75" t="str">
        <f>IFERROR(VLOOKUP(Table2[[#This Row],[Ticket]],Okey!A:B,2,0),"")</f>
        <v>ok</v>
      </c>
      <c r="I383" t="s">
        <v>19</v>
      </c>
      <c r="J383" t="str">
        <f>VLOOKUP(Table2[[#This Row],[Author]],People!A:B,2,0)</f>
        <v>HC</v>
      </c>
      <c r="M383" t="s">
        <v>322</v>
      </c>
    </row>
    <row r="384" spans="1:13" x14ac:dyDescent="0.25">
      <c r="A384" s="75">
        <f t="shared" si="5"/>
        <v>383</v>
      </c>
      <c r="B384" s="13" t="s">
        <v>13</v>
      </c>
      <c r="C384" t="s">
        <v>648</v>
      </c>
      <c r="D384" t="s">
        <v>659</v>
      </c>
      <c r="E384" t="s">
        <v>660</v>
      </c>
      <c r="F384" t="s">
        <v>661</v>
      </c>
      <c r="G384" t="s">
        <v>496</v>
      </c>
      <c r="H384" s="75" t="str">
        <f>IFERROR(VLOOKUP(Table2[[#This Row],[Ticket]],Okey!A:B,2,0),"")</f>
        <v>ok</v>
      </c>
      <c r="I384" t="s">
        <v>19</v>
      </c>
      <c r="J384" t="str">
        <f>VLOOKUP(Table2[[#This Row],[Author]],People!A:B,2,0)</f>
        <v>HC</v>
      </c>
      <c r="M384" t="s">
        <v>322</v>
      </c>
    </row>
    <row r="385" spans="1:13" x14ac:dyDescent="0.25">
      <c r="A385" s="75">
        <f t="shared" si="5"/>
        <v>384</v>
      </c>
      <c r="B385" s="13" t="s">
        <v>13</v>
      </c>
      <c r="C385" t="s">
        <v>648</v>
      </c>
      <c r="D385" t="s">
        <v>662</v>
      </c>
      <c r="E385" t="s">
        <v>663</v>
      </c>
      <c r="F385" t="s">
        <v>664</v>
      </c>
      <c r="G385" t="s">
        <v>496</v>
      </c>
      <c r="H385" s="75" t="str">
        <f>IFERROR(VLOOKUP(Table2[[#This Row],[Ticket]],Okey!A:B,2,0),"")</f>
        <v>ok</v>
      </c>
      <c r="I385" t="s">
        <v>19</v>
      </c>
      <c r="J385" t="str">
        <f>VLOOKUP(Table2[[#This Row],[Author]],People!A:B,2,0)</f>
        <v>HC</v>
      </c>
      <c r="M385" t="s">
        <v>322</v>
      </c>
    </row>
    <row r="386" spans="1:13" x14ac:dyDescent="0.25">
      <c r="A386" s="75">
        <f t="shared" si="5"/>
        <v>385</v>
      </c>
      <c r="B386" s="13" t="s">
        <v>13</v>
      </c>
      <c r="C386" t="s">
        <v>648</v>
      </c>
      <c r="D386" t="s">
        <v>665</v>
      </c>
      <c r="E386" t="s">
        <v>663</v>
      </c>
      <c r="F386" t="s">
        <v>664</v>
      </c>
      <c r="G386" t="s">
        <v>496</v>
      </c>
      <c r="H386" s="75" t="str">
        <f>IFERROR(VLOOKUP(Table2[[#This Row],[Ticket]],Okey!A:B,2,0),"")</f>
        <v>ok</v>
      </c>
      <c r="I386" t="s">
        <v>19</v>
      </c>
      <c r="J386" t="str">
        <f>VLOOKUP(Table2[[#This Row],[Author]],People!A:B,2,0)</f>
        <v>HC</v>
      </c>
      <c r="M386" t="s">
        <v>322</v>
      </c>
    </row>
    <row r="387" spans="1:13" x14ac:dyDescent="0.25">
      <c r="A387" s="75">
        <f t="shared" si="5"/>
        <v>386</v>
      </c>
      <c r="B387" s="13" t="s">
        <v>13</v>
      </c>
      <c r="C387" t="s">
        <v>666</v>
      </c>
      <c r="D387" t="s">
        <v>667</v>
      </c>
      <c r="E387" t="s">
        <v>668</v>
      </c>
      <c r="F387" t="s">
        <v>669</v>
      </c>
      <c r="G387" t="s">
        <v>18</v>
      </c>
      <c r="H387" s="75" t="str">
        <f>IFERROR(VLOOKUP(Table2[[#This Row],[Ticket]],Okey!A:B,2,0),"")</f>
        <v>ok</v>
      </c>
      <c r="I387" t="s">
        <v>19</v>
      </c>
      <c r="J387" t="str">
        <f>VLOOKUP(Table2[[#This Row],[Author]],People!A:B,2,0)</f>
        <v>HC</v>
      </c>
      <c r="M387" t="s">
        <v>670</v>
      </c>
    </row>
    <row r="388" spans="1:13" x14ac:dyDescent="0.25">
      <c r="A388" s="75">
        <f t="shared" si="5"/>
        <v>387</v>
      </c>
      <c r="B388" s="13" t="s">
        <v>13</v>
      </c>
      <c r="C388" t="s">
        <v>666</v>
      </c>
      <c r="D388" t="s">
        <v>671</v>
      </c>
      <c r="E388" t="s">
        <v>668</v>
      </c>
      <c r="F388" t="s">
        <v>672</v>
      </c>
      <c r="G388" t="s">
        <v>18</v>
      </c>
      <c r="H388" s="75" t="str">
        <f>IFERROR(VLOOKUP(Table2[[#This Row],[Ticket]],Okey!A:B,2,0),"")</f>
        <v>ok</v>
      </c>
      <c r="I388" t="s">
        <v>19</v>
      </c>
      <c r="J388" t="str">
        <f>VLOOKUP(Table2[[#This Row],[Author]],People!A:B,2,0)</f>
        <v>HC</v>
      </c>
      <c r="M388" t="s">
        <v>670</v>
      </c>
    </row>
    <row r="389" spans="1:13" x14ac:dyDescent="0.25">
      <c r="A389" s="75">
        <f t="shared" si="5"/>
        <v>388</v>
      </c>
      <c r="B389" s="13" t="s">
        <v>13</v>
      </c>
      <c r="C389" t="s">
        <v>666</v>
      </c>
      <c r="D389" t="s">
        <v>673</v>
      </c>
      <c r="E389" t="s">
        <v>668</v>
      </c>
      <c r="F389" t="s">
        <v>674</v>
      </c>
      <c r="G389" t="s">
        <v>18</v>
      </c>
      <c r="H389" s="75" t="str">
        <f>IFERROR(VLOOKUP(Table2[[#This Row],[Ticket]],Okey!A:B,2,0),"")</f>
        <v>ok</v>
      </c>
      <c r="I389" t="s">
        <v>19</v>
      </c>
      <c r="J389" t="str">
        <f>VLOOKUP(Table2[[#This Row],[Author]],People!A:B,2,0)</f>
        <v>HC</v>
      </c>
      <c r="M389" t="s">
        <v>670</v>
      </c>
    </row>
    <row r="390" spans="1:13" x14ac:dyDescent="0.25">
      <c r="A390" s="75">
        <f t="shared" si="5"/>
        <v>389</v>
      </c>
      <c r="B390" s="13" t="s">
        <v>13</v>
      </c>
      <c r="C390" t="s">
        <v>666</v>
      </c>
      <c r="D390" t="s">
        <v>675</v>
      </c>
      <c r="E390" t="s">
        <v>668</v>
      </c>
      <c r="F390" t="s">
        <v>676</v>
      </c>
      <c r="G390" t="s">
        <v>18</v>
      </c>
      <c r="H390" s="75" t="str">
        <f>IFERROR(VLOOKUP(Table2[[#This Row],[Ticket]],Okey!A:B,2,0),"")</f>
        <v>ok</v>
      </c>
      <c r="I390" t="s">
        <v>19</v>
      </c>
      <c r="J390" t="str">
        <f>VLOOKUP(Table2[[#This Row],[Author]],People!A:B,2,0)</f>
        <v>HC</v>
      </c>
      <c r="M390" t="s">
        <v>670</v>
      </c>
    </row>
    <row r="391" spans="1:13" x14ac:dyDescent="0.25">
      <c r="A391" s="75">
        <f t="shared" si="5"/>
        <v>390</v>
      </c>
      <c r="B391" s="13" t="s">
        <v>13</v>
      </c>
      <c r="C391" t="s">
        <v>666</v>
      </c>
      <c r="D391" t="s">
        <v>677</v>
      </c>
      <c r="E391" t="s">
        <v>668</v>
      </c>
      <c r="F391" t="s">
        <v>678</v>
      </c>
      <c r="G391" t="s">
        <v>18</v>
      </c>
      <c r="H391" s="75" t="str">
        <f>IFERROR(VLOOKUP(Table2[[#This Row],[Ticket]],Okey!A:B,2,0),"")</f>
        <v>ok</v>
      </c>
      <c r="I391" t="s">
        <v>19</v>
      </c>
      <c r="J391" t="str">
        <f>VLOOKUP(Table2[[#This Row],[Author]],People!A:B,2,0)</f>
        <v>HC</v>
      </c>
      <c r="M391" t="s">
        <v>670</v>
      </c>
    </row>
    <row r="392" spans="1:13" x14ac:dyDescent="0.25">
      <c r="A392" s="75">
        <f t="shared" si="5"/>
        <v>391</v>
      </c>
      <c r="B392" s="13" t="s">
        <v>13</v>
      </c>
      <c r="C392" t="s">
        <v>666</v>
      </c>
      <c r="D392" t="s">
        <v>679</v>
      </c>
      <c r="E392" s="18" t="s">
        <v>680</v>
      </c>
      <c r="F392" t="s">
        <v>681</v>
      </c>
      <c r="G392" t="s">
        <v>496</v>
      </c>
      <c r="H392" s="75" t="str">
        <f>IFERROR(VLOOKUP(Table2[[#This Row],[Ticket]],Okey!A:B,2,0),"")</f>
        <v>ok</v>
      </c>
      <c r="I392" t="s">
        <v>19</v>
      </c>
      <c r="J392" t="str">
        <f>VLOOKUP(Table2[[#This Row],[Author]],People!A:B,2,0)</f>
        <v>HC</v>
      </c>
      <c r="M392" t="s">
        <v>670</v>
      </c>
    </row>
    <row r="393" spans="1:13" x14ac:dyDescent="0.25">
      <c r="A393" s="75">
        <f t="shared" ref="A393:A456" si="6">1+A392</f>
        <v>392</v>
      </c>
      <c r="B393" s="13" t="s">
        <v>13</v>
      </c>
      <c r="C393" t="s">
        <v>682</v>
      </c>
      <c r="D393" t="s">
        <v>683</v>
      </c>
      <c r="E393" t="s">
        <v>684</v>
      </c>
      <c r="G393" t="s">
        <v>63</v>
      </c>
      <c r="H393" s="75" t="str">
        <f>IFERROR(VLOOKUP(Table2[[#This Row],[Ticket]],Okey!A:B,2,0),"")</f>
        <v>ok</v>
      </c>
      <c r="I393" t="s">
        <v>19</v>
      </c>
      <c r="J393" t="str">
        <f>VLOOKUP(Table2[[#This Row],[Author]],People!A:B,2,0)</f>
        <v>MGF</v>
      </c>
      <c r="M393" t="s">
        <v>685</v>
      </c>
    </row>
    <row r="394" spans="1:13" x14ac:dyDescent="0.25">
      <c r="A394" s="75">
        <f t="shared" si="6"/>
        <v>393</v>
      </c>
      <c r="B394" s="13" t="s">
        <v>13</v>
      </c>
      <c r="C394" t="s">
        <v>682</v>
      </c>
      <c r="D394" t="s">
        <v>383</v>
      </c>
      <c r="E394" t="s">
        <v>686</v>
      </c>
      <c r="G394" t="s">
        <v>63</v>
      </c>
      <c r="H394" s="75" t="str">
        <f>IFERROR(VLOOKUP(Table2[[#This Row],[Ticket]],Okey!A:B,2,0),"")</f>
        <v>ok</v>
      </c>
      <c r="I394" t="s">
        <v>19</v>
      </c>
      <c r="J394" t="str">
        <f>VLOOKUP(Table2[[#This Row],[Author]],People!A:B,2,0)</f>
        <v>MGF</v>
      </c>
      <c r="M394" t="s">
        <v>685</v>
      </c>
    </row>
    <row r="395" spans="1:13" x14ac:dyDescent="0.25">
      <c r="A395" s="75">
        <f t="shared" si="6"/>
        <v>394</v>
      </c>
      <c r="B395" s="13" t="s">
        <v>13</v>
      </c>
      <c r="C395" t="s">
        <v>682</v>
      </c>
      <c r="D395" t="s">
        <v>687</v>
      </c>
      <c r="E395" t="s">
        <v>688</v>
      </c>
      <c r="G395" t="s">
        <v>63</v>
      </c>
      <c r="H395" s="75" t="str">
        <f>IFERROR(VLOOKUP(Table2[[#This Row],[Ticket]],Okey!A:B,2,0),"")</f>
        <v>ok</v>
      </c>
      <c r="I395" t="s">
        <v>19</v>
      </c>
      <c r="J395" t="str">
        <f>VLOOKUP(Table2[[#This Row],[Author]],People!A:B,2,0)</f>
        <v>MGF</v>
      </c>
      <c r="M395" t="s">
        <v>685</v>
      </c>
    </row>
    <row r="396" spans="1:13" x14ac:dyDescent="0.25">
      <c r="A396" s="75">
        <f t="shared" si="6"/>
        <v>395</v>
      </c>
      <c r="B396" s="13" t="s">
        <v>13</v>
      </c>
      <c r="C396" t="s">
        <v>682</v>
      </c>
      <c r="D396" t="s">
        <v>689</v>
      </c>
      <c r="E396" t="s">
        <v>690</v>
      </c>
      <c r="G396" t="s">
        <v>63</v>
      </c>
      <c r="H396" s="75" t="str">
        <f>IFERROR(VLOOKUP(Table2[[#This Row],[Ticket]],Okey!A:B,2,0),"")</f>
        <v>ok</v>
      </c>
      <c r="I396" t="s">
        <v>19</v>
      </c>
      <c r="J396" t="str">
        <f>VLOOKUP(Table2[[#This Row],[Author]],People!A:B,2,0)</f>
        <v>MGF</v>
      </c>
      <c r="M396" t="s">
        <v>685</v>
      </c>
    </row>
    <row r="397" spans="1:13" x14ac:dyDescent="0.25">
      <c r="A397" s="75">
        <f t="shared" si="6"/>
        <v>396</v>
      </c>
      <c r="B397" s="13" t="s">
        <v>13</v>
      </c>
      <c r="C397" t="s">
        <v>682</v>
      </c>
      <c r="D397" t="s">
        <v>23</v>
      </c>
      <c r="E397" t="s">
        <v>691</v>
      </c>
      <c r="G397" t="s">
        <v>63</v>
      </c>
      <c r="H397" s="75" t="str">
        <f>IFERROR(VLOOKUP(Table2[[#This Row],[Ticket]],Okey!A:B,2,0),"")</f>
        <v>ok</v>
      </c>
      <c r="I397" t="s">
        <v>19</v>
      </c>
      <c r="J397" t="str">
        <f>VLOOKUP(Table2[[#This Row],[Author]],People!A:B,2,0)</f>
        <v>MGF</v>
      </c>
      <c r="M397" t="s">
        <v>685</v>
      </c>
    </row>
    <row r="398" spans="1:13" x14ac:dyDescent="0.25">
      <c r="A398" s="75">
        <f t="shared" si="6"/>
        <v>397</v>
      </c>
      <c r="B398" s="13" t="s">
        <v>13</v>
      </c>
      <c r="C398" t="s">
        <v>682</v>
      </c>
      <c r="D398" t="s">
        <v>522</v>
      </c>
      <c r="E398" t="s">
        <v>692</v>
      </c>
      <c r="F398" t="s">
        <v>416</v>
      </c>
      <c r="G398" t="s">
        <v>496</v>
      </c>
      <c r="H398" s="75" t="str">
        <f>IFERROR(VLOOKUP(Table2[[#This Row],[Ticket]],Okey!A:B,2,0),"")</f>
        <v>ok</v>
      </c>
      <c r="I398" t="s">
        <v>19</v>
      </c>
      <c r="J398" t="str">
        <f>VLOOKUP(Table2[[#This Row],[Author]],People!A:B,2,0)</f>
        <v>MGF</v>
      </c>
      <c r="M398" t="s">
        <v>685</v>
      </c>
    </row>
    <row r="399" spans="1:13" x14ac:dyDescent="0.25">
      <c r="A399" s="75">
        <f t="shared" si="6"/>
        <v>398</v>
      </c>
      <c r="B399" s="13" t="s">
        <v>13</v>
      </c>
      <c r="C399" t="s">
        <v>682</v>
      </c>
      <c r="D399" t="s">
        <v>693</v>
      </c>
      <c r="E399" t="s">
        <v>694</v>
      </c>
      <c r="F399" t="s">
        <v>524</v>
      </c>
      <c r="G399" t="s">
        <v>496</v>
      </c>
      <c r="H399" s="75" t="str">
        <f>IFERROR(VLOOKUP(Table2[[#This Row],[Ticket]],Okey!A:B,2,0),"")</f>
        <v>ok</v>
      </c>
      <c r="I399" t="s">
        <v>19</v>
      </c>
      <c r="J399" t="str">
        <f>VLOOKUP(Table2[[#This Row],[Author]],People!A:B,2,0)</f>
        <v>MGF</v>
      </c>
      <c r="M399" t="s">
        <v>685</v>
      </c>
    </row>
    <row r="400" spans="1:13" x14ac:dyDescent="0.25">
      <c r="A400" s="75">
        <f t="shared" si="6"/>
        <v>399</v>
      </c>
      <c r="B400" s="13" t="s">
        <v>13</v>
      </c>
      <c r="C400" t="s">
        <v>682</v>
      </c>
      <c r="D400" t="s">
        <v>695</v>
      </c>
      <c r="E400" t="s">
        <v>696</v>
      </c>
      <c r="F400" t="s">
        <v>524</v>
      </c>
      <c r="G400" t="s">
        <v>496</v>
      </c>
      <c r="H400" s="75" t="str">
        <f>IFERROR(VLOOKUP(Table2[[#This Row],[Ticket]],Okey!A:B,2,0),"")</f>
        <v>ok</v>
      </c>
      <c r="I400" t="s">
        <v>19</v>
      </c>
      <c r="J400" t="str">
        <f>VLOOKUP(Table2[[#This Row],[Author]],People!A:B,2,0)</f>
        <v>MGF</v>
      </c>
      <c r="M400" t="s">
        <v>685</v>
      </c>
    </row>
    <row r="401" spans="1:13" x14ac:dyDescent="0.25">
      <c r="A401" s="75">
        <f t="shared" si="6"/>
        <v>400</v>
      </c>
      <c r="B401" s="13" t="s">
        <v>13</v>
      </c>
      <c r="C401" t="s">
        <v>682</v>
      </c>
      <c r="D401" t="s">
        <v>528</v>
      </c>
      <c r="E401" t="s">
        <v>697</v>
      </c>
      <c r="F401" t="s">
        <v>530</v>
      </c>
      <c r="G401" t="s">
        <v>496</v>
      </c>
      <c r="H401" s="75" t="str">
        <f>IFERROR(VLOOKUP(Table2[[#This Row],[Ticket]],Okey!A:B,2,0),"")</f>
        <v>ok</v>
      </c>
      <c r="I401" t="s">
        <v>19</v>
      </c>
      <c r="J401" t="str">
        <f>VLOOKUP(Table2[[#This Row],[Author]],People!A:B,2,0)</f>
        <v>MGF</v>
      </c>
      <c r="M401" t="s">
        <v>685</v>
      </c>
    </row>
    <row r="402" spans="1:13" x14ac:dyDescent="0.25">
      <c r="A402" s="75">
        <f t="shared" si="6"/>
        <v>401</v>
      </c>
      <c r="B402" s="13" t="s">
        <v>13</v>
      </c>
      <c r="C402" t="s">
        <v>682</v>
      </c>
      <c r="D402" t="s">
        <v>438</v>
      </c>
      <c r="E402" t="s">
        <v>698</v>
      </c>
      <c r="F402" t="s">
        <v>530</v>
      </c>
      <c r="G402" t="s">
        <v>496</v>
      </c>
      <c r="H402" s="75" t="str">
        <f>IFERROR(VLOOKUP(Table2[[#This Row],[Ticket]],Okey!A:B,2,0),"")</f>
        <v>ok</v>
      </c>
      <c r="I402" t="s">
        <v>19</v>
      </c>
      <c r="J402" t="str">
        <f>VLOOKUP(Table2[[#This Row],[Author]],People!A:B,2,0)</f>
        <v>MGF</v>
      </c>
      <c r="M402" t="s">
        <v>685</v>
      </c>
    </row>
    <row r="403" spans="1:13" x14ac:dyDescent="0.25">
      <c r="A403" s="75">
        <f t="shared" si="6"/>
        <v>402</v>
      </c>
      <c r="B403" s="13" t="s">
        <v>13</v>
      </c>
      <c r="C403" t="s">
        <v>682</v>
      </c>
      <c r="D403" t="s">
        <v>440</v>
      </c>
      <c r="E403" t="s">
        <v>699</v>
      </c>
      <c r="F403" t="s">
        <v>549</v>
      </c>
      <c r="G403" t="s">
        <v>496</v>
      </c>
      <c r="H403" s="75" t="str">
        <f>IFERROR(VLOOKUP(Table2[[#This Row],[Ticket]],Okey!A:B,2,0),"")</f>
        <v>ok</v>
      </c>
      <c r="I403" t="s">
        <v>19</v>
      </c>
      <c r="J403" t="str">
        <f>VLOOKUP(Table2[[#This Row],[Author]],People!A:B,2,0)</f>
        <v>MGF</v>
      </c>
      <c r="M403" t="s">
        <v>685</v>
      </c>
    </row>
    <row r="404" spans="1:13" x14ac:dyDescent="0.25">
      <c r="A404" s="75">
        <f t="shared" si="6"/>
        <v>403</v>
      </c>
      <c r="B404" s="13" t="s">
        <v>13</v>
      </c>
      <c r="C404" t="s">
        <v>682</v>
      </c>
      <c r="D404" t="s">
        <v>700</v>
      </c>
      <c r="E404" t="s">
        <v>701</v>
      </c>
      <c r="F404" t="s">
        <v>515</v>
      </c>
      <c r="G404" t="s">
        <v>496</v>
      </c>
      <c r="H404" s="75" t="str">
        <f>IFERROR(VLOOKUP(Table2[[#This Row],[Ticket]],Okey!A:B,2,0),"")</f>
        <v>ok</v>
      </c>
      <c r="I404" t="s">
        <v>19</v>
      </c>
      <c r="J404" t="str">
        <f>VLOOKUP(Table2[[#This Row],[Author]],People!A:B,2,0)</f>
        <v>MGF</v>
      </c>
      <c r="M404" t="s">
        <v>685</v>
      </c>
    </row>
    <row r="405" spans="1:13" x14ac:dyDescent="0.25">
      <c r="A405" s="75">
        <f t="shared" si="6"/>
        <v>404</v>
      </c>
      <c r="B405" s="13" t="s">
        <v>13</v>
      </c>
      <c r="C405" t="s">
        <v>682</v>
      </c>
      <c r="D405" t="s">
        <v>385</v>
      </c>
      <c r="E405" t="s">
        <v>607</v>
      </c>
      <c r="F405" t="s">
        <v>386</v>
      </c>
      <c r="G405" t="s">
        <v>496</v>
      </c>
      <c r="H405" s="75" t="str">
        <f>IFERROR(VLOOKUP(Table2[[#This Row],[Ticket]],Okey!A:B,2,0),"")</f>
        <v>ok</v>
      </c>
      <c r="I405" t="s">
        <v>19</v>
      </c>
      <c r="J405" t="str">
        <f>VLOOKUP(Table2[[#This Row],[Author]],People!A:B,2,0)</f>
        <v>MGF</v>
      </c>
      <c r="M405" t="s">
        <v>685</v>
      </c>
    </row>
    <row r="406" spans="1:13" x14ac:dyDescent="0.25">
      <c r="A406" s="75">
        <f t="shared" si="6"/>
        <v>405</v>
      </c>
      <c r="B406" s="13" t="s">
        <v>13</v>
      </c>
      <c r="C406" t="s">
        <v>682</v>
      </c>
      <c r="D406" t="s">
        <v>702</v>
      </c>
      <c r="E406" t="s">
        <v>703</v>
      </c>
      <c r="F406" t="s">
        <v>704</v>
      </c>
      <c r="G406" t="s">
        <v>496</v>
      </c>
      <c r="H406" s="75" t="str">
        <f>IFERROR(VLOOKUP(Table2[[#This Row],[Ticket]],Okey!A:B,2,0),"")</f>
        <v>ok</v>
      </c>
      <c r="I406" t="s">
        <v>19</v>
      </c>
      <c r="J406" t="str">
        <f>VLOOKUP(Table2[[#This Row],[Author]],People!A:B,2,0)</f>
        <v>MGF</v>
      </c>
      <c r="M406" t="s">
        <v>685</v>
      </c>
    </row>
    <row r="407" spans="1:13" x14ac:dyDescent="0.25">
      <c r="A407" s="75">
        <f t="shared" si="6"/>
        <v>406</v>
      </c>
      <c r="B407" s="13" t="s">
        <v>13</v>
      </c>
      <c r="C407" t="s">
        <v>682</v>
      </c>
      <c r="D407" t="s">
        <v>705</v>
      </c>
      <c r="E407" t="s">
        <v>706</v>
      </c>
      <c r="F407" t="s">
        <v>446</v>
      </c>
      <c r="G407" t="s">
        <v>496</v>
      </c>
      <c r="H407" s="75" t="str">
        <f>IFERROR(VLOOKUP(Table2[[#This Row],[Ticket]],Okey!A:B,2,0),"")</f>
        <v>ok</v>
      </c>
      <c r="I407" t="s">
        <v>19</v>
      </c>
      <c r="J407" t="str">
        <f>VLOOKUP(Table2[[#This Row],[Author]],People!A:B,2,0)</f>
        <v>MGF</v>
      </c>
      <c r="M407" t="s">
        <v>685</v>
      </c>
    </row>
    <row r="408" spans="1:13" x14ac:dyDescent="0.25">
      <c r="A408" s="75">
        <f t="shared" si="6"/>
        <v>407</v>
      </c>
      <c r="B408" s="13" t="s">
        <v>13</v>
      </c>
      <c r="C408" t="s">
        <v>682</v>
      </c>
      <c r="D408" t="s">
        <v>707</v>
      </c>
      <c r="E408" t="s">
        <v>708</v>
      </c>
      <c r="F408" t="s">
        <v>446</v>
      </c>
      <c r="G408" t="s">
        <v>496</v>
      </c>
      <c r="H408" s="75" t="str">
        <f>IFERROR(VLOOKUP(Table2[[#This Row],[Ticket]],Okey!A:B,2,0),"")</f>
        <v>ok</v>
      </c>
      <c r="I408" t="s">
        <v>19</v>
      </c>
      <c r="J408" t="str">
        <f>VLOOKUP(Table2[[#This Row],[Author]],People!A:B,2,0)</f>
        <v>MGF</v>
      </c>
      <c r="M408" t="s">
        <v>685</v>
      </c>
    </row>
    <row r="409" spans="1:13" x14ac:dyDescent="0.25">
      <c r="A409" s="75">
        <f t="shared" si="6"/>
        <v>408</v>
      </c>
      <c r="B409" s="13" t="s">
        <v>13</v>
      </c>
      <c r="C409" t="s">
        <v>682</v>
      </c>
      <c r="D409" t="s">
        <v>709</v>
      </c>
      <c r="E409" t="s">
        <v>710</v>
      </c>
      <c r="F409" t="s">
        <v>446</v>
      </c>
      <c r="G409" t="s">
        <v>496</v>
      </c>
      <c r="H409" s="75" t="str">
        <f>IFERROR(VLOOKUP(Table2[[#This Row],[Ticket]],Okey!A:B,2,0),"")</f>
        <v>ok</v>
      </c>
      <c r="I409" t="s">
        <v>19</v>
      </c>
      <c r="J409" t="str">
        <f>VLOOKUP(Table2[[#This Row],[Author]],People!A:B,2,0)</f>
        <v>MGF</v>
      </c>
      <c r="M409" t="s">
        <v>685</v>
      </c>
    </row>
    <row r="410" spans="1:13" x14ac:dyDescent="0.25">
      <c r="A410" s="75">
        <f t="shared" si="6"/>
        <v>409</v>
      </c>
      <c r="B410" s="13" t="s">
        <v>13</v>
      </c>
      <c r="C410" t="s">
        <v>682</v>
      </c>
      <c r="D410" t="s">
        <v>711</v>
      </c>
      <c r="E410" t="s">
        <v>712</v>
      </c>
      <c r="F410" t="s">
        <v>23</v>
      </c>
      <c r="G410" t="s">
        <v>496</v>
      </c>
      <c r="H410" s="75" t="str">
        <f>IFERROR(VLOOKUP(Table2[[#This Row],[Ticket]],Okey!A:B,2,0),"")</f>
        <v>ok</v>
      </c>
      <c r="I410" t="s">
        <v>19</v>
      </c>
      <c r="J410" t="str">
        <f>VLOOKUP(Table2[[#This Row],[Author]],People!A:B,2,0)</f>
        <v>MGF</v>
      </c>
      <c r="M410" t="s">
        <v>685</v>
      </c>
    </row>
    <row r="411" spans="1:13" x14ac:dyDescent="0.25">
      <c r="A411" s="75">
        <f t="shared" si="6"/>
        <v>410</v>
      </c>
      <c r="B411" s="13" t="s">
        <v>13</v>
      </c>
      <c r="C411" t="s">
        <v>682</v>
      </c>
      <c r="D411" t="s">
        <v>713</v>
      </c>
      <c r="E411" t="s">
        <v>714</v>
      </c>
      <c r="F411" t="s">
        <v>711</v>
      </c>
      <c r="G411" t="s">
        <v>496</v>
      </c>
      <c r="H411" s="75" t="str">
        <f>IFERROR(VLOOKUP(Table2[[#This Row],[Ticket]],Okey!A:B,2,0),"")</f>
        <v>ok</v>
      </c>
      <c r="I411" t="s">
        <v>19</v>
      </c>
      <c r="J411" t="str">
        <f>VLOOKUP(Table2[[#This Row],[Author]],People!A:B,2,0)</f>
        <v>MGF</v>
      </c>
      <c r="M411" t="s">
        <v>685</v>
      </c>
    </row>
    <row r="412" spans="1:13" x14ac:dyDescent="0.25">
      <c r="A412" s="75">
        <f t="shared" si="6"/>
        <v>411</v>
      </c>
      <c r="B412" s="13" t="s">
        <v>13</v>
      </c>
      <c r="C412" t="s">
        <v>682</v>
      </c>
      <c r="D412" t="s">
        <v>715</v>
      </c>
      <c r="E412" t="s">
        <v>716</v>
      </c>
      <c r="F412" t="s">
        <v>711</v>
      </c>
      <c r="G412" t="s">
        <v>496</v>
      </c>
      <c r="H412" s="75" t="str">
        <f>IFERROR(VLOOKUP(Table2[[#This Row],[Ticket]],Okey!A:B,2,0),"")</f>
        <v>ok</v>
      </c>
      <c r="I412" t="s">
        <v>19</v>
      </c>
      <c r="J412" t="str">
        <f>VLOOKUP(Table2[[#This Row],[Author]],People!A:B,2,0)</f>
        <v>MGF</v>
      </c>
      <c r="M412" t="s">
        <v>685</v>
      </c>
    </row>
    <row r="413" spans="1:13" x14ac:dyDescent="0.25">
      <c r="A413" s="75">
        <f t="shared" si="6"/>
        <v>412</v>
      </c>
      <c r="B413" s="13" t="s">
        <v>13</v>
      </c>
      <c r="C413" t="s">
        <v>682</v>
      </c>
      <c r="D413" t="s">
        <v>412</v>
      </c>
      <c r="E413" t="s">
        <v>413</v>
      </c>
      <c r="F413" t="s">
        <v>711</v>
      </c>
      <c r="G413" t="s">
        <v>496</v>
      </c>
      <c r="H413" s="75" t="str">
        <f>IFERROR(VLOOKUP(Table2[[#This Row],[Ticket]],Okey!A:B,2,0),"")</f>
        <v>ok</v>
      </c>
      <c r="I413" t="s">
        <v>19</v>
      </c>
      <c r="J413" t="str">
        <f>VLOOKUP(Table2[[#This Row],[Author]],People!A:B,2,0)</f>
        <v>MGF</v>
      </c>
      <c r="M413" t="s">
        <v>685</v>
      </c>
    </row>
    <row r="414" spans="1:13" x14ac:dyDescent="0.25">
      <c r="A414" s="75">
        <f t="shared" si="6"/>
        <v>413</v>
      </c>
      <c r="B414" s="13" t="s">
        <v>13</v>
      </c>
      <c r="C414" t="s">
        <v>682</v>
      </c>
      <c r="D414" t="s">
        <v>717</v>
      </c>
      <c r="E414" t="s">
        <v>718</v>
      </c>
      <c r="F414" t="s">
        <v>711</v>
      </c>
      <c r="G414" t="s">
        <v>496</v>
      </c>
      <c r="H414" s="75" t="str">
        <f>IFERROR(VLOOKUP(Table2[[#This Row],[Ticket]],Okey!A:B,2,0),"")</f>
        <v>ok</v>
      </c>
      <c r="I414" t="s">
        <v>19</v>
      </c>
      <c r="J414" t="str">
        <f>VLOOKUP(Table2[[#This Row],[Author]],People!A:B,2,0)</f>
        <v>MGF</v>
      </c>
      <c r="M414" t="s">
        <v>685</v>
      </c>
    </row>
    <row r="415" spans="1:13" x14ac:dyDescent="0.25">
      <c r="A415" s="75">
        <f t="shared" si="6"/>
        <v>414</v>
      </c>
      <c r="B415" s="13" t="s">
        <v>13</v>
      </c>
      <c r="C415" t="s">
        <v>682</v>
      </c>
      <c r="D415" t="s">
        <v>22</v>
      </c>
      <c r="E415" t="s">
        <v>719</v>
      </c>
      <c r="F415" t="s">
        <v>711</v>
      </c>
      <c r="G415" t="s">
        <v>496</v>
      </c>
      <c r="H415" s="75" t="str">
        <f>IFERROR(VLOOKUP(Table2[[#This Row],[Ticket]],Okey!A:B,2,0),"")</f>
        <v>ok</v>
      </c>
      <c r="I415" t="s">
        <v>19</v>
      </c>
      <c r="J415" t="str">
        <f>VLOOKUP(Table2[[#This Row],[Author]],People!A:B,2,0)</f>
        <v>MGF</v>
      </c>
      <c r="M415" t="s">
        <v>685</v>
      </c>
    </row>
    <row r="416" spans="1:13" x14ac:dyDescent="0.25">
      <c r="A416" s="75">
        <f t="shared" si="6"/>
        <v>415</v>
      </c>
      <c r="B416" s="13" t="s">
        <v>13</v>
      </c>
      <c r="C416" t="s">
        <v>682</v>
      </c>
      <c r="D416" t="s">
        <v>720</v>
      </c>
      <c r="E416" t="s">
        <v>721</v>
      </c>
      <c r="F416" t="s">
        <v>711</v>
      </c>
      <c r="G416" t="s">
        <v>496</v>
      </c>
      <c r="H416" s="75" t="str">
        <f>IFERROR(VLOOKUP(Table2[[#This Row],[Ticket]],Okey!A:B,2,0),"")</f>
        <v>ok</v>
      </c>
      <c r="I416" t="s">
        <v>19</v>
      </c>
      <c r="J416" t="str">
        <f>VLOOKUP(Table2[[#This Row],[Author]],People!A:B,2,0)</f>
        <v>MGF</v>
      </c>
      <c r="M416" t="s">
        <v>685</v>
      </c>
    </row>
    <row r="417" spans="1:13" x14ac:dyDescent="0.25">
      <c r="A417" s="75">
        <f t="shared" si="6"/>
        <v>416</v>
      </c>
      <c r="B417" s="13" t="s">
        <v>13</v>
      </c>
      <c r="C417" t="s">
        <v>682</v>
      </c>
      <c r="D417" t="s">
        <v>722</v>
      </c>
      <c r="E417" t="s">
        <v>723</v>
      </c>
      <c r="F417" t="s">
        <v>720</v>
      </c>
      <c r="G417" t="s">
        <v>496</v>
      </c>
      <c r="H417" s="75" t="str">
        <f>IFERROR(VLOOKUP(Table2[[#This Row],[Ticket]],Okey!A:B,2,0),"")</f>
        <v>ok</v>
      </c>
      <c r="I417" t="s">
        <v>19</v>
      </c>
      <c r="J417" t="str">
        <f>VLOOKUP(Table2[[#This Row],[Author]],People!A:B,2,0)</f>
        <v>MGF</v>
      </c>
      <c r="M417" t="s">
        <v>685</v>
      </c>
    </row>
    <row r="418" spans="1:13" x14ac:dyDescent="0.25">
      <c r="A418" s="75">
        <f t="shared" si="6"/>
        <v>417</v>
      </c>
      <c r="B418" s="13" t="s">
        <v>13</v>
      </c>
      <c r="C418" t="s">
        <v>682</v>
      </c>
      <c r="D418" t="s">
        <v>724</v>
      </c>
      <c r="E418" t="s">
        <v>725</v>
      </c>
      <c r="F418" t="s">
        <v>720</v>
      </c>
      <c r="G418" t="s">
        <v>496</v>
      </c>
      <c r="H418" s="75" t="str">
        <f>IFERROR(VLOOKUP(Table2[[#This Row],[Ticket]],Okey!A:B,2,0),"")</f>
        <v>ok</v>
      </c>
      <c r="I418" t="s">
        <v>19</v>
      </c>
      <c r="J418" t="str">
        <f>VLOOKUP(Table2[[#This Row],[Author]],People!A:B,2,0)</f>
        <v>MGF</v>
      </c>
      <c r="M418" t="s">
        <v>685</v>
      </c>
    </row>
    <row r="419" spans="1:13" x14ac:dyDescent="0.25">
      <c r="A419" s="75">
        <f t="shared" si="6"/>
        <v>418</v>
      </c>
      <c r="B419" s="13" t="s">
        <v>13</v>
      </c>
      <c r="C419" t="s">
        <v>682</v>
      </c>
      <c r="D419" t="s">
        <v>726</v>
      </c>
      <c r="E419" t="s">
        <v>727</v>
      </c>
      <c r="F419" t="s">
        <v>720</v>
      </c>
      <c r="G419" t="s">
        <v>496</v>
      </c>
      <c r="H419" s="75" t="str">
        <f>IFERROR(VLOOKUP(Table2[[#This Row],[Ticket]],Okey!A:B,2,0),"")</f>
        <v>ok</v>
      </c>
      <c r="I419" t="s">
        <v>19</v>
      </c>
      <c r="J419" t="str">
        <f>VLOOKUP(Table2[[#This Row],[Author]],People!A:B,2,0)</f>
        <v>MGF</v>
      </c>
      <c r="M419" t="s">
        <v>685</v>
      </c>
    </row>
    <row r="420" spans="1:13" x14ac:dyDescent="0.25">
      <c r="A420" s="75">
        <f t="shared" si="6"/>
        <v>419</v>
      </c>
      <c r="B420" s="13" t="s">
        <v>13</v>
      </c>
      <c r="C420" t="s">
        <v>682</v>
      </c>
      <c r="D420" t="s">
        <v>728</v>
      </c>
      <c r="E420" t="s">
        <v>729</v>
      </c>
      <c r="F420" t="s">
        <v>726</v>
      </c>
      <c r="G420" t="s">
        <v>496</v>
      </c>
      <c r="H420" s="75" t="str">
        <f>IFERROR(VLOOKUP(Table2[[#This Row],[Ticket]],Okey!A:B,2,0),"")</f>
        <v>ok</v>
      </c>
      <c r="I420" t="s">
        <v>19</v>
      </c>
      <c r="J420" t="str">
        <f>VLOOKUP(Table2[[#This Row],[Author]],People!A:B,2,0)</f>
        <v>MGF</v>
      </c>
      <c r="M420" t="s">
        <v>685</v>
      </c>
    </row>
    <row r="421" spans="1:13" x14ac:dyDescent="0.25">
      <c r="A421" s="75">
        <f t="shared" si="6"/>
        <v>420</v>
      </c>
      <c r="B421" s="13" t="s">
        <v>13</v>
      </c>
      <c r="C421" t="s">
        <v>682</v>
      </c>
      <c r="D421" t="s">
        <v>730</v>
      </c>
      <c r="E421" t="s">
        <v>731</v>
      </c>
      <c r="F421" t="s">
        <v>726</v>
      </c>
      <c r="G421" t="s">
        <v>496</v>
      </c>
      <c r="H421" s="75" t="str">
        <f>IFERROR(VLOOKUP(Table2[[#This Row],[Ticket]],Okey!A:B,2,0),"")</f>
        <v>ok</v>
      </c>
      <c r="I421" t="s">
        <v>19</v>
      </c>
      <c r="J421" t="str">
        <f>VLOOKUP(Table2[[#This Row],[Author]],People!A:B,2,0)</f>
        <v>MGF</v>
      </c>
      <c r="M421" t="s">
        <v>685</v>
      </c>
    </row>
    <row r="422" spans="1:13" x14ac:dyDescent="0.25">
      <c r="A422" s="75">
        <f t="shared" si="6"/>
        <v>421</v>
      </c>
      <c r="B422" s="13" t="s">
        <v>13</v>
      </c>
      <c r="C422" t="s">
        <v>682</v>
      </c>
      <c r="D422" t="s">
        <v>732</v>
      </c>
      <c r="E422" t="s">
        <v>733</v>
      </c>
      <c r="F422" t="s">
        <v>730</v>
      </c>
      <c r="G422" t="s">
        <v>496</v>
      </c>
      <c r="H422" s="75" t="str">
        <f>IFERROR(VLOOKUP(Table2[[#This Row],[Ticket]],Okey!A:B,2,0),"")</f>
        <v>ok</v>
      </c>
      <c r="I422" t="s">
        <v>19</v>
      </c>
      <c r="J422" t="str">
        <f>VLOOKUP(Table2[[#This Row],[Author]],People!A:B,2,0)</f>
        <v>MGF</v>
      </c>
      <c r="M422" t="s">
        <v>685</v>
      </c>
    </row>
    <row r="423" spans="1:13" x14ac:dyDescent="0.25">
      <c r="A423" s="75">
        <f t="shared" si="6"/>
        <v>422</v>
      </c>
      <c r="B423" s="13" t="s">
        <v>13</v>
      </c>
      <c r="C423" t="s">
        <v>682</v>
      </c>
      <c r="D423" t="s">
        <v>734</v>
      </c>
      <c r="E423" t="s">
        <v>735</v>
      </c>
      <c r="F423" t="s">
        <v>730</v>
      </c>
      <c r="G423" t="s">
        <v>496</v>
      </c>
      <c r="H423" s="75" t="str">
        <f>IFERROR(VLOOKUP(Table2[[#This Row],[Ticket]],Okey!A:B,2,0),"")</f>
        <v>ok</v>
      </c>
      <c r="I423" t="s">
        <v>19</v>
      </c>
      <c r="J423" t="str">
        <f>VLOOKUP(Table2[[#This Row],[Author]],People!A:B,2,0)</f>
        <v>MGF</v>
      </c>
      <c r="M423" t="s">
        <v>685</v>
      </c>
    </row>
    <row r="424" spans="1:13" x14ac:dyDescent="0.25">
      <c r="A424" s="75">
        <f t="shared" si="6"/>
        <v>423</v>
      </c>
      <c r="B424" s="13" t="s">
        <v>13</v>
      </c>
      <c r="C424" t="s">
        <v>682</v>
      </c>
      <c r="D424" t="s">
        <v>736</v>
      </c>
      <c r="E424" t="s">
        <v>737</v>
      </c>
      <c r="F424" t="s">
        <v>730</v>
      </c>
      <c r="G424" t="s">
        <v>496</v>
      </c>
      <c r="H424" s="75" t="str">
        <f>IFERROR(VLOOKUP(Table2[[#This Row],[Ticket]],Okey!A:B,2,0),"")</f>
        <v>ok</v>
      </c>
      <c r="I424" t="s">
        <v>19</v>
      </c>
      <c r="J424" t="str">
        <f>VLOOKUP(Table2[[#This Row],[Author]],People!A:B,2,0)</f>
        <v>MGF</v>
      </c>
      <c r="M424" t="s">
        <v>685</v>
      </c>
    </row>
    <row r="425" spans="1:13" x14ac:dyDescent="0.25">
      <c r="A425" s="75">
        <f t="shared" si="6"/>
        <v>424</v>
      </c>
      <c r="B425" s="13" t="s">
        <v>13</v>
      </c>
      <c r="C425" t="s">
        <v>682</v>
      </c>
      <c r="D425" t="s">
        <v>722</v>
      </c>
      <c r="E425" t="s">
        <v>738</v>
      </c>
      <c r="F425" t="s">
        <v>730</v>
      </c>
      <c r="G425" t="s">
        <v>496</v>
      </c>
      <c r="H425" s="75" t="str">
        <f>IFERROR(VLOOKUP(Table2[[#This Row],[Ticket]],Okey!A:B,2,0),"")</f>
        <v>ok</v>
      </c>
      <c r="I425" t="s">
        <v>19</v>
      </c>
      <c r="J425" t="str">
        <f>VLOOKUP(Table2[[#This Row],[Author]],People!A:B,2,0)</f>
        <v>MGF</v>
      </c>
      <c r="M425" t="s">
        <v>685</v>
      </c>
    </row>
    <row r="426" spans="1:13" x14ac:dyDescent="0.25">
      <c r="A426" s="75">
        <f t="shared" si="6"/>
        <v>425</v>
      </c>
      <c r="B426" s="13" t="s">
        <v>13</v>
      </c>
      <c r="C426" t="s">
        <v>682</v>
      </c>
      <c r="D426" t="s">
        <v>739</v>
      </c>
      <c r="E426" t="s">
        <v>740</v>
      </c>
      <c r="F426" t="s">
        <v>722</v>
      </c>
      <c r="G426" t="s">
        <v>496</v>
      </c>
      <c r="H426" s="75" t="str">
        <f>IFERROR(VLOOKUP(Table2[[#This Row],[Ticket]],Okey!A:B,2,0),"")</f>
        <v>ok</v>
      </c>
      <c r="I426" t="s">
        <v>19</v>
      </c>
      <c r="J426" t="str">
        <f>VLOOKUP(Table2[[#This Row],[Author]],People!A:B,2,0)</f>
        <v>MGF</v>
      </c>
      <c r="M426" t="s">
        <v>685</v>
      </c>
    </row>
    <row r="427" spans="1:13" x14ac:dyDescent="0.25">
      <c r="A427" s="75">
        <f t="shared" si="6"/>
        <v>426</v>
      </c>
      <c r="B427" s="13" t="s">
        <v>13</v>
      </c>
      <c r="C427" t="s">
        <v>682</v>
      </c>
      <c r="D427" t="s">
        <v>741</v>
      </c>
      <c r="E427" t="s">
        <v>742</v>
      </c>
      <c r="F427" t="s">
        <v>722</v>
      </c>
      <c r="G427" t="s">
        <v>496</v>
      </c>
      <c r="H427" s="75" t="str">
        <f>IFERROR(VLOOKUP(Table2[[#This Row],[Ticket]],Okey!A:B,2,0),"")</f>
        <v>ok</v>
      </c>
      <c r="I427" t="s">
        <v>19</v>
      </c>
      <c r="J427" t="str">
        <f>VLOOKUP(Table2[[#This Row],[Author]],People!A:B,2,0)</f>
        <v>MGF</v>
      </c>
      <c r="M427" t="s">
        <v>685</v>
      </c>
    </row>
    <row r="428" spans="1:13" x14ac:dyDescent="0.25">
      <c r="A428" s="75">
        <f t="shared" si="6"/>
        <v>427</v>
      </c>
      <c r="B428" s="13" t="s">
        <v>13</v>
      </c>
      <c r="C428" t="s">
        <v>682</v>
      </c>
      <c r="D428" t="s">
        <v>743</v>
      </c>
      <c r="E428" t="s">
        <v>744</v>
      </c>
      <c r="F428" t="s">
        <v>722</v>
      </c>
      <c r="G428" t="s">
        <v>496</v>
      </c>
      <c r="H428" s="75" t="str">
        <f>IFERROR(VLOOKUP(Table2[[#This Row],[Ticket]],Okey!A:B,2,0),"")</f>
        <v>ok</v>
      </c>
      <c r="I428" t="s">
        <v>19</v>
      </c>
      <c r="J428" t="str">
        <f>VLOOKUP(Table2[[#This Row],[Author]],People!A:B,2,0)</f>
        <v>MGF</v>
      </c>
      <c r="M428" t="s">
        <v>685</v>
      </c>
    </row>
    <row r="429" spans="1:13" x14ac:dyDescent="0.25">
      <c r="A429" s="75">
        <f t="shared" si="6"/>
        <v>428</v>
      </c>
      <c r="B429" s="13" t="s">
        <v>13</v>
      </c>
      <c r="C429" t="s">
        <v>682</v>
      </c>
      <c r="D429" t="s">
        <v>745</v>
      </c>
      <c r="E429" t="s">
        <v>746</v>
      </c>
      <c r="F429" t="s">
        <v>722</v>
      </c>
      <c r="G429" t="s">
        <v>496</v>
      </c>
      <c r="H429" s="75" t="str">
        <f>IFERROR(VLOOKUP(Table2[[#This Row],[Ticket]],Okey!A:B,2,0),"")</f>
        <v>ok</v>
      </c>
      <c r="I429" t="s">
        <v>19</v>
      </c>
      <c r="J429" t="str">
        <f>VLOOKUP(Table2[[#This Row],[Author]],People!A:B,2,0)</f>
        <v>MGF</v>
      </c>
      <c r="M429" t="s">
        <v>685</v>
      </c>
    </row>
    <row r="430" spans="1:13" x14ac:dyDescent="0.25">
      <c r="A430" s="75">
        <f t="shared" si="6"/>
        <v>429</v>
      </c>
      <c r="B430" s="13" t="s">
        <v>13</v>
      </c>
      <c r="C430" t="s">
        <v>682</v>
      </c>
      <c r="D430" t="s">
        <v>747</v>
      </c>
      <c r="E430" t="s">
        <v>748</v>
      </c>
      <c r="F430" t="s">
        <v>722</v>
      </c>
      <c r="G430" t="s">
        <v>496</v>
      </c>
      <c r="H430" s="75" t="str">
        <f>IFERROR(VLOOKUP(Table2[[#This Row],[Ticket]],Okey!A:B,2,0),"")</f>
        <v>ok</v>
      </c>
      <c r="I430" t="s">
        <v>19</v>
      </c>
      <c r="J430" t="str">
        <f>VLOOKUP(Table2[[#This Row],[Author]],People!A:B,2,0)</f>
        <v>MGF</v>
      </c>
      <c r="M430" t="s">
        <v>685</v>
      </c>
    </row>
    <row r="431" spans="1:13" x14ac:dyDescent="0.25">
      <c r="A431" s="75">
        <f t="shared" si="6"/>
        <v>430</v>
      </c>
      <c r="B431" s="13" t="s">
        <v>13</v>
      </c>
      <c r="C431" t="s">
        <v>682</v>
      </c>
      <c r="D431" t="s">
        <v>749</v>
      </c>
      <c r="E431" t="s">
        <v>750</v>
      </c>
      <c r="F431" t="s">
        <v>722</v>
      </c>
      <c r="G431" t="s">
        <v>496</v>
      </c>
      <c r="H431" s="75" t="str">
        <f>IFERROR(VLOOKUP(Table2[[#This Row],[Ticket]],Okey!A:B,2,0),"")</f>
        <v>ok</v>
      </c>
      <c r="I431" t="s">
        <v>19</v>
      </c>
      <c r="J431" t="str">
        <f>VLOOKUP(Table2[[#This Row],[Author]],People!A:B,2,0)</f>
        <v>MGF</v>
      </c>
      <c r="M431" t="s">
        <v>685</v>
      </c>
    </row>
    <row r="432" spans="1:13" x14ac:dyDescent="0.25">
      <c r="A432" s="75">
        <f t="shared" si="6"/>
        <v>431</v>
      </c>
      <c r="B432" s="13" t="s">
        <v>13</v>
      </c>
      <c r="C432" t="s">
        <v>682</v>
      </c>
      <c r="D432" t="s">
        <v>751</v>
      </c>
      <c r="E432" t="s">
        <v>752</v>
      </c>
      <c r="F432" t="s">
        <v>722</v>
      </c>
      <c r="G432" t="s">
        <v>496</v>
      </c>
      <c r="H432" s="75" t="str">
        <f>IFERROR(VLOOKUP(Table2[[#This Row],[Ticket]],Okey!A:B,2,0),"")</f>
        <v>ok</v>
      </c>
      <c r="I432" t="s">
        <v>19</v>
      </c>
      <c r="J432" t="str">
        <f>VLOOKUP(Table2[[#This Row],[Author]],People!A:B,2,0)</f>
        <v>MGF</v>
      </c>
      <c r="M432" t="s">
        <v>685</v>
      </c>
    </row>
    <row r="433" spans="1:13" x14ac:dyDescent="0.25">
      <c r="A433" s="75">
        <f t="shared" si="6"/>
        <v>432</v>
      </c>
      <c r="B433" s="13" t="s">
        <v>13</v>
      </c>
      <c r="C433" t="s">
        <v>682</v>
      </c>
      <c r="D433" t="s">
        <v>753</v>
      </c>
      <c r="E433" t="s">
        <v>708</v>
      </c>
      <c r="F433" t="s">
        <v>446</v>
      </c>
      <c r="G433" t="s">
        <v>496</v>
      </c>
      <c r="H433" s="75" t="str">
        <f>IFERROR(VLOOKUP(Table2[[#This Row],[Ticket]],Okey!A:B,2,0),"")</f>
        <v>ok</v>
      </c>
      <c r="I433" t="s">
        <v>19</v>
      </c>
      <c r="J433" t="str">
        <f>VLOOKUP(Table2[[#This Row],[Author]],People!A:B,2,0)</f>
        <v>MGF</v>
      </c>
      <c r="M433" t="s">
        <v>685</v>
      </c>
    </row>
    <row r="434" spans="1:13" x14ac:dyDescent="0.25">
      <c r="A434" s="75">
        <f t="shared" si="6"/>
        <v>433</v>
      </c>
      <c r="B434" s="13" t="s">
        <v>13</v>
      </c>
      <c r="C434" t="s">
        <v>682</v>
      </c>
      <c r="D434" t="s">
        <v>381</v>
      </c>
      <c r="E434" t="s">
        <v>706</v>
      </c>
      <c r="F434" t="s">
        <v>446</v>
      </c>
      <c r="G434" t="s">
        <v>496</v>
      </c>
      <c r="H434" s="75" t="str">
        <f>IFERROR(VLOOKUP(Table2[[#This Row],[Ticket]],Okey!A:B,2,0),"")</f>
        <v>ok</v>
      </c>
      <c r="I434" t="s">
        <v>19</v>
      </c>
      <c r="J434" t="str">
        <f>VLOOKUP(Table2[[#This Row],[Author]],People!A:B,2,0)</f>
        <v>MGF</v>
      </c>
      <c r="M434" t="s">
        <v>685</v>
      </c>
    </row>
    <row r="435" spans="1:13" x14ac:dyDescent="0.25">
      <c r="A435" s="75">
        <f t="shared" si="6"/>
        <v>434</v>
      </c>
      <c r="B435" s="13" t="s">
        <v>13</v>
      </c>
      <c r="C435" t="s">
        <v>682</v>
      </c>
      <c r="D435" t="s">
        <v>376</v>
      </c>
      <c r="E435" t="s">
        <v>710</v>
      </c>
      <c r="F435" t="s">
        <v>446</v>
      </c>
      <c r="G435" t="s">
        <v>496</v>
      </c>
      <c r="H435" s="75" t="str">
        <f>IFERROR(VLOOKUP(Table2[[#This Row],[Ticket]],Okey!A:B,2,0),"")</f>
        <v>ok</v>
      </c>
      <c r="I435" t="s">
        <v>19</v>
      </c>
      <c r="J435" t="str">
        <f>VLOOKUP(Table2[[#This Row],[Author]],People!A:B,2,0)</f>
        <v>MGF</v>
      </c>
      <c r="M435" t="s">
        <v>685</v>
      </c>
    </row>
    <row r="436" spans="1:13" x14ac:dyDescent="0.25">
      <c r="A436" s="75">
        <f t="shared" si="6"/>
        <v>435</v>
      </c>
      <c r="B436" s="13" t="s">
        <v>13</v>
      </c>
      <c r="C436" t="s">
        <v>682</v>
      </c>
      <c r="D436" t="s">
        <v>754</v>
      </c>
      <c r="E436" t="s">
        <v>755</v>
      </c>
      <c r="F436" t="s">
        <v>448</v>
      </c>
      <c r="G436" t="s">
        <v>496</v>
      </c>
      <c r="H436" s="75" t="str">
        <f>IFERROR(VLOOKUP(Table2[[#This Row],[Ticket]],Okey!A:B,2,0),"")</f>
        <v>ok</v>
      </c>
      <c r="I436" t="s">
        <v>19</v>
      </c>
      <c r="J436" t="str">
        <f>VLOOKUP(Table2[[#This Row],[Author]],People!A:B,2,0)</f>
        <v>MGF</v>
      </c>
      <c r="M436" t="s">
        <v>685</v>
      </c>
    </row>
    <row r="437" spans="1:13" x14ac:dyDescent="0.25">
      <c r="A437" s="75">
        <f t="shared" si="6"/>
        <v>436</v>
      </c>
      <c r="B437" s="13" t="s">
        <v>13</v>
      </c>
      <c r="C437" t="s">
        <v>682</v>
      </c>
      <c r="D437" t="s">
        <v>756</v>
      </c>
      <c r="E437" t="s">
        <v>757</v>
      </c>
      <c r="F437" t="s">
        <v>517</v>
      </c>
      <c r="G437" t="s">
        <v>496</v>
      </c>
      <c r="H437" s="75" t="str">
        <f>IFERROR(VLOOKUP(Table2[[#This Row],[Ticket]],Okey!A:B,2,0),"")</f>
        <v>ok</v>
      </c>
      <c r="I437" t="s">
        <v>19</v>
      </c>
      <c r="J437" t="str">
        <f>VLOOKUP(Table2[[#This Row],[Author]],People!A:B,2,0)</f>
        <v>MGF</v>
      </c>
      <c r="M437" t="s">
        <v>685</v>
      </c>
    </row>
    <row r="438" spans="1:13" x14ac:dyDescent="0.25">
      <c r="A438" s="75">
        <f t="shared" si="6"/>
        <v>437</v>
      </c>
      <c r="B438" t="s">
        <v>13</v>
      </c>
      <c r="C438" t="s">
        <v>758</v>
      </c>
      <c r="D438" t="s">
        <v>759</v>
      </c>
      <c r="F438" t="s">
        <v>760</v>
      </c>
      <c r="G438" t="s">
        <v>24</v>
      </c>
      <c r="H438" s="75" t="str">
        <f>IFERROR(VLOOKUP(Table2[[#This Row],[Ticket]],Okey!A:B,2,0),"")</f>
        <v>ok</v>
      </c>
      <c r="I438" t="s">
        <v>19</v>
      </c>
      <c r="J438" t="str">
        <f>VLOOKUP(Table2[[#This Row],[Author]],People!A:B,2,0)</f>
        <v>MGF</v>
      </c>
      <c r="M438" t="s">
        <v>761</v>
      </c>
    </row>
    <row r="439" spans="1:13" x14ac:dyDescent="0.25">
      <c r="A439" s="75">
        <f t="shared" si="6"/>
        <v>438</v>
      </c>
      <c r="B439" t="s">
        <v>13</v>
      </c>
      <c r="C439" t="s">
        <v>758</v>
      </c>
      <c r="D439" t="s">
        <v>762</v>
      </c>
      <c r="E439" t="s">
        <v>763</v>
      </c>
      <c r="F439" t="s">
        <v>764</v>
      </c>
      <c r="G439" t="s">
        <v>18</v>
      </c>
      <c r="H439" s="75" t="str">
        <f>IFERROR(VLOOKUP(Table2[[#This Row],[Ticket]],Okey!A:B,2,0),"")</f>
        <v>ok</v>
      </c>
      <c r="I439" t="s">
        <v>19</v>
      </c>
      <c r="J439" t="str">
        <f>VLOOKUP(Table2[[#This Row],[Author]],People!A:B,2,0)</f>
        <v>MGF</v>
      </c>
      <c r="M439" t="s">
        <v>761</v>
      </c>
    </row>
    <row r="440" spans="1:13" x14ac:dyDescent="0.25">
      <c r="A440" s="75">
        <f t="shared" si="6"/>
        <v>439</v>
      </c>
      <c r="B440" t="s">
        <v>13</v>
      </c>
      <c r="C440" t="s">
        <v>758</v>
      </c>
      <c r="D440" t="s">
        <v>765</v>
      </c>
      <c r="E440" t="s">
        <v>766</v>
      </c>
      <c r="F440" t="s">
        <v>767</v>
      </c>
      <c r="G440" t="s">
        <v>18</v>
      </c>
      <c r="H440" s="75" t="str">
        <f>IFERROR(VLOOKUP(Table2[[#This Row],[Ticket]],Okey!A:B,2,0),"")</f>
        <v>ok</v>
      </c>
      <c r="I440" t="s">
        <v>19</v>
      </c>
      <c r="J440" t="str">
        <f>VLOOKUP(Table2[[#This Row],[Author]],People!A:B,2,0)</f>
        <v>MGF</v>
      </c>
      <c r="M440" t="s">
        <v>761</v>
      </c>
    </row>
    <row r="441" spans="1:13" x14ac:dyDescent="0.25">
      <c r="A441" s="75">
        <f t="shared" si="6"/>
        <v>440</v>
      </c>
      <c r="B441" t="s">
        <v>13</v>
      </c>
      <c r="C441" t="s">
        <v>758</v>
      </c>
      <c r="D441" t="s">
        <v>768</v>
      </c>
      <c r="E441" t="s">
        <v>769</v>
      </c>
      <c r="F441" t="s">
        <v>770</v>
      </c>
      <c r="G441" t="s">
        <v>18</v>
      </c>
      <c r="H441" s="75" t="str">
        <f>IFERROR(VLOOKUP(Table2[[#This Row],[Ticket]],Okey!A:B,2,0),"")</f>
        <v>ok</v>
      </c>
      <c r="I441" t="s">
        <v>19</v>
      </c>
      <c r="J441" t="str">
        <f>VLOOKUP(Table2[[#This Row],[Author]],People!A:B,2,0)</f>
        <v>MGF</v>
      </c>
      <c r="M441" t="s">
        <v>761</v>
      </c>
    </row>
    <row r="442" spans="1:13" x14ac:dyDescent="0.25">
      <c r="A442" s="75">
        <f t="shared" si="6"/>
        <v>441</v>
      </c>
      <c r="B442" t="s">
        <v>13</v>
      </c>
      <c r="C442" t="s">
        <v>758</v>
      </c>
      <c r="D442" t="s">
        <v>771</v>
      </c>
      <c r="E442" t="s">
        <v>772</v>
      </c>
      <c r="F442" t="s">
        <v>770</v>
      </c>
      <c r="G442" t="s">
        <v>18</v>
      </c>
      <c r="H442" s="75" t="str">
        <f>IFERROR(VLOOKUP(Table2[[#This Row],[Ticket]],Okey!A:B,2,0),"")</f>
        <v>ok</v>
      </c>
      <c r="I442" t="s">
        <v>19</v>
      </c>
      <c r="J442" t="str">
        <f>VLOOKUP(Table2[[#This Row],[Author]],People!A:B,2,0)</f>
        <v>MGF</v>
      </c>
      <c r="M442" t="s">
        <v>761</v>
      </c>
    </row>
    <row r="443" spans="1:13" x14ac:dyDescent="0.25">
      <c r="A443" s="75">
        <f t="shared" si="6"/>
        <v>442</v>
      </c>
      <c r="B443" t="s">
        <v>13</v>
      </c>
      <c r="C443" t="s">
        <v>758</v>
      </c>
      <c r="D443" t="s">
        <v>773</v>
      </c>
      <c r="E443" t="s">
        <v>774</v>
      </c>
      <c r="F443" t="s">
        <v>775</v>
      </c>
      <c r="G443" t="s">
        <v>18</v>
      </c>
      <c r="H443" s="75" t="str">
        <f>IFERROR(VLOOKUP(Table2[[#This Row],[Ticket]],Okey!A:B,2,0),"")</f>
        <v>ok</v>
      </c>
      <c r="I443" t="s">
        <v>19</v>
      </c>
      <c r="J443" t="str">
        <f>VLOOKUP(Table2[[#This Row],[Author]],People!A:B,2,0)</f>
        <v>MGF</v>
      </c>
      <c r="M443" t="s">
        <v>761</v>
      </c>
    </row>
    <row r="444" spans="1:13" x14ac:dyDescent="0.25">
      <c r="A444" s="75">
        <f t="shared" si="6"/>
        <v>443</v>
      </c>
      <c r="B444" t="s">
        <v>13</v>
      </c>
      <c r="C444" t="s">
        <v>758</v>
      </c>
      <c r="D444" t="s">
        <v>776</v>
      </c>
      <c r="E444" t="s">
        <v>777</v>
      </c>
      <c r="F444" t="s">
        <v>778</v>
      </c>
      <c r="G444" t="s">
        <v>18</v>
      </c>
      <c r="H444" s="75" t="str">
        <f>IFERROR(VLOOKUP(Table2[[#This Row],[Ticket]],Okey!A:B,2,0),"")</f>
        <v>ok</v>
      </c>
      <c r="I444" t="s">
        <v>19</v>
      </c>
      <c r="J444" t="str">
        <f>VLOOKUP(Table2[[#This Row],[Author]],People!A:B,2,0)</f>
        <v>MGF</v>
      </c>
      <c r="M444" t="s">
        <v>761</v>
      </c>
    </row>
    <row r="445" spans="1:13" x14ac:dyDescent="0.25">
      <c r="A445" s="75">
        <f t="shared" si="6"/>
        <v>444</v>
      </c>
      <c r="B445" t="s">
        <v>13</v>
      </c>
      <c r="C445" t="s">
        <v>758</v>
      </c>
      <c r="D445" t="s">
        <v>779</v>
      </c>
      <c r="E445" t="s">
        <v>780</v>
      </c>
      <c r="F445" t="s">
        <v>778</v>
      </c>
      <c r="G445" t="s">
        <v>18</v>
      </c>
      <c r="H445" s="75" t="str">
        <f>IFERROR(VLOOKUP(Table2[[#This Row],[Ticket]],Okey!A:B,2,0),"")</f>
        <v>ok</v>
      </c>
      <c r="I445" t="s">
        <v>19</v>
      </c>
      <c r="J445" t="str">
        <f>VLOOKUP(Table2[[#This Row],[Author]],People!A:B,2,0)</f>
        <v>MGF</v>
      </c>
      <c r="M445" t="s">
        <v>761</v>
      </c>
    </row>
    <row r="446" spans="1:13" x14ac:dyDescent="0.25">
      <c r="A446" s="75">
        <f t="shared" si="6"/>
        <v>445</v>
      </c>
      <c r="B446" t="s">
        <v>13</v>
      </c>
      <c r="C446" t="s">
        <v>758</v>
      </c>
      <c r="D446" t="s">
        <v>781</v>
      </c>
      <c r="E446" t="s">
        <v>782</v>
      </c>
      <c r="F446" t="s">
        <v>778</v>
      </c>
      <c r="G446" t="s">
        <v>18</v>
      </c>
      <c r="H446" s="75" t="str">
        <f>IFERROR(VLOOKUP(Table2[[#This Row],[Ticket]],Okey!A:B,2,0),"")</f>
        <v>ok</v>
      </c>
      <c r="I446" t="s">
        <v>19</v>
      </c>
      <c r="J446" t="str">
        <f>VLOOKUP(Table2[[#This Row],[Author]],People!A:B,2,0)</f>
        <v>MGF</v>
      </c>
      <c r="M446" t="s">
        <v>761</v>
      </c>
    </row>
    <row r="447" spans="1:13" x14ac:dyDescent="0.25">
      <c r="A447" s="75">
        <f t="shared" si="6"/>
        <v>446</v>
      </c>
      <c r="B447" t="s">
        <v>13</v>
      </c>
      <c r="C447" t="s">
        <v>758</v>
      </c>
      <c r="D447" t="s">
        <v>783</v>
      </c>
      <c r="E447" t="s">
        <v>784</v>
      </c>
      <c r="F447" t="s">
        <v>778</v>
      </c>
      <c r="G447" t="s">
        <v>18</v>
      </c>
      <c r="H447" s="75" t="str">
        <f>IFERROR(VLOOKUP(Table2[[#This Row],[Ticket]],Okey!A:B,2,0),"")</f>
        <v>ok</v>
      </c>
      <c r="I447" t="s">
        <v>19</v>
      </c>
      <c r="J447" t="str">
        <f>VLOOKUP(Table2[[#This Row],[Author]],People!A:B,2,0)</f>
        <v>MGF</v>
      </c>
      <c r="M447" t="s">
        <v>761</v>
      </c>
    </row>
    <row r="448" spans="1:13" x14ac:dyDescent="0.25">
      <c r="A448" s="75">
        <f t="shared" si="6"/>
        <v>447</v>
      </c>
      <c r="B448" t="s">
        <v>13</v>
      </c>
      <c r="C448" t="s">
        <v>758</v>
      </c>
      <c r="D448" t="s">
        <v>785</v>
      </c>
      <c r="E448" t="s">
        <v>786</v>
      </c>
      <c r="F448" t="s">
        <v>778</v>
      </c>
      <c r="G448" t="s">
        <v>18</v>
      </c>
      <c r="H448" s="75" t="str">
        <f>IFERROR(VLOOKUP(Table2[[#This Row],[Ticket]],Okey!A:B,2,0),"")</f>
        <v>ok</v>
      </c>
      <c r="I448" t="s">
        <v>19</v>
      </c>
      <c r="J448" t="str">
        <f>VLOOKUP(Table2[[#This Row],[Author]],People!A:B,2,0)</f>
        <v>MGF</v>
      </c>
      <c r="M448" t="s">
        <v>761</v>
      </c>
    </row>
    <row r="449" spans="1:13" x14ac:dyDescent="0.25">
      <c r="A449" s="75">
        <f t="shared" si="6"/>
        <v>448</v>
      </c>
      <c r="B449" t="s">
        <v>13</v>
      </c>
      <c r="C449" t="s">
        <v>758</v>
      </c>
      <c r="D449" t="s">
        <v>787</v>
      </c>
      <c r="E449" t="s">
        <v>788</v>
      </c>
      <c r="F449" t="s">
        <v>778</v>
      </c>
      <c r="G449" t="s">
        <v>18</v>
      </c>
      <c r="H449" s="75" t="str">
        <f>IFERROR(VLOOKUP(Table2[[#This Row],[Ticket]],Okey!A:B,2,0),"")</f>
        <v>ok</v>
      </c>
      <c r="I449" t="s">
        <v>19</v>
      </c>
      <c r="J449" t="str">
        <f>VLOOKUP(Table2[[#This Row],[Author]],People!A:B,2,0)</f>
        <v>MGF</v>
      </c>
      <c r="M449" t="s">
        <v>761</v>
      </c>
    </row>
    <row r="450" spans="1:13" x14ac:dyDescent="0.25">
      <c r="A450" s="75">
        <f t="shared" si="6"/>
        <v>449</v>
      </c>
      <c r="B450" t="s">
        <v>13</v>
      </c>
      <c r="C450" t="s">
        <v>758</v>
      </c>
      <c r="D450" t="s">
        <v>789</v>
      </c>
      <c r="E450" t="s">
        <v>790</v>
      </c>
      <c r="F450" t="s">
        <v>778</v>
      </c>
      <c r="G450" t="s">
        <v>18</v>
      </c>
      <c r="H450" s="75" t="str">
        <f>IFERROR(VLOOKUP(Table2[[#This Row],[Ticket]],Okey!A:B,2,0),"")</f>
        <v>ok</v>
      </c>
      <c r="I450" t="s">
        <v>19</v>
      </c>
      <c r="J450" t="str">
        <f>VLOOKUP(Table2[[#This Row],[Author]],People!A:B,2,0)</f>
        <v>MGF</v>
      </c>
      <c r="M450" t="s">
        <v>761</v>
      </c>
    </row>
    <row r="451" spans="1:13" x14ac:dyDescent="0.25">
      <c r="A451" s="75">
        <f t="shared" si="6"/>
        <v>450</v>
      </c>
      <c r="B451" t="s">
        <v>13</v>
      </c>
      <c r="C451" t="s">
        <v>758</v>
      </c>
      <c r="D451" t="s">
        <v>791</v>
      </c>
      <c r="E451" t="s">
        <v>792</v>
      </c>
      <c r="F451" t="s">
        <v>778</v>
      </c>
      <c r="G451" t="s">
        <v>18</v>
      </c>
      <c r="H451" s="75" t="str">
        <f>IFERROR(VLOOKUP(Table2[[#This Row],[Ticket]],Okey!A:B,2,0),"")</f>
        <v>ok</v>
      </c>
      <c r="I451" t="s">
        <v>19</v>
      </c>
      <c r="J451" t="str">
        <f>VLOOKUP(Table2[[#This Row],[Author]],People!A:B,2,0)</f>
        <v>MGF</v>
      </c>
      <c r="M451" t="s">
        <v>761</v>
      </c>
    </row>
    <row r="452" spans="1:13" x14ac:dyDescent="0.25">
      <c r="A452" s="75">
        <f t="shared" si="6"/>
        <v>451</v>
      </c>
      <c r="B452" t="s">
        <v>13</v>
      </c>
      <c r="C452" t="s">
        <v>758</v>
      </c>
      <c r="D452" t="s">
        <v>793</v>
      </c>
      <c r="E452" t="s">
        <v>794</v>
      </c>
      <c r="F452" t="s">
        <v>776</v>
      </c>
      <c r="G452" t="s">
        <v>18</v>
      </c>
      <c r="H452" s="75" t="str">
        <f>IFERROR(VLOOKUP(Table2[[#This Row],[Ticket]],Okey!A:B,2,0),"")</f>
        <v>ok</v>
      </c>
      <c r="I452" t="s">
        <v>19</v>
      </c>
      <c r="J452" t="str">
        <f>VLOOKUP(Table2[[#This Row],[Author]],People!A:B,2,0)</f>
        <v>MGF</v>
      </c>
      <c r="M452" t="s">
        <v>761</v>
      </c>
    </row>
    <row r="453" spans="1:13" x14ac:dyDescent="0.25">
      <c r="A453" s="75">
        <f t="shared" si="6"/>
        <v>452</v>
      </c>
      <c r="B453" t="s">
        <v>13</v>
      </c>
      <c r="C453" t="s">
        <v>758</v>
      </c>
      <c r="D453" t="s">
        <v>795</v>
      </c>
      <c r="E453" t="s">
        <v>796</v>
      </c>
      <c r="F453" t="s">
        <v>779</v>
      </c>
      <c r="G453" t="s">
        <v>18</v>
      </c>
      <c r="H453" s="75" t="str">
        <f>IFERROR(VLOOKUP(Table2[[#This Row],[Ticket]],Okey!A:B,2,0),"")</f>
        <v>ok</v>
      </c>
      <c r="I453" t="s">
        <v>19</v>
      </c>
      <c r="J453" t="str">
        <f>VLOOKUP(Table2[[#This Row],[Author]],People!A:B,2,0)</f>
        <v>MGF</v>
      </c>
      <c r="M453" t="s">
        <v>761</v>
      </c>
    </row>
    <row r="454" spans="1:13" x14ac:dyDescent="0.25">
      <c r="A454" s="75">
        <f t="shared" si="6"/>
        <v>453</v>
      </c>
      <c r="B454" t="s">
        <v>13</v>
      </c>
      <c r="C454" t="s">
        <v>758</v>
      </c>
      <c r="D454" t="s">
        <v>797</v>
      </c>
      <c r="E454" t="s">
        <v>798</v>
      </c>
      <c r="F454" t="s">
        <v>781</v>
      </c>
      <c r="G454" t="s">
        <v>18</v>
      </c>
      <c r="H454" s="75" t="str">
        <f>IFERROR(VLOOKUP(Table2[[#This Row],[Ticket]],Okey!A:B,2,0),"")</f>
        <v>ok</v>
      </c>
      <c r="I454" t="s">
        <v>19</v>
      </c>
      <c r="J454" t="str">
        <f>VLOOKUP(Table2[[#This Row],[Author]],People!A:B,2,0)</f>
        <v>MGF</v>
      </c>
      <c r="M454" t="s">
        <v>761</v>
      </c>
    </row>
    <row r="455" spans="1:13" x14ac:dyDescent="0.25">
      <c r="A455" s="75">
        <f t="shared" si="6"/>
        <v>454</v>
      </c>
      <c r="B455" t="s">
        <v>13</v>
      </c>
      <c r="C455" t="s">
        <v>758</v>
      </c>
      <c r="D455" t="s">
        <v>799</v>
      </c>
      <c r="E455" t="s">
        <v>800</v>
      </c>
      <c r="F455" t="s">
        <v>783</v>
      </c>
      <c r="G455" t="s">
        <v>18</v>
      </c>
      <c r="H455" s="75" t="str">
        <f>IFERROR(VLOOKUP(Table2[[#This Row],[Ticket]],Okey!A:B,2,0),"")</f>
        <v>ok</v>
      </c>
      <c r="I455" t="s">
        <v>19</v>
      </c>
      <c r="J455" t="str">
        <f>VLOOKUP(Table2[[#This Row],[Author]],People!A:B,2,0)</f>
        <v>MGF</v>
      </c>
      <c r="M455" t="s">
        <v>761</v>
      </c>
    </row>
    <row r="456" spans="1:13" x14ac:dyDescent="0.25">
      <c r="A456" s="75">
        <f t="shared" si="6"/>
        <v>455</v>
      </c>
      <c r="B456" t="s">
        <v>13</v>
      </c>
      <c r="C456" t="s">
        <v>758</v>
      </c>
      <c r="D456" t="s">
        <v>801</v>
      </c>
      <c r="E456" t="s">
        <v>802</v>
      </c>
      <c r="F456" t="s">
        <v>785</v>
      </c>
      <c r="G456" t="s">
        <v>18</v>
      </c>
      <c r="H456" s="75" t="str">
        <f>IFERROR(VLOOKUP(Table2[[#This Row],[Ticket]],Okey!A:B,2,0),"")</f>
        <v>ok</v>
      </c>
      <c r="I456" t="s">
        <v>19</v>
      </c>
      <c r="J456" t="str">
        <f>VLOOKUP(Table2[[#This Row],[Author]],People!A:B,2,0)</f>
        <v>MGF</v>
      </c>
      <c r="M456" t="s">
        <v>761</v>
      </c>
    </row>
    <row r="457" spans="1:13" x14ac:dyDescent="0.25">
      <c r="A457" s="75">
        <f t="shared" ref="A457:A520" si="7">1+A456</f>
        <v>456</v>
      </c>
      <c r="B457" t="s">
        <v>13</v>
      </c>
      <c r="C457" t="s">
        <v>758</v>
      </c>
      <c r="D457" t="s">
        <v>803</v>
      </c>
      <c r="E457" t="s">
        <v>804</v>
      </c>
      <c r="F457" t="s">
        <v>787</v>
      </c>
      <c r="G457" t="s">
        <v>18</v>
      </c>
      <c r="H457" s="75" t="str">
        <f>IFERROR(VLOOKUP(Table2[[#This Row],[Ticket]],Okey!A:B,2,0),"")</f>
        <v>ok</v>
      </c>
      <c r="I457" t="s">
        <v>19</v>
      </c>
      <c r="J457" t="str">
        <f>VLOOKUP(Table2[[#This Row],[Author]],People!A:B,2,0)</f>
        <v>MGF</v>
      </c>
      <c r="M457" t="s">
        <v>761</v>
      </c>
    </row>
    <row r="458" spans="1:13" x14ac:dyDescent="0.25">
      <c r="A458" s="75">
        <f t="shared" si="7"/>
        <v>457</v>
      </c>
      <c r="B458" t="s">
        <v>13</v>
      </c>
      <c r="C458" t="s">
        <v>758</v>
      </c>
      <c r="D458" t="s">
        <v>805</v>
      </c>
      <c r="E458" t="s">
        <v>806</v>
      </c>
      <c r="F458" t="s">
        <v>789</v>
      </c>
      <c r="G458" t="s">
        <v>18</v>
      </c>
      <c r="H458" s="75" t="str">
        <f>IFERROR(VLOOKUP(Table2[[#This Row],[Ticket]],Okey!A:B,2,0),"")</f>
        <v>ok</v>
      </c>
      <c r="I458" t="s">
        <v>19</v>
      </c>
      <c r="J458" t="str">
        <f>VLOOKUP(Table2[[#This Row],[Author]],People!A:B,2,0)</f>
        <v>MGF</v>
      </c>
      <c r="M458" t="s">
        <v>761</v>
      </c>
    </row>
    <row r="459" spans="1:13" x14ac:dyDescent="0.25">
      <c r="A459" s="75">
        <f t="shared" si="7"/>
        <v>458</v>
      </c>
      <c r="B459" t="s">
        <v>13</v>
      </c>
      <c r="C459" t="s">
        <v>758</v>
      </c>
      <c r="D459" t="s">
        <v>807</v>
      </c>
      <c r="E459" t="s">
        <v>808</v>
      </c>
      <c r="F459" t="s">
        <v>791</v>
      </c>
      <c r="G459" t="s">
        <v>18</v>
      </c>
      <c r="H459" s="75" t="str">
        <f>IFERROR(VLOOKUP(Table2[[#This Row],[Ticket]],Okey!A:B,2,0),"")</f>
        <v>ok</v>
      </c>
      <c r="I459" t="s">
        <v>19</v>
      </c>
      <c r="J459" t="str">
        <f>VLOOKUP(Table2[[#This Row],[Author]],People!A:B,2,0)</f>
        <v>MGF</v>
      </c>
      <c r="M459" t="s">
        <v>761</v>
      </c>
    </row>
    <row r="460" spans="1:13" x14ac:dyDescent="0.25">
      <c r="A460" s="75">
        <f t="shared" si="7"/>
        <v>459</v>
      </c>
      <c r="B460" t="s">
        <v>13</v>
      </c>
      <c r="C460" t="s">
        <v>758</v>
      </c>
      <c r="D460" t="s">
        <v>809</v>
      </c>
      <c r="E460" t="s">
        <v>810</v>
      </c>
      <c r="F460" t="s">
        <v>776</v>
      </c>
      <c r="G460" t="s">
        <v>18</v>
      </c>
      <c r="H460" s="75" t="str">
        <f>IFERROR(VLOOKUP(Table2[[#This Row],[Ticket]],Okey!A:B,2,0),"")</f>
        <v>ok</v>
      </c>
      <c r="I460" t="s">
        <v>19</v>
      </c>
      <c r="J460" t="str">
        <f>VLOOKUP(Table2[[#This Row],[Author]],People!A:B,2,0)</f>
        <v>MGF</v>
      </c>
      <c r="M460" t="s">
        <v>761</v>
      </c>
    </row>
    <row r="461" spans="1:13" x14ac:dyDescent="0.25">
      <c r="A461" s="75">
        <f t="shared" si="7"/>
        <v>460</v>
      </c>
      <c r="B461" t="s">
        <v>13</v>
      </c>
      <c r="C461" t="s">
        <v>758</v>
      </c>
      <c r="D461" t="s">
        <v>811</v>
      </c>
      <c r="E461" t="s">
        <v>812</v>
      </c>
      <c r="F461" t="s">
        <v>779</v>
      </c>
      <c r="G461" t="s">
        <v>18</v>
      </c>
      <c r="H461" s="75" t="str">
        <f>IFERROR(VLOOKUP(Table2[[#This Row],[Ticket]],Okey!A:B,2,0),"")</f>
        <v>ok</v>
      </c>
      <c r="I461" t="s">
        <v>19</v>
      </c>
      <c r="J461" t="str">
        <f>VLOOKUP(Table2[[#This Row],[Author]],People!A:B,2,0)</f>
        <v>MGF</v>
      </c>
      <c r="M461" t="s">
        <v>761</v>
      </c>
    </row>
    <row r="462" spans="1:13" x14ac:dyDescent="0.25">
      <c r="A462" s="75">
        <f t="shared" si="7"/>
        <v>461</v>
      </c>
      <c r="B462" t="s">
        <v>13</v>
      </c>
      <c r="C462" t="s">
        <v>758</v>
      </c>
      <c r="D462" t="s">
        <v>813</v>
      </c>
      <c r="E462" t="s">
        <v>814</v>
      </c>
      <c r="F462" t="s">
        <v>781</v>
      </c>
      <c r="G462" t="s">
        <v>18</v>
      </c>
      <c r="H462" s="75" t="str">
        <f>IFERROR(VLOOKUP(Table2[[#This Row],[Ticket]],Okey!A:B,2,0),"")</f>
        <v>ok</v>
      </c>
      <c r="I462" t="s">
        <v>19</v>
      </c>
      <c r="J462" t="str">
        <f>VLOOKUP(Table2[[#This Row],[Author]],People!A:B,2,0)</f>
        <v>MGF</v>
      </c>
      <c r="M462" t="s">
        <v>761</v>
      </c>
    </row>
    <row r="463" spans="1:13" x14ac:dyDescent="0.25">
      <c r="A463" s="75">
        <f t="shared" si="7"/>
        <v>462</v>
      </c>
      <c r="B463" t="s">
        <v>13</v>
      </c>
      <c r="C463" t="s">
        <v>758</v>
      </c>
      <c r="D463" t="s">
        <v>815</v>
      </c>
      <c r="E463" t="s">
        <v>816</v>
      </c>
      <c r="F463" t="s">
        <v>783</v>
      </c>
      <c r="G463" t="s">
        <v>18</v>
      </c>
      <c r="H463" s="75" t="str">
        <f>IFERROR(VLOOKUP(Table2[[#This Row],[Ticket]],Okey!A:B,2,0),"")</f>
        <v>ok</v>
      </c>
      <c r="I463" t="s">
        <v>19</v>
      </c>
      <c r="J463" t="str">
        <f>VLOOKUP(Table2[[#This Row],[Author]],People!A:B,2,0)</f>
        <v>MGF</v>
      </c>
      <c r="M463" t="s">
        <v>761</v>
      </c>
    </row>
    <row r="464" spans="1:13" x14ac:dyDescent="0.25">
      <c r="A464" s="75">
        <f t="shared" si="7"/>
        <v>463</v>
      </c>
      <c r="B464" t="s">
        <v>13</v>
      </c>
      <c r="C464" t="s">
        <v>758</v>
      </c>
      <c r="D464" t="s">
        <v>817</v>
      </c>
      <c r="E464" t="s">
        <v>818</v>
      </c>
      <c r="F464" t="s">
        <v>785</v>
      </c>
      <c r="G464" t="s">
        <v>18</v>
      </c>
      <c r="H464" s="75" t="str">
        <f>IFERROR(VLOOKUP(Table2[[#This Row],[Ticket]],Okey!A:B,2,0),"")</f>
        <v>ok</v>
      </c>
      <c r="I464" t="s">
        <v>19</v>
      </c>
      <c r="J464" t="str">
        <f>VLOOKUP(Table2[[#This Row],[Author]],People!A:B,2,0)</f>
        <v>MGF</v>
      </c>
      <c r="M464" t="s">
        <v>761</v>
      </c>
    </row>
    <row r="465" spans="1:13" x14ac:dyDescent="0.25">
      <c r="A465" s="75">
        <f t="shared" si="7"/>
        <v>464</v>
      </c>
      <c r="B465" t="s">
        <v>13</v>
      </c>
      <c r="C465" t="s">
        <v>758</v>
      </c>
      <c r="D465" t="s">
        <v>819</v>
      </c>
      <c r="E465" t="s">
        <v>820</v>
      </c>
      <c r="F465" t="s">
        <v>787</v>
      </c>
      <c r="G465" t="s">
        <v>18</v>
      </c>
      <c r="H465" s="75" t="str">
        <f>IFERROR(VLOOKUP(Table2[[#This Row],[Ticket]],Okey!A:B,2,0),"")</f>
        <v>ok</v>
      </c>
      <c r="I465" t="s">
        <v>19</v>
      </c>
      <c r="J465" t="str">
        <f>VLOOKUP(Table2[[#This Row],[Author]],People!A:B,2,0)</f>
        <v>MGF</v>
      </c>
      <c r="M465" t="s">
        <v>761</v>
      </c>
    </row>
    <row r="466" spans="1:13" x14ac:dyDescent="0.25">
      <c r="A466" s="75">
        <f t="shared" si="7"/>
        <v>465</v>
      </c>
      <c r="B466" t="s">
        <v>13</v>
      </c>
      <c r="C466" t="s">
        <v>758</v>
      </c>
      <c r="D466" t="s">
        <v>821</v>
      </c>
      <c r="E466" t="s">
        <v>822</v>
      </c>
      <c r="F466" t="s">
        <v>789</v>
      </c>
      <c r="G466" t="s">
        <v>18</v>
      </c>
      <c r="H466" s="75" t="str">
        <f>IFERROR(VLOOKUP(Table2[[#This Row],[Ticket]],Okey!A:B,2,0),"")</f>
        <v>ok</v>
      </c>
      <c r="I466" t="s">
        <v>19</v>
      </c>
      <c r="J466" t="str">
        <f>VLOOKUP(Table2[[#This Row],[Author]],People!A:B,2,0)</f>
        <v>MGF</v>
      </c>
      <c r="M466" t="s">
        <v>761</v>
      </c>
    </row>
    <row r="467" spans="1:13" x14ac:dyDescent="0.25">
      <c r="A467" s="75">
        <f t="shared" si="7"/>
        <v>466</v>
      </c>
      <c r="B467" t="s">
        <v>13</v>
      </c>
      <c r="C467" t="s">
        <v>758</v>
      </c>
      <c r="D467" t="s">
        <v>823</v>
      </c>
      <c r="E467" t="s">
        <v>824</v>
      </c>
      <c r="F467" t="s">
        <v>791</v>
      </c>
      <c r="G467" t="s">
        <v>18</v>
      </c>
      <c r="H467" s="75" t="str">
        <f>IFERROR(VLOOKUP(Table2[[#This Row],[Ticket]],Okey!A:B,2,0),"")</f>
        <v>ok</v>
      </c>
      <c r="I467" t="s">
        <v>19</v>
      </c>
      <c r="J467" t="str">
        <f>VLOOKUP(Table2[[#This Row],[Author]],People!A:B,2,0)</f>
        <v>MGF</v>
      </c>
      <c r="M467" t="s">
        <v>761</v>
      </c>
    </row>
    <row r="468" spans="1:13" x14ac:dyDescent="0.25">
      <c r="A468" s="75">
        <f t="shared" si="7"/>
        <v>467</v>
      </c>
      <c r="B468" t="s">
        <v>13</v>
      </c>
      <c r="C468" t="s">
        <v>758</v>
      </c>
      <c r="D468" t="s">
        <v>825</v>
      </c>
      <c r="E468" t="s">
        <v>826</v>
      </c>
      <c r="F468" t="s">
        <v>793</v>
      </c>
      <c r="G468" t="s">
        <v>18</v>
      </c>
      <c r="H468" s="75" t="str">
        <f>IFERROR(VLOOKUP(Table2[[#This Row],[Ticket]],Okey!A:B,2,0),"")</f>
        <v>ok</v>
      </c>
      <c r="I468" t="s">
        <v>19</v>
      </c>
      <c r="J468" t="str">
        <f>VLOOKUP(Table2[[#This Row],[Author]],People!A:B,2,0)</f>
        <v>MGF</v>
      </c>
      <c r="M468" t="s">
        <v>761</v>
      </c>
    </row>
    <row r="469" spans="1:13" x14ac:dyDescent="0.25">
      <c r="A469" s="75">
        <f t="shared" si="7"/>
        <v>468</v>
      </c>
      <c r="B469" t="s">
        <v>13</v>
      </c>
      <c r="C469" t="s">
        <v>758</v>
      </c>
      <c r="D469" t="s">
        <v>827</v>
      </c>
      <c r="E469" t="s">
        <v>828</v>
      </c>
      <c r="F469" t="s">
        <v>829</v>
      </c>
      <c r="G469" t="s">
        <v>18</v>
      </c>
      <c r="H469" s="75" t="str">
        <f>IFERROR(VLOOKUP(Table2[[#This Row],[Ticket]],Okey!A:B,2,0),"")</f>
        <v>ok</v>
      </c>
      <c r="I469" t="s">
        <v>19</v>
      </c>
      <c r="J469" t="str">
        <f>VLOOKUP(Table2[[#This Row],[Author]],People!A:B,2,0)</f>
        <v>MGF</v>
      </c>
      <c r="M469" t="s">
        <v>761</v>
      </c>
    </row>
    <row r="470" spans="1:13" x14ac:dyDescent="0.25">
      <c r="A470" s="75">
        <f t="shared" si="7"/>
        <v>469</v>
      </c>
      <c r="B470" t="s">
        <v>13</v>
      </c>
      <c r="C470" t="s">
        <v>758</v>
      </c>
      <c r="D470" t="s">
        <v>830</v>
      </c>
      <c r="E470" t="s">
        <v>831</v>
      </c>
      <c r="F470" t="s">
        <v>829</v>
      </c>
      <c r="G470" t="s">
        <v>18</v>
      </c>
      <c r="H470" s="75" t="str">
        <f>IFERROR(VLOOKUP(Table2[[#This Row],[Ticket]],Okey!A:B,2,0),"")</f>
        <v>ok</v>
      </c>
      <c r="I470" t="s">
        <v>19</v>
      </c>
      <c r="J470" t="str">
        <f>VLOOKUP(Table2[[#This Row],[Author]],People!A:B,2,0)</f>
        <v>MGF</v>
      </c>
      <c r="M470" t="s">
        <v>761</v>
      </c>
    </row>
    <row r="471" spans="1:13" x14ac:dyDescent="0.25">
      <c r="A471" s="75">
        <f t="shared" si="7"/>
        <v>470</v>
      </c>
      <c r="B471" t="s">
        <v>13</v>
      </c>
      <c r="C471" t="s">
        <v>758</v>
      </c>
      <c r="D471" t="s">
        <v>832</v>
      </c>
      <c r="E471" t="s">
        <v>833</v>
      </c>
      <c r="F471" t="s">
        <v>829</v>
      </c>
      <c r="G471" t="s">
        <v>18</v>
      </c>
      <c r="H471" s="75" t="str">
        <f>IFERROR(VLOOKUP(Table2[[#This Row],[Ticket]],Okey!A:B,2,0),"")</f>
        <v>ok</v>
      </c>
      <c r="I471" t="s">
        <v>19</v>
      </c>
      <c r="J471" t="str">
        <f>VLOOKUP(Table2[[#This Row],[Author]],People!A:B,2,0)</f>
        <v>MGF</v>
      </c>
      <c r="M471" t="s">
        <v>761</v>
      </c>
    </row>
    <row r="472" spans="1:13" x14ac:dyDescent="0.25">
      <c r="A472" s="75">
        <f t="shared" si="7"/>
        <v>471</v>
      </c>
      <c r="B472" t="s">
        <v>13</v>
      </c>
      <c r="C472" t="s">
        <v>758</v>
      </c>
      <c r="D472" t="s">
        <v>834</v>
      </c>
      <c r="E472" t="s">
        <v>835</v>
      </c>
      <c r="F472" t="s">
        <v>795</v>
      </c>
      <c r="G472" t="s">
        <v>18</v>
      </c>
      <c r="H472" s="75" t="str">
        <f>IFERROR(VLOOKUP(Table2[[#This Row],[Ticket]],Okey!A:B,2,0),"")</f>
        <v>ok</v>
      </c>
      <c r="I472" t="s">
        <v>19</v>
      </c>
      <c r="J472" t="str">
        <f>VLOOKUP(Table2[[#This Row],[Author]],People!A:B,2,0)</f>
        <v>MGF</v>
      </c>
      <c r="M472" t="s">
        <v>761</v>
      </c>
    </row>
    <row r="473" spans="1:13" x14ac:dyDescent="0.25">
      <c r="A473" s="75">
        <f t="shared" si="7"/>
        <v>472</v>
      </c>
      <c r="B473" t="s">
        <v>13</v>
      </c>
      <c r="C473" t="s">
        <v>758</v>
      </c>
      <c r="D473" t="s">
        <v>836</v>
      </c>
      <c r="E473" t="s">
        <v>837</v>
      </c>
      <c r="F473" t="s">
        <v>795</v>
      </c>
      <c r="G473" t="s">
        <v>18</v>
      </c>
      <c r="H473" s="75" t="str">
        <f>IFERROR(VLOOKUP(Table2[[#This Row],[Ticket]],Okey!A:B,2,0),"")</f>
        <v>ok</v>
      </c>
      <c r="I473" t="s">
        <v>19</v>
      </c>
      <c r="J473" t="str">
        <f>VLOOKUP(Table2[[#This Row],[Author]],People!A:B,2,0)</f>
        <v>MGF</v>
      </c>
      <c r="M473" t="s">
        <v>761</v>
      </c>
    </row>
    <row r="474" spans="1:13" x14ac:dyDescent="0.25">
      <c r="A474" s="75">
        <f t="shared" si="7"/>
        <v>473</v>
      </c>
      <c r="B474" t="s">
        <v>13</v>
      </c>
      <c r="C474" t="s">
        <v>758</v>
      </c>
      <c r="D474" t="s">
        <v>838</v>
      </c>
      <c r="E474" t="s">
        <v>839</v>
      </c>
      <c r="F474" t="s">
        <v>795</v>
      </c>
      <c r="G474" t="s">
        <v>18</v>
      </c>
      <c r="H474" s="75" t="str">
        <f>IFERROR(VLOOKUP(Table2[[#This Row],[Ticket]],Okey!A:B,2,0),"")</f>
        <v>ok</v>
      </c>
      <c r="I474" t="s">
        <v>19</v>
      </c>
      <c r="J474" t="str">
        <f>VLOOKUP(Table2[[#This Row],[Author]],People!A:B,2,0)</f>
        <v>MGF</v>
      </c>
      <c r="M474" t="s">
        <v>761</v>
      </c>
    </row>
    <row r="475" spans="1:13" x14ac:dyDescent="0.25">
      <c r="A475" s="75">
        <f t="shared" si="7"/>
        <v>474</v>
      </c>
      <c r="B475" t="s">
        <v>13</v>
      </c>
      <c r="C475" t="s">
        <v>758</v>
      </c>
      <c r="D475" t="s">
        <v>840</v>
      </c>
      <c r="E475" t="s">
        <v>841</v>
      </c>
      <c r="F475" t="s">
        <v>795</v>
      </c>
      <c r="G475" t="s">
        <v>18</v>
      </c>
      <c r="H475" s="75" t="str">
        <f>IFERROR(VLOOKUP(Table2[[#This Row],[Ticket]],Okey!A:B,2,0),"")</f>
        <v>ok</v>
      </c>
      <c r="I475" t="s">
        <v>19</v>
      </c>
      <c r="J475" t="str">
        <f>VLOOKUP(Table2[[#This Row],[Author]],People!A:B,2,0)</f>
        <v>MGF</v>
      </c>
      <c r="M475" t="s">
        <v>761</v>
      </c>
    </row>
    <row r="476" spans="1:13" x14ac:dyDescent="0.25">
      <c r="A476" s="75">
        <f t="shared" si="7"/>
        <v>475</v>
      </c>
      <c r="B476" t="s">
        <v>13</v>
      </c>
      <c r="C476" t="s">
        <v>758</v>
      </c>
      <c r="D476" t="s">
        <v>842</v>
      </c>
      <c r="E476" t="s">
        <v>843</v>
      </c>
      <c r="F476" t="s">
        <v>795</v>
      </c>
      <c r="G476" t="s">
        <v>18</v>
      </c>
      <c r="H476" s="75" t="str">
        <f>IFERROR(VLOOKUP(Table2[[#This Row],[Ticket]],Okey!A:B,2,0),"")</f>
        <v>ok</v>
      </c>
      <c r="I476" t="s">
        <v>19</v>
      </c>
      <c r="J476" t="str">
        <f>VLOOKUP(Table2[[#This Row],[Author]],People!A:B,2,0)</f>
        <v>MGF</v>
      </c>
      <c r="M476" t="s">
        <v>761</v>
      </c>
    </row>
    <row r="477" spans="1:13" x14ac:dyDescent="0.25">
      <c r="A477" s="75">
        <f t="shared" si="7"/>
        <v>476</v>
      </c>
      <c r="B477" t="s">
        <v>13</v>
      </c>
      <c r="C477" t="s">
        <v>758</v>
      </c>
      <c r="D477" t="s">
        <v>844</v>
      </c>
      <c r="E477" t="s">
        <v>845</v>
      </c>
      <c r="F477" t="s">
        <v>795</v>
      </c>
      <c r="G477" t="s">
        <v>18</v>
      </c>
      <c r="H477" s="75" t="str">
        <f>IFERROR(VLOOKUP(Table2[[#This Row],[Ticket]],Okey!A:B,2,0),"")</f>
        <v>ok</v>
      </c>
      <c r="I477" t="s">
        <v>19</v>
      </c>
      <c r="J477" t="str">
        <f>VLOOKUP(Table2[[#This Row],[Author]],People!A:B,2,0)</f>
        <v>MGF</v>
      </c>
      <c r="M477" t="s">
        <v>761</v>
      </c>
    </row>
    <row r="478" spans="1:13" x14ac:dyDescent="0.25">
      <c r="A478" s="75">
        <f t="shared" si="7"/>
        <v>477</v>
      </c>
      <c r="B478" t="s">
        <v>13</v>
      </c>
      <c r="C478" t="s">
        <v>758</v>
      </c>
      <c r="D478" t="s">
        <v>846</v>
      </c>
      <c r="E478" t="s">
        <v>847</v>
      </c>
      <c r="F478" t="s">
        <v>795</v>
      </c>
      <c r="G478" t="s">
        <v>18</v>
      </c>
      <c r="H478" s="75" t="str">
        <f>IFERROR(VLOOKUP(Table2[[#This Row],[Ticket]],Okey!A:B,2,0),"")</f>
        <v>ok</v>
      </c>
      <c r="I478" t="s">
        <v>19</v>
      </c>
      <c r="J478" t="str">
        <f>VLOOKUP(Table2[[#This Row],[Author]],People!A:B,2,0)</f>
        <v>MGF</v>
      </c>
      <c r="M478" t="s">
        <v>761</v>
      </c>
    </row>
    <row r="479" spans="1:13" x14ac:dyDescent="0.25">
      <c r="A479" s="75">
        <f t="shared" si="7"/>
        <v>478</v>
      </c>
      <c r="B479" t="s">
        <v>13</v>
      </c>
      <c r="C479" t="s">
        <v>758</v>
      </c>
      <c r="D479" t="s">
        <v>848</v>
      </c>
      <c r="E479" t="s">
        <v>849</v>
      </c>
      <c r="F479" t="s">
        <v>795</v>
      </c>
      <c r="G479" t="s">
        <v>18</v>
      </c>
      <c r="H479" s="75" t="str">
        <f>IFERROR(VLOOKUP(Table2[[#This Row],[Ticket]],Okey!A:B,2,0),"")</f>
        <v>ok</v>
      </c>
      <c r="I479" t="s">
        <v>19</v>
      </c>
      <c r="J479" t="str">
        <f>VLOOKUP(Table2[[#This Row],[Author]],People!A:B,2,0)</f>
        <v>MGF</v>
      </c>
      <c r="M479" t="s">
        <v>761</v>
      </c>
    </row>
    <row r="480" spans="1:13" x14ac:dyDescent="0.25">
      <c r="A480" s="75">
        <f t="shared" si="7"/>
        <v>479</v>
      </c>
      <c r="B480" t="s">
        <v>13</v>
      </c>
      <c r="C480" t="s">
        <v>758</v>
      </c>
      <c r="D480" t="s">
        <v>850</v>
      </c>
      <c r="E480" t="s">
        <v>851</v>
      </c>
      <c r="F480" t="s">
        <v>795</v>
      </c>
      <c r="G480" t="s">
        <v>18</v>
      </c>
      <c r="H480" s="75" t="str">
        <f>IFERROR(VLOOKUP(Table2[[#This Row],[Ticket]],Okey!A:B,2,0),"")</f>
        <v>ok</v>
      </c>
      <c r="I480" t="s">
        <v>19</v>
      </c>
      <c r="J480" t="str">
        <f>VLOOKUP(Table2[[#This Row],[Author]],People!A:B,2,0)</f>
        <v>MGF</v>
      </c>
      <c r="M480" t="s">
        <v>761</v>
      </c>
    </row>
    <row r="481" spans="1:13" x14ac:dyDescent="0.25">
      <c r="A481" s="75">
        <f t="shared" si="7"/>
        <v>480</v>
      </c>
      <c r="B481" t="s">
        <v>13</v>
      </c>
      <c r="C481" t="s">
        <v>758</v>
      </c>
      <c r="D481" t="s">
        <v>852</v>
      </c>
      <c r="E481" t="s">
        <v>853</v>
      </c>
      <c r="F481" t="s">
        <v>797</v>
      </c>
      <c r="G481" t="s">
        <v>18</v>
      </c>
      <c r="H481" s="75" t="str">
        <f>IFERROR(VLOOKUP(Table2[[#This Row],[Ticket]],Okey!A:B,2,0),"")</f>
        <v>ok</v>
      </c>
      <c r="I481" t="s">
        <v>19</v>
      </c>
      <c r="J481" t="str">
        <f>VLOOKUP(Table2[[#This Row],[Author]],People!A:B,2,0)</f>
        <v>MGF</v>
      </c>
      <c r="M481" t="s">
        <v>761</v>
      </c>
    </row>
    <row r="482" spans="1:13" x14ac:dyDescent="0.25">
      <c r="A482" s="75">
        <f t="shared" si="7"/>
        <v>481</v>
      </c>
      <c r="B482" t="s">
        <v>13</v>
      </c>
      <c r="C482" t="s">
        <v>758</v>
      </c>
      <c r="D482" t="s">
        <v>854</v>
      </c>
      <c r="E482" t="s">
        <v>855</v>
      </c>
      <c r="F482" t="s">
        <v>797</v>
      </c>
      <c r="G482" t="s">
        <v>18</v>
      </c>
      <c r="H482" s="75" t="str">
        <f>IFERROR(VLOOKUP(Table2[[#This Row],[Ticket]],Okey!A:B,2,0),"")</f>
        <v>ok</v>
      </c>
      <c r="I482" t="s">
        <v>19</v>
      </c>
      <c r="J482" t="str">
        <f>VLOOKUP(Table2[[#This Row],[Author]],People!A:B,2,0)</f>
        <v>MGF</v>
      </c>
      <c r="M482" t="s">
        <v>761</v>
      </c>
    </row>
    <row r="483" spans="1:13" x14ac:dyDescent="0.25">
      <c r="A483" s="75">
        <f t="shared" si="7"/>
        <v>482</v>
      </c>
      <c r="B483" t="s">
        <v>13</v>
      </c>
      <c r="C483" t="s">
        <v>758</v>
      </c>
      <c r="D483" t="s">
        <v>856</v>
      </c>
      <c r="E483" t="s">
        <v>857</v>
      </c>
      <c r="F483" t="s">
        <v>797</v>
      </c>
      <c r="G483" t="s">
        <v>18</v>
      </c>
      <c r="H483" s="75" t="str">
        <f>IFERROR(VLOOKUP(Table2[[#This Row],[Ticket]],Okey!A:B,2,0),"")</f>
        <v>ok</v>
      </c>
      <c r="I483" t="s">
        <v>19</v>
      </c>
      <c r="J483" t="str">
        <f>VLOOKUP(Table2[[#This Row],[Author]],People!A:B,2,0)</f>
        <v>MGF</v>
      </c>
      <c r="M483" t="s">
        <v>761</v>
      </c>
    </row>
    <row r="484" spans="1:13" x14ac:dyDescent="0.25">
      <c r="A484" s="75">
        <f t="shared" si="7"/>
        <v>483</v>
      </c>
      <c r="B484" t="s">
        <v>13</v>
      </c>
      <c r="C484" t="s">
        <v>758</v>
      </c>
      <c r="D484" t="s">
        <v>858</v>
      </c>
      <c r="E484" t="s">
        <v>859</v>
      </c>
      <c r="F484" t="s">
        <v>797</v>
      </c>
      <c r="G484" t="s">
        <v>18</v>
      </c>
      <c r="H484" s="75" t="str">
        <f>IFERROR(VLOOKUP(Table2[[#This Row],[Ticket]],Okey!A:B,2,0),"")</f>
        <v>ok</v>
      </c>
      <c r="I484" t="s">
        <v>19</v>
      </c>
      <c r="J484" t="str">
        <f>VLOOKUP(Table2[[#This Row],[Author]],People!A:B,2,0)</f>
        <v>MGF</v>
      </c>
      <c r="M484" t="s">
        <v>761</v>
      </c>
    </row>
    <row r="485" spans="1:13" x14ac:dyDescent="0.25">
      <c r="A485" s="75">
        <f t="shared" si="7"/>
        <v>484</v>
      </c>
      <c r="B485" t="s">
        <v>13</v>
      </c>
      <c r="C485" t="s">
        <v>758</v>
      </c>
      <c r="D485" t="s">
        <v>860</v>
      </c>
      <c r="E485" t="s">
        <v>861</v>
      </c>
      <c r="F485" t="s">
        <v>797</v>
      </c>
      <c r="G485" t="s">
        <v>18</v>
      </c>
      <c r="H485" s="75" t="str">
        <f>IFERROR(VLOOKUP(Table2[[#This Row],[Ticket]],Okey!A:B,2,0),"")</f>
        <v>ok</v>
      </c>
      <c r="I485" t="s">
        <v>19</v>
      </c>
      <c r="J485" t="str">
        <f>VLOOKUP(Table2[[#This Row],[Author]],People!A:B,2,0)</f>
        <v>MGF</v>
      </c>
      <c r="M485" t="s">
        <v>761</v>
      </c>
    </row>
    <row r="486" spans="1:13" x14ac:dyDescent="0.25">
      <c r="A486" s="75">
        <f t="shared" si="7"/>
        <v>485</v>
      </c>
      <c r="B486" t="s">
        <v>13</v>
      </c>
      <c r="C486" t="s">
        <v>758</v>
      </c>
      <c r="D486" t="s">
        <v>862</v>
      </c>
      <c r="E486" t="s">
        <v>863</v>
      </c>
      <c r="F486" t="s">
        <v>797</v>
      </c>
      <c r="G486" t="s">
        <v>18</v>
      </c>
      <c r="H486" s="75" t="str">
        <f>IFERROR(VLOOKUP(Table2[[#This Row],[Ticket]],Okey!A:B,2,0),"")</f>
        <v>ok</v>
      </c>
      <c r="I486" t="s">
        <v>19</v>
      </c>
      <c r="J486" t="str">
        <f>VLOOKUP(Table2[[#This Row],[Author]],People!A:B,2,0)</f>
        <v>MGF</v>
      </c>
      <c r="M486" t="s">
        <v>761</v>
      </c>
    </row>
    <row r="487" spans="1:13" x14ac:dyDescent="0.25">
      <c r="A487" s="75">
        <f t="shared" si="7"/>
        <v>486</v>
      </c>
      <c r="B487" t="s">
        <v>13</v>
      </c>
      <c r="C487" t="s">
        <v>758</v>
      </c>
      <c r="D487" t="s">
        <v>864</v>
      </c>
      <c r="E487" t="s">
        <v>865</v>
      </c>
      <c r="F487" t="s">
        <v>797</v>
      </c>
      <c r="G487" t="s">
        <v>18</v>
      </c>
      <c r="H487" s="75" t="str">
        <f>IFERROR(VLOOKUP(Table2[[#This Row],[Ticket]],Okey!A:B,2,0),"")</f>
        <v>ok</v>
      </c>
      <c r="I487" t="s">
        <v>19</v>
      </c>
      <c r="J487" t="str">
        <f>VLOOKUP(Table2[[#This Row],[Author]],People!A:B,2,0)</f>
        <v>MGF</v>
      </c>
      <c r="M487" t="s">
        <v>761</v>
      </c>
    </row>
    <row r="488" spans="1:13" x14ac:dyDescent="0.25">
      <c r="A488" s="75">
        <f t="shared" si="7"/>
        <v>487</v>
      </c>
      <c r="B488" t="s">
        <v>13</v>
      </c>
      <c r="C488" t="s">
        <v>758</v>
      </c>
      <c r="D488" t="s">
        <v>866</v>
      </c>
      <c r="E488" t="s">
        <v>867</v>
      </c>
      <c r="F488" t="s">
        <v>797</v>
      </c>
      <c r="G488" t="s">
        <v>18</v>
      </c>
      <c r="H488" s="75" t="str">
        <f>IFERROR(VLOOKUP(Table2[[#This Row],[Ticket]],Okey!A:B,2,0),"")</f>
        <v>ok</v>
      </c>
      <c r="I488" t="s">
        <v>19</v>
      </c>
      <c r="J488" t="str">
        <f>VLOOKUP(Table2[[#This Row],[Author]],People!A:B,2,0)</f>
        <v>MGF</v>
      </c>
      <c r="M488" t="s">
        <v>761</v>
      </c>
    </row>
    <row r="489" spans="1:13" x14ac:dyDescent="0.25">
      <c r="A489" s="75">
        <f t="shared" si="7"/>
        <v>488</v>
      </c>
      <c r="B489" t="s">
        <v>13</v>
      </c>
      <c r="C489" t="s">
        <v>758</v>
      </c>
      <c r="D489" t="s">
        <v>868</v>
      </c>
      <c r="E489" t="s">
        <v>869</v>
      </c>
      <c r="F489" t="s">
        <v>797</v>
      </c>
      <c r="G489" t="s">
        <v>18</v>
      </c>
      <c r="H489" s="75" t="str">
        <f>IFERROR(VLOOKUP(Table2[[#This Row],[Ticket]],Okey!A:B,2,0),"")</f>
        <v>ok</v>
      </c>
      <c r="I489" t="s">
        <v>19</v>
      </c>
      <c r="J489" t="str">
        <f>VLOOKUP(Table2[[#This Row],[Author]],People!A:B,2,0)</f>
        <v>MGF</v>
      </c>
      <c r="M489" t="s">
        <v>761</v>
      </c>
    </row>
    <row r="490" spans="1:13" x14ac:dyDescent="0.25">
      <c r="A490" s="75">
        <f t="shared" si="7"/>
        <v>489</v>
      </c>
      <c r="B490" t="s">
        <v>13</v>
      </c>
      <c r="C490" t="s">
        <v>758</v>
      </c>
      <c r="D490" t="s">
        <v>870</v>
      </c>
      <c r="E490" t="s">
        <v>871</v>
      </c>
      <c r="F490" t="s">
        <v>799</v>
      </c>
      <c r="G490" t="s">
        <v>18</v>
      </c>
      <c r="H490" s="75" t="str">
        <f>IFERROR(VLOOKUP(Table2[[#This Row],[Ticket]],Okey!A:B,2,0),"")</f>
        <v>ok</v>
      </c>
      <c r="I490" t="s">
        <v>19</v>
      </c>
      <c r="J490" t="str">
        <f>VLOOKUP(Table2[[#This Row],[Author]],People!A:B,2,0)</f>
        <v>MGF</v>
      </c>
      <c r="M490" t="s">
        <v>761</v>
      </c>
    </row>
    <row r="491" spans="1:13" x14ac:dyDescent="0.25">
      <c r="A491" s="75">
        <f t="shared" si="7"/>
        <v>490</v>
      </c>
      <c r="B491" t="s">
        <v>13</v>
      </c>
      <c r="C491" t="s">
        <v>758</v>
      </c>
      <c r="D491" t="s">
        <v>872</v>
      </c>
      <c r="E491" t="s">
        <v>873</v>
      </c>
      <c r="F491" t="s">
        <v>799</v>
      </c>
      <c r="G491" t="s">
        <v>18</v>
      </c>
      <c r="H491" s="75" t="str">
        <f>IFERROR(VLOOKUP(Table2[[#This Row],[Ticket]],Okey!A:B,2,0),"")</f>
        <v>ok</v>
      </c>
      <c r="I491" t="s">
        <v>19</v>
      </c>
      <c r="J491" t="str">
        <f>VLOOKUP(Table2[[#This Row],[Author]],People!A:B,2,0)</f>
        <v>MGF</v>
      </c>
      <c r="M491" t="s">
        <v>761</v>
      </c>
    </row>
    <row r="492" spans="1:13" x14ac:dyDescent="0.25">
      <c r="A492" s="75">
        <f t="shared" si="7"/>
        <v>491</v>
      </c>
      <c r="B492" t="s">
        <v>13</v>
      </c>
      <c r="C492" t="s">
        <v>758</v>
      </c>
      <c r="D492" t="s">
        <v>874</v>
      </c>
      <c r="E492" t="s">
        <v>875</v>
      </c>
      <c r="F492" t="s">
        <v>799</v>
      </c>
      <c r="G492" t="s">
        <v>18</v>
      </c>
      <c r="H492" s="75" t="str">
        <f>IFERROR(VLOOKUP(Table2[[#This Row],[Ticket]],Okey!A:B,2,0),"")</f>
        <v>ok</v>
      </c>
      <c r="I492" t="s">
        <v>19</v>
      </c>
      <c r="J492" t="str">
        <f>VLOOKUP(Table2[[#This Row],[Author]],People!A:B,2,0)</f>
        <v>MGF</v>
      </c>
      <c r="M492" t="s">
        <v>761</v>
      </c>
    </row>
    <row r="493" spans="1:13" x14ac:dyDescent="0.25">
      <c r="A493" s="75">
        <f t="shared" si="7"/>
        <v>492</v>
      </c>
      <c r="B493" t="s">
        <v>13</v>
      </c>
      <c r="C493" t="s">
        <v>758</v>
      </c>
      <c r="D493" t="s">
        <v>876</v>
      </c>
      <c r="E493" t="s">
        <v>877</v>
      </c>
      <c r="F493" t="s">
        <v>801</v>
      </c>
      <c r="G493" t="s">
        <v>18</v>
      </c>
      <c r="H493" s="75" t="str">
        <f>IFERROR(VLOOKUP(Table2[[#This Row],[Ticket]],Okey!A:B,2,0),"")</f>
        <v>ok</v>
      </c>
      <c r="I493" t="s">
        <v>19</v>
      </c>
      <c r="J493" t="str">
        <f>VLOOKUP(Table2[[#This Row],[Author]],People!A:B,2,0)</f>
        <v>MGF</v>
      </c>
      <c r="M493" t="s">
        <v>761</v>
      </c>
    </row>
    <row r="494" spans="1:13" x14ac:dyDescent="0.25">
      <c r="A494" s="75">
        <f t="shared" si="7"/>
        <v>493</v>
      </c>
      <c r="B494" t="s">
        <v>13</v>
      </c>
      <c r="C494" t="s">
        <v>758</v>
      </c>
      <c r="D494" t="s">
        <v>878</v>
      </c>
      <c r="E494" t="s">
        <v>879</v>
      </c>
      <c r="F494" t="s">
        <v>801</v>
      </c>
      <c r="G494" t="s">
        <v>18</v>
      </c>
      <c r="H494" s="75" t="str">
        <f>IFERROR(VLOOKUP(Table2[[#This Row],[Ticket]],Okey!A:B,2,0),"")</f>
        <v>ok</v>
      </c>
      <c r="I494" t="s">
        <v>19</v>
      </c>
      <c r="J494" t="str">
        <f>VLOOKUP(Table2[[#This Row],[Author]],People!A:B,2,0)</f>
        <v>MGF</v>
      </c>
      <c r="M494" t="s">
        <v>761</v>
      </c>
    </row>
    <row r="495" spans="1:13" x14ac:dyDescent="0.25">
      <c r="A495" s="75">
        <f t="shared" si="7"/>
        <v>494</v>
      </c>
      <c r="B495" t="s">
        <v>13</v>
      </c>
      <c r="C495" t="s">
        <v>758</v>
      </c>
      <c r="D495" t="s">
        <v>880</v>
      </c>
      <c r="E495" t="s">
        <v>881</v>
      </c>
      <c r="F495" t="s">
        <v>803</v>
      </c>
      <c r="G495" t="s">
        <v>18</v>
      </c>
      <c r="H495" s="75" t="str">
        <f>IFERROR(VLOOKUP(Table2[[#This Row],[Ticket]],Okey!A:B,2,0),"")</f>
        <v>ok</v>
      </c>
      <c r="I495" t="s">
        <v>19</v>
      </c>
      <c r="J495" t="str">
        <f>VLOOKUP(Table2[[#This Row],[Author]],People!A:B,2,0)</f>
        <v>MGF</v>
      </c>
      <c r="M495" t="s">
        <v>761</v>
      </c>
    </row>
    <row r="496" spans="1:13" x14ac:dyDescent="0.25">
      <c r="A496" s="75">
        <f t="shared" si="7"/>
        <v>495</v>
      </c>
      <c r="B496" t="s">
        <v>13</v>
      </c>
      <c r="C496" t="s">
        <v>758</v>
      </c>
      <c r="D496" t="s">
        <v>882</v>
      </c>
      <c r="E496" t="s">
        <v>883</v>
      </c>
      <c r="F496" t="s">
        <v>803</v>
      </c>
      <c r="G496" t="s">
        <v>18</v>
      </c>
      <c r="H496" s="75" t="str">
        <f>IFERROR(VLOOKUP(Table2[[#This Row],[Ticket]],Okey!A:B,2,0),"")</f>
        <v>ok</v>
      </c>
      <c r="I496" t="s">
        <v>19</v>
      </c>
      <c r="J496" t="str">
        <f>VLOOKUP(Table2[[#This Row],[Author]],People!A:B,2,0)</f>
        <v>MGF</v>
      </c>
      <c r="M496" t="s">
        <v>761</v>
      </c>
    </row>
    <row r="497" spans="1:13" x14ac:dyDescent="0.25">
      <c r="A497" s="75">
        <f t="shared" si="7"/>
        <v>496</v>
      </c>
      <c r="B497" t="s">
        <v>13</v>
      </c>
      <c r="C497" t="s">
        <v>758</v>
      </c>
      <c r="D497" t="s">
        <v>884</v>
      </c>
      <c r="E497" t="s">
        <v>885</v>
      </c>
      <c r="F497" t="s">
        <v>803</v>
      </c>
      <c r="G497" t="s">
        <v>18</v>
      </c>
      <c r="H497" s="75" t="str">
        <f>IFERROR(VLOOKUP(Table2[[#This Row],[Ticket]],Okey!A:B,2,0),"")</f>
        <v>ok</v>
      </c>
      <c r="I497" t="s">
        <v>19</v>
      </c>
      <c r="J497" t="str">
        <f>VLOOKUP(Table2[[#This Row],[Author]],People!A:B,2,0)</f>
        <v>MGF</v>
      </c>
      <c r="M497" t="s">
        <v>761</v>
      </c>
    </row>
    <row r="498" spans="1:13" x14ac:dyDescent="0.25">
      <c r="A498" s="75">
        <f t="shared" si="7"/>
        <v>497</v>
      </c>
      <c r="B498" t="s">
        <v>13</v>
      </c>
      <c r="C498" t="s">
        <v>758</v>
      </c>
      <c r="D498" t="s">
        <v>886</v>
      </c>
      <c r="E498" t="s">
        <v>887</v>
      </c>
      <c r="F498" t="s">
        <v>803</v>
      </c>
      <c r="G498" t="s">
        <v>18</v>
      </c>
      <c r="H498" s="75" t="str">
        <f>IFERROR(VLOOKUP(Table2[[#This Row],[Ticket]],Okey!A:B,2,0),"")</f>
        <v>ok</v>
      </c>
      <c r="I498" t="s">
        <v>19</v>
      </c>
      <c r="J498" t="str">
        <f>VLOOKUP(Table2[[#This Row],[Author]],People!A:B,2,0)</f>
        <v>MGF</v>
      </c>
      <c r="M498" t="s">
        <v>761</v>
      </c>
    </row>
    <row r="499" spans="1:13" x14ac:dyDescent="0.25">
      <c r="A499" s="75">
        <f t="shared" si="7"/>
        <v>498</v>
      </c>
      <c r="B499" t="s">
        <v>13</v>
      </c>
      <c r="C499" t="s">
        <v>758</v>
      </c>
      <c r="D499" t="s">
        <v>888</v>
      </c>
      <c r="E499" t="s">
        <v>889</v>
      </c>
      <c r="F499" t="s">
        <v>803</v>
      </c>
      <c r="G499" t="s">
        <v>18</v>
      </c>
      <c r="H499" s="75" t="str">
        <f>IFERROR(VLOOKUP(Table2[[#This Row],[Ticket]],Okey!A:B,2,0),"")</f>
        <v>ok</v>
      </c>
      <c r="I499" t="s">
        <v>19</v>
      </c>
      <c r="J499" t="str">
        <f>VLOOKUP(Table2[[#This Row],[Author]],People!A:B,2,0)</f>
        <v>MGF</v>
      </c>
      <c r="M499" t="s">
        <v>761</v>
      </c>
    </row>
    <row r="500" spans="1:13" x14ac:dyDescent="0.25">
      <c r="A500" s="75">
        <f t="shared" si="7"/>
        <v>499</v>
      </c>
      <c r="B500" t="s">
        <v>13</v>
      </c>
      <c r="C500" t="s">
        <v>758</v>
      </c>
      <c r="D500" t="s">
        <v>890</v>
      </c>
      <c r="E500" t="s">
        <v>891</v>
      </c>
      <c r="F500" t="s">
        <v>803</v>
      </c>
      <c r="G500" t="s">
        <v>18</v>
      </c>
      <c r="H500" s="75" t="str">
        <f>IFERROR(VLOOKUP(Table2[[#This Row],[Ticket]],Okey!A:B,2,0),"")</f>
        <v>ok</v>
      </c>
      <c r="I500" t="s">
        <v>19</v>
      </c>
      <c r="J500" t="str">
        <f>VLOOKUP(Table2[[#This Row],[Author]],People!A:B,2,0)</f>
        <v>MGF</v>
      </c>
      <c r="M500" t="s">
        <v>761</v>
      </c>
    </row>
    <row r="501" spans="1:13" x14ac:dyDescent="0.25">
      <c r="A501" s="75">
        <f t="shared" si="7"/>
        <v>500</v>
      </c>
      <c r="B501" t="s">
        <v>13</v>
      </c>
      <c r="C501" t="s">
        <v>758</v>
      </c>
      <c r="D501" t="s">
        <v>892</v>
      </c>
      <c r="E501" t="s">
        <v>893</v>
      </c>
      <c r="F501" t="s">
        <v>803</v>
      </c>
      <c r="G501" t="s">
        <v>18</v>
      </c>
      <c r="H501" s="75" t="str">
        <f>IFERROR(VLOOKUP(Table2[[#This Row],[Ticket]],Okey!A:B,2,0),"")</f>
        <v>ok</v>
      </c>
      <c r="I501" t="s">
        <v>19</v>
      </c>
      <c r="J501" t="str">
        <f>VLOOKUP(Table2[[#This Row],[Author]],People!A:B,2,0)</f>
        <v>MGF</v>
      </c>
      <c r="M501" t="s">
        <v>761</v>
      </c>
    </row>
    <row r="502" spans="1:13" x14ac:dyDescent="0.25">
      <c r="A502" s="75">
        <f t="shared" si="7"/>
        <v>501</v>
      </c>
      <c r="B502" t="s">
        <v>13</v>
      </c>
      <c r="C502" t="s">
        <v>758</v>
      </c>
      <c r="D502" t="s">
        <v>894</v>
      </c>
      <c r="E502" t="s">
        <v>895</v>
      </c>
      <c r="F502" t="s">
        <v>803</v>
      </c>
      <c r="G502" t="s">
        <v>18</v>
      </c>
      <c r="H502" s="75" t="str">
        <f>IFERROR(VLOOKUP(Table2[[#This Row],[Ticket]],Okey!A:B,2,0),"")</f>
        <v>ok</v>
      </c>
      <c r="I502" t="s">
        <v>19</v>
      </c>
      <c r="J502" t="str">
        <f>VLOOKUP(Table2[[#This Row],[Author]],People!A:B,2,0)</f>
        <v>MGF</v>
      </c>
      <c r="M502" t="s">
        <v>761</v>
      </c>
    </row>
    <row r="503" spans="1:13" x14ac:dyDescent="0.25">
      <c r="A503" s="75">
        <f t="shared" si="7"/>
        <v>502</v>
      </c>
      <c r="B503" t="s">
        <v>13</v>
      </c>
      <c r="C503" t="s">
        <v>758</v>
      </c>
      <c r="D503" t="s">
        <v>896</v>
      </c>
      <c r="E503" t="s">
        <v>897</v>
      </c>
      <c r="F503" t="s">
        <v>803</v>
      </c>
      <c r="G503" t="s">
        <v>18</v>
      </c>
      <c r="H503" s="75" t="str">
        <f>IFERROR(VLOOKUP(Table2[[#This Row],[Ticket]],Okey!A:B,2,0),"")</f>
        <v>ok</v>
      </c>
      <c r="I503" t="s">
        <v>19</v>
      </c>
      <c r="J503" t="str">
        <f>VLOOKUP(Table2[[#This Row],[Author]],People!A:B,2,0)</f>
        <v>MGF</v>
      </c>
      <c r="M503" t="s">
        <v>761</v>
      </c>
    </row>
    <row r="504" spans="1:13" x14ac:dyDescent="0.25">
      <c r="A504" s="75">
        <f t="shared" si="7"/>
        <v>503</v>
      </c>
      <c r="B504" t="s">
        <v>13</v>
      </c>
      <c r="C504" t="s">
        <v>758</v>
      </c>
      <c r="D504" t="s">
        <v>898</v>
      </c>
      <c r="E504" t="s">
        <v>899</v>
      </c>
      <c r="F504" t="s">
        <v>803</v>
      </c>
      <c r="G504" t="s">
        <v>18</v>
      </c>
      <c r="H504" s="75" t="str">
        <f>IFERROR(VLOOKUP(Table2[[#This Row],[Ticket]],Okey!A:B,2,0),"")</f>
        <v>ok</v>
      </c>
      <c r="I504" t="s">
        <v>19</v>
      </c>
      <c r="J504" t="str">
        <f>VLOOKUP(Table2[[#This Row],[Author]],People!A:B,2,0)</f>
        <v>MGF</v>
      </c>
      <c r="M504" t="s">
        <v>761</v>
      </c>
    </row>
    <row r="505" spans="1:13" x14ac:dyDescent="0.25">
      <c r="A505" s="75">
        <f t="shared" si="7"/>
        <v>504</v>
      </c>
      <c r="B505" t="s">
        <v>13</v>
      </c>
      <c r="C505" t="s">
        <v>758</v>
      </c>
      <c r="D505" t="s">
        <v>900</v>
      </c>
      <c r="E505" t="s">
        <v>901</v>
      </c>
      <c r="F505" t="s">
        <v>902</v>
      </c>
      <c r="G505" t="s">
        <v>18</v>
      </c>
      <c r="H505" s="75" t="str">
        <f>IFERROR(VLOOKUP(Table2[[#This Row],[Ticket]],Okey!A:B,2,0),"")</f>
        <v>ok</v>
      </c>
      <c r="I505" t="s">
        <v>19</v>
      </c>
      <c r="J505" t="str">
        <f>VLOOKUP(Table2[[#This Row],[Author]],People!A:B,2,0)</f>
        <v>MGF</v>
      </c>
      <c r="M505" t="s">
        <v>761</v>
      </c>
    </row>
    <row r="506" spans="1:13" x14ac:dyDescent="0.25">
      <c r="A506" s="75">
        <f t="shared" si="7"/>
        <v>505</v>
      </c>
      <c r="B506" t="s">
        <v>13</v>
      </c>
      <c r="C506" t="s">
        <v>758</v>
      </c>
      <c r="D506" t="s">
        <v>903</v>
      </c>
      <c r="E506" t="s">
        <v>904</v>
      </c>
      <c r="F506" t="s">
        <v>902</v>
      </c>
      <c r="G506" t="s">
        <v>18</v>
      </c>
      <c r="H506" s="75" t="str">
        <f>IFERROR(VLOOKUP(Table2[[#This Row],[Ticket]],Okey!A:B,2,0),"")</f>
        <v>ok</v>
      </c>
      <c r="I506" t="s">
        <v>19</v>
      </c>
      <c r="J506" t="str">
        <f>VLOOKUP(Table2[[#This Row],[Author]],People!A:B,2,0)</f>
        <v>MGF</v>
      </c>
      <c r="M506" t="s">
        <v>761</v>
      </c>
    </row>
    <row r="507" spans="1:13" x14ac:dyDescent="0.25">
      <c r="A507" s="75">
        <f t="shared" si="7"/>
        <v>506</v>
      </c>
      <c r="B507" t="s">
        <v>13</v>
      </c>
      <c r="C507" t="s">
        <v>758</v>
      </c>
      <c r="D507" t="s">
        <v>905</v>
      </c>
      <c r="E507" t="s">
        <v>906</v>
      </c>
      <c r="F507" t="s">
        <v>902</v>
      </c>
      <c r="G507" t="s">
        <v>18</v>
      </c>
      <c r="H507" s="75" t="str">
        <f>IFERROR(VLOOKUP(Table2[[#This Row],[Ticket]],Okey!A:B,2,0),"")</f>
        <v>ok</v>
      </c>
      <c r="I507" t="s">
        <v>19</v>
      </c>
      <c r="J507" t="str">
        <f>VLOOKUP(Table2[[#This Row],[Author]],People!A:B,2,0)</f>
        <v>MGF</v>
      </c>
      <c r="M507" t="s">
        <v>761</v>
      </c>
    </row>
    <row r="508" spans="1:13" x14ac:dyDescent="0.25">
      <c r="A508" s="75">
        <f t="shared" si="7"/>
        <v>507</v>
      </c>
      <c r="B508" t="s">
        <v>13</v>
      </c>
      <c r="C508" t="s">
        <v>758</v>
      </c>
      <c r="D508" t="s">
        <v>907</v>
      </c>
      <c r="E508" t="s">
        <v>908</v>
      </c>
      <c r="F508" t="s">
        <v>902</v>
      </c>
      <c r="G508" t="s">
        <v>18</v>
      </c>
      <c r="H508" s="75" t="str">
        <f>IFERROR(VLOOKUP(Table2[[#This Row],[Ticket]],Okey!A:B,2,0),"")</f>
        <v>ok</v>
      </c>
      <c r="I508" t="s">
        <v>19</v>
      </c>
      <c r="J508" t="str">
        <f>VLOOKUP(Table2[[#This Row],[Author]],People!A:B,2,0)</f>
        <v>MGF</v>
      </c>
      <c r="M508" t="s">
        <v>761</v>
      </c>
    </row>
    <row r="509" spans="1:13" x14ac:dyDescent="0.25">
      <c r="A509" s="75">
        <f t="shared" si="7"/>
        <v>508</v>
      </c>
      <c r="B509" t="s">
        <v>13</v>
      </c>
      <c r="C509" t="s">
        <v>758</v>
      </c>
      <c r="D509" t="s">
        <v>909</v>
      </c>
      <c r="E509" t="s">
        <v>910</v>
      </c>
      <c r="F509" t="s">
        <v>902</v>
      </c>
      <c r="G509" t="s">
        <v>18</v>
      </c>
      <c r="H509" s="75" t="str">
        <f>IFERROR(VLOOKUP(Table2[[#This Row],[Ticket]],Okey!A:B,2,0),"")</f>
        <v>ok</v>
      </c>
      <c r="I509" t="s">
        <v>19</v>
      </c>
      <c r="J509" t="str">
        <f>VLOOKUP(Table2[[#This Row],[Author]],People!A:B,2,0)</f>
        <v>MGF</v>
      </c>
      <c r="M509" t="s">
        <v>761</v>
      </c>
    </row>
    <row r="510" spans="1:13" x14ac:dyDescent="0.25">
      <c r="A510" s="75">
        <f t="shared" si="7"/>
        <v>509</v>
      </c>
      <c r="B510" t="s">
        <v>13</v>
      </c>
      <c r="C510" t="s">
        <v>758</v>
      </c>
      <c r="D510" t="s">
        <v>911</v>
      </c>
      <c r="E510" t="s">
        <v>912</v>
      </c>
      <c r="F510" t="s">
        <v>902</v>
      </c>
      <c r="G510" t="s">
        <v>18</v>
      </c>
      <c r="H510" s="75" t="str">
        <f>IFERROR(VLOOKUP(Table2[[#This Row],[Ticket]],Okey!A:B,2,0),"")</f>
        <v>ok</v>
      </c>
      <c r="I510" t="s">
        <v>19</v>
      </c>
      <c r="J510" t="str">
        <f>VLOOKUP(Table2[[#This Row],[Author]],People!A:B,2,0)</f>
        <v>MGF</v>
      </c>
      <c r="M510" t="s">
        <v>761</v>
      </c>
    </row>
    <row r="511" spans="1:13" x14ac:dyDescent="0.25">
      <c r="A511" s="75">
        <f t="shared" si="7"/>
        <v>510</v>
      </c>
      <c r="B511" t="s">
        <v>13</v>
      </c>
      <c r="C511" t="s">
        <v>758</v>
      </c>
      <c r="D511" t="s">
        <v>913</v>
      </c>
      <c r="E511" t="s">
        <v>914</v>
      </c>
      <c r="F511" t="s">
        <v>805</v>
      </c>
      <c r="G511" t="s">
        <v>18</v>
      </c>
      <c r="H511" s="75" t="str">
        <f>IFERROR(VLOOKUP(Table2[[#This Row],[Ticket]],Okey!A:B,2,0),"")</f>
        <v>ok</v>
      </c>
      <c r="I511" t="s">
        <v>19</v>
      </c>
      <c r="J511" t="str">
        <f>VLOOKUP(Table2[[#This Row],[Author]],People!A:B,2,0)</f>
        <v>MGF</v>
      </c>
      <c r="M511" t="s">
        <v>761</v>
      </c>
    </row>
    <row r="512" spans="1:13" x14ac:dyDescent="0.25">
      <c r="A512" s="75">
        <f t="shared" si="7"/>
        <v>511</v>
      </c>
      <c r="B512" t="s">
        <v>13</v>
      </c>
      <c r="C512" t="s">
        <v>758</v>
      </c>
      <c r="D512" t="s">
        <v>915</v>
      </c>
      <c r="E512" t="s">
        <v>916</v>
      </c>
      <c r="F512" t="s">
        <v>805</v>
      </c>
      <c r="G512" t="s">
        <v>18</v>
      </c>
      <c r="H512" s="75" t="str">
        <f>IFERROR(VLOOKUP(Table2[[#This Row],[Ticket]],Okey!A:B,2,0),"")</f>
        <v>ok</v>
      </c>
      <c r="I512" t="s">
        <v>19</v>
      </c>
      <c r="J512" t="str">
        <f>VLOOKUP(Table2[[#This Row],[Author]],People!A:B,2,0)</f>
        <v>MGF</v>
      </c>
      <c r="M512" t="s">
        <v>761</v>
      </c>
    </row>
    <row r="513" spans="1:13" x14ac:dyDescent="0.25">
      <c r="A513" s="75">
        <f t="shared" si="7"/>
        <v>512</v>
      </c>
      <c r="B513" t="s">
        <v>13</v>
      </c>
      <c r="C513" t="s">
        <v>758</v>
      </c>
      <c r="D513" t="s">
        <v>917</v>
      </c>
      <c r="E513" t="s">
        <v>918</v>
      </c>
      <c r="F513" t="s">
        <v>805</v>
      </c>
      <c r="G513" t="s">
        <v>18</v>
      </c>
      <c r="H513" s="75" t="str">
        <f>IFERROR(VLOOKUP(Table2[[#This Row],[Ticket]],Okey!A:B,2,0),"")</f>
        <v>ok</v>
      </c>
      <c r="I513" t="s">
        <v>19</v>
      </c>
      <c r="J513" t="str">
        <f>VLOOKUP(Table2[[#This Row],[Author]],People!A:B,2,0)</f>
        <v>MGF</v>
      </c>
      <c r="M513" t="s">
        <v>761</v>
      </c>
    </row>
    <row r="514" spans="1:13" x14ac:dyDescent="0.25">
      <c r="A514" s="75">
        <f t="shared" si="7"/>
        <v>513</v>
      </c>
      <c r="B514" t="s">
        <v>13</v>
      </c>
      <c r="C514" t="s">
        <v>758</v>
      </c>
      <c r="D514" t="s">
        <v>919</v>
      </c>
      <c r="E514" t="s">
        <v>920</v>
      </c>
      <c r="F514" t="s">
        <v>805</v>
      </c>
      <c r="G514" t="s">
        <v>18</v>
      </c>
      <c r="H514" s="75" t="str">
        <f>IFERROR(VLOOKUP(Table2[[#This Row],[Ticket]],Okey!A:B,2,0),"")</f>
        <v>ok</v>
      </c>
      <c r="I514" t="s">
        <v>19</v>
      </c>
      <c r="J514" t="str">
        <f>VLOOKUP(Table2[[#This Row],[Author]],People!A:B,2,0)</f>
        <v>MGF</v>
      </c>
      <c r="M514" t="s">
        <v>761</v>
      </c>
    </row>
    <row r="515" spans="1:13" x14ac:dyDescent="0.25">
      <c r="A515" s="75">
        <f t="shared" si="7"/>
        <v>514</v>
      </c>
      <c r="B515" t="s">
        <v>13</v>
      </c>
      <c r="C515" t="s">
        <v>758</v>
      </c>
      <c r="D515" t="s">
        <v>921</v>
      </c>
      <c r="E515" t="s">
        <v>922</v>
      </c>
      <c r="F515" t="s">
        <v>805</v>
      </c>
      <c r="G515" t="s">
        <v>18</v>
      </c>
      <c r="H515" s="75" t="str">
        <f>IFERROR(VLOOKUP(Table2[[#This Row],[Ticket]],Okey!A:B,2,0),"")</f>
        <v>ok</v>
      </c>
      <c r="I515" t="s">
        <v>19</v>
      </c>
      <c r="J515" t="str">
        <f>VLOOKUP(Table2[[#This Row],[Author]],People!A:B,2,0)</f>
        <v>MGF</v>
      </c>
      <c r="M515" t="s">
        <v>761</v>
      </c>
    </row>
    <row r="516" spans="1:13" x14ac:dyDescent="0.25">
      <c r="A516" s="75">
        <f t="shared" si="7"/>
        <v>515</v>
      </c>
      <c r="B516" t="s">
        <v>13</v>
      </c>
      <c r="C516" t="s">
        <v>758</v>
      </c>
      <c r="D516" t="s">
        <v>923</v>
      </c>
      <c r="E516" t="s">
        <v>924</v>
      </c>
      <c r="F516" t="s">
        <v>805</v>
      </c>
      <c r="G516" t="s">
        <v>18</v>
      </c>
      <c r="H516" s="75" t="str">
        <f>IFERROR(VLOOKUP(Table2[[#This Row],[Ticket]],Okey!A:B,2,0),"")</f>
        <v>ok</v>
      </c>
      <c r="I516" t="s">
        <v>19</v>
      </c>
      <c r="J516" t="str">
        <f>VLOOKUP(Table2[[#This Row],[Author]],People!A:B,2,0)</f>
        <v>MGF</v>
      </c>
      <c r="M516" t="s">
        <v>761</v>
      </c>
    </row>
    <row r="517" spans="1:13" x14ac:dyDescent="0.25">
      <c r="A517" s="75">
        <f t="shared" si="7"/>
        <v>516</v>
      </c>
      <c r="B517" t="s">
        <v>13</v>
      </c>
      <c r="C517" t="s">
        <v>758</v>
      </c>
      <c r="D517" t="s">
        <v>925</v>
      </c>
      <c r="E517" t="s">
        <v>926</v>
      </c>
      <c r="F517" t="s">
        <v>805</v>
      </c>
      <c r="G517" t="s">
        <v>18</v>
      </c>
      <c r="H517" s="75" t="str">
        <f>IFERROR(VLOOKUP(Table2[[#This Row],[Ticket]],Okey!A:B,2,0),"")</f>
        <v>ok</v>
      </c>
      <c r="I517" t="s">
        <v>19</v>
      </c>
      <c r="J517" t="str">
        <f>VLOOKUP(Table2[[#This Row],[Author]],People!A:B,2,0)</f>
        <v>MGF</v>
      </c>
      <c r="M517" t="s">
        <v>761</v>
      </c>
    </row>
    <row r="518" spans="1:13" x14ac:dyDescent="0.25">
      <c r="A518" s="75">
        <f t="shared" si="7"/>
        <v>517</v>
      </c>
      <c r="B518" t="s">
        <v>13</v>
      </c>
      <c r="C518" t="s">
        <v>758</v>
      </c>
      <c r="D518" t="s">
        <v>927</v>
      </c>
      <c r="E518" t="s">
        <v>928</v>
      </c>
      <c r="F518" t="s">
        <v>805</v>
      </c>
      <c r="G518" t="s">
        <v>18</v>
      </c>
      <c r="H518" s="75" t="str">
        <f>IFERROR(VLOOKUP(Table2[[#This Row],[Ticket]],Okey!A:B,2,0),"")</f>
        <v>ok</v>
      </c>
      <c r="I518" t="s">
        <v>19</v>
      </c>
      <c r="J518" t="str">
        <f>VLOOKUP(Table2[[#This Row],[Author]],People!A:B,2,0)</f>
        <v>MGF</v>
      </c>
      <c r="M518" t="s">
        <v>761</v>
      </c>
    </row>
    <row r="519" spans="1:13" x14ac:dyDescent="0.25">
      <c r="A519" s="75">
        <f t="shared" si="7"/>
        <v>518</v>
      </c>
      <c r="B519" t="s">
        <v>13</v>
      </c>
      <c r="C519" t="s">
        <v>758</v>
      </c>
      <c r="D519" t="s">
        <v>929</v>
      </c>
      <c r="E519" t="s">
        <v>930</v>
      </c>
      <c r="F519" t="s">
        <v>805</v>
      </c>
      <c r="G519" t="s">
        <v>18</v>
      </c>
      <c r="H519" s="75" t="str">
        <f>IFERROR(VLOOKUP(Table2[[#This Row],[Ticket]],Okey!A:B,2,0),"")</f>
        <v>ok</v>
      </c>
      <c r="I519" t="s">
        <v>19</v>
      </c>
      <c r="J519" t="str">
        <f>VLOOKUP(Table2[[#This Row],[Author]],People!A:B,2,0)</f>
        <v>MGF</v>
      </c>
      <c r="M519" t="s">
        <v>761</v>
      </c>
    </row>
    <row r="520" spans="1:13" x14ac:dyDescent="0.25">
      <c r="A520" s="75">
        <f t="shared" si="7"/>
        <v>519</v>
      </c>
      <c r="B520" t="s">
        <v>13</v>
      </c>
      <c r="C520" t="s">
        <v>758</v>
      </c>
      <c r="D520" t="s">
        <v>931</v>
      </c>
      <c r="E520" t="s">
        <v>932</v>
      </c>
      <c r="F520" t="s">
        <v>933</v>
      </c>
      <c r="G520" t="s">
        <v>18</v>
      </c>
      <c r="H520" s="75" t="str">
        <f>IFERROR(VLOOKUP(Table2[[#This Row],[Ticket]],Okey!A:B,2,0),"")</f>
        <v>ok</v>
      </c>
      <c r="I520" t="s">
        <v>19</v>
      </c>
      <c r="J520" t="str">
        <f>VLOOKUP(Table2[[#This Row],[Author]],People!A:B,2,0)</f>
        <v>MGF</v>
      </c>
      <c r="M520" t="s">
        <v>761</v>
      </c>
    </row>
    <row r="521" spans="1:13" x14ac:dyDescent="0.25">
      <c r="A521" s="75">
        <f t="shared" ref="A521:A584" si="8">1+A520</f>
        <v>520</v>
      </c>
      <c r="B521" t="s">
        <v>13</v>
      </c>
      <c r="C521" t="s">
        <v>758</v>
      </c>
      <c r="D521" t="s">
        <v>934</v>
      </c>
      <c r="E521" t="s">
        <v>935</v>
      </c>
      <c r="F521" t="s">
        <v>933</v>
      </c>
      <c r="G521" t="s">
        <v>18</v>
      </c>
      <c r="H521" s="75" t="str">
        <f>IFERROR(VLOOKUP(Table2[[#This Row],[Ticket]],Okey!A:B,2,0),"")</f>
        <v>ok</v>
      </c>
      <c r="I521" t="s">
        <v>19</v>
      </c>
      <c r="J521" t="str">
        <f>VLOOKUP(Table2[[#This Row],[Author]],People!A:B,2,0)</f>
        <v>MGF</v>
      </c>
      <c r="M521" t="s">
        <v>761</v>
      </c>
    </row>
    <row r="522" spans="1:13" x14ac:dyDescent="0.25">
      <c r="A522" s="75">
        <f t="shared" si="8"/>
        <v>521</v>
      </c>
      <c r="B522" t="s">
        <v>13</v>
      </c>
      <c r="C522" t="s">
        <v>758</v>
      </c>
      <c r="D522" t="s">
        <v>936</v>
      </c>
      <c r="E522" t="s">
        <v>937</v>
      </c>
      <c r="F522" t="s">
        <v>933</v>
      </c>
      <c r="G522" t="s">
        <v>18</v>
      </c>
      <c r="H522" s="75" t="str">
        <f>IFERROR(VLOOKUP(Table2[[#This Row],[Ticket]],Okey!A:B,2,0),"")</f>
        <v>ok</v>
      </c>
      <c r="I522" t="s">
        <v>19</v>
      </c>
      <c r="J522" t="str">
        <f>VLOOKUP(Table2[[#This Row],[Author]],People!A:B,2,0)</f>
        <v>MGF</v>
      </c>
      <c r="M522" t="s">
        <v>761</v>
      </c>
    </row>
    <row r="523" spans="1:13" x14ac:dyDescent="0.25">
      <c r="A523" s="75">
        <f t="shared" si="8"/>
        <v>522</v>
      </c>
      <c r="B523" t="s">
        <v>13</v>
      </c>
      <c r="C523" t="s">
        <v>758</v>
      </c>
      <c r="D523" t="s">
        <v>938</v>
      </c>
      <c r="E523" t="s">
        <v>939</v>
      </c>
      <c r="F523" t="s">
        <v>933</v>
      </c>
      <c r="G523" t="s">
        <v>18</v>
      </c>
      <c r="H523" s="75" t="str">
        <f>IFERROR(VLOOKUP(Table2[[#This Row],[Ticket]],Okey!A:B,2,0),"")</f>
        <v>ok</v>
      </c>
      <c r="I523" t="s">
        <v>19</v>
      </c>
      <c r="J523" t="str">
        <f>VLOOKUP(Table2[[#This Row],[Author]],People!A:B,2,0)</f>
        <v>MGF</v>
      </c>
      <c r="M523" t="s">
        <v>761</v>
      </c>
    </row>
    <row r="524" spans="1:13" x14ac:dyDescent="0.25">
      <c r="A524" s="75">
        <f t="shared" si="8"/>
        <v>523</v>
      </c>
      <c r="B524" t="s">
        <v>13</v>
      </c>
      <c r="C524" t="s">
        <v>758</v>
      </c>
      <c r="D524" t="s">
        <v>940</v>
      </c>
      <c r="E524" t="s">
        <v>941</v>
      </c>
      <c r="F524" t="s">
        <v>933</v>
      </c>
      <c r="G524" t="s">
        <v>18</v>
      </c>
      <c r="H524" s="75" t="str">
        <f>IFERROR(VLOOKUP(Table2[[#This Row],[Ticket]],Okey!A:B,2,0),"")</f>
        <v>ok</v>
      </c>
      <c r="I524" t="s">
        <v>19</v>
      </c>
      <c r="J524" t="str">
        <f>VLOOKUP(Table2[[#This Row],[Author]],People!A:B,2,0)</f>
        <v>MGF</v>
      </c>
      <c r="M524" t="s">
        <v>761</v>
      </c>
    </row>
    <row r="525" spans="1:13" x14ac:dyDescent="0.25">
      <c r="A525" s="75">
        <f t="shared" si="8"/>
        <v>524</v>
      </c>
      <c r="B525" t="s">
        <v>13</v>
      </c>
      <c r="C525" t="s">
        <v>758</v>
      </c>
      <c r="D525" t="s">
        <v>942</v>
      </c>
      <c r="E525" t="s">
        <v>943</v>
      </c>
      <c r="F525" t="s">
        <v>944</v>
      </c>
      <c r="G525" t="s">
        <v>18</v>
      </c>
      <c r="H525" s="75" t="str">
        <f>IFERROR(VLOOKUP(Table2[[#This Row],[Ticket]],Okey!A:B,2,0),"")</f>
        <v>ok</v>
      </c>
      <c r="I525" t="s">
        <v>19</v>
      </c>
      <c r="J525" t="str">
        <f>VLOOKUP(Table2[[#This Row],[Author]],People!A:B,2,0)</f>
        <v>MGF</v>
      </c>
      <c r="M525" t="s">
        <v>761</v>
      </c>
    </row>
    <row r="526" spans="1:13" x14ac:dyDescent="0.25">
      <c r="A526" s="75">
        <f t="shared" si="8"/>
        <v>525</v>
      </c>
      <c r="B526" t="s">
        <v>13</v>
      </c>
      <c r="C526" t="s">
        <v>758</v>
      </c>
      <c r="D526" t="s">
        <v>945</v>
      </c>
      <c r="E526" t="s">
        <v>946</v>
      </c>
      <c r="F526" t="s">
        <v>944</v>
      </c>
      <c r="G526" t="s">
        <v>18</v>
      </c>
      <c r="H526" s="75" t="str">
        <f>IFERROR(VLOOKUP(Table2[[#This Row],[Ticket]],Okey!A:B,2,0),"")</f>
        <v>ok</v>
      </c>
      <c r="I526" t="s">
        <v>19</v>
      </c>
      <c r="J526" t="str">
        <f>VLOOKUP(Table2[[#This Row],[Author]],People!A:B,2,0)</f>
        <v>MGF</v>
      </c>
      <c r="M526" t="s">
        <v>761</v>
      </c>
    </row>
    <row r="527" spans="1:13" x14ac:dyDescent="0.25">
      <c r="A527" s="75">
        <f t="shared" si="8"/>
        <v>526</v>
      </c>
      <c r="B527" t="s">
        <v>13</v>
      </c>
      <c r="C527" t="s">
        <v>758</v>
      </c>
      <c r="D527" t="s">
        <v>947</v>
      </c>
      <c r="E527" t="s">
        <v>948</v>
      </c>
      <c r="F527" t="s">
        <v>944</v>
      </c>
      <c r="G527" t="s">
        <v>18</v>
      </c>
      <c r="H527" s="75" t="str">
        <f>IFERROR(VLOOKUP(Table2[[#This Row],[Ticket]],Okey!A:B,2,0),"")</f>
        <v>ok</v>
      </c>
      <c r="I527" t="s">
        <v>19</v>
      </c>
      <c r="J527" t="str">
        <f>VLOOKUP(Table2[[#This Row],[Author]],People!A:B,2,0)</f>
        <v>MGF</v>
      </c>
      <c r="M527" t="s">
        <v>761</v>
      </c>
    </row>
    <row r="528" spans="1:13" x14ac:dyDescent="0.25">
      <c r="A528" s="75">
        <f t="shared" si="8"/>
        <v>527</v>
      </c>
      <c r="B528" t="s">
        <v>13</v>
      </c>
      <c r="C528" t="s">
        <v>758</v>
      </c>
      <c r="D528" t="s">
        <v>949</v>
      </c>
      <c r="E528" t="s">
        <v>950</v>
      </c>
      <c r="F528" t="s">
        <v>944</v>
      </c>
      <c r="G528" t="s">
        <v>18</v>
      </c>
      <c r="H528" s="75" t="str">
        <f>IFERROR(VLOOKUP(Table2[[#This Row],[Ticket]],Okey!A:B,2,0),"")</f>
        <v>ok</v>
      </c>
      <c r="I528" t="s">
        <v>19</v>
      </c>
      <c r="J528" t="str">
        <f>VLOOKUP(Table2[[#This Row],[Author]],People!A:B,2,0)</f>
        <v>MGF</v>
      </c>
      <c r="M528" t="s">
        <v>761</v>
      </c>
    </row>
    <row r="529" spans="1:13" x14ac:dyDescent="0.25">
      <c r="A529" s="75">
        <f t="shared" si="8"/>
        <v>528</v>
      </c>
      <c r="B529" t="s">
        <v>13</v>
      </c>
      <c r="C529" t="s">
        <v>758</v>
      </c>
      <c r="D529" t="s">
        <v>951</v>
      </c>
      <c r="E529" t="s">
        <v>952</v>
      </c>
      <c r="F529" t="s">
        <v>807</v>
      </c>
      <c r="G529" t="s">
        <v>18</v>
      </c>
      <c r="H529" s="75" t="str">
        <f>IFERROR(VLOOKUP(Table2[[#This Row],[Ticket]],Okey!A:B,2,0),"")</f>
        <v>ok</v>
      </c>
      <c r="I529" t="s">
        <v>19</v>
      </c>
      <c r="J529" t="str">
        <f>VLOOKUP(Table2[[#This Row],[Author]],People!A:B,2,0)</f>
        <v>MGF</v>
      </c>
      <c r="M529" t="s">
        <v>761</v>
      </c>
    </row>
    <row r="530" spans="1:13" x14ac:dyDescent="0.25">
      <c r="A530" s="75">
        <f t="shared" si="8"/>
        <v>529</v>
      </c>
      <c r="B530" t="s">
        <v>13</v>
      </c>
      <c r="C530" t="s">
        <v>758</v>
      </c>
      <c r="D530" t="s">
        <v>953</v>
      </c>
      <c r="E530" t="s">
        <v>954</v>
      </c>
      <c r="F530" t="s">
        <v>807</v>
      </c>
      <c r="G530" t="s">
        <v>18</v>
      </c>
      <c r="H530" s="75" t="str">
        <f>IFERROR(VLOOKUP(Table2[[#This Row],[Ticket]],Okey!A:B,2,0),"")</f>
        <v>ok</v>
      </c>
      <c r="I530" t="s">
        <v>19</v>
      </c>
      <c r="J530" t="str">
        <f>VLOOKUP(Table2[[#This Row],[Author]],People!A:B,2,0)</f>
        <v>MGF</v>
      </c>
      <c r="M530" t="s">
        <v>761</v>
      </c>
    </row>
    <row r="531" spans="1:13" x14ac:dyDescent="0.25">
      <c r="A531" s="75">
        <f t="shared" si="8"/>
        <v>530</v>
      </c>
      <c r="B531" t="s">
        <v>13</v>
      </c>
      <c r="C531" t="s">
        <v>758</v>
      </c>
      <c r="D531" t="s">
        <v>955</v>
      </c>
      <c r="E531" t="s">
        <v>956</v>
      </c>
      <c r="F531" t="s">
        <v>807</v>
      </c>
      <c r="G531" t="s">
        <v>18</v>
      </c>
      <c r="H531" s="75" t="str">
        <f>IFERROR(VLOOKUP(Table2[[#This Row],[Ticket]],Okey!A:B,2,0),"")</f>
        <v>ok</v>
      </c>
      <c r="I531" t="s">
        <v>19</v>
      </c>
      <c r="J531" t="str">
        <f>VLOOKUP(Table2[[#This Row],[Author]],People!A:B,2,0)</f>
        <v>MGF</v>
      </c>
      <c r="M531" t="s">
        <v>761</v>
      </c>
    </row>
    <row r="532" spans="1:13" x14ac:dyDescent="0.25">
      <c r="A532" s="75">
        <f t="shared" si="8"/>
        <v>531</v>
      </c>
      <c r="B532" t="s">
        <v>13</v>
      </c>
      <c r="C532" t="s">
        <v>758</v>
      </c>
      <c r="D532" t="s">
        <v>957</v>
      </c>
      <c r="E532" t="s">
        <v>958</v>
      </c>
      <c r="F532" t="s">
        <v>807</v>
      </c>
      <c r="G532" t="s">
        <v>18</v>
      </c>
      <c r="H532" s="75" t="str">
        <f>IFERROR(VLOOKUP(Table2[[#This Row],[Ticket]],Okey!A:B,2,0),"")</f>
        <v>ok</v>
      </c>
      <c r="I532" t="s">
        <v>19</v>
      </c>
      <c r="J532" t="str">
        <f>VLOOKUP(Table2[[#This Row],[Author]],People!A:B,2,0)</f>
        <v>MGF</v>
      </c>
      <c r="M532" t="s">
        <v>761</v>
      </c>
    </row>
    <row r="533" spans="1:13" x14ac:dyDescent="0.25">
      <c r="A533" s="75">
        <f t="shared" si="8"/>
        <v>532</v>
      </c>
      <c r="B533" t="s">
        <v>13</v>
      </c>
      <c r="C533" t="s">
        <v>758</v>
      </c>
      <c r="D533" t="s">
        <v>959</v>
      </c>
      <c r="E533" t="s">
        <v>960</v>
      </c>
      <c r="F533" t="s">
        <v>807</v>
      </c>
      <c r="G533" t="s">
        <v>18</v>
      </c>
      <c r="H533" s="75" t="str">
        <f>IFERROR(VLOOKUP(Table2[[#This Row],[Ticket]],Okey!A:B,2,0),"")</f>
        <v>ok</v>
      </c>
      <c r="I533" t="s">
        <v>19</v>
      </c>
      <c r="J533" t="str">
        <f>VLOOKUP(Table2[[#This Row],[Author]],People!A:B,2,0)</f>
        <v>MGF</v>
      </c>
      <c r="M533" t="s">
        <v>761</v>
      </c>
    </row>
    <row r="534" spans="1:13" x14ac:dyDescent="0.25">
      <c r="A534" s="75">
        <f t="shared" si="8"/>
        <v>533</v>
      </c>
      <c r="B534" t="s">
        <v>13</v>
      </c>
      <c r="C534" t="s">
        <v>758</v>
      </c>
      <c r="D534" t="s">
        <v>961</v>
      </c>
      <c r="E534" t="s">
        <v>962</v>
      </c>
      <c r="G534" t="s">
        <v>63</v>
      </c>
      <c r="H534" s="75" t="str">
        <f>IFERROR(VLOOKUP(Table2[[#This Row],[Ticket]],Okey!A:B,2,0),"")</f>
        <v>ok</v>
      </c>
      <c r="I534" t="s">
        <v>19</v>
      </c>
      <c r="J534" t="str">
        <f>VLOOKUP(Table2[[#This Row],[Author]],People!A:B,2,0)</f>
        <v>MGF</v>
      </c>
      <c r="M534" t="s">
        <v>761</v>
      </c>
    </row>
    <row r="535" spans="1:13" x14ac:dyDescent="0.25">
      <c r="A535" s="75">
        <f t="shared" si="8"/>
        <v>534</v>
      </c>
      <c r="B535" t="s">
        <v>13</v>
      </c>
      <c r="C535" t="s">
        <v>758</v>
      </c>
      <c r="D535" t="s">
        <v>963</v>
      </c>
      <c r="E535" t="s">
        <v>964</v>
      </c>
      <c r="G535" t="s">
        <v>63</v>
      </c>
      <c r="H535" s="75" t="str">
        <f>IFERROR(VLOOKUP(Table2[[#This Row],[Ticket]],Okey!A:B,2,0),"")</f>
        <v>ok</v>
      </c>
      <c r="I535" t="s">
        <v>19</v>
      </c>
      <c r="J535" t="str">
        <f>VLOOKUP(Table2[[#This Row],[Author]],People!A:B,2,0)</f>
        <v>MGF</v>
      </c>
      <c r="M535" t="s">
        <v>761</v>
      </c>
    </row>
    <row r="536" spans="1:13" x14ac:dyDescent="0.25">
      <c r="A536" s="75">
        <f t="shared" si="8"/>
        <v>535</v>
      </c>
      <c r="B536" t="s">
        <v>13</v>
      </c>
      <c r="C536" t="s">
        <v>758</v>
      </c>
      <c r="D536" t="s">
        <v>965</v>
      </c>
      <c r="E536" t="s">
        <v>966</v>
      </c>
      <c r="G536" t="s">
        <v>63</v>
      </c>
      <c r="H536" s="75" t="str">
        <f>IFERROR(VLOOKUP(Table2[[#This Row],[Ticket]],Okey!A:B,2,0),"")</f>
        <v>ok</v>
      </c>
      <c r="I536" t="s">
        <v>19</v>
      </c>
      <c r="J536" t="str">
        <f>VLOOKUP(Table2[[#This Row],[Author]],People!A:B,2,0)</f>
        <v>MGF</v>
      </c>
      <c r="M536" t="s">
        <v>761</v>
      </c>
    </row>
    <row r="537" spans="1:13" x14ac:dyDescent="0.25">
      <c r="A537" s="75">
        <f t="shared" si="8"/>
        <v>536</v>
      </c>
      <c r="B537" t="s">
        <v>13</v>
      </c>
      <c r="C537" t="s">
        <v>758</v>
      </c>
      <c r="D537" t="s">
        <v>967</v>
      </c>
      <c r="E537" t="s">
        <v>968</v>
      </c>
      <c r="G537" t="s">
        <v>63</v>
      </c>
      <c r="H537" s="75" t="str">
        <f>IFERROR(VLOOKUP(Table2[[#This Row],[Ticket]],Okey!A:B,2,0),"")</f>
        <v>ok</v>
      </c>
      <c r="I537" t="s">
        <v>19</v>
      </c>
      <c r="J537" t="str">
        <f>VLOOKUP(Table2[[#This Row],[Author]],People!A:B,2,0)</f>
        <v>MGF</v>
      </c>
      <c r="M537" t="s">
        <v>761</v>
      </c>
    </row>
    <row r="538" spans="1:13" x14ac:dyDescent="0.25">
      <c r="A538" s="75">
        <f t="shared" si="8"/>
        <v>537</v>
      </c>
      <c r="B538" t="s">
        <v>13</v>
      </c>
      <c r="C538" t="s">
        <v>758</v>
      </c>
      <c r="D538" t="s">
        <v>969</v>
      </c>
      <c r="E538" t="s">
        <v>970</v>
      </c>
      <c r="G538" t="s">
        <v>63</v>
      </c>
      <c r="H538" s="75" t="str">
        <f>IFERROR(VLOOKUP(Table2[[#This Row],[Ticket]],Okey!A:B,2,0),"")</f>
        <v>ok</v>
      </c>
      <c r="I538" t="s">
        <v>19</v>
      </c>
      <c r="J538" t="str">
        <f>VLOOKUP(Table2[[#This Row],[Author]],People!A:B,2,0)</f>
        <v>MGF</v>
      </c>
      <c r="M538" t="s">
        <v>761</v>
      </c>
    </row>
    <row r="539" spans="1:13" x14ac:dyDescent="0.25">
      <c r="A539" s="75">
        <f t="shared" si="8"/>
        <v>538</v>
      </c>
      <c r="B539" t="s">
        <v>13</v>
      </c>
      <c r="C539" t="s">
        <v>758</v>
      </c>
      <c r="D539" t="s">
        <v>971</v>
      </c>
      <c r="E539" t="s">
        <v>972</v>
      </c>
      <c r="G539" t="s">
        <v>63</v>
      </c>
      <c r="H539" s="75" t="str">
        <f>IFERROR(VLOOKUP(Table2[[#This Row],[Ticket]],Okey!A:B,2,0),"")</f>
        <v>ok</v>
      </c>
      <c r="I539" t="s">
        <v>19</v>
      </c>
      <c r="J539" t="str">
        <f>VLOOKUP(Table2[[#This Row],[Author]],People!A:B,2,0)</f>
        <v>MGF</v>
      </c>
      <c r="M539" t="s">
        <v>761</v>
      </c>
    </row>
    <row r="540" spans="1:13" x14ac:dyDescent="0.25">
      <c r="A540" s="75">
        <f t="shared" si="8"/>
        <v>539</v>
      </c>
      <c r="B540" t="s">
        <v>13</v>
      </c>
      <c r="C540" t="s">
        <v>758</v>
      </c>
      <c r="D540" t="s">
        <v>973</v>
      </c>
      <c r="E540" t="s">
        <v>974</v>
      </c>
      <c r="G540" t="s">
        <v>63</v>
      </c>
      <c r="H540" s="75" t="str">
        <f>IFERROR(VLOOKUP(Table2[[#This Row],[Ticket]],Okey!A:B,2,0),"")</f>
        <v>ok</v>
      </c>
      <c r="I540" t="s">
        <v>19</v>
      </c>
      <c r="J540" t="str">
        <f>VLOOKUP(Table2[[#This Row],[Author]],People!A:B,2,0)</f>
        <v>MGF</v>
      </c>
      <c r="M540" t="s">
        <v>761</v>
      </c>
    </row>
    <row r="541" spans="1:13" x14ac:dyDescent="0.25">
      <c r="A541" s="75">
        <f t="shared" si="8"/>
        <v>540</v>
      </c>
      <c r="B541" t="s">
        <v>13</v>
      </c>
      <c r="C541" t="s">
        <v>758</v>
      </c>
      <c r="D541" t="s">
        <v>975</v>
      </c>
      <c r="E541" t="s">
        <v>976</v>
      </c>
      <c r="G541" t="s">
        <v>63</v>
      </c>
      <c r="H541" s="75" t="str">
        <f>IFERROR(VLOOKUP(Table2[[#This Row],[Ticket]],Okey!A:B,2,0),"")</f>
        <v>ok</v>
      </c>
      <c r="I541" t="s">
        <v>19</v>
      </c>
      <c r="J541" t="str">
        <f>VLOOKUP(Table2[[#This Row],[Author]],People!A:B,2,0)</f>
        <v>MGF</v>
      </c>
      <c r="M541" t="s">
        <v>761</v>
      </c>
    </row>
    <row r="542" spans="1:13" x14ac:dyDescent="0.25">
      <c r="A542" s="75">
        <f t="shared" si="8"/>
        <v>541</v>
      </c>
      <c r="B542" t="s">
        <v>13</v>
      </c>
      <c r="C542" t="s">
        <v>758</v>
      </c>
      <c r="D542" t="s">
        <v>829</v>
      </c>
      <c r="E542" t="s">
        <v>977</v>
      </c>
      <c r="G542" t="s">
        <v>63</v>
      </c>
      <c r="H542" s="75" t="str">
        <f>IFERROR(VLOOKUP(Table2[[#This Row],[Ticket]],Okey!A:B,2,0),"")</f>
        <v>ok</v>
      </c>
      <c r="I542" t="s">
        <v>19</v>
      </c>
      <c r="J542" t="str">
        <f>VLOOKUP(Table2[[#This Row],[Author]],People!A:B,2,0)</f>
        <v>MGF</v>
      </c>
      <c r="M542" t="s">
        <v>761</v>
      </c>
    </row>
    <row r="543" spans="1:13" x14ac:dyDescent="0.25">
      <c r="A543" s="75">
        <f t="shared" si="8"/>
        <v>542</v>
      </c>
      <c r="B543" t="s">
        <v>13</v>
      </c>
      <c r="C543" t="s">
        <v>758</v>
      </c>
      <c r="D543" t="s">
        <v>978</v>
      </c>
      <c r="E543" t="s">
        <v>979</v>
      </c>
      <c r="G543" t="s">
        <v>63</v>
      </c>
      <c r="H543" s="75" t="str">
        <f>IFERROR(VLOOKUP(Table2[[#This Row],[Ticket]],Okey!A:B,2,0),"")</f>
        <v>ok</v>
      </c>
      <c r="I543" t="s">
        <v>19</v>
      </c>
      <c r="J543" t="str">
        <f>VLOOKUP(Table2[[#This Row],[Author]],People!A:B,2,0)</f>
        <v>MGF</v>
      </c>
      <c r="M543" t="s">
        <v>761</v>
      </c>
    </row>
    <row r="544" spans="1:13" x14ac:dyDescent="0.25">
      <c r="A544" s="75">
        <f t="shared" si="8"/>
        <v>543</v>
      </c>
      <c r="B544" t="s">
        <v>13</v>
      </c>
      <c r="C544" t="s">
        <v>758</v>
      </c>
      <c r="D544" t="s">
        <v>902</v>
      </c>
      <c r="E544" t="s">
        <v>980</v>
      </c>
      <c r="G544" t="s">
        <v>63</v>
      </c>
      <c r="H544" s="75" t="str">
        <f>IFERROR(VLOOKUP(Table2[[#This Row],[Ticket]],Okey!A:B,2,0),"")</f>
        <v>ok</v>
      </c>
      <c r="I544" t="s">
        <v>19</v>
      </c>
      <c r="J544" t="str">
        <f>VLOOKUP(Table2[[#This Row],[Author]],People!A:B,2,0)</f>
        <v>MGF</v>
      </c>
      <c r="M544" t="s">
        <v>761</v>
      </c>
    </row>
    <row r="545" spans="1:13" x14ac:dyDescent="0.25">
      <c r="A545" s="75">
        <f t="shared" si="8"/>
        <v>544</v>
      </c>
      <c r="B545" t="s">
        <v>13</v>
      </c>
      <c r="C545" t="s">
        <v>758</v>
      </c>
      <c r="D545" t="s">
        <v>981</v>
      </c>
      <c r="E545" t="s">
        <v>982</v>
      </c>
      <c r="G545" t="s">
        <v>63</v>
      </c>
      <c r="H545" s="75" t="str">
        <f>IFERROR(VLOOKUP(Table2[[#This Row],[Ticket]],Okey!A:B,2,0),"")</f>
        <v>ok</v>
      </c>
      <c r="I545" t="s">
        <v>19</v>
      </c>
      <c r="J545" t="str">
        <f>VLOOKUP(Table2[[#This Row],[Author]],People!A:B,2,0)</f>
        <v>MGF</v>
      </c>
      <c r="M545" t="s">
        <v>761</v>
      </c>
    </row>
    <row r="546" spans="1:13" x14ac:dyDescent="0.25">
      <c r="A546" s="75">
        <f t="shared" si="8"/>
        <v>545</v>
      </c>
      <c r="B546" t="s">
        <v>13</v>
      </c>
      <c r="C546" t="s">
        <v>758</v>
      </c>
      <c r="D546" t="s">
        <v>933</v>
      </c>
      <c r="E546" t="s">
        <v>983</v>
      </c>
      <c r="G546" t="s">
        <v>63</v>
      </c>
      <c r="H546" s="75" t="str">
        <f>IFERROR(VLOOKUP(Table2[[#This Row],[Ticket]],Okey!A:B,2,0),"")</f>
        <v>ok</v>
      </c>
      <c r="I546" t="s">
        <v>19</v>
      </c>
      <c r="J546" t="str">
        <f>VLOOKUP(Table2[[#This Row],[Author]],People!A:B,2,0)</f>
        <v>MGF</v>
      </c>
      <c r="M546" t="s">
        <v>761</v>
      </c>
    </row>
    <row r="547" spans="1:13" x14ac:dyDescent="0.25">
      <c r="A547" s="75">
        <f t="shared" si="8"/>
        <v>546</v>
      </c>
      <c r="B547" t="s">
        <v>13</v>
      </c>
      <c r="C547" t="s">
        <v>758</v>
      </c>
      <c r="D547" t="s">
        <v>984</v>
      </c>
      <c r="E547" t="s">
        <v>985</v>
      </c>
      <c r="G547" t="s">
        <v>63</v>
      </c>
      <c r="H547" s="75" t="str">
        <f>IFERROR(VLOOKUP(Table2[[#This Row],[Ticket]],Okey!A:B,2,0),"")</f>
        <v>ok</v>
      </c>
      <c r="I547" t="s">
        <v>19</v>
      </c>
      <c r="J547" t="str">
        <f>VLOOKUP(Table2[[#This Row],[Author]],People!A:B,2,0)</f>
        <v>MGF</v>
      </c>
      <c r="M547" t="s">
        <v>761</v>
      </c>
    </row>
    <row r="548" spans="1:13" x14ac:dyDescent="0.25">
      <c r="A548" s="75">
        <f t="shared" si="8"/>
        <v>547</v>
      </c>
      <c r="B548" t="s">
        <v>13</v>
      </c>
      <c r="C548" t="s">
        <v>758</v>
      </c>
      <c r="D548" t="s">
        <v>944</v>
      </c>
      <c r="E548" t="s">
        <v>986</v>
      </c>
      <c r="G548" t="s">
        <v>63</v>
      </c>
      <c r="H548" s="75" t="str">
        <f>IFERROR(VLOOKUP(Table2[[#This Row],[Ticket]],Okey!A:B,2,0),"")</f>
        <v>ok</v>
      </c>
      <c r="I548" t="s">
        <v>19</v>
      </c>
      <c r="J548" t="str">
        <f>VLOOKUP(Table2[[#This Row],[Author]],People!A:B,2,0)</f>
        <v>MGF</v>
      </c>
      <c r="M548" t="s">
        <v>761</v>
      </c>
    </row>
    <row r="549" spans="1:13" x14ac:dyDescent="0.25">
      <c r="A549" s="75">
        <f t="shared" si="8"/>
        <v>548</v>
      </c>
      <c r="B549" t="s">
        <v>13</v>
      </c>
      <c r="C549" t="s">
        <v>758</v>
      </c>
      <c r="D549" t="s">
        <v>987</v>
      </c>
      <c r="E549" t="s">
        <v>988</v>
      </c>
      <c r="G549" t="s">
        <v>63</v>
      </c>
      <c r="H549" s="75" t="str">
        <f>IFERROR(VLOOKUP(Table2[[#This Row],[Ticket]],Okey!A:B,2,0),"")</f>
        <v>ok</v>
      </c>
      <c r="I549" t="s">
        <v>19</v>
      </c>
      <c r="J549" t="str">
        <f>VLOOKUP(Table2[[#This Row],[Author]],People!A:B,2,0)</f>
        <v>MGF</v>
      </c>
      <c r="M549" t="s">
        <v>761</v>
      </c>
    </row>
    <row r="550" spans="1:13" x14ac:dyDescent="0.25">
      <c r="A550" s="75">
        <f t="shared" si="8"/>
        <v>549</v>
      </c>
      <c r="B550" t="s">
        <v>13</v>
      </c>
      <c r="C550" t="s">
        <v>758</v>
      </c>
      <c r="D550" t="s">
        <v>989</v>
      </c>
      <c r="E550" t="s">
        <v>990</v>
      </c>
      <c r="G550" t="s">
        <v>63</v>
      </c>
      <c r="H550" s="75" t="str">
        <f>IFERROR(VLOOKUP(Table2[[#This Row],[Ticket]],Okey!A:B,2,0),"")</f>
        <v>ok</v>
      </c>
      <c r="I550" t="s">
        <v>19</v>
      </c>
      <c r="J550" t="str">
        <f>VLOOKUP(Table2[[#This Row],[Author]],People!A:B,2,0)</f>
        <v>MGF</v>
      </c>
      <c r="M550" t="s">
        <v>761</v>
      </c>
    </row>
    <row r="551" spans="1:13" x14ac:dyDescent="0.25">
      <c r="A551" s="75">
        <f t="shared" si="8"/>
        <v>550</v>
      </c>
      <c r="B551" t="s">
        <v>13</v>
      </c>
      <c r="C551" t="s">
        <v>758</v>
      </c>
      <c r="D551" t="s">
        <v>991</v>
      </c>
      <c r="E551" t="s">
        <v>992</v>
      </c>
      <c r="G551" t="s">
        <v>63</v>
      </c>
      <c r="H551" s="75" t="str">
        <f>IFERROR(VLOOKUP(Table2[[#This Row],[Ticket]],Okey!A:B,2,0),"")</f>
        <v>ok</v>
      </c>
      <c r="I551" t="s">
        <v>19</v>
      </c>
      <c r="J551" t="str">
        <f>VLOOKUP(Table2[[#This Row],[Author]],People!A:B,2,0)</f>
        <v>MGF</v>
      </c>
      <c r="M551" t="s">
        <v>761</v>
      </c>
    </row>
    <row r="552" spans="1:13" x14ac:dyDescent="0.25">
      <c r="A552" s="75">
        <f t="shared" si="8"/>
        <v>551</v>
      </c>
      <c r="B552" t="s">
        <v>13</v>
      </c>
      <c r="C552" t="s">
        <v>758</v>
      </c>
      <c r="D552" t="s">
        <v>993</v>
      </c>
      <c r="E552" t="s">
        <v>994</v>
      </c>
      <c r="G552" t="s">
        <v>63</v>
      </c>
      <c r="H552" s="75" t="str">
        <f>IFERROR(VLOOKUP(Table2[[#This Row],[Ticket]],Okey!A:B,2,0),"")</f>
        <v>ok</v>
      </c>
      <c r="I552" t="s">
        <v>19</v>
      </c>
      <c r="J552" t="str">
        <f>VLOOKUP(Table2[[#This Row],[Author]],People!A:B,2,0)</f>
        <v>MGF</v>
      </c>
      <c r="M552" t="s">
        <v>761</v>
      </c>
    </row>
    <row r="553" spans="1:13" x14ac:dyDescent="0.25">
      <c r="A553" s="75">
        <f t="shared" si="8"/>
        <v>552</v>
      </c>
      <c r="B553" t="s">
        <v>13</v>
      </c>
      <c r="C553" t="s">
        <v>758</v>
      </c>
      <c r="D553" t="s">
        <v>995</v>
      </c>
      <c r="E553" t="s">
        <v>996</v>
      </c>
      <c r="G553" t="s">
        <v>63</v>
      </c>
      <c r="H553" s="75" t="str">
        <f>IFERROR(VLOOKUP(Table2[[#This Row],[Ticket]],Okey!A:B,2,0),"")</f>
        <v>ok</v>
      </c>
      <c r="I553" t="s">
        <v>19</v>
      </c>
      <c r="J553" t="str">
        <f>VLOOKUP(Table2[[#This Row],[Author]],People!A:B,2,0)</f>
        <v>MGF</v>
      </c>
      <c r="M553" t="s">
        <v>761</v>
      </c>
    </row>
    <row r="554" spans="1:13" x14ac:dyDescent="0.25">
      <c r="A554" s="75">
        <f t="shared" si="8"/>
        <v>553</v>
      </c>
      <c r="B554" t="s">
        <v>13</v>
      </c>
      <c r="C554" t="s">
        <v>758</v>
      </c>
      <c r="D554" t="s">
        <v>997</v>
      </c>
      <c r="E554" t="s">
        <v>998</v>
      </c>
      <c r="G554" t="s">
        <v>63</v>
      </c>
      <c r="H554" s="75" t="str">
        <f>IFERROR(VLOOKUP(Table2[[#This Row],[Ticket]],Okey!A:B,2,0),"")</f>
        <v>ok</v>
      </c>
      <c r="I554" t="s">
        <v>19</v>
      </c>
      <c r="J554" t="str">
        <f>VLOOKUP(Table2[[#This Row],[Author]],People!A:B,2,0)</f>
        <v>MGF</v>
      </c>
      <c r="M554" t="s">
        <v>761</v>
      </c>
    </row>
    <row r="555" spans="1:13" x14ac:dyDescent="0.25">
      <c r="A555" s="75">
        <f t="shared" si="8"/>
        <v>554</v>
      </c>
      <c r="B555" t="s">
        <v>13</v>
      </c>
      <c r="C555" t="s">
        <v>758</v>
      </c>
      <c r="D555" t="s">
        <v>999</v>
      </c>
      <c r="E555" t="s">
        <v>1000</v>
      </c>
      <c r="G555" t="s">
        <v>63</v>
      </c>
      <c r="H555" s="75" t="str">
        <f>IFERROR(VLOOKUP(Table2[[#This Row],[Ticket]],Okey!A:B,2,0),"")</f>
        <v>ok</v>
      </c>
      <c r="I555" t="s">
        <v>19</v>
      </c>
      <c r="J555" t="str">
        <f>VLOOKUP(Table2[[#This Row],[Author]],People!A:B,2,0)</f>
        <v>MGF</v>
      </c>
      <c r="M555" t="s">
        <v>761</v>
      </c>
    </row>
    <row r="556" spans="1:13" x14ac:dyDescent="0.25">
      <c r="A556" s="75">
        <f t="shared" si="8"/>
        <v>555</v>
      </c>
      <c r="B556" t="s">
        <v>13</v>
      </c>
      <c r="C556" t="s">
        <v>758</v>
      </c>
      <c r="D556" t="s">
        <v>1001</v>
      </c>
      <c r="E556" t="s">
        <v>1002</v>
      </c>
      <c r="G556" t="s">
        <v>63</v>
      </c>
      <c r="H556" s="75" t="str">
        <f>IFERROR(VLOOKUP(Table2[[#This Row],[Ticket]],Okey!A:B,2,0),"")</f>
        <v>ok</v>
      </c>
      <c r="I556" t="s">
        <v>19</v>
      </c>
      <c r="J556" t="str">
        <f>VLOOKUP(Table2[[#This Row],[Author]],People!A:B,2,0)</f>
        <v>MGF</v>
      </c>
      <c r="M556" t="s">
        <v>761</v>
      </c>
    </row>
    <row r="557" spans="1:13" x14ac:dyDescent="0.25">
      <c r="A557" s="75">
        <f t="shared" si="8"/>
        <v>556</v>
      </c>
      <c r="B557" t="s">
        <v>13</v>
      </c>
      <c r="C557" t="s">
        <v>758</v>
      </c>
      <c r="D557" t="s">
        <v>1003</v>
      </c>
      <c r="E557" t="s">
        <v>1004</v>
      </c>
      <c r="G557" t="s">
        <v>63</v>
      </c>
      <c r="H557" s="75" t="str">
        <f>IFERROR(VLOOKUP(Table2[[#This Row],[Ticket]],Okey!A:B,2,0),"")</f>
        <v>ok</v>
      </c>
      <c r="I557" t="s">
        <v>19</v>
      </c>
      <c r="J557" t="str">
        <f>VLOOKUP(Table2[[#This Row],[Author]],People!A:B,2,0)</f>
        <v>MGF</v>
      </c>
      <c r="M557" t="s">
        <v>761</v>
      </c>
    </row>
    <row r="558" spans="1:13" x14ac:dyDescent="0.25">
      <c r="A558" s="75">
        <f t="shared" si="8"/>
        <v>557</v>
      </c>
      <c r="B558" t="s">
        <v>13</v>
      </c>
      <c r="C558" t="s">
        <v>758</v>
      </c>
      <c r="D558" t="s">
        <v>1005</v>
      </c>
      <c r="E558" t="s">
        <v>1006</v>
      </c>
      <c r="G558" t="s">
        <v>63</v>
      </c>
      <c r="H558" s="75" t="str">
        <f>IFERROR(VLOOKUP(Table2[[#This Row],[Ticket]],Okey!A:B,2,0),"")</f>
        <v>ok</v>
      </c>
      <c r="I558" t="s">
        <v>19</v>
      </c>
      <c r="J558" t="str">
        <f>VLOOKUP(Table2[[#This Row],[Author]],People!A:B,2,0)</f>
        <v>MGF</v>
      </c>
      <c r="M558" t="s">
        <v>761</v>
      </c>
    </row>
    <row r="559" spans="1:13" x14ac:dyDescent="0.25">
      <c r="A559" s="75">
        <f t="shared" si="8"/>
        <v>558</v>
      </c>
      <c r="B559" t="s">
        <v>13</v>
      </c>
      <c r="C559" t="s">
        <v>758</v>
      </c>
      <c r="D559" t="s">
        <v>1007</v>
      </c>
      <c r="E559" t="s">
        <v>1008</v>
      </c>
      <c r="G559" t="s">
        <v>63</v>
      </c>
      <c r="H559" s="75" t="str">
        <f>IFERROR(VLOOKUP(Table2[[#This Row],[Ticket]],Okey!A:B,2,0),"")</f>
        <v>ok</v>
      </c>
      <c r="I559" t="s">
        <v>19</v>
      </c>
      <c r="J559" t="str">
        <f>VLOOKUP(Table2[[#This Row],[Author]],People!A:B,2,0)</f>
        <v>MGF</v>
      </c>
      <c r="M559" t="s">
        <v>761</v>
      </c>
    </row>
    <row r="560" spans="1:13" x14ac:dyDescent="0.25">
      <c r="A560" s="75">
        <f t="shared" si="8"/>
        <v>559</v>
      </c>
      <c r="B560" t="s">
        <v>13</v>
      </c>
      <c r="C560" t="s">
        <v>758</v>
      </c>
      <c r="D560" t="s">
        <v>1009</v>
      </c>
      <c r="E560" t="s">
        <v>1010</v>
      </c>
      <c r="G560" t="s">
        <v>63</v>
      </c>
      <c r="H560" s="75" t="str">
        <f>IFERROR(VLOOKUP(Table2[[#This Row],[Ticket]],Okey!A:B,2,0),"")</f>
        <v>ok</v>
      </c>
      <c r="I560" t="s">
        <v>19</v>
      </c>
      <c r="J560" t="str">
        <f>VLOOKUP(Table2[[#This Row],[Author]],People!A:B,2,0)</f>
        <v>MGF</v>
      </c>
      <c r="M560" t="s">
        <v>761</v>
      </c>
    </row>
    <row r="561" spans="1:13" x14ac:dyDescent="0.25">
      <c r="A561" s="75">
        <f t="shared" si="8"/>
        <v>560</v>
      </c>
      <c r="B561" t="s">
        <v>13</v>
      </c>
      <c r="C561" t="s">
        <v>758</v>
      </c>
      <c r="D561" t="s">
        <v>1011</v>
      </c>
      <c r="E561" t="s">
        <v>1012</v>
      </c>
      <c r="G561" t="s">
        <v>63</v>
      </c>
      <c r="H561" s="75" t="str">
        <f>IFERROR(VLOOKUP(Table2[[#This Row],[Ticket]],Okey!A:B,2,0),"")</f>
        <v>ok</v>
      </c>
      <c r="I561" t="s">
        <v>19</v>
      </c>
      <c r="J561" t="str">
        <f>VLOOKUP(Table2[[#This Row],[Author]],People!A:B,2,0)</f>
        <v>MGF</v>
      </c>
      <c r="M561" t="s">
        <v>761</v>
      </c>
    </row>
    <row r="562" spans="1:13" x14ac:dyDescent="0.25">
      <c r="A562" s="75">
        <f t="shared" si="8"/>
        <v>561</v>
      </c>
      <c r="B562" t="s">
        <v>13</v>
      </c>
      <c r="C562" t="s">
        <v>758</v>
      </c>
      <c r="D562" t="s">
        <v>1013</v>
      </c>
      <c r="E562" t="s">
        <v>1014</v>
      </c>
      <c r="G562" t="s">
        <v>63</v>
      </c>
      <c r="H562" s="75" t="str">
        <f>IFERROR(VLOOKUP(Table2[[#This Row],[Ticket]],Okey!A:B,2,0),"")</f>
        <v>ok</v>
      </c>
      <c r="I562" t="s">
        <v>19</v>
      </c>
      <c r="J562" t="str">
        <f>VLOOKUP(Table2[[#This Row],[Author]],People!A:B,2,0)</f>
        <v>MGF</v>
      </c>
      <c r="M562" t="s">
        <v>761</v>
      </c>
    </row>
    <row r="563" spans="1:13" x14ac:dyDescent="0.25">
      <c r="A563" s="75">
        <f t="shared" si="8"/>
        <v>562</v>
      </c>
      <c r="B563" t="s">
        <v>13</v>
      </c>
      <c r="C563" t="s">
        <v>758</v>
      </c>
      <c r="D563" t="s">
        <v>1015</v>
      </c>
      <c r="E563" t="s">
        <v>1016</v>
      </c>
      <c r="G563" t="s">
        <v>63</v>
      </c>
      <c r="H563" s="75" t="str">
        <f>IFERROR(VLOOKUP(Table2[[#This Row],[Ticket]],Okey!A:B,2,0),"")</f>
        <v>ok</v>
      </c>
      <c r="I563" t="s">
        <v>19</v>
      </c>
      <c r="J563" t="str">
        <f>VLOOKUP(Table2[[#This Row],[Author]],People!A:B,2,0)</f>
        <v>MGF</v>
      </c>
      <c r="M563" t="s">
        <v>761</v>
      </c>
    </row>
    <row r="564" spans="1:13" x14ac:dyDescent="0.25">
      <c r="A564" s="75">
        <f t="shared" si="8"/>
        <v>563</v>
      </c>
      <c r="B564" t="s">
        <v>13</v>
      </c>
      <c r="C564" t="s">
        <v>758</v>
      </c>
      <c r="D564" t="s">
        <v>1017</v>
      </c>
      <c r="E564" t="s">
        <v>1018</v>
      </c>
      <c r="G564" t="s">
        <v>63</v>
      </c>
      <c r="H564" s="75" t="str">
        <f>IFERROR(VLOOKUP(Table2[[#This Row],[Ticket]],Okey!A:B,2,0),"")</f>
        <v>ok</v>
      </c>
      <c r="I564" t="s">
        <v>19</v>
      </c>
      <c r="J564" t="str">
        <f>VLOOKUP(Table2[[#This Row],[Author]],People!A:B,2,0)</f>
        <v>MGF</v>
      </c>
      <c r="M564" t="s">
        <v>761</v>
      </c>
    </row>
    <row r="565" spans="1:13" x14ac:dyDescent="0.25">
      <c r="A565" s="75">
        <f t="shared" si="8"/>
        <v>564</v>
      </c>
      <c r="B565" t="s">
        <v>13</v>
      </c>
      <c r="C565" t="s">
        <v>758</v>
      </c>
      <c r="D565" t="s">
        <v>1019</v>
      </c>
      <c r="E565" t="s">
        <v>1020</v>
      </c>
      <c r="G565" t="s">
        <v>63</v>
      </c>
      <c r="H565" s="75" t="str">
        <f>IFERROR(VLOOKUP(Table2[[#This Row],[Ticket]],Okey!A:B,2,0),"")</f>
        <v>ok</v>
      </c>
      <c r="I565" t="s">
        <v>19</v>
      </c>
      <c r="J565" t="str">
        <f>VLOOKUP(Table2[[#This Row],[Author]],People!A:B,2,0)</f>
        <v>MGF</v>
      </c>
      <c r="M565" t="s">
        <v>761</v>
      </c>
    </row>
    <row r="566" spans="1:13" x14ac:dyDescent="0.25">
      <c r="A566" s="75">
        <f t="shared" si="8"/>
        <v>565</v>
      </c>
      <c r="B566" t="s">
        <v>13</v>
      </c>
      <c r="C566" t="s">
        <v>758</v>
      </c>
      <c r="D566" t="s">
        <v>1021</v>
      </c>
      <c r="E566" t="s">
        <v>1022</v>
      </c>
      <c r="G566" t="s">
        <v>63</v>
      </c>
      <c r="H566" s="75" t="str">
        <f>IFERROR(VLOOKUP(Table2[[#This Row],[Ticket]],Okey!A:B,2,0),"")</f>
        <v>ok</v>
      </c>
      <c r="I566" t="s">
        <v>19</v>
      </c>
      <c r="J566" t="str">
        <f>VLOOKUP(Table2[[#This Row],[Author]],People!A:B,2,0)</f>
        <v>MGF</v>
      </c>
      <c r="M566" t="s">
        <v>761</v>
      </c>
    </row>
    <row r="567" spans="1:13" x14ac:dyDescent="0.25">
      <c r="A567" s="75">
        <f t="shared" si="8"/>
        <v>566</v>
      </c>
      <c r="B567" t="s">
        <v>13</v>
      </c>
      <c r="C567" t="s">
        <v>1023</v>
      </c>
      <c r="D567" t="s">
        <v>1024</v>
      </c>
      <c r="G567" t="s">
        <v>328</v>
      </c>
      <c r="H567" s="75" t="str">
        <f>IFERROR(VLOOKUP(Table2[[#This Row],[Ticket]],Okey!A:B,2,0),"")</f>
        <v>ok</v>
      </c>
      <c r="I567" t="s">
        <v>19</v>
      </c>
      <c r="J567" t="str">
        <f>VLOOKUP(Table2[[#This Row],[Author]],People!A:B,2,0)</f>
        <v>LS</v>
      </c>
      <c r="M567" t="s">
        <v>1025</v>
      </c>
    </row>
    <row r="568" spans="1:13" x14ac:dyDescent="0.25">
      <c r="A568" s="75">
        <f t="shared" si="8"/>
        <v>567</v>
      </c>
      <c r="B568" t="s">
        <v>13</v>
      </c>
      <c r="C568" t="s">
        <v>1023</v>
      </c>
      <c r="D568" t="s">
        <v>1026</v>
      </c>
      <c r="F568" t="s">
        <v>545</v>
      </c>
      <c r="G568" t="s">
        <v>18</v>
      </c>
      <c r="H568" s="75" t="str">
        <f>IFERROR(VLOOKUP(Table2[[#This Row],[Ticket]],Okey!A:B,2,0),"")</f>
        <v>ok</v>
      </c>
      <c r="I568" t="s">
        <v>19</v>
      </c>
      <c r="J568" t="str">
        <f>VLOOKUP(Table2[[#This Row],[Author]],People!A:B,2,0)</f>
        <v>LS</v>
      </c>
      <c r="M568" t="s">
        <v>1025</v>
      </c>
    </row>
    <row r="569" spans="1:13" x14ac:dyDescent="0.25">
      <c r="A569" s="75">
        <f t="shared" si="8"/>
        <v>568</v>
      </c>
      <c r="B569" t="s">
        <v>13</v>
      </c>
      <c r="C569" t="s">
        <v>1027</v>
      </c>
      <c r="D569" t="s">
        <v>1028</v>
      </c>
      <c r="E569" t="s">
        <v>1029</v>
      </c>
      <c r="F569" t="s">
        <v>452</v>
      </c>
      <c r="G569" t="s">
        <v>18</v>
      </c>
      <c r="H569" s="75" t="str">
        <f>IFERROR(VLOOKUP(Table2[[#This Row],[Ticket]],Okey!A:B,2,0),"")</f>
        <v>ok</v>
      </c>
      <c r="I569" t="s">
        <v>19</v>
      </c>
      <c r="J569" t="str">
        <f>VLOOKUP(Table2[[#This Row],[Author]],People!A:B,2,0)</f>
        <v>MGF</v>
      </c>
      <c r="M569" t="s">
        <v>1030</v>
      </c>
    </row>
    <row r="570" spans="1:13" x14ac:dyDescent="0.25">
      <c r="A570" s="75">
        <f t="shared" si="8"/>
        <v>569</v>
      </c>
      <c r="B570" t="s">
        <v>13</v>
      </c>
      <c r="C570" t="s">
        <v>1027</v>
      </c>
      <c r="D570" t="s">
        <v>1031</v>
      </c>
      <c r="E570" t="s">
        <v>1032</v>
      </c>
      <c r="F570" t="s">
        <v>452</v>
      </c>
      <c r="G570" t="s">
        <v>18</v>
      </c>
      <c r="H570" s="75" t="str">
        <f>IFERROR(VLOOKUP(Table2[[#This Row],[Ticket]],Okey!A:B,2,0),"")</f>
        <v>ok</v>
      </c>
      <c r="I570" t="s">
        <v>19</v>
      </c>
      <c r="J570" t="str">
        <f>VLOOKUP(Table2[[#This Row],[Author]],People!A:B,2,0)</f>
        <v>MGF</v>
      </c>
      <c r="M570" t="s">
        <v>1030</v>
      </c>
    </row>
    <row r="571" spans="1:13" x14ac:dyDescent="0.25">
      <c r="A571" s="75">
        <f t="shared" si="8"/>
        <v>570</v>
      </c>
      <c r="B571" t="s">
        <v>13</v>
      </c>
      <c r="C571" t="s">
        <v>1027</v>
      </c>
      <c r="D571" t="s">
        <v>1033</v>
      </c>
      <c r="E571" t="s">
        <v>1034</v>
      </c>
      <c r="F571" t="s">
        <v>452</v>
      </c>
      <c r="G571" t="s">
        <v>18</v>
      </c>
      <c r="H571" s="75" t="str">
        <f>IFERROR(VLOOKUP(Table2[[#This Row],[Ticket]],Okey!A:B,2,0),"")</f>
        <v>ok</v>
      </c>
      <c r="I571" t="s">
        <v>19</v>
      </c>
      <c r="J571" t="str">
        <f>VLOOKUP(Table2[[#This Row],[Author]],People!A:B,2,0)</f>
        <v>MGF</v>
      </c>
      <c r="M571" t="s">
        <v>1030</v>
      </c>
    </row>
    <row r="572" spans="1:13" x14ac:dyDescent="0.25">
      <c r="A572" s="75">
        <f t="shared" si="8"/>
        <v>571</v>
      </c>
      <c r="B572" t="s">
        <v>13</v>
      </c>
      <c r="C572" t="s">
        <v>1027</v>
      </c>
      <c r="D572" t="s">
        <v>1035</v>
      </c>
      <c r="E572" t="s">
        <v>1036</v>
      </c>
      <c r="F572" t="s">
        <v>452</v>
      </c>
      <c r="G572" t="s">
        <v>18</v>
      </c>
      <c r="H572" s="75" t="str">
        <f>IFERROR(VLOOKUP(Table2[[#This Row],[Ticket]],Okey!A:B,2,0),"")</f>
        <v>ok</v>
      </c>
      <c r="I572" t="s">
        <v>19</v>
      </c>
      <c r="J572" t="str">
        <f>VLOOKUP(Table2[[#This Row],[Author]],People!A:B,2,0)</f>
        <v>MGF</v>
      </c>
      <c r="M572" t="s">
        <v>1030</v>
      </c>
    </row>
    <row r="573" spans="1:13" x14ac:dyDescent="0.25">
      <c r="A573" s="75">
        <f t="shared" si="8"/>
        <v>572</v>
      </c>
      <c r="B573" t="s">
        <v>13</v>
      </c>
      <c r="C573" t="s">
        <v>1037</v>
      </c>
      <c r="D573" t="s">
        <v>1038</v>
      </c>
      <c r="F573" t="s">
        <v>1039</v>
      </c>
      <c r="G573" t="s">
        <v>24</v>
      </c>
      <c r="H573" s="75" t="str">
        <f>IFERROR(VLOOKUP(Table2[[#This Row],[Ticket]],Okey!A:B,2,0),"")</f>
        <v>ok</v>
      </c>
      <c r="I573" t="s">
        <v>19</v>
      </c>
      <c r="J573" t="str">
        <f>VLOOKUP(Table2[[#This Row],[Author]],People!A:B,2,0)</f>
        <v>LS</v>
      </c>
      <c r="M573" t="s">
        <v>1040</v>
      </c>
    </row>
    <row r="574" spans="1:13" x14ac:dyDescent="0.25">
      <c r="A574" s="75">
        <f t="shared" si="8"/>
        <v>573</v>
      </c>
      <c r="B574" t="s">
        <v>13</v>
      </c>
      <c r="C574" t="s">
        <v>1037</v>
      </c>
      <c r="D574" t="s">
        <v>1041</v>
      </c>
      <c r="F574" t="s">
        <v>1039</v>
      </c>
      <c r="G574" t="s">
        <v>24</v>
      </c>
      <c r="H574" s="75" t="str">
        <f>IFERROR(VLOOKUP(Table2[[#This Row],[Ticket]],Okey!A:B,2,0),"")</f>
        <v>ok</v>
      </c>
      <c r="I574" t="s">
        <v>19</v>
      </c>
      <c r="J574" t="str">
        <f>VLOOKUP(Table2[[#This Row],[Author]],People!A:B,2,0)</f>
        <v>LS</v>
      </c>
      <c r="M574" t="s">
        <v>1040</v>
      </c>
    </row>
    <row r="575" spans="1:13" x14ac:dyDescent="0.25">
      <c r="A575" s="75">
        <f t="shared" si="8"/>
        <v>574</v>
      </c>
      <c r="B575" t="s">
        <v>13</v>
      </c>
      <c r="C575" t="s">
        <v>1037</v>
      </c>
      <c r="D575" t="s">
        <v>1042</v>
      </c>
      <c r="F575" t="s">
        <v>1043</v>
      </c>
      <c r="G575" t="s">
        <v>24</v>
      </c>
      <c r="H575" s="75" t="str">
        <f>IFERROR(VLOOKUP(Table2[[#This Row],[Ticket]],Okey!A:B,2,0),"")</f>
        <v>ok</v>
      </c>
      <c r="I575" t="s">
        <v>19</v>
      </c>
      <c r="J575" t="str">
        <f>VLOOKUP(Table2[[#This Row],[Author]],People!A:B,2,0)</f>
        <v>LS</v>
      </c>
      <c r="M575" t="s">
        <v>1040</v>
      </c>
    </row>
    <row r="576" spans="1:13" x14ac:dyDescent="0.25">
      <c r="A576" s="75">
        <f t="shared" si="8"/>
        <v>575</v>
      </c>
      <c r="B576" t="s">
        <v>13</v>
      </c>
      <c r="C576" t="s">
        <v>1037</v>
      </c>
      <c r="D576" t="s">
        <v>1044</v>
      </c>
      <c r="F576" t="s">
        <v>1043</v>
      </c>
      <c r="G576" t="s">
        <v>24</v>
      </c>
      <c r="H576" s="75" t="str">
        <f>IFERROR(VLOOKUP(Table2[[#This Row],[Ticket]],Okey!A:B,2,0),"")</f>
        <v>ok</v>
      </c>
      <c r="I576" t="s">
        <v>19</v>
      </c>
      <c r="J576" t="str">
        <f>VLOOKUP(Table2[[#This Row],[Author]],People!A:B,2,0)</f>
        <v>LS</v>
      </c>
      <c r="M576" t="s">
        <v>1040</v>
      </c>
    </row>
    <row r="577" spans="1:13" x14ac:dyDescent="0.25">
      <c r="A577" s="75">
        <f t="shared" si="8"/>
        <v>576</v>
      </c>
      <c r="B577" t="s">
        <v>13</v>
      </c>
      <c r="C577" t="s">
        <v>1037</v>
      </c>
      <c r="D577" t="s">
        <v>1045</v>
      </c>
      <c r="F577" t="s">
        <v>1046</v>
      </c>
      <c r="G577" t="s">
        <v>24</v>
      </c>
      <c r="H577" s="75" t="str">
        <f>IFERROR(VLOOKUP(Table2[[#This Row],[Ticket]],Okey!A:B,2,0),"")</f>
        <v>ok</v>
      </c>
      <c r="I577" t="s">
        <v>19</v>
      </c>
      <c r="J577" t="str">
        <f>VLOOKUP(Table2[[#This Row],[Author]],People!A:B,2,0)</f>
        <v>LS</v>
      </c>
      <c r="M577" t="s">
        <v>1040</v>
      </c>
    </row>
    <row r="578" spans="1:13" x14ac:dyDescent="0.25">
      <c r="A578" s="75">
        <f t="shared" si="8"/>
        <v>577</v>
      </c>
      <c r="B578" t="s">
        <v>13</v>
      </c>
      <c r="C578" t="s">
        <v>1037</v>
      </c>
      <c r="D578" t="s">
        <v>1047</v>
      </c>
      <c r="F578" t="s">
        <v>1048</v>
      </c>
      <c r="G578" t="s">
        <v>24</v>
      </c>
      <c r="H578" s="75" t="str">
        <f>IFERROR(VLOOKUP(Table2[[#This Row],[Ticket]],Okey!A:B,2,0),"")</f>
        <v>ok</v>
      </c>
      <c r="I578" t="s">
        <v>19</v>
      </c>
      <c r="J578" t="str">
        <f>VLOOKUP(Table2[[#This Row],[Author]],People!A:B,2,0)</f>
        <v>LS</v>
      </c>
      <c r="M578" t="s">
        <v>1040</v>
      </c>
    </row>
    <row r="579" spans="1:13" x14ac:dyDescent="0.25">
      <c r="A579" s="75">
        <f t="shared" si="8"/>
        <v>578</v>
      </c>
      <c r="B579" t="s">
        <v>13</v>
      </c>
      <c r="C579" t="s">
        <v>1037</v>
      </c>
      <c r="D579" t="s">
        <v>1049</v>
      </c>
      <c r="F579" t="s">
        <v>1050</v>
      </c>
      <c r="G579" t="s">
        <v>24</v>
      </c>
      <c r="H579" s="75" t="str">
        <f>IFERROR(VLOOKUP(Table2[[#This Row],[Ticket]],Okey!A:B,2,0),"")</f>
        <v>ok</v>
      </c>
      <c r="I579" t="s">
        <v>19</v>
      </c>
      <c r="J579" t="str">
        <f>VLOOKUP(Table2[[#This Row],[Author]],People!A:B,2,0)</f>
        <v>LS</v>
      </c>
      <c r="M579" t="s">
        <v>1040</v>
      </c>
    </row>
    <row r="580" spans="1:13" x14ac:dyDescent="0.25">
      <c r="A580" s="75">
        <f t="shared" si="8"/>
        <v>579</v>
      </c>
      <c r="B580" t="s">
        <v>13</v>
      </c>
      <c r="C580" t="s">
        <v>1037</v>
      </c>
      <c r="D580" t="s">
        <v>1051</v>
      </c>
      <c r="F580" t="s">
        <v>1050</v>
      </c>
      <c r="G580" t="s">
        <v>24</v>
      </c>
      <c r="H580" s="75" t="str">
        <f>IFERROR(VLOOKUP(Table2[[#This Row],[Ticket]],Okey!A:B,2,0),"")</f>
        <v>ok</v>
      </c>
      <c r="I580" t="s">
        <v>19</v>
      </c>
      <c r="J580" t="str">
        <f>VLOOKUP(Table2[[#This Row],[Author]],People!A:B,2,0)</f>
        <v>LS</v>
      </c>
      <c r="M580" t="s">
        <v>1040</v>
      </c>
    </row>
    <row r="581" spans="1:13" x14ac:dyDescent="0.25">
      <c r="A581" s="75">
        <f t="shared" si="8"/>
        <v>580</v>
      </c>
      <c r="B581" t="s">
        <v>13</v>
      </c>
      <c r="C581" t="s">
        <v>1037</v>
      </c>
      <c r="D581" t="s">
        <v>1052</v>
      </c>
      <c r="F581" t="s">
        <v>1053</v>
      </c>
      <c r="G581" t="s">
        <v>24</v>
      </c>
      <c r="H581" s="75" t="str">
        <f>IFERROR(VLOOKUP(Table2[[#This Row],[Ticket]],Okey!A:B,2,0),"")</f>
        <v>ok</v>
      </c>
      <c r="I581" t="s">
        <v>19</v>
      </c>
      <c r="J581" t="str">
        <f>VLOOKUP(Table2[[#This Row],[Author]],People!A:B,2,0)</f>
        <v>LS</v>
      </c>
      <c r="M581" t="s">
        <v>1040</v>
      </c>
    </row>
    <row r="582" spans="1:13" x14ac:dyDescent="0.25">
      <c r="A582" s="75">
        <f t="shared" si="8"/>
        <v>581</v>
      </c>
      <c r="B582" t="s">
        <v>13</v>
      </c>
      <c r="C582" t="s">
        <v>1037</v>
      </c>
      <c r="D582" t="s">
        <v>1054</v>
      </c>
      <c r="F582" t="s">
        <v>1053</v>
      </c>
      <c r="G582" t="s">
        <v>24</v>
      </c>
      <c r="H582" s="75" t="str">
        <f>IFERROR(VLOOKUP(Table2[[#This Row],[Ticket]],Okey!A:B,2,0),"")</f>
        <v>ok</v>
      </c>
      <c r="I582" t="s">
        <v>19</v>
      </c>
      <c r="J582" t="str">
        <f>VLOOKUP(Table2[[#This Row],[Author]],People!A:B,2,0)</f>
        <v>LS</v>
      </c>
      <c r="M582" t="s">
        <v>1040</v>
      </c>
    </row>
    <row r="583" spans="1:13" x14ac:dyDescent="0.25">
      <c r="A583" s="75">
        <f t="shared" si="8"/>
        <v>582</v>
      </c>
      <c r="B583" t="s">
        <v>13</v>
      </c>
      <c r="C583" t="s">
        <v>1037</v>
      </c>
      <c r="D583" t="s">
        <v>1055</v>
      </c>
      <c r="F583" t="s">
        <v>1053</v>
      </c>
      <c r="G583" t="s">
        <v>24</v>
      </c>
      <c r="H583" s="75" t="str">
        <f>IFERROR(VLOOKUP(Table2[[#This Row],[Ticket]],Okey!A:B,2,0),"")</f>
        <v>ok</v>
      </c>
      <c r="I583" t="s">
        <v>19</v>
      </c>
      <c r="J583" t="str">
        <f>VLOOKUP(Table2[[#This Row],[Author]],People!A:B,2,0)</f>
        <v>LS</v>
      </c>
      <c r="M583" t="s">
        <v>1040</v>
      </c>
    </row>
    <row r="584" spans="1:13" x14ac:dyDescent="0.25">
      <c r="A584" s="75">
        <f t="shared" si="8"/>
        <v>583</v>
      </c>
      <c r="B584" t="s">
        <v>13</v>
      </c>
      <c r="C584" t="s">
        <v>1037</v>
      </c>
      <c r="D584" t="s">
        <v>1056</v>
      </c>
      <c r="F584" t="s">
        <v>1057</v>
      </c>
      <c r="G584" t="s">
        <v>24</v>
      </c>
      <c r="H584" s="75" t="str">
        <f>IFERROR(VLOOKUP(Table2[[#This Row],[Ticket]],Okey!A:B,2,0),"")</f>
        <v>ok</v>
      </c>
      <c r="I584" t="s">
        <v>19</v>
      </c>
      <c r="J584" t="str">
        <f>VLOOKUP(Table2[[#This Row],[Author]],People!A:B,2,0)</f>
        <v>LS</v>
      </c>
      <c r="M584" t="s">
        <v>1040</v>
      </c>
    </row>
    <row r="585" spans="1:13" x14ac:dyDescent="0.25">
      <c r="A585" s="75">
        <f t="shared" ref="A585:A648" si="9">1+A584</f>
        <v>584</v>
      </c>
      <c r="B585" t="s">
        <v>13</v>
      </c>
      <c r="C585" t="s">
        <v>1037</v>
      </c>
      <c r="D585" t="s">
        <v>1058</v>
      </c>
      <c r="F585" t="s">
        <v>1059</v>
      </c>
      <c r="G585" t="s">
        <v>24</v>
      </c>
      <c r="H585" s="75" t="str">
        <f>IFERROR(VLOOKUP(Table2[[#This Row],[Ticket]],Okey!A:B,2,0),"")</f>
        <v>ok</v>
      </c>
      <c r="I585" t="s">
        <v>19</v>
      </c>
      <c r="J585" t="str">
        <f>VLOOKUP(Table2[[#This Row],[Author]],People!A:B,2,0)</f>
        <v>LS</v>
      </c>
      <c r="M585" t="s">
        <v>1040</v>
      </c>
    </row>
    <row r="586" spans="1:13" x14ac:dyDescent="0.25">
      <c r="A586" s="75">
        <f t="shared" si="9"/>
        <v>585</v>
      </c>
      <c r="B586" t="s">
        <v>13</v>
      </c>
      <c r="C586" t="s">
        <v>1037</v>
      </c>
      <c r="D586" t="s">
        <v>1060</v>
      </c>
      <c r="F586" t="s">
        <v>1061</v>
      </c>
      <c r="G586" t="s">
        <v>24</v>
      </c>
      <c r="H586" s="75" t="str">
        <f>IFERROR(VLOOKUP(Table2[[#This Row],[Ticket]],Okey!A:B,2,0),"")</f>
        <v>ok</v>
      </c>
      <c r="I586" t="s">
        <v>19</v>
      </c>
      <c r="J586" t="str">
        <f>VLOOKUP(Table2[[#This Row],[Author]],People!A:B,2,0)</f>
        <v>LS</v>
      </c>
      <c r="M586" t="s">
        <v>1040</v>
      </c>
    </row>
    <row r="587" spans="1:13" x14ac:dyDescent="0.25">
      <c r="A587" s="75">
        <f t="shared" si="9"/>
        <v>586</v>
      </c>
      <c r="B587" t="s">
        <v>13</v>
      </c>
      <c r="C587" t="s">
        <v>1037</v>
      </c>
      <c r="D587" t="s">
        <v>1062</v>
      </c>
      <c r="F587" t="s">
        <v>1059</v>
      </c>
      <c r="G587" t="s">
        <v>24</v>
      </c>
      <c r="H587" s="75" t="str">
        <f>IFERROR(VLOOKUP(Table2[[#This Row],[Ticket]],Okey!A:B,2,0),"")</f>
        <v>ok</v>
      </c>
      <c r="I587" t="s">
        <v>19</v>
      </c>
      <c r="J587" t="str">
        <f>VLOOKUP(Table2[[#This Row],[Author]],People!A:B,2,0)</f>
        <v>LS</v>
      </c>
      <c r="M587" t="s">
        <v>1040</v>
      </c>
    </row>
    <row r="588" spans="1:13" x14ac:dyDescent="0.25">
      <c r="A588" s="75">
        <f t="shared" si="9"/>
        <v>587</v>
      </c>
      <c r="B588" t="s">
        <v>13</v>
      </c>
      <c r="C588" t="s">
        <v>1037</v>
      </c>
      <c r="D588" t="s">
        <v>1063</v>
      </c>
      <c r="F588" t="s">
        <v>1059</v>
      </c>
      <c r="G588" t="s">
        <v>24</v>
      </c>
      <c r="H588" s="75" t="str">
        <f>IFERROR(VLOOKUP(Table2[[#This Row],[Ticket]],Okey!A:B,2,0),"")</f>
        <v>ok</v>
      </c>
      <c r="I588" t="s">
        <v>19</v>
      </c>
      <c r="J588" t="str">
        <f>VLOOKUP(Table2[[#This Row],[Author]],People!A:B,2,0)</f>
        <v>LS</v>
      </c>
      <c r="M588" t="s">
        <v>1040</v>
      </c>
    </row>
    <row r="589" spans="1:13" x14ac:dyDescent="0.25">
      <c r="A589" s="75">
        <f t="shared" si="9"/>
        <v>588</v>
      </c>
      <c r="B589" t="s">
        <v>13</v>
      </c>
      <c r="C589" t="s">
        <v>1037</v>
      </c>
      <c r="D589" t="s">
        <v>1064</v>
      </c>
      <c r="F589" t="s">
        <v>1065</v>
      </c>
      <c r="G589" t="s">
        <v>24</v>
      </c>
      <c r="H589" s="75" t="str">
        <f>IFERROR(VLOOKUP(Table2[[#This Row],[Ticket]],Okey!A:B,2,0),"")</f>
        <v>ok</v>
      </c>
      <c r="I589" t="s">
        <v>19</v>
      </c>
      <c r="J589" t="str">
        <f>VLOOKUP(Table2[[#This Row],[Author]],People!A:B,2,0)</f>
        <v>LS</v>
      </c>
      <c r="M589" t="s">
        <v>1040</v>
      </c>
    </row>
    <row r="590" spans="1:13" x14ac:dyDescent="0.25">
      <c r="A590" s="75">
        <f t="shared" si="9"/>
        <v>589</v>
      </c>
      <c r="B590" t="s">
        <v>13</v>
      </c>
      <c r="C590" t="s">
        <v>1037</v>
      </c>
      <c r="D590" t="s">
        <v>1066</v>
      </c>
      <c r="F590" t="s">
        <v>1067</v>
      </c>
      <c r="G590" t="s">
        <v>24</v>
      </c>
      <c r="H590" s="75" t="str">
        <f>IFERROR(VLOOKUP(Table2[[#This Row],[Ticket]],Okey!A:B,2,0),"")</f>
        <v>ok</v>
      </c>
      <c r="I590" t="s">
        <v>19</v>
      </c>
      <c r="J590" t="str">
        <f>VLOOKUP(Table2[[#This Row],[Author]],People!A:B,2,0)</f>
        <v>LS</v>
      </c>
      <c r="M590" t="s">
        <v>1040</v>
      </c>
    </row>
    <row r="591" spans="1:13" x14ac:dyDescent="0.25">
      <c r="A591" s="75">
        <f t="shared" si="9"/>
        <v>590</v>
      </c>
      <c r="B591" t="s">
        <v>13</v>
      </c>
      <c r="C591" t="s">
        <v>1037</v>
      </c>
      <c r="D591" t="s">
        <v>1068</v>
      </c>
      <c r="F591" t="s">
        <v>1069</v>
      </c>
      <c r="G591" t="s">
        <v>24</v>
      </c>
      <c r="H591" s="75" t="str">
        <f>IFERROR(VLOOKUP(Table2[[#This Row],[Ticket]],Okey!A:B,2,0),"")</f>
        <v>ok</v>
      </c>
      <c r="I591" t="s">
        <v>19</v>
      </c>
      <c r="J591" t="str">
        <f>VLOOKUP(Table2[[#This Row],[Author]],People!A:B,2,0)</f>
        <v>LS</v>
      </c>
      <c r="M591" t="s">
        <v>1040</v>
      </c>
    </row>
    <row r="592" spans="1:13" x14ac:dyDescent="0.25">
      <c r="A592" s="75">
        <f t="shared" si="9"/>
        <v>591</v>
      </c>
      <c r="B592" t="s">
        <v>13</v>
      </c>
      <c r="C592" t="s">
        <v>1037</v>
      </c>
      <c r="D592" t="s">
        <v>1070</v>
      </c>
      <c r="F592" t="s">
        <v>1071</v>
      </c>
      <c r="G592" t="s">
        <v>24</v>
      </c>
      <c r="H592" s="75" t="str">
        <f>IFERROR(VLOOKUP(Table2[[#This Row],[Ticket]],Okey!A:B,2,0),"")</f>
        <v>ok</v>
      </c>
      <c r="I592" t="s">
        <v>19</v>
      </c>
      <c r="J592" t="str">
        <f>VLOOKUP(Table2[[#This Row],[Author]],People!A:B,2,0)</f>
        <v>LS</v>
      </c>
      <c r="M592" t="s">
        <v>1040</v>
      </c>
    </row>
    <row r="593" spans="1:13" x14ac:dyDescent="0.25">
      <c r="A593" s="75">
        <f t="shared" si="9"/>
        <v>592</v>
      </c>
      <c r="B593" t="s">
        <v>13</v>
      </c>
      <c r="C593" t="s">
        <v>1037</v>
      </c>
      <c r="D593" t="s">
        <v>1072</v>
      </c>
      <c r="F593" t="s">
        <v>1073</v>
      </c>
      <c r="G593" t="s">
        <v>24</v>
      </c>
      <c r="H593" s="75" t="str">
        <f>IFERROR(VLOOKUP(Table2[[#This Row],[Ticket]],Okey!A:B,2,0),"")</f>
        <v>ok</v>
      </c>
      <c r="I593" t="s">
        <v>19</v>
      </c>
      <c r="J593" t="str">
        <f>VLOOKUP(Table2[[#This Row],[Author]],People!A:B,2,0)</f>
        <v>LS</v>
      </c>
      <c r="M593" t="s">
        <v>1040</v>
      </c>
    </row>
    <row r="594" spans="1:13" x14ac:dyDescent="0.25">
      <c r="A594" s="75">
        <f t="shared" si="9"/>
        <v>593</v>
      </c>
      <c r="B594" t="s">
        <v>13</v>
      </c>
      <c r="C594" t="s">
        <v>1037</v>
      </c>
      <c r="D594" t="s">
        <v>1074</v>
      </c>
      <c r="F594" t="s">
        <v>1075</v>
      </c>
      <c r="G594" t="s">
        <v>24</v>
      </c>
      <c r="H594" s="75" t="str">
        <f>IFERROR(VLOOKUP(Table2[[#This Row],[Ticket]],Okey!A:B,2,0),"")</f>
        <v>ok</v>
      </c>
      <c r="I594" t="s">
        <v>19</v>
      </c>
      <c r="J594" t="str">
        <f>VLOOKUP(Table2[[#This Row],[Author]],People!A:B,2,0)</f>
        <v>LS</v>
      </c>
      <c r="M594" t="s">
        <v>1040</v>
      </c>
    </row>
    <row r="595" spans="1:13" x14ac:dyDescent="0.25">
      <c r="A595" s="75">
        <f t="shared" si="9"/>
        <v>594</v>
      </c>
      <c r="B595" t="s">
        <v>13</v>
      </c>
      <c r="C595" t="s">
        <v>1037</v>
      </c>
      <c r="D595" t="s">
        <v>1076</v>
      </c>
      <c r="F595" t="s">
        <v>1077</v>
      </c>
      <c r="G595" t="s">
        <v>24</v>
      </c>
      <c r="H595" s="75" t="str">
        <f>IFERROR(VLOOKUP(Table2[[#This Row],[Ticket]],Okey!A:B,2,0),"")</f>
        <v>ok</v>
      </c>
      <c r="I595" t="s">
        <v>19</v>
      </c>
      <c r="J595" t="str">
        <f>VLOOKUP(Table2[[#This Row],[Author]],People!A:B,2,0)</f>
        <v>LS</v>
      </c>
      <c r="M595" t="s">
        <v>1040</v>
      </c>
    </row>
    <row r="596" spans="1:13" x14ac:dyDescent="0.25">
      <c r="A596" s="75">
        <f t="shared" si="9"/>
        <v>595</v>
      </c>
      <c r="B596" t="s">
        <v>13</v>
      </c>
      <c r="C596" t="s">
        <v>1037</v>
      </c>
      <c r="D596" t="s">
        <v>1078</v>
      </c>
      <c r="F596" t="s">
        <v>1077</v>
      </c>
      <c r="G596" t="s">
        <v>24</v>
      </c>
      <c r="H596" s="75" t="str">
        <f>IFERROR(VLOOKUP(Table2[[#This Row],[Ticket]],Okey!A:B,2,0),"")</f>
        <v>ok</v>
      </c>
      <c r="I596" t="s">
        <v>19</v>
      </c>
      <c r="J596" t="str">
        <f>VLOOKUP(Table2[[#This Row],[Author]],People!A:B,2,0)</f>
        <v>LS</v>
      </c>
      <c r="M596" t="s">
        <v>1040</v>
      </c>
    </row>
    <row r="597" spans="1:13" x14ac:dyDescent="0.25">
      <c r="A597" s="75">
        <f t="shared" si="9"/>
        <v>596</v>
      </c>
      <c r="B597" t="s">
        <v>13</v>
      </c>
      <c r="C597" t="s">
        <v>1037</v>
      </c>
      <c r="D597" t="s">
        <v>1079</v>
      </c>
      <c r="F597" t="s">
        <v>1075</v>
      </c>
      <c r="G597" t="s">
        <v>24</v>
      </c>
      <c r="H597" s="75" t="str">
        <f>IFERROR(VLOOKUP(Table2[[#This Row],[Ticket]],Okey!A:B,2,0),"")</f>
        <v>ok</v>
      </c>
      <c r="I597" t="s">
        <v>19</v>
      </c>
      <c r="J597" t="str">
        <f>VLOOKUP(Table2[[#This Row],[Author]],People!A:B,2,0)</f>
        <v>LS</v>
      </c>
      <c r="M597" t="s">
        <v>1040</v>
      </c>
    </row>
    <row r="598" spans="1:13" x14ac:dyDescent="0.25">
      <c r="A598" s="75">
        <f t="shared" si="9"/>
        <v>597</v>
      </c>
      <c r="B598" t="s">
        <v>13</v>
      </c>
      <c r="C598" t="s">
        <v>1037</v>
      </c>
      <c r="D598" t="s">
        <v>1080</v>
      </c>
      <c r="F598" t="s">
        <v>1073</v>
      </c>
      <c r="G598" t="s">
        <v>24</v>
      </c>
      <c r="H598" s="75" t="str">
        <f>IFERROR(VLOOKUP(Table2[[#This Row],[Ticket]],Okey!A:B,2,0),"")</f>
        <v>ok</v>
      </c>
      <c r="I598" t="s">
        <v>19</v>
      </c>
      <c r="J598" t="str">
        <f>VLOOKUP(Table2[[#This Row],[Author]],People!A:B,2,0)</f>
        <v>LS</v>
      </c>
      <c r="M598" t="s">
        <v>1040</v>
      </c>
    </row>
    <row r="599" spans="1:13" x14ac:dyDescent="0.25">
      <c r="A599" s="75">
        <f t="shared" si="9"/>
        <v>598</v>
      </c>
      <c r="B599" t="s">
        <v>13</v>
      </c>
      <c r="C599" t="s">
        <v>1037</v>
      </c>
      <c r="D599" t="s">
        <v>1081</v>
      </c>
      <c r="F599" t="s">
        <v>1082</v>
      </c>
      <c r="G599" t="s">
        <v>24</v>
      </c>
      <c r="H599" s="75" t="str">
        <f>IFERROR(VLOOKUP(Table2[[#This Row],[Ticket]],Okey!A:B,2,0),"")</f>
        <v>ok</v>
      </c>
      <c r="I599" t="s">
        <v>19</v>
      </c>
      <c r="J599" t="str">
        <f>VLOOKUP(Table2[[#This Row],[Author]],People!A:B,2,0)</f>
        <v>LS</v>
      </c>
      <c r="M599" t="s">
        <v>1040</v>
      </c>
    </row>
    <row r="600" spans="1:13" x14ac:dyDescent="0.25">
      <c r="A600" s="75">
        <f t="shared" si="9"/>
        <v>599</v>
      </c>
      <c r="B600" t="s">
        <v>13</v>
      </c>
      <c r="C600" t="s">
        <v>1037</v>
      </c>
      <c r="D600" t="s">
        <v>1083</v>
      </c>
      <c r="F600" t="s">
        <v>1082</v>
      </c>
      <c r="G600" t="s">
        <v>24</v>
      </c>
      <c r="H600" s="75" t="str">
        <f>IFERROR(VLOOKUP(Table2[[#This Row],[Ticket]],Okey!A:B,2,0),"")</f>
        <v>ok</v>
      </c>
      <c r="I600" t="s">
        <v>19</v>
      </c>
      <c r="J600" t="str">
        <f>VLOOKUP(Table2[[#This Row],[Author]],People!A:B,2,0)</f>
        <v>LS</v>
      </c>
      <c r="M600" t="s">
        <v>1040</v>
      </c>
    </row>
    <row r="601" spans="1:13" x14ac:dyDescent="0.25">
      <c r="A601" s="75">
        <f t="shared" si="9"/>
        <v>600</v>
      </c>
      <c r="B601" t="s">
        <v>13</v>
      </c>
      <c r="C601" t="s">
        <v>1037</v>
      </c>
      <c r="D601" t="s">
        <v>1084</v>
      </c>
      <c r="F601" t="s">
        <v>1082</v>
      </c>
      <c r="G601" t="s">
        <v>24</v>
      </c>
      <c r="H601" s="75" t="str">
        <f>IFERROR(VLOOKUP(Table2[[#This Row],[Ticket]],Okey!A:B,2,0),"")</f>
        <v>ok</v>
      </c>
      <c r="I601" t="s">
        <v>19</v>
      </c>
      <c r="J601" t="str">
        <f>VLOOKUP(Table2[[#This Row],[Author]],People!A:B,2,0)</f>
        <v>LS</v>
      </c>
      <c r="M601" t="s">
        <v>1040</v>
      </c>
    </row>
    <row r="602" spans="1:13" x14ac:dyDescent="0.25">
      <c r="A602" s="75">
        <f t="shared" si="9"/>
        <v>601</v>
      </c>
      <c r="B602" t="s">
        <v>13</v>
      </c>
      <c r="C602" t="s">
        <v>1037</v>
      </c>
      <c r="D602" t="s">
        <v>1085</v>
      </c>
      <c r="F602" t="s">
        <v>1082</v>
      </c>
      <c r="G602" t="s">
        <v>24</v>
      </c>
      <c r="H602" s="75" t="str">
        <f>IFERROR(VLOOKUP(Table2[[#This Row],[Ticket]],Okey!A:B,2,0),"")</f>
        <v>ok</v>
      </c>
      <c r="I602" t="s">
        <v>19</v>
      </c>
      <c r="J602" t="str">
        <f>VLOOKUP(Table2[[#This Row],[Author]],People!A:B,2,0)</f>
        <v>LS</v>
      </c>
      <c r="M602" t="s">
        <v>1040</v>
      </c>
    </row>
    <row r="603" spans="1:13" x14ac:dyDescent="0.25">
      <c r="A603" s="75">
        <f t="shared" si="9"/>
        <v>602</v>
      </c>
      <c r="B603" t="s">
        <v>13</v>
      </c>
      <c r="C603" t="s">
        <v>1037</v>
      </c>
      <c r="D603" t="s">
        <v>1086</v>
      </c>
      <c r="F603" t="s">
        <v>1082</v>
      </c>
      <c r="G603" t="s">
        <v>24</v>
      </c>
      <c r="H603" s="75" t="str">
        <f>IFERROR(VLOOKUP(Table2[[#This Row],[Ticket]],Okey!A:B,2,0),"")</f>
        <v>ok</v>
      </c>
      <c r="I603" t="s">
        <v>19</v>
      </c>
      <c r="J603" t="str">
        <f>VLOOKUP(Table2[[#This Row],[Author]],People!A:B,2,0)</f>
        <v>LS</v>
      </c>
      <c r="M603" t="s">
        <v>1040</v>
      </c>
    </row>
    <row r="604" spans="1:13" x14ac:dyDescent="0.25">
      <c r="A604" s="75">
        <f t="shared" si="9"/>
        <v>603</v>
      </c>
      <c r="B604" t="s">
        <v>13</v>
      </c>
      <c r="C604" t="s">
        <v>1037</v>
      </c>
      <c r="D604" t="s">
        <v>1087</v>
      </c>
      <c r="F604" t="s">
        <v>1088</v>
      </c>
      <c r="G604" t="s">
        <v>24</v>
      </c>
      <c r="H604" s="75" t="str">
        <f>IFERROR(VLOOKUP(Table2[[#This Row],[Ticket]],Okey!A:B,2,0),"")</f>
        <v>ok</v>
      </c>
      <c r="I604" t="s">
        <v>19</v>
      </c>
      <c r="J604" t="str">
        <f>VLOOKUP(Table2[[#This Row],[Author]],People!A:B,2,0)</f>
        <v>LS</v>
      </c>
      <c r="M604" t="s">
        <v>1040</v>
      </c>
    </row>
    <row r="605" spans="1:13" x14ac:dyDescent="0.25">
      <c r="A605" s="75">
        <f t="shared" si="9"/>
        <v>604</v>
      </c>
      <c r="B605" t="s">
        <v>13</v>
      </c>
      <c r="C605" t="s">
        <v>1037</v>
      </c>
      <c r="D605" t="s">
        <v>1089</v>
      </c>
      <c r="F605" t="s">
        <v>1090</v>
      </c>
      <c r="G605" t="s">
        <v>24</v>
      </c>
      <c r="H605" s="75" t="str">
        <f>IFERROR(VLOOKUP(Table2[[#This Row],[Ticket]],Okey!A:B,2,0),"")</f>
        <v>ok</v>
      </c>
      <c r="I605" t="s">
        <v>19</v>
      </c>
      <c r="J605" t="str">
        <f>VLOOKUP(Table2[[#This Row],[Author]],People!A:B,2,0)</f>
        <v>LS</v>
      </c>
      <c r="M605" t="s">
        <v>1040</v>
      </c>
    </row>
    <row r="606" spans="1:13" x14ac:dyDescent="0.25">
      <c r="A606" s="75">
        <f t="shared" si="9"/>
        <v>605</v>
      </c>
      <c r="B606" t="s">
        <v>13</v>
      </c>
      <c r="C606" t="s">
        <v>1037</v>
      </c>
      <c r="D606" t="s">
        <v>1091</v>
      </c>
      <c r="F606" t="s">
        <v>1090</v>
      </c>
      <c r="G606" t="s">
        <v>24</v>
      </c>
      <c r="H606" s="75" t="str">
        <f>IFERROR(VLOOKUP(Table2[[#This Row],[Ticket]],Okey!A:B,2,0),"")</f>
        <v>ok</v>
      </c>
      <c r="I606" t="s">
        <v>19</v>
      </c>
      <c r="J606" t="str">
        <f>VLOOKUP(Table2[[#This Row],[Author]],People!A:B,2,0)</f>
        <v>LS</v>
      </c>
      <c r="M606" t="s">
        <v>1040</v>
      </c>
    </row>
    <row r="607" spans="1:13" x14ac:dyDescent="0.25">
      <c r="A607" s="75">
        <f t="shared" si="9"/>
        <v>606</v>
      </c>
      <c r="B607" t="s">
        <v>13</v>
      </c>
      <c r="C607" t="s">
        <v>1037</v>
      </c>
      <c r="D607" t="s">
        <v>1092</v>
      </c>
      <c r="F607" t="s">
        <v>1093</v>
      </c>
      <c r="G607" t="s">
        <v>24</v>
      </c>
      <c r="H607" s="75" t="str">
        <f>IFERROR(VLOOKUP(Table2[[#This Row],[Ticket]],Okey!A:B,2,0),"")</f>
        <v>ok</v>
      </c>
      <c r="I607" t="s">
        <v>19</v>
      </c>
      <c r="J607" t="str">
        <f>VLOOKUP(Table2[[#This Row],[Author]],People!A:B,2,0)</f>
        <v>LS</v>
      </c>
      <c r="M607" t="s">
        <v>1040</v>
      </c>
    </row>
    <row r="608" spans="1:13" x14ac:dyDescent="0.25">
      <c r="A608" s="75">
        <f t="shared" si="9"/>
        <v>607</v>
      </c>
      <c r="B608" t="s">
        <v>13</v>
      </c>
      <c r="C608" t="s">
        <v>1037</v>
      </c>
      <c r="D608" t="s">
        <v>1094</v>
      </c>
      <c r="F608" t="s">
        <v>1093</v>
      </c>
      <c r="G608" t="s">
        <v>24</v>
      </c>
      <c r="H608" s="75" t="str">
        <f>IFERROR(VLOOKUP(Table2[[#This Row],[Ticket]],Okey!A:B,2,0),"")</f>
        <v>ok</v>
      </c>
      <c r="I608" t="s">
        <v>19</v>
      </c>
      <c r="J608" t="str">
        <f>VLOOKUP(Table2[[#This Row],[Author]],People!A:B,2,0)</f>
        <v>LS</v>
      </c>
      <c r="M608" t="s">
        <v>1040</v>
      </c>
    </row>
    <row r="609" spans="1:13" x14ac:dyDescent="0.25">
      <c r="A609" s="75">
        <f t="shared" si="9"/>
        <v>608</v>
      </c>
      <c r="B609" t="s">
        <v>13</v>
      </c>
      <c r="C609" t="s">
        <v>1037</v>
      </c>
      <c r="D609" t="s">
        <v>1095</v>
      </c>
      <c r="F609" t="s">
        <v>1093</v>
      </c>
      <c r="G609" t="s">
        <v>24</v>
      </c>
      <c r="H609" s="75" t="str">
        <f>IFERROR(VLOOKUP(Table2[[#This Row],[Ticket]],Okey!A:B,2,0),"")</f>
        <v>ok</v>
      </c>
      <c r="I609" t="s">
        <v>19</v>
      </c>
      <c r="J609" t="str">
        <f>VLOOKUP(Table2[[#This Row],[Author]],People!A:B,2,0)</f>
        <v>LS</v>
      </c>
      <c r="M609" t="s">
        <v>1040</v>
      </c>
    </row>
    <row r="610" spans="1:13" x14ac:dyDescent="0.25">
      <c r="A610" s="75">
        <f t="shared" si="9"/>
        <v>609</v>
      </c>
      <c r="B610" t="s">
        <v>13</v>
      </c>
      <c r="C610" t="s">
        <v>1037</v>
      </c>
      <c r="D610" t="s">
        <v>1096</v>
      </c>
      <c r="F610" t="s">
        <v>1093</v>
      </c>
      <c r="G610" t="s">
        <v>24</v>
      </c>
      <c r="H610" s="75" t="str">
        <f>IFERROR(VLOOKUP(Table2[[#This Row],[Ticket]],Okey!A:B,2,0),"")</f>
        <v>ok</v>
      </c>
      <c r="I610" t="s">
        <v>19</v>
      </c>
      <c r="J610" t="str">
        <f>VLOOKUP(Table2[[#This Row],[Author]],People!A:B,2,0)</f>
        <v>LS</v>
      </c>
      <c r="M610" t="s">
        <v>1040</v>
      </c>
    </row>
    <row r="611" spans="1:13" x14ac:dyDescent="0.25">
      <c r="A611" s="75">
        <f t="shared" si="9"/>
        <v>610</v>
      </c>
      <c r="B611" t="s">
        <v>13</v>
      </c>
      <c r="C611" t="s">
        <v>1037</v>
      </c>
      <c r="D611" t="s">
        <v>1097</v>
      </c>
      <c r="F611" t="s">
        <v>1098</v>
      </c>
      <c r="G611" t="s">
        <v>24</v>
      </c>
      <c r="H611" s="75" t="str">
        <f>IFERROR(VLOOKUP(Table2[[#This Row],[Ticket]],Okey!A:B,2,0),"")</f>
        <v>ok</v>
      </c>
      <c r="I611" t="s">
        <v>19</v>
      </c>
      <c r="J611" t="str">
        <f>VLOOKUP(Table2[[#This Row],[Author]],People!A:B,2,0)</f>
        <v>LS</v>
      </c>
      <c r="M611" t="s">
        <v>1040</v>
      </c>
    </row>
    <row r="612" spans="1:13" x14ac:dyDescent="0.25">
      <c r="A612" s="75">
        <f t="shared" si="9"/>
        <v>611</v>
      </c>
      <c r="B612" t="s">
        <v>13</v>
      </c>
      <c r="C612" t="s">
        <v>1037</v>
      </c>
      <c r="D612" t="s">
        <v>1099</v>
      </c>
      <c r="F612" t="s">
        <v>1098</v>
      </c>
      <c r="G612" t="s">
        <v>24</v>
      </c>
      <c r="H612" s="75" t="str">
        <f>IFERROR(VLOOKUP(Table2[[#This Row],[Ticket]],Okey!A:B,2,0),"")</f>
        <v>ok</v>
      </c>
      <c r="I612" t="s">
        <v>19</v>
      </c>
      <c r="J612" t="str">
        <f>VLOOKUP(Table2[[#This Row],[Author]],People!A:B,2,0)</f>
        <v>LS</v>
      </c>
      <c r="M612" t="s">
        <v>1040</v>
      </c>
    </row>
    <row r="613" spans="1:13" x14ac:dyDescent="0.25">
      <c r="A613" s="75">
        <f t="shared" si="9"/>
        <v>612</v>
      </c>
      <c r="B613" t="s">
        <v>13</v>
      </c>
      <c r="C613" t="s">
        <v>1037</v>
      </c>
      <c r="D613" t="s">
        <v>1100</v>
      </c>
      <c r="F613" t="s">
        <v>1098</v>
      </c>
      <c r="G613" t="s">
        <v>24</v>
      </c>
      <c r="H613" s="75" t="str">
        <f>IFERROR(VLOOKUP(Table2[[#This Row],[Ticket]],Okey!A:B,2,0),"")</f>
        <v>ok</v>
      </c>
      <c r="I613" t="s">
        <v>19</v>
      </c>
      <c r="J613" t="str">
        <f>VLOOKUP(Table2[[#This Row],[Author]],People!A:B,2,0)</f>
        <v>LS</v>
      </c>
      <c r="M613" t="s">
        <v>1040</v>
      </c>
    </row>
    <row r="614" spans="1:13" x14ac:dyDescent="0.25">
      <c r="A614" s="75">
        <f t="shared" si="9"/>
        <v>613</v>
      </c>
      <c r="B614" t="s">
        <v>13</v>
      </c>
      <c r="C614" t="s">
        <v>1037</v>
      </c>
      <c r="D614" t="s">
        <v>1101</v>
      </c>
      <c r="F614" t="s">
        <v>1096</v>
      </c>
      <c r="G614" t="s">
        <v>24</v>
      </c>
      <c r="H614" s="75" t="str">
        <f>IFERROR(VLOOKUP(Table2[[#This Row],[Ticket]],Okey!A:B,2,0),"")</f>
        <v>ok</v>
      </c>
      <c r="I614" t="s">
        <v>19</v>
      </c>
      <c r="J614" t="str">
        <f>VLOOKUP(Table2[[#This Row],[Author]],People!A:B,2,0)</f>
        <v>LS</v>
      </c>
      <c r="M614" t="s">
        <v>1040</v>
      </c>
    </row>
    <row r="615" spans="1:13" x14ac:dyDescent="0.25">
      <c r="A615" s="75">
        <f t="shared" si="9"/>
        <v>614</v>
      </c>
      <c r="B615" t="s">
        <v>13</v>
      </c>
      <c r="C615" t="s">
        <v>1037</v>
      </c>
      <c r="D615" t="s">
        <v>1102</v>
      </c>
      <c r="F615" t="s">
        <v>1093</v>
      </c>
      <c r="G615" t="s">
        <v>24</v>
      </c>
      <c r="H615" s="75" t="str">
        <f>IFERROR(VLOOKUP(Table2[[#This Row],[Ticket]],Okey!A:B,2,0),"")</f>
        <v>ok</v>
      </c>
      <c r="I615" t="s">
        <v>19</v>
      </c>
      <c r="J615" t="str">
        <f>VLOOKUP(Table2[[#This Row],[Author]],People!A:B,2,0)</f>
        <v>LS</v>
      </c>
      <c r="M615" t="s">
        <v>1040</v>
      </c>
    </row>
    <row r="616" spans="1:13" x14ac:dyDescent="0.25">
      <c r="A616" s="75">
        <f t="shared" si="9"/>
        <v>615</v>
      </c>
      <c r="B616" t="s">
        <v>13</v>
      </c>
      <c r="C616" t="s">
        <v>1037</v>
      </c>
      <c r="D616" t="s">
        <v>1103</v>
      </c>
      <c r="F616" t="s">
        <v>1093</v>
      </c>
      <c r="G616" t="s">
        <v>24</v>
      </c>
      <c r="H616" s="75" t="str">
        <f>IFERROR(VLOOKUP(Table2[[#This Row],[Ticket]],Okey!A:B,2,0),"")</f>
        <v>ok</v>
      </c>
      <c r="I616" t="s">
        <v>19</v>
      </c>
      <c r="J616" t="str">
        <f>VLOOKUP(Table2[[#This Row],[Author]],People!A:B,2,0)</f>
        <v>LS</v>
      </c>
      <c r="M616" t="s">
        <v>1040</v>
      </c>
    </row>
    <row r="617" spans="1:13" x14ac:dyDescent="0.25">
      <c r="A617" s="75">
        <f t="shared" si="9"/>
        <v>616</v>
      </c>
      <c r="B617" t="s">
        <v>13</v>
      </c>
      <c r="C617" t="s">
        <v>1037</v>
      </c>
      <c r="D617" t="s">
        <v>1104</v>
      </c>
      <c r="F617" t="s">
        <v>1105</v>
      </c>
      <c r="G617" t="s">
        <v>24</v>
      </c>
      <c r="H617" s="75" t="str">
        <f>IFERROR(VLOOKUP(Table2[[#This Row],[Ticket]],Okey!A:B,2,0),"")</f>
        <v>ok</v>
      </c>
      <c r="I617" t="s">
        <v>19</v>
      </c>
      <c r="J617" t="str">
        <f>VLOOKUP(Table2[[#This Row],[Author]],People!A:B,2,0)</f>
        <v>LS</v>
      </c>
      <c r="M617" t="s">
        <v>1040</v>
      </c>
    </row>
    <row r="618" spans="1:13" x14ac:dyDescent="0.25">
      <c r="A618" s="75">
        <f t="shared" si="9"/>
        <v>617</v>
      </c>
      <c r="B618" t="s">
        <v>13</v>
      </c>
      <c r="C618" t="s">
        <v>1037</v>
      </c>
      <c r="D618" t="s">
        <v>1106</v>
      </c>
      <c r="F618" t="s">
        <v>1107</v>
      </c>
      <c r="G618" t="s">
        <v>24</v>
      </c>
      <c r="H618" s="75" t="str">
        <f>IFERROR(VLOOKUP(Table2[[#This Row],[Ticket]],Okey!A:B,2,0),"")</f>
        <v>ok</v>
      </c>
      <c r="I618" t="s">
        <v>19</v>
      </c>
      <c r="J618" t="str">
        <f>VLOOKUP(Table2[[#This Row],[Author]],People!A:B,2,0)</f>
        <v>LS</v>
      </c>
      <c r="M618" t="s">
        <v>1040</v>
      </c>
    </row>
    <row r="619" spans="1:13" x14ac:dyDescent="0.25">
      <c r="A619" s="75">
        <f t="shared" si="9"/>
        <v>618</v>
      </c>
      <c r="B619" t="s">
        <v>13</v>
      </c>
      <c r="C619" t="s">
        <v>1037</v>
      </c>
      <c r="D619" t="s">
        <v>1108</v>
      </c>
      <c r="F619" t="s">
        <v>1107</v>
      </c>
      <c r="G619" t="s">
        <v>24</v>
      </c>
      <c r="H619" s="75" t="str">
        <f>IFERROR(VLOOKUP(Table2[[#This Row],[Ticket]],Okey!A:B,2,0),"")</f>
        <v>ok</v>
      </c>
      <c r="I619" t="s">
        <v>19</v>
      </c>
      <c r="J619" t="str">
        <f>VLOOKUP(Table2[[#This Row],[Author]],People!A:B,2,0)</f>
        <v>LS</v>
      </c>
      <c r="M619" t="s">
        <v>1040</v>
      </c>
    </row>
    <row r="620" spans="1:13" x14ac:dyDescent="0.25">
      <c r="A620" s="75">
        <f t="shared" si="9"/>
        <v>619</v>
      </c>
      <c r="B620" t="s">
        <v>13</v>
      </c>
      <c r="C620" t="s">
        <v>1037</v>
      </c>
      <c r="D620" t="s">
        <v>1109</v>
      </c>
      <c r="F620" t="s">
        <v>1107</v>
      </c>
      <c r="G620" t="s">
        <v>24</v>
      </c>
      <c r="H620" s="75" t="str">
        <f>IFERROR(VLOOKUP(Table2[[#This Row],[Ticket]],Okey!A:B,2,0),"")</f>
        <v>ok</v>
      </c>
      <c r="I620" t="s">
        <v>19</v>
      </c>
      <c r="J620" t="str">
        <f>VLOOKUP(Table2[[#This Row],[Author]],People!A:B,2,0)</f>
        <v>LS</v>
      </c>
      <c r="M620" t="s">
        <v>1040</v>
      </c>
    </row>
    <row r="621" spans="1:13" x14ac:dyDescent="0.25">
      <c r="A621" s="75">
        <f t="shared" si="9"/>
        <v>620</v>
      </c>
      <c r="B621" t="s">
        <v>13</v>
      </c>
      <c r="C621" t="s">
        <v>1037</v>
      </c>
      <c r="D621" t="s">
        <v>1110</v>
      </c>
      <c r="F621" t="s">
        <v>1111</v>
      </c>
      <c r="G621" t="s">
        <v>24</v>
      </c>
      <c r="H621" s="75" t="str">
        <f>IFERROR(VLOOKUP(Table2[[#This Row],[Ticket]],Okey!A:B,2,0),"")</f>
        <v>ok</v>
      </c>
      <c r="I621" t="s">
        <v>19</v>
      </c>
      <c r="J621" t="str">
        <f>VLOOKUP(Table2[[#This Row],[Author]],People!A:B,2,0)</f>
        <v>LS</v>
      </c>
      <c r="M621" t="s">
        <v>1040</v>
      </c>
    </row>
    <row r="622" spans="1:13" x14ac:dyDescent="0.25">
      <c r="A622" s="75">
        <f t="shared" si="9"/>
        <v>621</v>
      </c>
      <c r="B622" t="s">
        <v>13</v>
      </c>
      <c r="C622" t="s">
        <v>1037</v>
      </c>
      <c r="D622" t="s">
        <v>1112</v>
      </c>
      <c r="F622" t="s">
        <v>1113</v>
      </c>
      <c r="G622" t="s">
        <v>24</v>
      </c>
      <c r="H622" s="75" t="str">
        <f>IFERROR(VLOOKUP(Table2[[#This Row],[Ticket]],Okey!A:B,2,0),"")</f>
        <v>ok</v>
      </c>
      <c r="I622" t="s">
        <v>19</v>
      </c>
      <c r="J622" t="str">
        <f>VLOOKUP(Table2[[#This Row],[Author]],People!A:B,2,0)</f>
        <v>LS</v>
      </c>
      <c r="M622" t="s">
        <v>1040</v>
      </c>
    </row>
    <row r="623" spans="1:13" x14ac:dyDescent="0.25">
      <c r="A623" s="75">
        <f t="shared" si="9"/>
        <v>622</v>
      </c>
      <c r="B623" t="s">
        <v>13</v>
      </c>
      <c r="C623" t="s">
        <v>1037</v>
      </c>
      <c r="D623" t="s">
        <v>1114</v>
      </c>
      <c r="F623" t="s">
        <v>1115</v>
      </c>
      <c r="G623" t="s">
        <v>24</v>
      </c>
      <c r="H623" s="75" t="str">
        <f>IFERROR(VLOOKUP(Table2[[#This Row],[Ticket]],Okey!A:B,2,0),"")</f>
        <v>ok</v>
      </c>
      <c r="I623" t="s">
        <v>19</v>
      </c>
      <c r="J623" t="str">
        <f>VLOOKUP(Table2[[#This Row],[Author]],People!A:B,2,0)</f>
        <v>LS</v>
      </c>
      <c r="M623" t="s">
        <v>1040</v>
      </c>
    </row>
    <row r="624" spans="1:13" x14ac:dyDescent="0.25">
      <c r="A624" s="75">
        <f t="shared" si="9"/>
        <v>623</v>
      </c>
      <c r="B624" t="s">
        <v>13</v>
      </c>
      <c r="C624" t="s">
        <v>1037</v>
      </c>
      <c r="D624" t="s">
        <v>1116</v>
      </c>
      <c r="F624" t="s">
        <v>1115</v>
      </c>
      <c r="G624" t="s">
        <v>24</v>
      </c>
      <c r="H624" s="75" t="str">
        <f>IFERROR(VLOOKUP(Table2[[#This Row],[Ticket]],Okey!A:B,2,0),"")</f>
        <v>ok</v>
      </c>
      <c r="I624" t="s">
        <v>19</v>
      </c>
      <c r="J624" t="str">
        <f>VLOOKUP(Table2[[#This Row],[Author]],People!A:B,2,0)</f>
        <v>LS</v>
      </c>
      <c r="M624" t="s">
        <v>1040</v>
      </c>
    </row>
    <row r="625" spans="1:13" x14ac:dyDescent="0.25">
      <c r="A625" s="75">
        <f t="shared" si="9"/>
        <v>624</v>
      </c>
      <c r="B625" t="s">
        <v>13</v>
      </c>
      <c r="C625" t="s">
        <v>1037</v>
      </c>
      <c r="D625" t="s">
        <v>1117</v>
      </c>
      <c r="F625" t="s">
        <v>1115</v>
      </c>
      <c r="G625" t="s">
        <v>24</v>
      </c>
      <c r="H625" s="75" t="str">
        <f>IFERROR(VLOOKUP(Table2[[#This Row],[Ticket]],Okey!A:B,2,0),"")</f>
        <v>ok</v>
      </c>
      <c r="I625" t="s">
        <v>19</v>
      </c>
      <c r="J625" t="str">
        <f>VLOOKUP(Table2[[#This Row],[Author]],People!A:B,2,0)</f>
        <v>LS</v>
      </c>
      <c r="M625" t="s">
        <v>1040</v>
      </c>
    </row>
    <row r="626" spans="1:13" x14ac:dyDescent="0.25">
      <c r="A626" s="75">
        <f t="shared" si="9"/>
        <v>625</v>
      </c>
      <c r="B626" t="s">
        <v>13</v>
      </c>
      <c r="C626" t="s">
        <v>1037</v>
      </c>
      <c r="D626" t="s">
        <v>1118</v>
      </c>
      <c r="F626" t="s">
        <v>1119</v>
      </c>
      <c r="G626" t="s">
        <v>24</v>
      </c>
      <c r="H626" s="75" t="str">
        <f>IFERROR(VLOOKUP(Table2[[#This Row],[Ticket]],Okey!A:B,2,0),"")</f>
        <v>ok</v>
      </c>
      <c r="I626" t="s">
        <v>19</v>
      </c>
      <c r="J626" t="str">
        <f>VLOOKUP(Table2[[#This Row],[Author]],People!A:B,2,0)</f>
        <v>LS</v>
      </c>
      <c r="M626" t="s">
        <v>1040</v>
      </c>
    </row>
    <row r="627" spans="1:13" x14ac:dyDescent="0.25">
      <c r="A627" s="75">
        <f t="shared" si="9"/>
        <v>626</v>
      </c>
      <c r="B627" t="s">
        <v>13</v>
      </c>
      <c r="C627" t="s">
        <v>1037</v>
      </c>
      <c r="D627" t="s">
        <v>1120</v>
      </c>
      <c r="F627" t="s">
        <v>1119</v>
      </c>
      <c r="G627" t="s">
        <v>24</v>
      </c>
      <c r="H627" s="75" t="str">
        <f>IFERROR(VLOOKUP(Table2[[#This Row],[Ticket]],Okey!A:B,2,0),"")</f>
        <v>ok</v>
      </c>
      <c r="I627" t="s">
        <v>19</v>
      </c>
      <c r="J627" t="str">
        <f>VLOOKUP(Table2[[#This Row],[Author]],People!A:B,2,0)</f>
        <v>LS</v>
      </c>
      <c r="M627" t="s">
        <v>1040</v>
      </c>
    </row>
    <row r="628" spans="1:13" x14ac:dyDescent="0.25">
      <c r="A628" s="75">
        <f t="shared" si="9"/>
        <v>627</v>
      </c>
      <c r="B628" t="s">
        <v>13</v>
      </c>
      <c r="C628" t="s">
        <v>1037</v>
      </c>
      <c r="D628" t="s">
        <v>1121</v>
      </c>
      <c r="F628" t="s">
        <v>1122</v>
      </c>
      <c r="G628" t="s">
        <v>24</v>
      </c>
      <c r="H628" s="75" t="str">
        <f>IFERROR(VLOOKUP(Table2[[#This Row],[Ticket]],Okey!A:B,2,0),"")</f>
        <v>ok</v>
      </c>
      <c r="I628" t="s">
        <v>19</v>
      </c>
      <c r="J628" t="str">
        <f>VLOOKUP(Table2[[#This Row],[Author]],People!A:B,2,0)</f>
        <v>LS</v>
      </c>
      <c r="M628" t="s">
        <v>1040</v>
      </c>
    </row>
    <row r="629" spans="1:13" x14ac:dyDescent="0.25">
      <c r="A629" s="75">
        <f t="shared" si="9"/>
        <v>628</v>
      </c>
      <c r="B629" t="s">
        <v>13</v>
      </c>
      <c r="C629" t="s">
        <v>1037</v>
      </c>
      <c r="D629" t="s">
        <v>1123</v>
      </c>
      <c r="F629" t="s">
        <v>1122</v>
      </c>
      <c r="G629" t="s">
        <v>24</v>
      </c>
      <c r="H629" s="75" t="str">
        <f>IFERROR(VLOOKUP(Table2[[#This Row],[Ticket]],Okey!A:B,2,0),"")</f>
        <v>ok</v>
      </c>
      <c r="I629" t="s">
        <v>19</v>
      </c>
      <c r="J629" t="str">
        <f>VLOOKUP(Table2[[#This Row],[Author]],People!A:B,2,0)</f>
        <v>LS</v>
      </c>
      <c r="M629" t="s">
        <v>1040</v>
      </c>
    </row>
    <row r="630" spans="1:13" x14ac:dyDescent="0.25">
      <c r="A630" s="75">
        <f t="shared" si="9"/>
        <v>629</v>
      </c>
      <c r="B630" t="s">
        <v>13</v>
      </c>
      <c r="C630" t="s">
        <v>1037</v>
      </c>
      <c r="D630" t="s">
        <v>1124</v>
      </c>
      <c r="F630" t="s">
        <v>1122</v>
      </c>
      <c r="G630" t="s">
        <v>24</v>
      </c>
      <c r="H630" s="75" t="str">
        <f>IFERROR(VLOOKUP(Table2[[#This Row],[Ticket]],Okey!A:B,2,0),"")</f>
        <v>ok</v>
      </c>
      <c r="I630" t="s">
        <v>19</v>
      </c>
      <c r="J630" t="str">
        <f>VLOOKUP(Table2[[#This Row],[Author]],People!A:B,2,0)</f>
        <v>LS</v>
      </c>
      <c r="M630" t="s">
        <v>1040</v>
      </c>
    </row>
    <row r="631" spans="1:13" x14ac:dyDescent="0.25">
      <c r="A631" s="75">
        <f t="shared" si="9"/>
        <v>630</v>
      </c>
      <c r="B631" t="s">
        <v>13</v>
      </c>
      <c r="C631" t="s">
        <v>1037</v>
      </c>
      <c r="D631" t="s">
        <v>1125</v>
      </c>
      <c r="F631" t="s">
        <v>1126</v>
      </c>
      <c r="G631" t="s">
        <v>24</v>
      </c>
      <c r="H631" s="75" t="str">
        <f>IFERROR(VLOOKUP(Table2[[#This Row],[Ticket]],Okey!A:B,2,0),"")</f>
        <v>ok</v>
      </c>
      <c r="I631" t="s">
        <v>19</v>
      </c>
      <c r="J631" t="str">
        <f>VLOOKUP(Table2[[#This Row],[Author]],People!A:B,2,0)</f>
        <v>LS</v>
      </c>
      <c r="M631" t="s">
        <v>1040</v>
      </c>
    </row>
    <row r="632" spans="1:13" x14ac:dyDescent="0.25">
      <c r="A632" s="75">
        <f t="shared" si="9"/>
        <v>631</v>
      </c>
      <c r="B632" t="s">
        <v>13</v>
      </c>
      <c r="C632" t="s">
        <v>1037</v>
      </c>
      <c r="D632" t="s">
        <v>1127</v>
      </c>
      <c r="F632" t="s">
        <v>1126</v>
      </c>
      <c r="G632" t="s">
        <v>24</v>
      </c>
      <c r="H632" s="75" t="str">
        <f>IFERROR(VLOOKUP(Table2[[#This Row],[Ticket]],Okey!A:B,2,0),"")</f>
        <v>ok</v>
      </c>
      <c r="I632" t="s">
        <v>19</v>
      </c>
      <c r="J632" t="str">
        <f>VLOOKUP(Table2[[#This Row],[Author]],People!A:B,2,0)</f>
        <v>LS</v>
      </c>
      <c r="M632" t="s">
        <v>1040</v>
      </c>
    </row>
    <row r="633" spans="1:13" x14ac:dyDescent="0.25">
      <c r="A633" s="75">
        <f t="shared" si="9"/>
        <v>632</v>
      </c>
      <c r="B633" t="s">
        <v>13</v>
      </c>
      <c r="C633" t="s">
        <v>1037</v>
      </c>
      <c r="D633" t="s">
        <v>1128</v>
      </c>
      <c r="F633" t="s">
        <v>1126</v>
      </c>
      <c r="G633" t="s">
        <v>24</v>
      </c>
      <c r="H633" s="75" t="str">
        <f>IFERROR(VLOOKUP(Table2[[#This Row],[Ticket]],Okey!A:B,2,0),"")</f>
        <v>ok</v>
      </c>
      <c r="I633" t="s">
        <v>19</v>
      </c>
      <c r="J633" t="str">
        <f>VLOOKUP(Table2[[#This Row],[Author]],People!A:B,2,0)</f>
        <v>LS</v>
      </c>
      <c r="M633" t="s">
        <v>1040</v>
      </c>
    </row>
    <row r="634" spans="1:13" x14ac:dyDescent="0.25">
      <c r="A634" s="75">
        <f t="shared" si="9"/>
        <v>633</v>
      </c>
      <c r="B634" t="s">
        <v>13</v>
      </c>
      <c r="C634" t="s">
        <v>1037</v>
      </c>
      <c r="D634" t="s">
        <v>1129</v>
      </c>
      <c r="F634" t="s">
        <v>1130</v>
      </c>
      <c r="G634" t="s">
        <v>24</v>
      </c>
      <c r="H634" s="75" t="str">
        <f>IFERROR(VLOOKUP(Table2[[#This Row],[Ticket]],Okey!A:B,2,0),"")</f>
        <v>ok</v>
      </c>
      <c r="I634" t="s">
        <v>19</v>
      </c>
      <c r="J634" t="str">
        <f>VLOOKUP(Table2[[#This Row],[Author]],People!A:B,2,0)</f>
        <v>LS</v>
      </c>
      <c r="M634" t="s">
        <v>1040</v>
      </c>
    </row>
    <row r="635" spans="1:13" x14ac:dyDescent="0.25">
      <c r="A635" s="75">
        <f t="shared" si="9"/>
        <v>634</v>
      </c>
      <c r="B635" t="s">
        <v>13</v>
      </c>
      <c r="C635" t="s">
        <v>1037</v>
      </c>
      <c r="D635" t="s">
        <v>1131</v>
      </c>
      <c r="F635" t="s">
        <v>1132</v>
      </c>
      <c r="G635" t="s">
        <v>24</v>
      </c>
      <c r="H635" s="75" t="str">
        <f>IFERROR(VLOOKUP(Table2[[#This Row],[Ticket]],Okey!A:B,2,0),"")</f>
        <v>ok</v>
      </c>
      <c r="I635" t="s">
        <v>19</v>
      </c>
      <c r="J635" t="str">
        <f>VLOOKUP(Table2[[#This Row],[Author]],People!A:B,2,0)</f>
        <v>LS</v>
      </c>
      <c r="M635" t="s">
        <v>1040</v>
      </c>
    </row>
    <row r="636" spans="1:13" x14ac:dyDescent="0.25">
      <c r="A636" s="75">
        <f t="shared" si="9"/>
        <v>635</v>
      </c>
      <c r="B636" t="s">
        <v>13</v>
      </c>
      <c r="C636" t="s">
        <v>1037</v>
      </c>
      <c r="D636" t="s">
        <v>1133</v>
      </c>
      <c r="F636" t="s">
        <v>1134</v>
      </c>
      <c r="G636" t="s">
        <v>24</v>
      </c>
      <c r="H636" s="75" t="str">
        <f>IFERROR(VLOOKUP(Table2[[#This Row],[Ticket]],Okey!A:B,2,0),"")</f>
        <v>ok</v>
      </c>
      <c r="I636" t="s">
        <v>19</v>
      </c>
      <c r="J636" t="str">
        <f>VLOOKUP(Table2[[#This Row],[Author]],People!A:B,2,0)</f>
        <v>LS</v>
      </c>
      <c r="M636" t="s">
        <v>1040</v>
      </c>
    </row>
    <row r="637" spans="1:13" x14ac:dyDescent="0.25">
      <c r="A637" s="75">
        <f t="shared" si="9"/>
        <v>636</v>
      </c>
      <c r="B637" t="s">
        <v>13</v>
      </c>
      <c r="C637" t="s">
        <v>1037</v>
      </c>
      <c r="D637" t="s">
        <v>1135</v>
      </c>
      <c r="F637" t="s">
        <v>1132</v>
      </c>
      <c r="G637" t="s">
        <v>24</v>
      </c>
      <c r="H637" s="75" t="str">
        <f>IFERROR(VLOOKUP(Table2[[#This Row],[Ticket]],Okey!A:B,2,0),"")</f>
        <v>ok</v>
      </c>
      <c r="I637" t="s">
        <v>19</v>
      </c>
      <c r="J637" t="str">
        <f>VLOOKUP(Table2[[#This Row],[Author]],People!A:B,2,0)</f>
        <v>LS</v>
      </c>
      <c r="M637" t="s">
        <v>1040</v>
      </c>
    </row>
    <row r="638" spans="1:13" x14ac:dyDescent="0.25">
      <c r="A638" s="75">
        <f t="shared" si="9"/>
        <v>637</v>
      </c>
      <c r="B638" t="s">
        <v>13</v>
      </c>
      <c r="C638" t="s">
        <v>1037</v>
      </c>
      <c r="D638" t="s">
        <v>1136</v>
      </c>
      <c r="F638" t="s">
        <v>1132</v>
      </c>
      <c r="G638" t="s">
        <v>24</v>
      </c>
      <c r="H638" s="75" t="str">
        <f>IFERROR(VLOOKUP(Table2[[#This Row],[Ticket]],Okey!A:B,2,0),"")</f>
        <v>ok</v>
      </c>
      <c r="I638" t="s">
        <v>19</v>
      </c>
      <c r="J638" t="str">
        <f>VLOOKUP(Table2[[#This Row],[Author]],People!A:B,2,0)</f>
        <v>LS</v>
      </c>
      <c r="M638" t="s">
        <v>1040</v>
      </c>
    </row>
    <row r="639" spans="1:13" x14ac:dyDescent="0.25">
      <c r="A639" s="75">
        <f t="shared" si="9"/>
        <v>638</v>
      </c>
      <c r="B639" t="s">
        <v>13</v>
      </c>
      <c r="C639" t="s">
        <v>1037</v>
      </c>
      <c r="D639" t="s">
        <v>1137</v>
      </c>
      <c r="F639" t="s">
        <v>1138</v>
      </c>
      <c r="G639" t="s">
        <v>24</v>
      </c>
      <c r="H639" s="75" t="str">
        <f>IFERROR(VLOOKUP(Table2[[#This Row],[Ticket]],Okey!A:B,2,0),"")</f>
        <v>ok</v>
      </c>
      <c r="I639" t="s">
        <v>19</v>
      </c>
      <c r="J639" t="str">
        <f>VLOOKUP(Table2[[#This Row],[Author]],People!A:B,2,0)</f>
        <v>LS</v>
      </c>
      <c r="M639" t="s">
        <v>1040</v>
      </c>
    </row>
    <row r="640" spans="1:13" x14ac:dyDescent="0.25">
      <c r="A640" s="75">
        <f t="shared" si="9"/>
        <v>639</v>
      </c>
      <c r="B640" t="s">
        <v>13</v>
      </c>
      <c r="C640" t="s">
        <v>1037</v>
      </c>
      <c r="D640" t="s">
        <v>1139</v>
      </c>
      <c r="F640" t="s">
        <v>1138</v>
      </c>
      <c r="G640" t="s">
        <v>24</v>
      </c>
      <c r="H640" s="75" t="str">
        <f>IFERROR(VLOOKUP(Table2[[#This Row],[Ticket]],Okey!A:B,2,0),"")</f>
        <v>ok</v>
      </c>
      <c r="I640" t="s">
        <v>19</v>
      </c>
      <c r="J640" t="str">
        <f>VLOOKUP(Table2[[#This Row],[Author]],People!A:B,2,0)</f>
        <v>LS</v>
      </c>
      <c r="M640" t="s">
        <v>1040</v>
      </c>
    </row>
    <row r="641" spans="1:13" x14ac:dyDescent="0.25">
      <c r="A641" s="75">
        <f t="shared" si="9"/>
        <v>640</v>
      </c>
      <c r="B641" t="s">
        <v>13</v>
      </c>
      <c r="C641" t="s">
        <v>1037</v>
      </c>
      <c r="D641" t="s">
        <v>1140</v>
      </c>
      <c r="F641" t="s">
        <v>1138</v>
      </c>
      <c r="G641" t="s">
        <v>24</v>
      </c>
      <c r="H641" s="75" t="str">
        <f>IFERROR(VLOOKUP(Table2[[#This Row],[Ticket]],Okey!A:B,2,0),"")</f>
        <v>ok</v>
      </c>
      <c r="I641" t="s">
        <v>19</v>
      </c>
      <c r="J641" t="str">
        <f>VLOOKUP(Table2[[#This Row],[Author]],People!A:B,2,0)</f>
        <v>LS</v>
      </c>
      <c r="M641" t="s">
        <v>1040</v>
      </c>
    </row>
    <row r="642" spans="1:13" x14ac:dyDescent="0.25">
      <c r="A642" s="75">
        <f t="shared" si="9"/>
        <v>641</v>
      </c>
      <c r="B642" t="s">
        <v>13</v>
      </c>
      <c r="C642" t="s">
        <v>1037</v>
      </c>
      <c r="D642" t="s">
        <v>1141</v>
      </c>
      <c r="F642" t="s">
        <v>1142</v>
      </c>
      <c r="G642" t="s">
        <v>24</v>
      </c>
      <c r="H642" s="75" t="str">
        <f>IFERROR(VLOOKUP(Table2[[#This Row],[Ticket]],Okey!A:B,2,0),"")</f>
        <v>ok</v>
      </c>
      <c r="I642" t="s">
        <v>19</v>
      </c>
      <c r="J642" t="str">
        <f>VLOOKUP(Table2[[#This Row],[Author]],People!A:B,2,0)</f>
        <v>LS</v>
      </c>
      <c r="M642" t="s">
        <v>1040</v>
      </c>
    </row>
    <row r="643" spans="1:13" x14ac:dyDescent="0.25">
      <c r="A643" s="75">
        <f t="shared" si="9"/>
        <v>642</v>
      </c>
      <c r="B643" t="s">
        <v>13</v>
      </c>
      <c r="C643" t="s">
        <v>1037</v>
      </c>
      <c r="D643" t="s">
        <v>1143</v>
      </c>
      <c r="F643" t="s">
        <v>1132</v>
      </c>
      <c r="G643" t="s">
        <v>24</v>
      </c>
      <c r="H643" s="75" t="str">
        <f>IFERROR(VLOOKUP(Table2[[#This Row],[Ticket]],Okey!A:B,2,0),"")</f>
        <v>ok</v>
      </c>
      <c r="I643" t="s">
        <v>19</v>
      </c>
      <c r="J643" t="str">
        <f>VLOOKUP(Table2[[#This Row],[Author]],People!A:B,2,0)</f>
        <v>LS</v>
      </c>
      <c r="M643" t="s">
        <v>1040</v>
      </c>
    </row>
    <row r="644" spans="1:13" x14ac:dyDescent="0.25">
      <c r="A644" s="75">
        <f t="shared" si="9"/>
        <v>643</v>
      </c>
      <c r="B644" t="s">
        <v>13</v>
      </c>
      <c r="C644" t="s">
        <v>1037</v>
      </c>
      <c r="D644" t="s">
        <v>1144</v>
      </c>
      <c r="F644" t="s">
        <v>1142</v>
      </c>
      <c r="G644" t="s">
        <v>24</v>
      </c>
      <c r="H644" s="75" t="str">
        <f>IFERROR(VLOOKUP(Table2[[#This Row],[Ticket]],Okey!A:B,2,0),"")</f>
        <v>ok</v>
      </c>
      <c r="I644" t="s">
        <v>19</v>
      </c>
      <c r="J644" t="str">
        <f>VLOOKUP(Table2[[#This Row],[Author]],People!A:B,2,0)</f>
        <v>LS</v>
      </c>
      <c r="M644" t="s">
        <v>1040</v>
      </c>
    </row>
    <row r="645" spans="1:13" x14ac:dyDescent="0.25">
      <c r="A645" s="75">
        <f t="shared" si="9"/>
        <v>644</v>
      </c>
      <c r="B645" t="s">
        <v>13</v>
      </c>
      <c r="C645" t="s">
        <v>1037</v>
      </c>
      <c r="D645" t="s">
        <v>1145</v>
      </c>
      <c r="F645" t="s">
        <v>1132</v>
      </c>
      <c r="G645" t="s">
        <v>24</v>
      </c>
      <c r="H645" s="75" t="str">
        <f>IFERROR(VLOOKUP(Table2[[#This Row],[Ticket]],Okey!A:B,2,0),"")</f>
        <v>ok</v>
      </c>
      <c r="I645" t="s">
        <v>19</v>
      </c>
      <c r="J645" t="str">
        <f>VLOOKUP(Table2[[#This Row],[Author]],People!A:B,2,0)</f>
        <v>LS</v>
      </c>
      <c r="M645" t="s">
        <v>1040</v>
      </c>
    </row>
    <row r="646" spans="1:13" x14ac:dyDescent="0.25">
      <c r="A646" s="75">
        <f t="shared" si="9"/>
        <v>645</v>
      </c>
      <c r="B646" t="s">
        <v>13</v>
      </c>
      <c r="C646" t="s">
        <v>1037</v>
      </c>
      <c r="D646" t="s">
        <v>1146</v>
      </c>
      <c r="F646" t="s">
        <v>1147</v>
      </c>
      <c r="G646" t="s">
        <v>24</v>
      </c>
      <c r="H646" s="75" t="str">
        <f>IFERROR(VLOOKUP(Table2[[#This Row],[Ticket]],Okey!A:B,2,0),"")</f>
        <v>ok</v>
      </c>
      <c r="I646" t="s">
        <v>19</v>
      </c>
      <c r="J646" t="str">
        <f>VLOOKUP(Table2[[#This Row],[Author]],People!A:B,2,0)</f>
        <v>LS</v>
      </c>
      <c r="M646" t="s">
        <v>1040</v>
      </c>
    </row>
    <row r="647" spans="1:13" x14ac:dyDescent="0.25">
      <c r="A647" s="75">
        <f t="shared" si="9"/>
        <v>646</v>
      </c>
      <c r="B647" t="s">
        <v>13</v>
      </c>
      <c r="C647" t="s">
        <v>1037</v>
      </c>
      <c r="D647" t="s">
        <v>1148</v>
      </c>
      <c r="F647" t="s">
        <v>1142</v>
      </c>
      <c r="G647" t="s">
        <v>24</v>
      </c>
      <c r="H647" s="75" t="str">
        <f>IFERROR(VLOOKUP(Table2[[#This Row],[Ticket]],Okey!A:B,2,0),"")</f>
        <v>ok</v>
      </c>
      <c r="I647" t="s">
        <v>19</v>
      </c>
      <c r="J647" t="str">
        <f>VLOOKUP(Table2[[#This Row],[Author]],People!A:B,2,0)</f>
        <v>LS</v>
      </c>
      <c r="M647" t="s">
        <v>1040</v>
      </c>
    </row>
    <row r="648" spans="1:13" x14ac:dyDescent="0.25">
      <c r="A648" s="75">
        <f t="shared" si="9"/>
        <v>647</v>
      </c>
      <c r="B648" t="s">
        <v>13</v>
      </c>
      <c r="C648" t="s">
        <v>1037</v>
      </c>
      <c r="D648" t="s">
        <v>1149</v>
      </c>
      <c r="F648" t="s">
        <v>1147</v>
      </c>
      <c r="G648" t="s">
        <v>24</v>
      </c>
      <c r="H648" s="75" t="str">
        <f>IFERROR(VLOOKUP(Table2[[#This Row],[Ticket]],Okey!A:B,2,0),"")</f>
        <v>ok</v>
      </c>
      <c r="I648" t="s">
        <v>19</v>
      </c>
      <c r="J648" t="str">
        <f>VLOOKUP(Table2[[#This Row],[Author]],People!A:B,2,0)</f>
        <v>LS</v>
      </c>
      <c r="M648" t="s">
        <v>1040</v>
      </c>
    </row>
    <row r="649" spans="1:13" x14ac:dyDescent="0.25">
      <c r="A649" s="75">
        <f t="shared" ref="A649:A712" si="10">1+A648</f>
        <v>648</v>
      </c>
      <c r="B649" t="s">
        <v>13</v>
      </c>
      <c r="C649" t="s">
        <v>1037</v>
      </c>
      <c r="D649" t="s">
        <v>1150</v>
      </c>
      <c r="F649" t="s">
        <v>1147</v>
      </c>
      <c r="G649" t="s">
        <v>24</v>
      </c>
      <c r="H649" s="75" t="str">
        <f>IFERROR(VLOOKUP(Table2[[#This Row],[Ticket]],Okey!A:B,2,0),"")</f>
        <v>ok</v>
      </c>
      <c r="I649" t="s">
        <v>19</v>
      </c>
      <c r="J649" t="str">
        <f>VLOOKUP(Table2[[#This Row],[Author]],People!A:B,2,0)</f>
        <v>LS</v>
      </c>
      <c r="M649" t="s">
        <v>1040</v>
      </c>
    </row>
    <row r="650" spans="1:13" x14ac:dyDescent="0.25">
      <c r="A650" s="75">
        <f t="shared" si="10"/>
        <v>649</v>
      </c>
      <c r="B650" t="s">
        <v>13</v>
      </c>
      <c r="C650" t="s">
        <v>1037</v>
      </c>
      <c r="D650" t="s">
        <v>1151</v>
      </c>
      <c r="F650" t="s">
        <v>1142</v>
      </c>
      <c r="G650" t="s">
        <v>24</v>
      </c>
      <c r="H650" s="75" t="str">
        <f>IFERROR(VLOOKUP(Table2[[#This Row],[Ticket]],Okey!A:B,2,0),"")</f>
        <v>ok</v>
      </c>
      <c r="I650" t="s">
        <v>19</v>
      </c>
      <c r="J650" t="str">
        <f>VLOOKUP(Table2[[#This Row],[Author]],People!A:B,2,0)</f>
        <v>LS</v>
      </c>
      <c r="M650" t="s">
        <v>1040</v>
      </c>
    </row>
    <row r="651" spans="1:13" x14ac:dyDescent="0.25">
      <c r="A651" s="75">
        <f t="shared" si="10"/>
        <v>650</v>
      </c>
      <c r="B651" t="s">
        <v>13</v>
      </c>
      <c r="C651" t="s">
        <v>1037</v>
      </c>
      <c r="D651" t="s">
        <v>1152</v>
      </c>
      <c r="F651" t="s">
        <v>1142</v>
      </c>
      <c r="G651" t="s">
        <v>24</v>
      </c>
      <c r="H651" s="75" t="str">
        <f>IFERROR(VLOOKUP(Table2[[#This Row],[Ticket]],Okey!A:B,2,0),"")</f>
        <v>ok</v>
      </c>
      <c r="I651" t="s">
        <v>19</v>
      </c>
      <c r="J651" t="str">
        <f>VLOOKUP(Table2[[#This Row],[Author]],People!A:B,2,0)</f>
        <v>LS</v>
      </c>
      <c r="M651" t="s">
        <v>1040</v>
      </c>
    </row>
    <row r="652" spans="1:13" x14ac:dyDescent="0.25">
      <c r="A652" s="75">
        <f t="shared" si="10"/>
        <v>651</v>
      </c>
      <c r="B652" t="s">
        <v>13</v>
      </c>
      <c r="C652" t="s">
        <v>1037</v>
      </c>
      <c r="D652" t="s">
        <v>1153</v>
      </c>
      <c r="F652" t="s">
        <v>1154</v>
      </c>
      <c r="G652" t="s">
        <v>24</v>
      </c>
      <c r="H652" s="75" t="str">
        <f>IFERROR(VLOOKUP(Table2[[#This Row],[Ticket]],Okey!A:B,2,0),"")</f>
        <v>ok</v>
      </c>
      <c r="I652" t="s">
        <v>19</v>
      </c>
      <c r="J652" t="str">
        <f>VLOOKUP(Table2[[#This Row],[Author]],People!A:B,2,0)</f>
        <v>LS</v>
      </c>
      <c r="M652" t="s">
        <v>1040</v>
      </c>
    </row>
    <row r="653" spans="1:13" x14ac:dyDescent="0.25">
      <c r="A653" s="75">
        <f t="shared" si="10"/>
        <v>652</v>
      </c>
      <c r="B653" t="s">
        <v>13</v>
      </c>
      <c r="C653" t="s">
        <v>1037</v>
      </c>
      <c r="D653" t="s">
        <v>1155</v>
      </c>
      <c r="F653" t="s">
        <v>1142</v>
      </c>
      <c r="G653" t="s">
        <v>24</v>
      </c>
      <c r="H653" s="75" t="str">
        <f>IFERROR(VLOOKUP(Table2[[#This Row],[Ticket]],Okey!A:B,2,0),"")</f>
        <v>ok</v>
      </c>
      <c r="I653" t="s">
        <v>19</v>
      </c>
      <c r="J653" t="str">
        <f>VLOOKUP(Table2[[#This Row],[Author]],People!A:B,2,0)</f>
        <v>LS</v>
      </c>
      <c r="M653" t="s">
        <v>1040</v>
      </c>
    </row>
    <row r="654" spans="1:13" x14ac:dyDescent="0.25">
      <c r="A654" s="75">
        <f t="shared" si="10"/>
        <v>653</v>
      </c>
      <c r="B654" t="s">
        <v>13</v>
      </c>
      <c r="C654" t="s">
        <v>1037</v>
      </c>
      <c r="D654" t="s">
        <v>1156</v>
      </c>
      <c r="F654" t="s">
        <v>1142</v>
      </c>
      <c r="G654" t="s">
        <v>24</v>
      </c>
      <c r="H654" s="75" t="str">
        <f>IFERROR(VLOOKUP(Table2[[#This Row],[Ticket]],Okey!A:B,2,0),"")</f>
        <v>ok</v>
      </c>
      <c r="I654" t="s">
        <v>19</v>
      </c>
      <c r="J654" t="str">
        <f>VLOOKUP(Table2[[#This Row],[Author]],People!A:B,2,0)</f>
        <v>LS</v>
      </c>
      <c r="M654" t="s">
        <v>1040</v>
      </c>
    </row>
    <row r="655" spans="1:13" x14ac:dyDescent="0.25">
      <c r="A655" s="75">
        <f t="shared" si="10"/>
        <v>654</v>
      </c>
      <c r="B655" t="s">
        <v>13</v>
      </c>
      <c r="C655" t="s">
        <v>1037</v>
      </c>
      <c r="D655" t="s">
        <v>1157</v>
      </c>
      <c r="F655" t="s">
        <v>1154</v>
      </c>
      <c r="G655" t="s">
        <v>24</v>
      </c>
      <c r="H655" s="75" t="str">
        <f>IFERROR(VLOOKUP(Table2[[#This Row],[Ticket]],Okey!A:B,2,0),"")</f>
        <v>ok</v>
      </c>
      <c r="I655" t="s">
        <v>19</v>
      </c>
      <c r="J655" t="str">
        <f>VLOOKUP(Table2[[#This Row],[Author]],People!A:B,2,0)</f>
        <v>LS</v>
      </c>
      <c r="M655" t="s">
        <v>1040</v>
      </c>
    </row>
    <row r="656" spans="1:13" x14ac:dyDescent="0.25">
      <c r="A656" s="75">
        <f t="shared" si="10"/>
        <v>655</v>
      </c>
      <c r="B656" t="s">
        <v>13</v>
      </c>
      <c r="C656" t="s">
        <v>1037</v>
      </c>
      <c r="D656" t="s">
        <v>1158</v>
      </c>
      <c r="F656" t="s">
        <v>1154</v>
      </c>
      <c r="G656" t="s">
        <v>24</v>
      </c>
      <c r="H656" s="75" t="str">
        <f>IFERROR(VLOOKUP(Table2[[#This Row],[Ticket]],Okey!A:B,2,0),"")</f>
        <v>ok</v>
      </c>
      <c r="I656" t="s">
        <v>19</v>
      </c>
      <c r="J656" t="str">
        <f>VLOOKUP(Table2[[#This Row],[Author]],People!A:B,2,0)</f>
        <v>LS</v>
      </c>
      <c r="M656" t="s">
        <v>1040</v>
      </c>
    </row>
    <row r="657" spans="1:13" x14ac:dyDescent="0.25">
      <c r="A657" s="75">
        <f t="shared" si="10"/>
        <v>656</v>
      </c>
      <c r="B657" t="s">
        <v>13</v>
      </c>
      <c r="C657" t="s">
        <v>1037</v>
      </c>
      <c r="D657" t="s">
        <v>1159</v>
      </c>
      <c r="F657" t="s">
        <v>1154</v>
      </c>
      <c r="G657" t="s">
        <v>24</v>
      </c>
      <c r="H657" s="75" t="str">
        <f>IFERROR(VLOOKUP(Table2[[#This Row],[Ticket]],Okey!A:B,2,0),"")</f>
        <v>ok</v>
      </c>
      <c r="I657" t="s">
        <v>19</v>
      </c>
      <c r="J657" t="str">
        <f>VLOOKUP(Table2[[#This Row],[Author]],People!A:B,2,0)</f>
        <v>LS</v>
      </c>
      <c r="M657" t="s">
        <v>1040</v>
      </c>
    </row>
    <row r="658" spans="1:13" x14ac:dyDescent="0.25">
      <c r="A658" s="75">
        <f t="shared" si="10"/>
        <v>657</v>
      </c>
      <c r="B658" t="s">
        <v>13</v>
      </c>
      <c r="C658" t="s">
        <v>1037</v>
      </c>
      <c r="D658" t="s">
        <v>1160</v>
      </c>
      <c r="F658" t="s">
        <v>1147</v>
      </c>
      <c r="G658" t="s">
        <v>24</v>
      </c>
      <c r="H658" s="75" t="str">
        <f>IFERROR(VLOOKUP(Table2[[#This Row],[Ticket]],Okey!A:B,2,0),"")</f>
        <v>ok</v>
      </c>
      <c r="I658" t="s">
        <v>19</v>
      </c>
      <c r="J658" t="str">
        <f>VLOOKUP(Table2[[#This Row],[Author]],People!A:B,2,0)</f>
        <v>LS</v>
      </c>
      <c r="M658" t="s">
        <v>1040</v>
      </c>
    </row>
    <row r="659" spans="1:13" x14ac:dyDescent="0.25">
      <c r="A659" s="75">
        <f t="shared" si="10"/>
        <v>658</v>
      </c>
      <c r="B659" t="s">
        <v>13</v>
      </c>
      <c r="C659" t="s">
        <v>1037</v>
      </c>
      <c r="D659" t="s">
        <v>1161</v>
      </c>
      <c r="F659" t="s">
        <v>1142</v>
      </c>
      <c r="G659" t="s">
        <v>24</v>
      </c>
      <c r="H659" s="75" t="str">
        <f>IFERROR(VLOOKUP(Table2[[#This Row],[Ticket]],Okey!A:B,2,0),"")</f>
        <v>ok</v>
      </c>
      <c r="I659" t="s">
        <v>19</v>
      </c>
      <c r="J659" t="str">
        <f>VLOOKUP(Table2[[#This Row],[Author]],People!A:B,2,0)</f>
        <v>LS</v>
      </c>
      <c r="M659" t="s">
        <v>1040</v>
      </c>
    </row>
    <row r="660" spans="1:13" x14ac:dyDescent="0.25">
      <c r="A660" s="75">
        <f t="shared" si="10"/>
        <v>659</v>
      </c>
      <c r="B660" t="s">
        <v>13</v>
      </c>
      <c r="C660" t="s">
        <v>1037</v>
      </c>
      <c r="D660" t="s">
        <v>1162</v>
      </c>
      <c r="F660" t="s">
        <v>1142</v>
      </c>
      <c r="G660" t="s">
        <v>24</v>
      </c>
      <c r="H660" s="75" t="str">
        <f>IFERROR(VLOOKUP(Table2[[#This Row],[Ticket]],Okey!A:B,2,0),"")</f>
        <v>ok</v>
      </c>
      <c r="I660" t="s">
        <v>19</v>
      </c>
      <c r="J660" t="str">
        <f>VLOOKUP(Table2[[#This Row],[Author]],People!A:B,2,0)</f>
        <v>LS</v>
      </c>
      <c r="M660" t="s">
        <v>1040</v>
      </c>
    </row>
    <row r="661" spans="1:13" x14ac:dyDescent="0.25">
      <c r="A661" s="75">
        <f t="shared" si="10"/>
        <v>660</v>
      </c>
      <c r="B661" t="s">
        <v>13</v>
      </c>
      <c r="C661" t="s">
        <v>1037</v>
      </c>
      <c r="D661" t="s">
        <v>1163</v>
      </c>
      <c r="F661" t="s">
        <v>1142</v>
      </c>
      <c r="G661" t="s">
        <v>24</v>
      </c>
      <c r="H661" s="75" t="str">
        <f>IFERROR(VLOOKUP(Table2[[#This Row],[Ticket]],Okey!A:B,2,0),"")</f>
        <v>ok</v>
      </c>
      <c r="I661" t="s">
        <v>19</v>
      </c>
      <c r="J661" t="str">
        <f>VLOOKUP(Table2[[#This Row],[Author]],People!A:B,2,0)</f>
        <v>LS</v>
      </c>
      <c r="M661" t="s">
        <v>1040</v>
      </c>
    </row>
    <row r="662" spans="1:13" x14ac:dyDescent="0.25">
      <c r="A662" s="75">
        <f t="shared" si="10"/>
        <v>661</v>
      </c>
      <c r="B662" t="s">
        <v>13</v>
      </c>
      <c r="C662" t="s">
        <v>1037</v>
      </c>
      <c r="D662" t="s">
        <v>1164</v>
      </c>
      <c r="F662" t="s">
        <v>1154</v>
      </c>
      <c r="G662" t="s">
        <v>24</v>
      </c>
      <c r="H662" s="75" t="str">
        <f>IFERROR(VLOOKUP(Table2[[#This Row],[Ticket]],Okey!A:B,2,0),"")</f>
        <v>ok</v>
      </c>
      <c r="I662" t="s">
        <v>19</v>
      </c>
      <c r="J662" t="str">
        <f>VLOOKUP(Table2[[#This Row],[Author]],People!A:B,2,0)</f>
        <v>LS</v>
      </c>
      <c r="M662" t="s">
        <v>1040</v>
      </c>
    </row>
    <row r="663" spans="1:13" x14ac:dyDescent="0.25">
      <c r="A663" s="75">
        <f t="shared" si="10"/>
        <v>662</v>
      </c>
      <c r="B663" t="s">
        <v>13</v>
      </c>
      <c r="C663" t="s">
        <v>1037</v>
      </c>
      <c r="D663" t="s">
        <v>1165</v>
      </c>
      <c r="F663" t="s">
        <v>1147</v>
      </c>
      <c r="G663" t="s">
        <v>24</v>
      </c>
      <c r="H663" s="75" t="str">
        <f>IFERROR(VLOOKUP(Table2[[#This Row],[Ticket]],Okey!A:B,2,0),"")</f>
        <v>ok</v>
      </c>
      <c r="I663" t="s">
        <v>19</v>
      </c>
      <c r="J663" t="str">
        <f>VLOOKUP(Table2[[#This Row],[Author]],People!A:B,2,0)</f>
        <v>LS</v>
      </c>
      <c r="M663" t="s">
        <v>1040</v>
      </c>
    </row>
    <row r="664" spans="1:13" x14ac:dyDescent="0.25">
      <c r="A664" s="75">
        <f t="shared" si="10"/>
        <v>663</v>
      </c>
      <c r="B664" t="s">
        <v>13</v>
      </c>
      <c r="C664" t="s">
        <v>1037</v>
      </c>
      <c r="D664" t="s">
        <v>1166</v>
      </c>
      <c r="F664" t="s">
        <v>1147</v>
      </c>
      <c r="G664" t="s">
        <v>24</v>
      </c>
      <c r="H664" s="75" t="str">
        <f>IFERROR(VLOOKUP(Table2[[#This Row],[Ticket]],Okey!A:B,2,0),"")</f>
        <v>ok</v>
      </c>
      <c r="I664" t="s">
        <v>19</v>
      </c>
      <c r="J664" t="str">
        <f>VLOOKUP(Table2[[#This Row],[Author]],People!A:B,2,0)</f>
        <v>LS</v>
      </c>
      <c r="M664" t="s">
        <v>1040</v>
      </c>
    </row>
    <row r="665" spans="1:13" x14ac:dyDescent="0.25">
      <c r="A665" s="75">
        <f t="shared" si="10"/>
        <v>664</v>
      </c>
      <c r="B665" t="s">
        <v>13</v>
      </c>
      <c r="C665" t="s">
        <v>1037</v>
      </c>
      <c r="D665" t="s">
        <v>1167</v>
      </c>
      <c r="F665" t="s">
        <v>1147</v>
      </c>
      <c r="G665" t="s">
        <v>24</v>
      </c>
      <c r="H665" s="75" t="str">
        <f>IFERROR(VLOOKUP(Table2[[#This Row],[Ticket]],Okey!A:B,2,0),"")</f>
        <v>ok</v>
      </c>
      <c r="I665" t="s">
        <v>19</v>
      </c>
      <c r="J665" t="str">
        <f>VLOOKUP(Table2[[#This Row],[Author]],People!A:B,2,0)</f>
        <v>LS</v>
      </c>
      <c r="M665" t="s">
        <v>1040</v>
      </c>
    </row>
    <row r="666" spans="1:13" x14ac:dyDescent="0.25">
      <c r="A666" s="75">
        <f t="shared" si="10"/>
        <v>665</v>
      </c>
      <c r="B666" t="s">
        <v>13</v>
      </c>
      <c r="C666" t="s">
        <v>1037</v>
      </c>
      <c r="D666" t="s">
        <v>1168</v>
      </c>
      <c r="F666" t="s">
        <v>1147</v>
      </c>
      <c r="G666" t="s">
        <v>24</v>
      </c>
      <c r="H666" s="75" t="str">
        <f>IFERROR(VLOOKUP(Table2[[#This Row],[Ticket]],Okey!A:B,2,0),"")</f>
        <v>ok</v>
      </c>
      <c r="I666" t="s">
        <v>19</v>
      </c>
      <c r="J666" t="str">
        <f>VLOOKUP(Table2[[#This Row],[Author]],People!A:B,2,0)</f>
        <v>LS</v>
      </c>
      <c r="M666" t="s">
        <v>1040</v>
      </c>
    </row>
    <row r="667" spans="1:13" x14ac:dyDescent="0.25">
      <c r="A667" s="75">
        <f t="shared" si="10"/>
        <v>666</v>
      </c>
      <c r="B667" t="s">
        <v>13</v>
      </c>
      <c r="C667" t="s">
        <v>1037</v>
      </c>
      <c r="D667" t="s">
        <v>1169</v>
      </c>
      <c r="F667" t="s">
        <v>1147</v>
      </c>
      <c r="G667" t="s">
        <v>24</v>
      </c>
      <c r="H667" s="75" t="str">
        <f>IFERROR(VLOOKUP(Table2[[#This Row],[Ticket]],Okey!A:B,2,0),"")</f>
        <v>ok</v>
      </c>
      <c r="I667" t="s">
        <v>19</v>
      </c>
      <c r="J667" t="str">
        <f>VLOOKUP(Table2[[#This Row],[Author]],People!A:B,2,0)</f>
        <v>LS</v>
      </c>
      <c r="M667" t="s">
        <v>1040</v>
      </c>
    </row>
    <row r="668" spans="1:13" x14ac:dyDescent="0.25">
      <c r="A668" s="75">
        <f t="shared" si="10"/>
        <v>667</v>
      </c>
      <c r="B668" t="s">
        <v>13</v>
      </c>
      <c r="C668" t="s">
        <v>1037</v>
      </c>
      <c r="D668" t="s">
        <v>1170</v>
      </c>
      <c r="F668" t="s">
        <v>1147</v>
      </c>
      <c r="G668" t="s">
        <v>24</v>
      </c>
      <c r="H668" s="75" t="str">
        <f>IFERROR(VLOOKUP(Table2[[#This Row],[Ticket]],Okey!A:B,2,0),"")</f>
        <v>ok</v>
      </c>
      <c r="I668" t="s">
        <v>19</v>
      </c>
      <c r="J668" t="str">
        <f>VLOOKUP(Table2[[#This Row],[Author]],People!A:B,2,0)</f>
        <v>LS</v>
      </c>
      <c r="M668" t="s">
        <v>1040</v>
      </c>
    </row>
    <row r="669" spans="1:13" x14ac:dyDescent="0.25">
      <c r="A669" s="75">
        <f t="shared" si="10"/>
        <v>668</v>
      </c>
      <c r="B669" t="s">
        <v>13</v>
      </c>
      <c r="C669" t="s">
        <v>1037</v>
      </c>
      <c r="D669" t="s">
        <v>1171</v>
      </c>
      <c r="F669" t="s">
        <v>1147</v>
      </c>
      <c r="G669" t="s">
        <v>24</v>
      </c>
      <c r="H669" s="75" t="str">
        <f>IFERROR(VLOOKUP(Table2[[#This Row],[Ticket]],Okey!A:B,2,0),"")</f>
        <v>ok</v>
      </c>
      <c r="I669" t="s">
        <v>19</v>
      </c>
      <c r="J669" t="str">
        <f>VLOOKUP(Table2[[#This Row],[Author]],People!A:B,2,0)</f>
        <v>LS</v>
      </c>
      <c r="M669" t="s">
        <v>1040</v>
      </c>
    </row>
    <row r="670" spans="1:13" x14ac:dyDescent="0.25">
      <c r="A670" s="75">
        <f t="shared" si="10"/>
        <v>669</v>
      </c>
      <c r="B670" t="s">
        <v>13</v>
      </c>
      <c r="C670" t="s">
        <v>1037</v>
      </c>
      <c r="D670" t="s">
        <v>1172</v>
      </c>
      <c r="F670" t="s">
        <v>1147</v>
      </c>
      <c r="G670" t="s">
        <v>24</v>
      </c>
      <c r="H670" s="75" t="str">
        <f>IFERROR(VLOOKUP(Table2[[#This Row],[Ticket]],Okey!A:B,2,0),"")</f>
        <v>ok</v>
      </c>
      <c r="I670" t="s">
        <v>19</v>
      </c>
      <c r="J670" t="str">
        <f>VLOOKUP(Table2[[#This Row],[Author]],People!A:B,2,0)</f>
        <v>LS</v>
      </c>
      <c r="M670" t="s">
        <v>1040</v>
      </c>
    </row>
    <row r="671" spans="1:13" x14ac:dyDescent="0.25">
      <c r="A671" s="75">
        <f t="shared" si="10"/>
        <v>670</v>
      </c>
      <c r="B671" t="s">
        <v>13</v>
      </c>
      <c r="C671" t="s">
        <v>1037</v>
      </c>
      <c r="D671" t="s">
        <v>1173</v>
      </c>
      <c r="F671" t="s">
        <v>1147</v>
      </c>
      <c r="G671" t="s">
        <v>24</v>
      </c>
      <c r="H671" s="75" t="str">
        <f>IFERROR(VLOOKUP(Table2[[#This Row],[Ticket]],Okey!A:B,2,0),"")</f>
        <v>ok</v>
      </c>
      <c r="I671" t="s">
        <v>19</v>
      </c>
      <c r="J671" t="str">
        <f>VLOOKUP(Table2[[#This Row],[Author]],People!A:B,2,0)</f>
        <v>LS</v>
      </c>
      <c r="M671" t="s">
        <v>1040</v>
      </c>
    </row>
    <row r="672" spans="1:13" x14ac:dyDescent="0.25">
      <c r="A672" s="75">
        <f t="shared" si="10"/>
        <v>671</v>
      </c>
      <c r="B672" t="s">
        <v>13</v>
      </c>
      <c r="C672" t="s">
        <v>1037</v>
      </c>
      <c r="D672" t="s">
        <v>1174</v>
      </c>
      <c r="F672" t="s">
        <v>1147</v>
      </c>
      <c r="G672" t="s">
        <v>24</v>
      </c>
      <c r="H672" s="75" t="str">
        <f>IFERROR(VLOOKUP(Table2[[#This Row],[Ticket]],Okey!A:B,2,0),"")</f>
        <v>ok</v>
      </c>
      <c r="I672" t="s">
        <v>19</v>
      </c>
      <c r="J672" t="str">
        <f>VLOOKUP(Table2[[#This Row],[Author]],People!A:B,2,0)</f>
        <v>LS</v>
      </c>
      <c r="M672" t="s">
        <v>1040</v>
      </c>
    </row>
    <row r="673" spans="1:13" x14ac:dyDescent="0.25">
      <c r="A673" s="75">
        <f t="shared" si="10"/>
        <v>672</v>
      </c>
      <c r="B673" t="s">
        <v>13</v>
      </c>
      <c r="C673" t="s">
        <v>1037</v>
      </c>
      <c r="D673" t="s">
        <v>1175</v>
      </c>
      <c r="F673" t="s">
        <v>1147</v>
      </c>
      <c r="G673" t="s">
        <v>24</v>
      </c>
      <c r="H673" s="75" t="str">
        <f>IFERROR(VLOOKUP(Table2[[#This Row],[Ticket]],Okey!A:B,2,0),"")</f>
        <v>ok</v>
      </c>
      <c r="I673" t="s">
        <v>19</v>
      </c>
      <c r="J673" t="str">
        <f>VLOOKUP(Table2[[#This Row],[Author]],People!A:B,2,0)</f>
        <v>LS</v>
      </c>
      <c r="M673" t="s">
        <v>1040</v>
      </c>
    </row>
    <row r="674" spans="1:13" x14ac:dyDescent="0.25">
      <c r="A674" s="75">
        <f t="shared" si="10"/>
        <v>673</v>
      </c>
      <c r="B674" t="s">
        <v>13</v>
      </c>
      <c r="C674" t="s">
        <v>1037</v>
      </c>
      <c r="D674" t="s">
        <v>1176</v>
      </c>
      <c r="F674" t="s">
        <v>1142</v>
      </c>
      <c r="G674" t="s">
        <v>24</v>
      </c>
      <c r="H674" s="75" t="str">
        <f>IFERROR(VLOOKUP(Table2[[#This Row],[Ticket]],Okey!A:B,2,0),"")</f>
        <v>ok</v>
      </c>
      <c r="I674" t="s">
        <v>19</v>
      </c>
      <c r="J674" t="str">
        <f>VLOOKUP(Table2[[#This Row],[Author]],People!A:B,2,0)</f>
        <v>LS</v>
      </c>
      <c r="M674" t="s">
        <v>1040</v>
      </c>
    </row>
    <row r="675" spans="1:13" x14ac:dyDescent="0.25">
      <c r="A675" s="75">
        <f t="shared" si="10"/>
        <v>674</v>
      </c>
      <c r="B675" t="s">
        <v>13</v>
      </c>
      <c r="C675" t="s">
        <v>1037</v>
      </c>
      <c r="D675" t="s">
        <v>1177</v>
      </c>
      <c r="F675" t="s">
        <v>1142</v>
      </c>
      <c r="G675" t="s">
        <v>24</v>
      </c>
      <c r="H675" s="75" t="str">
        <f>IFERROR(VLOOKUP(Table2[[#This Row],[Ticket]],Okey!A:B,2,0),"")</f>
        <v>ok</v>
      </c>
      <c r="I675" t="s">
        <v>19</v>
      </c>
      <c r="J675" t="str">
        <f>VLOOKUP(Table2[[#This Row],[Author]],People!A:B,2,0)</f>
        <v>LS</v>
      </c>
      <c r="M675" t="s">
        <v>1040</v>
      </c>
    </row>
    <row r="676" spans="1:13" x14ac:dyDescent="0.25">
      <c r="A676" s="75">
        <f t="shared" si="10"/>
        <v>675</v>
      </c>
      <c r="B676" t="s">
        <v>13</v>
      </c>
      <c r="C676" t="s">
        <v>1037</v>
      </c>
      <c r="D676" t="s">
        <v>1178</v>
      </c>
      <c r="F676" t="s">
        <v>1142</v>
      </c>
      <c r="G676" t="s">
        <v>24</v>
      </c>
      <c r="H676" s="75" t="str">
        <f>IFERROR(VLOOKUP(Table2[[#This Row],[Ticket]],Okey!A:B,2,0),"")</f>
        <v>ok</v>
      </c>
      <c r="I676" t="s">
        <v>19</v>
      </c>
      <c r="J676" t="str">
        <f>VLOOKUP(Table2[[#This Row],[Author]],People!A:B,2,0)</f>
        <v>LS</v>
      </c>
      <c r="M676" t="s">
        <v>1040</v>
      </c>
    </row>
    <row r="677" spans="1:13" x14ac:dyDescent="0.25">
      <c r="A677" s="75">
        <f t="shared" si="10"/>
        <v>676</v>
      </c>
      <c r="B677" t="s">
        <v>13</v>
      </c>
      <c r="C677" t="s">
        <v>1037</v>
      </c>
      <c r="D677" t="s">
        <v>1179</v>
      </c>
      <c r="F677" t="s">
        <v>1142</v>
      </c>
      <c r="G677" t="s">
        <v>24</v>
      </c>
      <c r="H677" s="75" t="str">
        <f>IFERROR(VLOOKUP(Table2[[#This Row],[Ticket]],Okey!A:B,2,0),"")</f>
        <v>ok</v>
      </c>
      <c r="I677" t="s">
        <v>19</v>
      </c>
      <c r="J677" t="str">
        <f>VLOOKUP(Table2[[#This Row],[Author]],People!A:B,2,0)</f>
        <v>LS</v>
      </c>
      <c r="M677" t="s">
        <v>1040</v>
      </c>
    </row>
    <row r="678" spans="1:13" x14ac:dyDescent="0.25">
      <c r="A678" s="75">
        <f t="shared" si="10"/>
        <v>677</v>
      </c>
      <c r="B678" t="s">
        <v>13</v>
      </c>
      <c r="C678" t="s">
        <v>1037</v>
      </c>
      <c r="D678" t="s">
        <v>1180</v>
      </c>
      <c r="F678" t="s">
        <v>1142</v>
      </c>
      <c r="G678" t="s">
        <v>24</v>
      </c>
      <c r="H678" s="75" t="str">
        <f>IFERROR(VLOOKUP(Table2[[#This Row],[Ticket]],Okey!A:B,2,0),"")</f>
        <v>ok</v>
      </c>
      <c r="I678" t="s">
        <v>19</v>
      </c>
      <c r="J678" t="str">
        <f>VLOOKUP(Table2[[#This Row],[Author]],People!A:B,2,0)</f>
        <v>LS</v>
      </c>
      <c r="M678" t="s">
        <v>1040</v>
      </c>
    </row>
    <row r="679" spans="1:13" x14ac:dyDescent="0.25">
      <c r="A679" s="75">
        <f t="shared" si="10"/>
        <v>678</v>
      </c>
      <c r="B679" t="s">
        <v>13</v>
      </c>
      <c r="C679" t="s">
        <v>1037</v>
      </c>
      <c r="D679" t="s">
        <v>1181</v>
      </c>
      <c r="F679" t="s">
        <v>1147</v>
      </c>
      <c r="G679" t="s">
        <v>24</v>
      </c>
      <c r="H679" s="75" t="str">
        <f>IFERROR(VLOOKUP(Table2[[#This Row],[Ticket]],Okey!A:B,2,0),"")</f>
        <v>ok</v>
      </c>
      <c r="I679" t="s">
        <v>19</v>
      </c>
      <c r="J679" t="str">
        <f>VLOOKUP(Table2[[#This Row],[Author]],People!A:B,2,0)</f>
        <v>LS</v>
      </c>
      <c r="M679" t="s">
        <v>1040</v>
      </c>
    </row>
    <row r="680" spans="1:13" x14ac:dyDescent="0.25">
      <c r="A680" s="75">
        <f t="shared" si="10"/>
        <v>679</v>
      </c>
      <c r="B680" t="s">
        <v>13</v>
      </c>
      <c r="C680" t="s">
        <v>1037</v>
      </c>
      <c r="D680" t="s">
        <v>1182</v>
      </c>
      <c r="F680" t="s">
        <v>1142</v>
      </c>
      <c r="G680" t="s">
        <v>24</v>
      </c>
      <c r="H680" s="75" t="str">
        <f>IFERROR(VLOOKUP(Table2[[#This Row],[Ticket]],Okey!A:B,2,0),"")</f>
        <v>ok</v>
      </c>
      <c r="I680" t="s">
        <v>19</v>
      </c>
      <c r="J680" t="str">
        <f>VLOOKUP(Table2[[#This Row],[Author]],People!A:B,2,0)</f>
        <v>LS</v>
      </c>
      <c r="M680" t="s">
        <v>1040</v>
      </c>
    </row>
    <row r="681" spans="1:13" x14ac:dyDescent="0.25">
      <c r="A681" s="75">
        <f t="shared" si="10"/>
        <v>680</v>
      </c>
      <c r="B681" t="s">
        <v>13</v>
      </c>
      <c r="C681" t="s">
        <v>1037</v>
      </c>
      <c r="D681" t="s">
        <v>1183</v>
      </c>
      <c r="F681" t="s">
        <v>1147</v>
      </c>
      <c r="G681" t="s">
        <v>24</v>
      </c>
      <c r="H681" s="75" t="str">
        <f>IFERROR(VLOOKUP(Table2[[#This Row],[Ticket]],Okey!A:B,2,0),"")</f>
        <v>ok</v>
      </c>
      <c r="I681" t="s">
        <v>19</v>
      </c>
      <c r="J681" t="str">
        <f>VLOOKUP(Table2[[#This Row],[Author]],People!A:B,2,0)</f>
        <v>LS</v>
      </c>
      <c r="M681" t="s">
        <v>1040</v>
      </c>
    </row>
    <row r="682" spans="1:13" x14ac:dyDescent="0.25">
      <c r="A682" s="75">
        <f t="shared" si="10"/>
        <v>681</v>
      </c>
      <c r="B682" t="s">
        <v>13</v>
      </c>
      <c r="C682" t="s">
        <v>1037</v>
      </c>
      <c r="D682" t="s">
        <v>1184</v>
      </c>
      <c r="F682" t="s">
        <v>1142</v>
      </c>
      <c r="G682" t="s">
        <v>24</v>
      </c>
      <c r="H682" s="75" t="str">
        <f>IFERROR(VLOOKUP(Table2[[#This Row],[Ticket]],Okey!A:B,2,0),"")</f>
        <v>ok</v>
      </c>
      <c r="I682" t="s">
        <v>19</v>
      </c>
      <c r="J682" t="str">
        <f>VLOOKUP(Table2[[#This Row],[Author]],People!A:B,2,0)</f>
        <v>LS</v>
      </c>
      <c r="M682" t="s">
        <v>1040</v>
      </c>
    </row>
    <row r="683" spans="1:13" x14ac:dyDescent="0.25">
      <c r="A683" s="75">
        <f t="shared" si="10"/>
        <v>682</v>
      </c>
      <c r="B683" t="s">
        <v>13</v>
      </c>
      <c r="C683" t="s">
        <v>1037</v>
      </c>
      <c r="D683" t="s">
        <v>1185</v>
      </c>
      <c r="F683" t="s">
        <v>1147</v>
      </c>
      <c r="G683" t="s">
        <v>24</v>
      </c>
      <c r="H683" s="75" t="str">
        <f>IFERROR(VLOOKUP(Table2[[#This Row],[Ticket]],Okey!A:B,2,0),"")</f>
        <v>ok</v>
      </c>
      <c r="I683" t="s">
        <v>19</v>
      </c>
      <c r="J683" t="str">
        <f>VLOOKUP(Table2[[#This Row],[Author]],People!A:B,2,0)</f>
        <v>LS</v>
      </c>
      <c r="M683" t="s">
        <v>1040</v>
      </c>
    </row>
    <row r="684" spans="1:13" x14ac:dyDescent="0.25">
      <c r="A684" s="75">
        <f t="shared" si="10"/>
        <v>683</v>
      </c>
      <c r="B684" t="s">
        <v>13</v>
      </c>
      <c r="C684" t="s">
        <v>1037</v>
      </c>
      <c r="D684" t="s">
        <v>1186</v>
      </c>
      <c r="F684" t="s">
        <v>1147</v>
      </c>
      <c r="G684" t="s">
        <v>24</v>
      </c>
      <c r="H684" s="75" t="str">
        <f>IFERROR(VLOOKUP(Table2[[#This Row],[Ticket]],Okey!A:B,2,0),"")</f>
        <v>ok</v>
      </c>
      <c r="I684" t="s">
        <v>19</v>
      </c>
      <c r="J684" t="str">
        <f>VLOOKUP(Table2[[#This Row],[Author]],People!A:B,2,0)</f>
        <v>LS</v>
      </c>
      <c r="M684" t="s">
        <v>1040</v>
      </c>
    </row>
    <row r="685" spans="1:13" x14ac:dyDescent="0.25">
      <c r="A685" s="75">
        <f t="shared" si="10"/>
        <v>684</v>
      </c>
      <c r="B685" t="s">
        <v>13</v>
      </c>
      <c r="C685" t="s">
        <v>1037</v>
      </c>
      <c r="D685" t="s">
        <v>1187</v>
      </c>
      <c r="F685" t="s">
        <v>1142</v>
      </c>
      <c r="G685" t="s">
        <v>24</v>
      </c>
      <c r="H685" s="75" t="str">
        <f>IFERROR(VLOOKUP(Table2[[#This Row],[Ticket]],Okey!A:B,2,0),"")</f>
        <v>ok</v>
      </c>
      <c r="I685" t="s">
        <v>19</v>
      </c>
      <c r="J685" t="str">
        <f>VLOOKUP(Table2[[#This Row],[Author]],People!A:B,2,0)</f>
        <v>LS</v>
      </c>
      <c r="M685" t="s">
        <v>1040</v>
      </c>
    </row>
    <row r="686" spans="1:13" x14ac:dyDescent="0.25">
      <c r="A686" s="75">
        <f t="shared" si="10"/>
        <v>685</v>
      </c>
      <c r="B686" t="s">
        <v>13</v>
      </c>
      <c r="C686" t="s">
        <v>1037</v>
      </c>
      <c r="D686" t="s">
        <v>1188</v>
      </c>
      <c r="F686" t="s">
        <v>1142</v>
      </c>
      <c r="G686" t="s">
        <v>24</v>
      </c>
      <c r="H686" s="75" t="str">
        <f>IFERROR(VLOOKUP(Table2[[#This Row],[Ticket]],Okey!A:B,2,0),"")</f>
        <v>ok</v>
      </c>
      <c r="I686" t="s">
        <v>19</v>
      </c>
      <c r="J686" t="str">
        <f>VLOOKUP(Table2[[#This Row],[Author]],People!A:B,2,0)</f>
        <v>LS</v>
      </c>
      <c r="M686" t="s">
        <v>1040</v>
      </c>
    </row>
    <row r="687" spans="1:13" x14ac:dyDescent="0.25">
      <c r="A687" s="75">
        <f t="shared" si="10"/>
        <v>686</v>
      </c>
      <c r="B687" t="s">
        <v>13</v>
      </c>
      <c r="C687" t="s">
        <v>1037</v>
      </c>
      <c r="D687" t="s">
        <v>1189</v>
      </c>
      <c r="F687" t="s">
        <v>1142</v>
      </c>
      <c r="G687" t="s">
        <v>24</v>
      </c>
      <c r="H687" s="75" t="str">
        <f>IFERROR(VLOOKUP(Table2[[#This Row],[Ticket]],Okey!A:B,2,0),"")</f>
        <v>ok</v>
      </c>
      <c r="I687" t="s">
        <v>19</v>
      </c>
      <c r="J687" t="str">
        <f>VLOOKUP(Table2[[#This Row],[Author]],People!A:B,2,0)</f>
        <v>LS</v>
      </c>
      <c r="M687" t="s">
        <v>1040</v>
      </c>
    </row>
    <row r="688" spans="1:13" x14ac:dyDescent="0.25">
      <c r="A688" s="75">
        <f t="shared" si="10"/>
        <v>687</v>
      </c>
      <c r="B688" t="s">
        <v>13</v>
      </c>
      <c r="C688" t="s">
        <v>1037</v>
      </c>
      <c r="D688" t="s">
        <v>1190</v>
      </c>
      <c r="F688" t="s">
        <v>1142</v>
      </c>
      <c r="G688" t="s">
        <v>24</v>
      </c>
      <c r="H688" s="75" t="str">
        <f>IFERROR(VLOOKUP(Table2[[#This Row],[Ticket]],Okey!A:B,2,0),"")</f>
        <v>ok</v>
      </c>
      <c r="I688" t="s">
        <v>19</v>
      </c>
      <c r="J688" t="str">
        <f>VLOOKUP(Table2[[#This Row],[Author]],People!A:B,2,0)</f>
        <v>LS</v>
      </c>
      <c r="M688" t="s">
        <v>1040</v>
      </c>
    </row>
    <row r="689" spans="1:13" x14ac:dyDescent="0.25">
      <c r="A689" s="75">
        <f t="shared" si="10"/>
        <v>688</v>
      </c>
      <c r="B689" t="s">
        <v>13</v>
      </c>
      <c r="C689" t="s">
        <v>1037</v>
      </c>
      <c r="D689" t="s">
        <v>1191</v>
      </c>
      <c r="F689" t="s">
        <v>1142</v>
      </c>
      <c r="G689" t="s">
        <v>24</v>
      </c>
      <c r="H689" s="75" t="str">
        <f>IFERROR(VLOOKUP(Table2[[#This Row],[Ticket]],Okey!A:B,2,0),"")</f>
        <v>ok</v>
      </c>
      <c r="I689" t="s">
        <v>19</v>
      </c>
      <c r="J689" t="str">
        <f>VLOOKUP(Table2[[#This Row],[Author]],People!A:B,2,0)</f>
        <v>LS</v>
      </c>
      <c r="M689" t="s">
        <v>1040</v>
      </c>
    </row>
    <row r="690" spans="1:13" x14ac:dyDescent="0.25">
      <c r="A690" s="75">
        <f t="shared" si="10"/>
        <v>689</v>
      </c>
      <c r="B690" t="s">
        <v>13</v>
      </c>
      <c r="C690" t="s">
        <v>1037</v>
      </c>
      <c r="D690" t="s">
        <v>1192</v>
      </c>
      <c r="F690" t="s">
        <v>1142</v>
      </c>
      <c r="G690" t="s">
        <v>24</v>
      </c>
      <c r="H690" s="75" t="str">
        <f>IFERROR(VLOOKUP(Table2[[#This Row],[Ticket]],Okey!A:B,2,0),"")</f>
        <v>ok</v>
      </c>
      <c r="I690" t="s">
        <v>19</v>
      </c>
      <c r="J690" t="str">
        <f>VLOOKUP(Table2[[#This Row],[Author]],People!A:B,2,0)</f>
        <v>LS</v>
      </c>
      <c r="M690" t="s">
        <v>1040</v>
      </c>
    </row>
    <row r="691" spans="1:13" x14ac:dyDescent="0.25">
      <c r="A691" s="75">
        <f t="shared" si="10"/>
        <v>690</v>
      </c>
      <c r="B691" t="s">
        <v>13</v>
      </c>
      <c r="C691" t="s">
        <v>1037</v>
      </c>
      <c r="D691" t="s">
        <v>1193</v>
      </c>
      <c r="F691" t="s">
        <v>1142</v>
      </c>
      <c r="G691" t="s">
        <v>24</v>
      </c>
      <c r="H691" s="75" t="str">
        <f>IFERROR(VLOOKUP(Table2[[#This Row],[Ticket]],Okey!A:B,2,0),"")</f>
        <v>ok</v>
      </c>
      <c r="I691" t="s">
        <v>19</v>
      </c>
      <c r="J691" t="str">
        <f>VLOOKUP(Table2[[#This Row],[Author]],People!A:B,2,0)</f>
        <v>LS</v>
      </c>
      <c r="M691" t="s">
        <v>1040</v>
      </c>
    </row>
    <row r="692" spans="1:13" x14ac:dyDescent="0.25">
      <c r="A692" s="75">
        <f t="shared" si="10"/>
        <v>691</v>
      </c>
      <c r="B692" t="s">
        <v>13</v>
      </c>
      <c r="C692" t="s">
        <v>1037</v>
      </c>
      <c r="D692" t="s">
        <v>1194</v>
      </c>
      <c r="F692" t="s">
        <v>1142</v>
      </c>
      <c r="G692" t="s">
        <v>24</v>
      </c>
      <c r="H692" s="75" t="str">
        <f>IFERROR(VLOOKUP(Table2[[#This Row],[Ticket]],Okey!A:B,2,0),"")</f>
        <v>ok</v>
      </c>
      <c r="I692" t="s">
        <v>19</v>
      </c>
      <c r="J692" t="str">
        <f>VLOOKUP(Table2[[#This Row],[Author]],People!A:B,2,0)</f>
        <v>LS</v>
      </c>
      <c r="M692" t="s">
        <v>1040</v>
      </c>
    </row>
    <row r="693" spans="1:13" x14ac:dyDescent="0.25">
      <c r="A693" s="75">
        <f t="shared" si="10"/>
        <v>692</v>
      </c>
      <c r="B693" t="s">
        <v>13</v>
      </c>
      <c r="C693" t="s">
        <v>1037</v>
      </c>
      <c r="D693" t="s">
        <v>1195</v>
      </c>
      <c r="F693" t="s">
        <v>1142</v>
      </c>
      <c r="G693" t="s">
        <v>24</v>
      </c>
      <c r="H693" s="75" t="str">
        <f>IFERROR(VLOOKUP(Table2[[#This Row],[Ticket]],Okey!A:B,2,0),"")</f>
        <v>ok</v>
      </c>
      <c r="I693" t="s">
        <v>19</v>
      </c>
      <c r="J693" t="str">
        <f>VLOOKUP(Table2[[#This Row],[Author]],People!A:B,2,0)</f>
        <v>LS</v>
      </c>
      <c r="M693" t="s">
        <v>1040</v>
      </c>
    </row>
    <row r="694" spans="1:13" x14ac:dyDescent="0.25">
      <c r="A694" s="75">
        <f t="shared" si="10"/>
        <v>693</v>
      </c>
      <c r="B694" t="s">
        <v>13</v>
      </c>
      <c r="C694" t="s">
        <v>1037</v>
      </c>
      <c r="D694" t="s">
        <v>1196</v>
      </c>
      <c r="F694" t="s">
        <v>1142</v>
      </c>
      <c r="G694" t="s">
        <v>24</v>
      </c>
      <c r="H694" s="75" t="str">
        <f>IFERROR(VLOOKUP(Table2[[#This Row],[Ticket]],Okey!A:B,2,0),"")</f>
        <v>ok</v>
      </c>
      <c r="I694" t="s">
        <v>19</v>
      </c>
      <c r="J694" t="str">
        <f>VLOOKUP(Table2[[#This Row],[Author]],People!A:B,2,0)</f>
        <v>LS</v>
      </c>
      <c r="M694" t="s">
        <v>1040</v>
      </c>
    </row>
    <row r="695" spans="1:13" x14ac:dyDescent="0.25">
      <c r="A695" s="75">
        <f t="shared" si="10"/>
        <v>694</v>
      </c>
      <c r="B695" t="s">
        <v>13</v>
      </c>
      <c r="C695" t="s">
        <v>1037</v>
      </c>
      <c r="D695" t="s">
        <v>1197</v>
      </c>
      <c r="F695" t="s">
        <v>1154</v>
      </c>
      <c r="G695" t="s">
        <v>24</v>
      </c>
      <c r="H695" s="75" t="str">
        <f>IFERROR(VLOOKUP(Table2[[#This Row],[Ticket]],Okey!A:B,2,0),"")</f>
        <v>ok</v>
      </c>
      <c r="I695" t="s">
        <v>19</v>
      </c>
      <c r="J695" t="str">
        <f>VLOOKUP(Table2[[#This Row],[Author]],People!A:B,2,0)</f>
        <v>LS</v>
      </c>
      <c r="M695" t="s">
        <v>1040</v>
      </c>
    </row>
    <row r="696" spans="1:13" x14ac:dyDescent="0.25">
      <c r="A696" s="75">
        <f t="shared" si="10"/>
        <v>695</v>
      </c>
      <c r="B696" t="s">
        <v>13</v>
      </c>
      <c r="C696" t="s">
        <v>1037</v>
      </c>
      <c r="D696" t="s">
        <v>1198</v>
      </c>
      <c r="F696" t="s">
        <v>1142</v>
      </c>
      <c r="G696" t="s">
        <v>24</v>
      </c>
      <c r="H696" s="75" t="str">
        <f>IFERROR(VLOOKUP(Table2[[#This Row],[Ticket]],Okey!A:B,2,0),"")</f>
        <v>ok</v>
      </c>
      <c r="I696" t="s">
        <v>19</v>
      </c>
      <c r="J696" t="str">
        <f>VLOOKUP(Table2[[#This Row],[Author]],People!A:B,2,0)</f>
        <v>LS</v>
      </c>
      <c r="M696" t="s">
        <v>1040</v>
      </c>
    </row>
    <row r="697" spans="1:13" x14ac:dyDescent="0.25">
      <c r="A697" s="75">
        <f t="shared" si="10"/>
        <v>696</v>
      </c>
      <c r="B697" t="s">
        <v>13</v>
      </c>
      <c r="C697" t="s">
        <v>1037</v>
      </c>
      <c r="D697" t="s">
        <v>1199</v>
      </c>
      <c r="F697" t="s">
        <v>1142</v>
      </c>
      <c r="G697" t="s">
        <v>24</v>
      </c>
      <c r="H697" s="75" t="str">
        <f>IFERROR(VLOOKUP(Table2[[#This Row],[Ticket]],Okey!A:B,2,0),"")</f>
        <v>ok</v>
      </c>
      <c r="I697" t="s">
        <v>19</v>
      </c>
      <c r="J697" t="str">
        <f>VLOOKUP(Table2[[#This Row],[Author]],People!A:B,2,0)</f>
        <v>LS</v>
      </c>
      <c r="M697" t="s">
        <v>1040</v>
      </c>
    </row>
    <row r="698" spans="1:13" x14ac:dyDescent="0.25">
      <c r="A698" s="75">
        <f t="shared" si="10"/>
        <v>697</v>
      </c>
      <c r="B698" t="s">
        <v>13</v>
      </c>
      <c r="C698" t="s">
        <v>1037</v>
      </c>
      <c r="D698" t="s">
        <v>1200</v>
      </c>
      <c r="F698" t="s">
        <v>1142</v>
      </c>
      <c r="G698" t="s">
        <v>24</v>
      </c>
      <c r="H698" s="75" t="str">
        <f>IFERROR(VLOOKUP(Table2[[#This Row],[Ticket]],Okey!A:B,2,0),"")</f>
        <v>ok</v>
      </c>
      <c r="I698" t="s">
        <v>19</v>
      </c>
      <c r="J698" t="str">
        <f>VLOOKUP(Table2[[#This Row],[Author]],People!A:B,2,0)</f>
        <v>LS</v>
      </c>
      <c r="M698" t="s">
        <v>1040</v>
      </c>
    </row>
    <row r="699" spans="1:13" x14ac:dyDescent="0.25">
      <c r="A699" s="75">
        <f t="shared" si="10"/>
        <v>698</v>
      </c>
      <c r="B699" t="s">
        <v>13</v>
      </c>
      <c r="C699" t="s">
        <v>1037</v>
      </c>
      <c r="D699" t="s">
        <v>1201</v>
      </c>
      <c r="F699" t="s">
        <v>1147</v>
      </c>
      <c r="G699" t="s">
        <v>24</v>
      </c>
      <c r="H699" s="75" t="str">
        <f>IFERROR(VLOOKUP(Table2[[#This Row],[Ticket]],Okey!A:B,2,0),"")</f>
        <v>ok</v>
      </c>
      <c r="I699" t="s">
        <v>19</v>
      </c>
      <c r="J699" t="str">
        <f>VLOOKUP(Table2[[#This Row],[Author]],People!A:B,2,0)</f>
        <v>LS</v>
      </c>
      <c r="M699" t="s">
        <v>1040</v>
      </c>
    </row>
    <row r="700" spans="1:13" x14ac:dyDescent="0.25">
      <c r="A700" s="75">
        <f t="shared" si="10"/>
        <v>699</v>
      </c>
      <c r="B700" t="s">
        <v>13</v>
      </c>
      <c r="C700" t="s">
        <v>1037</v>
      </c>
      <c r="D700" t="s">
        <v>1202</v>
      </c>
      <c r="F700" t="s">
        <v>1147</v>
      </c>
      <c r="G700" t="s">
        <v>24</v>
      </c>
      <c r="H700" s="75" t="str">
        <f>IFERROR(VLOOKUP(Table2[[#This Row],[Ticket]],Okey!A:B,2,0),"")</f>
        <v>ok</v>
      </c>
      <c r="I700" t="s">
        <v>19</v>
      </c>
      <c r="J700" t="str">
        <f>VLOOKUP(Table2[[#This Row],[Author]],People!A:B,2,0)</f>
        <v>LS</v>
      </c>
      <c r="M700" t="s">
        <v>1040</v>
      </c>
    </row>
    <row r="701" spans="1:13" x14ac:dyDescent="0.25">
      <c r="A701" s="75">
        <f t="shared" si="10"/>
        <v>700</v>
      </c>
      <c r="B701" t="s">
        <v>13</v>
      </c>
      <c r="C701" t="s">
        <v>1037</v>
      </c>
      <c r="D701" t="s">
        <v>1203</v>
      </c>
      <c r="F701" t="s">
        <v>1147</v>
      </c>
      <c r="G701" t="s">
        <v>24</v>
      </c>
      <c r="H701" s="75" t="str">
        <f>IFERROR(VLOOKUP(Table2[[#This Row],[Ticket]],Okey!A:B,2,0),"")</f>
        <v>ok</v>
      </c>
      <c r="I701" t="s">
        <v>19</v>
      </c>
      <c r="J701" t="str">
        <f>VLOOKUP(Table2[[#This Row],[Author]],People!A:B,2,0)</f>
        <v>LS</v>
      </c>
      <c r="M701" t="s">
        <v>1040</v>
      </c>
    </row>
    <row r="702" spans="1:13" x14ac:dyDescent="0.25">
      <c r="A702" s="75">
        <f t="shared" si="10"/>
        <v>701</v>
      </c>
      <c r="B702" t="s">
        <v>13</v>
      </c>
      <c r="C702" t="s">
        <v>1037</v>
      </c>
      <c r="D702" t="s">
        <v>1204</v>
      </c>
      <c r="F702" t="s">
        <v>1147</v>
      </c>
      <c r="G702" t="s">
        <v>24</v>
      </c>
      <c r="H702" s="75" t="str">
        <f>IFERROR(VLOOKUP(Table2[[#This Row],[Ticket]],Okey!A:B,2,0),"")</f>
        <v>ok</v>
      </c>
      <c r="I702" t="s">
        <v>19</v>
      </c>
      <c r="J702" t="str">
        <f>VLOOKUP(Table2[[#This Row],[Author]],People!A:B,2,0)</f>
        <v>LS</v>
      </c>
      <c r="M702" t="s">
        <v>1040</v>
      </c>
    </row>
    <row r="703" spans="1:13" x14ac:dyDescent="0.25">
      <c r="A703" s="75">
        <f t="shared" si="10"/>
        <v>702</v>
      </c>
      <c r="B703" t="s">
        <v>13</v>
      </c>
      <c r="C703" t="s">
        <v>1037</v>
      </c>
      <c r="D703" t="s">
        <v>1205</v>
      </c>
      <c r="F703" t="s">
        <v>1147</v>
      </c>
      <c r="G703" t="s">
        <v>24</v>
      </c>
      <c r="H703" s="75" t="str">
        <f>IFERROR(VLOOKUP(Table2[[#This Row],[Ticket]],Okey!A:B,2,0),"")</f>
        <v>ok</v>
      </c>
      <c r="I703" t="s">
        <v>19</v>
      </c>
      <c r="J703" t="str">
        <f>VLOOKUP(Table2[[#This Row],[Author]],People!A:B,2,0)</f>
        <v>LS</v>
      </c>
      <c r="M703" t="s">
        <v>1040</v>
      </c>
    </row>
    <row r="704" spans="1:13" x14ac:dyDescent="0.25">
      <c r="A704" s="75">
        <f t="shared" si="10"/>
        <v>703</v>
      </c>
      <c r="B704" t="s">
        <v>13</v>
      </c>
      <c r="C704" t="s">
        <v>1037</v>
      </c>
      <c r="D704" t="s">
        <v>1206</v>
      </c>
      <c r="F704" t="s">
        <v>1142</v>
      </c>
      <c r="G704" t="s">
        <v>24</v>
      </c>
      <c r="H704" s="75" t="str">
        <f>IFERROR(VLOOKUP(Table2[[#This Row],[Ticket]],Okey!A:B,2,0),"")</f>
        <v>ok</v>
      </c>
      <c r="I704" t="s">
        <v>19</v>
      </c>
      <c r="J704" t="str">
        <f>VLOOKUP(Table2[[#This Row],[Author]],People!A:B,2,0)</f>
        <v>LS</v>
      </c>
      <c r="M704" t="s">
        <v>1040</v>
      </c>
    </row>
    <row r="705" spans="1:13" x14ac:dyDescent="0.25">
      <c r="A705" s="75">
        <f t="shared" si="10"/>
        <v>704</v>
      </c>
      <c r="B705" t="s">
        <v>13</v>
      </c>
      <c r="C705" t="s">
        <v>1037</v>
      </c>
      <c r="D705" t="s">
        <v>1207</v>
      </c>
      <c r="F705" t="s">
        <v>1147</v>
      </c>
      <c r="G705" t="s">
        <v>24</v>
      </c>
      <c r="H705" s="75" t="str">
        <f>IFERROR(VLOOKUP(Table2[[#This Row],[Ticket]],Okey!A:B,2,0),"")</f>
        <v>ok</v>
      </c>
      <c r="I705" t="s">
        <v>19</v>
      </c>
      <c r="J705" t="str">
        <f>VLOOKUP(Table2[[#This Row],[Author]],People!A:B,2,0)</f>
        <v>LS</v>
      </c>
      <c r="M705" t="s">
        <v>1040</v>
      </c>
    </row>
    <row r="706" spans="1:13" x14ac:dyDescent="0.25">
      <c r="A706" s="75">
        <f t="shared" si="10"/>
        <v>705</v>
      </c>
      <c r="B706" t="s">
        <v>13</v>
      </c>
      <c r="C706" t="s">
        <v>1037</v>
      </c>
      <c r="D706" t="s">
        <v>1208</v>
      </c>
      <c r="F706" t="s">
        <v>1147</v>
      </c>
      <c r="G706" t="s">
        <v>24</v>
      </c>
      <c r="H706" s="75" t="str">
        <f>IFERROR(VLOOKUP(Table2[[#This Row],[Ticket]],Okey!A:B,2,0),"")</f>
        <v>ok</v>
      </c>
      <c r="I706" t="s">
        <v>19</v>
      </c>
      <c r="J706" t="str">
        <f>VLOOKUP(Table2[[#This Row],[Author]],People!A:B,2,0)</f>
        <v>LS</v>
      </c>
      <c r="M706" t="s">
        <v>1040</v>
      </c>
    </row>
    <row r="707" spans="1:13" x14ac:dyDescent="0.25">
      <c r="A707" s="75">
        <f t="shared" si="10"/>
        <v>706</v>
      </c>
      <c r="B707" t="s">
        <v>13</v>
      </c>
      <c r="C707" t="s">
        <v>1037</v>
      </c>
      <c r="D707" t="s">
        <v>1209</v>
      </c>
      <c r="F707" t="s">
        <v>1142</v>
      </c>
      <c r="G707" t="s">
        <v>24</v>
      </c>
      <c r="H707" s="75" t="str">
        <f>IFERROR(VLOOKUP(Table2[[#This Row],[Ticket]],Okey!A:B,2,0),"")</f>
        <v>ok</v>
      </c>
      <c r="I707" t="s">
        <v>19</v>
      </c>
      <c r="J707" t="str">
        <f>VLOOKUP(Table2[[#This Row],[Author]],People!A:B,2,0)</f>
        <v>LS</v>
      </c>
      <c r="M707" t="s">
        <v>1040</v>
      </c>
    </row>
    <row r="708" spans="1:13" x14ac:dyDescent="0.25">
      <c r="A708" s="75">
        <f t="shared" si="10"/>
        <v>707</v>
      </c>
      <c r="B708" t="s">
        <v>13</v>
      </c>
      <c r="C708" t="s">
        <v>1037</v>
      </c>
      <c r="D708" t="s">
        <v>1210</v>
      </c>
      <c r="F708" t="s">
        <v>1142</v>
      </c>
      <c r="G708" t="s">
        <v>24</v>
      </c>
      <c r="H708" s="75" t="str">
        <f>IFERROR(VLOOKUP(Table2[[#This Row],[Ticket]],Okey!A:B,2,0),"")</f>
        <v>ok</v>
      </c>
      <c r="I708" t="s">
        <v>19</v>
      </c>
      <c r="J708" t="str">
        <f>VLOOKUP(Table2[[#This Row],[Author]],People!A:B,2,0)</f>
        <v>LS</v>
      </c>
      <c r="M708" t="s">
        <v>1040</v>
      </c>
    </row>
    <row r="709" spans="1:13" x14ac:dyDescent="0.25">
      <c r="A709" s="75">
        <f t="shared" si="10"/>
        <v>708</v>
      </c>
      <c r="B709" t="s">
        <v>13</v>
      </c>
      <c r="C709" t="s">
        <v>1037</v>
      </c>
      <c r="D709" t="s">
        <v>1211</v>
      </c>
      <c r="F709" t="s">
        <v>1142</v>
      </c>
      <c r="G709" t="s">
        <v>24</v>
      </c>
      <c r="H709" s="75" t="str">
        <f>IFERROR(VLOOKUP(Table2[[#This Row],[Ticket]],Okey!A:B,2,0),"")</f>
        <v>ok</v>
      </c>
      <c r="I709" t="s">
        <v>19</v>
      </c>
      <c r="J709" t="str">
        <f>VLOOKUP(Table2[[#This Row],[Author]],People!A:B,2,0)</f>
        <v>LS</v>
      </c>
      <c r="M709" t="s">
        <v>1040</v>
      </c>
    </row>
    <row r="710" spans="1:13" x14ac:dyDescent="0.25">
      <c r="A710" s="75">
        <f t="shared" si="10"/>
        <v>709</v>
      </c>
      <c r="B710" t="s">
        <v>13</v>
      </c>
      <c r="C710" t="s">
        <v>1037</v>
      </c>
      <c r="D710" t="s">
        <v>1212</v>
      </c>
      <c r="F710" t="s">
        <v>1147</v>
      </c>
      <c r="G710" t="s">
        <v>24</v>
      </c>
      <c r="H710" s="75" t="str">
        <f>IFERROR(VLOOKUP(Table2[[#This Row],[Ticket]],Okey!A:B,2,0),"")</f>
        <v>ok</v>
      </c>
      <c r="I710" t="s">
        <v>19</v>
      </c>
      <c r="J710" t="str">
        <f>VLOOKUP(Table2[[#This Row],[Author]],People!A:B,2,0)</f>
        <v>LS</v>
      </c>
      <c r="M710" t="s">
        <v>1040</v>
      </c>
    </row>
    <row r="711" spans="1:13" x14ac:dyDescent="0.25">
      <c r="A711" s="75">
        <f t="shared" si="10"/>
        <v>710</v>
      </c>
      <c r="B711" t="s">
        <v>13</v>
      </c>
      <c r="C711" t="s">
        <v>1037</v>
      </c>
      <c r="D711" t="s">
        <v>1213</v>
      </c>
      <c r="F711" t="s">
        <v>1142</v>
      </c>
      <c r="G711" t="s">
        <v>24</v>
      </c>
      <c r="H711" s="75" t="str">
        <f>IFERROR(VLOOKUP(Table2[[#This Row],[Ticket]],Okey!A:B,2,0),"")</f>
        <v>ok</v>
      </c>
      <c r="I711" t="s">
        <v>19</v>
      </c>
      <c r="J711" t="str">
        <f>VLOOKUP(Table2[[#This Row],[Author]],People!A:B,2,0)</f>
        <v>LS</v>
      </c>
      <c r="M711" t="s">
        <v>1040</v>
      </c>
    </row>
    <row r="712" spans="1:13" x14ac:dyDescent="0.25">
      <c r="A712" s="75">
        <f t="shared" si="10"/>
        <v>711</v>
      </c>
      <c r="B712" t="s">
        <v>13</v>
      </c>
      <c r="C712" t="s">
        <v>1037</v>
      </c>
      <c r="D712" t="s">
        <v>1214</v>
      </c>
      <c r="F712" t="s">
        <v>1147</v>
      </c>
      <c r="G712" t="s">
        <v>24</v>
      </c>
      <c r="H712" s="75" t="str">
        <f>IFERROR(VLOOKUP(Table2[[#This Row],[Ticket]],Okey!A:B,2,0),"")</f>
        <v>ok</v>
      </c>
      <c r="I712" t="s">
        <v>19</v>
      </c>
      <c r="J712" t="str">
        <f>VLOOKUP(Table2[[#This Row],[Author]],People!A:B,2,0)</f>
        <v>LS</v>
      </c>
      <c r="M712" t="s">
        <v>1040</v>
      </c>
    </row>
    <row r="713" spans="1:13" x14ac:dyDescent="0.25">
      <c r="A713" s="75">
        <f t="shared" ref="A713:A776" si="11">1+A712</f>
        <v>712</v>
      </c>
      <c r="B713" t="s">
        <v>13</v>
      </c>
      <c r="C713" t="s">
        <v>1037</v>
      </c>
      <c r="D713" t="s">
        <v>1215</v>
      </c>
      <c r="F713" t="s">
        <v>1147</v>
      </c>
      <c r="G713" t="s">
        <v>24</v>
      </c>
      <c r="H713" s="75" t="str">
        <f>IFERROR(VLOOKUP(Table2[[#This Row],[Ticket]],Okey!A:B,2,0),"")</f>
        <v>ok</v>
      </c>
      <c r="I713" t="s">
        <v>19</v>
      </c>
      <c r="J713" t="str">
        <f>VLOOKUP(Table2[[#This Row],[Author]],People!A:B,2,0)</f>
        <v>LS</v>
      </c>
      <c r="M713" t="s">
        <v>1040</v>
      </c>
    </row>
    <row r="714" spans="1:13" x14ac:dyDescent="0.25">
      <c r="A714" s="75">
        <f t="shared" si="11"/>
        <v>713</v>
      </c>
      <c r="B714" t="s">
        <v>13</v>
      </c>
      <c r="C714" t="s">
        <v>1037</v>
      </c>
      <c r="D714" t="s">
        <v>1216</v>
      </c>
      <c r="F714" t="s">
        <v>1147</v>
      </c>
      <c r="G714" t="s">
        <v>24</v>
      </c>
      <c r="H714" s="75" t="str">
        <f>IFERROR(VLOOKUP(Table2[[#This Row],[Ticket]],Okey!A:B,2,0),"")</f>
        <v>ok</v>
      </c>
      <c r="I714" t="s">
        <v>19</v>
      </c>
      <c r="J714" t="str">
        <f>VLOOKUP(Table2[[#This Row],[Author]],People!A:B,2,0)</f>
        <v>LS</v>
      </c>
      <c r="M714" t="s">
        <v>1040</v>
      </c>
    </row>
    <row r="715" spans="1:13" x14ac:dyDescent="0.25">
      <c r="A715" s="75">
        <f t="shared" si="11"/>
        <v>714</v>
      </c>
      <c r="B715" t="s">
        <v>13</v>
      </c>
      <c r="C715" t="s">
        <v>1037</v>
      </c>
      <c r="D715" t="s">
        <v>1217</v>
      </c>
      <c r="F715" t="s">
        <v>1147</v>
      </c>
      <c r="G715" t="s">
        <v>24</v>
      </c>
      <c r="H715" s="75" t="str">
        <f>IFERROR(VLOOKUP(Table2[[#This Row],[Ticket]],Okey!A:B,2,0),"")</f>
        <v>ok</v>
      </c>
      <c r="I715" t="s">
        <v>19</v>
      </c>
      <c r="J715" t="str">
        <f>VLOOKUP(Table2[[#This Row],[Author]],People!A:B,2,0)</f>
        <v>LS</v>
      </c>
      <c r="M715" t="s">
        <v>1040</v>
      </c>
    </row>
    <row r="716" spans="1:13" x14ac:dyDescent="0.25">
      <c r="A716" s="75">
        <f t="shared" si="11"/>
        <v>715</v>
      </c>
      <c r="B716" t="s">
        <v>13</v>
      </c>
      <c r="C716" t="s">
        <v>1037</v>
      </c>
      <c r="D716" t="s">
        <v>1218</v>
      </c>
      <c r="F716" t="s">
        <v>1147</v>
      </c>
      <c r="G716" t="s">
        <v>24</v>
      </c>
      <c r="H716" s="75" t="str">
        <f>IFERROR(VLOOKUP(Table2[[#This Row],[Ticket]],Okey!A:B,2,0),"")</f>
        <v>ok</v>
      </c>
      <c r="I716" t="s">
        <v>19</v>
      </c>
      <c r="J716" t="str">
        <f>VLOOKUP(Table2[[#This Row],[Author]],People!A:B,2,0)</f>
        <v>LS</v>
      </c>
      <c r="M716" t="s">
        <v>1040</v>
      </c>
    </row>
    <row r="717" spans="1:13" x14ac:dyDescent="0.25">
      <c r="A717" s="75">
        <f t="shared" si="11"/>
        <v>716</v>
      </c>
      <c r="B717" t="s">
        <v>13</v>
      </c>
      <c r="C717" t="s">
        <v>1037</v>
      </c>
      <c r="D717" t="s">
        <v>1219</v>
      </c>
      <c r="F717" t="s">
        <v>1147</v>
      </c>
      <c r="G717" t="s">
        <v>24</v>
      </c>
      <c r="H717" s="75" t="str">
        <f>IFERROR(VLOOKUP(Table2[[#This Row],[Ticket]],Okey!A:B,2,0),"")</f>
        <v>ok</v>
      </c>
      <c r="I717" t="s">
        <v>19</v>
      </c>
      <c r="J717" t="str">
        <f>VLOOKUP(Table2[[#This Row],[Author]],People!A:B,2,0)</f>
        <v>LS</v>
      </c>
      <c r="M717" t="s">
        <v>1040</v>
      </c>
    </row>
    <row r="718" spans="1:13" x14ac:dyDescent="0.25">
      <c r="A718" s="75">
        <f t="shared" si="11"/>
        <v>717</v>
      </c>
      <c r="B718" t="s">
        <v>13</v>
      </c>
      <c r="C718" t="s">
        <v>1037</v>
      </c>
      <c r="D718" t="s">
        <v>1220</v>
      </c>
      <c r="F718" t="s">
        <v>1147</v>
      </c>
      <c r="G718" t="s">
        <v>24</v>
      </c>
      <c r="H718" s="75" t="str">
        <f>IFERROR(VLOOKUP(Table2[[#This Row],[Ticket]],Okey!A:B,2,0),"")</f>
        <v>ok</v>
      </c>
      <c r="I718" t="s">
        <v>19</v>
      </c>
      <c r="J718" t="str">
        <f>VLOOKUP(Table2[[#This Row],[Author]],People!A:B,2,0)</f>
        <v>LS</v>
      </c>
      <c r="M718" t="s">
        <v>1040</v>
      </c>
    </row>
    <row r="719" spans="1:13" x14ac:dyDescent="0.25">
      <c r="A719" s="75">
        <f t="shared" si="11"/>
        <v>718</v>
      </c>
      <c r="B719" t="s">
        <v>13</v>
      </c>
      <c r="C719" t="s">
        <v>1037</v>
      </c>
      <c r="D719" t="s">
        <v>1221</v>
      </c>
      <c r="F719" t="s">
        <v>1147</v>
      </c>
      <c r="G719" t="s">
        <v>24</v>
      </c>
      <c r="H719" s="75" t="str">
        <f>IFERROR(VLOOKUP(Table2[[#This Row],[Ticket]],Okey!A:B,2,0),"")</f>
        <v>ok</v>
      </c>
      <c r="I719" t="s">
        <v>19</v>
      </c>
      <c r="J719" t="str">
        <f>VLOOKUP(Table2[[#This Row],[Author]],People!A:B,2,0)</f>
        <v>LS</v>
      </c>
      <c r="M719" t="s">
        <v>1040</v>
      </c>
    </row>
    <row r="720" spans="1:13" x14ac:dyDescent="0.25">
      <c r="A720" s="75">
        <f t="shared" si="11"/>
        <v>719</v>
      </c>
      <c r="B720" t="s">
        <v>13</v>
      </c>
      <c r="C720" t="s">
        <v>1037</v>
      </c>
      <c r="D720" t="s">
        <v>1222</v>
      </c>
      <c r="F720" t="s">
        <v>1147</v>
      </c>
      <c r="G720" t="s">
        <v>24</v>
      </c>
      <c r="H720" s="75" t="str">
        <f>IFERROR(VLOOKUP(Table2[[#This Row],[Ticket]],Okey!A:B,2,0),"")</f>
        <v>ok</v>
      </c>
      <c r="I720" t="s">
        <v>19</v>
      </c>
      <c r="J720" t="str">
        <f>VLOOKUP(Table2[[#This Row],[Author]],People!A:B,2,0)</f>
        <v>LS</v>
      </c>
      <c r="M720" t="s">
        <v>1040</v>
      </c>
    </row>
    <row r="721" spans="1:13" x14ac:dyDescent="0.25">
      <c r="A721" s="75">
        <f t="shared" si="11"/>
        <v>720</v>
      </c>
      <c r="B721" t="s">
        <v>13</v>
      </c>
      <c r="C721" t="s">
        <v>1037</v>
      </c>
      <c r="D721" t="s">
        <v>1223</v>
      </c>
      <c r="F721" t="s">
        <v>1147</v>
      </c>
      <c r="G721" t="s">
        <v>24</v>
      </c>
      <c r="H721" s="75" t="str">
        <f>IFERROR(VLOOKUP(Table2[[#This Row],[Ticket]],Okey!A:B,2,0),"")</f>
        <v>ok</v>
      </c>
      <c r="I721" t="s">
        <v>19</v>
      </c>
      <c r="J721" t="str">
        <f>VLOOKUP(Table2[[#This Row],[Author]],People!A:B,2,0)</f>
        <v>LS</v>
      </c>
      <c r="M721" t="s">
        <v>1040</v>
      </c>
    </row>
    <row r="722" spans="1:13" x14ac:dyDescent="0.25">
      <c r="A722" s="75">
        <f t="shared" si="11"/>
        <v>721</v>
      </c>
      <c r="B722" t="s">
        <v>13</v>
      </c>
      <c r="C722" t="s">
        <v>1037</v>
      </c>
      <c r="D722" t="s">
        <v>1224</v>
      </c>
      <c r="F722" t="s">
        <v>1154</v>
      </c>
      <c r="G722" t="s">
        <v>24</v>
      </c>
      <c r="H722" s="75" t="str">
        <f>IFERROR(VLOOKUP(Table2[[#This Row],[Ticket]],Okey!A:B,2,0),"")</f>
        <v>ok</v>
      </c>
      <c r="I722" t="s">
        <v>19</v>
      </c>
      <c r="J722" t="str">
        <f>VLOOKUP(Table2[[#This Row],[Author]],People!A:B,2,0)</f>
        <v>LS</v>
      </c>
      <c r="M722" t="s">
        <v>1040</v>
      </c>
    </row>
    <row r="723" spans="1:13" x14ac:dyDescent="0.25">
      <c r="A723" s="75">
        <f t="shared" si="11"/>
        <v>722</v>
      </c>
      <c r="B723" t="s">
        <v>13</v>
      </c>
      <c r="C723" t="s">
        <v>1037</v>
      </c>
      <c r="D723" t="s">
        <v>1225</v>
      </c>
      <c r="F723" t="s">
        <v>1147</v>
      </c>
      <c r="G723" t="s">
        <v>24</v>
      </c>
      <c r="H723" s="75" t="str">
        <f>IFERROR(VLOOKUP(Table2[[#This Row],[Ticket]],Okey!A:B,2,0),"")</f>
        <v>ok</v>
      </c>
      <c r="I723" t="s">
        <v>19</v>
      </c>
      <c r="J723" t="str">
        <f>VLOOKUP(Table2[[#This Row],[Author]],People!A:B,2,0)</f>
        <v>LS</v>
      </c>
      <c r="M723" t="s">
        <v>1040</v>
      </c>
    </row>
    <row r="724" spans="1:13" x14ac:dyDescent="0.25">
      <c r="A724" s="75">
        <f t="shared" si="11"/>
        <v>723</v>
      </c>
      <c r="B724" t="s">
        <v>13</v>
      </c>
      <c r="C724" t="s">
        <v>1037</v>
      </c>
      <c r="D724" t="s">
        <v>1226</v>
      </c>
      <c r="F724" t="s">
        <v>1154</v>
      </c>
      <c r="G724" t="s">
        <v>24</v>
      </c>
      <c r="H724" s="75" t="str">
        <f>IFERROR(VLOOKUP(Table2[[#This Row],[Ticket]],Okey!A:B,2,0),"")</f>
        <v>ok</v>
      </c>
      <c r="I724" t="s">
        <v>19</v>
      </c>
      <c r="J724" t="str">
        <f>VLOOKUP(Table2[[#This Row],[Author]],People!A:B,2,0)</f>
        <v>LS</v>
      </c>
      <c r="M724" t="s">
        <v>1040</v>
      </c>
    </row>
    <row r="725" spans="1:13" x14ac:dyDescent="0.25">
      <c r="A725" s="75">
        <f t="shared" si="11"/>
        <v>724</v>
      </c>
      <c r="B725" t="s">
        <v>13</v>
      </c>
      <c r="C725" t="s">
        <v>1037</v>
      </c>
      <c r="D725" t="s">
        <v>1227</v>
      </c>
      <c r="F725" t="s">
        <v>1154</v>
      </c>
      <c r="G725" t="s">
        <v>24</v>
      </c>
      <c r="H725" s="75" t="str">
        <f>IFERROR(VLOOKUP(Table2[[#This Row],[Ticket]],Okey!A:B,2,0),"")</f>
        <v>ok</v>
      </c>
      <c r="I725" t="s">
        <v>19</v>
      </c>
      <c r="J725" t="str">
        <f>VLOOKUP(Table2[[#This Row],[Author]],People!A:B,2,0)</f>
        <v>LS</v>
      </c>
      <c r="M725" t="s">
        <v>1040</v>
      </c>
    </row>
    <row r="726" spans="1:13" x14ac:dyDescent="0.25">
      <c r="A726" s="75">
        <f t="shared" si="11"/>
        <v>725</v>
      </c>
      <c r="B726" t="s">
        <v>13</v>
      </c>
      <c r="C726" t="s">
        <v>1037</v>
      </c>
      <c r="D726" t="s">
        <v>1228</v>
      </c>
      <c r="F726" t="s">
        <v>1147</v>
      </c>
      <c r="G726" t="s">
        <v>24</v>
      </c>
      <c r="H726" s="75" t="str">
        <f>IFERROR(VLOOKUP(Table2[[#This Row],[Ticket]],Okey!A:B,2,0),"")</f>
        <v>ok</v>
      </c>
      <c r="I726" t="s">
        <v>19</v>
      </c>
      <c r="J726" t="str">
        <f>VLOOKUP(Table2[[#This Row],[Author]],People!A:B,2,0)</f>
        <v>LS</v>
      </c>
      <c r="M726" t="s">
        <v>1040</v>
      </c>
    </row>
    <row r="727" spans="1:13" x14ac:dyDescent="0.25">
      <c r="A727" s="75">
        <f t="shared" si="11"/>
        <v>726</v>
      </c>
      <c r="B727" t="s">
        <v>13</v>
      </c>
      <c r="C727" t="s">
        <v>1037</v>
      </c>
      <c r="D727" t="s">
        <v>1229</v>
      </c>
      <c r="F727" t="s">
        <v>1154</v>
      </c>
      <c r="G727" t="s">
        <v>24</v>
      </c>
      <c r="H727" s="75" t="str">
        <f>IFERROR(VLOOKUP(Table2[[#This Row],[Ticket]],Okey!A:B,2,0),"")</f>
        <v>ok</v>
      </c>
      <c r="I727" t="s">
        <v>19</v>
      </c>
      <c r="J727" t="str">
        <f>VLOOKUP(Table2[[#This Row],[Author]],People!A:B,2,0)</f>
        <v>LS</v>
      </c>
      <c r="M727" t="s">
        <v>1040</v>
      </c>
    </row>
    <row r="728" spans="1:13" x14ac:dyDescent="0.25">
      <c r="A728" s="75">
        <f t="shared" si="11"/>
        <v>727</v>
      </c>
      <c r="B728" t="s">
        <v>13</v>
      </c>
      <c r="C728" t="s">
        <v>1037</v>
      </c>
      <c r="D728" t="s">
        <v>1230</v>
      </c>
      <c r="F728" t="s">
        <v>1154</v>
      </c>
      <c r="G728" t="s">
        <v>24</v>
      </c>
      <c r="H728" s="75" t="str">
        <f>IFERROR(VLOOKUP(Table2[[#This Row],[Ticket]],Okey!A:B,2,0),"")</f>
        <v>ok</v>
      </c>
      <c r="I728" t="s">
        <v>19</v>
      </c>
      <c r="J728" t="str">
        <f>VLOOKUP(Table2[[#This Row],[Author]],People!A:B,2,0)</f>
        <v>LS</v>
      </c>
      <c r="M728" t="s">
        <v>1040</v>
      </c>
    </row>
    <row r="729" spans="1:13" x14ac:dyDescent="0.25">
      <c r="A729" s="75">
        <f t="shared" si="11"/>
        <v>728</v>
      </c>
      <c r="B729" t="s">
        <v>13</v>
      </c>
      <c r="C729" t="s">
        <v>1037</v>
      </c>
      <c r="D729" t="s">
        <v>1231</v>
      </c>
      <c r="F729" t="s">
        <v>1154</v>
      </c>
      <c r="G729" t="s">
        <v>24</v>
      </c>
      <c r="H729" s="75" t="str">
        <f>IFERROR(VLOOKUP(Table2[[#This Row],[Ticket]],Okey!A:B,2,0),"")</f>
        <v>ok</v>
      </c>
      <c r="I729" t="s">
        <v>19</v>
      </c>
      <c r="J729" t="str">
        <f>VLOOKUP(Table2[[#This Row],[Author]],People!A:B,2,0)</f>
        <v>LS</v>
      </c>
      <c r="M729" t="s">
        <v>1040</v>
      </c>
    </row>
    <row r="730" spans="1:13" x14ac:dyDescent="0.25">
      <c r="A730" s="75">
        <f t="shared" si="11"/>
        <v>729</v>
      </c>
      <c r="B730" t="s">
        <v>13</v>
      </c>
      <c r="C730" t="s">
        <v>1037</v>
      </c>
      <c r="D730" t="s">
        <v>1232</v>
      </c>
      <c r="F730" t="s">
        <v>1154</v>
      </c>
      <c r="G730" t="s">
        <v>24</v>
      </c>
      <c r="H730" s="75" t="str">
        <f>IFERROR(VLOOKUP(Table2[[#This Row],[Ticket]],Okey!A:B,2,0),"")</f>
        <v>ok</v>
      </c>
      <c r="I730" t="s">
        <v>19</v>
      </c>
      <c r="J730" t="str">
        <f>VLOOKUP(Table2[[#This Row],[Author]],People!A:B,2,0)</f>
        <v>LS</v>
      </c>
      <c r="M730" t="s">
        <v>1040</v>
      </c>
    </row>
    <row r="731" spans="1:13" x14ac:dyDescent="0.25">
      <c r="A731" s="75">
        <f t="shared" si="11"/>
        <v>730</v>
      </c>
      <c r="B731" t="s">
        <v>13</v>
      </c>
      <c r="C731" t="s">
        <v>1037</v>
      </c>
      <c r="D731" t="s">
        <v>1233</v>
      </c>
      <c r="F731" t="s">
        <v>1154</v>
      </c>
      <c r="G731" t="s">
        <v>24</v>
      </c>
      <c r="H731" s="75" t="str">
        <f>IFERROR(VLOOKUP(Table2[[#This Row],[Ticket]],Okey!A:B,2,0),"")</f>
        <v>ok</v>
      </c>
      <c r="I731" t="s">
        <v>19</v>
      </c>
      <c r="J731" t="str">
        <f>VLOOKUP(Table2[[#This Row],[Author]],People!A:B,2,0)</f>
        <v>LS</v>
      </c>
      <c r="M731" t="s">
        <v>1040</v>
      </c>
    </row>
    <row r="732" spans="1:13" x14ac:dyDescent="0.25">
      <c r="A732" s="75">
        <f t="shared" si="11"/>
        <v>731</v>
      </c>
      <c r="B732" t="s">
        <v>13</v>
      </c>
      <c r="C732" t="s">
        <v>1037</v>
      </c>
      <c r="D732" t="s">
        <v>1234</v>
      </c>
      <c r="F732" t="s">
        <v>1154</v>
      </c>
      <c r="G732" t="s">
        <v>24</v>
      </c>
      <c r="H732" s="75" t="str">
        <f>IFERROR(VLOOKUP(Table2[[#This Row],[Ticket]],Okey!A:B,2,0),"")</f>
        <v>ok</v>
      </c>
      <c r="I732" t="s">
        <v>19</v>
      </c>
      <c r="J732" t="str">
        <f>VLOOKUP(Table2[[#This Row],[Author]],People!A:B,2,0)</f>
        <v>LS</v>
      </c>
      <c r="M732" t="s">
        <v>1040</v>
      </c>
    </row>
    <row r="733" spans="1:13" x14ac:dyDescent="0.25">
      <c r="A733" s="75">
        <f t="shared" si="11"/>
        <v>732</v>
      </c>
      <c r="B733" t="s">
        <v>13</v>
      </c>
      <c r="C733" t="s">
        <v>1037</v>
      </c>
      <c r="D733" t="s">
        <v>1235</v>
      </c>
      <c r="F733" t="s">
        <v>1105</v>
      </c>
      <c r="G733" t="s">
        <v>24</v>
      </c>
      <c r="H733" s="75" t="str">
        <f>IFERROR(VLOOKUP(Table2[[#This Row],[Ticket]],Okey!A:B,2,0),"")</f>
        <v>ok</v>
      </c>
      <c r="I733" t="s">
        <v>19</v>
      </c>
      <c r="J733" t="str">
        <f>VLOOKUP(Table2[[#This Row],[Author]],People!A:B,2,0)</f>
        <v>LS</v>
      </c>
      <c r="M733" t="s">
        <v>1040</v>
      </c>
    </row>
    <row r="734" spans="1:13" x14ac:dyDescent="0.25">
      <c r="A734" s="75">
        <f t="shared" si="11"/>
        <v>733</v>
      </c>
      <c r="B734" t="s">
        <v>13</v>
      </c>
      <c r="C734" t="s">
        <v>1037</v>
      </c>
      <c r="D734" t="s">
        <v>1236</v>
      </c>
      <c r="F734" t="s">
        <v>1237</v>
      </c>
      <c r="G734" t="s">
        <v>24</v>
      </c>
      <c r="H734" s="75" t="str">
        <f>IFERROR(VLOOKUP(Table2[[#This Row],[Ticket]],Okey!A:B,2,0),"")</f>
        <v>ok</v>
      </c>
      <c r="I734" t="s">
        <v>19</v>
      </c>
      <c r="J734" t="str">
        <f>VLOOKUP(Table2[[#This Row],[Author]],People!A:B,2,0)</f>
        <v>LS</v>
      </c>
      <c r="M734" t="s">
        <v>1040</v>
      </c>
    </row>
    <row r="735" spans="1:13" x14ac:dyDescent="0.25">
      <c r="A735" s="75">
        <f t="shared" si="11"/>
        <v>734</v>
      </c>
      <c r="B735" t="s">
        <v>13</v>
      </c>
      <c r="C735" t="s">
        <v>1037</v>
      </c>
      <c r="D735" t="s">
        <v>1238</v>
      </c>
      <c r="F735" t="s">
        <v>1239</v>
      </c>
      <c r="G735" t="s">
        <v>24</v>
      </c>
      <c r="H735" s="75" t="str">
        <f>IFERROR(VLOOKUP(Table2[[#This Row],[Ticket]],Okey!A:B,2,0),"")</f>
        <v>ok</v>
      </c>
      <c r="I735" t="s">
        <v>19</v>
      </c>
      <c r="J735" t="str">
        <f>VLOOKUP(Table2[[#This Row],[Author]],People!A:B,2,0)</f>
        <v>LS</v>
      </c>
      <c r="M735" t="s">
        <v>1040</v>
      </c>
    </row>
    <row r="736" spans="1:13" x14ac:dyDescent="0.25">
      <c r="A736" s="75">
        <f t="shared" si="11"/>
        <v>735</v>
      </c>
      <c r="B736" t="s">
        <v>13</v>
      </c>
      <c r="C736" t="s">
        <v>1037</v>
      </c>
      <c r="D736" t="s">
        <v>1240</v>
      </c>
      <c r="F736" t="s">
        <v>1239</v>
      </c>
      <c r="G736" t="s">
        <v>24</v>
      </c>
      <c r="H736" s="75" t="str">
        <f>IFERROR(VLOOKUP(Table2[[#This Row],[Ticket]],Okey!A:B,2,0),"")</f>
        <v>ok</v>
      </c>
      <c r="I736" t="s">
        <v>19</v>
      </c>
      <c r="J736" t="str">
        <f>VLOOKUP(Table2[[#This Row],[Author]],People!A:B,2,0)</f>
        <v>LS</v>
      </c>
      <c r="M736" t="s">
        <v>1040</v>
      </c>
    </row>
    <row r="737" spans="1:13" x14ac:dyDescent="0.25">
      <c r="A737" s="75">
        <f t="shared" si="11"/>
        <v>736</v>
      </c>
      <c r="B737" t="s">
        <v>13</v>
      </c>
      <c r="C737" t="s">
        <v>1037</v>
      </c>
      <c r="D737" t="s">
        <v>1241</v>
      </c>
      <c r="F737" t="s">
        <v>1239</v>
      </c>
      <c r="G737" t="s">
        <v>24</v>
      </c>
      <c r="H737" s="75" t="str">
        <f>IFERROR(VLOOKUP(Table2[[#This Row],[Ticket]],Okey!A:B,2,0),"")</f>
        <v>ok</v>
      </c>
      <c r="I737" t="s">
        <v>19</v>
      </c>
      <c r="J737" t="str">
        <f>VLOOKUP(Table2[[#This Row],[Author]],People!A:B,2,0)</f>
        <v>LS</v>
      </c>
      <c r="M737" t="s">
        <v>1040</v>
      </c>
    </row>
    <row r="738" spans="1:13" x14ac:dyDescent="0.25">
      <c r="A738" s="75">
        <f t="shared" si="11"/>
        <v>737</v>
      </c>
      <c r="B738" t="s">
        <v>13</v>
      </c>
      <c r="C738" t="s">
        <v>1037</v>
      </c>
      <c r="D738" t="s">
        <v>1242</v>
      </c>
      <c r="F738" t="s">
        <v>1239</v>
      </c>
      <c r="G738" t="s">
        <v>24</v>
      </c>
      <c r="H738" s="75" t="str">
        <f>IFERROR(VLOOKUP(Table2[[#This Row],[Ticket]],Okey!A:B,2,0),"")</f>
        <v>ok</v>
      </c>
      <c r="I738" t="s">
        <v>19</v>
      </c>
      <c r="J738" t="str">
        <f>VLOOKUP(Table2[[#This Row],[Author]],People!A:B,2,0)</f>
        <v>LS</v>
      </c>
      <c r="M738" t="s">
        <v>1040</v>
      </c>
    </row>
    <row r="739" spans="1:13" x14ac:dyDescent="0.25">
      <c r="A739" s="75">
        <f t="shared" si="11"/>
        <v>738</v>
      </c>
      <c r="B739" t="s">
        <v>13</v>
      </c>
      <c r="C739" t="s">
        <v>1037</v>
      </c>
      <c r="D739" t="s">
        <v>1243</v>
      </c>
      <c r="F739" t="s">
        <v>1239</v>
      </c>
      <c r="G739" t="s">
        <v>24</v>
      </c>
      <c r="H739" s="75" t="str">
        <f>IFERROR(VLOOKUP(Table2[[#This Row],[Ticket]],Okey!A:B,2,0),"")</f>
        <v>ok</v>
      </c>
      <c r="I739" t="s">
        <v>19</v>
      </c>
      <c r="J739" t="str">
        <f>VLOOKUP(Table2[[#This Row],[Author]],People!A:B,2,0)</f>
        <v>LS</v>
      </c>
      <c r="M739" t="s">
        <v>1040</v>
      </c>
    </row>
    <row r="740" spans="1:13" x14ac:dyDescent="0.25">
      <c r="A740" s="75">
        <f t="shared" si="11"/>
        <v>739</v>
      </c>
      <c r="B740" t="s">
        <v>13</v>
      </c>
      <c r="C740" t="s">
        <v>1037</v>
      </c>
      <c r="D740" t="s">
        <v>1244</v>
      </c>
      <c r="F740" t="s">
        <v>1245</v>
      </c>
      <c r="G740" t="s">
        <v>24</v>
      </c>
      <c r="H740" s="75" t="str">
        <f>IFERROR(VLOOKUP(Table2[[#This Row],[Ticket]],Okey!A:B,2,0),"")</f>
        <v>ok</v>
      </c>
      <c r="I740" t="s">
        <v>19</v>
      </c>
      <c r="J740" t="str">
        <f>VLOOKUP(Table2[[#This Row],[Author]],People!A:B,2,0)</f>
        <v>LS</v>
      </c>
      <c r="M740" t="s">
        <v>1040</v>
      </c>
    </row>
    <row r="741" spans="1:13" x14ac:dyDescent="0.25">
      <c r="A741" s="75">
        <f t="shared" si="11"/>
        <v>740</v>
      </c>
      <c r="B741" t="s">
        <v>13</v>
      </c>
      <c r="C741" t="s">
        <v>1037</v>
      </c>
      <c r="D741" t="s">
        <v>1246</v>
      </c>
      <c r="F741" t="s">
        <v>1245</v>
      </c>
      <c r="G741" t="s">
        <v>24</v>
      </c>
      <c r="H741" s="75" t="str">
        <f>IFERROR(VLOOKUP(Table2[[#This Row],[Ticket]],Okey!A:B,2,0),"")</f>
        <v>ok</v>
      </c>
      <c r="I741" t="s">
        <v>19</v>
      </c>
      <c r="J741" t="str">
        <f>VLOOKUP(Table2[[#This Row],[Author]],People!A:B,2,0)</f>
        <v>LS</v>
      </c>
      <c r="M741" t="s">
        <v>1040</v>
      </c>
    </row>
    <row r="742" spans="1:13" x14ac:dyDescent="0.25">
      <c r="A742" s="75">
        <f t="shared" si="11"/>
        <v>741</v>
      </c>
      <c r="B742" t="s">
        <v>13</v>
      </c>
      <c r="C742" t="s">
        <v>1037</v>
      </c>
      <c r="D742" t="s">
        <v>1247</v>
      </c>
      <c r="F742" t="s">
        <v>1245</v>
      </c>
      <c r="G742" t="s">
        <v>24</v>
      </c>
      <c r="H742" s="75" t="str">
        <f>IFERROR(VLOOKUP(Table2[[#This Row],[Ticket]],Okey!A:B,2,0),"")</f>
        <v>ok</v>
      </c>
      <c r="I742" t="s">
        <v>19</v>
      </c>
      <c r="J742" t="str">
        <f>VLOOKUP(Table2[[#This Row],[Author]],People!A:B,2,0)</f>
        <v>LS</v>
      </c>
      <c r="M742" t="s">
        <v>1040</v>
      </c>
    </row>
    <row r="743" spans="1:13" x14ac:dyDescent="0.25">
      <c r="A743" s="75">
        <f t="shared" si="11"/>
        <v>742</v>
      </c>
      <c r="B743" t="s">
        <v>13</v>
      </c>
      <c r="C743" t="s">
        <v>1037</v>
      </c>
      <c r="D743" t="s">
        <v>1248</v>
      </c>
      <c r="F743" t="s">
        <v>1245</v>
      </c>
      <c r="G743" t="s">
        <v>24</v>
      </c>
      <c r="H743" s="75" t="str">
        <f>IFERROR(VLOOKUP(Table2[[#This Row],[Ticket]],Okey!A:B,2,0),"")</f>
        <v>ok</v>
      </c>
      <c r="I743" t="s">
        <v>19</v>
      </c>
      <c r="J743" t="str">
        <f>VLOOKUP(Table2[[#This Row],[Author]],People!A:B,2,0)</f>
        <v>LS</v>
      </c>
      <c r="M743" t="s">
        <v>1040</v>
      </c>
    </row>
    <row r="744" spans="1:13" x14ac:dyDescent="0.25">
      <c r="A744" s="75">
        <f t="shared" si="11"/>
        <v>743</v>
      </c>
      <c r="B744" t="s">
        <v>13</v>
      </c>
      <c r="C744" t="s">
        <v>1037</v>
      </c>
      <c r="D744" t="s">
        <v>1249</v>
      </c>
      <c r="F744" t="s">
        <v>1245</v>
      </c>
      <c r="G744" t="s">
        <v>24</v>
      </c>
      <c r="H744" s="75" t="str">
        <f>IFERROR(VLOOKUP(Table2[[#This Row],[Ticket]],Okey!A:B,2,0),"")</f>
        <v>ok</v>
      </c>
      <c r="I744" t="s">
        <v>19</v>
      </c>
      <c r="J744" t="str">
        <f>VLOOKUP(Table2[[#This Row],[Author]],People!A:B,2,0)</f>
        <v>LS</v>
      </c>
      <c r="M744" t="s">
        <v>1040</v>
      </c>
    </row>
    <row r="745" spans="1:13" x14ac:dyDescent="0.25">
      <c r="A745" s="75">
        <f t="shared" si="11"/>
        <v>744</v>
      </c>
      <c r="B745" t="s">
        <v>13</v>
      </c>
      <c r="C745" t="s">
        <v>1037</v>
      </c>
      <c r="D745" t="s">
        <v>1250</v>
      </c>
      <c r="F745" t="s">
        <v>1245</v>
      </c>
      <c r="G745" t="s">
        <v>24</v>
      </c>
      <c r="H745" s="75" t="str">
        <f>IFERROR(VLOOKUP(Table2[[#This Row],[Ticket]],Okey!A:B,2,0),"")</f>
        <v>ok</v>
      </c>
      <c r="I745" t="s">
        <v>19</v>
      </c>
      <c r="J745" t="str">
        <f>VLOOKUP(Table2[[#This Row],[Author]],People!A:B,2,0)</f>
        <v>LS</v>
      </c>
      <c r="M745" t="s">
        <v>1040</v>
      </c>
    </row>
    <row r="746" spans="1:13" x14ac:dyDescent="0.25">
      <c r="A746" s="75">
        <f t="shared" si="11"/>
        <v>745</v>
      </c>
      <c r="B746" t="s">
        <v>13</v>
      </c>
      <c r="C746" t="s">
        <v>1037</v>
      </c>
      <c r="D746" t="s">
        <v>1251</v>
      </c>
      <c r="F746" t="s">
        <v>1245</v>
      </c>
      <c r="G746" t="s">
        <v>24</v>
      </c>
      <c r="H746" s="75" t="str">
        <f>IFERROR(VLOOKUP(Table2[[#This Row],[Ticket]],Okey!A:B,2,0),"")</f>
        <v>ok</v>
      </c>
      <c r="I746" t="s">
        <v>19</v>
      </c>
      <c r="J746" t="str">
        <f>VLOOKUP(Table2[[#This Row],[Author]],People!A:B,2,0)</f>
        <v>LS</v>
      </c>
      <c r="M746" t="s">
        <v>1040</v>
      </c>
    </row>
    <row r="747" spans="1:13" x14ac:dyDescent="0.25">
      <c r="A747" s="75">
        <f t="shared" si="11"/>
        <v>746</v>
      </c>
      <c r="B747" t="s">
        <v>13</v>
      </c>
      <c r="C747" t="s">
        <v>1037</v>
      </c>
      <c r="D747" t="s">
        <v>1252</v>
      </c>
      <c r="F747" t="s">
        <v>1253</v>
      </c>
      <c r="G747" t="s">
        <v>24</v>
      </c>
      <c r="H747" s="75" t="str">
        <f>IFERROR(VLOOKUP(Table2[[#This Row],[Ticket]],Okey!A:B,2,0),"")</f>
        <v>ok</v>
      </c>
      <c r="I747" t="s">
        <v>19</v>
      </c>
      <c r="J747" t="str">
        <f>VLOOKUP(Table2[[#This Row],[Author]],People!A:B,2,0)</f>
        <v>LS</v>
      </c>
      <c r="M747" t="s">
        <v>1040</v>
      </c>
    </row>
    <row r="748" spans="1:13" x14ac:dyDescent="0.25">
      <c r="A748" s="75">
        <f t="shared" si="11"/>
        <v>747</v>
      </c>
      <c r="B748" t="s">
        <v>13</v>
      </c>
      <c r="C748" t="s">
        <v>1037</v>
      </c>
      <c r="D748" t="s">
        <v>1254</v>
      </c>
      <c r="F748" t="s">
        <v>1255</v>
      </c>
      <c r="G748" t="s">
        <v>24</v>
      </c>
      <c r="H748" s="75" t="str">
        <f>IFERROR(VLOOKUP(Table2[[#This Row],[Ticket]],Okey!A:B,2,0),"")</f>
        <v>ok</v>
      </c>
      <c r="I748" t="s">
        <v>19</v>
      </c>
      <c r="J748" t="str">
        <f>VLOOKUP(Table2[[#This Row],[Author]],People!A:B,2,0)</f>
        <v>LS</v>
      </c>
      <c r="M748" t="s">
        <v>1040</v>
      </c>
    </row>
    <row r="749" spans="1:13" x14ac:dyDescent="0.25">
      <c r="A749" s="75">
        <f t="shared" si="11"/>
        <v>748</v>
      </c>
      <c r="B749" t="s">
        <v>13</v>
      </c>
      <c r="C749" t="s">
        <v>1037</v>
      </c>
      <c r="D749" t="s">
        <v>1256</v>
      </c>
      <c r="F749" t="s">
        <v>1255</v>
      </c>
      <c r="G749" t="s">
        <v>24</v>
      </c>
      <c r="H749" s="75" t="str">
        <f>IFERROR(VLOOKUP(Table2[[#This Row],[Ticket]],Okey!A:B,2,0),"")</f>
        <v>ok</v>
      </c>
      <c r="I749" t="s">
        <v>19</v>
      </c>
      <c r="J749" t="str">
        <f>VLOOKUP(Table2[[#This Row],[Author]],People!A:B,2,0)</f>
        <v>LS</v>
      </c>
      <c r="M749" t="s">
        <v>1040</v>
      </c>
    </row>
    <row r="750" spans="1:13" x14ac:dyDescent="0.25">
      <c r="A750" s="75">
        <f t="shared" si="11"/>
        <v>749</v>
      </c>
      <c r="B750" t="s">
        <v>13</v>
      </c>
      <c r="C750" t="s">
        <v>1037</v>
      </c>
      <c r="D750" t="s">
        <v>1257</v>
      </c>
      <c r="F750" t="s">
        <v>1258</v>
      </c>
      <c r="G750" t="s">
        <v>24</v>
      </c>
      <c r="H750" s="75" t="str">
        <f>IFERROR(VLOOKUP(Table2[[#This Row],[Ticket]],Okey!A:B,2,0),"")</f>
        <v>ok</v>
      </c>
      <c r="I750" t="s">
        <v>19</v>
      </c>
      <c r="J750" t="str">
        <f>VLOOKUP(Table2[[#This Row],[Author]],People!A:B,2,0)</f>
        <v>LS</v>
      </c>
      <c r="M750" t="s">
        <v>1040</v>
      </c>
    </row>
    <row r="751" spans="1:13" x14ac:dyDescent="0.25">
      <c r="A751" s="75">
        <f t="shared" si="11"/>
        <v>750</v>
      </c>
      <c r="B751" t="s">
        <v>13</v>
      </c>
      <c r="C751" t="s">
        <v>1037</v>
      </c>
      <c r="D751" t="s">
        <v>1259</v>
      </c>
      <c r="F751" t="s">
        <v>1260</v>
      </c>
      <c r="G751" t="s">
        <v>24</v>
      </c>
      <c r="H751" s="75" t="str">
        <f>IFERROR(VLOOKUP(Table2[[#This Row],[Ticket]],Okey!A:B,2,0),"")</f>
        <v>ok</v>
      </c>
      <c r="I751" t="s">
        <v>19</v>
      </c>
      <c r="J751" t="str">
        <f>VLOOKUP(Table2[[#This Row],[Author]],People!A:B,2,0)</f>
        <v>LS</v>
      </c>
      <c r="M751" t="s">
        <v>1040</v>
      </c>
    </row>
    <row r="752" spans="1:13" x14ac:dyDescent="0.25">
      <c r="A752" s="75">
        <f t="shared" si="11"/>
        <v>751</v>
      </c>
      <c r="B752" t="s">
        <v>13</v>
      </c>
      <c r="C752" t="s">
        <v>1037</v>
      </c>
      <c r="D752" t="s">
        <v>1261</v>
      </c>
      <c r="F752" t="s">
        <v>1262</v>
      </c>
      <c r="G752" t="s">
        <v>24</v>
      </c>
      <c r="H752" s="75" t="str">
        <f>IFERROR(VLOOKUP(Table2[[#This Row],[Ticket]],Okey!A:B,2,0),"")</f>
        <v>ok</v>
      </c>
      <c r="I752" t="s">
        <v>19</v>
      </c>
      <c r="J752" t="str">
        <f>VLOOKUP(Table2[[#This Row],[Author]],People!A:B,2,0)</f>
        <v>LS</v>
      </c>
      <c r="M752" t="s">
        <v>1040</v>
      </c>
    </row>
    <row r="753" spans="1:13" x14ac:dyDescent="0.25">
      <c r="A753" s="75">
        <f t="shared" si="11"/>
        <v>752</v>
      </c>
      <c r="B753" t="s">
        <v>13</v>
      </c>
      <c r="C753" t="s">
        <v>1037</v>
      </c>
      <c r="D753" t="s">
        <v>1263</v>
      </c>
      <c r="F753" t="s">
        <v>1260</v>
      </c>
      <c r="G753" t="s">
        <v>24</v>
      </c>
      <c r="H753" s="75" t="str">
        <f>IFERROR(VLOOKUP(Table2[[#This Row],[Ticket]],Okey!A:B,2,0),"")</f>
        <v>ok</v>
      </c>
      <c r="I753" t="s">
        <v>19</v>
      </c>
      <c r="J753" t="str">
        <f>VLOOKUP(Table2[[#This Row],[Author]],People!A:B,2,0)</f>
        <v>LS</v>
      </c>
      <c r="M753" t="s">
        <v>1040</v>
      </c>
    </row>
    <row r="754" spans="1:13" x14ac:dyDescent="0.25">
      <c r="A754" s="75">
        <f t="shared" si="11"/>
        <v>753</v>
      </c>
      <c r="B754" t="s">
        <v>13</v>
      </c>
      <c r="C754" t="s">
        <v>1037</v>
      </c>
      <c r="D754" t="s">
        <v>1264</v>
      </c>
      <c r="F754" t="s">
        <v>1265</v>
      </c>
      <c r="G754" t="s">
        <v>24</v>
      </c>
      <c r="H754" s="75" t="str">
        <f>IFERROR(VLOOKUP(Table2[[#This Row],[Ticket]],Okey!A:B,2,0),"")</f>
        <v>ok</v>
      </c>
      <c r="I754" t="s">
        <v>19</v>
      </c>
      <c r="J754" t="str">
        <f>VLOOKUP(Table2[[#This Row],[Author]],People!A:B,2,0)</f>
        <v>LS</v>
      </c>
      <c r="M754" t="s">
        <v>1040</v>
      </c>
    </row>
    <row r="755" spans="1:13" x14ac:dyDescent="0.25">
      <c r="A755" s="75">
        <f t="shared" si="11"/>
        <v>754</v>
      </c>
      <c r="B755" t="s">
        <v>13</v>
      </c>
      <c r="C755" t="s">
        <v>1037</v>
      </c>
      <c r="D755" t="s">
        <v>1266</v>
      </c>
      <c r="F755" t="s">
        <v>1267</v>
      </c>
      <c r="G755" t="s">
        <v>24</v>
      </c>
      <c r="H755" s="75" t="str">
        <f>IFERROR(VLOOKUP(Table2[[#This Row],[Ticket]],Okey!A:B,2,0),"")</f>
        <v>ok</v>
      </c>
      <c r="I755" t="s">
        <v>19</v>
      </c>
      <c r="J755" t="str">
        <f>VLOOKUP(Table2[[#This Row],[Author]],People!A:B,2,0)</f>
        <v>LS</v>
      </c>
      <c r="M755" t="s">
        <v>1040</v>
      </c>
    </row>
    <row r="756" spans="1:13" x14ac:dyDescent="0.25">
      <c r="A756" s="75">
        <f t="shared" si="11"/>
        <v>755</v>
      </c>
      <c r="B756" t="s">
        <v>13</v>
      </c>
      <c r="C756" t="s">
        <v>1037</v>
      </c>
      <c r="D756" t="s">
        <v>1268</v>
      </c>
      <c r="F756" t="s">
        <v>1269</v>
      </c>
      <c r="G756" t="s">
        <v>24</v>
      </c>
      <c r="H756" s="75" t="str">
        <f>IFERROR(VLOOKUP(Table2[[#This Row],[Ticket]],Okey!A:B,2,0),"")</f>
        <v>ok</v>
      </c>
      <c r="I756" t="s">
        <v>19</v>
      </c>
      <c r="J756" t="str">
        <f>VLOOKUP(Table2[[#This Row],[Author]],People!A:B,2,0)</f>
        <v>LS</v>
      </c>
      <c r="M756" t="s">
        <v>1040</v>
      </c>
    </row>
    <row r="757" spans="1:13" x14ac:dyDescent="0.25">
      <c r="A757" s="75">
        <f t="shared" si="11"/>
        <v>756</v>
      </c>
      <c r="B757" t="s">
        <v>13</v>
      </c>
      <c r="C757" t="s">
        <v>1037</v>
      </c>
      <c r="D757" t="s">
        <v>1270</v>
      </c>
      <c r="F757" t="s">
        <v>1269</v>
      </c>
      <c r="G757" t="s">
        <v>24</v>
      </c>
      <c r="H757" s="75" t="str">
        <f>IFERROR(VLOOKUP(Table2[[#This Row],[Ticket]],Okey!A:B,2,0),"")</f>
        <v>ok</v>
      </c>
      <c r="I757" t="s">
        <v>19</v>
      </c>
      <c r="J757" t="str">
        <f>VLOOKUP(Table2[[#This Row],[Author]],People!A:B,2,0)</f>
        <v>LS</v>
      </c>
      <c r="M757" t="s">
        <v>1040</v>
      </c>
    </row>
    <row r="758" spans="1:13" x14ac:dyDescent="0.25">
      <c r="A758" s="75">
        <f t="shared" si="11"/>
        <v>757</v>
      </c>
      <c r="B758" t="s">
        <v>13</v>
      </c>
      <c r="C758" t="s">
        <v>1037</v>
      </c>
      <c r="D758" t="s">
        <v>1271</v>
      </c>
      <c r="F758" t="s">
        <v>1272</v>
      </c>
      <c r="G758" t="s">
        <v>24</v>
      </c>
      <c r="H758" s="75" t="str">
        <f>IFERROR(VLOOKUP(Table2[[#This Row],[Ticket]],Okey!A:B,2,0),"")</f>
        <v>ok</v>
      </c>
      <c r="I758" t="s">
        <v>19</v>
      </c>
      <c r="J758" t="str">
        <f>VLOOKUP(Table2[[#This Row],[Author]],People!A:B,2,0)</f>
        <v>LS</v>
      </c>
      <c r="M758" t="s">
        <v>1040</v>
      </c>
    </row>
    <row r="759" spans="1:13" x14ac:dyDescent="0.25">
      <c r="A759" s="75">
        <f t="shared" si="11"/>
        <v>758</v>
      </c>
      <c r="B759" t="s">
        <v>13</v>
      </c>
      <c r="C759" t="s">
        <v>1037</v>
      </c>
      <c r="D759" t="s">
        <v>1273</v>
      </c>
      <c r="F759" t="s">
        <v>1272</v>
      </c>
      <c r="G759" t="s">
        <v>24</v>
      </c>
      <c r="H759" s="75" t="str">
        <f>IFERROR(VLOOKUP(Table2[[#This Row],[Ticket]],Okey!A:B,2,0),"")</f>
        <v>ok</v>
      </c>
      <c r="I759" t="s">
        <v>19</v>
      </c>
      <c r="J759" t="str">
        <f>VLOOKUP(Table2[[#This Row],[Author]],People!A:B,2,0)</f>
        <v>LS</v>
      </c>
      <c r="M759" t="s">
        <v>1040</v>
      </c>
    </row>
    <row r="760" spans="1:13" x14ac:dyDescent="0.25">
      <c r="A760" s="75">
        <f t="shared" si="11"/>
        <v>759</v>
      </c>
      <c r="B760" t="s">
        <v>13</v>
      </c>
      <c r="C760" t="s">
        <v>1037</v>
      </c>
      <c r="D760" t="s">
        <v>1274</v>
      </c>
      <c r="F760" t="s">
        <v>1272</v>
      </c>
      <c r="G760" t="s">
        <v>24</v>
      </c>
      <c r="H760" s="75" t="str">
        <f>IFERROR(VLOOKUP(Table2[[#This Row],[Ticket]],Okey!A:B,2,0),"")</f>
        <v>ok</v>
      </c>
      <c r="I760" t="s">
        <v>19</v>
      </c>
      <c r="J760" t="str">
        <f>VLOOKUP(Table2[[#This Row],[Author]],People!A:B,2,0)</f>
        <v>LS</v>
      </c>
      <c r="M760" t="s">
        <v>1040</v>
      </c>
    </row>
    <row r="761" spans="1:13" x14ac:dyDescent="0.25">
      <c r="A761" s="75">
        <f t="shared" si="11"/>
        <v>760</v>
      </c>
      <c r="B761" t="s">
        <v>13</v>
      </c>
      <c r="C761" t="s">
        <v>1037</v>
      </c>
      <c r="D761" t="s">
        <v>1275</v>
      </c>
      <c r="F761" t="s">
        <v>1272</v>
      </c>
      <c r="G761" t="s">
        <v>24</v>
      </c>
      <c r="H761" s="75" t="str">
        <f>IFERROR(VLOOKUP(Table2[[#This Row],[Ticket]],Okey!A:B,2,0),"")</f>
        <v>ok</v>
      </c>
      <c r="I761" t="s">
        <v>19</v>
      </c>
      <c r="J761" t="str">
        <f>VLOOKUP(Table2[[#This Row],[Author]],People!A:B,2,0)</f>
        <v>LS</v>
      </c>
      <c r="M761" t="s">
        <v>1040</v>
      </c>
    </row>
    <row r="762" spans="1:13" x14ac:dyDescent="0.25">
      <c r="A762" s="75">
        <f t="shared" si="11"/>
        <v>761</v>
      </c>
      <c r="B762" t="s">
        <v>13</v>
      </c>
      <c r="C762" t="s">
        <v>1037</v>
      </c>
      <c r="D762" t="s">
        <v>1276</v>
      </c>
      <c r="F762" t="s">
        <v>1269</v>
      </c>
      <c r="G762" t="s">
        <v>24</v>
      </c>
      <c r="H762" s="75" t="str">
        <f>IFERROR(VLOOKUP(Table2[[#This Row],[Ticket]],Okey!A:B,2,0),"")</f>
        <v>ok</v>
      </c>
      <c r="I762" t="s">
        <v>19</v>
      </c>
      <c r="J762" t="str">
        <f>VLOOKUP(Table2[[#This Row],[Author]],People!A:B,2,0)</f>
        <v>LS</v>
      </c>
      <c r="M762" t="s">
        <v>1040</v>
      </c>
    </row>
    <row r="763" spans="1:13" x14ac:dyDescent="0.25">
      <c r="A763" s="75">
        <f t="shared" si="11"/>
        <v>762</v>
      </c>
      <c r="B763" t="s">
        <v>13</v>
      </c>
      <c r="C763" t="s">
        <v>1037</v>
      </c>
      <c r="D763" t="s">
        <v>1277</v>
      </c>
      <c r="F763" t="s">
        <v>1278</v>
      </c>
      <c r="G763" t="s">
        <v>24</v>
      </c>
      <c r="H763" s="75" t="str">
        <f>IFERROR(VLOOKUP(Table2[[#This Row],[Ticket]],Okey!A:B,2,0),"")</f>
        <v>ok</v>
      </c>
      <c r="I763" t="s">
        <v>19</v>
      </c>
      <c r="J763" t="str">
        <f>VLOOKUP(Table2[[#This Row],[Author]],People!A:B,2,0)</f>
        <v>LS</v>
      </c>
      <c r="M763" t="s">
        <v>1040</v>
      </c>
    </row>
    <row r="764" spans="1:13" x14ac:dyDescent="0.25">
      <c r="A764" s="75">
        <f t="shared" si="11"/>
        <v>763</v>
      </c>
      <c r="B764" t="s">
        <v>13</v>
      </c>
      <c r="C764" t="s">
        <v>1037</v>
      </c>
      <c r="D764" t="s">
        <v>1279</v>
      </c>
      <c r="F764" t="s">
        <v>1280</v>
      </c>
      <c r="G764" t="s">
        <v>24</v>
      </c>
      <c r="H764" s="75" t="str">
        <f>IFERROR(VLOOKUP(Table2[[#This Row],[Ticket]],Okey!A:B,2,0),"")</f>
        <v>ok</v>
      </c>
      <c r="I764" t="s">
        <v>19</v>
      </c>
      <c r="J764" t="str">
        <f>VLOOKUP(Table2[[#This Row],[Author]],People!A:B,2,0)</f>
        <v>LS</v>
      </c>
      <c r="M764" t="s">
        <v>1040</v>
      </c>
    </row>
    <row r="765" spans="1:13" x14ac:dyDescent="0.25">
      <c r="A765" s="75">
        <f t="shared" si="11"/>
        <v>764</v>
      </c>
      <c r="B765" t="s">
        <v>13</v>
      </c>
      <c r="C765" t="s">
        <v>1037</v>
      </c>
      <c r="D765" t="s">
        <v>1281</v>
      </c>
      <c r="F765" t="s">
        <v>1280</v>
      </c>
      <c r="G765" t="s">
        <v>24</v>
      </c>
      <c r="H765" s="75" t="str">
        <f>IFERROR(VLOOKUP(Table2[[#This Row],[Ticket]],Okey!A:B,2,0),"")</f>
        <v>ok</v>
      </c>
      <c r="I765" t="s">
        <v>19</v>
      </c>
      <c r="J765" t="str">
        <f>VLOOKUP(Table2[[#This Row],[Author]],People!A:B,2,0)</f>
        <v>LS</v>
      </c>
      <c r="M765" t="s">
        <v>1040</v>
      </c>
    </row>
    <row r="766" spans="1:13" x14ac:dyDescent="0.25">
      <c r="A766" s="75">
        <f t="shared" si="11"/>
        <v>765</v>
      </c>
      <c r="B766" t="s">
        <v>13</v>
      </c>
      <c r="C766" t="s">
        <v>1037</v>
      </c>
      <c r="D766" t="s">
        <v>1282</v>
      </c>
      <c r="F766" t="s">
        <v>1283</v>
      </c>
      <c r="G766" t="s">
        <v>24</v>
      </c>
      <c r="H766" s="75" t="str">
        <f>IFERROR(VLOOKUP(Table2[[#This Row],[Ticket]],Okey!A:B,2,0),"")</f>
        <v>ok</v>
      </c>
      <c r="I766" t="s">
        <v>19</v>
      </c>
      <c r="J766" t="str">
        <f>VLOOKUP(Table2[[#This Row],[Author]],People!A:B,2,0)</f>
        <v>LS</v>
      </c>
      <c r="M766" t="s">
        <v>1040</v>
      </c>
    </row>
    <row r="767" spans="1:13" x14ac:dyDescent="0.25">
      <c r="A767" s="75">
        <f t="shared" si="11"/>
        <v>766</v>
      </c>
      <c r="B767" t="s">
        <v>13</v>
      </c>
      <c r="C767" t="s">
        <v>1037</v>
      </c>
      <c r="D767" t="s">
        <v>1284</v>
      </c>
      <c r="F767" t="s">
        <v>1285</v>
      </c>
      <c r="G767" t="s">
        <v>24</v>
      </c>
      <c r="H767" s="75" t="str">
        <f>IFERROR(VLOOKUP(Table2[[#This Row],[Ticket]],Okey!A:B,2,0),"")</f>
        <v>ok</v>
      </c>
      <c r="I767" t="s">
        <v>19</v>
      </c>
      <c r="J767" t="str">
        <f>VLOOKUP(Table2[[#This Row],[Author]],People!A:B,2,0)</f>
        <v>LS</v>
      </c>
      <c r="M767" t="s">
        <v>1040</v>
      </c>
    </row>
    <row r="768" spans="1:13" x14ac:dyDescent="0.25">
      <c r="A768" s="75">
        <f t="shared" si="11"/>
        <v>767</v>
      </c>
      <c r="B768" t="s">
        <v>13</v>
      </c>
      <c r="C768" t="s">
        <v>1037</v>
      </c>
      <c r="D768" t="s">
        <v>1286</v>
      </c>
      <c r="F768" t="s">
        <v>1287</v>
      </c>
      <c r="G768" t="s">
        <v>24</v>
      </c>
      <c r="H768" s="75" t="str">
        <f>IFERROR(VLOOKUP(Table2[[#This Row],[Ticket]],Okey!A:B,2,0),"")</f>
        <v>ok</v>
      </c>
      <c r="I768" t="s">
        <v>19</v>
      </c>
      <c r="J768" t="str">
        <f>VLOOKUP(Table2[[#This Row],[Author]],People!A:B,2,0)</f>
        <v>LS</v>
      </c>
      <c r="M768" t="s">
        <v>1040</v>
      </c>
    </row>
    <row r="769" spans="1:13" x14ac:dyDescent="0.25">
      <c r="A769" s="75">
        <f t="shared" si="11"/>
        <v>768</v>
      </c>
      <c r="B769" t="s">
        <v>13</v>
      </c>
      <c r="C769" t="s">
        <v>1037</v>
      </c>
      <c r="D769" t="s">
        <v>1288</v>
      </c>
      <c r="F769" t="s">
        <v>1285</v>
      </c>
      <c r="G769" t="s">
        <v>24</v>
      </c>
      <c r="H769" s="75" t="str">
        <f>IFERROR(VLOOKUP(Table2[[#This Row],[Ticket]],Okey!A:B,2,0),"")</f>
        <v>ok</v>
      </c>
      <c r="I769" t="s">
        <v>19</v>
      </c>
      <c r="J769" t="str">
        <f>VLOOKUP(Table2[[#This Row],[Author]],People!A:B,2,0)</f>
        <v>LS</v>
      </c>
      <c r="M769" t="s">
        <v>1040</v>
      </c>
    </row>
    <row r="770" spans="1:13" x14ac:dyDescent="0.25">
      <c r="A770" s="75">
        <f t="shared" si="11"/>
        <v>769</v>
      </c>
      <c r="B770" t="s">
        <v>13</v>
      </c>
      <c r="C770" t="s">
        <v>1037</v>
      </c>
      <c r="D770" t="s">
        <v>1289</v>
      </c>
      <c r="F770" t="s">
        <v>1285</v>
      </c>
      <c r="G770" t="s">
        <v>24</v>
      </c>
      <c r="H770" s="75" t="str">
        <f>IFERROR(VLOOKUP(Table2[[#This Row],[Ticket]],Okey!A:B,2,0),"")</f>
        <v>ok</v>
      </c>
      <c r="I770" t="s">
        <v>19</v>
      </c>
      <c r="J770" t="str">
        <f>VLOOKUP(Table2[[#This Row],[Author]],People!A:B,2,0)</f>
        <v>LS</v>
      </c>
      <c r="M770" t="s">
        <v>1040</v>
      </c>
    </row>
    <row r="771" spans="1:13" x14ac:dyDescent="0.25">
      <c r="A771" s="75">
        <f t="shared" si="11"/>
        <v>770</v>
      </c>
      <c r="B771" t="s">
        <v>13</v>
      </c>
      <c r="C771" t="s">
        <v>1037</v>
      </c>
      <c r="D771" t="s">
        <v>1290</v>
      </c>
      <c r="F771" t="s">
        <v>1291</v>
      </c>
      <c r="G771" t="s">
        <v>24</v>
      </c>
      <c r="H771" s="75" t="str">
        <f>IFERROR(VLOOKUP(Table2[[#This Row],[Ticket]],Okey!A:B,2,0),"")</f>
        <v>ok</v>
      </c>
      <c r="I771" t="s">
        <v>19</v>
      </c>
      <c r="J771" t="str">
        <f>VLOOKUP(Table2[[#This Row],[Author]],People!A:B,2,0)</f>
        <v>LS</v>
      </c>
      <c r="M771" t="s">
        <v>1040</v>
      </c>
    </row>
    <row r="772" spans="1:13" x14ac:dyDescent="0.25">
      <c r="A772" s="75">
        <f t="shared" si="11"/>
        <v>771</v>
      </c>
      <c r="B772" t="s">
        <v>13</v>
      </c>
      <c r="C772" t="s">
        <v>1037</v>
      </c>
      <c r="D772" t="s">
        <v>1292</v>
      </c>
      <c r="F772" t="s">
        <v>1291</v>
      </c>
      <c r="G772" t="s">
        <v>24</v>
      </c>
      <c r="H772" s="75" t="str">
        <f>IFERROR(VLOOKUP(Table2[[#This Row],[Ticket]],Okey!A:B,2,0),"")</f>
        <v>ok</v>
      </c>
      <c r="I772" t="s">
        <v>19</v>
      </c>
      <c r="J772" t="str">
        <f>VLOOKUP(Table2[[#This Row],[Author]],People!A:B,2,0)</f>
        <v>LS</v>
      </c>
      <c r="M772" t="s">
        <v>1040</v>
      </c>
    </row>
    <row r="773" spans="1:13" x14ac:dyDescent="0.25">
      <c r="A773" s="75">
        <f t="shared" si="11"/>
        <v>772</v>
      </c>
      <c r="B773" t="s">
        <v>13</v>
      </c>
      <c r="C773" t="s">
        <v>1037</v>
      </c>
      <c r="D773" t="s">
        <v>1293</v>
      </c>
      <c r="F773" t="s">
        <v>1294</v>
      </c>
      <c r="G773" t="s">
        <v>24</v>
      </c>
      <c r="H773" s="75" t="str">
        <f>IFERROR(VLOOKUP(Table2[[#This Row],[Ticket]],Okey!A:B,2,0),"")</f>
        <v>ok</v>
      </c>
      <c r="I773" t="s">
        <v>19</v>
      </c>
      <c r="J773" t="str">
        <f>VLOOKUP(Table2[[#This Row],[Author]],People!A:B,2,0)</f>
        <v>LS</v>
      </c>
      <c r="M773" t="s">
        <v>1040</v>
      </c>
    </row>
    <row r="774" spans="1:13" x14ac:dyDescent="0.25">
      <c r="A774" s="75">
        <f t="shared" si="11"/>
        <v>773</v>
      </c>
      <c r="B774" t="s">
        <v>13</v>
      </c>
      <c r="C774" t="s">
        <v>1037</v>
      </c>
      <c r="D774" t="s">
        <v>1295</v>
      </c>
      <c r="F774" t="s">
        <v>1296</v>
      </c>
      <c r="G774" t="s">
        <v>24</v>
      </c>
      <c r="H774" s="75" t="str">
        <f>IFERROR(VLOOKUP(Table2[[#This Row],[Ticket]],Okey!A:B,2,0),"")</f>
        <v>ok</v>
      </c>
      <c r="I774" t="s">
        <v>19</v>
      </c>
      <c r="J774" t="str">
        <f>VLOOKUP(Table2[[#This Row],[Author]],People!A:B,2,0)</f>
        <v>LS</v>
      </c>
      <c r="M774" t="s">
        <v>1040</v>
      </c>
    </row>
    <row r="775" spans="1:13" x14ac:dyDescent="0.25">
      <c r="A775" s="75">
        <f t="shared" si="11"/>
        <v>774</v>
      </c>
      <c r="B775" t="s">
        <v>13</v>
      </c>
      <c r="C775" t="s">
        <v>1037</v>
      </c>
      <c r="D775" t="s">
        <v>1297</v>
      </c>
      <c r="E775" t="s">
        <v>1298</v>
      </c>
      <c r="F775" t="s">
        <v>1299</v>
      </c>
      <c r="G775" t="s">
        <v>18</v>
      </c>
      <c r="H775" s="75" t="str">
        <f>IFERROR(VLOOKUP(Table2[[#This Row],[Ticket]],Okey!A:B,2,0),"")</f>
        <v>ok</v>
      </c>
      <c r="I775" t="s">
        <v>19</v>
      </c>
      <c r="J775" t="str">
        <f>VLOOKUP(Table2[[#This Row],[Author]],People!A:B,2,0)</f>
        <v>LS</v>
      </c>
      <c r="M775" t="s">
        <v>1040</v>
      </c>
    </row>
    <row r="776" spans="1:13" x14ac:dyDescent="0.25">
      <c r="A776" s="75">
        <f t="shared" si="11"/>
        <v>775</v>
      </c>
      <c r="B776" t="s">
        <v>13</v>
      </c>
      <c r="C776" t="s">
        <v>1037</v>
      </c>
      <c r="D776" t="s">
        <v>1300</v>
      </c>
      <c r="E776" t="s">
        <v>1301</v>
      </c>
      <c r="F776" t="s">
        <v>1302</v>
      </c>
      <c r="G776" t="s">
        <v>18</v>
      </c>
      <c r="H776" s="75" t="str">
        <f>IFERROR(VLOOKUP(Table2[[#This Row],[Ticket]],Okey!A:B,2,0),"")</f>
        <v>ok</v>
      </c>
      <c r="I776" t="s">
        <v>19</v>
      </c>
      <c r="J776" t="str">
        <f>VLOOKUP(Table2[[#This Row],[Author]],People!A:B,2,0)</f>
        <v>LS</v>
      </c>
      <c r="M776" t="s">
        <v>1040</v>
      </c>
    </row>
    <row r="777" spans="1:13" x14ac:dyDescent="0.25">
      <c r="A777" s="75">
        <f t="shared" ref="A777:A840" si="12">1+A776</f>
        <v>776</v>
      </c>
      <c r="B777" t="s">
        <v>13</v>
      </c>
      <c r="C777" t="s">
        <v>1037</v>
      </c>
      <c r="D777" t="s">
        <v>1303</v>
      </c>
      <c r="E777" t="s">
        <v>1304</v>
      </c>
      <c r="F777" t="s">
        <v>1302</v>
      </c>
      <c r="G777" t="s">
        <v>18</v>
      </c>
      <c r="H777" s="75" t="str">
        <f>IFERROR(VLOOKUP(Table2[[#This Row],[Ticket]],Okey!A:B,2,0),"")</f>
        <v>ok</v>
      </c>
      <c r="I777" t="s">
        <v>19</v>
      </c>
      <c r="J777" t="str">
        <f>VLOOKUP(Table2[[#This Row],[Author]],People!A:B,2,0)</f>
        <v>LS</v>
      </c>
      <c r="M777" t="s">
        <v>1040</v>
      </c>
    </row>
    <row r="778" spans="1:13" x14ac:dyDescent="0.25">
      <c r="A778" s="75">
        <f t="shared" si="12"/>
        <v>777</v>
      </c>
      <c r="B778" t="s">
        <v>13</v>
      </c>
      <c r="C778" t="s">
        <v>1037</v>
      </c>
      <c r="D778" t="s">
        <v>1305</v>
      </c>
      <c r="E778" t="s">
        <v>1306</v>
      </c>
      <c r="F778" t="s">
        <v>1307</v>
      </c>
      <c r="G778" t="s">
        <v>18</v>
      </c>
      <c r="H778" s="75" t="str">
        <f>IFERROR(VLOOKUP(Table2[[#This Row],[Ticket]],Okey!A:B,2,0),"")</f>
        <v>ok</v>
      </c>
      <c r="I778" t="s">
        <v>19</v>
      </c>
      <c r="J778" t="str">
        <f>VLOOKUP(Table2[[#This Row],[Author]],People!A:B,2,0)</f>
        <v>LS</v>
      </c>
      <c r="M778" t="s">
        <v>1040</v>
      </c>
    </row>
    <row r="779" spans="1:13" x14ac:dyDescent="0.25">
      <c r="A779" s="75">
        <f t="shared" si="12"/>
        <v>778</v>
      </c>
      <c r="B779" t="s">
        <v>13</v>
      </c>
      <c r="C779" t="s">
        <v>1037</v>
      </c>
      <c r="D779" t="s">
        <v>1308</v>
      </c>
      <c r="E779" t="s">
        <v>1309</v>
      </c>
      <c r="F779" t="s">
        <v>1310</v>
      </c>
      <c r="G779" t="s">
        <v>18</v>
      </c>
      <c r="H779" s="75" t="str">
        <f>IFERROR(VLOOKUP(Table2[[#This Row],[Ticket]],Okey!A:B,2,0),"")</f>
        <v>ok</v>
      </c>
      <c r="I779" t="s">
        <v>19</v>
      </c>
      <c r="J779" t="str">
        <f>VLOOKUP(Table2[[#This Row],[Author]],People!A:B,2,0)</f>
        <v>LS</v>
      </c>
      <c r="M779" t="s">
        <v>1040</v>
      </c>
    </row>
    <row r="780" spans="1:13" x14ac:dyDescent="0.25">
      <c r="A780" s="75">
        <f t="shared" si="12"/>
        <v>779</v>
      </c>
      <c r="B780" t="s">
        <v>13</v>
      </c>
      <c r="C780" t="s">
        <v>1037</v>
      </c>
      <c r="D780" t="s">
        <v>1311</v>
      </c>
      <c r="E780" t="s">
        <v>1312</v>
      </c>
      <c r="F780" t="s">
        <v>1313</v>
      </c>
      <c r="G780" t="s">
        <v>18</v>
      </c>
      <c r="H780" s="75" t="str">
        <f>IFERROR(VLOOKUP(Table2[[#This Row],[Ticket]],Okey!A:B,2,0),"")</f>
        <v>ok</v>
      </c>
      <c r="I780" t="s">
        <v>19</v>
      </c>
      <c r="J780" t="str">
        <f>VLOOKUP(Table2[[#This Row],[Author]],People!A:B,2,0)</f>
        <v>LS</v>
      </c>
      <c r="M780" t="s">
        <v>1040</v>
      </c>
    </row>
    <row r="781" spans="1:13" x14ac:dyDescent="0.25">
      <c r="A781" s="75">
        <f t="shared" si="12"/>
        <v>780</v>
      </c>
      <c r="B781" t="s">
        <v>13</v>
      </c>
      <c r="C781" t="s">
        <v>1037</v>
      </c>
      <c r="D781" t="s">
        <v>1065</v>
      </c>
      <c r="E781" t="s">
        <v>1314</v>
      </c>
      <c r="F781" t="s">
        <v>1315</v>
      </c>
      <c r="G781" t="s">
        <v>18</v>
      </c>
      <c r="H781" s="75" t="str">
        <f>IFERROR(VLOOKUP(Table2[[#This Row],[Ticket]],Okey!A:B,2,0),"")</f>
        <v>ok</v>
      </c>
      <c r="I781" t="s">
        <v>19</v>
      </c>
      <c r="J781" t="str">
        <f>VLOOKUP(Table2[[#This Row],[Author]],People!A:B,2,0)</f>
        <v>LS</v>
      </c>
      <c r="M781" t="s">
        <v>1040</v>
      </c>
    </row>
    <row r="782" spans="1:13" x14ac:dyDescent="0.25">
      <c r="A782" s="75">
        <f t="shared" si="12"/>
        <v>781</v>
      </c>
      <c r="B782" t="s">
        <v>13</v>
      </c>
      <c r="C782" t="s">
        <v>1037</v>
      </c>
      <c r="D782" t="s">
        <v>1316</v>
      </c>
      <c r="E782" t="s">
        <v>1317</v>
      </c>
      <c r="F782" t="s">
        <v>1318</v>
      </c>
      <c r="G782" t="s">
        <v>18</v>
      </c>
      <c r="H782" s="75" t="str">
        <f>IFERROR(VLOOKUP(Table2[[#This Row],[Ticket]],Okey!A:B,2,0),"")</f>
        <v>ok</v>
      </c>
      <c r="I782" t="s">
        <v>19</v>
      </c>
      <c r="J782" t="str">
        <f>VLOOKUP(Table2[[#This Row],[Author]],People!A:B,2,0)</f>
        <v>LS</v>
      </c>
      <c r="M782" t="s">
        <v>1040</v>
      </c>
    </row>
    <row r="783" spans="1:13" x14ac:dyDescent="0.25">
      <c r="A783" s="75">
        <f t="shared" si="12"/>
        <v>782</v>
      </c>
      <c r="B783" t="s">
        <v>13</v>
      </c>
      <c r="C783" t="s">
        <v>1037</v>
      </c>
      <c r="D783" t="s">
        <v>1319</v>
      </c>
      <c r="E783" t="s">
        <v>1320</v>
      </c>
      <c r="F783" t="s">
        <v>1318</v>
      </c>
      <c r="G783" t="s">
        <v>18</v>
      </c>
      <c r="H783" s="75" t="str">
        <f>IFERROR(VLOOKUP(Table2[[#This Row],[Ticket]],Okey!A:B,2,0),"")</f>
        <v>ok</v>
      </c>
      <c r="I783" t="s">
        <v>19</v>
      </c>
      <c r="J783" t="str">
        <f>VLOOKUP(Table2[[#This Row],[Author]],People!A:B,2,0)</f>
        <v>LS</v>
      </c>
      <c r="M783" t="s">
        <v>1040</v>
      </c>
    </row>
    <row r="784" spans="1:13" x14ac:dyDescent="0.25">
      <c r="A784" s="75">
        <f t="shared" si="12"/>
        <v>783</v>
      </c>
      <c r="B784" t="s">
        <v>13</v>
      </c>
      <c r="C784" t="s">
        <v>1037</v>
      </c>
      <c r="D784" t="s">
        <v>1073</v>
      </c>
      <c r="E784" t="s">
        <v>1321</v>
      </c>
      <c r="F784" t="s">
        <v>1318</v>
      </c>
      <c r="G784" t="s">
        <v>18</v>
      </c>
      <c r="H784" s="75" t="str">
        <f>IFERROR(VLOOKUP(Table2[[#This Row],[Ticket]],Okey!A:B,2,0),"")</f>
        <v>ok</v>
      </c>
      <c r="I784" t="s">
        <v>19</v>
      </c>
      <c r="J784" t="str">
        <f>VLOOKUP(Table2[[#This Row],[Author]],People!A:B,2,0)</f>
        <v>LS</v>
      </c>
      <c r="M784" t="s">
        <v>1040</v>
      </c>
    </row>
    <row r="785" spans="1:13" x14ac:dyDescent="0.25">
      <c r="A785" s="75">
        <f t="shared" si="12"/>
        <v>784</v>
      </c>
      <c r="B785" t="s">
        <v>13</v>
      </c>
      <c r="C785" t="s">
        <v>1037</v>
      </c>
      <c r="D785" t="s">
        <v>1075</v>
      </c>
      <c r="E785" t="s">
        <v>1322</v>
      </c>
      <c r="F785" t="s">
        <v>1318</v>
      </c>
      <c r="G785" t="s">
        <v>18</v>
      </c>
      <c r="H785" s="75" t="str">
        <f>IFERROR(VLOOKUP(Table2[[#This Row],[Ticket]],Okey!A:B,2,0),"")</f>
        <v>ok</v>
      </c>
      <c r="I785" t="s">
        <v>19</v>
      </c>
      <c r="J785" t="str">
        <f>VLOOKUP(Table2[[#This Row],[Author]],People!A:B,2,0)</f>
        <v>LS</v>
      </c>
      <c r="M785" t="s">
        <v>1040</v>
      </c>
    </row>
    <row r="786" spans="1:13" x14ac:dyDescent="0.25">
      <c r="A786" s="75">
        <f t="shared" si="12"/>
        <v>785</v>
      </c>
      <c r="B786" t="s">
        <v>13</v>
      </c>
      <c r="C786" t="s">
        <v>1037</v>
      </c>
      <c r="D786" t="s">
        <v>1077</v>
      </c>
      <c r="E786" t="s">
        <v>1323</v>
      </c>
      <c r="F786" t="s">
        <v>1318</v>
      </c>
      <c r="G786" t="s">
        <v>18</v>
      </c>
      <c r="H786" s="75" t="str">
        <f>IFERROR(VLOOKUP(Table2[[#This Row],[Ticket]],Okey!A:B,2,0),"")</f>
        <v>ok</v>
      </c>
      <c r="I786" t="s">
        <v>19</v>
      </c>
      <c r="J786" t="str">
        <f>VLOOKUP(Table2[[#This Row],[Author]],People!A:B,2,0)</f>
        <v>LS</v>
      </c>
      <c r="M786" t="s">
        <v>1040</v>
      </c>
    </row>
    <row r="787" spans="1:13" x14ac:dyDescent="0.25">
      <c r="A787" s="75">
        <f t="shared" si="12"/>
        <v>786</v>
      </c>
      <c r="B787" t="s">
        <v>13</v>
      </c>
      <c r="C787" t="s">
        <v>1037</v>
      </c>
      <c r="D787" t="s">
        <v>1324</v>
      </c>
      <c r="E787" t="s">
        <v>1325</v>
      </c>
      <c r="F787" t="s">
        <v>1326</v>
      </c>
      <c r="G787" t="s">
        <v>18</v>
      </c>
      <c r="H787" s="75" t="str">
        <f>IFERROR(VLOOKUP(Table2[[#This Row],[Ticket]],Okey!A:B,2,0),"")</f>
        <v>ok</v>
      </c>
      <c r="I787" t="s">
        <v>19</v>
      </c>
      <c r="J787" t="str">
        <f>VLOOKUP(Table2[[#This Row],[Author]],People!A:B,2,0)</f>
        <v>LS</v>
      </c>
      <c r="M787" t="s">
        <v>1040</v>
      </c>
    </row>
    <row r="788" spans="1:13" x14ac:dyDescent="0.25">
      <c r="A788" s="75">
        <f t="shared" si="12"/>
        <v>787</v>
      </c>
      <c r="B788" t="s">
        <v>13</v>
      </c>
      <c r="C788" t="s">
        <v>1037</v>
      </c>
      <c r="D788" t="s">
        <v>1327</v>
      </c>
      <c r="E788" t="s">
        <v>1328</v>
      </c>
      <c r="F788" t="s">
        <v>1326</v>
      </c>
      <c r="G788" t="s">
        <v>18</v>
      </c>
      <c r="H788" s="75" t="str">
        <f>IFERROR(VLOOKUP(Table2[[#This Row],[Ticket]],Okey!A:B,2,0),"")</f>
        <v>ok</v>
      </c>
      <c r="I788" t="s">
        <v>19</v>
      </c>
      <c r="J788" t="str">
        <f>VLOOKUP(Table2[[#This Row],[Author]],People!A:B,2,0)</f>
        <v>LS</v>
      </c>
      <c r="M788" t="s">
        <v>1040</v>
      </c>
    </row>
    <row r="789" spans="1:13" x14ac:dyDescent="0.25">
      <c r="A789" s="75">
        <f t="shared" si="12"/>
        <v>788</v>
      </c>
      <c r="B789" t="s">
        <v>13</v>
      </c>
      <c r="C789" t="s">
        <v>1037</v>
      </c>
      <c r="D789" t="s">
        <v>1329</v>
      </c>
      <c r="E789" t="s">
        <v>1330</v>
      </c>
      <c r="F789" t="s">
        <v>1326</v>
      </c>
      <c r="G789" t="s">
        <v>18</v>
      </c>
      <c r="H789" s="75" t="str">
        <f>IFERROR(VLOOKUP(Table2[[#This Row],[Ticket]],Okey!A:B,2,0),"")</f>
        <v>ok</v>
      </c>
      <c r="I789" t="s">
        <v>19</v>
      </c>
      <c r="J789" t="str">
        <f>VLOOKUP(Table2[[#This Row],[Author]],People!A:B,2,0)</f>
        <v>LS</v>
      </c>
      <c r="M789" t="s">
        <v>1040</v>
      </c>
    </row>
    <row r="790" spans="1:13" x14ac:dyDescent="0.25">
      <c r="A790" s="75">
        <f t="shared" si="12"/>
        <v>789</v>
      </c>
      <c r="B790" t="s">
        <v>13</v>
      </c>
      <c r="C790" t="s">
        <v>1037</v>
      </c>
      <c r="D790" t="s">
        <v>1331</v>
      </c>
      <c r="E790" t="s">
        <v>1332</v>
      </c>
      <c r="F790" t="s">
        <v>1326</v>
      </c>
      <c r="G790" t="s">
        <v>18</v>
      </c>
      <c r="H790" s="75" t="str">
        <f>IFERROR(VLOOKUP(Table2[[#This Row],[Ticket]],Okey!A:B,2,0),"")</f>
        <v>ok</v>
      </c>
      <c r="I790" t="s">
        <v>19</v>
      </c>
      <c r="J790" t="str">
        <f>VLOOKUP(Table2[[#This Row],[Author]],People!A:B,2,0)</f>
        <v>LS</v>
      </c>
      <c r="M790" t="s">
        <v>1040</v>
      </c>
    </row>
    <row r="791" spans="1:13" x14ac:dyDescent="0.25">
      <c r="A791" s="75">
        <f t="shared" si="12"/>
        <v>790</v>
      </c>
      <c r="B791" t="s">
        <v>13</v>
      </c>
      <c r="C791" t="s">
        <v>1037</v>
      </c>
      <c r="D791" t="s">
        <v>1333</v>
      </c>
      <c r="E791" t="s">
        <v>1334</v>
      </c>
      <c r="F791" t="s">
        <v>1326</v>
      </c>
      <c r="G791" t="s">
        <v>18</v>
      </c>
      <c r="H791" s="75" t="str">
        <f>IFERROR(VLOOKUP(Table2[[#This Row],[Ticket]],Okey!A:B,2,0),"")</f>
        <v>ok</v>
      </c>
      <c r="I791" t="s">
        <v>19</v>
      </c>
      <c r="J791" t="str">
        <f>VLOOKUP(Table2[[#This Row],[Author]],People!A:B,2,0)</f>
        <v>LS</v>
      </c>
      <c r="M791" t="s">
        <v>1040</v>
      </c>
    </row>
    <row r="792" spans="1:13" x14ac:dyDescent="0.25">
      <c r="A792" s="75">
        <f t="shared" si="12"/>
        <v>791</v>
      </c>
      <c r="B792" t="s">
        <v>13</v>
      </c>
      <c r="C792" t="s">
        <v>1037</v>
      </c>
      <c r="D792" t="s">
        <v>1335</v>
      </c>
      <c r="E792" t="s">
        <v>1336</v>
      </c>
      <c r="F792" t="s">
        <v>1326</v>
      </c>
      <c r="G792" t="s">
        <v>18</v>
      </c>
      <c r="H792" s="75" t="str">
        <f>IFERROR(VLOOKUP(Table2[[#This Row],[Ticket]],Okey!A:B,2,0),"")</f>
        <v>ok</v>
      </c>
      <c r="I792" t="s">
        <v>19</v>
      </c>
      <c r="J792" t="str">
        <f>VLOOKUP(Table2[[#This Row],[Author]],People!A:B,2,0)</f>
        <v>LS</v>
      </c>
      <c r="M792" t="s">
        <v>1040</v>
      </c>
    </row>
    <row r="793" spans="1:13" x14ac:dyDescent="0.25">
      <c r="A793" s="75">
        <f t="shared" si="12"/>
        <v>792</v>
      </c>
      <c r="B793" t="s">
        <v>13</v>
      </c>
      <c r="C793" t="s">
        <v>1037</v>
      </c>
      <c r="D793" t="s">
        <v>1337</v>
      </c>
      <c r="E793" t="s">
        <v>1338</v>
      </c>
      <c r="F793" t="s">
        <v>1326</v>
      </c>
      <c r="G793" t="s">
        <v>18</v>
      </c>
      <c r="H793" s="75" t="str">
        <f>IFERROR(VLOOKUP(Table2[[#This Row],[Ticket]],Okey!A:B,2,0),"")</f>
        <v>ok</v>
      </c>
      <c r="I793" t="s">
        <v>19</v>
      </c>
      <c r="J793" t="str">
        <f>VLOOKUP(Table2[[#This Row],[Author]],People!A:B,2,0)</f>
        <v>LS</v>
      </c>
      <c r="M793" t="s">
        <v>1040</v>
      </c>
    </row>
    <row r="794" spans="1:13" x14ac:dyDescent="0.25">
      <c r="A794" s="75">
        <f t="shared" si="12"/>
        <v>793</v>
      </c>
      <c r="B794" t="s">
        <v>13</v>
      </c>
      <c r="C794" t="s">
        <v>1037</v>
      </c>
      <c r="D794" t="s">
        <v>1071</v>
      </c>
      <c r="E794" t="s">
        <v>1339</v>
      </c>
      <c r="F794" t="s">
        <v>1340</v>
      </c>
      <c r="G794" t="s">
        <v>18</v>
      </c>
      <c r="H794" s="75" t="str">
        <f>IFERROR(VLOOKUP(Table2[[#This Row],[Ticket]],Okey!A:B,2,0),"")</f>
        <v>ok</v>
      </c>
      <c r="I794" t="s">
        <v>19</v>
      </c>
      <c r="J794" t="str">
        <f>VLOOKUP(Table2[[#This Row],[Author]],People!A:B,2,0)</f>
        <v>LS</v>
      </c>
      <c r="M794" t="s">
        <v>1040</v>
      </c>
    </row>
    <row r="795" spans="1:13" x14ac:dyDescent="0.25">
      <c r="A795" s="75">
        <f t="shared" si="12"/>
        <v>794</v>
      </c>
      <c r="B795" t="s">
        <v>13</v>
      </c>
      <c r="C795" t="s">
        <v>1037</v>
      </c>
      <c r="D795" t="s">
        <v>1090</v>
      </c>
      <c r="E795" t="s">
        <v>1341</v>
      </c>
      <c r="F795" t="s">
        <v>1342</v>
      </c>
      <c r="G795" t="s">
        <v>18</v>
      </c>
      <c r="H795" s="75" t="str">
        <f>IFERROR(VLOOKUP(Table2[[#This Row],[Ticket]],Okey!A:B,2,0),"")</f>
        <v>ok</v>
      </c>
      <c r="I795" t="s">
        <v>19</v>
      </c>
      <c r="J795" t="str">
        <f>VLOOKUP(Table2[[#This Row],[Author]],People!A:B,2,0)</f>
        <v>LS</v>
      </c>
      <c r="M795" t="s">
        <v>1040</v>
      </c>
    </row>
    <row r="796" spans="1:13" x14ac:dyDescent="0.25">
      <c r="A796" s="75">
        <f t="shared" si="12"/>
        <v>795</v>
      </c>
      <c r="B796" t="s">
        <v>13</v>
      </c>
      <c r="C796" t="s">
        <v>1037</v>
      </c>
      <c r="D796" t="s">
        <v>1343</v>
      </c>
      <c r="E796" t="s">
        <v>1344</v>
      </c>
      <c r="F796" t="s">
        <v>1089</v>
      </c>
      <c r="G796" t="s">
        <v>18</v>
      </c>
      <c r="H796" s="75" t="str">
        <f>IFERROR(VLOOKUP(Table2[[#This Row],[Ticket]],Okey!A:B,2,0),"")</f>
        <v>ok</v>
      </c>
      <c r="I796" t="s">
        <v>19</v>
      </c>
      <c r="J796" t="str">
        <f>VLOOKUP(Table2[[#This Row],[Author]],People!A:B,2,0)</f>
        <v>LS</v>
      </c>
      <c r="M796" t="s">
        <v>1040</v>
      </c>
    </row>
    <row r="797" spans="1:13" x14ac:dyDescent="0.25">
      <c r="A797" s="75">
        <f t="shared" si="12"/>
        <v>796</v>
      </c>
      <c r="B797" t="s">
        <v>13</v>
      </c>
      <c r="C797" t="s">
        <v>1037</v>
      </c>
      <c r="D797" t="s">
        <v>1345</v>
      </c>
      <c r="E797" t="s">
        <v>1346</v>
      </c>
      <c r="F797" t="s">
        <v>1096</v>
      </c>
      <c r="G797" t="s">
        <v>18</v>
      </c>
      <c r="H797" s="75" t="str">
        <f>IFERROR(VLOOKUP(Table2[[#This Row],[Ticket]],Okey!A:B,2,0),"")</f>
        <v>ok</v>
      </c>
      <c r="I797" t="s">
        <v>19</v>
      </c>
      <c r="J797" t="str">
        <f>VLOOKUP(Table2[[#This Row],[Author]],People!A:B,2,0)</f>
        <v>LS</v>
      </c>
      <c r="M797" t="s">
        <v>1040</v>
      </c>
    </row>
    <row r="798" spans="1:13" x14ac:dyDescent="0.25">
      <c r="A798" s="75">
        <f t="shared" si="12"/>
        <v>797</v>
      </c>
      <c r="B798" t="s">
        <v>13</v>
      </c>
      <c r="C798" t="s">
        <v>1037</v>
      </c>
      <c r="D798" t="s">
        <v>1093</v>
      </c>
      <c r="E798" t="s">
        <v>1347</v>
      </c>
      <c r="F798" t="s">
        <v>1342</v>
      </c>
      <c r="G798" t="s">
        <v>18</v>
      </c>
      <c r="H798" s="75" t="str">
        <f>IFERROR(VLOOKUP(Table2[[#This Row],[Ticket]],Okey!A:B,2,0),"")</f>
        <v>ok</v>
      </c>
      <c r="I798" t="s">
        <v>19</v>
      </c>
      <c r="J798" t="str">
        <f>VLOOKUP(Table2[[#This Row],[Author]],People!A:B,2,0)</f>
        <v>LS</v>
      </c>
      <c r="M798" t="s">
        <v>1040</v>
      </c>
    </row>
    <row r="799" spans="1:13" x14ac:dyDescent="0.25">
      <c r="A799" s="75">
        <f t="shared" si="12"/>
        <v>798</v>
      </c>
      <c r="B799" t="s">
        <v>13</v>
      </c>
      <c r="C799" t="s">
        <v>1037</v>
      </c>
      <c r="D799" t="s">
        <v>1348</v>
      </c>
      <c r="E799" t="s">
        <v>1349</v>
      </c>
      <c r="F799" t="s">
        <v>1103</v>
      </c>
      <c r="G799" t="s">
        <v>18</v>
      </c>
      <c r="H799" s="75" t="str">
        <f>IFERROR(VLOOKUP(Table2[[#This Row],[Ticket]],Okey!A:B,2,0),"")</f>
        <v>ok</v>
      </c>
      <c r="I799" t="s">
        <v>19</v>
      </c>
      <c r="J799" t="str">
        <f>VLOOKUP(Table2[[#This Row],[Author]],People!A:B,2,0)</f>
        <v>LS</v>
      </c>
      <c r="M799" t="s">
        <v>1040</v>
      </c>
    </row>
    <row r="800" spans="1:13" x14ac:dyDescent="0.25">
      <c r="A800" s="75">
        <f t="shared" si="12"/>
        <v>799</v>
      </c>
      <c r="B800" t="s">
        <v>13</v>
      </c>
      <c r="C800" t="s">
        <v>1037</v>
      </c>
      <c r="D800" t="s">
        <v>1350</v>
      </c>
      <c r="E800" t="s">
        <v>1351</v>
      </c>
      <c r="F800" t="s">
        <v>1103</v>
      </c>
      <c r="G800" t="s">
        <v>18</v>
      </c>
      <c r="H800" s="75" t="str">
        <f>IFERROR(VLOOKUP(Table2[[#This Row],[Ticket]],Okey!A:B,2,0),"")</f>
        <v>ok</v>
      </c>
      <c r="I800" t="s">
        <v>19</v>
      </c>
      <c r="J800" t="str">
        <f>VLOOKUP(Table2[[#This Row],[Author]],People!A:B,2,0)</f>
        <v>LS</v>
      </c>
      <c r="M800" t="s">
        <v>1040</v>
      </c>
    </row>
    <row r="801" spans="1:13" x14ac:dyDescent="0.25">
      <c r="A801" s="75">
        <f t="shared" si="12"/>
        <v>800</v>
      </c>
      <c r="B801" t="s">
        <v>13</v>
      </c>
      <c r="C801" t="s">
        <v>1037</v>
      </c>
      <c r="D801" t="s">
        <v>1352</v>
      </c>
      <c r="E801" t="s">
        <v>1353</v>
      </c>
      <c r="F801" t="s">
        <v>1354</v>
      </c>
      <c r="G801" t="s">
        <v>18</v>
      </c>
      <c r="H801" s="75" t="str">
        <f>IFERROR(VLOOKUP(Table2[[#This Row],[Ticket]],Okey!A:B,2,0),"")</f>
        <v>ok</v>
      </c>
      <c r="I801" t="s">
        <v>19</v>
      </c>
      <c r="J801" t="str">
        <f>VLOOKUP(Table2[[#This Row],[Author]],People!A:B,2,0)</f>
        <v>LS</v>
      </c>
      <c r="M801" t="s">
        <v>1040</v>
      </c>
    </row>
    <row r="802" spans="1:13" x14ac:dyDescent="0.25">
      <c r="A802" s="75">
        <f t="shared" si="12"/>
        <v>801</v>
      </c>
      <c r="B802" t="s">
        <v>13</v>
      </c>
      <c r="C802" t="s">
        <v>1037</v>
      </c>
      <c r="D802" t="s">
        <v>1355</v>
      </c>
      <c r="E802" t="s">
        <v>1356</v>
      </c>
      <c r="F802" t="s">
        <v>1354</v>
      </c>
      <c r="G802" t="s">
        <v>18</v>
      </c>
      <c r="H802" s="75" t="str">
        <f>IFERROR(VLOOKUP(Table2[[#This Row],[Ticket]],Okey!A:B,2,0),"")</f>
        <v>ok</v>
      </c>
      <c r="I802" t="s">
        <v>19</v>
      </c>
      <c r="J802" t="str">
        <f>VLOOKUP(Table2[[#This Row],[Author]],People!A:B,2,0)</f>
        <v>LS</v>
      </c>
      <c r="M802" t="s">
        <v>1040</v>
      </c>
    </row>
    <row r="803" spans="1:13" x14ac:dyDescent="0.25">
      <c r="A803" s="75">
        <f t="shared" si="12"/>
        <v>802</v>
      </c>
      <c r="B803" t="s">
        <v>13</v>
      </c>
      <c r="C803" t="s">
        <v>1037</v>
      </c>
      <c r="D803" t="s">
        <v>1357</v>
      </c>
      <c r="E803" t="s">
        <v>1358</v>
      </c>
      <c r="F803" t="s">
        <v>1354</v>
      </c>
      <c r="G803" t="s">
        <v>18</v>
      </c>
      <c r="H803" s="75" t="str">
        <f>IFERROR(VLOOKUP(Table2[[#This Row],[Ticket]],Okey!A:B,2,0),"")</f>
        <v>ok</v>
      </c>
      <c r="I803" t="s">
        <v>19</v>
      </c>
      <c r="J803" t="str">
        <f>VLOOKUP(Table2[[#This Row],[Author]],People!A:B,2,0)</f>
        <v>LS</v>
      </c>
      <c r="M803" t="s">
        <v>1040</v>
      </c>
    </row>
    <row r="804" spans="1:13" x14ac:dyDescent="0.25">
      <c r="A804" s="75">
        <f t="shared" si="12"/>
        <v>803</v>
      </c>
      <c r="B804" t="s">
        <v>13</v>
      </c>
      <c r="C804" t="s">
        <v>1037</v>
      </c>
      <c r="D804" t="s">
        <v>1359</v>
      </c>
      <c r="E804" t="s">
        <v>1360</v>
      </c>
      <c r="F804" t="s">
        <v>1361</v>
      </c>
      <c r="G804" t="s">
        <v>18</v>
      </c>
      <c r="H804" s="75" t="str">
        <f>IFERROR(VLOOKUP(Table2[[#This Row],[Ticket]],Okey!A:B,2,0),"")</f>
        <v>ok</v>
      </c>
      <c r="I804" t="s">
        <v>19</v>
      </c>
      <c r="J804" t="str">
        <f>VLOOKUP(Table2[[#This Row],[Author]],People!A:B,2,0)</f>
        <v>LS</v>
      </c>
      <c r="M804" t="s">
        <v>1040</v>
      </c>
    </row>
    <row r="805" spans="1:13" x14ac:dyDescent="0.25">
      <c r="A805" s="75">
        <f t="shared" si="12"/>
        <v>804</v>
      </c>
      <c r="B805" t="s">
        <v>13</v>
      </c>
      <c r="C805" t="s">
        <v>1037</v>
      </c>
      <c r="D805" t="s">
        <v>1115</v>
      </c>
      <c r="E805" t="s">
        <v>1362</v>
      </c>
      <c r="F805" t="s">
        <v>1361</v>
      </c>
      <c r="G805" t="s">
        <v>18</v>
      </c>
      <c r="H805" s="75" t="str">
        <f>IFERROR(VLOOKUP(Table2[[#This Row],[Ticket]],Okey!A:B,2,0),"")</f>
        <v>ok</v>
      </c>
      <c r="I805" t="s">
        <v>19</v>
      </c>
      <c r="J805" t="str">
        <f>VLOOKUP(Table2[[#This Row],[Author]],People!A:B,2,0)</f>
        <v>LS</v>
      </c>
      <c r="M805" t="s">
        <v>1040</v>
      </c>
    </row>
    <row r="806" spans="1:13" x14ac:dyDescent="0.25">
      <c r="A806" s="75">
        <f t="shared" si="12"/>
        <v>805</v>
      </c>
      <c r="B806" t="s">
        <v>13</v>
      </c>
      <c r="C806" t="s">
        <v>1037</v>
      </c>
      <c r="D806" t="s">
        <v>1363</v>
      </c>
      <c r="E806" t="s">
        <v>1364</v>
      </c>
      <c r="F806" t="s">
        <v>1365</v>
      </c>
      <c r="G806" t="s">
        <v>18</v>
      </c>
      <c r="H806" s="75" t="str">
        <f>IFERROR(VLOOKUP(Table2[[#This Row],[Ticket]],Okey!A:B,2,0),"")</f>
        <v>ok</v>
      </c>
      <c r="I806" t="s">
        <v>19</v>
      </c>
      <c r="J806" t="str">
        <f>VLOOKUP(Table2[[#This Row],[Author]],People!A:B,2,0)</f>
        <v>LS</v>
      </c>
      <c r="M806" t="s">
        <v>1040</v>
      </c>
    </row>
    <row r="807" spans="1:13" x14ac:dyDescent="0.25">
      <c r="A807" s="75">
        <f t="shared" si="12"/>
        <v>806</v>
      </c>
      <c r="B807" t="s">
        <v>13</v>
      </c>
      <c r="C807" t="s">
        <v>1037</v>
      </c>
      <c r="D807" t="s">
        <v>1132</v>
      </c>
      <c r="E807" t="s">
        <v>1366</v>
      </c>
      <c r="F807" t="s">
        <v>1365</v>
      </c>
      <c r="G807" t="s">
        <v>18</v>
      </c>
      <c r="H807" s="75" t="str">
        <f>IFERROR(VLOOKUP(Table2[[#This Row],[Ticket]],Okey!A:B,2,0),"")</f>
        <v>ok</v>
      </c>
      <c r="I807" t="s">
        <v>19</v>
      </c>
      <c r="J807" t="str">
        <f>VLOOKUP(Table2[[#This Row],[Author]],People!A:B,2,0)</f>
        <v>LS</v>
      </c>
      <c r="M807" t="s">
        <v>1040</v>
      </c>
    </row>
    <row r="808" spans="1:13" x14ac:dyDescent="0.25">
      <c r="A808" s="75">
        <f t="shared" si="12"/>
        <v>807</v>
      </c>
      <c r="B808" t="s">
        <v>13</v>
      </c>
      <c r="C808" t="s">
        <v>1037</v>
      </c>
      <c r="D808" t="s">
        <v>1367</v>
      </c>
      <c r="E808" t="s">
        <v>1368</v>
      </c>
      <c r="F808" t="s">
        <v>1365</v>
      </c>
      <c r="G808" t="s">
        <v>18</v>
      </c>
      <c r="H808" s="75" t="str">
        <f>IFERROR(VLOOKUP(Table2[[#This Row],[Ticket]],Okey!A:B,2,0),"")</f>
        <v>ok</v>
      </c>
      <c r="I808" t="s">
        <v>19</v>
      </c>
      <c r="J808" t="str">
        <f>VLOOKUP(Table2[[#This Row],[Author]],People!A:B,2,0)</f>
        <v>LS</v>
      </c>
      <c r="M808" t="s">
        <v>1040</v>
      </c>
    </row>
    <row r="809" spans="1:13" x14ac:dyDescent="0.25">
      <c r="A809" s="75">
        <f t="shared" si="12"/>
        <v>808</v>
      </c>
      <c r="B809" t="s">
        <v>13</v>
      </c>
      <c r="C809" t="s">
        <v>1037</v>
      </c>
      <c r="D809" t="s">
        <v>1138</v>
      </c>
      <c r="E809" t="s">
        <v>1369</v>
      </c>
      <c r="F809" t="s">
        <v>1370</v>
      </c>
      <c r="G809" t="s">
        <v>18</v>
      </c>
      <c r="H809" s="75" t="str">
        <f>IFERROR(VLOOKUP(Table2[[#This Row],[Ticket]],Okey!A:B,2,0),"")</f>
        <v>ok</v>
      </c>
      <c r="I809" t="s">
        <v>19</v>
      </c>
      <c r="J809" t="str">
        <f>VLOOKUP(Table2[[#This Row],[Author]],People!A:B,2,0)</f>
        <v>LS</v>
      </c>
      <c r="M809" t="s">
        <v>1040</v>
      </c>
    </row>
    <row r="810" spans="1:13" x14ac:dyDescent="0.25">
      <c r="A810" s="75">
        <f t="shared" si="12"/>
        <v>809</v>
      </c>
      <c r="B810" t="s">
        <v>13</v>
      </c>
      <c r="C810" t="s">
        <v>1037</v>
      </c>
      <c r="D810" t="s">
        <v>1237</v>
      </c>
      <c r="E810" t="s">
        <v>1371</v>
      </c>
      <c r="F810" t="s">
        <v>1372</v>
      </c>
      <c r="G810" t="s">
        <v>18</v>
      </c>
      <c r="H810" s="75" t="str">
        <f>IFERROR(VLOOKUP(Table2[[#This Row],[Ticket]],Okey!A:B,2,0),"")</f>
        <v>ok</v>
      </c>
      <c r="I810" t="s">
        <v>19</v>
      </c>
      <c r="J810" t="str">
        <f>VLOOKUP(Table2[[#This Row],[Author]],People!A:B,2,0)</f>
        <v>LS</v>
      </c>
      <c r="M810" t="s">
        <v>1040</v>
      </c>
    </row>
    <row r="811" spans="1:13" x14ac:dyDescent="0.25">
      <c r="A811" s="75">
        <f t="shared" si="12"/>
        <v>810</v>
      </c>
      <c r="B811" t="s">
        <v>13</v>
      </c>
      <c r="C811" t="s">
        <v>1037</v>
      </c>
      <c r="D811" t="s">
        <v>1239</v>
      </c>
      <c r="E811" t="s">
        <v>1373</v>
      </c>
      <c r="F811" t="s">
        <v>1372</v>
      </c>
      <c r="G811" t="s">
        <v>18</v>
      </c>
      <c r="H811" s="75" t="str">
        <f>IFERROR(VLOOKUP(Table2[[#This Row],[Ticket]],Okey!A:B,2,0),"")</f>
        <v>ok</v>
      </c>
      <c r="I811" t="s">
        <v>19</v>
      </c>
      <c r="J811" t="str">
        <f>VLOOKUP(Table2[[#This Row],[Author]],People!A:B,2,0)</f>
        <v>LS</v>
      </c>
      <c r="M811" t="s">
        <v>1040</v>
      </c>
    </row>
    <row r="812" spans="1:13" x14ac:dyDescent="0.25">
      <c r="A812" s="75">
        <f t="shared" si="12"/>
        <v>811</v>
      </c>
      <c r="B812" t="s">
        <v>13</v>
      </c>
      <c r="C812" t="s">
        <v>1037</v>
      </c>
      <c r="D812" t="s">
        <v>1105</v>
      </c>
      <c r="E812" t="s">
        <v>1374</v>
      </c>
      <c r="F812" t="s">
        <v>1372</v>
      </c>
      <c r="G812" t="s">
        <v>18</v>
      </c>
      <c r="H812" s="75" t="str">
        <f>IFERROR(VLOOKUP(Table2[[#This Row],[Ticket]],Okey!A:B,2,0),"")</f>
        <v>ok</v>
      </c>
      <c r="I812" t="s">
        <v>19</v>
      </c>
      <c r="J812" t="str">
        <f>VLOOKUP(Table2[[#This Row],[Author]],People!A:B,2,0)</f>
        <v>LS</v>
      </c>
      <c r="M812" t="s">
        <v>1040</v>
      </c>
    </row>
    <row r="813" spans="1:13" x14ac:dyDescent="0.25">
      <c r="A813" s="75">
        <f t="shared" si="12"/>
        <v>812</v>
      </c>
      <c r="B813" t="s">
        <v>13</v>
      </c>
      <c r="C813" t="s">
        <v>1037</v>
      </c>
      <c r="D813" t="s">
        <v>1260</v>
      </c>
      <c r="E813" t="s">
        <v>1375</v>
      </c>
      <c r="F813" t="s">
        <v>1376</v>
      </c>
      <c r="G813" t="s">
        <v>18</v>
      </c>
      <c r="H813" s="75" t="str">
        <f>IFERROR(VLOOKUP(Table2[[#This Row],[Ticket]],Okey!A:B,2,0),"")</f>
        <v>ok</v>
      </c>
      <c r="I813" t="s">
        <v>19</v>
      </c>
      <c r="J813" t="str">
        <f>VLOOKUP(Table2[[#This Row],[Author]],People!A:B,2,0)</f>
        <v>LS</v>
      </c>
      <c r="M813" t="s">
        <v>1040</v>
      </c>
    </row>
    <row r="814" spans="1:13" x14ac:dyDescent="0.25">
      <c r="A814" s="75">
        <f t="shared" si="12"/>
        <v>813</v>
      </c>
      <c r="B814" t="s">
        <v>13</v>
      </c>
      <c r="C814" t="s">
        <v>1037</v>
      </c>
      <c r="D814" t="s">
        <v>1258</v>
      </c>
      <c r="E814" t="s">
        <v>1377</v>
      </c>
      <c r="F814" t="s">
        <v>1376</v>
      </c>
      <c r="G814" t="s">
        <v>18</v>
      </c>
      <c r="H814" s="75" t="str">
        <f>IFERROR(VLOOKUP(Table2[[#This Row],[Ticket]],Okey!A:B,2,0),"")</f>
        <v>ok</v>
      </c>
      <c r="I814" t="s">
        <v>19</v>
      </c>
      <c r="J814" t="str">
        <f>VLOOKUP(Table2[[#This Row],[Author]],People!A:B,2,0)</f>
        <v>LS</v>
      </c>
      <c r="M814" t="s">
        <v>1040</v>
      </c>
    </row>
    <row r="815" spans="1:13" x14ac:dyDescent="0.25">
      <c r="A815" s="75">
        <f t="shared" si="12"/>
        <v>814</v>
      </c>
      <c r="B815" t="s">
        <v>13</v>
      </c>
      <c r="C815" t="s">
        <v>1037</v>
      </c>
      <c r="D815" t="s">
        <v>1378</v>
      </c>
      <c r="E815" t="s">
        <v>1379</v>
      </c>
      <c r="F815" t="s">
        <v>1380</v>
      </c>
      <c r="G815" t="s">
        <v>18</v>
      </c>
      <c r="H815" s="75" t="str">
        <f>IFERROR(VLOOKUP(Table2[[#This Row],[Ticket]],Okey!A:B,2,0),"")</f>
        <v>ok</v>
      </c>
      <c r="I815" t="s">
        <v>19</v>
      </c>
      <c r="J815" t="str">
        <f>VLOOKUP(Table2[[#This Row],[Author]],People!A:B,2,0)</f>
        <v>LS</v>
      </c>
      <c r="M815" t="s">
        <v>1040</v>
      </c>
    </row>
    <row r="816" spans="1:13" x14ac:dyDescent="0.25">
      <c r="A816" s="75">
        <f t="shared" si="12"/>
        <v>815</v>
      </c>
      <c r="B816" t="s">
        <v>13</v>
      </c>
      <c r="C816" t="s">
        <v>1037</v>
      </c>
      <c r="D816" t="s">
        <v>1381</v>
      </c>
      <c r="E816" t="s">
        <v>1382</v>
      </c>
      <c r="F816" t="s">
        <v>1380</v>
      </c>
      <c r="G816" t="s">
        <v>18</v>
      </c>
      <c r="H816" s="75" t="str">
        <f>IFERROR(VLOOKUP(Table2[[#This Row],[Ticket]],Okey!A:B,2,0),"")</f>
        <v>ok</v>
      </c>
      <c r="I816" t="s">
        <v>19</v>
      </c>
      <c r="J816" t="str">
        <f>VLOOKUP(Table2[[#This Row],[Author]],People!A:B,2,0)</f>
        <v>LS</v>
      </c>
      <c r="M816" t="s">
        <v>1040</v>
      </c>
    </row>
    <row r="817" spans="1:13" x14ac:dyDescent="0.25">
      <c r="A817" s="75">
        <f t="shared" si="12"/>
        <v>816</v>
      </c>
      <c r="B817" t="s">
        <v>13</v>
      </c>
      <c r="C817" t="s">
        <v>1037</v>
      </c>
      <c r="D817" t="s">
        <v>1383</v>
      </c>
      <c r="E817" t="s">
        <v>1384</v>
      </c>
      <c r="F817" t="s">
        <v>1385</v>
      </c>
      <c r="G817" t="s">
        <v>18</v>
      </c>
      <c r="H817" s="75" t="str">
        <f>IFERROR(VLOOKUP(Table2[[#This Row],[Ticket]],Okey!A:B,2,0),"")</f>
        <v>ok</v>
      </c>
      <c r="I817" t="s">
        <v>19</v>
      </c>
      <c r="J817" t="str">
        <f>VLOOKUP(Table2[[#This Row],[Author]],People!A:B,2,0)</f>
        <v>LS</v>
      </c>
      <c r="M817" t="s">
        <v>1040</v>
      </c>
    </row>
    <row r="818" spans="1:13" x14ac:dyDescent="0.25">
      <c r="A818" s="75">
        <f t="shared" si="12"/>
        <v>817</v>
      </c>
      <c r="B818" t="s">
        <v>13</v>
      </c>
      <c r="C818" t="s">
        <v>1037</v>
      </c>
      <c r="D818" t="s">
        <v>1386</v>
      </c>
      <c r="E818" t="s">
        <v>1387</v>
      </c>
      <c r="F818" t="s">
        <v>1385</v>
      </c>
      <c r="G818" t="s">
        <v>18</v>
      </c>
      <c r="H818" s="75" t="str">
        <f>IFERROR(VLOOKUP(Table2[[#This Row],[Ticket]],Okey!A:B,2,0),"")</f>
        <v>ok</v>
      </c>
      <c r="I818" t="s">
        <v>19</v>
      </c>
      <c r="J818" t="str">
        <f>VLOOKUP(Table2[[#This Row],[Author]],People!A:B,2,0)</f>
        <v>LS</v>
      </c>
      <c r="M818" t="s">
        <v>1040</v>
      </c>
    </row>
    <row r="819" spans="1:13" x14ac:dyDescent="0.25">
      <c r="A819" s="75">
        <f t="shared" si="12"/>
        <v>818</v>
      </c>
      <c r="B819" t="s">
        <v>13</v>
      </c>
      <c r="C819" t="s">
        <v>1037</v>
      </c>
      <c r="D819" t="s">
        <v>1388</v>
      </c>
      <c r="E819" t="s">
        <v>1389</v>
      </c>
      <c r="F819" t="s">
        <v>1385</v>
      </c>
      <c r="G819" t="s">
        <v>18</v>
      </c>
      <c r="H819" s="75" t="str">
        <f>IFERROR(VLOOKUP(Table2[[#This Row],[Ticket]],Okey!A:B,2,0),"")</f>
        <v>ok</v>
      </c>
      <c r="I819" t="s">
        <v>19</v>
      </c>
      <c r="J819" t="str">
        <f>VLOOKUP(Table2[[#This Row],[Author]],People!A:B,2,0)</f>
        <v>LS</v>
      </c>
      <c r="M819" t="s">
        <v>1040</v>
      </c>
    </row>
    <row r="820" spans="1:13" x14ac:dyDescent="0.25">
      <c r="A820" s="75">
        <f t="shared" si="12"/>
        <v>819</v>
      </c>
      <c r="B820" t="s">
        <v>13</v>
      </c>
      <c r="C820" t="s">
        <v>1037</v>
      </c>
      <c r="D820" t="s">
        <v>1390</v>
      </c>
      <c r="E820" t="s">
        <v>1391</v>
      </c>
      <c r="F820" t="s">
        <v>1385</v>
      </c>
      <c r="G820" t="s">
        <v>18</v>
      </c>
      <c r="H820" s="75" t="str">
        <f>IFERROR(VLOOKUP(Table2[[#This Row],[Ticket]],Okey!A:B,2,0),"")</f>
        <v>ok</v>
      </c>
      <c r="I820" t="s">
        <v>19</v>
      </c>
      <c r="J820" t="str">
        <f>VLOOKUP(Table2[[#This Row],[Author]],People!A:B,2,0)</f>
        <v>LS</v>
      </c>
      <c r="M820" t="s">
        <v>1040</v>
      </c>
    </row>
    <row r="821" spans="1:13" x14ac:dyDescent="0.25">
      <c r="A821" s="75">
        <f t="shared" si="12"/>
        <v>820</v>
      </c>
      <c r="B821" t="s">
        <v>13</v>
      </c>
      <c r="C821" t="s">
        <v>1037</v>
      </c>
      <c r="D821" t="s">
        <v>1392</v>
      </c>
      <c r="E821" t="s">
        <v>1393</v>
      </c>
      <c r="F821" t="s">
        <v>1394</v>
      </c>
      <c r="G821" t="s">
        <v>18</v>
      </c>
      <c r="H821" s="75" t="str">
        <f>IFERROR(VLOOKUP(Table2[[#This Row],[Ticket]],Okey!A:B,2,0),"")</f>
        <v>ok</v>
      </c>
      <c r="I821" t="s">
        <v>19</v>
      </c>
      <c r="J821" t="str">
        <f>VLOOKUP(Table2[[#This Row],[Author]],People!A:B,2,0)</f>
        <v>LS</v>
      </c>
      <c r="M821" t="s">
        <v>1040</v>
      </c>
    </row>
    <row r="822" spans="1:13" x14ac:dyDescent="0.25">
      <c r="A822" s="75">
        <f t="shared" si="12"/>
        <v>821</v>
      </c>
      <c r="B822" t="s">
        <v>13</v>
      </c>
      <c r="C822" t="s">
        <v>1037</v>
      </c>
      <c r="D822" t="s">
        <v>1395</v>
      </c>
      <c r="E822" t="s">
        <v>1396</v>
      </c>
      <c r="F822" t="s">
        <v>1394</v>
      </c>
      <c r="G822" t="s">
        <v>18</v>
      </c>
      <c r="H822" s="75" t="str">
        <f>IFERROR(VLOOKUP(Table2[[#This Row],[Ticket]],Okey!A:B,2,0),"")</f>
        <v>ok</v>
      </c>
      <c r="I822" t="s">
        <v>19</v>
      </c>
      <c r="J822" t="str">
        <f>VLOOKUP(Table2[[#This Row],[Author]],People!A:B,2,0)</f>
        <v>LS</v>
      </c>
      <c r="M822" t="s">
        <v>1040</v>
      </c>
    </row>
    <row r="823" spans="1:13" x14ac:dyDescent="0.25">
      <c r="A823" s="75">
        <f t="shared" si="12"/>
        <v>822</v>
      </c>
      <c r="B823" t="s">
        <v>13</v>
      </c>
      <c r="C823" t="s">
        <v>1037</v>
      </c>
      <c r="D823" t="s">
        <v>1397</v>
      </c>
      <c r="E823" t="s">
        <v>1398</v>
      </c>
      <c r="F823" t="s">
        <v>1394</v>
      </c>
      <c r="G823" t="s">
        <v>18</v>
      </c>
      <c r="H823" s="75" t="str">
        <f>IFERROR(VLOOKUP(Table2[[#This Row],[Ticket]],Okey!A:B,2,0),"")</f>
        <v>ok</v>
      </c>
      <c r="I823" t="s">
        <v>19</v>
      </c>
      <c r="J823" t="str">
        <f>VLOOKUP(Table2[[#This Row],[Author]],People!A:B,2,0)</f>
        <v>LS</v>
      </c>
      <c r="M823" t="s">
        <v>1040</v>
      </c>
    </row>
    <row r="824" spans="1:13" x14ac:dyDescent="0.25">
      <c r="A824" s="75">
        <f t="shared" si="12"/>
        <v>823</v>
      </c>
      <c r="B824" t="s">
        <v>13</v>
      </c>
      <c r="C824" t="s">
        <v>1037</v>
      </c>
      <c r="D824" t="s">
        <v>1399</v>
      </c>
      <c r="E824" t="s">
        <v>1400</v>
      </c>
      <c r="F824" t="s">
        <v>1394</v>
      </c>
      <c r="G824" t="s">
        <v>18</v>
      </c>
      <c r="H824" s="75" t="str">
        <f>IFERROR(VLOOKUP(Table2[[#This Row],[Ticket]],Okey!A:B,2,0),"")</f>
        <v>ok</v>
      </c>
      <c r="I824" t="s">
        <v>19</v>
      </c>
      <c r="J824" t="str">
        <f>VLOOKUP(Table2[[#This Row],[Author]],People!A:B,2,0)</f>
        <v>LS</v>
      </c>
      <c r="M824" t="s">
        <v>1040</v>
      </c>
    </row>
    <row r="825" spans="1:13" x14ac:dyDescent="0.25">
      <c r="A825" s="75">
        <f t="shared" si="12"/>
        <v>824</v>
      </c>
      <c r="B825" t="s">
        <v>13</v>
      </c>
      <c r="C825" t="s">
        <v>1037</v>
      </c>
      <c r="D825" t="s">
        <v>1401</v>
      </c>
      <c r="E825" t="s">
        <v>1402</v>
      </c>
      <c r="F825" t="s">
        <v>1394</v>
      </c>
      <c r="G825" t="s">
        <v>18</v>
      </c>
      <c r="H825" s="75" t="str">
        <f>IFERROR(VLOOKUP(Table2[[#This Row],[Ticket]],Okey!A:B,2,0),"")</f>
        <v>ok</v>
      </c>
      <c r="I825" t="s">
        <v>19</v>
      </c>
      <c r="J825" t="str">
        <f>VLOOKUP(Table2[[#This Row],[Author]],People!A:B,2,0)</f>
        <v>LS</v>
      </c>
      <c r="M825" t="s">
        <v>1040</v>
      </c>
    </row>
    <row r="826" spans="1:13" x14ac:dyDescent="0.25">
      <c r="A826" s="75">
        <f t="shared" si="12"/>
        <v>825</v>
      </c>
      <c r="B826" t="s">
        <v>13</v>
      </c>
      <c r="C826" t="s">
        <v>1037</v>
      </c>
      <c r="D826" t="s">
        <v>1403</v>
      </c>
      <c r="E826" t="s">
        <v>1404</v>
      </c>
      <c r="F826" t="s">
        <v>1405</v>
      </c>
      <c r="G826" t="s">
        <v>18</v>
      </c>
      <c r="H826" s="75" t="str">
        <f>IFERROR(VLOOKUP(Table2[[#This Row],[Ticket]],Okey!A:B,2,0),"")</f>
        <v>ok</v>
      </c>
      <c r="I826" t="s">
        <v>19</v>
      </c>
      <c r="J826" t="str">
        <f>VLOOKUP(Table2[[#This Row],[Author]],People!A:B,2,0)</f>
        <v>LS</v>
      </c>
      <c r="M826" t="s">
        <v>1040</v>
      </c>
    </row>
    <row r="827" spans="1:13" x14ac:dyDescent="0.25">
      <c r="A827" s="75">
        <f t="shared" si="12"/>
        <v>826</v>
      </c>
      <c r="B827" t="s">
        <v>13</v>
      </c>
      <c r="C827" t="s">
        <v>1037</v>
      </c>
      <c r="D827" t="s">
        <v>1406</v>
      </c>
      <c r="E827" t="s">
        <v>1407</v>
      </c>
      <c r="F827" t="s">
        <v>1405</v>
      </c>
      <c r="G827" t="s">
        <v>18</v>
      </c>
      <c r="H827" s="75" t="str">
        <f>IFERROR(VLOOKUP(Table2[[#This Row],[Ticket]],Okey!A:B,2,0),"")</f>
        <v>ok</v>
      </c>
      <c r="I827" t="s">
        <v>19</v>
      </c>
      <c r="J827" t="str">
        <f>VLOOKUP(Table2[[#This Row],[Author]],People!A:B,2,0)</f>
        <v>LS</v>
      </c>
      <c r="M827" t="s">
        <v>1040</v>
      </c>
    </row>
    <row r="828" spans="1:13" x14ac:dyDescent="0.25">
      <c r="A828" s="75">
        <f t="shared" si="12"/>
        <v>827</v>
      </c>
      <c r="B828" t="s">
        <v>13</v>
      </c>
      <c r="C828" t="s">
        <v>1037</v>
      </c>
      <c r="D828" t="s">
        <v>1408</v>
      </c>
      <c r="E828" t="s">
        <v>1409</v>
      </c>
      <c r="F828" t="s">
        <v>1405</v>
      </c>
      <c r="G828" t="s">
        <v>18</v>
      </c>
      <c r="H828" s="75" t="str">
        <f>IFERROR(VLOOKUP(Table2[[#This Row],[Ticket]],Okey!A:B,2,0),"")</f>
        <v>ok</v>
      </c>
      <c r="I828" t="s">
        <v>19</v>
      </c>
      <c r="J828" t="str">
        <f>VLOOKUP(Table2[[#This Row],[Author]],People!A:B,2,0)</f>
        <v>LS</v>
      </c>
      <c r="M828" t="s">
        <v>1040</v>
      </c>
    </row>
    <row r="829" spans="1:13" x14ac:dyDescent="0.25">
      <c r="A829" s="75">
        <f t="shared" si="12"/>
        <v>828</v>
      </c>
      <c r="B829" t="s">
        <v>13</v>
      </c>
      <c r="C829" t="s">
        <v>1037</v>
      </c>
      <c r="D829" t="s">
        <v>1410</v>
      </c>
      <c r="E829" t="s">
        <v>1411</v>
      </c>
      <c r="F829" t="s">
        <v>1412</v>
      </c>
      <c r="G829" t="s">
        <v>18</v>
      </c>
      <c r="H829" s="75" t="str">
        <f>IFERROR(VLOOKUP(Table2[[#This Row],[Ticket]],Okey!A:B,2,0),"")</f>
        <v>ok</v>
      </c>
      <c r="I829" t="s">
        <v>19</v>
      </c>
      <c r="J829" t="str">
        <f>VLOOKUP(Table2[[#This Row],[Author]],People!A:B,2,0)</f>
        <v>LS</v>
      </c>
      <c r="M829" t="s">
        <v>1040</v>
      </c>
    </row>
    <row r="830" spans="1:13" x14ac:dyDescent="0.25">
      <c r="A830" s="75">
        <f t="shared" si="12"/>
        <v>829</v>
      </c>
      <c r="B830" t="s">
        <v>13</v>
      </c>
      <c r="C830" t="s">
        <v>1037</v>
      </c>
      <c r="D830" t="s">
        <v>1253</v>
      </c>
      <c r="E830" t="s">
        <v>1413</v>
      </c>
      <c r="F830" t="s">
        <v>634</v>
      </c>
      <c r="G830" t="s">
        <v>18</v>
      </c>
      <c r="H830" s="75" t="str">
        <f>IFERROR(VLOOKUP(Table2[[#This Row],[Ticket]],Okey!A:B,2,0),"")</f>
        <v>ok</v>
      </c>
      <c r="I830" t="s">
        <v>19</v>
      </c>
      <c r="J830" t="str">
        <f>VLOOKUP(Table2[[#This Row],[Author]],People!A:B,2,0)</f>
        <v>LS</v>
      </c>
      <c r="M830" t="s">
        <v>1040</v>
      </c>
    </row>
    <row r="831" spans="1:13" x14ac:dyDescent="0.25">
      <c r="A831" s="75">
        <f t="shared" si="12"/>
        <v>830</v>
      </c>
      <c r="B831" t="s">
        <v>13</v>
      </c>
      <c r="C831" t="s">
        <v>1037</v>
      </c>
      <c r="D831" t="s">
        <v>1245</v>
      </c>
      <c r="E831" t="s">
        <v>1414</v>
      </c>
      <c r="F831" t="s">
        <v>634</v>
      </c>
      <c r="G831" t="s">
        <v>18</v>
      </c>
      <c r="H831" s="75" t="str">
        <f>IFERROR(VLOOKUP(Table2[[#This Row],[Ticket]],Okey!A:B,2,0),"")</f>
        <v>ok</v>
      </c>
      <c r="I831" t="s">
        <v>19</v>
      </c>
      <c r="J831" t="str">
        <f>VLOOKUP(Table2[[#This Row],[Author]],People!A:B,2,0)</f>
        <v>LS</v>
      </c>
      <c r="M831" t="s">
        <v>1040</v>
      </c>
    </row>
    <row r="832" spans="1:13" x14ac:dyDescent="0.25">
      <c r="A832" s="75">
        <f t="shared" si="12"/>
        <v>831</v>
      </c>
      <c r="B832" t="s">
        <v>13</v>
      </c>
      <c r="C832" t="s">
        <v>1037</v>
      </c>
      <c r="D832" t="s">
        <v>1415</v>
      </c>
      <c r="E832" t="s">
        <v>1416</v>
      </c>
      <c r="F832" t="s">
        <v>1059</v>
      </c>
      <c r="G832" t="s">
        <v>18</v>
      </c>
      <c r="H832" s="75" t="str">
        <f>IFERROR(VLOOKUP(Table2[[#This Row],[Ticket]],Okey!A:B,2,0),"")</f>
        <v>ok</v>
      </c>
      <c r="I832" t="s">
        <v>19</v>
      </c>
      <c r="J832" t="str">
        <f>VLOOKUP(Table2[[#This Row],[Author]],People!A:B,2,0)</f>
        <v>LS</v>
      </c>
      <c r="M832" t="s">
        <v>1040</v>
      </c>
    </row>
    <row r="833" spans="1:13" x14ac:dyDescent="0.25">
      <c r="A833" s="75">
        <f t="shared" si="12"/>
        <v>832</v>
      </c>
      <c r="B833" t="s">
        <v>13</v>
      </c>
      <c r="C833" t="s">
        <v>1037</v>
      </c>
      <c r="D833" t="s">
        <v>1417</v>
      </c>
      <c r="E833" t="s">
        <v>1418</v>
      </c>
      <c r="F833" t="s">
        <v>1059</v>
      </c>
      <c r="G833" t="s">
        <v>18</v>
      </c>
      <c r="H833" s="75" t="str">
        <f>IFERROR(VLOOKUP(Table2[[#This Row],[Ticket]],Okey!A:B,2,0),"")</f>
        <v>ok</v>
      </c>
      <c r="I833" t="s">
        <v>19</v>
      </c>
      <c r="J833" t="str">
        <f>VLOOKUP(Table2[[#This Row],[Author]],People!A:B,2,0)</f>
        <v>LS</v>
      </c>
      <c r="M833" t="s">
        <v>1040</v>
      </c>
    </row>
    <row r="834" spans="1:13" x14ac:dyDescent="0.25">
      <c r="A834" s="75">
        <f t="shared" si="12"/>
        <v>833</v>
      </c>
      <c r="B834" t="s">
        <v>13</v>
      </c>
      <c r="C834" t="s">
        <v>1037</v>
      </c>
      <c r="D834" t="s">
        <v>1419</v>
      </c>
      <c r="E834" t="s">
        <v>1420</v>
      </c>
      <c r="F834" t="s">
        <v>1061</v>
      </c>
      <c r="G834" t="s">
        <v>18</v>
      </c>
      <c r="H834" s="75" t="str">
        <f>IFERROR(VLOOKUP(Table2[[#This Row],[Ticket]],Okey!A:B,2,0),"")</f>
        <v>ok</v>
      </c>
      <c r="I834" t="s">
        <v>19</v>
      </c>
      <c r="J834" t="str">
        <f>VLOOKUP(Table2[[#This Row],[Author]],People!A:B,2,0)</f>
        <v>LS</v>
      </c>
      <c r="M834" t="s">
        <v>1040</v>
      </c>
    </row>
    <row r="835" spans="1:13" x14ac:dyDescent="0.25">
      <c r="A835" s="75">
        <f t="shared" si="12"/>
        <v>834</v>
      </c>
      <c r="B835" t="s">
        <v>13</v>
      </c>
      <c r="C835" t="s">
        <v>1037</v>
      </c>
      <c r="D835" t="s">
        <v>1421</v>
      </c>
      <c r="E835" t="s">
        <v>1422</v>
      </c>
      <c r="F835" t="s">
        <v>1423</v>
      </c>
      <c r="G835" t="s">
        <v>18</v>
      </c>
      <c r="H835" s="75" t="str">
        <f>IFERROR(VLOOKUP(Table2[[#This Row],[Ticket]],Okey!A:B,2,0),"")</f>
        <v>ok</v>
      </c>
      <c r="I835" t="s">
        <v>19</v>
      </c>
      <c r="J835" t="str">
        <f>VLOOKUP(Table2[[#This Row],[Author]],People!A:B,2,0)</f>
        <v>LS</v>
      </c>
      <c r="M835" t="s">
        <v>1040</v>
      </c>
    </row>
    <row r="836" spans="1:13" x14ac:dyDescent="0.25">
      <c r="A836" s="75">
        <f t="shared" si="12"/>
        <v>835</v>
      </c>
      <c r="B836" t="s">
        <v>13</v>
      </c>
      <c r="C836" t="s">
        <v>1037</v>
      </c>
      <c r="D836" t="s">
        <v>1424</v>
      </c>
      <c r="E836" t="s">
        <v>1425</v>
      </c>
      <c r="F836" t="s">
        <v>1423</v>
      </c>
      <c r="G836" t="s">
        <v>18</v>
      </c>
      <c r="H836" s="75" t="str">
        <f>IFERROR(VLOOKUP(Table2[[#This Row],[Ticket]],Okey!A:B,2,0),"")</f>
        <v>ok</v>
      </c>
      <c r="I836" t="s">
        <v>19</v>
      </c>
      <c r="J836" t="str">
        <f>VLOOKUP(Table2[[#This Row],[Author]],People!A:B,2,0)</f>
        <v>LS</v>
      </c>
      <c r="M836" t="s">
        <v>1040</v>
      </c>
    </row>
    <row r="837" spans="1:13" x14ac:dyDescent="0.25">
      <c r="A837" s="75">
        <f t="shared" si="12"/>
        <v>836</v>
      </c>
      <c r="B837" t="s">
        <v>13</v>
      </c>
      <c r="C837" t="s">
        <v>1037</v>
      </c>
      <c r="D837" t="s">
        <v>1278</v>
      </c>
      <c r="E837" t="s">
        <v>1426</v>
      </c>
      <c r="F837" t="s">
        <v>1340</v>
      </c>
      <c r="G837" t="s">
        <v>18</v>
      </c>
      <c r="H837" s="75" t="str">
        <f>IFERROR(VLOOKUP(Table2[[#This Row],[Ticket]],Okey!A:B,2,0),"")</f>
        <v>ok</v>
      </c>
      <c r="I837" t="s">
        <v>19</v>
      </c>
      <c r="J837" t="str">
        <f>VLOOKUP(Table2[[#This Row],[Author]],People!A:B,2,0)</f>
        <v>LS</v>
      </c>
      <c r="M837" t="s">
        <v>1040</v>
      </c>
    </row>
    <row r="838" spans="1:13" x14ac:dyDescent="0.25">
      <c r="A838" s="75">
        <f t="shared" si="12"/>
        <v>837</v>
      </c>
      <c r="B838" t="s">
        <v>13</v>
      </c>
      <c r="C838" t="s">
        <v>1037</v>
      </c>
      <c r="D838" t="s">
        <v>1291</v>
      </c>
      <c r="E838" t="s">
        <v>1427</v>
      </c>
      <c r="F838" t="s">
        <v>1340</v>
      </c>
      <c r="G838" t="s">
        <v>18</v>
      </c>
      <c r="H838" s="75" t="str">
        <f>IFERROR(VLOOKUP(Table2[[#This Row],[Ticket]],Okey!A:B,2,0),"")</f>
        <v>ok</v>
      </c>
      <c r="I838" t="s">
        <v>19</v>
      </c>
      <c r="J838" t="str">
        <f>VLOOKUP(Table2[[#This Row],[Author]],People!A:B,2,0)</f>
        <v>LS</v>
      </c>
      <c r="M838" t="s">
        <v>1040</v>
      </c>
    </row>
    <row r="839" spans="1:13" x14ac:dyDescent="0.25">
      <c r="A839" s="75">
        <f t="shared" si="12"/>
        <v>838</v>
      </c>
      <c r="B839" t="s">
        <v>13</v>
      </c>
      <c r="C839" t="s">
        <v>1037</v>
      </c>
      <c r="D839" t="s">
        <v>1428</v>
      </c>
      <c r="E839" t="s">
        <v>1429</v>
      </c>
      <c r="F839" t="s">
        <v>1287</v>
      </c>
      <c r="G839" t="s">
        <v>18</v>
      </c>
      <c r="H839" s="75" t="str">
        <f>IFERROR(VLOOKUP(Table2[[#This Row],[Ticket]],Okey!A:B,2,0),"")</f>
        <v>ok</v>
      </c>
      <c r="I839" t="s">
        <v>19</v>
      </c>
      <c r="J839" t="str">
        <f>VLOOKUP(Table2[[#This Row],[Author]],People!A:B,2,0)</f>
        <v>LS</v>
      </c>
      <c r="M839" t="s">
        <v>1040</v>
      </c>
    </row>
    <row r="840" spans="1:13" x14ac:dyDescent="0.25">
      <c r="A840" s="75">
        <f t="shared" si="12"/>
        <v>839</v>
      </c>
      <c r="B840" t="s">
        <v>13</v>
      </c>
      <c r="C840" t="s">
        <v>1037</v>
      </c>
      <c r="D840" t="s">
        <v>1430</v>
      </c>
      <c r="E840" t="s">
        <v>1431</v>
      </c>
      <c r="F840" t="s">
        <v>1342</v>
      </c>
      <c r="G840" t="s">
        <v>18</v>
      </c>
      <c r="H840" s="75" t="str">
        <f>IFERROR(VLOOKUP(Table2[[#This Row],[Ticket]],Okey!A:B,2,0),"")</f>
        <v>ok</v>
      </c>
      <c r="I840" t="s">
        <v>19</v>
      </c>
      <c r="J840" t="str">
        <f>VLOOKUP(Table2[[#This Row],[Author]],People!A:B,2,0)</f>
        <v>LS</v>
      </c>
      <c r="M840" t="s">
        <v>1040</v>
      </c>
    </row>
    <row r="841" spans="1:13" x14ac:dyDescent="0.25">
      <c r="A841" s="75">
        <f t="shared" ref="A841:A904" si="13">1+A840</f>
        <v>840</v>
      </c>
      <c r="B841" t="s">
        <v>13</v>
      </c>
      <c r="C841" t="s">
        <v>1037</v>
      </c>
      <c r="D841" t="s">
        <v>1432</v>
      </c>
      <c r="E841" t="s">
        <v>1433</v>
      </c>
      <c r="G841" t="s">
        <v>63</v>
      </c>
      <c r="H841" s="75" t="str">
        <f>IFERROR(VLOOKUP(Table2[[#This Row],[Ticket]],Okey!A:B,2,0),"")</f>
        <v>ok</v>
      </c>
      <c r="I841" t="s">
        <v>19</v>
      </c>
      <c r="J841" t="str">
        <f>VLOOKUP(Table2[[#This Row],[Author]],People!A:B,2,0)</f>
        <v>LS</v>
      </c>
      <c r="M841" t="s">
        <v>1040</v>
      </c>
    </row>
    <row r="842" spans="1:13" x14ac:dyDescent="0.25">
      <c r="A842" s="75">
        <f t="shared" si="13"/>
        <v>841</v>
      </c>
      <c r="B842" t="s">
        <v>13</v>
      </c>
      <c r="C842" t="s">
        <v>1037</v>
      </c>
      <c r="D842" t="s">
        <v>1053</v>
      </c>
      <c r="E842" t="s">
        <v>1434</v>
      </c>
      <c r="G842" t="s">
        <v>63</v>
      </c>
      <c r="H842" s="75" t="str">
        <f>IFERROR(VLOOKUP(Table2[[#This Row],[Ticket]],Okey!A:B,2,0),"")</f>
        <v>ok</v>
      </c>
      <c r="I842" t="s">
        <v>19</v>
      </c>
      <c r="J842" t="str">
        <f>VLOOKUP(Table2[[#This Row],[Author]],People!A:B,2,0)</f>
        <v>LS</v>
      </c>
      <c r="M842" t="s">
        <v>1040</v>
      </c>
    </row>
    <row r="843" spans="1:13" x14ac:dyDescent="0.25">
      <c r="A843" s="75">
        <f t="shared" si="13"/>
        <v>842</v>
      </c>
      <c r="B843" t="s">
        <v>13</v>
      </c>
      <c r="C843" t="s">
        <v>1037</v>
      </c>
      <c r="D843" t="s">
        <v>1435</v>
      </c>
      <c r="E843" t="s">
        <v>1436</v>
      </c>
      <c r="G843" t="s">
        <v>63</v>
      </c>
      <c r="H843" s="75" t="str">
        <f>IFERROR(VLOOKUP(Table2[[#This Row],[Ticket]],Okey!A:B,2,0),"")</f>
        <v>ok</v>
      </c>
      <c r="I843" t="s">
        <v>19</v>
      </c>
      <c r="J843" t="str">
        <f>VLOOKUP(Table2[[#This Row],[Author]],People!A:B,2,0)</f>
        <v>LS</v>
      </c>
      <c r="M843" t="s">
        <v>1040</v>
      </c>
    </row>
    <row r="844" spans="1:13" x14ac:dyDescent="0.25">
      <c r="A844" s="75">
        <f t="shared" si="13"/>
        <v>843</v>
      </c>
      <c r="B844" t="s">
        <v>13</v>
      </c>
      <c r="C844" t="s">
        <v>1037</v>
      </c>
      <c r="D844" t="s">
        <v>1437</v>
      </c>
      <c r="E844" t="s">
        <v>1438</v>
      </c>
      <c r="G844" t="s">
        <v>63</v>
      </c>
      <c r="H844" s="75" t="str">
        <f>IFERROR(VLOOKUP(Table2[[#This Row],[Ticket]],Okey!A:B,2,0),"")</f>
        <v>ok</v>
      </c>
      <c r="I844" t="s">
        <v>19</v>
      </c>
      <c r="J844" t="str">
        <f>VLOOKUP(Table2[[#This Row],[Author]],People!A:B,2,0)</f>
        <v>LS</v>
      </c>
      <c r="M844" t="s">
        <v>1040</v>
      </c>
    </row>
    <row r="845" spans="1:13" x14ac:dyDescent="0.25">
      <c r="A845" s="75">
        <f t="shared" si="13"/>
        <v>844</v>
      </c>
      <c r="B845" t="s">
        <v>13</v>
      </c>
      <c r="C845" t="s">
        <v>1037</v>
      </c>
      <c r="D845" t="s">
        <v>1439</v>
      </c>
      <c r="E845" t="s">
        <v>1440</v>
      </c>
      <c r="G845" t="s">
        <v>63</v>
      </c>
      <c r="H845" s="75" t="str">
        <f>IFERROR(VLOOKUP(Table2[[#This Row],[Ticket]],Okey!A:B,2,0),"")</f>
        <v>ok</v>
      </c>
      <c r="I845" t="s">
        <v>19</v>
      </c>
      <c r="J845" t="str">
        <f>VLOOKUP(Table2[[#This Row],[Author]],People!A:B,2,0)</f>
        <v>LS</v>
      </c>
      <c r="M845" t="s">
        <v>1040</v>
      </c>
    </row>
    <row r="846" spans="1:13" x14ac:dyDescent="0.25">
      <c r="A846" s="75">
        <f t="shared" si="13"/>
        <v>845</v>
      </c>
      <c r="B846" t="s">
        <v>13</v>
      </c>
      <c r="C846" t="s">
        <v>1037</v>
      </c>
      <c r="D846" t="s">
        <v>1441</v>
      </c>
      <c r="E846" t="s">
        <v>1442</v>
      </c>
      <c r="G846" t="s">
        <v>63</v>
      </c>
      <c r="H846" s="75" t="str">
        <f>IFERROR(VLOOKUP(Table2[[#This Row],[Ticket]],Okey!A:B,2,0),"")</f>
        <v>ok</v>
      </c>
      <c r="I846" t="s">
        <v>19</v>
      </c>
      <c r="J846" t="str">
        <f>VLOOKUP(Table2[[#This Row],[Author]],People!A:B,2,0)</f>
        <v>LS</v>
      </c>
      <c r="M846" t="s">
        <v>1040</v>
      </c>
    </row>
    <row r="847" spans="1:13" x14ac:dyDescent="0.25">
      <c r="A847" s="75">
        <f t="shared" si="13"/>
        <v>846</v>
      </c>
      <c r="B847" t="s">
        <v>13</v>
      </c>
      <c r="C847" t="s">
        <v>1037</v>
      </c>
      <c r="D847" t="s">
        <v>1443</v>
      </c>
      <c r="E847" t="s">
        <v>1444</v>
      </c>
      <c r="G847" t="s">
        <v>63</v>
      </c>
      <c r="H847" s="75" t="str">
        <f>IFERROR(VLOOKUP(Table2[[#This Row],[Ticket]],Okey!A:B,2,0),"")</f>
        <v>ok</v>
      </c>
      <c r="I847" t="s">
        <v>19</v>
      </c>
      <c r="J847" t="str">
        <f>VLOOKUP(Table2[[#This Row],[Author]],People!A:B,2,0)</f>
        <v>LS</v>
      </c>
      <c r="M847" t="s">
        <v>1040</v>
      </c>
    </row>
    <row r="848" spans="1:13" x14ac:dyDescent="0.25">
      <c r="A848" s="75">
        <f t="shared" si="13"/>
        <v>847</v>
      </c>
      <c r="B848" t="s">
        <v>13</v>
      </c>
      <c r="C848" t="s">
        <v>1037</v>
      </c>
      <c r="D848" t="s">
        <v>1445</v>
      </c>
      <c r="E848" t="s">
        <v>1446</v>
      </c>
      <c r="G848" t="s">
        <v>63</v>
      </c>
      <c r="H848" s="75" t="str">
        <f>IFERROR(VLOOKUP(Table2[[#This Row],[Ticket]],Okey!A:B,2,0),"")</f>
        <v>ok</v>
      </c>
      <c r="I848" t="s">
        <v>19</v>
      </c>
      <c r="J848" t="str">
        <f>VLOOKUP(Table2[[#This Row],[Author]],People!A:B,2,0)</f>
        <v>LS</v>
      </c>
      <c r="M848" t="s">
        <v>1040</v>
      </c>
    </row>
    <row r="849" spans="1:13" x14ac:dyDescent="0.25">
      <c r="A849" s="75">
        <f t="shared" si="13"/>
        <v>848</v>
      </c>
      <c r="B849" t="s">
        <v>13</v>
      </c>
      <c r="C849" t="s">
        <v>1037</v>
      </c>
      <c r="D849" t="s">
        <v>1447</v>
      </c>
      <c r="E849" t="s">
        <v>1448</v>
      </c>
      <c r="G849" t="s">
        <v>63</v>
      </c>
      <c r="H849" s="75" t="str">
        <f>IFERROR(VLOOKUP(Table2[[#This Row],[Ticket]],Okey!A:B,2,0),"")</f>
        <v>ok</v>
      </c>
      <c r="I849" t="s">
        <v>19</v>
      </c>
      <c r="J849" t="str">
        <f>VLOOKUP(Table2[[#This Row],[Author]],People!A:B,2,0)</f>
        <v>LS</v>
      </c>
      <c r="M849" t="s">
        <v>1040</v>
      </c>
    </row>
    <row r="850" spans="1:13" x14ac:dyDescent="0.25">
      <c r="A850" s="75">
        <f t="shared" si="13"/>
        <v>849</v>
      </c>
      <c r="B850" t="s">
        <v>13</v>
      </c>
      <c r="C850" t="s">
        <v>1037</v>
      </c>
      <c r="D850" t="s">
        <v>1449</v>
      </c>
      <c r="E850" t="s">
        <v>1450</v>
      </c>
      <c r="G850" t="s">
        <v>63</v>
      </c>
      <c r="H850" s="75" t="str">
        <f>IFERROR(VLOOKUP(Table2[[#This Row],[Ticket]],Okey!A:B,2,0),"")</f>
        <v>ok</v>
      </c>
      <c r="I850" t="s">
        <v>19</v>
      </c>
      <c r="J850" t="str">
        <f>VLOOKUP(Table2[[#This Row],[Author]],People!A:B,2,0)</f>
        <v>LS</v>
      </c>
      <c r="M850" t="s">
        <v>1040</v>
      </c>
    </row>
    <row r="851" spans="1:13" x14ac:dyDescent="0.25">
      <c r="A851" s="75">
        <f t="shared" si="13"/>
        <v>850</v>
      </c>
      <c r="B851" t="s">
        <v>13</v>
      </c>
      <c r="C851" t="s">
        <v>1037</v>
      </c>
      <c r="D851" t="s">
        <v>1451</v>
      </c>
      <c r="E851" t="s">
        <v>1452</v>
      </c>
      <c r="G851" t="s">
        <v>63</v>
      </c>
      <c r="H851" s="75" t="str">
        <f>IFERROR(VLOOKUP(Table2[[#This Row],[Ticket]],Okey!A:B,2,0),"")</f>
        <v>ok</v>
      </c>
      <c r="I851" t="s">
        <v>19</v>
      </c>
      <c r="J851" t="str">
        <f>VLOOKUP(Table2[[#This Row],[Author]],People!A:B,2,0)</f>
        <v>LS</v>
      </c>
      <c r="M851" t="s">
        <v>1040</v>
      </c>
    </row>
    <row r="852" spans="1:13" x14ac:dyDescent="0.25">
      <c r="A852" s="75">
        <f t="shared" si="13"/>
        <v>851</v>
      </c>
      <c r="B852" t="s">
        <v>13</v>
      </c>
      <c r="C852" t="s">
        <v>1037</v>
      </c>
      <c r="D852" t="s">
        <v>1453</v>
      </c>
      <c r="E852" t="s">
        <v>1454</v>
      </c>
      <c r="G852" t="s">
        <v>63</v>
      </c>
      <c r="H852" s="75" t="str">
        <f>IFERROR(VLOOKUP(Table2[[#This Row],[Ticket]],Okey!A:B,2,0),"")</f>
        <v>ok</v>
      </c>
      <c r="I852" t="s">
        <v>19</v>
      </c>
      <c r="J852" t="str">
        <f>VLOOKUP(Table2[[#This Row],[Author]],People!A:B,2,0)</f>
        <v>LS</v>
      </c>
      <c r="M852" t="s">
        <v>1040</v>
      </c>
    </row>
    <row r="853" spans="1:13" x14ac:dyDescent="0.25">
      <c r="A853" s="75">
        <f t="shared" si="13"/>
        <v>852</v>
      </c>
      <c r="B853" t="s">
        <v>13</v>
      </c>
      <c r="C853" t="s">
        <v>1037</v>
      </c>
      <c r="D853" t="s">
        <v>1455</v>
      </c>
      <c r="E853" t="s">
        <v>1454</v>
      </c>
      <c r="G853" t="s">
        <v>63</v>
      </c>
      <c r="H853" s="75" t="str">
        <f>IFERROR(VLOOKUP(Table2[[#This Row],[Ticket]],Okey!A:B,2,0),"")</f>
        <v>ok</v>
      </c>
      <c r="I853" t="s">
        <v>19</v>
      </c>
      <c r="J853" t="str">
        <f>VLOOKUP(Table2[[#This Row],[Author]],People!A:B,2,0)</f>
        <v>LS</v>
      </c>
      <c r="M853" t="s">
        <v>1040</v>
      </c>
    </row>
    <row r="854" spans="1:13" x14ac:dyDescent="0.25">
      <c r="A854" s="75">
        <f t="shared" si="13"/>
        <v>853</v>
      </c>
      <c r="B854" t="s">
        <v>13</v>
      </c>
      <c r="C854" t="s">
        <v>1037</v>
      </c>
      <c r="D854" t="s">
        <v>1456</v>
      </c>
      <c r="E854" t="s">
        <v>1457</v>
      </c>
      <c r="G854" t="s">
        <v>63</v>
      </c>
      <c r="H854" s="75" t="str">
        <f>IFERROR(VLOOKUP(Table2[[#This Row],[Ticket]],Okey!A:B,2,0),"")</f>
        <v>ok</v>
      </c>
      <c r="I854" t="s">
        <v>19</v>
      </c>
      <c r="J854" t="str">
        <f>VLOOKUP(Table2[[#This Row],[Author]],People!A:B,2,0)</f>
        <v>LS</v>
      </c>
      <c r="M854" t="s">
        <v>1040</v>
      </c>
    </row>
    <row r="855" spans="1:13" x14ac:dyDescent="0.25">
      <c r="A855" s="75">
        <f t="shared" si="13"/>
        <v>854</v>
      </c>
      <c r="B855" t="s">
        <v>13</v>
      </c>
      <c r="C855" t="s">
        <v>1037</v>
      </c>
      <c r="D855" t="s">
        <v>1458</v>
      </c>
      <c r="E855" t="s">
        <v>1457</v>
      </c>
      <c r="G855" t="s">
        <v>63</v>
      </c>
      <c r="H855" s="75" t="str">
        <f>IFERROR(VLOOKUP(Table2[[#This Row],[Ticket]],Okey!A:B,2,0),"")</f>
        <v>ok</v>
      </c>
      <c r="I855" t="s">
        <v>19</v>
      </c>
      <c r="J855" t="str">
        <f>VLOOKUP(Table2[[#This Row],[Author]],People!A:B,2,0)</f>
        <v>LS</v>
      </c>
      <c r="M855" t="s">
        <v>1040</v>
      </c>
    </row>
    <row r="856" spans="1:13" x14ac:dyDescent="0.25">
      <c r="A856" s="75">
        <f t="shared" si="13"/>
        <v>855</v>
      </c>
      <c r="B856" t="s">
        <v>13</v>
      </c>
      <c r="C856" t="s">
        <v>1037</v>
      </c>
      <c r="D856" t="s">
        <v>1459</v>
      </c>
      <c r="E856" t="s">
        <v>1460</v>
      </c>
      <c r="G856" t="s">
        <v>63</v>
      </c>
      <c r="H856" s="75" t="str">
        <f>IFERROR(VLOOKUP(Table2[[#This Row],[Ticket]],Okey!A:B,2,0),"")</f>
        <v>ok</v>
      </c>
      <c r="I856" t="s">
        <v>19</v>
      </c>
      <c r="J856" t="str">
        <f>VLOOKUP(Table2[[#This Row],[Author]],People!A:B,2,0)</f>
        <v>LS</v>
      </c>
      <c r="M856" t="s">
        <v>1040</v>
      </c>
    </row>
    <row r="857" spans="1:13" x14ac:dyDescent="0.25">
      <c r="A857" s="75">
        <f t="shared" si="13"/>
        <v>856</v>
      </c>
      <c r="B857" t="s">
        <v>13</v>
      </c>
      <c r="C857" t="s">
        <v>1037</v>
      </c>
      <c r="D857" t="s">
        <v>1461</v>
      </c>
      <c r="E857" t="s">
        <v>1462</v>
      </c>
      <c r="G857" t="s">
        <v>63</v>
      </c>
      <c r="H857" s="75" t="str">
        <f>IFERROR(VLOOKUP(Table2[[#This Row],[Ticket]],Okey!A:B,2,0),"")</f>
        <v>ok</v>
      </c>
      <c r="I857" t="s">
        <v>19</v>
      </c>
      <c r="J857" t="str">
        <f>VLOOKUP(Table2[[#This Row],[Author]],People!A:B,2,0)</f>
        <v>LS</v>
      </c>
      <c r="M857" t="s">
        <v>1040</v>
      </c>
    </row>
    <row r="858" spans="1:13" x14ac:dyDescent="0.25">
      <c r="A858" s="75">
        <f t="shared" si="13"/>
        <v>857</v>
      </c>
      <c r="B858" t="s">
        <v>13</v>
      </c>
      <c r="C858" t="s">
        <v>1037</v>
      </c>
      <c r="D858" t="s">
        <v>1463</v>
      </c>
      <c r="E858" t="s">
        <v>1464</v>
      </c>
      <c r="G858" t="s">
        <v>63</v>
      </c>
      <c r="H858" s="75" t="str">
        <f>IFERROR(VLOOKUP(Table2[[#This Row],[Ticket]],Okey!A:B,2,0),"")</f>
        <v>ok</v>
      </c>
      <c r="I858" t="s">
        <v>19</v>
      </c>
      <c r="J858" t="str">
        <f>VLOOKUP(Table2[[#This Row],[Author]],People!A:B,2,0)</f>
        <v>LS</v>
      </c>
      <c r="M858" t="s">
        <v>1040</v>
      </c>
    </row>
    <row r="859" spans="1:13" x14ac:dyDescent="0.25">
      <c r="A859" s="75">
        <f t="shared" si="13"/>
        <v>858</v>
      </c>
      <c r="B859" t="s">
        <v>13</v>
      </c>
      <c r="C859" t="s">
        <v>1037</v>
      </c>
      <c r="D859" t="s">
        <v>1465</v>
      </c>
      <c r="E859" t="s">
        <v>1466</v>
      </c>
      <c r="G859" t="s">
        <v>63</v>
      </c>
      <c r="H859" s="75" t="str">
        <f>IFERROR(VLOOKUP(Table2[[#This Row],[Ticket]],Okey!A:B,2,0),"")</f>
        <v>ok</v>
      </c>
      <c r="I859" t="s">
        <v>19</v>
      </c>
      <c r="J859" t="str">
        <f>VLOOKUP(Table2[[#This Row],[Author]],People!A:B,2,0)</f>
        <v>LS</v>
      </c>
      <c r="M859" t="s">
        <v>1040</v>
      </c>
    </row>
    <row r="860" spans="1:13" x14ac:dyDescent="0.25">
      <c r="A860" s="75">
        <f t="shared" si="13"/>
        <v>859</v>
      </c>
      <c r="B860" t="s">
        <v>13</v>
      </c>
      <c r="C860" t="s">
        <v>1037</v>
      </c>
      <c r="D860" t="s">
        <v>1467</v>
      </c>
      <c r="E860" t="s">
        <v>1468</v>
      </c>
      <c r="G860" t="s">
        <v>63</v>
      </c>
      <c r="H860" s="75" t="str">
        <f>IFERROR(VLOOKUP(Table2[[#This Row],[Ticket]],Okey!A:B,2,0),"")</f>
        <v>ok</v>
      </c>
      <c r="I860" t="s">
        <v>19</v>
      </c>
      <c r="J860" t="str">
        <f>VLOOKUP(Table2[[#This Row],[Author]],People!A:B,2,0)</f>
        <v>LS</v>
      </c>
      <c r="M860" t="s">
        <v>1040</v>
      </c>
    </row>
    <row r="861" spans="1:13" x14ac:dyDescent="0.25">
      <c r="A861" s="75">
        <f t="shared" si="13"/>
        <v>860</v>
      </c>
      <c r="B861" t="s">
        <v>13</v>
      </c>
      <c r="C861" t="s">
        <v>1037</v>
      </c>
      <c r="D861" t="s">
        <v>1469</v>
      </c>
      <c r="E861" t="s">
        <v>1470</v>
      </c>
      <c r="G861" t="s">
        <v>63</v>
      </c>
      <c r="H861" s="75" t="str">
        <f>IFERROR(VLOOKUP(Table2[[#This Row],[Ticket]],Okey!A:B,2,0),"")</f>
        <v>ok</v>
      </c>
      <c r="I861" t="s">
        <v>19</v>
      </c>
      <c r="J861" t="str">
        <f>VLOOKUP(Table2[[#This Row],[Author]],People!A:B,2,0)</f>
        <v>LS</v>
      </c>
      <c r="M861" t="s">
        <v>1040</v>
      </c>
    </row>
    <row r="862" spans="1:13" x14ac:dyDescent="0.25">
      <c r="A862" s="75">
        <f t="shared" si="13"/>
        <v>861</v>
      </c>
      <c r="B862" t="s">
        <v>13</v>
      </c>
      <c r="C862" t="s">
        <v>1037</v>
      </c>
      <c r="D862" t="s">
        <v>1471</v>
      </c>
      <c r="E862" t="s">
        <v>1472</v>
      </c>
      <c r="G862" t="s">
        <v>63</v>
      </c>
      <c r="H862" s="75" t="str">
        <f>IFERROR(VLOOKUP(Table2[[#This Row],[Ticket]],Okey!A:B,2,0),"")</f>
        <v>ok</v>
      </c>
      <c r="I862" t="s">
        <v>19</v>
      </c>
      <c r="J862" t="str">
        <f>VLOOKUP(Table2[[#This Row],[Author]],People!A:B,2,0)</f>
        <v>LS</v>
      </c>
      <c r="M862" t="s">
        <v>1040</v>
      </c>
    </row>
    <row r="863" spans="1:13" x14ac:dyDescent="0.25">
      <c r="A863" s="75">
        <f t="shared" si="13"/>
        <v>862</v>
      </c>
      <c r="B863" t="s">
        <v>13</v>
      </c>
      <c r="C863" t="s">
        <v>1037</v>
      </c>
      <c r="D863" t="s">
        <v>1473</v>
      </c>
      <c r="E863" t="s">
        <v>1474</v>
      </c>
      <c r="G863" t="s">
        <v>63</v>
      </c>
      <c r="H863" s="75" t="str">
        <f>IFERROR(VLOOKUP(Table2[[#This Row],[Ticket]],Okey!A:B,2,0),"")</f>
        <v>ok</v>
      </c>
      <c r="I863" t="s">
        <v>19</v>
      </c>
      <c r="J863" t="str">
        <f>VLOOKUP(Table2[[#This Row],[Author]],People!A:B,2,0)</f>
        <v>LS</v>
      </c>
      <c r="M863" t="s">
        <v>1040</v>
      </c>
    </row>
    <row r="864" spans="1:13" x14ac:dyDescent="0.25">
      <c r="A864" s="75">
        <f t="shared" si="13"/>
        <v>863</v>
      </c>
      <c r="B864" t="s">
        <v>13</v>
      </c>
      <c r="C864" t="s">
        <v>1037</v>
      </c>
      <c r="D864" t="s">
        <v>1475</v>
      </c>
      <c r="E864" t="s">
        <v>1476</v>
      </c>
      <c r="G864" t="s">
        <v>63</v>
      </c>
      <c r="H864" s="75" t="str">
        <f>IFERROR(VLOOKUP(Table2[[#This Row],[Ticket]],Okey!A:B,2,0),"")</f>
        <v>ok</v>
      </c>
      <c r="I864" t="s">
        <v>19</v>
      </c>
      <c r="J864" t="str">
        <f>VLOOKUP(Table2[[#This Row],[Author]],People!A:B,2,0)</f>
        <v>LS</v>
      </c>
      <c r="M864" t="s">
        <v>1040</v>
      </c>
    </row>
    <row r="865" spans="1:13" x14ac:dyDescent="0.25">
      <c r="A865" s="75">
        <f t="shared" si="13"/>
        <v>864</v>
      </c>
      <c r="B865" t="s">
        <v>13</v>
      </c>
      <c r="C865" t="s">
        <v>1037</v>
      </c>
      <c r="D865" t="s">
        <v>1477</v>
      </c>
      <c r="E865" t="s">
        <v>1478</v>
      </c>
      <c r="G865" t="s">
        <v>63</v>
      </c>
      <c r="H865" s="75" t="str">
        <f>IFERROR(VLOOKUP(Table2[[#This Row],[Ticket]],Okey!A:B,2,0),"")</f>
        <v>ok</v>
      </c>
      <c r="I865" t="s">
        <v>19</v>
      </c>
      <c r="J865" t="str">
        <f>VLOOKUP(Table2[[#This Row],[Author]],People!A:B,2,0)</f>
        <v>LS</v>
      </c>
      <c r="M865" t="s">
        <v>1040</v>
      </c>
    </row>
    <row r="866" spans="1:13" x14ac:dyDescent="0.25">
      <c r="A866" s="75">
        <f t="shared" si="13"/>
        <v>865</v>
      </c>
      <c r="B866" t="s">
        <v>13</v>
      </c>
      <c r="C866" t="s">
        <v>1037</v>
      </c>
      <c r="D866" t="s">
        <v>1479</v>
      </c>
      <c r="E866" t="s">
        <v>1480</v>
      </c>
      <c r="G866" t="s">
        <v>63</v>
      </c>
      <c r="H866" s="75" t="str">
        <f>IFERROR(VLOOKUP(Table2[[#This Row],[Ticket]],Okey!A:B,2,0),"")</f>
        <v>ok</v>
      </c>
      <c r="I866" t="s">
        <v>19</v>
      </c>
      <c r="J866" t="str">
        <f>VLOOKUP(Table2[[#This Row],[Author]],People!A:B,2,0)</f>
        <v>LS</v>
      </c>
      <c r="M866" t="s">
        <v>1040</v>
      </c>
    </row>
    <row r="867" spans="1:13" x14ac:dyDescent="0.25">
      <c r="A867" s="75">
        <f t="shared" si="13"/>
        <v>866</v>
      </c>
      <c r="B867" t="s">
        <v>13</v>
      </c>
      <c r="C867" t="s">
        <v>1037</v>
      </c>
      <c r="D867" t="s">
        <v>1481</v>
      </c>
      <c r="E867" t="s">
        <v>1482</v>
      </c>
      <c r="G867" t="s">
        <v>63</v>
      </c>
      <c r="H867" s="75" t="str">
        <f>IFERROR(VLOOKUP(Table2[[#This Row],[Ticket]],Okey!A:B,2,0),"")</f>
        <v>ok</v>
      </c>
      <c r="I867" t="s">
        <v>19</v>
      </c>
      <c r="J867" t="str">
        <f>VLOOKUP(Table2[[#This Row],[Author]],People!A:B,2,0)</f>
        <v>LS</v>
      </c>
      <c r="M867" t="s">
        <v>1040</v>
      </c>
    </row>
    <row r="868" spans="1:13" x14ac:dyDescent="0.25">
      <c r="A868" s="75">
        <f t="shared" si="13"/>
        <v>867</v>
      </c>
      <c r="B868" t="s">
        <v>13</v>
      </c>
      <c r="C868" t="s">
        <v>1037</v>
      </c>
      <c r="D868" t="s">
        <v>1483</v>
      </c>
      <c r="E868" t="s">
        <v>1484</v>
      </c>
      <c r="G868" t="s">
        <v>63</v>
      </c>
      <c r="H868" s="75" t="str">
        <f>IFERROR(VLOOKUP(Table2[[#This Row],[Ticket]],Okey!A:B,2,0),"")</f>
        <v>ok</v>
      </c>
      <c r="I868" t="s">
        <v>19</v>
      </c>
      <c r="J868" t="str">
        <f>VLOOKUP(Table2[[#This Row],[Author]],People!A:B,2,0)</f>
        <v>LS</v>
      </c>
      <c r="M868" t="s">
        <v>1040</v>
      </c>
    </row>
    <row r="869" spans="1:13" x14ac:dyDescent="0.25">
      <c r="A869" s="75">
        <f t="shared" si="13"/>
        <v>868</v>
      </c>
      <c r="B869" t="s">
        <v>13</v>
      </c>
      <c r="C869" t="s">
        <v>1037</v>
      </c>
      <c r="D869" t="s">
        <v>1485</v>
      </c>
      <c r="E869" t="s">
        <v>1486</v>
      </c>
      <c r="G869" t="s">
        <v>63</v>
      </c>
      <c r="H869" s="75" t="str">
        <f>IFERROR(VLOOKUP(Table2[[#This Row],[Ticket]],Okey!A:B,2,0),"")</f>
        <v>ok</v>
      </c>
      <c r="I869" t="s">
        <v>19</v>
      </c>
      <c r="J869" t="str">
        <f>VLOOKUP(Table2[[#This Row],[Author]],People!A:B,2,0)</f>
        <v>LS</v>
      </c>
      <c r="M869" t="s">
        <v>1040</v>
      </c>
    </row>
    <row r="870" spans="1:13" x14ac:dyDescent="0.25">
      <c r="A870" s="75">
        <f t="shared" si="13"/>
        <v>869</v>
      </c>
      <c r="B870" t="s">
        <v>13</v>
      </c>
      <c r="C870" t="s">
        <v>1037</v>
      </c>
      <c r="D870" t="s">
        <v>1487</v>
      </c>
      <c r="E870" t="s">
        <v>1488</v>
      </c>
      <c r="G870" t="s">
        <v>63</v>
      </c>
      <c r="H870" s="75" t="str">
        <f>IFERROR(VLOOKUP(Table2[[#This Row],[Ticket]],Okey!A:B,2,0),"")</f>
        <v>ok</v>
      </c>
      <c r="I870" t="s">
        <v>19</v>
      </c>
      <c r="J870" t="str">
        <f>VLOOKUP(Table2[[#This Row],[Author]],People!A:B,2,0)</f>
        <v>LS</v>
      </c>
      <c r="M870" t="s">
        <v>1040</v>
      </c>
    </row>
    <row r="871" spans="1:13" x14ac:dyDescent="0.25">
      <c r="A871" s="75">
        <f t="shared" si="13"/>
        <v>870</v>
      </c>
      <c r="B871" t="s">
        <v>13</v>
      </c>
      <c r="C871" t="s">
        <v>1037</v>
      </c>
      <c r="D871" t="s">
        <v>1489</v>
      </c>
      <c r="E871" t="s">
        <v>1490</v>
      </c>
      <c r="G871" t="s">
        <v>63</v>
      </c>
      <c r="H871" s="75" t="str">
        <f>IFERROR(VLOOKUP(Table2[[#This Row],[Ticket]],Okey!A:B,2,0),"")</f>
        <v>ok</v>
      </c>
      <c r="I871" t="s">
        <v>19</v>
      </c>
      <c r="J871" t="str">
        <f>VLOOKUP(Table2[[#This Row],[Author]],People!A:B,2,0)</f>
        <v>LS</v>
      </c>
      <c r="M871" t="s">
        <v>1040</v>
      </c>
    </row>
    <row r="872" spans="1:13" x14ac:dyDescent="0.25">
      <c r="A872" s="75">
        <f t="shared" si="13"/>
        <v>871</v>
      </c>
      <c r="B872" t="s">
        <v>13</v>
      </c>
      <c r="C872" t="s">
        <v>1037</v>
      </c>
      <c r="D872" t="s">
        <v>1491</v>
      </c>
      <c r="E872" t="s">
        <v>1492</v>
      </c>
      <c r="G872" t="s">
        <v>63</v>
      </c>
      <c r="H872" s="75" t="str">
        <f>IFERROR(VLOOKUP(Table2[[#This Row],[Ticket]],Okey!A:B,2,0),"")</f>
        <v>ok</v>
      </c>
      <c r="I872" t="s">
        <v>19</v>
      </c>
      <c r="J872" t="str">
        <f>VLOOKUP(Table2[[#This Row],[Author]],People!A:B,2,0)</f>
        <v>LS</v>
      </c>
      <c r="M872" t="s">
        <v>1040</v>
      </c>
    </row>
    <row r="873" spans="1:13" x14ac:dyDescent="0.25">
      <c r="A873" s="75">
        <f t="shared" si="13"/>
        <v>872</v>
      </c>
      <c r="B873" t="s">
        <v>13</v>
      </c>
      <c r="C873" t="s">
        <v>1037</v>
      </c>
      <c r="D873" t="s">
        <v>1493</v>
      </c>
      <c r="E873" t="s">
        <v>1494</v>
      </c>
      <c r="G873" t="s">
        <v>63</v>
      </c>
      <c r="H873" s="75" t="str">
        <f>IFERROR(VLOOKUP(Table2[[#This Row],[Ticket]],Okey!A:B,2,0),"")</f>
        <v>ok</v>
      </c>
      <c r="I873" t="s">
        <v>19</v>
      </c>
      <c r="J873" t="str">
        <f>VLOOKUP(Table2[[#This Row],[Author]],People!A:B,2,0)</f>
        <v>LS</v>
      </c>
      <c r="M873" t="s">
        <v>1040</v>
      </c>
    </row>
    <row r="874" spans="1:13" x14ac:dyDescent="0.25">
      <c r="A874" s="75">
        <f t="shared" si="13"/>
        <v>873</v>
      </c>
      <c r="B874" t="s">
        <v>13</v>
      </c>
      <c r="C874" t="s">
        <v>1037</v>
      </c>
      <c r="D874" t="s">
        <v>1495</v>
      </c>
      <c r="E874" t="s">
        <v>1496</v>
      </c>
      <c r="G874" t="s">
        <v>63</v>
      </c>
      <c r="H874" s="75" t="str">
        <f>IFERROR(VLOOKUP(Table2[[#This Row],[Ticket]],Okey!A:B,2,0),"")</f>
        <v>ok</v>
      </c>
      <c r="I874" t="s">
        <v>19</v>
      </c>
      <c r="J874" t="str">
        <f>VLOOKUP(Table2[[#This Row],[Author]],People!A:B,2,0)</f>
        <v>LS</v>
      </c>
      <c r="M874" t="s">
        <v>1040</v>
      </c>
    </row>
    <row r="875" spans="1:13" x14ac:dyDescent="0.25">
      <c r="A875" s="75">
        <f t="shared" si="13"/>
        <v>874</v>
      </c>
      <c r="B875" t="s">
        <v>13</v>
      </c>
      <c r="C875" t="s">
        <v>1037</v>
      </c>
      <c r="D875" t="s">
        <v>1497</v>
      </c>
      <c r="E875" t="s">
        <v>1498</v>
      </c>
      <c r="G875" t="s">
        <v>63</v>
      </c>
      <c r="H875" s="75" t="str">
        <f>IFERROR(VLOOKUP(Table2[[#This Row],[Ticket]],Okey!A:B,2,0),"")</f>
        <v>ok</v>
      </c>
      <c r="I875" t="s">
        <v>19</v>
      </c>
      <c r="J875" t="str">
        <f>VLOOKUP(Table2[[#This Row],[Author]],People!A:B,2,0)</f>
        <v>LS</v>
      </c>
      <c r="M875" t="s">
        <v>1040</v>
      </c>
    </row>
    <row r="876" spans="1:13" x14ac:dyDescent="0.25">
      <c r="A876" s="75">
        <f t="shared" si="13"/>
        <v>875</v>
      </c>
      <c r="B876" t="s">
        <v>13</v>
      </c>
      <c r="C876" t="s">
        <v>1037</v>
      </c>
      <c r="D876" t="s">
        <v>1499</v>
      </c>
      <c r="E876" t="s">
        <v>1500</v>
      </c>
      <c r="G876" t="s">
        <v>63</v>
      </c>
      <c r="H876" s="75" t="str">
        <f>IFERROR(VLOOKUP(Table2[[#This Row],[Ticket]],Okey!A:B,2,0),"")</f>
        <v>ok</v>
      </c>
      <c r="I876" t="s">
        <v>19</v>
      </c>
      <c r="J876" t="str">
        <f>VLOOKUP(Table2[[#This Row],[Author]],People!A:B,2,0)</f>
        <v>LS</v>
      </c>
      <c r="M876" t="s">
        <v>1040</v>
      </c>
    </row>
    <row r="877" spans="1:13" x14ac:dyDescent="0.25">
      <c r="A877" s="75">
        <f t="shared" si="13"/>
        <v>876</v>
      </c>
      <c r="B877" t="s">
        <v>13</v>
      </c>
      <c r="C877" t="s">
        <v>1037</v>
      </c>
      <c r="D877" t="s">
        <v>1501</v>
      </c>
      <c r="E877" t="s">
        <v>1502</v>
      </c>
      <c r="G877" t="s">
        <v>63</v>
      </c>
      <c r="H877" s="75" t="str">
        <f>IFERROR(VLOOKUP(Table2[[#This Row],[Ticket]],Okey!A:B,2,0),"")</f>
        <v>ok</v>
      </c>
      <c r="I877" t="s">
        <v>19</v>
      </c>
      <c r="J877" t="str">
        <f>VLOOKUP(Table2[[#This Row],[Author]],People!A:B,2,0)</f>
        <v>LS</v>
      </c>
      <c r="M877" t="s">
        <v>1040</v>
      </c>
    </row>
    <row r="878" spans="1:13" x14ac:dyDescent="0.25">
      <c r="A878" s="75">
        <f t="shared" si="13"/>
        <v>877</v>
      </c>
      <c r="B878" t="s">
        <v>13</v>
      </c>
      <c r="C878" t="s">
        <v>1037</v>
      </c>
      <c r="D878" t="s">
        <v>1503</v>
      </c>
      <c r="E878" t="s">
        <v>1504</v>
      </c>
      <c r="G878" t="s">
        <v>63</v>
      </c>
      <c r="H878" s="75" t="str">
        <f>IFERROR(VLOOKUP(Table2[[#This Row],[Ticket]],Okey!A:B,2,0),"")</f>
        <v>ok</v>
      </c>
      <c r="I878" t="s">
        <v>19</v>
      </c>
      <c r="J878" t="str">
        <f>VLOOKUP(Table2[[#This Row],[Author]],People!A:B,2,0)</f>
        <v>LS</v>
      </c>
      <c r="M878" t="s">
        <v>1040</v>
      </c>
    </row>
    <row r="879" spans="1:13" x14ac:dyDescent="0.25">
      <c r="A879" s="75">
        <f t="shared" si="13"/>
        <v>878</v>
      </c>
      <c r="B879" t="s">
        <v>13</v>
      </c>
      <c r="C879" t="s">
        <v>1037</v>
      </c>
      <c r="D879" t="s">
        <v>1505</v>
      </c>
      <c r="E879" t="s">
        <v>1506</v>
      </c>
      <c r="G879" t="s">
        <v>63</v>
      </c>
      <c r="H879" s="75" t="str">
        <f>IFERROR(VLOOKUP(Table2[[#This Row],[Ticket]],Okey!A:B,2,0),"")</f>
        <v>ok</v>
      </c>
      <c r="I879" t="s">
        <v>19</v>
      </c>
      <c r="J879" t="str">
        <f>VLOOKUP(Table2[[#This Row],[Author]],People!A:B,2,0)</f>
        <v>LS</v>
      </c>
      <c r="M879" t="s">
        <v>1040</v>
      </c>
    </row>
    <row r="880" spans="1:13" x14ac:dyDescent="0.25">
      <c r="A880" s="75">
        <f t="shared" si="13"/>
        <v>879</v>
      </c>
      <c r="B880" t="s">
        <v>13</v>
      </c>
      <c r="C880" t="s">
        <v>1037</v>
      </c>
      <c r="D880" t="s">
        <v>1507</v>
      </c>
      <c r="E880" t="s">
        <v>1508</v>
      </c>
      <c r="G880" t="s">
        <v>63</v>
      </c>
      <c r="H880" s="75" t="str">
        <f>IFERROR(VLOOKUP(Table2[[#This Row],[Ticket]],Okey!A:B,2,0),"")</f>
        <v>ok</v>
      </c>
      <c r="I880" t="s">
        <v>19</v>
      </c>
      <c r="J880" t="str">
        <f>VLOOKUP(Table2[[#This Row],[Author]],People!A:B,2,0)</f>
        <v>LS</v>
      </c>
      <c r="M880" t="s">
        <v>1040</v>
      </c>
    </row>
    <row r="881" spans="1:13" x14ac:dyDescent="0.25">
      <c r="A881" s="75">
        <f t="shared" si="13"/>
        <v>880</v>
      </c>
      <c r="B881" t="s">
        <v>13</v>
      </c>
      <c r="C881" t="s">
        <v>1037</v>
      </c>
      <c r="D881" t="s">
        <v>1509</v>
      </c>
      <c r="E881" t="s">
        <v>1510</v>
      </c>
      <c r="G881" t="s">
        <v>63</v>
      </c>
      <c r="H881" s="75" t="str">
        <f>IFERROR(VLOOKUP(Table2[[#This Row],[Ticket]],Okey!A:B,2,0),"")</f>
        <v>ok</v>
      </c>
      <c r="I881" t="s">
        <v>19</v>
      </c>
      <c r="J881" t="str">
        <f>VLOOKUP(Table2[[#This Row],[Author]],People!A:B,2,0)</f>
        <v>LS</v>
      </c>
      <c r="M881" t="s">
        <v>1040</v>
      </c>
    </row>
    <row r="882" spans="1:13" x14ac:dyDescent="0.25">
      <c r="A882" s="75">
        <f t="shared" si="13"/>
        <v>881</v>
      </c>
      <c r="B882" t="s">
        <v>13</v>
      </c>
      <c r="C882" t="s">
        <v>1037</v>
      </c>
      <c r="D882" t="s">
        <v>1511</v>
      </c>
      <c r="E882" t="s">
        <v>1512</v>
      </c>
      <c r="G882" t="s">
        <v>63</v>
      </c>
      <c r="H882" s="75" t="str">
        <f>IFERROR(VLOOKUP(Table2[[#This Row],[Ticket]],Okey!A:B,2,0),"")</f>
        <v>ok</v>
      </c>
      <c r="I882" t="s">
        <v>19</v>
      </c>
      <c r="J882" t="str">
        <f>VLOOKUP(Table2[[#This Row],[Author]],People!A:B,2,0)</f>
        <v>LS</v>
      </c>
      <c r="M882" t="s">
        <v>1040</v>
      </c>
    </row>
    <row r="883" spans="1:13" x14ac:dyDescent="0.25">
      <c r="A883" s="75">
        <f t="shared" si="13"/>
        <v>882</v>
      </c>
      <c r="B883" t="s">
        <v>13</v>
      </c>
      <c r="C883" t="s">
        <v>1037</v>
      </c>
      <c r="D883" t="s">
        <v>1513</v>
      </c>
      <c r="E883" t="s">
        <v>1514</v>
      </c>
      <c r="G883" t="s">
        <v>63</v>
      </c>
      <c r="H883" s="75" t="str">
        <f>IFERROR(VLOOKUP(Table2[[#This Row],[Ticket]],Okey!A:B,2,0),"")</f>
        <v>ok</v>
      </c>
      <c r="I883" t="s">
        <v>19</v>
      </c>
      <c r="J883" t="str">
        <f>VLOOKUP(Table2[[#This Row],[Author]],People!A:B,2,0)</f>
        <v>LS</v>
      </c>
      <c r="M883" t="s">
        <v>1040</v>
      </c>
    </row>
    <row r="884" spans="1:13" x14ac:dyDescent="0.25">
      <c r="A884" s="75">
        <f t="shared" si="13"/>
        <v>883</v>
      </c>
      <c r="B884" t="s">
        <v>13</v>
      </c>
      <c r="C884" t="s">
        <v>1037</v>
      </c>
      <c r="D884" t="s">
        <v>1515</v>
      </c>
      <c r="E884" t="s">
        <v>1516</v>
      </c>
      <c r="G884" t="s">
        <v>63</v>
      </c>
      <c r="H884" s="75" t="str">
        <f>IFERROR(VLOOKUP(Table2[[#This Row],[Ticket]],Okey!A:B,2,0),"")</f>
        <v>ok</v>
      </c>
      <c r="I884" t="s">
        <v>19</v>
      </c>
      <c r="J884" t="str">
        <f>VLOOKUP(Table2[[#This Row],[Author]],People!A:B,2,0)</f>
        <v>LS</v>
      </c>
      <c r="M884" t="s">
        <v>1040</v>
      </c>
    </row>
    <row r="885" spans="1:13" x14ac:dyDescent="0.25">
      <c r="A885" s="75">
        <f t="shared" si="13"/>
        <v>884</v>
      </c>
      <c r="B885" t="s">
        <v>13</v>
      </c>
      <c r="C885" t="s">
        <v>1037</v>
      </c>
      <c r="D885" t="s">
        <v>1517</v>
      </c>
      <c r="E885" t="s">
        <v>1518</v>
      </c>
      <c r="G885" t="s">
        <v>63</v>
      </c>
      <c r="H885" s="75" t="str">
        <f>IFERROR(VLOOKUP(Table2[[#This Row],[Ticket]],Okey!A:B,2,0),"")</f>
        <v>ok</v>
      </c>
      <c r="I885" t="s">
        <v>19</v>
      </c>
      <c r="J885" t="str">
        <f>VLOOKUP(Table2[[#This Row],[Author]],People!A:B,2,0)</f>
        <v>LS</v>
      </c>
      <c r="M885" t="s">
        <v>1040</v>
      </c>
    </row>
    <row r="886" spans="1:13" x14ac:dyDescent="0.25">
      <c r="A886" s="75">
        <f t="shared" si="13"/>
        <v>885</v>
      </c>
      <c r="B886" t="s">
        <v>13</v>
      </c>
      <c r="C886" t="s">
        <v>1037</v>
      </c>
      <c r="D886" t="s">
        <v>1519</v>
      </c>
      <c r="E886" t="s">
        <v>1520</v>
      </c>
      <c r="G886" t="s">
        <v>63</v>
      </c>
      <c r="H886" s="75" t="str">
        <f>IFERROR(VLOOKUP(Table2[[#This Row],[Ticket]],Okey!A:B,2,0),"")</f>
        <v>ok</v>
      </c>
      <c r="I886" t="s">
        <v>19</v>
      </c>
      <c r="J886" t="str">
        <f>VLOOKUP(Table2[[#This Row],[Author]],People!A:B,2,0)</f>
        <v>LS</v>
      </c>
      <c r="M886" t="s">
        <v>1040</v>
      </c>
    </row>
    <row r="887" spans="1:13" x14ac:dyDescent="0.25">
      <c r="A887" s="75">
        <f t="shared" si="13"/>
        <v>886</v>
      </c>
      <c r="B887" t="s">
        <v>13</v>
      </c>
      <c r="C887" t="s">
        <v>1037</v>
      </c>
      <c r="D887" t="s">
        <v>1521</v>
      </c>
      <c r="E887" t="s">
        <v>1522</v>
      </c>
      <c r="G887" t="s">
        <v>63</v>
      </c>
      <c r="H887" s="75" t="str">
        <f>IFERROR(VLOOKUP(Table2[[#This Row],[Ticket]],Okey!A:B,2,0),"")</f>
        <v>ok</v>
      </c>
      <c r="I887" t="s">
        <v>19</v>
      </c>
      <c r="J887" t="str">
        <f>VLOOKUP(Table2[[#This Row],[Author]],People!A:B,2,0)</f>
        <v>LS</v>
      </c>
      <c r="M887" t="s">
        <v>1040</v>
      </c>
    </row>
    <row r="888" spans="1:13" x14ac:dyDescent="0.25">
      <c r="A888" s="75">
        <f t="shared" si="13"/>
        <v>887</v>
      </c>
      <c r="B888" t="s">
        <v>13</v>
      </c>
      <c r="C888" t="s">
        <v>1037</v>
      </c>
      <c r="D888" t="s">
        <v>1523</v>
      </c>
      <c r="E888" t="s">
        <v>1524</v>
      </c>
      <c r="G888" t="s">
        <v>63</v>
      </c>
      <c r="H888" s="75" t="str">
        <f>IFERROR(VLOOKUP(Table2[[#This Row],[Ticket]],Okey!A:B,2,0),"")</f>
        <v>ok</v>
      </c>
      <c r="I888" t="s">
        <v>19</v>
      </c>
      <c r="J888" t="str">
        <f>VLOOKUP(Table2[[#This Row],[Author]],People!A:B,2,0)</f>
        <v>LS</v>
      </c>
      <c r="M888" t="s">
        <v>1040</v>
      </c>
    </row>
    <row r="889" spans="1:13" x14ac:dyDescent="0.25">
      <c r="A889" s="75">
        <f t="shared" si="13"/>
        <v>888</v>
      </c>
      <c r="B889" t="s">
        <v>13</v>
      </c>
      <c r="C889" t="s">
        <v>1037</v>
      </c>
      <c r="D889" t="s">
        <v>1525</v>
      </c>
      <c r="E889" t="s">
        <v>1526</v>
      </c>
      <c r="G889" t="s">
        <v>63</v>
      </c>
      <c r="H889" s="75" t="str">
        <f>IFERROR(VLOOKUP(Table2[[#This Row],[Ticket]],Okey!A:B,2,0),"")</f>
        <v>ok</v>
      </c>
      <c r="I889" t="s">
        <v>19</v>
      </c>
      <c r="J889" t="str">
        <f>VLOOKUP(Table2[[#This Row],[Author]],People!A:B,2,0)</f>
        <v>LS</v>
      </c>
      <c r="M889" t="s">
        <v>1040</v>
      </c>
    </row>
    <row r="890" spans="1:13" x14ac:dyDescent="0.25">
      <c r="A890" s="75">
        <f t="shared" si="13"/>
        <v>889</v>
      </c>
      <c r="B890" t="s">
        <v>13</v>
      </c>
      <c r="C890" t="s">
        <v>1037</v>
      </c>
      <c r="D890" t="s">
        <v>1527</v>
      </c>
      <c r="E890" t="s">
        <v>1528</v>
      </c>
      <c r="G890" t="s">
        <v>63</v>
      </c>
      <c r="H890" s="75" t="str">
        <f>IFERROR(VLOOKUP(Table2[[#This Row],[Ticket]],Okey!A:B,2,0),"")</f>
        <v>ok</v>
      </c>
      <c r="I890" t="s">
        <v>19</v>
      </c>
      <c r="J890" t="str">
        <f>VLOOKUP(Table2[[#This Row],[Author]],People!A:B,2,0)</f>
        <v>LS</v>
      </c>
      <c r="M890" t="s">
        <v>1040</v>
      </c>
    </row>
    <row r="891" spans="1:13" x14ac:dyDescent="0.25">
      <c r="A891" s="75">
        <f t="shared" si="13"/>
        <v>890</v>
      </c>
      <c r="B891" t="s">
        <v>13</v>
      </c>
      <c r="C891" t="s">
        <v>1037</v>
      </c>
      <c r="D891" t="s">
        <v>1529</v>
      </c>
      <c r="E891" t="s">
        <v>1530</v>
      </c>
      <c r="G891" t="s">
        <v>63</v>
      </c>
      <c r="H891" s="75" t="str">
        <f>IFERROR(VLOOKUP(Table2[[#This Row],[Ticket]],Okey!A:B,2,0),"")</f>
        <v>ok</v>
      </c>
      <c r="I891" t="s">
        <v>19</v>
      </c>
      <c r="J891" t="str">
        <f>VLOOKUP(Table2[[#This Row],[Author]],People!A:B,2,0)</f>
        <v>LS</v>
      </c>
      <c r="M891" t="s">
        <v>1040</v>
      </c>
    </row>
    <row r="892" spans="1:13" x14ac:dyDescent="0.25">
      <c r="A892" s="75">
        <f t="shared" si="13"/>
        <v>891</v>
      </c>
      <c r="B892" t="s">
        <v>13</v>
      </c>
      <c r="C892" t="s">
        <v>1037</v>
      </c>
      <c r="D892" t="s">
        <v>1531</v>
      </c>
      <c r="E892" t="s">
        <v>1532</v>
      </c>
      <c r="G892" t="s">
        <v>63</v>
      </c>
      <c r="H892" s="75" t="str">
        <f>IFERROR(VLOOKUP(Table2[[#This Row],[Ticket]],Okey!A:B,2,0),"")</f>
        <v>ok</v>
      </c>
      <c r="I892" t="s">
        <v>19</v>
      </c>
      <c r="J892" t="str">
        <f>VLOOKUP(Table2[[#This Row],[Author]],People!A:B,2,0)</f>
        <v>LS</v>
      </c>
      <c r="M892" t="s">
        <v>1040</v>
      </c>
    </row>
    <row r="893" spans="1:13" x14ac:dyDescent="0.25">
      <c r="A893" s="75">
        <f t="shared" si="13"/>
        <v>892</v>
      </c>
      <c r="B893" t="s">
        <v>13</v>
      </c>
      <c r="C893" t="s">
        <v>1037</v>
      </c>
      <c r="D893" t="s">
        <v>1533</v>
      </c>
      <c r="E893" t="s">
        <v>1534</v>
      </c>
      <c r="G893" t="s">
        <v>63</v>
      </c>
      <c r="H893" s="75" t="str">
        <f>IFERROR(VLOOKUP(Table2[[#This Row],[Ticket]],Okey!A:B,2,0),"")</f>
        <v>ok</v>
      </c>
      <c r="I893" t="s">
        <v>19</v>
      </c>
      <c r="J893" t="str">
        <f>VLOOKUP(Table2[[#This Row],[Author]],People!A:B,2,0)</f>
        <v>LS</v>
      </c>
      <c r="M893" t="s">
        <v>1040</v>
      </c>
    </row>
    <row r="894" spans="1:13" x14ac:dyDescent="0.25">
      <c r="A894" s="75">
        <f t="shared" si="13"/>
        <v>893</v>
      </c>
      <c r="B894" t="s">
        <v>13</v>
      </c>
      <c r="C894" t="s">
        <v>1037</v>
      </c>
      <c r="D894" t="s">
        <v>1535</v>
      </c>
      <c r="E894" t="s">
        <v>1536</v>
      </c>
      <c r="G894" t="s">
        <v>63</v>
      </c>
      <c r="H894" s="75" t="str">
        <f>IFERROR(VLOOKUP(Table2[[#This Row],[Ticket]],Okey!A:B,2,0),"")</f>
        <v>ok</v>
      </c>
      <c r="I894" t="s">
        <v>19</v>
      </c>
      <c r="J894" t="str">
        <f>VLOOKUP(Table2[[#This Row],[Author]],People!A:B,2,0)</f>
        <v>LS</v>
      </c>
      <c r="M894" t="s">
        <v>1040</v>
      </c>
    </row>
    <row r="895" spans="1:13" x14ac:dyDescent="0.25">
      <c r="A895" s="75">
        <f t="shared" si="13"/>
        <v>894</v>
      </c>
      <c r="B895" t="s">
        <v>13</v>
      </c>
      <c r="C895" t="s">
        <v>1037</v>
      </c>
      <c r="D895" t="s">
        <v>1537</v>
      </c>
      <c r="E895" t="s">
        <v>1538</v>
      </c>
      <c r="G895" t="s">
        <v>63</v>
      </c>
      <c r="H895" s="75" t="str">
        <f>IFERROR(VLOOKUP(Table2[[#This Row],[Ticket]],Okey!A:B,2,0),"")</f>
        <v>ok</v>
      </c>
      <c r="I895" t="s">
        <v>19</v>
      </c>
      <c r="J895" t="str">
        <f>VLOOKUP(Table2[[#This Row],[Author]],People!A:B,2,0)</f>
        <v>LS</v>
      </c>
      <c r="M895" t="s">
        <v>1040</v>
      </c>
    </row>
    <row r="896" spans="1:13" x14ac:dyDescent="0.25">
      <c r="A896" s="75">
        <f t="shared" si="13"/>
        <v>895</v>
      </c>
      <c r="B896" t="s">
        <v>13</v>
      </c>
      <c r="C896" t="s">
        <v>1037</v>
      </c>
      <c r="D896" t="s">
        <v>1539</v>
      </c>
      <c r="E896" t="s">
        <v>1540</v>
      </c>
      <c r="G896" t="s">
        <v>63</v>
      </c>
      <c r="H896" s="75" t="str">
        <f>IFERROR(VLOOKUP(Table2[[#This Row],[Ticket]],Okey!A:B,2,0),"")</f>
        <v>ok</v>
      </c>
      <c r="I896" t="s">
        <v>19</v>
      </c>
      <c r="J896" t="str">
        <f>VLOOKUP(Table2[[#This Row],[Author]],People!A:B,2,0)</f>
        <v>LS</v>
      </c>
      <c r="M896" t="s">
        <v>1040</v>
      </c>
    </row>
    <row r="897" spans="1:13" x14ac:dyDescent="0.25">
      <c r="A897" s="75">
        <f t="shared" si="13"/>
        <v>896</v>
      </c>
      <c r="B897" t="s">
        <v>13</v>
      </c>
      <c r="C897" t="s">
        <v>1037</v>
      </c>
      <c r="D897" t="s">
        <v>1541</v>
      </c>
      <c r="E897" t="s">
        <v>1542</v>
      </c>
      <c r="G897" t="s">
        <v>63</v>
      </c>
      <c r="H897" s="75" t="str">
        <f>IFERROR(VLOOKUP(Table2[[#This Row],[Ticket]],Okey!A:B,2,0),"")</f>
        <v>ok</v>
      </c>
      <c r="I897" t="s">
        <v>19</v>
      </c>
      <c r="J897" t="str">
        <f>VLOOKUP(Table2[[#This Row],[Author]],People!A:B,2,0)</f>
        <v>LS</v>
      </c>
      <c r="M897" t="s">
        <v>1040</v>
      </c>
    </row>
    <row r="898" spans="1:13" x14ac:dyDescent="0.25">
      <c r="A898" s="75">
        <f t="shared" si="13"/>
        <v>897</v>
      </c>
      <c r="B898" t="s">
        <v>13</v>
      </c>
      <c r="C898" t="s">
        <v>1037</v>
      </c>
      <c r="D898" t="s">
        <v>1543</v>
      </c>
      <c r="E898" t="s">
        <v>1544</v>
      </c>
      <c r="G898" t="s">
        <v>63</v>
      </c>
      <c r="H898" s="75" t="str">
        <f>IFERROR(VLOOKUP(Table2[[#This Row],[Ticket]],Okey!A:B,2,0),"")</f>
        <v>ok</v>
      </c>
      <c r="I898" t="s">
        <v>19</v>
      </c>
      <c r="J898" t="str">
        <f>VLOOKUP(Table2[[#This Row],[Author]],People!A:B,2,0)</f>
        <v>LS</v>
      </c>
      <c r="M898" t="s">
        <v>1040</v>
      </c>
    </row>
    <row r="899" spans="1:13" x14ac:dyDescent="0.25">
      <c r="A899" s="75">
        <f t="shared" si="13"/>
        <v>898</v>
      </c>
      <c r="B899" t="s">
        <v>13</v>
      </c>
      <c r="C899" t="s">
        <v>1037</v>
      </c>
      <c r="D899" t="s">
        <v>1545</v>
      </c>
      <c r="E899" t="s">
        <v>1546</v>
      </c>
      <c r="G899" t="s">
        <v>63</v>
      </c>
      <c r="H899" s="75" t="str">
        <f>IFERROR(VLOOKUP(Table2[[#This Row],[Ticket]],Okey!A:B,2,0),"")</f>
        <v>ok</v>
      </c>
      <c r="I899" t="s">
        <v>19</v>
      </c>
      <c r="J899" t="str">
        <f>VLOOKUP(Table2[[#This Row],[Author]],People!A:B,2,0)</f>
        <v>LS</v>
      </c>
      <c r="M899" t="s">
        <v>1040</v>
      </c>
    </row>
    <row r="900" spans="1:13" x14ac:dyDescent="0.25">
      <c r="A900" s="75">
        <f t="shared" si="13"/>
        <v>899</v>
      </c>
      <c r="B900" t="s">
        <v>13</v>
      </c>
      <c r="C900" t="s">
        <v>1037</v>
      </c>
      <c r="D900" t="s">
        <v>1547</v>
      </c>
      <c r="E900" t="s">
        <v>1548</v>
      </c>
      <c r="G900" t="s">
        <v>63</v>
      </c>
      <c r="H900" s="75" t="str">
        <f>IFERROR(VLOOKUP(Table2[[#This Row],[Ticket]],Okey!A:B,2,0),"")</f>
        <v>ok</v>
      </c>
      <c r="I900" t="s">
        <v>19</v>
      </c>
      <c r="J900" t="str">
        <f>VLOOKUP(Table2[[#This Row],[Author]],People!A:B,2,0)</f>
        <v>LS</v>
      </c>
      <c r="M900" t="s">
        <v>1040</v>
      </c>
    </row>
    <row r="901" spans="1:13" x14ac:dyDescent="0.25">
      <c r="A901" s="75">
        <f t="shared" si="13"/>
        <v>900</v>
      </c>
      <c r="B901" t="s">
        <v>13</v>
      </c>
      <c r="C901" t="s">
        <v>1037</v>
      </c>
      <c r="D901" t="s">
        <v>1549</v>
      </c>
      <c r="E901" t="s">
        <v>1550</v>
      </c>
      <c r="G901" t="s">
        <v>63</v>
      </c>
      <c r="H901" s="75" t="str">
        <f>IFERROR(VLOOKUP(Table2[[#This Row],[Ticket]],Okey!A:B,2,0),"")</f>
        <v>ok</v>
      </c>
      <c r="I901" t="s">
        <v>19</v>
      </c>
      <c r="J901" t="str">
        <f>VLOOKUP(Table2[[#This Row],[Author]],People!A:B,2,0)</f>
        <v>LS</v>
      </c>
      <c r="M901" t="s">
        <v>1040</v>
      </c>
    </row>
    <row r="902" spans="1:13" x14ac:dyDescent="0.25">
      <c r="A902" s="75">
        <f t="shared" si="13"/>
        <v>901</v>
      </c>
      <c r="B902" t="s">
        <v>13</v>
      </c>
      <c r="C902" t="s">
        <v>1037</v>
      </c>
      <c r="D902" t="s">
        <v>1551</v>
      </c>
      <c r="E902" t="s">
        <v>1552</v>
      </c>
      <c r="G902" t="s">
        <v>63</v>
      </c>
      <c r="H902" s="75" t="str">
        <f>IFERROR(VLOOKUP(Table2[[#This Row],[Ticket]],Okey!A:B,2,0),"")</f>
        <v>ok</v>
      </c>
      <c r="I902" t="s">
        <v>19</v>
      </c>
      <c r="J902" t="str">
        <f>VLOOKUP(Table2[[#This Row],[Author]],People!A:B,2,0)</f>
        <v>LS</v>
      </c>
      <c r="M902" t="s">
        <v>1040</v>
      </c>
    </row>
    <row r="903" spans="1:13" x14ac:dyDescent="0.25">
      <c r="A903" s="75">
        <f t="shared" si="13"/>
        <v>902</v>
      </c>
      <c r="B903" t="s">
        <v>13</v>
      </c>
      <c r="C903" t="s">
        <v>1037</v>
      </c>
      <c r="D903" t="s">
        <v>1553</v>
      </c>
      <c r="E903" t="s">
        <v>1554</v>
      </c>
      <c r="G903" t="s">
        <v>63</v>
      </c>
      <c r="H903" s="75" t="str">
        <f>IFERROR(VLOOKUP(Table2[[#This Row],[Ticket]],Okey!A:B,2,0),"")</f>
        <v>ok</v>
      </c>
      <c r="I903" t="s">
        <v>19</v>
      </c>
      <c r="J903" t="str">
        <f>VLOOKUP(Table2[[#This Row],[Author]],People!A:B,2,0)</f>
        <v>LS</v>
      </c>
      <c r="M903" t="s">
        <v>1040</v>
      </c>
    </row>
    <row r="904" spans="1:13" x14ac:dyDescent="0.25">
      <c r="A904" s="75">
        <f t="shared" si="13"/>
        <v>903</v>
      </c>
      <c r="B904" t="s">
        <v>13</v>
      </c>
      <c r="C904" t="s">
        <v>1037</v>
      </c>
      <c r="D904" t="s">
        <v>1555</v>
      </c>
      <c r="E904" t="s">
        <v>1556</v>
      </c>
      <c r="G904" t="s">
        <v>63</v>
      </c>
      <c r="H904" s="75" t="str">
        <f>IFERROR(VLOOKUP(Table2[[#This Row],[Ticket]],Okey!A:B,2,0),"")</f>
        <v>ok</v>
      </c>
      <c r="I904" t="s">
        <v>19</v>
      </c>
      <c r="J904" t="str">
        <f>VLOOKUP(Table2[[#This Row],[Author]],People!A:B,2,0)</f>
        <v>LS</v>
      </c>
      <c r="M904" t="s">
        <v>1040</v>
      </c>
    </row>
    <row r="905" spans="1:13" x14ac:dyDescent="0.25">
      <c r="A905" s="75">
        <f t="shared" ref="A905:A968" si="14">1+A904</f>
        <v>904</v>
      </c>
      <c r="B905" t="s">
        <v>13</v>
      </c>
      <c r="C905" t="s">
        <v>1037</v>
      </c>
      <c r="D905" t="s">
        <v>1557</v>
      </c>
      <c r="E905" t="s">
        <v>1558</v>
      </c>
      <c r="G905" t="s">
        <v>63</v>
      </c>
      <c r="H905" s="75" t="str">
        <f>IFERROR(VLOOKUP(Table2[[#This Row],[Ticket]],Okey!A:B,2,0),"")</f>
        <v>ok</v>
      </c>
      <c r="I905" t="s">
        <v>19</v>
      </c>
      <c r="J905" t="str">
        <f>VLOOKUP(Table2[[#This Row],[Author]],People!A:B,2,0)</f>
        <v>LS</v>
      </c>
      <c r="M905" t="s">
        <v>1040</v>
      </c>
    </row>
    <row r="906" spans="1:13" x14ac:dyDescent="0.25">
      <c r="A906" s="75">
        <f t="shared" si="14"/>
        <v>905</v>
      </c>
      <c r="B906" t="s">
        <v>13</v>
      </c>
      <c r="C906" t="s">
        <v>1037</v>
      </c>
      <c r="D906" t="s">
        <v>1559</v>
      </c>
      <c r="E906" t="s">
        <v>1560</v>
      </c>
      <c r="G906" t="s">
        <v>63</v>
      </c>
      <c r="H906" s="75" t="str">
        <f>IFERROR(VLOOKUP(Table2[[#This Row],[Ticket]],Okey!A:B,2,0),"")</f>
        <v>ok</v>
      </c>
      <c r="I906" t="s">
        <v>19</v>
      </c>
      <c r="J906" t="str">
        <f>VLOOKUP(Table2[[#This Row],[Author]],People!A:B,2,0)</f>
        <v>LS</v>
      </c>
      <c r="M906" t="s">
        <v>1040</v>
      </c>
    </row>
    <row r="907" spans="1:13" x14ac:dyDescent="0.25">
      <c r="A907" s="75">
        <f t="shared" si="14"/>
        <v>906</v>
      </c>
      <c r="B907" t="s">
        <v>13</v>
      </c>
      <c r="C907" t="s">
        <v>1037</v>
      </c>
      <c r="D907" t="s">
        <v>1561</v>
      </c>
      <c r="E907" t="s">
        <v>1562</v>
      </c>
      <c r="G907" t="s">
        <v>63</v>
      </c>
      <c r="H907" s="75" t="str">
        <f>IFERROR(VLOOKUP(Table2[[#This Row],[Ticket]],Okey!A:B,2,0),"")</f>
        <v>ok</v>
      </c>
      <c r="I907" t="s">
        <v>19</v>
      </c>
      <c r="J907" t="str">
        <f>VLOOKUP(Table2[[#This Row],[Author]],People!A:B,2,0)</f>
        <v>LS</v>
      </c>
      <c r="M907" t="s">
        <v>1040</v>
      </c>
    </row>
    <row r="908" spans="1:13" x14ac:dyDescent="0.25">
      <c r="A908" s="75">
        <f t="shared" si="14"/>
        <v>907</v>
      </c>
      <c r="B908" t="s">
        <v>13</v>
      </c>
      <c r="C908" t="s">
        <v>1037</v>
      </c>
      <c r="D908" t="s">
        <v>1563</v>
      </c>
      <c r="E908" t="s">
        <v>1564</v>
      </c>
      <c r="G908" t="s">
        <v>63</v>
      </c>
      <c r="H908" s="75" t="str">
        <f>IFERROR(VLOOKUP(Table2[[#This Row],[Ticket]],Okey!A:B,2,0),"")</f>
        <v>ok</v>
      </c>
      <c r="I908" t="s">
        <v>19</v>
      </c>
      <c r="J908" t="str">
        <f>VLOOKUP(Table2[[#This Row],[Author]],People!A:B,2,0)</f>
        <v>LS</v>
      </c>
      <c r="M908" t="s">
        <v>1040</v>
      </c>
    </row>
    <row r="909" spans="1:13" x14ac:dyDescent="0.25">
      <c r="A909" s="75">
        <f t="shared" si="14"/>
        <v>908</v>
      </c>
      <c r="B909" t="s">
        <v>13</v>
      </c>
      <c r="C909" t="s">
        <v>1037</v>
      </c>
      <c r="D909" t="s">
        <v>1565</v>
      </c>
      <c r="E909" t="s">
        <v>1566</v>
      </c>
      <c r="G909" t="s">
        <v>63</v>
      </c>
      <c r="H909" s="75" t="str">
        <f>IFERROR(VLOOKUP(Table2[[#This Row],[Ticket]],Okey!A:B,2,0),"")</f>
        <v>ok</v>
      </c>
      <c r="I909" t="s">
        <v>19</v>
      </c>
      <c r="J909" t="str">
        <f>VLOOKUP(Table2[[#This Row],[Author]],People!A:B,2,0)</f>
        <v>LS</v>
      </c>
      <c r="M909" t="s">
        <v>1040</v>
      </c>
    </row>
    <row r="910" spans="1:13" x14ac:dyDescent="0.25">
      <c r="A910" s="75">
        <f t="shared" si="14"/>
        <v>909</v>
      </c>
      <c r="B910" t="s">
        <v>13</v>
      </c>
      <c r="C910" t="s">
        <v>1037</v>
      </c>
      <c r="D910" t="s">
        <v>1567</v>
      </c>
      <c r="E910" t="s">
        <v>1568</v>
      </c>
      <c r="G910" t="s">
        <v>63</v>
      </c>
      <c r="H910" s="75" t="str">
        <f>IFERROR(VLOOKUP(Table2[[#This Row],[Ticket]],Okey!A:B,2,0),"")</f>
        <v>ok</v>
      </c>
      <c r="I910" t="s">
        <v>19</v>
      </c>
      <c r="J910" t="str">
        <f>VLOOKUP(Table2[[#This Row],[Author]],People!A:B,2,0)</f>
        <v>LS</v>
      </c>
      <c r="M910" t="s">
        <v>1040</v>
      </c>
    </row>
    <row r="911" spans="1:13" x14ac:dyDescent="0.25">
      <c r="A911" s="75">
        <f t="shared" si="14"/>
        <v>910</v>
      </c>
      <c r="B911" t="s">
        <v>13</v>
      </c>
      <c r="C911" t="s">
        <v>1037</v>
      </c>
      <c r="D911" t="s">
        <v>1569</v>
      </c>
      <c r="E911" t="s">
        <v>1570</v>
      </c>
      <c r="G911" t="s">
        <v>63</v>
      </c>
      <c r="H911" s="75" t="str">
        <f>IFERROR(VLOOKUP(Table2[[#This Row],[Ticket]],Okey!A:B,2,0),"")</f>
        <v>ok</v>
      </c>
      <c r="I911" t="s">
        <v>19</v>
      </c>
      <c r="J911" t="str">
        <f>VLOOKUP(Table2[[#This Row],[Author]],People!A:B,2,0)</f>
        <v>LS</v>
      </c>
      <c r="M911" t="s">
        <v>1040</v>
      </c>
    </row>
    <row r="912" spans="1:13" x14ac:dyDescent="0.25">
      <c r="A912" s="75">
        <f t="shared" si="14"/>
        <v>911</v>
      </c>
      <c r="B912" t="s">
        <v>13</v>
      </c>
      <c r="C912" t="s">
        <v>1037</v>
      </c>
      <c r="D912" t="s">
        <v>1571</v>
      </c>
      <c r="E912" t="s">
        <v>1572</v>
      </c>
      <c r="G912" t="s">
        <v>63</v>
      </c>
      <c r="H912" s="75" t="str">
        <f>IFERROR(VLOOKUP(Table2[[#This Row],[Ticket]],Okey!A:B,2,0),"")</f>
        <v>ok</v>
      </c>
      <c r="I912" t="s">
        <v>19</v>
      </c>
      <c r="J912" t="str">
        <f>VLOOKUP(Table2[[#This Row],[Author]],People!A:B,2,0)</f>
        <v>LS</v>
      </c>
      <c r="M912" t="s">
        <v>1040</v>
      </c>
    </row>
    <row r="913" spans="1:13" x14ac:dyDescent="0.25">
      <c r="A913" s="75">
        <f t="shared" si="14"/>
        <v>912</v>
      </c>
      <c r="B913" t="s">
        <v>13</v>
      </c>
      <c r="C913" t="s">
        <v>1037</v>
      </c>
      <c r="D913" t="s">
        <v>1573</v>
      </c>
      <c r="E913" t="s">
        <v>1574</v>
      </c>
      <c r="G913" t="s">
        <v>63</v>
      </c>
      <c r="H913" s="75" t="str">
        <f>IFERROR(VLOOKUP(Table2[[#This Row],[Ticket]],Okey!A:B,2,0),"")</f>
        <v>ok</v>
      </c>
      <c r="I913" t="s">
        <v>19</v>
      </c>
      <c r="J913" t="str">
        <f>VLOOKUP(Table2[[#This Row],[Author]],People!A:B,2,0)</f>
        <v>LS</v>
      </c>
      <c r="M913" t="s">
        <v>1040</v>
      </c>
    </row>
    <row r="914" spans="1:13" x14ac:dyDescent="0.25">
      <c r="A914" s="75">
        <f t="shared" si="14"/>
        <v>913</v>
      </c>
      <c r="B914" t="s">
        <v>13</v>
      </c>
      <c r="C914" t="s">
        <v>1037</v>
      </c>
      <c r="D914" t="s">
        <v>1575</v>
      </c>
      <c r="E914" t="s">
        <v>1576</v>
      </c>
      <c r="G914" t="s">
        <v>63</v>
      </c>
      <c r="H914" s="75" t="str">
        <f>IFERROR(VLOOKUP(Table2[[#This Row],[Ticket]],Okey!A:B,2,0),"")</f>
        <v>ok</v>
      </c>
      <c r="I914" t="s">
        <v>19</v>
      </c>
      <c r="J914" t="str">
        <f>VLOOKUP(Table2[[#This Row],[Author]],People!A:B,2,0)</f>
        <v>LS</v>
      </c>
      <c r="M914" t="s">
        <v>1040</v>
      </c>
    </row>
    <row r="915" spans="1:13" x14ac:dyDescent="0.25">
      <c r="A915" s="75">
        <f t="shared" si="14"/>
        <v>914</v>
      </c>
      <c r="B915" t="s">
        <v>13</v>
      </c>
      <c r="C915" t="s">
        <v>1037</v>
      </c>
      <c r="D915" t="s">
        <v>1577</v>
      </c>
      <c r="E915" t="s">
        <v>1578</v>
      </c>
      <c r="G915" t="s">
        <v>63</v>
      </c>
      <c r="H915" s="75" t="str">
        <f>IFERROR(VLOOKUP(Table2[[#This Row],[Ticket]],Okey!A:B,2,0),"")</f>
        <v>ok</v>
      </c>
      <c r="I915" t="s">
        <v>19</v>
      </c>
      <c r="J915" t="str">
        <f>VLOOKUP(Table2[[#This Row],[Author]],People!A:B,2,0)</f>
        <v>LS</v>
      </c>
      <c r="M915" t="s">
        <v>1040</v>
      </c>
    </row>
    <row r="916" spans="1:13" x14ac:dyDescent="0.25">
      <c r="A916" s="75">
        <f t="shared" si="14"/>
        <v>915</v>
      </c>
      <c r="B916" t="s">
        <v>13</v>
      </c>
      <c r="C916" t="s">
        <v>1037</v>
      </c>
      <c r="D916" t="s">
        <v>1579</v>
      </c>
      <c r="E916" t="s">
        <v>1580</v>
      </c>
      <c r="G916" t="s">
        <v>63</v>
      </c>
      <c r="H916" s="75" t="str">
        <f>IFERROR(VLOOKUP(Table2[[#This Row],[Ticket]],Okey!A:B,2,0),"")</f>
        <v>ok</v>
      </c>
      <c r="I916" t="s">
        <v>19</v>
      </c>
      <c r="J916" t="str">
        <f>VLOOKUP(Table2[[#This Row],[Author]],People!A:B,2,0)</f>
        <v>LS</v>
      </c>
      <c r="M916" t="s">
        <v>1040</v>
      </c>
    </row>
    <row r="917" spans="1:13" x14ac:dyDescent="0.25">
      <c r="A917" s="75">
        <f t="shared" si="14"/>
        <v>916</v>
      </c>
      <c r="B917" t="s">
        <v>13</v>
      </c>
      <c r="C917" t="s">
        <v>1037</v>
      </c>
      <c r="D917" t="s">
        <v>1581</v>
      </c>
      <c r="E917" t="s">
        <v>1582</v>
      </c>
      <c r="G917" t="s">
        <v>63</v>
      </c>
      <c r="H917" s="75" t="str">
        <f>IFERROR(VLOOKUP(Table2[[#This Row],[Ticket]],Okey!A:B,2,0),"")</f>
        <v>ok</v>
      </c>
      <c r="I917" t="s">
        <v>19</v>
      </c>
      <c r="J917" t="str">
        <f>VLOOKUP(Table2[[#This Row],[Author]],People!A:B,2,0)</f>
        <v>LS</v>
      </c>
      <c r="M917" t="s">
        <v>1040</v>
      </c>
    </row>
    <row r="918" spans="1:13" x14ac:dyDescent="0.25">
      <c r="A918" s="75">
        <f t="shared" si="14"/>
        <v>917</v>
      </c>
      <c r="B918" t="s">
        <v>13</v>
      </c>
      <c r="C918" t="s">
        <v>1037</v>
      </c>
      <c r="D918" t="s">
        <v>1583</v>
      </c>
      <c r="E918" t="s">
        <v>1584</v>
      </c>
      <c r="G918" t="s">
        <v>63</v>
      </c>
      <c r="H918" s="75" t="str">
        <f>IFERROR(VLOOKUP(Table2[[#This Row],[Ticket]],Okey!A:B,2,0),"")</f>
        <v>ok</v>
      </c>
      <c r="I918" t="s">
        <v>19</v>
      </c>
      <c r="J918" t="str">
        <f>VLOOKUP(Table2[[#This Row],[Author]],People!A:B,2,0)</f>
        <v>LS</v>
      </c>
      <c r="M918" t="s">
        <v>1040</v>
      </c>
    </row>
    <row r="919" spans="1:13" x14ac:dyDescent="0.25">
      <c r="A919" s="75">
        <f t="shared" si="14"/>
        <v>918</v>
      </c>
      <c r="B919" t="s">
        <v>13</v>
      </c>
      <c r="C919" t="s">
        <v>1037</v>
      </c>
      <c r="D919" t="s">
        <v>1585</v>
      </c>
      <c r="E919" t="s">
        <v>1586</v>
      </c>
      <c r="G919" t="s">
        <v>63</v>
      </c>
      <c r="H919" s="75" t="str">
        <f>IFERROR(VLOOKUP(Table2[[#This Row],[Ticket]],Okey!A:B,2,0),"")</f>
        <v>ok</v>
      </c>
      <c r="I919" t="s">
        <v>19</v>
      </c>
      <c r="J919" t="str">
        <f>VLOOKUP(Table2[[#This Row],[Author]],People!A:B,2,0)</f>
        <v>LS</v>
      </c>
      <c r="M919" t="s">
        <v>1040</v>
      </c>
    </row>
    <row r="920" spans="1:13" x14ac:dyDescent="0.25">
      <c r="A920" s="75">
        <f t="shared" si="14"/>
        <v>919</v>
      </c>
      <c r="B920" t="s">
        <v>13</v>
      </c>
      <c r="C920" t="s">
        <v>1037</v>
      </c>
      <c r="D920" t="s">
        <v>1587</v>
      </c>
      <c r="E920" t="s">
        <v>1588</v>
      </c>
      <c r="G920" t="s">
        <v>63</v>
      </c>
      <c r="H920" s="75" t="str">
        <f>IFERROR(VLOOKUP(Table2[[#This Row],[Ticket]],Okey!A:B,2,0),"")</f>
        <v>ok</v>
      </c>
      <c r="I920" t="s">
        <v>19</v>
      </c>
      <c r="J920" t="str">
        <f>VLOOKUP(Table2[[#This Row],[Author]],People!A:B,2,0)</f>
        <v>LS</v>
      </c>
      <c r="M920" t="s">
        <v>1040</v>
      </c>
    </row>
    <row r="921" spans="1:13" x14ac:dyDescent="0.25">
      <c r="A921" s="75">
        <f t="shared" si="14"/>
        <v>920</v>
      </c>
      <c r="B921" t="s">
        <v>13</v>
      </c>
      <c r="C921" t="s">
        <v>1037</v>
      </c>
      <c r="D921" t="s">
        <v>1589</v>
      </c>
      <c r="E921" t="s">
        <v>1590</v>
      </c>
      <c r="G921" t="s">
        <v>63</v>
      </c>
      <c r="H921" s="75" t="str">
        <f>IFERROR(VLOOKUP(Table2[[#This Row],[Ticket]],Okey!A:B,2,0),"")</f>
        <v>ok</v>
      </c>
      <c r="I921" t="s">
        <v>19</v>
      </c>
      <c r="J921" t="str">
        <f>VLOOKUP(Table2[[#This Row],[Author]],People!A:B,2,0)</f>
        <v>LS</v>
      </c>
      <c r="M921" t="s">
        <v>1040</v>
      </c>
    </row>
    <row r="922" spans="1:13" x14ac:dyDescent="0.25">
      <c r="A922" s="75">
        <f t="shared" si="14"/>
        <v>921</v>
      </c>
      <c r="B922" t="s">
        <v>13</v>
      </c>
      <c r="C922" t="s">
        <v>1037</v>
      </c>
      <c r="D922" t="s">
        <v>1591</v>
      </c>
      <c r="E922" t="s">
        <v>1592</v>
      </c>
      <c r="G922" t="s">
        <v>63</v>
      </c>
      <c r="H922" s="75" t="str">
        <f>IFERROR(VLOOKUP(Table2[[#This Row],[Ticket]],Okey!A:B,2,0),"")</f>
        <v>ok</v>
      </c>
      <c r="I922" t="s">
        <v>19</v>
      </c>
      <c r="J922" t="str">
        <f>VLOOKUP(Table2[[#This Row],[Author]],People!A:B,2,0)</f>
        <v>LS</v>
      </c>
      <c r="M922" t="s">
        <v>1040</v>
      </c>
    </row>
    <row r="923" spans="1:13" x14ac:dyDescent="0.25">
      <c r="A923" s="75">
        <f t="shared" si="14"/>
        <v>922</v>
      </c>
      <c r="B923" t="s">
        <v>13</v>
      </c>
      <c r="C923" t="s">
        <v>1037</v>
      </c>
      <c r="D923" t="s">
        <v>1593</v>
      </c>
      <c r="E923" t="s">
        <v>1594</v>
      </c>
      <c r="G923" t="s">
        <v>63</v>
      </c>
      <c r="H923" s="75" t="str">
        <f>IFERROR(VLOOKUP(Table2[[#This Row],[Ticket]],Okey!A:B,2,0),"")</f>
        <v>ok</v>
      </c>
      <c r="I923" t="s">
        <v>19</v>
      </c>
      <c r="J923" t="str">
        <f>VLOOKUP(Table2[[#This Row],[Author]],People!A:B,2,0)</f>
        <v>LS</v>
      </c>
      <c r="M923" t="s">
        <v>1040</v>
      </c>
    </row>
    <row r="924" spans="1:13" x14ac:dyDescent="0.25">
      <c r="A924" s="75">
        <f t="shared" si="14"/>
        <v>923</v>
      </c>
      <c r="B924" t="s">
        <v>13</v>
      </c>
      <c r="C924" t="s">
        <v>1037</v>
      </c>
      <c r="D924" t="s">
        <v>1595</v>
      </c>
      <c r="E924" t="s">
        <v>1596</v>
      </c>
      <c r="G924" t="s">
        <v>63</v>
      </c>
      <c r="H924" s="75" t="str">
        <f>IFERROR(VLOOKUP(Table2[[#This Row],[Ticket]],Okey!A:B,2,0),"")</f>
        <v>ok</v>
      </c>
      <c r="I924" t="s">
        <v>19</v>
      </c>
      <c r="J924" t="str">
        <f>VLOOKUP(Table2[[#This Row],[Author]],People!A:B,2,0)</f>
        <v>LS</v>
      </c>
      <c r="M924" t="s">
        <v>1040</v>
      </c>
    </row>
    <row r="925" spans="1:13" x14ac:dyDescent="0.25">
      <c r="A925" s="75">
        <f t="shared" si="14"/>
        <v>924</v>
      </c>
      <c r="B925" t="s">
        <v>13</v>
      </c>
      <c r="C925" t="s">
        <v>1037</v>
      </c>
      <c r="D925" t="s">
        <v>1597</v>
      </c>
      <c r="E925" t="s">
        <v>1598</v>
      </c>
      <c r="G925" t="s">
        <v>63</v>
      </c>
      <c r="H925" s="75" t="str">
        <f>IFERROR(VLOOKUP(Table2[[#This Row],[Ticket]],Okey!A:B,2,0),"")</f>
        <v>ok</v>
      </c>
      <c r="I925" t="s">
        <v>19</v>
      </c>
      <c r="J925" t="str">
        <f>VLOOKUP(Table2[[#This Row],[Author]],People!A:B,2,0)</f>
        <v>LS</v>
      </c>
      <c r="M925" t="s">
        <v>1040</v>
      </c>
    </row>
    <row r="926" spans="1:13" x14ac:dyDescent="0.25">
      <c r="A926" s="75">
        <f t="shared" si="14"/>
        <v>925</v>
      </c>
      <c r="B926" t="s">
        <v>13</v>
      </c>
      <c r="C926" t="s">
        <v>1037</v>
      </c>
      <c r="D926" t="s">
        <v>1599</v>
      </c>
      <c r="E926" t="s">
        <v>1600</v>
      </c>
      <c r="G926" t="s">
        <v>63</v>
      </c>
      <c r="H926" s="75" t="str">
        <f>IFERROR(VLOOKUP(Table2[[#This Row],[Ticket]],Okey!A:B,2,0),"")</f>
        <v>ok</v>
      </c>
      <c r="I926" t="s">
        <v>19</v>
      </c>
      <c r="J926" t="str">
        <f>VLOOKUP(Table2[[#This Row],[Author]],People!A:B,2,0)</f>
        <v>LS</v>
      </c>
      <c r="M926" t="s">
        <v>1040</v>
      </c>
    </row>
    <row r="927" spans="1:13" x14ac:dyDescent="0.25">
      <c r="A927" s="75">
        <f t="shared" si="14"/>
        <v>926</v>
      </c>
      <c r="B927" t="s">
        <v>13</v>
      </c>
      <c r="C927" t="s">
        <v>1037</v>
      </c>
      <c r="D927" t="s">
        <v>1601</v>
      </c>
      <c r="E927" t="s">
        <v>1602</v>
      </c>
      <c r="G927" t="s">
        <v>63</v>
      </c>
      <c r="H927" s="75" t="str">
        <f>IFERROR(VLOOKUP(Table2[[#This Row],[Ticket]],Okey!A:B,2,0),"")</f>
        <v>ok</v>
      </c>
      <c r="I927" t="s">
        <v>19</v>
      </c>
      <c r="J927" t="str">
        <f>VLOOKUP(Table2[[#This Row],[Author]],People!A:B,2,0)</f>
        <v>LS</v>
      </c>
      <c r="M927" t="s">
        <v>1040</v>
      </c>
    </row>
    <row r="928" spans="1:13" x14ac:dyDescent="0.25">
      <c r="A928" s="75">
        <f t="shared" si="14"/>
        <v>927</v>
      </c>
      <c r="B928" t="s">
        <v>13</v>
      </c>
      <c r="C928" t="s">
        <v>1037</v>
      </c>
      <c r="D928" t="s">
        <v>1603</v>
      </c>
      <c r="E928" t="s">
        <v>1604</v>
      </c>
      <c r="G928" t="s">
        <v>63</v>
      </c>
      <c r="H928" s="75" t="str">
        <f>IFERROR(VLOOKUP(Table2[[#This Row],[Ticket]],Okey!A:B,2,0),"")</f>
        <v>ok</v>
      </c>
      <c r="I928" t="s">
        <v>19</v>
      </c>
      <c r="J928" t="str">
        <f>VLOOKUP(Table2[[#This Row],[Author]],People!A:B,2,0)</f>
        <v>LS</v>
      </c>
      <c r="M928" t="s">
        <v>1040</v>
      </c>
    </row>
    <row r="929" spans="1:13" x14ac:dyDescent="0.25">
      <c r="A929" s="75">
        <f t="shared" si="14"/>
        <v>928</v>
      </c>
      <c r="B929" t="s">
        <v>13</v>
      </c>
      <c r="C929" t="s">
        <v>1037</v>
      </c>
      <c r="D929" t="s">
        <v>1605</v>
      </c>
      <c r="E929" t="s">
        <v>1606</v>
      </c>
      <c r="G929" t="s">
        <v>63</v>
      </c>
      <c r="H929" s="75" t="str">
        <f>IFERROR(VLOOKUP(Table2[[#This Row],[Ticket]],Okey!A:B,2,0),"")</f>
        <v>ok</v>
      </c>
      <c r="I929" t="s">
        <v>19</v>
      </c>
      <c r="J929" t="str">
        <f>VLOOKUP(Table2[[#This Row],[Author]],People!A:B,2,0)</f>
        <v>LS</v>
      </c>
      <c r="M929" t="s">
        <v>1040</v>
      </c>
    </row>
    <row r="930" spans="1:13" x14ac:dyDescent="0.25">
      <c r="A930" s="75">
        <f t="shared" si="14"/>
        <v>929</v>
      </c>
      <c r="B930" t="s">
        <v>13</v>
      </c>
      <c r="C930" t="s">
        <v>1037</v>
      </c>
      <c r="D930" t="s">
        <v>1607</v>
      </c>
      <c r="E930" t="s">
        <v>1608</v>
      </c>
      <c r="G930" t="s">
        <v>63</v>
      </c>
      <c r="H930" s="75" t="str">
        <f>IFERROR(VLOOKUP(Table2[[#This Row],[Ticket]],Okey!A:B,2,0),"")</f>
        <v>ok</v>
      </c>
      <c r="I930" t="s">
        <v>19</v>
      </c>
      <c r="J930" t="str">
        <f>VLOOKUP(Table2[[#This Row],[Author]],People!A:B,2,0)</f>
        <v>LS</v>
      </c>
      <c r="M930" t="s">
        <v>1040</v>
      </c>
    </row>
    <row r="931" spans="1:13" x14ac:dyDescent="0.25">
      <c r="A931" s="75">
        <f t="shared" si="14"/>
        <v>930</v>
      </c>
      <c r="B931" t="s">
        <v>13</v>
      </c>
      <c r="C931" t="s">
        <v>1037</v>
      </c>
      <c r="D931" t="s">
        <v>1609</v>
      </c>
      <c r="E931" t="s">
        <v>1610</v>
      </c>
      <c r="G931" t="s">
        <v>63</v>
      </c>
      <c r="H931" s="75" t="str">
        <f>IFERROR(VLOOKUP(Table2[[#This Row],[Ticket]],Okey!A:B,2,0),"")</f>
        <v>ok</v>
      </c>
      <c r="I931" t="s">
        <v>19</v>
      </c>
      <c r="J931" t="str">
        <f>VLOOKUP(Table2[[#This Row],[Author]],People!A:B,2,0)</f>
        <v>LS</v>
      </c>
      <c r="M931" t="s">
        <v>1040</v>
      </c>
    </row>
    <row r="932" spans="1:13" x14ac:dyDescent="0.25">
      <c r="A932" s="75">
        <f t="shared" si="14"/>
        <v>931</v>
      </c>
      <c r="B932" t="s">
        <v>13</v>
      </c>
      <c r="C932" t="s">
        <v>1037</v>
      </c>
      <c r="D932" t="s">
        <v>1611</v>
      </c>
      <c r="E932" t="s">
        <v>1612</v>
      </c>
      <c r="G932" t="s">
        <v>63</v>
      </c>
      <c r="H932" s="75" t="str">
        <f>IFERROR(VLOOKUP(Table2[[#This Row],[Ticket]],Okey!A:B,2,0),"")</f>
        <v>ok</v>
      </c>
      <c r="I932" t="s">
        <v>19</v>
      </c>
      <c r="J932" t="str">
        <f>VLOOKUP(Table2[[#This Row],[Author]],People!A:B,2,0)</f>
        <v>LS</v>
      </c>
      <c r="M932" t="s">
        <v>1040</v>
      </c>
    </row>
    <row r="933" spans="1:13" x14ac:dyDescent="0.25">
      <c r="A933" s="75">
        <f t="shared" si="14"/>
        <v>932</v>
      </c>
      <c r="B933" t="s">
        <v>13</v>
      </c>
      <c r="C933" t="s">
        <v>1037</v>
      </c>
      <c r="D933" t="s">
        <v>1613</v>
      </c>
      <c r="E933" t="s">
        <v>1614</v>
      </c>
      <c r="G933" t="s">
        <v>63</v>
      </c>
      <c r="H933" s="75" t="str">
        <f>IFERROR(VLOOKUP(Table2[[#This Row],[Ticket]],Okey!A:B,2,0),"")</f>
        <v>ok</v>
      </c>
      <c r="I933" t="s">
        <v>19</v>
      </c>
      <c r="J933" t="str">
        <f>VLOOKUP(Table2[[#This Row],[Author]],People!A:B,2,0)</f>
        <v>LS</v>
      </c>
      <c r="M933" t="s">
        <v>1040</v>
      </c>
    </row>
    <row r="934" spans="1:13" x14ac:dyDescent="0.25">
      <c r="A934" s="75">
        <f t="shared" si="14"/>
        <v>933</v>
      </c>
      <c r="B934" t="s">
        <v>13</v>
      </c>
      <c r="C934" t="s">
        <v>1037</v>
      </c>
      <c r="D934" t="s">
        <v>1615</v>
      </c>
      <c r="E934" t="s">
        <v>1616</v>
      </c>
      <c r="G934" t="s">
        <v>63</v>
      </c>
      <c r="H934" s="75" t="str">
        <f>IFERROR(VLOOKUP(Table2[[#This Row],[Ticket]],Okey!A:B,2,0),"")</f>
        <v>ok</v>
      </c>
      <c r="I934" t="s">
        <v>19</v>
      </c>
      <c r="J934" t="str">
        <f>VLOOKUP(Table2[[#This Row],[Author]],People!A:B,2,0)</f>
        <v>LS</v>
      </c>
      <c r="M934" t="s">
        <v>1040</v>
      </c>
    </row>
    <row r="935" spans="1:13" x14ac:dyDescent="0.25">
      <c r="A935" s="75">
        <f t="shared" si="14"/>
        <v>934</v>
      </c>
      <c r="B935" t="s">
        <v>13</v>
      </c>
      <c r="C935" t="s">
        <v>1037</v>
      </c>
      <c r="D935" t="s">
        <v>1617</v>
      </c>
      <c r="E935" t="s">
        <v>1618</v>
      </c>
      <c r="G935" t="s">
        <v>63</v>
      </c>
      <c r="H935" s="75" t="str">
        <f>IFERROR(VLOOKUP(Table2[[#This Row],[Ticket]],Okey!A:B,2,0),"")</f>
        <v>ok</v>
      </c>
      <c r="I935" t="s">
        <v>19</v>
      </c>
      <c r="J935" t="str">
        <f>VLOOKUP(Table2[[#This Row],[Author]],People!A:B,2,0)</f>
        <v>LS</v>
      </c>
      <c r="M935" t="s">
        <v>1040</v>
      </c>
    </row>
    <row r="936" spans="1:13" x14ac:dyDescent="0.25">
      <c r="A936" s="75">
        <f t="shared" si="14"/>
        <v>935</v>
      </c>
      <c r="B936" t="s">
        <v>13</v>
      </c>
      <c r="C936" t="s">
        <v>1037</v>
      </c>
      <c r="D936" t="s">
        <v>1619</v>
      </c>
      <c r="E936" t="s">
        <v>1620</v>
      </c>
      <c r="G936" t="s">
        <v>63</v>
      </c>
      <c r="H936" s="75" t="str">
        <f>IFERROR(VLOOKUP(Table2[[#This Row],[Ticket]],Okey!A:B,2,0),"")</f>
        <v>ok</v>
      </c>
      <c r="I936" t="s">
        <v>19</v>
      </c>
      <c r="J936" t="str">
        <f>VLOOKUP(Table2[[#This Row],[Author]],People!A:B,2,0)</f>
        <v>LS</v>
      </c>
      <c r="M936" t="s">
        <v>1040</v>
      </c>
    </row>
    <row r="937" spans="1:13" x14ac:dyDescent="0.25">
      <c r="A937" s="75">
        <f t="shared" si="14"/>
        <v>936</v>
      </c>
      <c r="B937" t="s">
        <v>13</v>
      </c>
      <c r="C937" t="s">
        <v>1037</v>
      </c>
      <c r="D937" t="s">
        <v>1621</v>
      </c>
      <c r="E937" t="s">
        <v>1622</v>
      </c>
      <c r="G937" t="s">
        <v>63</v>
      </c>
      <c r="H937" s="75" t="str">
        <f>IFERROR(VLOOKUP(Table2[[#This Row],[Ticket]],Okey!A:B,2,0),"")</f>
        <v>ok</v>
      </c>
      <c r="I937" t="s">
        <v>19</v>
      </c>
      <c r="J937" t="str">
        <f>VLOOKUP(Table2[[#This Row],[Author]],People!A:B,2,0)</f>
        <v>LS</v>
      </c>
      <c r="M937" t="s">
        <v>1040</v>
      </c>
    </row>
    <row r="938" spans="1:13" x14ac:dyDescent="0.25">
      <c r="A938" s="75">
        <f t="shared" si="14"/>
        <v>937</v>
      </c>
      <c r="B938" t="s">
        <v>13</v>
      </c>
      <c r="C938" t="s">
        <v>1037</v>
      </c>
      <c r="D938" t="s">
        <v>1623</v>
      </c>
      <c r="E938" t="s">
        <v>1624</v>
      </c>
      <c r="G938" t="s">
        <v>63</v>
      </c>
      <c r="H938" s="75" t="str">
        <f>IFERROR(VLOOKUP(Table2[[#This Row],[Ticket]],Okey!A:B,2,0),"")</f>
        <v>ok</v>
      </c>
      <c r="I938" t="s">
        <v>19</v>
      </c>
      <c r="J938" t="str">
        <f>VLOOKUP(Table2[[#This Row],[Author]],People!A:B,2,0)</f>
        <v>LS</v>
      </c>
      <c r="M938" t="s">
        <v>1040</v>
      </c>
    </row>
    <row r="939" spans="1:13" x14ac:dyDescent="0.25">
      <c r="A939" s="75">
        <f t="shared" si="14"/>
        <v>938</v>
      </c>
      <c r="B939" t="s">
        <v>13</v>
      </c>
      <c r="C939" t="s">
        <v>1037</v>
      </c>
      <c r="D939" t="s">
        <v>1625</v>
      </c>
      <c r="E939" t="s">
        <v>1626</v>
      </c>
      <c r="G939" t="s">
        <v>63</v>
      </c>
      <c r="H939" s="75" t="str">
        <f>IFERROR(VLOOKUP(Table2[[#This Row],[Ticket]],Okey!A:B,2,0),"")</f>
        <v>ok</v>
      </c>
      <c r="I939" t="s">
        <v>19</v>
      </c>
      <c r="J939" t="str">
        <f>VLOOKUP(Table2[[#This Row],[Author]],People!A:B,2,0)</f>
        <v>LS</v>
      </c>
      <c r="M939" t="s">
        <v>1040</v>
      </c>
    </row>
    <row r="940" spans="1:13" x14ac:dyDescent="0.25">
      <c r="A940" s="75">
        <f t="shared" si="14"/>
        <v>939</v>
      </c>
      <c r="B940" t="s">
        <v>13</v>
      </c>
      <c r="C940" t="s">
        <v>1037</v>
      </c>
      <c r="D940" t="s">
        <v>1627</v>
      </c>
      <c r="E940" t="s">
        <v>1628</v>
      </c>
      <c r="G940" t="s">
        <v>63</v>
      </c>
      <c r="H940" s="75" t="str">
        <f>IFERROR(VLOOKUP(Table2[[#This Row],[Ticket]],Okey!A:B,2,0),"")</f>
        <v>ok</v>
      </c>
      <c r="I940" t="s">
        <v>19</v>
      </c>
      <c r="J940" t="str">
        <f>VLOOKUP(Table2[[#This Row],[Author]],People!A:B,2,0)</f>
        <v>LS</v>
      </c>
      <c r="M940" t="s">
        <v>1040</v>
      </c>
    </row>
    <row r="941" spans="1:13" x14ac:dyDescent="0.25">
      <c r="A941" s="75">
        <f t="shared" si="14"/>
        <v>940</v>
      </c>
      <c r="B941" t="s">
        <v>13</v>
      </c>
      <c r="C941" t="s">
        <v>1037</v>
      </c>
      <c r="D941" t="s">
        <v>1629</v>
      </c>
      <c r="E941" t="s">
        <v>1630</v>
      </c>
      <c r="G941" t="s">
        <v>63</v>
      </c>
      <c r="H941" s="75" t="str">
        <f>IFERROR(VLOOKUP(Table2[[#This Row],[Ticket]],Okey!A:B,2,0),"")</f>
        <v>ok</v>
      </c>
      <c r="I941" t="s">
        <v>19</v>
      </c>
      <c r="J941" t="str">
        <f>VLOOKUP(Table2[[#This Row],[Author]],People!A:B,2,0)</f>
        <v>LS</v>
      </c>
      <c r="M941" t="s">
        <v>1040</v>
      </c>
    </row>
    <row r="942" spans="1:13" x14ac:dyDescent="0.25">
      <c r="A942" s="75">
        <f t="shared" si="14"/>
        <v>941</v>
      </c>
      <c r="B942" t="s">
        <v>13</v>
      </c>
      <c r="C942" t="s">
        <v>1037</v>
      </c>
      <c r="D942" t="s">
        <v>1631</v>
      </c>
      <c r="E942" t="s">
        <v>1632</v>
      </c>
      <c r="G942" t="s">
        <v>63</v>
      </c>
      <c r="H942" s="75" t="str">
        <f>IFERROR(VLOOKUP(Table2[[#This Row],[Ticket]],Okey!A:B,2,0),"")</f>
        <v>ok</v>
      </c>
      <c r="I942" t="s">
        <v>19</v>
      </c>
      <c r="J942" t="str">
        <f>VLOOKUP(Table2[[#This Row],[Author]],People!A:B,2,0)</f>
        <v>LS</v>
      </c>
      <c r="M942" t="s">
        <v>1040</v>
      </c>
    </row>
    <row r="943" spans="1:13" x14ac:dyDescent="0.25">
      <c r="A943" s="75">
        <f t="shared" si="14"/>
        <v>942</v>
      </c>
      <c r="B943" t="s">
        <v>13</v>
      </c>
      <c r="C943" t="s">
        <v>1037</v>
      </c>
      <c r="D943" t="s">
        <v>1633</v>
      </c>
      <c r="E943" t="s">
        <v>1634</v>
      </c>
      <c r="G943" t="s">
        <v>63</v>
      </c>
      <c r="H943" s="75" t="str">
        <f>IFERROR(VLOOKUP(Table2[[#This Row],[Ticket]],Okey!A:B,2,0),"")</f>
        <v>ok</v>
      </c>
      <c r="I943" t="s">
        <v>19</v>
      </c>
      <c r="J943" t="str">
        <f>VLOOKUP(Table2[[#This Row],[Author]],People!A:B,2,0)</f>
        <v>LS</v>
      </c>
      <c r="M943" t="s">
        <v>1040</v>
      </c>
    </row>
    <row r="944" spans="1:13" x14ac:dyDescent="0.25">
      <c r="A944" s="75">
        <f t="shared" si="14"/>
        <v>943</v>
      </c>
      <c r="B944" t="s">
        <v>13</v>
      </c>
      <c r="C944" t="s">
        <v>1037</v>
      </c>
      <c r="D944" t="s">
        <v>1635</v>
      </c>
      <c r="E944" t="s">
        <v>1636</v>
      </c>
      <c r="G944" t="s">
        <v>63</v>
      </c>
      <c r="H944" s="75" t="str">
        <f>IFERROR(VLOOKUP(Table2[[#This Row],[Ticket]],Okey!A:B,2,0),"")</f>
        <v>ok</v>
      </c>
      <c r="I944" t="s">
        <v>19</v>
      </c>
      <c r="J944" t="str">
        <f>VLOOKUP(Table2[[#This Row],[Author]],People!A:B,2,0)</f>
        <v>LS</v>
      </c>
      <c r="M944" t="s">
        <v>1040</v>
      </c>
    </row>
    <row r="945" spans="1:13" x14ac:dyDescent="0.25">
      <c r="A945" s="75">
        <f t="shared" si="14"/>
        <v>944</v>
      </c>
      <c r="B945" t="s">
        <v>13</v>
      </c>
      <c r="C945" t="s">
        <v>1037</v>
      </c>
      <c r="D945" t="s">
        <v>1637</v>
      </c>
      <c r="E945" t="s">
        <v>1638</v>
      </c>
      <c r="G945" t="s">
        <v>63</v>
      </c>
      <c r="H945" s="75" t="str">
        <f>IFERROR(VLOOKUP(Table2[[#This Row],[Ticket]],Okey!A:B,2,0),"")</f>
        <v>ok</v>
      </c>
      <c r="I945" t="s">
        <v>19</v>
      </c>
      <c r="J945" t="str">
        <f>VLOOKUP(Table2[[#This Row],[Author]],People!A:B,2,0)</f>
        <v>LS</v>
      </c>
      <c r="M945" t="s">
        <v>1040</v>
      </c>
    </row>
    <row r="946" spans="1:13" x14ac:dyDescent="0.25">
      <c r="A946" s="75">
        <f t="shared" si="14"/>
        <v>945</v>
      </c>
      <c r="B946" t="s">
        <v>13</v>
      </c>
      <c r="C946" t="s">
        <v>1037</v>
      </c>
      <c r="D946" t="s">
        <v>1639</v>
      </c>
      <c r="E946" t="s">
        <v>1640</v>
      </c>
      <c r="G946" t="s">
        <v>63</v>
      </c>
      <c r="H946" s="75" t="str">
        <f>IFERROR(VLOOKUP(Table2[[#This Row],[Ticket]],Okey!A:B,2,0),"")</f>
        <v>ok</v>
      </c>
      <c r="I946" t="s">
        <v>19</v>
      </c>
      <c r="J946" t="str">
        <f>VLOOKUP(Table2[[#This Row],[Author]],People!A:B,2,0)</f>
        <v>LS</v>
      </c>
      <c r="M946" t="s">
        <v>1040</v>
      </c>
    </row>
    <row r="947" spans="1:13" x14ac:dyDescent="0.25">
      <c r="A947" s="75">
        <f t="shared" si="14"/>
        <v>946</v>
      </c>
      <c r="B947" t="s">
        <v>13</v>
      </c>
      <c r="C947" t="s">
        <v>1037</v>
      </c>
      <c r="D947" t="s">
        <v>1641</v>
      </c>
      <c r="E947" t="s">
        <v>1642</v>
      </c>
      <c r="G947" t="s">
        <v>63</v>
      </c>
      <c r="H947" s="75" t="str">
        <f>IFERROR(VLOOKUP(Table2[[#This Row],[Ticket]],Okey!A:B,2,0),"")</f>
        <v>ok</v>
      </c>
      <c r="I947" t="s">
        <v>19</v>
      </c>
      <c r="J947" t="str">
        <f>VLOOKUP(Table2[[#This Row],[Author]],People!A:B,2,0)</f>
        <v>LS</v>
      </c>
      <c r="M947" t="s">
        <v>1040</v>
      </c>
    </row>
    <row r="948" spans="1:13" x14ac:dyDescent="0.25">
      <c r="A948" s="75">
        <f t="shared" si="14"/>
        <v>947</v>
      </c>
      <c r="B948" t="s">
        <v>13</v>
      </c>
      <c r="C948" t="s">
        <v>1037</v>
      </c>
      <c r="D948" t="s">
        <v>1643</v>
      </c>
      <c r="E948" t="s">
        <v>1644</v>
      </c>
      <c r="G948" t="s">
        <v>63</v>
      </c>
      <c r="H948" s="75" t="str">
        <f>IFERROR(VLOOKUP(Table2[[#This Row],[Ticket]],Okey!A:B,2,0),"")</f>
        <v>ok</v>
      </c>
      <c r="I948" t="s">
        <v>19</v>
      </c>
      <c r="J948" t="str">
        <f>VLOOKUP(Table2[[#This Row],[Author]],People!A:B,2,0)</f>
        <v>LS</v>
      </c>
      <c r="M948" t="s">
        <v>1040</v>
      </c>
    </row>
    <row r="949" spans="1:13" x14ac:dyDescent="0.25">
      <c r="A949" s="75">
        <f t="shared" si="14"/>
        <v>948</v>
      </c>
      <c r="B949" t="s">
        <v>13</v>
      </c>
      <c r="C949" t="s">
        <v>1037</v>
      </c>
      <c r="D949" t="s">
        <v>1645</v>
      </c>
      <c r="E949" t="s">
        <v>1646</v>
      </c>
      <c r="G949" t="s">
        <v>63</v>
      </c>
      <c r="H949" s="75" t="str">
        <f>IFERROR(VLOOKUP(Table2[[#This Row],[Ticket]],Okey!A:B,2,0),"")</f>
        <v>ok</v>
      </c>
      <c r="I949" t="s">
        <v>19</v>
      </c>
      <c r="J949" t="str">
        <f>VLOOKUP(Table2[[#This Row],[Author]],People!A:B,2,0)</f>
        <v>LS</v>
      </c>
      <c r="M949" t="s">
        <v>1040</v>
      </c>
    </row>
    <row r="950" spans="1:13" x14ac:dyDescent="0.25">
      <c r="A950" s="75">
        <f t="shared" si="14"/>
        <v>949</v>
      </c>
      <c r="B950" t="s">
        <v>13</v>
      </c>
      <c r="C950" t="s">
        <v>1037</v>
      </c>
      <c r="D950" t="s">
        <v>1048</v>
      </c>
      <c r="E950" t="s">
        <v>1647</v>
      </c>
      <c r="G950" t="s">
        <v>63</v>
      </c>
      <c r="H950" s="75" t="str">
        <f>IFERROR(VLOOKUP(Table2[[#This Row],[Ticket]],Okey!A:B,2,0),"")</f>
        <v>ok</v>
      </c>
      <c r="I950" t="s">
        <v>19</v>
      </c>
      <c r="J950" t="str">
        <f>VLOOKUP(Table2[[#This Row],[Author]],People!A:B,2,0)</f>
        <v>LS</v>
      </c>
      <c r="M950" t="s">
        <v>1040</v>
      </c>
    </row>
    <row r="951" spans="1:13" x14ac:dyDescent="0.25">
      <c r="A951" s="75">
        <f t="shared" si="14"/>
        <v>950</v>
      </c>
      <c r="B951" t="s">
        <v>13</v>
      </c>
      <c r="C951" t="s">
        <v>1037</v>
      </c>
      <c r="D951" t="s">
        <v>1648</v>
      </c>
      <c r="E951" t="s">
        <v>1649</v>
      </c>
      <c r="G951" t="s">
        <v>63</v>
      </c>
      <c r="H951" s="75" t="str">
        <f>IFERROR(VLOOKUP(Table2[[#This Row],[Ticket]],Okey!A:B,2,0),"")</f>
        <v>ok</v>
      </c>
      <c r="I951" t="s">
        <v>19</v>
      </c>
      <c r="J951" t="str">
        <f>VLOOKUP(Table2[[#This Row],[Author]],People!A:B,2,0)</f>
        <v>LS</v>
      </c>
      <c r="M951" t="s">
        <v>1040</v>
      </c>
    </row>
    <row r="952" spans="1:13" x14ac:dyDescent="0.25">
      <c r="A952" s="75">
        <f t="shared" si="14"/>
        <v>951</v>
      </c>
      <c r="B952" t="s">
        <v>13</v>
      </c>
      <c r="C952" t="s">
        <v>1037</v>
      </c>
      <c r="D952" t="s">
        <v>1650</v>
      </c>
      <c r="E952" t="s">
        <v>1651</v>
      </c>
      <c r="G952" t="s">
        <v>63</v>
      </c>
      <c r="H952" s="75" t="str">
        <f>IFERROR(VLOOKUP(Table2[[#This Row],[Ticket]],Okey!A:B,2,0),"")</f>
        <v>ok</v>
      </c>
      <c r="I952" t="s">
        <v>19</v>
      </c>
      <c r="J952" t="str">
        <f>VLOOKUP(Table2[[#This Row],[Author]],People!A:B,2,0)</f>
        <v>LS</v>
      </c>
      <c r="M952" t="s">
        <v>1040</v>
      </c>
    </row>
    <row r="953" spans="1:13" x14ac:dyDescent="0.25">
      <c r="A953" s="75">
        <f t="shared" si="14"/>
        <v>952</v>
      </c>
      <c r="B953" t="s">
        <v>13</v>
      </c>
      <c r="C953" t="s">
        <v>1037</v>
      </c>
      <c r="D953" t="s">
        <v>1652</v>
      </c>
      <c r="E953" t="s">
        <v>1653</v>
      </c>
      <c r="G953" t="s">
        <v>63</v>
      </c>
      <c r="H953" s="75" t="str">
        <f>IFERROR(VLOOKUP(Table2[[#This Row],[Ticket]],Okey!A:B,2,0),"")</f>
        <v>ok</v>
      </c>
      <c r="I953" t="s">
        <v>19</v>
      </c>
      <c r="J953" t="str">
        <f>VLOOKUP(Table2[[#This Row],[Author]],People!A:B,2,0)</f>
        <v>LS</v>
      </c>
      <c r="M953" t="s">
        <v>1040</v>
      </c>
    </row>
    <row r="954" spans="1:13" x14ac:dyDescent="0.25">
      <c r="A954" s="75">
        <f t="shared" si="14"/>
        <v>953</v>
      </c>
      <c r="B954" t="s">
        <v>13</v>
      </c>
      <c r="C954" t="s">
        <v>1037</v>
      </c>
      <c r="D954" t="s">
        <v>1654</v>
      </c>
      <c r="E954" t="s">
        <v>1655</v>
      </c>
      <c r="G954" t="s">
        <v>63</v>
      </c>
      <c r="H954" s="75" t="str">
        <f>IFERROR(VLOOKUP(Table2[[#This Row],[Ticket]],Okey!A:B,2,0),"")</f>
        <v>ok</v>
      </c>
      <c r="I954" t="s">
        <v>19</v>
      </c>
      <c r="J954" t="str">
        <f>VLOOKUP(Table2[[#This Row],[Author]],People!A:B,2,0)</f>
        <v>LS</v>
      </c>
      <c r="M954" t="s">
        <v>1040</v>
      </c>
    </row>
    <row r="955" spans="1:13" x14ac:dyDescent="0.25">
      <c r="A955" s="75">
        <f t="shared" si="14"/>
        <v>954</v>
      </c>
      <c r="B955" t="s">
        <v>13</v>
      </c>
      <c r="C955" t="s">
        <v>1037</v>
      </c>
      <c r="D955" t="s">
        <v>1111</v>
      </c>
      <c r="E955" t="s">
        <v>1656</v>
      </c>
      <c r="G955" t="s">
        <v>63</v>
      </c>
      <c r="H955" s="75" t="str">
        <f>IFERROR(VLOOKUP(Table2[[#This Row],[Ticket]],Okey!A:B,2,0),"")</f>
        <v>ok</v>
      </c>
      <c r="I955" t="s">
        <v>19</v>
      </c>
      <c r="J955" t="str">
        <f>VLOOKUP(Table2[[#This Row],[Author]],People!A:B,2,0)</f>
        <v>LS</v>
      </c>
      <c r="M955" t="s">
        <v>1040</v>
      </c>
    </row>
    <row r="956" spans="1:13" x14ac:dyDescent="0.25">
      <c r="A956" s="75">
        <f t="shared" si="14"/>
        <v>955</v>
      </c>
      <c r="B956" t="s">
        <v>13</v>
      </c>
      <c r="C956" t="s">
        <v>1037</v>
      </c>
      <c r="D956" t="s">
        <v>1107</v>
      </c>
      <c r="E956" t="s">
        <v>1657</v>
      </c>
      <c r="G956" t="s">
        <v>63</v>
      </c>
      <c r="H956" s="75" t="str">
        <f>IFERROR(VLOOKUP(Table2[[#This Row],[Ticket]],Okey!A:B,2,0),"")</f>
        <v>ok</v>
      </c>
      <c r="I956" t="s">
        <v>19</v>
      </c>
      <c r="J956" t="str">
        <f>VLOOKUP(Table2[[#This Row],[Author]],People!A:B,2,0)</f>
        <v>LS</v>
      </c>
      <c r="M956" t="s">
        <v>1040</v>
      </c>
    </row>
    <row r="957" spans="1:13" x14ac:dyDescent="0.25">
      <c r="A957" s="75">
        <f t="shared" si="14"/>
        <v>956</v>
      </c>
      <c r="B957" t="s">
        <v>13</v>
      </c>
      <c r="C957" t="s">
        <v>1037</v>
      </c>
      <c r="D957" t="s">
        <v>1658</v>
      </c>
      <c r="E957" t="s">
        <v>1659</v>
      </c>
      <c r="G957" t="s">
        <v>63</v>
      </c>
      <c r="H957" s="75" t="str">
        <f>IFERROR(VLOOKUP(Table2[[#This Row],[Ticket]],Okey!A:B,2,0),"")</f>
        <v>ok</v>
      </c>
      <c r="I957" t="s">
        <v>19</v>
      </c>
      <c r="J957" t="str">
        <f>VLOOKUP(Table2[[#This Row],[Author]],People!A:B,2,0)</f>
        <v>LS</v>
      </c>
      <c r="M957" t="s">
        <v>1040</v>
      </c>
    </row>
    <row r="958" spans="1:13" x14ac:dyDescent="0.25">
      <c r="A958" s="75">
        <f t="shared" si="14"/>
        <v>957</v>
      </c>
      <c r="B958" t="s">
        <v>13</v>
      </c>
      <c r="C958" t="s">
        <v>1037</v>
      </c>
      <c r="D958" t="s">
        <v>1660</v>
      </c>
      <c r="E958" t="s">
        <v>1661</v>
      </c>
      <c r="G958" t="s">
        <v>63</v>
      </c>
      <c r="H958" s="75" t="str">
        <f>IFERROR(VLOOKUP(Table2[[#This Row],[Ticket]],Okey!A:B,2,0),"")</f>
        <v>ok</v>
      </c>
      <c r="I958" t="s">
        <v>19</v>
      </c>
      <c r="J958" t="str">
        <f>VLOOKUP(Table2[[#This Row],[Author]],People!A:B,2,0)</f>
        <v>LS</v>
      </c>
      <c r="M958" t="s">
        <v>1040</v>
      </c>
    </row>
    <row r="959" spans="1:13" x14ac:dyDescent="0.25">
      <c r="A959" s="75">
        <f t="shared" si="14"/>
        <v>958</v>
      </c>
      <c r="B959" t="s">
        <v>13</v>
      </c>
      <c r="C959" t="s">
        <v>1037</v>
      </c>
      <c r="D959" t="s">
        <v>1662</v>
      </c>
      <c r="E959" t="s">
        <v>1663</v>
      </c>
      <c r="G959" t="s">
        <v>63</v>
      </c>
      <c r="H959" s="75" t="str">
        <f>IFERROR(VLOOKUP(Table2[[#This Row],[Ticket]],Okey!A:B,2,0),"")</f>
        <v>ok</v>
      </c>
      <c r="I959" t="s">
        <v>19</v>
      </c>
      <c r="J959" t="str">
        <f>VLOOKUP(Table2[[#This Row],[Author]],People!A:B,2,0)</f>
        <v>LS</v>
      </c>
      <c r="M959" t="s">
        <v>1040</v>
      </c>
    </row>
    <row r="960" spans="1:13" x14ac:dyDescent="0.25">
      <c r="A960" s="75">
        <f t="shared" si="14"/>
        <v>959</v>
      </c>
      <c r="B960" t="s">
        <v>13</v>
      </c>
      <c r="C960" t="s">
        <v>1037</v>
      </c>
      <c r="D960" t="s">
        <v>1664</v>
      </c>
      <c r="E960" t="s">
        <v>1665</v>
      </c>
      <c r="G960" t="s">
        <v>63</v>
      </c>
      <c r="H960" s="75" t="str">
        <f>IFERROR(VLOOKUP(Table2[[#This Row],[Ticket]],Okey!A:B,2,0),"")</f>
        <v>ok</v>
      </c>
      <c r="I960" t="s">
        <v>19</v>
      </c>
      <c r="J960" t="str">
        <f>VLOOKUP(Table2[[#This Row],[Author]],People!A:B,2,0)</f>
        <v>LS</v>
      </c>
      <c r="M960" t="s">
        <v>1040</v>
      </c>
    </row>
    <row r="961" spans="1:13" x14ac:dyDescent="0.25">
      <c r="A961" s="75">
        <f t="shared" si="14"/>
        <v>960</v>
      </c>
      <c r="B961" t="s">
        <v>13</v>
      </c>
      <c r="C961" t="s">
        <v>1037</v>
      </c>
      <c r="D961" t="s">
        <v>1666</v>
      </c>
      <c r="E961" t="s">
        <v>1667</v>
      </c>
      <c r="G961" t="s">
        <v>63</v>
      </c>
      <c r="H961" s="75" t="str">
        <f>IFERROR(VLOOKUP(Table2[[#This Row],[Ticket]],Okey!A:B,2,0),"")</f>
        <v>ok</v>
      </c>
      <c r="I961" t="s">
        <v>19</v>
      </c>
      <c r="J961" t="str">
        <f>VLOOKUP(Table2[[#This Row],[Author]],People!A:B,2,0)</f>
        <v>LS</v>
      </c>
      <c r="M961" t="s">
        <v>1040</v>
      </c>
    </row>
    <row r="962" spans="1:13" x14ac:dyDescent="0.25">
      <c r="A962" s="75">
        <f t="shared" si="14"/>
        <v>961</v>
      </c>
      <c r="B962" t="s">
        <v>13</v>
      </c>
      <c r="C962" t="s">
        <v>1037</v>
      </c>
      <c r="D962" t="s">
        <v>1361</v>
      </c>
      <c r="E962" t="s">
        <v>1668</v>
      </c>
      <c r="G962" t="s">
        <v>63</v>
      </c>
      <c r="H962" s="75" t="str">
        <f>IFERROR(VLOOKUP(Table2[[#This Row],[Ticket]],Okey!A:B,2,0),"")</f>
        <v>ok</v>
      </c>
      <c r="I962" t="s">
        <v>19</v>
      </c>
      <c r="J962" t="str">
        <f>VLOOKUP(Table2[[#This Row],[Author]],People!A:B,2,0)</f>
        <v>LS</v>
      </c>
      <c r="M962" t="s">
        <v>1040</v>
      </c>
    </row>
    <row r="963" spans="1:13" x14ac:dyDescent="0.25">
      <c r="A963" s="75">
        <f t="shared" si="14"/>
        <v>962</v>
      </c>
      <c r="B963" t="s">
        <v>13</v>
      </c>
      <c r="C963" t="s">
        <v>1037</v>
      </c>
      <c r="D963" t="s">
        <v>1669</v>
      </c>
      <c r="E963" t="s">
        <v>1670</v>
      </c>
      <c r="G963" t="s">
        <v>63</v>
      </c>
      <c r="H963" s="75" t="str">
        <f>IFERROR(VLOOKUP(Table2[[#This Row],[Ticket]],Okey!A:B,2,0),"")</f>
        <v>ok</v>
      </c>
      <c r="I963" t="s">
        <v>19</v>
      </c>
      <c r="J963" t="str">
        <f>VLOOKUP(Table2[[#This Row],[Author]],People!A:B,2,0)</f>
        <v>LS</v>
      </c>
      <c r="M963" t="s">
        <v>1040</v>
      </c>
    </row>
    <row r="964" spans="1:13" x14ac:dyDescent="0.25">
      <c r="A964" s="75">
        <f t="shared" si="14"/>
        <v>963</v>
      </c>
      <c r="B964" t="s">
        <v>13</v>
      </c>
      <c r="C964" t="s">
        <v>1037</v>
      </c>
      <c r="D964" t="s">
        <v>1126</v>
      </c>
      <c r="E964" t="s">
        <v>1671</v>
      </c>
      <c r="G964" t="s">
        <v>63</v>
      </c>
      <c r="H964" s="75" t="str">
        <f>IFERROR(VLOOKUP(Table2[[#This Row],[Ticket]],Okey!A:B,2,0),"")</f>
        <v>ok</v>
      </c>
      <c r="I964" t="s">
        <v>19</v>
      </c>
      <c r="J964" t="str">
        <f>VLOOKUP(Table2[[#This Row],[Author]],People!A:B,2,0)</f>
        <v>LS</v>
      </c>
      <c r="M964" t="s">
        <v>1040</v>
      </c>
    </row>
    <row r="965" spans="1:13" x14ac:dyDescent="0.25">
      <c r="A965" s="75">
        <f t="shared" si="14"/>
        <v>964</v>
      </c>
      <c r="B965" t="s">
        <v>13</v>
      </c>
      <c r="C965" t="s">
        <v>1037</v>
      </c>
      <c r="D965" t="s">
        <v>1119</v>
      </c>
      <c r="E965" t="s">
        <v>1672</v>
      </c>
      <c r="G965" t="s">
        <v>63</v>
      </c>
      <c r="H965" s="75" t="str">
        <f>IFERROR(VLOOKUP(Table2[[#This Row],[Ticket]],Okey!A:B,2,0),"")</f>
        <v>ok</v>
      </c>
      <c r="I965" t="s">
        <v>19</v>
      </c>
      <c r="J965" t="str">
        <f>VLOOKUP(Table2[[#This Row],[Author]],People!A:B,2,0)</f>
        <v>LS</v>
      </c>
      <c r="M965" t="s">
        <v>1040</v>
      </c>
    </row>
    <row r="966" spans="1:13" x14ac:dyDescent="0.25">
      <c r="A966" s="75">
        <f t="shared" si="14"/>
        <v>965</v>
      </c>
      <c r="B966" t="s">
        <v>13</v>
      </c>
      <c r="C966" t="s">
        <v>1037</v>
      </c>
      <c r="D966" t="s">
        <v>1122</v>
      </c>
      <c r="E966" t="s">
        <v>1673</v>
      </c>
      <c r="G966" t="s">
        <v>63</v>
      </c>
      <c r="H966" s="75" t="str">
        <f>IFERROR(VLOOKUP(Table2[[#This Row],[Ticket]],Okey!A:B,2,0),"")</f>
        <v>ok</v>
      </c>
      <c r="I966" t="s">
        <v>19</v>
      </c>
      <c r="J966" t="str">
        <f>VLOOKUP(Table2[[#This Row],[Author]],People!A:B,2,0)</f>
        <v>LS</v>
      </c>
      <c r="M966" t="s">
        <v>1040</v>
      </c>
    </row>
    <row r="967" spans="1:13" x14ac:dyDescent="0.25">
      <c r="A967" s="75">
        <f t="shared" si="14"/>
        <v>966</v>
      </c>
      <c r="B967" t="s">
        <v>13</v>
      </c>
      <c r="C967" t="s">
        <v>1037</v>
      </c>
      <c r="D967" t="s">
        <v>1674</v>
      </c>
      <c r="E967" t="s">
        <v>1675</v>
      </c>
      <c r="G967" t="s">
        <v>63</v>
      </c>
      <c r="H967" s="75" t="str">
        <f>IFERROR(VLOOKUP(Table2[[#This Row],[Ticket]],Okey!A:B,2,0),"")</f>
        <v>ok</v>
      </c>
      <c r="I967" t="s">
        <v>19</v>
      </c>
      <c r="J967" t="str">
        <f>VLOOKUP(Table2[[#This Row],[Author]],People!A:B,2,0)</f>
        <v>LS</v>
      </c>
      <c r="M967" t="s">
        <v>1040</v>
      </c>
    </row>
    <row r="968" spans="1:13" x14ac:dyDescent="0.25">
      <c r="A968" s="75">
        <f t="shared" si="14"/>
        <v>967</v>
      </c>
      <c r="B968" t="s">
        <v>13</v>
      </c>
      <c r="C968" t="s">
        <v>1037</v>
      </c>
      <c r="D968" t="s">
        <v>1676</v>
      </c>
      <c r="E968" t="s">
        <v>1677</v>
      </c>
      <c r="G968" t="s">
        <v>63</v>
      </c>
      <c r="H968" s="75" t="str">
        <f>IFERROR(VLOOKUP(Table2[[#This Row],[Ticket]],Okey!A:B,2,0),"")</f>
        <v>ok</v>
      </c>
      <c r="I968" t="s">
        <v>19</v>
      </c>
      <c r="J968" t="str">
        <f>VLOOKUP(Table2[[#This Row],[Author]],People!A:B,2,0)</f>
        <v>LS</v>
      </c>
      <c r="M968" t="s">
        <v>1040</v>
      </c>
    </row>
    <row r="969" spans="1:13" x14ac:dyDescent="0.25">
      <c r="A969" s="75">
        <f t="shared" ref="A969:A1032" si="15">1+A968</f>
        <v>968</v>
      </c>
      <c r="B969" t="s">
        <v>13</v>
      </c>
      <c r="C969" t="s">
        <v>1037</v>
      </c>
      <c r="D969" t="s">
        <v>1678</v>
      </c>
      <c r="E969" t="s">
        <v>1679</v>
      </c>
      <c r="G969" t="s">
        <v>63</v>
      </c>
      <c r="H969" s="75" t="str">
        <f>IFERROR(VLOOKUP(Table2[[#This Row],[Ticket]],Okey!A:B,2,0),"")</f>
        <v>ok</v>
      </c>
      <c r="I969" t="s">
        <v>19</v>
      </c>
      <c r="J969" t="str">
        <f>VLOOKUP(Table2[[#This Row],[Author]],People!A:B,2,0)</f>
        <v>LS</v>
      </c>
      <c r="M969" t="s">
        <v>1040</v>
      </c>
    </row>
    <row r="970" spans="1:13" x14ac:dyDescent="0.25">
      <c r="A970" s="75">
        <f t="shared" si="15"/>
        <v>969</v>
      </c>
      <c r="B970" t="s">
        <v>13</v>
      </c>
      <c r="C970" t="s">
        <v>1037</v>
      </c>
      <c r="D970" t="s">
        <v>1130</v>
      </c>
      <c r="E970" t="s">
        <v>1680</v>
      </c>
      <c r="G970" t="s">
        <v>63</v>
      </c>
      <c r="H970" s="75" t="str">
        <f>IFERROR(VLOOKUP(Table2[[#This Row],[Ticket]],Okey!A:B,2,0),"")</f>
        <v>ok</v>
      </c>
      <c r="I970" t="s">
        <v>19</v>
      </c>
      <c r="J970" t="str">
        <f>VLOOKUP(Table2[[#This Row],[Author]],People!A:B,2,0)</f>
        <v>LS</v>
      </c>
      <c r="M970" t="s">
        <v>1040</v>
      </c>
    </row>
    <row r="971" spans="1:13" x14ac:dyDescent="0.25">
      <c r="A971" s="75">
        <f t="shared" si="15"/>
        <v>970</v>
      </c>
      <c r="B971" t="s">
        <v>13</v>
      </c>
      <c r="C971" t="s">
        <v>1037</v>
      </c>
      <c r="D971" t="s">
        <v>1365</v>
      </c>
      <c r="E971" t="s">
        <v>1681</v>
      </c>
      <c r="G971" t="s">
        <v>63</v>
      </c>
      <c r="H971" s="75" t="str">
        <f>IFERROR(VLOOKUP(Table2[[#This Row],[Ticket]],Okey!A:B,2,0),"")</f>
        <v>ok</v>
      </c>
      <c r="I971" t="s">
        <v>19</v>
      </c>
      <c r="J971" t="str">
        <f>VLOOKUP(Table2[[#This Row],[Author]],People!A:B,2,0)</f>
        <v>LS</v>
      </c>
      <c r="M971" t="s">
        <v>1040</v>
      </c>
    </row>
    <row r="972" spans="1:13" x14ac:dyDescent="0.25">
      <c r="A972" s="75">
        <f t="shared" si="15"/>
        <v>971</v>
      </c>
      <c r="B972" t="s">
        <v>13</v>
      </c>
      <c r="C972" t="s">
        <v>1037</v>
      </c>
      <c r="D972" t="s">
        <v>1682</v>
      </c>
      <c r="E972" t="s">
        <v>1683</v>
      </c>
      <c r="G972" t="s">
        <v>63</v>
      </c>
      <c r="H972" s="75" t="str">
        <f>IFERROR(VLOOKUP(Table2[[#This Row],[Ticket]],Okey!A:B,2,0),"")</f>
        <v>ok</v>
      </c>
      <c r="I972" t="s">
        <v>19</v>
      </c>
      <c r="J972" t="str">
        <f>VLOOKUP(Table2[[#This Row],[Author]],People!A:B,2,0)</f>
        <v>LS</v>
      </c>
      <c r="M972" t="s">
        <v>1040</v>
      </c>
    </row>
    <row r="973" spans="1:13" x14ac:dyDescent="0.25">
      <c r="A973" s="75">
        <f t="shared" si="15"/>
        <v>972</v>
      </c>
      <c r="B973" t="s">
        <v>13</v>
      </c>
      <c r="C973" t="s">
        <v>1037</v>
      </c>
      <c r="D973" t="s">
        <v>1134</v>
      </c>
      <c r="E973" t="s">
        <v>1684</v>
      </c>
      <c r="G973" t="s">
        <v>63</v>
      </c>
      <c r="H973" s="75" t="str">
        <f>IFERROR(VLOOKUP(Table2[[#This Row],[Ticket]],Okey!A:B,2,0),"")</f>
        <v>ok</v>
      </c>
      <c r="I973" t="s">
        <v>19</v>
      </c>
      <c r="J973" t="str">
        <f>VLOOKUP(Table2[[#This Row],[Author]],People!A:B,2,0)</f>
        <v>LS</v>
      </c>
      <c r="M973" t="s">
        <v>1040</v>
      </c>
    </row>
    <row r="974" spans="1:13" x14ac:dyDescent="0.25">
      <c r="A974" s="75">
        <f t="shared" si="15"/>
        <v>973</v>
      </c>
      <c r="B974" t="s">
        <v>13</v>
      </c>
      <c r="C974" t="s">
        <v>1037</v>
      </c>
      <c r="D974" t="s">
        <v>1370</v>
      </c>
      <c r="E974" t="s">
        <v>1685</v>
      </c>
      <c r="G974" t="s">
        <v>63</v>
      </c>
      <c r="H974" s="75" t="str">
        <f>IFERROR(VLOOKUP(Table2[[#This Row],[Ticket]],Okey!A:B,2,0),"")</f>
        <v>ok</v>
      </c>
      <c r="I974" t="s">
        <v>19</v>
      </c>
      <c r="J974" t="str">
        <f>VLOOKUP(Table2[[#This Row],[Author]],People!A:B,2,0)</f>
        <v>LS</v>
      </c>
      <c r="M974" t="s">
        <v>1040</v>
      </c>
    </row>
    <row r="975" spans="1:13" x14ac:dyDescent="0.25">
      <c r="A975" s="75">
        <f t="shared" si="15"/>
        <v>974</v>
      </c>
      <c r="B975" t="s">
        <v>13</v>
      </c>
      <c r="C975" t="s">
        <v>1037</v>
      </c>
      <c r="D975" t="s">
        <v>1686</v>
      </c>
      <c r="E975" t="s">
        <v>1687</v>
      </c>
      <c r="G975" t="s">
        <v>63</v>
      </c>
      <c r="H975" s="75" t="str">
        <f>IFERROR(VLOOKUP(Table2[[#This Row],[Ticket]],Okey!A:B,2,0),"")</f>
        <v>ok</v>
      </c>
      <c r="I975" t="s">
        <v>19</v>
      </c>
      <c r="J975" t="str">
        <f>VLOOKUP(Table2[[#This Row],[Author]],People!A:B,2,0)</f>
        <v>LS</v>
      </c>
      <c r="M975" t="s">
        <v>1040</v>
      </c>
    </row>
    <row r="976" spans="1:13" x14ac:dyDescent="0.25">
      <c r="A976" s="75">
        <f t="shared" si="15"/>
        <v>975</v>
      </c>
      <c r="B976" t="s">
        <v>13</v>
      </c>
      <c r="C976" t="s">
        <v>1037</v>
      </c>
      <c r="D976" t="s">
        <v>1154</v>
      </c>
      <c r="E976" t="s">
        <v>1688</v>
      </c>
      <c r="G976" t="s">
        <v>63</v>
      </c>
      <c r="H976" s="75" t="str">
        <f>IFERROR(VLOOKUP(Table2[[#This Row],[Ticket]],Okey!A:B,2,0),"")</f>
        <v>ok</v>
      </c>
      <c r="I976" t="s">
        <v>19</v>
      </c>
      <c r="J976" t="str">
        <f>VLOOKUP(Table2[[#This Row],[Author]],People!A:B,2,0)</f>
        <v>LS</v>
      </c>
      <c r="M976" t="s">
        <v>1040</v>
      </c>
    </row>
    <row r="977" spans="1:13" x14ac:dyDescent="0.25">
      <c r="A977" s="75">
        <f t="shared" si="15"/>
        <v>976</v>
      </c>
      <c r="B977" t="s">
        <v>13</v>
      </c>
      <c r="C977" t="s">
        <v>1037</v>
      </c>
      <c r="D977" t="s">
        <v>1147</v>
      </c>
      <c r="E977" t="s">
        <v>1689</v>
      </c>
      <c r="G977" t="s">
        <v>63</v>
      </c>
      <c r="H977" s="75" t="str">
        <f>IFERROR(VLOOKUP(Table2[[#This Row],[Ticket]],Okey!A:B,2,0),"")</f>
        <v>ok</v>
      </c>
      <c r="I977" t="s">
        <v>19</v>
      </c>
      <c r="J977" t="str">
        <f>VLOOKUP(Table2[[#This Row],[Author]],People!A:B,2,0)</f>
        <v>LS</v>
      </c>
      <c r="M977" t="s">
        <v>1040</v>
      </c>
    </row>
    <row r="978" spans="1:13" x14ac:dyDescent="0.25">
      <c r="A978" s="75">
        <f t="shared" si="15"/>
        <v>977</v>
      </c>
      <c r="B978" t="s">
        <v>13</v>
      </c>
      <c r="C978" t="s">
        <v>1037</v>
      </c>
      <c r="D978" t="s">
        <v>1142</v>
      </c>
      <c r="E978" t="s">
        <v>1690</v>
      </c>
      <c r="G978" t="s">
        <v>63</v>
      </c>
      <c r="H978" s="75" t="str">
        <f>IFERROR(VLOOKUP(Table2[[#This Row],[Ticket]],Okey!A:B,2,0),"")</f>
        <v>ok</v>
      </c>
      <c r="I978" t="s">
        <v>19</v>
      </c>
      <c r="J978" t="str">
        <f>VLOOKUP(Table2[[#This Row],[Author]],People!A:B,2,0)</f>
        <v>LS</v>
      </c>
      <c r="M978" t="s">
        <v>1040</v>
      </c>
    </row>
    <row r="979" spans="1:13" x14ac:dyDescent="0.25">
      <c r="A979" s="75">
        <f t="shared" si="15"/>
        <v>978</v>
      </c>
      <c r="B979" t="s">
        <v>13</v>
      </c>
      <c r="C979" t="s">
        <v>1037</v>
      </c>
      <c r="D979" t="s">
        <v>1113</v>
      </c>
      <c r="E979" t="s">
        <v>1691</v>
      </c>
      <c r="G979" t="s">
        <v>63</v>
      </c>
      <c r="H979" s="75" t="str">
        <f>IFERROR(VLOOKUP(Table2[[#This Row],[Ticket]],Okey!A:B,2,0),"")</f>
        <v>ok</v>
      </c>
      <c r="I979" t="s">
        <v>19</v>
      </c>
      <c r="J979" t="str">
        <f>VLOOKUP(Table2[[#This Row],[Author]],People!A:B,2,0)</f>
        <v>LS</v>
      </c>
      <c r="M979" t="s">
        <v>1040</v>
      </c>
    </row>
    <row r="980" spans="1:13" x14ac:dyDescent="0.25">
      <c r="A980" s="75">
        <f t="shared" si="15"/>
        <v>979</v>
      </c>
      <c r="B980" t="s">
        <v>13</v>
      </c>
      <c r="C980" t="s">
        <v>1037</v>
      </c>
      <c r="D980" t="s">
        <v>1262</v>
      </c>
      <c r="E980" t="s">
        <v>1692</v>
      </c>
      <c r="G980" t="s">
        <v>63</v>
      </c>
      <c r="H980" s="75" t="str">
        <f>IFERROR(VLOOKUP(Table2[[#This Row],[Ticket]],Okey!A:B,2,0),"")</f>
        <v>ok</v>
      </c>
      <c r="I980" t="s">
        <v>19</v>
      </c>
      <c r="J980" t="str">
        <f>VLOOKUP(Table2[[#This Row],[Author]],People!A:B,2,0)</f>
        <v>LS</v>
      </c>
      <c r="M980" t="s">
        <v>1040</v>
      </c>
    </row>
    <row r="981" spans="1:13" x14ac:dyDescent="0.25">
      <c r="A981" s="75">
        <f t="shared" si="15"/>
        <v>980</v>
      </c>
      <c r="B981" t="s">
        <v>13</v>
      </c>
      <c r="C981" t="s">
        <v>1037</v>
      </c>
      <c r="D981" t="s">
        <v>1255</v>
      </c>
      <c r="E981" t="s">
        <v>1693</v>
      </c>
      <c r="G981" t="s">
        <v>63</v>
      </c>
      <c r="H981" s="75" t="str">
        <f>IFERROR(VLOOKUP(Table2[[#This Row],[Ticket]],Okey!A:B,2,0),"")</f>
        <v>ok</v>
      </c>
      <c r="I981" t="s">
        <v>19</v>
      </c>
      <c r="J981" t="str">
        <f>VLOOKUP(Table2[[#This Row],[Author]],People!A:B,2,0)</f>
        <v>LS</v>
      </c>
      <c r="M981" t="s">
        <v>1040</v>
      </c>
    </row>
    <row r="982" spans="1:13" x14ac:dyDescent="0.25">
      <c r="A982" s="75">
        <f t="shared" si="15"/>
        <v>981</v>
      </c>
      <c r="B982" t="s">
        <v>13</v>
      </c>
      <c r="C982" t="s">
        <v>1037</v>
      </c>
      <c r="D982" t="s">
        <v>1694</v>
      </c>
      <c r="E982" t="s">
        <v>1695</v>
      </c>
      <c r="G982" t="s">
        <v>63</v>
      </c>
      <c r="H982" s="75" t="str">
        <f>IFERROR(VLOOKUP(Table2[[#This Row],[Ticket]],Okey!A:B,2,0),"")</f>
        <v>ok</v>
      </c>
      <c r="I982" t="s">
        <v>19</v>
      </c>
      <c r="J982" t="str">
        <f>VLOOKUP(Table2[[#This Row],[Author]],People!A:B,2,0)</f>
        <v>LS</v>
      </c>
      <c r="M982" t="s">
        <v>1040</v>
      </c>
    </row>
    <row r="983" spans="1:13" x14ac:dyDescent="0.25">
      <c r="A983" s="75">
        <f t="shared" si="15"/>
        <v>982</v>
      </c>
      <c r="B983" t="s">
        <v>13</v>
      </c>
      <c r="C983" t="s">
        <v>1037</v>
      </c>
      <c r="D983" t="s">
        <v>1696</v>
      </c>
      <c r="E983" t="s">
        <v>1697</v>
      </c>
      <c r="G983" t="s">
        <v>63</v>
      </c>
      <c r="H983" s="75" t="str">
        <f>IFERROR(VLOOKUP(Table2[[#This Row],[Ticket]],Okey!A:B,2,0),"")</f>
        <v>ok</v>
      </c>
      <c r="I983" t="s">
        <v>19</v>
      </c>
      <c r="J983" t="str">
        <f>VLOOKUP(Table2[[#This Row],[Author]],People!A:B,2,0)</f>
        <v>LS</v>
      </c>
      <c r="M983" t="s">
        <v>1040</v>
      </c>
    </row>
    <row r="984" spans="1:13" x14ac:dyDescent="0.25">
      <c r="A984" s="75">
        <f t="shared" si="15"/>
        <v>983</v>
      </c>
      <c r="B984" t="s">
        <v>13</v>
      </c>
      <c r="C984" t="s">
        <v>1037</v>
      </c>
      <c r="D984" t="s">
        <v>1698</v>
      </c>
      <c r="E984" t="s">
        <v>1699</v>
      </c>
      <c r="G984" t="s">
        <v>63</v>
      </c>
      <c r="H984" s="75" t="str">
        <f>IFERROR(VLOOKUP(Table2[[#This Row],[Ticket]],Okey!A:B,2,0),"")</f>
        <v>ok</v>
      </c>
      <c r="I984" t="s">
        <v>19</v>
      </c>
      <c r="J984" t="str">
        <f>VLOOKUP(Table2[[#This Row],[Author]],People!A:B,2,0)</f>
        <v>LS</v>
      </c>
      <c r="M984" t="s">
        <v>1040</v>
      </c>
    </row>
    <row r="985" spans="1:13" x14ac:dyDescent="0.25">
      <c r="A985" s="75">
        <f t="shared" si="15"/>
        <v>984</v>
      </c>
      <c r="B985" t="s">
        <v>13</v>
      </c>
      <c r="C985" t="s">
        <v>1037</v>
      </c>
      <c r="D985" t="s">
        <v>1700</v>
      </c>
      <c r="E985" t="s">
        <v>1701</v>
      </c>
      <c r="G985" t="s">
        <v>63</v>
      </c>
      <c r="H985" s="75" t="str">
        <f>IFERROR(VLOOKUP(Table2[[#This Row],[Ticket]],Okey!A:B,2,0),"")</f>
        <v>ok</v>
      </c>
      <c r="I985" t="s">
        <v>19</v>
      </c>
      <c r="J985" t="str">
        <f>VLOOKUP(Table2[[#This Row],[Author]],People!A:B,2,0)</f>
        <v>LS</v>
      </c>
      <c r="M985" t="s">
        <v>1040</v>
      </c>
    </row>
    <row r="986" spans="1:13" x14ac:dyDescent="0.25">
      <c r="A986" s="75">
        <f t="shared" si="15"/>
        <v>985</v>
      </c>
      <c r="B986" t="s">
        <v>13</v>
      </c>
      <c r="C986" t="s">
        <v>1037</v>
      </c>
      <c r="D986" t="s">
        <v>1702</v>
      </c>
      <c r="E986" t="s">
        <v>1703</v>
      </c>
      <c r="G986" t="s">
        <v>63</v>
      </c>
      <c r="H986" s="75" t="str">
        <f>IFERROR(VLOOKUP(Table2[[#This Row],[Ticket]],Okey!A:B,2,0),"")</f>
        <v>ok</v>
      </c>
      <c r="I986" t="s">
        <v>19</v>
      </c>
      <c r="J986" t="str">
        <f>VLOOKUP(Table2[[#This Row],[Author]],People!A:B,2,0)</f>
        <v>LS</v>
      </c>
      <c r="M986" t="s">
        <v>1040</v>
      </c>
    </row>
    <row r="987" spans="1:13" x14ac:dyDescent="0.25">
      <c r="A987" s="75">
        <f t="shared" si="15"/>
        <v>986</v>
      </c>
      <c r="B987" t="s">
        <v>13</v>
      </c>
      <c r="C987" t="s">
        <v>1037</v>
      </c>
      <c r="D987" t="s">
        <v>1059</v>
      </c>
      <c r="E987" t="s">
        <v>1704</v>
      </c>
      <c r="G987" t="s">
        <v>63</v>
      </c>
      <c r="H987" s="75" t="str">
        <f>IFERROR(VLOOKUP(Table2[[#This Row],[Ticket]],Okey!A:B,2,0),"")</f>
        <v>ok</v>
      </c>
      <c r="I987" t="s">
        <v>19</v>
      </c>
      <c r="J987" t="str">
        <f>VLOOKUP(Table2[[#This Row],[Author]],People!A:B,2,0)</f>
        <v>LS</v>
      </c>
      <c r="M987" t="s">
        <v>1040</v>
      </c>
    </row>
    <row r="988" spans="1:13" x14ac:dyDescent="0.25">
      <c r="A988" s="75">
        <f t="shared" si="15"/>
        <v>987</v>
      </c>
      <c r="B988" t="s">
        <v>13</v>
      </c>
      <c r="C988" t="s">
        <v>1037</v>
      </c>
      <c r="D988" t="s">
        <v>1705</v>
      </c>
      <c r="E988" t="s">
        <v>1706</v>
      </c>
      <c r="G988" t="s">
        <v>63</v>
      </c>
      <c r="H988" s="75" t="str">
        <f>IFERROR(VLOOKUP(Table2[[#This Row],[Ticket]],Okey!A:B,2,0),"")</f>
        <v>ok</v>
      </c>
      <c r="I988" t="s">
        <v>19</v>
      </c>
      <c r="J988" t="str">
        <f>VLOOKUP(Table2[[#This Row],[Author]],People!A:B,2,0)</f>
        <v>LS</v>
      </c>
      <c r="M988" t="s">
        <v>1040</v>
      </c>
    </row>
    <row r="989" spans="1:13" x14ac:dyDescent="0.25">
      <c r="A989" s="75">
        <f t="shared" si="15"/>
        <v>988</v>
      </c>
      <c r="B989" t="s">
        <v>13</v>
      </c>
      <c r="C989" t="s">
        <v>1037</v>
      </c>
      <c r="D989" t="s">
        <v>1707</v>
      </c>
      <c r="E989" t="s">
        <v>1708</v>
      </c>
      <c r="G989" t="s">
        <v>63</v>
      </c>
      <c r="H989" s="75" t="str">
        <f>IFERROR(VLOOKUP(Table2[[#This Row],[Ticket]],Okey!A:B,2,0),"")</f>
        <v>ok</v>
      </c>
      <c r="I989" t="s">
        <v>19</v>
      </c>
      <c r="J989" t="str">
        <f>VLOOKUP(Table2[[#This Row],[Author]],People!A:B,2,0)</f>
        <v>LS</v>
      </c>
      <c r="M989" t="s">
        <v>1040</v>
      </c>
    </row>
    <row r="990" spans="1:13" x14ac:dyDescent="0.25">
      <c r="A990" s="75">
        <f t="shared" si="15"/>
        <v>989</v>
      </c>
      <c r="B990" t="s">
        <v>13</v>
      </c>
      <c r="C990" t="s">
        <v>1037</v>
      </c>
      <c r="D990" t="s">
        <v>1709</v>
      </c>
      <c r="E990" t="s">
        <v>1710</v>
      </c>
      <c r="G990" t="s">
        <v>63</v>
      </c>
      <c r="H990" s="75" t="str">
        <f>IFERROR(VLOOKUP(Table2[[#This Row],[Ticket]],Okey!A:B,2,0),"")</f>
        <v>ok</v>
      </c>
      <c r="I990" t="s">
        <v>19</v>
      </c>
      <c r="J990" t="str">
        <f>VLOOKUP(Table2[[#This Row],[Author]],People!A:B,2,0)</f>
        <v>LS</v>
      </c>
      <c r="M990" t="s">
        <v>1040</v>
      </c>
    </row>
    <row r="991" spans="1:13" x14ac:dyDescent="0.25">
      <c r="A991" s="75">
        <f t="shared" si="15"/>
        <v>990</v>
      </c>
      <c r="B991" t="s">
        <v>13</v>
      </c>
      <c r="C991" t="s">
        <v>1037</v>
      </c>
      <c r="D991" t="s">
        <v>1711</v>
      </c>
      <c r="E991" t="s">
        <v>1712</v>
      </c>
      <c r="G991" t="s">
        <v>63</v>
      </c>
      <c r="H991" s="75" t="str">
        <f>IFERROR(VLOOKUP(Table2[[#This Row],[Ticket]],Okey!A:B,2,0),"")</f>
        <v>ok</v>
      </c>
      <c r="I991" t="s">
        <v>19</v>
      </c>
      <c r="J991" t="str">
        <f>VLOOKUP(Table2[[#This Row],[Author]],People!A:B,2,0)</f>
        <v>LS</v>
      </c>
      <c r="M991" t="s">
        <v>1040</v>
      </c>
    </row>
    <row r="992" spans="1:13" x14ac:dyDescent="0.25">
      <c r="A992" s="75">
        <f t="shared" si="15"/>
        <v>991</v>
      </c>
      <c r="B992" t="s">
        <v>13</v>
      </c>
      <c r="C992" t="s">
        <v>1037</v>
      </c>
      <c r="D992" t="s">
        <v>1287</v>
      </c>
      <c r="E992" t="s">
        <v>1713</v>
      </c>
      <c r="G992" t="s">
        <v>63</v>
      </c>
      <c r="H992" s="75" t="str">
        <f>IFERROR(VLOOKUP(Table2[[#This Row],[Ticket]],Okey!A:B,2,0),"")</f>
        <v>ok</v>
      </c>
      <c r="I992" t="s">
        <v>19</v>
      </c>
      <c r="J992" t="str">
        <f>VLOOKUP(Table2[[#This Row],[Author]],People!A:B,2,0)</f>
        <v>LS</v>
      </c>
      <c r="M992" t="s">
        <v>1040</v>
      </c>
    </row>
    <row r="993" spans="1:13" x14ac:dyDescent="0.25">
      <c r="A993" s="75">
        <f t="shared" si="15"/>
        <v>992</v>
      </c>
      <c r="B993" t="s">
        <v>13</v>
      </c>
      <c r="C993" t="s">
        <v>1037</v>
      </c>
      <c r="D993" t="s">
        <v>1294</v>
      </c>
      <c r="E993" t="s">
        <v>1714</v>
      </c>
      <c r="G993" t="s">
        <v>63</v>
      </c>
      <c r="H993" s="75" t="str">
        <f>IFERROR(VLOOKUP(Table2[[#This Row],[Ticket]],Okey!A:B,2,0),"")</f>
        <v>ok</v>
      </c>
      <c r="I993" t="s">
        <v>19</v>
      </c>
      <c r="J993" t="str">
        <f>VLOOKUP(Table2[[#This Row],[Author]],People!A:B,2,0)</f>
        <v>LS</v>
      </c>
      <c r="M993" t="s">
        <v>1040</v>
      </c>
    </row>
    <row r="994" spans="1:13" x14ac:dyDescent="0.25">
      <c r="A994" s="75">
        <f t="shared" si="15"/>
        <v>993</v>
      </c>
      <c r="B994" t="s">
        <v>13</v>
      </c>
      <c r="C994" t="s">
        <v>1037</v>
      </c>
      <c r="D994" t="s">
        <v>1286</v>
      </c>
      <c r="E994" t="s">
        <v>1715</v>
      </c>
      <c r="G994" t="s">
        <v>63</v>
      </c>
      <c r="H994" s="75" t="str">
        <f>IFERROR(VLOOKUP(Table2[[#This Row],[Ticket]],Okey!A:B,2,0),"")</f>
        <v>ok</v>
      </c>
      <c r="I994" t="s">
        <v>19</v>
      </c>
      <c r="J994" t="str">
        <f>VLOOKUP(Table2[[#This Row],[Author]],People!A:B,2,0)</f>
        <v>LS</v>
      </c>
      <c r="M994" t="s">
        <v>1040</v>
      </c>
    </row>
    <row r="995" spans="1:13" x14ac:dyDescent="0.25">
      <c r="A995" s="75">
        <f t="shared" si="15"/>
        <v>994</v>
      </c>
      <c r="B995" t="s">
        <v>13</v>
      </c>
      <c r="C995" t="s">
        <v>1037</v>
      </c>
      <c r="D995" t="s">
        <v>1716</v>
      </c>
      <c r="E995" t="s">
        <v>1717</v>
      </c>
      <c r="F995" t="s">
        <v>1319</v>
      </c>
      <c r="G995" t="s">
        <v>496</v>
      </c>
      <c r="H995" s="75" t="str">
        <f>IFERROR(VLOOKUP(Table2[[#This Row],[Ticket]],Okey!A:B,2,0),"")</f>
        <v>ok</v>
      </c>
      <c r="I995" t="s">
        <v>19</v>
      </c>
      <c r="J995" t="str">
        <f>VLOOKUP(Table2[[#This Row],[Author]],People!A:B,2,0)</f>
        <v>LS</v>
      </c>
      <c r="M995" t="s">
        <v>1040</v>
      </c>
    </row>
    <row r="996" spans="1:13" x14ac:dyDescent="0.25">
      <c r="A996" s="75">
        <f t="shared" si="15"/>
        <v>995</v>
      </c>
      <c r="B996" t="s">
        <v>13</v>
      </c>
      <c r="C996" t="s">
        <v>1037</v>
      </c>
      <c r="D996" t="s">
        <v>1718</v>
      </c>
      <c r="E996" t="s">
        <v>1719</v>
      </c>
      <c r="F996" t="s">
        <v>1319</v>
      </c>
      <c r="G996" t="s">
        <v>496</v>
      </c>
      <c r="H996" s="75" t="str">
        <f>IFERROR(VLOOKUP(Table2[[#This Row],[Ticket]],Okey!A:B,2,0),"")</f>
        <v>ok</v>
      </c>
      <c r="I996" t="s">
        <v>19</v>
      </c>
      <c r="J996" t="str">
        <f>VLOOKUP(Table2[[#This Row],[Author]],People!A:B,2,0)</f>
        <v>LS</v>
      </c>
      <c r="M996" t="s">
        <v>1040</v>
      </c>
    </row>
    <row r="997" spans="1:13" x14ac:dyDescent="0.25">
      <c r="A997" s="75">
        <f t="shared" si="15"/>
        <v>996</v>
      </c>
      <c r="B997" t="s">
        <v>13</v>
      </c>
      <c r="C997" t="s">
        <v>1037</v>
      </c>
      <c r="D997" t="s">
        <v>1720</v>
      </c>
      <c r="E997" t="s">
        <v>1721</v>
      </c>
      <c r="F997" t="s">
        <v>1319</v>
      </c>
      <c r="G997" t="s">
        <v>496</v>
      </c>
      <c r="H997" s="75" t="str">
        <f>IFERROR(VLOOKUP(Table2[[#This Row],[Ticket]],Okey!A:B,2,0),"")</f>
        <v>ok</v>
      </c>
      <c r="I997" t="s">
        <v>19</v>
      </c>
      <c r="J997" t="str">
        <f>VLOOKUP(Table2[[#This Row],[Author]],People!A:B,2,0)</f>
        <v>LS</v>
      </c>
      <c r="M997" t="s">
        <v>1040</v>
      </c>
    </row>
    <row r="998" spans="1:13" x14ac:dyDescent="0.25">
      <c r="A998" s="75">
        <f t="shared" si="15"/>
        <v>997</v>
      </c>
      <c r="B998" t="s">
        <v>13</v>
      </c>
      <c r="C998" t="s">
        <v>1037</v>
      </c>
      <c r="D998" t="s">
        <v>1722</v>
      </c>
      <c r="E998" t="s">
        <v>1723</v>
      </c>
      <c r="F998" t="s">
        <v>1319</v>
      </c>
      <c r="G998" t="s">
        <v>496</v>
      </c>
      <c r="H998" s="75" t="str">
        <f>IFERROR(VLOOKUP(Table2[[#This Row],[Ticket]],Okey!A:B,2,0),"")</f>
        <v>ok</v>
      </c>
      <c r="I998" t="s">
        <v>19</v>
      </c>
      <c r="J998" t="str">
        <f>VLOOKUP(Table2[[#This Row],[Author]],People!A:B,2,0)</f>
        <v>LS</v>
      </c>
      <c r="M998" t="s">
        <v>1040</v>
      </c>
    </row>
    <row r="999" spans="1:13" x14ac:dyDescent="0.25">
      <c r="A999" s="75">
        <f t="shared" si="15"/>
        <v>998</v>
      </c>
      <c r="B999" t="s">
        <v>13</v>
      </c>
      <c r="C999" t="s">
        <v>1037</v>
      </c>
      <c r="D999" t="s">
        <v>1724</v>
      </c>
      <c r="E999" t="s">
        <v>1725</v>
      </c>
      <c r="F999" t="s">
        <v>1088</v>
      </c>
      <c r="G999" t="s">
        <v>496</v>
      </c>
      <c r="H999" s="75" t="str">
        <f>IFERROR(VLOOKUP(Table2[[#This Row],[Ticket]],Okey!A:B,2,0),"")</f>
        <v>ok</v>
      </c>
      <c r="I999" t="s">
        <v>19</v>
      </c>
      <c r="J999" t="str">
        <f>VLOOKUP(Table2[[#This Row],[Author]],People!A:B,2,0)</f>
        <v>LS</v>
      </c>
      <c r="M999" t="s">
        <v>1040</v>
      </c>
    </row>
    <row r="1000" spans="1:13" x14ac:dyDescent="0.25">
      <c r="A1000" s="75">
        <f t="shared" si="15"/>
        <v>999</v>
      </c>
      <c r="B1000" t="s">
        <v>13</v>
      </c>
      <c r="C1000" t="s">
        <v>1037</v>
      </c>
      <c r="D1000" t="s">
        <v>1726</v>
      </c>
      <c r="E1000" t="s">
        <v>1727</v>
      </c>
      <c r="F1000" t="s">
        <v>1111</v>
      </c>
      <c r="G1000" t="s">
        <v>496</v>
      </c>
      <c r="H1000" s="75" t="str">
        <f>IFERROR(VLOOKUP(Table2[[#This Row],[Ticket]],Okey!A:B,2,0),"")</f>
        <v>ok</v>
      </c>
      <c r="I1000" t="s">
        <v>19</v>
      </c>
      <c r="J1000" t="str">
        <f>VLOOKUP(Table2[[#This Row],[Author]],People!A:B,2,0)</f>
        <v>LS</v>
      </c>
      <c r="M1000" t="s">
        <v>1040</v>
      </c>
    </row>
    <row r="1001" spans="1:13" x14ac:dyDescent="0.25">
      <c r="A1001" s="75">
        <f t="shared" si="15"/>
        <v>1000</v>
      </c>
      <c r="B1001" t="s">
        <v>13</v>
      </c>
      <c r="C1001" t="s">
        <v>1037</v>
      </c>
      <c r="D1001" t="s">
        <v>1728</v>
      </c>
      <c r="E1001" t="s">
        <v>1729</v>
      </c>
      <c r="F1001" t="s">
        <v>1359</v>
      </c>
      <c r="G1001" t="s">
        <v>496</v>
      </c>
      <c r="H1001" s="75" t="str">
        <f>IFERROR(VLOOKUP(Table2[[#This Row],[Ticket]],Okey!A:B,2,0),"")</f>
        <v>ok</v>
      </c>
      <c r="I1001" t="s">
        <v>19</v>
      </c>
      <c r="J1001" t="str">
        <f>VLOOKUP(Table2[[#This Row],[Author]],People!A:B,2,0)</f>
        <v>LS</v>
      </c>
      <c r="M1001" t="s">
        <v>1040</v>
      </c>
    </row>
    <row r="1002" spans="1:13" x14ac:dyDescent="0.25">
      <c r="A1002" s="75">
        <f t="shared" si="15"/>
        <v>1001</v>
      </c>
      <c r="B1002" t="s">
        <v>13</v>
      </c>
      <c r="C1002" t="s">
        <v>1037</v>
      </c>
      <c r="D1002" t="s">
        <v>1730</v>
      </c>
      <c r="E1002" t="s">
        <v>1731</v>
      </c>
      <c r="F1002" t="s">
        <v>1359</v>
      </c>
      <c r="G1002" t="s">
        <v>496</v>
      </c>
      <c r="H1002" s="75" t="str">
        <f>IFERROR(VLOOKUP(Table2[[#This Row],[Ticket]],Okey!A:B,2,0),"")</f>
        <v>ok</v>
      </c>
      <c r="I1002" t="s">
        <v>19</v>
      </c>
      <c r="J1002" t="str">
        <f>VLOOKUP(Table2[[#This Row],[Author]],People!A:B,2,0)</f>
        <v>LS</v>
      </c>
      <c r="M1002" t="s">
        <v>1040</v>
      </c>
    </row>
    <row r="1003" spans="1:13" x14ac:dyDescent="0.25">
      <c r="A1003" s="75">
        <f t="shared" si="15"/>
        <v>1002</v>
      </c>
      <c r="B1003" t="s">
        <v>13</v>
      </c>
      <c r="C1003" t="s">
        <v>1037</v>
      </c>
      <c r="D1003" t="s">
        <v>1732</v>
      </c>
      <c r="E1003" t="s">
        <v>1733</v>
      </c>
      <c r="F1003" t="s">
        <v>1154</v>
      </c>
      <c r="G1003" t="s">
        <v>496</v>
      </c>
      <c r="H1003" s="75" t="str">
        <f>IFERROR(VLOOKUP(Table2[[#This Row],[Ticket]],Okey!A:B,2,0),"")</f>
        <v>ok</v>
      </c>
      <c r="I1003" t="s">
        <v>19</v>
      </c>
      <c r="J1003" t="str">
        <f>VLOOKUP(Table2[[#This Row],[Author]],People!A:B,2,0)</f>
        <v>LS</v>
      </c>
      <c r="M1003" t="s">
        <v>1040</v>
      </c>
    </row>
    <row r="1004" spans="1:13" x14ac:dyDescent="0.25">
      <c r="A1004" s="75">
        <f t="shared" si="15"/>
        <v>1003</v>
      </c>
      <c r="B1004" t="s">
        <v>13</v>
      </c>
      <c r="C1004" t="s">
        <v>1037</v>
      </c>
      <c r="D1004" t="s">
        <v>1734</v>
      </c>
      <c r="E1004" t="s">
        <v>1735</v>
      </c>
      <c r="F1004" t="s">
        <v>1363</v>
      </c>
      <c r="G1004" t="s">
        <v>496</v>
      </c>
      <c r="H1004" s="75" t="str">
        <f>IFERROR(VLOOKUP(Table2[[#This Row],[Ticket]],Okey!A:B,2,0),"")</f>
        <v>ok</v>
      </c>
      <c r="I1004" t="s">
        <v>19</v>
      </c>
      <c r="J1004" t="str">
        <f>VLOOKUP(Table2[[#This Row],[Author]],People!A:B,2,0)</f>
        <v>LS</v>
      </c>
      <c r="M1004" t="s">
        <v>1040</v>
      </c>
    </row>
    <row r="1005" spans="1:13" x14ac:dyDescent="0.25">
      <c r="A1005" s="75">
        <f t="shared" si="15"/>
        <v>1004</v>
      </c>
      <c r="B1005" t="s">
        <v>13</v>
      </c>
      <c r="C1005" t="s">
        <v>1037</v>
      </c>
      <c r="D1005" t="s">
        <v>1736</v>
      </c>
      <c r="E1005" t="s">
        <v>1737</v>
      </c>
      <c r="F1005" t="s">
        <v>1363</v>
      </c>
      <c r="G1005" t="s">
        <v>496</v>
      </c>
      <c r="H1005" s="75" t="str">
        <f>IFERROR(VLOOKUP(Table2[[#This Row],[Ticket]],Okey!A:B,2,0),"")</f>
        <v>ok</v>
      </c>
      <c r="I1005" t="s">
        <v>19</v>
      </c>
      <c r="J1005" t="str">
        <f>VLOOKUP(Table2[[#This Row],[Author]],People!A:B,2,0)</f>
        <v>LS</v>
      </c>
      <c r="M1005" t="s">
        <v>1040</v>
      </c>
    </row>
    <row r="1006" spans="1:13" x14ac:dyDescent="0.25">
      <c r="A1006" s="75">
        <f t="shared" si="15"/>
        <v>1005</v>
      </c>
      <c r="B1006" t="s">
        <v>13</v>
      </c>
      <c r="C1006" t="s">
        <v>1037</v>
      </c>
      <c r="D1006" t="s">
        <v>1738</v>
      </c>
      <c r="E1006" t="s">
        <v>1739</v>
      </c>
      <c r="F1006" t="s">
        <v>1367</v>
      </c>
      <c r="G1006" t="s">
        <v>496</v>
      </c>
      <c r="H1006" s="75" t="str">
        <f>IFERROR(VLOOKUP(Table2[[#This Row],[Ticket]],Okey!A:B,2,0),"")</f>
        <v>ok</v>
      </c>
      <c r="I1006" t="s">
        <v>19</v>
      </c>
      <c r="J1006" t="str">
        <f>VLOOKUP(Table2[[#This Row],[Author]],People!A:B,2,0)</f>
        <v>LS</v>
      </c>
      <c r="M1006" t="s">
        <v>1040</v>
      </c>
    </row>
    <row r="1007" spans="1:13" x14ac:dyDescent="0.25">
      <c r="A1007" s="75">
        <f t="shared" si="15"/>
        <v>1006</v>
      </c>
      <c r="B1007" t="s">
        <v>13</v>
      </c>
      <c r="C1007" t="s">
        <v>1037</v>
      </c>
      <c r="D1007" t="s">
        <v>1740</v>
      </c>
      <c r="E1007" t="s">
        <v>1741</v>
      </c>
      <c r="F1007" t="s">
        <v>1367</v>
      </c>
      <c r="G1007" t="s">
        <v>496</v>
      </c>
      <c r="H1007" s="75" t="str">
        <f>IFERROR(VLOOKUP(Table2[[#This Row],[Ticket]],Okey!A:B,2,0),"")</f>
        <v>ok</v>
      </c>
      <c r="I1007" t="s">
        <v>19</v>
      </c>
      <c r="J1007" t="str">
        <f>VLOOKUP(Table2[[#This Row],[Author]],People!A:B,2,0)</f>
        <v>LS</v>
      </c>
      <c r="M1007" t="s">
        <v>1040</v>
      </c>
    </row>
    <row r="1008" spans="1:13" x14ac:dyDescent="0.25">
      <c r="A1008" s="75">
        <f t="shared" si="15"/>
        <v>1007</v>
      </c>
      <c r="B1008" t="s">
        <v>13</v>
      </c>
      <c r="C1008" t="s">
        <v>1037</v>
      </c>
      <c r="D1008" t="s">
        <v>1742</v>
      </c>
      <c r="E1008" t="s">
        <v>1743</v>
      </c>
      <c r="F1008" t="s">
        <v>1340</v>
      </c>
      <c r="G1008" t="s">
        <v>496</v>
      </c>
      <c r="H1008" s="75" t="str">
        <f>IFERROR(VLOOKUP(Table2[[#This Row],[Ticket]],Okey!A:B,2,0),"")</f>
        <v>ok</v>
      </c>
      <c r="I1008" t="s">
        <v>19</v>
      </c>
      <c r="J1008" t="str">
        <f>VLOOKUP(Table2[[#This Row],[Author]],People!A:B,2,0)</f>
        <v>LS</v>
      </c>
      <c r="M1008" t="s">
        <v>1040</v>
      </c>
    </row>
    <row r="1009" spans="1:13" x14ac:dyDescent="0.25">
      <c r="A1009" s="75">
        <f t="shared" si="15"/>
        <v>1008</v>
      </c>
      <c r="B1009" t="s">
        <v>13</v>
      </c>
      <c r="C1009" t="s">
        <v>1037</v>
      </c>
      <c r="D1009" t="s">
        <v>1744</v>
      </c>
      <c r="E1009" t="s">
        <v>1745</v>
      </c>
      <c r="F1009" t="s">
        <v>1048</v>
      </c>
      <c r="G1009" t="s">
        <v>496</v>
      </c>
      <c r="H1009" s="75" t="str">
        <f>IFERROR(VLOOKUP(Table2[[#This Row],[Ticket]],Okey!A:B,2,0),"")</f>
        <v>ok</v>
      </c>
      <c r="I1009" t="s">
        <v>19</v>
      </c>
      <c r="J1009" t="str">
        <f>VLOOKUP(Table2[[#This Row],[Author]],People!A:B,2,0)</f>
        <v>LS</v>
      </c>
      <c r="M1009" t="s">
        <v>1040</v>
      </c>
    </row>
    <row r="1010" spans="1:13" x14ac:dyDescent="0.25">
      <c r="A1010" s="75">
        <f t="shared" si="15"/>
        <v>1009</v>
      </c>
      <c r="B1010" t="s">
        <v>13</v>
      </c>
      <c r="C1010" t="s">
        <v>1037</v>
      </c>
      <c r="D1010" t="s">
        <v>1746</v>
      </c>
      <c r="E1010" t="s">
        <v>1747</v>
      </c>
      <c r="F1010" t="s">
        <v>1048</v>
      </c>
      <c r="G1010" t="s">
        <v>496</v>
      </c>
      <c r="H1010" s="75" t="str">
        <f>IFERROR(VLOOKUP(Table2[[#This Row],[Ticket]],Okey!A:B,2,0),"")</f>
        <v>ok</v>
      </c>
      <c r="I1010" t="s">
        <v>19</v>
      </c>
      <c r="J1010" t="str">
        <f>VLOOKUP(Table2[[#This Row],[Author]],People!A:B,2,0)</f>
        <v>LS</v>
      </c>
      <c r="M1010" t="s">
        <v>1040</v>
      </c>
    </row>
    <row r="1011" spans="1:13" x14ac:dyDescent="0.25">
      <c r="A1011" s="75">
        <f t="shared" si="15"/>
        <v>1010</v>
      </c>
      <c r="B1011" t="s">
        <v>13</v>
      </c>
      <c r="C1011" t="s">
        <v>1748</v>
      </c>
      <c r="D1011" t="s">
        <v>1749</v>
      </c>
      <c r="E1011" t="s">
        <v>1750</v>
      </c>
      <c r="F1011" t="s">
        <v>1751</v>
      </c>
      <c r="G1011" t="s">
        <v>18</v>
      </c>
      <c r="H1011" s="75" t="str">
        <f>IFERROR(VLOOKUP(Table2[[#This Row],[Ticket]],Okey!A:B,2,0),"")</f>
        <v>ok</v>
      </c>
      <c r="I1011" t="s">
        <v>19</v>
      </c>
      <c r="J1011" t="str">
        <f>VLOOKUP(Table2[[#This Row],[Author]],People!A:B,2,0)</f>
        <v>EL</v>
      </c>
      <c r="M1011" t="s">
        <v>1752</v>
      </c>
    </row>
    <row r="1012" spans="1:13" x14ac:dyDescent="0.25">
      <c r="A1012" s="75">
        <f t="shared" si="15"/>
        <v>1011</v>
      </c>
      <c r="B1012" t="s">
        <v>13</v>
      </c>
      <c r="C1012" t="s">
        <v>1748</v>
      </c>
      <c r="D1012" t="s">
        <v>1753</v>
      </c>
      <c r="E1012" t="s">
        <v>1754</v>
      </c>
      <c r="F1012" t="s">
        <v>1749</v>
      </c>
      <c r="G1012" t="s">
        <v>18</v>
      </c>
      <c r="H1012" s="75" t="str">
        <f>IFERROR(VLOOKUP(Table2[[#This Row],[Ticket]],Okey!A:B,2,0),"")</f>
        <v>ok</v>
      </c>
      <c r="I1012" t="s">
        <v>19</v>
      </c>
      <c r="J1012" t="str">
        <f>VLOOKUP(Table2[[#This Row],[Author]],People!A:B,2,0)</f>
        <v>EL</v>
      </c>
      <c r="M1012" t="s">
        <v>1752</v>
      </c>
    </row>
    <row r="1013" spans="1:13" x14ac:dyDescent="0.25">
      <c r="A1013" s="75">
        <f t="shared" si="15"/>
        <v>1012</v>
      </c>
      <c r="B1013" t="s">
        <v>13</v>
      </c>
      <c r="C1013" t="s">
        <v>1748</v>
      </c>
      <c r="D1013" t="s">
        <v>1755</v>
      </c>
      <c r="E1013" t="s">
        <v>1756</v>
      </c>
      <c r="F1013" t="s">
        <v>1749</v>
      </c>
      <c r="G1013" t="s">
        <v>18</v>
      </c>
      <c r="H1013" s="75" t="str">
        <f>IFERROR(VLOOKUP(Table2[[#This Row],[Ticket]],Okey!A:B,2,0),"")</f>
        <v>ok</v>
      </c>
      <c r="I1013" t="s">
        <v>19</v>
      </c>
      <c r="J1013" t="str">
        <f>VLOOKUP(Table2[[#This Row],[Author]],People!A:B,2,0)</f>
        <v>EL</v>
      </c>
      <c r="M1013" t="s">
        <v>1752</v>
      </c>
    </row>
    <row r="1014" spans="1:13" x14ac:dyDescent="0.25">
      <c r="A1014" s="75">
        <f t="shared" si="15"/>
        <v>1013</v>
      </c>
      <c r="B1014" t="s">
        <v>13</v>
      </c>
      <c r="C1014" t="s">
        <v>1748</v>
      </c>
      <c r="D1014" t="s">
        <v>1757</v>
      </c>
      <c r="E1014" t="s">
        <v>1758</v>
      </c>
      <c r="F1014" t="s">
        <v>1749</v>
      </c>
      <c r="G1014" t="s">
        <v>18</v>
      </c>
      <c r="H1014" s="75" t="str">
        <f>IFERROR(VLOOKUP(Table2[[#This Row],[Ticket]],Okey!A:B,2,0),"")</f>
        <v>ok</v>
      </c>
      <c r="I1014" t="s">
        <v>19</v>
      </c>
      <c r="J1014" t="str">
        <f>VLOOKUP(Table2[[#This Row],[Author]],People!A:B,2,0)</f>
        <v>EL</v>
      </c>
      <c r="M1014" t="s">
        <v>1752</v>
      </c>
    </row>
    <row r="1015" spans="1:13" x14ac:dyDescent="0.25">
      <c r="A1015" s="75">
        <f t="shared" si="15"/>
        <v>1014</v>
      </c>
      <c r="B1015" t="s">
        <v>13</v>
      </c>
      <c r="C1015" t="s">
        <v>1748</v>
      </c>
      <c r="D1015" t="s">
        <v>1759</v>
      </c>
      <c r="E1015" t="s">
        <v>1760</v>
      </c>
      <c r="F1015" t="s">
        <v>1757</v>
      </c>
      <c r="G1015" t="s">
        <v>18</v>
      </c>
      <c r="H1015" s="75" t="str">
        <f>IFERROR(VLOOKUP(Table2[[#This Row],[Ticket]],Okey!A:B,2,0),"")</f>
        <v>ok</v>
      </c>
      <c r="I1015" t="s">
        <v>19</v>
      </c>
      <c r="J1015" t="str">
        <f>VLOOKUP(Table2[[#This Row],[Author]],People!A:B,2,0)</f>
        <v>EL</v>
      </c>
      <c r="M1015" t="s">
        <v>1752</v>
      </c>
    </row>
    <row r="1016" spans="1:13" x14ac:dyDescent="0.25">
      <c r="A1016" s="75">
        <f t="shared" si="15"/>
        <v>1015</v>
      </c>
      <c r="B1016" t="s">
        <v>13</v>
      </c>
      <c r="C1016" t="s">
        <v>1748</v>
      </c>
      <c r="D1016" t="s">
        <v>1761</v>
      </c>
      <c r="E1016" t="s">
        <v>1762</v>
      </c>
      <c r="F1016" t="s">
        <v>1757</v>
      </c>
      <c r="G1016" t="s">
        <v>18</v>
      </c>
      <c r="H1016" s="75" t="str">
        <f>IFERROR(VLOOKUP(Table2[[#This Row],[Ticket]],Okey!A:B,2,0),"")</f>
        <v>ok</v>
      </c>
      <c r="I1016" t="s">
        <v>19</v>
      </c>
      <c r="J1016" t="str">
        <f>VLOOKUP(Table2[[#This Row],[Author]],People!A:B,2,0)</f>
        <v>EL</v>
      </c>
      <c r="M1016" t="s">
        <v>1752</v>
      </c>
    </row>
    <row r="1017" spans="1:13" x14ac:dyDescent="0.25">
      <c r="A1017" s="75">
        <f t="shared" si="15"/>
        <v>1016</v>
      </c>
      <c r="B1017" t="s">
        <v>13</v>
      </c>
      <c r="C1017" t="s">
        <v>1748</v>
      </c>
      <c r="D1017" t="s">
        <v>1763</v>
      </c>
      <c r="E1017" t="s">
        <v>1764</v>
      </c>
      <c r="F1017" t="s">
        <v>1757</v>
      </c>
      <c r="G1017" t="s">
        <v>18</v>
      </c>
      <c r="H1017" s="75" t="str">
        <f>IFERROR(VLOOKUP(Table2[[#This Row],[Ticket]],Okey!A:B,2,0),"")</f>
        <v>ok</v>
      </c>
      <c r="I1017" t="s">
        <v>19</v>
      </c>
      <c r="J1017" t="str">
        <f>VLOOKUP(Table2[[#This Row],[Author]],People!A:B,2,0)</f>
        <v>EL</v>
      </c>
      <c r="M1017" t="s">
        <v>1752</v>
      </c>
    </row>
    <row r="1018" spans="1:13" x14ac:dyDescent="0.25">
      <c r="A1018" s="75">
        <f t="shared" si="15"/>
        <v>1017</v>
      </c>
      <c r="B1018" t="s">
        <v>13</v>
      </c>
      <c r="C1018" t="s">
        <v>1748</v>
      </c>
      <c r="D1018" t="s">
        <v>1765</v>
      </c>
      <c r="E1018" t="s">
        <v>1766</v>
      </c>
      <c r="F1018" t="s">
        <v>1757</v>
      </c>
      <c r="G1018" t="s">
        <v>18</v>
      </c>
      <c r="H1018" s="75" t="str">
        <f>IFERROR(VLOOKUP(Table2[[#This Row],[Ticket]],Okey!A:B,2,0),"")</f>
        <v>ok</v>
      </c>
      <c r="I1018" t="s">
        <v>19</v>
      </c>
      <c r="J1018" t="str">
        <f>VLOOKUP(Table2[[#This Row],[Author]],People!A:B,2,0)</f>
        <v>EL</v>
      </c>
      <c r="M1018" t="s">
        <v>1752</v>
      </c>
    </row>
    <row r="1019" spans="1:13" x14ac:dyDescent="0.25">
      <c r="A1019" s="75">
        <f t="shared" si="15"/>
        <v>1018</v>
      </c>
      <c r="B1019" t="s">
        <v>13</v>
      </c>
      <c r="C1019" t="s">
        <v>1748</v>
      </c>
      <c r="D1019" t="s">
        <v>1767</v>
      </c>
      <c r="E1019" t="s">
        <v>1768</v>
      </c>
      <c r="F1019" t="s">
        <v>1749</v>
      </c>
      <c r="G1019" t="s">
        <v>18</v>
      </c>
      <c r="H1019" s="75" t="str">
        <f>IFERROR(VLOOKUP(Table2[[#This Row],[Ticket]],Okey!A:B,2,0),"")</f>
        <v>ok</v>
      </c>
      <c r="I1019" t="s">
        <v>19</v>
      </c>
      <c r="J1019" t="str">
        <f>VLOOKUP(Table2[[#This Row],[Author]],People!A:B,2,0)</f>
        <v>EL</v>
      </c>
      <c r="M1019" t="s">
        <v>1752</v>
      </c>
    </row>
    <row r="1020" spans="1:13" x14ac:dyDescent="0.25">
      <c r="A1020" s="75">
        <f t="shared" si="15"/>
        <v>1019</v>
      </c>
      <c r="B1020" t="s">
        <v>13</v>
      </c>
      <c r="C1020" t="s">
        <v>1748</v>
      </c>
      <c r="D1020" t="s">
        <v>1769</v>
      </c>
      <c r="E1020" t="s">
        <v>1770</v>
      </c>
      <c r="F1020" t="s">
        <v>1751</v>
      </c>
      <c r="G1020" t="s">
        <v>18</v>
      </c>
      <c r="H1020" s="75" t="str">
        <f>IFERROR(VLOOKUP(Table2[[#This Row],[Ticket]],Okey!A:B,2,0),"")</f>
        <v>ok</v>
      </c>
      <c r="I1020" t="s">
        <v>19</v>
      </c>
      <c r="J1020" t="str">
        <f>VLOOKUP(Table2[[#This Row],[Author]],People!A:B,2,0)</f>
        <v>EL</v>
      </c>
      <c r="M1020" t="s">
        <v>1752</v>
      </c>
    </row>
    <row r="1021" spans="1:13" x14ac:dyDescent="0.25">
      <c r="A1021" s="75">
        <f t="shared" si="15"/>
        <v>1020</v>
      </c>
      <c r="B1021" t="s">
        <v>13</v>
      </c>
      <c r="C1021" t="s">
        <v>1748</v>
      </c>
      <c r="D1021" t="s">
        <v>1771</v>
      </c>
      <c r="E1021" t="s">
        <v>1772</v>
      </c>
      <c r="F1021" t="s">
        <v>1769</v>
      </c>
      <c r="G1021" t="s">
        <v>18</v>
      </c>
      <c r="H1021" s="75" t="str">
        <f>IFERROR(VLOOKUP(Table2[[#This Row],[Ticket]],Okey!A:B,2,0),"")</f>
        <v>ok</v>
      </c>
      <c r="I1021" t="s">
        <v>19</v>
      </c>
      <c r="J1021" t="str">
        <f>VLOOKUP(Table2[[#This Row],[Author]],People!A:B,2,0)</f>
        <v>EL</v>
      </c>
      <c r="M1021" t="s">
        <v>1752</v>
      </c>
    </row>
    <row r="1022" spans="1:13" x14ac:dyDescent="0.25">
      <c r="A1022" s="75">
        <f t="shared" si="15"/>
        <v>1021</v>
      </c>
      <c r="B1022" t="s">
        <v>13</v>
      </c>
      <c r="C1022" t="s">
        <v>1748</v>
      </c>
      <c r="D1022" t="s">
        <v>1773</v>
      </c>
      <c r="E1022" t="s">
        <v>1774</v>
      </c>
      <c r="F1022" t="s">
        <v>1769</v>
      </c>
      <c r="G1022" t="s">
        <v>18</v>
      </c>
      <c r="H1022" s="75" t="str">
        <f>IFERROR(VLOOKUP(Table2[[#This Row],[Ticket]],Okey!A:B,2,0),"")</f>
        <v>ok</v>
      </c>
      <c r="I1022" t="s">
        <v>19</v>
      </c>
      <c r="J1022" t="str">
        <f>VLOOKUP(Table2[[#This Row],[Author]],People!A:B,2,0)</f>
        <v>EL</v>
      </c>
      <c r="M1022" t="s">
        <v>1752</v>
      </c>
    </row>
    <row r="1023" spans="1:13" x14ac:dyDescent="0.25">
      <c r="A1023" s="75">
        <f t="shared" si="15"/>
        <v>1022</v>
      </c>
      <c r="B1023" t="s">
        <v>13</v>
      </c>
      <c r="C1023" t="s">
        <v>1748</v>
      </c>
      <c r="D1023" t="s">
        <v>1775</v>
      </c>
      <c r="E1023" t="s">
        <v>1776</v>
      </c>
      <c r="F1023" t="s">
        <v>1769</v>
      </c>
      <c r="G1023" t="s">
        <v>18</v>
      </c>
      <c r="H1023" s="75" t="str">
        <f>IFERROR(VLOOKUP(Table2[[#This Row],[Ticket]],Okey!A:B,2,0),"")</f>
        <v>ok</v>
      </c>
      <c r="I1023" t="s">
        <v>19</v>
      </c>
      <c r="J1023" t="str">
        <f>VLOOKUP(Table2[[#This Row],[Author]],People!A:B,2,0)</f>
        <v>EL</v>
      </c>
      <c r="M1023" t="s">
        <v>1752</v>
      </c>
    </row>
    <row r="1024" spans="1:13" x14ac:dyDescent="0.25">
      <c r="A1024" s="75">
        <f t="shared" si="15"/>
        <v>1023</v>
      </c>
      <c r="B1024" t="s">
        <v>13</v>
      </c>
      <c r="C1024" t="s">
        <v>1748</v>
      </c>
      <c r="D1024" t="s">
        <v>1777</v>
      </c>
      <c r="E1024" t="s">
        <v>1778</v>
      </c>
      <c r="F1024" t="s">
        <v>1775</v>
      </c>
      <c r="G1024" t="s">
        <v>18</v>
      </c>
      <c r="H1024" s="75" t="str">
        <f>IFERROR(VLOOKUP(Table2[[#This Row],[Ticket]],Okey!A:B,2,0),"")</f>
        <v>ok</v>
      </c>
      <c r="I1024" t="s">
        <v>19</v>
      </c>
      <c r="J1024" t="str">
        <f>VLOOKUP(Table2[[#This Row],[Author]],People!A:B,2,0)</f>
        <v>EL</v>
      </c>
      <c r="M1024" t="s">
        <v>1752</v>
      </c>
    </row>
    <row r="1025" spans="1:13" x14ac:dyDescent="0.25">
      <c r="A1025" s="75">
        <f t="shared" si="15"/>
        <v>1024</v>
      </c>
      <c r="B1025" t="s">
        <v>13</v>
      </c>
      <c r="C1025" t="s">
        <v>1748</v>
      </c>
      <c r="D1025" t="s">
        <v>1779</v>
      </c>
      <c r="E1025" t="s">
        <v>1780</v>
      </c>
      <c r="F1025" t="s">
        <v>1775</v>
      </c>
      <c r="G1025" t="s">
        <v>18</v>
      </c>
      <c r="H1025" s="75" t="str">
        <f>IFERROR(VLOOKUP(Table2[[#This Row],[Ticket]],Okey!A:B,2,0),"")</f>
        <v>ok</v>
      </c>
      <c r="I1025" t="s">
        <v>19</v>
      </c>
      <c r="J1025" t="str">
        <f>VLOOKUP(Table2[[#This Row],[Author]],People!A:B,2,0)</f>
        <v>EL</v>
      </c>
      <c r="M1025" t="s">
        <v>1752</v>
      </c>
    </row>
    <row r="1026" spans="1:13" x14ac:dyDescent="0.25">
      <c r="A1026" s="75">
        <f t="shared" si="15"/>
        <v>1025</v>
      </c>
      <c r="B1026" t="s">
        <v>13</v>
      </c>
      <c r="C1026" t="s">
        <v>1748</v>
      </c>
      <c r="D1026" t="s">
        <v>1781</v>
      </c>
      <c r="E1026" t="s">
        <v>1782</v>
      </c>
      <c r="F1026" t="s">
        <v>1775</v>
      </c>
      <c r="G1026" t="s">
        <v>18</v>
      </c>
      <c r="H1026" s="75" t="str">
        <f>IFERROR(VLOOKUP(Table2[[#This Row],[Ticket]],Okey!A:B,2,0),"")</f>
        <v>ok</v>
      </c>
      <c r="I1026" t="s">
        <v>19</v>
      </c>
      <c r="J1026" t="str">
        <f>VLOOKUP(Table2[[#This Row],[Author]],People!A:B,2,0)</f>
        <v>EL</v>
      </c>
      <c r="M1026" t="s">
        <v>1752</v>
      </c>
    </row>
    <row r="1027" spans="1:13" x14ac:dyDescent="0.25">
      <c r="A1027" s="75">
        <f t="shared" si="15"/>
        <v>1026</v>
      </c>
      <c r="B1027" t="s">
        <v>13</v>
      </c>
      <c r="C1027" t="s">
        <v>1748</v>
      </c>
      <c r="D1027" t="s">
        <v>1783</v>
      </c>
      <c r="E1027" t="s">
        <v>1784</v>
      </c>
      <c r="F1027" t="s">
        <v>1775</v>
      </c>
      <c r="G1027" t="s">
        <v>18</v>
      </c>
      <c r="H1027" s="75" t="str">
        <f>IFERROR(VLOOKUP(Table2[[#This Row],[Ticket]],Okey!A:B,2,0),"")</f>
        <v>ok</v>
      </c>
      <c r="I1027" t="s">
        <v>19</v>
      </c>
      <c r="J1027" t="str">
        <f>VLOOKUP(Table2[[#This Row],[Author]],People!A:B,2,0)</f>
        <v>EL</v>
      </c>
      <c r="M1027" t="s">
        <v>1752</v>
      </c>
    </row>
    <row r="1028" spans="1:13" x14ac:dyDescent="0.25">
      <c r="A1028" s="75">
        <f t="shared" si="15"/>
        <v>1027</v>
      </c>
      <c r="B1028" t="s">
        <v>13</v>
      </c>
      <c r="C1028" t="s">
        <v>1748</v>
      </c>
      <c r="D1028" t="s">
        <v>1785</v>
      </c>
      <c r="E1028" t="s">
        <v>1786</v>
      </c>
      <c r="F1028" t="s">
        <v>1769</v>
      </c>
      <c r="G1028" t="s">
        <v>18</v>
      </c>
      <c r="H1028" s="75" t="str">
        <f>IFERROR(VLOOKUP(Table2[[#This Row],[Ticket]],Okey!A:B,2,0),"")</f>
        <v>ok</v>
      </c>
      <c r="I1028" t="s">
        <v>19</v>
      </c>
      <c r="J1028" t="str">
        <f>VLOOKUP(Table2[[#This Row],[Author]],People!A:B,2,0)</f>
        <v>EL</v>
      </c>
      <c r="M1028" t="s">
        <v>1752</v>
      </c>
    </row>
    <row r="1029" spans="1:13" x14ac:dyDescent="0.25">
      <c r="A1029" s="75">
        <f t="shared" si="15"/>
        <v>1028</v>
      </c>
      <c r="B1029" t="s">
        <v>13</v>
      </c>
      <c r="C1029" t="s">
        <v>1748</v>
      </c>
      <c r="D1029" t="s">
        <v>1787</v>
      </c>
      <c r="E1029" t="s">
        <v>1788</v>
      </c>
      <c r="F1029" t="s">
        <v>1751</v>
      </c>
      <c r="G1029" t="s">
        <v>18</v>
      </c>
      <c r="H1029" s="75" t="str">
        <f>IFERROR(VLOOKUP(Table2[[#This Row],[Ticket]],Okey!A:B,2,0),"")</f>
        <v>ok</v>
      </c>
      <c r="I1029" t="s">
        <v>19</v>
      </c>
      <c r="J1029" t="str">
        <f>VLOOKUP(Table2[[#This Row],[Author]],People!A:B,2,0)</f>
        <v>EL</v>
      </c>
      <c r="M1029" t="s">
        <v>1752</v>
      </c>
    </row>
    <row r="1030" spans="1:13" x14ac:dyDescent="0.25">
      <c r="A1030" s="75">
        <f t="shared" si="15"/>
        <v>1029</v>
      </c>
      <c r="B1030" t="s">
        <v>13</v>
      </c>
      <c r="C1030" t="s">
        <v>1748</v>
      </c>
      <c r="D1030" t="s">
        <v>1789</v>
      </c>
      <c r="E1030" t="s">
        <v>1790</v>
      </c>
      <c r="F1030" t="s">
        <v>1787</v>
      </c>
      <c r="G1030" t="s">
        <v>18</v>
      </c>
      <c r="H1030" s="75" t="str">
        <f>IFERROR(VLOOKUP(Table2[[#This Row],[Ticket]],Okey!A:B,2,0),"")</f>
        <v>ok</v>
      </c>
      <c r="I1030" t="s">
        <v>19</v>
      </c>
      <c r="J1030" t="str">
        <f>VLOOKUP(Table2[[#This Row],[Author]],People!A:B,2,0)</f>
        <v>EL</v>
      </c>
      <c r="M1030" t="s">
        <v>1752</v>
      </c>
    </row>
    <row r="1031" spans="1:13" x14ac:dyDescent="0.25">
      <c r="A1031" s="75">
        <f t="shared" si="15"/>
        <v>1030</v>
      </c>
      <c r="B1031" t="s">
        <v>13</v>
      </c>
      <c r="C1031" t="s">
        <v>1748</v>
      </c>
      <c r="D1031" t="s">
        <v>1791</v>
      </c>
      <c r="E1031" t="s">
        <v>1792</v>
      </c>
      <c r="F1031" t="s">
        <v>1789</v>
      </c>
      <c r="G1031" t="s">
        <v>18</v>
      </c>
      <c r="H1031" s="75" t="str">
        <f>IFERROR(VLOOKUP(Table2[[#This Row],[Ticket]],Okey!A:B,2,0),"")</f>
        <v>ok</v>
      </c>
      <c r="I1031" t="s">
        <v>19</v>
      </c>
      <c r="J1031" t="str">
        <f>VLOOKUP(Table2[[#This Row],[Author]],People!A:B,2,0)</f>
        <v>EL</v>
      </c>
      <c r="M1031" t="s">
        <v>1752</v>
      </c>
    </row>
    <row r="1032" spans="1:13" x14ac:dyDescent="0.25">
      <c r="A1032" s="75">
        <f t="shared" si="15"/>
        <v>1031</v>
      </c>
      <c r="B1032" t="s">
        <v>13</v>
      </c>
      <c r="C1032" t="s">
        <v>1748</v>
      </c>
      <c r="D1032" t="s">
        <v>1793</v>
      </c>
      <c r="E1032" t="s">
        <v>1794</v>
      </c>
      <c r="F1032" t="s">
        <v>1789</v>
      </c>
      <c r="G1032" t="s">
        <v>18</v>
      </c>
      <c r="H1032" s="75" t="str">
        <f>IFERROR(VLOOKUP(Table2[[#This Row],[Ticket]],Okey!A:B,2,0),"")</f>
        <v>ok</v>
      </c>
      <c r="I1032" t="s">
        <v>19</v>
      </c>
      <c r="J1032" t="str">
        <f>VLOOKUP(Table2[[#This Row],[Author]],People!A:B,2,0)</f>
        <v>EL</v>
      </c>
      <c r="M1032" t="s">
        <v>1752</v>
      </c>
    </row>
    <row r="1033" spans="1:13" x14ac:dyDescent="0.25">
      <c r="A1033" s="75">
        <f t="shared" ref="A1033:A1096" si="16">1+A1032</f>
        <v>1032</v>
      </c>
      <c r="B1033" t="s">
        <v>13</v>
      </c>
      <c r="C1033" t="s">
        <v>1748</v>
      </c>
      <c r="D1033" t="s">
        <v>1795</v>
      </c>
      <c r="E1033" t="s">
        <v>1796</v>
      </c>
      <c r="F1033" t="s">
        <v>1789</v>
      </c>
      <c r="G1033" t="s">
        <v>18</v>
      </c>
      <c r="H1033" s="75" t="str">
        <f>IFERROR(VLOOKUP(Table2[[#This Row],[Ticket]],Okey!A:B,2,0),"")</f>
        <v>ok</v>
      </c>
      <c r="I1033" t="s">
        <v>19</v>
      </c>
      <c r="J1033" t="str">
        <f>VLOOKUP(Table2[[#This Row],[Author]],People!A:B,2,0)</f>
        <v>EL</v>
      </c>
      <c r="M1033" t="s">
        <v>1752</v>
      </c>
    </row>
    <row r="1034" spans="1:13" x14ac:dyDescent="0.25">
      <c r="A1034" s="75">
        <f t="shared" si="16"/>
        <v>1033</v>
      </c>
      <c r="B1034" t="s">
        <v>13</v>
      </c>
      <c r="C1034" t="s">
        <v>1748</v>
      </c>
      <c r="D1034" t="s">
        <v>1797</v>
      </c>
      <c r="E1034" t="s">
        <v>1798</v>
      </c>
      <c r="F1034" t="s">
        <v>1789</v>
      </c>
      <c r="G1034" t="s">
        <v>18</v>
      </c>
      <c r="H1034" s="75" t="str">
        <f>IFERROR(VLOOKUP(Table2[[#This Row],[Ticket]],Okey!A:B,2,0),"")</f>
        <v>ok</v>
      </c>
      <c r="I1034" t="s">
        <v>19</v>
      </c>
      <c r="J1034" t="str">
        <f>VLOOKUP(Table2[[#This Row],[Author]],People!A:B,2,0)</f>
        <v>EL</v>
      </c>
      <c r="M1034" t="s">
        <v>1752</v>
      </c>
    </row>
    <row r="1035" spans="1:13" x14ac:dyDescent="0.25">
      <c r="A1035" s="75">
        <f t="shared" si="16"/>
        <v>1034</v>
      </c>
      <c r="B1035" t="s">
        <v>13</v>
      </c>
      <c r="C1035" t="s">
        <v>1748</v>
      </c>
      <c r="D1035" t="s">
        <v>1799</v>
      </c>
      <c r="E1035" t="s">
        <v>1800</v>
      </c>
      <c r="F1035" t="s">
        <v>1789</v>
      </c>
      <c r="G1035" t="s">
        <v>18</v>
      </c>
      <c r="H1035" s="75" t="str">
        <f>IFERROR(VLOOKUP(Table2[[#This Row],[Ticket]],Okey!A:B,2,0),"")</f>
        <v>ok</v>
      </c>
      <c r="I1035" t="s">
        <v>19</v>
      </c>
      <c r="J1035" t="str">
        <f>VLOOKUP(Table2[[#This Row],[Author]],People!A:B,2,0)</f>
        <v>EL</v>
      </c>
      <c r="M1035" t="s">
        <v>1752</v>
      </c>
    </row>
    <row r="1036" spans="1:13" x14ac:dyDescent="0.25">
      <c r="A1036" s="75">
        <f t="shared" si="16"/>
        <v>1035</v>
      </c>
      <c r="B1036" t="s">
        <v>13</v>
      </c>
      <c r="C1036" t="s">
        <v>1748</v>
      </c>
      <c r="D1036" t="s">
        <v>1801</v>
      </c>
      <c r="E1036" t="s">
        <v>1802</v>
      </c>
      <c r="F1036" t="s">
        <v>1787</v>
      </c>
      <c r="G1036" t="s">
        <v>18</v>
      </c>
      <c r="H1036" s="75" t="str">
        <f>IFERROR(VLOOKUP(Table2[[#This Row],[Ticket]],Okey!A:B,2,0),"")</f>
        <v>ok</v>
      </c>
      <c r="I1036" t="s">
        <v>19</v>
      </c>
      <c r="J1036" t="str">
        <f>VLOOKUP(Table2[[#This Row],[Author]],People!A:B,2,0)</f>
        <v>EL</v>
      </c>
      <c r="M1036" t="s">
        <v>1752</v>
      </c>
    </row>
    <row r="1037" spans="1:13" x14ac:dyDescent="0.25">
      <c r="A1037" s="75">
        <f t="shared" si="16"/>
        <v>1036</v>
      </c>
      <c r="B1037" t="s">
        <v>13</v>
      </c>
      <c r="C1037" t="s">
        <v>1748</v>
      </c>
      <c r="D1037" t="s">
        <v>1803</v>
      </c>
      <c r="E1037" t="s">
        <v>1804</v>
      </c>
      <c r="F1037" t="s">
        <v>1787</v>
      </c>
      <c r="G1037" t="s">
        <v>18</v>
      </c>
      <c r="H1037" s="75" t="str">
        <f>IFERROR(VLOOKUP(Table2[[#This Row],[Ticket]],Okey!A:B,2,0),"")</f>
        <v>ok</v>
      </c>
      <c r="I1037" t="s">
        <v>19</v>
      </c>
      <c r="J1037" t="str">
        <f>VLOOKUP(Table2[[#This Row],[Author]],People!A:B,2,0)</f>
        <v>EL</v>
      </c>
      <c r="M1037" t="s">
        <v>1752</v>
      </c>
    </row>
    <row r="1038" spans="1:13" x14ac:dyDescent="0.25">
      <c r="A1038" s="75">
        <f t="shared" si="16"/>
        <v>1037</v>
      </c>
      <c r="B1038" t="s">
        <v>13</v>
      </c>
      <c r="C1038" t="s">
        <v>1748</v>
      </c>
      <c r="D1038" t="s">
        <v>1805</v>
      </c>
      <c r="E1038" t="s">
        <v>1806</v>
      </c>
      <c r="F1038" t="s">
        <v>1787</v>
      </c>
      <c r="G1038" t="s">
        <v>18</v>
      </c>
      <c r="H1038" s="75" t="str">
        <f>IFERROR(VLOOKUP(Table2[[#This Row],[Ticket]],Okey!A:B,2,0),"")</f>
        <v>ok</v>
      </c>
      <c r="I1038" t="s">
        <v>19</v>
      </c>
      <c r="J1038" t="str">
        <f>VLOOKUP(Table2[[#This Row],[Author]],People!A:B,2,0)</f>
        <v>EL</v>
      </c>
      <c r="M1038" t="s">
        <v>1752</v>
      </c>
    </row>
    <row r="1039" spans="1:13" x14ac:dyDescent="0.25">
      <c r="A1039" s="75">
        <f t="shared" si="16"/>
        <v>1038</v>
      </c>
      <c r="B1039" t="s">
        <v>13</v>
      </c>
      <c r="C1039" t="s">
        <v>1748</v>
      </c>
      <c r="D1039" t="s">
        <v>1807</v>
      </c>
      <c r="E1039" t="s">
        <v>1808</v>
      </c>
      <c r="F1039" t="s">
        <v>1787</v>
      </c>
      <c r="G1039" t="s">
        <v>18</v>
      </c>
      <c r="H1039" s="75" t="str">
        <f>IFERROR(VLOOKUP(Table2[[#This Row],[Ticket]],Okey!A:B,2,0),"")</f>
        <v>ok</v>
      </c>
      <c r="I1039" t="s">
        <v>19</v>
      </c>
      <c r="J1039" t="str">
        <f>VLOOKUP(Table2[[#This Row],[Author]],People!A:B,2,0)</f>
        <v>EL</v>
      </c>
      <c r="M1039" t="s">
        <v>1752</v>
      </c>
    </row>
    <row r="1040" spans="1:13" x14ac:dyDescent="0.25">
      <c r="A1040" s="75">
        <f t="shared" si="16"/>
        <v>1039</v>
      </c>
      <c r="B1040" t="s">
        <v>13</v>
      </c>
      <c r="C1040" t="s">
        <v>1748</v>
      </c>
      <c r="D1040" t="s">
        <v>1809</v>
      </c>
      <c r="E1040" t="s">
        <v>1810</v>
      </c>
      <c r="F1040" t="s">
        <v>1811</v>
      </c>
      <c r="G1040" t="s">
        <v>18</v>
      </c>
      <c r="H1040" s="75" t="str">
        <f>IFERROR(VLOOKUP(Table2[[#This Row],[Ticket]],Okey!A:B,2,0),"")</f>
        <v>ok</v>
      </c>
      <c r="I1040" t="s">
        <v>19</v>
      </c>
      <c r="J1040" t="str">
        <f>VLOOKUP(Table2[[#This Row],[Author]],People!A:B,2,0)</f>
        <v>EL</v>
      </c>
      <c r="M1040" t="s">
        <v>1752</v>
      </c>
    </row>
    <row r="1041" spans="1:13" x14ac:dyDescent="0.25">
      <c r="A1041" s="75">
        <f t="shared" si="16"/>
        <v>1040</v>
      </c>
      <c r="B1041" t="s">
        <v>13</v>
      </c>
      <c r="C1041" t="s">
        <v>1748</v>
      </c>
      <c r="D1041" t="s">
        <v>1812</v>
      </c>
      <c r="E1041" t="s">
        <v>1813</v>
      </c>
      <c r="F1041" t="s">
        <v>1811</v>
      </c>
      <c r="G1041" t="s">
        <v>18</v>
      </c>
      <c r="H1041" s="75" t="str">
        <f>IFERROR(VLOOKUP(Table2[[#This Row],[Ticket]],Okey!A:B,2,0),"")</f>
        <v>ok</v>
      </c>
      <c r="I1041" t="s">
        <v>19</v>
      </c>
      <c r="J1041" t="str">
        <f>VLOOKUP(Table2[[#This Row],[Author]],People!A:B,2,0)</f>
        <v>EL</v>
      </c>
      <c r="M1041" t="s">
        <v>1752</v>
      </c>
    </row>
    <row r="1042" spans="1:13" x14ac:dyDescent="0.25">
      <c r="A1042" s="75">
        <f t="shared" si="16"/>
        <v>1041</v>
      </c>
      <c r="B1042" t="s">
        <v>13</v>
      </c>
      <c r="C1042" t="s">
        <v>1748</v>
      </c>
      <c r="D1042" t="s">
        <v>1814</v>
      </c>
      <c r="E1042" t="s">
        <v>1815</v>
      </c>
      <c r="F1042" t="s">
        <v>1816</v>
      </c>
      <c r="G1042" t="s">
        <v>18</v>
      </c>
      <c r="H1042" s="75" t="str">
        <f>IFERROR(VLOOKUP(Table2[[#This Row],[Ticket]],Okey!A:B,2,0),"")</f>
        <v>ok</v>
      </c>
      <c r="I1042" t="s">
        <v>19</v>
      </c>
      <c r="J1042" t="str">
        <f>VLOOKUP(Table2[[#This Row],[Author]],People!A:B,2,0)</f>
        <v>EL</v>
      </c>
      <c r="M1042" t="s">
        <v>1752</v>
      </c>
    </row>
    <row r="1043" spans="1:13" x14ac:dyDescent="0.25">
      <c r="A1043" s="75">
        <f t="shared" si="16"/>
        <v>1042</v>
      </c>
      <c r="B1043" t="s">
        <v>13</v>
      </c>
      <c r="C1043" t="s">
        <v>1748</v>
      </c>
      <c r="D1043" t="s">
        <v>1817</v>
      </c>
      <c r="E1043" t="s">
        <v>1818</v>
      </c>
      <c r="F1043" t="s">
        <v>1819</v>
      </c>
      <c r="G1043" t="s">
        <v>18</v>
      </c>
      <c r="H1043" s="75" t="str">
        <f>IFERROR(VLOOKUP(Table2[[#This Row],[Ticket]],Okey!A:B,2,0),"")</f>
        <v>ok</v>
      </c>
      <c r="I1043" t="s">
        <v>19</v>
      </c>
      <c r="J1043" t="str">
        <f>VLOOKUP(Table2[[#This Row],[Author]],People!A:B,2,0)</f>
        <v>EL</v>
      </c>
      <c r="M1043" t="s">
        <v>1752</v>
      </c>
    </row>
    <row r="1044" spans="1:13" x14ac:dyDescent="0.25">
      <c r="A1044" s="75">
        <f t="shared" si="16"/>
        <v>1043</v>
      </c>
      <c r="B1044" t="s">
        <v>13</v>
      </c>
      <c r="C1044" t="s">
        <v>1748</v>
      </c>
      <c r="D1044" t="s">
        <v>1820</v>
      </c>
      <c r="E1044" t="s">
        <v>1821</v>
      </c>
      <c r="F1044" t="s">
        <v>1819</v>
      </c>
      <c r="G1044" t="s">
        <v>18</v>
      </c>
      <c r="H1044" s="75" t="str">
        <f>IFERROR(VLOOKUP(Table2[[#This Row],[Ticket]],Okey!A:B,2,0),"")</f>
        <v>ok</v>
      </c>
      <c r="I1044" t="s">
        <v>19</v>
      </c>
      <c r="J1044" t="str">
        <f>VLOOKUP(Table2[[#This Row],[Author]],People!A:B,2,0)</f>
        <v>EL</v>
      </c>
      <c r="M1044" t="s">
        <v>1752</v>
      </c>
    </row>
    <row r="1045" spans="1:13" x14ac:dyDescent="0.25">
      <c r="A1045" s="75">
        <f t="shared" si="16"/>
        <v>1044</v>
      </c>
      <c r="B1045" t="s">
        <v>13</v>
      </c>
      <c r="C1045" t="s">
        <v>1748</v>
      </c>
      <c r="D1045" t="s">
        <v>1822</v>
      </c>
      <c r="E1045" t="s">
        <v>1823</v>
      </c>
      <c r="G1045" t="s">
        <v>63</v>
      </c>
      <c r="H1045" s="75" t="str">
        <f>IFERROR(VLOOKUP(Table2[[#This Row],[Ticket]],Okey!A:B,2,0),"")</f>
        <v>ok</v>
      </c>
      <c r="I1045" t="s">
        <v>19</v>
      </c>
      <c r="J1045" t="str">
        <f>VLOOKUP(Table2[[#This Row],[Author]],People!A:B,2,0)</f>
        <v>EL</v>
      </c>
      <c r="M1045" t="s">
        <v>1752</v>
      </c>
    </row>
    <row r="1046" spans="1:13" x14ac:dyDescent="0.25">
      <c r="A1046" s="75">
        <f t="shared" si="16"/>
        <v>1045</v>
      </c>
      <c r="B1046" t="s">
        <v>13</v>
      </c>
      <c r="C1046" t="s">
        <v>1748</v>
      </c>
      <c r="D1046" t="s">
        <v>1824</v>
      </c>
      <c r="E1046" t="s">
        <v>1825</v>
      </c>
      <c r="G1046" t="s">
        <v>63</v>
      </c>
      <c r="H1046" s="75" t="str">
        <f>IFERROR(VLOOKUP(Table2[[#This Row],[Ticket]],Okey!A:B,2,0),"")</f>
        <v>ok</v>
      </c>
      <c r="I1046" t="s">
        <v>19</v>
      </c>
      <c r="J1046" t="str">
        <f>VLOOKUP(Table2[[#This Row],[Author]],People!A:B,2,0)</f>
        <v>EL</v>
      </c>
      <c r="M1046" t="s">
        <v>1752</v>
      </c>
    </row>
    <row r="1047" spans="1:13" x14ac:dyDescent="0.25">
      <c r="A1047" s="75">
        <f t="shared" si="16"/>
        <v>1046</v>
      </c>
      <c r="B1047" t="s">
        <v>13</v>
      </c>
      <c r="C1047" t="s">
        <v>1748</v>
      </c>
      <c r="D1047" t="s">
        <v>1826</v>
      </c>
      <c r="E1047" t="s">
        <v>1827</v>
      </c>
      <c r="G1047" t="s">
        <v>63</v>
      </c>
      <c r="H1047" s="75" t="str">
        <f>IFERROR(VLOOKUP(Table2[[#This Row],[Ticket]],Okey!A:B,2,0),"")</f>
        <v>ok</v>
      </c>
      <c r="I1047" t="s">
        <v>19</v>
      </c>
      <c r="J1047" t="str">
        <f>VLOOKUP(Table2[[#This Row],[Author]],People!A:B,2,0)</f>
        <v>EL</v>
      </c>
      <c r="M1047" t="s">
        <v>1752</v>
      </c>
    </row>
    <row r="1048" spans="1:13" x14ac:dyDescent="0.25">
      <c r="A1048" s="75">
        <f t="shared" si="16"/>
        <v>1047</v>
      </c>
      <c r="B1048" t="s">
        <v>13</v>
      </c>
      <c r="C1048" t="s">
        <v>1748</v>
      </c>
      <c r="D1048" t="s">
        <v>1828</v>
      </c>
      <c r="E1048" t="s">
        <v>1829</v>
      </c>
      <c r="G1048" t="s">
        <v>63</v>
      </c>
      <c r="H1048" s="75" t="str">
        <f>IFERROR(VLOOKUP(Table2[[#This Row],[Ticket]],Okey!A:B,2,0),"")</f>
        <v>ok</v>
      </c>
      <c r="I1048" t="s">
        <v>19</v>
      </c>
      <c r="J1048" t="str">
        <f>VLOOKUP(Table2[[#This Row],[Author]],People!A:B,2,0)</f>
        <v>EL</v>
      </c>
      <c r="M1048" t="s">
        <v>1752</v>
      </c>
    </row>
    <row r="1049" spans="1:13" x14ac:dyDescent="0.25">
      <c r="A1049" s="75">
        <f t="shared" si="16"/>
        <v>1048</v>
      </c>
      <c r="B1049" t="s">
        <v>13</v>
      </c>
      <c r="C1049" t="s">
        <v>1748</v>
      </c>
      <c r="D1049" t="s">
        <v>1830</v>
      </c>
      <c r="E1049" t="s">
        <v>1831</v>
      </c>
      <c r="G1049" t="s">
        <v>63</v>
      </c>
      <c r="H1049" s="75" t="str">
        <f>IFERROR(VLOOKUP(Table2[[#This Row],[Ticket]],Okey!A:B,2,0),"")</f>
        <v>ok</v>
      </c>
      <c r="I1049" t="s">
        <v>19</v>
      </c>
      <c r="J1049" t="str">
        <f>VLOOKUP(Table2[[#This Row],[Author]],People!A:B,2,0)</f>
        <v>EL</v>
      </c>
      <c r="M1049" t="s">
        <v>1752</v>
      </c>
    </row>
    <row r="1050" spans="1:13" x14ac:dyDescent="0.25">
      <c r="A1050" s="75">
        <f t="shared" si="16"/>
        <v>1049</v>
      </c>
      <c r="B1050" t="s">
        <v>13</v>
      </c>
      <c r="C1050" t="s">
        <v>1748</v>
      </c>
      <c r="D1050" t="s">
        <v>1832</v>
      </c>
      <c r="E1050" t="s">
        <v>1833</v>
      </c>
      <c r="G1050" t="s">
        <v>63</v>
      </c>
      <c r="H1050" s="75" t="str">
        <f>IFERROR(VLOOKUP(Table2[[#This Row],[Ticket]],Okey!A:B,2,0),"")</f>
        <v>ok</v>
      </c>
      <c r="I1050" t="s">
        <v>19</v>
      </c>
      <c r="J1050" t="str">
        <f>VLOOKUP(Table2[[#This Row],[Author]],People!A:B,2,0)</f>
        <v>EL</v>
      </c>
      <c r="M1050" t="s">
        <v>1752</v>
      </c>
    </row>
    <row r="1051" spans="1:13" x14ac:dyDescent="0.25">
      <c r="A1051" s="75">
        <f t="shared" si="16"/>
        <v>1050</v>
      </c>
      <c r="B1051" t="s">
        <v>13</v>
      </c>
      <c r="C1051" t="s">
        <v>1748</v>
      </c>
      <c r="D1051" t="s">
        <v>1834</v>
      </c>
      <c r="E1051" t="s">
        <v>1835</v>
      </c>
      <c r="G1051" t="s">
        <v>63</v>
      </c>
      <c r="H1051" s="75" t="str">
        <f>IFERROR(VLOOKUP(Table2[[#This Row],[Ticket]],Okey!A:B,2,0),"")</f>
        <v>ok</v>
      </c>
      <c r="I1051" t="s">
        <v>19</v>
      </c>
      <c r="J1051" t="str">
        <f>VLOOKUP(Table2[[#This Row],[Author]],People!A:B,2,0)</f>
        <v>EL</v>
      </c>
      <c r="M1051" t="s">
        <v>1752</v>
      </c>
    </row>
    <row r="1052" spans="1:13" x14ac:dyDescent="0.25">
      <c r="A1052" s="75">
        <f t="shared" si="16"/>
        <v>1051</v>
      </c>
      <c r="B1052" t="s">
        <v>13</v>
      </c>
      <c r="C1052" t="s">
        <v>1748</v>
      </c>
      <c r="D1052" t="s">
        <v>1836</v>
      </c>
      <c r="E1052" t="s">
        <v>1837</v>
      </c>
      <c r="G1052" t="s">
        <v>63</v>
      </c>
      <c r="H1052" s="75" t="str">
        <f>IFERROR(VLOOKUP(Table2[[#This Row],[Ticket]],Okey!A:B,2,0),"")</f>
        <v>ok</v>
      </c>
      <c r="I1052" t="s">
        <v>19</v>
      </c>
      <c r="J1052" t="str">
        <f>VLOOKUP(Table2[[#This Row],[Author]],People!A:B,2,0)</f>
        <v>EL</v>
      </c>
      <c r="M1052" t="s">
        <v>1752</v>
      </c>
    </row>
    <row r="1053" spans="1:13" x14ac:dyDescent="0.25">
      <c r="A1053" s="75">
        <f t="shared" si="16"/>
        <v>1052</v>
      </c>
      <c r="B1053" t="s">
        <v>13</v>
      </c>
      <c r="C1053" t="s">
        <v>1748</v>
      </c>
      <c r="D1053" t="s">
        <v>1838</v>
      </c>
      <c r="E1053" t="s">
        <v>1839</v>
      </c>
      <c r="G1053" t="s">
        <v>63</v>
      </c>
      <c r="H1053" s="75" t="str">
        <f>IFERROR(VLOOKUP(Table2[[#This Row],[Ticket]],Okey!A:B,2,0),"")</f>
        <v>ok</v>
      </c>
      <c r="I1053" t="s">
        <v>19</v>
      </c>
      <c r="J1053" t="str">
        <f>VLOOKUP(Table2[[#This Row],[Author]],People!A:B,2,0)</f>
        <v>EL</v>
      </c>
      <c r="M1053" t="s">
        <v>1752</v>
      </c>
    </row>
    <row r="1054" spans="1:13" x14ac:dyDescent="0.25">
      <c r="A1054" s="75">
        <f t="shared" si="16"/>
        <v>1053</v>
      </c>
      <c r="B1054" t="s">
        <v>13</v>
      </c>
      <c r="C1054" t="s">
        <v>1748</v>
      </c>
      <c r="D1054" t="s">
        <v>1840</v>
      </c>
      <c r="E1054" t="s">
        <v>1841</v>
      </c>
      <c r="G1054" t="s">
        <v>63</v>
      </c>
      <c r="H1054" s="75" t="str">
        <f>IFERROR(VLOOKUP(Table2[[#This Row],[Ticket]],Okey!A:B,2,0),"")</f>
        <v>ok</v>
      </c>
      <c r="I1054" t="s">
        <v>19</v>
      </c>
      <c r="J1054" t="str">
        <f>VLOOKUP(Table2[[#This Row],[Author]],People!A:B,2,0)</f>
        <v>EL</v>
      </c>
      <c r="M1054" t="s">
        <v>1752</v>
      </c>
    </row>
    <row r="1055" spans="1:13" x14ac:dyDescent="0.25">
      <c r="A1055" s="75">
        <f t="shared" si="16"/>
        <v>1054</v>
      </c>
      <c r="B1055" t="s">
        <v>13</v>
      </c>
      <c r="C1055" t="s">
        <v>1748</v>
      </c>
      <c r="D1055" t="s">
        <v>1842</v>
      </c>
      <c r="E1055" t="s">
        <v>1843</v>
      </c>
      <c r="G1055" t="s">
        <v>63</v>
      </c>
      <c r="H1055" s="75" t="str">
        <f>IFERROR(VLOOKUP(Table2[[#This Row],[Ticket]],Okey!A:B,2,0),"")</f>
        <v>ok</v>
      </c>
      <c r="I1055" t="s">
        <v>19</v>
      </c>
      <c r="J1055" t="str">
        <f>VLOOKUP(Table2[[#This Row],[Author]],People!A:B,2,0)</f>
        <v>EL</v>
      </c>
      <c r="M1055" t="s">
        <v>1752</v>
      </c>
    </row>
    <row r="1056" spans="1:13" x14ac:dyDescent="0.25">
      <c r="A1056" s="75">
        <f t="shared" si="16"/>
        <v>1055</v>
      </c>
      <c r="B1056" t="s">
        <v>13</v>
      </c>
      <c r="C1056" t="s">
        <v>1748</v>
      </c>
      <c r="D1056" t="s">
        <v>1844</v>
      </c>
      <c r="E1056" t="s">
        <v>1845</v>
      </c>
      <c r="G1056" t="s">
        <v>63</v>
      </c>
      <c r="H1056" s="75" t="str">
        <f>IFERROR(VLOOKUP(Table2[[#This Row],[Ticket]],Okey!A:B,2,0),"")</f>
        <v>ok</v>
      </c>
      <c r="I1056" t="s">
        <v>19</v>
      </c>
      <c r="J1056" t="str">
        <f>VLOOKUP(Table2[[#This Row],[Author]],People!A:B,2,0)</f>
        <v>EL</v>
      </c>
      <c r="M1056" t="s">
        <v>1752</v>
      </c>
    </row>
    <row r="1057" spans="1:13" x14ac:dyDescent="0.25">
      <c r="A1057" s="75">
        <f t="shared" si="16"/>
        <v>1056</v>
      </c>
      <c r="B1057" t="s">
        <v>13</v>
      </c>
      <c r="C1057" t="s">
        <v>1748</v>
      </c>
      <c r="D1057" t="s">
        <v>1846</v>
      </c>
      <c r="E1057" t="s">
        <v>1847</v>
      </c>
      <c r="G1057" t="s">
        <v>63</v>
      </c>
      <c r="H1057" s="75" t="str">
        <f>IFERROR(VLOOKUP(Table2[[#This Row],[Ticket]],Okey!A:B,2,0),"")</f>
        <v>ok</v>
      </c>
      <c r="I1057" t="s">
        <v>19</v>
      </c>
      <c r="J1057" t="str">
        <f>VLOOKUP(Table2[[#This Row],[Author]],People!A:B,2,0)</f>
        <v>EL</v>
      </c>
      <c r="M1057" t="s">
        <v>1752</v>
      </c>
    </row>
    <row r="1058" spans="1:13" x14ac:dyDescent="0.25">
      <c r="A1058" s="75">
        <f t="shared" si="16"/>
        <v>1057</v>
      </c>
      <c r="B1058" t="s">
        <v>13</v>
      </c>
      <c r="C1058" t="s">
        <v>1748</v>
      </c>
      <c r="D1058" t="s">
        <v>1848</v>
      </c>
      <c r="E1058" t="s">
        <v>1849</v>
      </c>
      <c r="G1058" t="s">
        <v>63</v>
      </c>
      <c r="H1058" s="75" t="str">
        <f>IFERROR(VLOOKUP(Table2[[#This Row],[Ticket]],Okey!A:B,2,0),"")</f>
        <v>ok</v>
      </c>
      <c r="I1058" t="s">
        <v>19</v>
      </c>
      <c r="J1058" t="str">
        <f>VLOOKUP(Table2[[#This Row],[Author]],People!A:B,2,0)</f>
        <v>EL</v>
      </c>
      <c r="M1058" t="s">
        <v>1752</v>
      </c>
    </row>
    <row r="1059" spans="1:13" x14ac:dyDescent="0.25">
      <c r="A1059" s="75">
        <f t="shared" si="16"/>
        <v>1058</v>
      </c>
      <c r="B1059" t="s">
        <v>13</v>
      </c>
      <c r="C1059" t="s">
        <v>1748</v>
      </c>
      <c r="D1059" t="s">
        <v>1850</v>
      </c>
      <c r="E1059" t="s">
        <v>1851</v>
      </c>
      <c r="G1059" t="s">
        <v>63</v>
      </c>
      <c r="H1059" s="75" t="str">
        <f>IFERROR(VLOOKUP(Table2[[#This Row],[Ticket]],Okey!A:B,2,0),"")</f>
        <v>ok</v>
      </c>
      <c r="I1059" t="s">
        <v>19</v>
      </c>
      <c r="J1059" t="str">
        <f>VLOOKUP(Table2[[#This Row],[Author]],People!A:B,2,0)</f>
        <v>EL</v>
      </c>
      <c r="M1059" t="s">
        <v>1752</v>
      </c>
    </row>
    <row r="1060" spans="1:13" x14ac:dyDescent="0.25">
      <c r="A1060" s="75">
        <f t="shared" si="16"/>
        <v>1059</v>
      </c>
      <c r="B1060" t="s">
        <v>13</v>
      </c>
      <c r="C1060" t="s">
        <v>1748</v>
      </c>
      <c r="D1060" t="s">
        <v>1852</v>
      </c>
      <c r="E1060" t="s">
        <v>1853</v>
      </c>
      <c r="G1060" t="s">
        <v>63</v>
      </c>
      <c r="H1060" s="75" t="str">
        <f>IFERROR(VLOOKUP(Table2[[#This Row],[Ticket]],Okey!A:B,2,0),"")</f>
        <v>ok</v>
      </c>
      <c r="I1060" t="s">
        <v>19</v>
      </c>
      <c r="J1060" t="str">
        <f>VLOOKUP(Table2[[#This Row],[Author]],People!A:B,2,0)</f>
        <v>EL</v>
      </c>
      <c r="M1060" t="s">
        <v>1752</v>
      </c>
    </row>
    <row r="1061" spans="1:13" x14ac:dyDescent="0.25">
      <c r="A1061" s="75">
        <f t="shared" si="16"/>
        <v>1060</v>
      </c>
      <c r="B1061" t="s">
        <v>13</v>
      </c>
      <c r="C1061" t="s">
        <v>1748</v>
      </c>
      <c r="D1061" t="s">
        <v>1854</v>
      </c>
      <c r="E1061" t="s">
        <v>1855</v>
      </c>
      <c r="G1061" t="s">
        <v>63</v>
      </c>
      <c r="H1061" s="75" t="str">
        <f>IFERROR(VLOOKUP(Table2[[#This Row],[Ticket]],Okey!A:B,2,0),"")</f>
        <v>ok</v>
      </c>
      <c r="I1061" t="s">
        <v>19</v>
      </c>
      <c r="J1061" t="str">
        <f>VLOOKUP(Table2[[#This Row],[Author]],People!A:B,2,0)</f>
        <v>EL</v>
      </c>
      <c r="M1061" t="s">
        <v>1752</v>
      </c>
    </row>
    <row r="1062" spans="1:13" x14ac:dyDescent="0.25">
      <c r="A1062" s="75">
        <f t="shared" si="16"/>
        <v>1061</v>
      </c>
      <c r="B1062" t="s">
        <v>13</v>
      </c>
      <c r="C1062" t="s">
        <v>1748</v>
      </c>
      <c r="D1062" t="s">
        <v>1856</v>
      </c>
      <c r="E1062" t="s">
        <v>1857</v>
      </c>
      <c r="G1062" t="s">
        <v>63</v>
      </c>
      <c r="H1062" s="75" t="str">
        <f>IFERROR(VLOOKUP(Table2[[#This Row],[Ticket]],Okey!A:B,2,0),"")</f>
        <v>ok</v>
      </c>
      <c r="I1062" t="s">
        <v>19</v>
      </c>
      <c r="J1062" t="str">
        <f>VLOOKUP(Table2[[#This Row],[Author]],People!A:B,2,0)</f>
        <v>EL</v>
      </c>
      <c r="M1062" t="s">
        <v>1752</v>
      </c>
    </row>
    <row r="1063" spans="1:13" x14ac:dyDescent="0.25">
      <c r="A1063" s="75">
        <f t="shared" si="16"/>
        <v>1062</v>
      </c>
      <c r="B1063" t="s">
        <v>13</v>
      </c>
      <c r="C1063" t="s">
        <v>1748</v>
      </c>
      <c r="D1063" t="s">
        <v>1858</v>
      </c>
      <c r="E1063" t="s">
        <v>1859</v>
      </c>
      <c r="G1063" t="s">
        <v>63</v>
      </c>
      <c r="H1063" s="75" t="str">
        <f>IFERROR(VLOOKUP(Table2[[#This Row],[Ticket]],Okey!A:B,2,0),"")</f>
        <v>ok</v>
      </c>
      <c r="I1063" t="s">
        <v>19</v>
      </c>
      <c r="J1063" t="str">
        <f>VLOOKUP(Table2[[#This Row],[Author]],People!A:B,2,0)</f>
        <v>EL</v>
      </c>
      <c r="M1063" t="s">
        <v>1752</v>
      </c>
    </row>
    <row r="1064" spans="1:13" x14ac:dyDescent="0.25">
      <c r="A1064" s="75">
        <f t="shared" si="16"/>
        <v>1063</v>
      </c>
      <c r="B1064" t="s">
        <v>13</v>
      </c>
      <c r="C1064" t="s">
        <v>1748</v>
      </c>
      <c r="D1064" t="s">
        <v>1860</v>
      </c>
      <c r="E1064" t="s">
        <v>1861</v>
      </c>
      <c r="G1064" t="s">
        <v>63</v>
      </c>
      <c r="H1064" s="75" t="str">
        <f>IFERROR(VLOOKUP(Table2[[#This Row],[Ticket]],Okey!A:B,2,0),"")</f>
        <v>ok</v>
      </c>
      <c r="I1064" t="s">
        <v>19</v>
      </c>
      <c r="J1064" t="str">
        <f>VLOOKUP(Table2[[#This Row],[Author]],People!A:B,2,0)</f>
        <v>EL</v>
      </c>
      <c r="M1064" t="s">
        <v>1752</v>
      </c>
    </row>
    <row r="1065" spans="1:13" x14ac:dyDescent="0.25">
      <c r="A1065" s="75">
        <f t="shared" si="16"/>
        <v>1064</v>
      </c>
      <c r="B1065" t="s">
        <v>13</v>
      </c>
      <c r="C1065" t="s">
        <v>1748</v>
      </c>
      <c r="D1065" t="s">
        <v>1862</v>
      </c>
      <c r="E1065" t="s">
        <v>1863</v>
      </c>
      <c r="G1065" t="s">
        <v>63</v>
      </c>
      <c r="H1065" s="75" t="str">
        <f>IFERROR(VLOOKUP(Table2[[#This Row],[Ticket]],Okey!A:B,2,0),"")</f>
        <v>ok</v>
      </c>
      <c r="I1065" t="s">
        <v>19</v>
      </c>
      <c r="J1065" t="str">
        <f>VLOOKUP(Table2[[#This Row],[Author]],People!A:B,2,0)</f>
        <v>EL</v>
      </c>
      <c r="M1065" t="s">
        <v>1752</v>
      </c>
    </row>
    <row r="1066" spans="1:13" x14ac:dyDescent="0.25">
      <c r="A1066" s="75">
        <f t="shared" si="16"/>
        <v>1065</v>
      </c>
      <c r="B1066" t="s">
        <v>13</v>
      </c>
      <c r="C1066" t="s">
        <v>1748</v>
      </c>
      <c r="D1066" t="s">
        <v>1864</v>
      </c>
      <c r="E1066" t="s">
        <v>1865</v>
      </c>
      <c r="G1066" t="s">
        <v>63</v>
      </c>
      <c r="H1066" s="75" t="str">
        <f>IFERROR(VLOOKUP(Table2[[#This Row],[Ticket]],Okey!A:B,2,0),"")</f>
        <v>ok</v>
      </c>
      <c r="I1066" t="s">
        <v>19</v>
      </c>
      <c r="J1066" t="str">
        <f>VLOOKUP(Table2[[#This Row],[Author]],People!A:B,2,0)</f>
        <v>EL</v>
      </c>
      <c r="M1066" t="s">
        <v>1752</v>
      </c>
    </row>
    <row r="1067" spans="1:13" x14ac:dyDescent="0.25">
      <c r="A1067" s="75">
        <f t="shared" si="16"/>
        <v>1066</v>
      </c>
      <c r="B1067" t="s">
        <v>13</v>
      </c>
      <c r="C1067" t="s">
        <v>1748</v>
      </c>
      <c r="D1067" t="s">
        <v>1866</v>
      </c>
      <c r="E1067" t="s">
        <v>1867</v>
      </c>
      <c r="G1067" t="s">
        <v>63</v>
      </c>
      <c r="H1067" s="75" t="str">
        <f>IFERROR(VLOOKUP(Table2[[#This Row],[Ticket]],Okey!A:B,2,0),"")</f>
        <v>ok</v>
      </c>
      <c r="I1067" t="s">
        <v>19</v>
      </c>
      <c r="J1067" t="str">
        <f>VLOOKUP(Table2[[#This Row],[Author]],People!A:B,2,0)</f>
        <v>EL</v>
      </c>
      <c r="M1067" t="s">
        <v>1752</v>
      </c>
    </row>
    <row r="1068" spans="1:13" x14ac:dyDescent="0.25">
      <c r="A1068" s="75">
        <f t="shared" si="16"/>
        <v>1067</v>
      </c>
      <c r="B1068" t="s">
        <v>13</v>
      </c>
      <c r="C1068" t="s">
        <v>1748</v>
      </c>
      <c r="D1068" t="s">
        <v>1868</v>
      </c>
      <c r="E1068" t="s">
        <v>1869</v>
      </c>
      <c r="G1068" t="s">
        <v>63</v>
      </c>
      <c r="H1068" s="75" t="str">
        <f>IFERROR(VLOOKUP(Table2[[#This Row],[Ticket]],Okey!A:B,2,0),"")</f>
        <v>ok</v>
      </c>
      <c r="I1068" t="s">
        <v>19</v>
      </c>
      <c r="J1068" t="str">
        <f>VLOOKUP(Table2[[#This Row],[Author]],People!A:B,2,0)</f>
        <v>EL</v>
      </c>
      <c r="M1068" t="s">
        <v>1752</v>
      </c>
    </row>
    <row r="1069" spans="1:13" x14ac:dyDescent="0.25">
      <c r="A1069" s="75">
        <f t="shared" si="16"/>
        <v>1068</v>
      </c>
      <c r="B1069" t="s">
        <v>13</v>
      </c>
      <c r="C1069" t="s">
        <v>1748</v>
      </c>
      <c r="D1069" t="s">
        <v>1870</v>
      </c>
      <c r="E1069" t="s">
        <v>1871</v>
      </c>
      <c r="G1069" t="s">
        <v>63</v>
      </c>
      <c r="H1069" s="75" t="str">
        <f>IFERROR(VLOOKUP(Table2[[#This Row],[Ticket]],Okey!A:B,2,0),"")</f>
        <v>ok</v>
      </c>
      <c r="I1069" t="s">
        <v>19</v>
      </c>
      <c r="J1069" t="str">
        <f>VLOOKUP(Table2[[#This Row],[Author]],People!A:B,2,0)</f>
        <v>EL</v>
      </c>
      <c r="M1069" t="s">
        <v>1752</v>
      </c>
    </row>
    <row r="1070" spans="1:13" x14ac:dyDescent="0.25">
      <c r="A1070" s="75">
        <f t="shared" si="16"/>
        <v>1069</v>
      </c>
      <c r="B1070" t="s">
        <v>13</v>
      </c>
      <c r="C1070" t="s">
        <v>1748</v>
      </c>
      <c r="D1070" t="s">
        <v>1872</v>
      </c>
      <c r="E1070" t="s">
        <v>1873</v>
      </c>
      <c r="G1070" t="s">
        <v>63</v>
      </c>
      <c r="H1070" s="75" t="str">
        <f>IFERROR(VLOOKUP(Table2[[#This Row],[Ticket]],Okey!A:B,2,0),"")</f>
        <v>ok</v>
      </c>
      <c r="I1070" t="s">
        <v>19</v>
      </c>
      <c r="J1070" t="str">
        <f>VLOOKUP(Table2[[#This Row],[Author]],People!A:B,2,0)</f>
        <v>EL</v>
      </c>
      <c r="M1070" t="s">
        <v>1752</v>
      </c>
    </row>
    <row r="1071" spans="1:13" x14ac:dyDescent="0.25">
      <c r="A1071" s="75">
        <f t="shared" si="16"/>
        <v>1070</v>
      </c>
      <c r="B1071" t="s">
        <v>13</v>
      </c>
      <c r="C1071" t="s">
        <v>1748</v>
      </c>
      <c r="D1071" t="s">
        <v>1874</v>
      </c>
      <c r="E1071" t="s">
        <v>1875</v>
      </c>
      <c r="G1071" t="s">
        <v>63</v>
      </c>
      <c r="H1071" s="75" t="str">
        <f>IFERROR(VLOOKUP(Table2[[#This Row],[Ticket]],Okey!A:B,2,0),"")</f>
        <v>ok</v>
      </c>
      <c r="I1071" t="s">
        <v>19</v>
      </c>
      <c r="J1071" t="str">
        <f>VLOOKUP(Table2[[#This Row],[Author]],People!A:B,2,0)</f>
        <v>EL</v>
      </c>
      <c r="M1071" t="s">
        <v>1752</v>
      </c>
    </row>
    <row r="1072" spans="1:13" x14ac:dyDescent="0.25">
      <c r="A1072" s="75">
        <f t="shared" si="16"/>
        <v>1071</v>
      </c>
      <c r="B1072" t="s">
        <v>13</v>
      </c>
      <c r="C1072" t="s">
        <v>1748</v>
      </c>
      <c r="D1072" t="s">
        <v>1876</v>
      </c>
      <c r="E1072" t="s">
        <v>1877</v>
      </c>
      <c r="G1072" t="s">
        <v>63</v>
      </c>
      <c r="H1072" s="75" t="str">
        <f>IFERROR(VLOOKUP(Table2[[#This Row],[Ticket]],Okey!A:B,2,0),"")</f>
        <v>ok</v>
      </c>
      <c r="I1072" t="s">
        <v>19</v>
      </c>
      <c r="J1072" t="str">
        <f>VLOOKUP(Table2[[#This Row],[Author]],People!A:B,2,0)</f>
        <v>EL</v>
      </c>
      <c r="M1072" t="s">
        <v>1752</v>
      </c>
    </row>
    <row r="1073" spans="1:13" x14ac:dyDescent="0.25">
      <c r="A1073" s="75">
        <f t="shared" si="16"/>
        <v>1072</v>
      </c>
      <c r="B1073" t="s">
        <v>13</v>
      </c>
      <c r="C1073" t="s">
        <v>1748</v>
      </c>
      <c r="D1073" t="s">
        <v>1878</v>
      </c>
      <c r="E1073" t="s">
        <v>1879</v>
      </c>
      <c r="G1073" t="s">
        <v>63</v>
      </c>
      <c r="H1073" s="75" t="str">
        <f>IFERROR(VLOOKUP(Table2[[#This Row],[Ticket]],Okey!A:B,2,0),"")</f>
        <v>ok</v>
      </c>
      <c r="I1073" t="s">
        <v>19</v>
      </c>
      <c r="J1073" t="str">
        <f>VLOOKUP(Table2[[#This Row],[Author]],People!A:B,2,0)</f>
        <v>EL</v>
      </c>
      <c r="M1073" t="s">
        <v>1752</v>
      </c>
    </row>
    <row r="1074" spans="1:13" x14ac:dyDescent="0.25">
      <c r="A1074" s="75">
        <f t="shared" si="16"/>
        <v>1073</v>
      </c>
      <c r="B1074" t="s">
        <v>13</v>
      </c>
      <c r="C1074" t="s">
        <v>1748</v>
      </c>
      <c r="D1074" t="s">
        <v>1880</v>
      </c>
      <c r="E1074" t="s">
        <v>1881</v>
      </c>
      <c r="G1074" t="s">
        <v>63</v>
      </c>
      <c r="H1074" s="75" t="str">
        <f>IFERROR(VLOOKUP(Table2[[#This Row],[Ticket]],Okey!A:B,2,0),"")</f>
        <v>ok</v>
      </c>
      <c r="I1074" t="s">
        <v>19</v>
      </c>
      <c r="J1074" t="str">
        <f>VLOOKUP(Table2[[#This Row],[Author]],People!A:B,2,0)</f>
        <v>EL</v>
      </c>
      <c r="M1074" t="s">
        <v>1752</v>
      </c>
    </row>
    <row r="1075" spans="1:13" x14ac:dyDescent="0.25">
      <c r="A1075" s="75">
        <f t="shared" si="16"/>
        <v>1074</v>
      </c>
      <c r="B1075" t="s">
        <v>13</v>
      </c>
      <c r="C1075" t="s">
        <v>1748</v>
      </c>
      <c r="D1075" t="s">
        <v>1882</v>
      </c>
      <c r="E1075" t="s">
        <v>1883</v>
      </c>
      <c r="G1075" t="s">
        <v>63</v>
      </c>
      <c r="H1075" s="75" t="str">
        <f>IFERROR(VLOOKUP(Table2[[#This Row],[Ticket]],Okey!A:B,2,0),"")</f>
        <v>ok</v>
      </c>
      <c r="I1075" t="s">
        <v>19</v>
      </c>
      <c r="J1075" t="str">
        <f>VLOOKUP(Table2[[#This Row],[Author]],People!A:B,2,0)</f>
        <v>EL</v>
      </c>
      <c r="M1075" t="s">
        <v>1752</v>
      </c>
    </row>
    <row r="1076" spans="1:13" x14ac:dyDescent="0.25">
      <c r="A1076" s="75">
        <f t="shared" si="16"/>
        <v>1075</v>
      </c>
      <c r="B1076" t="s">
        <v>13</v>
      </c>
      <c r="C1076" t="s">
        <v>1748</v>
      </c>
      <c r="D1076" t="s">
        <v>1884</v>
      </c>
      <c r="E1076" t="s">
        <v>1885</v>
      </c>
      <c r="G1076" t="s">
        <v>63</v>
      </c>
      <c r="H1076" s="75" t="str">
        <f>IFERROR(VLOOKUP(Table2[[#This Row],[Ticket]],Okey!A:B,2,0),"")</f>
        <v>ok</v>
      </c>
      <c r="I1076" t="s">
        <v>19</v>
      </c>
      <c r="J1076" t="str">
        <f>VLOOKUP(Table2[[#This Row],[Author]],People!A:B,2,0)</f>
        <v>EL</v>
      </c>
      <c r="M1076" t="s">
        <v>1752</v>
      </c>
    </row>
    <row r="1077" spans="1:13" x14ac:dyDescent="0.25">
      <c r="A1077" s="75">
        <f t="shared" si="16"/>
        <v>1076</v>
      </c>
      <c r="B1077" t="s">
        <v>13</v>
      </c>
      <c r="C1077" t="s">
        <v>1748</v>
      </c>
      <c r="D1077" t="s">
        <v>1886</v>
      </c>
      <c r="E1077" t="s">
        <v>1887</v>
      </c>
      <c r="G1077" t="s">
        <v>63</v>
      </c>
      <c r="H1077" s="75" t="str">
        <f>IFERROR(VLOOKUP(Table2[[#This Row],[Ticket]],Okey!A:B,2,0),"")</f>
        <v>ok</v>
      </c>
      <c r="I1077" t="s">
        <v>19</v>
      </c>
      <c r="J1077" t="str">
        <f>VLOOKUP(Table2[[#This Row],[Author]],People!A:B,2,0)</f>
        <v>EL</v>
      </c>
      <c r="M1077" t="s">
        <v>1752</v>
      </c>
    </row>
    <row r="1078" spans="1:13" x14ac:dyDescent="0.25">
      <c r="A1078" s="75">
        <f t="shared" si="16"/>
        <v>1077</v>
      </c>
      <c r="B1078" t="s">
        <v>13</v>
      </c>
      <c r="C1078" t="s">
        <v>1748</v>
      </c>
      <c r="D1078" t="s">
        <v>1888</v>
      </c>
      <c r="E1078" t="s">
        <v>1889</v>
      </c>
      <c r="G1078" t="s">
        <v>63</v>
      </c>
      <c r="H1078" s="75" t="str">
        <f>IFERROR(VLOOKUP(Table2[[#This Row],[Ticket]],Okey!A:B,2,0),"")</f>
        <v>ok</v>
      </c>
      <c r="I1078" t="s">
        <v>19</v>
      </c>
      <c r="J1078" t="str">
        <f>VLOOKUP(Table2[[#This Row],[Author]],People!A:B,2,0)</f>
        <v>EL</v>
      </c>
      <c r="M1078" t="s">
        <v>1752</v>
      </c>
    </row>
    <row r="1079" spans="1:13" x14ac:dyDescent="0.25">
      <c r="A1079" s="75">
        <f t="shared" si="16"/>
        <v>1078</v>
      </c>
      <c r="B1079" t="s">
        <v>13</v>
      </c>
      <c r="C1079" t="s">
        <v>1748</v>
      </c>
      <c r="D1079" t="s">
        <v>1890</v>
      </c>
      <c r="E1079" t="s">
        <v>1891</v>
      </c>
      <c r="G1079" t="s">
        <v>63</v>
      </c>
      <c r="H1079" s="75" t="str">
        <f>IFERROR(VLOOKUP(Table2[[#This Row],[Ticket]],Okey!A:B,2,0),"")</f>
        <v>ok</v>
      </c>
      <c r="I1079" t="s">
        <v>19</v>
      </c>
      <c r="J1079" t="str">
        <f>VLOOKUP(Table2[[#This Row],[Author]],People!A:B,2,0)</f>
        <v>EL</v>
      </c>
      <c r="M1079" t="s">
        <v>1752</v>
      </c>
    </row>
    <row r="1080" spans="1:13" x14ac:dyDescent="0.25">
      <c r="A1080" s="75">
        <f t="shared" si="16"/>
        <v>1079</v>
      </c>
      <c r="B1080" t="s">
        <v>13</v>
      </c>
      <c r="C1080" t="s">
        <v>1748</v>
      </c>
      <c r="D1080" t="s">
        <v>1892</v>
      </c>
      <c r="E1080" t="s">
        <v>1893</v>
      </c>
      <c r="G1080" t="s">
        <v>63</v>
      </c>
      <c r="H1080" s="75" t="str">
        <f>IFERROR(VLOOKUP(Table2[[#This Row],[Ticket]],Okey!A:B,2,0),"")</f>
        <v>ok</v>
      </c>
      <c r="I1080" t="s">
        <v>19</v>
      </c>
      <c r="J1080" t="str">
        <f>VLOOKUP(Table2[[#This Row],[Author]],People!A:B,2,0)</f>
        <v>EL</v>
      </c>
      <c r="M1080" t="s">
        <v>1752</v>
      </c>
    </row>
    <row r="1081" spans="1:13" x14ac:dyDescent="0.25">
      <c r="A1081" s="75">
        <f t="shared" si="16"/>
        <v>1080</v>
      </c>
      <c r="B1081" t="s">
        <v>13</v>
      </c>
      <c r="C1081" t="s">
        <v>1748</v>
      </c>
      <c r="D1081" t="s">
        <v>1894</v>
      </c>
      <c r="E1081" t="s">
        <v>1895</v>
      </c>
      <c r="G1081" t="s">
        <v>63</v>
      </c>
      <c r="H1081" s="75" t="str">
        <f>IFERROR(VLOOKUP(Table2[[#This Row],[Ticket]],Okey!A:B,2,0),"")</f>
        <v>ok</v>
      </c>
      <c r="I1081" t="s">
        <v>19</v>
      </c>
      <c r="J1081" t="str">
        <f>VLOOKUP(Table2[[#This Row],[Author]],People!A:B,2,0)</f>
        <v>EL</v>
      </c>
      <c r="M1081" t="s">
        <v>1752</v>
      </c>
    </row>
    <row r="1082" spans="1:13" x14ac:dyDescent="0.25">
      <c r="A1082" s="75">
        <f t="shared" si="16"/>
        <v>1081</v>
      </c>
      <c r="B1082" t="s">
        <v>13</v>
      </c>
      <c r="C1082" t="s">
        <v>1748</v>
      </c>
      <c r="D1082" t="s">
        <v>1896</v>
      </c>
      <c r="E1082" t="s">
        <v>1897</v>
      </c>
      <c r="G1082" t="s">
        <v>63</v>
      </c>
      <c r="H1082" s="75" t="str">
        <f>IFERROR(VLOOKUP(Table2[[#This Row],[Ticket]],Okey!A:B,2,0),"")</f>
        <v>ok</v>
      </c>
      <c r="I1082" t="s">
        <v>19</v>
      </c>
      <c r="J1082" t="str">
        <f>VLOOKUP(Table2[[#This Row],[Author]],People!A:B,2,0)</f>
        <v>EL</v>
      </c>
      <c r="M1082" t="s">
        <v>1752</v>
      </c>
    </row>
    <row r="1083" spans="1:13" x14ac:dyDescent="0.25">
      <c r="A1083" s="75">
        <f t="shared" si="16"/>
        <v>1082</v>
      </c>
      <c r="B1083" t="s">
        <v>13</v>
      </c>
      <c r="C1083" t="s">
        <v>1748</v>
      </c>
      <c r="D1083" t="s">
        <v>1898</v>
      </c>
      <c r="E1083" t="s">
        <v>1899</v>
      </c>
      <c r="G1083" t="s">
        <v>63</v>
      </c>
      <c r="H1083" s="75" t="str">
        <f>IFERROR(VLOOKUP(Table2[[#This Row],[Ticket]],Okey!A:B,2,0),"")</f>
        <v>ok</v>
      </c>
      <c r="I1083" t="s">
        <v>19</v>
      </c>
      <c r="J1083" t="str">
        <f>VLOOKUP(Table2[[#This Row],[Author]],People!A:B,2,0)</f>
        <v>EL</v>
      </c>
      <c r="M1083" t="s">
        <v>1752</v>
      </c>
    </row>
    <row r="1084" spans="1:13" x14ac:dyDescent="0.25">
      <c r="A1084" s="75">
        <f t="shared" si="16"/>
        <v>1083</v>
      </c>
      <c r="B1084" t="s">
        <v>13</v>
      </c>
      <c r="C1084" t="s">
        <v>1748</v>
      </c>
      <c r="D1084" t="s">
        <v>1900</v>
      </c>
      <c r="E1084" t="s">
        <v>1901</v>
      </c>
      <c r="G1084" t="s">
        <v>63</v>
      </c>
      <c r="H1084" s="75" t="str">
        <f>IFERROR(VLOOKUP(Table2[[#This Row],[Ticket]],Okey!A:B,2,0),"")</f>
        <v>ok</v>
      </c>
      <c r="I1084" t="s">
        <v>19</v>
      </c>
      <c r="J1084" t="str">
        <f>VLOOKUP(Table2[[#This Row],[Author]],People!A:B,2,0)</f>
        <v>EL</v>
      </c>
      <c r="M1084" t="s">
        <v>1752</v>
      </c>
    </row>
    <row r="1085" spans="1:13" x14ac:dyDescent="0.25">
      <c r="A1085" s="75">
        <f t="shared" si="16"/>
        <v>1084</v>
      </c>
      <c r="B1085" t="s">
        <v>13</v>
      </c>
      <c r="C1085" t="s">
        <v>1748</v>
      </c>
      <c r="D1085" t="s">
        <v>1902</v>
      </c>
      <c r="E1085" t="s">
        <v>1903</v>
      </c>
      <c r="G1085" t="s">
        <v>63</v>
      </c>
      <c r="H1085" s="75" t="str">
        <f>IFERROR(VLOOKUP(Table2[[#This Row],[Ticket]],Okey!A:B,2,0),"")</f>
        <v>ok</v>
      </c>
      <c r="I1085" t="s">
        <v>19</v>
      </c>
      <c r="J1085" t="str">
        <f>VLOOKUP(Table2[[#This Row],[Author]],People!A:B,2,0)</f>
        <v>EL</v>
      </c>
      <c r="M1085" t="s">
        <v>1752</v>
      </c>
    </row>
    <row r="1086" spans="1:13" x14ac:dyDescent="0.25">
      <c r="A1086" s="75">
        <f t="shared" si="16"/>
        <v>1085</v>
      </c>
      <c r="B1086" t="s">
        <v>13</v>
      </c>
      <c r="C1086" t="s">
        <v>1748</v>
      </c>
      <c r="D1086" t="s">
        <v>1904</v>
      </c>
      <c r="E1086" t="s">
        <v>1905</v>
      </c>
      <c r="G1086" t="s">
        <v>63</v>
      </c>
      <c r="H1086" s="75" t="str">
        <f>IFERROR(VLOOKUP(Table2[[#This Row],[Ticket]],Okey!A:B,2,0),"")</f>
        <v>ok</v>
      </c>
      <c r="I1086" t="s">
        <v>19</v>
      </c>
      <c r="J1086" t="str">
        <f>VLOOKUP(Table2[[#This Row],[Author]],People!A:B,2,0)</f>
        <v>EL</v>
      </c>
      <c r="M1086" t="s">
        <v>1752</v>
      </c>
    </row>
    <row r="1087" spans="1:13" x14ac:dyDescent="0.25">
      <c r="A1087" s="75">
        <f t="shared" si="16"/>
        <v>1086</v>
      </c>
      <c r="B1087" t="s">
        <v>13</v>
      </c>
      <c r="C1087" t="s">
        <v>1748</v>
      </c>
      <c r="D1087" t="s">
        <v>1906</v>
      </c>
      <c r="E1087" t="s">
        <v>1907</v>
      </c>
      <c r="G1087" t="s">
        <v>63</v>
      </c>
      <c r="H1087" s="75" t="str">
        <f>IFERROR(VLOOKUP(Table2[[#This Row],[Ticket]],Okey!A:B,2,0),"")</f>
        <v>ok</v>
      </c>
      <c r="I1087" t="s">
        <v>19</v>
      </c>
      <c r="J1087" t="str">
        <f>VLOOKUP(Table2[[#This Row],[Author]],People!A:B,2,0)</f>
        <v>EL</v>
      </c>
      <c r="M1087" t="s">
        <v>1752</v>
      </c>
    </row>
    <row r="1088" spans="1:13" x14ac:dyDescent="0.25">
      <c r="A1088" s="75">
        <f t="shared" si="16"/>
        <v>1087</v>
      </c>
      <c r="B1088" t="s">
        <v>13</v>
      </c>
      <c r="C1088" t="s">
        <v>1748</v>
      </c>
      <c r="D1088" t="s">
        <v>1908</v>
      </c>
      <c r="E1088" t="s">
        <v>1909</v>
      </c>
      <c r="G1088" t="s">
        <v>63</v>
      </c>
      <c r="H1088" s="75" t="str">
        <f>IFERROR(VLOOKUP(Table2[[#This Row],[Ticket]],Okey!A:B,2,0),"")</f>
        <v>ok</v>
      </c>
      <c r="I1088" t="s">
        <v>19</v>
      </c>
      <c r="J1088" t="str">
        <f>VLOOKUP(Table2[[#This Row],[Author]],People!A:B,2,0)</f>
        <v>EL</v>
      </c>
      <c r="M1088" t="s">
        <v>1752</v>
      </c>
    </row>
    <row r="1089" spans="1:13" x14ac:dyDescent="0.25">
      <c r="A1089" s="75">
        <f t="shared" si="16"/>
        <v>1088</v>
      </c>
      <c r="B1089" t="s">
        <v>13</v>
      </c>
      <c r="C1089" t="s">
        <v>1748</v>
      </c>
      <c r="D1089" t="s">
        <v>1910</v>
      </c>
      <c r="E1089" t="s">
        <v>1911</v>
      </c>
      <c r="G1089" t="s">
        <v>63</v>
      </c>
      <c r="H1089" s="75" t="str">
        <f>IFERROR(VLOOKUP(Table2[[#This Row],[Ticket]],Okey!A:B,2,0),"")</f>
        <v>ok</v>
      </c>
      <c r="I1089" t="s">
        <v>19</v>
      </c>
      <c r="J1089" t="str">
        <f>VLOOKUP(Table2[[#This Row],[Author]],People!A:B,2,0)</f>
        <v>EL</v>
      </c>
      <c r="M1089" t="s">
        <v>1752</v>
      </c>
    </row>
    <row r="1090" spans="1:13" x14ac:dyDescent="0.25">
      <c r="A1090" s="75">
        <f t="shared" si="16"/>
        <v>1089</v>
      </c>
      <c r="B1090" t="s">
        <v>13</v>
      </c>
      <c r="C1090" t="s">
        <v>1748</v>
      </c>
      <c r="D1090" t="s">
        <v>1912</v>
      </c>
      <c r="E1090" t="s">
        <v>1913</v>
      </c>
      <c r="G1090" t="s">
        <v>63</v>
      </c>
      <c r="H1090" s="75" t="str">
        <f>IFERROR(VLOOKUP(Table2[[#This Row],[Ticket]],Okey!A:B,2,0),"")</f>
        <v>ok</v>
      </c>
      <c r="I1090" t="s">
        <v>19</v>
      </c>
      <c r="J1090" t="str">
        <f>VLOOKUP(Table2[[#This Row],[Author]],People!A:B,2,0)</f>
        <v>EL</v>
      </c>
      <c r="M1090" t="s">
        <v>1752</v>
      </c>
    </row>
    <row r="1091" spans="1:13" x14ac:dyDescent="0.25">
      <c r="A1091" s="75">
        <f t="shared" si="16"/>
        <v>1090</v>
      </c>
      <c r="B1091" t="s">
        <v>13</v>
      </c>
      <c r="C1091" t="s">
        <v>1748</v>
      </c>
      <c r="D1091" t="s">
        <v>1914</v>
      </c>
      <c r="E1091" t="s">
        <v>1915</v>
      </c>
      <c r="G1091" t="s">
        <v>63</v>
      </c>
      <c r="H1091" s="75" t="str">
        <f>IFERROR(VLOOKUP(Table2[[#This Row],[Ticket]],Okey!A:B,2,0),"")</f>
        <v>ok</v>
      </c>
      <c r="I1091" t="s">
        <v>19</v>
      </c>
      <c r="J1091" t="str">
        <f>VLOOKUP(Table2[[#This Row],[Author]],People!A:B,2,0)</f>
        <v>EL</v>
      </c>
      <c r="M1091" t="s">
        <v>1752</v>
      </c>
    </row>
    <row r="1092" spans="1:13" x14ac:dyDescent="0.25">
      <c r="A1092" s="75">
        <f t="shared" si="16"/>
        <v>1091</v>
      </c>
      <c r="B1092" t="s">
        <v>13</v>
      </c>
      <c r="C1092" t="s">
        <v>1748</v>
      </c>
      <c r="D1092" t="s">
        <v>1916</v>
      </c>
      <c r="E1092" t="s">
        <v>1917</v>
      </c>
      <c r="G1092" t="s">
        <v>63</v>
      </c>
      <c r="H1092" s="75" t="str">
        <f>IFERROR(VLOOKUP(Table2[[#This Row],[Ticket]],Okey!A:B,2,0),"")</f>
        <v>ok</v>
      </c>
      <c r="I1092" t="s">
        <v>19</v>
      </c>
      <c r="J1092" t="str">
        <f>VLOOKUP(Table2[[#This Row],[Author]],People!A:B,2,0)</f>
        <v>EL</v>
      </c>
      <c r="M1092" t="s">
        <v>1752</v>
      </c>
    </row>
    <row r="1093" spans="1:13" x14ac:dyDescent="0.25">
      <c r="A1093" s="75">
        <f t="shared" si="16"/>
        <v>1092</v>
      </c>
      <c r="B1093" t="s">
        <v>13</v>
      </c>
      <c r="C1093" t="s">
        <v>1748</v>
      </c>
      <c r="D1093" t="s">
        <v>1918</v>
      </c>
      <c r="E1093" t="s">
        <v>1919</v>
      </c>
      <c r="G1093" t="s">
        <v>63</v>
      </c>
      <c r="H1093" s="75" t="str">
        <f>IFERROR(VLOOKUP(Table2[[#This Row],[Ticket]],Okey!A:B,2,0),"")</f>
        <v>ok</v>
      </c>
      <c r="I1093" t="s">
        <v>19</v>
      </c>
      <c r="J1093" t="str">
        <f>VLOOKUP(Table2[[#This Row],[Author]],People!A:B,2,0)</f>
        <v>EL</v>
      </c>
      <c r="M1093" t="s">
        <v>1752</v>
      </c>
    </row>
    <row r="1094" spans="1:13" x14ac:dyDescent="0.25">
      <c r="A1094" s="75">
        <f t="shared" si="16"/>
        <v>1093</v>
      </c>
      <c r="B1094" t="s">
        <v>13</v>
      </c>
      <c r="C1094" t="s">
        <v>1748</v>
      </c>
      <c r="D1094" t="s">
        <v>1920</v>
      </c>
      <c r="E1094" t="s">
        <v>1921</v>
      </c>
      <c r="G1094" t="s">
        <v>63</v>
      </c>
      <c r="H1094" s="75" t="str">
        <f>IFERROR(VLOOKUP(Table2[[#This Row],[Ticket]],Okey!A:B,2,0),"")</f>
        <v>ok</v>
      </c>
      <c r="I1094" t="s">
        <v>19</v>
      </c>
      <c r="J1094" t="str">
        <f>VLOOKUP(Table2[[#This Row],[Author]],People!A:B,2,0)</f>
        <v>EL</v>
      </c>
      <c r="M1094" t="s">
        <v>1752</v>
      </c>
    </row>
    <row r="1095" spans="1:13" x14ac:dyDescent="0.25">
      <c r="A1095" s="75">
        <f t="shared" si="16"/>
        <v>1094</v>
      </c>
      <c r="B1095" t="s">
        <v>13</v>
      </c>
      <c r="C1095" t="s">
        <v>1748</v>
      </c>
      <c r="D1095" t="s">
        <v>1922</v>
      </c>
      <c r="E1095" t="s">
        <v>1923</v>
      </c>
      <c r="G1095" t="s">
        <v>63</v>
      </c>
      <c r="H1095" s="75" t="str">
        <f>IFERROR(VLOOKUP(Table2[[#This Row],[Ticket]],Okey!A:B,2,0),"")</f>
        <v>ok</v>
      </c>
      <c r="I1095" t="s">
        <v>19</v>
      </c>
      <c r="J1095" t="str">
        <f>VLOOKUP(Table2[[#This Row],[Author]],People!A:B,2,0)</f>
        <v>EL</v>
      </c>
      <c r="M1095" t="s">
        <v>1752</v>
      </c>
    </row>
    <row r="1096" spans="1:13" x14ac:dyDescent="0.25">
      <c r="A1096" s="75">
        <f t="shared" si="16"/>
        <v>1095</v>
      </c>
      <c r="B1096" t="s">
        <v>13</v>
      </c>
      <c r="C1096" t="s">
        <v>1748</v>
      </c>
      <c r="D1096" t="s">
        <v>1924</v>
      </c>
      <c r="E1096" t="s">
        <v>1925</v>
      </c>
      <c r="G1096" t="s">
        <v>63</v>
      </c>
      <c r="H1096" s="75" t="str">
        <f>IFERROR(VLOOKUP(Table2[[#This Row],[Ticket]],Okey!A:B,2,0),"")</f>
        <v>ok</v>
      </c>
      <c r="I1096" t="s">
        <v>19</v>
      </c>
      <c r="J1096" t="str">
        <f>VLOOKUP(Table2[[#This Row],[Author]],People!A:B,2,0)</f>
        <v>EL</v>
      </c>
      <c r="M1096" t="s">
        <v>1752</v>
      </c>
    </row>
    <row r="1097" spans="1:13" x14ac:dyDescent="0.25">
      <c r="A1097" s="75">
        <f t="shared" ref="A1097:A1160" si="17">1+A1096</f>
        <v>1096</v>
      </c>
      <c r="B1097" t="s">
        <v>13</v>
      </c>
      <c r="C1097" t="s">
        <v>1748</v>
      </c>
      <c r="D1097" t="s">
        <v>1926</v>
      </c>
      <c r="E1097" t="s">
        <v>1927</v>
      </c>
      <c r="G1097" t="s">
        <v>63</v>
      </c>
      <c r="H1097" s="75" t="str">
        <f>IFERROR(VLOOKUP(Table2[[#This Row],[Ticket]],Okey!A:B,2,0),"")</f>
        <v>ok</v>
      </c>
      <c r="I1097" t="s">
        <v>19</v>
      </c>
      <c r="J1097" t="str">
        <f>VLOOKUP(Table2[[#This Row],[Author]],People!A:B,2,0)</f>
        <v>EL</v>
      </c>
      <c r="M1097" t="s">
        <v>1752</v>
      </c>
    </row>
    <row r="1098" spans="1:13" x14ac:dyDescent="0.25">
      <c r="A1098" s="75">
        <f t="shared" si="17"/>
        <v>1097</v>
      </c>
      <c r="B1098" t="s">
        <v>13</v>
      </c>
      <c r="C1098" t="s">
        <v>1748</v>
      </c>
      <c r="D1098" t="s">
        <v>1928</v>
      </c>
      <c r="E1098" t="s">
        <v>1929</v>
      </c>
      <c r="G1098" t="s">
        <v>63</v>
      </c>
      <c r="H1098" s="75" t="str">
        <f>IFERROR(VLOOKUP(Table2[[#This Row],[Ticket]],Okey!A:B,2,0),"")</f>
        <v>ok</v>
      </c>
      <c r="I1098" t="s">
        <v>19</v>
      </c>
      <c r="J1098" t="str">
        <f>VLOOKUP(Table2[[#This Row],[Author]],People!A:B,2,0)</f>
        <v>EL</v>
      </c>
      <c r="M1098" t="s">
        <v>1752</v>
      </c>
    </row>
    <row r="1099" spans="1:13" x14ac:dyDescent="0.25">
      <c r="A1099" s="75">
        <f t="shared" si="17"/>
        <v>1098</v>
      </c>
      <c r="B1099" t="s">
        <v>13</v>
      </c>
      <c r="C1099" t="s">
        <v>1748</v>
      </c>
      <c r="D1099" t="s">
        <v>1930</v>
      </c>
      <c r="E1099" t="s">
        <v>1931</v>
      </c>
      <c r="G1099" t="s">
        <v>63</v>
      </c>
      <c r="H1099" s="75" t="str">
        <f>IFERROR(VLOOKUP(Table2[[#This Row],[Ticket]],Okey!A:B,2,0),"")</f>
        <v>ok</v>
      </c>
      <c r="I1099" t="s">
        <v>19</v>
      </c>
      <c r="J1099" t="str">
        <f>VLOOKUP(Table2[[#This Row],[Author]],People!A:B,2,0)</f>
        <v>EL</v>
      </c>
      <c r="M1099" t="s">
        <v>1752</v>
      </c>
    </row>
    <row r="1100" spans="1:13" x14ac:dyDescent="0.25">
      <c r="A1100" s="75">
        <f t="shared" si="17"/>
        <v>1099</v>
      </c>
      <c r="B1100" t="s">
        <v>13</v>
      </c>
      <c r="C1100" t="s">
        <v>1748</v>
      </c>
      <c r="D1100" t="s">
        <v>1932</v>
      </c>
      <c r="E1100" t="s">
        <v>1933</v>
      </c>
      <c r="G1100" t="s">
        <v>63</v>
      </c>
      <c r="H1100" s="75" t="str">
        <f>IFERROR(VLOOKUP(Table2[[#This Row],[Ticket]],Okey!A:B,2,0),"")</f>
        <v>ok</v>
      </c>
      <c r="I1100" t="s">
        <v>19</v>
      </c>
      <c r="J1100" t="str">
        <f>VLOOKUP(Table2[[#This Row],[Author]],People!A:B,2,0)</f>
        <v>EL</v>
      </c>
      <c r="M1100" t="s">
        <v>1752</v>
      </c>
    </row>
    <row r="1101" spans="1:13" x14ac:dyDescent="0.25">
      <c r="A1101" s="75">
        <f t="shared" si="17"/>
        <v>1100</v>
      </c>
      <c r="B1101" t="s">
        <v>13</v>
      </c>
      <c r="C1101" t="s">
        <v>1748</v>
      </c>
      <c r="D1101" t="s">
        <v>1934</v>
      </c>
      <c r="E1101" t="s">
        <v>1935</v>
      </c>
      <c r="G1101" t="s">
        <v>63</v>
      </c>
      <c r="H1101" s="75" t="str">
        <f>IFERROR(VLOOKUP(Table2[[#This Row],[Ticket]],Okey!A:B,2,0),"")</f>
        <v>ok</v>
      </c>
      <c r="I1101" t="s">
        <v>19</v>
      </c>
      <c r="J1101" t="str">
        <f>VLOOKUP(Table2[[#This Row],[Author]],People!A:B,2,0)</f>
        <v>EL</v>
      </c>
      <c r="M1101" t="s">
        <v>1752</v>
      </c>
    </row>
    <row r="1102" spans="1:13" x14ac:dyDescent="0.25">
      <c r="A1102" s="75">
        <f t="shared" si="17"/>
        <v>1101</v>
      </c>
      <c r="B1102" t="s">
        <v>13</v>
      </c>
      <c r="C1102" t="s">
        <v>1748</v>
      </c>
      <c r="D1102" t="s">
        <v>1936</v>
      </c>
      <c r="E1102" t="s">
        <v>1937</v>
      </c>
      <c r="G1102" t="s">
        <v>63</v>
      </c>
      <c r="H1102" s="75" t="str">
        <f>IFERROR(VLOOKUP(Table2[[#This Row],[Ticket]],Okey!A:B,2,0),"")</f>
        <v>ok</v>
      </c>
      <c r="I1102" t="s">
        <v>19</v>
      </c>
      <c r="J1102" t="str">
        <f>VLOOKUP(Table2[[#This Row],[Author]],People!A:B,2,0)</f>
        <v>EL</v>
      </c>
      <c r="M1102" t="s">
        <v>1752</v>
      </c>
    </row>
    <row r="1103" spans="1:13" x14ac:dyDescent="0.25">
      <c r="A1103" s="75">
        <f t="shared" si="17"/>
        <v>1102</v>
      </c>
      <c r="B1103" t="s">
        <v>13</v>
      </c>
      <c r="C1103" t="s">
        <v>1748</v>
      </c>
      <c r="D1103" t="s">
        <v>1938</v>
      </c>
      <c r="E1103" t="s">
        <v>1939</v>
      </c>
      <c r="G1103" t="s">
        <v>63</v>
      </c>
      <c r="H1103" s="75" t="str">
        <f>IFERROR(VLOOKUP(Table2[[#This Row],[Ticket]],Okey!A:B,2,0),"")</f>
        <v>ok</v>
      </c>
      <c r="I1103" t="s">
        <v>19</v>
      </c>
      <c r="J1103" t="str">
        <f>VLOOKUP(Table2[[#This Row],[Author]],People!A:B,2,0)</f>
        <v>EL</v>
      </c>
      <c r="M1103" t="s">
        <v>1752</v>
      </c>
    </row>
    <row r="1104" spans="1:13" x14ac:dyDescent="0.25">
      <c r="A1104" s="75">
        <f t="shared" si="17"/>
        <v>1103</v>
      </c>
      <c r="B1104" t="s">
        <v>13</v>
      </c>
      <c r="C1104" t="s">
        <v>1748</v>
      </c>
      <c r="D1104" t="s">
        <v>1940</v>
      </c>
      <c r="E1104" t="s">
        <v>1941</v>
      </c>
      <c r="G1104" t="s">
        <v>63</v>
      </c>
      <c r="H1104" s="75" t="str">
        <f>IFERROR(VLOOKUP(Table2[[#This Row],[Ticket]],Okey!A:B,2,0),"")</f>
        <v>ok</v>
      </c>
      <c r="I1104" t="s">
        <v>19</v>
      </c>
      <c r="J1104" t="str">
        <f>VLOOKUP(Table2[[#This Row],[Author]],People!A:B,2,0)</f>
        <v>EL</v>
      </c>
      <c r="M1104" t="s">
        <v>1752</v>
      </c>
    </row>
    <row r="1105" spans="1:13" x14ac:dyDescent="0.25">
      <c r="A1105" s="75">
        <f t="shared" si="17"/>
        <v>1104</v>
      </c>
      <c r="B1105" t="s">
        <v>13</v>
      </c>
      <c r="C1105" t="s">
        <v>1748</v>
      </c>
      <c r="D1105" t="s">
        <v>1942</v>
      </c>
      <c r="E1105" t="s">
        <v>1943</v>
      </c>
      <c r="G1105" t="s">
        <v>63</v>
      </c>
      <c r="H1105" s="75" t="str">
        <f>IFERROR(VLOOKUP(Table2[[#This Row],[Ticket]],Okey!A:B,2,0),"")</f>
        <v>ok</v>
      </c>
      <c r="I1105" t="s">
        <v>19</v>
      </c>
      <c r="J1105" t="str">
        <f>VLOOKUP(Table2[[#This Row],[Author]],People!A:B,2,0)</f>
        <v>EL</v>
      </c>
      <c r="M1105" t="s">
        <v>1752</v>
      </c>
    </row>
    <row r="1106" spans="1:13" x14ac:dyDescent="0.25">
      <c r="A1106" s="75">
        <f t="shared" si="17"/>
        <v>1105</v>
      </c>
      <c r="B1106" t="s">
        <v>13</v>
      </c>
      <c r="C1106" t="s">
        <v>1748</v>
      </c>
      <c r="D1106" t="s">
        <v>1944</v>
      </c>
      <c r="E1106" t="s">
        <v>1945</v>
      </c>
      <c r="G1106" t="s">
        <v>63</v>
      </c>
      <c r="H1106" s="75" t="str">
        <f>IFERROR(VLOOKUP(Table2[[#This Row],[Ticket]],Okey!A:B,2,0),"")</f>
        <v>ok</v>
      </c>
      <c r="I1106" t="s">
        <v>19</v>
      </c>
      <c r="J1106" t="str">
        <f>VLOOKUP(Table2[[#This Row],[Author]],People!A:B,2,0)</f>
        <v>EL</v>
      </c>
      <c r="M1106" t="s">
        <v>1752</v>
      </c>
    </row>
    <row r="1107" spans="1:13" x14ac:dyDescent="0.25">
      <c r="A1107" s="75">
        <f t="shared" si="17"/>
        <v>1106</v>
      </c>
      <c r="B1107" t="s">
        <v>13</v>
      </c>
      <c r="C1107" t="s">
        <v>1748</v>
      </c>
      <c r="D1107" t="s">
        <v>1946</v>
      </c>
      <c r="E1107" t="s">
        <v>1947</v>
      </c>
      <c r="G1107" t="s">
        <v>63</v>
      </c>
      <c r="H1107" s="75" t="str">
        <f>IFERROR(VLOOKUP(Table2[[#This Row],[Ticket]],Okey!A:B,2,0),"")</f>
        <v>ok</v>
      </c>
      <c r="I1107" t="s">
        <v>19</v>
      </c>
      <c r="J1107" t="str">
        <f>VLOOKUP(Table2[[#This Row],[Author]],People!A:B,2,0)</f>
        <v>EL</v>
      </c>
      <c r="M1107" t="s">
        <v>1752</v>
      </c>
    </row>
    <row r="1108" spans="1:13" x14ac:dyDescent="0.25">
      <c r="A1108" s="75">
        <f t="shared" si="17"/>
        <v>1107</v>
      </c>
      <c r="B1108" t="s">
        <v>13</v>
      </c>
      <c r="C1108" t="s">
        <v>1748</v>
      </c>
      <c r="D1108" t="s">
        <v>1948</v>
      </c>
      <c r="E1108" t="s">
        <v>1949</v>
      </c>
      <c r="G1108" t="s">
        <v>63</v>
      </c>
      <c r="H1108" s="75" t="str">
        <f>IFERROR(VLOOKUP(Table2[[#This Row],[Ticket]],Okey!A:B,2,0),"")</f>
        <v>ok</v>
      </c>
      <c r="I1108" t="s">
        <v>19</v>
      </c>
      <c r="J1108" t="str">
        <f>VLOOKUP(Table2[[#This Row],[Author]],People!A:B,2,0)</f>
        <v>EL</v>
      </c>
      <c r="M1108" t="s">
        <v>1752</v>
      </c>
    </row>
    <row r="1109" spans="1:13" x14ac:dyDescent="0.25">
      <c r="A1109" s="75">
        <f t="shared" si="17"/>
        <v>1108</v>
      </c>
      <c r="B1109" t="s">
        <v>13</v>
      </c>
      <c r="C1109" t="s">
        <v>1748</v>
      </c>
      <c r="D1109" t="s">
        <v>1950</v>
      </c>
      <c r="E1109" t="s">
        <v>1951</v>
      </c>
      <c r="G1109" t="s">
        <v>63</v>
      </c>
      <c r="H1109" s="75" t="str">
        <f>IFERROR(VLOOKUP(Table2[[#This Row],[Ticket]],Okey!A:B,2,0),"")</f>
        <v>ok</v>
      </c>
      <c r="I1109" t="s">
        <v>19</v>
      </c>
      <c r="J1109" t="str">
        <f>VLOOKUP(Table2[[#This Row],[Author]],People!A:B,2,0)</f>
        <v>EL</v>
      </c>
      <c r="M1109" t="s">
        <v>1752</v>
      </c>
    </row>
    <row r="1110" spans="1:13" x14ac:dyDescent="0.25">
      <c r="A1110" s="75">
        <f t="shared" si="17"/>
        <v>1109</v>
      </c>
      <c r="B1110" t="s">
        <v>13</v>
      </c>
      <c r="C1110" t="s">
        <v>1748</v>
      </c>
      <c r="D1110" t="s">
        <v>1952</v>
      </c>
      <c r="E1110" t="s">
        <v>1953</v>
      </c>
      <c r="G1110" t="s">
        <v>63</v>
      </c>
      <c r="H1110" s="75" t="str">
        <f>IFERROR(VLOOKUP(Table2[[#This Row],[Ticket]],Okey!A:B,2,0),"")</f>
        <v>ok</v>
      </c>
      <c r="I1110" t="s">
        <v>19</v>
      </c>
      <c r="J1110" t="str">
        <f>VLOOKUP(Table2[[#This Row],[Author]],People!A:B,2,0)</f>
        <v>EL</v>
      </c>
      <c r="M1110" t="s">
        <v>1752</v>
      </c>
    </row>
    <row r="1111" spans="1:13" x14ac:dyDescent="0.25">
      <c r="A1111" s="75">
        <f t="shared" si="17"/>
        <v>1110</v>
      </c>
      <c r="B1111" t="s">
        <v>13</v>
      </c>
      <c r="C1111" t="s">
        <v>1748</v>
      </c>
      <c r="D1111" t="s">
        <v>1954</v>
      </c>
      <c r="E1111" t="s">
        <v>1955</v>
      </c>
      <c r="G1111" t="s">
        <v>63</v>
      </c>
      <c r="H1111" s="75" t="str">
        <f>IFERROR(VLOOKUP(Table2[[#This Row],[Ticket]],Okey!A:B,2,0),"")</f>
        <v>ok</v>
      </c>
      <c r="I1111" t="s">
        <v>19</v>
      </c>
      <c r="J1111" t="str">
        <f>VLOOKUP(Table2[[#This Row],[Author]],People!A:B,2,0)</f>
        <v>EL</v>
      </c>
      <c r="M1111" t="s">
        <v>1752</v>
      </c>
    </row>
    <row r="1112" spans="1:13" x14ac:dyDescent="0.25">
      <c r="A1112" s="75">
        <f t="shared" si="17"/>
        <v>1111</v>
      </c>
      <c r="B1112" t="s">
        <v>13</v>
      </c>
      <c r="C1112" t="s">
        <v>1748</v>
      </c>
      <c r="D1112" t="s">
        <v>1956</v>
      </c>
      <c r="E1112" t="s">
        <v>1957</v>
      </c>
      <c r="G1112" t="s">
        <v>63</v>
      </c>
      <c r="H1112" s="75" t="str">
        <f>IFERROR(VLOOKUP(Table2[[#This Row],[Ticket]],Okey!A:B,2,0),"")</f>
        <v>ok</v>
      </c>
      <c r="I1112" t="s">
        <v>19</v>
      </c>
      <c r="J1112" t="str">
        <f>VLOOKUP(Table2[[#This Row],[Author]],People!A:B,2,0)</f>
        <v>EL</v>
      </c>
      <c r="M1112" t="s">
        <v>1752</v>
      </c>
    </row>
    <row r="1113" spans="1:13" x14ac:dyDescent="0.25">
      <c r="A1113" s="75">
        <f t="shared" si="17"/>
        <v>1112</v>
      </c>
      <c r="B1113" t="s">
        <v>13</v>
      </c>
      <c r="C1113" t="s">
        <v>1748</v>
      </c>
      <c r="D1113" t="s">
        <v>1958</v>
      </c>
      <c r="E1113" t="s">
        <v>1959</v>
      </c>
      <c r="G1113" t="s">
        <v>63</v>
      </c>
      <c r="H1113" s="75" t="str">
        <f>IFERROR(VLOOKUP(Table2[[#This Row],[Ticket]],Okey!A:B,2,0),"")</f>
        <v>ok</v>
      </c>
      <c r="I1113" t="s">
        <v>19</v>
      </c>
      <c r="J1113" t="str">
        <f>VLOOKUP(Table2[[#This Row],[Author]],People!A:B,2,0)</f>
        <v>EL</v>
      </c>
      <c r="M1113" t="s">
        <v>1752</v>
      </c>
    </row>
    <row r="1114" spans="1:13" x14ac:dyDescent="0.25">
      <c r="A1114" s="75">
        <f t="shared" si="17"/>
        <v>1113</v>
      </c>
      <c r="B1114" t="s">
        <v>13</v>
      </c>
      <c r="C1114" t="s">
        <v>1748</v>
      </c>
      <c r="D1114" t="s">
        <v>1960</v>
      </c>
      <c r="E1114" t="s">
        <v>1961</v>
      </c>
      <c r="G1114" t="s">
        <v>63</v>
      </c>
      <c r="H1114" s="75" t="str">
        <f>IFERROR(VLOOKUP(Table2[[#This Row],[Ticket]],Okey!A:B,2,0),"")</f>
        <v>ok</v>
      </c>
      <c r="I1114" t="s">
        <v>19</v>
      </c>
      <c r="J1114" t="str">
        <f>VLOOKUP(Table2[[#This Row],[Author]],People!A:B,2,0)</f>
        <v>EL</v>
      </c>
      <c r="M1114" t="s">
        <v>1752</v>
      </c>
    </row>
    <row r="1115" spans="1:13" x14ac:dyDescent="0.25">
      <c r="A1115" s="75">
        <f t="shared" si="17"/>
        <v>1114</v>
      </c>
      <c r="B1115" t="s">
        <v>13</v>
      </c>
      <c r="C1115" t="s">
        <v>1748</v>
      </c>
      <c r="D1115" t="s">
        <v>1962</v>
      </c>
      <c r="E1115" t="s">
        <v>1963</v>
      </c>
      <c r="G1115" t="s">
        <v>63</v>
      </c>
      <c r="H1115" s="75" t="str">
        <f>IFERROR(VLOOKUP(Table2[[#This Row],[Ticket]],Okey!A:B,2,0),"")</f>
        <v>ok</v>
      </c>
      <c r="I1115" t="s">
        <v>19</v>
      </c>
      <c r="J1115" t="str">
        <f>VLOOKUP(Table2[[#This Row],[Author]],People!A:B,2,0)</f>
        <v>EL</v>
      </c>
      <c r="M1115" t="s">
        <v>1752</v>
      </c>
    </row>
    <row r="1116" spans="1:13" x14ac:dyDescent="0.25">
      <c r="A1116" s="75">
        <f t="shared" si="17"/>
        <v>1115</v>
      </c>
      <c r="B1116" t="s">
        <v>13</v>
      </c>
      <c r="C1116" t="s">
        <v>1748</v>
      </c>
      <c r="D1116" t="s">
        <v>1964</v>
      </c>
      <c r="E1116" t="s">
        <v>1965</v>
      </c>
      <c r="G1116" t="s">
        <v>63</v>
      </c>
      <c r="H1116" s="75" t="str">
        <f>IFERROR(VLOOKUP(Table2[[#This Row],[Ticket]],Okey!A:B,2,0),"")</f>
        <v>ok</v>
      </c>
      <c r="I1116" t="s">
        <v>19</v>
      </c>
      <c r="J1116" t="str">
        <f>VLOOKUP(Table2[[#This Row],[Author]],People!A:B,2,0)</f>
        <v>EL</v>
      </c>
      <c r="M1116" t="s">
        <v>1752</v>
      </c>
    </row>
    <row r="1117" spans="1:13" x14ac:dyDescent="0.25">
      <c r="A1117" s="75">
        <f t="shared" si="17"/>
        <v>1116</v>
      </c>
      <c r="B1117" t="s">
        <v>13</v>
      </c>
      <c r="C1117" t="s">
        <v>1748</v>
      </c>
      <c r="D1117" t="s">
        <v>1966</v>
      </c>
      <c r="E1117" t="s">
        <v>1967</v>
      </c>
      <c r="G1117" t="s">
        <v>63</v>
      </c>
      <c r="H1117" s="75" t="str">
        <f>IFERROR(VLOOKUP(Table2[[#This Row],[Ticket]],Okey!A:B,2,0),"")</f>
        <v>ok</v>
      </c>
      <c r="I1117" t="s">
        <v>19</v>
      </c>
      <c r="J1117" t="str">
        <f>VLOOKUP(Table2[[#This Row],[Author]],People!A:B,2,0)</f>
        <v>EL</v>
      </c>
      <c r="M1117" t="s">
        <v>1752</v>
      </c>
    </row>
    <row r="1118" spans="1:13" x14ac:dyDescent="0.25">
      <c r="A1118" s="75">
        <f t="shared" si="17"/>
        <v>1117</v>
      </c>
      <c r="B1118" t="s">
        <v>13</v>
      </c>
      <c r="C1118" t="s">
        <v>1748</v>
      </c>
      <c r="D1118" t="s">
        <v>280</v>
      </c>
      <c r="E1118" t="s">
        <v>1968</v>
      </c>
      <c r="G1118" t="s">
        <v>63</v>
      </c>
      <c r="H1118" s="75" t="str">
        <f>IFERROR(VLOOKUP(Table2[[#This Row],[Ticket]],Okey!A:B,2,0),"")</f>
        <v>ok</v>
      </c>
      <c r="I1118" t="s">
        <v>19</v>
      </c>
      <c r="J1118" t="str">
        <f>VLOOKUP(Table2[[#This Row],[Author]],People!A:B,2,0)</f>
        <v>EL</v>
      </c>
      <c r="M1118" t="s">
        <v>1752</v>
      </c>
    </row>
    <row r="1119" spans="1:13" x14ac:dyDescent="0.25">
      <c r="A1119" s="75">
        <f t="shared" si="17"/>
        <v>1118</v>
      </c>
      <c r="B1119" t="s">
        <v>13</v>
      </c>
      <c r="C1119" t="s">
        <v>1748</v>
      </c>
      <c r="D1119" t="s">
        <v>282</v>
      </c>
      <c r="E1119" t="s">
        <v>1969</v>
      </c>
      <c r="G1119" t="s">
        <v>63</v>
      </c>
      <c r="H1119" s="75" t="str">
        <f>IFERROR(VLOOKUP(Table2[[#This Row],[Ticket]],Okey!A:B,2,0),"")</f>
        <v>ok</v>
      </c>
      <c r="I1119" t="s">
        <v>19</v>
      </c>
      <c r="J1119" t="str">
        <f>VLOOKUP(Table2[[#This Row],[Author]],People!A:B,2,0)</f>
        <v>EL</v>
      </c>
      <c r="M1119" t="s">
        <v>1752</v>
      </c>
    </row>
    <row r="1120" spans="1:13" x14ac:dyDescent="0.25">
      <c r="A1120" s="75">
        <f t="shared" si="17"/>
        <v>1119</v>
      </c>
      <c r="B1120" t="s">
        <v>13</v>
      </c>
      <c r="C1120" t="s">
        <v>1748</v>
      </c>
      <c r="D1120" t="s">
        <v>284</v>
      </c>
      <c r="E1120" t="s">
        <v>1970</v>
      </c>
      <c r="G1120" t="s">
        <v>63</v>
      </c>
      <c r="H1120" s="75" t="str">
        <f>IFERROR(VLOOKUP(Table2[[#This Row],[Ticket]],Okey!A:B,2,0),"")</f>
        <v>ok</v>
      </c>
      <c r="I1120" t="s">
        <v>19</v>
      </c>
      <c r="J1120" t="str">
        <f>VLOOKUP(Table2[[#This Row],[Author]],People!A:B,2,0)</f>
        <v>EL</v>
      </c>
      <c r="M1120" t="s">
        <v>1752</v>
      </c>
    </row>
    <row r="1121" spans="1:13" x14ac:dyDescent="0.25">
      <c r="A1121" s="75">
        <f t="shared" si="17"/>
        <v>1120</v>
      </c>
      <c r="B1121" t="s">
        <v>13</v>
      </c>
      <c r="C1121" t="s">
        <v>1748</v>
      </c>
      <c r="D1121" t="s">
        <v>286</v>
      </c>
      <c r="E1121" t="s">
        <v>1971</v>
      </c>
      <c r="G1121" t="s">
        <v>63</v>
      </c>
      <c r="H1121" s="75" t="str">
        <f>IFERROR(VLOOKUP(Table2[[#This Row],[Ticket]],Okey!A:B,2,0),"")</f>
        <v>ok</v>
      </c>
      <c r="I1121" t="s">
        <v>19</v>
      </c>
      <c r="J1121" t="str">
        <f>VLOOKUP(Table2[[#This Row],[Author]],People!A:B,2,0)</f>
        <v>EL</v>
      </c>
      <c r="M1121" t="s">
        <v>1752</v>
      </c>
    </row>
    <row r="1122" spans="1:13" x14ac:dyDescent="0.25">
      <c r="A1122" s="75">
        <f t="shared" si="17"/>
        <v>1121</v>
      </c>
      <c r="B1122" t="s">
        <v>13</v>
      </c>
      <c r="C1122" t="s">
        <v>1748</v>
      </c>
      <c r="D1122" t="s">
        <v>288</v>
      </c>
      <c r="E1122" t="s">
        <v>1972</v>
      </c>
      <c r="G1122" t="s">
        <v>63</v>
      </c>
      <c r="H1122" s="75" t="str">
        <f>IFERROR(VLOOKUP(Table2[[#This Row],[Ticket]],Okey!A:B,2,0),"")</f>
        <v>ok</v>
      </c>
      <c r="I1122" t="s">
        <v>19</v>
      </c>
      <c r="J1122" t="str">
        <f>VLOOKUP(Table2[[#This Row],[Author]],People!A:B,2,0)</f>
        <v>EL</v>
      </c>
      <c r="M1122" t="s">
        <v>1752</v>
      </c>
    </row>
    <row r="1123" spans="1:13" x14ac:dyDescent="0.25">
      <c r="A1123" s="75">
        <f t="shared" si="17"/>
        <v>1122</v>
      </c>
      <c r="B1123" t="s">
        <v>13</v>
      </c>
      <c r="C1123" t="s">
        <v>1748</v>
      </c>
      <c r="D1123" t="s">
        <v>281</v>
      </c>
      <c r="E1123" t="s">
        <v>1973</v>
      </c>
      <c r="G1123" t="s">
        <v>63</v>
      </c>
      <c r="H1123" s="75" t="str">
        <f>IFERROR(VLOOKUP(Table2[[#This Row],[Ticket]],Okey!A:B,2,0),"")</f>
        <v>ok</v>
      </c>
      <c r="I1123" t="s">
        <v>19</v>
      </c>
      <c r="J1123" t="str">
        <f>VLOOKUP(Table2[[#This Row],[Author]],People!A:B,2,0)</f>
        <v>EL</v>
      </c>
      <c r="M1123" t="s">
        <v>1752</v>
      </c>
    </row>
    <row r="1124" spans="1:13" x14ac:dyDescent="0.25">
      <c r="A1124" s="75">
        <f t="shared" si="17"/>
        <v>1123</v>
      </c>
      <c r="B1124" t="s">
        <v>13</v>
      </c>
      <c r="C1124" t="s">
        <v>1748</v>
      </c>
      <c r="D1124" t="s">
        <v>283</v>
      </c>
      <c r="E1124" t="s">
        <v>1974</v>
      </c>
      <c r="G1124" t="s">
        <v>63</v>
      </c>
      <c r="H1124" s="75" t="str">
        <f>IFERROR(VLOOKUP(Table2[[#This Row],[Ticket]],Okey!A:B,2,0),"")</f>
        <v>ok</v>
      </c>
      <c r="I1124" t="s">
        <v>19</v>
      </c>
      <c r="J1124" t="str">
        <f>VLOOKUP(Table2[[#This Row],[Author]],People!A:B,2,0)</f>
        <v>EL</v>
      </c>
      <c r="M1124" t="s">
        <v>1752</v>
      </c>
    </row>
    <row r="1125" spans="1:13" x14ac:dyDescent="0.25">
      <c r="A1125" s="75">
        <f t="shared" si="17"/>
        <v>1124</v>
      </c>
      <c r="B1125" t="s">
        <v>13</v>
      </c>
      <c r="C1125" t="s">
        <v>1748</v>
      </c>
      <c r="D1125" t="s">
        <v>285</v>
      </c>
      <c r="E1125" t="s">
        <v>1975</v>
      </c>
      <c r="G1125" t="s">
        <v>63</v>
      </c>
      <c r="H1125" s="75" t="str">
        <f>IFERROR(VLOOKUP(Table2[[#This Row],[Ticket]],Okey!A:B,2,0),"")</f>
        <v>ok</v>
      </c>
      <c r="I1125" t="s">
        <v>19</v>
      </c>
      <c r="J1125" t="str">
        <f>VLOOKUP(Table2[[#This Row],[Author]],People!A:B,2,0)</f>
        <v>EL</v>
      </c>
      <c r="M1125" t="s">
        <v>1752</v>
      </c>
    </row>
    <row r="1126" spans="1:13" x14ac:dyDescent="0.25">
      <c r="A1126" s="75">
        <f t="shared" si="17"/>
        <v>1125</v>
      </c>
      <c r="B1126" t="s">
        <v>13</v>
      </c>
      <c r="C1126" t="s">
        <v>1748</v>
      </c>
      <c r="D1126" t="s">
        <v>1976</v>
      </c>
      <c r="E1126" t="s">
        <v>1977</v>
      </c>
      <c r="G1126" t="s">
        <v>63</v>
      </c>
      <c r="H1126" s="75" t="str">
        <f>IFERROR(VLOOKUP(Table2[[#This Row],[Ticket]],Okey!A:B,2,0),"")</f>
        <v>ok</v>
      </c>
      <c r="I1126" t="s">
        <v>19</v>
      </c>
      <c r="J1126" t="str">
        <f>VLOOKUP(Table2[[#This Row],[Author]],People!A:B,2,0)</f>
        <v>EL</v>
      </c>
      <c r="M1126" t="s">
        <v>1752</v>
      </c>
    </row>
    <row r="1127" spans="1:13" x14ac:dyDescent="0.25">
      <c r="A1127" s="75">
        <f t="shared" si="17"/>
        <v>1126</v>
      </c>
      <c r="B1127" t="s">
        <v>13</v>
      </c>
      <c r="C1127" t="s">
        <v>1748</v>
      </c>
      <c r="D1127" t="s">
        <v>1978</v>
      </c>
      <c r="E1127" t="s">
        <v>1979</v>
      </c>
      <c r="G1127" t="s">
        <v>63</v>
      </c>
      <c r="H1127" s="75" t="str">
        <f>IFERROR(VLOOKUP(Table2[[#This Row],[Ticket]],Okey!A:B,2,0),"")</f>
        <v>ok</v>
      </c>
      <c r="I1127" t="s">
        <v>19</v>
      </c>
      <c r="J1127" t="str">
        <f>VLOOKUP(Table2[[#This Row],[Author]],People!A:B,2,0)</f>
        <v>EL</v>
      </c>
      <c r="M1127" t="s">
        <v>1752</v>
      </c>
    </row>
    <row r="1128" spans="1:13" x14ac:dyDescent="0.25">
      <c r="A1128" s="75">
        <f t="shared" si="17"/>
        <v>1127</v>
      </c>
      <c r="B1128" t="s">
        <v>13</v>
      </c>
      <c r="C1128" t="s">
        <v>1748</v>
      </c>
      <c r="D1128" t="s">
        <v>1980</v>
      </c>
      <c r="E1128" t="s">
        <v>1981</v>
      </c>
      <c r="G1128" t="s">
        <v>63</v>
      </c>
      <c r="H1128" s="75" t="str">
        <f>IFERROR(VLOOKUP(Table2[[#This Row],[Ticket]],Okey!A:B,2,0),"")</f>
        <v>ok</v>
      </c>
      <c r="I1128" t="s">
        <v>19</v>
      </c>
      <c r="J1128" t="str">
        <f>VLOOKUP(Table2[[#This Row],[Author]],People!A:B,2,0)</f>
        <v>EL</v>
      </c>
      <c r="M1128" t="s">
        <v>1752</v>
      </c>
    </row>
    <row r="1129" spans="1:13" x14ac:dyDescent="0.25">
      <c r="A1129" s="75">
        <f t="shared" si="17"/>
        <v>1128</v>
      </c>
      <c r="B1129" t="s">
        <v>13</v>
      </c>
      <c r="C1129" t="s">
        <v>1748</v>
      </c>
      <c r="D1129" t="s">
        <v>1982</v>
      </c>
      <c r="E1129" t="s">
        <v>1983</v>
      </c>
      <c r="G1129" t="s">
        <v>63</v>
      </c>
      <c r="H1129" s="75" t="str">
        <f>IFERROR(VLOOKUP(Table2[[#This Row],[Ticket]],Okey!A:B,2,0),"")</f>
        <v>ok</v>
      </c>
      <c r="I1129" t="s">
        <v>19</v>
      </c>
      <c r="J1129" t="str">
        <f>VLOOKUP(Table2[[#This Row],[Author]],People!A:B,2,0)</f>
        <v>EL</v>
      </c>
      <c r="M1129" t="s">
        <v>1752</v>
      </c>
    </row>
    <row r="1130" spans="1:13" x14ac:dyDescent="0.25">
      <c r="A1130" s="75">
        <f t="shared" si="17"/>
        <v>1129</v>
      </c>
      <c r="B1130" t="s">
        <v>13</v>
      </c>
      <c r="C1130" t="s">
        <v>1748</v>
      </c>
      <c r="D1130" t="s">
        <v>1984</v>
      </c>
      <c r="E1130" t="s">
        <v>1985</v>
      </c>
      <c r="G1130" t="s">
        <v>63</v>
      </c>
      <c r="H1130" s="75" t="str">
        <f>IFERROR(VLOOKUP(Table2[[#This Row],[Ticket]],Okey!A:B,2,0),"")</f>
        <v>ok</v>
      </c>
      <c r="I1130" t="s">
        <v>19</v>
      </c>
      <c r="J1130" t="str">
        <f>VLOOKUP(Table2[[#This Row],[Author]],People!A:B,2,0)</f>
        <v>EL</v>
      </c>
      <c r="M1130" t="s">
        <v>1752</v>
      </c>
    </row>
    <row r="1131" spans="1:13" x14ac:dyDescent="0.25">
      <c r="A1131" s="75">
        <f t="shared" si="17"/>
        <v>1130</v>
      </c>
      <c r="B1131" t="s">
        <v>13</v>
      </c>
      <c r="C1131" t="s">
        <v>1748</v>
      </c>
      <c r="D1131" t="s">
        <v>1986</v>
      </c>
      <c r="E1131" t="s">
        <v>1987</v>
      </c>
      <c r="G1131" t="s">
        <v>63</v>
      </c>
      <c r="H1131" s="75" t="str">
        <f>IFERROR(VLOOKUP(Table2[[#This Row],[Ticket]],Okey!A:B,2,0),"")</f>
        <v>ok</v>
      </c>
      <c r="I1131" t="s">
        <v>19</v>
      </c>
      <c r="J1131" t="str">
        <f>VLOOKUP(Table2[[#This Row],[Author]],People!A:B,2,0)</f>
        <v>EL</v>
      </c>
      <c r="M1131" t="s">
        <v>1752</v>
      </c>
    </row>
    <row r="1132" spans="1:13" x14ac:dyDescent="0.25">
      <c r="A1132" s="75">
        <f t="shared" si="17"/>
        <v>1131</v>
      </c>
      <c r="B1132" t="s">
        <v>13</v>
      </c>
      <c r="C1132" t="s">
        <v>1748</v>
      </c>
      <c r="D1132" t="s">
        <v>1988</v>
      </c>
      <c r="E1132" t="s">
        <v>1989</v>
      </c>
      <c r="G1132" t="s">
        <v>63</v>
      </c>
      <c r="H1132" s="75" t="str">
        <f>IFERROR(VLOOKUP(Table2[[#This Row],[Ticket]],Okey!A:B,2,0),"")</f>
        <v>ok</v>
      </c>
      <c r="I1132" t="s">
        <v>19</v>
      </c>
      <c r="J1132" t="str">
        <f>VLOOKUP(Table2[[#This Row],[Author]],People!A:B,2,0)</f>
        <v>EL</v>
      </c>
      <c r="M1132" t="s">
        <v>1752</v>
      </c>
    </row>
    <row r="1133" spans="1:13" x14ac:dyDescent="0.25">
      <c r="A1133" s="75">
        <f t="shared" si="17"/>
        <v>1132</v>
      </c>
      <c r="B1133" t="s">
        <v>13</v>
      </c>
      <c r="C1133" t="s">
        <v>1748</v>
      </c>
      <c r="D1133" t="s">
        <v>1990</v>
      </c>
      <c r="E1133" t="s">
        <v>1991</v>
      </c>
      <c r="G1133" t="s">
        <v>63</v>
      </c>
      <c r="H1133" s="75" t="str">
        <f>IFERROR(VLOOKUP(Table2[[#This Row],[Ticket]],Okey!A:B,2,0),"")</f>
        <v>ok</v>
      </c>
      <c r="I1133" t="s">
        <v>19</v>
      </c>
      <c r="J1133" t="str">
        <f>VLOOKUP(Table2[[#This Row],[Author]],People!A:B,2,0)</f>
        <v>EL</v>
      </c>
      <c r="M1133" t="s">
        <v>1752</v>
      </c>
    </row>
    <row r="1134" spans="1:13" x14ac:dyDescent="0.25">
      <c r="A1134" s="75">
        <f t="shared" si="17"/>
        <v>1133</v>
      </c>
      <c r="B1134" t="s">
        <v>13</v>
      </c>
      <c r="C1134" t="s">
        <v>1748</v>
      </c>
      <c r="D1134" t="s">
        <v>1992</v>
      </c>
      <c r="E1134" t="s">
        <v>1993</v>
      </c>
      <c r="G1134" t="s">
        <v>63</v>
      </c>
      <c r="H1134" s="75" t="str">
        <f>IFERROR(VLOOKUP(Table2[[#This Row],[Ticket]],Okey!A:B,2,0),"")</f>
        <v>ok</v>
      </c>
      <c r="I1134" t="s">
        <v>19</v>
      </c>
      <c r="J1134" t="str">
        <f>VLOOKUP(Table2[[#This Row],[Author]],People!A:B,2,0)</f>
        <v>EL</v>
      </c>
      <c r="M1134" t="s">
        <v>1752</v>
      </c>
    </row>
    <row r="1135" spans="1:13" x14ac:dyDescent="0.25">
      <c r="A1135" s="75">
        <f t="shared" si="17"/>
        <v>1134</v>
      </c>
      <c r="B1135" t="s">
        <v>13</v>
      </c>
      <c r="C1135" t="s">
        <v>1748</v>
      </c>
      <c r="D1135" t="s">
        <v>1994</v>
      </c>
      <c r="E1135" t="s">
        <v>1995</v>
      </c>
      <c r="G1135" t="s">
        <v>63</v>
      </c>
      <c r="H1135" s="75" t="str">
        <f>IFERROR(VLOOKUP(Table2[[#This Row],[Ticket]],Okey!A:B,2,0),"")</f>
        <v>ok</v>
      </c>
      <c r="I1135" t="s">
        <v>19</v>
      </c>
      <c r="J1135" t="str">
        <f>VLOOKUP(Table2[[#This Row],[Author]],People!A:B,2,0)</f>
        <v>EL</v>
      </c>
      <c r="M1135" t="s">
        <v>1752</v>
      </c>
    </row>
    <row r="1136" spans="1:13" x14ac:dyDescent="0.25">
      <c r="A1136" s="75">
        <f t="shared" si="17"/>
        <v>1135</v>
      </c>
      <c r="B1136" t="s">
        <v>13</v>
      </c>
      <c r="C1136" t="s">
        <v>1748</v>
      </c>
      <c r="D1136" t="s">
        <v>1996</v>
      </c>
      <c r="E1136" t="s">
        <v>1997</v>
      </c>
      <c r="G1136" t="s">
        <v>63</v>
      </c>
      <c r="H1136" s="75" t="str">
        <f>IFERROR(VLOOKUP(Table2[[#This Row],[Ticket]],Okey!A:B,2,0),"")</f>
        <v>ok</v>
      </c>
      <c r="I1136" t="s">
        <v>19</v>
      </c>
      <c r="J1136" t="str">
        <f>VLOOKUP(Table2[[#This Row],[Author]],People!A:B,2,0)</f>
        <v>EL</v>
      </c>
      <c r="M1136" t="s">
        <v>1752</v>
      </c>
    </row>
    <row r="1137" spans="1:13" x14ac:dyDescent="0.25">
      <c r="A1137" s="75">
        <f t="shared" si="17"/>
        <v>1136</v>
      </c>
      <c r="B1137" t="s">
        <v>13</v>
      </c>
      <c r="C1137" t="s">
        <v>1748</v>
      </c>
      <c r="D1137" t="s">
        <v>1998</v>
      </c>
      <c r="E1137" t="s">
        <v>1999</v>
      </c>
      <c r="G1137" t="s">
        <v>63</v>
      </c>
      <c r="H1137" s="75" t="str">
        <f>IFERROR(VLOOKUP(Table2[[#This Row],[Ticket]],Okey!A:B,2,0),"")</f>
        <v>ok</v>
      </c>
      <c r="I1137" t="s">
        <v>19</v>
      </c>
      <c r="J1137" t="str">
        <f>VLOOKUP(Table2[[#This Row],[Author]],People!A:B,2,0)</f>
        <v>EL</v>
      </c>
      <c r="M1137" t="s">
        <v>1752</v>
      </c>
    </row>
    <row r="1138" spans="1:13" x14ac:dyDescent="0.25">
      <c r="A1138" s="75">
        <f t="shared" si="17"/>
        <v>1137</v>
      </c>
      <c r="B1138" t="s">
        <v>13</v>
      </c>
      <c r="C1138" t="s">
        <v>1748</v>
      </c>
      <c r="D1138" t="s">
        <v>2000</v>
      </c>
      <c r="E1138" t="s">
        <v>2001</v>
      </c>
      <c r="G1138" t="s">
        <v>63</v>
      </c>
      <c r="H1138" s="75" t="str">
        <f>IFERROR(VLOOKUP(Table2[[#This Row],[Ticket]],Okey!A:B,2,0),"")</f>
        <v>ok</v>
      </c>
      <c r="I1138" t="s">
        <v>19</v>
      </c>
      <c r="J1138" t="str">
        <f>VLOOKUP(Table2[[#This Row],[Author]],People!A:B,2,0)</f>
        <v>EL</v>
      </c>
      <c r="M1138" t="s">
        <v>1752</v>
      </c>
    </row>
    <row r="1139" spans="1:13" x14ac:dyDescent="0.25">
      <c r="A1139" s="75">
        <f t="shared" si="17"/>
        <v>1138</v>
      </c>
      <c r="B1139" t="s">
        <v>13</v>
      </c>
      <c r="C1139" t="s">
        <v>1748</v>
      </c>
      <c r="D1139" t="s">
        <v>2002</v>
      </c>
      <c r="E1139" t="s">
        <v>2003</v>
      </c>
      <c r="G1139" t="s">
        <v>63</v>
      </c>
      <c r="H1139" s="75" t="str">
        <f>IFERROR(VLOOKUP(Table2[[#This Row],[Ticket]],Okey!A:B,2,0),"")</f>
        <v>ok</v>
      </c>
      <c r="I1139" t="s">
        <v>19</v>
      </c>
      <c r="J1139" t="str">
        <f>VLOOKUP(Table2[[#This Row],[Author]],People!A:B,2,0)</f>
        <v>EL</v>
      </c>
      <c r="M1139" t="s">
        <v>1752</v>
      </c>
    </row>
    <row r="1140" spans="1:13" x14ac:dyDescent="0.25">
      <c r="A1140" s="75">
        <f t="shared" si="17"/>
        <v>1139</v>
      </c>
      <c r="B1140" t="s">
        <v>13</v>
      </c>
      <c r="C1140" t="s">
        <v>1748</v>
      </c>
      <c r="D1140" t="s">
        <v>2004</v>
      </c>
      <c r="E1140" t="s">
        <v>2005</v>
      </c>
      <c r="G1140" t="s">
        <v>63</v>
      </c>
      <c r="H1140" s="75" t="str">
        <f>IFERROR(VLOOKUP(Table2[[#This Row],[Ticket]],Okey!A:B,2,0),"")</f>
        <v>ok</v>
      </c>
      <c r="I1140" t="s">
        <v>19</v>
      </c>
      <c r="J1140" t="str">
        <f>VLOOKUP(Table2[[#This Row],[Author]],People!A:B,2,0)</f>
        <v>EL</v>
      </c>
      <c r="M1140" t="s">
        <v>1752</v>
      </c>
    </row>
    <row r="1141" spans="1:13" x14ac:dyDescent="0.25">
      <c r="A1141" s="75">
        <f t="shared" si="17"/>
        <v>1140</v>
      </c>
      <c r="B1141" t="s">
        <v>13</v>
      </c>
      <c r="C1141" t="s">
        <v>1748</v>
      </c>
      <c r="D1141" t="s">
        <v>2006</v>
      </c>
      <c r="E1141" t="s">
        <v>2007</v>
      </c>
      <c r="G1141" t="s">
        <v>63</v>
      </c>
      <c r="H1141" s="75" t="str">
        <f>IFERROR(VLOOKUP(Table2[[#This Row],[Ticket]],Okey!A:B,2,0),"")</f>
        <v>ok</v>
      </c>
      <c r="I1141" t="s">
        <v>19</v>
      </c>
      <c r="J1141" t="str">
        <f>VLOOKUP(Table2[[#This Row],[Author]],People!A:B,2,0)</f>
        <v>EL</v>
      </c>
      <c r="M1141" t="s">
        <v>1752</v>
      </c>
    </row>
    <row r="1142" spans="1:13" x14ac:dyDescent="0.25">
      <c r="A1142" s="75">
        <f t="shared" si="17"/>
        <v>1141</v>
      </c>
      <c r="B1142" t="s">
        <v>13</v>
      </c>
      <c r="C1142" t="s">
        <v>1748</v>
      </c>
      <c r="D1142" t="s">
        <v>2008</v>
      </c>
      <c r="E1142" t="s">
        <v>2009</v>
      </c>
      <c r="G1142" t="s">
        <v>63</v>
      </c>
      <c r="H1142" s="75" t="str">
        <f>IFERROR(VLOOKUP(Table2[[#This Row],[Ticket]],Okey!A:B,2,0),"")</f>
        <v>ok</v>
      </c>
      <c r="I1142" t="s">
        <v>19</v>
      </c>
      <c r="J1142" t="str">
        <f>VLOOKUP(Table2[[#This Row],[Author]],People!A:B,2,0)</f>
        <v>EL</v>
      </c>
      <c r="M1142" t="s">
        <v>1752</v>
      </c>
    </row>
    <row r="1143" spans="1:13" x14ac:dyDescent="0.25">
      <c r="A1143" s="75">
        <f t="shared" si="17"/>
        <v>1142</v>
      </c>
      <c r="B1143" t="s">
        <v>13</v>
      </c>
      <c r="C1143" t="s">
        <v>1748</v>
      </c>
      <c r="D1143" t="s">
        <v>2010</v>
      </c>
      <c r="E1143" t="s">
        <v>2011</v>
      </c>
      <c r="G1143" t="s">
        <v>63</v>
      </c>
      <c r="H1143" s="75" t="str">
        <f>IFERROR(VLOOKUP(Table2[[#This Row],[Ticket]],Okey!A:B,2,0),"")</f>
        <v>ok</v>
      </c>
      <c r="I1143" t="s">
        <v>19</v>
      </c>
      <c r="J1143" t="str">
        <f>VLOOKUP(Table2[[#This Row],[Author]],People!A:B,2,0)</f>
        <v>EL</v>
      </c>
      <c r="M1143" t="s">
        <v>1752</v>
      </c>
    </row>
    <row r="1144" spans="1:13" x14ac:dyDescent="0.25">
      <c r="A1144" s="75">
        <f t="shared" si="17"/>
        <v>1143</v>
      </c>
      <c r="B1144" t="s">
        <v>13</v>
      </c>
      <c r="C1144" t="s">
        <v>1748</v>
      </c>
      <c r="D1144" t="s">
        <v>2012</v>
      </c>
      <c r="E1144" t="s">
        <v>2013</v>
      </c>
      <c r="G1144" t="s">
        <v>63</v>
      </c>
      <c r="H1144" s="75" t="str">
        <f>IFERROR(VLOOKUP(Table2[[#This Row],[Ticket]],Okey!A:B,2,0),"")</f>
        <v>ok</v>
      </c>
      <c r="I1144" t="s">
        <v>19</v>
      </c>
      <c r="J1144" t="str">
        <f>VLOOKUP(Table2[[#This Row],[Author]],People!A:B,2,0)</f>
        <v>EL</v>
      </c>
      <c r="M1144" t="s">
        <v>1752</v>
      </c>
    </row>
    <row r="1145" spans="1:13" x14ac:dyDescent="0.25">
      <c r="A1145" s="75">
        <f t="shared" si="17"/>
        <v>1144</v>
      </c>
      <c r="B1145" t="s">
        <v>13</v>
      </c>
      <c r="C1145" t="s">
        <v>1748</v>
      </c>
      <c r="D1145" t="s">
        <v>2014</v>
      </c>
      <c r="E1145" t="s">
        <v>2015</v>
      </c>
      <c r="G1145" t="s">
        <v>63</v>
      </c>
      <c r="H1145" s="75" t="str">
        <f>IFERROR(VLOOKUP(Table2[[#This Row],[Ticket]],Okey!A:B,2,0),"")</f>
        <v>ok</v>
      </c>
      <c r="I1145" t="s">
        <v>19</v>
      </c>
      <c r="J1145" t="str">
        <f>VLOOKUP(Table2[[#This Row],[Author]],People!A:B,2,0)</f>
        <v>EL</v>
      </c>
      <c r="M1145" t="s">
        <v>1752</v>
      </c>
    </row>
    <row r="1146" spans="1:13" x14ac:dyDescent="0.25">
      <c r="A1146" s="75">
        <f t="shared" si="17"/>
        <v>1145</v>
      </c>
      <c r="B1146" t="s">
        <v>13</v>
      </c>
      <c r="C1146" t="s">
        <v>1748</v>
      </c>
      <c r="D1146" t="s">
        <v>2016</v>
      </c>
      <c r="E1146" t="s">
        <v>2017</v>
      </c>
      <c r="G1146" t="s">
        <v>63</v>
      </c>
      <c r="H1146" s="75" t="str">
        <f>IFERROR(VLOOKUP(Table2[[#This Row],[Ticket]],Okey!A:B,2,0),"")</f>
        <v>ok</v>
      </c>
      <c r="I1146" t="s">
        <v>19</v>
      </c>
      <c r="J1146" t="str">
        <f>VLOOKUP(Table2[[#This Row],[Author]],People!A:B,2,0)</f>
        <v>EL</v>
      </c>
      <c r="M1146" t="s">
        <v>1752</v>
      </c>
    </row>
    <row r="1147" spans="1:13" x14ac:dyDescent="0.25">
      <c r="A1147" s="75">
        <f t="shared" si="17"/>
        <v>1146</v>
      </c>
      <c r="B1147" t="s">
        <v>13</v>
      </c>
      <c r="C1147" t="s">
        <v>1748</v>
      </c>
      <c r="D1147" t="s">
        <v>2018</v>
      </c>
      <c r="E1147" t="s">
        <v>2019</v>
      </c>
      <c r="G1147" t="s">
        <v>63</v>
      </c>
      <c r="H1147" s="75" t="str">
        <f>IFERROR(VLOOKUP(Table2[[#This Row],[Ticket]],Okey!A:B,2,0),"")</f>
        <v>ok</v>
      </c>
      <c r="I1147" t="s">
        <v>19</v>
      </c>
      <c r="J1147" t="str">
        <f>VLOOKUP(Table2[[#This Row],[Author]],People!A:B,2,0)</f>
        <v>EL</v>
      </c>
      <c r="M1147" t="s">
        <v>1752</v>
      </c>
    </row>
    <row r="1148" spans="1:13" x14ac:dyDescent="0.25">
      <c r="A1148" s="75">
        <f t="shared" si="17"/>
        <v>1147</v>
      </c>
      <c r="B1148" t="s">
        <v>13</v>
      </c>
      <c r="C1148" t="s">
        <v>1748</v>
      </c>
      <c r="D1148" t="s">
        <v>2020</v>
      </c>
      <c r="E1148" t="s">
        <v>2021</v>
      </c>
      <c r="G1148" t="s">
        <v>63</v>
      </c>
      <c r="H1148" s="75" t="str">
        <f>IFERROR(VLOOKUP(Table2[[#This Row],[Ticket]],Okey!A:B,2,0),"")</f>
        <v>ok</v>
      </c>
      <c r="I1148" t="s">
        <v>19</v>
      </c>
      <c r="J1148" t="str">
        <f>VLOOKUP(Table2[[#This Row],[Author]],People!A:B,2,0)</f>
        <v>EL</v>
      </c>
      <c r="M1148" t="s">
        <v>1752</v>
      </c>
    </row>
    <row r="1149" spans="1:13" x14ac:dyDescent="0.25">
      <c r="A1149" s="75">
        <f t="shared" si="17"/>
        <v>1148</v>
      </c>
      <c r="B1149" t="s">
        <v>13</v>
      </c>
      <c r="C1149" t="s">
        <v>1748</v>
      </c>
      <c r="D1149" t="s">
        <v>2022</v>
      </c>
      <c r="E1149" t="s">
        <v>1961</v>
      </c>
      <c r="G1149" t="s">
        <v>63</v>
      </c>
      <c r="H1149" s="75" t="str">
        <f>IFERROR(VLOOKUP(Table2[[#This Row],[Ticket]],Okey!A:B,2,0),"")</f>
        <v>ok</v>
      </c>
      <c r="I1149" t="s">
        <v>19</v>
      </c>
      <c r="J1149" t="str">
        <f>VLOOKUP(Table2[[#This Row],[Author]],People!A:B,2,0)</f>
        <v>EL</v>
      </c>
      <c r="M1149" t="s">
        <v>1752</v>
      </c>
    </row>
    <row r="1150" spans="1:13" x14ac:dyDescent="0.25">
      <c r="A1150" s="75">
        <f t="shared" si="17"/>
        <v>1149</v>
      </c>
      <c r="B1150" t="s">
        <v>13</v>
      </c>
      <c r="C1150" t="s">
        <v>1748</v>
      </c>
      <c r="D1150" t="s">
        <v>2023</v>
      </c>
      <c r="E1150" t="s">
        <v>2024</v>
      </c>
      <c r="G1150" t="s">
        <v>63</v>
      </c>
      <c r="H1150" s="75" t="str">
        <f>IFERROR(VLOOKUP(Table2[[#This Row],[Ticket]],Okey!A:B,2,0),"")</f>
        <v>ok</v>
      </c>
      <c r="I1150" t="s">
        <v>19</v>
      </c>
      <c r="J1150" t="str">
        <f>VLOOKUP(Table2[[#This Row],[Author]],People!A:B,2,0)</f>
        <v>EL</v>
      </c>
      <c r="M1150" t="s">
        <v>1752</v>
      </c>
    </row>
    <row r="1151" spans="1:13" x14ac:dyDescent="0.25">
      <c r="A1151" s="75">
        <f t="shared" si="17"/>
        <v>1150</v>
      </c>
      <c r="B1151" t="s">
        <v>13</v>
      </c>
      <c r="C1151" t="s">
        <v>1748</v>
      </c>
      <c r="D1151" t="s">
        <v>2025</v>
      </c>
      <c r="E1151" t="s">
        <v>2026</v>
      </c>
      <c r="G1151" t="s">
        <v>63</v>
      </c>
      <c r="H1151" s="75" t="str">
        <f>IFERROR(VLOOKUP(Table2[[#This Row],[Ticket]],Okey!A:B,2,0),"")</f>
        <v>ok</v>
      </c>
      <c r="I1151" t="s">
        <v>19</v>
      </c>
      <c r="J1151" t="str">
        <f>VLOOKUP(Table2[[#This Row],[Author]],People!A:B,2,0)</f>
        <v>EL</v>
      </c>
      <c r="M1151" t="s">
        <v>1752</v>
      </c>
    </row>
    <row r="1152" spans="1:13" x14ac:dyDescent="0.25">
      <c r="A1152" s="75">
        <f t="shared" si="17"/>
        <v>1151</v>
      </c>
      <c r="B1152" t="s">
        <v>13</v>
      </c>
      <c r="C1152" t="s">
        <v>1748</v>
      </c>
      <c r="D1152" t="s">
        <v>2027</v>
      </c>
      <c r="E1152" t="s">
        <v>2028</v>
      </c>
      <c r="G1152" t="s">
        <v>63</v>
      </c>
      <c r="H1152" s="75" t="str">
        <f>IFERROR(VLOOKUP(Table2[[#This Row],[Ticket]],Okey!A:B,2,0),"")</f>
        <v>ok</v>
      </c>
      <c r="I1152" t="s">
        <v>19</v>
      </c>
      <c r="J1152" t="str">
        <f>VLOOKUP(Table2[[#This Row],[Author]],People!A:B,2,0)</f>
        <v>EL</v>
      </c>
      <c r="M1152" t="s">
        <v>1752</v>
      </c>
    </row>
    <row r="1153" spans="1:13" x14ac:dyDescent="0.25">
      <c r="A1153" s="75">
        <f t="shared" si="17"/>
        <v>1152</v>
      </c>
      <c r="B1153" t="s">
        <v>13</v>
      </c>
      <c r="C1153" t="s">
        <v>1748</v>
      </c>
      <c r="D1153" t="s">
        <v>2029</v>
      </c>
      <c r="E1153" t="s">
        <v>2030</v>
      </c>
      <c r="G1153" t="s">
        <v>63</v>
      </c>
      <c r="H1153" s="75" t="str">
        <f>IFERROR(VLOOKUP(Table2[[#This Row],[Ticket]],Okey!A:B,2,0),"")</f>
        <v>ok</v>
      </c>
      <c r="I1153" t="s">
        <v>19</v>
      </c>
      <c r="J1153" t="str">
        <f>VLOOKUP(Table2[[#This Row],[Author]],People!A:B,2,0)</f>
        <v>EL</v>
      </c>
      <c r="M1153" t="s">
        <v>1752</v>
      </c>
    </row>
    <row r="1154" spans="1:13" x14ac:dyDescent="0.25">
      <c r="A1154" s="75">
        <f t="shared" si="17"/>
        <v>1153</v>
      </c>
      <c r="B1154" t="s">
        <v>13</v>
      </c>
      <c r="C1154" t="s">
        <v>1748</v>
      </c>
      <c r="D1154" t="s">
        <v>2031</v>
      </c>
      <c r="E1154" t="s">
        <v>2032</v>
      </c>
      <c r="G1154" t="s">
        <v>63</v>
      </c>
      <c r="H1154" s="75" t="str">
        <f>IFERROR(VLOOKUP(Table2[[#This Row],[Ticket]],Okey!A:B,2,0),"")</f>
        <v>ok</v>
      </c>
      <c r="I1154" t="s">
        <v>19</v>
      </c>
      <c r="J1154" t="str">
        <f>VLOOKUP(Table2[[#This Row],[Author]],People!A:B,2,0)</f>
        <v>EL</v>
      </c>
      <c r="M1154" t="s">
        <v>1752</v>
      </c>
    </row>
    <row r="1155" spans="1:13" x14ac:dyDescent="0.25">
      <c r="A1155" s="75">
        <f t="shared" si="17"/>
        <v>1154</v>
      </c>
      <c r="B1155" t="s">
        <v>13</v>
      </c>
      <c r="C1155" t="s">
        <v>1748</v>
      </c>
      <c r="D1155" t="s">
        <v>2033</v>
      </c>
      <c r="E1155" t="s">
        <v>2034</v>
      </c>
      <c r="G1155" t="s">
        <v>63</v>
      </c>
      <c r="H1155" s="75" t="str">
        <f>IFERROR(VLOOKUP(Table2[[#This Row],[Ticket]],Okey!A:B,2,0),"")</f>
        <v>ok</v>
      </c>
      <c r="I1155" t="s">
        <v>19</v>
      </c>
      <c r="J1155" t="str">
        <f>VLOOKUP(Table2[[#This Row],[Author]],People!A:B,2,0)</f>
        <v>EL</v>
      </c>
      <c r="M1155" t="s">
        <v>1752</v>
      </c>
    </row>
    <row r="1156" spans="1:13" x14ac:dyDescent="0.25">
      <c r="A1156" s="75">
        <f t="shared" si="17"/>
        <v>1155</v>
      </c>
      <c r="B1156" t="s">
        <v>13</v>
      </c>
      <c r="C1156" t="s">
        <v>1748</v>
      </c>
      <c r="D1156" t="s">
        <v>2035</v>
      </c>
      <c r="E1156" t="s">
        <v>2036</v>
      </c>
      <c r="F1156" t="s">
        <v>2037</v>
      </c>
      <c r="G1156" t="s">
        <v>496</v>
      </c>
      <c r="H1156" s="75" t="str">
        <f>IFERROR(VLOOKUP(Table2[[#This Row],[Ticket]],Okey!A:B,2,0),"")</f>
        <v>ok</v>
      </c>
      <c r="I1156" t="s">
        <v>19</v>
      </c>
      <c r="J1156" t="str">
        <f>VLOOKUP(Table2[[#This Row],[Author]],People!A:B,2,0)</f>
        <v>EL</v>
      </c>
      <c r="M1156" t="s">
        <v>1752</v>
      </c>
    </row>
    <row r="1157" spans="1:13" x14ac:dyDescent="0.25">
      <c r="A1157" s="75">
        <f t="shared" si="17"/>
        <v>1156</v>
      </c>
      <c r="B1157" t="s">
        <v>13</v>
      </c>
      <c r="C1157" t="s">
        <v>1748</v>
      </c>
      <c r="D1157" t="s">
        <v>2038</v>
      </c>
      <c r="E1157" t="s">
        <v>2039</v>
      </c>
      <c r="F1157" t="s">
        <v>2037</v>
      </c>
      <c r="G1157" t="s">
        <v>496</v>
      </c>
      <c r="H1157" s="75" t="str">
        <f>IFERROR(VLOOKUP(Table2[[#This Row],[Ticket]],Okey!A:B,2,0),"")</f>
        <v>ok</v>
      </c>
      <c r="I1157" t="s">
        <v>19</v>
      </c>
      <c r="J1157" t="str">
        <f>VLOOKUP(Table2[[#This Row],[Author]],People!A:B,2,0)</f>
        <v>EL</v>
      </c>
      <c r="M1157" t="s">
        <v>1752</v>
      </c>
    </row>
    <row r="1158" spans="1:13" x14ac:dyDescent="0.25">
      <c r="A1158" s="75">
        <f t="shared" si="17"/>
        <v>1157</v>
      </c>
      <c r="B1158" t="s">
        <v>13</v>
      </c>
      <c r="C1158" t="s">
        <v>1748</v>
      </c>
      <c r="D1158" t="s">
        <v>2040</v>
      </c>
      <c r="E1158" t="s">
        <v>2041</v>
      </c>
      <c r="F1158" t="s">
        <v>2042</v>
      </c>
      <c r="G1158" t="s">
        <v>496</v>
      </c>
      <c r="H1158" s="75" t="str">
        <f>IFERROR(VLOOKUP(Table2[[#This Row],[Ticket]],Okey!A:B,2,0),"")</f>
        <v>ok</v>
      </c>
      <c r="I1158" t="s">
        <v>19</v>
      </c>
      <c r="J1158" t="str">
        <f>VLOOKUP(Table2[[#This Row],[Author]],People!A:B,2,0)</f>
        <v>EL</v>
      </c>
      <c r="M1158" t="s">
        <v>1752</v>
      </c>
    </row>
    <row r="1159" spans="1:13" x14ac:dyDescent="0.25">
      <c r="A1159" s="75">
        <f t="shared" si="17"/>
        <v>1158</v>
      </c>
      <c r="B1159" t="s">
        <v>13</v>
      </c>
      <c r="C1159" t="s">
        <v>1748</v>
      </c>
      <c r="D1159" t="s">
        <v>2043</v>
      </c>
      <c r="E1159" t="s">
        <v>2044</v>
      </c>
      <c r="F1159" t="s">
        <v>2042</v>
      </c>
      <c r="G1159" t="s">
        <v>496</v>
      </c>
      <c r="H1159" s="75" t="str">
        <f>IFERROR(VLOOKUP(Table2[[#This Row],[Ticket]],Okey!A:B,2,0),"")</f>
        <v>ok</v>
      </c>
      <c r="I1159" t="s">
        <v>19</v>
      </c>
      <c r="J1159" t="str">
        <f>VLOOKUP(Table2[[#This Row],[Author]],People!A:B,2,0)</f>
        <v>EL</v>
      </c>
      <c r="M1159" t="s">
        <v>1752</v>
      </c>
    </row>
    <row r="1160" spans="1:13" x14ac:dyDescent="0.25">
      <c r="A1160" s="75">
        <f t="shared" si="17"/>
        <v>1159</v>
      </c>
      <c r="B1160" t="s">
        <v>13</v>
      </c>
      <c r="C1160" t="s">
        <v>1748</v>
      </c>
      <c r="D1160" t="s">
        <v>2045</v>
      </c>
      <c r="E1160" t="s">
        <v>2046</v>
      </c>
      <c r="F1160" t="s">
        <v>2047</v>
      </c>
      <c r="G1160" t="s">
        <v>496</v>
      </c>
      <c r="H1160" s="75" t="str">
        <f>IFERROR(VLOOKUP(Table2[[#This Row],[Ticket]],Okey!A:B,2,0),"")</f>
        <v>ok</v>
      </c>
      <c r="I1160" t="s">
        <v>19</v>
      </c>
      <c r="J1160" t="str">
        <f>VLOOKUP(Table2[[#This Row],[Author]],People!A:B,2,0)</f>
        <v>EL</v>
      </c>
      <c r="M1160" t="s">
        <v>1752</v>
      </c>
    </row>
    <row r="1161" spans="1:13" x14ac:dyDescent="0.25">
      <c r="A1161" s="75">
        <f t="shared" ref="A1161:A1224" si="18">1+A1160</f>
        <v>1160</v>
      </c>
      <c r="B1161" t="s">
        <v>13</v>
      </c>
      <c r="C1161" t="s">
        <v>1748</v>
      </c>
      <c r="D1161" t="s">
        <v>2048</v>
      </c>
      <c r="E1161" t="s">
        <v>2049</v>
      </c>
      <c r="F1161" t="s">
        <v>2050</v>
      </c>
      <c r="G1161" t="s">
        <v>496</v>
      </c>
      <c r="H1161" s="75" t="str">
        <f>IFERROR(VLOOKUP(Table2[[#This Row],[Ticket]],Okey!A:B,2,0),"")</f>
        <v>ok</v>
      </c>
      <c r="I1161" t="s">
        <v>19</v>
      </c>
      <c r="J1161" t="str">
        <f>VLOOKUP(Table2[[#This Row],[Author]],People!A:B,2,0)</f>
        <v>EL</v>
      </c>
      <c r="M1161" t="s">
        <v>1752</v>
      </c>
    </row>
    <row r="1162" spans="1:13" x14ac:dyDescent="0.25">
      <c r="A1162" s="75">
        <f t="shared" si="18"/>
        <v>1161</v>
      </c>
      <c r="B1162" t="s">
        <v>13</v>
      </c>
      <c r="C1162" t="s">
        <v>1748</v>
      </c>
      <c r="D1162" t="s">
        <v>2051</v>
      </c>
      <c r="E1162" t="s">
        <v>2052</v>
      </c>
      <c r="F1162" t="s">
        <v>2053</v>
      </c>
      <c r="G1162" t="s">
        <v>496</v>
      </c>
      <c r="H1162" s="75" t="str">
        <f>IFERROR(VLOOKUP(Table2[[#This Row],[Ticket]],Okey!A:B,2,0),"")</f>
        <v>ok</v>
      </c>
      <c r="I1162" t="s">
        <v>19</v>
      </c>
      <c r="J1162" t="str">
        <f>VLOOKUP(Table2[[#This Row],[Author]],People!A:B,2,0)</f>
        <v>EL</v>
      </c>
      <c r="M1162" t="s">
        <v>1752</v>
      </c>
    </row>
    <row r="1163" spans="1:13" x14ac:dyDescent="0.25">
      <c r="A1163" s="75">
        <f t="shared" si="18"/>
        <v>1162</v>
      </c>
      <c r="B1163" t="s">
        <v>13</v>
      </c>
      <c r="C1163" t="s">
        <v>1748</v>
      </c>
      <c r="D1163" t="s">
        <v>2054</v>
      </c>
      <c r="E1163" t="s">
        <v>2055</v>
      </c>
      <c r="F1163" t="s">
        <v>2056</v>
      </c>
      <c r="G1163" t="s">
        <v>496</v>
      </c>
      <c r="H1163" s="75" t="str">
        <f>IFERROR(VLOOKUP(Table2[[#This Row],[Ticket]],Okey!A:B,2,0),"")</f>
        <v>ok</v>
      </c>
      <c r="I1163" t="s">
        <v>19</v>
      </c>
      <c r="J1163" t="str">
        <f>VLOOKUP(Table2[[#This Row],[Author]],People!A:B,2,0)</f>
        <v>EL</v>
      </c>
      <c r="M1163" t="s">
        <v>1752</v>
      </c>
    </row>
    <row r="1164" spans="1:13" x14ac:dyDescent="0.25">
      <c r="A1164" s="75">
        <f t="shared" si="18"/>
        <v>1163</v>
      </c>
      <c r="B1164" t="s">
        <v>13</v>
      </c>
      <c r="C1164" t="s">
        <v>1748</v>
      </c>
      <c r="D1164" t="s">
        <v>2057</v>
      </c>
      <c r="E1164" t="s">
        <v>2058</v>
      </c>
      <c r="F1164" t="s">
        <v>2056</v>
      </c>
      <c r="G1164" t="s">
        <v>496</v>
      </c>
      <c r="H1164" s="75" t="str">
        <f>IFERROR(VLOOKUP(Table2[[#This Row],[Ticket]],Okey!A:B,2,0),"")</f>
        <v>ok</v>
      </c>
      <c r="I1164" t="s">
        <v>19</v>
      </c>
      <c r="J1164" t="str">
        <f>VLOOKUP(Table2[[#This Row],[Author]],People!A:B,2,0)</f>
        <v>EL</v>
      </c>
      <c r="M1164" t="s">
        <v>1752</v>
      </c>
    </row>
    <row r="1165" spans="1:13" x14ac:dyDescent="0.25">
      <c r="A1165" s="75">
        <f t="shared" si="18"/>
        <v>1164</v>
      </c>
      <c r="B1165" t="s">
        <v>13</v>
      </c>
      <c r="C1165" t="s">
        <v>1748</v>
      </c>
      <c r="D1165" t="s">
        <v>2059</v>
      </c>
      <c r="E1165" t="s">
        <v>2060</v>
      </c>
      <c r="F1165" t="s">
        <v>2056</v>
      </c>
      <c r="G1165" t="s">
        <v>496</v>
      </c>
      <c r="H1165" s="75" t="str">
        <f>IFERROR(VLOOKUP(Table2[[#This Row],[Ticket]],Okey!A:B,2,0),"")</f>
        <v>ok</v>
      </c>
      <c r="I1165" t="s">
        <v>19</v>
      </c>
      <c r="J1165" t="str">
        <f>VLOOKUP(Table2[[#This Row],[Author]],People!A:B,2,0)</f>
        <v>EL</v>
      </c>
      <c r="M1165" t="s">
        <v>1752</v>
      </c>
    </row>
    <row r="1166" spans="1:13" x14ac:dyDescent="0.25">
      <c r="A1166" s="75">
        <f t="shared" si="18"/>
        <v>1165</v>
      </c>
      <c r="B1166" t="s">
        <v>13</v>
      </c>
      <c r="C1166" t="s">
        <v>1748</v>
      </c>
      <c r="D1166" t="s">
        <v>2061</v>
      </c>
      <c r="E1166" t="s">
        <v>2062</v>
      </c>
      <c r="F1166" t="s">
        <v>2056</v>
      </c>
      <c r="G1166" t="s">
        <v>496</v>
      </c>
      <c r="H1166" s="75" t="str">
        <f>IFERROR(VLOOKUP(Table2[[#This Row],[Ticket]],Okey!A:B,2,0),"")</f>
        <v>ok</v>
      </c>
      <c r="I1166" t="s">
        <v>19</v>
      </c>
      <c r="J1166" t="str">
        <f>VLOOKUP(Table2[[#This Row],[Author]],People!A:B,2,0)</f>
        <v>EL</v>
      </c>
      <c r="M1166" t="s">
        <v>1752</v>
      </c>
    </row>
    <row r="1167" spans="1:13" x14ac:dyDescent="0.25">
      <c r="A1167" s="75">
        <f t="shared" si="18"/>
        <v>1166</v>
      </c>
      <c r="B1167" t="s">
        <v>13</v>
      </c>
      <c r="C1167" t="s">
        <v>1748</v>
      </c>
      <c r="D1167" t="s">
        <v>2063</v>
      </c>
      <c r="E1167" t="s">
        <v>2064</v>
      </c>
      <c r="F1167" t="s">
        <v>1819</v>
      </c>
      <c r="G1167" t="s">
        <v>496</v>
      </c>
      <c r="H1167" s="75" t="str">
        <f>IFERROR(VLOOKUP(Table2[[#This Row],[Ticket]],Okey!A:B,2,0),"")</f>
        <v>ok</v>
      </c>
      <c r="I1167" t="s">
        <v>19</v>
      </c>
      <c r="J1167" t="str">
        <f>VLOOKUP(Table2[[#This Row],[Author]],People!A:B,2,0)</f>
        <v>EL</v>
      </c>
      <c r="M1167" t="s">
        <v>1752</v>
      </c>
    </row>
    <row r="1168" spans="1:13" x14ac:dyDescent="0.25">
      <c r="A1168" s="75">
        <f t="shared" si="18"/>
        <v>1167</v>
      </c>
      <c r="B1168" t="s">
        <v>13</v>
      </c>
      <c r="C1168" t="s">
        <v>2065</v>
      </c>
      <c r="D1168" t="s">
        <v>2066</v>
      </c>
      <c r="F1168" t="s">
        <v>1430</v>
      </c>
      <c r="G1168" t="s">
        <v>24</v>
      </c>
      <c r="H1168" s="75" t="str">
        <f>IFERROR(VLOOKUP(Table2[[#This Row],[Ticket]],Okey!A:B,2,0),"")</f>
        <v>ok</v>
      </c>
      <c r="I1168" t="s">
        <v>19</v>
      </c>
      <c r="J1168" t="str">
        <f>VLOOKUP(Table2[[#This Row],[Author]],People!A:B,2,0)</f>
        <v>LS</v>
      </c>
      <c r="M1168" t="s">
        <v>1040</v>
      </c>
    </row>
    <row r="1169" spans="1:13" x14ac:dyDescent="0.25">
      <c r="A1169" s="75">
        <f t="shared" si="18"/>
        <v>1168</v>
      </c>
      <c r="B1169" t="s">
        <v>13</v>
      </c>
      <c r="C1169" t="s">
        <v>2065</v>
      </c>
      <c r="D1169" t="s">
        <v>2067</v>
      </c>
      <c r="F1169" t="s">
        <v>1430</v>
      </c>
      <c r="G1169" t="s">
        <v>24</v>
      </c>
      <c r="H1169" s="75" t="str">
        <f>IFERROR(VLOOKUP(Table2[[#This Row],[Ticket]],Okey!A:B,2,0),"")</f>
        <v>ok</v>
      </c>
      <c r="I1169" t="s">
        <v>19</v>
      </c>
      <c r="J1169" t="str">
        <f>VLOOKUP(Table2[[#This Row],[Author]],People!A:B,2,0)</f>
        <v>LS</v>
      </c>
      <c r="M1169" t="s">
        <v>1040</v>
      </c>
    </row>
    <row r="1170" spans="1:13" x14ac:dyDescent="0.25">
      <c r="A1170" s="75">
        <f t="shared" si="18"/>
        <v>1169</v>
      </c>
      <c r="B1170" t="s">
        <v>13</v>
      </c>
      <c r="C1170" t="s">
        <v>2065</v>
      </c>
      <c r="D1170" t="s">
        <v>2068</v>
      </c>
      <c r="F1170" t="s">
        <v>1430</v>
      </c>
      <c r="G1170" t="s">
        <v>24</v>
      </c>
      <c r="H1170" s="75" t="str">
        <f>IFERROR(VLOOKUP(Table2[[#This Row],[Ticket]],Okey!A:B,2,0),"")</f>
        <v>ok</v>
      </c>
      <c r="I1170" t="s">
        <v>19</v>
      </c>
      <c r="J1170" t="str">
        <f>VLOOKUP(Table2[[#This Row],[Author]],People!A:B,2,0)</f>
        <v>LS</v>
      </c>
      <c r="M1170" t="s">
        <v>1040</v>
      </c>
    </row>
    <row r="1171" spans="1:13" x14ac:dyDescent="0.25">
      <c r="A1171" s="75">
        <f t="shared" si="18"/>
        <v>1170</v>
      </c>
      <c r="B1171" t="s">
        <v>13</v>
      </c>
      <c r="C1171" t="s">
        <v>2065</v>
      </c>
      <c r="D1171" t="s">
        <v>2069</v>
      </c>
      <c r="F1171" t="s">
        <v>1430</v>
      </c>
      <c r="G1171" t="s">
        <v>24</v>
      </c>
      <c r="H1171" s="75" t="str">
        <f>IFERROR(VLOOKUP(Table2[[#This Row],[Ticket]],Okey!A:B,2,0),"")</f>
        <v>ok</v>
      </c>
      <c r="I1171" t="s">
        <v>19</v>
      </c>
      <c r="J1171" t="str">
        <f>VLOOKUP(Table2[[#This Row],[Author]],People!A:B,2,0)</f>
        <v>LS</v>
      </c>
      <c r="M1171" t="s">
        <v>1040</v>
      </c>
    </row>
    <row r="1172" spans="1:13" x14ac:dyDescent="0.25">
      <c r="A1172" s="75">
        <f t="shared" si="18"/>
        <v>1171</v>
      </c>
      <c r="B1172" t="s">
        <v>13</v>
      </c>
      <c r="C1172" t="s">
        <v>2065</v>
      </c>
      <c r="D1172" t="s">
        <v>2070</v>
      </c>
      <c r="F1172" t="s">
        <v>1430</v>
      </c>
      <c r="G1172" t="s">
        <v>24</v>
      </c>
      <c r="H1172" s="75" t="str">
        <f>IFERROR(VLOOKUP(Table2[[#This Row],[Ticket]],Okey!A:B,2,0),"")</f>
        <v>ok</v>
      </c>
      <c r="I1172" t="s">
        <v>19</v>
      </c>
      <c r="J1172" t="str">
        <f>VLOOKUP(Table2[[#This Row],[Author]],People!A:B,2,0)</f>
        <v>LS</v>
      </c>
      <c r="M1172" t="s">
        <v>1040</v>
      </c>
    </row>
    <row r="1173" spans="1:13" x14ac:dyDescent="0.25">
      <c r="A1173" s="75">
        <f t="shared" si="18"/>
        <v>1172</v>
      </c>
      <c r="B1173" t="s">
        <v>13</v>
      </c>
      <c r="C1173" t="s">
        <v>2065</v>
      </c>
      <c r="D1173" t="s">
        <v>2071</v>
      </c>
      <c r="F1173" t="s">
        <v>1430</v>
      </c>
      <c r="G1173" t="s">
        <v>24</v>
      </c>
      <c r="H1173" s="75" t="str">
        <f>IFERROR(VLOOKUP(Table2[[#This Row],[Ticket]],Okey!A:B,2,0),"")</f>
        <v>ok</v>
      </c>
      <c r="I1173" t="s">
        <v>19</v>
      </c>
      <c r="J1173" t="str">
        <f>VLOOKUP(Table2[[#This Row],[Author]],People!A:B,2,0)</f>
        <v>LS</v>
      </c>
      <c r="M1173" t="s">
        <v>1040</v>
      </c>
    </row>
    <row r="1174" spans="1:13" x14ac:dyDescent="0.25">
      <c r="A1174" s="75">
        <f t="shared" si="18"/>
        <v>1173</v>
      </c>
      <c r="B1174" t="s">
        <v>13</v>
      </c>
      <c r="C1174" t="s">
        <v>2065</v>
      </c>
      <c r="D1174" t="s">
        <v>2072</v>
      </c>
      <c r="F1174" t="s">
        <v>1430</v>
      </c>
      <c r="G1174" t="s">
        <v>24</v>
      </c>
      <c r="H1174" s="75" t="str">
        <f>IFERROR(VLOOKUP(Table2[[#This Row],[Ticket]],Okey!A:B,2,0),"")</f>
        <v>ok</v>
      </c>
      <c r="I1174" t="s">
        <v>19</v>
      </c>
      <c r="J1174" t="str">
        <f>VLOOKUP(Table2[[#This Row],[Author]],People!A:B,2,0)</f>
        <v>LS</v>
      </c>
      <c r="M1174" t="s">
        <v>1040</v>
      </c>
    </row>
    <row r="1175" spans="1:13" x14ac:dyDescent="0.25">
      <c r="A1175" s="75">
        <f t="shared" si="18"/>
        <v>1174</v>
      </c>
      <c r="B1175" t="s">
        <v>13</v>
      </c>
      <c r="C1175" t="s">
        <v>2065</v>
      </c>
      <c r="D1175" t="s">
        <v>2073</v>
      </c>
      <c r="F1175" t="s">
        <v>1430</v>
      </c>
      <c r="G1175" t="s">
        <v>24</v>
      </c>
      <c r="H1175" s="75" t="str">
        <f>IFERROR(VLOOKUP(Table2[[#This Row],[Ticket]],Okey!A:B,2,0),"")</f>
        <v>ok</v>
      </c>
      <c r="I1175" t="s">
        <v>19</v>
      </c>
      <c r="J1175" t="str">
        <f>VLOOKUP(Table2[[#This Row],[Author]],People!A:B,2,0)</f>
        <v>LS</v>
      </c>
      <c r="M1175" t="s">
        <v>1040</v>
      </c>
    </row>
    <row r="1176" spans="1:13" x14ac:dyDescent="0.25">
      <c r="A1176" s="75">
        <f t="shared" si="18"/>
        <v>1175</v>
      </c>
      <c r="B1176" t="s">
        <v>13</v>
      </c>
      <c r="C1176" t="s">
        <v>2065</v>
      </c>
      <c r="D1176" t="s">
        <v>2074</v>
      </c>
      <c r="F1176" t="s">
        <v>1430</v>
      </c>
      <c r="G1176" t="s">
        <v>24</v>
      </c>
      <c r="H1176" s="75" t="str">
        <f>IFERROR(VLOOKUP(Table2[[#This Row],[Ticket]],Okey!A:B,2,0),"")</f>
        <v>ok</v>
      </c>
      <c r="I1176" t="s">
        <v>19</v>
      </c>
      <c r="J1176" t="str">
        <f>VLOOKUP(Table2[[#This Row],[Author]],People!A:B,2,0)</f>
        <v>LS</v>
      </c>
      <c r="M1176" t="s">
        <v>1040</v>
      </c>
    </row>
    <row r="1177" spans="1:13" x14ac:dyDescent="0.25">
      <c r="A1177" s="75">
        <f t="shared" si="18"/>
        <v>1176</v>
      </c>
      <c r="B1177" t="s">
        <v>13</v>
      </c>
      <c r="C1177" t="s">
        <v>2065</v>
      </c>
      <c r="D1177" t="s">
        <v>2075</v>
      </c>
      <c r="F1177" t="s">
        <v>1430</v>
      </c>
      <c r="G1177" t="s">
        <v>24</v>
      </c>
      <c r="H1177" s="75" t="str">
        <f>IFERROR(VLOOKUP(Table2[[#This Row],[Ticket]],Okey!A:B,2,0),"")</f>
        <v>ok</v>
      </c>
      <c r="I1177" t="s">
        <v>19</v>
      </c>
      <c r="J1177" t="str">
        <f>VLOOKUP(Table2[[#This Row],[Author]],People!A:B,2,0)</f>
        <v>LS</v>
      </c>
      <c r="M1177" t="s">
        <v>1040</v>
      </c>
    </row>
    <row r="1178" spans="1:13" x14ac:dyDescent="0.25">
      <c r="A1178" s="75">
        <f t="shared" si="18"/>
        <v>1177</v>
      </c>
      <c r="B1178" t="s">
        <v>13</v>
      </c>
      <c r="C1178" t="s">
        <v>2065</v>
      </c>
      <c r="D1178" t="s">
        <v>2076</v>
      </c>
      <c r="F1178" t="s">
        <v>1430</v>
      </c>
      <c r="G1178" t="s">
        <v>24</v>
      </c>
      <c r="H1178" s="75" t="str">
        <f>IFERROR(VLOOKUP(Table2[[#This Row],[Ticket]],Okey!A:B,2,0),"")</f>
        <v>ok</v>
      </c>
      <c r="I1178" t="s">
        <v>19</v>
      </c>
      <c r="J1178" t="str">
        <f>VLOOKUP(Table2[[#This Row],[Author]],People!A:B,2,0)</f>
        <v>LS</v>
      </c>
      <c r="M1178" t="s">
        <v>1040</v>
      </c>
    </row>
    <row r="1179" spans="1:13" x14ac:dyDescent="0.25">
      <c r="A1179" s="75">
        <f t="shared" si="18"/>
        <v>1178</v>
      </c>
      <c r="B1179" t="s">
        <v>13</v>
      </c>
      <c r="C1179" t="s">
        <v>2065</v>
      </c>
      <c r="D1179" t="s">
        <v>2077</v>
      </c>
      <c r="F1179" t="s">
        <v>1430</v>
      </c>
      <c r="G1179" t="s">
        <v>24</v>
      </c>
      <c r="H1179" s="75" t="str">
        <f>IFERROR(VLOOKUP(Table2[[#This Row],[Ticket]],Okey!A:B,2,0),"")</f>
        <v>ok</v>
      </c>
      <c r="I1179" t="s">
        <v>19</v>
      </c>
      <c r="J1179" t="str">
        <f>VLOOKUP(Table2[[#This Row],[Author]],People!A:B,2,0)</f>
        <v>LS</v>
      </c>
      <c r="M1179" t="s">
        <v>1040</v>
      </c>
    </row>
    <row r="1180" spans="1:13" x14ac:dyDescent="0.25">
      <c r="A1180" s="75">
        <f t="shared" si="18"/>
        <v>1179</v>
      </c>
      <c r="B1180" t="s">
        <v>13</v>
      </c>
      <c r="C1180" t="s">
        <v>2065</v>
      </c>
      <c r="D1180" t="s">
        <v>2078</v>
      </c>
      <c r="F1180" t="s">
        <v>1430</v>
      </c>
      <c r="G1180" t="s">
        <v>24</v>
      </c>
      <c r="H1180" s="75" t="str">
        <f>IFERROR(VLOOKUP(Table2[[#This Row],[Ticket]],Okey!A:B,2,0),"")</f>
        <v>ok</v>
      </c>
      <c r="I1180" t="s">
        <v>19</v>
      </c>
      <c r="J1180" t="str">
        <f>VLOOKUP(Table2[[#This Row],[Author]],People!A:B,2,0)</f>
        <v>LS</v>
      </c>
      <c r="M1180" t="s">
        <v>1040</v>
      </c>
    </row>
    <row r="1181" spans="1:13" x14ac:dyDescent="0.25">
      <c r="A1181" s="75">
        <f t="shared" si="18"/>
        <v>1180</v>
      </c>
      <c r="B1181" t="s">
        <v>13</v>
      </c>
      <c r="C1181" t="s">
        <v>2065</v>
      </c>
      <c r="D1181" t="s">
        <v>2079</v>
      </c>
      <c r="F1181" t="s">
        <v>1430</v>
      </c>
      <c r="G1181" t="s">
        <v>24</v>
      </c>
      <c r="H1181" s="75" t="str">
        <f>IFERROR(VLOOKUP(Table2[[#This Row],[Ticket]],Okey!A:B,2,0),"")</f>
        <v>ok</v>
      </c>
      <c r="I1181" t="s">
        <v>19</v>
      </c>
      <c r="J1181" t="str">
        <f>VLOOKUP(Table2[[#This Row],[Author]],People!A:B,2,0)</f>
        <v>LS</v>
      </c>
      <c r="M1181" t="s">
        <v>1040</v>
      </c>
    </row>
    <row r="1182" spans="1:13" x14ac:dyDescent="0.25">
      <c r="A1182" s="75">
        <f t="shared" si="18"/>
        <v>1181</v>
      </c>
      <c r="B1182" t="s">
        <v>13</v>
      </c>
      <c r="C1182" t="s">
        <v>2065</v>
      </c>
      <c r="D1182" t="s">
        <v>2080</v>
      </c>
      <c r="F1182" t="s">
        <v>1430</v>
      </c>
      <c r="G1182" t="s">
        <v>24</v>
      </c>
      <c r="H1182" s="75" t="str">
        <f>IFERROR(VLOOKUP(Table2[[#This Row],[Ticket]],Okey!A:B,2,0),"")</f>
        <v>ok</v>
      </c>
      <c r="I1182" t="s">
        <v>19</v>
      </c>
      <c r="J1182" t="str">
        <f>VLOOKUP(Table2[[#This Row],[Author]],People!A:B,2,0)</f>
        <v>LS</v>
      </c>
      <c r="M1182" t="s">
        <v>1040</v>
      </c>
    </row>
    <row r="1183" spans="1:13" x14ac:dyDescent="0.25">
      <c r="A1183" s="75">
        <f t="shared" si="18"/>
        <v>1182</v>
      </c>
      <c r="B1183" t="s">
        <v>13</v>
      </c>
      <c r="C1183" t="s">
        <v>2065</v>
      </c>
      <c r="D1183" t="s">
        <v>2081</v>
      </c>
      <c r="F1183" t="s">
        <v>1430</v>
      </c>
      <c r="G1183" t="s">
        <v>24</v>
      </c>
      <c r="H1183" s="75" t="str">
        <f>IFERROR(VLOOKUP(Table2[[#This Row],[Ticket]],Okey!A:B,2,0),"")</f>
        <v>ok</v>
      </c>
      <c r="I1183" t="s">
        <v>19</v>
      </c>
      <c r="J1183" t="str">
        <f>VLOOKUP(Table2[[#This Row],[Author]],People!A:B,2,0)</f>
        <v>LS</v>
      </c>
      <c r="M1183" t="s">
        <v>1040</v>
      </c>
    </row>
    <row r="1184" spans="1:13" x14ac:dyDescent="0.25">
      <c r="A1184" s="75">
        <f t="shared" si="18"/>
        <v>1183</v>
      </c>
      <c r="B1184" t="s">
        <v>13</v>
      </c>
      <c r="C1184" t="s">
        <v>2065</v>
      </c>
      <c r="D1184" t="s">
        <v>2082</v>
      </c>
      <c r="F1184" t="s">
        <v>1430</v>
      </c>
      <c r="G1184" t="s">
        <v>24</v>
      </c>
      <c r="H1184" s="75" t="str">
        <f>IFERROR(VLOOKUP(Table2[[#This Row],[Ticket]],Okey!A:B,2,0),"")</f>
        <v>ok</v>
      </c>
      <c r="I1184" t="s">
        <v>19</v>
      </c>
      <c r="J1184" t="str">
        <f>VLOOKUP(Table2[[#This Row],[Author]],People!A:B,2,0)</f>
        <v>LS</v>
      </c>
      <c r="M1184" t="s">
        <v>1040</v>
      </c>
    </row>
    <row r="1185" spans="1:13" x14ac:dyDescent="0.25">
      <c r="A1185" s="75">
        <f t="shared" si="18"/>
        <v>1184</v>
      </c>
      <c r="B1185" t="s">
        <v>13</v>
      </c>
      <c r="C1185" t="s">
        <v>2065</v>
      </c>
      <c r="D1185" t="s">
        <v>2083</v>
      </c>
      <c r="F1185" t="s">
        <v>1430</v>
      </c>
      <c r="G1185" t="s">
        <v>24</v>
      </c>
      <c r="H1185" s="75" t="str">
        <f>IFERROR(VLOOKUP(Table2[[#This Row],[Ticket]],Okey!A:B,2,0),"")</f>
        <v>ok</v>
      </c>
      <c r="I1185" t="s">
        <v>19</v>
      </c>
      <c r="J1185" t="str">
        <f>VLOOKUP(Table2[[#This Row],[Author]],People!A:B,2,0)</f>
        <v>LS</v>
      </c>
      <c r="M1185" t="s">
        <v>1040</v>
      </c>
    </row>
    <row r="1186" spans="1:13" x14ac:dyDescent="0.25">
      <c r="A1186" s="75">
        <f t="shared" si="18"/>
        <v>1185</v>
      </c>
      <c r="B1186" t="s">
        <v>13</v>
      </c>
      <c r="C1186" t="s">
        <v>2065</v>
      </c>
      <c r="D1186" t="s">
        <v>2084</v>
      </c>
      <c r="F1186" t="s">
        <v>1430</v>
      </c>
      <c r="G1186" t="s">
        <v>24</v>
      </c>
      <c r="H1186" s="75" t="str">
        <f>IFERROR(VLOOKUP(Table2[[#This Row],[Ticket]],Okey!A:B,2,0),"")</f>
        <v>ok</v>
      </c>
      <c r="I1186" t="s">
        <v>19</v>
      </c>
      <c r="J1186" t="str">
        <f>VLOOKUP(Table2[[#This Row],[Author]],People!A:B,2,0)</f>
        <v>LS</v>
      </c>
      <c r="M1186" t="s">
        <v>1040</v>
      </c>
    </row>
    <row r="1187" spans="1:13" x14ac:dyDescent="0.25">
      <c r="A1187" s="75">
        <f t="shared" si="18"/>
        <v>1186</v>
      </c>
      <c r="B1187" t="s">
        <v>13</v>
      </c>
      <c r="C1187" t="s">
        <v>2065</v>
      </c>
      <c r="D1187" t="s">
        <v>2085</v>
      </c>
      <c r="F1187" t="s">
        <v>1430</v>
      </c>
      <c r="G1187" t="s">
        <v>24</v>
      </c>
      <c r="H1187" s="75" t="str">
        <f>IFERROR(VLOOKUP(Table2[[#This Row],[Ticket]],Okey!A:B,2,0),"")</f>
        <v>ok</v>
      </c>
      <c r="I1187" t="s">
        <v>19</v>
      </c>
      <c r="J1187" t="str">
        <f>VLOOKUP(Table2[[#This Row],[Author]],People!A:B,2,0)</f>
        <v>LS</v>
      </c>
      <c r="M1187" t="s">
        <v>1040</v>
      </c>
    </row>
    <row r="1188" spans="1:13" x14ac:dyDescent="0.25">
      <c r="A1188" s="75">
        <f t="shared" si="18"/>
        <v>1187</v>
      </c>
      <c r="B1188" t="s">
        <v>13</v>
      </c>
      <c r="C1188" t="s">
        <v>2065</v>
      </c>
      <c r="D1188" t="s">
        <v>2086</v>
      </c>
      <c r="F1188" t="s">
        <v>1430</v>
      </c>
      <c r="G1188" t="s">
        <v>24</v>
      </c>
      <c r="H1188" s="75" t="str">
        <f>IFERROR(VLOOKUP(Table2[[#This Row],[Ticket]],Okey!A:B,2,0),"")</f>
        <v>ok</v>
      </c>
      <c r="I1188" t="s">
        <v>19</v>
      </c>
      <c r="J1188" t="str">
        <f>VLOOKUP(Table2[[#This Row],[Author]],People!A:B,2,0)</f>
        <v>LS</v>
      </c>
      <c r="M1188" t="s">
        <v>1040</v>
      </c>
    </row>
    <row r="1189" spans="1:13" x14ac:dyDescent="0.25">
      <c r="A1189" s="75">
        <f t="shared" si="18"/>
        <v>1188</v>
      </c>
      <c r="B1189" t="s">
        <v>13</v>
      </c>
      <c r="C1189" t="s">
        <v>2065</v>
      </c>
      <c r="D1189" t="s">
        <v>2087</v>
      </c>
      <c r="F1189" t="s">
        <v>1430</v>
      </c>
      <c r="G1189" t="s">
        <v>24</v>
      </c>
      <c r="H1189" s="75" t="str">
        <f>IFERROR(VLOOKUP(Table2[[#This Row],[Ticket]],Okey!A:B,2,0),"")</f>
        <v>ok</v>
      </c>
      <c r="I1189" t="s">
        <v>19</v>
      </c>
      <c r="J1189" t="str">
        <f>VLOOKUP(Table2[[#This Row],[Author]],People!A:B,2,0)</f>
        <v>LS</v>
      </c>
      <c r="M1189" t="s">
        <v>1040</v>
      </c>
    </row>
    <row r="1190" spans="1:13" x14ac:dyDescent="0.25">
      <c r="A1190" s="75">
        <f t="shared" si="18"/>
        <v>1189</v>
      </c>
      <c r="B1190" t="s">
        <v>13</v>
      </c>
      <c r="C1190" t="s">
        <v>2065</v>
      </c>
      <c r="D1190" t="s">
        <v>2088</v>
      </c>
      <c r="F1190" t="s">
        <v>1430</v>
      </c>
      <c r="G1190" t="s">
        <v>24</v>
      </c>
      <c r="H1190" s="75" t="str">
        <f>IFERROR(VLOOKUP(Table2[[#This Row],[Ticket]],Okey!A:B,2,0),"")</f>
        <v>ok</v>
      </c>
      <c r="I1190" t="s">
        <v>19</v>
      </c>
      <c r="J1190" t="str">
        <f>VLOOKUP(Table2[[#This Row],[Author]],People!A:B,2,0)</f>
        <v>LS</v>
      </c>
      <c r="M1190" t="s">
        <v>1040</v>
      </c>
    </row>
    <row r="1191" spans="1:13" x14ac:dyDescent="0.25">
      <c r="A1191" s="75">
        <f t="shared" si="18"/>
        <v>1190</v>
      </c>
      <c r="B1191" t="s">
        <v>13</v>
      </c>
      <c r="C1191" t="s">
        <v>2065</v>
      </c>
      <c r="D1191" t="s">
        <v>2089</v>
      </c>
      <c r="F1191" t="s">
        <v>1430</v>
      </c>
      <c r="G1191" t="s">
        <v>24</v>
      </c>
      <c r="H1191" s="75" t="str">
        <f>IFERROR(VLOOKUP(Table2[[#This Row],[Ticket]],Okey!A:B,2,0),"")</f>
        <v>ok</v>
      </c>
      <c r="I1191" t="s">
        <v>19</v>
      </c>
      <c r="J1191" t="str">
        <f>VLOOKUP(Table2[[#This Row],[Author]],People!A:B,2,0)</f>
        <v>LS</v>
      </c>
      <c r="M1191" t="s">
        <v>1040</v>
      </c>
    </row>
    <row r="1192" spans="1:13" x14ac:dyDescent="0.25">
      <c r="A1192" s="75">
        <f t="shared" si="18"/>
        <v>1191</v>
      </c>
      <c r="B1192" t="s">
        <v>13</v>
      </c>
      <c r="C1192" t="s">
        <v>2065</v>
      </c>
      <c r="D1192" t="s">
        <v>2090</v>
      </c>
      <c r="F1192" t="s">
        <v>1430</v>
      </c>
      <c r="G1192" t="s">
        <v>24</v>
      </c>
      <c r="H1192" s="75" t="str">
        <f>IFERROR(VLOOKUP(Table2[[#This Row],[Ticket]],Okey!A:B,2,0),"")</f>
        <v>ok</v>
      </c>
      <c r="I1192" t="s">
        <v>19</v>
      </c>
      <c r="J1192" t="str">
        <f>VLOOKUP(Table2[[#This Row],[Author]],People!A:B,2,0)</f>
        <v>LS</v>
      </c>
      <c r="M1192" t="s">
        <v>1040</v>
      </c>
    </row>
    <row r="1193" spans="1:13" x14ac:dyDescent="0.25">
      <c r="A1193" s="75">
        <f t="shared" si="18"/>
        <v>1192</v>
      </c>
      <c r="B1193" t="s">
        <v>13</v>
      </c>
      <c r="C1193" t="s">
        <v>2065</v>
      </c>
      <c r="D1193" t="s">
        <v>2091</v>
      </c>
      <c r="F1193" t="s">
        <v>1430</v>
      </c>
      <c r="G1193" t="s">
        <v>24</v>
      </c>
      <c r="H1193" s="75" t="str">
        <f>IFERROR(VLOOKUP(Table2[[#This Row],[Ticket]],Okey!A:B,2,0),"")</f>
        <v>ok</v>
      </c>
      <c r="I1193" t="s">
        <v>19</v>
      </c>
      <c r="J1193" t="str">
        <f>VLOOKUP(Table2[[#This Row],[Author]],People!A:B,2,0)</f>
        <v>LS</v>
      </c>
      <c r="M1193" t="s">
        <v>1040</v>
      </c>
    </row>
    <row r="1194" spans="1:13" x14ac:dyDescent="0.25">
      <c r="A1194" s="75">
        <f t="shared" si="18"/>
        <v>1193</v>
      </c>
      <c r="B1194" t="s">
        <v>13</v>
      </c>
      <c r="C1194" t="s">
        <v>2065</v>
      </c>
      <c r="D1194" t="s">
        <v>2092</v>
      </c>
      <c r="F1194" t="s">
        <v>1430</v>
      </c>
      <c r="G1194" t="s">
        <v>24</v>
      </c>
      <c r="H1194" s="75" t="str">
        <f>IFERROR(VLOOKUP(Table2[[#This Row],[Ticket]],Okey!A:B,2,0),"")</f>
        <v>ok</v>
      </c>
      <c r="I1194" t="s">
        <v>19</v>
      </c>
      <c r="J1194" t="str">
        <f>VLOOKUP(Table2[[#This Row],[Author]],People!A:B,2,0)</f>
        <v>LS</v>
      </c>
      <c r="M1194" t="s">
        <v>1040</v>
      </c>
    </row>
    <row r="1195" spans="1:13" x14ac:dyDescent="0.25">
      <c r="A1195" s="75">
        <f t="shared" si="18"/>
        <v>1194</v>
      </c>
      <c r="B1195" t="s">
        <v>13</v>
      </c>
      <c r="C1195" t="s">
        <v>2065</v>
      </c>
      <c r="D1195" t="s">
        <v>2093</v>
      </c>
      <c r="F1195" t="s">
        <v>1430</v>
      </c>
      <c r="G1195" t="s">
        <v>24</v>
      </c>
      <c r="H1195" s="75" t="str">
        <f>IFERROR(VLOOKUP(Table2[[#This Row],[Ticket]],Okey!A:B,2,0),"")</f>
        <v>ok</v>
      </c>
      <c r="I1195" t="s">
        <v>19</v>
      </c>
      <c r="J1195" t="str">
        <f>VLOOKUP(Table2[[#This Row],[Author]],People!A:B,2,0)</f>
        <v>LS</v>
      </c>
      <c r="M1195" t="s">
        <v>1040</v>
      </c>
    </row>
    <row r="1196" spans="1:13" x14ac:dyDescent="0.25">
      <c r="A1196" s="75">
        <f t="shared" si="18"/>
        <v>1195</v>
      </c>
      <c r="B1196" t="s">
        <v>13</v>
      </c>
      <c r="C1196" t="s">
        <v>2065</v>
      </c>
      <c r="D1196" t="s">
        <v>2094</v>
      </c>
      <c r="F1196" t="s">
        <v>1430</v>
      </c>
      <c r="G1196" t="s">
        <v>24</v>
      </c>
      <c r="H1196" s="75" t="str">
        <f>IFERROR(VLOOKUP(Table2[[#This Row],[Ticket]],Okey!A:B,2,0),"")</f>
        <v>ok</v>
      </c>
      <c r="I1196" t="s">
        <v>19</v>
      </c>
      <c r="J1196" t="str">
        <f>VLOOKUP(Table2[[#This Row],[Author]],People!A:B,2,0)</f>
        <v>LS</v>
      </c>
      <c r="M1196" t="s">
        <v>1040</v>
      </c>
    </row>
    <row r="1197" spans="1:13" x14ac:dyDescent="0.25">
      <c r="A1197" s="75">
        <f t="shared" si="18"/>
        <v>1196</v>
      </c>
      <c r="B1197" t="s">
        <v>13</v>
      </c>
      <c r="C1197" t="s">
        <v>2065</v>
      </c>
      <c r="D1197" t="s">
        <v>2095</v>
      </c>
      <c r="F1197" t="s">
        <v>1430</v>
      </c>
      <c r="G1197" t="s">
        <v>24</v>
      </c>
      <c r="H1197" s="75" t="str">
        <f>IFERROR(VLOOKUP(Table2[[#This Row],[Ticket]],Okey!A:B,2,0),"")</f>
        <v>ok</v>
      </c>
      <c r="I1197" t="s">
        <v>19</v>
      </c>
      <c r="J1197" t="str">
        <f>VLOOKUP(Table2[[#This Row],[Author]],People!A:B,2,0)</f>
        <v>LS</v>
      </c>
      <c r="M1197" t="s">
        <v>1040</v>
      </c>
    </row>
    <row r="1198" spans="1:13" x14ac:dyDescent="0.25">
      <c r="A1198" s="75">
        <f t="shared" si="18"/>
        <v>1197</v>
      </c>
      <c r="B1198" t="s">
        <v>13</v>
      </c>
      <c r="C1198" t="s">
        <v>2065</v>
      </c>
      <c r="D1198" t="s">
        <v>2096</v>
      </c>
      <c r="F1198" t="s">
        <v>1430</v>
      </c>
      <c r="G1198" t="s">
        <v>24</v>
      </c>
      <c r="H1198" s="75" t="str">
        <f>IFERROR(VLOOKUP(Table2[[#This Row],[Ticket]],Okey!A:B,2,0),"")</f>
        <v>ok</v>
      </c>
      <c r="I1198" t="s">
        <v>19</v>
      </c>
      <c r="J1198" t="str">
        <f>VLOOKUP(Table2[[#This Row],[Author]],People!A:B,2,0)</f>
        <v>LS</v>
      </c>
      <c r="M1198" t="s">
        <v>1040</v>
      </c>
    </row>
    <row r="1199" spans="1:13" x14ac:dyDescent="0.25">
      <c r="A1199" s="75">
        <f t="shared" si="18"/>
        <v>1198</v>
      </c>
      <c r="B1199" t="s">
        <v>13</v>
      </c>
      <c r="C1199" t="s">
        <v>2065</v>
      </c>
      <c r="D1199" t="s">
        <v>2097</v>
      </c>
      <c r="F1199" t="s">
        <v>1430</v>
      </c>
      <c r="G1199" t="s">
        <v>24</v>
      </c>
      <c r="H1199" s="75" t="str">
        <f>IFERROR(VLOOKUP(Table2[[#This Row],[Ticket]],Okey!A:B,2,0),"")</f>
        <v>ok</v>
      </c>
      <c r="I1199" t="s">
        <v>19</v>
      </c>
      <c r="J1199" t="str">
        <f>VLOOKUP(Table2[[#This Row],[Author]],People!A:B,2,0)</f>
        <v>LS</v>
      </c>
      <c r="M1199" t="s">
        <v>1040</v>
      </c>
    </row>
    <row r="1200" spans="1:13" x14ac:dyDescent="0.25">
      <c r="A1200" s="75">
        <f t="shared" si="18"/>
        <v>1199</v>
      </c>
      <c r="B1200" t="s">
        <v>13</v>
      </c>
      <c r="C1200" t="s">
        <v>2065</v>
      </c>
      <c r="D1200" t="s">
        <v>2098</v>
      </c>
      <c r="F1200" t="s">
        <v>1430</v>
      </c>
      <c r="G1200" t="s">
        <v>24</v>
      </c>
      <c r="H1200" s="75" t="str">
        <f>IFERROR(VLOOKUP(Table2[[#This Row],[Ticket]],Okey!A:B,2,0),"")</f>
        <v>ok</v>
      </c>
      <c r="I1200" t="s">
        <v>19</v>
      </c>
      <c r="J1200" t="str">
        <f>VLOOKUP(Table2[[#This Row],[Author]],People!A:B,2,0)</f>
        <v>LS</v>
      </c>
      <c r="M1200" t="s">
        <v>1040</v>
      </c>
    </row>
    <row r="1201" spans="1:13" x14ac:dyDescent="0.25">
      <c r="A1201" s="75">
        <f t="shared" si="18"/>
        <v>1200</v>
      </c>
      <c r="B1201" t="s">
        <v>13</v>
      </c>
      <c r="C1201" t="s">
        <v>2065</v>
      </c>
      <c r="D1201" t="s">
        <v>2099</v>
      </c>
      <c r="F1201" t="s">
        <v>1430</v>
      </c>
      <c r="G1201" t="s">
        <v>24</v>
      </c>
      <c r="H1201" s="75" t="str">
        <f>IFERROR(VLOOKUP(Table2[[#This Row],[Ticket]],Okey!A:B,2,0),"")</f>
        <v>ok</v>
      </c>
      <c r="I1201" t="s">
        <v>19</v>
      </c>
      <c r="J1201" t="str">
        <f>VLOOKUP(Table2[[#This Row],[Author]],People!A:B,2,0)</f>
        <v>LS</v>
      </c>
      <c r="M1201" t="s">
        <v>1040</v>
      </c>
    </row>
    <row r="1202" spans="1:13" x14ac:dyDescent="0.25">
      <c r="A1202" s="75">
        <f t="shared" si="18"/>
        <v>1201</v>
      </c>
      <c r="B1202" t="s">
        <v>13</v>
      </c>
      <c r="C1202" t="s">
        <v>2065</v>
      </c>
      <c r="D1202" t="s">
        <v>2100</v>
      </c>
      <c r="F1202" t="s">
        <v>1430</v>
      </c>
      <c r="G1202" t="s">
        <v>24</v>
      </c>
      <c r="H1202" s="75" t="str">
        <f>IFERROR(VLOOKUP(Table2[[#This Row],[Ticket]],Okey!A:B,2,0),"")</f>
        <v>ok</v>
      </c>
      <c r="I1202" t="s">
        <v>19</v>
      </c>
      <c r="J1202" t="str">
        <f>VLOOKUP(Table2[[#This Row],[Author]],People!A:B,2,0)</f>
        <v>LS</v>
      </c>
      <c r="M1202" t="s">
        <v>1040</v>
      </c>
    </row>
    <row r="1203" spans="1:13" x14ac:dyDescent="0.25">
      <c r="A1203" s="75">
        <f t="shared" si="18"/>
        <v>1202</v>
      </c>
      <c r="B1203" t="s">
        <v>13</v>
      </c>
      <c r="C1203" t="s">
        <v>2065</v>
      </c>
      <c r="D1203" t="s">
        <v>2101</v>
      </c>
      <c r="F1203" t="s">
        <v>1430</v>
      </c>
      <c r="G1203" t="s">
        <v>24</v>
      </c>
      <c r="H1203" s="75" t="str">
        <f>IFERROR(VLOOKUP(Table2[[#This Row],[Ticket]],Okey!A:B,2,0),"")</f>
        <v>ok</v>
      </c>
      <c r="I1203" t="s">
        <v>19</v>
      </c>
      <c r="J1203" t="str">
        <f>VLOOKUP(Table2[[#This Row],[Author]],People!A:B,2,0)</f>
        <v>LS</v>
      </c>
      <c r="M1203" t="s">
        <v>1040</v>
      </c>
    </row>
    <row r="1204" spans="1:13" x14ac:dyDescent="0.25">
      <c r="A1204" s="75">
        <f t="shared" si="18"/>
        <v>1203</v>
      </c>
      <c r="B1204" t="s">
        <v>13</v>
      </c>
      <c r="C1204" t="s">
        <v>2065</v>
      </c>
      <c r="D1204" t="s">
        <v>2102</v>
      </c>
      <c r="F1204" t="s">
        <v>1430</v>
      </c>
      <c r="G1204" t="s">
        <v>24</v>
      </c>
      <c r="H1204" s="75" t="str">
        <f>IFERROR(VLOOKUP(Table2[[#This Row],[Ticket]],Okey!A:B,2,0),"")</f>
        <v>ok</v>
      </c>
      <c r="I1204" t="s">
        <v>19</v>
      </c>
      <c r="J1204" t="str">
        <f>VLOOKUP(Table2[[#This Row],[Author]],People!A:B,2,0)</f>
        <v>LS</v>
      </c>
      <c r="M1204" t="s">
        <v>1040</v>
      </c>
    </row>
    <row r="1205" spans="1:13" x14ac:dyDescent="0.25">
      <c r="A1205" s="75">
        <f t="shared" si="18"/>
        <v>1204</v>
      </c>
      <c r="B1205" t="s">
        <v>13</v>
      </c>
      <c r="C1205" t="s">
        <v>2065</v>
      </c>
      <c r="D1205" t="s">
        <v>2103</v>
      </c>
      <c r="F1205" t="s">
        <v>1430</v>
      </c>
      <c r="G1205" t="s">
        <v>24</v>
      </c>
      <c r="H1205" s="75" t="str">
        <f>IFERROR(VLOOKUP(Table2[[#This Row],[Ticket]],Okey!A:B,2,0),"")</f>
        <v>ok</v>
      </c>
      <c r="I1205" t="s">
        <v>19</v>
      </c>
      <c r="J1205" t="str">
        <f>VLOOKUP(Table2[[#This Row],[Author]],People!A:B,2,0)</f>
        <v>LS</v>
      </c>
      <c r="M1205" t="s">
        <v>1040</v>
      </c>
    </row>
    <row r="1206" spans="1:13" x14ac:dyDescent="0.25">
      <c r="A1206" s="75">
        <f t="shared" si="18"/>
        <v>1205</v>
      </c>
      <c r="B1206" t="s">
        <v>13</v>
      </c>
      <c r="C1206" t="s">
        <v>2065</v>
      </c>
      <c r="D1206" t="s">
        <v>2104</v>
      </c>
      <c r="F1206" t="s">
        <v>1430</v>
      </c>
      <c r="G1206" t="s">
        <v>24</v>
      </c>
      <c r="H1206" s="75" t="str">
        <f>IFERROR(VLOOKUP(Table2[[#This Row],[Ticket]],Okey!A:B,2,0),"")</f>
        <v>ok</v>
      </c>
      <c r="I1206" t="s">
        <v>19</v>
      </c>
      <c r="J1206" t="str">
        <f>VLOOKUP(Table2[[#This Row],[Author]],People!A:B,2,0)</f>
        <v>LS</v>
      </c>
      <c r="M1206" t="s">
        <v>1040</v>
      </c>
    </row>
    <row r="1207" spans="1:13" x14ac:dyDescent="0.25">
      <c r="A1207" s="75">
        <f t="shared" si="18"/>
        <v>1206</v>
      </c>
      <c r="B1207" t="s">
        <v>13</v>
      </c>
      <c r="C1207" t="s">
        <v>2065</v>
      </c>
      <c r="D1207" t="s">
        <v>2105</v>
      </c>
      <c r="F1207" t="s">
        <v>1430</v>
      </c>
      <c r="G1207" t="s">
        <v>24</v>
      </c>
      <c r="H1207" s="75" t="str">
        <f>IFERROR(VLOOKUP(Table2[[#This Row],[Ticket]],Okey!A:B,2,0),"")</f>
        <v>ok</v>
      </c>
      <c r="I1207" t="s">
        <v>19</v>
      </c>
      <c r="J1207" t="str">
        <f>VLOOKUP(Table2[[#This Row],[Author]],People!A:B,2,0)</f>
        <v>LS</v>
      </c>
      <c r="M1207" t="s">
        <v>1040</v>
      </c>
    </row>
    <row r="1208" spans="1:13" x14ac:dyDescent="0.25">
      <c r="A1208" s="75">
        <f t="shared" si="18"/>
        <v>1207</v>
      </c>
      <c r="B1208" t="s">
        <v>13</v>
      </c>
      <c r="C1208" t="s">
        <v>2065</v>
      </c>
      <c r="D1208" t="s">
        <v>2106</v>
      </c>
      <c r="F1208" t="s">
        <v>1430</v>
      </c>
      <c r="G1208" t="s">
        <v>24</v>
      </c>
      <c r="H1208" s="75" t="str">
        <f>IFERROR(VLOOKUP(Table2[[#This Row],[Ticket]],Okey!A:B,2,0),"")</f>
        <v>ok</v>
      </c>
      <c r="I1208" t="s">
        <v>19</v>
      </c>
      <c r="J1208" t="str">
        <f>VLOOKUP(Table2[[#This Row],[Author]],People!A:B,2,0)</f>
        <v>LS</v>
      </c>
      <c r="M1208" t="s">
        <v>1040</v>
      </c>
    </row>
    <row r="1209" spans="1:13" x14ac:dyDescent="0.25">
      <c r="A1209" s="75">
        <f t="shared" si="18"/>
        <v>1208</v>
      </c>
      <c r="B1209" t="s">
        <v>13</v>
      </c>
      <c r="C1209" t="s">
        <v>2065</v>
      </c>
      <c r="D1209" t="s">
        <v>2107</v>
      </c>
      <c r="F1209" t="s">
        <v>1430</v>
      </c>
      <c r="G1209" t="s">
        <v>24</v>
      </c>
      <c r="H1209" s="75" t="str">
        <f>IFERROR(VLOOKUP(Table2[[#This Row],[Ticket]],Okey!A:B,2,0),"")</f>
        <v>ok</v>
      </c>
      <c r="I1209" t="s">
        <v>19</v>
      </c>
      <c r="J1209" t="str">
        <f>VLOOKUP(Table2[[#This Row],[Author]],People!A:B,2,0)</f>
        <v>LS</v>
      </c>
      <c r="M1209" t="s">
        <v>1040</v>
      </c>
    </row>
    <row r="1210" spans="1:13" x14ac:dyDescent="0.25">
      <c r="A1210" s="75">
        <f t="shared" si="18"/>
        <v>1209</v>
      </c>
      <c r="B1210" t="s">
        <v>13</v>
      </c>
      <c r="C1210" t="s">
        <v>2065</v>
      </c>
      <c r="D1210" t="s">
        <v>2108</v>
      </c>
      <c r="F1210" t="s">
        <v>1430</v>
      </c>
      <c r="G1210" t="s">
        <v>24</v>
      </c>
      <c r="H1210" s="75" t="str">
        <f>IFERROR(VLOOKUP(Table2[[#This Row],[Ticket]],Okey!A:B,2,0),"")</f>
        <v>ok</v>
      </c>
      <c r="I1210" t="s">
        <v>19</v>
      </c>
      <c r="J1210" t="str">
        <f>VLOOKUP(Table2[[#This Row],[Author]],People!A:B,2,0)</f>
        <v>LS</v>
      </c>
      <c r="M1210" t="s">
        <v>1040</v>
      </c>
    </row>
    <row r="1211" spans="1:13" x14ac:dyDescent="0.25">
      <c r="A1211" s="75">
        <f t="shared" si="18"/>
        <v>1210</v>
      </c>
      <c r="B1211" t="s">
        <v>13</v>
      </c>
      <c r="C1211" t="s">
        <v>2065</v>
      </c>
      <c r="D1211" t="s">
        <v>2109</v>
      </c>
      <c r="F1211" t="s">
        <v>1430</v>
      </c>
      <c r="G1211" t="s">
        <v>24</v>
      </c>
      <c r="H1211" s="75" t="str">
        <f>IFERROR(VLOOKUP(Table2[[#This Row],[Ticket]],Okey!A:B,2,0),"")</f>
        <v>ok</v>
      </c>
      <c r="I1211" t="s">
        <v>19</v>
      </c>
      <c r="J1211" t="str">
        <f>VLOOKUP(Table2[[#This Row],[Author]],People!A:B,2,0)</f>
        <v>LS</v>
      </c>
      <c r="M1211" t="s">
        <v>1040</v>
      </c>
    </row>
    <row r="1212" spans="1:13" x14ac:dyDescent="0.25">
      <c r="A1212" s="75">
        <f t="shared" si="18"/>
        <v>1211</v>
      </c>
      <c r="B1212" t="s">
        <v>13</v>
      </c>
      <c r="C1212" t="s">
        <v>2065</v>
      </c>
      <c r="D1212" t="s">
        <v>2110</v>
      </c>
      <c r="F1212" t="s">
        <v>1430</v>
      </c>
      <c r="G1212" t="s">
        <v>24</v>
      </c>
      <c r="H1212" s="75" t="str">
        <f>IFERROR(VLOOKUP(Table2[[#This Row],[Ticket]],Okey!A:B,2,0),"")</f>
        <v>ok</v>
      </c>
      <c r="I1212" t="s">
        <v>19</v>
      </c>
      <c r="J1212" t="str">
        <f>VLOOKUP(Table2[[#This Row],[Author]],People!A:B,2,0)</f>
        <v>LS</v>
      </c>
      <c r="M1212" t="s">
        <v>1040</v>
      </c>
    </row>
    <row r="1213" spans="1:13" x14ac:dyDescent="0.25">
      <c r="A1213" s="75">
        <f t="shared" si="18"/>
        <v>1212</v>
      </c>
      <c r="B1213" t="s">
        <v>13</v>
      </c>
      <c r="C1213" t="s">
        <v>2065</v>
      </c>
      <c r="D1213" t="s">
        <v>2111</v>
      </c>
      <c r="F1213" t="s">
        <v>1430</v>
      </c>
      <c r="G1213" t="s">
        <v>24</v>
      </c>
      <c r="H1213" s="75" t="str">
        <f>IFERROR(VLOOKUP(Table2[[#This Row],[Ticket]],Okey!A:B,2,0),"")</f>
        <v>ok</v>
      </c>
      <c r="I1213" t="s">
        <v>19</v>
      </c>
      <c r="J1213" t="str">
        <f>VLOOKUP(Table2[[#This Row],[Author]],People!A:B,2,0)</f>
        <v>LS</v>
      </c>
      <c r="M1213" t="s">
        <v>1040</v>
      </c>
    </row>
    <row r="1214" spans="1:13" x14ac:dyDescent="0.25">
      <c r="A1214" s="75">
        <f t="shared" si="18"/>
        <v>1213</v>
      </c>
      <c r="B1214" t="s">
        <v>13</v>
      </c>
      <c r="C1214" t="s">
        <v>2065</v>
      </c>
      <c r="D1214" t="s">
        <v>2112</v>
      </c>
      <c r="F1214" t="s">
        <v>1430</v>
      </c>
      <c r="G1214" t="s">
        <v>24</v>
      </c>
      <c r="H1214" s="75" t="str">
        <f>IFERROR(VLOOKUP(Table2[[#This Row],[Ticket]],Okey!A:B,2,0),"")</f>
        <v>ok</v>
      </c>
      <c r="I1214" t="s">
        <v>19</v>
      </c>
      <c r="J1214" t="str">
        <f>VLOOKUP(Table2[[#This Row],[Author]],People!A:B,2,0)</f>
        <v>LS</v>
      </c>
      <c r="M1214" t="s">
        <v>1040</v>
      </c>
    </row>
    <row r="1215" spans="1:13" x14ac:dyDescent="0.25">
      <c r="A1215" s="75">
        <f t="shared" si="18"/>
        <v>1214</v>
      </c>
      <c r="B1215" t="s">
        <v>13</v>
      </c>
      <c r="C1215" t="s">
        <v>2065</v>
      </c>
      <c r="D1215" t="s">
        <v>2113</v>
      </c>
      <c r="F1215" t="s">
        <v>1430</v>
      </c>
      <c r="G1215" t="s">
        <v>24</v>
      </c>
      <c r="H1215" s="75" t="str">
        <f>IFERROR(VLOOKUP(Table2[[#This Row],[Ticket]],Okey!A:B,2,0),"")</f>
        <v>ok</v>
      </c>
      <c r="I1215" t="s">
        <v>19</v>
      </c>
      <c r="J1215" t="str">
        <f>VLOOKUP(Table2[[#This Row],[Author]],People!A:B,2,0)</f>
        <v>LS</v>
      </c>
      <c r="M1215" t="s">
        <v>1040</v>
      </c>
    </row>
    <row r="1216" spans="1:13" x14ac:dyDescent="0.25">
      <c r="A1216" s="75">
        <f t="shared" si="18"/>
        <v>1215</v>
      </c>
      <c r="B1216" t="s">
        <v>13</v>
      </c>
      <c r="C1216" t="s">
        <v>2065</v>
      </c>
      <c r="D1216" t="s">
        <v>2114</v>
      </c>
      <c r="F1216" t="s">
        <v>1430</v>
      </c>
      <c r="G1216" t="s">
        <v>24</v>
      </c>
      <c r="H1216" s="75" t="str">
        <f>IFERROR(VLOOKUP(Table2[[#This Row],[Ticket]],Okey!A:B,2,0),"")</f>
        <v>ok</v>
      </c>
      <c r="I1216" t="s">
        <v>19</v>
      </c>
      <c r="J1216" t="str">
        <f>VLOOKUP(Table2[[#This Row],[Author]],People!A:B,2,0)</f>
        <v>LS</v>
      </c>
      <c r="M1216" t="s">
        <v>1040</v>
      </c>
    </row>
    <row r="1217" spans="1:13" x14ac:dyDescent="0.25">
      <c r="A1217" s="75">
        <f t="shared" si="18"/>
        <v>1216</v>
      </c>
      <c r="B1217" t="s">
        <v>13</v>
      </c>
      <c r="C1217" t="s">
        <v>2065</v>
      </c>
      <c r="D1217" t="s">
        <v>2115</v>
      </c>
      <c r="F1217" t="s">
        <v>1430</v>
      </c>
      <c r="G1217" t="s">
        <v>24</v>
      </c>
      <c r="H1217" s="75" t="str">
        <f>IFERROR(VLOOKUP(Table2[[#This Row],[Ticket]],Okey!A:B,2,0),"")</f>
        <v>ok</v>
      </c>
      <c r="I1217" t="s">
        <v>19</v>
      </c>
      <c r="J1217" t="str">
        <f>VLOOKUP(Table2[[#This Row],[Author]],People!A:B,2,0)</f>
        <v>LS</v>
      </c>
      <c r="M1217" t="s">
        <v>1040</v>
      </c>
    </row>
    <row r="1218" spans="1:13" x14ac:dyDescent="0.25">
      <c r="A1218" s="75">
        <f t="shared" si="18"/>
        <v>1217</v>
      </c>
      <c r="B1218" t="s">
        <v>13</v>
      </c>
      <c r="C1218" t="s">
        <v>2065</v>
      </c>
      <c r="D1218" t="s">
        <v>2116</v>
      </c>
      <c r="F1218" t="s">
        <v>1430</v>
      </c>
      <c r="G1218" t="s">
        <v>24</v>
      </c>
      <c r="H1218" s="75" t="str">
        <f>IFERROR(VLOOKUP(Table2[[#This Row],[Ticket]],Okey!A:B,2,0),"")</f>
        <v>ok</v>
      </c>
      <c r="I1218" t="s">
        <v>19</v>
      </c>
      <c r="J1218" t="str">
        <f>VLOOKUP(Table2[[#This Row],[Author]],People!A:B,2,0)</f>
        <v>LS</v>
      </c>
      <c r="M1218" t="s">
        <v>1040</v>
      </c>
    </row>
    <row r="1219" spans="1:13" x14ac:dyDescent="0.25">
      <c r="A1219" s="75">
        <f t="shared" si="18"/>
        <v>1218</v>
      </c>
      <c r="B1219" t="s">
        <v>13</v>
      </c>
      <c r="C1219" t="s">
        <v>2065</v>
      </c>
      <c r="D1219" t="s">
        <v>2117</v>
      </c>
      <c r="F1219" t="s">
        <v>1430</v>
      </c>
      <c r="G1219" t="s">
        <v>24</v>
      </c>
      <c r="H1219" s="75" t="str">
        <f>IFERROR(VLOOKUP(Table2[[#This Row],[Ticket]],Okey!A:B,2,0),"")</f>
        <v>ok</v>
      </c>
      <c r="I1219" t="s">
        <v>19</v>
      </c>
      <c r="J1219" t="str">
        <f>VLOOKUP(Table2[[#This Row],[Author]],People!A:B,2,0)</f>
        <v>LS</v>
      </c>
      <c r="M1219" t="s">
        <v>1040</v>
      </c>
    </row>
    <row r="1220" spans="1:13" x14ac:dyDescent="0.25">
      <c r="A1220" s="75">
        <f t="shared" si="18"/>
        <v>1219</v>
      </c>
      <c r="B1220" t="s">
        <v>13</v>
      </c>
      <c r="C1220" t="s">
        <v>2065</v>
      </c>
      <c r="D1220" t="s">
        <v>2118</v>
      </c>
      <c r="F1220" t="s">
        <v>1430</v>
      </c>
      <c r="G1220" t="s">
        <v>24</v>
      </c>
      <c r="H1220" s="75" t="str">
        <f>IFERROR(VLOOKUP(Table2[[#This Row],[Ticket]],Okey!A:B,2,0),"")</f>
        <v>ok</v>
      </c>
      <c r="I1220" t="s">
        <v>19</v>
      </c>
      <c r="J1220" t="str">
        <f>VLOOKUP(Table2[[#This Row],[Author]],People!A:B,2,0)</f>
        <v>LS</v>
      </c>
      <c r="M1220" t="s">
        <v>1040</v>
      </c>
    </row>
    <row r="1221" spans="1:13" x14ac:dyDescent="0.25">
      <c r="A1221" s="75">
        <f t="shared" si="18"/>
        <v>1220</v>
      </c>
      <c r="B1221" t="s">
        <v>13</v>
      </c>
      <c r="C1221" t="s">
        <v>2065</v>
      </c>
      <c r="D1221" t="s">
        <v>2119</v>
      </c>
      <c r="F1221" t="s">
        <v>1430</v>
      </c>
      <c r="G1221" t="s">
        <v>24</v>
      </c>
      <c r="H1221" s="75" t="str">
        <f>IFERROR(VLOOKUP(Table2[[#This Row],[Ticket]],Okey!A:B,2,0),"")</f>
        <v>ok</v>
      </c>
      <c r="I1221" t="s">
        <v>19</v>
      </c>
      <c r="J1221" t="str">
        <f>VLOOKUP(Table2[[#This Row],[Author]],People!A:B,2,0)</f>
        <v>LS</v>
      </c>
      <c r="M1221" t="s">
        <v>1040</v>
      </c>
    </row>
    <row r="1222" spans="1:13" x14ac:dyDescent="0.25">
      <c r="A1222" s="75">
        <f t="shared" si="18"/>
        <v>1221</v>
      </c>
      <c r="B1222" t="s">
        <v>13</v>
      </c>
      <c r="C1222" t="s">
        <v>2065</v>
      </c>
      <c r="D1222" t="s">
        <v>2120</v>
      </c>
      <c r="F1222" t="s">
        <v>1430</v>
      </c>
      <c r="G1222" t="s">
        <v>24</v>
      </c>
      <c r="H1222" s="75" t="str">
        <f>IFERROR(VLOOKUP(Table2[[#This Row],[Ticket]],Okey!A:B,2,0),"")</f>
        <v>ok</v>
      </c>
      <c r="I1222" t="s">
        <v>19</v>
      </c>
      <c r="J1222" t="str">
        <f>VLOOKUP(Table2[[#This Row],[Author]],People!A:B,2,0)</f>
        <v>LS</v>
      </c>
      <c r="M1222" t="s">
        <v>1040</v>
      </c>
    </row>
    <row r="1223" spans="1:13" x14ac:dyDescent="0.25">
      <c r="A1223" s="75">
        <f t="shared" si="18"/>
        <v>1222</v>
      </c>
      <c r="B1223" t="s">
        <v>13</v>
      </c>
      <c r="C1223" t="s">
        <v>2065</v>
      </c>
      <c r="D1223" t="s">
        <v>2121</v>
      </c>
      <c r="F1223" t="s">
        <v>1430</v>
      </c>
      <c r="G1223" t="s">
        <v>24</v>
      </c>
      <c r="H1223" s="75" t="str">
        <f>IFERROR(VLOOKUP(Table2[[#This Row],[Ticket]],Okey!A:B,2,0),"")</f>
        <v>ok</v>
      </c>
      <c r="I1223" t="s">
        <v>19</v>
      </c>
      <c r="J1223" t="str">
        <f>VLOOKUP(Table2[[#This Row],[Author]],People!A:B,2,0)</f>
        <v>LS</v>
      </c>
      <c r="M1223" t="s">
        <v>1040</v>
      </c>
    </row>
    <row r="1224" spans="1:13" x14ac:dyDescent="0.25">
      <c r="A1224" s="75">
        <f t="shared" si="18"/>
        <v>1223</v>
      </c>
      <c r="B1224" t="s">
        <v>13</v>
      </c>
      <c r="C1224" t="s">
        <v>2065</v>
      </c>
      <c r="D1224" t="s">
        <v>2122</v>
      </c>
      <c r="F1224" t="s">
        <v>1430</v>
      </c>
      <c r="G1224" t="s">
        <v>24</v>
      </c>
      <c r="H1224" s="75" t="str">
        <f>IFERROR(VLOOKUP(Table2[[#This Row],[Ticket]],Okey!A:B,2,0),"")</f>
        <v>ok</v>
      </c>
      <c r="I1224" t="s">
        <v>19</v>
      </c>
      <c r="J1224" t="str">
        <f>VLOOKUP(Table2[[#This Row],[Author]],People!A:B,2,0)</f>
        <v>LS</v>
      </c>
      <c r="M1224" t="s">
        <v>1040</v>
      </c>
    </row>
    <row r="1225" spans="1:13" x14ac:dyDescent="0.25">
      <c r="A1225" s="75">
        <f t="shared" ref="A1225:A1288" si="19">1+A1224</f>
        <v>1224</v>
      </c>
      <c r="B1225" t="s">
        <v>13</v>
      </c>
      <c r="C1225" t="s">
        <v>2065</v>
      </c>
      <c r="D1225" t="s">
        <v>2123</v>
      </c>
      <c r="F1225" t="s">
        <v>1430</v>
      </c>
      <c r="G1225" t="s">
        <v>24</v>
      </c>
      <c r="H1225" s="75" t="str">
        <f>IFERROR(VLOOKUP(Table2[[#This Row],[Ticket]],Okey!A:B,2,0),"")</f>
        <v>ok</v>
      </c>
      <c r="I1225" t="s">
        <v>19</v>
      </c>
      <c r="J1225" t="str">
        <f>VLOOKUP(Table2[[#This Row],[Author]],People!A:B,2,0)</f>
        <v>LS</v>
      </c>
      <c r="M1225" t="s">
        <v>1040</v>
      </c>
    </row>
    <row r="1226" spans="1:13" x14ac:dyDescent="0.25">
      <c r="A1226" s="75">
        <f t="shared" si="19"/>
        <v>1225</v>
      </c>
      <c r="B1226" t="s">
        <v>13</v>
      </c>
      <c r="C1226" t="s">
        <v>2065</v>
      </c>
      <c r="D1226" t="s">
        <v>2124</v>
      </c>
      <c r="F1226" t="s">
        <v>1430</v>
      </c>
      <c r="G1226" t="s">
        <v>24</v>
      </c>
      <c r="H1226" s="75" t="str">
        <f>IFERROR(VLOOKUP(Table2[[#This Row],[Ticket]],Okey!A:B,2,0),"")</f>
        <v>ok</v>
      </c>
      <c r="I1226" t="s">
        <v>19</v>
      </c>
      <c r="J1226" t="str">
        <f>VLOOKUP(Table2[[#This Row],[Author]],People!A:B,2,0)</f>
        <v>LS</v>
      </c>
      <c r="M1226" t="s">
        <v>1040</v>
      </c>
    </row>
    <row r="1227" spans="1:13" x14ac:dyDescent="0.25">
      <c r="A1227" s="75">
        <f t="shared" si="19"/>
        <v>1226</v>
      </c>
      <c r="B1227" t="s">
        <v>13</v>
      </c>
      <c r="C1227" t="s">
        <v>2065</v>
      </c>
      <c r="D1227" t="s">
        <v>2125</v>
      </c>
      <c r="F1227" t="s">
        <v>1430</v>
      </c>
      <c r="G1227" t="s">
        <v>24</v>
      </c>
      <c r="H1227" s="75" t="str">
        <f>IFERROR(VLOOKUP(Table2[[#This Row],[Ticket]],Okey!A:B,2,0),"")</f>
        <v>ok</v>
      </c>
      <c r="I1227" t="s">
        <v>19</v>
      </c>
      <c r="J1227" t="str">
        <f>VLOOKUP(Table2[[#This Row],[Author]],People!A:B,2,0)</f>
        <v>LS</v>
      </c>
      <c r="M1227" t="s">
        <v>1040</v>
      </c>
    </row>
    <row r="1228" spans="1:13" x14ac:dyDescent="0.25">
      <c r="A1228" s="75">
        <f t="shared" si="19"/>
        <v>1227</v>
      </c>
      <c r="B1228" t="s">
        <v>13</v>
      </c>
      <c r="C1228" t="s">
        <v>2065</v>
      </c>
      <c r="D1228" t="s">
        <v>2126</v>
      </c>
      <c r="F1228" t="s">
        <v>1430</v>
      </c>
      <c r="G1228" t="s">
        <v>24</v>
      </c>
      <c r="H1228" s="75" t="str">
        <f>IFERROR(VLOOKUP(Table2[[#This Row],[Ticket]],Okey!A:B,2,0),"")</f>
        <v>ok</v>
      </c>
      <c r="I1228" t="s">
        <v>19</v>
      </c>
      <c r="J1228" t="str">
        <f>VLOOKUP(Table2[[#This Row],[Author]],People!A:B,2,0)</f>
        <v>LS</v>
      </c>
      <c r="M1228" t="s">
        <v>1040</v>
      </c>
    </row>
    <row r="1229" spans="1:13" x14ac:dyDescent="0.25">
      <c r="A1229" s="75">
        <f t="shared" si="19"/>
        <v>1228</v>
      </c>
      <c r="B1229" t="s">
        <v>13</v>
      </c>
      <c r="C1229" t="s">
        <v>2065</v>
      </c>
      <c r="D1229" t="s">
        <v>2127</v>
      </c>
      <c r="F1229" t="s">
        <v>1430</v>
      </c>
      <c r="G1229" t="s">
        <v>24</v>
      </c>
      <c r="H1229" s="75" t="str">
        <f>IFERROR(VLOOKUP(Table2[[#This Row],[Ticket]],Okey!A:B,2,0),"")</f>
        <v>ok</v>
      </c>
      <c r="I1229" t="s">
        <v>19</v>
      </c>
      <c r="J1229" t="str">
        <f>VLOOKUP(Table2[[#This Row],[Author]],People!A:B,2,0)</f>
        <v>LS</v>
      </c>
      <c r="M1229" t="s">
        <v>1040</v>
      </c>
    </row>
    <row r="1230" spans="1:13" x14ac:dyDescent="0.25">
      <c r="A1230" s="75">
        <f t="shared" si="19"/>
        <v>1229</v>
      </c>
      <c r="B1230" t="s">
        <v>13</v>
      </c>
      <c r="C1230" t="s">
        <v>2065</v>
      </c>
      <c r="D1230" t="s">
        <v>2128</v>
      </c>
      <c r="F1230" t="s">
        <v>1430</v>
      </c>
      <c r="G1230" t="s">
        <v>24</v>
      </c>
      <c r="H1230" s="75" t="str">
        <f>IFERROR(VLOOKUP(Table2[[#This Row],[Ticket]],Okey!A:B,2,0),"")</f>
        <v>ok</v>
      </c>
      <c r="I1230" t="s">
        <v>19</v>
      </c>
      <c r="J1230" t="str">
        <f>VLOOKUP(Table2[[#This Row],[Author]],People!A:B,2,0)</f>
        <v>LS</v>
      </c>
      <c r="M1230" t="s">
        <v>1040</v>
      </c>
    </row>
    <row r="1231" spans="1:13" x14ac:dyDescent="0.25">
      <c r="A1231" s="75">
        <f t="shared" si="19"/>
        <v>1230</v>
      </c>
      <c r="B1231" t="s">
        <v>13</v>
      </c>
      <c r="C1231" t="s">
        <v>2065</v>
      </c>
      <c r="D1231" t="s">
        <v>2129</v>
      </c>
      <c r="F1231" t="s">
        <v>1430</v>
      </c>
      <c r="G1231" t="s">
        <v>24</v>
      </c>
      <c r="H1231" s="75" t="str">
        <f>IFERROR(VLOOKUP(Table2[[#This Row],[Ticket]],Okey!A:B,2,0),"")</f>
        <v>ok</v>
      </c>
      <c r="I1231" t="s">
        <v>19</v>
      </c>
      <c r="J1231" t="str">
        <f>VLOOKUP(Table2[[#This Row],[Author]],People!A:B,2,0)</f>
        <v>LS</v>
      </c>
      <c r="M1231" t="s">
        <v>1040</v>
      </c>
    </row>
    <row r="1232" spans="1:13" x14ac:dyDescent="0.25">
      <c r="A1232" s="75">
        <f t="shared" si="19"/>
        <v>1231</v>
      </c>
      <c r="B1232" t="s">
        <v>13</v>
      </c>
      <c r="C1232" t="s">
        <v>2065</v>
      </c>
      <c r="D1232" t="s">
        <v>2130</v>
      </c>
      <c r="F1232" t="s">
        <v>1430</v>
      </c>
      <c r="G1232" t="s">
        <v>24</v>
      </c>
      <c r="H1232" s="75" t="str">
        <f>IFERROR(VLOOKUP(Table2[[#This Row],[Ticket]],Okey!A:B,2,0),"")</f>
        <v>ok</v>
      </c>
      <c r="I1232" t="s">
        <v>19</v>
      </c>
      <c r="J1232" t="str">
        <f>VLOOKUP(Table2[[#This Row],[Author]],People!A:B,2,0)</f>
        <v>LS</v>
      </c>
      <c r="M1232" t="s">
        <v>1040</v>
      </c>
    </row>
    <row r="1233" spans="1:13" x14ac:dyDescent="0.25">
      <c r="A1233" s="75">
        <f t="shared" si="19"/>
        <v>1232</v>
      </c>
      <c r="B1233" t="s">
        <v>13</v>
      </c>
      <c r="C1233" t="s">
        <v>2065</v>
      </c>
      <c r="D1233" t="s">
        <v>2131</v>
      </c>
      <c r="F1233" t="s">
        <v>1430</v>
      </c>
      <c r="G1233" t="s">
        <v>24</v>
      </c>
      <c r="H1233" s="75" t="str">
        <f>IFERROR(VLOOKUP(Table2[[#This Row],[Ticket]],Okey!A:B,2,0),"")</f>
        <v>ok</v>
      </c>
      <c r="I1233" t="s">
        <v>19</v>
      </c>
      <c r="J1233" t="str">
        <f>VLOOKUP(Table2[[#This Row],[Author]],People!A:B,2,0)</f>
        <v>LS</v>
      </c>
      <c r="M1233" t="s">
        <v>1040</v>
      </c>
    </row>
    <row r="1234" spans="1:13" x14ac:dyDescent="0.25">
      <c r="A1234" s="75">
        <f t="shared" si="19"/>
        <v>1233</v>
      </c>
      <c r="B1234" t="s">
        <v>13</v>
      </c>
      <c r="C1234" t="s">
        <v>2065</v>
      </c>
      <c r="D1234" t="s">
        <v>2132</v>
      </c>
      <c r="F1234" t="s">
        <v>1430</v>
      </c>
      <c r="G1234" t="s">
        <v>24</v>
      </c>
      <c r="H1234" s="75" t="str">
        <f>IFERROR(VLOOKUP(Table2[[#This Row],[Ticket]],Okey!A:B,2,0),"")</f>
        <v>ok</v>
      </c>
      <c r="I1234" t="s">
        <v>19</v>
      </c>
      <c r="J1234" t="str">
        <f>VLOOKUP(Table2[[#This Row],[Author]],People!A:B,2,0)</f>
        <v>LS</v>
      </c>
      <c r="M1234" t="s">
        <v>1040</v>
      </c>
    </row>
    <row r="1235" spans="1:13" x14ac:dyDescent="0.25">
      <c r="A1235" s="75">
        <f t="shared" si="19"/>
        <v>1234</v>
      </c>
      <c r="B1235" t="s">
        <v>13</v>
      </c>
      <c r="C1235" t="s">
        <v>2065</v>
      </c>
      <c r="D1235" t="s">
        <v>2133</v>
      </c>
      <c r="F1235" t="s">
        <v>1430</v>
      </c>
      <c r="G1235" t="s">
        <v>24</v>
      </c>
      <c r="H1235" s="75" t="str">
        <f>IFERROR(VLOOKUP(Table2[[#This Row],[Ticket]],Okey!A:B,2,0),"")</f>
        <v>ok</v>
      </c>
      <c r="I1235" t="s">
        <v>19</v>
      </c>
      <c r="J1235" t="str">
        <f>VLOOKUP(Table2[[#This Row],[Author]],People!A:B,2,0)</f>
        <v>LS</v>
      </c>
      <c r="M1235" t="s">
        <v>1040</v>
      </c>
    </row>
    <row r="1236" spans="1:13" x14ac:dyDescent="0.25">
      <c r="A1236" s="75">
        <f t="shared" si="19"/>
        <v>1235</v>
      </c>
      <c r="B1236" t="s">
        <v>13</v>
      </c>
      <c r="C1236" t="s">
        <v>2065</v>
      </c>
      <c r="D1236" t="s">
        <v>2134</v>
      </c>
      <c r="F1236" t="s">
        <v>1430</v>
      </c>
      <c r="G1236" t="s">
        <v>24</v>
      </c>
      <c r="H1236" s="75" t="str">
        <f>IFERROR(VLOOKUP(Table2[[#This Row],[Ticket]],Okey!A:B,2,0),"")</f>
        <v>ok</v>
      </c>
      <c r="I1236" t="s">
        <v>19</v>
      </c>
      <c r="J1236" t="str">
        <f>VLOOKUP(Table2[[#This Row],[Author]],People!A:B,2,0)</f>
        <v>LS</v>
      </c>
      <c r="M1236" t="s">
        <v>1040</v>
      </c>
    </row>
    <row r="1237" spans="1:13" x14ac:dyDescent="0.25">
      <c r="A1237" s="75">
        <f t="shared" si="19"/>
        <v>1236</v>
      </c>
      <c r="B1237" t="s">
        <v>13</v>
      </c>
      <c r="C1237" t="s">
        <v>2065</v>
      </c>
      <c r="D1237" t="s">
        <v>2135</v>
      </c>
      <c r="F1237" t="s">
        <v>1430</v>
      </c>
      <c r="G1237" t="s">
        <v>24</v>
      </c>
      <c r="H1237" s="75" t="str">
        <f>IFERROR(VLOOKUP(Table2[[#This Row],[Ticket]],Okey!A:B,2,0),"")</f>
        <v>ok</v>
      </c>
      <c r="I1237" t="s">
        <v>19</v>
      </c>
      <c r="J1237" t="str">
        <f>VLOOKUP(Table2[[#This Row],[Author]],People!A:B,2,0)</f>
        <v>LS</v>
      </c>
      <c r="M1237" t="s">
        <v>1040</v>
      </c>
    </row>
    <row r="1238" spans="1:13" x14ac:dyDescent="0.25">
      <c r="A1238" s="75">
        <f t="shared" si="19"/>
        <v>1237</v>
      </c>
      <c r="B1238" t="s">
        <v>13</v>
      </c>
      <c r="C1238" t="s">
        <v>2065</v>
      </c>
      <c r="D1238" t="s">
        <v>2136</v>
      </c>
      <c r="F1238" t="s">
        <v>1430</v>
      </c>
      <c r="G1238" t="s">
        <v>24</v>
      </c>
      <c r="H1238" s="75" t="str">
        <f>IFERROR(VLOOKUP(Table2[[#This Row],[Ticket]],Okey!A:B,2,0),"")</f>
        <v>ok</v>
      </c>
      <c r="I1238" t="s">
        <v>19</v>
      </c>
      <c r="J1238" t="str">
        <f>VLOOKUP(Table2[[#This Row],[Author]],People!A:B,2,0)</f>
        <v>LS</v>
      </c>
      <c r="M1238" t="s">
        <v>1040</v>
      </c>
    </row>
    <row r="1239" spans="1:13" x14ac:dyDescent="0.25">
      <c r="A1239" s="75">
        <f t="shared" si="19"/>
        <v>1238</v>
      </c>
      <c r="B1239" t="s">
        <v>13</v>
      </c>
      <c r="C1239" t="s">
        <v>2065</v>
      </c>
      <c r="D1239" t="s">
        <v>2137</v>
      </c>
      <c r="F1239" t="s">
        <v>1430</v>
      </c>
      <c r="G1239" t="s">
        <v>24</v>
      </c>
      <c r="H1239" s="75" t="str">
        <f>IFERROR(VLOOKUP(Table2[[#This Row],[Ticket]],Okey!A:B,2,0),"")</f>
        <v>ok</v>
      </c>
      <c r="I1239" t="s">
        <v>19</v>
      </c>
      <c r="J1239" t="str">
        <f>VLOOKUP(Table2[[#This Row],[Author]],People!A:B,2,0)</f>
        <v>LS</v>
      </c>
      <c r="M1239" t="s">
        <v>1040</v>
      </c>
    </row>
    <row r="1240" spans="1:13" x14ac:dyDescent="0.25">
      <c r="A1240" s="75">
        <f t="shared" si="19"/>
        <v>1239</v>
      </c>
      <c r="B1240" t="s">
        <v>13</v>
      </c>
      <c r="C1240" t="s">
        <v>2065</v>
      </c>
      <c r="D1240" t="s">
        <v>2138</v>
      </c>
      <c r="F1240" t="s">
        <v>1430</v>
      </c>
      <c r="G1240" t="s">
        <v>24</v>
      </c>
      <c r="H1240" s="75" t="str">
        <f>IFERROR(VLOOKUP(Table2[[#This Row],[Ticket]],Okey!A:B,2,0),"")</f>
        <v>ok</v>
      </c>
      <c r="I1240" t="s">
        <v>19</v>
      </c>
      <c r="J1240" t="str">
        <f>VLOOKUP(Table2[[#This Row],[Author]],People!A:B,2,0)</f>
        <v>LS</v>
      </c>
      <c r="M1240" t="s">
        <v>1040</v>
      </c>
    </row>
    <row r="1241" spans="1:13" x14ac:dyDescent="0.25">
      <c r="A1241" s="75">
        <f t="shared" si="19"/>
        <v>1240</v>
      </c>
      <c r="B1241" t="s">
        <v>13</v>
      </c>
      <c r="C1241" t="s">
        <v>2065</v>
      </c>
      <c r="D1241" t="s">
        <v>2139</v>
      </c>
      <c r="F1241" t="s">
        <v>1430</v>
      </c>
      <c r="G1241" t="s">
        <v>24</v>
      </c>
      <c r="H1241" s="75" t="str">
        <f>IFERROR(VLOOKUP(Table2[[#This Row],[Ticket]],Okey!A:B,2,0),"")</f>
        <v>ok</v>
      </c>
      <c r="I1241" t="s">
        <v>19</v>
      </c>
      <c r="J1241" t="str">
        <f>VLOOKUP(Table2[[#This Row],[Author]],People!A:B,2,0)</f>
        <v>LS</v>
      </c>
      <c r="M1241" t="s">
        <v>1040</v>
      </c>
    </row>
    <row r="1242" spans="1:13" x14ac:dyDescent="0.25">
      <c r="A1242" s="75">
        <f t="shared" si="19"/>
        <v>1241</v>
      </c>
      <c r="B1242" t="s">
        <v>13</v>
      </c>
      <c r="C1242" t="s">
        <v>2065</v>
      </c>
      <c r="D1242" t="s">
        <v>2140</v>
      </c>
      <c r="F1242" t="s">
        <v>1430</v>
      </c>
      <c r="G1242" t="s">
        <v>24</v>
      </c>
      <c r="H1242" s="75" t="str">
        <f>IFERROR(VLOOKUP(Table2[[#This Row],[Ticket]],Okey!A:B,2,0),"")</f>
        <v>ok</v>
      </c>
      <c r="I1242" t="s">
        <v>19</v>
      </c>
      <c r="J1242" t="str">
        <f>VLOOKUP(Table2[[#This Row],[Author]],People!A:B,2,0)</f>
        <v>LS</v>
      </c>
      <c r="M1242" t="s">
        <v>1040</v>
      </c>
    </row>
    <row r="1243" spans="1:13" x14ac:dyDescent="0.25">
      <c r="A1243" s="75">
        <f t="shared" si="19"/>
        <v>1242</v>
      </c>
      <c r="B1243" t="s">
        <v>13</v>
      </c>
      <c r="C1243" t="s">
        <v>2065</v>
      </c>
      <c r="D1243" t="s">
        <v>2141</v>
      </c>
      <c r="F1243" t="s">
        <v>1430</v>
      </c>
      <c r="G1243" t="s">
        <v>24</v>
      </c>
      <c r="H1243" s="75" t="str">
        <f>IFERROR(VLOOKUP(Table2[[#This Row],[Ticket]],Okey!A:B,2,0),"")</f>
        <v>ok</v>
      </c>
      <c r="I1243" t="s">
        <v>19</v>
      </c>
      <c r="J1243" t="str">
        <f>VLOOKUP(Table2[[#This Row],[Author]],People!A:B,2,0)</f>
        <v>LS</v>
      </c>
      <c r="M1243" t="s">
        <v>1040</v>
      </c>
    </row>
    <row r="1244" spans="1:13" x14ac:dyDescent="0.25">
      <c r="A1244" s="75">
        <f t="shared" si="19"/>
        <v>1243</v>
      </c>
      <c r="B1244" t="s">
        <v>13</v>
      </c>
      <c r="C1244" t="s">
        <v>2065</v>
      </c>
      <c r="D1244" t="s">
        <v>2142</v>
      </c>
      <c r="F1244" t="s">
        <v>1430</v>
      </c>
      <c r="G1244" t="s">
        <v>24</v>
      </c>
      <c r="H1244" s="75" t="str">
        <f>IFERROR(VLOOKUP(Table2[[#This Row],[Ticket]],Okey!A:B,2,0),"")</f>
        <v>ok</v>
      </c>
      <c r="I1244" t="s">
        <v>19</v>
      </c>
      <c r="J1244" t="str">
        <f>VLOOKUP(Table2[[#This Row],[Author]],People!A:B,2,0)</f>
        <v>LS</v>
      </c>
      <c r="M1244" t="s">
        <v>1040</v>
      </c>
    </row>
    <row r="1245" spans="1:13" x14ac:dyDescent="0.25">
      <c r="A1245" s="75">
        <f t="shared" si="19"/>
        <v>1244</v>
      </c>
      <c r="B1245" t="s">
        <v>13</v>
      </c>
      <c r="C1245" t="s">
        <v>2065</v>
      </c>
      <c r="D1245" t="s">
        <v>2143</v>
      </c>
      <c r="F1245" t="s">
        <v>1430</v>
      </c>
      <c r="G1245" t="s">
        <v>24</v>
      </c>
      <c r="H1245" s="75" t="str">
        <f>IFERROR(VLOOKUP(Table2[[#This Row],[Ticket]],Okey!A:B,2,0),"")</f>
        <v>ok</v>
      </c>
      <c r="I1245" t="s">
        <v>19</v>
      </c>
      <c r="J1245" t="str">
        <f>VLOOKUP(Table2[[#This Row],[Author]],People!A:B,2,0)</f>
        <v>LS</v>
      </c>
      <c r="M1245" t="s">
        <v>1040</v>
      </c>
    </row>
    <row r="1246" spans="1:13" x14ac:dyDescent="0.25">
      <c r="A1246" s="75">
        <f t="shared" si="19"/>
        <v>1245</v>
      </c>
      <c r="B1246" t="s">
        <v>13</v>
      </c>
      <c r="C1246" t="s">
        <v>2065</v>
      </c>
      <c r="D1246" t="s">
        <v>2144</v>
      </c>
      <c r="F1246" t="s">
        <v>1430</v>
      </c>
      <c r="G1246" t="s">
        <v>24</v>
      </c>
      <c r="H1246" s="75" t="str">
        <f>IFERROR(VLOOKUP(Table2[[#This Row],[Ticket]],Okey!A:B,2,0),"")</f>
        <v>ok</v>
      </c>
      <c r="I1246" t="s">
        <v>19</v>
      </c>
      <c r="J1246" t="str">
        <f>VLOOKUP(Table2[[#This Row],[Author]],People!A:B,2,0)</f>
        <v>LS</v>
      </c>
      <c r="M1246" t="s">
        <v>1040</v>
      </c>
    </row>
    <row r="1247" spans="1:13" x14ac:dyDescent="0.25">
      <c r="A1247" s="75">
        <f t="shared" si="19"/>
        <v>1246</v>
      </c>
      <c r="B1247" t="s">
        <v>13</v>
      </c>
      <c r="C1247" t="s">
        <v>2065</v>
      </c>
      <c r="D1247" t="s">
        <v>2145</v>
      </c>
      <c r="F1247" t="s">
        <v>1430</v>
      </c>
      <c r="G1247" t="s">
        <v>24</v>
      </c>
      <c r="H1247" s="75" t="str">
        <f>IFERROR(VLOOKUP(Table2[[#This Row],[Ticket]],Okey!A:B,2,0),"")</f>
        <v>ok</v>
      </c>
      <c r="I1247" t="s">
        <v>19</v>
      </c>
      <c r="J1247" t="str">
        <f>VLOOKUP(Table2[[#This Row],[Author]],People!A:B,2,0)</f>
        <v>LS</v>
      </c>
      <c r="M1247" t="s">
        <v>1040</v>
      </c>
    </row>
    <row r="1248" spans="1:13" x14ac:dyDescent="0.25">
      <c r="A1248" s="75">
        <f t="shared" si="19"/>
        <v>1247</v>
      </c>
      <c r="B1248" t="s">
        <v>13</v>
      </c>
      <c r="C1248" t="s">
        <v>2065</v>
      </c>
      <c r="D1248" t="s">
        <v>2146</v>
      </c>
      <c r="F1248" t="s">
        <v>1430</v>
      </c>
      <c r="G1248" t="s">
        <v>24</v>
      </c>
      <c r="H1248" s="75" t="str">
        <f>IFERROR(VLOOKUP(Table2[[#This Row],[Ticket]],Okey!A:B,2,0),"")</f>
        <v>ok</v>
      </c>
      <c r="I1248" t="s">
        <v>19</v>
      </c>
      <c r="J1248" t="str">
        <f>VLOOKUP(Table2[[#This Row],[Author]],People!A:B,2,0)</f>
        <v>LS</v>
      </c>
      <c r="M1248" t="s">
        <v>1040</v>
      </c>
    </row>
    <row r="1249" spans="1:13" x14ac:dyDescent="0.25">
      <c r="A1249" s="75">
        <f t="shared" si="19"/>
        <v>1248</v>
      </c>
      <c r="B1249" t="s">
        <v>13</v>
      </c>
      <c r="C1249" t="s">
        <v>2065</v>
      </c>
      <c r="D1249" t="s">
        <v>2147</v>
      </c>
      <c r="F1249" t="s">
        <v>1430</v>
      </c>
      <c r="G1249" t="s">
        <v>24</v>
      </c>
      <c r="H1249" s="75" t="str">
        <f>IFERROR(VLOOKUP(Table2[[#This Row],[Ticket]],Okey!A:B,2,0),"")</f>
        <v>ok</v>
      </c>
      <c r="I1249" t="s">
        <v>19</v>
      </c>
      <c r="J1249" t="str">
        <f>VLOOKUP(Table2[[#This Row],[Author]],People!A:B,2,0)</f>
        <v>LS</v>
      </c>
      <c r="M1249" t="s">
        <v>1040</v>
      </c>
    </row>
    <row r="1250" spans="1:13" x14ac:dyDescent="0.25">
      <c r="A1250" s="75">
        <f t="shared" si="19"/>
        <v>1249</v>
      </c>
      <c r="B1250" t="s">
        <v>13</v>
      </c>
      <c r="C1250" t="s">
        <v>2065</v>
      </c>
      <c r="D1250" t="s">
        <v>2148</v>
      </c>
      <c r="F1250" t="s">
        <v>1430</v>
      </c>
      <c r="G1250" t="s">
        <v>24</v>
      </c>
      <c r="H1250" s="75" t="str">
        <f>IFERROR(VLOOKUP(Table2[[#This Row],[Ticket]],Okey!A:B,2,0),"")</f>
        <v>ok</v>
      </c>
      <c r="I1250" t="s">
        <v>19</v>
      </c>
      <c r="J1250" t="str">
        <f>VLOOKUP(Table2[[#This Row],[Author]],People!A:B,2,0)</f>
        <v>LS</v>
      </c>
      <c r="M1250" t="s">
        <v>1040</v>
      </c>
    </row>
    <row r="1251" spans="1:13" x14ac:dyDescent="0.25">
      <c r="A1251" s="75">
        <f t="shared" si="19"/>
        <v>1250</v>
      </c>
      <c r="B1251" t="s">
        <v>13</v>
      </c>
      <c r="C1251" t="s">
        <v>2065</v>
      </c>
      <c r="D1251" t="s">
        <v>2149</v>
      </c>
      <c r="F1251" t="s">
        <v>1430</v>
      </c>
      <c r="G1251" t="s">
        <v>24</v>
      </c>
      <c r="H1251" s="75" t="str">
        <f>IFERROR(VLOOKUP(Table2[[#This Row],[Ticket]],Okey!A:B,2,0),"")</f>
        <v>ok</v>
      </c>
      <c r="I1251" t="s">
        <v>19</v>
      </c>
      <c r="J1251" t="str">
        <f>VLOOKUP(Table2[[#This Row],[Author]],People!A:B,2,0)</f>
        <v>LS</v>
      </c>
      <c r="M1251" t="s">
        <v>1040</v>
      </c>
    </row>
    <row r="1252" spans="1:13" x14ac:dyDescent="0.25">
      <c r="A1252" s="75">
        <f t="shared" si="19"/>
        <v>1251</v>
      </c>
      <c r="B1252" t="s">
        <v>13</v>
      </c>
      <c r="C1252" t="s">
        <v>2065</v>
      </c>
      <c r="D1252" t="s">
        <v>2150</v>
      </c>
      <c r="F1252" t="s">
        <v>1430</v>
      </c>
      <c r="G1252" t="s">
        <v>24</v>
      </c>
      <c r="H1252" s="75" t="str">
        <f>IFERROR(VLOOKUP(Table2[[#This Row],[Ticket]],Okey!A:B,2,0),"")</f>
        <v>ok</v>
      </c>
      <c r="I1252" t="s">
        <v>19</v>
      </c>
      <c r="J1252" t="str">
        <f>VLOOKUP(Table2[[#This Row],[Author]],People!A:B,2,0)</f>
        <v>LS</v>
      </c>
      <c r="M1252" t="s">
        <v>1040</v>
      </c>
    </row>
    <row r="1253" spans="1:13" x14ac:dyDescent="0.25">
      <c r="A1253" s="75">
        <f t="shared" si="19"/>
        <v>1252</v>
      </c>
      <c r="B1253" t="s">
        <v>13</v>
      </c>
      <c r="C1253" t="s">
        <v>2065</v>
      </c>
      <c r="D1253" t="s">
        <v>2151</v>
      </c>
      <c r="F1253" t="s">
        <v>1430</v>
      </c>
      <c r="G1253" t="s">
        <v>24</v>
      </c>
      <c r="H1253" s="75" t="str">
        <f>IFERROR(VLOOKUP(Table2[[#This Row],[Ticket]],Okey!A:B,2,0),"")</f>
        <v>ok</v>
      </c>
      <c r="I1253" t="s">
        <v>19</v>
      </c>
      <c r="J1253" t="str">
        <f>VLOOKUP(Table2[[#This Row],[Author]],People!A:B,2,0)</f>
        <v>LS</v>
      </c>
      <c r="M1253" t="s">
        <v>1040</v>
      </c>
    </row>
    <row r="1254" spans="1:13" x14ac:dyDescent="0.25">
      <c r="A1254" s="75">
        <f t="shared" si="19"/>
        <v>1253</v>
      </c>
      <c r="B1254" t="s">
        <v>13</v>
      </c>
      <c r="C1254" t="s">
        <v>2065</v>
      </c>
      <c r="D1254" t="s">
        <v>2152</v>
      </c>
      <c r="F1254" t="s">
        <v>1430</v>
      </c>
      <c r="G1254" t="s">
        <v>24</v>
      </c>
      <c r="H1254" s="75" t="str">
        <f>IFERROR(VLOOKUP(Table2[[#This Row],[Ticket]],Okey!A:B,2,0),"")</f>
        <v>ok</v>
      </c>
      <c r="I1254" t="s">
        <v>19</v>
      </c>
      <c r="J1254" t="str">
        <f>VLOOKUP(Table2[[#This Row],[Author]],People!A:B,2,0)</f>
        <v>LS</v>
      </c>
      <c r="M1254" t="s">
        <v>1040</v>
      </c>
    </row>
    <row r="1255" spans="1:13" x14ac:dyDescent="0.25">
      <c r="A1255" s="75">
        <f t="shared" si="19"/>
        <v>1254</v>
      </c>
      <c r="B1255" t="s">
        <v>13</v>
      </c>
      <c r="C1255" t="s">
        <v>2065</v>
      </c>
      <c r="D1255" t="s">
        <v>2153</v>
      </c>
      <c r="F1255" t="s">
        <v>1430</v>
      </c>
      <c r="G1255" t="s">
        <v>24</v>
      </c>
      <c r="H1255" s="75" t="str">
        <f>IFERROR(VLOOKUP(Table2[[#This Row],[Ticket]],Okey!A:B,2,0),"")</f>
        <v>ok</v>
      </c>
      <c r="I1255" t="s">
        <v>19</v>
      </c>
      <c r="J1255" t="str">
        <f>VLOOKUP(Table2[[#This Row],[Author]],People!A:B,2,0)</f>
        <v>LS</v>
      </c>
      <c r="M1255" t="s">
        <v>1040</v>
      </c>
    </row>
    <row r="1256" spans="1:13" x14ac:dyDescent="0.25">
      <c r="A1256" s="75">
        <f t="shared" si="19"/>
        <v>1255</v>
      </c>
      <c r="B1256" t="s">
        <v>13</v>
      </c>
      <c r="C1256" t="s">
        <v>2065</v>
      </c>
      <c r="D1256" t="s">
        <v>2154</v>
      </c>
      <c r="F1256" t="s">
        <v>1430</v>
      </c>
      <c r="G1256" t="s">
        <v>24</v>
      </c>
      <c r="H1256" s="75" t="str">
        <f>IFERROR(VLOOKUP(Table2[[#This Row],[Ticket]],Okey!A:B,2,0),"")</f>
        <v>ok</v>
      </c>
      <c r="I1256" t="s">
        <v>19</v>
      </c>
      <c r="J1256" t="str">
        <f>VLOOKUP(Table2[[#This Row],[Author]],People!A:B,2,0)</f>
        <v>LS</v>
      </c>
      <c r="M1256" t="s">
        <v>1040</v>
      </c>
    </row>
    <row r="1257" spans="1:13" x14ac:dyDescent="0.25">
      <c r="A1257" s="75">
        <f t="shared" si="19"/>
        <v>1256</v>
      </c>
      <c r="B1257" t="s">
        <v>13</v>
      </c>
      <c r="C1257" t="s">
        <v>2065</v>
      </c>
      <c r="D1257" t="s">
        <v>2155</v>
      </c>
      <c r="F1257" t="s">
        <v>1430</v>
      </c>
      <c r="G1257" t="s">
        <v>24</v>
      </c>
      <c r="H1257" s="75" t="str">
        <f>IFERROR(VLOOKUP(Table2[[#This Row],[Ticket]],Okey!A:B,2,0),"")</f>
        <v>ok</v>
      </c>
      <c r="I1257" t="s">
        <v>19</v>
      </c>
      <c r="J1257" t="str">
        <f>VLOOKUP(Table2[[#This Row],[Author]],People!A:B,2,0)</f>
        <v>LS</v>
      </c>
      <c r="M1257" t="s">
        <v>1040</v>
      </c>
    </row>
    <row r="1258" spans="1:13" x14ac:dyDescent="0.25">
      <c r="A1258" s="75">
        <f t="shared" si="19"/>
        <v>1257</v>
      </c>
      <c r="B1258" t="s">
        <v>13</v>
      </c>
      <c r="C1258" t="s">
        <v>2065</v>
      </c>
      <c r="D1258" t="s">
        <v>2156</v>
      </c>
      <c r="F1258" t="s">
        <v>1430</v>
      </c>
      <c r="G1258" t="s">
        <v>24</v>
      </c>
      <c r="H1258" s="75" t="str">
        <f>IFERROR(VLOOKUP(Table2[[#This Row],[Ticket]],Okey!A:B,2,0),"")</f>
        <v>ok</v>
      </c>
      <c r="I1258" t="s">
        <v>19</v>
      </c>
      <c r="J1258" t="str">
        <f>VLOOKUP(Table2[[#This Row],[Author]],People!A:B,2,0)</f>
        <v>LS</v>
      </c>
      <c r="M1258" t="s">
        <v>1040</v>
      </c>
    </row>
    <row r="1259" spans="1:13" x14ac:dyDescent="0.25">
      <c r="A1259" s="75">
        <f t="shared" si="19"/>
        <v>1258</v>
      </c>
      <c r="B1259" t="s">
        <v>13</v>
      </c>
      <c r="C1259" t="s">
        <v>2065</v>
      </c>
      <c r="D1259" t="s">
        <v>2157</v>
      </c>
      <c r="F1259" t="s">
        <v>1430</v>
      </c>
      <c r="G1259" t="s">
        <v>24</v>
      </c>
      <c r="H1259" s="75" t="str">
        <f>IFERROR(VLOOKUP(Table2[[#This Row],[Ticket]],Okey!A:B,2,0),"")</f>
        <v>ok</v>
      </c>
      <c r="I1259" t="s">
        <v>19</v>
      </c>
      <c r="J1259" t="str">
        <f>VLOOKUP(Table2[[#This Row],[Author]],People!A:B,2,0)</f>
        <v>LS</v>
      </c>
      <c r="M1259" t="s">
        <v>1040</v>
      </c>
    </row>
    <row r="1260" spans="1:13" x14ac:dyDescent="0.25">
      <c r="A1260" s="75">
        <f t="shared" si="19"/>
        <v>1259</v>
      </c>
      <c r="B1260" t="s">
        <v>13</v>
      </c>
      <c r="C1260" t="s">
        <v>2065</v>
      </c>
      <c r="D1260" t="s">
        <v>2158</v>
      </c>
      <c r="F1260" t="s">
        <v>1430</v>
      </c>
      <c r="G1260" t="s">
        <v>24</v>
      </c>
      <c r="H1260" s="75" t="str">
        <f>IFERROR(VLOOKUP(Table2[[#This Row],[Ticket]],Okey!A:B,2,0),"")</f>
        <v>ok</v>
      </c>
      <c r="I1260" t="s">
        <v>19</v>
      </c>
      <c r="J1260" t="str">
        <f>VLOOKUP(Table2[[#This Row],[Author]],People!A:B,2,0)</f>
        <v>LS</v>
      </c>
      <c r="M1260" t="s">
        <v>1040</v>
      </c>
    </row>
    <row r="1261" spans="1:13" x14ac:dyDescent="0.25">
      <c r="A1261" s="75">
        <f t="shared" si="19"/>
        <v>1260</v>
      </c>
      <c r="B1261" t="s">
        <v>13</v>
      </c>
      <c r="C1261" t="s">
        <v>2065</v>
      </c>
      <c r="D1261" t="s">
        <v>2159</v>
      </c>
      <c r="F1261" t="s">
        <v>1430</v>
      </c>
      <c r="G1261" t="s">
        <v>24</v>
      </c>
      <c r="H1261" s="75" t="str">
        <f>IFERROR(VLOOKUP(Table2[[#This Row],[Ticket]],Okey!A:B,2,0),"")</f>
        <v>ok</v>
      </c>
      <c r="I1261" t="s">
        <v>19</v>
      </c>
      <c r="J1261" t="str">
        <f>VLOOKUP(Table2[[#This Row],[Author]],People!A:B,2,0)</f>
        <v>LS</v>
      </c>
      <c r="M1261" t="s">
        <v>1040</v>
      </c>
    </row>
    <row r="1262" spans="1:13" x14ac:dyDescent="0.25">
      <c r="A1262" s="75">
        <f t="shared" si="19"/>
        <v>1261</v>
      </c>
      <c r="B1262" t="s">
        <v>13</v>
      </c>
      <c r="C1262" t="s">
        <v>2065</v>
      </c>
      <c r="D1262" t="s">
        <v>2160</v>
      </c>
      <c r="F1262" t="s">
        <v>1430</v>
      </c>
      <c r="G1262" t="s">
        <v>24</v>
      </c>
      <c r="H1262" s="75" t="str">
        <f>IFERROR(VLOOKUP(Table2[[#This Row],[Ticket]],Okey!A:B,2,0),"")</f>
        <v>ok</v>
      </c>
      <c r="I1262" t="s">
        <v>19</v>
      </c>
      <c r="J1262" t="str">
        <f>VLOOKUP(Table2[[#This Row],[Author]],People!A:B,2,0)</f>
        <v>LS</v>
      </c>
      <c r="M1262" t="s">
        <v>1040</v>
      </c>
    </row>
    <row r="1263" spans="1:13" x14ac:dyDescent="0.25">
      <c r="A1263" s="75">
        <f t="shared" si="19"/>
        <v>1262</v>
      </c>
      <c r="B1263" t="s">
        <v>13</v>
      </c>
      <c r="C1263" t="s">
        <v>2065</v>
      </c>
      <c r="D1263" t="s">
        <v>2161</v>
      </c>
      <c r="F1263" t="s">
        <v>1430</v>
      </c>
      <c r="G1263" t="s">
        <v>24</v>
      </c>
      <c r="H1263" s="75" t="str">
        <f>IFERROR(VLOOKUP(Table2[[#This Row],[Ticket]],Okey!A:B,2,0),"")</f>
        <v>ok</v>
      </c>
      <c r="I1263" t="s">
        <v>19</v>
      </c>
      <c r="J1263" t="str">
        <f>VLOOKUP(Table2[[#This Row],[Author]],People!A:B,2,0)</f>
        <v>LS</v>
      </c>
      <c r="M1263" t="s">
        <v>1040</v>
      </c>
    </row>
    <row r="1264" spans="1:13" x14ac:dyDescent="0.25">
      <c r="A1264" s="75">
        <f t="shared" si="19"/>
        <v>1263</v>
      </c>
      <c r="B1264" t="s">
        <v>13</v>
      </c>
      <c r="C1264" t="s">
        <v>2065</v>
      </c>
      <c r="D1264" t="s">
        <v>2162</v>
      </c>
      <c r="F1264" t="s">
        <v>1430</v>
      </c>
      <c r="G1264" t="s">
        <v>24</v>
      </c>
      <c r="H1264" s="75" t="str">
        <f>IFERROR(VLOOKUP(Table2[[#This Row],[Ticket]],Okey!A:B,2,0),"")</f>
        <v>ok</v>
      </c>
      <c r="I1264" t="s">
        <v>19</v>
      </c>
      <c r="J1264" t="str">
        <f>VLOOKUP(Table2[[#This Row],[Author]],People!A:B,2,0)</f>
        <v>LS</v>
      </c>
      <c r="M1264" t="s">
        <v>1040</v>
      </c>
    </row>
    <row r="1265" spans="1:13" x14ac:dyDescent="0.25">
      <c r="A1265" s="75">
        <f t="shared" si="19"/>
        <v>1264</v>
      </c>
      <c r="B1265" t="s">
        <v>13</v>
      </c>
      <c r="C1265" t="s">
        <v>2065</v>
      </c>
      <c r="D1265" t="s">
        <v>2163</v>
      </c>
      <c r="F1265" t="s">
        <v>1430</v>
      </c>
      <c r="G1265" t="s">
        <v>24</v>
      </c>
      <c r="H1265" s="75" t="str">
        <f>IFERROR(VLOOKUP(Table2[[#This Row],[Ticket]],Okey!A:B,2,0),"")</f>
        <v>ok</v>
      </c>
      <c r="I1265" t="s">
        <v>19</v>
      </c>
      <c r="J1265" t="str">
        <f>VLOOKUP(Table2[[#This Row],[Author]],People!A:B,2,0)</f>
        <v>LS</v>
      </c>
      <c r="M1265" t="s">
        <v>1040</v>
      </c>
    </row>
    <row r="1266" spans="1:13" x14ac:dyDescent="0.25">
      <c r="A1266" s="75">
        <f t="shared" si="19"/>
        <v>1265</v>
      </c>
      <c r="B1266" t="s">
        <v>13</v>
      </c>
      <c r="C1266" t="s">
        <v>2065</v>
      </c>
      <c r="D1266" t="s">
        <v>2164</v>
      </c>
      <c r="F1266" t="s">
        <v>1430</v>
      </c>
      <c r="G1266" t="s">
        <v>24</v>
      </c>
      <c r="H1266" s="75" t="str">
        <f>IFERROR(VLOOKUP(Table2[[#This Row],[Ticket]],Okey!A:B,2,0),"")</f>
        <v>ok</v>
      </c>
      <c r="I1266" t="s">
        <v>19</v>
      </c>
      <c r="J1266" t="str">
        <f>VLOOKUP(Table2[[#This Row],[Author]],People!A:B,2,0)</f>
        <v>LS</v>
      </c>
      <c r="M1266" t="s">
        <v>1040</v>
      </c>
    </row>
    <row r="1267" spans="1:13" x14ac:dyDescent="0.25">
      <c r="A1267" s="75">
        <f t="shared" si="19"/>
        <v>1266</v>
      </c>
      <c r="B1267" t="s">
        <v>13</v>
      </c>
      <c r="C1267" t="s">
        <v>2065</v>
      </c>
      <c r="D1267" t="s">
        <v>2165</v>
      </c>
      <c r="F1267" t="s">
        <v>1430</v>
      </c>
      <c r="G1267" t="s">
        <v>24</v>
      </c>
      <c r="H1267" s="75" t="str">
        <f>IFERROR(VLOOKUP(Table2[[#This Row],[Ticket]],Okey!A:B,2,0),"")</f>
        <v>ok</v>
      </c>
      <c r="I1267" t="s">
        <v>19</v>
      </c>
      <c r="J1267" t="str">
        <f>VLOOKUP(Table2[[#This Row],[Author]],People!A:B,2,0)</f>
        <v>LS</v>
      </c>
      <c r="M1267" t="s">
        <v>1040</v>
      </c>
    </row>
    <row r="1268" spans="1:13" x14ac:dyDescent="0.25">
      <c r="A1268" s="75">
        <f t="shared" si="19"/>
        <v>1267</v>
      </c>
      <c r="B1268" t="s">
        <v>13</v>
      </c>
      <c r="C1268" t="s">
        <v>2065</v>
      </c>
      <c r="D1268" t="s">
        <v>2166</v>
      </c>
      <c r="F1268" t="s">
        <v>1430</v>
      </c>
      <c r="G1268" t="s">
        <v>24</v>
      </c>
      <c r="H1268" s="75" t="str">
        <f>IFERROR(VLOOKUP(Table2[[#This Row],[Ticket]],Okey!A:B,2,0),"")</f>
        <v>ok</v>
      </c>
      <c r="I1268" t="s">
        <v>19</v>
      </c>
      <c r="J1268" t="str">
        <f>VLOOKUP(Table2[[#This Row],[Author]],People!A:B,2,0)</f>
        <v>LS</v>
      </c>
      <c r="M1268" t="s">
        <v>1040</v>
      </c>
    </row>
    <row r="1269" spans="1:13" x14ac:dyDescent="0.25">
      <c r="A1269" s="75">
        <f t="shared" si="19"/>
        <v>1268</v>
      </c>
      <c r="B1269" t="s">
        <v>13</v>
      </c>
      <c r="C1269" t="s">
        <v>2065</v>
      </c>
      <c r="D1269" t="s">
        <v>2167</v>
      </c>
      <c r="F1269" t="s">
        <v>1430</v>
      </c>
      <c r="G1269" t="s">
        <v>24</v>
      </c>
      <c r="H1269" s="75" t="str">
        <f>IFERROR(VLOOKUP(Table2[[#This Row],[Ticket]],Okey!A:B,2,0),"")</f>
        <v>ok</v>
      </c>
      <c r="I1269" t="s">
        <v>19</v>
      </c>
      <c r="J1269" t="str">
        <f>VLOOKUP(Table2[[#This Row],[Author]],People!A:B,2,0)</f>
        <v>LS</v>
      </c>
      <c r="M1269" t="s">
        <v>1040</v>
      </c>
    </row>
    <row r="1270" spans="1:13" x14ac:dyDescent="0.25">
      <c r="A1270" s="75">
        <f t="shared" si="19"/>
        <v>1269</v>
      </c>
      <c r="B1270" t="s">
        <v>13</v>
      </c>
      <c r="C1270" t="s">
        <v>2065</v>
      </c>
      <c r="D1270" t="s">
        <v>2168</v>
      </c>
      <c r="F1270" t="s">
        <v>1430</v>
      </c>
      <c r="G1270" t="s">
        <v>24</v>
      </c>
      <c r="H1270" s="75" t="str">
        <f>IFERROR(VLOOKUP(Table2[[#This Row],[Ticket]],Okey!A:B,2,0),"")</f>
        <v>ok</v>
      </c>
      <c r="I1270" t="s">
        <v>19</v>
      </c>
      <c r="J1270" t="str">
        <f>VLOOKUP(Table2[[#This Row],[Author]],People!A:B,2,0)</f>
        <v>LS</v>
      </c>
      <c r="M1270" t="s">
        <v>1040</v>
      </c>
    </row>
    <row r="1271" spans="1:13" x14ac:dyDescent="0.25">
      <c r="A1271" s="75">
        <f t="shared" si="19"/>
        <v>1270</v>
      </c>
      <c r="B1271" t="s">
        <v>13</v>
      </c>
      <c r="C1271" t="s">
        <v>2065</v>
      </c>
      <c r="D1271" t="s">
        <v>2169</v>
      </c>
      <c r="F1271" t="s">
        <v>1430</v>
      </c>
      <c r="G1271" t="s">
        <v>24</v>
      </c>
      <c r="H1271" s="75" t="str">
        <f>IFERROR(VLOOKUP(Table2[[#This Row],[Ticket]],Okey!A:B,2,0),"")</f>
        <v>ok</v>
      </c>
      <c r="I1271" t="s">
        <v>19</v>
      </c>
      <c r="J1271" t="str">
        <f>VLOOKUP(Table2[[#This Row],[Author]],People!A:B,2,0)</f>
        <v>LS</v>
      </c>
      <c r="M1271" t="s">
        <v>1040</v>
      </c>
    </row>
    <row r="1272" spans="1:13" x14ac:dyDescent="0.25">
      <c r="A1272" s="75">
        <f t="shared" si="19"/>
        <v>1271</v>
      </c>
      <c r="B1272" t="s">
        <v>13</v>
      </c>
      <c r="C1272" t="s">
        <v>2065</v>
      </c>
      <c r="D1272" t="s">
        <v>2170</v>
      </c>
      <c r="F1272" t="s">
        <v>1430</v>
      </c>
      <c r="G1272" t="s">
        <v>24</v>
      </c>
      <c r="H1272" s="75" t="str">
        <f>IFERROR(VLOOKUP(Table2[[#This Row],[Ticket]],Okey!A:B,2,0),"")</f>
        <v>ok</v>
      </c>
      <c r="I1272" t="s">
        <v>19</v>
      </c>
      <c r="J1272" t="str">
        <f>VLOOKUP(Table2[[#This Row],[Author]],People!A:B,2,0)</f>
        <v>LS</v>
      </c>
      <c r="M1272" t="s">
        <v>1040</v>
      </c>
    </row>
    <row r="1273" spans="1:13" x14ac:dyDescent="0.25">
      <c r="A1273" s="75">
        <f t="shared" si="19"/>
        <v>1272</v>
      </c>
      <c r="B1273" t="s">
        <v>13</v>
      </c>
      <c r="C1273" t="s">
        <v>2065</v>
      </c>
      <c r="D1273" t="s">
        <v>2171</v>
      </c>
      <c r="F1273" t="s">
        <v>1430</v>
      </c>
      <c r="G1273" t="s">
        <v>24</v>
      </c>
      <c r="H1273" s="75" t="str">
        <f>IFERROR(VLOOKUP(Table2[[#This Row],[Ticket]],Okey!A:B,2,0),"")</f>
        <v>ok</v>
      </c>
      <c r="I1273" t="s">
        <v>19</v>
      </c>
      <c r="J1273" t="str">
        <f>VLOOKUP(Table2[[#This Row],[Author]],People!A:B,2,0)</f>
        <v>LS</v>
      </c>
      <c r="M1273" t="s">
        <v>1040</v>
      </c>
    </row>
    <row r="1274" spans="1:13" x14ac:dyDescent="0.25">
      <c r="A1274" s="75">
        <f t="shared" si="19"/>
        <v>1273</v>
      </c>
      <c r="B1274" t="s">
        <v>13</v>
      </c>
      <c r="C1274" t="s">
        <v>2065</v>
      </c>
      <c r="D1274" t="s">
        <v>2172</v>
      </c>
      <c r="F1274" t="s">
        <v>1430</v>
      </c>
      <c r="G1274" t="s">
        <v>24</v>
      </c>
      <c r="H1274" s="75" t="str">
        <f>IFERROR(VLOOKUP(Table2[[#This Row],[Ticket]],Okey!A:B,2,0),"")</f>
        <v>ok</v>
      </c>
      <c r="I1274" t="s">
        <v>19</v>
      </c>
      <c r="J1274" t="str">
        <f>VLOOKUP(Table2[[#This Row],[Author]],People!A:B,2,0)</f>
        <v>LS</v>
      </c>
      <c r="M1274" t="s">
        <v>1040</v>
      </c>
    </row>
    <row r="1275" spans="1:13" x14ac:dyDescent="0.25">
      <c r="A1275" s="75">
        <f t="shared" si="19"/>
        <v>1274</v>
      </c>
      <c r="B1275" t="s">
        <v>13</v>
      </c>
      <c r="C1275" t="s">
        <v>2065</v>
      </c>
      <c r="D1275" t="s">
        <v>2173</v>
      </c>
      <c r="F1275" t="s">
        <v>1430</v>
      </c>
      <c r="G1275" t="s">
        <v>24</v>
      </c>
      <c r="H1275" s="75" t="str">
        <f>IFERROR(VLOOKUP(Table2[[#This Row],[Ticket]],Okey!A:B,2,0),"")</f>
        <v>ok</v>
      </c>
      <c r="I1275" t="s">
        <v>19</v>
      </c>
      <c r="J1275" t="str">
        <f>VLOOKUP(Table2[[#This Row],[Author]],People!A:B,2,0)</f>
        <v>LS</v>
      </c>
      <c r="M1275" t="s">
        <v>1040</v>
      </c>
    </row>
    <row r="1276" spans="1:13" x14ac:dyDescent="0.25">
      <c r="A1276" s="75">
        <f t="shared" si="19"/>
        <v>1275</v>
      </c>
      <c r="B1276" t="s">
        <v>13</v>
      </c>
      <c r="C1276" t="s">
        <v>2065</v>
      </c>
      <c r="D1276" t="s">
        <v>2174</v>
      </c>
      <c r="F1276" t="s">
        <v>1430</v>
      </c>
      <c r="G1276" t="s">
        <v>24</v>
      </c>
      <c r="H1276" s="75" t="str">
        <f>IFERROR(VLOOKUP(Table2[[#This Row],[Ticket]],Okey!A:B,2,0),"")</f>
        <v>ok</v>
      </c>
      <c r="I1276" t="s">
        <v>19</v>
      </c>
      <c r="J1276" t="str">
        <f>VLOOKUP(Table2[[#This Row],[Author]],People!A:B,2,0)</f>
        <v>LS</v>
      </c>
      <c r="M1276" t="s">
        <v>1040</v>
      </c>
    </row>
    <row r="1277" spans="1:13" x14ac:dyDescent="0.25">
      <c r="A1277" s="75">
        <f t="shared" si="19"/>
        <v>1276</v>
      </c>
      <c r="B1277" t="s">
        <v>13</v>
      </c>
      <c r="C1277" t="s">
        <v>2065</v>
      </c>
      <c r="D1277" t="s">
        <v>2175</v>
      </c>
      <c r="F1277" t="s">
        <v>1430</v>
      </c>
      <c r="G1277" t="s">
        <v>24</v>
      </c>
      <c r="H1277" s="75" t="str">
        <f>IFERROR(VLOOKUP(Table2[[#This Row],[Ticket]],Okey!A:B,2,0),"")</f>
        <v>ok</v>
      </c>
      <c r="I1277" t="s">
        <v>19</v>
      </c>
      <c r="J1277" t="str">
        <f>VLOOKUP(Table2[[#This Row],[Author]],People!A:B,2,0)</f>
        <v>LS</v>
      </c>
      <c r="M1277" t="s">
        <v>1040</v>
      </c>
    </row>
    <row r="1278" spans="1:13" x14ac:dyDescent="0.25">
      <c r="A1278" s="75">
        <f t="shared" si="19"/>
        <v>1277</v>
      </c>
      <c r="B1278" t="s">
        <v>13</v>
      </c>
      <c r="C1278" t="s">
        <v>2065</v>
      </c>
      <c r="D1278" t="s">
        <v>2176</v>
      </c>
      <c r="F1278" t="s">
        <v>1430</v>
      </c>
      <c r="G1278" t="s">
        <v>24</v>
      </c>
      <c r="H1278" s="75" t="str">
        <f>IFERROR(VLOOKUP(Table2[[#This Row],[Ticket]],Okey!A:B,2,0),"")</f>
        <v>ok</v>
      </c>
      <c r="I1278" t="s">
        <v>19</v>
      </c>
      <c r="J1278" t="str">
        <f>VLOOKUP(Table2[[#This Row],[Author]],People!A:B,2,0)</f>
        <v>LS</v>
      </c>
      <c r="M1278" t="s">
        <v>1040</v>
      </c>
    </row>
    <row r="1279" spans="1:13" x14ac:dyDescent="0.25">
      <c r="A1279" s="75">
        <f t="shared" si="19"/>
        <v>1278</v>
      </c>
      <c r="B1279" t="s">
        <v>13</v>
      </c>
      <c r="C1279" t="s">
        <v>2065</v>
      </c>
      <c r="D1279" t="s">
        <v>2177</v>
      </c>
      <c r="F1279" t="s">
        <v>1430</v>
      </c>
      <c r="G1279" t="s">
        <v>24</v>
      </c>
      <c r="H1279" s="75" t="str">
        <f>IFERROR(VLOOKUP(Table2[[#This Row],[Ticket]],Okey!A:B,2,0),"")</f>
        <v>ok</v>
      </c>
      <c r="I1279" t="s">
        <v>19</v>
      </c>
      <c r="J1279" t="str">
        <f>VLOOKUP(Table2[[#This Row],[Author]],People!A:B,2,0)</f>
        <v>LS</v>
      </c>
      <c r="M1279" t="s">
        <v>1040</v>
      </c>
    </row>
    <row r="1280" spans="1:13" x14ac:dyDescent="0.25">
      <c r="A1280" s="75">
        <f t="shared" si="19"/>
        <v>1279</v>
      </c>
      <c r="B1280" t="s">
        <v>13</v>
      </c>
      <c r="C1280" t="s">
        <v>2065</v>
      </c>
      <c r="D1280" t="s">
        <v>2178</v>
      </c>
      <c r="F1280" t="s">
        <v>1430</v>
      </c>
      <c r="G1280" t="s">
        <v>24</v>
      </c>
      <c r="H1280" s="75" t="str">
        <f>IFERROR(VLOOKUP(Table2[[#This Row],[Ticket]],Okey!A:B,2,0),"")</f>
        <v>ok</v>
      </c>
      <c r="I1280" t="s">
        <v>19</v>
      </c>
      <c r="J1280" t="str">
        <f>VLOOKUP(Table2[[#This Row],[Author]],People!A:B,2,0)</f>
        <v>LS</v>
      </c>
      <c r="M1280" t="s">
        <v>1040</v>
      </c>
    </row>
    <row r="1281" spans="1:13" x14ac:dyDescent="0.25">
      <c r="A1281" s="75">
        <f t="shared" si="19"/>
        <v>1280</v>
      </c>
      <c r="B1281" t="s">
        <v>13</v>
      </c>
      <c r="C1281" t="s">
        <v>2065</v>
      </c>
      <c r="D1281" t="s">
        <v>2179</v>
      </c>
      <c r="F1281" t="s">
        <v>1430</v>
      </c>
      <c r="G1281" t="s">
        <v>24</v>
      </c>
      <c r="H1281" s="75" t="str">
        <f>IFERROR(VLOOKUP(Table2[[#This Row],[Ticket]],Okey!A:B,2,0),"")</f>
        <v>ok</v>
      </c>
      <c r="I1281" t="s">
        <v>19</v>
      </c>
      <c r="J1281" t="str">
        <f>VLOOKUP(Table2[[#This Row],[Author]],People!A:B,2,0)</f>
        <v>LS</v>
      </c>
      <c r="M1281" t="s">
        <v>1040</v>
      </c>
    </row>
    <row r="1282" spans="1:13" x14ac:dyDescent="0.25">
      <c r="A1282" s="75">
        <f t="shared" si="19"/>
        <v>1281</v>
      </c>
      <c r="B1282" t="s">
        <v>13</v>
      </c>
      <c r="C1282" t="s">
        <v>2065</v>
      </c>
      <c r="D1282" t="s">
        <v>2180</v>
      </c>
      <c r="F1282" t="s">
        <v>1430</v>
      </c>
      <c r="G1282" t="s">
        <v>24</v>
      </c>
      <c r="H1282" s="75" t="str">
        <f>IFERROR(VLOOKUP(Table2[[#This Row],[Ticket]],Okey!A:B,2,0),"")</f>
        <v>ok</v>
      </c>
      <c r="I1282" t="s">
        <v>19</v>
      </c>
      <c r="J1282" t="str">
        <f>VLOOKUP(Table2[[#This Row],[Author]],People!A:B,2,0)</f>
        <v>LS</v>
      </c>
      <c r="M1282" t="s">
        <v>1040</v>
      </c>
    </row>
    <row r="1283" spans="1:13" x14ac:dyDescent="0.25">
      <c r="A1283" s="75">
        <f t="shared" si="19"/>
        <v>1282</v>
      </c>
      <c r="B1283" t="s">
        <v>13</v>
      </c>
      <c r="C1283" t="s">
        <v>2065</v>
      </c>
      <c r="D1283" t="s">
        <v>2181</v>
      </c>
      <c r="F1283" t="s">
        <v>1430</v>
      </c>
      <c r="G1283" t="s">
        <v>24</v>
      </c>
      <c r="H1283" s="75" t="str">
        <f>IFERROR(VLOOKUP(Table2[[#This Row],[Ticket]],Okey!A:B,2,0),"")</f>
        <v>ok</v>
      </c>
      <c r="I1283" t="s">
        <v>19</v>
      </c>
      <c r="J1283" t="str">
        <f>VLOOKUP(Table2[[#This Row],[Author]],People!A:B,2,0)</f>
        <v>LS</v>
      </c>
      <c r="M1283" t="s">
        <v>1040</v>
      </c>
    </row>
    <row r="1284" spans="1:13" x14ac:dyDescent="0.25">
      <c r="A1284" s="75">
        <f t="shared" si="19"/>
        <v>1283</v>
      </c>
      <c r="B1284" t="s">
        <v>13</v>
      </c>
      <c r="C1284" t="s">
        <v>2065</v>
      </c>
      <c r="D1284" t="s">
        <v>2182</v>
      </c>
      <c r="F1284" t="s">
        <v>1430</v>
      </c>
      <c r="G1284" t="s">
        <v>24</v>
      </c>
      <c r="H1284" s="75" t="str">
        <f>IFERROR(VLOOKUP(Table2[[#This Row],[Ticket]],Okey!A:B,2,0),"")</f>
        <v>ok</v>
      </c>
      <c r="I1284" t="s">
        <v>19</v>
      </c>
      <c r="J1284" t="str">
        <f>VLOOKUP(Table2[[#This Row],[Author]],People!A:B,2,0)</f>
        <v>LS</v>
      </c>
      <c r="M1284" t="s">
        <v>1040</v>
      </c>
    </row>
    <row r="1285" spans="1:13" x14ac:dyDescent="0.25">
      <c r="A1285" s="75">
        <f t="shared" si="19"/>
        <v>1284</v>
      </c>
      <c r="B1285" t="s">
        <v>13</v>
      </c>
      <c r="C1285" t="s">
        <v>2065</v>
      </c>
      <c r="D1285" t="s">
        <v>2183</v>
      </c>
      <c r="F1285" t="s">
        <v>1430</v>
      </c>
      <c r="G1285" t="s">
        <v>24</v>
      </c>
      <c r="H1285" s="75" t="str">
        <f>IFERROR(VLOOKUP(Table2[[#This Row],[Ticket]],Okey!A:B,2,0),"")</f>
        <v>ok</v>
      </c>
      <c r="I1285" t="s">
        <v>19</v>
      </c>
      <c r="J1285" t="str">
        <f>VLOOKUP(Table2[[#This Row],[Author]],People!A:B,2,0)</f>
        <v>LS</v>
      </c>
      <c r="M1285" t="s">
        <v>1040</v>
      </c>
    </row>
    <row r="1286" spans="1:13" x14ac:dyDescent="0.25">
      <c r="A1286" s="75">
        <f t="shared" si="19"/>
        <v>1285</v>
      </c>
      <c r="B1286" t="s">
        <v>13</v>
      </c>
      <c r="C1286" t="s">
        <v>2065</v>
      </c>
      <c r="D1286" t="s">
        <v>2184</v>
      </c>
      <c r="F1286" t="s">
        <v>1430</v>
      </c>
      <c r="G1286" t="s">
        <v>24</v>
      </c>
      <c r="H1286" s="75" t="str">
        <f>IFERROR(VLOOKUP(Table2[[#This Row],[Ticket]],Okey!A:B,2,0),"")</f>
        <v>ok</v>
      </c>
      <c r="I1286" t="s">
        <v>19</v>
      </c>
      <c r="J1286" t="str">
        <f>VLOOKUP(Table2[[#This Row],[Author]],People!A:B,2,0)</f>
        <v>LS</v>
      </c>
      <c r="M1286" t="s">
        <v>1040</v>
      </c>
    </row>
    <row r="1287" spans="1:13" x14ac:dyDescent="0.25">
      <c r="A1287" s="75">
        <f t="shared" si="19"/>
        <v>1286</v>
      </c>
      <c r="B1287" t="s">
        <v>13</v>
      </c>
      <c r="C1287" t="s">
        <v>2065</v>
      </c>
      <c r="D1287" t="s">
        <v>2185</v>
      </c>
      <c r="F1287" t="s">
        <v>1430</v>
      </c>
      <c r="G1287" t="s">
        <v>24</v>
      </c>
      <c r="H1287" s="75" t="str">
        <f>IFERROR(VLOOKUP(Table2[[#This Row],[Ticket]],Okey!A:B,2,0),"")</f>
        <v>ok</v>
      </c>
      <c r="I1287" t="s">
        <v>19</v>
      </c>
      <c r="J1287" t="str">
        <f>VLOOKUP(Table2[[#This Row],[Author]],People!A:B,2,0)</f>
        <v>LS</v>
      </c>
      <c r="M1287" t="s">
        <v>1040</v>
      </c>
    </row>
    <row r="1288" spans="1:13" x14ac:dyDescent="0.25">
      <c r="A1288" s="75">
        <f t="shared" si="19"/>
        <v>1287</v>
      </c>
      <c r="B1288" t="s">
        <v>13</v>
      </c>
      <c r="C1288" t="s">
        <v>2065</v>
      </c>
      <c r="D1288" t="s">
        <v>2186</v>
      </c>
      <c r="F1288" t="s">
        <v>1430</v>
      </c>
      <c r="G1288" t="s">
        <v>24</v>
      </c>
      <c r="H1288" s="75" t="str">
        <f>IFERROR(VLOOKUP(Table2[[#This Row],[Ticket]],Okey!A:B,2,0),"")</f>
        <v>ok</v>
      </c>
      <c r="I1288" t="s">
        <v>19</v>
      </c>
      <c r="J1288" t="str">
        <f>VLOOKUP(Table2[[#This Row],[Author]],People!A:B,2,0)</f>
        <v>LS</v>
      </c>
      <c r="M1288" t="s">
        <v>1040</v>
      </c>
    </row>
    <row r="1289" spans="1:13" x14ac:dyDescent="0.25">
      <c r="A1289" s="75">
        <f t="shared" ref="A1289:A1352" si="20">1+A1288</f>
        <v>1288</v>
      </c>
      <c r="B1289" t="s">
        <v>13</v>
      </c>
      <c r="C1289" t="s">
        <v>2065</v>
      </c>
      <c r="D1289" t="s">
        <v>2187</v>
      </c>
      <c r="F1289" t="s">
        <v>1430</v>
      </c>
      <c r="G1289" t="s">
        <v>24</v>
      </c>
      <c r="H1289" s="75" t="str">
        <f>IFERROR(VLOOKUP(Table2[[#This Row],[Ticket]],Okey!A:B,2,0),"")</f>
        <v>ok</v>
      </c>
      <c r="I1289" t="s">
        <v>19</v>
      </c>
      <c r="J1289" t="str">
        <f>VLOOKUP(Table2[[#This Row],[Author]],People!A:B,2,0)</f>
        <v>LS</v>
      </c>
      <c r="M1289" t="s">
        <v>1040</v>
      </c>
    </row>
    <row r="1290" spans="1:13" x14ac:dyDescent="0.25">
      <c r="A1290" s="75">
        <f t="shared" si="20"/>
        <v>1289</v>
      </c>
      <c r="B1290" t="s">
        <v>13</v>
      </c>
      <c r="C1290" t="s">
        <v>2065</v>
      </c>
      <c r="D1290" t="s">
        <v>2188</v>
      </c>
      <c r="F1290" t="s">
        <v>1430</v>
      </c>
      <c r="G1290" t="s">
        <v>24</v>
      </c>
      <c r="H1290" s="75" t="str">
        <f>IFERROR(VLOOKUP(Table2[[#This Row],[Ticket]],Okey!A:B,2,0),"")</f>
        <v>ok</v>
      </c>
      <c r="I1290" t="s">
        <v>19</v>
      </c>
      <c r="J1290" t="str">
        <f>VLOOKUP(Table2[[#This Row],[Author]],People!A:B,2,0)</f>
        <v>LS</v>
      </c>
      <c r="M1290" t="s">
        <v>1040</v>
      </c>
    </row>
    <row r="1291" spans="1:13" x14ac:dyDescent="0.25">
      <c r="A1291" s="75">
        <f t="shared" si="20"/>
        <v>1290</v>
      </c>
      <c r="B1291" t="s">
        <v>13</v>
      </c>
      <c r="C1291" t="s">
        <v>2065</v>
      </c>
      <c r="D1291" t="s">
        <v>2189</v>
      </c>
      <c r="F1291" t="s">
        <v>1430</v>
      </c>
      <c r="G1291" t="s">
        <v>24</v>
      </c>
      <c r="H1291" s="75" t="str">
        <f>IFERROR(VLOOKUP(Table2[[#This Row],[Ticket]],Okey!A:B,2,0),"")</f>
        <v>ok</v>
      </c>
      <c r="I1291" t="s">
        <v>19</v>
      </c>
      <c r="J1291" t="str">
        <f>VLOOKUP(Table2[[#This Row],[Author]],People!A:B,2,0)</f>
        <v>LS</v>
      </c>
      <c r="M1291" t="s">
        <v>1040</v>
      </c>
    </row>
    <row r="1292" spans="1:13" x14ac:dyDescent="0.25">
      <c r="A1292" s="75">
        <f t="shared" si="20"/>
        <v>1291</v>
      </c>
      <c r="B1292" t="s">
        <v>13</v>
      </c>
      <c r="C1292" t="s">
        <v>2065</v>
      </c>
      <c r="D1292" t="s">
        <v>2190</v>
      </c>
      <c r="F1292" t="s">
        <v>1430</v>
      </c>
      <c r="G1292" t="s">
        <v>24</v>
      </c>
      <c r="H1292" s="75" t="str">
        <f>IFERROR(VLOOKUP(Table2[[#This Row],[Ticket]],Okey!A:B,2,0),"")</f>
        <v>ok</v>
      </c>
      <c r="I1292" t="s">
        <v>19</v>
      </c>
      <c r="J1292" t="str">
        <f>VLOOKUP(Table2[[#This Row],[Author]],People!A:B,2,0)</f>
        <v>LS</v>
      </c>
      <c r="M1292" t="s">
        <v>1040</v>
      </c>
    </row>
    <row r="1293" spans="1:13" x14ac:dyDescent="0.25">
      <c r="A1293" s="75">
        <f t="shared" si="20"/>
        <v>1292</v>
      </c>
      <c r="B1293" t="s">
        <v>13</v>
      </c>
      <c r="C1293" t="s">
        <v>2065</v>
      </c>
      <c r="D1293" t="s">
        <v>2191</v>
      </c>
      <c r="F1293" t="s">
        <v>1430</v>
      </c>
      <c r="G1293" t="s">
        <v>24</v>
      </c>
      <c r="H1293" s="75" t="str">
        <f>IFERROR(VLOOKUP(Table2[[#This Row],[Ticket]],Okey!A:B,2,0),"")</f>
        <v>ok</v>
      </c>
      <c r="I1293" t="s">
        <v>19</v>
      </c>
      <c r="J1293" t="str">
        <f>VLOOKUP(Table2[[#This Row],[Author]],People!A:B,2,0)</f>
        <v>LS</v>
      </c>
      <c r="M1293" t="s">
        <v>1040</v>
      </c>
    </row>
    <row r="1294" spans="1:13" x14ac:dyDescent="0.25">
      <c r="A1294" s="75">
        <f t="shared" si="20"/>
        <v>1293</v>
      </c>
      <c r="B1294" t="s">
        <v>13</v>
      </c>
      <c r="C1294" t="s">
        <v>2065</v>
      </c>
      <c r="D1294" t="s">
        <v>2192</v>
      </c>
      <c r="F1294" t="s">
        <v>1430</v>
      </c>
      <c r="G1294" t="s">
        <v>24</v>
      </c>
      <c r="H1294" s="75" t="str">
        <f>IFERROR(VLOOKUP(Table2[[#This Row],[Ticket]],Okey!A:B,2,0),"")</f>
        <v>ok</v>
      </c>
      <c r="I1294" t="s">
        <v>19</v>
      </c>
      <c r="J1294" t="str">
        <f>VLOOKUP(Table2[[#This Row],[Author]],People!A:B,2,0)</f>
        <v>LS</v>
      </c>
      <c r="M1294" t="s">
        <v>1040</v>
      </c>
    </row>
    <row r="1295" spans="1:13" x14ac:dyDescent="0.25">
      <c r="A1295" s="75">
        <f t="shared" si="20"/>
        <v>1294</v>
      </c>
      <c r="B1295" t="s">
        <v>13</v>
      </c>
      <c r="C1295" t="s">
        <v>2065</v>
      </c>
      <c r="D1295" t="s">
        <v>2193</v>
      </c>
      <c r="F1295" t="s">
        <v>1430</v>
      </c>
      <c r="G1295" t="s">
        <v>24</v>
      </c>
      <c r="H1295" s="75" t="str">
        <f>IFERROR(VLOOKUP(Table2[[#This Row],[Ticket]],Okey!A:B,2,0),"")</f>
        <v>ok</v>
      </c>
      <c r="I1295" t="s">
        <v>19</v>
      </c>
      <c r="J1295" t="str">
        <f>VLOOKUP(Table2[[#This Row],[Author]],People!A:B,2,0)</f>
        <v>LS</v>
      </c>
      <c r="M1295" t="s">
        <v>1040</v>
      </c>
    </row>
    <row r="1296" spans="1:13" x14ac:dyDescent="0.25">
      <c r="A1296" s="75">
        <f t="shared" si="20"/>
        <v>1295</v>
      </c>
      <c r="B1296" t="s">
        <v>13</v>
      </c>
      <c r="C1296" t="s">
        <v>2065</v>
      </c>
      <c r="D1296" t="s">
        <v>2194</v>
      </c>
      <c r="F1296" t="s">
        <v>1430</v>
      </c>
      <c r="G1296" t="s">
        <v>24</v>
      </c>
      <c r="H1296" s="75" t="str">
        <f>IFERROR(VLOOKUP(Table2[[#This Row],[Ticket]],Okey!A:B,2,0),"")</f>
        <v>ok</v>
      </c>
      <c r="I1296" t="s">
        <v>19</v>
      </c>
      <c r="J1296" t="str">
        <f>VLOOKUP(Table2[[#This Row],[Author]],People!A:B,2,0)</f>
        <v>LS</v>
      </c>
      <c r="M1296" t="s">
        <v>1040</v>
      </c>
    </row>
    <row r="1297" spans="1:13" x14ac:dyDescent="0.25">
      <c r="A1297" s="75">
        <f t="shared" si="20"/>
        <v>1296</v>
      </c>
      <c r="B1297" t="s">
        <v>13</v>
      </c>
      <c r="C1297" t="s">
        <v>2065</v>
      </c>
      <c r="D1297" t="s">
        <v>2195</v>
      </c>
      <c r="F1297" t="s">
        <v>1430</v>
      </c>
      <c r="G1297" t="s">
        <v>24</v>
      </c>
      <c r="H1297" s="75" t="str">
        <f>IFERROR(VLOOKUP(Table2[[#This Row],[Ticket]],Okey!A:B,2,0),"")</f>
        <v>ok</v>
      </c>
      <c r="I1297" t="s">
        <v>19</v>
      </c>
      <c r="J1297" t="str">
        <f>VLOOKUP(Table2[[#This Row],[Author]],People!A:B,2,0)</f>
        <v>LS</v>
      </c>
      <c r="M1297" t="s">
        <v>1040</v>
      </c>
    </row>
    <row r="1298" spans="1:13" x14ac:dyDescent="0.25">
      <c r="A1298" s="75">
        <f t="shared" si="20"/>
        <v>1297</v>
      </c>
      <c r="B1298" t="s">
        <v>13</v>
      </c>
      <c r="C1298" t="s">
        <v>2065</v>
      </c>
      <c r="D1298" t="s">
        <v>2196</v>
      </c>
      <c r="F1298" t="s">
        <v>1430</v>
      </c>
      <c r="G1298" t="s">
        <v>24</v>
      </c>
      <c r="H1298" s="75" t="str">
        <f>IFERROR(VLOOKUP(Table2[[#This Row],[Ticket]],Okey!A:B,2,0),"")</f>
        <v>ok</v>
      </c>
      <c r="I1298" t="s">
        <v>19</v>
      </c>
      <c r="J1298" t="str">
        <f>VLOOKUP(Table2[[#This Row],[Author]],People!A:B,2,0)</f>
        <v>LS</v>
      </c>
      <c r="M1298" t="s">
        <v>1040</v>
      </c>
    </row>
    <row r="1299" spans="1:13" x14ac:dyDescent="0.25">
      <c r="A1299" s="75">
        <f t="shared" si="20"/>
        <v>1298</v>
      </c>
      <c r="B1299" t="s">
        <v>13</v>
      </c>
      <c r="C1299" t="s">
        <v>2197</v>
      </c>
      <c r="D1299" t="s">
        <v>2056</v>
      </c>
      <c r="E1299" t="s">
        <v>2198</v>
      </c>
      <c r="F1299" t="s">
        <v>2035</v>
      </c>
      <c r="G1299" t="s">
        <v>496</v>
      </c>
      <c r="H1299" s="75" t="str">
        <f>IFERROR(VLOOKUP(Table2[[#This Row],[Ticket]],Okey!A:B,2,0),"")</f>
        <v>ok</v>
      </c>
      <c r="I1299" t="s">
        <v>19</v>
      </c>
      <c r="J1299" t="str">
        <f>VLOOKUP(Table2[[#This Row],[Author]],People!A:B,2,0)</f>
        <v>EL</v>
      </c>
      <c r="M1299" t="s">
        <v>1752</v>
      </c>
    </row>
    <row r="1300" spans="1:13" x14ac:dyDescent="0.25">
      <c r="A1300" s="75">
        <f t="shared" si="20"/>
        <v>1299</v>
      </c>
      <c r="B1300" t="s">
        <v>13</v>
      </c>
      <c r="C1300" t="s">
        <v>2197</v>
      </c>
      <c r="D1300" t="s">
        <v>1819</v>
      </c>
      <c r="E1300" s="19" t="s">
        <v>2199</v>
      </c>
      <c r="F1300" t="s">
        <v>2035</v>
      </c>
      <c r="G1300" t="s">
        <v>496</v>
      </c>
      <c r="H1300" s="75" t="str">
        <f>IFERROR(VLOOKUP(Table2[[#This Row],[Ticket]],Okey!A:B,2,0),"")</f>
        <v>ok</v>
      </c>
      <c r="I1300" t="s">
        <v>19</v>
      </c>
      <c r="J1300" t="str">
        <f>VLOOKUP(Table2[[#This Row],[Author]],People!A:B,2,0)</f>
        <v>EL</v>
      </c>
      <c r="M1300" t="s">
        <v>1752</v>
      </c>
    </row>
    <row r="1301" spans="1:13" x14ac:dyDescent="0.25">
      <c r="A1301" s="75">
        <f t="shared" si="20"/>
        <v>1300</v>
      </c>
      <c r="B1301" t="s">
        <v>13</v>
      </c>
      <c r="C1301" t="s">
        <v>2200</v>
      </c>
      <c r="D1301" t="s">
        <v>2201</v>
      </c>
      <c r="F1301" t="s">
        <v>327</v>
      </c>
      <c r="G1301" t="s">
        <v>328</v>
      </c>
      <c r="H1301" s="75" t="str">
        <f>IFERROR(VLOOKUP(Table2[[#This Row],[Ticket]],Okey!A:B,2,0),"")</f>
        <v>ok</v>
      </c>
      <c r="I1301" t="s">
        <v>19</v>
      </c>
      <c r="J1301" t="str">
        <f>VLOOKUP(Table2[[#This Row],[Author]],People!A:B,2,0)</f>
        <v>EL</v>
      </c>
      <c r="M1301" t="s">
        <v>2202</v>
      </c>
    </row>
    <row r="1302" spans="1:13" x14ac:dyDescent="0.25">
      <c r="A1302" s="75">
        <f t="shared" si="20"/>
        <v>1301</v>
      </c>
      <c r="B1302" t="s">
        <v>13</v>
      </c>
      <c r="C1302" t="s">
        <v>2200</v>
      </c>
      <c r="D1302" t="s">
        <v>2203</v>
      </c>
      <c r="F1302" t="s">
        <v>327</v>
      </c>
      <c r="G1302" t="s">
        <v>328</v>
      </c>
      <c r="H1302" s="75" t="str">
        <f>IFERROR(VLOOKUP(Table2[[#This Row],[Ticket]],Okey!A:B,2,0),"")</f>
        <v>ok</v>
      </c>
      <c r="I1302" t="s">
        <v>19</v>
      </c>
      <c r="J1302" t="str">
        <f>VLOOKUP(Table2[[#This Row],[Author]],People!A:B,2,0)</f>
        <v>EL</v>
      </c>
      <c r="M1302" t="s">
        <v>2202</v>
      </c>
    </row>
    <row r="1303" spans="1:13" x14ac:dyDescent="0.25">
      <c r="A1303" s="75">
        <f t="shared" si="20"/>
        <v>1302</v>
      </c>
      <c r="B1303" t="s">
        <v>13</v>
      </c>
      <c r="C1303" t="s">
        <v>2200</v>
      </c>
      <c r="D1303" t="s">
        <v>2204</v>
      </c>
      <c r="F1303" t="s">
        <v>327</v>
      </c>
      <c r="G1303" t="s">
        <v>328</v>
      </c>
      <c r="H1303" s="75" t="str">
        <f>IFERROR(VLOOKUP(Table2[[#This Row],[Ticket]],Okey!A:B,2,0),"")</f>
        <v>ok</v>
      </c>
      <c r="I1303" t="s">
        <v>19</v>
      </c>
      <c r="J1303" t="str">
        <f>VLOOKUP(Table2[[#This Row],[Author]],People!A:B,2,0)</f>
        <v>EL</v>
      </c>
      <c r="M1303" t="s">
        <v>2202</v>
      </c>
    </row>
    <row r="1304" spans="1:13" x14ac:dyDescent="0.25">
      <c r="A1304" s="75">
        <f t="shared" si="20"/>
        <v>1303</v>
      </c>
      <c r="B1304" t="s">
        <v>13</v>
      </c>
      <c r="C1304" t="s">
        <v>2200</v>
      </c>
      <c r="D1304" t="s">
        <v>2205</v>
      </c>
      <c r="F1304" t="s">
        <v>327</v>
      </c>
      <c r="G1304" t="s">
        <v>328</v>
      </c>
      <c r="H1304" s="75" t="str">
        <f>IFERROR(VLOOKUP(Table2[[#This Row],[Ticket]],Okey!A:B,2,0),"")</f>
        <v>ok</v>
      </c>
      <c r="I1304" t="s">
        <v>19</v>
      </c>
      <c r="J1304" t="str">
        <f>VLOOKUP(Table2[[#This Row],[Author]],People!A:B,2,0)</f>
        <v>EL</v>
      </c>
      <c r="M1304" t="s">
        <v>2202</v>
      </c>
    </row>
    <row r="1305" spans="1:13" x14ac:dyDescent="0.25">
      <c r="A1305" s="75">
        <f t="shared" si="20"/>
        <v>1304</v>
      </c>
      <c r="B1305" t="s">
        <v>13</v>
      </c>
      <c r="C1305" t="s">
        <v>2200</v>
      </c>
      <c r="D1305" t="s">
        <v>2206</v>
      </c>
      <c r="F1305" t="s">
        <v>327</v>
      </c>
      <c r="G1305" t="s">
        <v>328</v>
      </c>
      <c r="H1305" s="75" t="str">
        <f>IFERROR(VLOOKUP(Table2[[#This Row],[Ticket]],Okey!A:B,2,0),"")</f>
        <v>ok</v>
      </c>
      <c r="I1305" t="s">
        <v>19</v>
      </c>
      <c r="J1305" t="str">
        <f>VLOOKUP(Table2[[#This Row],[Author]],People!A:B,2,0)</f>
        <v>EL</v>
      </c>
      <c r="M1305" t="s">
        <v>2202</v>
      </c>
    </row>
    <row r="1306" spans="1:13" x14ac:dyDescent="0.25">
      <c r="A1306" s="75">
        <f t="shared" si="20"/>
        <v>1305</v>
      </c>
      <c r="B1306" t="s">
        <v>13</v>
      </c>
      <c r="C1306" t="s">
        <v>2200</v>
      </c>
      <c r="D1306" t="s">
        <v>2207</v>
      </c>
      <c r="F1306" t="s">
        <v>327</v>
      </c>
      <c r="G1306" t="s">
        <v>328</v>
      </c>
      <c r="H1306" s="75" t="str">
        <f>IFERROR(VLOOKUP(Table2[[#This Row],[Ticket]],Okey!A:B,2,0),"")</f>
        <v>ok</v>
      </c>
      <c r="I1306" t="s">
        <v>19</v>
      </c>
      <c r="J1306" t="str">
        <f>VLOOKUP(Table2[[#This Row],[Author]],People!A:B,2,0)</f>
        <v>EL</v>
      </c>
      <c r="M1306" t="s">
        <v>2202</v>
      </c>
    </row>
    <row r="1307" spans="1:13" x14ac:dyDescent="0.25">
      <c r="A1307" s="75">
        <f t="shared" si="20"/>
        <v>1306</v>
      </c>
      <c r="B1307" t="s">
        <v>13</v>
      </c>
      <c r="C1307" t="s">
        <v>2200</v>
      </c>
      <c r="D1307" t="s">
        <v>2208</v>
      </c>
      <c r="F1307" t="s">
        <v>327</v>
      </c>
      <c r="G1307" t="s">
        <v>328</v>
      </c>
      <c r="H1307" s="75" t="str">
        <f>IFERROR(VLOOKUP(Table2[[#This Row],[Ticket]],Okey!A:B,2,0),"")</f>
        <v>ok</v>
      </c>
      <c r="I1307" t="s">
        <v>19</v>
      </c>
      <c r="J1307" t="str">
        <f>VLOOKUP(Table2[[#This Row],[Author]],People!A:B,2,0)</f>
        <v>EL</v>
      </c>
      <c r="M1307" t="s">
        <v>2202</v>
      </c>
    </row>
    <row r="1308" spans="1:13" x14ac:dyDescent="0.25">
      <c r="A1308" s="75">
        <f t="shared" si="20"/>
        <v>1307</v>
      </c>
      <c r="B1308" t="s">
        <v>13</v>
      </c>
      <c r="C1308" t="s">
        <v>2200</v>
      </c>
      <c r="D1308" t="s">
        <v>2209</v>
      </c>
      <c r="F1308" t="s">
        <v>327</v>
      </c>
      <c r="G1308" t="s">
        <v>328</v>
      </c>
      <c r="H1308" s="75" t="str">
        <f>IFERROR(VLOOKUP(Table2[[#This Row],[Ticket]],Okey!A:B,2,0),"")</f>
        <v>ok</v>
      </c>
      <c r="I1308" t="s">
        <v>19</v>
      </c>
      <c r="J1308" t="str">
        <f>VLOOKUP(Table2[[#This Row],[Author]],People!A:B,2,0)</f>
        <v>EL</v>
      </c>
      <c r="M1308" t="s">
        <v>2202</v>
      </c>
    </row>
    <row r="1309" spans="1:13" x14ac:dyDescent="0.25">
      <c r="A1309" s="75">
        <f t="shared" si="20"/>
        <v>1308</v>
      </c>
      <c r="B1309" t="s">
        <v>13</v>
      </c>
      <c r="C1309" t="s">
        <v>2200</v>
      </c>
      <c r="D1309" t="s">
        <v>2210</v>
      </c>
      <c r="F1309" t="s">
        <v>327</v>
      </c>
      <c r="G1309" t="s">
        <v>328</v>
      </c>
      <c r="H1309" s="75" t="str">
        <f>IFERROR(VLOOKUP(Table2[[#This Row],[Ticket]],Okey!A:B,2,0),"")</f>
        <v>ok</v>
      </c>
      <c r="I1309" t="s">
        <v>19</v>
      </c>
      <c r="J1309" t="str">
        <f>VLOOKUP(Table2[[#This Row],[Author]],People!A:B,2,0)</f>
        <v>EL</v>
      </c>
      <c r="M1309" t="s">
        <v>2202</v>
      </c>
    </row>
    <row r="1310" spans="1:13" x14ac:dyDescent="0.25">
      <c r="A1310" s="75">
        <f t="shared" si="20"/>
        <v>1309</v>
      </c>
      <c r="B1310" t="s">
        <v>13</v>
      </c>
      <c r="C1310" t="s">
        <v>2200</v>
      </c>
      <c r="D1310" t="s">
        <v>2211</v>
      </c>
      <c r="F1310" t="s">
        <v>327</v>
      </c>
      <c r="G1310" t="s">
        <v>328</v>
      </c>
      <c r="H1310" s="75" t="str">
        <f>IFERROR(VLOOKUP(Table2[[#This Row],[Ticket]],Okey!A:B,2,0),"")</f>
        <v>ok</v>
      </c>
      <c r="I1310" t="s">
        <v>19</v>
      </c>
      <c r="J1310" t="str">
        <f>VLOOKUP(Table2[[#This Row],[Author]],People!A:B,2,0)</f>
        <v>EL</v>
      </c>
      <c r="M1310" t="s">
        <v>2202</v>
      </c>
    </row>
    <row r="1311" spans="1:13" x14ac:dyDescent="0.25">
      <c r="A1311" s="75">
        <f t="shared" si="20"/>
        <v>1310</v>
      </c>
      <c r="B1311" t="s">
        <v>13</v>
      </c>
      <c r="C1311" t="s">
        <v>2200</v>
      </c>
      <c r="D1311" t="s">
        <v>2212</v>
      </c>
      <c r="F1311" t="s">
        <v>327</v>
      </c>
      <c r="G1311" t="s">
        <v>328</v>
      </c>
      <c r="H1311" s="75" t="str">
        <f>IFERROR(VLOOKUP(Table2[[#This Row],[Ticket]],Okey!A:B,2,0),"")</f>
        <v>ok</v>
      </c>
      <c r="I1311" t="s">
        <v>19</v>
      </c>
      <c r="J1311" t="str">
        <f>VLOOKUP(Table2[[#This Row],[Author]],People!A:B,2,0)</f>
        <v>EL</v>
      </c>
      <c r="M1311" t="s">
        <v>2202</v>
      </c>
    </row>
    <row r="1312" spans="1:13" x14ac:dyDescent="0.25">
      <c r="A1312" s="75">
        <f t="shared" si="20"/>
        <v>1311</v>
      </c>
      <c r="B1312" t="s">
        <v>13</v>
      </c>
      <c r="C1312" t="s">
        <v>2200</v>
      </c>
      <c r="D1312" t="s">
        <v>2213</v>
      </c>
      <c r="F1312" t="s">
        <v>327</v>
      </c>
      <c r="G1312" t="s">
        <v>328</v>
      </c>
      <c r="H1312" s="75" t="str">
        <f>IFERROR(VLOOKUP(Table2[[#This Row],[Ticket]],Okey!A:B,2,0),"")</f>
        <v>ok</v>
      </c>
      <c r="I1312" t="s">
        <v>19</v>
      </c>
      <c r="J1312" t="str">
        <f>VLOOKUP(Table2[[#This Row],[Author]],People!A:B,2,0)</f>
        <v>EL</v>
      </c>
      <c r="M1312" t="s">
        <v>2202</v>
      </c>
    </row>
    <row r="1313" spans="1:13" x14ac:dyDescent="0.25">
      <c r="A1313" s="75">
        <f t="shared" si="20"/>
        <v>1312</v>
      </c>
      <c r="B1313" t="s">
        <v>13</v>
      </c>
      <c r="C1313" t="s">
        <v>2200</v>
      </c>
      <c r="D1313" t="s">
        <v>2214</v>
      </c>
      <c r="F1313" t="s">
        <v>327</v>
      </c>
      <c r="G1313" t="s">
        <v>328</v>
      </c>
      <c r="H1313" s="75" t="str">
        <f>IFERROR(VLOOKUP(Table2[[#This Row],[Ticket]],Okey!A:B,2,0),"")</f>
        <v>ok</v>
      </c>
      <c r="I1313" t="s">
        <v>19</v>
      </c>
      <c r="J1313" t="str">
        <f>VLOOKUP(Table2[[#This Row],[Author]],People!A:B,2,0)</f>
        <v>EL</v>
      </c>
      <c r="M1313" t="s">
        <v>2202</v>
      </c>
    </row>
    <row r="1314" spans="1:13" x14ac:dyDescent="0.25">
      <c r="A1314" s="75">
        <f t="shared" si="20"/>
        <v>1313</v>
      </c>
      <c r="B1314" t="s">
        <v>13</v>
      </c>
      <c r="C1314" t="s">
        <v>2200</v>
      </c>
      <c r="D1314" t="s">
        <v>2215</v>
      </c>
      <c r="E1314" t="s">
        <v>2216</v>
      </c>
      <c r="F1314" t="s">
        <v>2037</v>
      </c>
      <c r="G1314" t="s">
        <v>18</v>
      </c>
      <c r="H1314" s="75" t="str">
        <f>IFERROR(VLOOKUP(Table2[[#This Row],[Ticket]],Okey!A:B,2,0),"")</f>
        <v>ok</v>
      </c>
      <c r="I1314" t="s">
        <v>19</v>
      </c>
      <c r="J1314" t="str">
        <f>VLOOKUP(Table2[[#This Row],[Author]],People!A:B,2,0)</f>
        <v>EL</v>
      </c>
      <c r="M1314" t="s">
        <v>2202</v>
      </c>
    </row>
    <row r="1315" spans="1:13" x14ac:dyDescent="0.25">
      <c r="A1315" s="75">
        <f t="shared" si="20"/>
        <v>1314</v>
      </c>
      <c r="B1315" t="s">
        <v>13</v>
      </c>
      <c r="C1315" t="s">
        <v>2200</v>
      </c>
      <c r="D1315" t="s">
        <v>2217</v>
      </c>
      <c r="E1315" t="s">
        <v>2218</v>
      </c>
      <c r="F1315" t="s">
        <v>1942</v>
      </c>
      <c r="G1315" t="s">
        <v>18</v>
      </c>
      <c r="H1315" s="75" t="str">
        <f>IFERROR(VLOOKUP(Table2[[#This Row],[Ticket]],Okey!A:B,2,0),"")</f>
        <v>ok</v>
      </c>
      <c r="I1315" t="s">
        <v>19</v>
      </c>
      <c r="J1315" t="str">
        <f>VLOOKUP(Table2[[#This Row],[Author]],People!A:B,2,0)</f>
        <v>EL</v>
      </c>
      <c r="M1315" t="s">
        <v>2202</v>
      </c>
    </row>
    <row r="1316" spans="1:13" x14ac:dyDescent="0.25">
      <c r="A1316" s="75">
        <f t="shared" si="20"/>
        <v>1315</v>
      </c>
      <c r="B1316" t="s">
        <v>13</v>
      </c>
      <c r="C1316" t="s">
        <v>2200</v>
      </c>
      <c r="D1316" t="s">
        <v>2219</v>
      </c>
      <c r="E1316" t="s">
        <v>2220</v>
      </c>
      <c r="F1316" t="s">
        <v>1942</v>
      </c>
      <c r="G1316" t="s">
        <v>18</v>
      </c>
      <c r="H1316" s="75" t="str">
        <f>IFERROR(VLOOKUP(Table2[[#This Row],[Ticket]],Okey!A:B,2,0),"")</f>
        <v>ok</v>
      </c>
      <c r="I1316" t="s">
        <v>19</v>
      </c>
      <c r="J1316" t="str">
        <f>VLOOKUP(Table2[[#This Row],[Author]],People!A:B,2,0)</f>
        <v>EL</v>
      </c>
      <c r="M1316" t="s">
        <v>2202</v>
      </c>
    </row>
    <row r="1317" spans="1:13" x14ac:dyDescent="0.25">
      <c r="A1317" s="75">
        <f t="shared" si="20"/>
        <v>1316</v>
      </c>
      <c r="B1317" t="s">
        <v>13</v>
      </c>
      <c r="C1317" t="s">
        <v>2200</v>
      </c>
      <c r="D1317" t="s">
        <v>2221</v>
      </c>
      <c r="E1317" t="s">
        <v>2222</v>
      </c>
      <c r="F1317" t="s">
        <v>1942</v>
      </c>
      <c r="G1317" t="s">
        <v>18</v>
      </c>
      <c r="H1317" s="75" t="str">
        <f>IFERROR(VLOOKUP(Table2[[#This Row],[Ticket]],Okey!A:B,2,0),"")</f>
        <v>ok</v>
      </c>
      <c r="I1317" t="s">
        <v>19</v>
      </c>
      <c r="J1317" t="str">
        <f>VLOOKUP(Table2[[#This Row],[Author]],People!A:B,2,0)</f>
        <v>EL</v>
      </c>
      <c r="M1317" t="s">
        <v>2202</v>
      </c>
    </row>
    <row r="1318" spans="1:13" x14ac:dyDescent="0.25">
      <c r="A1318" s="75">
        <f t="shared" si="20"/>
        <v>1317</v>
      </c>
      <c r="B1318" t="s">
        <v>13</v>
      </c>
      <c r="C1318" t="s">
        <v>2200</v>
      </c>
      <c r="D1318" t="s">
        <v>2223</v>
      </c>
      <c r="E1318" t="s">
        <v>2224</v>
      </c>
      <c r="F1318" t="s">
        <v>1942</v>
      </c>
      <c r="G1318" t="s">
        <v>18</v>
      </c>
      <c r="H1318" s="75" t="str">
        <f>IFERROR(VLOOKUP(Table2[[#This Row],[Ticket]],Okey!A:B,2,0),"")</f>
        <v>ok</v>
      </c>
      <c r="I1318" t="s">
        <v>19</v>
      </c>
      <c r="J1318" t="str">
        <f>VLOOKUP(Table2[[#This Row],[Author]],People!A:B,2,0)</f>
        <v>EL</v>
      </c>
      <c r="M1318" t="s">
        <v>2202</v>
      </c>
    </row>
    <row r="1319" spans="1:13" x14ac:dyDescent="0.25">
      <c r="A1319" s="75">
        <f t="shared" si="20"/>
        <v>1318</v>
      </c>
      <c r="B1319" t="s">
        <v>13</v>
      </c>
      <c r="C1319" t="s">
        <v>2200</v>
      </c>
      <c r="D1319" t="s">
        <v>2225</v>
      </c>
      <c r="E1319" t="s">
        <v>2218</v>
      </c>
      <c r="F1319" t="s">
        <v>1950</v>
      </c>
      <c r="G1319" t="s">
        <v>18</v>
      </c>
      <c r="H1319" s="75" t="str">
        <f>IFERROR(VLOOKUP(Table2[[#This Row],[Ticket]],Okey!A:B,2,0),"")</f>
        <v>ok</v>
      </c>
      <c r="I1319" t="s">
        <v>19</v>
      </c>
      <c r="J1319" t="str">
        <f>VLOOKUP(Table2[[#This Row],[Author]],People!A:B,2,0)</f>
        <v>EL</v>
      </c>
      <c r="M1319" t="s">
        <v>2202</v>
      </c>
    </row>
    <row r="1320" spans="1:13" x14ac:dyDescent="0.25">
      <c r="A1320" s="75">
        <f t="shared" si="20"/>
        <v>1319</v>
      </c>
      <c r="B1320" t="s">
        <v>13</v>
      </c>
      <c r="C1320" t="s">
        <v>2200</v>
      </c>
      <c r="D1320" t="s">
        <v>2226</v>
      </c>
      <c r="E1320" t="s">
        <v>2220</v>
      </c>
      <c r="F1320" t="s">
        <v>1950</v>
      </c>
      <c r="G1320" t="s">
        <v>18</v>
      </c>
      <c r="H1320" s="75" t="str">
        <f>IFERROR(VLOOKUP(Table2[[#This Row],[Ticket]],Okey!A:B,2,0),"")</f>
        <v>ok</v>
      </c>
      <c r="I1320" t="s">
        <v>19</v>
      </c>
      <c r="J1320" t="str">
        <f>VLOOKUP(Table2[[#This Row],[Author]],People!A:B,2,0)</f>
        <v>EL</v>
      </c>
      <c r="M1320" t="s">
        <v>2202</v>
      </c>
    </row>
    <row r="1321" spans="1:13" x14ac:dyDescent="0.25">
      <c r="A1321" s="75">
        <f t="shared" si="20"/>
        <v>1320</v>
      </c>
      <c r="B1321" t="s">
        <v>13</v>
      </c>
      <c r="C1321" t="s">
        <v>2200</v>
      </c>
      <c r="D1321" t="s">
        <v>2227</v>
      </c>
      <c r="E1321" t="s">
        <v>2222</v>
      </c>
      <c r="F1321" t="s">
        <v>1950</v>
      </c>
      <c r="G1321" t="s">
        <v>18</v>
      </c>
      <c r="H1321" s="75" t="str">
        <f>IFERROR(VLOOKUP(Table2[[#This Row],[Ticket]],Okey!A:B,2,0),"")</f>
        <v>ok</v>
      </c>
      <c r="I1321" t="s">
        <v>19</v>
      </c>
      <c r="J1321" t="str">
        <f>VLOOKUP(Table2[[#This Row],[Author]],People!A:B,2,0)</f>
        <v>EL</v>
      </c>
      <c r="M1321" t="s">
        <v>2202</v>
      </c>
    </row>
    <row r="1322" spans="1:13" x14ac:dyDescent="0.25">
      <c r="A1322" s="75">
        <f t="shared" si="20"/>
        <v>1321</v>
      </c>
      <c r="B1322" t="s">
        <v>13</v>
      </c>
      <c r="C1322" t="s">
        <v>2200</v>
      </c>
      <c r="D1322" t="s">
        <v>2228</v>
      </c>
      <c r="E1322" t="s">
        <v>2224</v>
      </c>
      <c r="F1322" t="s">
        <v>1950</v>
      </c>
      <c r="G1322" t="s">
        <v>18</v>
      </c>
      <c r="H1322" s="75" t="str">
        <f>IFERROR(VLOOKUP(Table2[[#This Row],[Ticket]],Okey!A:B,2,0),"")</f>
        <v>ok</v>
      </c>
      <c r="I1322" t="s">
        <v>19</v>
      </c>
      <c r="J1322" t="str">
        <f>VLOOKUP(Table2[[#This Row],[Author]],People!A:B,2,0)</f>
        <v>EL</v>
      </c>
      <c r="M1322" t="s">
        <v>2202</v>
      </c>
    </row>
    <row r="1323" spans="1:13" x14ac:dyDescent="0.25">
      <c r="A1323" s="75">
        <f t="shared" si="20"/>
        <v>1322</v>
      </c>
      <c r="B1323" t="s">
        <v>13</v>
      </c>
      <c r="C1323" t="s">
        <v>2200</v>
      </c>
      <c r="D1323" t="s">
        <v>2229</v>
      </c>
      <c r="E1323" t="s">
        <v>2218</v>
      </c>
      <c r="F1323" t="s">
        <v>2230</v>
      </c>
      <c r="G1323" t="s">
        <v>18</v>
      </c>
      <c r="H1323" s="75" t="str">
        <f>IFERROR(VLOOKUP(Table2[[#This Row],[Ticket]],Okey!A:B,2,0),"")</f>
        <v>ok</v>
      </c>
      <c r="I1323" t="s">
        <v>19</v>
      </c>
      <c r="J1323" t="str">
        <f>VLOOKUP(Table2[[#This Row],[Author]],People!A:B,2,0)</f>
        <v>EL</v>
      </c>
      <c r="M1323" t="s">
        <v>2202</v>
      </c>
    </row>
    <row r="1324" spans="1:13" x14ac:dyDescent="0.25">
      <c r="A1324" s="75">
        <f t="shared" si="20"/>
        <v>1323</v>
      </c>
      <c r="B1324" t="s">
        <v>13</v>
      </c>
      <c r="C1324" t="s">
        <v>2200</v>
      </c>
      <c r="D1324" t="s">
        <v>2231</v>
      </c>
      <c r="E1324" t="s">
        <v>2220</v>
      </c>
      <c r="F1324" t="s">
        <v>2230</v>
      </c>
      <c r="G1324" t="s">
        <v>18</v>
      </c>
      <c r="H1324" s="75" t="str">
        <f>IFERROR(VLOOKUP(Table2[[#This Row],[Ticket]],Okey!A:B,2,0),"")</f>
        <v>ok</v>
      </c>
      <c r="I1324" t="s">
        <v>19</v>
      </c>
      <c r="J1324" t="str">
        <f>VLOOKUP(Table2[[#This Row],[Author]],People!A:B,2,0)</f>
        <v>EL</v>
      </c>
      <c r="M1324" t="s">
        <v>2202</v>
      </c>
    </row>
    <row r="1325" spans="1:13" x14ac:dyDescent="0.25">
      <c r="A1325" s="75">
        <f t="shared" si="20"/>
        <v>1324</v>
      </c>
      <c r="B1325" t="s">
        <v>13</v>
      </c>
      <c r="C1325" t="s">
        <v>2200</v>
      </c>
      <c r="D1325" t="s">
        <v>2232</v>
      </c>
      <c r="E1325" t="s">
        <v>2222</v>
      </c>
      <c r="F1325" t="s">
        <v>2230</v>
      </c>
      <c r="G1325" t="s">
        <v>18</v>
      </c>
      <c r="H1325" s="75" t="str">
        <f>IFERROR(VLOOKUP(Table2[[#This Row],[Ticket]],Okey!A:B,2,0),"")</f>
        <v>ok</v>
      </c>
      <c r="I1325" t="s">
        <v>19</v>
      </c>
      <c r="J1325" t="str">
        <f>VLOOKUP(Table2[[#This Row],[Author]],People!A:B,2,0)</f>
        <v>EL</v>
      </c>
      <c r="M1325" t="s">
        <v>2202</v>
      </c>
    </row>
    <row r="1326" spans="1:13" x14ac:dyDescent="0.25">
      <c r="A1326" s="75">
        <f t="shared" si="20"/>
        <v>1325</v>
      </c>
      <c r="B1326" t="s">
        <v>13</v>
      </c>
      <c r="C1326" t="s">
        <v>2200</v>
      </c>
      <c r="D1326" t="s">
        <v>2233</v>
      </c>
      <c r="E1326" t="s">
        <v>2224</v>
      </c>
      <c r="F1326" t="s">
        <v>2230</v>
      </c>
      <c r="G1326" t="s">
        <v>18</v>
      </c>
      <c r="H1326" s="75" t="str">
        <f>IFERROR(VLOOKUP(Table2[[#This Row],[Ticket]],Okey!A:B,2,0),"")</f>
        <v>ok</v>
      </c>
      <c r="I1326" t="s">
        <v>19</v>
      </c>
      <c r="J1326" t="str">
        <f>VLOOKUP(Table2[[#This Row],[Author]],People!A:B,2,0)</f>
        <v>EL</v>
      </c>
      <c r="M1326" t="s">
        <v>2202</v>
      </c>
    </row>
    <row r="1327" spans="1:13" x14ac:dyDescent="0.25">
      <c r="A1327" s="75">
        <f t="shared" si="20"/>
        <v>1326</v>
      </c>
      <c r="B1327" t="s">
        <v>13</v>
      </c>
      <c r="C1327" t="s">
        <v>2200</v>
      </c>
      <c r="D1327" t="s">
        <v>2234</v>
      </c>
      <c r="E1327" t="s">
        <v>2235</v>
      </c>
      <c r="F1327" t="s">
        <v>2236</v>
      </c>
      <c r="G1327" t="s">
        <v>18</v>
      </c>
      <c r="H1327" s="75" t="str">
        <f>IFERROR(VLOOKUP(Table2[[#This Row],[Ticket]],Okey!A:B,2,0),"")</f>
        <v>ok</v>
      </c>
      <c r="I1327" t="s">
        <v>19</v>
      </c>
      <c r="J1327" t="str">
        <f>VLOOKUP(Table2[[#This Row],[Author]],People!A:B,2,0)</f>
        <v>EL</v>
      </c>
      <c r="M1327" t="s">
        <v>2202</v>
      </c>
    </row>
    <row r="1328" spans="1:13" x14ac:dyDescent="0.25">
      <c r="A1328" s="75">
        <f t="shared" si="20"/>
        <v>1327</v>
      </c>
      <c r="B1328" t="s">
        <v>13</v>
      </c>
      <c r="C1328" t="s">
        <v>2200</v>
      </c>
      <c r="D1328" t="s">
        <v>2237</v>
      </c>
      <c r="E1328" t="s">
        <v>2238</v>
      </c>
      <c r="F1328" t="s">
        <v>2239</v>
      </c>
      <c r="G1328" t="s">
        <v>18</v>
      </c>
      <c r="H1328" s="75" t="str">
        <f>IFERROR(VLOOKUP(Table2[[#This Row],[Ticket]],Okey!A:B,2,0),"")</f>
        <v>ok</v>
      </c>
      <c r="I1328" t="s">
        <v>19</v>
      </c>
      <c r="J1328" t="str">
        <f>VLOOKUP(Table2[[#This Row],[Author]],People!A:B,2,0)</f>
        <v>EL</v>
      </c>
      <c r="M1328" t="s">
        <v>2202</v>
      </c>
    </row>
    <row r="1329" spans="1:13" x14ac:dyDescent="0.25">
      <c r="A1329" s="75">
        <f t="shared" si="20"/>
        <v>1328</v>
      </c>
      <c r="B1329" t="s">
        <v>13</v>
      </c>
      <c r="C1329" t="s">
        <v>2200</v>
      </c>
      <c r="D1329" t="s">
        <v>2240</v>
      </c>
      <c r="E1329" t="s">
        <v>2241</v>
      </c>
      <c r="F1329" t="s">
        <v>2242</v>
      </c>
      <c r="G1329" t="s">
        <v>18</v>
      </c>
      <c r="H1329" s="75" t="str">
        <f>IFERROR(VLOOKUP(Table2[[#This Row],[Ticket]],Okey!A:B,2,0),"")</f>
        <v>ok</v>
      </c>
      <c r="I1329" t="s">
        <v>19</v>
      </c>
      <c r="J1329" t="str">
        <f>VLOOKUP(Table2[[#This Row],[Author]],People!A:B,2,0)</f>
        <v>EL</v>
      </c>
      <c r="M1329" t="s">
        <v>2202</v>
      </c>
    </row>
    <row r="1330" spans="1:13" x14ac:dyDescent="0.25">
      <c r="A1330" s="75">
        <f t="shared" si="20"/>
        <v>1329</v>
      </c>
      <c r="B1330" t="s">
        <v>13</v>
      </c>
      <c r="C1330" t="s">
        <v>2200</v>
      </c>
      <c r="D1330" t="s">
        <v>2243</v>
      </c>
      <c r="E1330" t="s">
        <v>2244</v>
      </c>
      <c r="F1330" t="s">
        <v>2037</v>
      </c>
      <c r="G1330" t="s">
        <v>18</v>
      </c>
      <c r="H1330" s="75" t="str">
        <f>IFERROR(VLOOKUP(Table2[[#This Row],[Ticket]],Okey!A:B,2,0),"")</f>
        <v>ok</v>
      </c>
      <c r="I1330" t="s">
        <v>19</v>
      </c>
      <c r="J1330" t="str">
        <f>VLOOKUP(Table2[[#This Row],[Author]],People!A:B,2,0)</f>
        <v>EL</v>
      </c>
      <c r="M1330" t="s">
        <v>2202</v>
      </c>
    </row>
    <row r="1331" spans="1:13" x14ac:dyDescent="0.25">
      <c r="A1331" s="75">
        <f t="shared" si="20"/>
        <v>1330</v>
      </c>
      <c r="B1331" t="s">
        <v>13</v>
      </c>
      <c r="C1331" t="s">
        <v>2200</v>
      </c>
      <c r="D1331" t="s">
        <v>1826</v>
      </c>
      <c r="E1331" t="s">
        <v>2245</v>
      </c>
      <c r="G1331" t="s">
        <v>63</v>
      </c>
      <c r="H1331" s="75" t="str">
        <f>IFERROR(VLOOKUP(Table2[[#This Row],[Ticket]],Okey!A:B,2,0),"")</f>
        <v>ok</v>
      </c>
      <c r="I1331" t="s">
        <v>19</v>
      </c>
      <c r="J1331" t="str">
        <f>VLOOKUP(Table2[[#This Row],[Author]],People!A:B,2,0)</f>
        <v>EL</v>
      </c>
      <c r="M1331" t="s">
        <v>2202</v>
      </c>
    </row>
    <row r="1332" spans="1:13" x14ac:dyDescent="0.25">
      <c r="A1332" s="75">
        <f t="shared" si="20"/>
        <v>1331</v>
      </c>
      <c r="B1332" t="s">
        <v>13</v>
      </c>
      <c r="C1332" t="s">
        <v>2200</v>
      </c>
      <c r="D1332" t="s">
        <v>1824</v>
      </c>
      <c r="E1332" t="s">
        <v>2246</v>
      </c>
      <c r="G1332" t="s">
        <v>63</v>
      </c>
      <c r="H1332" s="75" t="str">
        <f>IFERROR(VLOOKUP(Table2[[#This Row],[Ticket]],Okey!A:B,2,0),"")</f>
        <v>ok</v>
      </c>
      <c r="I1332" t="s">
        <v>19</v>
      </c>
      <c r="J1332" t="str">
        <f>VLOOKUP(Table2[[#This Row],[Author]],People!A:B,2,0)</f>
        <v>EL</v>
      </c>
      <c r="M1332" t="s">
        <v>2202</v>
      </c>
    </row>
    <row r="1333" spans="1:13" x14ac:dyDescent="0.25">
      <c r="A1333" s="75">
        <f t="shared" si="20"/>
        <v>1332</v>
      </c>
      <c r="B1333" t="s">
        <v>13</v>
      </c>
      <c r="C1333" t="s">
        <v>2200</v>
      </c>
      <c r="D1333" t="s">
        <v>1828</v>
      </c>
      <c r="E1333" t="s">
        <v>2247</v>
      </c>
      <c r="G1333" t="s">
        <v>63</v>
      </c>
      <c r="H1333" s="75" t="str">
        <f>IFERROR(VLOOKUP(Table2[[#This Row],[Ticket]],Okey!A:B,2,0),"")</f>
        <v>ok</v>
      </c>
      <c r="I1333" t="s">
        <v>19</v>
      </c>
      <c r="J1333" t="str">
        <f>VLOOKUP(Table2[[#This Row],[Author]],People!A:B,2,0)</f>
        <v>EL</v>
      </c>
      <c r="M1333" t="s">
        <v>2202</v>
      </c>
    </row>
    <row r="1334" spans="1:13" x14ac:dyDescent="0.25">
      <c r="A1334" s="75">
        <f t="shared" si="20"/>
        <v>1333</v>
      </c>
      <c r="B1334" t="s">
        <v>13</v>
      </c>
      <c r="C1334" t="s">
        <v>2200</v>
      </c>
      <c r="D1334" t="s">
        <v>1836</v>
      </c>
      <c r="E1334" t="s">
        <v>2248</v>
      </c>
      <c r="G1334" t="s">
        <v>63</v>
      </c>
      <c r="H1334" s="75" t="str">
        <f>IFERROR(VLOOKUP(Table2[[#This Row],[Ticket]],Okey!A:B,2,0),"")</f>
        <v>ok</v>
      </c>
      <c r="I1334" t="s">
        <v>19</v>
      </c>
      <c r="J1334" t="str">
        <f>VLOOKUP(Table2[[#This Row],[Author]],People!A:B,2,0)</f>
        <v>EL</v>
      </c>
      <c r="M1334" t="s">
        <v>2202</v>
      </c>
    </row>
    <row r="1335" spans="1:13" x14ac:dyDescent="0.25">
      <c r="A1335" s="75">
        <f t="shared" si="20"/>
        <v>1334</v>
      </c>
      <c r="B1335" t="s">
        <v>13</v>
      </c>
      <c r="C1335" t="s">
        <v>2200</v>
      </c>
      <c r="D1335" t="s">
        <v>1830</v>
      </c>
      <c r="E1335" t="s">
        <v>2249</v>
      </c>
      <c r="G1335" t="s">
        <v>63</v>
      </c>
      <c r="H1335" s="75" t="str">
        <f>IFERROR(VLOOKUP(Table2[[#This Row],[Ticket]],Okey!A:B,2,0),"")</f>
        <v>ok</v>
      </c>
      <c r="I1335" t="s">
        <v>19</v>
      </c>
      <c r="J1335" t="str">
        <f>VLOOKUP(Table2[[#This Row],[Author]],People!A:B,2,0)</f>
        <v>EL</v>
      </c>
      <c r="M1335" t="s">
        <v>2202</v>
      </c>
    </row>
    <row r="1336" spans="1:13" x14ac:dyDescent="0.25">
      <c r="A1336" s="75">
        <f t="shared" si="20"/>
        <v>1335</v>
      </c>
      <c r="B1336" t="s">
        <v>13</v>
      </c>
      <c r="C1336" t="s">
        <v>2200</v>
      </c>
      <c r="D1336" t="s">
        <v>1832</v>
      </c>
      <c r="E1336" t="s">
        <v>2250</v>
      </c>
      <c r="G1336" t="s">
        <v>63</v>
      </c>
      <c r="H1336" s="75" t="str">
        <f>IFERROR(VLOOKUP(Table2[[#This Row],[Ticket]],Okey!A:B,2,0),"")</f>
        <v>ok</v>
      </c>
      <c r="I1336" t="s">
        <v>19</v>
      </c>
      <c r="J1336" t="str">
        <f>VLOOKUP(Table2[[#This Row],[Author]],People!A:B,2,0)</f>
        <v>EL</v>
      </c>
      <c r="M1336" t="s">
        <v>2202</v>
      </c>
    </row>
    <row r="1337" spans="1:13" x14ac:dyDescent="0.25">
      <c r="A1337" s="75">
        <f t="shared" si="20"/>
        <v>1336</v>
      </c>
      <c r="B1337" t="s">
        <v>13</v>
      </c>
      <c r="C1337" t="s">
        <v>2200</v>
      </c>
      <c r="D1337" t="s">
        <v>1834</v>
      </c>
      <c r="E1337" t="s">
        <v>2251</v>
      </c>
      <c r="G1337" t="s">
        <v>63</v>
      </c>
      <c r="H1337" s="75" t="str">
        <f>IFERROR(VLOOKUP(Table2[[#This Row],[Ticket]],Okey!A:B,2,0),"")</f>
        <v>ok</v>
      </c>
      <c r="I1337" t="s">
        <v>19</v>
      </c>
      <c r="J1337" t="str">
        <f>VLOOKUP(Table2[[#This Row],[Author]],People!A:B,2,0)</f>
        <v>EL</v>
      </c>
      <c r="M1337" t="s">
        <v>2202</v>
      </c>
    </row>
    <row r="1338" spans="1:13" x14ac:dyDescent="0.25">
      <c r="A1338" s="75">
        <f t="shared" si="20"/>
        <v>1337</v>
      </c>
      <c r="B1338" t="s">
        <v>13</v>
      </c>
      <c r="C1338" t="s">
        <v>2200</v>
      </c>
      <c r="D1338" t="s">
        <v>1844</v>
      </c>
      <c r="E1338" t="s">
        <v>2252</v>
      </c>
      <c r="G1338" t="s">
        <v>63</v>
      </c>
      <c r="H1338" s="75" t="str">
        <f>IFERROR(VLOOKUP(Table2[[#This Row],[Ticket]],Okey!A:B,2,0),"")</f>
        <v>ok</v>
      </c>
      <c r="I1338" t="s">
        <v>19</v>
      </c>
      <c r="J1338" t="str">
        <f>VLOOKUP(Table2[[#This Row],[Author]],People!A:B,2,0)</f>
        <v>EL</v>
      </c>
      <c r="M1338" t="s">
        <v>2202</v>
      </c>
    </row>
    <row r="1339" spans="1:13" x14ac:dyDescent="0.25">
      <c r="A1339" s="75">
        <f t="shared" si="20"/>
        <v>1338</v>
      </c>
      <c r="B1339" t="s">
        <v>13</v>
      </c>
      <c r="C1339" t="s">
        <v>2200</v>
      </c>
      <c r="D1339" t="s">
        <v>1846</v>
      </c>
      <c r="E1339" t="s">
        <v>2253</v>
      </c>
      <c r="G1339" t="s">
        <v>63</v>
      </c>
      <c r="H1339" s="75" t="str">
        <f>IFERROR(VLOOKUP(Table2[[#This Row],[Ticket]],Okey!A:B,2,0),"")</f>
        <v>ok</v>
      </c>
      <c r="I1339" t="s">
        <v>19</v>
      </c>
      <c r="J1339" t="str">
        <f>VLOOKUP(Table2[[#This Row],[Author]],People!A:B,2,0)</f>
        <v>EL</v>
      </c>
      <c r="M1339" t="s">
        <v>2202</v>
      </c>
    </row>
    <row r="1340" spans="1:13" x14ac:dyDescent="0.25">
      <c r="A1340" s="75">
        <f t="shared" si="20"/>
        <v>1339</v>
      </c>
      <c r="B1340" t="s">
        <v>13</v>
      </c>
      <c r="C1340" t="s">
        <v>2200</v>
      </c>
      <c r="D1340" t="s">
        <v>1842</v>
      </c>
      <c r="E1340" t="s">
        <v>2254</v>
      </c>
      <c r="G1340" t="s">
        <v>63</v>
      </c>
      <c r="H1340" s="75" t="str">
        <f>IFERROR(VLOOKUP(Table2[[#This Row],[Ticket]],Okey!A:B,2,0),"")</f>
        <v>ok</v>
      </c>
      <c r="I1340" t="s">
        <v>19</v>
      </c>
      <c r="J1340" t="str">
        <f>VLOOKUP(Table2[[#This Row],[Author]],People!A:B,2,0)</f>
        <v>EL</v>
      </c>
      <c r="M1340" t="s">
        <v>2202</v>
      </c>
    </row>
    <row r="1341" spans="1:13" x14ac:dyDescent="0.25">
      <c r="A1341" s="75">
        <f t="shared" si="20"/>
        <v>1340</v>
      </c>
      <c r="B1341" t="s">
        <v>13</v>
      </c>
      <c r="C1341" t="s">
        <v>2200</v>
      </c>
      <c r="D1341" t="s">
        <v>1840</v>
      </c>
      <c r="E1341" t="s">
        <v>2255</v>
      </c>
      <c r="G1341" t="s">
        <v>63</v>
      </c>
      <c r="H1341" s="75" t="str">
        <f>IFERROR(VLOOKUP(Table2[[#This Row],[Ticket]],Okey!A:B,2,0),"")</f>
        <v>ok</v>
      </c>
      <c r="I1341" t="s">
        <v>19</v>
      </c>
      <c r="J1341" t="str">
        <f>VLOOKUP(Table2[[#This Row],[Author]],People!A:B,2,0)</f>
        <v>EL</v>
      </c>
      <c r="M1341" t="s">
        <v>2202</v>
      </c>
    </row>
    <row r="1342" spans="1:13" x14ac:dyDescent="0.25">
      <c r="A1342" s="75">
        <f t="shared" si="20"/>
        <v>1341</v>
      </c>
      <c r="B1342" t="s">
        <v>13</v>
      </c>
      <c r="C1342" t="s">
        <v>2200</v>
      </c>
      <c r="D1342" t="s">
        <v>1838</v>
      </c>
      <c r="E1342" t="s">
        <v>2256</v>
      </c>
      <c r="G1342" t="s">
        <v>63</v>
      </c>
      <c r="H1342" s="75" t="str">
        <f>IFERROR(VLOOKUP(Table2[[#This Row],[Ticket]],Okey!A:B,2,0),"")</f>
        <v>ok</v>
      </c>
      <c r="I1342" t="s">
        <v>19</v>
      </c>
      <c r="J1342" t="str">
        <f>VLOOKUP(Table2[[#This Row],[Author]],People!A:B,2,0)</f>
        <v>EL</v>
      </c>
      <c r="M1342" t="s">
        <v>2202</v>
      </c>
    </row>
    <row r="1343" spans="1:13" x14ac:dyDescent="0.25">
      <c r="A1343" s="75">
        <f t="shared" si="20"/>
        <v>1342</v>
      </c>
      <c r="B1343" t="s">
        <v>13</v>
      </c>
      <c r="C1343" t="s">
        <v>2200</v>
      </c>
      <c r="D1343" t="s">
        <v>1866</v>
      </c>
      <c r="E1343" t="s">
        <v>2257</v>
      </c>
      <c r="G1343" t="s">
        <v>63</v>
      </c>
      <c r="H1343" s="75" t="str">
        <f>IFERROR(VLOOKUP(Table2[[#This Row],[Ticket]],Okey!A:B,2,0),"")</f>
        <v>ok</v>
      </c>
      <c r="I1343" t="s">
        <v>19</v>
      </c>
      <c r="J1343" t="str">
        <f>VLOOKUP(Table2[[#This Row],[Author]],People!A:B,2,0)</f>
        <v>EL</v>
      </c>
      <c r="M1343" t="s">
        <v>2202</v>
      </c>
    </row>
    <row r="1344" spans="1:13" x14ac:dyDescent="0.25">
      <c r="A1344" s="75">
        <f t="shared" si="20"/>
        <v>1343</v>
      </c>
      <c r="B1344" t="s">
        <v>13</v>
      </c>
      <c r="C1344" t="s">
        <v>2200</v>
      </c>
      <c r="D1344" t="s">
        <v>1924</v>
      </c>
      <c r="E1344" t="s">
        <v>2258</v>
      </c>
      <c r="G1344" t="s">
        <v>63</v>
      </c>
      <c r="H1344" s="75" t="str">
        <f>IFERROR(VLOOKUP(Table2[[#This Row],[Ticket]],Okey!A:B,2,0),"")</f>
        <v>ok</v>
      </c>
      <c r="I1344" t="s">
        <v>19</v>
      </c>
      <c r="J1344" t="str">
        <f>VLOOKUP(Table2[[#This Row],[Author]],People!A:B,2,0)</f>
        <v>EL</v>
      </c>
      <c r="M1344" t="s">
        <v>2202</v>
      </c>
    </row>
    <row r="1345" spans="1:13" x14ac:dyDescent="0.25">
      <c r="A1345" s="75">
        <f t="shared" si="20"/>
        <v>1344</v>
      </c>
      <c r="B1345" t="s">
        <v>13</v>
      </c>
      <c r="C1345" t="s">
        <v>2200</v>
      </c>
      <c r="D1345" t="s">
        <v>1926</v>
      </c>
      <c r="E1345" t="s">
        <v>2259</v>
      </c>
      <c r="G1345" t="s">
        <v>63</v>
      </c>
      <c r="H1345" s="75" t="str">
        <f>IFERROR(VLOOKUP(Table2[[#This Row],[Ticket]],Okey!A:B,2,0),"")</f>
        <v>ok</v>
      </c>
      <c r="I1345" t="s">
        <v>19</v>
      </c>
      <c r="J1345" t="str">
        <f>VLOOKUP(Table2[[#This Row],[Author]],People!A:B,2,0)</f>
        <v>EL</v>
      </c>
      <c r="M1345" t="s">
        <v>2202</v>
      </c>
    </row>
    <row r="1346" spans="1:13" x14ac:dyDescent="0.25">
      <c r="A1346" s="75">
        <f t="shared" si="20"/>
        <v>1345</v>
      </c>
      <c r="B1346" t="s">
        <v>13</v>
      </c>
      <c r="C1346" t="s">
        <v>2200</v>
      </c>
      <c r="D1346" t="s">
        <v>2033</v>
      </c>
      <c r="E1346" t="s">
        <v>2260</v>
      </c>
      <c r="G1346" t="s">
        <v>63</v>
      </c>
      <c r="H1346" s="75" t="str">
        <f>IFERROR(VLOOKUP(Table2[[#This Row],[Ticket]],Okey!A:B,2,0),"")</f>
        <v>ok</v>
      </c>
      <c r="I1346" t="s">
        <v>19</v>
      </c>
      <c r="J1346" t="str">
        <f>VLOOKUP(Table2[[#This Row],[Author]],People!A:B,2,0)</f>
        <v>EL</v>
      </c>
      <c r="M1346" t="s">
        <v>2202</v>
      </c>
    </row>
    <row r="1347" spans="1:13" x14ac:dyDescent="0.25">
      <c r="A1347" s="75">
        <f t="shared" si="20"/>
        <v>1346</v>
      </c>
      <c r="B1347" t="s">
        <v>13</v>
      </c>
      <c r="C1347" t="s">
        <v>2200</v>
      </c>
      <c r="D1347" t="s">
        <v>1898</v>
      </c>
      <c r="E1347" t="s">
        <v>2261</v>
      </c>
      <c r="G1347" t="s">
        <v>63</v>
      </c>
      <c r="H1347" s="75" t="str">
        <f>IFERROR(VLOOKUP(Table2[[#This Row],[Ticket]],Okey!A:B,2,0),"")</f>
        <v>ok</v>
      </c>
      <c r="I1347" t="s">
        <v>19</v>
      </c>
      <c r="J1347" t="str">
        <f>VLOOKUP(Table2[[#This Row],[Author]],People!A:B,2,0)</f>
        <v>EL</v>
      </c>
      <c r="M1347" t="s">
        <v>2202</v>
      </c>
    </row>
    <row r="1348" spans="1:13" x14ac:dyDescent="0.25">
      <c r="A1348" s="75">
        <f t="shared" si="20"/>
        <v>1347</v>
      </c>
      <c r="B1348" t="s">
        <v>13</v>
      </c>
      <c r="C1348" t="s">
        <v>2200</v>
      </c>
      <c r="D1348" t="s">
        <v>1934</v>
      </c>
      <c r="E1348" t="s">
        <v>2262</v>
      </c>
      <c r="G1348" t="s">
        <v>63</v>
      </c>
      <c r="H1348" s="75" t="str">
        <f>IFERROR(VLOOKUP(Table2[[#This Row],[Ticket]],Okey!A:B,2,0),"")</f>
        <v>ok</v>
      </c>
      <c r="I1348" t="s">
        <v>19</v>
      </c>
      <c r="J1348" t="str">
        <f>VLOOKUP(Table2[[#This Row],[Author]],People!A:B,2,0)</f>
        <v>EL</v>
      </c>
      <c r="M1348" t="s">
        <v>2202</v>
      </c>
    </row>
    <row r="1349" spans="1:13" x14ac:dyDescent="0.25">
      <c r="A1349" s="75">
        <f t="shared" si="20"/>
        <v>1348</v>
      </c>
      <c r="B1349" t="s">
        <v>13</v>
      </c>
      <c r="C1349" t="s">
        <v>2200</v>
      </c>
      <c r="D1349" t="s">
        <v>1944</v>
      </c>
      <c r="E1349" t="s">
        <v>2263</v>
      </c>
      <c r="G1349" t="s">
        <v>63</v>
      </c>
      <c r="H1349" s="75" t="str">
        <f>IFERROR(VLOOKUP(Table2[[#This Row],[Ticket]],Okey!A:B,2,0),"")</f>
        <v>ok</v>
      </c>
      <c r="I1349" t="s">
        <v>19</v>
      </c>
      <c r="J1349" t="str">
        <f>VLOOKUP(Table2[[#This Row],[Author]],People!A:B,2,0)</f>
        <v>EL</v>
      </c>
      <c r="M1349" t="s">
        <v>2202</v>
      </c>
    </row>
    <row r="1350" spans="1:13" x14ac:dyDescent="0.25">
      <c r="A1350" s="75">
        <f t="shared" si="20"/>
        <v>1349</v>
      </c>
      <c r="B1350" t="s">
        <v>13</v>
      </c>
      <c r="C1350" t="s">
        <v>2200</v>
      </c>
      <c r="D1350" t="s">
        <v>1946</v>
      </c>
      <c r="E1350" t="s">
        <v>2264</v>
      </c>
      <c r="G1350" t="s">
        <v>63</v>
      </c>
      <c r="H1350" s="75" t="str">
        <f>IFERROR(VLOOKUP(Table2[[#This Row],[Ticket]],Okey!A:B,2,0),"")</f>
        <v>ok</v>
      </c>
      <c r="I1350" t="s">
        <v>19</v>
      </c>
      <c r="J1350" t="str">
        <f>VLOOKUP(Table2[[#This Row],[Author]],People!A:B,2,0)</f>
        <v>EL</v>
      </c>
      <c r="M1350" t="s">
        <v>2202</v>
      </c>
    </row>
    <row r="1351" spans="1:13" x14ac:dyDescent="0.25">
      <c r="A1351" s="75">
        <f t="shared" si="20"/>
        <v>1350</v>
      </c>
      <c r="B1351" t="s">
        <v>13</v>
      </c>
      <c r="C1351" t="s">
        <v>2200</v>
      </c>
      <c r="D1351" t="s">
        <v>1954</v>
      </c>
      <c r="E1351" t="s">
        <v>2265</v>
      </c>
      <c r="G1351" t="s">
        <v>63</v>
      </c>
      <c r="H1351" s="75" t="str">
        <f>IFERROR(VLOOKUP(Table2[[#This Row],[Ticket]],Okey!A:B,2,0),"")</f>
        <v>ok</v>
      </c>
      <c r="I1351" t="s">
        <v>19</v>
      </c>
      <c r="J1351" t="str">
        <f>VLOOKUP(Table2[[#This Row],[Author]],People!A:B,2,0)</f>
        <v>EL</v>
      </c>
      <c r="M1351" t="s">
        <v>2202</v>
      </c>
    </row>
    <row r="1352" spans="1:13" x14ac:dyDescent="0.25">
      <c r="A1352" s="75">
        <f t="shared" si="20"/>
        <v>1351</v>
      </c>
      <c r="B1352" t="s">
        <v>13</v>
      </c>
      <c r="C1352" t="s">
        <v>2200</v>
      </c>
      <c r="D1352" t="s">
        <v>2020</v>
      </c>
      <c r="E1352" t="s">
        <v>2266</v>
      </c>
      <c r="G1352" t="s">
        <v>63</v>
      </c>
      <c r="H1352" s="75" t="str">
        <f>IFERROR(VLOOKUP(Table2[[#This Row],[Ticket]],Okey!A:B,2,0),"")</f>
        <v>ok</v>
      </c>
      <c r="I1352" t="s">
        <v>19</v>
      </c>
      <c r="J1352" t="str">
        <f>VLOOKUP(Table2[[#This Row],[Author]],People!A:B,2,0)</f>
        <v>EL</v>
      </c>
      <c r="M1352" t="s">
        <v>2202</v>
      </c>
    </row>
    <row r="1353" spans="1:13" x14ac:dyDescent="0.25">
      <c r="A1353" s="75">
        <f t="shared" ref="A1353:A1416" si="21">1+A1352</f>
        <v>1352</v>
      </c>
      <c r="B1353" t="s">
        <v>13</v>
      </c>
      <c r="C1353" t="s">
        <v>2200</v>
      </c>
      <c r="D1353" t="s">
        <v>1749</v>
      </c>
      <c r="E1353" t="s">
        <v>2267</v>
      </c>
      <c r="G1353" t="s">
        <v>63</v>
      </c>
      <c r="H1353" s="75" t="str">
        <f>IFERROR(VLOOKUP(Table2[[#This Row],[Ticket]],Okey!A:B,2,0),"")</f>
        <v>ok</v>
      </c>
      <c r="I1353" t="s">
        <v>19</v>
      </c>
      <c r="J1353" t="str">
        <f>VLOOKUP(Table2[[#This Row],[Author]],People!A:B,2,0)</f>
        <v>EL</v>
      </c>
      <c r="M1353" t="s">
        <v>2202</v>
      </c>
    </row>
    <row r="1354" spans="1:13" x14ac:dyDescent="0.25">
      <c r="A1354" s="75">
        <f t="shared" si="21"/>
        <v>1353</v>
      </c>
      <c r="B1354" t="s">
        <v>13</v>
      </c>
      <c r="C1354" t="s">
        <v>2200</v>
      </c>
      <c r="D1354" t="s">
        <v>1753</v>
      </c>
      <c r="E1354" t="s">
        <v>2268</v>
      </c>
      <c r="G1354" t="s">
        <v>63</v>
      </c>
      <c r="H1354" s="75" t="str">
        <f>IFERROR(VLOOKUP(Table2[[#This Row],[Ticket]],Okey!A:B,2,0),"")</f>
        <v>ok</v>
      </c>
      <c r="I1354" t="s">
        <v>19</v>
      </c>
      <c r="J1354" t="str">
        <f>VLOOKUP(Table2[[#This Row],[Author]],People!A:B,2,0)</f>
        <v>EL</v>
      </c>
      <c r="M1354" t="s">
        <v>2202</v>
      </c>
    </row>
    <row r="1355" spans="1:13" x14ac:dyDescent="0.25">
      <c r="A1355" s="75">
        <f t="shared" si="21"/>
        <v>1354</v>
      </c>
      <c r="B1355" t="s">
        <v>13</v>
      </c>
      <c r="C1355" t="s">
        <v>2200</v>
      </c>
      <c r="D1355" t="s">
        <v>1755</v>
      </c>
      <c r="E1355" t="s">
        <v>2269</v>
      </c>
      <c r="G1355" t="s">
        <v>63</v>
      </c>
      <c r="H1355" s="75" t="str">
        <f>IFERROR(VLOOKUP(Table2[[#This Row],[Ticket]],Okey!A:B,2,0),"")</f>
        <v>ok</v>
      </c>
      <c r="I1355" t="s">
        <v>19</v>
      </c>
      <c r="J1355" t="str">
        <f>VLOOKUP(Table2[[#This Row],[Author]],People!A:B,2,0)</f>
        <v>EL</v>
      </c>
      <c r="M1355" t="s">
        <v>2202</v>
      </c>
    </row>
    <row r="1356" spans="1:13" x14ac:dyDescent="0.25">
      <c r="A1356" s="75">
        <f t="shared" si="21"/>
        <v>1355</v>
      </c>
      <c r="B1356" t="s">
        <v>13</v>
      </c>
      <c r="C1356" t="s">
        <v>2200</v>
      </c>
      <c r="D1356" t="s">
        <v>1757</v>
      </c>
      <c r="E1356" t="s">
        <v>2270</v>
      </c>
      <c r="G1356" t="s">
        <v>63</v>
      </c>
      <c r="H1356" s="75" t="str">
        <f>IFERROR(VLOOKUP(Table2[[#This Row],[Ticket]],Okey!A:B,2,0),"")</f>
        <v>ok</v>
      </c>
      <c r="I1356" t="s">
        <v>19</v>
      </c>
      <c r="J1356" t="str">
        <f>VLOOKUP(Table2[[#This Row],[Author]],People!A:B,2,0)</f>
        <v>EL</v>
      </c>
      <c r="M1356" t="s">
        <v>2202</v>
      </c>
    </row>
    <row r="1357" spans="1:13" x14ac:dyDescent="0.25">
      <c r="A1357" s="75">
        <f t="shared" si="21"/>
        <v>1356</v>
      </c>
      <c r="B1357" t="s">
        <v>13</v>
      </c>
      <c r="C1357" t="s">
        <v>2200</v>
      </c>
      <c r="D1357" t="s">
        <v>1759</v>
      </c>
      <c r="E1357" t="s">
        <v>2271</v>
      </c>
      <c r="G1357" t="s">
        <v>63</v>
      </c>
      <c r="H1357" s="75" t="str">
        <f>IFERROR(VLOOKUP(Table2[[#This Row],[Ticket]],Okey!A:B,2,0),"")</f>
        <v>ok</v>
      </c>
      <c r="I1357" t="s">
        <v>19</v>
      </c>
      <c r="J1357" t="str">
        <f>VLOOKUP(Table2[[#This Row],[Author]],People!A:B,2,0)</f>
        <v>EL</v>
      </c>
      <c r="M1357" t="s">
        <v>2202</v>
      </c>
    </row>
    <row r="1358" spans="1:13" x14ac:dyDescent="0.25">
      <c r="A1358" s="75">
        <f t="shared" si="21"/>
        <v>1357</v>
      </c>
      <c r="B1358" t="s">
        <v>13</v>
      </c>
      <c r="C1358" t="s">
        <v>2200</v>
      </c>
      <c r="D1358" t="s">
        <v>1761</v>
      </c>
      <c r="E1358" t="s">
        <v>2272</v>
      </c>
      <c r="G1358" t="s">
        <v>63</v>
      </c>
      <c r="H1358" s="75" t="str">
        <f>IFERROR(VLOOKUP(Table2[[#This Row],[Ticket]],Okey!A:B,2,0),"")</f>
        <v>ok</v>
      </c>
      <c r="I1358" t="s">
        <v>19</v>
      </c>
      <c r="J1358" t="str">
        <f>VLOOKUP(Table2[[#This Row],[Author]],People!A:B,2,0)</f>
        <v>EL</v>
      </c>
      <c r="M1358" t="s">
        <v>2202</v>
      </c>
    </row>
    <row r="1359" spans="1:13" x14ac:dyDescent="0.25">
      <c r="A1359" s="75">
        <f t="shared" si="21"/>
        <v>1358</v>
      </c>
      <c r="B1359" t="s">
        <v>13</v>
      </c>
      <c r="C1359" t="s">
        <v>2200</v>
      </c>
      <c r="D1359" t="s">
        <v>1763</v>
      </c>
      <c r="E1359" t="s">
        <v>2273</v>
      </c>
      <c r="G1359" t="s">
        <v>63</v>
      </c>
      <c r="H1359" s="75" t="str">
        <f>IFERROR(VLOOKUP(Table2[[#This Row],[Ticket]],Okey!A:B,2,0),"")</f>
        <v>ok</v>
      </c>
      <c r="I1359" t="s">
        <v>19</v>
      </c>
      <c r="J1359" t="str">
        <f>VLOOKUP(Table2[[#This Row],[Author]],People!A:B,2,0)</f>
        <v>EL</v>
      </c>
      <c r="M1359" t="s">
        <v>2202</v>
      </c>
    </row>
    <row r="1360" spans="1:13" x14ac:dyDescent="0.25">
      <c r="A1360" s="75">
        <f t="shared" si="21"/>
        <v>1359</v>
      </c>
      <c r="B1360" t="s">
        <v>13</v>
      </c>
      <c r="C1360" t="s">
        <v>2200</v>
      </c>
      <c r="D1360" t="s">
        <v>1765</v>
      </c>
      <c r="E1360" t="s">
        <v>2274</v>
      </c>
      <c r="G1360" t="s">
        <v>63</v>
      </c>
      <c r="H1360" s="75" t="str">
        <f>IFERROR(VLOOKUP(Table2[[#This Row],[Ticket]],Okey!A:B,2,0),"")</f>
        <v>ok</v>
      </c>
      <c r="I1360" t="s">
        <v>19</v>
      </c>
      <c r="J1360" t="str">
        <f>VLOOKUP(Table2[[#This Row],[Author]],People!A:B,2,0)</f>
        <v>EL</v>
      </c>
      <c r="M1360" t="s">
        <v>2202</v>
      </c>
    </row>
    <row r="1361" spans="1:13" x14ac:dyDescent="0.25">
      <c r="A1361" s="75">
        <f t="shared" si="21"/>
        <v>1360</v>
      </c>
      <c r="B1361" t="s">
        <v>13</v>
      </c>
      <c r="C1361" t="s">
        <v>2200</v>
      </c>
      <c r="D1361" t="s">
        <v>1767</v>
      </c>
      <c r="E1361" t="s">
        <v>2275</v>
      </c>
      <c r="G1361" t="s">
        <v>63</v>
      </c>
      <c r="H1361" s="75" t="str">
        <f>IFERROR(VLOOKUP(Table2[[#This Row],[Ticket]],Okey!A:B,2,0),"")</f>
        <v>ok</v>
      </c>
      <c r="I1361" t="s">
        <v>19</v>
      </c>
      <c r="J1361" t="str">
        <f>VLOOKUP(Table2[[#This Row],[Author]],People!A:B,2,0)</f>
        <v>EL</v>
      </c>
      <c r="M1361" t="s">
        <v>2202</v>
      </c>
    </row>
    <row r="1362" spans="1:13" x14ac:dyDescent="0.25">
      <c r="A1362" s="75">
        <f t="shared" si="21"/>
        <v>1361</v>
      </c>
      <c r="B1362" t="s">
        <v>13</v>
      </c>
      <c r="C1362" t="s">
        <v>2200</v>
      </c>
      <c r="D1362" t="s">
        <v>1769</v>
      </c>
      <c r="E1362" t="s">
        <v>2276</v>
      </c>
      <c r="G1362" t="s">
        <v>63</v>
      </c>
      <c r="H1362" s="75" t="str">
        <f>IFERROR(VLOOKUP(Table2[[#This Row],[Ticket]],Okey!A:B,2,0),"")</f>
        <v>ok</v>
      </c>
      <c r="I1362" t="s">
        <v>19</v>
      </c>
      <c r="J1362" t="str">
        <f>VLOOKUP(Table2[[#This Row],[Author]],People!A:B,2,0)</f>
        <v>EL</v>
      </c>
      <c r="M1362" t="s">
        <v>2202</v>
      </c>
    </row>
    <row r="1363" spans="1:13" x14ac:dyDescent="0.25">
      <c r="A1363" s="75">
        <f t="shared" si="21"/>
        <v>1362</v>
      </c>
      <c r="B1363" t="s">
        <v>13</v>
      </c>
      <c r="C1363" t="s">
        <v>2200</v>
      </c>
      <c r="D1363" t="s">
        <v>1771</v>
      </c>
      <c r="E1363" t="s">
        <v>2277</v>
      </c>
      <c r="G1363" t="s">
        <v>63</v>
      </c>
      <c r="H1363" s="75" t="str">
        <f>IFERROR(VLOOKUP(Table2[[#This Row],[Ticket]],Okey!A:B,2,0),"")</f>
        <v>ok</v>
      </c>
      <c r="I1363" t="s">
        <v>19</v>
      </c>
      <c r="J1363" t="str">
        <f>VLOOKUP(Table2[[#This Row],[Author]],People!A:B,2,0)</f>
        <v>EL</v>
      </c>
      <c r="M1363" t="s">
        <v>2202</v>
      </c>
    </row>
    <row r="1364" spans="1:13" x14ac:dyDescent="0.25">
      <c r="A1364" s="75">
        <f t="shared" si="21"/>
        <v>1363</v>
      </c>
      <c r="B1364" t="s">
        <v>13</v>
      </c>
      <c r="C1364" t="s">
        <v>2200</v>
      </c>
      <c r="D1364" t="s">
        <v>1773</v>
      </c>
      <c r="E1364" t="s">
        <v>2278</v>
      </c>
      <c r="G1364" t="s">
        <v>63</v>
      </c>
      <c r="H1364" s="75" t="str">
        <f>IFERROR(VLOOKUP(Table2[[#This Row],[Ticket]],Okey!A:B,2,0),"")</f>
        <v>ok</v>
      </c>
      <c r="I1364" t="s">
        <v>19</v>
      </c>
      <c r="J1364" t="str">
        <f>VLOOKUP(Table2[[#This Row],[Author]],People!A:B,2,0)</f>
        <v>EL</v>
      </c>
      <c r="M1364" t="s">
        <v>2202</v>
      </c>
    </row>
    <row r="1365" spans="1:13" x14ac:dyDescent="0.25">
      <c r="A1365" s="75">
        <f t="shared" si="21"/>
        <v>1364</v>
      </c>
      <c r="B1365" t="s">
        <v>13</v>
      </c>
      <c r="C1365" t="s">
        <v>2200</v>
      </c>
      <c r="D1365" t="s">
        <v>1775</v>
      </c>
      <c r="E1365" t="s">
        <v>2279</v>
      </c>
      <c r="G1365" t="s">
        <v>63</v>
      </c>
      <c r="H1365" s="75" t="str">
        <f>IFERROR(VLOOKUP(Table2[[#This Row],[Ticket]],Okey!A:B,2,0),"")</f>
        <v>ok</v>
      </c>
      <c r="I1365" t="s">
        <v>19</v>
      </c>
      <c r="J1365" t="str">
        <f>VLOOKUP(Table2[[#This Row],[Author]],People!A:B,2,0)</f>
        <v>EL</v>
      </c>
      <c r="M1365" t="s">
        <v>2202</v>
      </c>
    </row>
    <row r="1366" spans="1:13" x14ac:dyDescent="0.25">
      <c r="A1366" s="75">
        <f t="shared" si="21"/>
        <v>1365</v>
      </c>
      <c r="B1366" t="s">
        <v>13</v>
      </c>
      <c r="C1366" t="s">
        <v>2200</v>
      </c>
      <c r="D1366" t="s">
        <v>1777</v>
      </c>
      <c r="E1366" t="s">
        <v>2280</v>
      </c>
      <c r="G1366" t="s">
        <v>63</v>
      </c>
      <c r="H1366" s="75" t="str">
        <f>IFERROR(VLOOKUP(Table2[[#This Row],[Ticket]],Okey!A:B,2,0),"")</f>
        <v>ok</v>
      </c>
      <c r="I1366" t="s">
        <v>19</v>
      </c>
      <c r="J1366" t="str">
        <f>VLOOKUP(Table2[[#This Row],[Author]],People!A:B,2,0)</f>
        <v>EL</v>
      </c>
      <c r="M1366" t="s">
        <v>2202</v>
      </c>
    </row>
    <row r="1367" spans="1:13" x14ac:dyDescent="0.25">
      <c r="A1367" s="75">
        <f t="shared" si="21"/>
        <v>1366</v>
      </c>
      <c r="B1367" t="s">
        <v>13</v>
      </c>
      <c r="C1367" t="s">
        <v>2200</v>
      </c>
      <c r="D1367" t="s">
        <v>1779</v>
      </c>
      <c r="E1367" t="s">
        <v>2281</v>
      </c>
      <c r="G1367" t="s">
        <v>63</v>
      </c>
      <c r="H1367" s="75" t="str">
        <f>IFERROR(VLOOKUP(Table2[[#This Row],[Ticket]],Okey!A:B,2,0),"")</f>
        <v>ok</v>
      </c>
      <c r="I1367" t="s">
        <v>19</v>
      </c>
      <c r="J1367" t="str">
        <f>VLOOKUP(Table2[[#This Row],[Author]],People!A:B,2,0)</f>
        <v>EL</v>
      </c>
      <c r="M1367" t="s">
        <v>2202</v>
      </c>
    </row>
    <row r="1368" spans="1:13" x14ac:dyDescent="0.25">
      <c r="A1368" s="75">
        <f t="shared" si="21"/>
        <v>1367</v>
      </c>
      <c r="B1368" t="s">
        <v>13</v>
      </c>
      <c r="C1368" t="s">
        <v>2200</v>
      </c>
      <c r="D1368" t="s">
        <v>1781</v>
      </c>
      <c r="E1368" t="s">
        <v>2282</v>
      </c>
      <c r="G1368" t="s">
        <v>63</v>
      </c>
      <c r="H1368" s="75" t="str">
        <f>IFERROR(VLOOKUP(Table2[[#This Row],[Ticket]],Okey!A:B,2,0),"")</f>
        <v>ok</v>
      </c>
      <c r="I1368" t="s">
        <v>19</v>
      </c>
      <c r="J1368" t="str">
        <f>VLOOKUP(Table2[[#This Row],[Author]],People!A:B,2,0)</f>
        <v>EL</v>
      </c>
      <c r="M1368" t="s">
        <v>2202</v>
      </c>
    </row>
    <row r="1369" spans="1:13" x14ac:dyDescent="0.25">
      <c r="A1369" s="75">
        <f t="shared" si="21"/>
        <v>1368</v>
      </c>
      <c r="B1369" t="s">
        <v>13</v>
      </c>
      <c r="C1369" t="s">
        <v>2200</v>
      </c>
      <c r="D1369" t="s">
        <v>1783</v>
      </c>
      <c r="E1369" t="s">
        <v>2283</v>
      </c>
      <c r="G1369" t="s">
        <v>63</v>
      </c>
      <c r="H1369" s="75" t="str">
        <f>IFERROR(VLOOKUP(Table2[[#This Row],[Ticket]],Okey!A:B,2,0),"")</f>
        <v>ok</v>
      </c>
      <c r="I1369" t="s">
        <v>19</v>
      </c>
      <c r="J1369" t="str">
        <f>VLOOKUP(Table2[[#This Row],[Author]],People!A:B,2,0)</f>
        <v>EL</v>
      </c>
      <c r="M1369" t="s">
        <v>2202</v>
      </c>
    </row>
    <row r="1370" spans="1:13" x14ac:dyDescent="0.25">
      <c r="A1370" s="75">
        <f t="shared" si="21"/>
        <v>1369</v>
      </c>
      <c r="B1370" t="s">
        <v>13</v>
      </c>
      <c r="C1370" t="s">
        <v>2200</v>
      </c>
      <c r="D1370" t="s">
        <v>1785</v>
      </c>
      <c r="E1370" t="s">
        <v>2284</v>
      </c>
      <c r="G1370" t="s">
        <v>63</v>
      </c>
      <c r="H1370" s="75" t="str">
        <f>IFERROR(VLOOKUP(Table2[[#This Row],[Ticket]],Okey!A:B,2,0),"")</f>
        <v>ok</v>
      </c>
      <c r="I1370" t="s">
        <v>19</v>
      </c>
      <c r="J1370" t="str">
        <f>VLOOKUP(Table2[[#This Row],[Author]],People!A:B,2,0)</f>
        <v>EL</v>
      </c>
      <c r="M1370" t="s">
        <v>2202</v>
      </c>
    </row>
    <row r="1371" spans="1:13" x14ac:dyDescent="0.25">
      <c r="A1371" s="75">
        <f t="shared" si="21"/>
        <v>1370</v>
      </c>
      <c r="B1371" t="s">
        <v>13</v>
      </c>
      <c r="C1371" t="s">
        <v>2200</v>
      </c>
      <c r="D1371" t="s">
        <v>1787</v>
      </c>
      <c r="E1371" t="s">
        <v>2285</v>
      </c>
      <c r="G1371" t="s">
        <v>63</v>
      </c>
      <c r="H1371" s="75" t="str">
        <f>IFERROR(VLOOKUP(Table2[[#This Row],[Ticket]],Okey!A:B,2,0),"")</f>
        <v>ok</v>
      </c>
      <c r="I1371" t="s">
        <v>19</v>
      </c>
      <c r="J1371" t="str">
        <f>VLOOKUP(Table2[[#This Row],[Author]],People!A:B,2,0)</f>
        <v>EL</v>
      </c>
      <c r="M1371" t="s">
        <v>2202</v>
      </c>
    </row>
    <row r="1372" spans="1:13" x14ac:dyDescent="0.25">
      <c r="A1372" s="75">
        <f t="shared" si="21"/>
        <v>1371</v>
      </c>
      <c r="B1372" t="s">
        <v>13</v>
      </c>
      <c r="C1372" t="s">
        <v>2200</v>
      </c>
      <c r="D1372" t="s">
        <v>1789</v>
      </c>
      <c r="E1372" t="s">
        <v>2286</v>
      </c>
      <c r="G1372" t="s">
        <v>63</v>
      </c>
      <c r="H1372" s="75" t="str">
        <f>IFERROR(VLOOKUP(Table2[[#This Row],[Ticket]],Okey!A:B,2,0),"")</f>
        <v>ok</v>
      </c>
      <c r="I1372" t="s">
        <v>19</v>
      </c>
      <c r="J1372" t="str">
        <f>VLOOKUP(Table2[[#This Row],[Author]],People!A:B,2,0)</f>
        <v>EL</v>
      </c>
      <c r="M1372" t="s">
        <v>2202</v>
      </c>
    </row>
    <row r="1373" spans="1:13" x14ac:dyDescent="0.25">
      <c r="A1373" s="75">
        <f t="shared" si="21"/>
        <v>1372</v>
      </c>
      <c r="B1373" t="s">
        <v>13</v>
      </c>
      <c r="C1373" t="s">
        <v>2200</v>
      </c>
      <c r="D1373" t="s">
        <v>1801</v>
      </c>
      <c r="E1373" t="s">
        <v>2287</v>
      </c>
      <c r="G1373" t="s">
        <v>63</v>
      </c>
      <c r="H1373" s="75" t="str">
        <f>IFERROR(VLOOKUP(Table2[[#This Row],[Ticket]],Okey!A:B,2,0),"")</f>
        <v>ok</v>
      </c>
      <c r="I1373" t="s">
        <v>19</v>
      </c>
      <c r="J1373" t="str">
        <f>VLOOKUP(Table2[[#This Row],[Author]],People!A:B,2,0)</f>
        <v>EL</v>
      </c>
      <c r="M1373" t="s">
        <v>2202</v>
      </c>
    </row>
    <row r="1374" spans="1:13" x14ac:dyDescent="0.25">
      <c r="A1374" s="75">
        <f t="shared" si="21"/>
        <v>1373</v>
      </c>
      <c r="B1374" t="s">
        <v>13</v>
      </c>
      <c r="C1374" t="s">
        <v>2200</v>
      </c>
      <c r="D1374" t="s">
        <v>1803</v>
      </c>
      <c r="E1374" t="s">
        <v>2288</v>
      </c>
      <c r="G1374" t="s">
        <v>63</v>
      </c>
      <c r="H1374" s="75" t="str">
        <f>IFERROR(VLOOKUP(Table2[[#This Row],[Ticket]],Okey!A:B,2,0),"")</f>
        <v>ok</v>
      </c>
      <c r="I1374" t="s">
        <v>19</v>
      </c>
      <c r="J1374" t="str">
        <f>VLOOKUP(Table2[[#This Row],[Author]],People!A:B,2,0)</f>
        <v>EL</v>
      </c>
      <c r="M1374" t="s">
        <v>2202</v>
      </c>
    </row>
    <row r="1375" spans="1:13" x14ac:dyDescent="0.25">
      <c r="A1375" s="75">
        <f t="shared" si="21"/>
        <v>1374</v>
      </c>
      <c r="B1375" t="s">
        <v>13</v>
      </c>
      <c r="C1375" t="s">
        <v>2200</v>
      </c>
      <c r="D1375" t="s">
        <v>1805</v>
      </c>
      <c r="E1375" t="s">
        <v>2289</v>
      </c>
      <c r="G1375" t="s">
        <v>63</v>
      </c>
      <c r="H1375" s="75" t="str">
        <f>IFERROR(VLOOKUP(Table2[[#This Row],[Ticket]],Okey!A:B,2,0),"")</f>
        <v>ok</v>
      </c>
      <c r="I1375" t="s">
        <v>19</v>
      </c>
      <c r="J1375" t="str">
        <f>VLOOKUP(Table2[[#This Row],[Author]],People!A:B,2,0)</f>
        <v>EL</v>
      </c>
      <c r="M1375" t="s">
        <v>2202</v>
      </c>
    </row>
    <row r="1376" spans="1:13" x14ac:dyDescent="0.25">
      <c r="A1376" s="75">
        <f t="shared" si="21"/>
        <v>1375</v>
      </c>
      <c r="B1376" t="s">
        <v>13</v>
      </c>
      <c r="C1376" t="s">
        <v>2200</v>
      </c>
      <c r="D1376" t="s">
        <v>1807</v>
      </c>
      <c r="E1376" t="s">
        <v>2290</v>
      </c>
      <c r="G1376" t="s">
        <v>63</v>
      </c>
      <c r="H1376" s="75" t="str">
        <f>IFERROR(VLOOKUP(Table2[[#This Row],[Ticket]],Okey!A:B,2,0),"")</f>
        <v>ok</v>
      </c>
      <c r="I1376" t="s">
        <v>19</v>
      </c>
      <c r="J1376" t="str">
        <f>VLOOKUP(Table2[[#This Row],[Author]],People!A:B,2,0)</f>
        <v>EL</v>
      </c>
      <c r="M1376" t="s">
        <v>2202</v>
      </c>
    </row>
    <row r="1377" spans="1:13" x14ac:dyDescent="0.25">
      <c r="A1377" s="75">
        <f t="shared" si="21"/>
        <v>1376</v>
      </c>
      <c r="B1377" t="s">
        <v>13</v>
      </c>
      <c r="C1377" t="s">
        <v>2200</v>
      </c>
      <c r="D1377" t="s">
        <v>2291</v>
      </c>
      <c r="E1377" t="s">
        <v>2292</v>
      </c>
      <c r="G1377" t="s">
        <v>63</v>
      </c>
      <c r="H1377" s="75" t="str">
        <f>IFERROR(VLOOKUP(Table2[[#This Row],[Ticket]],Okey!A:B,2,0),"")</f>
        <v>ok</v>
      </c>
      <c r="I1377" t="s">
        <v>19</v>
      </c>
      <c r="J1377" t="str">
        <f>VLOOKUP(Table2[[#This Row],[Author]],People!A:B,2,0)</f>
        <v>EL</v>
      </c>
      <c r="M1377" t="s">
        <v>2202</v>
      </c>
    </row>
    <row r="1378" spans="1:13" x14ac:dyDescent="0.25">
      <c r="A1378" s="75">
        <f t="shared" si="21"/>
        <v>1377</v>
      </c>
      <c r="B1378" t="s">
        <v>13</v>
      </c>
      <c r="C1378" t="s">
        <v>2200</v>
      </c>
      <c r="D1378" t="s">
        <v>2293</v>
      </c>
      <c r="E1378" t="s">
        <v>2294</v>
      </c>
      <c r="F1378" t="s">
        <v>2215</v>
      </c>
      <c r="G1378" t="s">
        <v>496</v>
      </c>
      <c r="H1378" s="75" t="str">
        <f>IFERROR(VLOOKUP(Table2[[#This Row],[Ticket]],Okey!A:B,2,0),"")</f>
        <v>ok</v>
      </c>
      <c r="I1378" t="s">
        <v>19</v>
      </c>
      <c r="J1378" t="str">
        <f>VLOOKUP(Table2[[#This Row],[Author]],People!A:B,2,0)</f>
        <v>EL</v>
      </c>
      <c r="M1378" t="s">
        <v>2202</v>
      </c>
    </row>
    <row r="1379" spans="1:13" x14ac:dyDescent="0.25">
      <c r="A1379" s="75">
        <f t="shared" si="21"/>
        <v>1378</v>
      </c>
      <c r="B1379" t="s">
        <v>13</v>
      </c>
      <c r="C1379" t="s">
        <v>2200</v>
      </c>
      <c r="D1379" t="s">
        <v>1900</v>
      </c>
      <c r="E1379" t="s">
        <v>1901</v>
      </c>
      <c r="F1379" t="s">
        <v>2215</v>
      </c>
      <c r="G1379" t="s">
        <v>496</v>
      </c>
      <c r="H1379" s="75" t="str">
        <f>IFERROR(VLOOKUP(Table2[[#This Row],[Ticket]],Okey!A:B,2,0),"")</f>
        <v>ok</v>
      </c>
      <c r="I1379" t="s">
        <v>19</v>
      </c>
      <c r="J1379" t="str">
        <f>VLOOKUP(Table2[[#This Row],[Author]],People!A:B,2,0)</f>
        <v>EL</v>
      </c>
      <c r="M1379" t="s">
        <v>2202</v>
      </c>
    </row>
    <row r="1380" spans="1:13" x14ac:dyDescent="0.25">
      <c r="A1380" s="75">
        <f t="shared" si="21"/>
        <v>1379</v>
      </c>
      <c r="B1380" t="s">
        <v>13</v>
      </c>
      <c r="C1380" t="s">
        <v>2200</v>
      </c>
      <c r="D1380" t="s">
        <v>2295</v>
      </c>
      <c r="E1380" t="s">
        <v>2296</v>
      </c>
      <c r="F1380" t="s">
        <v>2215</v>
      </c>
      <c r="G1380" t="s">
        <v>496</v>
      </c>
      <c r="H1380" s="75" t="str">
        <f>IFERROR(VLOOKUP(Table2[[#This Row],[Ticket]],Okey!A:B,2,0),"")</f>
        <v>ok</v>
      </c>
      <c r="I1380" t="s">
        <v>19</v>
      </c>
      <c r="J1380" t="str">
        <f>VLOOKUP(Table2[[#This Row],[Author]],People!A:B,2,0)</f>
        <v>EL</v>
      </c>
      <c r="M1380" t="s">
        <v>2202</v>
      </c>
    </row>
    <row r="1381" spans="1:13" x14ac:dyDescent="0.25">
      <c r="A1381" s="75">
        <f t="shared" si="21"/>
        <v>1380</v>
      </c>
      <c r="B1381" t="s">
        <v>13</v>
      </c>
      <c r="C1381" t="s">
        <v>2200</v>
      </c>
      <c r="D1381" t="s">
        <v>1958</v>
      </c>
      <c r="E1381" t="s">
        <v>1959</v>
      </c>
      <c r="F1381" t="s">
        <v>2243</v>
      </c>
      <c r="G1381" t="s">
        <v>496</v>
      </c>
      <c r="H1381" s="75" t="str">
        <f>IFERROR(VLOOKUP(Table2[[#This Row],[Ticket]],Okey!A:B,2,0),"")</f>
        <v>ok</v>
      </c>
      <c r="I1381" t="s">
        <v>19</v>
      </c>
      <c r="J1381" t="str">
        <f>VLOOKUP(Table2[[#This Row],[Author]],People!A:B,2,0)</f>
        <v>EL</v>
      </c>
      <c r="M1381" t="s">
        <v>2202</v>
      </c>
    </row>
    <row r="1382" spans="1:13" x14ac:dyDescent="0.25">
      <c r="A1382" s="75">
        <f t="shared" si="21"/>
        <v>1381</v>
      </c>
      <c r="B1382" t="s">
        <v>13</v>
      </c>
      <c r="C1382" t="s">
        <v>2200</v>
      </c>
      <c r="D1382" t="s">
        <v>1936</v>
      </c>
      <c r="E1382" t="s">
        <v>2297</v>
      </c>
      <c r="F1382" t="s">
        <v>2243</v>
      </c>
      <c r="G1382" t="s">
        <v>496</v>
      </c>
      <c r="H1382" s="75" t="str">
        <f>IFERROR(VLOOKUP(Table2[[#This Row],[Ticket]],Okey!A:B,2,0),"")</f>
        <v>ok</v>
      </c>
      <c r="I1382" t="s">
        <v>19</v>
      </c>
      <c r="J1382" t="str">
        <f>VLOOKUP(Table2[[#This Row],[Author]],People!A:B,2,0)</f>
        <v>EL</v>
      </c>
      <c r="M1382" t="s">
        <v>2202</v>
      </c>
    </row>
    <row r="1383" spans="1:13" x14ac:dyDescent="0.25">
      <c r="A1383" s="75">
        <f t="shared" si="21"/>
        <v>1382</v>
      </c>
      <c r="B1383" t="s">
        <v>13</v>
      </c>
      <c r="C1383" t="s">
        <v>2200</v>
      </c>
      <c r="D1383" t="s">
        <v>1938</v>
      </c>
      <c r="E1383" t="s">
        <v>2298</v>
      </c>
      <c r="F1383" t="s">
        <v>2243</v>
      </c>
      <c r="G1383" t="s">
        <v>496</v>
      </c>
      <c r="H1383" s="75" t="str">
        <f>IFERROR(VLOOKUP(Table2[[#This Row],[Ticket]],Okey!A:B,2,0),"")</f>
        <v>ok</v>
      </c>
      <c r="I1383" t="s">
        <v>19</v>
      </c>
      <c r="J1383" t="str">
        <f>VLOOKUP(Table2[[#This Row],[Author]],People!A:B,2,0)</f>
        <v>EL</v>
      </c>
      <c r="M1383" t="s">
        <v>2202</v>
      </c>
    </row>
    <row r="1384" spans="1:13" x14ac:dyDescent="0.25">
      <c r="A1384" s="75">
        <f t="shared" si="21"/>
        <v>1383</v>
      </c>
      <c r="B1384" t="s">
        <v>13</v>
      </c>
      <c r="C1384" t="s">
        <v>2200</v>
      </c>
      <c r="D1384" t="s">
        <v>1940</v>
      </c>
      <c r="E1384" t="s">
        <v>1941</v>
      </c>
      <c r="F1384" t="s">
        <v>2243</v>
      </c>
      <c r="G1384" t="s">
        <v>496</v>
      </c>
      <c r="H1384" s="75" t="str">
        <f>IFERROR(VLOOKUP(Table2[[#This Row],[Ticket]],Okey!A:B,2,0),"")</f>
        <v>ok</v>
      </c>
      <c r="I1384" t="s">
        <v>19</v>
      </c>
      <c r="J1384" t="str">
        <f>VLOOKUP(Table2[[#This Row],[Author]],People!A:B,2,0)</f>
        <v>EL</v>
      </c>
      <c r="M1384" t="s">
        <v>2202</v>
      </c>
    </row>
    <row r="1385" spans="1:13" x14ac:dyDescent="0.25">
      <c r="A1385" s="75">
        <f t="shared" si="21"/>
        <v>1384</v>
      </c>
      <c r="B1385" t="s">
        <v>13</v>
      </c>
      <c r="C1385" t="s">
        <v>2200</v>
      </c>
      <c r="D1385" t="s">
        <v>1960</v>
      </c>
      <c r="E1385" t="s">
        <v>2299</v>
      </c>
      <c r="F1385" t="s">
        <v>2243</v>
      </c>
      <c r="G1385" t="s">
        <v>496</v>
      </c>
      <c r="H1385" s="75" t="str">
        <f>IFERROR(VLOOKUP(Table2[[#This Row],[Ticket]],Okey!A:B,2,0),"")</f>
        <v>ok</v>
      </c>
      <c r="I1385" t="s">
        <v>19</v>
      </c>
      <c r="J1385" t="str">
        <f>VLOOKUP(Table2[[#This Row],[Author]],People!A:B,2,0)</f>
        <v>EL</v>
      </c>
      <c r="M1385" t="s">
        <v>2202</v>
      </c>
    </row>
    <row r="1386" spans="1:13" x14ac:dyDescent="0.25">
      <c r="A1386" s="75">
        <f t="shared" si="21"/>
        <v>1385</v>
      </c>
      <c r="B1386" t="s">
        <v>13</v>
      </c>
      <c r="C1386" t="s">
        <v>2300</v>
      </c>
      <c r="D1386" s="36" t="s">
        <v>2301</v>
      </c>
      <c r="F1386" s="36" t="s">
        <v>1071</v>
      </c>
      <c r="G1386" t="s">
        <v>24</v>
      </c>
      <c r="H1386" s="75" t="str">
        <f>IFERROR(VLOOKUP(Table2[[#This Row],[Ticket]],Okey!A:B,2,0),"")</f>
        <v>ok</v>
      </c>
      <c r="I1386" t="s">
        <v>19</v>
      </c>
      <c r="J1386" t="str">
        <f>VLOOKUP(Table2[[#This Row],[Author]],People!A:B,2,0)</f>
        <v>LS</v>
      </c>
      <c r="M1386" t="s">
        <v>1040</v>
      </c>
    </row>
    <row r="1387" spans="1:13" x14ac:dyDescent="0.25">
      <c r="A1387" s="75">
        <f t="shared" si="21"/>
        <v>1386</v>
      </c>
      <c r="B1387" s="38" t="s">
        <v>13</v>
      </c>
      <c r="C1387" t="s">
        <v>2302</v>
      </c>
      <c r="D1387" t="s">
        <v>665</v>
      </c>
      <c r="F1387" t="s">
        <v>327</v>
      </c>
      <c r="G1387" t="s">
        <v>328</v>
      </c>
      <c r="H1387" s="75" t="str">
        <f>IFERROR(VLOOKUP(Table2[[#This Row],[Ticket]],Okey!A:B,2,0),"")</f>
        <v>ok</v>
      </c>
      <c r="I1387" t="s">
        <v>19</v>
      </c>
      <c r="J1387" t="str">
        <f>VLOOKUP(Table2[[#This Row],[Author]],People!A:B,2,0)</f>
        <v>HC</v>
      </c>
      <c r="M1387" t="s">
        <v>322</v>
      </c>
    </row>
    <row r="1388" spans="1:13" x14ac:dyDescent="0.25">
      <c r="A1388" s="75">
        <f t="shared" si="21"/>
        <v>1387</v>
      </c>
      <c r="B1388" s="13" t="s">
        <v>13</v>
      </c>
      <c r="C1388" t="s">
        <v>2302</v>
      </c>
      <c r="D1388" t="s">
        <v>2303</v>
      </c>
      <c r="E1388" t="s">
        <v>2304</v>
      </c>
      <c r="F1388" t="s">
        <v>654</v>
      </c>
      <c r="G1388" t="s">
        <v>18</v>
      </c>
      <c r="H1388" s="75" t="str">
        <f>IFERROR(VLOOKUP(Table2[[#This Row],[Ticket]],Okey!A:B,2,0),"")</f>
        <v>ok</v>
      </c>
      <c r="I1388" t="s">
        <v>19</v>
      </c>
      <c r="J1388" t="str">
        <f>VLOOKUP(Table2[[#This Row],[Author]],People!A:B,2,0)</f>
        <v>HC</v>
      </c>
      <c r="M1388" t="s">
        <v>322</v>
      </c>
    </row>
    <row r="1389" spans="1:13" x14ac:dyDescent="0.25">
      <c r="A1389" s="75">
        <f t="shared" si="21"/>
        <v>1388</v>
      </c>
      <c r="B1389" s="13" t="s">
        <v>13</v>
      </c>
      <c r="C1389" t="s">
        <v>2305</v>
      </c>
      <c r="D1389" t="s">
        <v>2306</v>
      </c>
      <c r="E1389" t="s">
        <v>2307</v>
      </c>
      <c r="F1389" t="s">
        <v>29</v>
      </c>
      <c r="G1389" t="s">
        <v>18</v>
      </c>
      <c r="H1389" s="75" t="str">
        <f>IFERROR(VLOOKUP(Table2[[#This Row],[Ticket]],Okey!A:B,2,0),"")</f>
        <v>ok</v>
      </c>
      <c r="I1389" t="s">
        <v>19</v>
      </c>
      <c r="J1389" t="str">
        <f>VLOOKUP(Table2[[#This Row],[Author]],People!A:B,2,0)</f>
        <v>HC</v>
      </c>
      <c r="M1389" t="s">
        <v>322</v>
      </c>
    </row>
    <row r="1390" spans="1:13" x14ac:dyDescent="0.25">
      <c r="A1390" s="75">
        <f t="shared" si="21"/>
        <v>1389</v>
      </c>
      <c r="B1390" s="13" t="s">
        <v>13</v>
      </c>
      <c r="C1390" t="s">
        <v>2305</v>
      </c>
      <c r="D1390" t="s">
        <v>2308</v>
      </c>
      <c r="E1390" t="s">
        <v>2309</v>
      </c>
      <c r="F1390" t="s">
        <v>651</v>
      </c>
      <c r="G1390" t="s">
        <v>18</v>
      </c>
      <c r="H1390" s="75" t="str">
        <f>IFERROR(VLOOKUP(Table2[[#This Row],[Ticket]],Okey!A:B,2,0),"")</f>
        <v>ok</v>
      </c>
      <c r="I1390" t="s">
        <v>19</v>
      </c>
      <c r="J1390" t="str">
        <f>VLOOKUP(Table2[[#This Row],[Author]],People!A:B,2,0)</f>
        <v>HC</v>
      </c>
      <c r="M1390" t="s">
        <v>322</v>
      </c>
    </row>
    <row r="1391" spans="1:13" x14ac:dyDescent="0.25">
      <c r="A1391" s="75">
        <f t="shared" si="21"/>
        <v>1390</v>
      </c>
      <c r="B1391" s="13" t="s">
        <v>13</v>
      </c>
      <c r="C1391" t="s">
        <v>2305</v>
      </c>
      <c r="D1391" t="s">
        <v>2310</v>
      </c>
      <c r="E1391" t="s">
        <v>2311</v>
      </c>
      <c r="F1391" t="s">
        <v>664</v>
      </c>
      <c r="G1391" t="s">
        <v>18</v>
      </c>
      <c r="H1391" s="75" t="str">
        <f>IFERROR(VLOOKUP(Table2[[#This Row],[Ticket]],Okey!A:B,2,0),"")</f>
        <v>ok</v>
      </c>
      <c r="I1391" t="s">
        <v>19</v>
      </c>
      <c r="J1391" t="str">
        <f>VLOOKUP(Table2[[#This Row],[Author]],People!A:B,2,0)</f>
        <v>HC</v>
      </c>
      <c r="M1391" t="s">
        <v>322</v>
      </c>
    </row>
    <row r="1392" spans="1:13" x14ac:dyDescent="0.25">
      <c r="A1392" s="75">
        <f t="shared" si="21"/>
        <v>1391</v>
      </c>
      <c r="B1392" s="13" t="s">
        <v>13</v>
      </c>
      <c r="C1392" t="s">
        <v>2312</v>
      </c>
      <c r="D1392" t="s">
        <v>2313</v>
      </c>
      <c r="E1392" t="s">
        <v>2314</v>
      </c>
      <c r="F1392" t="s">
        <v>672</v>
      </c>
      <c r="G1392" t="s">
        <v>18</v>
      </c>
      <c r="H1392" s="75" t="str">
        <f>IFERROR(VLOOKUP(Table2[[#This Row],[Ticket]],Okey!A:B,2,0),"")</f>
        <v>ok</v>
      </c>
      <c r="I1392" t="s">
        <v>19</v>
      </c>
      <c r="J1392" t="str">
        <f>VLOOKUP(Table2[[#This Row],[Author]],People!A:B,2,0)</f>
        <v>HC</v>
      </c>
      <c r="M1392" t="s">
        <v>670</v>
      </c>
    </row>
    <row r="1393" spans="1:13" x14ac:dyDescent="0.25">
      <c r="A1393" s="75">
        <f t="shared" si="21"/>
        <v>1392</v>
      </c>
      <c r="B1393" s="13" t="s">
        <v>13</v>
      </c>
      <c r="C1393" t="s">
        <v>2312</v>
      </c>
      <c r="D1393" t="s">
        <v>2315</v>
      </c>
      <c r="E1393" t="s">
        <v>2316</v>
      </c>
      <c r="F1393" t="s">
        <v>672</v>
      </c>
      <c r="G1393" t="s">
        <v>18</v>
      </c>
      <c r="H1393" s="75" t="str">
        <f>IFERROR(VLOOKUP(Table2[[#This Row],[Ticket]],Okey!A:B,2,0),"")</f>
        <v>ok</v>
      </c>
      <c r="I1393" t="s">
        <v>19</v>
      </c>
      <c r="J1393" t="str">
        <f>VLOOKUP(Table2[[#This Row],[Author]],People!A:B,2,0)</f>
        <v>HC</v>
      </c>
      <c r="M1393" t="s">
        <v>670</v>
      </c>
    </row>
    <row r="1394" spans="1:13" x14ac:dyDescent="0.25">
      <c r="A1394" s="75">
        <f t="shared" si="21"/>
        <v>1393</v>
      </c>
      <c r="B1394" s="13" t="s">
        <v>13</v>
      </c>
      <c r="C1394" t="s">
        <v>2317</v>
      </c>
      <c r="D1394" t="s">
        <v>2318</v>
      </c>
      <c r="F1394" t="s">
        <v>2319</v>
      </c>
      <c r="G1394" t="s">
        <v>24</v>
      </c>
      <c r="H1394" s="75" t="str">
        <f>IFERROR(VLOOKUP(Table2[[#This Row],[Ticket]],Okey!A:B,2,0),"")</f>
        <v>ok</v>
      </c>
      <c r="I1394" t="s">
        <v>19</v>
      </c>
      <c r="J1394" t="str">
        <f>VLOOKUP(Table2[[#This Row],[Author]],People!A:B,2,0)</f>
        <v>LS</v>
      </c>
      <c r="M1394" t="s">
        <v>1040</v>
      </c>
    </row>
    <row r="1395" spans="1:13" x14ac:dyDescent="0.25">
      <c r="A1395" s="75">
        <f t="shared" si="21"/>
        <v>1394</v>
      </c>
      <c r="B1395" s="13" t="s">
        <v>13</v>
      </c>
      <c r="C1395" t="s">
        <v>2317</v>
      </c>
      <c r="D1395" t="s">
        <v>2320</v>
      </c>
      <c r="F1395" t="s">
        <v>2319</v>
      </c>
      <c r="G1395" t="s">
        <v>24</v>
      </c>
      <c r="H1395" s="75" t="str">
        <f>IFERROR(VLOOKUP(Table2[[#This Row],[Ticket]],Okey!A:B,2,0),"")</f>
        <v>ok</v>
      </c>
      <c r="I1395" t="s">
        <v>19</v>
      </c>
      <c r="J1395" t="str">
        <f>VLOOKUP(Table2[[#This Row],[Author]],People!A:B,2,0)</f>
        <v>LS</v>
      </c>
      <c r="M1395" t="s">
        <v>1040</v>
      </c>
    </row>
    <row r="1396" spans="1:13" x14ac:dyDescent="0.25">
      <c r="A1396" s="75">
        <f t="shared" si="21"/>
        <v>1395</v>
      </c>
      <c r="B1396" s="13" t="s">
        <v>13</v>
      </c>
      <c r="C1396" t="s">
        <v>2317</v>
      </c>
      <c r="D1396" t="s">
        <v>2321</v>
      </c>
      <c r="F1396" t="s">
        <v>2319</v>
      </c>
      <c r="G1396" t="s">
        <v>24</v>
      </c>
      <c r="H1396" s="75" t="str">
        <f>IFERROR(VLOOKUP(Table2[[#This Row],[Ticket]],Okey!A:B,2,0),"")</f>
        <v>ok</v>
      </c>
      <c r="I1396" t="s">
        <v>19</v>
      </c>
      <c r="J1396" t="str">
        <f>VLOOKUP(Table2[[#This Row],[Author]],People!A:B,2,0)</f>
        <v>LS</v>
      </c>
      <c r="M1396" t="s">
        <v>1040</v>
      </c>
    </row>
    <row r="1397" spans="1:13" x14ac:dyDescent="0.25">
      <c r="A1397" s="75">
        <f t="shared" si="21"/>
        <v>1396</v>
      </c>
      <c r="B1397" s="13" t="s">
        <v>13</v>
      </c>
      <c r="C1397" t="s">
        <v>2317</v>
      </c>
      <c r="D1397" t="s">
        <v>2322</v>
      </c>
      <c r="F1397" t="s">
        <v>2323</v>
      </c>
      <c r="G1397" t="s">
        <v>24</v>
      </c>
      <c r="H1397" s="75" t="str">
        <f>IFERROR(VLOOKUP(Table2[[#This Row],[Ticket]],Okey!A:B,2,0),"")</f>
        <v>ok</v>
      </c>
      <c r="I1397" t="s">
        <v>19</v>
      </c>
      <c r="J1397" t="str">
        <f>VLOOKUP(Table2[[#This Row],[Author]],People!A:B,2,0)</f>
        <v>LS</v>
      </c>
      <c r="M1397" t="s">
        <v>1040</v>
      </c>
    </row>
    <row r="1398" spans="1:13" x14ac:dyDescent="0.25">
      <c r="A1398" s="75">
        <f t="shared" si="21"/>
        <v>1397</v>
      </c>
      <c r="B1398" s="13" t="s">
        <v>13</v>
      </c>
      <c r="C1398" t="s">
        <v>2317</v>
      </c>
      <c r="D1398" t="s">
        <v>2324</v>
      </c>
      <c r="F1398" t="s">
        <v>2325</v>
      </c>
      <c r="G1398" t="s">
        <v>24</v>
      </c>
      <c r="H1398" s="75" t="str">
        <f>IFERROR(VLOOKUP(Table2[[#This Row],[Ticket]],Okey!A:B,2,0),"")</f>
        <v>ok</v>
      </c>
      <c r="I1398" t="s">
        <v>19</v>
      </c>
      <c r="J1398" t="str">
        <f>VLOOKUP(Table2[[#This Row],[Author]],People!A:B,2,0)</f>
        <v>LS</v>
      </c>
      <c r="M1398" t="s">
        <v>1040</v>
      </c>
    </row>
    <row r="1399" spans="1:13" x14ac:dyDescent="0.25">
      <c r="A1399" s="75">
        <f t="shared" si="21"/>
        <v>1398</v>
      </c>
      <c r="B1399" s="13" t="s">
        <v>13</v>
      </c>
      <c r="C1399" t="s">
        <v>2326</v>
      </c>
      <c r="D1399" t="s">
        <v>2327</v>
      </c>
      <c r="F1399" t="s">
        <v>2328</v>
      </c>
      <c r="G1399" t="s">
        <v>24</v>
      </c>
      <c r="H1399" s="75" t="str">
        <f>IFERROR(VLOOKUP(Table2[[#This Row],[Ticket]],Okey!A:B,2,0),"")</f>
        <v>ok</v>
      </c>
      <c r="I1399" t="s">
        <v>19</v>
      </c>
      <c r="J1399" t="str">
        <f>VLOOKUP(Table2[[#This Row],[Author]],People!A:B,2,0)</f>
        <v>HC</v>
      </c>
      <c r="M1399" t="s">
        <v>2329</v>
      </c>
    </row>
    <row r="1400" spans="1:13" x14ac:dyDescent="0.25">
      <c r="A1400" s="75">
        <f t="shared" si="21"/>
        <v>1399</v>
      </c>
      <c r="B1400" s="13" t="s">
        <v>2330</v>
      </c>
      <c r="C1400" t="s">
        <v>2331</v>
      </c>
      <c r="D1400" t="s">
        <v>432</v>
      </c>
      <c r="F1400" t="s">
        <v>458</v>
      </c>
      <c r="G1400" t="s">
        <v>24</v>
      </c>
      <c r="H1400" s="75" t="str">
        <f>IFERROR(VLOOKUP(Table2[[#This Row],[Ticket]],Okey!A:B,2,0),"")</f>
        <v>ok</v>
      </c>
      <c r="I1400" t="s">
        <v>19</v>
      </c>
      <c r="J1400" t="str">
        <f>VLOOKUP(Table2[[#This Row],[Author]],People!A:B,2,0)</f>
        <v>MGF</v>
      </c>
      <c r="M1400" t="s">
        <v>1030</v>
      </c>
    </row>
    <row r="1401" spans="1:13" x14ac:dyDescent="0.25">
      <c r="A1401" s="75">
        <f t="shared" si="21"/>
        <v>1400</v>
      </c>
      <c r="B1401" s="13" t="s">
        <v>2330</v>
      </c>
      <c r="C1401" t="s">
        <v>2331</v>
      </c>
      <c r="D1401" t="s">
        <v>434</v>
      </c>
      <c r="F1401" t="s">
        <v>432</v>
      </c>
      <c r="G1401" t="s">
        <v>24</v>
      </c>
      <c r="H1401" s="75" t="str">
        <f>IFERROR(VLOOKUP(Table2[[#This Row],[Ticket]],Okey!A:B,2,0),"")</f>
        <v>ok</v>
      </c>
      <c r="I1401" t="s">
        <v>19</v>
      </c>
      <c r="J1401" t="str">
        <f>VLOOKUP(Table2[[#This Row],[Author]],People!A:B,2,0)</f>
        <v>MGF</v>
      </c>
      <c r="M1401" t="s">
        <v>1030</v>
      </c>
    </row>
    <row r="1402" spans="1:13" x14ac:dyDescent="0.25">
      <c r="A1402" s="75">
        <f t="shared" si="21"/>
        <v>1401</v>
      </c>
      <c r="B1402" s="13" t="s">
        <v>2330</v>
      </c>
      <c r="C1402" t="s">
        <v>2331</v>
      </c>
      <c r="D1402" t="s">
        <v>436</v>
      </c>
      <c r="F1402" t="s">
        <v>432</v>
      </c>
      <c r="G1402" t="s">
        <v>24</v>
      </c>
      <c r="H1402" s="75" t="str">
        <f>IFERROR(VLOOKUP(Table2[[#This Row],[Ticket]],Okey!A:B,2,0),"")</f>
        <v>ok</v>
      </c>
      <c r="I1402" t="s">
        <v>19</v>
      </c>
      <c r="J1402" t="str">
        <f>VLOOKUP(Table2[[#This Row],[Author]],People!A:B,2,0)</f>
        <v>MGF</v>
      </c>
      <c r="M1402" t="s">
        <v>1030</v>
      </c>
    </row>
    <row r="1403" spans="1:13" x14ac:dyDescent="0.25">
      <c r="A1403" s="75">
        <f t="shared" si="21"/>
        <v>1402</v>
      </c>
      <c r="B1403" s="13" t="s">
        <v>2330</v>
      </c>
      <c r="C1403" t="s">
        <v>2332</v>
      </c>
      <c r="D1403" t="s">
        <v>2333</v>
      </c>
      <c r="F1403" t="s">
        <v>452</v>
      </c>
      <c r="G1403" t="s">
        <v>24</v>
      </c>
      <c r="H1403" s="75" t="str">
        <f>IFERROR(VLOOKUP(Table2[[#This Row],[Ticket]],Okey!A:B,2,0),"")</f>
        <v>ok</v>
      </c>
      <c r="I1403" t="s">
        <v>19</v>
      </c>
      <c r="J1403" t="str">
        <f>VLOOKUP(Table2[[#This Row],[Author]],People!A:B,2,0)</f>
        <v>MGF</v>
      </c>
      <c r="M1403" t="s">
        <v>1030</v>
      </c>
    </row>
    <row r="1404" spans="1:13" x14ac:dyDescent="0.25">
      <c r="A1404" s="75">
        <f t="shared" si="21"/>
        <v>1403</v>
      </c>
      <c r="B1404" s="13" t="s">
        <v>2330</v>
      </c>
      <c r="C1404" t="s">
        <v>2332</v>
      </c>
      <c r="D1404" t="s">
        <v>434</v>
      </c>
      <c r="F1404" t="s">
        <v>432</v>
      </c>
      <c r="G1404" t="s">
        <v>24</v>
      </c>
      <c r="H1404" s="75" t="str">
        <f>IFERROR(VLOOKUP(Table2[[#This Row],[Ticket]],Okey!A:B,2,0),"")</f>
        <v>ok</v>
      </c>
      <c r="I1404" t="s">
        <v>19</v>
      </c>
      <c r="J1404" t="str">
        <f>VLOOKUP(Table2[[#This Row],[Author]],People!A:B,2,0)</f>
        <v>MGF</v>
      </c>
      <c r="M1404" t="s">
        <v>1030</v>
      </c>
    </row>
    <row r="1405" spans="1:13" x14ac:dyDescent="0.25">
      <c r="A1405" s="75">
        <f t="shared" si="21"/>
        <v>1404</v>
      </c>
      <c r="B1405" s="13" t="s">
        <v>2330</v>
      </c>
      <c r="C1405" t="s">
        <v>2332</v>
      </c>
      <c r="D1405" t="s">
        <v>436</v>
      </c>
      <c r="F1405" t="s">
        <v>432</v>
      </c>
      <c r="G1405" t="s">
        <v>24</v>
      </c>
      <c r="H1405" s="75" t="str">
        <f>IFERROR(VLOOKUP(Table2[[#This Row],[Ticket]],Okey!A:B,2,0),"")</f>
        <v>ok</v>
      </c>
      <c r="I1405" t="s">
        <v>19</v>
      </c>
      <c r="J1405" t="str">
        <f>VLOOKUP(Table2[[#This Row],[Author]],People!A:B,2,0)</f>
        <v>MGF</v>
      </c>
      <c r="M1405" t="s">
        <v>1030</v>
      </c>
    </row>
    <row r="1406" spans="1:13" x14ac:dyDescent="0.25">
      <c r="A1406" s="75">
        <f t="shared" si="21"/>
        <v>1405</v>
      </c>
      <c r="B1406" s="13" t="s">
        <v>2330</v>
      </c>
      <c r="C1406" t="s">
        <v>2332</v>
      </c>
      <c r="D1406" t="s">
        <v>2334</v>
      </c>
      <c r="F1406" t="s">
        <v>494</v>
      </c>
      <c r="G1406" t="s">
        <v>24</v>
      </c>
      <c r="H1406" s="75" t="str">
        <f>IFERROR(VLOOKUP(Table2[[#This Row],[Ticket]],Okey!A:B,2,0),"")</f>
        <v>ok</v>
      </c>
      <c r="I1406" t="s">
        <v>19</v>
      </c>
      <c r="J1406" t="str">
        <f>VLOOKUP(Table2[[#This Row],[Author]],People!A:B,2,0)</f>
        <v>MGF</v>
      </c>
      <c r="M1406" t="s">
        <v>1030</v>
      </c>
    </row>
    <row r="1407" spans="1:13" x14ac:dyDescent="0.25">
      <c r="A1407" s="75">
        <f t="shared" si="21"/>
        <v>1406</v>
      </c>
      <c r="B1407" s="13" t="s">
        <v>2330</v>
      </c>
      <c r="C1407" t="s">
        <v>2332</v>
      </c>
      <c r="D1407" t="s">
        <v>454</v>
      </c>
      <c r="F1407" t="s">
        <v>494</v>
      </c>
      <c r="G1407" t="s">
        <v>24</v>
      </c>
      <c r="H1407" s="75" t="str">
        <f>IFERROR(VLOOKUP(Table2[[#This Row],[Ticket]],Okey!A:B,2,0),"")</f>
        <v>ok</v>
      </c>
      <c r="I1407" t="s">
        <v>19</v>
      </c>
      <c r="J1407" t="str">
        <f>VLOOKUP(Table2[[#This Row],[Author]],People!A:B,2,0)</f>
        <v>MGF</v>
      </c>
      <c r="M1407" t="s">
        <v>1030</v>
      </c>
    </row>
    <row r="1408" spans="1:13" x14ac:dyDescent="0.25">
      <c r="A1408" s="75">
        <f t="shared" si="21"/>
        <v>1407</v>
      </c>
      <c r="B1408" s="13" t="s">
        <v>2330</v>
      </c>
      <c r="C1408" t="s">
        <v>2332</v>
      </c>
      <c r="D1408" t="s">
        <v>452</v>
      </c>
      <c r="E1408" t="s">
        <v>2335</v>
      </c>
      <c r="G1408" t="s">
        <v>63</v>
      </c>
      <c r="H1408" s="75" t="str">
        <f>IFERROR(VLOOKUP(Table2[[#This Row],[Ticket]],Okey!A:B,2,0),"")</f>
        <v>ok</v>
      </c>
      <c r="I1408" t="s">
        <v>19</v>
      </c>
      <c r="J1408" t="str">
        <f>VLOOKUP(Table2[[#This Row],[Author]],People!A:B,2,0)</f>
        <v>MGF</v>
      </c>
      <c r="M1408" t="s">
        <v>1030</v>
      </c>
    </row>
    <row r="1409" spans="1:13" x14ac:dyDescent="0.25">
      <c r="A1409" s="75">
        <f t="shared" si="21"/>
        <v>1408</v>
      </c>
      <c r="B1409" s="13" t="s">
        <v>2330</v>
      </c>
      <c r="C1409" t="s">
        <v>2332</v>
      </c>
      <c r="D1409" t="s">
        <v>458</v>
      </c>
      <c r="E1409" t="s">
        <v>2336</v>
      </c>
      <c r="G1409" t="s">
        <v>63</v>
      </c>
      <c r="H1409" s="75" t="str">
        <f>IFERROR(VLOOKUP(Table2[[#This Row],[Ticket]],Okey!A:B,2,0),"")</f>
        <v>ok</v>
      </c>
      <c r="I1409" t="s">
        <v>19</v>
      </c>
      <c r="J1409" t="str">
        <f>VLOOKUP(Table2[[#This Row],[Author]],People!A:B,2,0)</f>
        <v>MGF</v>
      </c>
      <c r="M1409" t="s">
        <v>1030</v>
      </c>
    </row>
    <row r="1410" spans="1:13" x14ac:dyDescent="0.25">
      <c r="A1410" s="75">
        <f t="shared" si="21"/>
        <v>1409</v>
      </c>
      <c r="B1410" s="13" t="s">
        <v>2330</v>
      </c>
      <c r="C1410" t="s">
        <v>2332</v>
      </c>
      <c r="D1410" t="s">
        <v>1035</v>
      </c>
      <c r="E1410" t="s">
        <v>2337</v>
      </c>
      <c r="G1410" t="s">
        <v>63</v>
      </c>
      <c r="H1410" s="75" t="str">
        <f>IFERROR(VLOOKUP(Table2[[#This Row],[Ticket]],Okey!A:B,2,0),"")</f>
        <v>ok</v>
      </c>
      <c r="I1410" t="s">
        <v>19</v>
      </c>
      <c r="J1410" t="str">
        <f>VLOOKUP(Table2[[#This Row],[Author]],People!A:B,2,0)</f>
        <v>MGF</v>
      </c>
      <c r="M1410" t="s">
        <v>1030</v>
      </c>
    </row>
    <row r="1411" spans="1:13" x14ac:dyDescent="0.25">
      <c r="A1411" s="75">
        <f t="shared" si="21"/>
        <v>1410</v>
      </c>
      <c r="B1411" s="13" t="s">
        <v>2330</v>
      </c>
      <c r="C1411" t="s">
        <v>2332</v>
      </c>
      <c r="D1411" t="s">
        <v>470</v>
      </c>
      <c r="E1411" t="s">
        <v>2338</v>
      </c>
      <c r="G1411" t="s">
        <v>63</v>
      </c>
      <c r="H1411" s="75" t="str">
        <f>IFERROR(VLOOKUP(Table2[[#This Row],[Ticket]],Okey!A:B,2,0),"")</f>
        <v>ok</v>
      </c>
      <c r="I1411" t="s">
        <v>19</v>
      </c>
      <c r="J1411" t="str">
        <f>VLOOKUP(Table2[[#This Row],[Author]],People!A:B,2,0)</f>
        <v>MGF</v>
      </c>
      <c r="M1411" t="s">
        <v>1030</v>
      </c>
    </row>
    <row r="1412" spans="1:13" x14ac:dyDescent="0.25">
      <c r="A1412" s="75">
        <f t="shared" si="21"/>
        <v>1411</v>
      </c>
      <c r="B1412" s="13" t="s">
        <v>2330</v>
      </c>
      <c r="C1412" t="s">
        <v>2332</v>
      </c>
      <c r="D1412" t="s">
        <v>472</v>
      </c>
      <c r="E1412" t="s">
        <v>2339</v>
      </c>
      <c r="G1412" t="s">
        <v>63</v>
      </c>
      <c r="H1412" s="75" t="str">
        <f>IFERROR(VLOOKUP(Table2[[#This Row],[Ticket]],Okey!A:B,2,0),"")</f>
        <v>ok</v>
      </c>
      <c r="I1412" t="s">
        <v>19</v>
      </c>
      <c r="J1412" t="str">
        <f>VLOOKUP(Table2[[#This Row],[Author]],People!A:B,2,0)</f>
        <v>MGF</v>
      </c>
      <c r="M1412" t="s">
        <v>1030</v>
      </c>
    </row>
    <row r="1413" spans="1:13" x14ac:dyDescent="0.25">
      <c r="A1413" s="75">
        <f t="shared" si="21"/>
        <v>1412</v>
      </c>
      <c r="B1413" s="13" t="s">
        <v>2330</v>
      </c>
      <c r="C1413" t="s">
        <v>2332</v>
      </c>
      <c r="D1413" t="s">
        <v>468</v>
      </c>
      <c r="E1413" t="s">
        <v>2340</v>
      </c>
      <c r="F1413" t="s">
        <v>494</v>
      </c>
      <c r="G1413" t="s">
        <v>496</v>
      </c>
      <c r="H1413" s="75" t="str">
        <f>IFERROR(VLOOKUP(Table2[[#This Row],[Ticket]],Okey!A:B,2,0),"")</f>
        <v>ok</v>
      </c>
      <c r="I1413" t="s">
        <v>19</v>
      </c>
      <c r="J1413" t="str">
        <f>VLOOKUP(Table2[[#This Row],[Author]],People!A:B,2,0)</f>
        <v>MGF</v>
      </c>
      <c r="M1413" t="s">
        <v>1030</v>
      </c>
    </row>
    <row r="1414" spans="1:13" x14ac:dyDescent="0.25">
      <c r="A1414" s="75">
        <f t="shared" si="21"/>
        <v>1413</v>
      </c>
      <c r="B1414" s="13" t="s">
        <v>2330</v>
      </c>
      <c r="C1414" t="s">
        <v>2341</v>
      </c>
      <c r="D1414" t="s">
        <v>2333</v>
      </c>
      <c r="F1414" t="s">
        <v>494</v>
      </c>
      <c r="G1414" t="s">
        <v>24</v>
      </c>
      <c r="H1414" s="75" t="str">
        <f>IFERROR(VLOOKUP(Table2[[#This Row],[Ticket]],Okey!A:B,2,0),"")</f>
        <v>ok</v>
      </c>
      <c r="I1414" t="s">
        <v>19</v>
      </c>
      <c r="J1414" t="str">
        <f>VLOOKUP(Table2[[#This Row],[Author]],People!A:B,2,0)</f>
        <v>MGF</v>
      </c>
      <c r="M1414" t="s">
        <v>1030</v>
      </c>
    </row>
    <row r="1415" spans="1:13" x14ac:dyDescent="0.25">
      <c r="A1415" s="75">
        <f t="shared" si="21"/>
        <v>1414</v>
      </c>
      <c r="B1415" s="13" t="s">
        <v>2330</v>
      </c>
      <c r="C1415" t="s">
        <v>2341</v>
      </c>
      <c r="D1415" t="s">
        <v>2342</v>
      </c>
      <c r="F1415" t="s">
        <v>494</v>
      </c>
      <c r="G1415" t="s">
        <v>24</v>
      </c>
      <c r="H1415" s="75" t="str">
        <f>IFERROR(VLOOKUP(Table2[[#This Row],[Ticket]],Okey!A:B,2,0),"")</f>
        <v>ok</v>
      </c>
      <c r="I1415" t="s">
        <v>19</v>
      </c>
      <c r="J1415" t="str">
        <f>VLOOKUP(Table2[[#This Row],[Author]],People!A:B,2,0)</f>
        <v>MGF</v>
      </c>
      <c r="M1415" t="s">
        <v>1030</v>
      </c>
    </row>
    <row r="1416" spans="1:13" x14ac:dyDescent="0.25">
      <c r="A1416" s="75">
        <f t="shared" si="21"/>
        <v>1415</v>
      </c>
      <c r="B1416" s="13" t="s">
        <v>2330</v>
      </c>
      <c r="C1416" t="s">
        <v>2343</v>
      </c>
      <c r="D1416" t="s">
        <v>2344</v>
      </c>
      <c r="G1416" t="s">
        <v>328</v>
      </c>
      <c r="H1416" s="75" t="str">
        <f>IFERROR(VLOOKUP(Table2[[#This Row],[Ticket]],Okey!A:B,2,0),"")</f>
        <v>ok</v>
      </c>
      <c r="I1416" t="s">
        <v>19</v>
      </c>
      <c r="J1416" t="str">
        <f>VLOOKUP(Table2[[#This Row],[Author]],People!A:B,2,0)</f>
        <v>LS</v>
      </c>
      <c r="M1416" t="s">
        <v>1025</v>
      </c>
    </row>
    <row r="1417" spans="1:13" x14ac:dyDescent="0.25">
      <c r="A1417" s="75">
        <f t="shared" ref="A1417:A1480" si="22">1+A1416</f>
        <v>1416</v>
      </c>
      <c r="B1417" s="13" t="s">
        <v>2330</v>
      </c>
      <c r="C1417" t="s">
        <v>2343</v>
      </c>
      <c r="D1417" t="s">
        <v>2345</v>
      </c>
      <c r="G1417" t="s">
        <v>328</v>
      </c>
      <c r="H1417" s="75" t="str">
        <f>IFERROR(VLOOKUP(Table2[[#This Row],[Ticket]],Okey!A:B,2,0),"")</f>
        <v>ok</v>
      </c>
      <c r="I1417" t="s">
        <v>19</v>
      </c>
      <c r="J1417" t="str">
        <f>VLOOKUP(Table2[[#This Row],[Author]],People!A:B,2,0)</f>
        <v>LS</v>
      </c>
      <c r="M1417" t="s">
        <v>1025</v>
      </c>
    </row>
    <row r="1418" spans="1:13" x14ac:dyDescent="0.25">
      <c r="A1418" s="75">
        <f t="shared" si="22"/>
        <v>1417</v>
      </c>
      <c r="B1418" s="13" t="s">
        <v>2330</v>
      </c>
      <c r="C1418" t="s">
        <v>2343</v>
      </c>
      <c r="D1418" t="s">
        <v>2346</v>
      </c>
      <c r="F1418" t="s">
        <v>2347</v>
      </c>
      <c r="G1418" t="s">
        <v>24</v>
      </c>
      <c r="H1418" s="75" t="str">
        <f>IFERROR(VLOOKUP(Table2[[#This Row],[Ticket]],Okey!A:B,2,0),"")</f>
        <v>ok</v>
      </c>
      <c r="I1418" t="s">
        <v>19</v>
      </c>
      <c r="J1418" t="str">
        <f>VLOOKUP(Table2[[#This Row],[Author]],People!A:B,2,0)</f>
        <v>LS</v>
      </c>
      <c r="M1418" t="s">
        <v>1025</v>
      </c>
    </row>
    <row r="1419" spans="1:13" x14ac:dyDescent="0.25">
      <c r="A1419" s="75">
        <f t="shared" si="22"/>
        <v>1418</v>
      </c>
      <c r="B1419" s="13" t="s">
        <v>2330</v>
      </c>
      <c r="C1419" t="s">
        <v>2343</v>
      </c>
      <c r="D1419" t="s">
        <v>2348</v>
      </c>
      <c r="F1419" t="s">
        <v>2346</v>
      </c>
      <c r="G1419" t="s">
        <v>24</v>
      </c>
      <c r="H1419" s="75" t="str">
        <f>IFERROR(VLOOKUP(Table2[[#This Row],[Ticket]],Okey!A:B,2,0),"")</f>
        <v>ok</v>
      </c>
      <c r="I1419" t="s">
        <v>19</v>
      </c>
      <c r="J1419" t="str">
        <f>VLOOKUP(Table2[[#This Row],[Author]],People!A:B,2,0)</f>
        <v>LS</v>
      </c>
      <c r="M1419" t="s">
        <v>1025</v>
      </c>
    </row>
    <row r="1420" spans="1:13" x14ac:dyDescent="0.25">
      <c r="A1420" s="75">
        <f t="shared" si="22"/>
        <v>1419</v>
      </c>
      <c r="B1420" s="13" t="s">
        <v>2330</v>
      </c>
      <c r="C1420" t="s">
        <v>2343</v>
      </c>
      <c r="D1420" t="s">
        <v>2349</v>
      </c>
      <c r="F1420" t="s">
        <v>2350</v>
      </c>
      <c r="G1420" t="s">
        <v>24</v>
      </c>
      <c r="H1420" s="75" t="str">
        <f>IFERROR(VLOOKUP(Table2[[#This Row],[Ticket]],Okey!A:B,2,0),"")</f>
        <v>ok</v>
      </c>
      <c r="I1420" t="s">
        <v>19</v>
      </c>
      <c r="J1420" t="str">
        <f>VLOOKUP(Table2[[#This Row],[Author]],People!A:B,2,0)</f>
        <v>LS</v>
      </c>
      <c r="M1420" t="s">
        <v>1025</v>
      </c>
    </row>
    <row r="1421" spans="1:13" x14ac:dyDescent="0.25">
      <c r="A1421" s="75">
        <f t="shared" si="22"/>
        <v>1420</v>
      </c>
      <c r="B1421" s="13" t="s">
        <v>2330</v>
      </c>
      <c r="C1421" t="s">
        <v>2366</v>
      </c>
      <c r="D1421" t="s">
        <v>2370</v>
      </c>
      <c r="E1421" t="s">
        <v>2371</v>
      </c>
      <c r="F1421" t="s">
        <v>2372</v>
      </c>
      <c r="G1421" t="s">
        <v>18</v>
      </c>
      <c r="H1421" s="75" t="str">
        <f>IFERROR(VLOOKUP(Table2[[#This Row],[Ticket]],Okey!A:B,2,0),"")</f>
        <v>ok</v>
      </c>
      <c r="I1421" t="s">
        <v>19</v>
      </c>
      <c r="J1421" t="str">
        <f>VLOOKUP(Table2[[#This Row],[Author]],People!A:B,2,0)</f>
        <v>HC</v>
      </c>
      <c r="M1421" t="s">
        <v>670</v>
      </c>
    </row>
    <row r="1422" spans="1:13" x14ac:dyDescent="0.25">
      <c r="A1422" s="75">
        <f t="shared" si="22"/>
        <v>1421</v>
      </c>
      <c r="B1422" s="13" t="s">
        <v>2330</v>
      </c>
      <c r="C1422" t="s">
        <v>2351</v>
      </c>
      <c r="D1422" t="s">
        <v>2356</v>
      </c>
      <c r="E1422" t="s">
        <v>2357</v>
      </c>
      <c r="F1422" t="s">
        <v>2352</v>
      </c>
      <c r="G1422" t="s">
        <v>496</v>
      </c>
      <c r="H1422" s="75" t="str">
        <f>IFERROR(VLOOKUP(Table2[[#This Row],[Ticket]],Okey!A:B,2,0),"")</f>
        <v>ok</v>
      </c>
      <c r="I1422" t="s">
        <v>19</v>
      </c>
      <c r="J1422" t="str">
        <f>VLOOKUP(Table2[[#This Row],[Author]],People!A:B,2,0)</f>
        <v>MGF</v>
      </c>
      <c r="M1422" t="s">
        <v>2355</v>
      </c>
    </row>
    <row r="1423" spans="1:13" x14ac:dyDescent="0.25">
      <c r="A1423" s="75">
        <f t="shared" si="22"/>
        <v>1422</v>
      </c>
      <c r="B1423" s="13" t="s">
        <v>2330</v>
      </c>
      <c r="C1423" t="s">
        <v>2351</v>
      </c>
      <c r="D1423" t="s">
        <v>2358</v>
      </c>
      <c r="E1423" t="s">
        <v>2359</v>
      </c>
      <c r="F1423" t="s">
        <v>2352</v>
      </c>
      <c r="G1423" t="s">
        <v>496</v>
      </c>
      <c r="H1423" s="75" t="str">
        <f>IFERROR(VLOOKUP(Table2[[#This Row],[Ticket]],Okey!A:B,2,0),"")</f>
        <v>ok</v>
      </c>
      <c r="I1423" t="s">
        <v>19</v>
      </c>
      <c r="J1423" t="str">
        <f>VLOOKUP(Table2[[#This Row],[Author]],People!A:B,2,0)</f>
        <v>MGF</v>
      </c>
      <c r="M1423" t="s">
        <v>2355</v>
      </c>
    </row>
    <row r="1424" spans="1:13" x14ac:dyDescent="0.25">
      <c r="A1424" s="75">
        <f t="shared" si="22"/>
        <v>1423</v>
      </c>
      <c r="B1424" s="13" t="s">
        <v>2330</v>
      </c>
      <c r="C1424" t="s">
        <v>2351</v>
      </c>
      <c r="D1424" t="s">
        <v>2360</v>
      </c>
      <c r="E1424" t="s">
        <v>2361</v>
      </c>
      <c r="F1424" t="s">
        <v>2352</v>
      </c>
      <c r="G1424" t="s">
        <v>496</v>
      </c>
      <c r="H1424" s="75" t="str">
        <f>IFERROR(VLOOKUP(Table2[[#This Row],[Ticket]],Okey!A:B,2,0),"")</f>
        <v>ok</v>
      </c>
      <c r="I1424" t="s">
        <v>19</v>
      </c>
      <c r="J1424" t="str">
        <f>VLOOKUP(Table2[[#This Row],[Author]],People!A:B,2,0)</f>
        <v>MGF</v>
      </c>
      <c r="M1424" t="s">
        <v>2355</v>
      </c>
    </row>
    <row r="1425" spans="1:13" x14ac:dyDescent="0.25">
      <c r="A1425" s="75">
        <f t="shared" si="22"/>
        <v>1424</v>
      </c>
      <c r="B1425" s="13" t="s">
        <v>2330</v>
      </c>
      <c r="C1425" t="s">
        <v>2362</v>
      </c>
      <c r="D1425" t="s">
        <v>754</v>
      </c>
      <c r="F1425" t="s">
        <v>446</v>
      </c>
      <c r="G1425" t="s">
        <v>24</v>
      </c>
      <c r="H1425" s="75" t="str">
        <f>IFERROR(VLOOKUP(Table2[[#This Row],[Ticket]],Okey!A:B,2,0),"")</f>
        <v>ok</v>
      </c>
      <c r="I1425" t="s">
        <v>19</v>
      </c>
      <c r="J1425" t="str">
        <f>VLOOKUP(Table2[[#This Row],[Author]],People!A:B,2,0)</f>
        <v>MGF</v>
      </c>
      <c r="M1425" t="s">
        <v>2363</v>
      </c>
    </row>
    <row r="1426" spans="1:13" x14ac:dyDescent="0.25">
      <c r="A1426" s="75">
        <f t="shared" si="22"/>
        <v>1425</v>
      </c>
      <c r="B1426" s="13" t="s">
        <v>2330</v>
      </c>
      <c r="C1426" t="s">
        <v>2364</v>
      </c>
      <c r="D1426" t="s">
        <v>2365</v>
      </c>
      <c r="F1426" t="s">
        <v>327</v>
      </c>
      <c r="G1426" t="s">
        <v>328</v>
      </c>
      <c r="H1426" s="75" t="str">
        <f>IFERROR(VLOOKUP(Table2[[#This Row],[Ticket]],Okey!A:B,2,0),"")</f>
        <v>ok</v>
      </c>
      <c r="I1426" t="s">
        <v>19</v>
      </c>
      <c r="J1426" t="str">
        <f>VLOOKUP(Table2[[#This Row],[Author]],People!A:B,2,0)</f>
        <v>HC</v>
      </c>
      <c r="M1426" t="s">
        <v>2329</v>
      </c>
    </row>
    <row r="1427" spans="1:13" x14ac:dyDescent="0.25">
      <c r="A1427" s="75">
        <f t="shared" si="22"/>
        <v>1426</v>
      </c>
      <c r="B1427" s="13" t="s">
        <v>2330</v>
      </c>
      <c r="C1427" t="s">
        <v>2366</v>
      </c>
      <c r="D1427" t="s">
        <v>2369</v>
      </c>
      <c r="E1427" t="s">
        <v>2375</v>
      </c>
      <c r="F1427" t="s">
        <v>2370</v>
      </c>
      <c r="G1427" t="s">
        <v>18</v>
      </c>
      <c r="H1427" s="75" t="str">
        <f>IFERROR(VLOOKUP(Table2[[#This Row],[Ticket]],Okey!A:B,2,0),"")</f>
        <v>ok</v>
      </c>
      <c r="I1427" t="s">
        <v>19</v>
      </c>
      <c r="J1427" t="str">
        <f>VLOOKUP(Table2[[#This Row],[Author]],People!A:B,2,0)</f>
        <v>HC</v>
      </c>
      <c r="M1427" t="s">
        <v>670</v>
      </c>
    </row>
    <row r="1428" spans="1:13" x14ac:dyDescent="0.25">
      <c r="A1428" s="75">
        <f t="shared" si="22"/>
        <v>1427</v>
      </c>
      <c r="B1428" s="13" t="s">
        <v>2330</v>
      </c>
      <c r="C1428" t="s">
        <v>2366</v>
      </c>
      <c r="D1428" t="s">
        <v>2376</v>
      </c>
      <c r="E1428" t="s">
        <v>2377</v>
      </c>
      <c r="F1428" t="s">
        <v>2369</v>
      </c>
      <c r="G1428" t="s">
        <v>18</v>
      </c>
      <c r="H1428" s="75" t="str">
        <f>IFERROR(VLOOKUP(Table2[[#This Row],[Ticket]],Okey!A:B,2,0),"")</f>
        <v>ok</v>
      </c>
      <c r="I1428" t="s">
        <v>19</v>
      </c>
      <c r="J1428" t="str">
        <f>VLOOKUP(Table2[[#This Row],[Author]],People!A:B,2,0)</f>
        <v>HC</v>
      </c>
      <c r="M1428" t="s">
        <v>670</v>
      </c>
    </row>
    <row r="1429" spans="1:13" x14ac:dyDescent="0.25">
      <c r="A1429" s="75">
        <f t="shared" si="22"/>
        <v>1428</v>
      </c>
      <c r="B1429" s="13" t="s">
        <v>2330</v>
      </c>
      <c r="C1429" t="s">
        <v>2366</v>
      </c>
      <c r="D1429" t="s">
        <v>2373</v>
      </c>
      <c r="E1429" t="s">
        <v>2374</v>
      </c>
      <c r="F1429" t="s">
        <v>2369</v>
      </c>
      <c r="G1429" t="s">
        <v>18</v>
      </c>
      <c r="H1429" s="75" t="str">
        <f>IFERROR(VLOOKUP(Table2[[#This Row],[Ticket]],Okey!A:B,2,0),"")</f>
        <v>ok</v>
      </c>
      <c r="I1429" t="s">
        <v>19</v>
      </c>
      <c r="J1429" t="str">
        <f>VLOOKUP(Table2[[#This Row],[Author]],People!A:B,2,0)</f>
        <v>HC</v>
      </c>
      <c r="M1429" t="s">
        <v>670</v>
      </c>
    </row>
    <row r="1430" spans="1:13" x14ac:dyDescent="0.25">
      <c r="A1430" s="75">
        <f t="shared" si="22"/>
        <v>1429</v>
      </c>
      <c r="B1430" s="13" t="s">
        <v>2330</v>
      </c>
      <c r="C1430" t="s">
        <v>2366</v>
      </c>
      <c r="D1430" t="s">
        <v>2367</v>
      </c>
      <c r="E1430" t="s">
        <v>2368</v>
      </c>
      <c r="F1430" t="s">
        <v>2369</v>
      </c>
      <c r="G1430" t="s">
        <v>18</v>
      </c>
      <c r="H1430" s="75" t="str">
        <f>IFERROR(VLOOKUP(Table2[[#This Row],[Ticket]],Okey!A:B,2,0),"")</f>
        <v>ok</v>
      </c>
      <c r="I1430" t="s">
        <v>19</v>
      </c>
      <c r="J1430" t="str">
        <f>VLOOKUP(Table2[[#This Row],[Author]],People!A:B,2,0)</f>
        <v>HC</v>
      </c>
      <c r="M1430" t="s">
        <v>670</v>
      </c>
    </row>
    <row r="1431" spans="1:13" x14ac:dyDescent="0.25">
      <c r="A1431" s="75">
        <f t="shared" si="22"/>
        <v>1430</v>
      </c>
      <c r="B1431" s="13" t="s">
        <v>2330</v>
      </c>
      <c r="C1431" t="s">
        <v>2351</v>
      </c>
      <c r="D1431" t="s">
        <v>2352</v>
      </c>
      <c r="E1431" t="s">
        <v>2353</v>
      </c>
      <c r="F1431" t="s">
        <v>2354</v>
      </c>
      <c r="G1431" t="s">
        <v>18</v>
      </c>
      <c r="H1431" s="75" t="str">
        <f>IFERROR(VLOOKUP(Table2[[#This Row],[Ticket]],Okey!A:B,2,0),"")</f>
        <v>ok</v>
      </c>
      <c r="I1431" t="s">
        <v>19</v>
      </c>
      <c r="J1431" t="str">
        <f>VLOOKUP(Table2[[#This Row],[Author]],People!A:B,2,0)</f>
        <v>MGF</v>
      </c>
      <c r="M1431" t="s">
        <v>2355</v>
      </c>
    </row>
    <row r="1432" spans="1:13" x14ac:dyDescent="0.25">
      <c r="A1432" s="75">
        <f t="shared" si="22"/>
        <v>1431</v>
      </c>
      <c r="B1432" s="13" t="s">
        <v>2330</v>
      </c>
      <c r="C1432" t="s">
        <v>2366</v>
      </c>
      <c r="D1432" t="s">
        <v>2378</v>
      </c>
      <c r="E1432" t="s">
        <v>2379</v>
      </c>
      <c r="G1432" t="s">
        <v>63</v>
      </c>
      <c r="H1432" s="75" t="str">
        <f>IFERROR(VLOOKUP(Table2[[#This Row],[Ticket]],Okey!A:B,2,0),"")</f>
        <v>ok</v>
      </c>
      <c r="I1432" t="s">
        <v>19</v>
      </c>
      <c r="J1432" t="str">
        <f>VLOOKUP(Table2[[#This Row],[Author]],People!A:B,2,0)</f>
        <v>HC</v>
      </c>
      <c r="M1432" t="s">
        <v>670</v>
      </c>
    </row>
    <row r="1433" spans="1:13" x14ac:dyDescent="0.25">
      <c r="A1433" s="75">
        <f t="shared" si="22"/>
        <v>1432</v>
      </c>
      <c r="B1433" s="13" t="s">
        <v>2330</v>
      </c>
      <c r="C1433" t="s">
        <v>2366</v>
      </c>
      <c r="D1433" t="s">
        <v>2380</v>
      </c>
      <c r="E1433" t="s">
        <v>2381</v>
      </c>
      <c r="G1433" t="s">
        <v>63</v>
      </c>
      <c r="H1433" s="75" t="str">
        <f>IFERROR(VLOOKUP(Table2[[#This Row],[Ticket]],Okey!A:B,2,0),"")</f>
        <v>ok</v>
      </c>
      <c r="I1433" t="s">
        <v>19</v>
      </c>
      <c r="J1433" t="str">
        <f>VLOOKUP(Table2[[#This Row],[Author]],People!A:B,2,0)</f>
        <v>HC</v>
      </c>
      <c r="M1433" t="s">
        <v>670</v>
      </c>
    </row>
    <row r="1434" spans="1:13" x14ac:dyDescent="0.25">
      <c r="A1434" s="75">
        <f t="shared" si="22"/>
        <v>1433</v>
      </c>
      <c r="B1434" s="13" t="s">
        <v>2330</v>
      </c>
      <c r="C1434" t="s">
        <v>2366</v>
      </c>
      <c r="D1434" t="s">
        <v>2382</v>
      </c>
      <c r="E1434" t="s">
        <v>2383</v>
      </c>
      <c r="G1434" t="s">
        <v>63</v>
      </c>
      <c r="H1434" s="75" t="str">
        <f>IFERROR(VLOOKUP(Table2[[#This Row],[Ticket]],Okey!A:B,2,0),"")</f>
        <v>ok</v>
      </c>
      <c r="I1434" t="s">
        <v>19</v>
      </c>
      <c r="J1434" t="str">
        <f>VLOOKUP(Table2[[#This Row],[Author]],People!A:B,2,0)</f>
        <v>HC</v>
      </c>
      <c r="M1434" t="s">
        <v>670</v>
      </c>
    </row>
    <row r="1435" spans="1:13" x14ac:dyDescent="0.25">
      <c r="A1435" s="75">
        <f t="shared" si="22"/>
        <v>1434</v>
      </c>
      <c r="B1435" s="13" t="s">
        <v>2330</v>
      </c>
      <c r="C1435" t="s">
        <v>2366</v>
      </c>
      <c r="D1435" t="s">
        <v>2384</v>
      </c>
      <c r="E1435" t="s">
        <v>2385</v>
      </c>
      <c r="G1435" t="s">
        <v>63</v>
      </c>
      <c r="H1435" s="75" t="str">
        <f>IFERROR(VLOOKUP(Table2[[#This Row],[Ticket]],Okey!A:B,2,0),"")</f>
        <v>ok</v>
      </c>
      <c r="I1435" t="s">
        <v>19</v>
      </c>
      <c r="J1435" t="str">
        <f>VLOOKUP(Table2[[#This Row],[Author]],People!A:B,2,0)</f>
        <v>HC</v>
      </c>
      <c r="M1435" t="s">
        <v>670</v>
      </c>
    </row>
    <row r="1436" spans="1:13" x14ac:dyDescent="0.25">
      <c r="A1436" s="75">
        <f t="shared" si="22"/>
        <v>1435</v>
      </c>
      <c r="B1436" s="13" t="s">
        <v>2330</v>
      </c>
      <c r="C1436" t="s">
        <v>2366</v>
      </c>
      <c r="D1436" t="s">
        <v>2386</v>
      </c>
      <c r="E1436" t="s">
        <v>2381</v>
      </c>
      <c r="G1436" t="s">
        <v>63</v>
      </c>
      <c r="H1436" s="75" t="str">
        <f>IFERROR(VLOOKUP(Table2[[#This Row],[Ticket]],Okey!A:B,2,0),"")</f>
        <v>ok</v>
      </c>
      <c r="I1436" t="s">
        <v>19</v>
      </c>
      <c r="J1436" t="str">
        <f>VLOOKUP(Table2[[#This Row],[Author]],People!A:B,2,0)</f>
        <v>HC</v>
      </c>
      <c r="M1436" t="s">
        <v>670</v>
      </c>
    </row>
    <row r="1437" spans="1:13" x14ac:dyDescent="0.25">
      <c r="A1437" s="75">
        <f t="shared" si="22"/>
        <v>1436</v>
      </c>
      <c r="B1437" s="13" t="s">
        <v>2330</v>
      </c>
      <c r="C1437" t="s">
        <v>2366</v>
      </c>
      <c r="D1437" t="s">
        <v>2387</v>
      </c>
      <c r="E1437" t="s">
        <v>2383</v>
      </c>
      <c r="G1437" t="s">
        <v>63</v>
      </c>
      <c r="H1437" s="75" t="str">
        <f>IFERROR(VLOOKUP(Table2[[#This Row],[Ticket]],Okey!A:B,2,0),"")</f>
        <v>ok</v>
      </c>
      <c r="I1437" t="s">
        <v>19</v>
      </c>
      <c r="J1437" t="str">
        <f>VLOOKUP(Table2[[#This Row],[Author]],People!A:B,2,0)</f>
        <v>HC</v>
      </c>
      <c r="M1437" t="s">
        <v>670</v>
      </c>
    </row>
    <row r="1438" spans="1:13" x14ac:dyDescent="0.25">
      <c r="A1438" s="75">
        <f t="shared" si="22"/>
        <v>1437</v>
      </c>
      <c r="B1438" s="13" t="s">
        <v>2330</v>
      </c>
      <c r="C1438" t="s">
        <v>2366</v>
      </c>
      <c r="D1438" t="s">
        <v>2388</v>
      </c>
      <c r="E1438" t="s">
        <v>2383</v>
      </c>
      <c r="G1438" t="s">
        <v>63</v>
      </c>
      <c r="H1438" s="75" t="str">
        <f>IFERROR(VLOOKUP(Table2[[#This Row],[Ticket]],Okey!A:B,2,0),"")</f>
        <v>ok</v>
      </c>
      <c r="I1438" t="s">
        <v>19</v>
      </c>
      <c r="J1438" t="str">
        <f>VLOOKUP(Table2[[#This Row],[Author]],People!A:B,2,0)</f>
        <v>HC</v>
      </c>
      <c r="M1438" t="s">
        <v>670</v>
      </c>
    </row>
    <row r="1439" spans="1:13" x14ac:dyDescent="0.25">
      <c r="A1439" s="75">
        <f t="shared" si="22"/>
        <v>1438</v>
      </c>
      <c r="B1439" s="13" t="s">
        <v>2330</v>
      </c>
      <c r="C1439" t="s">
        <v>2366</v>
      </c>
      <c r="D1439" t="s">
        <v>2389</v>
      </c>
      <c r="E1439" t="s">
        <v>2383</v>
      </c>
      <c r="G1439" t="s">
        <v>63</v>
      </c>
      <c r="H1439" s="75" t="str">
        <f>IFERROR(VLOOKUP(Table2[[#This Row],[Ticket]],Okey!A:B,2,0),"")</f>
        <v>ok</v>
      </c>
      <c r="I1439" t="s">
        <v>19</v>
      </c>
      <c r="J1439" t="str">
        <f>VLOOKUP(Table2[[#This Row],[Author]],People!A:B,2,0)</f>
        <v>HC</v>
      </c>
      <c r="M1439" t="s">
        <v>670</v>
      </c>
    </row>
    <row r="1440" spans="1:13" x14ac:dyDescent="0.25">
      <c r="A1440" s="75">
        <f t="shared" si="22"/>
        <v>1439</v>
      </c>
      <c r="B1440" s="13" t="s">
        <v>2330</v>
      </c>
      <c r="C1440" t="s">
        <v>2366</v>
      </c>
      <c r="D1440" t="s">
        <v>2390</v>
      </c>
      <c r="E1440" t="s">
        <v>2383</v>
      </c>
      <c r="G1440" t="s">
        <v>63</v>
      </c>
      <c r="H1440" s="75" t="str">
        <f>IFERROR(VLOOKUP(Table2[[#This Row],[Ticket]],Okey!A:B,2,0),"")</f>
        <v>ok</v>
      </c>
      <c r="I1440" t="s">
        <v>19</v>
      </c>
      <c r="J1440" t="str">
        <f>VLOOKUP(Table2[[#This Row],[Author]],People!A:B,2,0)</f>
        <v>HC</v>
      </c>
      <c r="M1440" t="s">
        <v>670</v>
      </c>
    </row>
    <row r="1441" spans="1:13" x14ac:dyDescent="0.25">
      <c r="A1441" s="75">
        <f t="shared" si="22"/>
        <v>1440</v>
      </c>
      <c r="B1441" s="13" t="s">
        <v>2330</v>
      </c>
      <c r="C1441" t="s">
        <v>2366</v>
      </c>
      <c r="D1441" t="s">
        <v>2391</v>
      </c>
      <c r="E1441" t="s">
        <v>2383</v>
      </c>
      <c r="G1441" t="s">
        <v>63</v>
      </c>
      <c r="H1441" s="75" t="str">
        <f>IFERROR(VLOOKUP(Table2[[#This Row],[Ticket]],Okey!A:B,2,0),"")</f>
        <v>ok</v>
      </c>
      <c r="I1441" t="s">
        <v>19</v>
      </c>
      <c r="J1441" t="str">
        <f>VLOOKUP(Table2[[#This Row],[Author]],People!A:B,2,0)</f>
        <v>HC</v>
      </c>
      <c r="M1441" t="s">
        <v>670</v>
      </c>
    </row>
    <row r="1442" spans="1:13" x14ac:dyDescent="0.25">
      <c r="A1442" s="75">
        <f t="shared" si="22"/>
        <v>1441</v>
      </c>
      <c r="B1442" s="13" t="s">
        <v>2330</v>
      </c>
      <c r="C1442" t="s">
        <v>2392</v>
      </c>
      <c r="D1442" s="36" t="s">
        <v>2393</v>
      </c>
      <c r="E1442" t="s">
        <v>2394</v>
      </c>
      <c r="G1442" t="s">
        <v>63</v>
      </c>
      <c r="H1442" s="75" t="str">
        <f>IFERROR(VLOOKUP(Table2[[#This Row],[Ticket]],Okey!A:B,2,0),"")</f>
        <v>ok</v>
      </c>
      <c r="I1442" t="s">
        <v>19</v>
      </c>
      <c r="J1442" t="str">
        <f>VLOOKUP(Table2[[#This Row],[Author]],People!A:B,2,0)</f>
        <v>HC</v>
      </c>
      <c r="M1442" t="s">
        <v>2329</v>
      </c>
    </row>
    <row r="1443" spans="1:13" x14ac:dyDescent="0.25">
      <c r="A1443" s="75">
        <f t="shared" si="22"/>
        <v>1442</v>
      </c>
      <c r="B1443" s="13" t="s">
        <v>2330</v>
      </c>
      <c r="C1443" t="s">
        <v>2392</v>
      </c>
      <c r="D1443" s="36" t="s">
        <v>39</v>
      </c>
      <c r="E1443" t="s">
        <v>2395</v>
      </c>
      <c r="G1443" t="s">
        <v>63</v>
      </c>
      <c r="H1443" s="75" t="str">
        <f>IFERROR(VLOOKUP(Table2[[#This Row],[Ticket]],Okey!A:B,2,0),"")</f>
        <v>ok</v>
      </c>
      <c r="I1443" t="s">
        <v>19</v>
      </c>
      <c r="J1443" t="str">
        <f>VLOOKUP(Table2[[#This Row],[Author]],People!A:B,2,0)</f>
        <v>HC</v>
      </c>
      <c r="M1443" t="s">
        <v>2329</v>
      </c>
    </row>
    <row r="1444" spans="1:13" x14ac:dyDescent="0.25">
      <c r="A1444" s="75">
        <f t="shared" si="22"/>
        <v>1443</v>
      </c>
      <c r="B1444" s="13" t="s">
        <v>2330</v>
      </c>
      <c r="C1444" t="s">
        <v>2396</v>
      </c>
      <c r="D1444" t="s">
        <v>2397</v>
      </c>
      <c r="F1444" t="s">
        <v>327</v>
      </c>
      <c r="G1444" t="s">
        <v>328</v>
      </c>
      <c r="H1444" s="75" t="str">
        <f>IFERROR(VLOOKUP(Table2[[#This Row],[Ticket]],Okey!A:B,2,0),"")</f>
        <v>ok</v>
      </c>
      <c r="I1444" t="s">
        <v>19</v>
      </c>
      <c r="J1444" t="str">
        <f>VLOOKUP(Table2[[#This Row],[Author]],People!A:B,2,0)</f>
        <v>MGF</v>
      </c>
      <c r="M1444" t="s">
        <v>761</v>
      </c>
    </row>
    <row r="1445" spans="1:13" x14ac:dyDescent="0.25">
      <c r="A1445" s="75">
        <f t="shared" si="22"/>
        <v>1444</v>
      </c>
      <c r="B1445" s="13" t="s">
        <v>2330</v>
      </c>
      <c r="C1445" t="s">
        <v>2396</v>
      </c>
      <c r="D1445" t="s">
        <v>2398</v>
      </c>
      <c r="F1445" t="s">
        <v>327</v>
      </c>
      <c r="G1445" t="s">
        <v>328</v>
      </c>
      <c r="H1445" s="75" t="str">
        <f>IFERROR(VLOOKUP(Table2[[#This Row],[Ticket]],Okey!A:B,2,0),"")</f>
        <v>ok</v>
      </c>
      <c r="I1445" t="s">
        <v>19</v>
      </c>
      <c r="J1445" t="str">
        <f>VLOOKUP(Table2[[#This Row],[Author]],People!A:B,2,0)</f>
        <v>MGF</v>
      </c>
      <c r="M1445" t="s">
        <v>761</v>
      </c>
    </row>
    <row r="1446" spans="1:13" x14ac:dyDescent="0.25">
      <c r="A1446" s="75">
        <f t="shared" si="22"/>
        <v>1445</v>
      </c>
      <c r="B1446" s="13" t="s">
        <v>2330</v>
      </c>
      <c r="C1446" t="s">
        <v>2396</v>
      </c>
      <c r="D1446" t="s">
        <v>2399</v>
      </c>
      <c r="F1446" t="s">
        <v>327</v>
      </c>
      <c r="G1446" t="s">
        <v>328</v>
      </c>
      <c r="H1446" s="75" t="str">
        <f>IFERROR(VLOOKUP(Table2[[#This Row],[Ticket]],Okey!A:B,2,0),"")</f>
        <v>ok</v>
      </c>
      <c r="I1446" t="s">
        <v>19</v>
      </c>
      <c r="J1446" t="str">
        <f>VLOOKUP(Table2[[#This Row],[Author]],People!A:B,2,0)</f>
        <v>MGF</v>
      </c>
      <c r="M1446" t="s">
        <v>761</v>
      </c>
    </row>
    <row r="1447" spans="1:13" x14ac:dyDescent="0.25">
      <c r="A1447" s="75">
        <f t="shared" si="22"/>
        <v>1446</v>
      </c>
      <c r="B1447" s="13" t="s">
        <v>2330</v>
      </c>
      <c r="C1447" t="s">
        <v>2396</v>
      </c>
      <c r="D1447" t="s">
        <v>2400</v>
      </c>
      <c r="F1447" t="s">
        <v>327</v>
      </c>
      <c r="G1447" t="s">
        <v>328</v>
      </c>
      <c r="H1447" s="75" t="str">
        <f>IFERROR(VLOOKUP(Table2[[#This Row],[Ticket]],Okey!A:B,2,0),"")</f>
        <v>ok</v>
      </c>
      <c r="I1447" t="s">
        <v>19</v>
      </c>
      <c r="J1447" t="str">
        <f>VLOOKUP(Table2[[#This Row],[Author]],People!A:B,2,0)</f>
        <v>MGF</v>
      </c>
      <c r="M1447" t="s">
        <v>761</v>
      </c>
    </row>
    <row r="1448" spans="1:13" x14ac:dyDescent="0.25">
      <c r="A1448" s="75">
        <f t="shared" si="22"/>
        <v>1447</v>
      </c>
      <c r="B1448" s="13" t="s">
        <v>2330</v>
      </c>
      <c r="C1448" t="s">
        <v>2396</v>
      </c>
      <c r="D1448" t="s">
        <v>2401</v>
      </c>
      <c r="F1448" t="s">
        <v>327</v>
      </c>
      <c r="G1448" t="s">
        <v>328</v>
      </c>
      <c r="H1448" s="75" t="str">
        <f>IFERROR(VLOOKUP(Table2[[#This Row],[Ticket]],Okey!A:B,2,0),"")</f>
        <v>ok</v>
      </c>
      <c r="I1448" t="s">
        <v>19</v>
      </c>
      <c r="J1448" t="str">
        <f>VLOOKUP(Table2[[#This Row],[Author]],People!A:B,2,0)</f>
        <v>MGF</v>
      </c>
      <c r="M1448" t="s">
        <v>761</v>
      </c>
    </row>
    <row r="1449" spans="1:13" x14ac:dyDescent="0.25">
      <c r="A1449" s="75">
        <f t="shared" si="22"/>
        <v>1448</v>
      </c>
      <c r="B1449" s="13" t="s">
        <v>2330</v>
      </c>
      <c r="C1449" t="s">
        <v>2396</v>
      </c>
      <c r="D1449" t="s">
        <v>2402</v>
      </c>
      <c r="E1449" t="s">
        <v>2403</v>
      </c>
      <c r="F1449" t="s">
        <v>2404</v>
      </c>
      <c r="G1449" t="s">
        <v>18</v>
      </c>
      <c r="H1449" s="75" t="str">
        <f>IFERROR(VLOOKUP(Table2[[#This Row],[Ticket]],Okey!A:B,2,0),"")</f>
        <v>ok</v>
      </c>
      <c r="I1449" t="s">
        <v>19</v>
      </c>
      <c r="J1449" t="str">
        <f>VLOOKUP(Table2[[#This Row],[Author]],People!A:B,2,0)</f>
        <v>MGF</v>
      </c>
      <c r="M1449" t="s">
        <v>761</v>
      </c>
    </row>
    <row r="1450" spans="1:13" x14ac:dyDescent="0.25">
      <c r="A1450" s="75">
        <f t="shared" si="22"/>
        <v>1449</v>
      </c>
      <c r="B1450" s="13" t="s">
        <v>2330</v>
      </c>
      <c r="C1450" t="s">
        <v>2396</v>
      </c>
      <c r="D1450" t="s">
        <v>2405</v>
      </c>
      <c r="E1450" t="s">
        <v>2406</v>
      </c>
      <c r="F1450" t="s">
        <v>2407</v>
      </c>
      <c r="G1450" t="s">
        <v>18</v>
      </c>
      <c r="H1450" s="75" t="str">
        <f>IFERROR(VLOOKUP(Table2[[#This Row],[Ticket]],Okey!A:B,2,0),"")</f>
        <v>ok</v>
      </c>
      <c r="I1450" t="s">
        <v>19</v>
      </c>
      <c r="J1450" t="str">
        <f>VLOOKUP(Table2[[#This Row],[Author]],People!A:B,2,0)</f>
        <v>MGF</v>
      </c>
      <c r="M1450" t="s">
        <v>761</v>
      </c>
    </row>
    <row r="1451" spans="1:13" x14ac:dyDescent="0.25">
      <c r="A1451" s="75">
        <f t="shared" si="22"/>
        <v>1450</v>
      </c>
      <c r="B1451" s="13" t="s">
        <v>2330</v>
      </c>
      <c r="C1451" t="s">
        <v>2396</v>
      </c>
      <c r="D1451" t="s">
        <v>2408</v>
      </c>
      <c r="E1451" t="s">
        <v>2409</v>
      </c>
      <c r="F1451" t="s">
        <v>779</v>
      </c>
      <c r="G1451" t="s">
        <v>18</v>
      </c>
      <c r="H1451" s="75" t="str">
        <f>IFERROR(VLOOKUP(Table2[[#This Row],[Ticket]],Okey!A:B,2,0),"")</f>
        <v>ok</v>
      </c>
      <c r="I1451" t="s">
        <v>19</v>
      </c>
      <c r="J1451" t="str">
        <f>VLOOKUP(Table2[[#This Row],[Author]],People!A:B,2,0)</f>
        <v>MGF</v>
      </c>
      <c r="M1451" t="s">
        <v>761</v>
      </c>
    </row>
    <row r="1452" spans="1:13" x14ac:dyDescent="0.25">
      <c r="A1452" s="75">
        <f t="shared" si="22"/>
        <v>1451</v>
      </c>
      <c r="B1452" s="13" t="s">
        <v>2330</v>
      </c>
      <c r="C1452" t="s">
        <v>2396</v>
      </c>
      <c r="D1452" t="s">
        <v>2407</v>
      </c>
      <c r="E1452" t="s">
        <v>2410</v>
      </c>
      <c r="F1452" t="s">
        <v>2402</v>
      </c>
      <c r="G1452" t="s">
        <v>18</v>
      </c>
      <c r="H1452" s="75" t="str">
        <f>IFERROR(VLOOKUP(Table2[[#This Row],[Ticket]],Okey!A:B,2,0),"")</f>
        <v>ok</v>
      </c>
      <c r="I1452" t="s">
        <v>19</v>
      </c>
      <c r="J1452" t="str">
        <f>VLOOKUP(Table2[[#This Row],[Author]],People!A:B,2,0)</f>
        <v>MGF</v>
      </c>
      <c r="M1452" t="s">
        <v>761</v>
      </c>
    </row>
    <row r="1453" spans="1:13" x14ac:dyDescent="0.25">
      <c r="A1453" s="75">
        <f t="shared" si="22"/>
        <v>1452</v>
      </c>
      <c r="B1453" s="13" t="s">
        <v>2330</v>
      </c>
      <c r="C1453" t="s">
        <v>2396</v>
      </c>
      <c r="D1453" t="s">
        <v>2411</v>
      </c>
      <c r="E1453" t="s">
        <v>2412</v>
      </c>
      <c r="F1453" t="s">
        <v>2402</v>
      </c>
      <c r="G1453" t="s">
        <v>18</v>
      </c>
      <c r="H1453" s="75" t="str">
        <f>IFERROR(VLOOKUP(Table2[[#This Row],[Ticket]],Okey!A:B,2,0),"")</f>
        <v>ok</v>
      </c>
      <c r="I1453" t="s">
        <v>19</v>
      </c>
      <c r="J1453" t="str">
        <f>VLOOKUP(Table2[[#This Row],[Author]],People!A:B,2,0)</f>
        <v>MGF</v>
      </c>
      <c r="M1453" t="s">
        <v>761</v>
      </c>
    </row>
    <row r="1454" spans="1:13" x14ac:dyDescent="0.25">
      <c r="A1454" s="75">
        <f t="shared" si="22"/>
        <v>1453</v>
      </c>
      <c r="B1454" s="13" t="s">
        <v>2330</v>
      </c>
      <c r="C1454" t="s">
        <v>2396</v>
      </c>
      <c r="D1454" t="s">
        <v>2413</v>
      </c>
      <c r="E1454" t="s">
        <v>2414</v>
      </c>
      <c r="G1454" t="s">
        <v>63</v>
      </c>
      <c r="H1454" s="75" t="str">
        <f>IFERROR(VLOOKUP(Table2[[#This Row],[Ticket]],Okey!A:B,2,0),"")</f>
        <v>ok</v>
      </c>
      <c r="I1454" t="s">
        <v>19</v>
      </c>
      <c r="J1454" t="str">
        <f>VLOOKUP(Table2[[#This Row],[Author]],People!A:B,2,0)</f>
        <v>MGF</v>
      </c>
      <c r="M1454" t="s">
        <v>761</v>
      </c>
    </row>
    <row r="1455" spans="1:13" x14ac:dyDescent="0.25">
      <c r="A1455" s="75">
        <f t="shared" si="22"/>
        <v>1454</v>
      </c>
      <c r="B1455" s="13" t="s">
        <v>2330</v>
      </c>
      <c r="C1455" t="s">
        <v>2396</v>
      </c>
      <c r="D1455" t="s">
        <v>2415</v>
      </c>
      <c r="E1455" t="s">
        <v>2416</v>
      </c>
      <c r="G1455" t="s">
        <v>63</v>
      </c>
      <c r="H1455" s="75" t="str">
        <f>IFERROR(VLOOKUP(Table2[[#This Row],[Ticket]],Okey!A:B,2,0),"")</f>
        <v>ok</v>
      </c>
      <c r="I1455" t="s">
        <v>19</v>
      </c>
      <c r="J1455" t="str">
        <f>VLOOKUP(Table2[[#This Row],[Author]],People!A:B,2,0)</f>
        <v>MGF</v>
      </c>
      <c r="M1455" t="s">
        <v>761</v>
      </c>
    </row>
    <row r="1456" spans="1:13" x14ac:dyDescent="0.25">
      <c r="A1456" s="75">
        <f t="shared" si="22"/>
        <v>1455</v>
      </c>
      <c r="B1456" s="13" t="s">
        <v>2330</v>
      </c>
      <c r="C1456" t="s">
        <v>2396</v>
      </c>
      <c r="D1456" t="s">
        <v>2417</v>
      </c>
      <c r="E1456" t="s">
        <v>2418</v>
      </c>
      <c r="G1456" t="s">
        <v>63</v>
      </c>
      <c r="H1456" s="75" t="str">
        <f>IFERROR(VLOOKUP(Table2[[#This Row],[Ticket]],Okey!A:B,2,0),"")</f>
        <v>ok</v>
      </c>
      <c r="I1456" t="s">
        <v>19</v>
      </c>
      <c r="J1456" t="str">
        <f>VLOOKUP(Table2[[#This Row],[Author]],People!A:B,2,0)</f>
        <v>MGF</v>
      </c>
      <c r="M1456" t="s">
        <v>761</v>
      </c>
    </row>
    <row r="1457" spans="1:13" x14ac:dyDescent="0.25">
      <c r="A1457" s="75">
        <f t="shared" si="22"/>
        <v>1456</v>
      </c>
      <c r="B1457" s="13" t="s">
        <v>2330</v>
      </c>
      <c r="C1457" t="s">
        <v>2419</v>
      </c>
      <c r="D1457" t="s">
        <v>2420</v>
      </c>
      <c r="E1457" t="s">
        <v>2421</v>
      </c>
      <c r="F1457" t="s">
        <v>2422</v>
      </c>
      <c r="G1457" t="s">
        <v>18</v>
      </c>
      <c r="H1457" s="75" t="str">
        <f>IFERROR(VLOOKUP(Table2[[#This Row],[Ticket]],Okey!A:B,2,0),"")</f>
        <v>ok</v>
      </c>
      <c r="I1457" t="s">
        <v>19</v>
      </c>
      <c r="J1457" t="str">
        <f>VLOOKUP(Table2[[#This Row],[Author]],People!A:B,2,0)</f>
        <v>EL</v>
      </c>
      <c r="M1457" t="s">
        <v>1752</v>
      </c>
    </row>
    <row r="1458" spans="1:13" x14ac:dyDescent="0.25">
      <c r="A1458" s="75">
        <f t="shared" si="22"/>
        <v>1457</v>
      </c>
      <c r="B1458" s="13" t="s">
        <v>2330</v>
      </c>
      <c r="C1458" s="13" t="s">
        <v>2423</v>
      </c>
      <c r="D1458" t="s">
        <v>2424</v>
      </c>
      <c r="F1458" t="s">
        <v>2425</v>
      </c>
      <c r="G1458" t="s">
        <v>24</v>
      </c>
      <c r="H1458" s="75" t="str">
        <f>IFERROR(VLOOKUP(Table2[[#This Row],[Ticket]],Okey!A:B,2,0),"")</f>
        <v>ok</v>
      </c>
      <c r="I1458" t="s">
        <v>19</v>
      </c>
      <c r="J1458" t="str">
        <f>VLOOKUP(Table2[[#This Row],[Author]],People!A:B,2,0)</f>
        <v>LS</v>
      </c>
      <c r="M1458" t="s">
        <v>1040</v>
      </c>
    </row>
    <row r="1459" spans="1:13" x14ac:dyDescent="0.25">
      <c r="A1459" s="75">
        <f t="shared" si="22"/>
        <v>1458</v>
      </c>
      <c r="B1459" s="13" t="s">
        <v>2330</v>
      </c>
      <c r="C1459" s="13" t="s">
        <v>2423</v>
      </c>
      <c r="D1459" t="s">
        <v>2426</v>
      </c>
      <c r="F1459" t="s">
        <v>2425</v>
      </c>
      <c r="G1459" t="s">
        <v>24</v>
      </c>
      <c r="H1459" s="75" t="str">
        <f>IFERROR(VLOOKUP(Table2[[#This Row],[Ticket]],Okey!A:B,2,0),"")</f>
        <v>ok</v>
      </c>
      <c r="I1459" t="s">
        <v>19</v>
      </c>
      <c r="J1459" t="str">
        <f>VLOOKUP(Table2[[#This Row],[Author]],People!A:B,2,0)</f>
        <v>LS</v>
      </c>
      <c r="M1459" t="s">
        <v>1040</v>
      </c>
    </row>
    <row r="1460" spans="1:13" x14ac:dyDescent="0.25">
      <c r="A1460" s="75">
        <f t="shared" si="22"/>
        <v>1459</v>
      </c>
      <c r="B1460" s="13" t="s">
        <v>2330</v>
      </c>
      <c r="C1460" s="13" t="s">
        <v>2423</v>
      </c>
      <c r="D1460" t="s">
        <v>2427</v>
      </c>
      <c r="F1460" t="s">
        <v>2428</v>
      </c>
      <c r="G1460" t="s">
        <v>24</v>
      </c>
      <c r="H1460" s="75" t="str">
        <f>IFERROR(VLOOKUP(Table2[[#This Row],[Ticket]],Okey!A:B,2,0),"")</f>
        <v>ok</v>
      </c>
      <c r="I1460" t="s">
        <v>19</v>
      </c>
      <c r="J1460" t="str">
        <f>VLOOKUP(Table2[[#This Row],[Author]],People!A:B,2,0)</f>
        <v>LS</v>
      </c>
      <c r="M1460" t="s">
        <v>1040</v>
      </c>
    </row>
    <row r="1461" spans="1:13" x14ac:dyDescent="0.25">
      <c r="A1461" s="75">
        <f t="shared" si="22"/>
        <v>1460</v>
      </c>
      <c r="B1461" s="13" t="s">
        <v>2330</v>
      </c>
      <c r="C1461" s="13" t="s">
        <v>2423</v>
      </c>
      <c r="D1461" t="s">
        <v>2429</v>
      </c>
      <c r="F1461" t="s">
        <v>2428</v>
      </c>
      <c r="G1461" t="s">
        <v>24</v>
      </c>
      <c r="H1461" s="75" t="str">
        <f>IFERROR(VLOOKUP(Table2[[#This Row],[Ticket]],Okey!A:B,2,0),"")</f>
        <v>ok</v>
      </c>
      <c r="I1461" t="s">
        <v>19</v>
      </c>
      <c r="J1461" t="str">
        <f>VLOOKUP(Table2[[#This Row],[Author]],People!A:B,2,0)</f>
        <v>LS</v>
      </c>
      <c r="M1461" t="s">
        <v>1040</v>
      </c>
    </row>
    <row r="1462" spans="1:13" x14ac:dyDescent="0.25">
      <c r="A1462" s="75">
        <f t="shared" si="22"/>
        <v>1461</v>
      </c>
      <c r="B1462" s="13" t="s">
        <v>2330</v>
      </c>
      <c r="C1462" s="13" t="s">
        <v>2423</v>
      </c>
      <c r="D1462" t="s">
        <v>2430</v>
      </c>
      <c r="F1462" t="s">
        <v>2428</v>
      </c>
      <c r="G1462" t="s">
        <v>24</v>
      </c>
      <c r="H1462" s="75" t="str">
        <f>IFERROR(VLOOKUP(Table2[[#This Row],[Ticket]],Okey!A:B,2,0),"")</f>
        <v>ok</v>
      </c>
      <c r="I1462" t="s">
        <v>19</v>
      </c>
      <c r="J1462" t="str">
        <f>VLOOKUP(Table2[[#This Row],[Author]],People!A:B,2,0)</f>
        <v>LS</v>
      </c>
      <c r="M1462" t="s">
        <v>1040</v>
      </c>
    </row>
    <row r="1463" spans="1:13" x14ac:dyDescent="0.25">
      <c r="A1463" s="75">
        <f t="shared" si="22"/>
        <v>1462</v>
      </c>
      <c r="B1463" s="13" t="s">
        <v>2330</v>
      </c>
      <c r="C1463" s="13" t="s">
        <v>2423</v>
      </c>
      <c r="D1463" t="s">
        <v>2431</v>
      </c>
      <c r="F1463" t="s">
        <v>2432</v>
      </c>
      <c r="G1463" t="s">
        <v>24</v>
      </c>
      <c r="H1463" s="75" t="str">
        <f>IFERROR(VLOOKUP(Table2[[#This Row],[Ticket]],Okey!A:B,2,0),"")</f>
        <v>ok</v>
      </c>
      <c r="I1463" t="s">
        <v>19</v>
      </c>
      <c r="J1463" t="str">
        <f>VLOOKUP(Table2[[#This Row],[Author]],People!A:B,2,0)</f>
        <v>LS</v>
      </c>
      <c r="M1463" t="s">
        <v>1040</v>
      </c>
    </row>
    <row r="1464" spans="1:13" x14ac:dyDescent="0.25">
      <c r="A1464" s="75">
        <f t="shared" si="22"/>
        <v>1463</v>
      </c>
      <c r="B1464" s="13" t="s">
        <v>2330</v>
      </c>
      <c r="C1464" s="13" t="s">
        <v>2423</v>
      </c>
      <c r="D1464" t="s">
        <v>2433</v>
      </c>
      <c r="F1464" t="s">
        <v>2432</v>
      </c>
      <c r="G1464" t="s">
        <v>24</v>
      </c>
      <c r="H1464" s="75" t="str">
        <f>IFERROR(VLOOKUP(Table2[[#This Row],[Ticket]],Okey!A:B,2,0),"")</f>
        <v>ok</v>
      </c>
      <c r="I1464" t="s">
        <v>19</v>
      </c>
      <c r="J1464" t="str">
        <f>VLOOKUP(Table2[[#This Row],[Author]],People!A:B,2,0)</f>
        <v>LS</v>
      </c>
      <c r="M1464" t="s">
        <v>1040</v>
      </c>
    </row>
    <row r="1465" spans="1:13" x14ac:dyDescent="0.25">
      <c r="A1465" s="75">
        <f t="shared" si="22"/>
        <v>1464</v>
      </c>
      <c r="B1465" s="13" t="s">
        <v>2330</v>
      </c>
      <c r="C1465" s="13" t="s">
        <v>2423</v>
      </c>
      <c r="D1465" t="s">
        <v>2434</v>
      </c>
      <c r="F1465" t="s">
        <v>2435</v>
      </c>
      <c r="G1465" t="s">
        <v>24</v>
      </c>
      <c r="H1465" s="75" t="str">
        <f>IFERROR(VLOOKUP(Table2[[#This Row],[Ticket]],Okey!A:B,2,0),"")</f>
        <v>ok</v>
      </c>
      <c r="I1465" t="s">
        <v>19</v>
      </c>
      <c r="J1465" t="str">
        <f>VLOOKUP(Table2[[#This Row],[Author]],People!A:B,2,0)</f>
        <v>LS</v>
      </c>
      <c r="M1465" t="s">
        <v>1040</v>
      </c>
    </row>
    <row r="1466" spans="1:13" x14ac:dyDescent="0.25">
      <c r="A1466" s="75">
        <f t="shared" si="22"/>
        <v>1465</v>
      </c>
      <c r="B1466" s="13" t="s">
        <v>2330</v>
      </c>
      <c r="C1466" s="13" t="s">
        <v>2423</v>
      </c>
      <c r="D1466" t="s">
        <v>2436</v>
      </c>
      <c r="F1466" t="s">
        <v>2437</v>
      </c>
      <c r="G1466" t="s">
        <v>24</v>
      </c>
      <c r="H1466" s="75" t="str">
        <f>IFERROR(VLOOKUP(Table2[[#This Row],[Ticket]],Okey!A:B,2,0),"")</f>
        <v>ok</v>
      </c>
      <c r="I1466" t="s">
        <v>19</v>
      </c>
      <c r="J1466" t="str">
        <f>VLOOKUP(Table2[[#This Row],[Author]],People!A:B,2,0)</f>
        <v>LS</v>
      </c>
      <c r="M1466" t="s">
        <v>1040</v>
      </c>
    </row>
    <row r="1467" spans="1:13" x14ac:dyDescent="0.25">
      <c r="A1467" s="75">
        <f t="shared" si="22"/>
        <v>1466</v>
      </c>
      <c r="B1467" s="13" t="s">
        <v>2330</v>
      </c>
      <c r="C1467" s="13" t="s">
        <v>2423</v>
      </c>
      <c r="D1467" t="s">
        <v>2438</v>
      </c>
      <c r="F1467" t="s">
        <v>2437</v>
      </c>
      <c r="G1467" t="s">
        <v>24</v>
      </c>
      <c r="H1467" s="75" t="str">
        <f>IFERROR(VLOOKUP(Table2[[#This Row],[Ticket]],Okey!A:B,2,0),"")</f>
        <v>ok</v>
      </c>
      <c r="I1467" t="s">
        <v>19</v>
      </c>
      <c r="J1467" t="str">
        <f>VLOOKUP(Table2[[#This Row],[Author]],People!A:B,2,0)</f>
        <v>LS</v>
      </c>
      <c r="M1467" t="s">
        <v>1040</v>
      </c>
    </row>
    <row r="1468" spans="1:13" x14ac:dyDescent="0.25">
      <c r="A1468" s="75">
        <f t="shared" si="22"/>
        <v>1467</v>
      </c>
      <c r="B1468" s="13" t="s">
        <v>2330</v>
      </c>
      <c r="C1468" s="13" t="s">
        <v>2423</v>
      </c>
      <c r="D1468" t="s">
        <v>2439</v>
      </c>
      <c r="F1468" t="s">
        <v>2437</v>
      </c>
      <c r="G1468" t="s">
        <v>24</v>
      </c>
      <c r="H1468" s="75" t="str">
        <f>IFERROR(VLOOKUP(Table2[[#This Row],[Ticket]],Okey!A:B,2,0),"")</f>
        <v>ok</v>
      </c>
      <c r="I1468" t="s">
        <v>19</v>
      </c>
      <c r="J1468" t="str">
        <f>VLOOKUP(Table2[[#This Row],[Author]],People!A:B,2,0)</f>
        <v>LS</v>
      </c>
      <c r="M1468" t="s">
        <v>1040</v>
      </c>
    </row>
    <row r="1469" spans="1:13" x14ac:dyDescent="0.25">
      <c r="A1469" s="75">
        <f t="shared" si="22"/>
        <v>1468</v>
      </c>
      <c r="B1469" s="13" t="s">
        <v>2330</v>
      </c>
      <c r="C1469" s="13" t="s">
        <v>2423</v>
      </c>
      <c r="D1469" t="s">
        <v>2440</v>
      </c>
      <c r="F1469" t="s">
        <v>2437</v>
      </c>
      <c r="G1469" t="s">
        <v>24</v>
      </c>
      <c r="H1469" s="75" t="str">
        <f>IFERROR(VLOOKUP(Table2[[#This Row],[Ticket]],Okey!A:B,2,0),"")</f>
        <v>ok</v>
      </c>
      <c r="I1469" t="s">
        <v>19</v>
      </c>
      <c r="J1469" t="str">
        <f>VLOOKUP(Table2[[#This Row],[Author]],People!A:B,2,0)</f>
        <v>LS</v>
      </c>
      <c r="M1469" t="s">
        <v>1040</v>
      </c>
    </row>
    <row r="1470" spans="1:13" x14ac:dyDescent="0.25">
      <c r="A1470" s="75">
        <f t="shared" si="22"/>
        <v>1469</v>
      </c>
      <c r="B1470" s="13" t="s">
        <v>2330</v>
      </c>
      <c r="C1470" s="13" t="s">
        <v>2423</v>
      </c>
      <c r="D1470" t="s">
        <v>2441</v>
      </c>
      <c r="F1470" t="s">
        <v>2437</v>
      </c>
      <c r="G1470" t="s">
        <v>24</v>
      </c>
      <c r="H1470" s="75" t="str">
        <f>IFERROR(VLOOKUP(Table2[[#This Row],[Ticket]],Okey!A:B,2,0),"")</f>
        <v>ok</v>
      </c>
      <c r="I1470" t="s">
        <v>19</v>
      </c>
      <c r="J1470" t="str">
        <f>VLOOKUP(Table2[[#This Row],[Author]],People!A:B,2,0)</f>
        <v>LS</v>
      </c>
      <c r="M1470" t="s">
        <v>1040</v>
      </c>
    </row>
    <row r="1471" spans="1:13" x14ac:dyDescent="0.25">
      <c r="A1471" s="75">
        <f t="shared" si="22"/>
        <v>1470</v>
      </c>
      <c r="B1471" s="13" t="s">
        <v>2330</v>
      </c>
      <c r="C1471" s="13" t="s">
        <v>2423</v>
      </c>
      <c r="D1471" t="s">
        <v>2442</v>
      </c>
      <c r="F1471" t="s">
        <v>2437</v>
      </c>
      <c r="G1471" t="s">
        <v>24</v>
      </c>
      <c r="H1471" s="75" t="str">
        <f>IFERROR(VLOOKUP(Table2[[#This Row],[Ticket]],Okey!A:B,2,0),"")</f>
        <v>ok</v>
      </c>
      <c r="I1471" t="s">
        <v>19</v>
      </c>
      <c r="J1471" t="str">
        <f>VLOOKUP(Table2[[#This Row],[Author]],People!A:B,2,0)</f>
        <v>LS</v>
      </c>
      <c r="M1471" t="s">
        <v>1040</v>
      </c>
    </row>
    <row r="1472" spans="1:13" x14ac:dyDescent="0.25">
      <c r="A1472" s="75">
        <f t="shared" si="22"/>
        <v>1471</v>
      </c>
      <c r="B1472" s="13" t="s">
        <v>2330</v>
      </c>
      <c r="C1472" s="13" t="s">
        <v>2423</v>
      </c>
      <c r="D1472" t="s">
        <v>2443</v>
      </c>
      <c r="F1472" t="s">
        <v>2437</v>
      </c>
      <c r="G1472" t="s">
        <v>24</v>
      </c>
      <c r="H1472" s="75" t="str">
        <f>IFERROR(VLOOKUP(Table2[[#This Row],[Ticket]],Okey!A:B,2,0),"")</f>
        <v>ok</v>
      </c>
      <c r="I1472" t="s">
        <v>19</v>
      </c>
      <c r="J1472" t="str">
        <f>VLOOKUP(Table2[[#This Row],[Author]],People!A:B,2,0)</f>
        <v>LS</v>
      </c>
      <c r="M1472" t="s">
        <v>1040</v>
      </c>
    </row>
    <row r="1473" spans="1:13" x14ac:dyDescent="0.25">
      <c r="A1473" s="75">
        <f t="shared" si="22"/>
        <v>1472</v>
      </c>
      <c r="B1473" s="13" t="s">
        <v>2330</v>
      </c>
      <c r="C1473" s="13" t="s">
        <v>2423</v>
      </c>
      <c r="D1473" t="s">
        <v>2444</v>
      </c>
      <c r="F1473" t="s">
        <v>2437</v>
      </c>
      <c r="G1473" t="s">
        <v>24</v>
      </c>
      <c r="H1473" s="75" t="str">
        <f>IFERROR(VLOOKUP(Table2[[#This Row],[Ticket]],Okey!A:B,2,0),"")</f>
        <v>ok</v>
      </c>
      <c r="I1473" t="s">
        <v>19</v>
      </c>
      <c r="J1473" t="str">
        <f>VLOOKUP(Table2[[#This Row],[Author]],People!A:B,2,0)</f>
        <v>LS</v>
      </c>
      <c r="M1473" t="s">
        <v>1040</v>
      </c>
    </row>
    <row r="1474" spans="1:13" x14ac:dyDescent="0.25">
      <c r="A1474" s="75">
        <f t="shared" si="22"/>
        <v>1473</v>
      </c>
      <c r="B1474" s="13" t="s">
        <v>2330</v>
      </c>
      <c r="C1474" s="13" t="s">
        <v>2423</v>
      </c>
      <c r="D1474" t="s">
        <v>2445</v>
      </c>
      <c r="F1474" t="s">
        <v>2437</v>
      </c>
      <c r="G1474" t="s">
        <v>24</v>
      </c>
      <c r="H1474" s="75" t="str">
        <f>IFERROR(VLOOKUP(Table2[[#This Row],[Ticket]],Okey!A:B,2,0),"")</f>
        <v>ok</v>
      </c>
      <c r="I1474" t="s">
        <v>19</v>
      </c>
      <c r="J1474" t="str">
        <f>VLOOKUP(Table2[[#This Row],[Author]],People!A:B,2,0)</f>
        <v>LS</v>
      </c>
      <c r="M1474" t="s">
        <v>1040</v>
      </c>
    </row>
    <row r="1475" spans="1:13" x14ac:dyDescent="0.25">
      <c r="A1475" s="75">
        <f t="shared" si="22"/>
        <v>1474</v>
      </c>
      <c r="B1475" s="13" t="s">
        <v>2330</v>
      </c>
      <c r="C1475" s="13" t="s">
        <v>2423</v>
      </c>
      <c r="D1475" t="s">
        <v>2446</v>
      </c>
      <c r="F1475" t="s">
        <v>2437</v>
      </c>
      <c r="G1475" t="s">
        <v>24</v>
      </c>
      <c r="H1475" s="75" t="str">
        <f>IFERROR(VLOOKUP(Table2[[#This Row],[Ticket]],Okey!A:B,2,0),"")</f>
        <v>ok</v>
      </c>
      <c r="I1475" t="s">
        <v>19</v>
      </c>
      <c r="J1475" t="str">
        <f>VLOOKUP(Table2[[#This Row],[Author]],People!A:B,2,0)</f>
        <v>LS</v>
      </c>
      <c r="M1475" t="s">
        <v>1040</v>
      </c>
    </row>
    <row r="1476" spans="1:13" x14ac:dyDescent="0.25">
      <c r="A1476" s="75">
        <f t="shared" si="22"/>
        <v>1475</v>
      </c>
      <c r="B1476" s="13" t="s">
        <v>2330</v>
      </c>
      <c r="C1476" s="13" t="s">
        <v>2423</v>
      </c>
      <c r="D1476" t="s">
        <v>2447</v>
      </c>
      <c r="F1476" t="s">
        <v>2448</v>
      </c>
      <c r="G1476" t="s">
        <v>24</v>
      </c>
      <c r="H1476" s="75" t="str">
        <f>IFERROR(VLOOKUP(Table2[[#This Row],[Ticket]],Okey!A:B,2,0),"")</f>
        <v>ok</v>
      </c>
      <c r="I1476" t="s">
        <v>19</v>
      </c>
      <c r="J1476" t="str">
        <f>VLOOKUP(Table2[[#This Row],[Author]],People!A:B,2,0)</f>
        <v>LS</v>
      </c>
      <c r="M1476" t="s">
        <v>1040</v>
      </c>
    </row>
    <row r="1477" spans="1:13" x14ac:dyDescent="0.25">
      <c r="A1477" s="75">
        <f t="shared" si="22"/>
        <v>1476</v>
      </c>
      <c r="B1477" s="13" t="s">
        <v>2330</v>
      </c>
      <c r="C1477" s="13" t="s">
        <v>2423</v>
      </c>
      <c r="D1477" t="s">
        <v>2449</v>
      </c>
      <c r="F1477" t="s">
        <v>2437</v>
      </c>
      <c r="G1477" t="s">
        <v>24</v>
      </c>
      <c r="H1477" s="75" t="str">
        <f>IFERROR(VLOOKUP(Table2[[#This Row],[Ticket]],Okey!A:B,2,0),"")</f>
        <v>ok</v>
      </c>
      <c r="I1477" t="s">
        <v>19</v>
      </c>
      <c r="J1477" t="str">
        <f>VLOOKUP(Table2[[#This Row],[Author]],People!A:B,2,0)</f>
        <v>LS</v>
      </c>
      <c r="M1477" t="s">
        <v>1040</v>
      </c>
    </row>
    <row r="1478" spans="1:13" x14ac:dyDescent="0.25">
      <c r="A1478" s="75">
        <f t="shared" si="22"/>
        <v>1477</v>
      </c>
      <c r="B1478" s="13" t="s">
        <v>2330</v>
      </c>
      <c r="C1478" s="13" t="s">
        <v>2423</v>
      </c>
      <c r="D1478" t="s">
        <v>2450</v>
      </c>
      <c r="F1478" t="s">
        <v>2451</v>
      </c>
      <c r="G1478" t="s">
        <v>24</v>
      </c>
      <c r="H1478" s="75" t="str">
        <f>IFERROR(VLOOKUP(Table2[[#This Row],[Ticket]],Okey!A:B,2,0),"")</f>
        <v>ok</v>
      </c>
      <c r="I1478" t="s">
        <v>19</v>
      </c>
      <c r="J1478" t="str">
        <f>VLOOKUP(Table2[[#This Row],[Author]],People!A:B,2,0)</f>
        <v>LS</v>
      </c>
      <c r="M1478" t="s">
        <v>1040</v>
      </c>
    </row>
    <row r="1479" spans="1:13" x14ac:dyDescent="0.25">
      <c r="A1479" s="75">
        <f t="shared" si="22"/>
        <v>1478</v>
      </c>
      <c r="B1479" s="13" t="s">
        <v>2330</v>
      </c>
      <c r="C1479" s="13" t="s">
        <v>2423</v>
      </c>
      <c r="D1479" t="s">
        <v>2452</v>
      </c>
      <c r="F1479" t="s">
        <v>2451</v>
      </c>
      <c r="G1479" t="s">
        <v>24</v>
      </c>
      <c r="H1479" s="75" t="str">
        <f>IFERROR(VLOOKUP(Table2[[#This Row],[Ticket]],Okey!A:B,2,0),"")</f>
        <v>ok</v>
      </c>
      <c r="I1479" t="s">
        <v>19</v>
      </c>
      <c r="J1479" t="str">
        <f>VLOOKUP(Table2[[#This Row],[Author]],People!A:B,2,0)</f>
        <v>LS</v>
      </c>
      <c r="M1479" t="s">
        <v>1040</v>
      </c>
    </row>
    <row r="1480" spans="1:13" x14ac:dyDescent="0.25">
      <c r="A1480" s="75">
        <f t="shared" si="22"/>
        <v>1479</v>
      </c>
      <c r="B1480" s="13" t="s">
        <v>2330</v>
      </c>
      <c r="C1480" s="13" t="s">
        <v>2423</v>
      </c>
      <c r="D1480" t="s">
        <v>2453</v>
      </c>
      <c r="F1480" t="s">
        <v>2451</v>
      </c>
      <c r="G1480" t="s">
        <v>24</v>
      </c>
      <c r="H1480" s="75" t="str">
        <f>IFERROR(VLOOKUP(Table2[[#This Row],[Ticket]],Okey!A:B,2,0),"")</f>
        <v>ok</v>
      </c>
      <c r="I1480" t="s">
        <v>19</v>
      </c>
      <c r="J1480" t="str">
        <f>VLOOKUP(Table2[[#This Row],[Author]],People!A:B,2,0)</f>
        <v>LS</v>
      </c>
      <c r="M1480" t="s">
        <v>1040</v>
      </c>
    </row>
    <row r="1481" spans="1:13" x14ac:dyDescent="0.25">
      <c r="A1481" s="75">
        <f t="shared" ref="A1481:A1544" si="23">1+A1480</f>
        <v>1480</v>
      </c>
      <c r="B1481" s="13" t="s">
        <v>2330</v>
      </c>
      <c r="C1481" s="13" t="s">
        <v>2423</v>
      </c>
      <c r="D1481" t="s">
        <v>2454</v>
      </c>
      <c r="F1481" t="s">
        <v>2451</v>
      </c>
      <c r="G1481" t="s">
        <v>24</v>
      </c>
      <c r="H1481" s="75" t="str">
        <f>IFERROR(VLOOKUP(Table2[[#This Row],[Ticket]],Okey!A:B,2,0),"")</f>
        <v>ok</v>
      </c>
      <c r="I1481" t="s">
        <v>19</v>
      </c>
      <c r="J1481" t="str">
        <f>VLOOKUP(Table2[[#This Row],[Author]],People!A:B,2,0)</f>
        <v>LS</v>
      </c>
      <c r="M1481" t="s">
        <v>1040</v>
      </c>
    </row>
    <row r="1482" spans="1:13" x14ac:dyDescent="0.25">
      <c r="A1482" s="75">
        <f t="shared" si="23"/>
        <v>1481</v>
      </c>
      <c r="B1482" s="13" t="s">
        <v>2330</v>
      </c>
      <c r="C1482" s="13" t="s">
        <v>2423</v>
      </c>
      <c r="D1482" t="s">
        <v>2455</v>
      </c>
      <c r="F1482" t="s">
        <v>2456</v>
      </c>
      <c r="G1482" t="s">
        <v>24</v>
      </c>
      <c r="H1482" s="75" t="str">
        <f>IFERROR(VLOOKUP(Table2[[#This Row],[Ticket]],Okey!A:B,2,0),"")</f>
        <v>ok</v>
      </c>
      <c r="I1482" t="s">
        <v>19</v>
      </c>
      <c r="J1482" t="str">
        <f>VLOOKUP(Table2[[#This Row],[Author]],People!A:B,2,0)</f>
        <v>LS</v>
      </c>
      <c r="M1482" t="s">
        <v>1040</v>
      </c>
    </row>
    <row r="1483" spans="1:13" x14ac:dyDescent="0.25">
      <c r="A1483" s="75">
        <f t="shared" si="23"/>
        <v>1482</v>
      </c>
      <c r="B1483" s="13" t="s">
        <v>2330</v>
      </c>
      <c r="C1483" s="13" t="s">
        <v>2423</v>
      </c>
      <c r="D1483" t="s">
        <v>2457</v>
      </c>
      <c r="F1483" t="s">
        <v>2456</v>
      </c>
      <c r="G1483" t="s">
        <v>24</v>
      </c>
      <c r="H1483" s="75" t="str">
        <f>IFERROR(VLOOKUP(Table2[[#This Row],[Ticket]],Okey!A:B,2,0),"")</f>
        <v>ok</v>
      </c>
      <c r="I1483" t="s">
        <v>19</v>
      </c>
      <c r="J1483" t="str">
        <f>VLOOKUP(Table2[[#This Row],[Author]],People!A:B,2,0)</f>
        <v>LS</v>
      </c>
      <c r="M1483" t="s">
        <v>1040</v>
      </c>
    </row>
    <row r="1484" spans="1:13" x14ac:dyDescent="0.25">
      <c r="A1484" s="75">
        <f t="shared" si="23"/>
        <v>1483</v>
      </c>
      <c r="B1484" s="13" t="s">
        <v>2330</v>
      </c>
      <c r="C1484" s="13" t="s">
        <v>2423</v>
      </c>
      <c r="D1484" t="s">
        <v>2458</v>
      </c>
      <c r="F1484" t="s">
        <v>2459</v>
      </c>
      <c r="G1484" t="s">
        <v>24</v>
      </c>
      <c r="H1484" s="75" t="str">
        <f>IFERROR(VLOOKUP(Table2[[#This Row],[Ticket]],Okey!A:B,2,0),"")</f>
        <v>ok</v>
      </c>
      <c r="I1484" t="s">
        <v>19</v>
      </c>
      <c r="J1484" t="str">
        <f>VLOOKUP(Table2[[#This Row],[Author]],People!A:B,2,0)</f>
        <v>LS</v>
      </c>
      <c r="M1484" t="s">
        <v>1040</v>
      </c>
    </row>
    <row r="1485" spans="1:13" x14ac:dyDescent="0.25">
      <c r="A1485" s="75">
        <f t="shared" si="23"/>
        <v>1484</v>
      </c>
      <c r="B1485" s="13" t="s">
        <v>2330</v>
      </c>
      <c r="C1485" s="13" t="s">
        <v>2423</v>
      </c>
      <c r="D1485" t="s">
        <v>2460</v>
      </c>
      <c r="F1485" t="s">
        <v>2461</v>
      </c>
      <c r="G1485" t="s">
        <v>24</v>
      </c>
      <c r="H1485" s="75" t="str">
        <f>IFERROR(VLOOKUP(Table2[[#This Row],[Ticket]],Okey!A:B,2,0),"")</f>
        <v>ok</v>
      </c>
      <c r="I1485" t="s">
        <v>19</v>
      </c>
      <c r="J1485" t="str">
        <f>VLOOKUP(Table2[[#This Row],[Author]],People!A:B,2,0)</f>
        <v>LS</v>
      </c>
      <c r="M1485" t="s">
        <v>1040</v>
      </c>
    </row>
    <row r="1486" spans="1:13" x14ac:dyDescent="0.25">
      <c r="A1486" s="75">
        <f t="shared" si="23"/>
        <v>1485</v>
      </c>
      <c r="B1486" s="13" t="s">
        <v>2330</v>
      </c>
      <c r="C1486" s="13" t="s">
        <v>2423</v>
      </c>
      <c r="D1486" t="s">
        <v>2462</v>
      </c>
      <c r="F1486" t="s">
        <v>2461</v>
      </c>
      <c r="G1486" t="s">
        <v>24</v>
      </c>
      <c r="H1486" s="75" t="str">
        <f>IFERROR(VLOOKUP(Table2[[#This Row],[Ticket]],Okey!A:B,2,0),"")</f>
        <v>ok</v>
      </c>
      <c r="I1486" t="s">
        <v>19</v>
      </c>
      <c r="J1486" t="str">
        <f>VLOOKUP(Table2[[#This Row],[Author]],People!A:B,2,0)</f>
        <v>LS</v>
      </c>
      <c r="M1486" t="s">
        <v>1040</v>
      </c>
    </row>
    <row r="1487" spans="1:13" x14ac:dyDescent="0.25">
      <c r="A1487" s="75">
        <f t="shared" si="23"/>
        <v>1486</v>
      </c>
      <c r="B1487" s="13" t="s">
        <v>2330</v>
      </c>
      <c r="C1487" s="13" t="s">
        <v>2423</v>
      </c>
      <c r="D1487" t="s">
        <v>2463</v>
      </c>
      <c r="F1487" t="s">
        <v>2459</v>
      </c>
      <c r="G1487" t="s">
        <v>24</v>
      </c>
      <c r="H1487" s="75" t="str">
        <f>IFERROR(VLOOKUP(Table2[[#This Row],[Ticket]],Okey!A:B,2,0),"")</f>
        <v>ok</v>
      </c>
      <c r="I1487" t="s">
        <v>19</v>
      </c>
      <c r="J1487" t="str">
        <f>VLOOKUP(Table2[[#This Row],[Author]],People!A:B,2,0)</f>
        <v>LS</v>
      </c>
      <c r="M1487" t="s">
        <v>1040</v>
      </c>
    </row>
    <row r="1488" spans="1:13" x14ac:dyDescent="0.25">
      <c r="A1488" s="75">
        <f t="shared" si="23"/>
        <v>1487</v>
      </c>
      <c r="B1488" s="13" t="s">
        <v>2330</v>
      </c>
      <c r="C1488" s="13" t="s">
        <v>2423</v>
      </c>
      <c r="D1488" t="s">
        <v>2464</v>
      </c>
      <c r="F1488" t="s">
        <v>2465</v>
      </c>
      <c r="G1488" t="s">
        <v>24</v>
      </c>
      <c r="H1488" s="75" t="str">
        <f>IFERROR(VLOOKUP(Table2[[#This Row],[Ticket]],Okey!A:B,2,0),"")</f>
        <v>ok</v>
      </c>
      <c r="I1488" t="s">
        <v>19</v>
      </c>
      <c r="J1488" t="str">
        <f>VLOOKUP(Table2[[#This Row],[Author]],People!A:B,2,0)</f>
        <v>LS</v>
      </c>
      <c r="M1488" t="s">
        <v>1040</v>
      </c>
    </row>
    <row r="1489" spans="1:13" x14ac:dyDescent="0.25">
      <c r="A1489" s="75">
        <f t="shared" si="23"/>
        <v>1488</v>
      </c>
      <c r="B1489" s="13" t="s">
        <v>2330</v>
      </c>
      <c r="C1489" s="13" t="s">
        <v>2423</v>
      </c>
      <c r="D1489" t="s">
        <v>2466</v>
      </c>
      <c r="F1489" t="s">
        <v>2465</v>
      </c>
      <c r="G1489" t="s">
        <v>24</v>
      </c>
      <c r="H1489" s="75" t="str">
        <f>IFERROR(VLOOKUP(Table2[[#This Row],[Ticket]],Okey!A:B,2,0),"")</f>
        <v>ok</v>
      </c>
      <c r="I1489" t="s">
        <v>19</v>
      </c>
      <c r="J1489" t="str">
        <f>VLOOKUP(Table2[[#This Row],[Author]],People!A:B,2,0)</f>
        <v>LS</v>
      </c>
      <c r="M1489" t="s">
        <v>1040</v>
      </c>
    </row>
    <row r="1490" spans="1:13" x14ac:dyDescent="0.25">
      <c r="A1490" s="75">
        <f t="shared" si="23"/>
        <v>1489</v>
      </c>
      <c r="B1490" s="13" t="s">
        <v>2330</v>
      </c>
      <c r="C1490" s="13" t="s">
        <v>2423</v>
      </c>
      <c r="D1490" t="s">
        <v>2467</v>
      </c>
      <c r="F1490" t="s">
        <v>2465</v>
      </c>
      <c r="G1490" t="s">
        <v>24</v>
      </c>
      <c r="H1490" s="75" t="str">
        <f>IFERROR(VLOOKUP(Table2[[#This Row],[Ticket]],Okey!A:B,2,0),"")</f>
        <v>ok</v>
      </c>
      <c r="I1490" t="s">
        <v>19</v>
      </c>
      <c r="J1490" t="str">
        <f>VLOOKUP(Table2[[#This Row],[Author]],People!A:B,2,0)</f>
        <v>LS</v>
      </c>
      <c r="M1490" t="s">
        <v>1040</v>
      </c>
    </row>
    <row r="1491" spans="1:13" x14ac:dyDescent="0.25">
      <c r="A1491" s="75">
        <f t="shared" si="23"/>
        <v>1490</v>
      </c>
      <c r="B1491" s="13" t="s">
        <v>2330</v>
      </c>
      <c r="C1491" s="13" t="s">
        <v>2423</v>
      </c>
      <c r="D1491" t="s">
        <v>2468</v>
      </c>
      <c r="F1491" t="s">
        <v>2465</v>
      </c>
      <c r="G1491" t="s">
        <v>24</v>
      </c>
      <c r="H1491" s="75" t="str">
        <f>IFERROR(VLOOKUP(Table2[[#This Row],[Ticket]],Okey!A:B,2,0),"")</f>
        <v>ok</v>
      </c>
      <c r="I1491" t="s">
        <v>19</v>
      </c>
      <c r="J1491" t="str">
        <f>VLOOKUP(Table2[[#This Row],[Author]],People!A:B,2,0)</f>
        <v>LS</v>
      </c>
      <c r="M1491" t="s">
        <v>1040</v>
      </c>
    </row>
    <row r="1492" spans="1:13" x14ac:dyDescent="0.25">
      <c r="A1492" s="75">
        <f t="shared" si="23"/>
        <v>1491</v>
      </c>
      <c r="B1492" s="13" t="s">
        <v>2330</v>
      </c>
      <c r="C1492" s="13" t="s">
        <v>2423</v>
      </c>
      <c r="D1492" t="s">
        <v>2469</v>
      </c>
      <c r="F1492" t="s">
        <v>2465</v>
      </c>
      <c r="G1492" t="s">
        <v>24</v>
      </c>
      <c r="H1492" s="75" t="str">
        <f>IFERROR(VLOOKUP(Table2[[#This Row],[Ticket]],Okey!A:B,2,0),"")</f>
        <v>ok</v>
      </c>
      <c r="I1492" t="s">
        <v>19</v>
      </c>
      <c r="J1492" t="str">
        <f>VLOOKUP(Table2[[#This Row],[Author]],People!A:B,2,0)</f>
        <v>LS</v>
      </c>
      <c r="M1492" t="s">
        <v>1040</v>
      </c>
    </row>
    <row r="1493" spans="1:13" x14ac:dyDescent="0.25">
      <c r="A1493" s="75">
        <f t="shared" si="23"/>
        <v>1492</v>
      </c>
      <c r="B1493" s="13" t="s">
        <v>2330</v>
      </c>
      <c r="C1493" s="13" t="s">
        <v>2423</v>
      </c>
      <c r="D1493" t="s">
        <v>2470</v>
      </c>
      <c r="F1493" t="s">
        <v>2465</v>
      </c>
      <c r="G1493" t="s">
        <v>24</v>
      </c>
      <c r="H1493" s="75" t="str">
        <f>IFERROR(VLOOKUP(Table2[[#This Row],[Ticket]],Okey!A:B,2,0),"")</f>
        <v>ok</v>
      </c>
      <c r="I1493" t="s">
        <v>19</v>
      </c>
      <c r="J1493" t="str">
        <f>VLOOKUP(Table2[[#This Row],[Author]],People!A:B,2,0)</f>
        <v>LS</v>
      </c>
      <c r="M1493" t="s">
        <v>1040</v>
      </c>
    </row>
    <row r="1494" spans="1:13" x14ac:dyDescent="0.25">
      <c r="A1494" s="75">
        <f t="shared" si="23"/>
        <v>1493</v>
      </c>
      <c r="B1494" s="13" t="s">
        <v>2330</v>
      </c>
      <c r="C1494" s="13" t="s">
        <v>2423</v>
      </c>
      <c r="D1494" t="s">
        <v>2471</v>
      </c>
      <c r="F1494" t="s">
        <v>2465</v>
      </c>
      <c r="G1494" t="s">
        <v>24</v>
      </c>
      <c r="H1494" s="75" t="str">
        <f>IFERROR(VLOOKUP(Table2[[#This Row],[Ticket]],Okey!A:B,2,0),"")</f>
        <v>ok</v>
      </c>
      <c r="I1494" t="s">
        <v>19</v>
      </c>
      <c r="J1494" t="str">
        <f>VLOOKUP(Table2[[#This Row],[Author]],People!A:B,2,0)</f>
        <v>LS</v>
      </c>
      <c r="M1494" t="s">
        <v>1040</v>
      </c>
    </row>
    <row r="1495" spans="1:13" x14ac:dyDescent="0.25">
      <c r="A1495" s="75">
        <f t="shared" si="23"/>
        <v>1494</v>
      </c>
      <c r="B1495" s="13" t="s">
        <v>2330</v>
      </c>
      <c r="C1495" s="13" t="s">
        <v>2423</v>
      </c>
      <c r="D1495" t="s">
        <v>2472</v>
      </c>
      <c r="F1495" t="s">
        <v>1664</v>
      </c>
      <c r="G1495" t="s">
        <v>24</v>
      </c>
      <c r="H1495" s="75" t="str">
        <f>IFERROR(VLOOKUP(Table2[[#This Row],[Ticket]],Okey!A:B,2,0),"")</f>
        <v>ok</v>
      </c>
      <c r="I1495" t="s">
        <v>19</v>
      </c>
      <c r="J1495" t="str">
        <f>VLOOKUP(Table2[[#This Row],[Author]],People!A:B,2,0)</f>
        <v>LS</v>
      </c>
      <c r="M1495" t="s">
        <v>1040</v>
      </c>
    </row>
    <row r="1496" spans="1:13" x14ac:dyDescent="0.25">
      <c r="A1496" s="75">
        <f t="shared" si="23"/>
        <v>1495</v>
      </c>
      <c r="B1496" s="13" t="s">
        <v>2330</v>
      </c>
      <c r="C1496" s="13" t="s">
        <v>2423</v>
      </c>
      <c r="D1496" t="s">
        <v>2473</v>
      </c>
      <c r="F1496" t="s">
        <v>1664</v>
      </c>
      <c r="G1496" t="s">
        <v>24</v>
      </c>
      <c r="H1496" s="75" t="str">
        <f>IFERROR(VLOOKUP(Table2[[#This Row],[Ticket]],Okey!A:B,2,0),"")</f>
        <v>ok</v>
      </c>
      <c r="I1496" t="s">
        <v>19</v>
      </c>
      <c r="J1496" t="str">
        <f>VLOOKUP(Table2[[#This Row],[Author]],People!A:B,2,0)</f>
        <v>LS</v>
      </c>
      <c r="M1496" t="s">
        <v>1040</v>
      </c>
    </row>
    <row r="1497" spans="1:13" x14ac:dyDescent="0.25">
      <c r="A1497" s="75">
        <f t="shared" si="23"/>
        <v>1496</v>
      </c>
      <c r="B1497" s="13" t="s">
        <v>2330</v>
      </c>
      <c r="C1497" s="13" t="s">
        <v>2423</v>
      </c>
      <c r="D1497" t="s">
        <v>1732</v>
      </c>
      <c r="F1497" t="s">
        <v>1134</v>
      </c>
      <c r="G1497" t="s">
        <v>24</v>
      </c>
      <c r="H1497" s="75" t="str">
        <f>IFERROR(VLOOKUP(Table2[[#This Row],[Ticket]],Okey!A:B,2,0),"")</f>
        <v>ok</v>
      </c>
      <c r="I1497" t="s">
        <v>19</v>
      </c>
      <c r="J1497" t="str">
        <f>VLOOKUP(Table2[[#This Row],[Author]],People!A:B,2,0)</f>
        <v>LS</v>
      </c>
      <c r="M1497" t="s">
        <v>1040</v>
      </c>
    </row>
    <row r="1498" spans="1:13" x14ac:dyDescent="0.25">
      <c r="A1498" s="75">
        <f t="shared" si="23"/>
        <v>1497</v>
      </c>
      <c r="B1498" s="13" t="s">
        <v>2330</v>
      </c>
      <c r="C1498" s="13" t="s">
        <v>2423</v>
      </c>
      <c r="D1498" t="s">
        <v>2474</v>
      </c>
      <c r="F1498" t="s">
        <v>2475</v>
      </c>
      <c r="G1498" t="s">
        <v>24</v>
      </c>
      <c r="H1498" s="75" t="str">
        <f>IFERROR(VLOOKUP(Table2[[#This Row],[Ticket]],Okey!A:B,2,0),"")</f>
        <v>ok</v>
      </c>
      <c r="I1498" t="s">
        <v>19</v>
      </c>
      <c r="J1498" t="str">
        <f>VLOOKUP(Table2[[#This Row],[Author]],People!A:B,2,0)</f>
        <v>LS</v>
      </c>
      <c r="M1498" t="s">
        <v>1040</v>
      </c>
    </row>
    <row r="1499" spans="1:13" x14ac:dyDescent="0.25">
      <c r="A1499" s="75">
        <f t="shared" si="23"/>
        <v>1498</v>
      </c>
      <c r="B1499" s="13" t="s">
        <v>2330</v>
      </c>
      <c r="C1499" s="13" t="s">
        <v>2423</v>
      </c>
      <c r="D1499" t="s">
        <v>2476</v>
      </c>
      <c r="F1499" t="s">
        <v>2477</v>
      </c>
      <c r="G1499" t="s">
        <v>24</v>
      </c>
      <c r="H1499" s="75" t="str">
        <f>IFERROR(VLOOKUP(Table2[[#This Row],[Ticket]],Okey!A:B,2,0),"")</f>
        <v>ok</v>
      </c>
      <c r="I1499" t="s">
        <v>19</v>
      </c>
      <c r="J1499" t="str">
        <f>VLOOKUP(Table2[[#This Row],[Author]],People!A:B,2,0)</f>
        <v>LS</v>
      </c>
      <c r="M1499" t="s">
        <v>1040</v>
      </c>
    </row>
    <row r="1500" spans="1:13" x14ac:dyDescent="0.25">
      <c r="A1500" s="75">
        <f t="shared" si="23"/>
        <v>1499</v>
      </c>
      <c r="B1500" s="13" t="s">
        <v>2330</v>
      </c>
      <c r="C1500" s="13" t="s">
        <v>2423</v>
      </c>
      <c r="D1500" t="s">
        <v>2478</v>
      </c>
      <c r="F1500" t="s">
        <v>2475</v>
      </c>
      <c r="G1500" t="s">
        <v>24</v>
      </c>
      <c r="H1500" s="75" t="str">
        <f>IFERROR(VLOOKUP(Table2[[#This Row],[Ticket]],Okey!A:B,2,0),"")</f>
        <v>ok</v>
      </c>
      <c r="I1500" t="s">
        <v>19</v>
      </c>
      <c r="J1500" t="str">
        <f>VLOOKUP(Table2[[#This Row],[Author]],People!A:B,2,0)</f>
        <v>LS</v>
      </c>
      <c r="M1500" t="s">
        <v>1040</v>
      </c>
    </row>
    <row r="1501" spans="1:13" x14ac:dyDescent="0.25">
      <c r="A1501" s="75">
        <f t="shared" si="23"/>
        <v>1500</v>
      </c>
      <c r="B1501" s="13" t="s">
        <v>2330</v>
      </c>
      <c r="C1501" s="13" t="s">
        <v>2423</v>
      </c>
      <c r="D1501" t="s">
        <v>2479</v>
      </c>
      <c r="F1501" t="s">
        <v>1412</v>
      </c>
      <c r="G1501" t="s">
        <v>24</v>
      </c>
      <c r="H1501" s="75" t="str">
        <f>IFERROR(VLOOKUP(Table2[[#This Row],[Ticket]],Okey!A:B,2,0),"")</f>
        <v>ok</v>
      </c>
      <c r="I1501" t="s">
        <v>19</v>
      </c>
      <c r="J1501" t="str">
        <f>VLOOKUP(Table2[[#This Row],[Author]],People!A:B,2,0)</f>
        <v>LS</v>
      </c>
      <c r="M1501" t="s">
        <v>1040</v>
      </c>
    </row>
    <row r="1502" spans="1:13" x14ac:dyDescent="0.25">
      <c r="A1502" s="75">
        <f t="shared" si="23"/>
        <v>1501</v>
      </c>
      <c r="B1502" s="13" t="s">
        <v>2330</v>
      </c>
      <c r="C1502" s="13" t="s">
        <v>2423</v>
      </c>
      <c r="D1502" t="s">
        <v>2480</v>
      </c>
      <c r="F1502" t="s">
        <v>1412</v>
      </c>
      <c r="G1502" t="s">
        <v>24</v>
      </c>
      <c r="H1502" s="75" t="str">
        <f>IFERROR(VLOOKUP(Table2[[#This Row],[Ticket]],Okey!A:B,2,0),"")</f>
        <v>ok</v>
      </c>
      <c r="I1502" t="s">
        <v>19</v>
      </c>
      <c r="J1502" t="str">
        <f>VLOOKUP(Table2[[#This Row],[Author]],People!A:B,2,0)</f>
        <v>LS</v>
      </c>
      <c r="M1502" t="s">
        <v>1040</v>
      </c>
    </row>
    <row r="1503" spans="1:13" x14ac:dyDescent="0.25">
      <c r="A1503" s="75">
        <f t="shared" si="23"/>
        <v>1502</v>
      </c>
      <c r="B1503" s="13" t="s">
        <v>2330</v>
      </c>
      <c r="C1503" s="13" t="s">
        <v>2423</v>
      </c>
      <c r="D1503" t="s">
        <v>2481</v>
      </c>
      <c r="F1503" t="s">
        <v>2482</v>
      </c>
      <c r="G1503" t="s">
        <v>24</v>
      </c>
      <c r="H1503" s="75" t="str">
        <f>IFERROR(VLOOKUP(Table2[[#This Row],[Ticket]],Okey!A:B,2,0),"")</f>
        <v>ok</v>
      </c>
      <c r="I1503" t="s">
        <v>19</v>
      </c>
      <c r="J1503" t="str">
        <f>VLOOKUP(Table2[[#This Row],[Author]],People!A:B,2,0)</f>
        <v>LS</v>
      </c>
      <c r="M1503" t="s">
        <v>1040</v>
      </c>
    </row>
    <row r="1504" spans="1:13" x14ac:dyDescent="0.25">
      <c r="A1504" s="75">
        <f t="shared" si="23"/>
        <v>1503</v>
      </c>
      <c r="B1504" s="13" t="s">
        <v>2330</v>
      </c>
      <c r="C1504" s="13" t="s">
        <v>2423</v>
      </c>
      <c r="D1504" t="s">
        <v>2483</v>
      </c>
      <c r="F1504" t="s">
        <v>2484</v>
      </c>
      <c r="G1504" t="s">
        <v>24</v>
      </c>
      <c r="H1504" s="75" t="str">
        <f>IFERROR(VLOOKUP(Table2[[#This Row],[Ticket]],Okey!A:B,2,0),"")</f>
        <v>ok</v>
      </c>
      <c r="I1504" t="s">
        <v>19</v>
      </c>
      <c r="J1504" t="str">
        <f>VLOOKUP(Table2[[#This Row],[Author]],People!A:B,2,0)</f>
        <v>LS</v>
      </c>
      <c r="M1504" t="s">
        <v>1040</v>
      </c>
    </row>
    <row r="1505" spans="1:13" x14ac:dyDescent="0.25">
      <c r="A1505" s="75">
        <f t="shared" si="23"/>
        <v>1504</v>
      </c>
      <c r="B1505" s="13" t="s">
        <v>2330</v>
      </c>
      <c r="C1505" s="13" t="s">
        <v>2423</v>
      </c>
      <c r="D1505" t="s">
        <v>2485</v>
      </c>
      <c r="E1505" t="s">
        <v>2486</v>
      </c>
      <c r="F1505" t="s">
        <v>2487</v>
      </c>
      <c r="G1505" t="s">
        <v>18</v>
      </c>
      <c r="H1505" s="75" t="str">
        <f>IFERROR(VLOOKUP(Table2[[#This Row],[Ticket]],Okey!A:B,2,0),"")</f>
        <v>ok</v>
      </c>
      <c r="I1505" t="s">
        <v>19</v>
      </c>
      <c r="J1505" t="str">
        <f>VLOOKUP(Table2[[#This Row],[Author]],People!A:B,2,0)</f>
        <v>LS</v>
      </c>
      <c r="M1505" t="s">
        <v>1040</v>
      </c>
    </row>
    <row r="1506" spans="1:13" x14ac:dyDescent="0.25">
      <c r="A1506" s="75">
        <f t="shared" si="23"/>
        <v>1505</v>
      </c>
      <c r="B1506" s="13" t="s">
        <v>2330</v>
      </c>
      <c r="C1506" s="13" t="s">
        <v>2423</v>
      </c>
      <c r="D1506" t="s">
        <v>2459</v>
      </c>
      <c r="E1506" t="s">
        <v>2488</v>
      </c>
      <c r="F1506" t="s">
        <v>2489</v>
      </c>
      <c r="G1506" t="s">
        <v>18</v>
      </c>
      <c r="H1506" s="75" t="str">
        <f>IFERROR(VLOOKUP(Table2[[#This Row],[Ticket]],Okey!A:B,2,0),"")</f>
        <v>ok</v>
      </c>
      <c r="I1506" t="s">
        <v>19</v>
      </c>
      <c r="J1506" t="str">
        <f>VLOOKUP(Table2[[#This Row],[Author]],People!A:B,2,0)</f>
        <v>LS</v>
      </c>
      <c r="M1506" t="s">
        <v>1040</v>
      </c>
    </row>
    <row r="1507" spans="1:13" x14ac:dyDescent="0.25">
      <c r="A1507" s="75">
        <f t="shared" si="23"/>
        <v>1506</v>
      </c>
      <c r="B1507" s="13" t="s">
        <v>2330</v>
      </c>
      <c r="C1507" s="13" t="s">
        <v>2423</v>
      </c>
      <c r="D1507" t="s">
        <v>2490</v>
      </c>
      <c r="E1507" t="s">
        <v>2491</v>
      </c>
      <c r="F1507" t="s">
        <v>2492</v>
      </c>
      <c r="G1507" t="s">
        <v>18</v>
      </c>
      <c r="H1507" s="75" t="str">
        <f>IFERROR(VLOOKUP(Table2[[#This Row],[Ticket]],Okey!A:B,2,0),"")</f>
        <v>ok</v>
      </c>
      <c r="I1507" t="s">
        <v>19</v>
      </c>
      <c r="J1507" t="str">
        <f>VLOOKUP(Table2[[#This Row],[Author]],People!A:B,2,0)</f>
        <v>LS</v>
      </c>
      <c r="M1507" t="s">
        <v>1040</v>
      </c>
    </row>
    <row r="1508" spans="1:13" x14ac:dyDescent="0.25">
      <c r="A1508" s="75">
        <f t="shared" si="23"/>
        <v>1507</v>
      </c>
      <c r="B1508" s="13" t="s">
        <v>2330</v>
      </c>
      <c r="C1508" s="13" t="s">
        <v>2423</v>
      </c>
      <c r="D1508" t="s">
        <v>2493</v>
      </c>
      <c r="E1508" t="s">
        <v>2494</v>
      </c>
      <c r="F1508" t="s">
        <v>2495</v>
      </c>
      <c r="G1508" t="s">
        <v>18</v>
      </c>
      <c r="H1508" s="75" t="str">
        <f>IFERROR(VLOOKUP(Table2[[#This Row],[Ticket]],Okey!A:B,2,0),"")</f>
        <v>ok</v>
      </c>
      <c r="I1508" t="s">
        <v>19</v>
      </c>
      <c r="J1508" t="str">
        <f>VLOOKUP(Table2[[#This Row],[Author]],People!A:B,2,0)</f>
        <v>LS</v>
      </c>
      <c r="M1508" t="s">
        <v>1040</v>
      </c>
    </row>
    <row r="1509" spans="1:13" x14ac:dyDescent="0.25">
      <c r="A1509" s="75">
        <f t="shared" si="23"/>
        <v>1508</v>
      </c>
      <c r="B1509" s="13" t="s">
        <v>2330</v>
      </c>
      <c r="C1509" s="13" t="s">
        <v>2423</v>
      </c>
      <c r="D1509" t="s">
        <v>2496</v>
      </c>
      <c r="E1509" t="s">
        <v>2497</v>
      </c>
      <c r="F1509" t="s">
        <v>2498</v>
      </c>
      <c r="G1509" t="s">
        <v>18</v>
      </c>
      <c r="H1509" s="75" t="str">
        <f>IFERROR(VLOOKUP(Table2[[#This Row],[Ticket]],Okey!A:B,2,0),"")</f>
        <v>ok</v>
      </c>
      <c r="I1509" t="s">
        <v>19</v>
      </c>
      <c r="J1509" t="str">
        <f>VLOOKUP(Table2[[#This Row],[Author]],People!A:B,2,0)</f>
        <v>LS</v>
      </c>
      <c r="M1509" t="s">
        <v>1040</v>
      </c>
    </row>
    <row r="1510" spans="1:13" x14ac:dyDescent="0.25">
      <c r="A1510" s="75">
        <f t="shared" si="23"/>
        <v>1509</v>
      </c>
      <c r="B1510" s="13" t="s">
        <v>2330</v>
      </c>
      <c r="C1510" s="13" t="s">
        <v>2423</v>
      </c>
      <c r="D1510" t="s">
        <v>2499</v>
      </c>
      <c r="E1510" t="s">
        <v>2500</v>
      </c>
      <c r="F1510" t="s">
        <v>1090</v>
      </c>
      <c r="G1510" t="s">
        <v>18</v>
      </c>
      <c r="H1510" s="75" t="str">
        <f>IFERROR(VLOOKUP(Table2[[#This Row],[Ticket]],Okey!A:B,2,0),"")</f>
        <v>ok</v>
      </c>
      <c r="I1510" t="s">
        <v>19</v>
      </c>
      <c r="J1510" t="str">
        <f>VLOOKUP(Table2[[#This Row],[Author]],People!A:B,2,0)</f>
        <v>LS</v>
      </c>
      <c r="M1510" t="s">
        <v>1040</v>
      </c>
    </row>
    <row r="1511" spans="1:13" x14ac:dyDescent="0.25">
      <c r="A1511" s="75">
        <f t="shared" si="23"/>
        <v>1510</v>
      </c>
      <c r="B1511" s="13" t="s">
        <v>2330</v>
      </c>
      <c r="C1511" s="13" t="s">
        <v>2423</v>
      </c>
      <c r="D1511" t="s">
        <v>2501</v>
      </c>
      <c r="E1511" t="s">
        <v>2502</v>
      </c>
      <c r="F1511" t="s">
        <v>2503</v>
      </c>
      <c r="G1511" t="s">
        <v>18</v>
      </c>
      <c r="H1511" s="75" t="str">
        <f>IFERROR(VLOOKUP(Table2[[#This Row],[Ticket]],Okey!A:B,2,0),"")</f>
        <v>ok</v>
      </c>
      <c r="I1511" t="s">
        <v>19</v>
      </c>
      <c r="J1511" t="str">
        <f>VLOOKUP(Table2[[#This Row],[Author]],People!A:B,2,0)</f>
        <v>LS</v>
      </c>
      <c r="M1511" t="s">
        <v>1040</v>
      </c>
    </row>
    <row r="1512" spans="1:13" x14ac:dyDescent="0.25">
      <c r="A1512" s="75">
        <f t="shared" si="23"/>
        <v>1511</v>
      </c>
      <c r="B1512" s="13" t="s">
        <v>2330</v>
      </c>
      <c r="C1512" s="13" t="s">
        <v>2423</v>
      </c>
      <c r="D1512" t="s">
        <v>2504</v>
      </c>
      <c r="E1512" t="s">
        <v>2505</v>
      </c>
      <c r="F1512" t="s">
        <v>1093</v>
      </c>
      <c r="G1512" t="s">
        <v>18</v>
      </c>
      <c r="H1512" s="75" t="str">
        <f>IFERROR(VLOOKUP(Table2[[#This Row],[Ticket]],Okey!A:B,2,0),"")</f>
        <v>ok</v>
      </c>
      <c r="I1512" t="s">
        <v>19</v>
      </c>
      <c r="J1512" t="str">
        <f>VLOOKUP(Table2[[#This Row],[Author]],People!A:B,2,0)</f>
        <v>LS</v>
      </c>
      <c r="M1512" t="s">
        <v>1040</v>
      </c>
    </row>
    <row r="1513" spans="1:13" x14ac:dyDescent="0.25">
      <c r="A1513" s="75">
        <f t="shared" si="23"/>
        <v>1512</v>
      </c>
      <c r="B1513" s="13" t="s">
        <v>2330</v>
      </c>
      <c r="C1513" s="13" t="s">
        <v>2423</v>
      </c>
      <c r="D1513" t="s">
        <v>2506</v>
      </c>
      <c r="E1513" t="s">
        <v>2507</v>
      </c>
      <c r="F1513" t="s">
        <v>2508</v>
      </c>
      <c r="G1513" t="s">
        <v>18</v>
      </c>
      <c r="H1513" s="75" t="str">
        <f>IFERROR(VLOOKUP(Table2[[#This Row],[Ticket]],Okey!A:B,2,0),"")</f>
        <v>ok</v>
      </c>
      <c r="I1513" t="s">
        <v>19</v>
      </c>
      <c r="J1513" t="str">
        <f>VLOOKUP(Table2[[#This Row],[Author]],People!A:B,2,0)</f>
        <v>LS</v>
      </c>
      <c r="M1513" t="s">
        <v>1040</v>
      </c>
    </row>
    <row r="1514" spans="1:13" x14ac:dyDescent="0.25">
      <c r="A1514" s="75">
        <f t="shared" si="23"/>
        <v>1513</v>
      </c>
      <c r="B1514" s="13" t="s">
        <v>2330</v>
      </c>
      <c r="C1514" s="13" t="s">
        <v>2423</v>
      </c>
      <c r="D1514" t="s">
        <v>2509</v>
      </c>
      <c r="E1514" t="s">
        <v>2510</v>
      </c>
      <c r="F1514" t="s">
        <v>2511</v>
      </c>
      <c r="G1514" t="s">
        <v>18</v>
      </c>
      <c r="H1514" s="75" t="str">
        <f>IFERROR(VLOOKUP(Table2[[#This Row],[Ticket]],Okey!A:B,2,0),"")</f>
        <v>ok</v>
      </c>
      <c r="I1514" t="s">
        <v>19</v>
      </c>
      <c r="J1514" t="str">
        <f>VLOOKUP(Table2[[#This Row],[Author]],People!A:B,2,0)</f>
        <v>LS</v>
      </c>
      <c r="M1514" t="s">
        <v>1040</v>
      </c>
    </row>
    <row r="1515" spans="1:13" x14ac:dyDescent="0.25">
      <c r="A1515" s="75">
        <f t="shared" si="23"/>
        <v>1514</v>
      </c>
      <c r="B1515" s="13" t="s">
        <v>2330</v>
      </c>
      <c r="C1515" s="13" t="s">
        <v>2423</v>
      </c>
      <c r="D1515" t="s">
        <v>2512</v>
      </c>
      <c r="E1515" t="s">
        <v>2513</v>
      </c>
      <c r="F1515" t="s">
        <v>2514</v>
      </c>
      <c r="G1515" t="s">
        <v>18</v>
      </c>
      <c r="H1515" s="75" t="str">
        <f>IFERROR(VLOOKUP(Table2[[#This Row],[Ticket]],Okey!A:B,2,0),"")</f>
        <v>ok</v>
      </c>
      <c r="I1515" t="s">
        <v>19</v>
      </c>
      <c r="J1515" t="str">
        <f>VLOOKUP(Table2[[#This Row],[Author]],People!A:B,2,0)</f>
        <v>LS</v>
      </c>
      <c r="M1515" t="s">
        <v>1040</v>
      </c>
    </row>
    <row r="1516" spans="1:13" x14ac:dyDescent="0.25">
      <c r="A1516" s="75">
        <f t="shared" si="23"/>
        <v>1515</v>
      </c>
      <c r="B1516" s="13" t="s">
        <v>2330</v>
      </c>
      <c r="C1516" s="13" t="s">
        <v>2423</v>
      </c>
      <c r="D1516" t="s">
        <v>2515</v>
      </c>
      <c r="E1516" t="s">
        <v>2516</v>
      </c>
      <c r="F1516" t="s">
        <v>2517</v>
      </c>
      <c r="G1516" t="s">
        <v>18</v>
      </c>
      <c r="H1516" s="75" t="str">
        <f>IFERROR(VLOOKUP(Table2[[#This Row],[Ticket]],Okey!A:B,2,0),"")</f>
        <v>ok</v>
      </c>
      <c r="I1516" t="s">
        <v>19</v>
      </c>
      <c r="J1516" t="str">
        <f>VLOOKUP(Table2[[#This Row],[Author]],People!A:B,2,0)</f>
        <v>LS</v>
      </c>
      <c r="M1516" t="s">
        <v>1040</v>
      </c>
    </row>
    <row r="1517" spans="1:13" x14ac:dyDescent="0.25">
      <c r="A1517" s="75">
        <f t="shared" si="23"/>
        <v>1516</v>
      </c>
      <c r="B1517" s="13" t="s">
        <v>2330</v>
      </c>
      <c r="C1517" s="13" t="s">
        <v>2423</v>
      </c>
      <c r="D1517" t="s">
        <v>2518</v>
      </c>
      <c r="E1517" t="s">
        <v>2519</v>
      </c>
      <c r="F1517" t="s">
        <v>1318</v>
      </c>
      <c r="G1517" t="s">
        <v>18</v>
      </c>
      <c r="H1517" s="75" t="str">
        <f>IFERROR(VLOOKUP(Table2[[#This Row],[Ticket]],Okey!A:B,2,0),"")</f>
        <v>ok</v>
      </c>
      <c r="I1517" t="s">
        <v>19</v>
      </c>
      <c r="J1517" t="str">
        <f>VLOOKUP(Table2[[#This Row],[Author]],People!A:B,2,0)</f>
        <v>LS</v>
      </c>
      <c r="M1517" t="s">
        <v>1040</v>
      </c>
    </row>
    <row r="1518" spans="1:13" x14ac:dyDescent="0.25">
      <c r="A1518" s="75">
        <f t="shared" si="23"/>
        <v>1517</v>
      </c>
      <c r="B1518" s="13" t="s">
        <v>2330</v>
      </c>
      <c r="C1518" s="13" t="s">
        <v>2423</v>
      </c>
      <c r="D1518" t="s">
        <v>2456</v>
      </c>
      <c r="E1518" t="s">
        <v>2520</v>
      </c>
      <c r="F1518" t="s">
        <v>2489</v>
      </c>
      <c r="G1518" t="s">
        <v>18</v>
      </c>
      <c r="H1518" s="75" t="str">
        <f>IFERROR(VLOOKUP(Table2[[#This Row],[Ticket]],Okey!A:B,2,0),"")</f>
        <v>ok</v>
      </c>
      <c r="I1518" t="s">
        <v>19</v>
      </c>
      <c r="J1518" t="str">
        <f>VLOOKUP(Table2[[#This Row],[Author]],People!A:B,2,0)</f>
        <v>LS</v>
      </c>
      <c r="M1518" t="s">
        <v>1040</v>
      </c>
    </row>
    <row r="1519" spans="1:13" x14ac:dyDescent="0.25">
      <c r="A1519" s="75">
        <f t="shared" si="23"/>
        <v>1518</v>
      </c>
      <c r="B1519" s="13" t="s">
        <v>2330</v>
      </c>
      <c r="C1519" s="13" t="s">
        <v>2423</v>
      </c>
      <c r="D1519" t="s">
        <v>2428</v>
      </c>
      <c r="E1519" t="s">
        <v>2521</v>
      </c>
      <c r="F1519" t="s">
        <v>2432</v>
      </c>
      <c r="G1519" t="s">
        <v>18</v>
      </c>
      <c r="H1519" s="75" t="str">
        <f>IFERROR(VLOOKUP(Table2[[#This Row],[Ticket]],Okey!A:B,2,0),"")</f>
        <v>ok</v>
      </c>
      <c r="I1519" t="s">
        <v>19</v>
      </c>
      <c r="J1519" t="str">
        <f>VLOOKUP(Table2[[#This Row],[Author]],People!A:B,2,0)</f>
        <v>LS</v>
      </c>
      <c r="M1519" t="s">
        <v>1040</v>
      </c>
    </row>
    <row r="1520" spans="1:13" x14ac:dyDescent="0.25">
      <c r="A1520" s="75">
        <f t="shared" si="23"/>
        <v>1519</v>
      </c>
      <c r="B1520" s="13" t="s">
        <v>2330</v>
      </c>
      <c r="C1520" s="13" t="s">
        <v>2423</v>
      </c>
      <c r="D1520" t="s">
        <v>2432</v>
      </c>
      <c r="E1520" t="s">
        <v>2522</v>
      </c>
      <c r="F1520" t="s">
        <v>2523</v>
      </c>
      <c r="G1520" t="s">
        <v>18</v>
      </c>
      <c r="H1520" s="75" t="str">
        <f>IFERROR(VLOOKUP(Table2[[#This Row],[Ticket]],Okey!A:B,2,0),"")</f>
        <v>ok</v>
      </c>
      <c r="I1520" t="s">
        <v>19</v>
      </c>
      <c r="J1520" t="str">
        <f>VLOOKUP(Table2[[#This Row],[Author]],People!A:B,2,0)</f>
        <v>LS</v>
      </c>
      <c r="M1520" t="s">
        <v>1040</v>
      </c>
    </row>
    <row r="1521" spans="1:13" x14ac:dyDescent="0.25">
      <c r="A1521" s="75">
        <f t="shared" si="23"/>
        <v>1520</v>
      </c>
      <c r="B1521" s="13" t="s">
        <v>2330</v>
      </c>
      <c r="C1521" s="13" t="s">
        <v>2423</v>
      </c>
      <c r="D1521" t="s">
        <v>2524</v>
      </c>
      <c r="E1521" t="s">
        <v>2525</v>
      </c>
      <c r="F1521" t="s">
        <v>2526</v>
      </c>
      <c r="G1521" t="s">
        <v>18</v>
      </c>
      <c r="H1521" s="75" t="str">
        <f>IFERROR(VLOOKUP(Table2[[#This Row],[Ticket]],Okey!A:B,2,0),"")</f>
        <v>ok</v>
      </c>
      <c r="I1521" t="s">
        <v>19</v>
      </c>
      <c r="J1521" t="str">
        <f>VLOOKUP(Table2[[#This Row],[Author]],People!A:B,2,0)</f>
        <v>LS</v>
      </c>
      <c r="M1521" t="s">
        <v>1040</v>
      </c>
    </row>
    <row r="1522" spans="1:13" x14ac:dyDescent="0.25">
      <c r="A1522" s="75">
        <f t="shared" si="23"/>
        <v>1521</v>
      </c>
      <c r="B1522" s="13" t="s">
        <v>2330</v>
      </c>
      <c r="C1522" s="13" t="s">
        <v>2423</v>
      </c>
      <c r="D1522" t="s">
        <v>2527</v>
      </c>
      <c r="E1522" t="s">
        <v>2528</v>
      </c>
      <c r="F1522" t="s">
        <v>2425</v>
      </c>
      <c r="G1522" t="s">
        <v>18</v>
      </c>
      <c r="H1522" s="75" t="str">
        <f>IFERROR(VLOOKUP(Table2[[#This Row],[Ticket]],Okey!A:B,2,0),"")</f>
        <v>ok</v>
      </c>
      <c r="I1522" t="s">
        <v>19</v>
      </c>
      <c r="J1522" t="str">
        <f>VLOOKUP(Table2[[#This Row],[Author]],People!A:B,2,0)</f>
        <v>LS</v>
      </c>
      <c r="M1522" t="s">
        <v>1040</v>
      </c>
    </row>
    <row r="1523" spans="1:13" x14ac:dyDescent="0.25">
      <c r="A1523" s="75">
        <f t="shared" si="23"/>
        <v>1522</v>
      </c>
      <c r="B1523" s="13" t="s">
        <v>2330</v>
      </c>
      <c r="C1523" s="13" t="s">
        <v>2423</v>
      </c>
      <c r="D1523" t="s">
        <v>2529</v>
      </c>
      <c r="E1523" t="s">
        <v>2530</v>
      </c>
      <c r="F1523" t="s">
        <v>2425</v>
      </c>
      <c r="G1523" t="s">
        <v>18</v>
      </c>
      <c r="H1523" s="75" t="str">
        <f>IFERROR(VLOOKUP(Table2[[#This Row],[Ticket]],Okey!A:B,2,0),"")</f>
        <v>ok</v>
      </c>
      <c r="I1523" t="s">
        <v>19</v>
      </c>
      <c r="J1523" t="str">
        <f>VLOOKUP(Table2[[#This Row],[Author]],People!A:B,2,0)</f>
        <v>LS</v>
      </c>
      <c r="M1523" t="s">
        <v>1040</v>
      </c>
    </row>
    <row r="1524" spans="1:13" x14ac:dyDescent="0.25">
      <c r="A1524" s="75">
        <f t="shared" si="23"/>
        <v>1523</v>
      </c>
      <c r="B1524" s="13" t="s">
        <v>2330</v>
      </c>
      <c r="C1524" s="13" t="s">
        <v>2423</v>
      </c>
      <c r="D1524" t="s">
        <v>2425</v>
      </c>
      <c r="E1524" t="s">
        <v>2531</v>
      </c>
      <c r="F1524" t="s">
        <v>2325</v>
      </c>
      <c r="G1524" t="s">
        <v>18</v>
      </c>
      <c r="H1524" s="75" t="str">
        <f>IFERROR(VLOOKUP(Table2[[#This Row],[Ticket]],Okey!A:B,2,0),"")</f>
        <v>ok</v>
      </c>
      <c r="I1524" t="s">
        <v>19</v>
      </c>
      <c r="J1524" t="str">
        <f>VLOOKUP(Table2[[#This Row],[Author]],People!A:B,2,0)</f>
        <v>LS</v>
      </c>
      <c r="M1524" t="s">
        <v>1040</v>
      </c>
    </row>
    <row r="1525" spans="1:13" x14ac:dyDescent="0.25">
      <c r="A1525" s="75">
        <f t="shared" si="23"/>
        <v>1524</v>
      </c>
      <c r="B1525" s="13" t="s">
        <v>2330</v>
      </c>
      <c r="C1525" s="13" t="s">
        <v>2423</v>
      </c>
      <c r="D1525" t="s">
        <v>2461</v>
      </c>
      <c r="E1525" t="s">
        <v>2532</v>
      </c>
      <c r="F1525" t="s">
        <v>2489</v>
      </c>
      <c r="G1525" t="s">
        <v>18</v>
      </c>
      <c r="H1525" s="75" t="str">
        <f>IFERROR(VLOOKUP(Table2[[#This Row],[Ticket]],Okey!A:B,2,0),"")</f>
        <v>ok</v>
      </c>
      <c r="I1525" t="s">
        <v>19</v>
      </c>
      <c r="J1525" t="str">
        <f>VLOOKUP(Table2[[#This Row],[Author]],People!A:B,2,0)</f>
        <v>LS</v>
      </c>
      <c r="M1525" t="s">
        <v>1040</v>
      </c>
    </row>
    <row r="1526" spans="1:13" x14ac:dyDescent="0.25">
      <c r="A1526" s="75">
        <f t="shared" si="23"/>
        <v>1525</v>
      </c>
      <c r="B1526" s="13" t="s">
        <v>2330</v>
      </c>
      <c r="C1526" s="13" t="s">
        <v>2423</v>
      </c>
      <c r="D1526" t="s">
        <v>2533</v>
      </c>
      <c r="E1526" t="s">
        <v>2534</v>
      </c>
      <c r="F1526" t="s">
        <v>2535</v>
      </c>
      <c r="G1526" t="s">
        <v>18</v>
      </c>
      <c r="H1526" s="75" t="str">
        <f>IFERROR(VLOOKUP(Table2[[#This Row],[Ticket]],Okey!A:B,2,0),"")</f>
        <v>ok</v>
      </c>
      <c r="I1526" t="s">
        <v>19</v>
      </c>
      <c r="J1526" t="str">
        <f>VLOOKUP(Table2[[#This Row],[Author]],People!A:B,2,0)</f>
        <v>LS</v>
      </c>
      <c r="M1526" t="s">
        <v>1040</v>
      </c>
    </row>
    <row r="1527" spans="1:13" x14ac:dyDescent="0.25">
      <c r="A1527" s="75">
        <f t="shared" si="23"/>
        <v>1526</v>
      </c>
      <c r="B1527" s="13" t="s">
        <v>2330</v>
      </c>
      <c r="C1527" s="13" t="s">
        <v>2423</v>
      </c>
      <c r="D1527" t="s">
        <v>2536</v>
      </c>
      <c r="E1527" t="s">
        <v>2537</v>
      </c>
      <c r="F1527" t="s">
        <v>2538</v>
      </c>
      <c r="G1527" t="s">
        <v>18</v>
      </c>
      <c r="H1527" s="75" t="str">
        <f>IFERROR(VLOOKUP(Table2[[#This Row],[Ticket]],Okey!A:B,2,0),"")</f>
        <v>ok</v>
      </c>
      <c r="I1527" t="s">
        <v>19</v>
      </c>
      <c r="J1527" t="str">
        <f>VLOOKUP(Table2[[#This Row],[Author]],People!A:B,2,0)</f>
        <v>LS</v>
      </c>
      <c r="M1527" t="s">
        <v>1040</v>
      </c>
    </row>
    <row r="1528" spans="1:13" x14ac:dyDescent="0.25">
      <c r="A1528" s="75">
        <f t="shared" si="23"/>
        <v>1527</v>
      </c>
      <c r="B1528" s="13" t="s">
        <v>2330</v>
      </c>
      <c r="C1528" s="13" t="s">
        <v>2423</v>
      </c>
      <c r="D1528" t="s">
        <v>2539</v>
      </c>
      <c r="E1528" t="s">
        <v>2540</v>
      </c>
      <c r="G1528" t="s">
        <v>63</v>
      </c>
      <c r="H1528" s="75" t="str">
        <f>IFERROR(VLOOKUP(Table2[[#This Row],[Ticket]],Okey!A:B,2,0),"")</f>
        <v>ok</v>
      </c>
      <c r="I1528" t="s">
        <v>19</v>
      </c>
      <c r="J1528" t="str">
        <f>VLOOKUP(Table2[[#This Row],[Author]],People!A:B,2,0)</f>
        <v>LS</v>
      </c>
      <c r="M1528" t="s">
        <v>1040</v>
      </c>
    </row>
    <row r="1529" spans="1:13" x14ac:dyDescent="0.25">
      <c r="A1529" s="75">
        <f t="shared" si="23"/>
        <v>1528</v>
      </c>
      <c r="B1529" s="13" t="s">
        <v>2330</v>
      </c>
      <c r="C1529" s="13" t="s">
        <v>2423</v>
      </c>
      <c r="D1529" t="s">
        <v>2541</v>
      </c>
      <c r="E1529" t="s">
        <v>2542</v>
      </c>
      <c r="G1529" t="s">
        <v>63</v>
      </c>
      <c r="H1529" s="75" t="str">
        <f>IFERROR(VLOOKUP(Table2[[#This Row],[Ticket]],Okey!A:B,2,0),"")</f>
        <v>ok</v>
      </c>
      <c r="I1529" t="s">
        <v>19</v>
      </c>
      <c r="J1529" t="str">
        <f>VLOOKUP(Table2[[#This Row],[Author]],People!A:B,2,0)</f>
        <v>LS</v>
      </c>
      <c r="M1529" t="s">
        <v>1040</v>
      </c>
    </row>
    <row r="1530" spans="1:13" x14ac:dyDescent="0.25">
      <c r="A1530" s="75">
        <f t="shared" si="23"/>
        <v>1529</v>
      </c>
      <c r="B1530" s="13" t="s">
        <v>2330</v>
      </c>
      <c r="C1530" s="13" t="s">
        <v>2423</v>
      </c>
      <c r="D1530" t="s">
        <v>2543</v>
      </c>
      <c r="E1530" t="s">
        <v>2544</v>
      </c>
      <c r="G1530" t="s">
        <v>63</v>
      </c>
      <c r="H1530" s="75" t="str">
        <f>IFERROR(VLOOKUP(Table2[[#This Row],[Ticket]],Okey!A:B,2,0),"")</f>
        <v>ok</v>
      </c>
      <c r="I1530" t="s">
        <v>19</v>
      </c>
      <c r="J1530" t="str">
        <f>VLOOKUP(Table2[[#This Row],[Author]],People!A:B,2,0)</f>
        <v>LS</v>
      </c>
      <c r="M1530" t="s">
        <v>1040</v>
      </c>
    </row>
    <row r="1531" spans="1:13" x14ac:dyDescent="0.25">
      <c r="A1531" s="75">
        <f t="shared" si="23"/>
        <v>1530</v>
      </c>
      <c r="B1531" s="13" t="s">
        <v>2330</v>
      </c>
      <c r="C1531" s="13" t="s">
        <v>2423</v>
      </c>
      <c r="D1531" t="s">
        <v>2545</v>
      </c>
      <c r="E1531" t="s">
        <v>2546</v>
      </c>
      <c r="G1531" t="s">
        <v>63</v>
      </c>
      <c r="H1531" s="75" t="str">
        <f>IFERROR(VLOOKUP(Table2[[#This Row],[Ticket]],Okey!A:B,2,0),"")</f>
        <v>ok</v>
      </c>
      <c r="I1531" t="s">
        <v>19</v>
      </c>
      <c r="J1531" t="str">
        <f>VLOOKUP(Table2[[#This Row],[Author]],People!A:B,2,0)</f>
        <v>LS</v>
      </c>
      <c r="M1531" t="s">
        <v>1040</v>
      </c>
    </row>
    <row r="1532" spans="1:13" x14ac:dyDescent="0.25">
      <c r="A1532" s="75">
        <f t="shared" si="23"/>
        <v>1531</v>
      </c>
      <c r="B1532" s="13" t="s">
        <v>2330</v>
      </c>
      <c r="C1532" s="13" t="s">
        <v>2423</v>
      </c>
      <c r="D1532" t="s">
        <v>2547</v>
      </c>
      <c r="E1532" t="s">
        <v>2548</v>
      </c>
      <c r="G1532" t="s">
        <v>63</v>
      </c>
      <c r="H1532" s="75" t="str">
        <f>IFERROR(VLOOKUP(Table2[[#This Row],[Ticket]],Okey!A:B,2,0),"")</f>
        <v>ok</v>
      </c>
      <c r="I1532" t="s">
        <v>19</v>
      </c>
      <c r="J1532" t="str">
        <f>VLOOKUP(Table2[[#This Row],[Author]],People!A:B,2,0)</f>
        <v>LS</v>
      </c>
      <c r="M1532" t="s">
        <v>1040</v>
      </c>
    </row>
    <row r="1533" spans="1:13" x14ac:dyDescent="0.25">
      <c r="A1533" s="75">
        <f t="shared" si="23"/>
        <v>1532</v>
      </c>
      <c r="B1533" s="13" t="s">
        <v>2330</v>
      </c>
      <c r="C1533" s="13" t="s">
        <v>2423</v>
      </c>
      <c r="D1533" t="s">
        <v>2549</v>
      </c>
      <c r="E1533" t="s">
        <v>2550</v>
      </c>
      <c r="G1533" t="s">
        <v>63</v>
      </c>
      <c r="H1533" s="75" t="str">
        <f>IFERROR(VLOOKUP(Table2[[#This Row],[Ticket]],Okey!A:B,2,0),"")</f>
        <v>ok</v>
      </c>
      <c r="I1533" t="s">
        <v>19</v>
      </c>
      <c r="J1533" t="str">
        <f>VLOOKUP(Table2[[#This Row],[Author]],People!A:B,2,0)</f>
        <v>LS</v>
      </c>
      <c r="M1533" t="s">
        <v>1040</v>
      </c>
    </row>
    <row r="1534" spans="1:13" x14ac:dyDescent="0.25">
      <c r="A1534" s="75">
        <f t="shared" si="23"/>
        <v>1533</v>
      </c>
      <c r="B1534" s="13" t="s">
        <v>2330</v>
      </c>
      <c r="C1534" s="13" t="s">
        <v>2423</v>
      </c>
      <c r="D1534" t="s">
        <v>2551</v>
      </c>
      <c r="E1534" t="s">
        <v>2552</v>
      </c>
      <c r="G1534" t="s">
        <v>63</v>
      </c>
      <c r="H1534" s="75" t="str">
        <f>IFERROR(VLOOKUP(Table2[[#This Row],[Ticket]],Okey!A:B,2,0),"")</f>
        <v>ok</v>
      </c>
      <c r="I1534" t="s">
        <v>19</v>
      </c>
      <c r="J1534" t="str">
        <f>VLOOKUP(Table2[[#This Row],[Author]],People!A:B,2,0)</f>
        <v>LS</v>
      </c>
      <c r="M1534" t="s">
        <v>1040</v>
      </c>
    </row>
    <row r="1535" spans="1:13" x14ac:dyDescent="0.25">
      <c r="A1535" s="75">
        <f t="shared" si="23"/>
        <v>1534</v>
      </c>
      <c r="B1535" s="13" t="s">
        <v>2330</v>
      </c>
      <c r="C1535" s="13" t="s">
        <v>2423</v>
      </c>
      <c r="D1535" t="s">
        <v>2538</v>
      </c>
      <c r="E1535" t="s">
        <v>2553</v>
      </c>
      <c r="G1535" t="s">
        <v>63</v>
      </c>
      <c r="H1535" s="75" t="str">
        <f>IFERROR(VLOOKUP(Table2[[#This Row],[Ticket]],Okey!A:B,2,0),"")</f>
        <v>ok</v>
      </c>
      <c r="I1535" t="s">
        <v>19</v>
      </c>
      <c r="J1535" t="str">
        <f>VLOOKUP(Table2[[#This Row],[Author]],People!A:B,2,0)</f>
        <v>LS</v>
      </c>
      <c r="M1535" t="s">
        <v>1040</v>
      </c>
    </row>
    <row r="1536" spans="1:13" x14ac:dyDescent="0.25">
      <c r="A1536" s="75">
        <f t="shared" si="23"/>
        <v>1535</v>
      </c>
      <c r="B1536" s="13" t="s">
        <v>2330</v>
      </c>
      <c r="C1536" s="13" t="s">
        <v>2423</v>
      </c>
      <c r="D1536" t="s">
        <v>2554</v>
      </c>
      <c r="E1536" t="s">
        <v>2555</v>
      </c>
      <c r="G1536" t="s">
        <v>63</v>
      </c>
      <c r="H1536" s="75" t="str">
        <f>IFERROR(VLOOKUP(Table2[[#This Row],[Ticket]],Okey!A:B,2,0),"")</f>
        <v>ok</v>
      </c>
      <c r="I1536" t="s">
        <v>19</v>
      </c>
      <c r="J1536" t="str">
        <f>VLOOKUP(Table2[[#This Row],[Author]],People!A:B,2,0)</f>
        <v>LS</v>
      </c>
      <c r="M1536" t="s">
        <v>1040</v>
      </c>
    </row>
    <row r="1537" spans="1:13" x14ac:dyDescent="0.25">
      <c r="A1537" s="75">
        <f t="shared" si="23"/>
        <v>1536</v>
      </c>
      <c r="B1537" s="13" t="s">
        <v>2330</v>
      </c>
      <c r="C1537" s="13" t="s">
        <v>2423</v>
      </c>
      <c r="D1537" t="s">
        <v>2556</v>
      </c>
      <c r="E1537" t="s">
        <v>2557</v>
      </c>
      <c r="G1537" t="s">
        <v>63</v>
      </c>
      <c r="H1537" s="75" t="str">
        <f>IFERROR(VLOOKUP(Table2[[#This Row],[Ticket]],Okey!A:B,2,0),"")</f>
        <v>ok</v>
      </c>
      <c r="I1537" t="s">
        <v>19</v>
      </c>
      <c r="J1537" t="str">
        <f>VLOOKUP(Table2[[#This Row],[Author]],People!A:B,2,0)</f>
        <v>LS</v>
      </c>
      <c r="M1537" t="s">
        <v>1040</v>
      </c>
    </row>
    <row r="1538" spans="1:13" x14ac:dyDescent="0.25">
      <c r="A1538" s="75">
        <f t="shared" si="23"/>
        <v>1537</v>
      </c>
      <c r="B1538" s="13" t="s">
        <v>2330</v>
      </c>
      <c r="C1538" s="13" t="s">
        <v>2423</v>
      </c>
      <c r="D1538" t="s">
        <v>2558</v>
      </c>
      <c r="E1538" t="s">
        <v>2559</v>
      </c>
      <c r="G1538" t="s">
        <v>63</v>
      </c>
      <c r="H1538" s="75" t="str">
        <f>IFERROR(VLOOKUP(Table2[[#This Row],[Ticket]],Okey!A:B,2,0),"")</f>
        <v>ok</v>
      </c>
      <c r="I1538" t="s">
        <v>19</v>
      </c>
      <c r="J1538" t="str">
        <f>VLOOKUP(Table2[[#This Row],[Author]],People!A:B,2,0)</f>
        <v>LS</v>
      </c>
      <c r="M1538" t="s">
        <v>1040</v>
      </c>
    </row>
    <row r="1539" spans="1:13" x14ac:dyDescent="0.25">
      <c r="A1539" s="75">
        <f t="shared" si="23"/>
        <v>1538</v>
      </c>
      <c r="B1539" s="13" t="s">
        <v>2330</v>
      </c>
      <c r="C1539" s="13" t="s">
        <v>2423</v>
      </c>
      <c r="D1539" t="s">
        <v>2560</v>
      </c>
      <c r="E1539" t="s">
        <v>2561</v>
      </c>
      <c r="G1539" t="s">
        <v>63</v>
      </c>
      <c r="H1539" s="75" t="str">
        <f>IFERROR(VLOOKUP(Table2[[#This Row],[Ticket]],Okey!A:B,2,0),"")</f>
        <v>ok</v>
      </c>
      <c r="I1539" t="s">
        <v>19</v>
      </c>
      <c r="J1539" t="str">
        <f>VLOOKUP(Table2[[#This Row],[Author]],People!A:B,2,0)</f>
        <v>LS</v>
      </c>
      <c r="M1539" t="s">
        <v>1040</v>
      </c>
    </row>
    <row r="1540" spans="1:13" x14ac:dyDescent="0.25">
      <c r="A1540" s="75">
        <f t="shared" si="23"/>
        <v>1539</v>
      </c>
      <c r="B1540" s="13" t="s">
        <v>2330</v>
      </c>
      <c r="C1540" s="13" t="s">
        <v>2423</v>
      </c>
      <c r="D1540" t="s">
        <v>2562</v>
      </c>
      <c r="E1540" t="s">
        <v>2563</v>
      </c>
      <c r="G1540" t="s">
        <v>63</v>
      </c>
      <c r="H1540" s="75" t="str">
        <f>IFERROR(VLOOKUP(Table2[[#This Row],[Ticket]],Okey!A:B,2,0),"")</f>
        <v>ok</v>
      </c>
      <c r="I1540" t="s">
        <v>19</v>
      </c>
      <c r="J1540" t="str">
        <f>VLOOKUP(Table2[[#This Row],[Author]],People!A:B,2,0)</f>
        <v>LS</v>
      </c>
      <c r="M1540" t="s">
        <v>1040</v>
      </c>
    </row>
    <row r="1541" spans="1:13" x14ac:dyDescent="0.25">
      <c r="A1541" s="75">
        <f t="shared" si="23"/>
        <v>1540</v>
      </c>
      <c r="B1541" s="13" t="s">
        <v>2330</v>
      </c>
      <c r="C1541" s="13" t="s">
        <v>2423</v>
      </c>
      <c r="D1541" t="s">
        <v>2564</v>
      </c>
      <c r="E1541" t="s">
        <v>2565</v>
      </c>
      <c r="G1541" t="s">
        <v>63</v>
      </c>
      <c r="H1541" s="75" t="str">
        <f>IFERROR(VLOOKUP(Table2[[#This Row],[Ticket]],Okey!A:B,2,0),"")</f>
        <v>ok</v>
      </c>
      <c r="I1541" t="s">
        <v>19</v>
      </c>
      <c r="J1541" t="str">
        <f>VLOOKUP(Table2[[#This Row],[Author]],People!A:B,2,0)</f>
        <v>LS</v>
      </c>
      <c r="M1541" t="s">
        <v>1040</v>
      </c>
    </row>
    <row r="1542" spans="1:13" x14ac:dyDescent="0.25">
      <c r="A1542" s="75">
        <f t="shared" si="23"/>
        <v>1541</v>
      </c>
      <c r="B1542" s="13" t="s">
        <v>2330</v>
      </c>
      <c r="C1542" s="13" t="s">
        <v>2423</v>
      </c>
      <c r="D1542" t="s">
        <v>2566</v>
      </c>
      <c r="E1542" t="s">
        <v>2567</v>
      </c>
      <c r="G1542" t="s">
        <v>63</v>
      </c>
      <c r="H1542" s="75" t="str">
        <f>IFERROR(VLOOKUP(Table2[[#This Row],[Ticket]],Okey!A:B,2,0),"")</f>
        <v>ok</v>
      </c>
      <c r="I1542" t="s">
        <v>19</v>
      </c>
      <c r="J1542" t="str">
        <f>VLOOKUP(Table2[[#This Row],[Author]],People!A:B,2,0)</f>
        <v>LS</v>
      </c>
      <c r="M1542" t="s">
        <v>1040</v>
      </c>
    </row>
    <row r="1543" spans="1:13" x14ac:dyDescent="0.25">
      <c r="A1543" s="75">
        <f t="shared" si="23"/>
        <v>1542</v>
      </c>
      <c r="B1543" s="13" t="s">
        <v>2330</v>
      </c>
      <c r="C1543" s="13" t="s">
        <v>2423</v>
      </c>
      <c r="D1543" t="s">
        <v>2568</v>
      </c>
      <c r="E1543" t="s">
        <v>2569</v>
      </c>
      <c r="G1543" t="s">
        <v>63</v>
      </c>
      <c r="H1543" s="75" t="str">
        <f>IFERROR(VLOOKUP(Table2[[#This Row],[Ticket]],Okey!A:B,2,0),"")</f>
        <v>ok</v>
      </c>
      <c r="I1543" t="s">
        <v>19</v>
      </c>
      <c r="J1543" t="str">
        <f>VLOOKUP(Table2[[#This Row],[Author]],People!A:B,2,0)</f>
        <v>LS</v>
      </c>
      <c r="M1543" t="s">
        <v>1040</v>
      </c>
    </row>
    <row r="1544" spans="1:13" x14ac:dyDescent="0.25">
      <c r="A1544" s="75">
        <f t="shared" si="23"/>
        <v>1543</v>
      </c>
      <c r="B1544" s="13" t="s">
        <v>2330</v>
      </c>
      <c r="C1544" s="13" t="s">
        <v>2423</v>
      </c>
      <c r="D1544" t="s">
        <v>2570</v>
      </c>
      <c r="E1544" t="s">
        <v>2571</v>
      </c>
      <c r="G1544" t="s">
        <v>63</v>
      </c>
      <c r="H1544" s="75" t="str">
        <f>IFERROR(VLOOKUP(Table2[[#This Row],[Ticket]],Okey!A:B,2,0),"")</f>
        <v>ok</v>
      </c>
      <c r="I1544" t="s">
        <v>19</v>
      </c>
      <c r="J1544" t="str">
        <f>VLOOKUP(Table2[[#This Row],[Author]],People!A:B,2,0)</f>
        <v>LS</v>
      </c>
      <c r="M1544" t="s">
        <v>1040</v>
      </c>
    </row>
    <row r="1545" spans="1:13" x14ac:dyDescent="0.25">
      <c r="A1545" s="75">
        <f t="shared" ref="A1545:A1608" si="24">1+A1544</f>
        <v>1544</v>
      </c>
      <c r="B1545" s="13" t="s">
        <v>2330</v>
      </c>
      <c r="C1545" s="13" t="s">
        <v>2423</v>
      </c>
      <c r="D1545" t="s">
        <v>2572</v>
      </c>
      <c r="E1545" t="s">
        <v>2573</v>
      </c>
      <c r="G1545" t="s">
        <v>63</v>
      </c>
      <c r="H1545" s="75" t="str">
        <f>IFERROR(VLOOKUP(Table2[[#This Row],[Ticket]],Okey!A:B,2,0),"")</f>
        <v>ok</v>
      </c>
      <c r="I1545" t="s">
        <v>19</v>
      </c>
      <c r="J1545" t="str">
        <f>VLOOKUP(Table2[[#This Row],[Author]],People!A:B,2,0)</f>
        <v>LS</v>
      </c>
      <c r="M1545" t="s">
        <v>1040</v>
      </c>
    </row>
    <row r="1546" spans="1:13" x14ac:dyDescent="0.25">
      <c r="A1546" s="75">
        <f t="shared" si="24"/>
        <v>1545</v>
      </c>
      <c r="B1546" s="13" t="s">
        <v>2330</v>
      </c>
      <c r="C1546" s="13" t="s">
        <v>2423</v>
      </c>
      <c r="D1546" t="s">
        <v>2574</v>
      </c>
      <c r="E1546" t="s">
        <v>2573</v>
      </c>
      <c r="G1546" t="s">
        <v>63</v>
      </c>
      <c r="H1546" s="75" t="str">
        <f>IFERROR(VLOOKUP(Table2[[#This Row],[Ticket]],Okey!A:B,2,0),"")</f>
        <v>ok</v>
      </c>
      <c r="I1546" t="s">
        <v>19</v>
      </c>
      <c r="J1546" t="str">
        <f>VLOOKUP(Table2[[#This Row],[Author]],People!A:B,2,0)</f>
        <v>LS</v>
      </c>
      <c r="M1546" t="s">
        <v>1040</v>
      </c>
    </row>
    <row r="1547" spans="1:13" x14ac:dyDescent="0.25">
      <c r="A1547" s="75">
        <f t="shared" si="24"/>
        <v>1546</v>
      </c>
      <c r="B1547" s="13" t="s">
        <v>2330</v>
      </c>
      <c r="C1547" s="13" t="s">
        <v>2423</v>
      </c>
      <c r="D1547" t="s">
        <v>2575</v>
      </c>
      <c r="E1547" t="s">
        <v>2576</v>
      </c>
      <c r="G1547" t="s">
        <v>63</v>
      </c>
      <c r="H1547" s="75" t="str">
        <f>IFERROR(VLOOKUP(Table2[[#This Row],[Ticket]],Okey!A:B,2,0),"")</f>
        <v>ok</v>
      </c>
      <c r="I1547" t="s">
        <v>19</v>
      </c>
      <c r="J1547" t="str">
        <f>VLOOKUP(Table2[[#This Row],[Author]],People!A:B,2,0)</f>
        <v>LS</v>
      </c>
      <c r="M1547" t="s">
        <v>1040</v>
      </c>
    </row>
    <row r="1548" spans="1:13" x14ac:dyDescent="0.25">
      <c r="A1548" s="75">
        <f t="shared" si="24"/>
        <v>1547</v>
      </c>
      <c r="B1548" s="13" t="s">
        <v>2330</v>
      </c>
      <c r="C1548" s="13" t="s">
        <v>2423</v>
      </c>
      <c r="D1548" t="s">
        <v>2577</v>
      </c>
      <c r="E1548" t="s">
        <v>2578</v>
      </c>
      <c r="G1548" t="s">
        <v>63</v>
      </c>
      <c r="H1548" s="75" t="str">
        <f>IFERROR(VLOOKUP(Table2[[#This Row],[Ticket]],Okey!A:B,2,0),"")</f>
        <v>ok</v>
      </c>
      <c r="I1548" t="s">
        <v>19</v>
      </c>
      <c r="J1548" t="str">
        <f>VLOOKUP(Table2[[#This Row],[Author]],People!A:B,2,0)</f>
        <v>LS</v>
      </c>
      <c r="M1548" t="s">
        <v>1040</v>
      </c>
    </row>
    <row r="1549" spans="1:13" x14ac:dyDescent="0.25">
      <c r="A1549" s="75">
        <f t="shared" si="24"/>
        <v>1548</v>
      </c>
      <c r="B1549" s="13" t="s">
        <v>2330</v>
      </c>
      <c r="C1549" s="13" t="s">
        <v>2423</v>
      </c>
      <c r="D1549" t="s">
        <v>2579</v>
      </c>
      <c r="E1549" t="s">
        <v>2580</v>
      </c>
      <c r="G1549" t="s">
        <v>63</v>
      </c>
      <c r="H1549" s="75" t="str">
        <f>IFERROR(VLOOKUP(Table2[[#This Row],[Ticket]],Okey!A:B,2,0),"")</f>
        <v>ok</v>
      </c>
      <c r="I1549" t="s">
        <v>19</v>
      </c>
      <c r="J1549" t="str">
        <f>VLOOKUP(Table2[[#This Row],[Author]],People!A:B,2,0)</f>
        <v>LS</v>
      </c>
      <c r="M1549" t="s">
        <v>1040</v>
      </c>
    </row>
    <row r="1550" spans="1:13" x14ac:dyDescent="0.25">
      <c r="A1550" s="75">
        <f t="shared" si="24"/>
        <v>1549</v>
      </c>
      <c r="B1550" s="13" t="s">
        <v>2330</v>
      </c>
      <c r="C1550" s="13" t="s">
        <v>2423</v>
      </c>
      <c r="D1550" t="s">
        <v>2581</v>
      </c>
      <c r="E1550" t="s">
        <v>2582</v>
      </c>
      <c r="G1550" t="s">
        <v>63</v>
      </c>
      <c r="H1550" s="75" t="str">
        <f>IFERROR(VLOOKUP(Table2[[#This Row],[Ticket]],Okey!A:B,2,0),"")</f>
        <v>ok</v>
      </c>
      <c r="I1550" t="s">
        <v>19</v>
      </c>
      <c r="J1550" t="str">
        <f>VLOOKUP(Table2[[#This Row],[Author]],People!A:B,2,0)</f>
        <v>LS</v>
      </c>
      <c r="M1550" t="s">
        <v>1040</v>
      </c>
    </row>
    <row r="1551" spans="1:13" x14ac:dyDescent="0.25">
      <c r="A1551" s="75">
        <f t="shared" si="24"/>
        <v>1550</v>
      </c>
      <c r="B1551" s="13" t="s">
        <v>2330</v>
      </c>
      <c r="C1551" s="13" t="s">
        <v>2423</v>
      </c>
      <c r="D1551" t="s">
        <v>2583</v>
      </c>
      <c r="E1551" t="s">
        <v>2584</v>
      </c>
      <c r="G1551" t="s">
        <v>63</v>
      </c>
      <c r="H1551" s="75" t="str">
        <f>IFERROR(VLOOKUP(Table2[[#This Row],[Ticket]],Okey!A:B,2,0),"")</f>
        <v>ok</v>
      </c>
      <c r="I1551" t="s">
        <v>19</v>
      </c>
      <c r="J1551" t="str">
        <f>VLOOKUP(Table2[[#This Row],[Author]],People!A:B,2,0)</f>
        <v>LS</v>
      </c>
      <c r="M1551" t="s">
        <v>1040</v>
      </c>
    </row>
    <row r="1552" spans="1:13" x14ac:dyDescent="0.25">
      <c r="A1552" s="75">
        <f t="shared" si="24"/>
        <v>1551</v>
      </c>
      <c r="B1552" s="13" t="s">
        <v>2330</v>
      </c>
      <c r="C1552" s="13" t="s">
        <v>2423</v>
      </c>
      <c r="D1552" t="s">
        <v>2585</v>
      </c>
      <c r="E1552" t="s">
        <v>2586</v>
      </c>
      <c r="G1552" t="s">
        <v>63</v>
      </c>
      <c r="H1552" s="75" t="str">
        <f>IFERROR(VLOOKUP(Table2[[#This Row],[Ticket]],Okey!A:B,2,0),"")</f>
        <v>ok</v>
      </c>
      <c r="I1552" t="s">
        <v>19</v>
      </c>
      <c r="J1552" t="str">
        <f>VLOOKUP(Table2[[#This Row],[Author]],People!A:B,2,0)</f>
        <v>LS</v>
      </c>
      <c r="M1552" t="s">
        <v>1040</v>
      </c>
    </row>
    <row r="1553" spans="1:13" x14ac:dyDescent="0.25">
      <c r="A1553" s="75">
        <f t="shared" si="24"/>
        <v>1552</v>
      </c>
      <c r="B1553" s="13" t="s">
        <v>2330</v>
      </c>
      <c r="C1553" s="13" t="s">
        <v>2423</v>
      </c>
      <c r="D1553" t="s">
        <v>2587</v>
      </c>
      <c r="E1553" t="s">
        <v>2588</v>
      </c>
      <c r="G1553" t="s">
        <v>63</v>
      </c>
      <c r="H1553" s="75" t="str">
        <f>IFERROR(VLOOKUP(Table2[[#This Row],[Ticket]],Okey!A:B,2,0),"")</f>
        <v>ok</v>
      </c>
      <c r="I1553" t="s">
        <v>19</v>
      </c>
      <c r="J1553" t="str">
        <f>VLOOKUP(Table2[[#This Row],[Author]],People!A:B,2,0)</f>
        <v>LS</v>
      </c>
      <c r="M1553" t="s">
        <v>1040</v>
      </c>
    </row>
    <row r="1554" spans="1:13" x14ac:dyDescent="0.25">
      <c r="A1554" s="75">
        <f t="shared" si="24"/>
        <v>1553</v>
      </c>
      <c r="B1554" s="13" t="s">
        <v>2330</v>
      </c>
      <c r="C1554" s="13" t="s">
        <v>2423</v>
      </c>
      <c r="D1554" t="s">
        <v>2589</v>
      </c>
      <c r="E1554" t="s">
        <v>2590</v>
      </c>
      <c r="G1554" t="s">
        <v>63</v>
      </c>
      <c r="H1554" s="75" t="str">
        <f>IFERROR(VLOOKUP(Table2[[#This Row],[Ticket]],Okey!A:B,2,0),"")</f>
        <v>ok</v>
      </c>
      <c r="I1554" t="s">
        <v>19</v>
      </c>
      <c r="J1554" t="str">
        <f>VLOOKUP(Table2[[#This Row],[Author]],People!A:B,2,0)</f>
        <v>LS</v>
      </c>
      <c r="M1554" t="s">
        <v>1040</v>
      </c>
    </row>
    <row r="1555" spans="1:13" x14ac:dyDescent="0.25">
      <c r="A1555" s="75">
        <f t="shared" si="24"/>
        <v>1554</v>
      </c>
      <c r="B1555" s="13" t="s">
        <v>2330</v>
      </c>
      <c r="C1555" s="13" t="s">
        <v>2423</v>
      </c>
      <c r="D1555" t="s">
        <v>2591</v>
      </c>
      <c r="E1555" t="s">
        <v>2592</v>
      </c>
      <c r="G1555" t="s">
        <v>63</v>
      </c>
      <c r="H1555" s="75" t="str">
        <f>IFERROR(VLOOKUP(Table2[[#This Row],[Ticket]],Okey!A:B,2,0),"")</f>
        <v>ok</v>
      </c>
      <c r="I1555" t="s">
        <v>19</v>
      </c>
      <c r="J1555" t="str">
        <f>VLOOKUP(Table2[[#This Row],[Author]],People!A:B,2,0)</f>
        <v>LS</v>
      </c>
      <c r="M1555" t="s">
        <v>1040</v>
      </c>
    </row>
    <row r="1556" spans="1:13" x14ac:dyDescent="0.25">
      <c r="A1556" s="75">
        <f t="shared" si="24"/>
        <v>1555</v>
      </c>
      <c r="B1556" s="13" t="s">
        <v>2330</v>
      </c>
      <c r="C1556" s="13" t="s">
        <v>2423</v>
      </c>
      <c r="D1556" t="s">
        <v>2593</v>
      </c>
      <c r="E1556" t="s">
        <v>2594</v>
      </c>
      <c r="G1556" t="s">
        <v>63</v>
      </c>
      <c r="H1556" s="75" t="str">
        <f>IFERROR(VLOOKUP(Table2[[#This Row],[Ticket]],Okey!A:B,2,0),"")</f>
        <v>ok</v>
      </c>
      <c r="I1556" t="s">
        <v>19</v>
      </c>
      <c r="J1556" t="str">
        <f>VLOOKUP(Table2[[#This Row],[Author]],People!A:B,2,0)</f>
        <v>LS</v>
      </c>
      <c r="M1556" t="s">
        <v>1040</v>
      </c>
    </row>
    <row r="1557" spans="1:13" x14ac:dyDescent="0.25">
      <c r="A1557" s="75">
        <f t="shared" si="24"/>
        <v>1556</v>
      </c>
      <c r="B1557" s="13" t="s">
        <v>2330</v>
      </c>
      <c r="C1557" s="13" t="s">
        <v>2423</v>
      </c>
      <c r="D1557" t="s">
        <v>2595</v>
      </c>
      <c r="E1557" t="s">
        <v>2596</v>
      </c>
      <c r="G1557" t="s">
        <v>63</v>
      </c>
      <c r="H1557" s="75" t="str">
        <f>IFERROR(VLOOKUP(Table2[[#This Row],[Ticket]],Okey!A:B,2,0),"")</f>
        <v>ok</v>
      </c>
      <c r="I1557" t="s">
        <v>19</v>
      </c>
      <c r="J1557" t="str">
        <f>VLOOKUP(Table2[[#This Row],[Author]],People!A:B,2,0)</f>
        <v>LS</v>
      </c>
      <c r="M1557" t="s">
        <v>1040</v>
      </c>
    </row>
    <row r="1558" spans="1:13" x14ac:dyDescent="0.25">
      <c r="A1558" s="75">
        <f t="shared" si="24"/>
        <v>1557</v>
      </c>
      <c r="B1558" s="13" t="s">
        <v>2330</v>
      </c>
      <c r="C1558" s="13" t="s">
        <v>2423</v>
      </c>
      <c r="D1558" t="s">
        <v>2597</v>
      </c>
      <c r="E1558" t="s">
        <v>2598</v>
      </c>
      <c r="G1558" t="s">
        <v>63</v>
      </c>
      <c r="H1558" s="75" t="str">
        <f>IFERROR(VLOOKUP(Table2[[#This Row],[Ticket]],Okey!A:B,2,0),"")</f>
        <v>ok</v>
      </c>
      <c r="I1558" t="s">
        <v>19</v>
      </c>
      <c r="J1558" t="str">
        <f>VLOOKUP(Table2[[#This Row],[Author]],People!A:B,2,0)</f>
        <v>LS</v>
      </c>
      <c r="M1558" t="s">
        <v>1040</v>
      </c>
    </row>
    <row r="1559" spans="1:13" x14ac:dyDescent="0.25">
      <c r="A1559" s="75">
        <f t="shared" si="24"/>
        <v>1558</v>
      </c>
      <c r="B1559" s="13" t="s">
        <v>2330</v>
      </c>
      <c r="C1559" s="13" t="s">
        <v>2423</v>
      </c>
      <c r="D1559" t="s">
        <v>2599</v>
      </c>
      <c r="E1559" t="s">
        <v>2600</v>
      </c>
      <c r="G1559" t="s">
        <v>63</v>
      </c>
      <c r="H1559" s="75" t="str">
        <f>IFERROR(VLOOKUP(Table2[[#This Row],[Ticket]],Okey!A:B,2,0),"")</f>
        <v>ok</v>
      </c>
      <c r="I1559" t="s">
        <v>19</v>
      </c>
      <c r="J1559" t="str">
        <f>VLOOKUP(Table2[[#This Row],[Author]],People!A:B,2,0)</f>
        <v>LS</v>
      </c>
      <c r="M1559" t="s">
        <v>1040</v>
      </c>
    </row>
    <row r="1560" spans="1:13" x14ac:dyDescent="0.25">
      <c r="A1560" s="75">
        <f t="shared" si="24"/>
        <v>1559</v>
      </c>
      <c r="B1560" s="13" t="s">
        <v>2330</v>
      </c>
      <c r="C1560" s="13" t="s">
        <v>2423</v>
      </c>
      <c r="D1560" t="s">
        <v>2601</v>
      </c>
      <c r="E1560" t="s">
        <v>2602</v>
      </c>
      <c r="G1560" t="s">
        <v>63</v>
      </c>
      <c r="H1560" s="75" t="str">
        <f>IFERROR(VLOOKUP(Table2[[#This Row],[Ticket]],Okey!A:B,2,0),"")</f>
        <v>ok</v>
      </c>
      <c r="I1560" t="s">
        <v>19</v>
      </c>
      <c r="J1560" t="str">
        <f>VLOOKUP(Table2[[#This Row],[Author]],People!A:B,2,0)</f>
        <v>LS</v>
      </c>
      <c r="M1560" t="s">
        <v>1040</v>
      </c>
    </row>
    <row r="1561" spans="1:13" x14ac:dyDescent="0.25">
      <c r="A1561" s="75">
        <f t="shared" si="24"/>
        <v>1560</v>
      </c>
      <c r="B1561" s="13" t="s">
        <v>2330</v>
      </c>
      <c r="C1561" s="13" t="s">
        <v>2423</v>
      </c>
      <c r="D1561" t="s">
        <v>2603</v>
      </c>
      <c r="E1561" t="s">
        <v>2604</v>
      </c>
      <c r="G1561" t="s">
        <v>63</v>
      </c>
      <c r="H1561" s="75" t="str">
        <f>IFERROR(VLOOKUP(Table2[[#This Row],[Ticket]],Okey!A:B,2,0),"")</f>
        <v>ok</v>
      </c>
      <c r="I1561" t="s">
        <v>19</v>
      </c>
      <c r="J1561" t="str">
        <f>VLOOKUP(Table2[[#This Row],[Author]],People!A:B,2,0)</f>
        <v>LS</v>
      </c>
      <c r="M1561" t="s">
        <v>1040</v>
      </c>
    </row>
    <row r="1562" spans="1:13" x14ac:dyDescent="0.25">
      <c r="A1562" s="75">
        <f t="shared" si="24"/>
        <v>1561</v>
      </c>
      <c r="B1562" s="13" t="s">
        <v>2330</v>
      </c>
      <c r="C1562" s="13" t="s">
        <v>2423</v>
      </c>
      <c r="D1562" t="s">
        <v>2605</v>
      </c>
      <c r="E1562" t="s">
        <v>2606</v>
      </c>
      <c r="G1562" t="s">
        <v>63</v>
      </c>
      <c r="H1562" s="75" t="str">
        <f>IFERROR(VLOOKUP(Table2[[#This Row],[Ticket]],Okey!A:B,2,0),"")</f>
        <v>ok</v>
      </c>
      <c r="I1562" t="s">
        <v>19</v>
      </c>
      <c r="J1562" t="str">
        <f>VLOOKUP(Table2[[#This Row],[Author]],People!A:B,2,0)</f>
        <v>LS</v>
      </c>
      <c r="M1562" t="s">
        <v>1040</v>
      </c>
    </row>
    <row r="1563" spans="1:13" x14ac:dyDescent="0.25">
      <c r="A1563" s="75">
        <f t="shared" si="24"/>
        <v>1562</v>
      </c>
      <c r="B1563" s="13" t="s">
        <v>2330</v>
      </c>
      <c r="C1563" s="13" t="s">
        <v>2423</v>
      </c>
      <c r="D1563" t="s">
        <v>2607</v>
      </c>
      <c r="E1563" t="s">
        <v>2608</v>
      </c>
      <c r="G1563" t="s">
        <v>63</v>
      </c>
      <c r="H1563" s="75" t="str">
        <f>IFERROR(VLOOKUP(Table2[[#This Row],[Ticket]],Okey!A:B,2,0),"")</f>
        <v>ok</v>
      </c>
      <c r="I1563" t="s">
        <v>19</v>
      </c>
      <c r="J1563" t="str">
        <f>VLOOKUP(Table2[[#This Row],[Author]],People!A:B,2,0)</f>
        <v>LS</v>
      </c>
      <c r="M1563" t="s">
        <v>1040</v>
      </c>
    </row>
    <row r="1564" spans="1:13" x14ac:dyDescent="0.25">
      <c r="A1564" s="75">
        <f t="shared" si="24"/>
        <v>1563</v>
      </c>
      <c r="B1564" s="13" t="s">
        <v>2330</v>
      </c>
      <c r="C1564" s="13" t="s">
        <v>2423</v>
      </c>
      <c r="D1564" t="s">
        <v>2609</v>
      </c>
      <c r="E1564" t="s">
        <v>2610</v>
      </c>
      <c r="G1564" t="s">
        <v>63</v>
      </c>
      <c r="H1564" s="75" t="str">
        <f>IFERROR(VLOOKUP(Table2[[#This Row],[Ticket]],Okey!A:B,2,0),"")</f>
        <v>ok</v>
      </c>
      <c r="I1564" t="s">
        <v>19</v>
      </c>
      <c r="J1564" t="str">
        <f>VLOOKUP(Table2[[#This Row],[Author]],People!A:B,2,0)</f>
        <v>LS</v>
      </c>
      <c r="M1564" t="s">
        <v>1040</v>
      </c>
    </row>
    <row r="1565" spans="1:13" x14ac:dyDescent="0.25">
      <c r="A1565" s="75">
        <f t="shared" si="24"/>
        <v>1564</v>
      </c>
      <c r="B1565" s="13" t="s">
        <v>2330</v>
      </c>
      <c r="C1565" s="13" t="s">
        <v>2423</v>
      </c>
      <c r="D1565" t="s">
        <v>2611</v>
      </c>
      <c r="E1565" t="s">
        <v>2612</v>
      </c>
      <c r="G1565" t="s">
        <v>63</v>
      </c>
      <c r="H1565" s="75" t="str">
        <f>IFERROR(VLOOKUP(Table2[[#This Row],[Ticket]],Okey!A:B,2,0),"")</f>
        <v>ok</v>
      </c>
      <c r="I1565" t="s">
        <v>19</v>
      </c>
      <c r="J1565" t="str">
        <f>VLOOKUP(Table2[[#This Row],[Author]],People!A:B,2,0)</f>
        <v>LS</v>
      </c>
      <c r="M1565" t="s">
        <v>1040</v>
      </c>
    </row>
    <row r="1566" spans="1:13" x14ac:dyDescent="0.25">
      <c r="A1566" s="75">
        <f t="shared" si="24"/>
        <v>1565</v>
      </c>
      <c r="B1566" s="13" t="s">
        <v>2330</v>
      </c>
      <c r="C1566" s="13" t="s">
        <v>2423</v>
      </c>
      <c r="D1566" t="s">
        <v>2613</v>
      </c>
      <c r="E1566" t="s">
        <v>2614</v>
      </c>
      <c r="G1566" t="s">
        <v>63</v>
      </c>
      <c r="H1566" s="75" t="str">
        <f>IFERROR(VLOOKUP(Table2[[#This Row],[Ticket]],Okey!A:B,2,0),"")</f>
        <v>ok</v>
      </c>
      <c r="I1566" t="s">
        <v>19</v>
      </c>
      <c r="J1566" t="str">
        <f>VLOOKUP(Table2[[#This Row],[Author]],People!A:B,2,0)</f>
        <v>LS</v>
      </c>
      <c r="M1566" t="s">
        <v>1040</v>
      </c>
    </row>
    <row r="1567" spans="1:13" x14ac:dyDescent="0.25">
      <c r="A1567" s="75">
        <f t="shared" si="24"/>
        <v>1566</v>
      </c>
      <c r="B1567" s="13" t="s">
        <v>2330</v>
      </c>
      <c r="C1567" s="13" t="s">
        <v>2423</v>
      </c>
      <c r="D1567" t="s">
        <v>2615</v>
      </c>
      <c r="E1567" t="s">
        <v>2616</v>
      </c>
      <c r="G1567" t="s">
        <v>63</v>
      </c>
      <c r="H1567" s="75" t="str">
        <f>IFERROR(VLOOKUP(Table2[[#This Row],[Ticket]],Okey!A:B,2,0),"")</f>
        <v>ok</v>
      </c>
      <c r="I1567" t="s">
        <v>19</v>
      </c>
      <c r="J1567" t="str">
        <f>VLOOKUP(Table2[[#This Row],[Author]],People!A:B,2,0)</f>
        <v>LS</v>
      </c>
      <c r="M1567" t="s">
        <v>1040</v>
      </c>
    </row>
    <row r="1568" spans="1:13" x14ac:dyDescent="0.25">
      <c r="A1568" s="75">
        <f t="shared" si="24"/>
        <v>1567</v>
      </c>
      <c r="B1568" s="13" t="s">
        <v>2330</v>
      </c>
      <c r="C1568" s="13" t="s">
        <v>2423</v>
      </c>
      <c r="D1568" t="s">
        <v>2617</v>
      </c>
      <c r="E1568" t="s">
        <v>2618</v>
      </c>
      <c r="G1568" t="s">
        <v>63</v>
      </c>
      <c r="H1568" s="75" t="str">
        <f>IFERROR(VLOOKUP(Table2[[#This Row],[Ticket]],Okey!A:B,2,0),"")</f>
        <v>ok</v>
      </c>
      <c r="I1568" t="s">
        <v>19</v>
      </c>
      <c r="J1568" t="str">
        <f>VLOOKUP(Table2[[#This Row],[Author]],People!A:B,2,0)</f>
        <v>LS</v>
      </c>
      <c r="M1568" t="s">
        <v>1040</v>
      </c>
    </row>
    <row r="1569" spans="1:13" x14ac:dyDescent="0.25">
      <c r="A1569" s="75">
        <f t="shared" si="24"/>
        <v>1568</v>
      </c>
      <c r="B1569" s="13" t="s">
        <v>2330</v>
      </c>
      <c r="C1569" s="13" t="s">
        <v>2423</v>
      </c>
      <c r="D1569" t="s">
        <v>2619</v>
      </c>
      <c r="E1569" t="s">
        <v>2620</v>
      </c>
      <c r="G1569" t="s">
        <v>63</v>
      </c>
      <c r="H1569" s="75" t="str">
        <f>IFERROR(VLOOKUP(Table2[[#This Row],[Ticket]],Okey!A:B,2,0),"")</f>
        <v>ok</v>
      </c>
      <c r="I1569" t="s">
        <v>19</v>
      </c>
      <c r="J1569" t="str">
        <f>VLOOKUP(Table2[[#This Row],[Author]],People!A:B,2,0)</f>
        <v>LS</v>
      </c>
      <c r="M1569" t="s">
        <v>1040</v>
      </c>
    </row>
    <row r="1570" spans="1:13" x14ac:dyDescent="0.25">
      <c r="A1570" s="75">
        <f t="shared" si="24"/>
        <v>1569</v>
      </c>
      <c r="B1570" s="13" t="s">
        <v>2330</v>
      </c>
      <c r="C1570" s="13" t="s">
        <v>2423</v>
      </c>
      <c r="D1570" t="s">
        <v>2621</v>
      </c>
      <c r="E1570" t="s">
        <v>2622</v>
      </c>
      <c r="G1570" t="s">
        <v>63</v>
      </c>
      <c r="H1570" s="75" t="str">
        <f>IFERROR(VLOOKUP(Table2[[#This Row],[Ticket]],Okey!A:B,2,0),"")</f>
        <v>ok</v>
      </c>
      <c r="I1570" t="s">
        <v>19</v>
      </c>
      <c r="J1570" t="str">
        <f>VLOOKUP(Table2[[#This Row],[Author]],People!A:B,2,0)</f>
        <v>LS</v>
      </c>
      <c r="M1570" t="s">
        <v>1040</v>
      </c>
    </row>
    <row r="1571" spans="1:13" x14ac:dyDescent="0.25">
      <c r="A1571" s="75">
        <f t="shared" si="24"/>
        <v>1570</v>
      </c>
      <c r="B1571" s="13" t="s">
        <v>2330</v>
      </c>
      <c r="C1571" s="13" t="s">
        <v>2423</v>
      </c>
      <c r="D1571" t="s">
        <v>2623</v>
      </c>
      <c r="E1571" t="s">
        <v>2624</v>
      </c>
      <c r="G1571" t="s">
        <v>63</v>
      </c>
      <c r="H1571" s="75" t="str">
        <f>IFERROR(VLOOKUP(Table2[[#This Row],[Ticket]],Okey!A:B,2,0),"")</f>
        <v>ok</v>
      </c>
      <c r="I1571" t="s">
        <v>19</v>
      </c>
      <c r="J1571" t="str">
        <f>VLOOKUP(Table2[[#This Row],[Author]],People!A:B,2,0)</f>
        <v>LS</v>
      </c>
      <c r="M1571" t="s">
        <v>1040</v>
      </c>
    </row>
    <row r="1572" spans="1:13" x14ac:dyDescent="0.25">
      <c r="A1572" s="75">
        <f t="shared" si="24"/>
        <v>1571</v>
      </c>
      <c r="B1572" s="13" t="s">
        <v>2330</v>
      </c>
      <c r="C1572" s="13" t="s">
        <v>2423</v>
      </c>
      <c r="D1572" t="s">
        <v>2625</v>
      </c>
      <c r="E1572" t="s">
        <v>2626</v>
      </c>
      <c r="G1572" t="s">
        <v>63</v>
      </c>
      <c r="H1572" s="75" t="str">
        <f>IFERROR(VLOOKUP(Table2[[#This Row],[Ticket]],Okey!A:B,2,0),"")</f>
        <v>ok</v>
      </c>
      <c r="I1572" t="s">
        <v>19</v>
      </c>
      <c r="J1572" t="str">
        <f>VLOOKUP(Table2[[#This Row],[Author]],People!A:B,2,0)</f>
        <v>LS</v>
      </c>
      <c r="M1572" t="s">
        <v>1040</v>
      </c>
    </row>
    <row r="1573" spans="1:13" x14ac:dyDescent="0.25">
      <c r="A1573" s="75">
        <f t="shared" si="24"/>
        <v>1572</v>
      </c>
      <c r="B1573" s="13" t="s">
        <v>2330</v>
      </c>
      <c r="C1573" s="13" t="s">
        <v>2423</v>
      </c>
      <c r="D1573" t="s">
        <v>2627</v>
      </c>
      <c r="E1573" t="s">
        <v>2628</v>
      </c>
      <c r="G1573" t="s">
        <v>63</v>
      </c>
      <c r="H1573" s="75" t="str">
        <f>IFERROR(VLOOKUP(Table2[[#This Row],[Ticket]],Okey!A:B,2,0),"")</f>
        <v>ok</v>
      </c>
      <c r="I1573" t="s">
        <v>19</v>
      </c>
      <c r="J1573" t="str">
        <f>VLOOKUP(Table2[[#This Row],[Author]],People!A:B,2,0)</f>
        <v>LS</v>
      </c>
      <c r="M1573" t="s">
        <v>1040</v>
      </c>
    </row>
    <row r="1574" spans="1:13" x14ac:dyDescent="0.25">
      <c r="A1574" s="75">
        <f t="shared" si="24"/>
        <v>1573</v>
      </c>
      <c r="B1574" s="13" t="s">
        <v>2330</v>
      </c>
      <c r="C1574" s="13" t="s">
        <v>2423</v>
      </c>
      <c r="D1574" t="s">
        <v>2629</v>
      </c>
      <c r="E1574" t="s">
        <v>2630</v>
      </c>
      <c r="G1574" t="s">
        <v>63</v>
      </c>
      <c r="H1574" s="75" t="str">
        <f>IFERROR(VLOOKUP(Table2[[#This Row],[Ticket]],Okey!A:B,2,0),"")</f>
        <v>ok</v>
      </c>
      <c r="I1574" t="s">
        <v>19</v>
      </c>
      <c r="J1574" t="str">
        <f>VLOOKUP(Table2[[#This Row],[Author]],People!A:B,2,0)</f>
        <v>LS</v>
      </c>
      <c r="M1574" t="s">
        <v>1040</v>
      </c>
    </row>
    <row r="1575" spans="1:13" x14ac:dyDescent="0.25">
      <c r="A1575" s="75">
        <f t="shared" si="24"/>
        <v>1574</v>
      </c>
      <c r="B1575" s="13" t="s">
        <v>2330</v>
      </c>
      <c r="C1575" s="13" t="s">
        <v>2423</v>
      </c>
      <c r="D1575" t="s">
        <v>2631</v>
      </c>
      <c r="E1575" t="s">
        <v>2632</v>
      </c>
      <c r="G1575" t="s">
        <v>63</v>
      </c>
      <c r="H1575" s="75" t="str">
        <f>IFERROR(VLOOKUP(Table2[[#This Row],[Ticket]],Okey!A:B,2,0),"")</f>
        <v>ok</v>
      </c>
      <c r="I1575" t="s">
        <v>19</v>
      </c>
      <c r="J1575" t="str">
        <f>VLOOKUP(Table2[[#This Row],[Author]],People!A:B,2,0)</f>
        <v>LS</v>
      </c>
      <c r="M1575" t="s">
        <v>1040</v>
      </c>
    </row>
    <row r="1576" spans="1:13" x14ac:dyDescent="0.25">
      <c r="A1576" s="75">
        <f t="shared" si="24"/>
        <v>1575</v>
      </c>
      <c r="B1576" s="13" t="s">
        <v>2330</v>
      </c>
      <c r="C1576" s="13" t="s">
        <v>2423</v>
      </c>
      <c r="D1576" t="s">
        <v>2633</v>
      </c>
      <c r="E1576" t="s">
        <v>2634</v>
      </c>
      <c r="G1576" t="s">
        <v>63</v>
      </c>
      <c r="H1576" s="75" t="str">
        <f>IFERROR(VLOOKUP(Table2[[#This Row],[Ticket]],Okey!A:B,2,0),"")</f>
        <v>ok</v>
      </c>
      <c r="I1576" t="s">
        <v>19</v>
      </c>
      <c r="J1576" t="str">
        <f>VLOOKUP(Table2[[#This Row],[Author]],People!A:B,2,0)</f>
        <v>LS</v>
      </c>
      <c r="M1576" t="s">
        <v>1040</v>
      </c>
    </row>
    <row r="1577" spans="1:13" x14ac:dyDescent="0.25">
      <c r="A1577" s="75">
        <f t="shared" si="24"/>
        <v>1576</v>
      </c>
      <c r="B1577" s="13" t="s">
        <v>2330</v>
      </c>
      <c r="C1577" s="13" t="s">
        <v>2423</v>
      </c>
      <c r="D1577" t="s">
        <v>2635</v>
      </c>
      <c r="E1577" t="s">
        <v>2636</v>
      </c>
      <c r="G1577" t="s">
        <v>63</v>
      </c>
      <c r="H1577" s="75" t="str">
        <f>IFERROR(VLOOKUP(Table2[[#This Row],[Ticket]],Okey!A:B,2,0),"")</f>
        <v>ok</v>
      </c>
      <c r="I1577" t="s">
        <v>19</v>
      </c>
      <c r="J1577" t="str">
        <f>VLOOKUP(Table2[[#This Row],[Author]],People!A:B,2,0)</f>
        <v>LS</v>
      </c>
      <c r="M1577" t="s">
        <v>1040</v>
      </c>
    </row>
    <row r="1578" spans="1:13" x14ac:dyDescent="0.25">
      <c r="A1578" s="75">
        <f t="shared" si="24"/>
        <v>1577</v>
      </c>
      <c r="B1578" s="13" t="s">
        <v>2330</v>
      </c>
      <c r="C1578" s="13" t="s">
        <v>2423</v>
      </c>
      <c r="D1578" t="s">
        <v>2637</v>
      </c>
      <c r="E1578" t="s">
        <v>2638</v>
      </c>
      <c r="G1578" t="s">
        <v>63</v>
      </c>
      <c r="H1578" s="75" t="str">
        <f>IFERROR(VLOOKUP(Table2[[#This Row],[Ticket]],Okey!A:B,2,0),"")</f>
        <v>ok</v>
      </c>
      <c r="I1578" t="s">
        <v>19</v>
      </c>
      <c r="J1578" t="str">
        <f>VLOOKUP(Table2[[#This Row],[Author]],People!A:B,2,0)</f>
        <v>LS</v>
      </c>
      <c r="M1578" t="s">
        <v>1040</v>
      </c>
    </row>
    <row r="1579" spans="1:13" x14ac:dyDescent="0.25">
      <c r="A1579" s="75">
        <f t="shared" si="24"/>
        <v>1578</v>
      </c>
      <c r="B1579" s="13" t="s">
        <v>2330</v>
      </c>
      <c r="C1579" s="13" t="s">
        <v>2423</v>
      </c>
      <c r="D1579" t="s">
        <v>2639</v>
      </c>
      <c r="E1579" t="s">
        <v>2640</v>
      </c>
      <c r="G1579" t="s">
        <v>63</v>
      </c>
      <c r="H1579" s="75" t="str">
        <f>IFERROR(VLOOKUP(Table2[[#This Row],[Ticket]],Okey!A:B,2,0),"")</f>
        <v>ok</v>
      </c>
      <c r="I1579" t="s">
        <v>19</v>
      </c>
      <c r="J1579" t="str">
        <f>VLOOKUP(Table2[[#This Row],[Author]],People!A:B,2,0)</f>
        <v>LS</v>
      </c>
      <c r="M1579" t="s">
        <v>1040</v>
      </c>
    </row>
    <row r="1580" spans="1:13" x14ac:dyDescent="0.25">
      <c r="A1580" s="75">
        <f t="shared" si="24"/>
        <v>1579</v>
      </c>
      <c r="B1580" s="13" t="s">
        <v>2330</v>
      </c>
      <c r="C1580" s="13" t="s">
        <v>2423</v>
      </c>
      <c r="D1580" t="s">
        <v>2641</v>
      </c>
      <c r="E1580" t="s">
        <v>2642</v>
      </c>
      <c r="G1580" t="s">
        <v>63</v>
      </c>
      <c r="H1580" s="75" t="str">
        <f>IFERROR(VLOOKUP(Table2[[#This Row],[Ticket]],Okey!A:B,2,0),"")</f>
        <v>ok</v>
      </c>
      <c r="I1580" t="s">
        <v>19</v>
      </c>
      <c r="J1580" t="str">
        <f>VLOOKUP(Table2[[#This Row],[Author]],People!A:B,2,0)</f>
        <v>LS</v>
      </c>
      <c r="M1580" t="s">
        <v>1040</v>
      </c>
    </row>
    <row r="1581" spans="1:13" x14ac:dyDescent="0.25">
      <c r="A1581" s="75">
        <f t="shared" si="24"/>
        <v>1580</v>
      </c>
      <c r="B1581" s="13" t="s">
        <v>2330</v>
      </c>
      <c r="C1581" s="13" t="s">
        <v>2423</v>
      </c>
      <c r="D1581" t="s">
        <v>2643</v>
      </c>
      <c r="E1581" t="s">
        <v>2644</v>
      </c>
      <c r="G1581" t="s">
        <v>63</v>
      </c>
      <c r="H1581" s="75" t="str">
        <f>IFERROR(VLOOKUP(Table2[[#This Row],[Ticket]],Okey!A:B,2,0),"")</f>
        <v>ok</v>
      </c>
      <c r="I1581" t="s">
        <v>19</v>
      </c>
      <c r="J1581" t="str">
        <f>VLOOKUP(Table2[[#This Row],[Author]],People!A:B,2,0)</f>
        <v>LS</v>
      </c>
      <c r="M1581" t="s">
        <v>1040</v>
      </c>
    </row>
    <row r="1582" spans="1:13" x14ac:dyDescent="0.25">
      <c r="A1582" s="75">
        <f t="shared" si="24"/>
        <v>1581</v>
      </c>
      <c r="B1582" s="13" t="s">
        <v>2330</v>
      </c>
      <c r="C1582" s="13" t="s">
        <v>2423</v>
      </c>
      <c r="D1582" t="s">
        <v>2645</v>
      </c>
      <c r="E1582" t="s">
        <v>2646</v>
      </c>
      <c r="G1582" t="s">
        <v>63</v>
      </c>
      <c r="H1582" s="75" t="str">
        <f>IFERROR(VLOOKUP(Table2[[#This Row],[Ticket]],Okey!A:B,2,0),"")</f>
        <v>ok</v>
      </c>
      <c r="I1582" t="s">
        <v>19</v>
      </c>
      <c r="J1582" t="str">
        <f>VLOOKUP(Table2[[#This Row],[Author]],People!A:B,2,0)</f>
        <v>LS</v>
      </c>
      <c r="M1582" t="s">
        <v>1040</v>
      </c>
    </row>
    <row r="1583" spans="1:13" x14ac:dyDescent="0.25">
      <c r="A1583" s="75">
        <f t="shared" si="24"/>
        <v>1582</v>
      </c>
      <c r="B1583" s="13" t="s">
        <v>2330</v>
      </c>
      <c r="C1583" s="13" t="s">
        <v>2423</v>
      </c>
      <c r="D1583" t="s">
        <v>2647</v>
      </c>
      <c r="E1583" t="s">
        <v>2648</v>
      </c>
      <c r="G1583" t="s">
        <v>63</v>
      </c>
      <c r="H1583" s="75" t="str">
        <f>IFERROR(VLOOKUP(Table2[[#This Row],[Ticket]],Okey!A:B,2,0),"")</f>
        <v>ok</v>
      </c>
      <c r="I1583" t="s">
        <v>19</v>
      </c>
      <c r="J1583" t="str">
        <f>VLOOKUP(Table2[[#This Row],[Author]],People!A:B,2,0)</f>
        <v>LS</v>
      </c>
      <c r="M1583" t="s">
        <v>1040</v>
      </c>
    </row>
    <row r="1584" spans="1:13" x14ac:dyDescent="0.25">
      <c r="A1584" s="75">
        <f t="shared" si="24"/>
        <v>1583</v>
      </c>
      <c r="B1584" s="13" t="s">
        <v>2330</v>
      </c>
      <c r="C1584" s="13" t="s">
        <v>2423</v>
      </c>
      <c r="D1584" t="s">
        <v>2649</v>
      </c>
      <c r="E1584" t="s">
        <v>2650</v>
      </c>
      <c r="G1584" t="s">
        <v>63</v>
      </c>
      <c r="H1584" s="75" t="str">
        <f>IFERROR(VLOOKUP(Table2[[#This Row],[Ticket]],Okey!A:B,2,0),"")</f>
        <v>ok</v>
      </c>
      <c r="I1584" t="s">
        <v>19</v>
      </c>
      <c r="J1584" t="str">
        <f>VLOOKUP(Table2[[#This Row],[Author]],People!A:B,2,0)</f>
        <v>LS</v>
      </c>
      <c r="M1584" t="s">
        <v>1040</v>
      </c>
    </row>
    <row r="1585" spans="1:13" x14ac:dyDescent="0.25">
      <c r="A1585" s="75">
        <f t="shared" si="24"/>
        <v>1584</v>
      </c>
      <c r="B1585" s="13" t="s">
        <v>2330</v>
      </c>
      <c r="C1585" s="13" t="s">
        <v>2423</v>
      </c>
      <c r="D1585" t="s">
        <v>2651</v>
      </c>
      <c r="E1585" t="s">
        <v>2652</v>
      </c>
      <c r="G1585" t="s">
        <v>63</v>
      </c>
      <c r="H1585" s="75" t="str">
        <f>IFERROR(VLOOKUP(Table2[[#This Row],[Ticket]],Okey!A:B,2,0),"")</f>
        <v>ok</v>
      </c>
      <c r="I1585" t="s">
        <v>19</v>
      </c>
      <c r="J1585" t="str">
        <f>VLOOKUP(Table2[[#This Row],[Author]],People!A:B,2,0)</f>
        <v>LS</v>
      </c>
      <c r="M1585" t="s">
        <v>1040</v>
      </c>
    </row>
    <row r="1586" spans="1:13" x14ac:dyDescent="0.25">
      <c r="A1586" s="75">
        <f t="shared" si="24"/>
        <v>1585</v>
      </c>
      <c r="B1586" s="13" t="s">
        <v>2330</v>
      </c>
      <c r="C1586" s="13" t="s">
        <v>2423</v>
      </c>
      <c r="D1586" t="s">
        <v>2653</v>
      </c>
      <c r="E1586" t="s">
        <v>2654</v>
      </c>
      <c r="G1586" t="s">
        <v>63</v>
      </c>
      <c r="H1586" s="75" t="str">
        <f>IFERROR(VLOOKUP(Table2[[#This Row],[Ticket]],Okey!A:B,2,0),"")</f>
        <v>ok</v>
      </c>
      <c r="I1586" t="s">
        <v>19</v>
      </c>
      <c r="J1586" t="str">
        <f>VLOOKUP(Table2[[#This Row],[Author]],People!A:B,2,0)</f>
        <v>LS</v>
      </c>
      <c r="M1586" t="s">
        <v>1040</v>
      </c>
    </row>
    <row r="1587" spans="1:13" x14ac:dyDescent="0.25">
      <c r="A1587" s="75">
        <f t="shared" si="24"/>
        <v>1586</v>
      </c>
      <c r="B1587" s="13" t="s">
        <v>2330</v>
      </c>
      <c r="C1587" s="13" t="s">
        <v>2423</v>
      </c>
      <c r="D1587" t="s">
        <v>2655</v>
      </c>
      <c r="E1587" t="s">
        <v>2656</v>
      </c>
      <c r="G1587" t="s">
        <v>63</v>
      </c>
      <c r="H1587" s="75" t="str">
        <f>IFERROR(VLOOKUP(Table2[[#This Row],[Ticket]],Okey!A:B,2,0),"")</f>
        <v>ok</v>
      </c>
      <c r="I1587" t="s">
        <v>19</v>
      </c>
      <c r="J1587" t="str">
        <f>VLOOKUP(Table2[[#This Row],[Author]],People!A:B,2,0)</f>
        <v>LS</v>
      </c>
      <c r="M1587" t="s">
        <v>1040</v>
      </c>
    </row>
    <row r="1588" spans="1:13" x14ac:dyDescent="0.25">
      <c r="A1588" s="75">
        <f t="shared" si="24"/>
        <v>1587</v>
      </c>
      <c r="B1588" s="13" t="s">
        <v>2330</v>
      </c>
      <c r="C1588" s="13" t="s">
        <v>2423</v>
      </c>
      <c r="D1588" t="s">
        <v>2657</v>
      </c>
      <c r="E1588" t="s">
        <v>2658</v>
      </c>
      <c r="G1588" t="s">
        <v>63</v>
      </c>
      <c r="H1588" s="75" t="str">
        <f>IFERROR(VLOOKUP(Table2[[#This Row],[Ticket]],Okey!A:B,2,0),"")</f>
        <v>ok</v>
      </c>
      <c r="I1588" t="s">
        <v>19</v>
      </c>
      <c r="J1588" t="str">
        <f>VLOOKUP(Table2[[#This Row],[Author]],People!A:B,2,0)</f>
        <v>LS</v>
      </c>
      <c r="M1588" t="s">
        <v>1040</v>
      </c>
    </row>
    <row r="1589" spans="1:13" x14ac:dyDescent="0.25">
      <c r="A1589" s="75">
        <f t="shared" si="24"/>
        <v>1588</v>
      </c>
      <c r="B1589" s="13" t="s">
        <v>2330</v>
      </c>
      <c r="C1589" s="13" t="s">
        <v>2423</v>
      </c>
      <c r="D1589" t="s">
        <v>2659</v>
      </c>
      <c r="E1589" t="s">
        <v>2660</v>
      </c>
      <c r="G1589" t="s">
        <v>63</v>
      </c>
      <c r="H1589" s="75" t="str">
        <f>IFERROR(VLOOKUP(Table2[[#This Row],[Ticket]],Okey!A:B,2,0),"")</f>
        <v>ok</v>
      </c>
      <c r="I1589" t="s">
        <v>19</v>
      </c>
      <c r="J1589" t="str">
        <f>VLOOKUP(Table2[[#This Row],[Author]],People!A:B,2,0)</f>
        <v>LS</v>
      </c>
      <c r="M1589" t="s">
        <v>1040</v>
      </c>
    </row>
    <row r="1590" spans="1:13" x14ac:dyDescent="0.25">
      <c r="A1590" s="75">
        <f t="shared" si="24"/>
        <v>1589</v>
      </c>
      <c r="B1590" s="13" t="s">
        <v>2330</v>
      </c>
      <c r="C1590" s="13" t="s">
        <v>2423</v>
      </c>
      <c r="D1590" t="s">
        <v>2661</v>
      </c>
      <c r="E1590" t="s">
        <v>2662</v>
      </c>
      <c r="G1590" t="s">
        <v>63</v>
      </c>
      <c r="H1590" s="75" t="str">
        <f>IFERROR(VLOOKUP(Table2[[#This Row],[Ticket]],Okey!A:B,2,0),"")</f>
        <v>ok</v>
      </c>
      <c r="I1590" t="s">
        <v>19</v>
      </c>
      <c r="J1590" t="str">
        <f>VLOOKUP(Table2[[#This Row],[Author]],People!A:B,2,0)</f>
        <v>LS</v>
      </c>
      <c r="M1590" t="s">
        <v>1040</v>
      </c>
    </row>
    <row r="1591" spans="1:13" x14ac:dyDescent="0.25">
      <c r="A1591" s="75">
        <f t="shared" si="24"/>
        <v>1590</v>
      </c>
      <c r="B1591" s="13" t="s">
        <v>2330</v>
      </c>
      <c r="C1591" s="13" t="s">
        <v>2423</v>
      </c>
      <c r="D1591" t="s">
        <v>2663</v>
      </c>
      <c r="E1591" t="s">
        <v>2664</v>
      </c>
      <c r="G1591" t="s">
        <v>63</v>
      </c>
      <c r="H1591" s="75" t="str">
        <f>IFERROR(VLOOKUP(Table2[[#This Row],[Ticket]],Okey!A:B,2,0),"")</f>
        <v>ok</v>
      </c>
      <c r="I1591" t="s">
        <v>19</v>
      </c>
      <c r="J1591" t="str">
        <f>VLOOKUP(Table2[[#This Row],[Author]],People!A:B,2,0)</f>
        <v>LS</v>
      </c>
      <c r="M1591" t="s">
        <v>1040</v>
      </c>
    </row>
    <row r="1592" spans="1:13" x14ac:dyDescent="0.25">
      <c r="A1592" s="75">
        <f t="shared" si="24"/>
        <v>1591</v>
      </c>
      <c r="B1592" s="13" t="s">
        <v>2330</v>
      </c>
      <c r="C1592" s="13" t="s">
        <v>2423</v>
      </c>
      <c r="D1592" t="s">
        <v>2665</v>
      </c>
      <c r="E1592" t="s">
        <v>2666</v>
      </c>
      <c r="G1592" t="s">
        <v>63</v>
      </c>
      <c r="H1592" s="75" t="str">
        <f>IFERROR(VLOOKUP(Table2[[#This Row],[Ticket]],Okey!A:B,2,0),"")</f>
        <v>ok</v>
      </c>
      <c r="I1592" t="s">
        <v>19</v>
      </c>
      <c r="J1592" t="str">
        <f>VLOOKUP(Table2[[#This Row],[Author]],People!A:B,2,0)</f>
        <v>LS</v>
      </c>
      <c r="M1592" t="s">
        <v>1040</v>
      </c>
    </row>
    <row r="1593" spans="1:13" x14ac:dyDescent="0.25">
      <c r="A1593" s="75">
        <f t="shared" si="24"/>
        <v>1592</v>
      </c>
      <c r="B1593" s="13" t="s">
        <v>2330</v>
      </c>
      <c r="C1593" s="13" t="s">
        <v>2423</v>
      </c>
      <c r="D1593" t="s">
        <v>2667</v>
      </c>
      <c r="E1593" t="s">
        <v>2668</v>
      </c>
      <c r="G1593" t="s">
        <v>63</v>
      </c>
      <c r="H1593" s="75" t="str">
        <f>IFERROR(VLOOKUP(Table2[[#This Row],[Ticket]],Okey!A:B,2,0),"")</f>
        <v>ok</v>
      </c>
      <c r="I1593" t="s">
        <v>19</v>
      </c>
      <c r="J1593" t="str">
        <f>VLOOKUP(Table2[[#This Row],[Author]],People!A:B,2,0)</f>
        <v>LS</v>
      </c>
      <c r="M1593" t="s">
        <v>1040</v>
      </c>
    </row>
    <row r="1594" spans="1:13" x14ac:dyDescent="0.25">
      <c r="A1594" s="75">
        <f t="shared" si="24"/>
        <v>1593</v>
      </c>
      <c r="B1594" s="13" t="s">
        <v>2330</v>
      </c>
      <c r="C1594" s="13" t="s">
        <v>2423</v>
      </c>
      <c r="D1594" t="s">
        <v>2669</v>
      </c>
      <c r="E1594" t="s">
        <v>2670</v>
      </c>
      <c r="G1594" t="s">
        <v>63</v>
      </c>
      <c r="H1594" s="75" t="str">
        <f>IFERROR(VLOOKUP(Table2[[#This Row],[Ticket]],Okey!A:B,2,0),"")</f>
        <v>ok</v>
      </c>
      <c r="I1594" t="s">
        <v>19</v>
      </c>
      <c r="J1594" t="str">
        <f>VLOOKUP(Table2[[#This Row],[Author]],People!A:B,2,0)</f>
        <v>LS</v>
      </c>
      <c r="M1594" t="s">
        <v>1040</v>
      </c>
    </row>
    <row r="1595" spans="1:13" x14ac:dyDescent="0.25">
      <c r="A1595" s="75">
        <f t="shared" si="24"/>
        <v>1594</v>
      </c>
      <c r="B1595" s="13" t="s">
        <v>2330</v>
      </c>
      <c r="C1595" s="13" t="s">
        <v>2423</v>
      </c>
      <c r="D1595" t="s">
        <v>2671</v>
      </c>
      <c r="E1595" t="s">
        <v>2672</v>
      </c>
      <c r="G1595" t="s">
        <v>63</v>
      </c>
      <c r="H1595" s="75" t="str">
        <f>IFERROR(VLOOKUP(Table2[[#This Row],[Ticket]],Okey!A:B,2,0),"")</f>
        <v>ok</v>
      </c>
      <c r="I1595" t="s">
        <v>19</v>
      </c>
      <c r="J1595" t="str">
        <f>VLOOKUP(Table2[[#This Row],[Author]],People!A:B,2,0)</f>
        <v>LS</v>
      </c>
      <c r="M1595" t="s">
        <v>1040</v>
      </c>
    </row>
    <row r="1596" spans="1:13" x14ac:dyDescent="0.25">
      <c r="A1596" s="75">
        <f t="shared" si="24"/>
        <v>1595</v>
      </c>
      <c r="B1596" s="13" t="s">
        <v>2330</v>
      </c>
      <c r="C1596" s="13" t="s">
        <v>2423</v>
      </c>
      <c r="D1596" t="s">
        <v>2673</v>
      </c>
      <c r="E1596" t="s">
        <v>2674</v>
      </c>
      <c r="G1596" t="s">
        <v>63</v>
      </c>
      <c r="H1596" s="75" t="str">
        <f>IFERROR(VLOOKUP(Table2[[#This Row],[Ticket]],Okey!A:B,2,0),"")</f>
        <v>ok</v>
      </c>
      <c r="I1596" t="s">
        <v>19</v>
      </c>
      <c r="J1596" t="str">
        <f>VLOOKUP(Table2[[#This Row],[Author]],People!A:B,2,0)</f>
        <v>LS</v>
      </c>
      <c r="M1596" t="s">
        <v>1040</v>
      </c>
    </row>
    <row r="1597" spans="1:13" x14ac:dyDescent="0.25">
      <c r="A1597" s="75">
        <f t="shared" si="24"/>
        <v>1596</v>
      </c>
      <c r="B1597" s="13" t="s">
        <v>2330</v>
      </c>
      <c r="C1597" s="13" t="s">
        <v>2423</v>
      </c>
      <c r="D1597" t="s">
        <v>2675</v>
      </c>
      <c r="E1597" t="s">
        <v>2676</v>
      </c>
      <c r="G1597" t="s">
        <v>63</v>
      </c>
      <c r="H1597" s="75" t="str">
        <f>IFERROR(VLOOKUP(Table2[[#This Row],[Ticket]],Okey!A:B,2,0),"")</f>
        <v>ok</v>
      </c>
      <c r="I1597" t="s">
        <v>19</v>
      </c>
      <c r="J1597" t="str">
        <f>VLOOKUP(Table2[[#This Row],[Author]],People!A:B,2,0)</f>
        <v>LS</v>
      </c>
      <c r="M1597" t="s">
        <v>1040</v>
      </c>
    </row>
    <row r="1598" spans="1:13" x14ac:dyDescent="0.25">
      <c r="A1598" s="75">
        <f t="shared" si="24"/>
        <v>1597</v>
      </c>
      <c r="B1598" s="13" t="s">
        <v>2330</v>
      </c>
      <c r="C1598" s="13" t="s">
        <v>2423</v>
      </c>
      <c r="D1598" t="s">
        <v>2677</v>
      </c>
      <c r="E1598" t="s">
        <v>2678</v>
      </c>
      <c r="G1598" t="s">
        <v>63</v>
      </c>
      <c r="H1598" s="75" t="str">
        <f>IFERROR(VLOOKUP(Table2[[#This Row],[Ticket]],Okey!A:B,2,0),"")</f>
        <v>ok</v>
      </c>
      <c r="I1598" t="s">
        <v>19</v>
      </c>
      <c r="J1598" t="str">
        <f>VLOOKUP(Table2[[#This Row],[Author]],People!A:B,2,0)</f>
        <v>LS</v>
      </c>
      <c r="M1598" t="s">
        <v>1040</v>
      </c>
    </row>
    <row r="1599" spans="1:13" x14ac:dyDescent="0.25">
      <c r="A1599" s="75">
        <f t="shared" si="24"/>
        <v>1598</v>
      </c>
      <c r="B1599" s="13" t="s">
        <v>2330</v>
      </c>
      <c r="C1599" s="13" t="s">
        <v>2423</v>
      </c>
      <c r="D1599" t="s">
        <v>2679</v>
      </c>
      <c r="E1599" t="s">
        <v>2680</v>
      </c>
      <c r="G1599" t="s">
        <v>63</v>
      </c>
      <c r="H1599" s="75" t="str">
        <f>IFERROR(VLOOKUP(Table2[[#This Row],[Ticket]],Okey!A:B,2,0),"")</f>
        <v>ok</v>
      </c>
      <c r="I1599" t="s">
        <v>19</v>
      </c>
      <c r="J1599" t="str">
        <f>VLOOKUP(Table2[[#This Row],[Author]],People!A:B,2,0)</f>
        <v>LS</v>
      </c>
      <c r="M1599" t="s">
        <v>1040</v>
      </c>
    </row>
    <row r="1600" spans="1:13" x14ac:dyDescent="0.25">
      <c r="A1600" s="75">
        <f t="shared" si="24"/>
        <v>1599</v>
      </c>
      <c r="B1600" s="13" t="s">
        <v>2330</v>
      </c>
      <c r="C1600" s="13" t="s">
        <v>2423</v>
      </c>
      <c r="D1600" t="s">
        <v>2681</v>
      </c>
      <c r="E1600" t="s">
        <v>2682</v>
      </c>
      <c r="G1600" t="s">
        <v>63</v>
      </c>
      <c r="H1600" s="75" t="str">
        <f>IFERROR(VLOOKUP(Table2[[#This Row],[Ticket]],Okey!A:B,2,0),"")</f>
        <v>ok</v>
      </c>
      <c r="I1600" t="s">
        <v>19</v>
      </c>
      <c r="J1600" t="str">
        <f>VLOOKUP(Table2[[#This Row],[Author]],People!A:B,2,0)</f>
        <v>LS</v>
      </c>
      <c r="M1600" t="s">
        <v>1040</v>
      </c>
    </row>
    <row r="1601" spans="1:13" x14ac:dyDescent="0.25">
      <c r="A1601" s="75">
        <f t="shared" si="24"/>
        <v>1600</v>
      </c>
      <c r="B1601" s="13" t="s">
        <v>2330</v>
      </c>
      <c r="C1601" s="13" t="s">
        <v>2423</v>
      </c>
      <c r="D1601" t="s">
        <v>2683</v>
      </c>
      <c r="E1601" t="s">
        <v>2684</v>
      </c>
      <c r="G1601" t="s">
        <v>63</v>
      </c>
      <c r="H1601" s="75" t="str">
        <f>IFERROR(VLOOKUP(Table2[[#This Row],[Ticket]],Okey!A:B,2,0),"")</f>
        <v>ok</v>
      </c>
      <c r="I1601" t="s">
        <v>19</v>
      </c>
      <c r="J1601" t="str">
        <f>VLOOKUP(Table2[[#This Row],[Author]],People!A:B,2,0)</f>
        <v>LS</v>
      </c>
      <c r="M1601" t="s">
        <v>1040</v>
      </c>
    </row>
    <row r="1602" spans="1:13" x14ac:dyDescent="0.25">
      <c r="A1602" s="75">
        <f t="shared" si="24"/>
        <v>1601</v>
      </c>
      <c r="B1602" s="13" t="s">
        <v>2330</v>
      </c>
      <c r="C1602" s="13" t="s">
        <v>2423</v>
      </c>
      <c r="D1602" t="s">
        <v>2685</v>
      </c>
      <c r="E1602" t="s">
        <v>2686</v>
      </c>
      <c r="G1602" t="s">
        <v>63</v>
      </c>
      <c r="H1602" s="75" t="str">
        <f>IFERROR(VLOOKUP(Table2[[#This Row],[Ticket]],Okey!A:B,2,0),"")</f>
        <v>ok</v>
      </c>
      <c r="I1602" t="s">
        <v>19</v>
      </c>
      <c r="J1602" t="str">
        <f>VLOOKUP(Table2[[#This Row],[Author]],People!A:B,2,0)</f>
        <v>LS</v>
      </c>
      <c r="M1602" t="s">
        <v>1040</v>
      </c>
    </row>
    <row r="1603" spans="1:13" x14ac:dyDescent="0.25">
      <c r="A1603" s="75">
        <f t="shared" si="24"/>
        <v>1602</v>
      </c>
      <c r="B1603" s="13" t="s">
        <v>2330</v>
      </c>
      <c r="C1603" s="13" t="s">
        <v>2423</v>
      </c>
      <c r="D1603" t="s">
        <v>2687</v>
      </c>
      <c r="E1603" t="s">
        <v>2688</v>
      </c>
      <c r="G1603" t="s">
        <v>63</v>
      </c>
      <c r="H1603" s="75" t="str">
        <f>IFERROR(VLOOKUP(Table2[[#This Row],[Ticket]],Okey!A:B,2,0),"")</f>
        <v>ok</v>
      </c>
      <c r="I1603" t="s">
        <v>19</v>
      </c>
      <c r="J1603" t="str">
        <f>VLOOKUP(Table2[[#This Row],[Author]],People!A:B,2,0)</f>
        <v>LS</v>
      </c>
      <c r="M1603" t="s">
        <v>1040</v>
      </c>
    </row>
    <row r="1604" spans="1:13" x14ac:dyDescent="0.25">
      <c r="A1604" s="75">
        <f t="shared" si="24"/>
        <v>1603</v>
      </c>
      <c r="B1604" s="13" t="s">
        <v>2330</v>
      </c>
      <c r="C1604" s="13" t="s">
        <v>2423</v>
      </c>
      <c r="D1604" t="s">
        <v>2689</v>
      </c>
      <c r="E1604" t="s">
        <v>2690</v>
      </c>
      <c r="G1604" t="s">
        <v>63</v>
      </c>
      <c r="H1604" s="75" t="str">
        <f>IFERROR(VLOOKUP(Table2[[#This Row],[Ticket]],Okey!A:B,2,0),"")</f>
        <v>ok</v>
      </c>
      <c r="I1604" t="s">
        <v>19</v>
      </c>
      <c r="J1604" t="str">
        <f>VLOOKUP(Table2[[#This Row],[Author]],People!A:B,2,0)</f>
        <v>LS</v>
      </c>
      <c r="M1604" t="s">
        <v>1040</v>
      </c>
    </row>
    <row r="1605" spans="1:13" x14ac:dyDescent="0.25">
      <c r="A1605" s="75">
        <f t="shared" si="24"/>
        <v>1604</v>
      </c>
      <c r="B1605" s="13" t="s">
        <v>2330</v>
      </c>
      <c r="C1605" s="13" t="s">
        <v>2423</v>
      </c>
      <c r="D1605" t="s">
        <v>2691</v>
      </c>
      <c r="E1605" t="s">
        <v>2692</v>
      </c>
      <c r="G1605" t="s">
        <v>63</v>
      </c>
      <c r="H1605" s="75" t="str">
        <f>IFERROR(VLOOKUP(Table2[[#This Row],[Ticket]],Okey!A:B,2,0),"")</f>
        <v>ok</v>
      </c>
      <c r="I1605" t="s">
        <v>19</v>
      </c>
      <c r="J1605" t="str">
        <f>VLOOKUP(Table2[[#This Row],[Author]],People!A:B,2,0)</f>
        <v>LS</v>
      </c>
      <c r="M1605" t="s">
        <v>1040</v>
      </c>
    </row>
    <row r="1606" spans="1:13" x14ac:dyDescent="0.25">
      <c r="A1606" s="75">
        <f t="shared" si="24"/>
        <v>1605</v>
      </c>
      <c r="B1606" s="13" t="s">
        <v>2330</v>
      </c>
      <c r="C1606" s="13" t="s">
        <v>2423</v>
      </c>
      <c r="D1606" t="s">
        <v>2693</v>
      </c>
      <c r="E1606" t="s">
        <v>2694</v>
      </c>
      <c r="G1606" t="s">
        <v>63</v>
      </c>
      <c r="H1606" s="75" t="str">
        <f>IFERROR(VLOOKUP(Table2[[#This Row],[Ticket]],Okey!A:B,2,0),"")</f>
        <v>ok</v>
      </c>
      <c r="I1606" t="s">
        <v>19</v>
      </c>
      <c r="J1606" t="str">
        <f>VLOOKUP(Table2[[#This Row],[Author]],People!A:B,2,0)</f>
        <v>LS</v>
      </c>
      <c r="M1606" t="s">
        <v>1040</v>
      </c>
    </row>
    <row r="1607" spans="1:13" x14ac:dyDescent="0.25">
      <c r="A1607" s="75">
        <f t="shared" si="24"/>
        <v>1606</v>
      </c>
      <c r="B1607" s="13" t="s">
        <v>2330</v>
      </c>
      <c r="C1607" s="13" t="s">
        <v>2423</v>
      </c>
      <c r="D1607" t="s">
        <v>2695</v>
      </c>
      <c r="E1607" t="s">
        <v>2696</v>
      </c>
      <c r="G1607" t="s">
        <v>63</v>
      </c>
      <c r="H1607" s="75" t="str">
        <f>IFERROR(VLOOKUP(Table2[[#This Row],[Ticket]],Okey!A:B,2,0),"")</f>
        <v>ok</v>
      </c>
      <c r="I1607" t="s">
        <v>19</v>
      </c>
      <c r="J1607" t="str">
        <f>VLOOKUP(Table2[[#This Row],[Author]],People!A:B,2,0)</f>
        <v>LS</v>
      </c>
      <c r="M1607" t="s">
        <v>1040</v>
      </c>
    </row>
    <row r="1608" spans="1:13" x14ac:dyDescent="0.25">
      <c r="A1608" s="75">
        <f t="shared" si="24"/>
        <v>1607</v>
      </c>
      <c r="B1608" s="13" t="s">
        <v>2330</v>
      </c>
      <c r="C1608" s="13" t="s">
        <v>2423</v>
      </c>
      <c r="D1608" t="s">
        <v>2697</v>
      </c>
      <c r="E1608" t="s">
        <v>2698</v>
      </c>
      <c r="G1608" t="s">
        <v>63</v>
      </c>
      <c r="H1608" s="75" t="str">
        <f>IFERROR(VLOOKUP(Table2[[#This Row],[Ticket]],Okey!A:B,2,0),"")</f>
        <v>ok</v>
      </c>
      <c r="I1608" t="s">
        <v>19</v>
      </c>
      <c r="J1608" t="str">
        <f>VLOOKUP(Table2[[#This Row],[Author]],People!A:B,2,0)</f>
        <v>LS</v>
      </c>
      <c r="M1608" t="s">
        <v>1040</v>
      </c>
    </row>
    <row r="1609" spans="1:13" x14ac:dyDescent="0.25">
      <c r="A1609" s="75">
        <f t="shared" ref="A1609:A1672" si="25">1+A1608</f>
        <v>1608</v>
      </c>
      <c r="B1609" s="13" t="s">
        <v>2330</v>
      </c>
      <c r="C1609" s="13" t="s">
        <v>2423</v>
      </c>
      <c r="D1609" t="s">
        <v>2699</v>
      </c>
      <c r="E1609" t="s">
        <v>2700</v>
      </c>
      <c r="G1609" t="s">
        <v>63</v>
      </c>
      <c r="H1609" s="75" t="str">
        <f>IFERROR(VLOOKUP(Table2[[#This Row],[Ticket]],Okey!A:B,2,0),"")</f>
        <v>ok</v>
      </c>
      <c r="I1609" t="s">
        <v>19</v>
      </c>
      <c r="J1609" t="str">
        <f>VLOOKUP(Table2[[#This Row],[Author]],People!A:B,2,0)</f>
        <v>LS</v>
      </c>
      <c r="M1609" t="s">
        <v>1040</v>
      </c>
    </row>
    <row r="1610" spans="1:13" x14ac:dyDescent="0.25">
      <c r="A1610" s="75">
        <f t="shared" si="25"/>
        <v>1609</v>
      </c>
      <c r="B1610" s="13" t="s">
        <v>2330</v>
      </c>
      <c r="C1610" s="13" t="s">
        <v>2423</v>
      </c>
      <c r="D1610" t="s">
        <v>2701</v>
      </c>
      <c r="E1610" t="s">
        <v>2702</v>
      </c>
      <c r="G1610" t="s">
        <v>63</v>
      </c>
      <c r="H1610" s="75" t="str">
        <f>IFERROR(VLOOKUP(Table2[[#This Row],[Ticket]],Okey!A:B,2,0),"")</f>
        <v>ok</v>
      </c>
      <c r="I1610" t="s">
        <v>19</v>
      </c>
      <c r="J1610" t="str">
        <f>VLOOKUP(Table2[[#This Row],[Author]],People!A:B,2,0)</f>
        <v>LS</v>
      </c>
      <c r="M1610" t="s">
        <v>1040</v>
      </c>
    </row>
    <row r="1611" spans="1:13" x14ac:dyDescent="0.25">
      <c r="A1611" s="75">
        <f t="shared" si="25"/>
        <v>1610</v>
      </c>
      <c r="B1611" s="13" t="s">
        <v>2330</v>
      </c>
      <c r="C1611" s="13" t="s">
        <v>2423</v>
      </c>
      <c r="D1611" t="s">
        <v>2703</v>
      </c>
      <c r="E1611" t="s">
        <v>2704</v>
      </c>
      <c r="G1611" t="s">
        <v>63</v>
      </c>
      <c r="H1611" s="75" t="str">
        <f>IFERROR(VLOOKUP(Table2[[#This Row],[Ticket]],Okey!A:B,2,0),"")</f>
        <v>ok</v>
      </c>
      <c r="I1611" t="s">
        <v>19</v>
      </c>
      <c r="J1611" t="str">
        <f>VLOOKUP(Table2[[#This Row],[Author]],People!A:B,2,0)</f>
        <v>LS</v>
      </c>
      <c r="M1611" t="s">
        <v>1040</v>
      </c>
    </row>
    <row r="1612" spans="1:13" x14ac:dyDescent="0.25">
      <c r="A1612" s="75">
        <f t="shared" si="25"/>
        <v>1611</v>
      </c>
      <c r="B1612" s="13" t="s">
        <v>2330</v>
      </c>
      <c r="C1612" s="13" t="s">
        <v>2423</v>
      </c>
      <c r="D1612" t="s">
        <v>2705</v>
      </c>
      <c r="E1612" t="s">
        <v>2706</v>
      </c>
      <c r="G1612" t="s">
        <v>63</v>
      </c>
      <c r="H1612" s="75" t="str">
        <f>IFERROR(VLOOKUP(Table2[[#This Row],[Ticket]],Okey!A:B,2,0),"")</f>
        <v>ok</v>
      </c>
      <c r="I1612" t="s">
        <v>19</v>
      </c>
      <c r="J1612" t="str">
        <f>VLOOKUP(Table2[[#This Row],[Author]],People!A:B,2,0)</f>
        <v>LS</v>
      </c>
      <c r="M1612" t="s">
        <v>1040</v>
      </c>
    </row>
    <row r="1613" spans="1:13" x14ac:dyDescent="0.25">
      <c r="A1613" s="75">
        <f t="shared" si="25"/>
        <v>1612</v>
      </c>
      <c r="B1613" s="13" t="s">
        <v>2330</v>
      </c>
      <c r="C1613" s="13" t="s">
        <v>2423</v>
      </c>
      <c r="D1613" t="s">
        <v>2707</v>
      </c>
      <c r="E1613" t="s">
        <v>2708</v>
      </c>
      <c r="G1613" t="s">
        <v>63</v>
      </c>
      <c r="H1613" s="75" t="str">
        <f>IFERROR(VLOOKUP(Table2[[#This Row],[Ticket]],Okey!A:B,2,0),"")</f>
        <v>ok</v>
      </c>
      <c r="I1613" t="s">
        <v>19</v>
      </c>
      <c r="J1613" t="str">
        <f>VLOOKUP(Table2[[#This Row],[Author]],People!A:B,2,0)</f>
        <v>LS</v>
      </c>
      <c r="M1613" t="s">
        <v>1040</v>
      </c>
    </row>
    <row r="1614" spans="1:13" x14ac:dyDescent="0.25">
      <c r="A1614" s="75">
        <f t="shared" si="25"/>
        <v>1613</v>
      </c>
      <c r="B1614" s="13" t="s">
        <v>2330</v>
      </c>
      <c r="C1614" s="13" t="s">
        <v>2423</v>
      </c>
      <c r="D1614" t="s">
        <v>2709</v>
      </c>
      <c r="E1614" t="s">
        <v>2710</v>
      </c>
      <c r="G1614" t="s">
        <v>63</v>
      </c>
      <c r="H1614" s="75" t="str">
        <f>IFERROR(VLOOKUP(Table2[[#This Row],[Ticket]],Okey!A:B,2,0),"")</f>
        <v>ok</v>
      </c>
      <c r="I1614" t="s">
        <v>19</v>
      </c>
      <c r="J1614" t="str">
        <f>VLOOKUP(Table2[[#This Row],[Author]],People!A:B,2,0)</f>
        <v>LS</v>
      </c>
      <c r="M1614" t="s">
        <v>1040</v>
      </c>
    </row>
    <row r="1615" spans="1:13" x14ac:dyDescent="0.25">
      <c r="A1615" s="75">
        <f t="shared" si="25"/>
        <v>1614</v>
      </c>
      <c r="B1615" s="13" t="s">
        <v>2330</v>
      </c>
      <c r="C1615" s="13" t="s">
        <v>2423</v>
      </c>
      <c r="D1615" t="s">
        <v>1134</v>
      </c>
      <c r="E1615" t="s">
        <v>2711</v>
      </c>
      <c r="G1615" t="s">
        <v>63</v>
      </c>
      <c r="H1615" s="75" t="str">
        <f>IFERROR(VLOOKUP(Table2[[#This Row],[Ticket]],Okey!A:B,2,0),"")</f>
        <v>ok</v>
      </c>
      <c r="I1615" t="s">
        <v>19</v>
      </c>
      <c r="J1615" t="str">
        <f>VLOOKUP(Table2[[#This Row],[Author]],People!A:B,2,0)</f>
        <v>LS</v>
      </c>
      <c r="M1615" t="s">
        <v>1040</v>
      </c>
    </row>
    <row r="1616" spans="1:13" x14ac:dyDescent="0.25">
      <c r="A1616" s="75">
        <f t="shared" si="25"/>
        <v>1615</v>
      </c>
      <c r="B1616" s="13" t="s">
        <v>2330</v>
      </c>
      <c r="C1616" s="13" t="s">
        <v>2423</v>
      </c>
      <c r="D1616" t="s">
        <v>1133</v>
      </c>
      <c r="E1616" t="s">
        <v>2712</v>
      </c>
      <c r="G1616" t="s">
        <v>63</v>
      </c>
      <c r="H1616" s="75" t="str">
        <f>IFERROR(VLOOKUP(Table2[[#This Row],[Ticket]],Okey!A:B,2,0),"")</f>
        <v>ok</v>
      </c>
      <c r="I1616" t="s">
        <v>19</v>
      </c>
      <c r="J1616" t="str">
        <f>VLOOKUP(Table2[[#This Row],[Author]],People!A:B,2,0)</f>
        <v>LS</v>
      </c>
      <c r="M1616" t="s">
        <v>1040</v>
      </c>
    </row>
    <row r="1617" spans="1:13" x14ac:dyDescent="0.25">
      <c r="A1617" s="75">
        <f t="shared" si="25"/>
        <v>1616</v>
      </c>
      <c r="B1617" s="13" t="s">
        <v>2330</v>
      </c>
      <c r="C1617" s="13" t="s">
        <v>2423</v>
      </c>
      <c r="D1617" t="s">
        <v>1734</v>
      </c>
      <c r="E1617" t="s">
        <v>2713</v>
      </c>
      <c r="G1617" t="s">
        <v>63</v>
      </c>
      <c r="H1617" s="75" t="str">
        <f>IFERROR(VLOOKUP(Table2[[#This Row],[Ticket]],Okey!A:B,2,0),"")</f>
        <v>ok</v>
      </c>
      <c r="I1617" t="s">
        <v>19</v>
      </c>
      <c r="J1617" t="str">
        <f>VLOOKUP(Table2[[#This Row],[Author]],People!A:B,2,0)</f>
        <v>LS</v>
      </c>
      <c r="M1617" t="s">
        <v>1040</v>
      </c>
    </row>
    <row r="1618" spans="1:13" x14ac:dyDescent="0.25">
      <c r="A1618" s="75">
        <f t="shared" si="25"/>
        <v>1617</v>
      </c>
      <c r="B1618" s="13" t="s">
        <v>2330</v>
      </c>
      <c r="C1618" s="13" t="s">
        <v>2423</v>
      </c>
      <c r="D1618" t="s">
        <v>2714</v>
      </c>
      <c r="E1618" t="s">
        <v>2715</v>
      </c>
      <c r="G1618" t="s">
        <v>63</v>
      </c>
      <c r="H1618" s="75" t="str">
        <f>IFERROR(VLOOKUP(Table2[[#This Row],[Ticket]],Okey!A:B,2,0),"")</f>
        <v>ok</v>
      </c>
      <c r="I1618" t="s">
        <v>19</v>
      </c>
      <c r="J1618" t="str">
        <f>VLOOKUP(Table2[[#This Row],[Author]],People!A:B,2,0)</f>
        <v>LS</v>
      </c>
      <c r="M1618" t="s">
        <v>1040</v>
      </c>
    </row>
    <row r="1619" spans="1:13" x14ac:dyDescent="0.25">
      <c r="A1619" s="75">
        <f t="shared" si="25"/>
        <v>1618</v>
      </c>
      <c r="B1619" s="13" t="s">
        <v>2330</v>
      </c>
      <c r="C1619" s="13" t="s">
        <v>2423</v>
      </c>
      <c r="D1619" t="s">
        <v>2477</v>
      </c>
      <c r="E1619" t="s">
        <v>2716</v>
      </c>
      <c r="G1619" t="s">
        <v>63</v>
      </c>
      <c r="H1619" s="75" t="str">
        <f>IFERROR(VLOOKUP(Table2[[#This Row],[Ticket]],Okey!A:B,2,0),"")</f>
        <v>ok</v>
      </c>
      <c r="I1619" t="s">
        <v>19</v>
      </c>
      <c r="J1619" t="str">
        <f>VLOOKUP(Table2[[#This Row],[Author]],People!A:B,2,0)</f>
        <v>LS</v>
      </c>
      <c r="M1619" t="s">
        <v>1040</v>
      </c>
    </row>
    <row r="1620" spans="1:13" x14ac:dyDescent="0.25">
      <c r="A1620" s="75">
        <f t="shared" si="25"/>
        <v>1619</v>
      </c>
      <c r="B1620" s="13" t="s">
        <v>2330</v>
      </c>
      <c r="C1620" s="13" t="s">
        <v>2423</v>
      </c>
      <c r="D1620" t="s">
        <v>2475</v>
      </c>
      <c r="E1620" t="s">
        <v>2717</v>
      </c>
      <c r="G1620" t="s">
        <v>63</v>
      </c>
      <c r="H1620" s="75" t="str">
        <f>IFERROR(VLOOKUP(Table2[[#This Row],[Ticket]],Okey!A:B,2,0),"")</f>
        <v>ok</v>
      </c>
      <c r="I1620" t="s">
        <v>19</v>
      </c>
      <c r="J1620" t="str">
        <f>VLOOKUP(Table2[[#This Row],[Author]],People!A:B,2,0)</f>
        <v>LS</v>
      </c>
      <c r="M1620" t="s">
        <v>1040</v>
      </c>
    </row>
    <row r="1621" spans="1:13" x14ac:dyDescent="0.25">
      <c r="A1621" s="75">
        <f t="shared" si="25"/>
        <v>1620</v>
      </c>
      <c r="B1621" s="13" t="s">
        <v>2330</v>
      </c>
      <c r="C1621" s="13" t="s">
        <v>2423</v>
      </c>
      <c r="D1621" t="s">
        <v>2718</v>
      </c>
      <c r="E1621" t="s">
        <v>2719</v>
      </c>
      <c r="G1621" t="s">
        <v>63</v>
      </c>
      <c r="H1621" s="75" t="str">
        <f>IFERROR(VLOOKUP(Table2[[#This Row],[Ticket]],Okey!A:B,2,0),"")</f>
        <v>ok</v>
      </c>
      <c r="I1621" t="s">
        <v>19</v>
      </c>
      <c r="J1621" t="str">
        <f>VLOOKUP(Table2[[#This Row],[Author]],People!A:B,2,0)</f>
        <v>LS</v>
      </c>
      <c r="M1621" t="s">
        <v>1040</v>
      </c>
    </row>
    <row r="1622" spans="1:13" x14ac:dyDescent="0.25">
      <c r="A1622" s="75">
        <f t="shared" si="25"/>
        <v>1621</v>
      </c>
      <c r="B1622" s="13" t="s">
        <v>2330</v>
      </c>
      <c r="C1622" s="13" t="s">
        <v>2423</v>
      </c>
      <c r="D1622" t="s">
        <v>2720</v>
      </c>
      <c r="E1622" t="s">
        <v>2721</v>
      </c>
      <c r="F1622" t="s">
        <v>2722</v>
      </c>
      <c r="G1622" t="s">
        <v>496</v>
      </c>
      <c r="H1622" s="75" t="str">
        <f>IFERROR(VLOOKUP(Table2[[#This Row],[Ticket]],Okey!A:B,2,0),"")</f>
        <v>ok</v>
      </c>
      <c r="I1622" t="s">
        <v>19</v>
      </c>
      <c r="J1622" t="str">
        <f>VLOOKUP(Table2[[#This Row],[Author]],People!A:B,2,0)</f>
        <v>LS</v>
      </c>
      <c r="M1622" t="s">
        <v>1040</v>
      </c>
    </row>
    <row r="1623" spans="1:13" x14ac:dyDescent="0.25">
      <c r="A1623" s="75">
        <f t="shared" si="25"/>
        <v>1622</v>
      </c>
      <c r="B1623" s="13" t="s">
        <v>2330</v>
      </c>
      <c r="C1623" s="13" t="s">
        <v>2423</v>
      </c>
      <c r="D1623" t="s">
        <v>2723</v>
      </c>
      <c r="E1623" t="s">
        <v>2724</v>
      </c>
      <c r="F1623" t="s">
        <v>2435</v>
      </c>
      <c r="G1623" t="s">
        <v>496</v>
      </c>
      <c r="H1623" s="75" t="str">
        <f>IFERROR(VLOOKUP(Table2[[#This Row],[Ticket]],Okey!A:B,2,0),"")</f>
        <v>ok</v>
      </c>
      <c r="I1623" t="s">
        <v>19</v>
      </c>
      <c r="J1623" t="str">
        <f>VLOOKUP(Table2[[#This Row],[Author]],People!A:B,2,0)</f>
        <v>LS</v>
      </c>
      <c r="M1623" t="s">
        <v>1040</v>
      </c>
    </row>
    <row r="1624" spans="1:13" x14ac:dyDescent="0.25">
      <c r="A1624" s="75">
        <f t="shared" si="25"/>
        <v>1623</v>
      </c>
      <c r="B1624" s="13" t="s">
        <v>2330</v>
      </c>
      <c r="C1624" s="13" t="s">
        <v>2423</v>
      </c>
      <c r="D1624" t="s">
        <v>2435</v>
      </c>
      <c r="E1624" t="s">
        <v>2725</v>
      </c>
      <c r="F1624" t="s">
        <v>2554</v>
      </c>
      <c r="G1624" t="s">
        <v>496</v>
      </c>
      <c r="H1624" s="75" t="str">
        <f>IFERROR(VLOOKUP(Table2[[#This Row],[Ticket]],Okey!A:B,2,0),"")</f>
        <v>ok</v>
      </c>
      <c r="I1624" t="s">
        <v>19</v>
      </c>
      <c r="J1624" t="str">
        <f>VLOOKUP(Table2[[#This Row],[Author]],People!A:B,2,0)</f>
        <v>LS</v>
      </c>
      <c r="M1624" t="s">
        <v>1040</v>
      </c>
    </row>
    <row r="1625" spans="1:13" x14ac:dyDescent="0.25">
      <c r="A1625" s="75">
        <f t="shared" si="25"/>
        <v>1624</v>
      </c>
      <c r="B1625" s="13" t="s">
        <v>2330</v>
      </c>
      <c r="C1625" s="13" t="s">
        <v>2423</v>
      </c>
      <c r="D1625" t="s">
        <v>2726</v>
      </c>
      <c r="E1625" t="s">
        <v>2727</v>
      </c>
      <c r="F1625" t="s">
        <v>2536</v>
      </c>
      <c r="G1625" t="s">
        <v>496</v>
      </c>
      <c r="H1625" s="75" t="str">
        <f>IFERROR(VLOOKUP(Table2[[#This Row],[Ticket]],Okey!A:B,2,0),"")</f>
        <v>ok</v>
      </c>
      <c r="I1625" t="s">
        <v>19</v>
      </c>
      <c r="J1625" t="str">
        <f>VLOOKUP(Table2[[#This Row],[Author]],People!A:B,2,0)</f>
        <v>LS</v>
      </c>
      <c r="M1625" t="s">
        <v>1040</v>
      </c>
    </row>
    <row r="1626" spans="1:13" x14ac:dyDescent="0.25">
      <c r="A1626" s="75">
        <f t="shared" si="25"/>
        <v>1625</v>
      </c>
      <c r="B1626" s="13" t="s">
        <v>2330</v>
      </c>
      <c r="C1626" s="13" t="s">
        <v>2423</v>
      </c>
      <c r="D1626" t="s">
        <v>2728</v>
      </c>
      <c r="E1626" t="s">
        <v>2729</v>
      </c>
      <c r="F1626" t="s">
        <v>2536</v>
      </c>
      <c r="G1626" t="s">
        <v>496</v>
      </c>
      <c r="H1626" s="75" t="str">
        <f>IFERROR(VLOOKUP(Table2[[#This Row],[Ticket]],Okey!A:B,2,0),"")</f>
        <v>ok</v>
      </c>
      <c r="I1626" t="s">
        <v>19</v>
      </c>
      <c r="J1626" t="str">
        <f>VLOOKUP(Table2[[#This Row],[Author]],People!A:B,2,0)</f>
        <v>LS</v>
      </c>
      <c r="M1626" t="s">
        <v>1040</v>
      </c>
    </row>
    <row r="1627" spans="1:13" x14ac:dyDescent="0.25">
      <c r="A1627" s="75">
        <f t="shared" si="25"/>
        <v>1626</v>
      </c>
      <c r="B1627" s="13" t="s">
        <v>2330</v>
      </c>
      <c r="C1627" s="13" t="s">
        <v>2423</v>
      </c>
      <c r="D1627" t="s">
        <v>2730</v>
      </c>
      <c r="E1627" t="s">
        <v>2731</v>
      </c>
      <c r="F1627" t="s">
        <v>2533</v>
      </c>
      <c r="G1627" t="s">
        <v>496</v>
      </c>
      <c r="H1627" s="75" t="str">
        <f>IFERROR(VLOOKUP(Table2[[#This Row],[Ticket]],Okey!A:B,2,0),"")</f>
        <v>ok</v>
      </c>
      <c r="I1627" t="s">
        <v>19</v>
      </c>
      <c r="J1627" t="str">
        <f>VLOOKUP(Table2[[#This Row],[Author]],People!A:B,2,0)</f>
        <v>LS</v>
      </c>
      <c r="M1627" t="s">
        <v>1040</v>
      </c>
    </row>
    <row r="1628" spans="1:13" x14ac:dyDescent="0.25">
      <c r="A1628" s="75">
        <f t="shared" si="25"/>
        <v>1627</v>
      </c>
      <c r="B1628" s="13" t="s">
        <v>2330</v>
      </c>
      <c r="C1628" s="13" t="s">
        <v>2423</v>
      </c>
      <c r="D1628" t="s">
        <v>2484</v>
      </c>
      <c r="E1628" t="s">
        <v>2732</v>
      </c>
      <c r="F1628" t="s">
        <v>2482</v>
      </c>
      <c r="G1628" t="s">
        <v>496</v>
      </c>
      <c r="H1628" s="75" t="str">
        <f>IFERROR(VLOOKUP(Table2[[#This Row],[Ticket]],Okey!A:B,2,0),"")</f>
        <v>ok</v>
      </c>
      <c r="I1628" t="s">
        <v>19</v>
      </c>
      <c r="J1628" t="str">
        <f>VLOOKUP(Table2[[#This Row],[Author]],People!A:B,2,0)</f>
        <v>LS</v>
      </c>
      <c r="M1628" t="s">
        <v>1040</v>
      </c>
    </row>
    <row r="1629" spans="1:13" x14ac:dyDescent="0.25">
      <c r="A1629" s="75">
        <f t="shared" si="25"/>
        <v>1628</v>
      </c>
      <c r="B1629" s="13" t="s">
        <v>2330</v>
      </c>
      <c r="C1629" s="37" t="s">
        <v>2733</v>
      </c>
      <c r="D1629" t="s">
        <v>2734</v>
      </c>
      <c r="F1629" t="s">
        <v>2493</v>
      </c>
      <c r="G1629" t="s">
        <v>24</v>
      </c>
      <c r="H1629" s="75" t="str">
        <f>IFERROR(VLOOKUP(Table2[[#This Row],[Ticket]],Okey!A:B,2,0),"")</f>
        <v>ok</v>
      </c>
      <c r="I1629" t="s">
        <v>19</v>
      </c>
      <c r="J1629" t="str">
        <f>VLOOKUP(Table2[[#This Row],[Author]],People!A:B,2,0)</f>
        <v>LS</v>
      </c>
      <c r="M1629" t="s">
        <v>1040</v>
      </c>
    </row>
    <row r="1630" spans="1:13" x14ac:dyDescent="0.25">
      <c r="A1630" s="75">
        <f t="shared" si="25"/>
        <v>1629</v>
      </c>
      <c r="B1630" s="13" t="s">
        <v>2330</v>
      </c>
      <c r="C1630" t="s">
        <v>2733</v>
      </c>
      <c r="D1630" t="s">
        <v>2735</v>
      </c>
      <c r="F1630" t="s">
        <v>2493</v>
      </c>
      <c r="G1630" t="s">
        <v>24</v>
      </c>
      <c r="H1630" s="75" t="str">
        <f>IFERROR(VLOOKUP(Table2[[#This Row],[Ticket]],Okey!A:B,2,0),"")</f>
        <v>ok</v>
      </c>
      <c r="I1630" t="s">
        <v>19</v>
      </c>
      <c r="J1630" t="str">
        <f>VLOOKUP(Table2[[#This Row],[Author]],People!A:B,2,0)</f>
        <v>LS</v>
      </c>
      <c r="M1630" t="s">
        <v>1040</v>
      </c>
    </row>
    <row r="1631" spans="1:13" x14ac:dyDescent="0.25">
      <c r="A1631" s="75">
        <f t="shared" si="25"/>
        <v>1630</v>
      </c>
      <c r="B1631" s="13" t="s">
        <v>2330</v>
      </c>
      <c r="C1631" t="s">
        <v>2733</v>
      </c>
      <c r="D1631" t="s">
        <v>2736</v>
      </c>
      <c r="F1631" t="s">
        <v>2493</v>
      </c>
      <c r="G1631" t="s">
        <v>24</v>
      </c>
      <c r="H1631" s="75" t="str">
        <f>IFERROR(VLOOKUP(Table2[[#This Row],[Ticket]],Okey!A:B,2,0),"")</f>
        <v>ok</v>
      </c>
      <c r="I1631" t="s">
        <v>19</v>
      </c>
      <c r="J1631" t="str">
        <f>VLOOKUP(Table2[[#This Row],[Author]],People!A:B,2,0)</f>
        <v>LS</v>
      </c>
      <c r="M1631" t="s">
        <v>1040</v>
      </c>
    </row>
    <row r="1632" spans="1:13" x14ac:dyDescent="0.25">
      <c r="A1632" s="75">
        <f t="shared" si="25"/>
        <v>1631</v>
      </c>
      <c r="B1632" s="13" t="s">
        <v>2330</v>
      </c>
      <c r="C1632" t="s">
        <v>2733</v>
      </c>
      <c r="D1632" t="s">
        <v>2737</v>
      </c>
      <c r="F1632" t="s">
        <v>2515</v>
      </c>
      <c r="G1632" t="s">
        <v>24</v>
      </c>
      <c r="H1632" s="75" t="str">
        <f>IFERROR(VLOOKUP(Table2[[#This Row],[Ticket]],Okey!A:B,2,0),"")</f>
        <v>ok</v>
      </c>
      <c r="I1632" t="s">
        <v>19</v>
      </c>
      <c r="J1632" t="str">
        <f>VLOOKUP(Table2[[#This Row],[Author]],People!A:B,2,0)</f>
        <v>LS</v>
      </c>
      <c r="M1632" t="s">
        <v>1040</v>
      </c>
    </row>
    <row r="1633" spans="1:13" x14ac:dyDescent="0.25">
      <c r="A1633" s="75">
        <f t="shared" si="25"/>
        <v>1632</v>
      </c>
      <c r="B1633" s="13" t="s">
        <v>2330</v>
      </c>
      <c r="C1633" t="s">
        <v>2733</v>
      </c>
      <c r="D1633" t="s">
        <v>2738</v>
      </c>
      <c r="F1633" t="s">
        <v>2515</v>
      </c>
      <c r="G1633" t="s">
        <v>24</v>
      </c>
      <c r="H1633" s="75" t="str">
        <f>IFERROR(VLOOKUP(Table2[[#This Row],[Ticket]],Okey!A:B,2,0),"")</f>
        <v>ok</v>
      </c>
      <c r="I1633" t="s">
        <v>19</v>
      </c>
      <c r="J1633" t="str">
        <f>VLOOKUP(Table2[[#This Row],[Author]],People!A:B,2,0)</f>
        <v>LS</v>
      </c>
      <c r="M1633" t="s">
        <v>1040</v>
      </c>
    </row>
    <row r="1634" spans="1:13" x14ac:dyDescent="0.25">
      <c r="A1634" s="75">
        <f t="shared" si="25"/>
        <v>1633</v>
      </c>
      <c r="B1634" s="13" t="s">
        <v>2330</v>
      </c>
      <c r="C1634" t="s">
        <v>2733</v>
      </c>
      <c r="D1634" t="s">
        <v>2739</v>
      </c>
      <c r="F1634" t="s">
        <v>2515</v>
      </c>
      <c r="G1634" t="s">
        <v>24</v>
      </c>
      <c r="H1634" s="75" t="str">
        <f>IFERROR(VLOOKUP(Table2[[#This Row],[Ticket]],Okey!A:B,2,0),"")</f>
        <v>ok</v>
      </c>
      <c r="I1634" t="s">
        <v>19</v>
      </c>
      <c r="J1634" t="str">
        <f>VLOOKUP(Table2[[#This Row],[Author]],People!A:B,2,0)</f>
        <v>LS</v>
      </c>
      <c r="M1634" t="s">
        <v>1040</v>
      </c>
    </row>
    <row r="1635" spans="1:13" x14ac:dyDescent="0.25">
      <c r="A1635" s="75">
        <f t="shared" si="25"/>
        <v>1634</v>
      </c>
      <c r="B1635" s="13" t="s">
        <v>2330</v>
      </c>
      <c r="C1635" t="s">
        <v>2733</v>
      </c>
      <c r="D1635" t="s">
        <v>2740</v>
      </c>
      <c r="F1635" t="s">
        <v>2515</v>
      </c>
      <c r="G1635" t="s">
        <v>24</v>
      </c>
      <c r="H1635" s="75" t="str">
        <f>IFERROR(VLOOKUP(Table2[[#This Row],[Ticket]],Okey!A:B,2,0),"")</f>
        <v>ok</v>
      </c>
      <c r="I1635" t="s">
        <v>19</v>
      </c>
      <c r="J1635" t="str">
        <f>VLOOKUP(Table2[[#This Row],[Author]],People!A:B,2,0)</f>
        <v>LS</v>
      </c>
      <c r="M1635" t="s">
        <v>1040</v>
      </c>
    </row>
    <row r="1636" spans="1:13" x14ac:dyDescent="0.25">
      <c r="A1636" s="75">
        <f t="shared" si="25"/>
        <v>1635</v>
      </c>
      <c r="B1636" s="13" t="s">
        <v>2330</v>
      </c>
      <c r="C1636" t="s">
        <v>2733</v>
      </c>
      <c r="D1636" t="s">
        <v>2741</v>
      </c>
      <c r="F1636" t="s">
        <v>2515</v>
      </c>
      <c r="G1636" t="s">
        <v>24</v>
      </c>
      <c r="H1636" s="75" t="str">
        <f>IFERROR(VLOOKUP(Table2[[#This Row],[Ticket]],Okey!A:B,2,0),"")</f>
        <v>ok</v>
      </c>
      <c r="I1636" t="s">
        <v>19</v>
      </c>
      <c r="J1636" t="str">
        <f>VLOOKUP(Table2[[#This Row],[Author]],People!A:B,2,0)</f>
        <v>LS</v>
      </c>
      <c r="M1636" t="s">
        <v>1040</v>
      </c>
    </row>
    <row r="1637" spans="1:13" x14ac:dyDescent="0.25">
      <c r="A1637" s="75">
        <f t="shared" si="25"/>
        <v>1636</v>
      </c>
      <c r="B1637" s="13" t="s">
        <v>2330</v>
      </c>
      <c r="C1637" t="s">
        <v>2742</v>
      </c>
      <c r="D1637" t="s">
        <v>2743</v>
      </c>
      <c r="E1637" t="s">
        <v>2744</v>
      </c>
      <c r="G1637" t="s">
        <v>63</v>
      </c>
      <c r="H1637" s="75" t="str">
        <f>IFERROR(VLOOKUP(Table2[[#This Row],[Ticket]],Okey!A:B,2,0),"")</f>
        <v>ok</v>
      </c>
      <c r="I1637" t="s">
        <v>19</v>
      </c>
      <c r="J1637" t="str">
        <f>VLOOKUP(Table2[[#This Row],[Author]],People!A:B,2,0)</f>
        <v>MGF</v>
      </c>
      <c r="M1637" t="s">
        <v>40</v>
      </c>
    </row>
    <row r="1638" spans="1:13" x14ac:dyDescent="0.25">
      <c r="A1638" s="75">
        <f t="shared" si="25"/>
        <v>1637</v>
      </c>
      <c r="B1638" s="13" t="s">
        <v>2330</v>
      </c>
      <c r="C1638" t="s">
        <v>2742</v>
      </c>
      <c r="D1638" t="s">
        <v>279</v>
      </c>
      <c r="E1638" t="s">
        <v>2745</v>
      </c>
      <c r="G1638" t="s">
        <v>63</v>
      </c>
      <c r="H1638" s="75" t="str">
        <f>IFERROR(VLOOKUP(Table2[[#This Row],[Ticket]],Okey!A:B,2,0),"")</f>
        <v>ok</v>
      </c>
      <c r="I1638" t="s">
        <v>19</v>
      </c>
      <c r="J1638" t="str">
        <f>VLOOKUP(Table2[[#This Row],[Author]],People!A:B,2,0)</f>
        <v>MGF</v>
      </c>
      <c r="M1638" t="s">
        <v>40</v>
      </c>
    </row>
    <row r="1639" spans="1:13" x14ac:dyDescent="0.25">
      <c r="A1639" s="75">
        <f t="shared" si="25"/>
        <v>1638</v>
      </c>
      <c r="B1639" s="13" t="s">
        <v>2330</v>
      </c>
      <c r="C1639" t="s">
        <v>2746</v>
      </c>
      <c r="D1639" t="s">
        <v>1876</v>
      </c>
      <c r="E1639" t="s">
        <v>2747</v>
      </c>
      <c r="G1639" t="s">
        <v>63</v>
      </c>
      <c r="H1639" s="75" t="str">
        <f>IFERROR(VLOOKUP(Table2[[#This Row],[Ticket]],Okey!A:B,2,0),"")</f>
        <v>ok</v>
      </c>
      <c r="I1639" t="s">
        <v>19</v>
      </c>
      <c r="J1639" t="str">
        <f>VLOOKUP(Table2[[#This Row],[Author]],People!A:B,2,0)</f>
        <v>EL</v>
      </c>
      <c r="M1639" t="s">
        <v>1752</v>
      </c>
    </row>
    <row r="1640" spans="1:13" x14ac:dyDescent="0.25">
      <c r="A1640" s="75">
        <f t="shared" si="25"/>
        <v>1639</v>
      </c>
      <c r="B1640" s="13" t="s">
        <v>2330</v>
      </c>
      <c r="C1640" t="s">
        <v>2746</v>
      </c>
      <c r="D1640" t="s">
        <v>2748</v>
      </c>
      <c r="E1640" t="s">
        <v>2749</v>
      </c>
      <c r="F1640" t="s">
        <v>2750</v>
      </c>
      <c r="G1640" t="s">
        <v>18</v>
      </c>
      <c r="H1640" s="75" t="str">
        <f>IFERROR(VLOOKUP(Table2[[#This Row],[Ticket]],Okey!A:B,2,0),"")</f>
        <v>ok</v>
      </c>
      <c r="I1640" t="s">
        <v>19</v>
      </c>
      <c r="J1640" t="str">
        <f>VLOOKUP(Table2[[#This Row],[Author]],People!A:B,2,0)</f>
        <v>EL</v>
      </c>
      <c r="M1640" t="s">
        <v>1752</v>
      </c>
    </row>
    <row r="1641" spans="1:13" x14ac:dyDescent="0.25">
      <c r="A1641" s="75">
        <f t="shared" si="25"/>
        <v>1640</v>
      </c>
      <c r="B1641" s="13" t="s">
        <v>2330</v>
      </c>
      <c r="C1641" t="s">
        <v>2746</v>
      </c>
      <c r="D1641" t="s">
        <v>2751</v>
      </c>
      <c r="E1641" t="s">
        <v>2752</v>
      </c>
      <c r="F1641" t="s">
        <v>2750</v>
      </c>
      <c r="G1641" t="s">
        <v>18</v>
      </c>
      <c r="H1641" s="75" t="str">
        <f>IFERROR(VLOOKUP(Table2[[#This Row],[Ticket]],Okey!A:B,2,0),"")</f>
        <v>ok</v>
      </c>
      <c r="I1641" t="s">
        <v>19</v>
      </c>
      <c r="J1641" t="str">
        <f>VLOOKUP(Table2[[#This Row],[Author]],People!A:B,2,0)</f>
        <v>EL</v>
      </c>
      <c r="M1641" t="s">
        <v>1752</v>
      </c>
    </row>
    <row r="1642" spans="1:13" x14ac:dyDescent="0.25">
      <c r="A1642" s="75">
        <f t="shared" si="25"/>
        <v>1641</v>
      </c>
      <c r="B1642" s="13" t="s">
        <v>2330</v>
      </c>
      <c r="C1642" t="s">
        <v>2746</v>
      </c>
      <c r="D1642" t="s">
        <v>2753</v>
      </c>
      <c r="E1642" t="s">
        <v>2754</v>
      </c>
      <c r="F1642" t="s">
        <v>2750</v>
      </c>
      <c r="G1642" t="s">
        <v>18</v>
      </c>
      <c r="H1642" s="75" t="str">
        <f>IFERROR(VLOOKUP(Table2[[#This Row],[Ticket]],Okey!A:B,2,0),"")</f>
        <v>ok</v>
      </c>
      <c r="I1642" t="s">
        <v>19</v>
      </c>
      <c r="J1642" t="str">
        <f>VLOOKUP(Table2[[#This Row],[Author]],People!A:B,2,0)</f>
        <v>EL</v>
      </c>
      <c r="M1642" t="s">
        <v>1752</v>
      </c>
    </row>
    <row r="1643" spans="1:13" x14ac:dyDescent="0.25">
      <c r="A1643" s="75">
        <f t="shared" si="25"/>
        <v>1642</v>
      </c>
      <c r="B1643" s="13" t="s">
        <v>2330</v>
      </c>
      <c r="C1643" t="s">
        <v>2746</v>
      </c>
      <c r="D1643" t="s">
        <v>2755</v>
      </c>
      <c r="E1643" t="s">
        <v>2756</v>
      </c>
      <c r="F1643" t="s">
        <v>2750</v>
      </c>
      <c r="G1643" t="s">
        <v>18</v>
      </c>
      <c r="H1643" s="75" t="str">
        <f>IFERROR(VLOOKUP(Table2[[#This Row],[Ticket]],Okey!A:B,2,0),"")</f>
        <v>ok</v>
      </c>
      <c r="I1643" t="s">
        <v>19</v>
      </c>
      <c r="J1643" t="str">
        <f>VLOOKUP(Table2[[#This Row],[Author]],People!A:B,2,0)</f>
        <v>EL</v>
      </c>
      <c r="M1643" t="s">
        <v>1752</v>
      </c>
    </row>
    <row r="1644" spans="1:13" x14ac:dyDescent="0.25">
      <c r="A1644" s="75">
        <f t="shared" si="25"/>
        <v>1643</v>
      </c>
      <c r="B1644" s="13" t="s">
        <v>2330</v>
      </c>
      <c r="C1644" t="s">
        <v>2746</v>
      </c>
      <c r="D1644" t="s">
        <v>2757</v>
      </c>
      <c r="E1644" t="s">
        <v>2758</v>
      </c>
      <c r="G1644" t="s">
        <v>63</v>
      </c>
      <c r="H1644" s="75" t="str">
        <f>IFERROR(VLOOKUP(Table2[[#This Row],[Ticket]],Okey!A:B,2,0),"")</f>
        <v>ok</v>
      </c>
      <c r="I1644" t="s">
        <v>19</v>
      </c>
      <c r="J1644" t="str">
        <f>VLOOKUP(Table2[[#This Row],[Author]],People!A:B,2,0)</f>
        <v>EL</v>
      </c>
      <c r="M1644" t="s">
        <v>1752</v>
      </c>
    </row>
    <row r="1645" spans="1:13" x14ac:dyDescent="0.25">
      <c r="A1645" s="75">
        <f t="shared" si="25"/>
        <v>1644</v>
      </c>
      <c r="B1645" s="13" t="s">
        <v>2330</v>
      </c>
      <c r="C1645" t="s">
        <v>2746</v>
      </c>
      <c r="D1645" t="s">
        <v>2759</v>
      </c>
      <c r="E1645" t="s">
        <v>2760</v>
      </c>
      <c r="G1645" t="s">
        <v>63</v>
      </c>
      <c r="H1645" s="75" t="str">
        <f>IFERROR(VLOOKUP(Table2[[#This Row],[Ticket]],Okey!A:B,2,0),"")</f>
        <v>ok</v>
      </c>
      <c r="I1645" t="s">
        <v>19</v>
      </c>
      <c r="J1645" t="str">
        <f>VLOOKUP(Table2[[#This Row],[Author]],People!A:B,2,0)</f>
        <v>EL</v>
      </c>
      <c r="M1645" t="s">
        <v>1752</v>
      </c>
    </row>
    <row r="1646" spans="1:13" x14ac:dyDescent="0.25">
      <c r="A1646" s="75">
        <f t="shared" si="25"/>
        <v>1645</v>
      </c>
      <c r="B1646" s="13" t="s">
        <v>2330</v>
      </c>
      <c r="C1646" t="s">
        <v>2746</v>
      </c>
      <c r="D1646" t="s">
        <v>2761</v>
      </c>
      <c r="E1646" t="s">
        <v>2762</v>
      </c>
      <c r="G1646" t="s">
        <v>63</v>
      </c>
      <c r="H1646" s="75" t="str">
        <f>IFERROR(VLOOKUP(Table2[[#This Row],[Ticket]],Okey!A:B,2,0),"")</f>
        <v>ok</v>
      </c>
      <c r="I1646" t="s">
        <v>19</v>
      </c>
      <c r="J1646" t="str">
        <f>VLOOKUP(Table2[[#This Row],[Author]],People!A:B,2,0)</f>
        <v>EL</v>
      </c>
      <c r="M1646" t="s">
        <v>1752</v>
      </c>
    </row>
    <row r="1647" spans="1:13" x14ac:dyDescent="0.25">
      <c r="A1647" s="75">
        <f t="shared" si="25"/>
        <v>1646</v>
      </c>
      <c r="B1647" s="13" t="s">
        <v>2330</v>
      </c>
      <c r="C1647" t="s">
        <v>2746</v>
      </c>
      <c r="D1647" t="s">
        <v>2763</v>
      </c>
      <c r="E1647" t="s">
        <v>2764</v>
      </c>
      <c r="G1647" t="s">
        <v>63</v>
      </c>
      <c r="H1647" s="75" t="str">
        <f>IFERROR(VLOOKUP(Table2[[#This Row],[Ticket]],Okey!A:B,2,0),"")</f>
        <v>ok</v>
      </c>
      <c r="I1647" t="s">
        <v>19</v>
      </c>
      <c r="J1647" t="str">
        <f>VLOOKUP(Table2[[#This Row],[Author]],People!A:B,2,0)</f>
        <v>EL</v>
      </c>
      <c r="M1647" t="s">
        <v>1752</v>
      </c>
    </row>
    <row r="1648" spans="1:13" x14ac:dyDescent="0.25">
      <c r="A1648" s="75">
        <f t="shared" si="25"/>
        <v>1647</v>
      </c>
      <c r="B1648" s="13" t="s">
        <v>2330</v>
      </c>
      <c r="C1648" t="s">
        <v>2746</v>
      </c>
      <c r="D1648" t="s">
        <v>2765</v>
      </c>
      <c r="E1648" t="s">
        <v>2766</v>
      </c>
      <c r="G1648" t="s">
        <v>63</v>
      </c>
      <c r="H1648" s="75" t="str">
        <f>IFERROR(VLOOKUP(Table2[[#This Row],[Ticket]],Okey!A:B,2,0),"")</f>
        <v>ok</v>
      </c>
      <c r="I1648" t="s">
        <v>19</v>
      </c>
      <c r="J1648" t="str">
        <f>VLOOKUP(Table2[[#This Row],[Author]],People!A:B,2,0)</f>
        <v>EL</v>
      </c>
      <c r="M1648" t="s">
        <v>1752</v>
      </c>
    </row>
    <row r="1649" spans="1:13" x14ac:dyDescent="0.25">
      <c r="A1649" s="75">
        <f t="shared" si="25"/>
        <v>1648</v>
      </c>
      <c r="B1649" s="13" t="s">
        <v>2330</v>
      </c>
      <c r="C1649" t="s">
        <v>2746</v>
      </c>
      <c r="D1649" t="s">
        <v>2767</v>
      </c>
      <c r="E1649" t="s">
        <v>2768</v>
      </c>
      <c r="G1649" t="s">
        <v>63</v>
      </c>
      <c r="H1649" s="75" t="str">
        <f>IFERROR(VLOOKUP(Table2[[#This Row],[Ticket]],Okey!A:B,2,0),"")</f>
        <v>ok</v>
      </c>
      <c r="I1649" t="s">
        <v>19</v>
      </c>
      <c r="J1649" t="str">
        <f>VLOOKUP(Table2[[#This Row],[Author]],People!A:B,2,0)</f>
        <v>EL</v>
      </c>
      <c r="M1649" t="s">
        <v>1752</v>
      </c>
    </row>
    <row r="1650" spans="1:13" x14ac:dyDescent="0.25">
      <c r="A1650" s="75">
        <f t="shared" si="25"/>
        <v>1649</v>
      </c>
      <c r="B1650" s="13" t="s">
        <v>2330</v>
      </c>
      <c r="C1650" t="s">
        <v>2746</v>
      </c>
      <c r="D1650" t="s">
        <v>2769</v>
      </c>
      <c r="E1650" t="s">
        <v>2770</v>
      </c>
      <c r="G1650" t="s">
        <v>63</v>
      </c>
      <c r="H1650" s="75" t="str">
        <f>IFERROR(VLOOKUP(Table2[[#This Row],[Ticket]],Okey!A:B,2,0),"")</f>
        <v>ok</v>
      </c>
      <c r="I1650" t="s">
        <v>19</v>
      </c>
      <c r="J1650" t="str">
        <f>VLOOKUP(Table2[[#This Row],[Author]],People!A:B,2,0)</f>
        <v>EL</v>
      </c>
      <c r="M1650" t="s">
        <v>1752</v>
      </c>
    </row>
    <row r="1651" spans="1:13" x14ac:dyDescent="0.25">
      <c r="A1651" s="75">
        <f t="shared" si="25"/>
        <v>1650</v>
      </c>
      <c r="B1651" s="13" t="s">
        <v>2330</v>
      </c>
      <c r="C1651" t="s">
        <v>2746</v>
      </c>
      <c r="D1651" t="s">
        <v>2771</v>
      </c>
      <c r="E1651" t="s">
        <v>2772</v>
      </c>
      <c r="G1651" t="s">
        <v>63</v>
      </c>
      <c r="H1651" s="75" t="str">
        <f>IFERROR(VLOOKUP(Table2[[#This Row],[Ticket]],Okey!A:B,2,0),"")</f>
        <v>ok</v>
      </c>
      <c r="I1651" t="s">
        <v>19</v>
      </c>
      <c r="J1651" t="str">
        <f>VLOOKUP(Table2[[#This Row],[Author]],People!A:B,2,0)</f>
        <v>EL</v>
      </c>
      <c r="M1651" t="s">
        <v>1752</v>
      </c>
    </row>
    <row r="1652" spans="1:13" x14ac:dyDescent="0.25">
      <c r="A1652" s="75">
        <f t="shared" si="25"/>
        <v>1651</v>
      </c>
      <c r="B1652" s="13" t="s">
        <v>2330</v>
      </c>
      <c r="C1652" t="s">
        <v>2746</v>
      </c>
      <c r="D1652" t="s">
        <v>2773</v>
      </c>
      <c r="E1652" t="s">
        <v>2774</v>
      </c>
      <c r="F1652" t="s">
        <v>1896</v>
      </c>
      <c r="G1652" t="s">
        <v>18</v>
      </c>
      <c r="H1652" s="75" t="str">
        <f>IFERROR(VLOOKUP(Table2[[#This Row],[Ticket]],Okey!A:B,2,0),"")</f>
        <v>ok</v>
      </c>
      <c r="I1652" t="s">
        <v>19</v>
      </c>
      <c r="J1652" t="str">
        <f>VLOOKUP(Table2[[#This Row],[Author]],People!A:B,2,0)</f>
        <v>EL</v>
      </c>
      <c r="M1652" t="s">
        <v>1752</v>
      </c>
    </row>
    <row r="1653" spans="1:13" x14ac:dyDescent="0.25">
      <c r="A1653" s="75">
        <f t="shared" si="25"/>
        <v>1652</v>
      </c>
      <c r="B1653" s="13" t="s">
        <v>2330</v>
      </c>
      <c r="C1653" t="s">
        <v>2775</v>
      </c>
      <c r="D1653" t="s">
        <v>2776</v>
      </c>
      <c r="E1653" t="s">
        <v>2777</v>
      </c>
      <c r="G1653" t="s">
        <v>63</v>
      </c>
      <c r="H1653" s="75" t="str">
        <f>IFERROR(VLOOKUP(Table2[[#This Row],[Ticket]],Okey!A:B,2,0),"")</f>
        <v>ok</v>
      </c>
      <c r="I1653" t="s">
        <v>19</v>
      </c>
      <c r="J1653" t="str">
        <f>VLOOKUP(Table2[[#This Row],[Author]],People!A:B,2,0)</f>
        <v>EL</v>
      </c>
      <c r="M1653" t="s">
        <v>1752</v>
      </c>
    </row>
    <row r="1654" spans="1:13" x14ac:dyDescent="0.25">
      <c r="A1654" s="75">
        <f t="shared" si="25"/>
        <v>1653</v>
      </c>
      <c r="B1654" s="13" t="s">
        <v>2330</v>
      </c>
      <c r="C1654" t="s">
        <v>2775</v>
      </c>
      <c r="D1654" t="s">
        <v>2778</v>
      </c>
      <c r="F1654" t="s">
        <v>2776</v>
      </c>
      <c r="G1654" t="s">
        <v>24</v>
      </c>
      <c r="H1654" s="75" t="str">
        <f>IFERROR(VLOOKUP(Table2[[#This Row],[Ticket]],Okey!A:B,2,0),"")</f>
        <v>ok</v>
      </c>
      <c r="I1654" t="s">
        <v>19</v>
      </c>
      <c r="J1654" t="str">
        <f>VLOOKUP(Table2[[#This Row],[Author]],People!A:B,2,0)</f>
        <v>EL</v>
      </c>
      <c r="M1654" t="s">
        <v>1752</v>
      </c>
    </row>
    <row r="1655" spans="1:13" x14ac:dyDescent="0.25">
      <c r="A1655" s="75">
        <f t="shared" si="25"/>
        <v>1654</v>
      </c>
      <c r="B1655" s="13" t="s">
        <v>2330</v>
      </c>
      <c r="C1655" t="s">
        <v>2775</v>
      </c>
      <c r="D1655" t="s">
        <v>2779</v>
      </c>
      <c r="E1655" t="s">
        <v>2780</v>
      </c>
      <c r="G1655" t="s">
        <v>63</v>
      </c>
      <c r="H1655" s="75" t="str">
        <f>IFERROR(VLOOKUP(Table2[[#This Row],[Ticket]],Okey!A:B,2,0),"")</f>
        <v>ok</v>
      </c>
      <c r="I1655" t="s">
        <v>19</v>
      </c>
      <c r="J1655" t="str">
        <f>VLOOKUP(Table2[[#This Row],[Author]],People!A:B,2,0)</f>
        <v>EL</v>
      </c>
      <c r="M1655" t="s">
        <v>1752</v>
      </c>
    </row>
    <row r="1656" spans="1:13" x14ac:dyDescent="0.25">
      <c r="A1656" s="75">
        <f t="shared" si="25"/>
        <v>1655</v>
      </c>
      <c r="B1656" s="13" t="s">
        <v>2330</v>
      </c>
      <c r="C1656" t="s">
        <v>2775</v>
      </c>
      <c r="D1656" t="s">
        <v>2781</v>
      </c>
      <c r="E1656" t="s">
        <v>2782</v>
      </c>
      <c r="F1656" t="s">
        <v>2783</v>
      </c>
      <c r="G1656" t="s">
        <v>496</v>
      </c>
      <c r="H1656" s="75" t="str">
        <f>IFERROR(VLOOKUP(Table2[[#This Row],[Ticket]],Okey!A:B,2,0),"")</f>
        <v>ok</v>
      </c>
      <c r="I1656" t="s">
        <v>19</v>
      </c>
      <c r="J1656" t="str">
        <f>VLOOKUP(Table2[[#This Row],[Author]],People!A:B,2,0)</f>
        <v>EL</v>
      </c>
      <c r="M1656" t="s">
        <v>1752</v>
      </c>
    </row>
    <row r="1657" spans="1:13" x14ac:dyDescent="0.25">
      <c r="A1657" s="75">
        <f t="shared" si="25"/>
        <v>1656</v>
      </c>
      <c r="B1657" s="13" t="s">
        <v>2330</v>
      </c>
      <c r="C1657" t="s">
        <v>2775</v>
      </c>
      <c r="D1657" t="s">
        <v>2784</v>
      </c>
      <c r="E1657" t="s">
        <v>2785</v>
      </c>
      <c r="G1657" t="s">
        <v>63</v>
      </c>
      <c r="H1657" s="75" t="str">
        <f>IFERROR(VLOOKUP(Table2[[#This Row],[Ticket]],Okey!A:B,2,0),"")</f>
        <v>ok</v>
      </c>
      <c r="I1657" t="s">
        <v>19</v>
      </c>
      <c r="J1657" t="str">
        <f>VLOOKUP(Table2[[#This Row],[Author]],People!A:B,2,0)</f>
        <v>EL</v>
      </c>
      <c r="M1657" t="s">
        <v>1752</v>
      </c>
    </row>
    <row r="1658" spans="1:13" x14ac:dyDescent="0.25">
      <c r="A1658" s="75">
        <f t="shared" si="25"/>
        <v>1657</v>
      </c>
      <c r="B1658" s="13" t="s">
        <v>2330</v>
      </c>
      <c r="C1658" t="s">
        <v>2775</v>
      </c>
      <c r="D1658" t="s">
        <v>2042</v>
      </c>
      <c r="E1658" t="s">
        <v>2786</v>
      </c>
      <c r="F1658" t="s">
        <v>2783</v>
      </c>
      <c r="G1658" t="s">
        <v>496</v>
      </c>
      <c r="H1658" s="75" t="str">
        <f>IFERROR(VLOOKUP(Table2[[#This Row],[Ticket]],Okey!A:B,2,0),"")</f>
        <v>ok</v>
      </c>
      <c r="I1658" t="s">
        <v>19</v>
      </c>
      <c r="J1658" t="str">
        <f>VLOOKUP(Table2[[#This Row],[Author]],People!A:B,2,0)</f>
        <v>EL</v>
      </c>
      <c r="M1658" t="s">
        <v>1752</v>
      </c>
    </row>
    <row r="1659" spans="1:13" x14ac:dyDescent="0.25">
      <c r="A1659" s="75">
        <f t="shared" si="25"/>
        <v>1658</v>
      </c>
      <c r="B1659" s="13" t="s">
        <v>2330</v>
      </c>
      <c r="C1659" t="s">
        <v>2775</v>
      </c>
      <c r="D1659" t="s">
        <v>2787</v>
      </c>
      <c r="E1659" t="s">
        <v>2788</v>
      </c>
      <c r="G1659" t="s">
        <v>63</v>
      </c>
      <c r="H1659" s="75" t="str">
        <f>IFERROR(VLOOKUP(Table2[[#This Row],[Ticket]],Okey!A:B,2,0),"")</f>
        <v>ok</v>
      </c>
      <c r="I1659" t="s">
        <v>19</v>
      </c>
      <c r="J1659" t="str">
        <f>VLOOKUP(Table2[[#This Row],[Author]],People!A:B,2,0)</f>
        <v>EL</v>
      </c>
      <c r="M1659" t="s">
        <v>1752</v>
      </c>
    </row>
    <row r="1660" spans="1:13" x14ac:dyDescent="0.25">
      <c r="A1660" s="75">
        <f t="shared" si="25"/>
        <v>1659</v>
      </c>
      <c r="B1660" s="13" t="s">
        <v>2330</v>
      </c>
      <c r="C1660" t="s">
        <v>2775</v>
      </c>
      <c r="D1660" t="s">
        <v>2789</v>
      </c>
      <c r="E1660" t="s">
        <v>2790</v>
      </c>
      <c r="G1660" t="s">
        <v>63</v>
      </c>
      <c r="H1660" s="75" t="str">
        <f>IFERROR(VLOOKUP(Table2[[#This Row],[Ticket]],Okey!A:B,2,0),"")</f>
        <v>ok</v>
      </c>
      <c r="I1660" t="s">
        <v>19</v>
      </c>
      <c r="J1660" t="str">
        <f>VLOOKUP(Table2[[#This Row],[Author]],People!A:B,2,0)</f>
        <v>EL</v>
      </c>
      <c r="M1660" t="s">
        <v>1752</v>
      </c>
    </row>
    <row r="1661" spans="1:13" x14ac:dyDescent="0.25">
      <c r="A1661" s="75">
        <f t="shared" si="25"/>
        <v>1660</v>
      </c>
      <c r="B1661" s="13" t="s">
        <v>2330</v>
      </c>
      <c r="C1661" t="s">
        <v>2775</v>
      </c>
      <c r="D1661" t="s">
        <v>2791</v>
      </c>
      <c r="E1661" t="s">
        <v>2792</v>
      </c>
      <c r="G1661" t="s">
        <v>63</v>
      </c>
      <c r="H1661" s="75" t="str">
        <f>IFERROR(VLOOKUP(Table2[[#This Row],[Ticket]],Okey!A:B,2,0),"")</f>
        <v>ok</v>
      </c>
      <c r="I1661" t="s">
        <v>19</v>
      </c>
      <c r="J1661" t="str">
        <f>VLOOKUP(Table2[[#This Row],[Author]],People!A:B,2,0)</f>
        <v>EL</v>
      </c>
      <c r="M1661" t="s">
        <v>1752</v>
      </c>
    </row>
    <row r="1662" spans="1:13" x14ac:dyDescent="0.25">
      <c r="A1662" s="75">
        <f t="shared" si="25"/>
        <v>1661</v>
      </c>
      <c r="B1662" s="13" t="s">
        <v>2330</v>
      </c>
      <c r="C1662" t="s">
        <v>2775</v>
      </c>
      <c r="D1662" t="s">
        <v>1809</v>
      </c>
      <c r="E1662" t="s">
        <v>2793</v>
      </c>
      <c r="G1662" t="s">
        <v>63</v>
      </c>
      <c r="H1662" s="75" t="str">
        <f>IFERROR(VLOOKUP(Table2[[#This Row],[Ticket]],Okey!A:B,2,0),"")</f>
        <v>ok</v>
      </c>
      <c r="I1662" t="s">
        <v>19</v>
      </c>
      <c r="J1662" t="str">
        <f>VLOOKUP(Table2[[#This Row],[Author]],People!A:B,2,0)</f>
        <v>EL</v>
      </c>
      <c r="M1662" t="s">
        <v>1752</v>
      </c>
    </row>
    <row r="1663" spans="1:13" x14ac:dyDescent="0.25">
      <c r="A1663" s="75">
        <f t="shared" si="25"/>
        <v>1662</v>
      </c>
      <c r="B1663" s="13" t="s">
        <v>2330</v>
      </c>
      <c r="C1663" t="s">
        <v>2775</v>
      </c>
      <c r="D1663" t="s">
        <v>1812</v>
      </c>
      <c r="F1663" t="s">
        <v>327</v>
      </c>
      <c r="G1663" t="s">
        <v>328</v>
      </c>
      <c r="H1663" s="75" t="str">
        <f>IFERROR(VLOOKUP(Table2[[#This Row],[Ticket]],Okey!A:B,2,0),"")</f>
        <v>ok</v>
      </c>
      <c r="I1663" t="s">
        <v>19</v>
      </c>
      <c r="J1663" t="str">
        <f>VLOOKUP(Table2[[#This Row],[Author]],People!A:B,2,0)</f>
        <v>EL</v>
      </c>
      <c r="M1663" t="s">
        <v>1752</v>
      </c>
    </row>
    <row r="1664" spans="1:13" x14ac:dyDescent="0.25">
      <c r="A1664" s="75">
        <f t="shared" si="25"/>
        <v>1663</v>
      </c>
      <c r="B1664" s="13" t="s">
        <v>2330</v>
      </c>
      <c r="C1664" t="s">
        <v>2775</v>
      </c>
      <c r="D1664" t="s">
        <v>2215</v>
      </c>
      <c r="E1664" t="s">
        <v>2794</v>
      </c>
      <c r="G1664" t="s">
        <v>63</v>
      </c>
      <c r="H1664" s="75" t="str">
        <f>IFERROR(VLOOKUP(Table2[[#This Row],[Ticket]],Okey!A:B,2,0),"")</f>
        <v>ok</v>
      </c>
      <c r="I1664" t="s">
        <v>19</v>
      </c>
      <c r="J1664" t="str">
        <f>VLOOKUP(Table2[[#This Row],[Author]],People!A:B,2,0)</f>
        <v>EL</v>
      </c>
      <c r="M1664" t="s">
        <v>1752</v>
      </c>
    </row>
    <row r="1665" spans="1:13" x14ac:dyDescent="0.25">
      <c r="A1665" s="75">
        <f t="shared" si="25"/>
        <v>1664</v>
      </c>
      <c r="B1665" s="13" t="s">
        <v>2330</v>
      </c>
      <c r="C1665" t="s">
        <v>2775</v>
      </c>
      <c r="D1665" t="s">
        <v>2295</v>
      </c>
      <c r="E1665" t="s">
        <v>2795</v>
      </c>
      <c r="F1665" t="s">
        <v>2243</v>
      </c>
      <c r="G1665" t="s">
        <v>496</v>
      </c>
      <c r="H1665" s="75" t="str">
        <f>IFERROR(VLOOKUP(Table2[[#This Row],[Ticket]],Okey!A:B,2,0),"")</f>
        <v>ok</v>
      </c>
      <c r="I1665" t="s">
        <v>19</v>
      </c>
      <c r="J1665" t="str">
        <f>VLOOKUP(Table2[[#This Row],[Author]],People!A:B,2,0)</f>
        <v>EL</v>
      </c>
      <c r="M1665" t="s">
        <v>1752</v>
      </c>
    </row>
    <row r="1666" spans="1:13" x14ac:dyDescent="0.25">
      <c r="A1666" s="75">
        <f t="shared" si="25"/>
        <v>1665</v>
      </c>
      <c r="B1666" s="13" t="s">
        <v>2330</v>
      </c>
      <c r="C1666" t="s">
        <v>2775</v>
      </c>
      <c r="D1666" t="s">
        <v>2243</v>
      </c>
      <c r="F1666" t="s">
        <v>2783</v>
      </c>
      <c r="G1666" t="s">
        <v>24</v>
      </c>
      <c r="H1666" s="75" t="str">
        <f>IFERROR(VLOOKUP(Table2[[#This Row],[Ticket]],Okey!A:B,2,0),"")</f>
        <v>ok</v>
      </c>
      <c r="I1666" t="s">
        <v>19</v>
      </c>
      <c r="J1666" t="str">
        <f>VLOOKUP(Table2[[#This Row],[Author]],People!A:B,2,0)</f>
        <v>EL</v>
      </c>
      <c r="M1666" t="s">
        <v>1752</v>
      </c>
    </row>
    <row r="1667" spans="1:13" x14ac:dyDescent="0.25">
      <c r="A1667" s="75">
        <f t="shared" si="25"/>
        <v>1666</v>
      </c>
      <c r="B1667" s="13" t="s">
        <v>2330</v>
      </c>
      <c r="C1667" t="s">
        <v>2775</v>
      </c>
      <c r="D1667" t="s">
        <v>1960</v>
      </c>
      <c r="E1667" t="s">
        <v>1961</v>
      </c>
      <c r="G1667" t="s">
        <v>63</v>
      </c>
      <c r="H1667" s="75" t="str">
        <f>IFERROR(VLOOKUP(Table2[[#This Row],[Ticket]],Okey!A:B,2,0),"")</f>
        <v>ok</v>
      </c>
      <c r="I1667" t="s">
        <v>19</v>
      </c>
      <c r="J1667" t="str">
        <f>VLOOKUP(Table2[[#This Row],[Author]],People!A:B,2,0)</f>
        <v>EL</v>
      </c>
      <c r="M1667" t="s">
        <v>1752</v>
      </c>
    </row>
    <row r="1668" spans="1:13" x14ac:dyDescent="0.25">
      <c r="A1668" s="75">
        <f t="shared" si="25"/>
        <v>1667</v>
      </c>
      <c r="B1668" s="13" t="s">
        <v>2330</v>
      </c>
      <c r="C1668" t="s">
        <v>2775</v>
      </c>
      <c r="D1668" t="s">
        <v>2796</v>
      </c>
      <c r="F1668" t="s">
        <v>327</v>
      </c>
      <c r="G1668" t="s">
        <v>328</v>
      </c>
      <c r="H1668" s="75" t="str">
        <f>IFERROR(VLOOKUP(Table2[[#This Row],[Ticket]],Okey!A:B,2,0),"")</f>
        <v>ok</v>
      </c>
      <c r="I1668" t="s">
        <v>19</v>
      </c>
      <c r="J1668" t="str">
        <f>VLOOKUP(Table2[[#This Row],[Author]],People!A:B,2,0)</f>
        <v>EL</v>
      </c>
      <c r="M1668" t="s">
        <v>1752</v>
      </c>
    </row>
    <row r="1669" spans="1:13" x14ac:dyDescent="0.25">
      <c r="A1669" s="75">
        <f t="shared" si="25"/>
        <v>1668</v>
      </c>
      <c r="B1669" s="13" t="s">
        <v>2330</v>
      </c>
      <c r="C1669" t="s">
        <v>2775</v>
      </c>
      <c r="D1669" t="s">
        <v>2797</v>
      </c>
      <c r="F1669" t="s">
        <v>327</v>
      </c>
      <c r="G1669" t="s">
        <v>328</v>
      </c>
      <c r="H1669" s="75" t="str">
        <f>IFERROR(VLOOKUP(Table2[[#This Row],[Ticket]],Okey!A:B,2,0),"")</f>
        <v>ok</v>
      </c>
      <c r="I1669" t="s">
        <v>19</v>
      </c>
      <c r="J1669" t="str">
        <f>VLOOKUP(Table2[[#This Row],[Author]],People!A:B,2,0)</f>
        <v>EL</v>
      </c>
      <c r="M1669" t="s">
        <v>1752</v>
      </c>
    </row>
    <row r="1670" spans="1:13" x14ac:dyDescent="0.25">
      <c r="A1670" s="75">
        <f t="shared" si="25"/>
        <v>1669</v>
      </c>
      <c r="B1670" s="13" t="s">
        <v>2330</v>
      </c>
      <c r="C1670" t="s">
        <v>2775</v>
      </c>
      <c r="D1670" t="s">
        <v>2798</v>
      </c>
      <c r="F1670" t="s">
        <v>327</v>
      </c>
      <c r="G1670" t="s">
        <v>328</v>
      </c>
      <c r="H1670" s="75" t="str">
        <f>IFERROR(VLOOKUP(Table2[[#This Row],[Ticket]],Okey!A:B,2,0),"")</f>
        <v>ok</v>
      </c>
      <c r="I1670" t="s">
        <v>19</v>
      </c>
      <c r="J1670" t="str">
        <f>VLOOKUP(Table2[[#This Row],[Author]],People!A:B,2,0)</f>
        <v>EL</v>
      </c>
      <c r="M1670" t="s">
        <v>1752</v>
      </c>
    </row>
    <row r="1671" spans="1:13" x14ac:dyDescent="0.25">
      <c r="A1671" s="75">
        <f t="shared" si="25"/>
        <v>1670</v>
      </c>
      <c r="B1671" s="13" t="s">
        <v>2330</v>
      </c>
      <c r="C1671" t="s">
        <v>2775</v>
      </c>
      <c r="D1671" t="s">
        <v>2799</v>
      </c>
      <c r="E1671" t="s">
        <v>2800</v>
      </c>
      <c r="F1671" t="s">
        <v>2779</v>
      </c>
      <c r="G1671" t="s">
        <v>18</v>
      </c>
      <c r="H1671" s="75" t="str">
        <f>IFERROR(VLOOKUP(Table2[[#This Row],[Ticket]],Okey!A:B,2,0),"")</f>
        <v>ok</v>
      </c>
      <c r="I1671" t="s">
        <v>19</v>
      </c>
      <c r="J1671" t="str">
        <f>VLOOKUP(Table2[[#This Row],[Author]],People!A:B,2,0)</f>
        <v>EL</v>
      </c>
      <c r="M1671" t="s">
        <v>1752</v>
      </c>
    </row>
    <row r="1672" spans="1:13" x14ac:dyDescent="0.25">
      <c r="A1672" s="75">
        <f t="shared" si="25"/>
        <v>1671</v>
      </c>
      <c r="B1672" s="13" t="s">
        <v>2330</v>
      </c>
      <c r="C1672" t="s">
        <v>2801</v>
      </c>
      <c r="D1672" s="19" t="s">
        <v>2802</v>
      </c>
      <c r="F1672" t="s">
        <v>2803</v>
      </c>
      <c r="G1672" t="s">
        <v>24</v>
      </c>
      <c r="H1672" s="75" t="str">
        <f>IFERROR(VLOOKUP(Table2[[#This Row],[Ticket]],Okey!A:B,2,0),"")</f>
        <v>ok</v>
      </c>
      <c r="I1672" t="s">
        <v>19</v>
      </c>
      <c r="J1672" t="str">
        <f>VLOOKUP(Table2[[#This Row],[Author]],People!A:B,2,0)</f>
        <v>HC</v>
      </c>
      <c r="M1672" t="s">
        <v>2804</v>
      </c>
    </row>
    <row r="1673" spans="1:13" x14ac:dyDescent="0.25">
      <c r="A1673" s="75">
        <f t="shared" ref="A1673:A1736" si="26">1+A1672</f>
        <v>1672</v>
      </c>
      <c r="B1673" s="13" t="s">
        <v>2330</v>
      </c>
      <c r="C1673" t="s">
        <v>2805</v>
      </c>
      <c r="D1673" t="s">
        <v>1886</v>
      </c>
      <c r="E1673" t="s">
        <v>2806</v>
      </c>
      <c r="G1673" t="s">
        <v>63</v>
      </c>
      <c r="H1673" s="75" t="str">
        <f>IFERROR(VLOOKUP(Table2[[#This Row],[Ticket]],Okey!A:B,2,0),"")</f>
        <v>ok</v>
      </c>
      <c r="I1673" t="s">
        <v>19</v>
      </c>
      <c r="J1673" t="str">
        <f>VLOOKUP(Table2[[#This Row],[Author]],People!A:B,2,0)</f>
        <v>EL</v>
      </c>
      <c r="M1673" t="s">
        <v>1752</v>
      </c>
    </row>
    <row r="1674" spans="1:13" x14ac:dyDescent="0.25">
      <c r="A1674" s="75">
        <f t="shared" si="26"/>
        <v>1673</v>
      </c>
      <c r="B1674" s="13" t="s">
        <v>2330</v>
      </c>
      <c r="C1674" t="s">
        <v>2805</v>
      </c>
      <c r="D1674" t="s">
        <v>1884</v>
      </c>
      <c r="E1674" t="s">
        <v>2807</v>
      </c>
      <c r="G1674" t="s">
        <v>63</v>
      </c>
      <c r="H1674" s="75" t="str">
        <f>IFERROR(VLOOKUP(Table2[[#This Row],[Ticket]],Okey!A:B,2,0),"")</f>
        <v>ok</v>
      </c>
      <c r="I1674" t="s">
        <v>19</v>
      </c>
      <c r="J1674" t="str">
        <f>VLOOKUP(Table2[[#This Row],[Author]],People!A:B,2,0)</f>
        <v>EL</v>
      </c>
      <c r="M1674" t="s">
        <v>1752</v>
      </c>
    </row>
    <row r="1675" spans="1:13" x14ac:dyDescent="0.25">
      <c r="A1675" s="75">
        <f t="shared" si="26"/>
        <v>1674</v>
      </c>
      <c r="B1675" s="13" t="s">
        <v>2330</v>
      </c>
      <c r="C1675" t="s">
        <v>2805</v>
      </c>
      <c r="D1675" t="s">
        <v>1888</v>
      </c>
      <c r="E1675" t="s">
        <v>2808</v>
      </c>
      <c r="G1675" t="s">
        <v>63</v>
      </c>
      <c r="H1675" s="75" t="str">
        <f>IFERROR(VLOOKUP(Table2[[#This Row],[Ticket]],Okey!A:B,2,0),"")</f>
        <v>ok</v>
      </c>
      <c r="I1675" t="s">
        <v>19</v>
      </c>
      <c r="J1675" t="str">
        <f>VLOOKUP(Table2[[#This Row],[Author]],People!A:B,2,0)</f>
        <v>EL</v>
      </c>
      <c r="M1675" t="s">
        <v>1752</v>
      </c>
    </row>
    <row r="1676" spans="1:13" x14ac:dyDescent="0.25">
      <c r="A1676" s="75">
        <f t="shared" si="26"/>
        <v>1675</v>
      </c>
      <c r="B1676" s="13" t="s">
        <v>2330</v>
      </c>
      <c r="C1676" t="s">
        <v>2805</v>
      </c>
      <c r="D1676" t="s">
        <v>1890</v>
      </c>
      <c r="E1676" t="s">
        <v>2809</v>
      </c>
      <c r="G1676" t="s">
        <v>63</v>
      </c>
      <c r="H1676" s="75" t="str">
        <f>IFERROR(VLOOKUP(Table2[[#This Row],[Ticket]],Okey!A:B,2,0),"")</f>
        <v>ok</v>
      </c>
      <c r="I1676" t="s">
        <v>19</v>
      </c>
      <c r="J1676" t="str">
        <f>VLOOKUP(Table2[[#This Row],[Author]],People!A:B,2,0)</f>
        <v>EL</v>
      </c>
      <c r="M1676" t="s">
        <v>1752</v>
      </c>
    </row>
    <row r="1677" spans="1:13" x14ac:dyDescent="0.25">
      <c r="A1677" s="75">
        <f t="shared" si="26"/>
        <v>1676</v>
      </c>
      <c r="B1677" s="13" t="s">
        <v>2330</v>
      </c>
      <c r="C1677" t="s">
        <v>2805</v>
      </c>
      <c r="D1677" t="s">
        <v>1892</v>
      </c>
      <c r="E1677" t="s">
        <v>2810</v>
      </c>
      <c r="G1677" t="s">
        <v>63</v>
      </c>
      <c r="H1677" s="75" t="str">
        <f>IFERROR(VLOOKUP(Table2[[#This Row],[Ticket]],Okey!A:B,2,0),"")</f>
        <v>ok</v>
      </c>
      <c r="I1677" t="s">
        <v>19</v>
      </c>
      <c r="J1677" t="str">
        <f>VLOOKUP(Table2[[#This Row],[Author]],People!A:B,2,0)</f>
        <v>EL</v>
      </c>
      <c r="M1677" t="s">
        <v>1752</v>
      </c>
    </row>
    <row r="1678" spans="1:13" x14ac:dyDescent="0.25">
      <c r="A1678" s="75">
        <f t="shared" si="26"/>
        <v>1677</v>
      </c>
      <c r="B1678" s="13" t="s">
        <v>2330</v>
      </c>
      <c r="C1678" t="s">
        <v>2805</v>
      </c>
      <c r="D1678" t="s">
        <v>1894</v>
      </c>
      <c r="E1678" t="s">
        <v>2811</v>
      </c>
      <c r="G1678" t="s">
        <v>63</v>
      </c>
      <c r="H1678" s="75" t="str">
        <f>IFERROR(VLOOKUP(Table2[[#This Row],[Ticket]],Okey!A:B,2,0),"")</f>
        <v>ok</v>
      </c>
      <c r="I1678" t="s">
        <v>19</v>
      </c>
      <c r="J1678" t="str">
        <f>VLOOKUP(Table2[[#This Row],[Author]],People!A:B,2,0)</f>
        <v>EL</v>
      </c>
      <c r="M1678" t="s">
        <v>1752</v>
      </c>
    </row>
    <row r="1679" spans="1:13" x14ac:dyDescent="0.25">
      <c r="A1679" s="75">
        <f t="shared" si="26"/>
        <v>1678</v>
      </c>
      <c r="B1679" s="13" t="s">
        <v>2330</v>
      </c>
      <c r="C1679" t="s">
        <v>2805</v>
      </c>
      <c r="D1679" t="s">
        <v>1896</v>
      </c>
      <c r="E1679" t="s">
        <v>2812</v>
      </c>
      <c r="G1679" t="s">
        <v>63</v>
      </c>
      <c r="H1679" s="75" t="str">
        <f>IFERROR(VLOOKUP(Table2[[#This Row],[Ticket]],Okey!A:B,2,0),"")</f>
        <v>ok</v>
      </c>
      <c r="I1679" t="s">
        <v>19</v>
      </c>
      <c r="J1679" t="str">
        <f>VLOOKUP(Table2[[#This Row],[Author]],People!A:B,2,0)</f>
        <v>EL</v>
      </c>
      <c r="M1679" t="s">
        <v>1752</v>
      </c>
    </row>
    <row r="1680" spans="1:13" x14ac:dyDescent="0.25">
      <c r="A1680" s="75">
        <f t="shared" si="26"/>
        <v>1679</v>
      </c>
      <c r="B1680" s="13" t="s">
        <v>2330</v>
      </c>
      <c r="C1680" t="s">
        <v>2805</v>
      </c>
      <c r="D1680" t="s">
        <v>2033</v>
      </c>
      <c r="E1680" t="s">
        <v>2813</v>
      </c>
      <c r="G1680" t="s">
        <v>63</v>
      </c>
      <c r="H1680" s="75" t="str">
        <f>IFERROR(VLOOKUP(Table2[[#This Row],[Ticket]],Okey!A:B,2,0),"")</f>
        <v>ok</v>
      </c>
      <c r="I1680" t="s">
        <v>19</v>
      </c>
      <c r="J1680" t="str">
        <f>VLOOKUP(Table2[[#This Row],[Author]],People!A:B,2,0)</f>
        <v>EL</v>
      </c>
      <c r="M1680" t="s">
        <v>1752</v>
      </c>
    </row>
    <row r="1681" spans="1:13" x14ac:dyDescent="0.25">
      <c r="A1681" s="75">
        <f t="shared" si="26"/>
        <v>1680</v>
      </c>
      <c r="B1681" s="13" t="s">
        <v>2330</v>
      </c>
      <c r="C1681" t="s">
        <v>2805</v>
      </c>
      <c r="D1681" t="s">
        <v>1904</v>
      </c>
      <c r="E1681" t="s">
        <v>2814</v>
      </c>
      <c r="G1681" t="s">
        <v>63</v>
      </c>
      <c r="H1681" s="75" t="str">
        <f>IFERROR(VLOOKUP(Table2[[#This Row],[Ticket]],Okey!A:B,2,0),"")</f>
        <v>ok</v>
      </c>
      <c r="I1681" t="s">
        <v>19</v>
      </c>
      <c r="J1681" t="str">
        <f>VLOOKUP(Table2[[#This Row],[Author]],People!A:B,2,0)</f>
        <v>EL</v>
      </c>
      <c r="M1681" t="s">
        <v>1752</v>
      </c>
    </row>
    <row r="1682" spans="1:13" x14ac:dyDescent="0.25">
      <c r="A1682" s="75">
        <f t="shared" si="26"/>
        <v>1681</v>
      </c>
      <c r="B1682" s="13" t="s">
        <v>2330</v>
      </c>
      <c r="C1682" t="s">
        <v>2805</v>
      </c>
      <c r="D1682" t="s">
        <v>1906</v>
      </c>
      <c r="E1682" t="s">
        <v>2815</v>
      </c>
      <c r="G1682" t="s">
        <v>63</v>
      </c>
      <c r="H1682" s="75" t="str">
        <f>IFERROR(VLOOKUP(Table2[[#This Row],[Ticket]],Okey!A:B,2,0),"")</f>
        <v>ok</v>
      </c>
      <c r="I1682" t="s">
        <v>19</v>
      </c>
      <c r="J1682" t="str">
        <f>VLOOKUP(Table2[[#This Row],[Author]],People!A:B,2,0)</f>
        <v>EL</v>
      </c>
      <c r="M1682" t="s">
        <v>1752</v>
      </c>
    </row>
    <row r="1683" spans="1:13" x14ac:dyDescent="0.25">
      <c r="A1683" s="75">
        <f t="shared" si="26"/>
        <v>1682</v>
      </c>
      <c r="B1683" s="13" t="s">
        <v>2330</v>
      </c>
      <c r="C1683" t="s">
        <v>2805</v>
      </c>
      <c r="D1683" t="s">
        <v>2816</v>
      </c>
      <c r="E1683" t="s">
        <v>2817</v>
      </c>
      <c r="G1683" t="s">
        <v>63</v>
      </c>
      <c r="H1683" s="75" t="str">
        <f>IFERROR(VLOOKUP(Table2[[#This Row],[Ticket]],Okey!A:B,2,0),"")</f>
        <v>ok</v>
      </c>
      <c r="I1683" t="s">
        <v>19</v>
      </c>
      <c r="J1683" t="str">
        <f>VLOOKUP(Table2[[#This Row],[Author]],People!A:B,2,0)</f>
        <v>EL</v>
      </c>
      <c r="M1683" t="s">
        <v>1752</v>
      </c>
    </row>
    <row r="1684" spans="1:13" x14ac:dyDescent="0.25">
      <c r="A1684" s="75">
        <f t="shared" si="26"/>
        <v>1683</v>
      </c>
      <c r="B1684" s="13" t="s">
        <v>2330</v>
      </c>
      <c r="C1684" t="s">
        <v>2805</v>
      </c>
      <c r="D1684" t="s">
        <v>1912</v>
      </c>
      <c r="E1684" t="s">
        <v>2818</v>
      </c>
      <c r="G1684" t="s">
        <v>63</v>
      </c>
      <c r="H1684" s="75" t="str">
        <f>IFERROR(VLOOKUP(Table2[[#This Row],[Ticket]],Okey!A:B,2,0),"")</f>
        <v>ok</v>
      </c>
      <c r="I1684" t="s">
        <v>19</v>
      </c>
      <c r="J1684" t="str">
        <f>VLOOKUP(Table2[[#This Row],[Author]],People!A:B,2,0)</f>
        <v>EL</v>
      </c>
      <c r="M1684" t="s">
        <v>1752</v>
      </c>
    </row>
    <row r="1685" spans="1:13" x14ac:dyDescent="0.25">
      <c r="A1685" s="75">
        <f t="shared" si="26"/>
        <v>1684</v>
      </c>
      <c r="B1685" s="13" t="s">
        <v>2330</v>
      </c>
      <c r="C1685" t="s">
        <v>2805</v>
      </c>
      <c r="D1685" t="s">
        <v>2819</v>
      </c>
      <c r="E1685" t="s">
        <v>2820</v>
      </c>
      <c r="G1685" t="s">
        <v>63</v>
      </c>
      <c r="H1685" s="75" t="str">
        <f>IFERROR(VLOOKUP(Table2[[#This Row],[Ticket]],Okey!A:B,2,0),"")</f>
        <v>ok</v>
      </c>
      <c r="I1685" t="s">
        <v>19</v>
      </c>
      <c r="J1685" t="str">
        <f>VLOOKUP(Table2[[#This Row],[Author]],People!A:B,2,0)</f>
        <v>EL</v>
      </c>
      <c r="M1685" t="s">
        <v>1752</v>
      </c>
    </row>
    <row r="1686" spans="1:13" x14ac:dyDescent="0.25">
      <c r="A1686" s="75">
        <f t="shared" si="26"/>
        <v>1685</v>
      </c>
      <c r="B1686" s="13" t="s">
        <v>2330</v>
      </c>
      <c r="C1686" t="s">
        <v>2805</v>
      </c>
      <c r="D1686" t="s">
        <v>1914</v>
      </c>
      <c r="E1686" t="s">
        <v>2821</v>
      </c>
      <c r="G1686" t="s">
        <v>63</v>
      </c>
      <c r="H1686" s="75" t="str">
        <f>IFERROR(VLOOKUP(Table2[[#This Row],[Ticket]],Okey!A:B,2,0),"")</f>
        <v>ok</v>
      </c>
      <c r="I1686" t="s">
        <v>19</v>
      </c>
      <c r="J1686" t="str">
        <f>VLOOKUP(Table2[[#This Row],[Author]],People!A:B,2,0)</f>
        <v>EL</v>
      </c>
      <c r="M1686" t="s">
        <v>1752</v>
      </c>
    </row>
    <row r="1687" spans="1:13" x14ac:dyDescent="0.25">
      <c r="A1687" s="75">
        <f t="shared" si="26"/>
        <v>1686</v>
      </c>
      <c r="B1687" s="13" t="s">
        <v>2330</v>
      </c>
      <c r="C1687" t="s">
        <v>2805</v>
      </c>
      <c r="D1687" t="s">
        <v>2822</v>
      </c>
      <c r="E1687" t="s">
        <v>2823</v>
      </c>
      <c r="G1687" t="s">
        <v>63</v>
      </c>
      <c r="H1687" s="75" t="str">
        <f>IFERROR(VLOOKUP(Table2[[#This Row],[Ticket]],Okey!A:B,2,0),"")</f>
        <v>ok</v>
      </c>
      <c r="I1687" t="s">
        <v>19</v>
      </c>
      <c r="J1687" t="str">
        <f>VLOOKUP(Table2[[#This Row],[Author]],People!A:B,2,0)</f>
        <v>EL</v>
      </c>
      <c r="M1687" t="s">
        <v>1752</v>
      </c>
    </row>
    <row r="1688" spans="1:13" x14ac:dyDescent="0.25">
      <c r="A1688" s="75">
        <f t="shared" si="26"/>
        <v>1687</v>
      </c>
      <c r="B1688" s="13" t="s">
        <v>2330</v>
      </c>
      <c r="C1688" t="s">
        <v>2805</v>
      </c>
      <c r="D1688" t="s">
        <v>2824</v>
      </c>
      <c r="E1688" t="s">
        <v>2825</v>
      </c>
      <c r="G1688" t="s">
        <v>63</v>
      </c>
      <c r="H1688" s="75" t="str">
        <f>IFERROR(VLOOKUP(Table2[[#This Row],[Ticket]],Okey!A:B,2,0),"")</f>
        <v>ok</v>
      </c>
      <c r="I1688" t="s">
        <v>19</v>
      </c>
      <c r="J1688" t="str">
        <f>VLOOKUP(Table2[[#This Row],[Author]],People!A:B,2,0)</f>
        <v>EL</v>
      </c>
      <c r="M1688" t="s">
        <v>1752</v>
      </c>
    </row>
    <row r="1689" spans="1:13" x14ac:dyDescent="0.25">
      <c r="A1689" s="75">
        <f t="shared" si="26"/>
        <v>1688</v>
      </c>
      <c r="B1689" s="13" t="s">
        <v>2330</v>
      </c>
      <c r="C1689" t="s">
        <v>2805</v>
      </c>
      <c r="D1689" t="s">
        <v>2826</v>
      </c>
      <c r="E1689" t="s">
        <v>2827</v>
      </c>
      <c r="G1689" t="s">
        <v>63</v>
      </c>
      <c r="H1689" s="75" t="str">
        <f>IFERROR(VLOOKUP(Table2[[#This Row],[Ticket]],Okey!A:B,2,0),"")</f>
        <v>ok</v>
      </c>
      <c r="I1689" t="s">
        <v>19</v>
      </c>
      <c r="J1689" t="str">
        <f>VLOOKUP(Table2[[#This Row],[Author]],People!A:B,2,0)</f>
        <v>EL</v>
      </c>
      <c r="M1689" t="s">
        <v>1752</v>
      </c>
    </row>
    <row r="1690" spans="1:13" x14ac:dyDescent="0.25">
      <c r="A1690" s="75">
        <f t="shared" si="26"/>
        <v>1689</v>
      </c>
      <c r="B1690" s="13" t="s">
        <v>2330</v>
      </c>
      <c r="C1690" t="s">
        <v>2805</v>
      </c>
      <c r="D1690" t="s">
        <v>2828</v>
      </c>
      <c r="E1690" t="s">
        <v>2829</v>
      </c>
      <c r="G1690" t="s">
        <v>63</v>
      </c>
      <c r="H1690" s="75" t="str">
        <f>IFERROR(VLOOKUP(Table2[[#This Row],[Ticket]],Okey!A:B,2,0),"")</f>
        <v>ok</v>
      </c>
      <c r="I1690" t="s">
        <v>19</v>
      </c>
      <c r="J1690" t="str">
        <f>VLOOKUP(Table2[[#This Row],[Author]],People!A:B,2,0)</f>
        <v>EL</v>
      </c>
      <c r="M1690" t="s">
        <v>1752</v>
      </c>
    </row>
    <row r="1691" spans="1:13" x14ac:dyDescent="0.25">
      <c r="A1691" s="75">
        <f t="shared" si="26"/>
        <v>1690</v>
      </c>
      <c r="B1691" s="13" t="s">
        <v>2330</v>
      </c>
      <c r="C1691" t="s">
        <v>2805</v>
      </c>
      <c r="D1691" t="s">
        <v>1824</v>
      </c>
      <c r="E1691" t="s">
        <v>2830</v>
      </c>
      <c r="G1691" t="s">
        <v>63</v>
      </c>
      <c r="H1691" s="75" t="str">
        <f>IFERROR(VLOOKUP(Table2[[#This Row],[Ticket]],Okey!A:B,2,0),"")</f>
        <v>ok</v>
      </c>
      <c r="I1691" t="s">
        <v>19</v>
      </c>
      <c r="J1691" t="str">
        <f>VLOOKUP(Table2[[#This Row],[Author]],People!A:B,2,0)</f>
        <v>EL</v>
      </c>
      <c r="M1691" t="s">
        <v>1752</v>
      </c>
    </row>
    <row r="1692" spans="1:13" x14ac:dyDescent="0.25">
      <c r="A1692" s="75">
        <f t="shared" si="26"/>
        <v>1691</v>
      </c>
      <c r="B1692" s="13" t="s">
        <v>2330</v>
      </c>
      <c r="C1692" t="s">
        <v>2805</v>
      </c>
      <c r="D1692" t="s">
        <v>2831</v>
      </c>
      <c r="E1692" t="s">
        <v>2832</v>
      </c>
      <c r="G1692" t="s">
        <v>63</v>
      </c>
      <c r="H1692" s="75" t="str">
        <f>IFERROR(VLOOKUP(Table2[[#This Row],[Ticket]],Okey!A:B,2,0),"")</f>
        <v>ok</v>
      </c>
      <c r="I1692" t="s">
        <v>19</v>
      </c>
      <c r="J1692" t="str">
        <f>VLOOKUP(Table2[[#This Row],[Author]],People!A:B,2,0)</f>
        <v>EL</v>
      </c>
      <c r="M1692" t="s">
        <v>1752</v>
      </c>
    </row>
    <row r="1693" spans="1:13" x14ac:dyDescent="0.25">
      <c r="A1693" s="75">
        <f t="shared" si="26"/>
        <v>1692</v>
      </c>
      <c r="B1693" s="13" t="s">
        <v>2330</v>
      </c>
      <c r="C1693" t="s">
        <v>2805</v>
      </c>
      <c r="D1693" t="s">
        <v>2833</v>
      </c>
      <c r="E1693" t="s">
        <v>2834</v>
      </c>
      <c r="G1693" t="s">
        <v>63</v>
      </c>
      <c r="H1693" s="75" t="str">
        <f>IFERROR(VLOOKUP(Table2[[#This Row],[Ticket]],Okey!A:B,2,0),"")</f>
        <v>ok</v>
      </c>
      <c r="I1693" t="s">
        <v>19</v>
      </c>
      <c r="J1693" t="str">
        <f>VLOOKUP(Table2[[#This Row],[Author]],People!A:B,2,0)</f>
        <v>EL</v>
      </c>
      <c r="M1693" t="s">
        <v>1752</v>
      </c>
    </row>
    <row r="1694" spans="1:13" x14ac:dyDescent="0.25">
      <c r="A1694" s="75">
        <f t="shared" si="26"/>
        <v>1693</v>
      </c>
      <c r="B1694" s="13" t="s">
        <v>2330</v>
      </c>
      <c r="C1694" t="s">
        <v>2805</v>
      </c>
      <c r="D1694" t="s">
        <v>2835</v>
      </c>
      <c r="E1694" t="s">
        <v>2836</v>
      </c>
      <c r="G1694" t="s">
        <v>63</v>
      </c>
      <c r="H1694" s="75" t="str">
        <f>IFERROR(VLOOKUP(Table2[[#This Row],[Ticket]],Okey!A:B,2,0),"")</f>
        <v>ok</v>
      </c>
      <c r="I1694" t="s">
        <v>19</v>
      </c>
      <c r="J1694" t="str">
        <f>VLOOKUP(Table2[[#This Row],[Author]],People!A:B,2,0)</f>
        <v>EL</v>
      </c>
      <c r="M1694" t="s">
        <v>1752</v>
      </c>
    </row>
    <row r="1695" spans="1:13" x14ac:dyDescent="0.25">
      <c r="A1695" s="75">
        <f t="shared" si="26"/>
        <v>1694</v>
      </c>
      <c r="B1695" s="13" t="s">
        <v>2330</v>
      </c>
      <c r="C1695" t="s">
        <v>2805</v>
      </c>
      <c r="D1695" t="s">
        <v>2837</v>
      </c>
      <c r="E1695" t="s">
        <v>2838</v>
      </c>
      <c r="G1695" t="s">
        <v>63</v>
      </c>
      <c r="H1695" s="75" t="str">
        <f>IFERROR(VLOOKUP(Table2[[#This Row],[Ticket]],Okey!A:B,2,0),"")</f>
        <v>ok</v>
      </c>
      <c r="I1695" t="s">
        <v>19</v>
      </c>
      <c r="J1695" t="str">
        <f>VLOOKUP(Table2[[#This Row],[Author]],People!A:B,2,0)</f>
        <v>EL</v>
      </c>
      <c r="M1695" t="s">
        <v>1752</v>
      </c>
    </row>
    <row r="1696" spans="1:13" x14ac:dyDescent="0.25">
      <c r="A1696" s="75">
        <f t="shared" si="26"/>
        <v>1695</v>
      </c>
      <c r="B1696" s="13" t="s">
        <v>2330</v>
      </c>
      <c r="C1696" t="s">
        <v>2805</v>
      </c>
      <c r="D1696" t="s">
        <v>2839</v>
      </c>
      <c r="E1696" t="s">
        <v>2840</v>
      </c>
      <c r="G1696" t="s">
        <v>63</v>
      </c>
      <c r="H1696" s="75" t="str">
        <f>IFERROR(VLOOKUP(Table2[[#This Row],[Ticket]],Okey!A:B,2,0),"")</f>
        <v>ok</v>
      </c>
      <c r="I1696" t="s">
        <v>19</v>
      </c>
      <c r="J1696" t="str">
        <f>VLOOKUP(Table2[[#This Row],[Author]],People!A:B,2,0)</f>
        <v>EL</v>
      </c>
      <c r="M1696" t="s">
        <v>1752</v>
      </c>
    </row>
    <row r="1697" spans="1:13" x14ac:dyDescent="0.25">
      <c r="A1697" s="75">
        <f t="shared" si="26"/>
        <v>1696</v>
      </c>
      <c r="B1697" s="13" t="s">
        <v>2330</v>
      </c>
      <c r="C1697" t="s">
        <v>2805</v>
      </c>
      <c r="D1697" t="s">
        <v>2841</v>
      </c>
      <c r="E1697" t="s">
        <v>2842</v>
      </c>
      <c r="G1697" t="s">
        <v>63</v>
      </c>
      <c r="H1697" s="75" t="str">
        <f>IFERROR(VLOOKUP(Table2[[#This Row],[Ticket]],Okey!A:B,2,0),"")</f>
        <v>ok</v>
      </c>
      <c r="I1697" t="s">
        <v>19</v>
      </c>
      <c r="J1697" t="str">
        <f>VLOOKUP(Table2[[#This Row],[Author]],People!A:B,2,0)</f>
        <v>EL</v>
      </c>
      <c r="M1697" t="s">
        <v>1752</v>
      </c>
    </row>
    <row r="1698" spans="1:13" x14ac:dyDescent="0.25">
      <c r="A1698" s="75">
        <f t="shared" si="26"/>
        <v>1697</v>
      </c>
      <c r="B1698" s="13" t="s">
        <v>2330</v>
      </c>
      <c r="C1698" t="s">
        <v>2805</v>
      </c>
      <c r="D1698" t="s">
        <v>2843</v>
      </c>
      <c r="E1698" t="s">
        <v>2844</v>
      </c>
      <c r="G1698" t="s">
        <v>63</v>
      </c>
      <c r="H1698" s="75" t="str">
        <f>IFERROR(VLOOKUP(Table2[[#This Row],[Ticket]],Okey!A:B,2,0),"")</f>
        <v>ok</v>
      </c>
      <c r="I1698" t="s">
        <v>19</v>
      </c>
      <c r="J1698" t="str">
        <f>VLOOKUP(Table2[[#This Row],[Author]],People!A:B,2,0)</f>
        <v>EL</v>
      </c>
      <c r="M1698" t="s">
        <v>1752</v>
      </c>
    </row>
    <row r="1699" spans="1:13" x14ac:dyDescent="0.25">
      <c r="A1699" s="75">
        <f t="shared" si="26"/>
        <v>1698</v>
      </c>
      <c r="B1699" s="13" t="s">
        <v>2330</v>
      </c>
      <c r="C1699" t="s">
        <v>2805</v>
      </c>
      <c r="D1699" t="s">
        <v>2845</v>
      </c>
      <c r="E1699" t="s">
        <v>2846</v>
      </c>
      <c r="G1699" t="s">
        <v>63</v>
      </c>
      <c r="H1699" s="75" t="str">
        <f>IFERROR(VLOOKUP(Table2[[#This Row],[Ticket]],Okey!A:B,2,0),"")</f>
        <v>ok</v>
      </c>
      <c r="I1699" t="s">
        <v>19</v>
      </c>
      <c r="J1699" t="str">
        <f>VLOOKUP(Table2[[#This Row],[Author]],People!A:B,2,0)</f>
        <v>EL</v>
      </c>
      <c r="M1699" t="s">
        <v>1752</v>
      </c>
    </row>
    <row r="1700" spans="1:13" x14ac:dyDescent="0.25">
      <c r="A1700" s="75">
        <f t="shared" si="26"/>
        <v>1699</v>
      </c>
      <c r="B1700" s="13" t="s">
        <v>2330</v>
      </c>
      <c r="C1700" t="s">
        <v>2805</v>
      </c>
      <c r="D1700" t="s">
        <v>2847</v>
      </c>
      <c r="E1700" t="s">
        <v>2848</v>
      </c>
      <c r="G1700" t="s">
        <v>63</v>
      </c>
      <c r="H1700" s="75" t="str">
        <f>IFERROR(VLOOKUP(Table2[[#This Row],[Ticket]],Okey!A:B,2,0),"")</f>
        <v>ok</v>
      </c>
      <c r="I1700" t="s">
        <v>19</v>
      </c>
      <c r="J1700" t="str">
        <f>VLOOKUP(Table2[[#This Row],[Author]],People!A:B,2,0)</f>
        <v>EL</v>
      </c>
      <c r="M1700" t="s">
        <v>1752</v>
      </c>
    </row>
    <row r="1701" spans="1:13" x14ac:dyDescent="0.25">
      <c r="A1701" s="75">
        <f t="shared" si="26"/>
        <v>1700</v>
      </c>
      <c r="B1701" s="13" t="s">
        <v>2330</v>
      </c>
      <c r="C1701" t="s">
        <v>2805</v>
      </c>
      <c r="D1701" t="s">
        <v>2849</v>
      </c>
      <c r="E1701" t="s">
        <v>2850</v>
      </c>
      <c r="G1701" t="s">
        <v>63</v>
      </c>
      <c r="H1701" s="75" t="str">
        <f>IFERROR(VLOOKUP(Table2[[#This Row],[Ticket]],Okey!A:B,2,0),"")</f>
        <v>ok</v>
      </c>
      <c r="I1701" t="s">
        <v>19</v>
      </c>
      <c r="J1701" t="str">
        <f>VLOOKUP(Table2[[#This Row],[Author]],People!A:B,2,0)</f>
        <v>EL</v>
      </c>
      <c r="M1701" t="s">
        <v>1752</v>
      </c>
    </row>
    <row r="1702" spans="1:13" x14ac:dyDescent="0.25">
      <c r="A1702" s="75">
        <f t="shared" si="26"/>
        <v>1701</v>
      </c>
      <c r="B1702" s="13" t="s">
        <v>2330</v>
      </c>
      <c r="C1702" t="s">
        <v>2805</v>
      </c>
      <c r="D1702" t="s">
        <v>2851</v>
      </c>
      <c r="E1702" t="s">
        <v>2852</v>
      </c>
      <c r="G1702" t="s">
        <v>63</v>
      </c>
      <c r="H1702" s="75" t="str">
        <f>IFERROR(VLOOKUP(Table2[[#This Row],[Ticket]],Okey!A:B,2,0),"")</f>
        <v>ok</v>
      </c>
      <c r="I1702" t="s">
        <v>19</v>
      </c>
      <c r="J1702" t="str">
        <f>VLOOKUP(Table2[[#This Row],[Author]],People!A:B,2,0)</f>
        <v>EL</v>
      </c>
      <c r="M1702" t="s">
        <v>1752</v>
      </c>
    </row>
    <row r="1703" spans="1:13" x14ac:dyDescent="0.25">
      <c r="A1703" s="75">
        <f t="shared" si="26"/>
        <v>1702</v>
      </c>
      <c r="B1703" s="13" t="s">
        <v>2330</v>
      </c>
      <c r="C1703" t="s">
        <v>2805</v>
      </c>
      <c r="D1703" t="s">
        <v>2853</v>
      </c>
      <c r="E1703" t="s">
        <v>2854</v>
      </c>
      <c r="G1703" t="s">
        <v>63</v>
      </c>
      <c r="H1703" s="75" t="str">
        <f>IFERROR(VLOOKUP(Table2[[#This Row],[Ticket]],Okey!A:B,2,0),"")</f>
        <v>ok</v>
      </c>
      <c r="I1703" t="s">
        <v>19</v>
      </c>
      <c r="J1703" t="str">
        <f>VLOOKUP(Table2[[#This Row],[Author]],People!A:B,2,0)</f>
        <v>EL</v>
      </c>
      <c r="M1703" t="s">
        <v>1752</v>
      </c>
    </row>
    <row r="1704" spans="1:13" x14ac:dyDescent="0.25">
      <c r="A1704" s="75">
        <f t="shared" si="26"/>
        <v>1703</v>
      </c>
      <c r="B1704" s="13" t="s">
        <v>2330</v>
      </c>
      <c r="C1704" t="s">
        <v>2805</v>
      </c>
      <c r="D1704" t="s">
        <v>2855</v>
      </c>
      <c r="E1704" t="s">
        <v>2856</v>
      </c>
      <c r="G1704" t="s">
        <v>63</v>
      </c>
      <c r="H1704" s="75" t="str">
        <f>IFERROR(VLOOKUP(Table2[[#This Row],[Ticket]],Okey!A:B,2,0),"")</f>
        <v>ok</v>
      </c>
      <c r="I1704" t="s">
        <v>19</v>
      </c>
      <c r="J1704" t="str">
        <f>VLOOKUP(Table2[[#This Row],[Author]],People!A:B,2,0)</f>
        <v>EL</v>
      </c>
      <c r="M1704" t="s">
        <v>1752</v>
      </c>
    </row>
    <row r="1705" spans="1:13" x14ac:dyDescent="0.25">
      <c r="A1705" s="75">
        <f t="shared" si="26"/>
        <v>1704</v>
      </c>
      <c r="B1705" s="13" t="s">
        <v>2330</v>
      </c>
      <c r="C1705" t="s">
        <v>2805</v>
      </c>
      <c r="D1705" t="s">
        <v>2857</v>
      </c>
      <c r="E1705" t="s">
        <v>2858</v>
      </c>
      <c r="G1705" t="s">
        <v>63</v>
      </c>
      <c r="H1705" s="75" t="str">
        <f>IFERROR(VLOOKUP(Table2[[#This Row],[Ticket]],Okey!A:B,2,0),"")</f>
        <v>ok</v>
      </c>
      <c r="I1705" t="s">
        <v>19</v>
      </c>
      <c r="J1705" t="str">
        <f>VLOOKUP(Table2[[#This Row],[Author]],People!A:B,2,0)</f>
        <v>EL</v>
      </c>
      <c r="M1705" t="s">
        <v>1752</v>
      </c>
    </row>
    <row r="1706" spans="1:13" x14ac:dyDescent="0.25">
      <c r="A1706" s="75">
        <f t="shared" si="26"/>
        <v>1705</v>
      </c>
      <c r="B1706" s="13" t="s">
        <v>2330</v>
      </c>
      <c r="C1706" t="s">
        <v>2805</v>
      </c>
      <c r="D1706" t="s">
        <v>2859</v>
      </c>
      <c r="E1706" t="s">
        <v>2860</v>
      </c>
      <c r="G1706" t="s">
        <v>63</v>
      </c>
      <c r="H1706" s="75" t="str">
        <f>IFERROR(VLOOKUP(Table2[[#This Row],[Ticket]],Okey!A:B,2,0),"")</f>
        <v>ok</v>
      </c>
      <c r="I1706" t="s">
        <v>19</v>
      </c>
      <c r="J1706" t="str">
        <f>VLOOKUP(Table2[[#This Row],[Author]],People!A:B,2,0)</f>
        <v>EL</v>
      </c>
      <c r="M1706" t="s">
        <v>1752</v>
      </c>
    </row>
    <row r="1707" spans="1:13" x14ac:dyDescent="0.25">
      <c r="A1707" s="75">
        <f t="shared" si="26"/>
        <v>1706</v>
      </c>
      <c r="B1707" s="13" t="s">
        <v>2330</v>
      </c>
      <c r="C1707" t="s">
        <v>2805</v>
      </c>
      <c r="D1707" t="s">
        <v>2861</v>
      </c>
      <c r="E1707" t="s">
        <v>2862</v>
      </c>
      <c r="G1707" t="s">
        <v>63</v>
      </c>
      <c r="H1707" s="75" t="str">
        <f>IFERROR(VLOOKUP(Table2[[#This Row],[Ticket]],Okey!A:B,2,0),"")</f>
        <v>ok</v>
      </c>
      <c r="I1707" t="s">
        <v>19</v>
      </c>
      <c r="J1707" t="str">
        <f>VLOOKUP(Table2[[#This Row],[Author]],People!A:B,2,0)</f>
        <v>EL</v>
      </c>
      <c r="M1707" t="s">
        <v>1752</v>
      </c>
    </row>
    <row r="1708" spans="1:13" x14ac:dyDescent="0.25">
      <c r="A1708" s="75">
        <f t="shared" si="26"/>
        <v>1707</v>
      </c>
      <c r="B1708" s="13" t="s">
        <v>2330</v>
      </c>
      <c r="C1708" t="s">
        <v>2805</v>
      </c>
      <c r="D1708" t="s">
        <v>2863</v>
      </c>
      <c r="E1708" t="s">
        <v>2864</v>
      </c>
      <c r="G1708" t="s">
        <v>63</v>
      </c>
      <c r="H1708" s="75" t="str">
        <f>IFERROR(VLOOKUP(Table2[[#This Row],[Ticket]],Okey!A:B,2,0),"")</f>
        <v>ok</v>
      </c>
      <c r="I1708" t="s">
        <v>19</v>
      </c>
      <c r="J1708" t="str">
        <f>VLOOKUP(Table2[[#This Row],[Author]],People!A:B,2,0)</f>
        <v>EL</v>
      </c>
      <c r="M1708" t="s">
        <v>1752</v>
      </c>
    </row>
    <row r="1709" spans="1:13" x14ac:dyDescent="0.25">
      <c r="A1709" s="75">
        <f t="shared" si="26"/>
        <v>1708</v>
      </c>
      <c r="B1709" s="13" t="s">
        <v>2330</v>
      </c>
      <c r="C1709" t="s">
        <v>2805</v>
      </c>
      <c r="D1709" t="s">
        <v>2865</v>
      </c>
      <c r="E1709" t="s">
        <v>2866</v>
      </c>
      <c r="G1709" t="s">
        <v>63</v>
      </c>
      <c r="H1709" s="75" t="str">
        <f>IFERROR(VLOOKUP(Table2[[#This Row],[Ticket]],Okey!A:B,2,0),"")</f>
        <v>ok</v>
      </c>
      <c r="I1709" t="s">
        <v>19</v>
      </c>
      <c r="J1709" t="str">
        <f>VLOOKUP(Table2[[#This Row],[Author]],People!A:B,2,0)</f>
        <v>EL</v>
      </c>
      <c r="M1709" t="s">
        <v>1752</v>
      </c>
    </row>
    <row r="1710" spans="1:13" x14ac:dyDescent="0.25">
      <c r="A1710" s="75">
        <f t="shared" si="26"/>
        <v>1709</v>
      </c>
      <c r="B1710" s="13" t="s">
        <v>2330</v>
      </c>
      <c r="C1710" t="s">
        <v>2805</v>
      </c>
      <c r="D1710" t="s">
        <v>2867</v>
      </c>
      <c r="E1710" t="s">
        <v>2868</v>
      </c>
      <c r="G1710" t="s">
        <v>63</v>
      </c>
      <c r="H1710" s="75" t="str">
        <f>IFERROR(VLOOKUP(Table2[[#This Row],[Ticket]],Okey!A:B,2,0),"")</f>
        <v>ok</v>
      </c>
      <c r="I1710" t="s">
        <v>19</v>
      </c>
      <c r="J1710" t="str">
        <f>VLOOKUP(Table2[[#This Row],[Author]],People!A:B,2,0)</f>
        <v>EL</v>
      </c>
      <c r="M1710" t="s">
        <v>1752</v>
      </c>
    </row>
    <row r="1711" spans="1:13" x14ac:dyDescent="0.25">
      <c r="A1711" s="75">
        <f t="shared" si="26"/>
        <v>1710</v>
      </c>
      <c r="B1711" s="13" t="s">
        <v>2330</v>
      </c>
      <c r="C1711" t="s">
        <v>2805</v>
      </c>
      <c r="D1711" t="s">
        <v>2869</v>
      </c>
      <c r="E1711" t="s">
        <v>2870</v>
      </c>
      <c r="G1711" t="s">
        <v>63</v>
      </c>
      <c r="H1711" s="75" t="str">
        <f>IFERROR(VLOOKUP(Table2[[#This Row],[Ticket]],Okey!A:B,2,0),"")</f>
        <v>ok</v>
      </c>
      <c r="I1711" t="s">
        <v>19</v>
      </c>
      <c r="J1711" t="str">
        <f>VLOOKUP(Table2[[#This Row],[Author]],People!A:B,2,0)</f>
        <v>EL</v>
      </c>
      <c r="M1711" t="s">
        <v>1752</v>
      </c>
    </row>
    <row r="1712" spans="1:13" x14ac:dyDescent="0.25">
      <c r="A1712" s="75">
        <f t="shared" si="26"/>
        <v>1711</v>
      </c>
      <c r="B1712" s="13" t="s">
        <v>2330</v>
      </c>
      <c r="C1712" t="s">
        <v>2805</v>
      </c>
      <c r="D1712" t="s">
        <v>2871</v>
      </c>
      <c r="E1712" t="s">
        <v>2872</v>
      </c>
      <c r="G1712" t="s">
        <v>63</v>
      </c>
      <c r="H1712" s="75" t="str">
        <f>IFERROR(VLOOKUP(Table2[[#This Row],[Ticket]],Okey!A:B,2,0),"")</f>
        <v>ok</v>
      </c>
      <c r="I1712" t="s">
        <v>19</v>
      </c>
      <c r="J1712" t="str">
        <f>VLOOKUP(Table2[[#This Row],[Author]],People!A:B,2,0)</f>
        <v>EL</v>
      </c>
      <c r="M1712" t="s">
        <v>1752</v>
      </c>
    </row>
    <row r="1713" spans="1:13" x14ac:dyDescent="0.25">
      <c r="A1713" s="75">
        <f t="shared" si="26"/>
        <v>1712</v>
      </c>
      <c r="B1713" s="13" t="s">
        <v>2330</v>
      </c>
      <c r="C1713" t="s">
        <v>2805</v>
      </c>
      <c r="D1713" t="s">
        <v>2873</v>
      </c>
      <c r="E1713" t="s">
        <v>2874</v>
      </c>
      <c r="G1713" t="s">
        <v>63</v>
      </c>
      <c r="H1713" s="75" t="str">
        <f>IFERROR(VLOOKUP(Table2[[#This Row],[Ticket]],Okey!A:B,2,0),"")</f>
        <v>ok</v>
      </c>
      <c r="I1713" t="s">
        <v>19</v>
      </c>
      <c r="J1713" t="str">
        <f>VLOOKUP(Table2[[#This Row],[Author]],People!A:B,2,0)</f>
        <v>EL</v>
      </c>
      <c r="M1713" t="s">
        <v>1752</v>
      </c>
    </row>
    <row r="1714" spans="1:13" x14ac:dyDescent="0.25">
      <c r="A1714" s="75">
        <f t="shared" si="26"/>
        <v>1713</v>
      </c>
      <c r="B1714" s="13" t="s">
        <v>2330</v>
      </c>
      <c r="C1714" t="s">
        <v>2805</v>
      </c>
      <c r="D1714" t="s">
        <v>2875</v>
      </c>
      <c r="E1714" t="s">
        <v>2876</v>
      </c>
      <c r="G1714" t="s">
        <v>63</v>
      </c>
      <c r="H1714" s="75" t="str">
        <f>IFERROR(VLOOKUP(Table2[[#This Row],[Ticket]],Okey!A:B,2,0),"")</f>
        <v>ok</v>
      </c>
      <c r="I1714" t="s">
        <v>19</v>
      </c>
      <c r="J1714" t="str">
        <f>VLOOKUP(Table2[[#This Row],[Author]],People!A:B,2,0)</f>
        <v>EL</v>
      </c>
      <c r="M1714" t="s">
        <v>1752</v>
      </c>
    </row>
    <row r="1715" spans="1:13" x14ac:dyDescent="0.25">
      <c r="A1715" s="75">
        <f t="shared" si="26"/>
        <v>1714</v>
      </c>
      <c r="B1715" s="13" t="s">
        <v>2330</v>
      </c>
      <c r="C1715" t="s">
        <v>2805</v>
      </c>
      <c r="D1715" t="s">
        <v>2877</v>
      </c>
      <c r="E1715" t="s">
        <v>2878</v>
      </c>
      <c r="G1715" t="s">
        <v>63</v>
      </c>
      <c r="H1715" s="75" t="str">
        <f>IFERROR(VLOOKUP(Table2[[#This Row],[Ticket]],Okey!A:B,2,0),"")</f>
        <v>ok</v>
      </c>
      <c r="I1715" t="s">
        <v>19</v>
      </c>
      <c r="J1715" t="str">
        <f>VLOOKUP(Table2[[#This Row],[Author]],People!A:B,2,0)</f>
        <v>EL</v>
      </c>
      <c r="M1715" t="s">
        <v>1752</v>
      </c>
    </row>
    <row r="1716" spans="1:13" x14ac:dyDescent="0.25">
      <c r="A1716" s="75">
        <f t="shared" si="26"/>
        <v>1715</v>
      </c>
      <c r="B1716" s="13" t="s">
        <v>2330</v>
      </c>
      <c r="C1716" t="s">
        <v>2805</v>
      </c>
      <c r="D1716" t="s">
        <v>2879</v>
      </c>
      <c r="E1716" t="s">
        <v>2880</v>
      </c>
      <c r="G1716" t="s">
        <v>63</v>
      </c>
      <c r="H1716" s="75" t="str">
        <f>IFERROR(VLOOKUP(Table2[[#This Row],[Ticket]],Okey!A:B,2,0),"")</f>
        <v>ok</v>
      </c>
      <c r="I1716" t="s">
        <v>19</v>
      </c>
      <c r="J1716" t="str">
        <f>VLOOKUP(Table2[[#This Row],[Author]],People!A:B,2,0)</f>
        <v>EL</v>
      </c>
      <c r="M1716" t="s">
        <v>1752</v>
      </c>
    </row>
    <row r="1717" spans="1:13" x14ac:dyDescent="0.25">
      <c r="A1717" s="75">
        <f t="shared" si="26"/>
        <v>1716</v>
      </c>
      <c r="B1717" s="13" t="s">
        <v>2330</v>
      </c>
      <c r="C1717" t="s">
        <v>2805</v>
      </c>
      <c r="D1717" t="s">
        <v>2881</v>
      </c>
      <c r="E1717" t="s">
        <v>2882</v>
      </c>
      <c r="G1717" t="s">
        <v>63</v>
      </c>
      <c r="H1717" s="75" t="str">
        <f>IFERROR(VLOOKUP(Table2[[#This Row],[Ticket]],Okey!A:B,2,0),"")</f>
        <v>ok</v>
      </c>
      <c r="I1717" t="s">
        <v>19</v>
      </c>
      <c r="J1717" t="str">
        <f>VLOOKUP(Table2[[#This Row],[Author]],People!A:B,2,0)</f>
        <v>EL</v>
      </c>
      <c r="M1717" t="s">
        <v>1752</v>
      </c>
    </row>
    <row r="1718" spans="1:13" x14ac:dyDescent="0.25">
      <c r="A1718" s="75">
        <f t="shared" si="26"/>
        <v>1717</v>
      </c>
      <c r="B1718" s="13" t="s">
        <v>2330</v>
      </c>
      <c r="C1718" t="s">
        <v>2805</v>
      </c>
      <c r="D1718" t="s">
        <v>2883</v>
      </c>
      <c r="E1718" t="s">
        <v>2884</v>
      </c>
      <c r="G1718" t="s">
        <v>63</v>
      </c>
      <c r="H1718" s="75" t="str">
        <f>IFERROR(VLOOKUP(Table2[[#This Row],[Ticket]],Okey!A:B,2,0),"")</f>
        <v>ok</v>
      </c>
      <c r="I1718" t="s">
        <v>19</v>
      </c>
      <c r="J1718" t="str">
        <f>VLOOKUP(Table2[[#This Row],[Author]],People!A:B,2,0)</f>
        <v>EL</v>
      </c>
      <c r="M1718" t="s">
        <v>1752</v>
      </c>
    </row>
    <row r="1719" spans="1:13" x14ac:dyDescent="0.25">
      <c r="A1719" s="75">
        <f t="shared" si="26"/>
        <v>1718</v>
      </c>
      <c r="B1719" s="13" t="s">
        <v>2330</v>
      </c>
      <c r="C1719" t="s">
        <v>2805</v>
      </c>
      <c r="D1719" t="s">
        <v>2885</v>
      </c>
      <c r="E1719" t="s">
        <v>2886</v>
      </c>
      <c r="G1719" t="s">
        <v>63</v>
      </c>
      <c r="H1719" s="75" t="str">
        <f>IFERROR(VLOOKUP(Table2[[#This Row],[Ticket]],Okey!A:B,2,0),"")</f>
        <v>ok</v>
      </c>
      <c r="I1719" t="s">
        <v>19</v>
      </c>
      <c r="J1719" t="str">
        <f>VLOOKUP(Table2[[#This Row],[Author]],People!A:B,2,0)</f>
        <v>EL</v>
      </c>
      <c r="M1719" t="s">
        <v>1752</v>
      </c>
    </row>
    <row r="1720" spans="1:13" x14ac:dyDescent="0.25">
      <c r="A1720" s="75">
        <f t="shared" si="26"/>
        <v>1719</v>
      </c>
      <c r="B1720" s="13" t="s">
        <v>2330</v>
      </c>
      <c r="C1720" t="s">
        <v>2805</v>
      </c>
      <c r="D1720" t="s">
        <v>2887</v>
      </c>
      <c r="E1720" t="s">
        <v>2888</v>
      </c>
      <c r="G1720" t="s">
        <v>63</v>
      </c>
      <c r="H1720" s="75" t="str">
        <f>IFERROR(VLOOKUP(Table2[[#This Row],[Ticket]],Okey!A:B,2,0),"")</f>
        <v>ok</v>
      </c>
      <c r="I1720" t="s">
        <v>19</v>
      </c>
      <c r="J1720" t="str">
        <f>VLOOKUP(Table2[[#This Row],[Author]],People!A:B,2,0)</f>
        <v>EL</v>
      </c>
      <c r="M1720" t="s">
        <v>1752</v>
      </c>
    </row>
    <row r="1721" spans="1:13" x14ac:dyDescent="0.25">
      <c r="A1721" s="75">
        <f t="shared" si="26"/>
        <v>1720</v>
      </c>
      <c r="B1721" s="13" t="s">
        <v>2330</v>
      </c>
      <c r="C1721" t="s">
        <v>2805</v>
      </c>
      <c r="D1721" t="s">
        <v>2889</v>
      </c>
      <c r="E1721" t="s">
        <v>2890</v>
      </c>
      <c r="G1721" t="s">
        <v>63</v>
      </c>
      <c r="H1721" s="75" t="str">
        <f>IFERROR(VLOOKUP(Table2[[#This Row],[Ticket]],Okey!A:B,2,0),"")</f>
        <v>ok</v>
      </c>
      <c r="I1721" t="s">
        <v>19</v>
      </c>
      <c r="J1721" t="str">
        <f>VLOOKUP(Table2[[#This Row],[Author]],People!A:B,2,0)</f>
        <v>EL</v>
      </c>
      <c r="M1721" t="s">
        <v>1752</v>
      </c>
    </row>
    <row r="1722" spans="1:13" x14ac:dyDescent="0.25">
      <c r="A1722" s="75">
        <f t="shared" si="26"/>
        <v>1721</v>
      </c>
      <c r="B1722" s="13" t="s">
        <v>2330</v>
      </c>
      <c r="C1722" t="s">
        <v>2805</v>
      </c>
      <c r="D1722" t="s">
        <v>2891</v>
      </c>
      <c r="E1722" t="s">
        <v>2892</v>
      </c>
      <c r="G1722" t="s">
        <v>63</v>
      </c>
      <c r="H1722" s="75" t="str">
        <f>IFERROR(VLOOKUP(Table2[[#This Row],[Ticket]],Okey!A:B,2,0),"")</f>
        <v>ok</v>
      </c>
      <c r="I1722" t="s">
        <v>19</v>
      </c>
      <c r="J1722" t="str">
        <f>VLOOKUP(Table2[[#This Row],[Author]],People!A:B,2,0)</f>
        <v>EL</v>
      </c>
      <c r="M1722" t="s">
        <v>1752</v>
      </c>
    </row>
    <row r="1723" spans="1:13" x14ac:dyDescent="0.25">
      <c r="A1723" s="75">
        <f t="shared" si="26"/>
        <v>1722</v>
      </c>
      <c r="B1723" s="13" t="s">
        <v>2330</v>
      </c>
      <c r="C1723" t="s">
        <v>2805</v>
      </c>
      <c r="D1723" t="s">
        <v>2893</v>
      </c>
      <c r="E1723" t="s">
        <v>2894</v>
      </c>
      <c r="G1723" t="s">
        <v>63</v>
      </c>
      <c r="H1723" s="75" t="str">
        <f>IFERROR(VLOOKUP(Table2[[#This Row],[Ticket]],Okey!A:B,2,0),"")</f>
        <v>ok</v>
      </c>
      <c r="I1723" t="s">
        <v>19</v>
      </c>
      <c r="J1723" t="str">
        <f>VLOOKUP(Table2[[#This Row],[Author]],People!A:B,2,0)</f>
        <v>EL</v>
      </c>
      <c r="M1723" t="s">
        <v>1752</v>
      </c>
    </row>
    <row r="1724" spans="1:13" x14ac:dyDescent="0.25">
      <c r="A1724" s="75">
        <f t="shared" si="26"/>
        <v>1723</v>
      </c>
      <c r="B1724" s="13" t="s">
        <v>2330</v>
      </c>
      <c r="C1724" t="s">
        <v>2805</v>
      </c>
      <c r="D1724" t="s">
        <v>2895</v>
      </c>
      <c r="E1724" t="s">
        <v>2896</v>
      </c>
      <c r="G1724" t="s">
        <v>63</v>
      </c>
      <c r="H1724" s="75" t="str">
        <f>IFERROR(VLOOKUP(Table2[[#This Row],[Ticket]],Okey!A:B,2,0),"")</f>
        <v>ok</v>
      </c>
      <c r="I1724" t="s">
        <v>19</v>
      </c>
      <c r="J1724" t="str">
        <f>VLOOKUP(Table2[[#This Row],[Author]],People!A:B,2,0)</f>
        <v>EL</v>
      </c>
      <c r="M1724" t="s">
        <v>1752</v>
      </c>
    </row>
    <row r="1725" spans="1:13" x14ac:dyDescent="0.25">
      <c r="A1725" s="75">
        <f t="shared" si="26"/>
        <v>1724</v>
      </c>
      <c r="B1725" s="13" t="s">
        <v>2330</v>
      </c>
      <c r="C1725" t="s">
        <v>2805</v>
      </c>
      <c r="D1725" t="s">
        <v>2897</v>
      </c>
      <c r="E1725" t="s">
        <v>2898</v>
      </c>
      <c r="G1725" t="s">
        <v>63</v>
      </c>
      <c r="H1725" s="75" t="str">
        <f>IFERROR(VLOOKUP(Table2[[#This Row],[Ticket]],Okey!A:B,2,0),"")</f>
        <v>ok</v>
      </c>
      <c r="I1725" t="s">
        <v>19</v>
      </c>
      <c r="J1725" t="str">
        <f>VLOOKUP(Table2[[#This Row],[Author]],People!A:B,2,0)</f>
        <v>EL</v>
      </c>
      <c r="M1725" t="s">
        <v>1752</v>
      </c>
    </row>
    <row r="1726" spans="1:13" x14ac:dyDescent="0.25">
      <c r="A1726" s="75">
        <f t="shared" si="26"/>
        <v>1725</v>
      </c>
      <c r="B1726" s="13" t="s">
        <v>2330</v>
      </c>
      <c r="C1726" t="s">
        <v>2805</v>
      </c>
      <c r="D1726" t="s">
        <v>1826</v>
      </c>
      <c r="E1726" t="s">
        <v>2899</v>
      </c>
      <c r="G1726" t="s">
        <v>63</v>
      </c>
      <c r="H1726" s="75" t="str">
        <f>IFERROR(VLOOKUP(Table2[[#This Row],[Ticket]],Okey!A:B,2,0),"")</f>
        <v>ok</v>
      </c>
      <c r="I1726" t="s">
        <v>19</v>
      </c>
      <c r="J1726" t="str">
        <f>VLOOKUP(Table2[[#This Row],[Author]],People!A:B,2,0)</f>
        <v>EL</v>
      </c>
      <c r="M1726" t="s">
        <v>1752</v>
      </c>
    </row>
    <row r="1727" spans="1:13" x14ac:dyDescent="0.25">
      <c r="A1727" s="75">
        <f t="shared" si="26"/>
        <v>1726</v>
      </c>
      <c r="B1727" s="13" t="s">
        <v>2330</v>
      </c>
      <c r="C1727" t="s">
        <v>2805</v>
      </c>
      <c r="D1727" t="s">
        <v>2900</v>
      </c>
      <c r="E1727" t="s">
        <v>2901</v>
      </c>
      <c r="G1727" t="s">
        <v>63</v>
      </c>
      <c r="H1727" s="75" t="str">
        <f>IFERROR(VLOOKUP(Table2[[#This Row],[Ticket]],Okey!A:B,2,0),"")</f>
        <v>ok</v>
      </c>
      <c r="I1727" t="s">
        <v>19</v>
      </c>
      <c r="J1727" t="str">
        <f>VLOOKUP(Table2[[#This Row],[Author]],People!A:B,2,0)</f>
        <v>EL</v>
      </c>
      <c r="M1727" t="s">
        <v>1752</v>
      </c>
    </row>
    <row r="1728" spans="1:13" x14ac:dyDescent="0.25">
      <c r="A1728" s="75">
        <f t="shared" si="26"/>
        <v>1727</v>
      </c>
      <c r="B1728" s="13" t="s">
        <v>2330</v>
      </c>
      <c r="C1728" t="s">
        <v>2805</v>
      </c>
      <c r="D1728" t="s">
        <v>2902</v>
      </c>
      <c r="E1728" t="s">
        <v>2903</v>
      </c>
      <c r="G1728" t="s">
        <v>63</v>
      </c>
      <c r="H1728" s="75" t="str">
        <f>IFERROR(VLOOKUP(Table2[[#This Row],[Ticket]],Okey!A:B,2,0),"")</f>
        <v>ok</v>
      </c>
      <c r="I1728" t="s">
        <v>19</v>
      </c>
      <c r="J1728" t="str">
        <f>VLOOKUP(Table2[[#This Row],[Author]],People!A:B,2,0)</f>
        <v>EL</v>
      </c>
      <c r="M1728" t="s">
        <v>1752</v>
      </c>
    </row>
    <row r="1729" spans="1:13" x14ac:dyDescent="0.25">
      <c r="A1729" s="75">
        <f t="shared" si="26"/>
        <v>1728</v>
      </c>
      <c r="B1729" s="13" t="s">
        <v>2330</v>
      </c>
      <c r="C1729" t="s">
        <v>2805</v>
      </c>
      <c r="D1729" t="s">
        <v>2904</v>
      </c>
      <c r="E1729" t="s">
        <v>2905</v>
      </c>
      <c r="G1729" t="s">
        <v>63</v>
      </c>
      <c r="H1729" s="75" t="str">
        <f>IFERROR(VLOOKUP(Table2[[#This Row],[Ticket]],Okey!A:B,2,0),"")</f>
        <v>ok</v>
      </c>
      <c r="I1729" t="s">
        <v>19</v>
      </c>
      <c r="J1729" t="str">
        <f>VLOOKUP(Table2[[#This Row],[Author]],People!A:B,2,0)</f>
        <v>EL</v>
      </c>
      <c r="M1729" t="s">
        <v>1752</v>
      </c>
    </row>
    <row r="1730" spans="1:13" x14ac:dyDescent="0.25">
      <c r="A1730" s="75">
        <f t="shared" si="26"/>
        <v>1729</v>
      </c>
      <c r="B1730" s="13" t="s">
        <v>2330</v>
      </c>
      <c r="C1730" t="s">
        <v>2805</v>
      </c>
      <c r="D1730" t="s">
        <v>2906</v>
      </c>
      <c r="E1730" t="s">
        <v>2907</v>
      </c>
      <c r="G1730" t="s">
        <v>63</v>
      </c>
      <c r="H1730" s="75" t="str">
        <f>IFERROR(VLOOKUP(Table2[[#This Row],[Ticket]],Okey!A:B,2,0),"")</f>
        <v>ok</v>
      </c>
      <c r="I1730" t="s">
        <v>19</v>
      </c>
      <c r="J1730" t="str">
        <f>VLOOKUP(Table2[[#This Row],[Author]],People!A:B,2,0)</f>
        <v>EL</v>
      </c>
      <c r="M1730" t="s">
        <v>1752</v>
      </c>
    </row>
    <row r="1731" spans="1:13" x14ac:dyDescent="0.25">
      <c r="A1731" s="75">
        <f t="shared" si="26"/>
        <v>1730</v>
      </c>
      <c r="B1731" s="13" t="s">
        <v>2330</v>
      </c>
      <c r="C1731" t="s">
        <v>2805</v>
      </c>
      <c r="D1731" t="s">
        <v>2908</v>
      </c>
      <c r="E1731" t="s">
        <v>2909</v>
      </c>
      <c r="G1731" t="s">
        <v>63</v>
      </c>
      <c r="H1731" s="75" t="str">
        <f>IFERROR(VLOOKUP(Table2[[#This Row],[Ticket]],Okey!A:B,2,0),"")</f>
        <v>ok</v>
      </c>
      <c r="I1731" t="s">
        <v>19</v>
      </c>
      <c r="J1731" t="str">
        <f>VLOOKUP(Table2[[#This Row],[Author]],People!A:B,2,0)</f>
        <v>EL</v>
      </c>
      <c r="M1731" t="s">
        <v>1752</v>
      </c>
    </row>
    <row r="1732" spans="1:13" x14ac:dyDescent="0.25">
      <c r="A1732" s="75">
        <f t="shared" si="26"/>
        <v>1731</v>
      </c>
      <c r="B1732" s="13" t="s">
        <v>2330</v>
      </c>
      <c r="C1732" t="s">
        <v>2805</v>
      </c>
      <c r="D1732" t="s">
        <v>2910</v>
      </c>
      <c r="E1732" t="s">
        <v>2911</v>
      </c>
      <c r="G1732" t="s">
        <v>63</v>
      </c>
      <c r="H1732" s="75" t="str">
        <f>IFERROR(VLOOKUP(Table2[[#This Row],[Ticket]],Okey!A:B,2,0),"")</f>
        <v>ok</v>
      </c>
      <c r="I1732" t="s">
        <v>19</v>
      </c>
      <c r="J1732" t="str">
        <f>VLOOKUP(Table2[[#This Row],[Author]],People!A:B,2,0)</f>
        <v>EL</v>
      </c>
      <c r="M1732" t="s">
        <v>1752</v>
      </c>
    </row>
    <row r="1733" spans="1:13" x14ac:dyDescent="0.25">
      <c r="A1733" s="75">
        <f t="shared" si="26"/>
        <v>1732</v>
      </c>
      <c r="B1733" s="13" t="s">
        <v>2330</v>
      </c>
      <c r="C1733" t="s">
        <v>2805</v>
      </c>
      <c r="D1733" t="s">
        <v>2912</v>
      </c>
      <c r="E1733" t="s">
        <v>2913</v>
      </c>
      <c r="G1733" t="s">
        <v>63</v>
      </c>
      <c r="H1733" s="75" t="str">
        <f>IFERROR(VLOOKUP(Table2[[#This Row],[Ticket]],Okey!A:B,2,0),"")</f>
        <v>ok</v>
      </c>
      <c r="I1733" t="s">
        <v>19</v>
      </c>
      <c r="J1733" t="str">
        <f>VLOOKUP(Table2[[#This Row],[Author]],People!A:B,2,0)</f>
        <v>EL</v>
      </c>
      <c r="M1733" t="s">
        <v>1752</v>
      </c>
    </row>
    <row r="1734" spans="1:13" x14ac:dyDescent="0.25">
      <c r="A1734" s="75">
        <f t="shared" si="26"/>
        <v>1733</v>
      </c>
      <c r="B1734" s="13" t="s">
        <v>2330</v>
      </c>
      <c r="C1734" t="s">
        <v>2805</v>
      </c>
      <c r="D1734" t="s">
        <v>2914</v>
      </c>
      <c r="E1734" t="s">
        <v>2915</v>
      </c>
      <c r="G1734" t="s">
        <v>63</v>
      </c>
      <c r="H1734" s="75" t="str">
        <f>IFERROR(VLOOKUP(Table2[[#This Row],[Ticket]],Okey!A:B,2,0),"")</f>
        <v>ok</v>
      </c>
      <c r="I1734" t="s">
        <v>19</v>
      </c>
      <c r="J1734" t="str">
        <f>VLOOKUP(Table2[[#This Row],[Author]],People!A:B,2,0)</f>
        <v>EL</v>
      </c>
      <c r="M1734" t="s">
        <v>1752</v>
      </c>
    </row>
    <row r="1735" spans="1:13" x14ac:dyDescent="0.25">
      <c r="A1735" s="75">
        <f t="shared" si="26"/>
        <v>1734</v>
      </c>
      <c r="B1735" s="13" t="s">
        <v>2330</v>
      </c>
      <c r="C1735" t="s">
        <v>2805</v>
      </c>
      <c r="D1735" t="s">
        <v>2916</v>
      </c>
      <c r="E1735" t="s">
        <v>2917</v>
      </c>
      <c r="G1735" t="s">
        <v>63</v>
      </c>
      <c r="H1735" s="75" t="str">
        <f>IFERROR(VLOOKUP(Table2[[#This Row],[Ticket]],Okey!A:B,2,0),"")</f>
        <v>ok</v>
      </c>
      <c r="I1735" t="s">
        <v>19</v>
      </c>
      <c r="J1735" t="str">
        <f>VLOOKUP(Table2[[#This Row],[Author]],People!A:B,2,0)</f>
        <v>EL</v>
      </c>
      <c r="M1735" t="s">
        <v>1752</v>
      </c>
    </row>
    <row r="1736" spans="1:13" x14ac:dyDescent="0.25">
      <c r="A1736" s="75">
        <f t="shared" si="26"/>
        <v>1735</v>
      </c>
      <c r="B1736" s="13" t="s">
        <v>2330</v>
      </c>
      <c r="C1736" t="s">
        <v>2805</v>
      </c>
      <c r="D1736" t="s">
        <v>2918</v>
      </c>
      <c r="E1736" t="s">
        <v>2919</v>
      </c>
      <c r="G1736" t="s">
        <v>63</v>
      </c>
      <c r="H1736" s="75" t="str">
        <f>IFERROR(VLOOKUP(Table2[[#This Row],[Ticket]],Okey!A:B,2,0),"")</f>
        <v>ok</v>
      </c>
      <c r="I1736" t="s">
        <v>19</v>
      </c>
      <c r="J1736" t="str">
        <f>VLOOKUP(Table2[[#This Row],[Author]],People!A:B,2,0)</f>
        <v>EL</v>
      </c>
      <c r="M1736" t="s">
        <v>1752</v>
      </c>
    </row>
    <row r="1737" spans="1:13" x14ac:dyDescent="0.25">
      <c r="A1737" s="75">
        <f t="shared" ref="A1737:A1800" si="27">1+A1736</f>
        <v>1736</v>
      </c>
      <c r="B1737" s="13" t="s">
        <v>2330</v>
      </c>
      <c r="C1737" t="s">
        <v>2805</v>
      </c>
      <c r="D1737" t="s">
        <v>2920</v>
      </c>
      <c r="E1737" t="s">
        <v>2921</v>
      </c>
      <c r="G1737" t="s">
        <v>63</v>
      </c>
      <c r="H1737" s="75" t="str">
        <f>IFERROR(VLOOKUP(Table2[[#This Row],[Ticket]],Okey!A:B,2,0),"")</f>
        <v>ok</v>
      </c>
      <c r="I1737" t="s">
        <v>19</v>
      </c>
      <c r="J1737" t="str">
        <f>VLOOKUP(Table2[[#This Row],[Author]],People!A:B,2,0)</f>
        <v>EL</v>
      </c>
      <c r="M1737" t="s">
        <v>1752</v>
      </c>
    </row>
    <row r="1738" spans="1:13" x14ac:dyDescent="0.25">
      <c r="A1738" s="75">
        <f t="shared" si="27"/>
        <v>1737</v>
      </c>
      <c r="B1738" s="13" t="s">
        <v>2330</v>
      </c>
      <c r="C1738" t="s">
        <v>2805</v>
      </c>
      <c r="D1738" t="s">
        <v>2922</v>
      </c>
      <c r="E1738" t="s">
        <v>2923</v>
      </c>
      <c r="G1738" t="s">
        <v>63</v>
      </c>
      <c r="H1738" s="75" t="str">
        <f>IFERROR(VLOOKUP(Table2[[#This Row],[Ticket]],Okey!A:B,2,0),"")</f>
        <v>ok</v>
      </c>
      <c r="I1738" t="s">
        <v>19</v>
      </c>
      <c r="J1738" t="str">
        <f>VLOOKUP(Table2[[#This Row],[Author]],People!A:B,2,0)</f>
        <v>EL</v>
      </c>
      <c r="M1738" t="s">
        <v>1752</v>
      </c>
    </row>
    <row r="1739" spans="1:13" x14ac:dyDescent="0.25">
      <c r="A1739" s="75">
        <f t="shared" si="27"/>
        <v>1738</v>
      </c>
      <c r="B1739" s="13" t="s">
        <v>2330</v>
      </c>
      <c r="C1739" t="s">
        <v>2805</v>
      </c>
      <c r="D1739" t="s">
        <v>1828</v>
      </c>
      <c r="E1739" t="s">
        <v>2924</v>
      </c>
      <c r="G1739" t="s">
        <v>63</v>
      </c>
      <c r="H1739" s="75" t="str">
        <f>IFERROR(VLOOKUP(Table2[[#This Row],[Ticket]],Okey!A:B,2,0),"")</f>
        <v>ok</v>
      </c>
      <c r="I1739" t="s">
        <v>19</v>
      </c>
      <c r="J1739" t="str">
        <f>VLOOKUP(Table2[[#This Row],[Author]],People!A:B,2,0)</f>
        <v>EL</v>
      </c>
      <c r="M1739" t="s">
        <v>1752</v>
      </c>
    </row>
    <row r="1740" spans="1:13" x14ac:dyDescent="0.25">
      <c r="A1740" s="75">
        <f t="shared" si="27"/>
        <v>1739</v>
      </c>
      <c r="B1740" s="13" t="s">
        <v>2330</v>
      </c>
      <c r="C1740" t="s">
        <v>2805</v>
      </c>
      <c r="D1740" t="s">
        <v>2925</v>
      </c>
      <c r="E1740" t="s">
        <v>2926</v>
      </c>
      <c r="G1740" t="s">
        <v>63</v>
      </c>
      <c r="H1740" s="75" t="str">
        <f>IFERROR(VLOOKUP(Table2[[#This Row],[Ticket]],Okey!A:B,2,0),"")</f>
        <v>ok</v>
      </c>
      <c r="I1740" t="s">
        <v>19</v>
      </c>
      <c r="J1740" t="str">
        <f>VLOOKUP(Table2[[#This Row],[Author]],People!A:B,2,0)</f>
        <v>EL</v>
      </c>
      <c r="M1740" t="s">
        <v>1752</v>
      </c>
    </row>
    <row r="1741" spans="1:13" x14ac:dyDescent="0.25">
      <c r="A1741" s="75">
        <f t="shared" si="27"/>
        <v>1740</v>
      </c>
      <c r="B1741" s="13" t="s">
        <v>2330</v>
      </c>
      <c r="C1741" t="s">
        <v>2805</v>
      </c>
      <c r="D1741" t="s">
        <v>2927</v>
      </c>
      <c r="E1741" t="s">
        <v>2928</v>
      </c>
      <c r="G1741" t="s">
        <v>63</v>
      </c>
      <c r="H1741" s="75" t="str">
        <f>IFERROR(VLOOKUP(Table2[[#This Row],[Ticket]],Okey!A:B,2,0),"")</f>
        <v>ok</v>
      </c>
      <c r="I1741" t="s">
        <v>19</v>
      </c>
      <c r="J1741" t="str">
        <f>VLOOKUP(Table2[[#This Row],[Author]],People!A:B,2,0)</f>
        <v>EL</v>
      </c>
      <c r="M1741" t="s">
        <v>1752</v>
      </c>
    </row>
    <row r="1742" spans="1:13" x14ac:dyDescent="0.25">
      <c r="A1742" s="75">
        <f t="shared" si="27"/>
        <v>1741</v>
      </c>
      <c r="B1742" s="13" t="s">
        <v>2330</v>
      </c>
      <c r="C1742" t="s">
        <v>2805</v>
      </c>
      <c r="D1742" t="s">
        <v>2929</v>
      </c>
      <c r="E1742" t="s">
        <v>2930</v>
      </c>
      <c r="G1742" t="s">
        <v>63</v>
      </c>
      <c r="H1742" s="75" t="str">
        <f>IFERROR(VLOOKUP(Table2[[#This Row],[Ticket]],Okey!A:B,2,0),"")</f>
        <v>ok</v>
      </c>
      <c r="I1742" t="s">
        <v>19</v>
      </c>
      <c r="J1742" t="str">
        <f>VLOOKUP(Table2[[#This Row],[Author]],People!A:B,2,0)</f>
        <v>EL</v>
      </c>
      <c r="M1742" t="s">
        <v>1752</v>
      </c>
    </row>
    <row r="1743" spans="1:13" x14ac:dyDescent="0.25">
      <c r="A1743" s="75">
        <f t="shared" si="27"/>
        <v>1742</v>
      </c>
      <c r="B1743" s="13" t="s">
        <v>2330</v>
      </c>
      <c r="C1743" t="s">
        <v>2805</v>
      </c>
      <c r="D1743" t="s">
        <v>2931</v>
      </c>
      <c r="E1743" t="s">
        <v>2932</v>
      </c>
      <c r="G1743" t="s">
        <v>63</v>
      </c>
      <c r="H1743" s="75" t="str">
        <f>IFERROR(VLOOKUP(Table2[[#This Row],[Ticket]],Okey!A:B,2,0),"")</f>
        <v>ok</v>
      </c>
      <c r="I1743" t="s">
        <v>19</v>
      </c>
      <c r="J1743" t="str">
        <f>VLOOKUP(Table2[[#This Row],[Author]],People!A:B,2,0)</f>
        <v>EL</v>
      </c>
      <c r="M1743" t="s">
        <v>1752</v>
      </c>
    </row>
    <row r="1744" spans="1:13" x14ac:dyDescent="0.25">
      <c r="A1744" s="75">
        <f t="shared" si="27"/>
        <v>1743</v>
      </c>
      <c r="B1744" s="13" t="s">
        <v>2330</v>
      </c>
      <c r="C1744" t="s">
        <v>2805</v>
      </c>
      <c r="D1744" t="s">
        <v>2933</v>
      </c>
      <c r="E1744" t="s">
        <v>2934</v>
      </c>
      <c r="G1744" t="s">
        <v>63</v>
      </c>
      <c r="H1744" s="75" t="str">
        <f>IFERROR(VLOOKUP(Table2[[#This Row],[Ticket]],Okey!A:B,2,0),"")</f>
        <v>ok</v>
      </c>
      <c r="I1744" t="s">
        <v>19</v>
      </c>
      <c r="J1744" t="str">
        <f>VLOOKUP(Table2[[#This Row],[Author]],People!A:B,2,0)</f>
        <v>EL</v>
      </c>
      <c r="M1744" t="s">
        <v>1752</v>
      </c>
    </row>
    <row r="1745" spans="1:13" x14ac:dyDescent="0.25">
      <c r="A1745" s="75">
        <f t="shared" si="27"/>
        <v>1744</v>
      </c>
      <c r="B1745" s="13" t="s">
        <v>2330</v>
      </c>
      <c r="C1745" t="s">
        <v>2805</v>
      </c>
      <c r="D1745" t="s">
        <v>2935</v>
      </c>
      <c r="E1745" t="s">
        <v>2936</v>
      </c>
      <c r="G1745" t="s">
        <v>63</v>
      </c>
      <c r="H1745" s="75" t="str">
        <f>IFERROR(VLOOKUP(Table2[[#This Row],[Ticket]],Okey!A:B,2,0),"")</f>
        <v>ok</v>
      </c>
      <c r="I1745" t="s">
        <v>19</v>
      </c>
      <c r="J1745" t="str">
        <f>VLOOKUP(Table2[[#This Row],[Author]],People!A:B,2,0)</f>
        <v>EL</v>
      </c>
      <c r="M1745" t="s">
        <v>1752</v>
      </c>
    </row>
    <row r="1746" spans="1:13" x14ac:dyDescent="0.25">
      <c r="A1746" s="75">
        <f t="shared" si="27"/>
        <v>1745</v>
      </c>
      <c r="B1746" s="13" t="s">
        <v>2330</v>
      </c>
      <c r="C1746" t="s">
        <v>2805</v>
      </c>
      <c r="D1746" t="s">
        <v>2937</v>
      </c>
      <c r="E1746" t="s">
        <v>2938</v>
      </c>
      <c r="G1746" t="s">
        <v>63</v>
      </c>
      <c r="H1746" s="75" t="str">
        <f>IFERROR(VLOOKUP(Table2[[#This Row],[Ticket]],Okey!A:B,2,0),"")</f>
        <v>ok</v>
      </c>
      <c r="I1746" t="s">
        <v>19</v>
      </c>
      <c r="J1746" t="str">
        <f>VLOOKUP(Table2[[#This Row],[Author]],People!A:B,2,0)</f>
        <v>EL</v>
      </c>
      <c r="M1746" t="s">
        <v>1752</v>
      </c>
    </row>
    <row r="1747" spans="1:13" x14ac:dyDescent="0.25">
      <c r="A1747" s="75">
        <f t="shared" si="27"/>
        <v>1746</v>
      </c>
      <c r="B1747" s="13" t="s">
        <v>2330</v>
      </c>
      <c r="C1747" t="s">
        <v>2805</v>
      </c>
      <c r="D1747" t="s">
        <v>2939</v>
      </c>
      <c r="E1747" t="s">
        <v>2940</v>
      </c>
      <c r="G1747" t="s">
        <v>63</v>
      </c>
      <c r="H1747" s="75" t="str">
        <f>IFERROR(VLOOKUP(Table2[[#This Row],[Ticket]],Okey!A:B,2,0),"")</f>
        <v>ok</v>
      </c>
      <c r="I1747" t="s">
        <v>19</v>
      </c>
      <c r="J1747" t="str">
        <f>VLOOKUP(Table2[[#This Row],[Author]],People!A:B,2,0)</f>
        <v>EL</v>
      </c>
      <c r="M1747" t="s">
        <v>1752</v>
      </c>
    </row>
    <row r="1748" spans="1:13" x14ac:dyDescent="0.25">
      <c r="A1748" s="75">
        <f t="shared" si="27"/>
        <v>1747</v>
      </c>
      <c r="B1748" s="13" t="s">
        <v>2330</v>
      </c>
      <c r="C1748" t="s">
        <v>2805</v>
      </c>
      <c r="D1748" t="s">
        <v>2941</v>
      </c>
      <c r="E1748" t="s">
        <v>2942</v>
      </c>
      <c r="G1748" t="s">
        <v>63</v>
      </c>
      <c r="H1748" s="75" t="str">
        <f>IFERROR(VLOOKUP(Table2[[#This Row],[Ticket]],Okey!A:B,2,0),"")</f>
        <v>ok</v>
      </c>
      <c r="I1748" t="s">
        <v>19</v>
      </c>
      <c r="J1748" t="str">
        <f>VLOOKUP(Table2[[#This Row],[Author]],People!A:B,2,0)</f>
        <v>EL</v>
      </c>
      <c r="M1748" t="s">
        <v>1752</v>
      </c>
    </row>
    <row r="1749" spans="1:13" x14ac:dyDescent="0.25">
      <c r="A1749" s="75">
        <f t="shared" si="27"/>
        <v>1748</v>
      </c>
      <c r="B1749" s="13" t="s">
        <v>2330</v>
      </c>
      <c r="C1749" t="s">
        <v>2805</v>
      </c>
      <c r="D1749" t="s">
        <v>2943</v>
      </c>
      <c r="E1749" t="s">
        <v>2944</v>
      </c>
      <c r="G1749" t="s">
        <v>63</v>
      </c>
      <c r="H1749" s="75" t="str">
        <f>IFERROR(VLOOKUP(Table2[[#This Row],[Ticket]],Okey!A:B,2,0),"")</f>
        <v>ok</v>
      </c>
      <c r="I1749" t="s">
        <v>19</v>
      </c>
      <c r="J1749" t="str">
        <f>VLOOKUP(Table2[[#This Row],[Author]],People!A:B,2,0)</f>
        <v>EL</v>
      </c>
      <c r="M1749" t="s">
        <v>1752</v>
      </c>
    </row>
    <row r="1750" spans="1:13" x14ac:dyDescent="0.25">
      <c r="A1750" s="75">
        <f t="shared" si="27"/>
        <v>1749</v>
      </c>
      <c r="B1750" s="13" t="s">
        <v>2330</v>
      </c>
      <c r="C1750" t="s">
        <v>2805</v>
      </c>
      <c r="D1750" t="s">
        <v>2945</v>
      </c>
      <c r="E1750" t="s">
        <v>2946</v>
      </c>
      <c r="G1750" t="s">
        <v>63</v>
      </c>
      <c r="H1750" s="75" t="str">
        <f>IFERROR(VLOOKUP(Table2[[#This Row],[Ticket]],Okey!A:B,2,0),"")</f>
        <v>ok</v>
      </c>
      <c r="I1750" t="s">
        <v>19</v>
      </c>
      <c r="J1750" t="str">
        <f>VLOOKUP(Table2[[#This Row],[Author]],People!A:B,2,0)</f>
        <v>EL</v>
      </c>
      <c r="M1750" t="s">
        <v>1752</v>
      </c>
    </row>
    <row r="1751" spans="1:13" x14ac:dyDescent="0.25">
      <c r="A1751" s="75">
        <f t="shared" si="27"/>
        <v>1750</v>
      </c>
      <c r="B1751" s="13" t="s">
        <v>2330</v>
      </c>
      <c r="C1751" t="s">
        <v>2805</v>
      </c>
      <c r="D1751" t="s">
        <v>2947</v>
      </c>
      <c r="E1751" t="s">
        <v>2948</v>
      </c>
      <c r="G1751" t="s">
        <v>63</v>
      </c>
      <c r="H1751" s="75" t="str">
        <f>IFERROR(VLOOKUP(Table2[[#This Row],[Ticket]],Okey!A:B,2,0),"")</f>
        <v>ok</v>
      </c>
      <c r="I1751" t="s">
        <v>19</v>
      </c>
      <c r="J1751" t="str">
        <f>VLOOKUP(Table2[[#This Row],[Author]],People!A:B,2,0)</f>
        <v>EL</v>
      </c>
      <c r="M1751" t="s">
        <v>1752</v>
      </c>
    </row>
    <row r="1752" spans="1:13" x14ac:dyDescent="0.25">
      <c r="A1752" s="75">
        <f t="shared" si="27"/>
        <v>1751</v>
      </c>
      <c r="B1752" s="13" t="s">
        <v>2330</v>
      </c>
      <c r="C1752" t="s">
        <v>2805</v>
      </c>
      <c r="D1752" t="s">
        <v>2949</v>
      </c>
      <c r="E1752" t="s">
        <v>2950</v>
      </c>
      <c r="G1752" t="s">
        <v>63</v>
      </c>
      <c r="H1752" s="75" t="str">
        <f>IFERROR(VLOOKUP(Table2[[#This Row],[Ticket]],Okey!A:B,2,0),"")</f>
        <v>ok</v>
      </c>
      <c r="I1752" t="s">
        <v>19</v>
      </c>
      <c r="J1752" t="str">
        <f>VLOOKUP(Table2[[#This Row],[Author]],People!A:B,2,0)</f>
        <v>EL</v>
      </c>
      <c r="M1752" t="s">
        <v>1752</v>
      </c>
    </row>
    <row r="1753" spans="1:13" x14ac:dyDescent="0.25">
      <c r="A1753" s="75">
        <f t="shared" si="27"/>
        <v>1752</v>
      </c>
      <c r="B1753" s="13" t="s">
        <v>2330</v>
      </c>
      <c r="C1753" t="s">
        <v>2805</v>
      </c>
      <c r="D1753" t="s">
        <v>1830</v>
      </c>
      <c r="E1753" t="s">
        <v>2951</v>
      </c>
      <c r="G1753" t="s">
        <v>63</v>
      </c>
      <c r="H1753" s="75" t="str">
        <f>IFERROR(VLOOKUP(Table2[[#This Row],[Ticket]],Okey!A:B,2,0),"")</f>
        <v>ok</v>
      </c>
      <c r="I1753" t="s">
        <v>19</v>
      </c>
      <c r="J1753" t="str">
        <f>VLOOKUP(Table2[[#This Row],[Author]],People!A:B,2,0)</f>
        <v>EL</v>
      </c>
      <c r="M1753" t="s">
        <v>1752</v>
      </c>
    </row>
    <row r="1754" spans="1:13" x14ac:dyDescent="0.25">
      <c r="A1754" s="75">
        <f t="shared" si="27"/>
        <v>1753</v>
      </c>
      <c r="B1754" s="13" t="s">
        <v>2330</v>
      </c>
      <c r="C1754" t="s">
        <v>2805</v>
      </c>
      <c r="D1754" t="s">
        <v>2952</v>
      </c>
      <c r="E1754" t="s">
        <v>2953</v>
      </c>
      <c r="G1754" t="s">
        <v>63</v>
      </c>
      <c r="H1754" s="75" t="str">
        <f>IFERROR(VLOOKUP(Table2[[#This Row],[Ticket]],Okey!A:B,2,0),"")</f>
        <v>ok</v>
      </c>
      <c r="I1754" t="s">
        <v>19</v>
      </c>
      <c r="J1754" t="str">
        <f>VLOOKUP(Table2[[#This Row],[Author]],People!A:B,2,0)</f>
        <v>EL</v>
      </c>
      <c r="M1754" t="s">
        <v>1752</v>
      </c>
    </row>
    <row r="1755" spans="1:13" x14ac:dyDescent="0.25">
      <c r="A1755" s="75">
        <f t="shared" si="27"/>
        <v>1754</v>
      </c>
      <c r="B1755" s="13" t="s">
        <v>2330</v>
      </c>
      <c r="C1755" t="s">
        <v>2805</v>
      </c>
      <c r="D1755" t="s">
        <v>2954</v>
      </c>
      <c r="E1755" t="s">
        <v>2955</v>
      </c>
      <c r="G1755" t="s">
        <v>63</v>
      </c>
      <c r="H1755" s="75" t="str">
        <f>IFERROR(VLOOKUP(Table2[[#This Row],[Ticket]],Okey!A:B,2,0),"")</f>
        <v>ok</v>
      </c>
      <c r="I1755" t="s">
        <v>19</v>
      </c>
      <c r="J1755" t="str">
        <f>VLOOKUP(Table2[[#This Row],[Author]],People!A:B,2,0)</f>
        <v>EL</v>
      </c>
      <c r="M1755" t="s">
        <v>1752</v>
      </c>
    </row>
    <row r="1756" spans="1:13" x14ac:dyDescent="0.25">
      <c r="A1756" s="75">
        <f t="shared" si="27"/>
        <v>1755</v>
      </c>
      <c r="B1756" s="13" t="s">
        <v>2330</v>
      </c>
      <c r="C1756" t="s">
        <v>2805</v>
      </c>
      <c r="D1756" t="s">
        <v>2956</v>
      </c>
      <c r="E1756" t="s">
        <v>2957</v>
      </c>
      <c r="G1756" t="s">
        <v>63</v>
      </c>
      <c r="H1756" s="75" t="str">
        <f>IFERROR(VLOOKUP(Table2[[#This Row],[Ticket]],Okey!A:B,2,0),"")</f>
        <v>ok</v>
      </c>
      <c r="I1756" t="s">
        <v>19</v>
      </c>
      <c r="J1756" t="str">
        <f>VLOOKUP(Table2[[#This Row],[Author]],People!A:B,2,0)</f>
        <v>EL</v>
      </c>
      <c r="M1756" t="s">
        <v>1752</v>
      </c>
    </row>
    <row r="1757" spans="1:13" x14ac:dyDescent="0.25">
      <c r="A1757" s="75">
        <f t="shared" si="27"/>
        <v>1756</v>
      </c>
      <c r="B1757" s="13" t="s">
        <v>2330</v>
      </c>
      <c r="C1757" t="s">
        <v>2805</v>
      </c>
      <c r="D1757" t="s">
        <v>2958</v>
      </c>
      <c r="E1757" t="s">
        <v>2959</v>
      </c>
      <c r="G1757" t="s">
        <v>63</v>
      </c>
      <c r="H1757" s="75" t="str">
        <f>IFERROR(VLOOKUP(Table2[[#This Row],[Ticket]],Okey!A:B,2,0),"")</f>
        <v>ok</v>
      </c>
      <c r="I1757" t="s">
        <v>19</v>
      </c>
      <c r="J1757" t="str">
        <f>VLOOKUP(Table2[[#This Row],[Author]],People!A:B,2,0)</f>
        <v>EL</v>
      </c>
      <c r="M1757" t="s">
        <v>1752</v>
      </c>
    </row>
    <row r="1758" spans="1:13" x14ac:dyDescent="0.25">
      <c r="A1758" s="75">
        <f t="shared" si="27"/>
        <v>1757</v>
      </c>
      <c r="B1758" s="13" t="s">
        <v>2330</v>
      </c>
      <c r="C1758" t="s">
        <v>2805</v>
      </c>
      <c r="D1758" t="s">
        <v>2960</v>
      </c>
      <c r="E1758" t="s">
        <v>2961</v>
      </c>
      <c r="G1758" t="s">
        <v>63</v>
      </c>
      <c r="H1758" s="75" t="str">
        <f>IFERROR(VLOOKUP(Table2[[#This Row],[Ticket]],Okey!A:B,2,0),"")</f>
        <v>ok</v>
      </c>
      <c r="I1758" t="s">
        <v>19</v>
      </c>
      <c r="J1758" t="str">
        <f>VLOOKUP(Table2[[#This Row],[Author]],People!A:B,2,0)</f>
        <v>EL</v>
      </c>
      <c r="M1758" t="s">
        <v>1752</v>
      </c>
    </row>
    <row r="1759" spans="1:13" x14ac:dyDescent="0.25">
      <c r="A1759" s="75">
        <f t="shared" si="27"/>
        <v>1758</v>
      </c>
      <c r="B1759" s="13" t="s">
        <v>2330</v>
      </c>
      <c r="C1759" t="s">
        <v>2805</v>
      </c>
      <c r="D1759" t="s">
        <v>2962</v>
      </c>
      <c r="E1759" t="s">
        <v>2963</v>
      </c>
      <c r="G1759" t="s">
        <v>63</v>
      </c>
      <c r="H1759" s="75" t="str">
        <f>IFERROR(VLOOKUP(Table2[[#This Row],[Ticket]],Okey!A:B,2,0),"")</f>
        <v>ok</v>
      </c>
      <c r="I1759" t="s">
        <v>19</v>
      </c>
      <c r="J1759" t="str">
        <f>VLOOKUP(Table2[[#This Row],[Author]],People!A:B,2,0)</f>
        <v>EL</v>
      </c>
      <c r="M1759" t="s">
        <v>1752</v>
      </c>
    </row>
    <row r="1760" spans="1:13" x14ac:dyDescent="0.25">
      <c r="A1760" s="75">
        <f t="shared" si="27"/>
        <v>1759</v>
      </c>
      <c r="B1760" s="13" t="s">
        <v>2330</v>
      </c>
      <c r="C1760" t="s">
        <v>2805</v>
      </c>
      <c r="D1760" t="s">
        <v>2964</v>
      </c>
      <c r="E1760" t="s">
        <v>2965</v>
      </c>
      <c r="G1760" t="s">
        <v>63</v>
      </c>
      <c r="H1760" s="75" t="str">
        <f>IFERROR(VLOOKUP(Table2[[#This Row],[Ticket]],Okey!A:B,2,0),"")</f>
        <v>ok</v>
      </c>
      <c r="I1760" t="s">
        <v>19</v>
      </c>
      <c r="J1760" t="str">
        <f>VLOOKUP(Table2[[#This Row],[Author]],People!A:B,2,0)</f>
        <v>EL</v>
      </c>
      <c r="M1760" t="s">
        <v>1752</v>
      </c>
    </row>
    <row r="1761" spans="1:13" x14ac:dyDescent="0.25">
      <c r="A1761" s="75">
        <f t="shared" si="27"/>
        <v>1760</v>
      </c>
      <c r="B1761" s="13" t="s">
        <v>2330</v>
      </c>
      <c r="C1761" t="s">
        <v>2805</v>
      </c>
      <c r="D1761" t="s">
        <v>2966</v>
      </c>
      <c r="E1761" t="s">
        <v>2967</v>
      </c>
      <c r="G1761" t="s">
        <v>63</v>
      </c>
      <c r="H1761" s="75" t="str">
        <f>IFERROR(VLOOKUP(Table2[[#This Row],[Ticket]],Okey!A:B,2,0),"")</f>
        <v>ok</v>
      </c>
      <c r="I1761" t="s">
        <v>19</v>
      </c>
      <c r="J1761" t="str">
        <f>VLOOKUP(Table2[[#This Row],[Author]],People!A:B,2,0)</f>
        <v>EL</v>
      </c>
      <c r="M1761" t="s">
        <v>1752</v>
      </c>
    </row>
    <row r="1762" spans="1:13" x14ac:dyDescent="0.25">
      <c r="A1762" s="75">
        <f t="shared" si="27"/>
        <v>1761</v>
      </c>
      <c r="B1762" s="13" t="s">
        <v>2330</v>
      </c>
      <c r="C1762" t="s">
        <v>2805</v>
      </c>
      <c r="D1762" t="s">
        <v>2968</v>
      </c>
      <c r="E1762" t="s">
        <v>2969</v>
      </c>
      <c r="G1762" t="s">
        <v>63</v>
      </c>
      <c r="H1762" s="75" t="str">
        <f>IFERROR(VLOOKUP(Table2[[#This Row],[Ticket]],Okey!A:B,2,0),"")</f>
        <v>ok</v>
      </c>
      <c r="I1762" t="s">
        <v>19</v>
      </c>
      <c r="J1762" t="str">
        <f>VLOOKUP(Table2[[#This Row],[Author]],People!A:B,2,0)</f>
        <v>EL</v>
      </c>
      <c r="M1762" t="s">
        <v>1752</v>
      </c>
    </row>
    <row r="1763" spans="1:13" x14ac:dyDescent="0.25">
      <c r="A1763" s="75">
        <f t="shared" si="27"/>
        <v>1762</v>
      </c>
      <c r="B1763" s="13" t="s">
        <v>2330</v>
      </c>
      <c r="C1763" t="s">
        <v>2805</v>
      </c>
      <c r="D1763" t="s">
        <v>2970</v>
      </c>
      <c r="E1763" t="s">
        <v>2971</v>
      </c>
      <c r="G1763" t="s">
        <v>63</v>
      </c>
      <c r="H1763" s="75" t="str">
        <f>IFERROR(VLOOKUP(Table2[[#This Row],[Ticket]],Okey!A:B,2,0),"")</f>
        <v>ok</v>
      </c>
      <c r="I1763" t="s">
        <v>19</v>
      </c>
      <c r="J1763" t="str">
        <f>VLOOKUP(Table2[[#This Row],[Author]],People!A:B,2,0)</f>
        <v>EL</v>
      </c>
      <c r="M1763" t="s">
        <v>1752</v>
      </c>
    </row>
    <row r="1764" spans="1:13" x14ac:dyDescent="0.25">
      <c r="A1764" s="75">
        <f t="shared" si="27"/>
        <v>1763</v>
      </c>
      <c r="B1764" s="13" t="s">
        <v>2330</v>
      </c>
      <c r="C1764" t="s">
        <v>2805</v>
      </c>
      <c r="D1764" t="s">
        <v>2972</v>
      </c>
      <c r="E1764" t="s">
        <v>2973</v>
      </c>
      <c r="G1764" t="s">
        <v>63</v>
      </c>
      <c r="H1764" s="75" t="str">
        <f>IFERROR(VLOOKUP(Table2[[#This Row],[Ticket]],Okey!A:B,2,0),"")</f>
        <v>ok</v>
      </c>
      <c r="I1764" t="s">
        <v>19</v>
      </c>
      <c r="J1764" t="str">
        <f>VLOOKUP(Table2[[#This Row],[Author]],People!A:B,2,0)</f>
        <v>EL</v>
      </c>
      <c r="M1764" t="s">
        <v>1752</v>
      </c>
    </row>
    <row r="1765" spans="1:13" x14ac:dyDescent="0.25">
      <c r="A1765" s="75">
        <f t="shared" si="27"/>
        <v>1764</v>
      </c>
      <c r="B1765" s="13" t="s">
        <v>2330</v>
      </c>
      <c r="C1765" t="s">
        <v>2805</v>
      </c>
      <c r="D1765" t="s">
        <v>2974</v>
      </c>
      <c r="E1765" t="s">
        <v>2975</v>
      </c>
      <c r="G1765" t="s">
        <v>63</v>
      </c>
      <c r="H1765" s="75" t="str">
        <f>IFERROR(VLOOKUP(Table2[[#This Row],[Ticket]],Okey!A:B,2,0),"")</f>
        <v>ok</v>
      </c>
      <c r="I1765" t="s">
        <v>19</v>
      </c>
      <c r="J1765" t="str">
        <f>VLOOKUP(Table2[[#This Row],[Author]],People!A:B,2,0)</f>
        <v>EL</v>
      </c>
      <c r="M1765" t="s">
        <v>1752</v>
      </c>
    </row>
    <row r="1766" spans="1:13" x14ac:dyDescent="0.25">
      <c r="A1766" s="75">
        <f t="shared" si="27"/>
        <v>1765</v>
      </c>
      <c r="B1766" s="13" t="s">
        <v>2330</v>
      </c>
      <c r="C1766" t="s">
        <v>2805</v>
      </c>
      <c r="D1766" t="s">
        <v>2976</v>
      </c>
      <c r="E1766" t="s">
        <v>2977</v>
      </c>
      <c r="G1766" t="s">
        <v>63</v>
      </c>
      <c r="H1766" s="75" t="str">
        <f>IFERROR(VLOOKUP(Table2[[#This Row],[Ticket]],Okey!A:B,2,0),"")</f>
        <v>ok</v>
      </c>
      <c r="I1766" t="s">
        <v>19</v>
      </c>
      <c r="J1766" t="str">
        <f>VLOOKUP(Table2[[#This Row],[Author]],People!A:B,2,0)</f>
        <v>EL</v>
      </c>
      <c r="M1766" t="s">
        <v>1752</v>
      </c>
    </row>
    <row r="1767" spans="1:13" x14ac:dyDescent="0.25">
      <c r="A1767" s="75">
        <f t="shared" si="27"/>
        <v>1766</v>
      </c>
      <c r="B1767" s="13" t="s">
        <v>2330</v>
      </c>
      <c r="C1767" t="s">
        <v>2805</v>
      </c>
      <c r="D1767" t="s">
        <v>1832</v>
      </c>
      <c r="E1767" t="s">
        <v>2978</v>
      </c>
      <c r="G1767" t="s">
        <v>63</v>
      </c>
      <c r="H1767" s="75" t="str">
        <f>IFERROR(VLOOKUP(Table2[[#This Row],[Ticket]],Okey!A:B,2,0),"")</f>
        <v>ok</v>
      </c>
      <c r="I1767" t="s">
        <v>19</v>
      </c>
      <c r="J1767" t="str">
        <f>VLOOKUP(Table2[[#This Row],[Author]],People!A:B,2,0)</f>
        <v>EL</v>
      </c>
      <c r="M1767" t="s">
        <v>1752</v>
      </c>
    </row>
    <row r="1768" spans="1:13" x14ac:dyDescent="0.25">
      <c r="A1768" s="75">
        <f t="shared" si="27"/>
        <v>1767</v>
      </c>
      <c r="B1768" s="13" t="s">
        <v>2330</v>
      </c>
      <c r="C1768" t="s">
        <v>2805</v>
      </c>
      <c r="D1768" t="s">
        <v>2979</v>
      </c>
      <c r="E1768" t="s">
        <v>2980</v>
      </c>
      <c r="G1768" t="s">
        <v>63</v>
      </c>
      <c r="H1768" s="75" t="str">
        <f>IFERROR(VLOOKUP(Table2[[#This Row],[Ticket]],Okey!A:B,2,0),"")</f>
        <v>ok</v>
      </c>
      <c r="I1768" t="s">
        <v>19</v>
      </c>
      <c r="J1768" t="str">
        <f>VLOOKUP(Table2[[#This Row],[Author]],People!A:B,2,0)</f>
        <v>EL</v>
      </c>
      <c r="M1768" t="s">
        <v>1752</v>
      </c>
    </row>
    <row r="1769" spans="1:13" x14ac:dyDescent="0.25">
      <c r="A1769" s="75">
        <f t="shared" si="27"/>
        <v>1768</v>
      </c>
      <c r="B1769" s="13" t="s">
        <v>2330</v>
      </c>
      <c r="C1769" t="s">
        <v>2805</v>
      </c>
      <c r="D1769" t="s">
        <v>2981</v>
      </c>
      <c r="E1769" t="s">
        <v>2982</v>
      </c>
      <c r="G1769" t="s">
        <v>63</v>
      </c>
      <c r="H1769" s="75" t="str">
        <f>IFERROR(VLOOKUP(Table2[[#This Row],[Ticket]],Okey!A:B,2,0),"")</f>
        <v>ok</v>
      </c>
      <c r="I1769" t="s">
        <v>19</v>
      </c>
      <c r="J1769" t="str">
        <f>VLOOKUP(Table2[[#This Row],[Author]],People!A:B,2,0)</f>
        <v>EL</v>
      </c>
      <c r="M1769" t="s">
        <v>1752</v>
      </c>
    </row>
    <row r="1770" spans="1:13" x14ac:dyDescent="0.25">
      <c r="A1770" s="75">
        <f t="shared" si="27"/>
        <v>1769</v>
      </c>
      <c r="B1770" s="13" t="s">
        <v>2330</v>
      </c>
      <c r="C1770" t="s">
        <v>2805</v>
      </c>
      <c r="D1770" t="s">
        <v>2983</v>
      </c>
      <c r="E1770" t="s">
        <v>2984</v>
      </c>
      <c r="G1770" t="s">
        <v>63</v>
      </c>
      <c r="H1770" s="75" t="str">
        <f>IFERROR(VLOOKUP(Table2[[#This Row],[Ticket]],Okey!A:B,2,0),"")</f>
        <v>ok</v>
      </c>
      <c r="I1770" t="s">
        <v>19</v>
      </c>
      <c r="J1770" t="str">
        <f>VLOOKUP(Table2[[#This Row],[Author]],People!A:B,2,0)</f>
        <v>EL</v>
      </c>
      <c r="M1770" t="s">
        <v>1752</v>
      </c>
    </row>
    <row r="1771" spans="1:13" x14ac:dyDescent="0.25">
      <c r="A1771" s="75">
        <f t="shared" si="27"/>
        <v>1770</v>
      </c>
      <c r="B1771" s="13" t="s">
        <v>2330</v>
      </c>
      <c r="C1771" t="s">
        <v>2805</v>
      </c>
      <c r="D1771" t="s">
        <v>2985</v>
      </c>
      <c r="E1771" t="s">
        <v>2986</v>
      </c>
      <c r="G1771" t="s">
        <v>63</v>
      </c>
      <c r="H1771" s="75" t="str">
        <f>IFERROR(VLOOKUP(Table2[[#This Row],[Ticket]],Okey!A:B,2,0),"")</f>
        <v>ok</v>
      </c>
      <c r="I1771" t="s">
        <v>19</v>
      </c>
      <c r="J1771" t="str">
        <f>VLOOKUP(Table2[[#This Row],[Author]],People!A:B,2,0)</f>
        <v>EL</v>
      </c>
      <c r="M1771" t="s">
        <v>1752</v>
      </c>
    </row>
    <row r="1772" spans="1:13" x14ac:dyDescent="0.25">
      <c r="A1772" s="75">
        <f t="shared" si="27"/>
        <v>1771</v>
      </c>
      <c r="B1772" s="13" t="s">
        <v>2330</v>
      </c>
      <c r="C1772" t="s">
        <v>2805</v>
      </c>
      <c r="D1772" t="s">
        <v>2987</v>
      </c>
      <c r="E1772" t="s">
        <v>2988</v>
      </c>
      <c r="G1772" t="s">
        <v>63</v>
      </c>
      <c r="H1772" s="75" t="str">
        <f>IFERROR(VLOOKUP(Table2[[#This Row],[Ticket]],Okey!A:B,2,0),"")</f>
        <v>ok</v>
      </c>
      <c r="I1772" t="s">
        <v>19</v>
      </c>
      <c r="J1772" t="str">
        <f>VLOOKUP(Table2[[#This Row],[Author]],People!A:B,2,0)</f>
        <v>EL</v>
      </c>
      <c r="M1772" t="s">
        <v>1752</v>
      </c>
    </row>
    <row r="1773" spans="1:13" x14ac:dyDescent="0.25">
      <c r="A1773" s="75">
        <f t="shared" si="27"/>
        <v>1772</v>
      </c>
      <c r="B1773" s="13" t="s">
        <v>2330</v>
      </c>
      <c r="C1773" t="s">
        <v>2805</v>
      </c>
      <c r="D1773" t="s">
        <v>2989</v>
      </c>
      <c r="E1773" t="s">
        <v>2990</v>
      </c>
      <c r="G1773" t="s">
        <v>63</v>
      </c>
      <c r="H1773" s="75" t="str">
        <f>IFERROR(VLOOKUP(Table2[[#This Row],[Ticket]],Okey!A:B,2,0),"")</f>
        <v>ok</v>
      </c>
      <c r="I1773" t="s">
        <v>19</v>
      </c>
      <c r="J1773" t="str">
        <f>VLOOKUP(Table2[[#This Row],[Author]],People!A:B,2,0)</f>
        <v>EL</v>
      </c>
      <c r="M1773" t="s">
        <v>1752</v>
      </c>
    </row>
    <row r="1774" spans="1:13" x14ac:dyDescent="0.25">
      <c r="A1774" s="75">
        <f t="shared" si="27"/>
        <v>1773</v>
      </c>
      <c r="B1774" s="13" t="s">
        <v>2330</v>
      </c>
      <c r="C1774" t="s">
        <v>2805</v>
      </c>
      <c r="D1774" t="s">
        <v>2991</v>
      </c>
      <c r="E1774" t="s">
        <v>2992</v>
      </c>
      <c r="G1774" t="s">
        <v>63</v>
      </c>
      <c r="H1774" s="75" t="str">
        <f>IFERROR(VLOOKUP(Table2[[#This Row],[Ticket]],Okey!A:B,2,0),"")</f>
        <v>ok</v>
      </c>
      <c r="I1774" t="s">
        <v>19</v>
      </c>
      <c r="J1774" t="str">
        <f>VLOOKUP(Table2[[#This Row],[Author]],People!A:B,2,0)</f>
        <v>EL</v>
      </c>
      <c r="M1774" t="s">
        <v>1752</v>
      </c>
    </row>
    <row r="1775" spans="1:13" x14ac:dyDescent="0.25">
      <c r="A1775" s="75">
        <f t="shared" si="27"/>
        <v>1774</v>
      </c>
      <c r="B1775" s="13" t="s">
        <v>2330</v>
      </c>
      <c r="C1775" t="s">
        <v>2805</v>
      </c>
      <c r="D1775" t="s">
        <v>2993</v>
      </c>
      <c r="E1775" t="s">
        <v>2994</v>
      </c>
      <c r="G1775" t="s">
        <v>63</v>
      </c>
      <c r="H1775" s="75" t="str">
        <f>IFERROR(VLOOKUP(Table2[[#This Row],[Ticket]],Okey!A:B,2,0),"")</f>
        <v>ok</v>
      </c>
      <c r="I1775" t="s">
        <v>19</v>
      </c>
      <c r="J1775" t="str">
        <f>VLOOKUP(Table2[[#This Row],[Author]],People!A:B,2,0)</f>
        <v>EL</v>
      </c>
      <c r="M1775" t="s">
        <v>1752</v>
      </c>
    </row>
    <row r="1776" spans="1:13" x14ac:dyDescent="0.25">
      <c r="A1776" s="75">
        <f t="shared" si="27"/>
        <v>1775</v>
      </c>
      <c r="B1776" s="13" t="s">
        <v>2330</v>
      </c>
      <c r="C1776" t="s">
        <v>2805</v>
      </c>
      <c r="D1776" t="s">
        <v>2995</v>
      </c>
      <c r="E1776" t="s">
        <v>2996</v>
      </c>
      <c r="G1776" t="s">
        <v>63</v>
      </c>
      <c r="H1776" s="75" t="str">
        <f>IFERROR(VLOOKUP(Table2[[#This Row],[Ticket]],Okey!A:B,2,0),"")</f>
        <v>ok</v>
      </c>
      <c r="I1776" t="s">
        <v>19</v>
      </c>
      <c r="J1776" t="str">
        <f>VLOOKUP(Table2[[#This Row],[Author]],People!A:B,2,0)</f>
        <v>EL</v>
      </c>
      <c r="M1776" t="s">
        <v>1752</v>
      </c>
    </row>
    <row r="1777" spans="1:13" x14ac:dyDescent="0.25">
      <c r="A1777" s="75">
        <f t="shared" si="27"/>
        <v>1776</v>
      </c>
      <c r="B1777" s="13" t="s">
        <v>2330</v>
      </c>
      <c r="C1777" t="s">
        <v>2805</v>
      </c>
      <c r="D1777" t="s">
        <v>2997</v>
      </c>
      <c r="E1777" t="s">
        <v>2998</v>
      </c>
      <c r="G1777" t="s">
        <v>63</v>
      </c>
      <c r="H1777" s="75" t="str">
        <f>IFERROR(VLOOKUP(Table2[[#This Row],[Ticket]],Okey!A:B,2,0),"")</f>
        <v>ok</v>
      </c>
      <c r="I1777" t="s">
        <v>19</v>
      </c>
      <c r="J1777" t="str">
        <f>VLOOKUP(Table2[[#This Row],[Author]],People!A:B,2,0)</f>
        <v>EL</v>
      </c>
      <c r="M1777" t="s">
        <v>1752</v>
      </c>
    </row>
    <row r="1778" spans="1:13" x14ac:dyDescent="0.25">
      <c r="A1778" s="75">
        <f t="shared" si="27"/>
        <v>1777</v>
      </c>
      <c r="B1778" s="13" t="s">
        <v>2330</v>
      </c>
      <c r="C1778" t="s">
        <v>2805</v>
      </c>
      <c r="D1778" t="s">
        <v>2999</v>
      </c>
      <c r="E1778" t="s">
        <v>3000</v>
      </c>
      <c r="G1778" t="s">
        <v>63</v>
      </c>
      <c r="H1778" s="75" t="str">
        <f>IFERROR(VLOOKUP(Table2[[#This Row],[Ticket]],Okey!A:B,2,0),"")</f>
        <v>ok</v>
      </c>
      <c r="I1778" t="s">
        <v>19</v>
      </c>
      <c r="J1778" t="str">
        <f>VLOOKUP(Table2[[#This Row],[Author]],People!A:B,2,0)</f>
        <v>EL</v>
      </c>
      <c r="M1778" t="s">
        <v>1752</v>
      </c>
    </row>
    <row r="1779" spans="1:13" x14ac:dyDescent="0.25">
      <c r="A1779" s="75">
        <f t="shared" si="27"/>
        <v>1778</v>
      </c>
      <c r="B1779" s="13" t="s">
        <v>2330</v>
      </c>
      <c r="C1779" t="s">
        <v>2805</v>
      </c>
      <c r="D1779" t="s">
        <v>3001</v>
      </c>
      <c r="E1779" t="s">
        <v>3002</v>
      </c>
      <c r="G1779" t="s">
        <v>63</v>
      </c>
      <c r="H1779" s="75" t="str">
        <f>IFERROR(VLOOKUP(Table2[[#This Row],[Ticket]],Okey!A:B,2,0),"")</f>
        <v>ok</v>
      </c>
      <c r="I1779" t="s">
        <v>19</v>
      </c>
      <c r="J1779" t="str">
        <f>VLOOKUP(Table2[[#This Row],[Author]],People!A:B,2,0)</f>
        <v>EL</v>
      </c>
      <c r="M1779" t="s">
        <v>1752</v>
      </c>
    </row>
    <row r="1780" spans="1:13" x14ac:dyDescent="0.25">
      <c r="A1780" s="75">
        <f t="shared" si="27"/>
        <v>1779</v>
      </c>
      <c r="B1780" s="13" t="s">
        <v>2330</v>
      </c>
      <c r="C1780" t="s">
        <v>2805</v>
      </c>
      <c r="D1780" t="s">
        <v>3003</v>
      </c>
      <c r="E1780" t="s">
        <v>3004</v>
      </c>
      <c r="G1780" t="s">
        <v>63</v>
      </c>
      <c r="H1780" s="75" t="str">
        <f>IFERROR(VLOOKUP(Table2[[#This Row],[Ticket]],Okey!A:B,2,0),"")</f>
        <v>ok</v>
      </c>
      <c r="I1780" t="s">
        <v>19</v>
      </c>
      <c r="J1780" t="str">
        <f>VLOOKUP(Table2[[#This Row],[Author]],People!A:B,2,0)</f>
        <v>EL</v>
      </c>
      <c r="M1780" t="s">
        <v>1752</v>
      </c>
    </row>
    <row r="1781" spans="1:13" x14ac:dyDescent="0.25">
      <c r="A1781" s="75">
        <f t="shared" si="27"/>
        <v>1780</v>
      </c>
      <c r="B1781" s="13" t="s">
        <v>2330</v>
      </c>
      <c r="C1781" t="s">
        <v>2805</v>
      </c>
      <c r="D1781" t="s">
        <v>1834</v>
      </c>
      <c r="E1781" t="s">
        <v>3005</v>
      </c>
      <c r="G1781" t="s">
        <v>63</v>
      </c>
      <c r="H1781" s="75" t="str">
        <f>IFERROR(VLOOKUP(Table2[[#This Row],[Ticket]],Okey!A:B,2,0),"")</f>
        <v>ok</v>
      </c>
      <c r="I1781" t="s">
        <v>19</v>
      </c>
      <c r="J1781" t="str">
        <f>VLOOKUP(Table2[[#This Row],[Author]],People!A:B,2,0)</f>
        <v>EL</v>
      </c>
      <c r="M1781" t="s">
        <v>1752</v>
      </c>
    </row>
    <row r="1782" spans="1:13" x14ac:dyDescent="0.25">
      <c r="A1782" s="75">
        <f t="shared" si="27"/>
        <v>1781</v>
      </c>
      <c r="B1782" s="13" t="s">
        <v>2330</v>
      </c>
      <c r="C1782" t="s">
        <v>2805</v>
      </c>
      <c r="D1782" t="s">
        <v>3006</v>
      </c>
      <c r="E1782" t="s">
        <v>3007</v>
      </c>
      <c r="G1782" t="s">
        <v>63</v>
      </c>
      <c r="H1782" s="75" t="str">
        <f>IFERROR(VLOOKUP(Table2[[#This Row],[Ticket]],Okey!A:B,2,0),"")</f>
        <v>ok</v>
      </c>
      <c r="I1782" t="s">
        <v>19</v>
      </c>
      <c r="J1782" t="str">
        <f>VLOOKUP(Table2[[#This Row],[Author]],People!A:B,2,0)</f>
        <v>EL</v>
      </c>
      <c r="M1782" t="s">
        <v>1752</v>
      </c>
    </row>
    <row r="1783" spans="1:13" x14ac:dyDescent="0.25">
      <c r="A1783" s="75">
        <f t="shared" si="27"/>
        <v>1782</v>
      </c>
      <c r="B1783" s="13" t="s">
        <v>2330</v>
      </c>
      <c r="C1783" t="s">
        <v>2805</v>
      </c>
      <c r="D1783" t="s">
        <v>3008</v>
      </c>
      <c r="E1783" t="s">
        <v>3009</v>
      </c>
      <c r="G1783" t="s">
        <v>63</v>
      </c>
      <c r="H1783" s="75" t="str">
        <f>IFERROR(VLOOKUP(Table2[[#This Row],[Ticket]],Okey!A:B,2,0),"")</f>
        <v>ok</v>
      </c>
      <c r="I1783" t="s">
        <v>19</v>
      </c>
      <c r="J1783" t="str">
        <f>VLOOKUP(Table2[[#This Row],[Author]],People!A:B,2,0)</f>
        <v>EL</v>
      </c>
      <c r="M1783" t="s">
        <v>1752</v>
      </c>
    </row>
    <row r="1784" spans="1:13" x14ac:dyDescent="0.25">
      <c r="A1784" s="75">
        <f t="shared" si="27"/>
        <v>1783</v>
      </c>
      <c r="B1784" s="13" t="s">
        <v>2330</v>
      </c>
      <c r="C1784" t="s">
        <v>2805</v>
      </c>
      <c r="D1784" t="s">
        <v>3010</v>
      </c>
      <c r="E1784" t="s">
        <v>3011</v>
      </c>
      <c r="G1784" t="s">
        <v>63</v>
      </c>
      <c r="H1784" s="75" t="str">
        <f>IFERROR(VLOOKUP(Table2[[#This Row],[Ticket]],Okey!A:B,2,0),"")</f>
        <v>ok</v>
      </c>
      <c r="I1784" t="s">
        <v>19</v>
      </c>
      <c r="J1784" t="str">
        <f>VLOOKUP(Table2[[#This Row],[Author]],People!A:B,2,0)</f>
        <v>EL</v>
      </c>
      <c r="M1784" t="s">
        <v>1752</v>
      </c>
    </row>
    <row r="1785" spans="1:13" x14ac:dyDescent="0.25">
      <c r="A1785" s="75">
        <f t="shared" si="27"/>
        <v>1784</v>
      </c>
      <c r="B1785" s="13" t="s">
        <v>2330</v>
      </c>
      <c r="C1785" t="s">
        <v>2805</v>
      </c>
      <c r="D1785" t="s">
        <v>3012</v>
      </c>
      <c r="E1785" t="s">
        <v>3013</v>
      </c>
      <c r="G1785" t="s">
        <v>63</v>
      </c>
      <c r="H1785" s="75" t="str">
        <f>IFERROR(VLOOKUP(Table2[[#This Row],[Ticket]],Okey!A:B,2,0),"")</f>
        <v>ok</v>
      </c>
      <c r="I1785" t="s">
        <v>19</v>
      </c>
      <c r="J1785" t="str">
        <f>VLOOKUP(Table2[[#This Row],[Author]],People!A:B,2,0)</f>
        <v>EL</v>
      </c>
      <c r="M1785" t="s">
        <v>1752</v>
      </c>
    </row>
    <row r="1786" spans="1:13" x14ac:dyDescent="0.25">
      <c r="A1786" s="75">
        <f t="shared" si="27"/>
        <v>1785</v>
      </c>
      <c r="B1786" s="13" t="s">
        <v>2330</v>
      </c>
      <c r="C1786" t="s">
        <v>2805</v>
      </c>
      <c r="D1786" t="s">
        <v>3014</v>
      </c>
      <c r="E1786" t="s">
        <v>3015</v>
      </c>
      <c r="G1786" t="s">
        <v>63</v>
      </c>
      <c r="H1786" s="75" t="str">
        <f>IFERROR(VLOOKUP(Table2[[#This Row],[Ticket]],Okey!A:B,2,0),"")</f>
        <v>ok</v>
      </c>
      <c r="I1786" t="s">
        <v>19</v>
      </c>
      <c r="J1786" t="str">
        <f>VLOOKUP(Table2[[#This Row],[Author]],People!A:B,2,0)</f>
        <v>EL</v>
      </c>
      <c r="M1786" t="s">
        <v>1752</v>
      </c>
    </row>
    <row r="1787" spans="1:13" x14ac:dyDescent="0.25">
      <c r="A1787" s="75">
        <f t="shared" si="27"/>
        <v>1786</v>
      </c>
      <c r="B1787" s="13" t="s">
        <v>2330</v>
      </c>
      <c r="C1787" t="s">
        <v>2805</v>
      </c>
      <c r="D1787" t="s">
        <v>3016</v>
      </c>
      <c r="E1787" t="s">
        <v>3017</v>
      </c>
      <c r="G1787" t="s">
        <v>63</v>
      </c>
      <c r="H1787" s="75" t="str">
        <f>IFERROR(VLOOKUP(Table2[[#This Row],[Ticket]],Okey!A:B,2,0),"")</f>
        <v>ok</v>
      </c>
      <c r="I1787" t="s">
        <v>19</v>
      </c>
      <c r="J1787" t="str">
        <f>VLOOKUP(Table2[[#This Row],[Author]],People!A:B,2,0)</f>
        <v>EL</v>
      </c>
      <c r="M1787" t="s">
        <v>1752</v>
      </c>
    </row>
    <row r="1788" spans="1:13" x14ac:dyDescent="0.25">
      <c r="A1788" s="75">
        <f t="shared" si="27"/>
        <v>1787</v>
      </c>
      <c r="B1788" s="13" t="s">
        <v>2330</v>
      </c>
      <c r="C1788" t="s">
        <v>2805</v>
      </c>
      <c r="D1788" t="s">
        <v>3018</v>
      </c>
      <c r="E1788" t="s">
        <v>3019</v>
      </c>
      <c r="G1788" t="s">
        <v>63</v>
      </c>
      <c r="H1788" s="75" t="str">
        <f>IFERROR(VLOOKUP(Table2[[#This Row],[Ticket]],Okey!A:B,2,0),"")</f>
        <v>ok</v>
      </c>
      <c r="I1788" t="s">
        <v>19</v>
      </c>
      <c r="J1788" t="str">
        <f>VLOOKUP(Table2[[#This Row],[Author]],People!A:B,2,0)</f>
        <v>EL</v>
      </c>
      <c r="M1788" t="s">
        <v>1752</v>
      </c>
    </row>
    <row r="1789" spans="1:13" x14ac:dyDescent="0.25">
      <c r="A1789" s="75">
        <f t="shared" si="27"/>
        <v>1788</v>
      </c>
      <c r="B1789" s="13" t="s">
        <v>2330</v>
      </c>
      <c r="C1789" t="s">
        <v>2805</v>
      </c>
      <c r="D1789" t="s">
        <v>3020</v>
      </c>
      <c r="E1789" t="s">
        <v>3021</v>
      </c>
      <c r="G1789" t="s">
        <v>63</v>
      </c>
      <c r="H1789" s="75" t="str">
        <f>IFERROR(VLOOKUP(Table2[[#This Row],[Ticket]],Okey!A:B,2,0),"")</f>
        <v>ok</v>
      </c>
      <c r="I1789" t="s">
        <v>19</v>
      </c>
      <c r="J1789" t="str">
        <f>VLOOKUP(Table2[[#This Row],[Author]],People!A:B,2,0)</f>
        <v>EL</v>
      </c>
      <c r="M1789" t="s">
        <v>1752</v>
      </c>
    </row>
    <row r="1790" spans="1:13" x14ac:dyDescent="0.25">
      <c r="A1790" s="75">
        <f t="shared" si="27"/>
        <v>1789</v>
      </c>
      <c r="B1790" s="13" t="s">
        <v>2330</v>
      </c>
      <c r="C1790" t="s">
        <v>2805</v>
      </c>
      <c r="D1790" t="s">
        <v>3022</v>
      </c>
      <c r="E1790" t="s">
        <v>3023</v>
      </c>
      <c r="G1790" t="s">
        <v>63</v>
      </c>
      <c r="H1790" s="75" t="str">
        <f>IFERROR(VLOOKUP(Table2[[#This Row],[Ticket]],Okey!A:B,2,0),"")</f>
        <v>ok</v>
      </c>
      <c r="I1790" t="s">
        <v>19</v>
      </c>
      <c r="J1790" t="str">
        <f>VLOOKUP(Table2[[#This Row],[Author]],People!A:B,2,0)</f>
        <v>EL</v>
      </c>
      <c r="M1790" t="s">
        <v>1752</v>
      </c>
    </row>
    <row r="1791" spans="1:13" x14ac:dyDescent="0.25">
      <c r="A1791" s="75">
        <f t="shared" si="27"/>
        <v>1790</v>
      </c>
      <c r="B1791" s="13" t="s">
        <v>2330</v>
      </c>
      <c r="C1791" t="s">
        <v>2805</v>
      </c>
      <c r="D1791" t="s">
        <v>3024</v>
      </c>
      <c r="E1791" t="s">
        <v>3025</v>
      </c>
      <c r="G1791" t="s">
        <v>63</v>
      </c>
      <c r="H1791" s="75" t="str">
        <f>IFERROR(VLOOKUP(Table2[[#This Row],[Ticket]],Okey!A:B,2,0),"")</f>
        <v>ok</v>
      </c>
      <c r="I1791" t="s">
        <v>19</v>
      </c>
      <c r="J1791" t="str">
        <f>VLOOKUP(Table2[[#This Row],[Author]],People!A:B,2,0)</f>
        <v>EL</v>
      </c>
      <c r="M1791" t="s">
        <v>1752</v>
      </c>
    </row>
    <row r="1792" spans="1:13" x14ac:dyDescent="0.25">
      <c r="A1792" s="75">
        <f t="shared" si="27"/>
        <v>1791</v>
      </c>
      <c r="B1792" s="13" t="s">
        <v>2330</v>
      </c>
      <c r="C1792" t="s">
        <v>2805</v>
      </c>
      <c r="D1792" t="s">
        <v>3026</v>
      </c>
      <c r="E1792" t="s">
        <v>3027</v>
      </c>
      <c r="G1792" t="s">
        <v>63</v>
      </c>
      <c r="H1792" s="75" t="str">
        <f>IFERROR(VLOOKUP(Table2[[#This Row],[Ticket]],Okey!A:B,2,0),"")</f>
        <v>ok</v>
      </c>
      <c r="I1792" t="s">
        <v>19</v>
      </c>
      <c r="J1792" t="str">
        <f>VLOOKUP(Table2[[#This Row],[Author]],People!A:B,2,0)</f>
        <v>EL</v>
      </c>
      <c r="M1792" t="s">
        <v>1752</v>
      </c>
    </row>
    <row r="1793" spans="1:13" x14ac:dyDescent="0.25">
      <c r="A1793" s="75">
        <f t="shared" si="27"/>
        <v>1792</v>
      </c>
      <c r="B1793" s="13" t="s">
        <v>2330</v>
      </c>
      <c r="C1793" t="s">
        <v>2805</v>
      </c>
      <c r="D1793" t="s">
        <v>3028</v>
      </c>
      <c r="E1793" t="s">
        <v>3029</v>
      </c>
      <c r="G1793" t="s">
        <v>63</v>
      </c>
      <c r="H1793" s="75" t="str">
        <f>IFERROR(VLOOKUP(Table2[[#This Row],[Ticket]],Okey!A:B,2,0),"")</f>
        <v>ok</v>
      </c>
      <c r="I1793" t="s">
        <v>19</v>
      </c>
      <c r="J1793" t="str">
        <f>VLOOKUP(Table2[[#This Row],[Author]],People!A:B,2,0)</f>
        <v>EL</v>
      </c>
      <c r="M1793" t="s">
        <v>1752</v>
      </c>
    </row>
    <row r="1794" spans="1:13" x14ac:dyDescent="0.25">
      <c r="A1794" s="75">
        <f t="shared" si="27"/>
        <v>1793</v>
      </c>
      <c r="B1794" s="13" t="s">
        <v>2330</v>
      </c>
      <c r="C1794" t="s">
        <v>2805</v>
      </c>
      <c r="D1794" t="s">
        <v>3030</v>
      </c>
      <c r="E1794" t="s">
        <v>3031</v>
      </c>
      <c r="G1794" t="s">
        <v>63</v>
      </c>
      <c r="H1794" s="75" t="str">
        <f>IFERROR(VLOOKUP(Table2[[#This Row],[Ticket]],Okey!A:B,2,0),"")</f>
        <v>ok</v>
      </c>
      <c r="I1794" t="s">
        <v>19</v>
      </c>
      <c r="J1794" t="str">
        <f>VLOOKUP(Table2[[#This Row],[Author]],People!A:B,2,0)</f>
        <v>EL</v>
      </c>
      <c r="M1794" t="s">
        <v>1752</v>
      </c>
    </row>
    <row r="1795" spans="1:13" x14ac:dyDescent="0.25">
      <c r="A1795" s="75">
        <f t="shared" si="27"/>
        <v>1794</v>
      </c>
      <c r="B1795" s="13" t="s">
        <v>2330</v>
      </c>
      <c r="C1795" t="s">
        <v>2805</v>
      </c>
      <c r="D1795" t="s">
        <v>1836</v>
      </c>
      <c r="E1795" t="s">
        <v>3032</v>
      </c>
      <c r="G1795" t="s">
        <v>63</v>
      </c>
      <c r="H1795" s="75" t="str">
        <f>IFERROR(VLOOKUP(Table2[[#This Row],[Ticket]],Okey!A:B,2,0),"")</f>
        <v>ok</v>
      </c>
      <c r="I1795" t="s">
        <v>19</v>
      </c>
      <c r="J1795" t="str">
        <f>VLOOKUP(Table2[[#This Row],[Author]],People!A:B,2,0)</f>
        <v>EL</v>
      </c>
      <c r="M1795" t="s">
        <v>1752</v>
      </c>
    </row>
    <row r="1796" spans="1:13" x14ac:dyDescent="0.25">
      <c r="A1796" s="75">
        <f t="shared" si="27"/>
        <v>1795</v>
      </c>
      <c r="B1796" s="13" t="s">
        <v>2330</v>
      </c>
      <c r="C1796" t="s">
        <v>2805</v>
      </c>
      <c r="D1796" t="s">
        <v>1838</v>
      </c>
      <c r="E1796" t="s">
        <v>3033</v>
      </c>
      <c r="G1796" t="s">
        <v>63</v>
      </c>
      <c r="H1796" s="75" t="str">
        <f>IFERROR(VLOOKUP(Table2[[#This Row],[Ticket]],Okey!A:B,2,0),"")</f>
        <v>ok</v>
      </c>
      <c r="I1796" t="s">
        <v>19</v>
      </c>
      <c r="J1796" t="str">
        <f>VLOOKUP(Table2[[#This Row],[Author]],People!A:B,2,0)</f>
        <v>EL</v>
      </c>
      <c r="M1796" t="s">
        <v>1752</v>
      </c>
    </row>
    <row r="1797" spans="1:13" x14ac:dyDescent="0.25">
      <c r="A1797" s="75">
        <f t="shared" si="27"/>
        <v>1796</v>
      </c>
      <c r="B1797" s="13" t="s">
        <v>2330</v>
      </c>
      <c r="C1797" t="s">
        <v>2805</v>
      </c>
      <c r="D1797" t="s">
        <v>3034</v>
      </c>
      <c r="E1797" t="s">
        <v>3035</v>
      </c>
      <c r="G1797" t="s">
        <v>63</v>
      </c>
      <c r="H1797" s="75" t="str">
        <f>IFERROR(VLOOKUP(Table2[[#This Row],[Ticket]],Okey!A:B,2,0),"")</f>
        <v>ok</v>
      </c>
      <c r="I1797" t="s">
        <v>19</v>
      </c>
      <c r="J1797" t="str">
        <f>VLOOKUP(Table2[[#This Row],[Author]],People!A:B,2,0)</f>
        <v>EL</v>
      </c>
      <c r="M1797" t="s">
        <v>1752</v>
      </c>
    </row>
    <row r="1798" spans="1:13" x14ac:dyDescent="0.25">
      <c r="A1798" s="75">
        <f t="shared" si="27"/>
        <v>1797</v>
      </c>
      <c r="B1798" s="13" t="s">
        <v>2330</v>
      </c>
      <c r="C1798" t="s">
        <v>2805</v>
      </c>
      <c r="D1798" t="s">
        <v>3036</v>
      </c>
      <c r="E1798" t="s">
        <v>3037</v>
      </c>
      <c r="G1798" t="s">
        <v>63</v>
      </c>
      <c r="H1798" s="75" t="str">
        <f>IFERROR(VLOOKUP(Table2[[#This Row],[Ticket]],Okey!A:B,2,0),"")</f>
        <v>ok</v>
      </c>
      <c r="I1798" t="s">
        <v>19</v>
      </c>
      <c r="J1798" t="str">
        <f>VLOOKUP(Table2[[#This Row],[Author]],People!A:B,2,0)</f>
        <v>EL</v>
      </c>
      <c r="M1798" t="s">
        <v>1752</v>
      </c>
    </row>
    <row r="1799" spans="1:13" x14ac:dyDescent="0.25">
      <c r="A1799" s="75">
        <f t="shared" si="27"/>
        <v>1798</v>
      </c>
      <c r="B1799" s="13" t="s">
        <v>2330</v>
      </c>
      <c r="C1799" t="s">
        <v>2805</v>
      </c>
      <c r="D1799" t="s">
        <v>3038</v>
      </c>
      <c r="E1799" t="s">
        <v>3039</v>
      </c>
      <c r="G1799" t="s">
        <v>63</v>
      </c>
      <c r="H1799" s="75" t="str">
        <f>IFERROR(VLOOKUP(Table2[[#This Row],[Ticket]],Okey!A:B,2,0),"")</f>
        <v>ok</v>
      </c>
      <c r="I1799" t="s">
        <v>19</v>
      </c>
      <c r="J1799" t="str">
        <f>VLOOKUP(Table2[[#This Row],[Author]],People!A:B,2,0)</f>
        <v>EL</v>
      </c>
      <c r="M1799" t="s">
        <v>1752</v>
      </c>
    </row>
    <row r="1800" spans="1:13" x14ac:dyDescent="0.25">
      <c r="A1800" s="75">
        <f t="shared" si="27"/>
        <v>1799</v>
      </c>
      <c r="B1800" s="13" t="s">
        <v>2330</v>
      </c>
      <c r="C1800" t="s">
        <v>2805</v>
      </c>
      <c r="D1800" t="s">
        <v>3040</v>
      </c>
      <c r="E1800" t="s">
        <v>3041</v>
      </c>
      <c r="G1800" t="s">
        <v>63</v>
      </c>
      <c r="H1800" s="75" t="str">
        <f>IFERROR(VLOOKUP(Table2[[#This Row],[Ticket]],Okey!A:B,2,0),"")</f>
        <v>ok</v>
      </c>
      <c r="I1800" t="s">
        <v>19</v>
      </c>
      <c r="J1800" t="str">
        <f>VLOOKUP(Table2[[#This Row],[Author]],People!A:B,2,0)</f>
        <v>EL</v>
      </c>
      <c r="M1800" t="s">
        <v>1752</v>
      </c>
    </row>
    <row r="1801" spans="1:13" x14ac:dyDescent="0.25">
      <c r="A1801" s="75">
        <f t="shared" ref="A1801:A1864" si="28">1+A1800</f>
        <v>1800</v>
      </c>
      <c r="B1801" s="13" t="s">
        <v>2330</v>
      </c>
      <c r="C1801" t="s">
        <v>2805</v>
      </c>
      <c r="D1801" t="s">
        <v>3042</v>
      </c>
      <c r="E1801" t="s">
        <v>3043</v>
      </c>
      <c r="G1801" t="s">
        <v>63</v>
      </c>
      <c r="H1801" s="75" t="str">
        <f>IFERROR(VLOOKUP(Table2[[#This Row],[Ticket]],Okey!A:B,2,0),"")</f>
        <v>ok</v>
      </c>
      <c r="I1801" t="s">
        <v>19</v>
      </c>
      <c r="J1801" t="str">
        <f>VLOOKUP(Table2[[#This Row],[Author]],People!A:B,2,0)</f>
        <v>EL</v>
      </c>
      <c r="M1801" t="s">
        <v>1752</v>
      </c>
    </row>
    <row r="1802" spans="1:13" x14ac:dyDescent="0.25">
      <c r="A1802" s="75">
        <f t="shared" si="28"/>
        <v>1801</v>
      </c>
      <c r="B1802" s="13" t="s">
        <v>2330</v>
      </c>
      <c r="C1802" t="s">
        <v>2805</v>
      </c>
      <c r="D1802" t="s">
        <v>3044</v>
      </c>
      <c r="E1802" t="s">
        <v>3045</v>
      </c>
      <c r="G1802" t="s">
        <v>63</v>
      </c>
      <c r="H1802" s="75" t="str">
        <f>IFERROR(VLOOKUP(Table2[[#This Row],[Ticket]],Okey!A:B,2,0),"")</f>
        <v>ok</v>
      </c>
      <c r="I1802" t="s">
        <v>19</v>
      </c>
      <c r="J1802" t="str">
        <f>VLOOKUP(Table2[[#This Row],[Author]],People!A:B,2,0)</f>
        <v>EL</v>
      </c>
      <c r="M1802" t="s">
        <v>1752</v>
      </c>
    </row>
    <row r="1803" spans="1:13" x14ac:dyDescent="0.25">
      <c r="A1803" s="75">
        <f t="shared" si="28"/>
        <v>1802</v>
      </c>
      <c r="B1803" s="13" t="s">
        <v>2330</v>
      </c>
      <c r="C1803" t="s">
        <v>2805</v>
      </c>
      <c r="D1803" t="s">
        <v>3046</v>
      </c>
      <c r="E1803" t="s">
        <v>3047</v>
      </c>
      <c r="G1803" t="s">
        <v>63</v>
      </c>
      <c r="H1803" s="75" t="str">
        <f>IFERROR(VLOOKUP(Table2[[#This Row],[Ticket]],Okey!A:B,2,0),"")</f>
        <v>ok</v>
      </c>
      <c r="I1803" t="s">
        <v>19</v>
      </c>
      <c r="J1803" t="str">
        <f>VLOOKUP(Table2[[#This Row],[Author]],People!A:B,2,0)</f>
        <v>EL</v>
      </c>
      <c r="M1803" t="s">
        <v>1752</v>
      </c>
    </row>
    <row r="1804" spans="1:13" x14ac:dyDescent="0.25">
      <c r="A1804" s="75">
        <f t="shared" si="28"/>
        <v>1803</v>
      </c>
      <c r="B1804" s="13" t="s">
        <v>2330</v>
      </c>
      <c r="C1804" t="s">
        <v>2805</v>
      </c>
      <c r="D1804" t="s">
        <v>3048</v>
      </c>
      <c r="E1804" t="s">
        <v>3049</v>
      </c>
      <c r="G1804" t="s">
        <v>63</v>
      </c>
      <c r="H1804" s="75" t="str">
        <f>IFERROR(VLOOKUP(Table2[[#This Row],[Ticket]],Okey!A:B,2,0),"")</f>
        <v>ok</v>
      </c>
      <c r="I1804" t="s">
        <v>19</v>
      </c>
      <c r="J1804" t="str">
        <f>VLOOKUP(Table2[[#This Row],[Author]],People!A:B,2,0)</f>
        <v>EL</v>
      </c>
      <c r="M1804" t="s">
        <v>1752</v>
      </c>
    </row>
    <row r="1805" spans="1:13" x14ac:dyDescent="0.25">
      <c r="A1805" s="75">
        <f t="shared" si="28"/>
        <v>1804</v>
      </c>
      <c r="B1805" s="13" t="s">
        <v>2330</v>
      </c>
      <c r="C1805" t="s">
        <v>2805</v>
      </c>
      <c r="D1805" t="s">
        <v>3050</v>
      </c>
      <c r="E1805" t="s">
        <v>3051</v>
      </c>
      <c r="G1805" t="s">
        <v>63</v>
      </c>
      <c r="H1805" s="75" t="str">
        <f>IFERROR(VLOOKUP(Table2[[#This Row],[Ticket]],Okey!A:B,2,0),"")</f>
        <v>ok</v>
      </c>
      <c r="I1805" t="s">
        <v>19</v>
      </c>
      <c r="J1805" t="str">
        <f>VLOOKUP(Table2[[#This Row],[Author]],People!A:B,2,0)</f>
        <v>EL</v>
      </c>
      <c r="M1805" t="s">
        <v>1752</v>
      </c>
    </row>
    <row r="1806" spans="1:13" x14ac:dyDescent="0.25">
      <c r="A1806" s="75">
        <f t="shared" si="28"/>
        <v>1805</v>
      </c>
      <c r="B1806" s="13" t="s">
        <v>2330</v>
      </c>
      <c r="C1806" t="s">
        <v>2805</v>
      </c>
      <c r="D1806" t="s">
        <v>3052</v>
      </c>
      <c r="E1806" t="s">
        <v>3053</v>
      </c>
      <c r="G1806" t="s">
        <v>63</v>
      </c>
      <c r="H1806" s="75" t="str">
        <f>IFERROR(VLOOKUP(Table2[[#This Row],[Ticket]],Okey!A:B,2,0),"")</f>
        <v>ok</v>
      </c>
      <c r="I1806" t="s">
        <v>19</v>
      </c>
      <c r="J1806" t="str">
        <f>VLOOKUP(Table2[[#This Row],[Author]],People!A:B,2,0)</f>
        <v>EL</v>
      </c>
      <c r="M1806" t="s">
        <v>1752</v>
      </c>
    </row>
    <row r="1807" spans="1:13" x14ac:dyDescent="0.25">
      <c r="A1807" s="75">
        <f t="shared" si="28"/>
        <v>1806</v>
      </c>
      <c r="B1807" s="13" t="s">
        <v>2330</v>
      </c>
      <c r="C1807" t="s">
        <v>2805</v>
      </c>
      <c r="D1807" t="s">
        <v>3054</v>
      </c>
      <c r="E1807" t="s">
        <v>3055</v>
      </c>
      <c r="G1807" t="s">
        <v>63</v>
      </c>
      <c r="H1807" s="75" t="str">
        <f>IFERROR(VLOOKUP(Table2[[#This Row],[Ticket]],Okey!A:B,2,0),"")</f>
        <v>ok</v>
      </c>
      <c r="I1807" t="s">
        <v>19</v>
      </c>
      <c r="J1807" t="str">
        <f>VLOOKUP(Table2[[#This Row],[Author]],People!A:B,2,0)</f>
        <v>EL</v>
      </c>
      <c r="M1807" t="s">
        <v>1752</v>
      </c>
    </row>
    <row r="1808" spans="1:13" x14ac:dyDescent="0.25">
      <c r="A1808" s="75">
        <f t="shared" si="28"/>
        <v>1807</v>
      </c>
      <c r="B1808" s="13" t="s">
        <v>2330</v>
      </c>
      <c r="C1808" t="s">
        <v>2805</v>
      </c>
      <c r="D1808" t="s">
        <v>3056</v>
      </c>
      <c r="E1808" t="s">
        <v>3057</v>
      </c>
      <c r="G1808" t="s">
        <v>63</v>
      </c>
      <c r="H1808" s="75" t="str">
        <f>IFERROR(VLOOKUP(Table2[[#This Row],[Ticket]],Okey!A:B,2,0),"")</f>
        <v>ok</v>
      </c>
      <c r="I1808" t="s">
        <v>19</v>
      </c>
      <c r="J1808" t="str">
        <f>VLOOKUP(Table2[[#This Row],[Author]],People!A:B,2,0)</f>
        <v>EL</v>
      </c>
      <c r="M1808" t="s">
        <v>1752</v>
      </c>
    </row>
    <row r="1809" spans="1:13" x14ac:dyDescent="0.25">
      <c r="A1809" s="75">
        <f t="shared" si="28"/>
        <v>1808</v>
      </c>
      <c r="B1809" s="13" t="s">
        <v>2330</v>
      </c>
      <c r="C1809" t="s">
        <v>2805</v>
      </c>
      <c r="D1809" t="s">
        <v>3058</v>
      </c>
      <c r="E1809" t="s">
        <v>3059</v>
      </c>
      <c r="G1809" t="s">
        <v>63</v>
      </c>
      <c r="H1809" s="75" t="str">
        <f>IFERROR(VLOOKUP(Table2[[#This Row],[Ticket]],Okey!A:B,2,0),"")</f>
        <v>ok</v>
      </c>
      <c r="I1809" t="s">
        <v>19</v>
      </c>
      <c r="J1809" t="str">
        <f>VLOOKUP(Table2[[#This Row],[Author]],People!A:B,2,0)</f>
        <v>EL</v>
      </c>
      <c r="M1809" t="s">
        <v>1752</v>
      </c>
    </row>
    <row r="1810" spans="1:13" x14ac:dyDescent="0.25">
      <c r="A1810" s="75">
        <f t="shared" si="28"/>
        <v>1809</v>
      </c>
      <c r="B1810" s="13" t="s">
        <v>2330</v>
      </c>
      <c r="C1810" t="s">
        <v>2805</v>
      </c>
      <c r="D1810" t="s">
        <v>1840</v>
      </c>
      <c r="E1810" t="s">
        <v>3060</v>
      </c>
      <c r="G1810" t="s">
        <v>63</v>
      </c>
      <c r="H1810" s="75" t="str">
        <f>IFERROR(VLOOKUP(Table2[[#This Row],[Ticket]],Okey!A:B,2,0),"")</f>
        <v>ok</v>
      </c>
      <c r="I1810" t="s">
        <v>19</v>
      </c>
      <c r="J1810" t="str">
        <f>VLOOKUP(Table2[[#This Row],[Author]],People!A:B,2,0)</f>
        <v>EL</v>
      </c>
      <c r="M1810" t="s">
        <v>1752</v>
      </c>
    </row>
    <row r="1811" spans="1:13" x14ac:dyDescent="0.25">
      <c r="A1811" s="75">
        <f t="shared" si="28"/>
        <v>1810</v>
      </c>
      <c r="B1811" s="13" t="s">
        <v>2330</v>
      </c>
      <c r="C1811" t="s">
        <v>2805</v>
      </c>
      <c r="D1811" t="s">
        <v>3061</v>
      </c>
      <c r="E1811" t="s">
        <v>3062</v>
      </c>
      <c r="G1811" t="s">
        <v>63</v>
      </c>
      <c r="H1811" s="75" t="str">
        <f>IFERROR(VLOOKUP(Table2[[#This Row],[Ticket]],Okey!A:B,2,0),"")</f>
        <v>ok</v>
      </c>
      <c r="I1811" t="s">
        <v>19</v>
      </c>
      <c r="J1811" t="str">
        <f>VLOOKUP(Table2[[#This Row],[Author]],People!A:B,2,0)</f>
        <v>EL</v>
      </c>
      <c r="M1811" t="s">
        <v>1752</v>
      </c>
    </row>
    <row r="1812" spans="1:13" x14ac:dyDescent="0.25">
      <c r="A1812" s="75">
        <f t="shared" si="28"/>
        <v>1811</v>
      </c>
      <c r="B1812" s="13" t="s">
        <v>2330</v>
      </c>
      <c r="C1812" t="s">
        <v>2805</v>
      </c>
      <c r="D1812" t="s">
        <v>3063</v>
      </c>
      <c r="E1812" t="s">
        <v>3064</v>
      </c>
      <c r="G1812" t="s">
        <v>63</v>
      </c>
      <c r="H1812" s="75" t="str">
        <f>IFERROR(VLOOKUP(Table2[[#This Row],[Ticket]],Okey!A:B,2,0),"")</f>
        <v>ok</v>
      </c>
      <c r="I1812" t="s">
        <v>19</v>
      </c>
      <c r="J1812" t="str">
        <f>VLOOKUP(Table2[[#This Row],[Author]],People!A:B,2,0)</f>
        <v>EL</v>
      </c>
      <c r="M1812" t="s">
        <v>1752</v>
      </c>
    </row>
    <row r="1813" spans="1:13" x14ac:dyDescent="0.25">
      <c r="A1813" s="75">
        <f t="shared" si="28"/>
        <v>1812</v>
      </c>
      <c r="B1813" s="13" t="s">
        <v>2330</v>
      </c>
      <c r="C1813" t="s">
        <v>2805</v>
      </c>
      <c r="D1813" t="s">
        <v>3065</v>
      </c>
      <c r="E1813" t="s">
        <v>3066</v>
      </c>
      <c r="G1813" t="s">
        <v>63</v>
      </c>
      <c r="H1813" s="75" t="str">
        <f>IFERROR(VLOOKUP(Table2[[#This Row],[Ticket]],Okey!A:B,2,0),"")</f>
        <v>ok</v>
      </c>
      <c r="I1813" t="s">
        <v>19</v>
      </c>
      <c r="J1813" t="str">
        <f>VLOOKUP(Table2[[#This Row],[Author]],People!A:B,2,0)</f>
        <v>EL</v>
      </c>
      <c r="M1813" t="s">
        <v>1752</v>
      </c>
    </row>
    <row r="1814" spans="1:13" x14ac:dyDescent="0.25">
      <c r="A1814" s="75">
        <f t="shared" si="28"/>
        <v>1813</v>
      </c>
      <c r="B1814" s="13" t="s">
        <v>2330</v>
      </c>
      <c r="C1814" t="s">
        <v>2805</v>
      </c>
      <c r="D1814" t="s">
        <v>3067</v>
      </c>
      <c r="E1814" t="s">
        <v>3068</v>
      </c>
      <c r="G1814" t="s">
        <v>63</v>
      </c>
      <c r="H1814" s="75" t="str">
        <f>IFERROR(VLOOKUP(Table2[[#This Row],[Ticket]],Okey!A:B,2,0),"")</f>
        <v>ok</v>
      </c>
      <c r="I1814" t="s">
        <v>19</v>
      </c>
      <c r="J1814" t="str">
        <f>VLOOKUP(Table2[[#This Row],[Author]],People!A:B,2,0)</f>
        <v>EL</v>
      </c>
      <c r="M1814" t="s">
        <v>1752</v>
      </c>
    </row>
    <row r="1815" spans="1:13" x14ac:dyDescent="0.25">
      <c r="A1815" s="75">
        <f t="shared" si="28"/>
        <v>1814</v>
      </c>
      <c r="B1815" s="13" t="s">
        <v>2330</v>
      </c>
      <c r="C1815" t="s">
        <v>2805</v>
      </c>
      <c r="D1815" t="s">
        <v>3069</v>
      </c>
      <c r="E1815" t="s">
        <v>3070</v>
      </c>
      <c r="G1815" t="s">
        <v>63</v>
      </c>
      <c r="H1815" s="75" t="str">
        <f>IFERROR(VLOOKUP(Table2[[#This Row],[Ticket]],Okey!A:B,2,0),"")</f>
        <v>ok</v>
      </c>
      <c r="I1815" t="s">
        <v>19</v>
      </c>
      <c r="J1815" t="str">
        <f>VLOOKUP(Table2[[#This Row],[Author]],People!A:B,2,0)</f>
        <v>EL</v>
      </c>
      <c r="M1815" t="s">
        <v>1752</v>
      </c>
    </row>
    <row r="1816" spans="1:13" x14ac:dyDescent="0.25">
      <c r="A1816" s="75">
        <f t="shared" si="28"/>
        <v>1815</v>
      </c>
      <c r="B1816" s="13" t="s">
        <v>2330</v>
      </c>
      <c r="C1816" t="s">
        <v>2805</v>
      </c>
      <c r="D1816" t="s">
        <v>3071</v>
      </c>
      <c r="E1816" t="s">
        <v>3072</v>
      </c>
      <c r="G1816" t="s">
        <v>63</v>
      </c>
      <c r="H1816" s="75" t="str">
        <f>IFERROR(VLOOKUP(Table2[[#This Row],[Ticket]],Okey!A:B,2,0),"")</f>
        <v>ok</v>
      </c>
      <c r="I1816" t="s">
        <v>19</v>
      </c>
      <c r="J1816" t="str">
        <f>VLOOKUP(Table2[[#This Row],[Author]],People!A:B,2,0)</f>
        <v>EL</v>
      </c>
      <c r="M1816" t="s">
        <v>1752</v>
      </c>
    </row>
    <row r="1817" spans="1:13" x14ac:dyDescent="0.25">
      <c r="A1817" s="75">
        <f t="shared" si="28"/>
        <v>1816</v>
      </c>
      <c r="B1817" s="13" t="s">
        <v>2330</v>
      </c>
      <c r="C1817" t="s">
        <v>2805</v>
      </c>
      <c r="D1817" t="s">
        <v>3073</v>
      </c>
      <c r="E1817" t="s">
        <v>3074</v>
      </c>
      <c r="G1817" t="s">
        <v>63</v>
      </c>
      <c r="H1817" s="75" t="str">
        <f>IFERROR(VLOOKUP(Table2[[#This Row],[Ticket]],Okey!A:B,2,0),"")</f>
        <v>ok</v>
      </c>
      <c r="I1817" t="s">
        <v>19</v>
      </c>
      <c r="J1817" t="str">
        <f>VLOOKUP(Table2[[#This Row],[Author]],People!A:B,2,0)</f>
        <v>EL</v>
      </c>
      <c r="M1817" t="s">
        <v>1752</v>
      </c>
    </row>
    <row r="1818" spans="1:13" x14ac:dyDescent="0.25">
      <c r="A1818" s="75">
        <f t="shared" si="28"/>
        <v>1817</v>
      </c>
      <c r="B1818" s="13" t="s">
        <v>2330</v>
      </c>
      <c r="C1818" t="s">
        <v>2805</v>
      </c>
      <c r="D1818" t="s">
        <v>3075</v>
      </c>
      <c r="E1818" t="s">
        <v>3076</v>
      </c>
      <c r="G1818" t="s">
        <v>63</v>
      </c>
      <c r="H1818" s="75" t="str">
        <f>IFERROR(VLOOKUP(Table2[[#This Row],[Ticket]],Okey!A:B,2,0),"")</f>
        <v>ok</v>
      </c>
      <c r="I1818" t="s">
        <v>19</v>
      </c>
      <c r="J1818" t="str">
        <f>VLOOKUP(Table2[[#This Row],[Author]],People!A:B,2,0)</f>
        <v>EL</v>
      </c>
      <c r="M1818" t="s">
        <v>1752</v>
      </c>
    </row>
    <row r="1819" spans="1:13" x14ac:dyDescent="0.25">
      <c r="A1819" s="75">
        <f t="shared" si="28"/>
        <v>1818</v>
      </c>
      <c r="B1819" s="13" t="s">
        <v>2330</v>
      </c>
      <c r="C1819" t="s">
        <v>2805</v>
      </c>
      <c r="D1819" t="s">
        <v>3077</v>
      </c>
      <c r="E1819" t="s">
        <v>3078</v>
      </c>
      <c r="G1819" t="s">
        <v>63</v>
      </c>
      <c r="H1819" s="75" t="str">
        <f>IFERROR(VLOOKUP(Table2[[#This Row],[Ticket]],Okey!A:B,2,0),"")</f>
        <v>ok</v>
      </c>
      <c r="I1819" t="s">
        <v>19</v>
      </c>
      <c r="J1819" t="str">
        <f>VLOOKUP(Table2[[#This Row],[Author]],People!A:B,2,0)</f>
        <v>EL</v>
      </c>
      <c r="M1819" t="s">
        <v>1752</v>
      </c>
    </row>
    <row r="1820" spans="1:13" x14ac:dyDescent="0.25">
      <c r="A1820" s="75">
        <f t="shared" si="28"/>
        <v>1819</v>
      </c>
      <c r="B1820" s="13" t="s">
        <v>2330</v>
      </c>
      <c r="C1820" t="s">
        <v>2805</v>
      </c>
      <c r="D1820" t="s">
        <v>3079</v>
      </c>
      <c r="E1820" t="s">
        <v>3080</v>
      </c>
      <c r="G1820" t="s">
        <v>63</v>
      </c>
      <c r="H1820" s="75" t="str">
        <f>IFERROR(VLOOKUP(Table2[[#This Row],[Ticket]],Okey!A:B,2,0),"")</f>
        <v>ok</v>
      </c>
      <c r="I1820" t="s">
        <v>19</v>
      </c>
      <c r="J1820" t="str">
        <f>VLOOKUP(Table2[[#This Row],[Author]],People!A:B,2,0)</f>
        <v>EL</v>
      </c>
      <c r="M1820" t="s">
        <v>1752</v>
      </c>
    </row>
    <row r="1821" spans="1:13" x14ac:dyDescent="0.25">
      <c r="A1821" s="75">
        <f t="shared" si="28"/>
        <v>1820</v>
      </c>
      <c r="B1821" s="13" t="s">
        <v>2330</v>
      </c>
      <c r="C1821" t="s">
        <v>2805</v>
      </c>
      <c r="D1821" t="s">
        <v>3081</v>
      </c>
      <c r="E1821" t="s">
        <v>3082</v>
      </c>
      <c r="G1821" t="s">
        <v>63</v>
      </c>
      <c r="H1821" s="75" t="str">
        <f>IFERROR(VLOOKUP(Table2[[#This Row],[Ticket]],Okey!A:B,2,0),"")</f>
        <v>ok</v>
      </c>
      <c r="I1821" t="s">
        <v>19</v>
      </c>
      <c r="J1821" t="str">
        <f>VLOOKUP(Table2[[#This Row],[Author]],People!A:B,2,0)</f>
        <v>EL</v>
      </c>
      <c r="M1821" t="s">
        <v>1752</v>
      </c>
    </row>
    <row r="1822" spans="1:13" x14ac:dyDescent="0.25">
      <c r="A1822" s="75">
        <f t="shared" si="28"/>
        <v>1821</v>
      </c>
      <c r="B1822" s="13" t="s">
        <v>2330</v>
      </c>
      <c r="C1822" t="s">
        <v>2805</v>
      </c>
      <c r="D1822" t="s">
        <v>3083</v>
      </c>
      <c r="E1822" t="s">
        <v>3084</v>
      </c>
      <c r="G1822" t="s">
        <v>63</v>
      </c>
      <c r="H1822" s="75" t="str">
        <f>IFERROR(VLOOKUP(Table2[[#This Row],[Ticket]],Okey!A:B,2,0),"")</f>
        <v>ok</v>
      </c>
      <c r="I1822" t="s">
        <v>19</v>
      </c>
      <c r="J1822" t="str">
        <f>VLOOKUP(Table2[[#This Row],[Author]],People!A:B,2,0)</f>
        <v>EL</v>
      </c>
      <c r="M1822" t="s">
        <v>1752</v>
      </c>
    </row>
    <row r="1823" spans="1:13" x14ac:dyDescent="0.25">
      <c r="A1823" s="75">
        <f t="shared" si="28"/>
        <v>1822</v>
      </c>
      <c r="B1823" s="13" t="s">
        <v>2330</v>
      </c>
      <c r="C1823" t="s">
        <v>2805</v>
      </c>
      <c r="D1823" t="s">
        <v>3085</v>
      </c>
      <c r="E1823" t="s">
        <v>3086</v>
      </c>
      <c r="G1823" t="s">
        <v>63</v>
      </c>
      <c r="H1823" s="75" t="str">
        <f>IFERROR(VLOOKUP(Table2[[#This Row],[Ticket]],Okey!A:B,2,0),"")</f>
        <v>ok</v>
      </c>
      <c r="I1823" t="s">
        <v>19</v>
      </c>
      <c r="J1823" t="str">
        <f>VLOOKUP(Table2[[#This Row],[Author]],People!A:B,2,0)</f>
        <v>EL</v>
      </c>
      <c r="M1823" t="s">
        <v>1752</v>
      </c>
    </row>
    <row r="1824" spans="1:13" x14ac:dyDescent="0.25">
      <c r="A1824" s="75">
        <f t="shared" si="28"/>
        <v>1823</v>
      </c>
      <c r="B1824" s="13" t="s">
        <v>2330</v>
      </c>
      <c r="C1824" t="s">
        <v>2805</v>
      </c>
      <c r="D1824" t="s">
        <v>1842</v>
      </c>
      <c r="E1824" t="s">
        <v>3087</v>
      </c>
      <c r="G1824" t="s">
        <v>63</v>
      </c>
      <c r="H1824" s="75" t="str">
        <f>IFERROR(VLOOKUP(Table2[[#This Row],[Ticket]],Okey!A:B,2,0),"")</f>
        <v>ok</v>
      </c>
      <c r="I1824" t="s">
        <v>19</v>
      </c>
      <c r="J1824" t="str">
        <f>VLOOKUP(Table2[[#This Row],[Author]],People!A:B,2,0)</f>
        <v>EL</v>
      </c>
      <c r="M1824" t="s">
        <v>1752</v>
      </c>
    </row>
    <row r="1825" spans="1:13" x14ac:dyDescent="0.25">
      <c r="A1825" s="75">
        <f t="shared" si="28"/>
        <v>1824</v>
      </c>
      <c r="B1825" s="13" t="s">
        <v>2330</v>
      </c>
      <c r="C1825" t="s">
        <v>2805</v>
      </c>
      <c r="D1825" t="s">
        <v>3088</v>
      </c>
      <c r="E1825" t="s">
        <v>3089</v>
      </c>
      <c r="G1825" t="s">
        <v>63</v>
      </c>
      <c r="H1825" s="75" t="str">
        <f>IFERROR(VLOOKUP(Table2[[#This Row],[Ticket]],Okey!A:B,2,0),"")</f>
        <v>ok</v>
      </c>
      <c r="I1825" t="s">
        <v>19</v>
      </c>
      <c r="J1825" t="str">
        <f>VLOOKUP(Table2[[#This Row],[Author]],People!A:B,2,0)</f>
        <v>EL</v>
      </c>
      <c r="M1825" t="s">
        <v>1752</v>
      </c>
    </row>
    <row r="1826" spans="1:13" x14ac:dyDescent="0.25">
      <c r="A1826" s="75">
        <f t="shared" si="28"/>
        <v>1825</v>
      </c>
      <c r="B1826" s="13" t="s">
        <v>2330</v>
      </c>
      <c r="C1826" t="s">
        <v>2805</v>
      </c>
      <c r="D1826" t="s">
        <v>3090</v>
      </c>
      <c r="E1826" t="s">
        <v>3091</v>
      </c>
      <c r="G1826" t="s">
        <v>63</v>
      </c>
      <c r="H1826" s="75" t="str">
        <f>IFERROR(VLOOKUP(Table2[[#This Row],[Ticket]],Okey!A:B,2,0),"")</f>
        <v>ok</v>
      </c>
      <c r="I1826" t="s">
        <v>19</v>
      </c>
      <c r="J1826" t="str">
        <f>VLOOKUP(Table2[[#This Row],[Author]],People!A:B,2,0)</f>
        <v>EL</v>
      </c>
      <c r="M1826" t="s">
        <v>1752</v>
      </c>
    </row>
    <row r="1827" spans="1:13" x14ac:dyDescent="0.25">
      <c r="A1827" s="75">
        <f t="shared" si="28"/>
        <v>1826</v>
      </c>
      <c r="B1827" s="13" t="s">
        <v>2330</v>
      </c>
      <c r="C1827" t="s">
        <v>2805</v>
      </c>
      <c r="D1827" t="s">
        <v>3092</v>
      </c>
      <c r="E1827" t="s">
        <v>3093</v>
      </c>
      <c r="G1827" t="s">
        <v>63</v>
      </c>
      <c r="H1827" s="75" t="str">
        <f>IFERROR(VLOOKUP(Table2[[#This Row],[Ticket]],Okey!A:B,2,0),"")</f>
        <v>ok</v>
      </c>
      <c r="I1827" t="s">
        <v>19</v>
      </c>
      <c r="J1827" t="str">
        <f>VLOOKUP(Table2[[#This Row],[Author]],People!A:B,2,0)</f>
        <v>EL</v>
      </c>
      <c r="M1827" t="s">
        <v>1752</v>
      </c>
    </row>
    <row r="1828" spans="1:13" x14ac:dyDescent="0.25">
      <c r="A1828" s="75">
        <f t="shared" si="28"/>
        <v>1827</v>
      </c>
      <c r="B1828" s="13" t="s">
        <v>2330</v>
      </c>
      <c r="C1828" t="s">
        <v>2805</v>
      </c>
      <c r="D1828" t="s">
        <v>3094</v>
      </c>
      <c r="E1828" t="s">
        <v>3095</v>
      </c>
      <c r="G1828" t="s">
        <v>63</v>
      </c>
      <c r="H1828" s="75" t="str">
        <f>IFERROR(VLOOKUP(Table2[[#This Row],[Ticket]],Okey!A:B,2,0),"")</f>
        <v>ok</v>
      </c>
      <c r="I1828" t="s">
        <v>19</v>
      </c>
      <c r="J1828" t="str">
        <f>VLOOKUP(Table2[[#This Row],[Author]],People!A:B,2,0)</f>
        <v>EL</v>
      </c>
      <c r="M1828" t="s">
        <v>1752</v>
      </c>
    </row>
    <row r="1829" spans="1:13" x14ac:dyDescent="0.25">
      <c r="A1829" s="75">
        <f t="shared" si="28"/>
        <v>1828</v>
      </c>
      <c r="B1829" s="13" t="s">
        <v>2330</v>
      </c>
      <c r="C1829" t="s">
        <v>2805</v>
      </c>
      <c r="D1829" t="s">
        <v>3096</v>
      </c>
      <c r="E1829" t="s">
        <v>3097</v>
      </c>
      <c r="G1829" t="s">
        <v>63</v>
      </c>
      <c r="H1829" s="75" t="str">
        <f>IFERROR(VLOOKUP(Table2[[#This Row],[Ticket]],Okey!A:B,2,0),"")</f>
        <v>ok</v>
      </c>
      <c r="I1829" t="s">
        <v>19</v>
      </c>
      <c r="J1829" t="str">
        <f>VLOOKUP(Table2[[#This Row],[Author]],People!A:B,2,0)</f>
        <v>EL</v>
      </c>
      <c r="M1829" t="s">
        <v>1752</v>
      </c>
    </row>
    <row r="1830" spans="1:13" x14ac:dyDescent="0.25">
      <c r="A1830" s="75">
        <f t="shared" si="28"/>
        <v>1829</v>
      </c>
      <c r="B1830" s="13" t="s">
        <v>2330</v>
      </c>
      <c r="C1830" t="s">
        <v>2805</v>
      </c>
      <c r="D1830" t="s">
        <v>3098</v>
      </c>
      <c r="E1830" t="s">
        <v>3099</v>
      </c>
      <c r="G1830" t="s">
        <v>63</v>
      </c>
      <c r="H1830" s="75" t="str">
        <f>IFERROR(VLOOKUP(Table2[[#This Row],[Ticket]],Okey!A:B,2,0),"")</f>
        <v>ok</v>
      </c>
      <c r="I1830" t="s">
        <v>19</v>
      </c>
      <c r="J1830" t="str">
        <f>VLOOKUP(Table2[[#This Row],[Author]],People!A:B,2,0)</f>
        <v>EL</v>
      </c>
      <c r="M1830" t="s">
        <v>1752</v>
      </c>
    </row>
    <row r="1831" spans="1:13" x14ac:dyDescent="0.25">
      <c r="A1831" s="75">
        <f t="shared" si="28"/>
        <v>1830</v>
      </c>
      <c r="B1831" s="13" t="s">
        <v>2330</v>
      </c>
      <c r="C1831" t="s">
        <v>2805</v>
      </c>
      <c r="D1831" t="s">
        <v>3100</v>
      </c>
      <c r="E1831" t="s">
        <v>3101</v>
      </c>
      <c r="G1831" t="s">
        <v>63</v>
      </c>
      <c r="H1831" s="75" t="str">
        <f>IFERROR(VLOOKUP(Table2[[#This Row],[Ticket]],Okey!A:B,2,0),"")</f>
        <v>ok</v>
      </c>
      <c r="I1831" t="s">
        <v>19</v>
      </c>
      <c r="J1831" t="str">
        <f>VLOOKUP(Table2[[#This Row],[Author]],People!A:B,2,0)</f>
        <v>EL</v>
      </c>
      <c r="M1831" t="s">
        <v>1752</v>
      </c>
    </row>
    <row r="1832" spans="1:13" x14ac:dyDescent="0.25">
      <c r="A1832" s="75">
        <f t="shared" si="28"/>
        <v>1831</v>
      </c>
      <c r="B1832" s="13" t="s">
        <v>2330</v>
      </c>
      <c r="C1832" t="s">
        <v>2805</v>
      </c>
      <c r="D1832" t="s">
        <v>3102</v>
      </c>
      <c r="E1832" t="s">
        <v>3103</v>
      </c>
      <c r="G1832" t="s">
        <v>63</v>
      </c>
      <c r="H1832" s="75" t="str">
        <f>IFERROR(VLOOKUP(Table2[[#This Row],[Ticket]],Okey!A:B,2,0),"")</f>
        <v>ok</v>
      </c>
      <c r="I1832" t="s">
        <v>19</v>
      </c>
      <c r="J1832" t="str">
        <f>VLOOKUP(Table2[[#This Row],[Author]],People!A:B,2,0)</f>
        <v>EL</v>
      </c>
      <c r="M1832" t="s">
        <v>1752</v>
      </c>
    </row>
    <row r="1833" spans="1:13" x14ac:dyDescent="0.25">
      <c r="A1833" s="75">
        <f t="shared" si="28"/>
        <v>1832</v>
      </c>
      <c r="B1833" s="13" t="s">
        <v>2330</v>
      </c>
      <c r="C1833" t="s">
        <v>2805</v>
      </c>
      <c r="D1833" t="s">
        <v>3104</v>
      </c>
      <c r="E1833" t="s">
        <v>3105</v>
      </c>
      <c r="G1833" t="s">
        <v>63</v>
      </c>
      <c r="H1833" s="75" t="str">
        <f>IFERROR(VLOOKUP(Table2[[#This Row],[Ticket]],Okey!A:B,2,0),"")</f>
        <v>ok</v>
      </c>
      <c r="I1833" t="s">
        <v>19</v>
      </c>
      <c r="J1833" t="str">
        <f>VLOOKUP(Table2[[#This Row],[Author]],People!A:B,2,0)</f>
        <v>EL</v>
      </c>
      <c r="M1833" t="s">
        <v>1752</v>
      </c>
    </row>
    <row r="1834" spans="1:13" x14ac:dyDescent="0.25">
      <c r="A1834" s="75">
        <f t="shared" si="28"/>
        <v>1833</v>
      </c>
      <c r="B1834" s="13" t="s">
        <v>2330</v>
      </c>
      <c r="C1834" t="s">
        <v>2805</v>
      </c>
      <c r="D1834" t="s">
        <v>3106</v>
      </c>
      <c r="E1834" t="s">
        <v>3107</v>
      </c>
      <c r="G1834" t="s">
        <v>63</v>
      </c>
      <c r="H1834" s="75" t="str">
        <f>IFERROR(VLOOKUP(Table2[[#This Row],[Ticket]],Okey!A:B,2,0),"")</f>
        <v>ok</v>
      </c>
      <c r="I1834" t="s">
        <v>19</v>
      </c>
      <c r="J1834" t="str">
        <f>VLOOKUP(Table2[[#This Row],[Author]],People!A:B,2,0)</f>
        <v>EL</v>
      </c>
      <c r="M1834" t="s">
        <v>1752</v>
      </c>
    </row>
    <row r="1835" spans="1:13" x14ac:dyDescent="0.25">
      <c r="A1835" s="75">
        <f t="shared" si="28"/>
        <v>1834</v>
      </c>
      <c r="B1835" s="13" t="s">
        <v>2330</v>
      </c>
      <c r="C1835" t="s">
        <v>2805</v>
      </c>
      <c r="D1835" t="s">
        <v>3108</v>
      </c>
      <c r="E1835" t="s">
        <v>3109</v>
      </c>
      <c r="G1835" t="s">
        <v>63</v>
      </c>
      <c r="H1835" s="75" t="str">
        <f>IFERROR(VLOOKUP(Table2[[#This Row],[Ticket]],Okey!A:B,2,0),"")</f>
        <v>ok</v>
      </c>
      <c r="I1835" t="s">
        <v>19</v>
      </c>
      <c r="J1835" t="str">
        <f>VLOOKUP(Table2[[#This Row],[Author]],People!A:B,2,0)</f>
        <v>EL</v>
      </c>
      <c r="M1835" t="s">
        <v>1752</v>
      </c>
    </row>
    <row r="1836" spans="1:13" x14ac:dyDescent="0.25">
      <c r="A1836" s="75">
        <f t="shared" si="28"/>
        <v>1835</v>
      </c>
      <c r="B1836" s="13" t="s">
        <v>2330</v>
      </c>
      <c r="C1836" t="s">
        <v>2805</v>
      </c>
      <c r="D1836" t="s">
        <v>3110</v>
      </c>
      <c r="E1836" t="s">
        <v>3111</v>
      </c>
      <c r="G1836" t="s">
        <v>63</v>
      </c>
      <c r="H1836" s="75" t="str">
        <f>IFERROR(VLOOKUP(Table2[[#This Row],[Ticket]],Okey!A:B,2,0),"")</f>
        <v>ok</v>
      </c>
      <c r="I1836" t="s">
        <v>19</v>
      </c>
      <c r="J1836" t="str">
        <f>VLOOKUP(Table2[[#This Row],[Author]],People!A:B,2,0)</f>
        <v>EL</v>
      </c>
      <c r="M1836" t="s">
        <v>1752</v>
      </c>
    </row>
    <row r="1837" spans="1:13" x14ac:dyDescent="0.25">
      <c r="A1837" s="75">
        <f t="shared" si="28"/>
        <v>1836</v>
      </c>
      <c r="B1837" s="13" t="s">
        <v>2330</v>
      </c>
      <c r="C1837" t="s">
        <v>2805</v>
      </c>
      <c r="D1837" t="s">
        <v>3112</v>
      </c>
      <c r="E1837" t="s">
        <v>3113</v>
      </c>
      <c r="G1837" t="s">
        <v>63</v>
      </c>
      <c r="H1837" s="75" t="str">
        <f>IFERROR(VLOOKUP(Table2[[#This Row],[Ticket]],Okey!A:B,2,0),"")</f>
        <v>ok</v>
      </c>
      <c r="I1837" t="s">
        <v>19</v>
      </c>
      <c r="J1837" t="str">
        <f>VLOOKUP(Table2[[#This Row],[Author]],People!A:B,2,0)</f>
        <v>EL</v>
      </c>
      <c r="M1837" t="s">
        <v>1752</v>
      </c>
    </row>
    <row r="1838" spans="1:13" x14ac:dyDescent="0.25">
      <c r="A1838" s="75">
        <f t="shared" si="28"/>
        <v>1837</v>
      </c>
      <c r="B1838" s="13" t="s">
        <v>2330</v>
      </c>
      <c r="C1838" t="s">
        <v>2805</v>
      </c>
      <c r="D1838" t="s">
        <v>1844</v>
      </c>
      <c r="E1838" t="s">
        <v>3114</v>
      </c>
      <c r="G1838" t="s">
        <v>63</v>
      </c>
      <c r="H1838" s="75" t="str">
        <f>IFERROR(VLOOKUP(Table2[[#This Row],[Ticket]],Okey!A:B,2,0),"")</f>
        <v>ok</v>
      </c>
      <c r="I1838" t="s">
        <v>19</v>
      </c>
      <c r="J1838" t="str">
        <f>VLOOKUP(Table2[[#This Row],[Author]],People!A:B,2,0)</f>
        <v>EL</v>
      </c>
      <c r="M1838" t="s">
        <v>1752</v>
      </c>
    </row>
    <row r="1839" spans="1:13" x14ac:dyDescent="0.25">
      <c r="A1839" s="75">
        <f t="shared" si="28"/>
        <v>1838</v>
      </c>
      <c r="B1839" s="13" t="s">
        <v>2330</v>
      </c>
      <c r="C1839" t="s">
        <v>2805</v>
      </c>
      <c r="D1839" t="s">
        <v>3115</v>
      </c>
      <c r="E1839" t="s">
        <v>3116</v>
      </c>
      <c r="G1839" t="s">
        <v>63</v>
      </c>
      <c r="H1839" s="75" t="str">
        <f>IFERROR(VLOOKUP(Table2[[#This Row],[Ticket]],Okey!A:B,2,0),"")</f>
        <v>ok</v>
      </c>
      <c r="I1839" t="s">
        <v>19</v>
      </c>
      <c r="J1839" t="str">
        <f>VLOOKUP(Table2[[#This Row],[Author]],People!A:B,2,0)</f>
        <v>EL</v>
      </c>
      <c r="M1839" t="s">
        <v>1752</v>
      </c>
    </row>
    <row r="1840" spans="1:13" x14ac:dyDescent="0.25">
      <c r="A1840" s="75">
        <f t="shared" si="28"/>
        <v>1839</v>
      </c>
      <c r="B1840" s="13" t="s">
        <v>2330</v>
      </c>
      <c r="C1840" t="s">
        <v>2805</v>
      </c>
      <c r="D1840" t="s">
        <v>3117</v>
      </c>
      <c r="E1840" t="s">
        <v>3118</v>
      </c>
      <c r="G1840" t="s">
        <v>63</v>
      </c>
      <c r="H1840" s="75" t="str">
        <f>IFERROR(VLOOKUP(Table2[[#This Row],[Ticket]],Okey!A:B,2,0),"")</f>
        <v>ok</v>
      </c>
      <c r="I1840" t="s">
        <v>19</v>
      </c>
      <c r="J1840" t="str">
        <f>VLOOKUP(Table2[[#This Row],[Author]],People!A:B,2,0)</f>
        <v>EL</v>
      </c>
      <c r="M1840" t="s">
        <v>1752</v>
      </c>
    </row>
    <row r="1841" spans="1:13" x14ac:dyDescent="0.25">
      <c r="A1841" s="75">
        <f t="shared" si="28"/>
        <v>1840</v>
      </c>
      <c r="B1841" s="13" t="s">
        <v>2330</v>
      </c>
      <c r="C1841" t="s">
        <v>2805</v>
      </c>
      <c r="D1841" t="s">
        <v>3119</v>
      </c>
      <c r="E1841" t="s">
        <v>3120</v>
      </c>
      <c r="G1841" t="s">
        <v>63</v>
      </c>
      <c r="H1841" s="75" t="str">
        <f>IFERROR(VLOOKUP(Table2[[#This Row],[Ticket]],Okey!A:B,2,0),"")</f>
        <v>ok</v>
      </c>
      <c r="I1841" t="s">
        <v>19</v>
      </c>
      <c r="J1841" t="str">
        <f>VLOOKUP(Table2[[#This Row],[Author]],People!A:B,2,0)</f>
        <v>EL</v>
      </c>
      <c r="M1841" t="s">
        <v>1752</v>
      </c>
    </row>
    <row r="1842" spans="1:13" x14ac:dyDescent="0.25">
      <c r="A1842" s="75">
        <f t="shared" si="28"/>
        <v>1841</v>
      </c>
      <c r="B1842" s="13" t="s">
        <v>2330</v>
      </c>
      <c r="C1842" t="s">
        <v>2805</v>
      </c>
      <c r="D1842" t="s">
        <v>3121</v>
      </c>
      <c r="E1842" t="s">
        <v>3122</v>
      </c>
      <c r="G1842" t="s">
        <v>63</v>
      </c>
      <c r="H1842" s="75" t="str">
        <f>IFERROR(VLOOKUP(Table2[[#This Row],[Ticket]],Okey!A:B,2,0),"")</f>
        <v>ok</v>
      </c>
      <c r="I1842" t="s">
        <v>19</v>
      </c>
      <c r="J1842" t="str">
        <f>VLOOKUP(Table2[[#This Row],[Author]],People!A:B,2,0)</f>
        <v>EL</v>
      </c>
      <c r="M1842" t="s">
        <v>1752</v>
      </c>
    </row>
    <row r="1843" spans="1:13" x14ac:dyDescent="0.25">
      <c r="A1843" s="75">
        <f t="shared" si="28"/>
        <v>1842</v>
      </c>
      <c r="B1843" s="13" t="s">
        <v>2330</v>
      </c>
      <c r="C1843" t="s">
        <v>2805</v>
      </c>
      <c r="D1843" t="s">
        <v>3123</v>
      </c>
      <c r="E1843" t="s">
        <v>3124</v>
      </c>
      <c r="G1843" t="s">
        <v>63</v>
      </c>
      <c r="H1843" s="75" t="str">
        <f>IFERROR(VLOOKUP(Table2[[#This Row],[Ticket]],Okey!A:B,2,0),"")</f>
        <v>ok</v>
      </c>
      <c r="I1843" t="s">
        <v>19</v>
      </c>
      <c r="J1843" t="str">
        <f>VLOOKUP(Table2[[#This Row],[Author]],People!A:B,2,0)</f>
        <v>EL</v>
      </c>
      <c r="M1843" t="s">
        <v>1752</v>
      </c>
    </row>
    <row r="1844" spans="1:13" x14ac:dyDescent="0.25">
      <c r="A1844" s="75">
        <f t="shared" si="28"/>
        <v>1843</v>
      </c>
      <c r="B1844" s="13" t="s">
        <v>2330</v>
      </c>
      <c r="C1844" t="s">
        <v>2805</v>
      </c>
      <c r="D1844" t="s">
        <v>3125</v>
      </c>
      <c r="E1844" t="s">
        <v>3126</v>
      </c>
      <c r="G1844" t="s">
        <v>63</v>
      </c>
      <c r="H1844" s="75" t="str">
        <f>IFERROR(VLOOKUP(Table2[[#This Row],[Ticket]],Okey!A:B,2,0),"")</f>
        <v>ok</v>
      </c>
      <c r="I1844" t="s">
        <v>19</v>
      </c>
      <c r="J1844" t="str">
        <f>VLOOKUP(Table2[[#This Row],[Author]],People!A:B,2,0)</f>
        <v>EL</v>
      </c>
      <c r="M1844" t="s">
        <v>1752</v>
      </c>
    </row>
    <row r="1845" spans="1:13" x14ac:dyDescent="0.25">
      <c r="A1845" s="75">
        <f t="shared" si="28"/>
        <v>1844</v>
      </c>
      <c r="B1845" s="13" t="s">
        <v>2330</v>
      </c>
      <c r="C1845" t="s">
        <v>2805</v>
      </c>
      <c r="D1845" t="s">
        <v>3127</v>
      </c>
      <c r="E1845" t="s">
        <v>3128</v>
      </c>
      <c r="G1845" t="s">
        <v>63</v>
      </c>
      <c r="H1845" s="75" t="str">
        <f>IFERROR(VLOOKUP(Table2[[#This Row],[Ticket]],Okey!A:B,2,0),"")</f>
        <v>ok</v>
      </c>
      <c r="I1845" t="s">
        <v>19</v>
      </c>
      <c r="J1845" t="str">
        <f>VLOOKUP(Table2[[#This Row],[Author]],People!A:B,2,0)</f>
        <v>EL</v>
      </c>
      <c r="M1845" t="s">
        <v>1752</v>
      </c>
    </row>
    <row r="1846" spans="1:13" x14ac:dyDescent="0.25">
      <c r="A1846" s="75">
        <f t="shared" si="28"/>
        <v>1845</v>
      </c>
      <c r="B1846" s="13" t="s">
        <v>2330</v>
      </c>
      <c r="C1846" t="s">
        <v>2805</v>
      </c>
      <c r="D1846" t="s">
        <v>3129</v>
      </c>
      <c r="E1846" t="s">
        <v>3130</v>
      </c>
      <c r="G1846" t="s">
        <v>63</v>
      </c>
      <c r="H1846" s="75" t="str">
        <f>IFERROR(VLOOKUP(Table2[[#This Row],[Ticket]],Okey!A:B,2,0),"")</f>
        <v>ok</v>
      </c>
      <c r="I1846" t="s">
        <v>19</v>
      </c>
      <c r="J1846" t="str">
        <f>VLOOKUP(Table2[[#This Row],[Author]],People!A:B,2,0)</f>
        <v>EL</v>
      </c>
      <c r="M1846" t="s">
        <v>1752</v>
      </c>
    </row>
    <row r="1847" spans="1:13" x14ac:dyDescent="0.25">
      <c r="A1847" s="75">
        <f t="shared" si="28"/>
        <v>1846</v>
      </c>
      <c r="B1847" s="13" t="s">
        <v>2330</v>
      </c>
      <c r="C1847" t="s">
        <v>2805</v>
      </c>
      <c r="D1847" t="s">
        <v>3131</v>
      </c>
      <c r="E1847" t="s">
        <v>3132</v>
      </c>
      <c r="G1847" t="s">
        <v>63</v>
      </c>
      <c r="H1847" s="75" t="str">
        <f>IFERROR(VLOOKUP(Table2[[#This Row],[Ticket]],Okey!A:B,2,0),"")</f>
        <v>ok</v>
      </c>
      <c r="I1847" t="s">
        <v>19</v>
      </c>
      <c r="J1847" t="str">
        <f>VLOOKUP(Table2[[#This Row],[Author]],People!A:B,2,0)</f>
        <v>EL</v>
      </c>
      <c r="M1847" t="s">
        <v>1752</v>
      </c>
    </row>
    <row r="1848" spans="1:13" x14ac:dyDescent="0.25">
      <c r="A1848" s="75">
        <f t="shared" si="28"/>
        <v>1847</v>
      </c>
      <c r="B1848" s="13" t="s">
        <v>2330</v>
      </c>
      <c r="C1848" t="s">
        <v>2805</v>
      </c>
      <c r="D1848" t="s">
        <v>3133</v>
      </c>
      <c r="E1848" t="s">
        <v>3134</v>
      </c>
      <c r="G1848" t="s">
        <v>63</v>
      </c>
      <c r="H1848" s="75" t="str">
        <f>IFERROR(VLOOKUP(Table2[[#This Row],[Ticket]],Okey!A:B,2,0),"")</f>
        <v>ok</v>
      </c>
      <c r="I1848" t="s">
        <v>19</v>
      </c>
      <c r="J1848" t="str">
        <f>VLOOKUP(Table2[[#This Row],[Author]],People!A:B,2,0)</f>
        <v>EL</v>
      </c>
      <c r="M1848" t="s">
        <v>1752</v>
      </c>
    </row>
    <row r="1849" spans="1:13" x14ac:dyDescent="0.25">
      <c r="A1849" s="75">
        <f t="shared" si="28"/>
        <v>1848</v>
      </c>
      <c r="B1849" s="13" t="s">
        <v>2330</v>
      </c>
      <c r="C1849" t="s">
        <v>2805</v>
      </c>
      <c r="D1849" t="s">
        <v>3135</v>
      </c>
      <c r="E1849" t="s">
        <v>3136</v>
      </c>
      <c r="G1849" t="s">
        <v>63</v>
      </c>
      <c r="H1849" s="75" t="str">
        <f>IFERROR(VLOOKUP(Table2[[#This Row],[Ticket]],Okey!A:B,2,0),"")</f>
        <v>ok</v>
      </c>
      <c r="I1849" t="s">
        <v>19</v>
      </c>
      <c r="J1849" t="str">
        <f>VLOOKUP(Table2[[#This Row],[Author]],People!A:B,2,0)</f>
        <v>EL</v>
      </c>
      <c r="M1849" t="s">
        <v>1752</v>
      </c>
    </row>
    <row r="1850" spans="1:13" x14ac:dyDescent="0.25">
      <c r="A1850" s="75">
        <f t="shared" si="28"/>
        <v>1849</v>
      </c>
      <c r="B1850" s="13" t="s">
        <v>2330</v>
      </c>
      <c r="C1850" t="s">
        <v>2805</v>
      </c>
      <c r="D1850" t="s">
        <v>3137</v>
      </c>
      <c r="E1850" t="s">
        <v>3138</v>
      </c>
      <c r="G1850" t="s">
        <v>63</v>
      </c>
      <c r="H1850" s="75" t="str">
        <f>IFERROR(VLOOKUP(Table2[[#This Row],[Ticket]],Okey!A:B,2,0),"")</f>
        <v>ok</v>
      </c>
      <c r="I1850" t="s">
        <v>19</v>
      </c>
      <c r="J1850" t="str">
        <f>VLOOKUP(Table2[[#This Row],[Author]],People!A:B,2,0)</f>
        <v>EL</v>
      </c>
      <c r="M1850" t="s">
        <v>1752</v>
      </c>
    </row>
    <row r="1851" spans="1:13" x14ac:dyDescent="0.25">
      <c r="A1851" s="75">
        <f t="shared" si="28"/>
        <v>1850</v>
      </c>
      <c r="B1851" s="13" t="s">
        <v>2330</v>
      </c>
      <c r="C1851" t="s">
        <v>2805</v>
      </c>
      <c r="D1851" t="s">
        <v>1846</v>
      </c>
      <c r="E1851" t="s">
        <v>3139</v>
      </c>
      <c r="G1851" t="s">
        <v>63</v>
      </c>
      <c r="H1851" s="75" t="str">
        <f>IFERROR(VLOOKUP(Table2[[#This Row],[Ticket]],Okey!A:B,2,0),"")</f>
        <v>ok</v>
      </c>
      <c r="I1851" t="s">
        <v>19</v>
      </c>
      <c r="J1851" t="str">
        <f>VLOOKUP(Table2[[#This Row],[Author]],People!A:B,2,0)</f>
        <v>EL</v>
      </c>
      <c r="M1851" t="s">
        <v>1752</v>
      </c>
    </row>
    <row r="1852" spans="1:13" x14ac:dyDescent="0.25">
      <c r="A1852" s="75">
        <f t="shared" si="28"/>
        <v>1851</v>
      </c>
      <c r="B1852" s="13" t="s">
        <v>2330</v>
      </c>
      <c r="C1852" t="s">
        <v>2805</v>
      </c>
      <c r="D1852" t="s">
        <v>3140</v>
      </c>
      <c r="E1852" t="s">
        <v>3141</v>
      </c>
      <c r="G1852" t="s">
        <v>63</v>
      </c>
      <c r="H1852" s="75" t="str">
        <f>IFERROR(VLOOKUP(Table2[[#This Row],[Ticket]],Okey!A:B,2,0),"")</f>
        <v>ok</v>
      </c>
      <c r="I1852" t="s">
        <v>19</v>
      </c>
      <c r="J1852" t="str">
        <f>VLOOKUP(Table2[[#This Row],[Author]],People!A:B,2,0)</f>
        <v>EL</v>
      </c>
      <c r="M1852" t="s">
        <v>1752</v>
      </c>
    </row>
    <row r="1853" spans="1:13" x14ac:dyDescent="0.25">
      <c r="A1853" s="75">
        <f t="shared" si="28"/>
        <v>1852</v>
      </c>
      <c r="B1853" s="13" t="s">
        <v>2330</v>
      </c>
      <c r="C1853" t="s">
        <v>2805</v>
      </c>
      <c r="D1853" t="s">
        <v>3142</v>
      </c>
      <c r="E1853" t="s">
        <v>3143</v>
      </c>
      <c r="G1853" t="s">
        <v>63</v>
      </c>
      <c r="H1853" s="75" t="str">
        <f>IFERROR(VLOOKUP(Table2[[#This Row],[Ticket]],Okey!A:B,2,0),"")</f>
        <v>ok</v>
      </c>
      <c r="I1853" t="s">
        <v>19</v>
      </c>
      <c r="J1853" t="str">
        <f>VLOOKUP(Table2[[#This Row],[Author]],People!A:B,2,0)</f>
        <v>EL</v>
      </c>
      <c r="M1853" t="s">
        <v>1752</v>
      </c>
    </row>
    <row r="1854" spans="1:13" x14ac:dyDescent="0.25">
      <c r="A1854" s="75">
        <f t="shared" si="28"/>
        <v>1853</v>
      </c>
      <c r="B1854" s="13" t="s">
        <v>2330</v>
      </c>
      <c r="C1854" t="s">
        <v>2805</v>
      </c>
      <c r="D1854" t="s">
        <v>3144</v>
      </c>
      <c r="E1854" t="s">
        <v>3145</v>
      </c>
      <c r="G1854" t="s">
        <v>63</v>
      </c>
      <c r="H1854" s="75" t="str">
        <f>IFERROR(VLOOKUP(Table2[[#This Row],[Ticket]],Okey!A:B,2,0),"")</f>
        <v>ok</v>
      </c>
      <c r="I1854" t="s">
        <v>19</v>
      </c>
      <c r="J1854" t="str">
        <f>VLOOKUP(Table2[[#This Row],[Author]],People!A:B,2,0)</f>
        <v>EL</v>
      </c>
      <c r="M1854" t="s">
        <v>1752</v>
      </c>
    </row>
    <row r="1855" spans="1:13" x14ac:dyDescent="0.25">
      <c r="A1855" s="75">
        <f t="shared" si="28"/>
        <v>1854</v>
      </c>
      <c r="B1855" s="13" t="s">
        <v>2330</v>
      </c>
      <c r="C1855" t="s">
        <v>2805</v>
      </c>
      <c r="D1855" t="s">
        <v>3146</v>
      </c>
      <c r="E1855" t="s">
        <v>3147</v>
      </c>
      <c r="G1855" t="s">
        <v>63</v>
      </c>
      <c r="H1855" s="75" t="str">
        <f>IFERROR(VLOOKUP(Table2[[#This Row],[Ticket]],Okey!A:B,2,0),"")</f>
        <v>ok</v>
      </c>
      <c r="I1855" t="s">
        <v>19</v>
      </c>
      <c r="J1855" t="str">
        <f>VLOOKUP(Table2[[#This Row],[Author]],People!A:B,2,0)</f>
        <v>EL</v>
      </c>
      <c r="M1855" t="s">
        <v>1752</v>
      </c>
    </row>
    <row r="1856" spans="1:13" x14ac:dyDescent="0.25">
      <c r="A1856" s="75">
        <f t="shared" si="28"/>
        <v>1855</v>
      </c>
      <c r="B1856" s="13" t="s">
        <v>2330</v>
      </c>
      <c r="C1856" t="s">
        <v>2805</v>
      </c>
      <c r="D1856" t="s">
        <v>3148</v>
      </c>
      <c r="E1856" t="s">
        <v>3149</v>
      </c>
      <c r="G1856" t="s">
        <v>63</v>
      </c>
      <c r="H1856" s="75" t="str">
        <f>IFERROR(VLOOKUP(Table2[[#This Row],[Ticket]],Okey!A:B,2,0),"")</f>
        <v>ok</v>
      </c>
      <c r="I1856" t="s">
        <v>19</v>
      </c>
      <c r="J1856" t="str">
        <f>VLOOKUP(Table2[[#This Row],[Author]],People!A:B,2,0)</f>
        <v>EL</v>
      </c>
      <c r="M1856" t="s">
        <v>1752</v>
      </c>
    </row>
    <row r="1857" spans="1:13" x14ac:dyDescent="0.25">
      <c r="A1857" s="75">
        <f t="shared" si="28"/>
        <v>1856</v>
      </c>
      <c r="B1857" s="13" t="s">
        <v>2330</v>
      </c>
      <c r="C1857" t="s">
        <v>2805</v>
      </c>
      <c r="D1857" t="s">
        <v>3150</v>
      </c>
      <c r="E1857" t="s">
        <v>3151</v>
      </c>
      <c r="G1857" t="s">
        <v>63</v>
      </c>
      <c r="H1857" s="75" t="str">
        <f>IFERROR(VLOOKUP(Table2[[#This Row],[Ticket]],Okey!A:B,2,0),"")</f>
        <v>ok</v>
      </c>
      <c r="I1857" t="s">
        <v>19</v>
      </c>
      <c r="J1857" t="str">
        <f>VLOOKUP(Table2[[#This Row],[Author]],People!A:B,2,0)</f>
        <v>EL</v>
      </c>
      <c r="M1857" t="s">
        <v>1752</v>
      </c>
    </row>
    <row r="1858" spans="1:13" x14ac:dyDescent="0.25">
      <c r="A1858" s="75">
        <f t="shared" si="28"/>
        <v>1857</v>
      </c>
      <c r="B1858" s="13" t="s">
        <v>2330</v>
      </c>
      <c r="C1858" t="s">
        <v>2805</v>
      </c>
      <c r="D1858" t="s">
        <v>3152</v>
      </c>
      <c r="E1858" t="s">
        <v>3153</v>
      </c>
      <c r="G1858" t="s">
        <v>63</v>
      </c>
      <c r="H1858" s="75" t="str">
        <f>IFERROR(VLOOKUP(Table2[[#This Row],[Ticket]],Okey!A:B,2,0),"")</f>
        <v>ok</v>
      </c>
      <c r="I1858" t="s">
        <v>19</v>
      </c>
      <c r="J1858" t="str">
        <f>VLOOKUP(Table2[[#This Row],[Author]],People!A:B,2,0)</f>
        <v>EL</v>
      </c>
      <c r="M1858" t="s">
        <v>1752</v>
      </c>
    </row>
    <row r="1859" spans="1:13" x14ac:dyDescent="0.25">
      <c r="A1859" s="75">
        <f t="shared" si="28"/>
        <v>1858</v>
      </c>
      <c r="B1859" s="13" t="s">
        <v>2330</v>
      </c>
      <c r="C1859" t="s">
        <v>2805</v>
      </c>
      <c r="D1859" t="s">
        <v>3154</v>
      </c>
      <c r="E1859" t="s">
        <v>3155</v>
      </c>
      <c r="G1859" t="s">
        <v>63</v>
      </c>
      <c r="H1859" s="75" t="str">
        <f>IFERROR(VLOOKUP(Table2[[#This Row],[Ticket]],Okey!A:B,2,0),"")</f>
        <v>ok</v>
      </c>
      <c r="I1859" t="s">
        <v>19</v>
      </c>
      <c r="J1859" t="str">
        <f>VLOOKUP(Table2[[#This Row],[Author]],People!A:B,2,0)</f>
        <v>EL</v>
      </c>
      <c r="M1859" t="s">
        <v>1752</v>
      </c>
    </row>
    <row r="1860" spans="1:13" x14ac:dyDescent="0.25">
      <c r="A1860" s="75">
        <f t="shared" si="28"/>
        <v>1859</v>
      </c>
      <c r="B1860" s="13" t="s">
        <v>2330</v>
      </c>
      <c r="C1860" t="s">
        <v>2805</v>
      </c>
      <c r="D1860" t="s">
        <v>3156</v>
      </c>
      <c r="E1860" t="s">
        <v>3157</v>
      </c>
      <c r="G1860" t="s">
        <v>63</v>
      </c>
      <c r="H1860" s="75" t="str">
        <f>IFERROR(VLOOKUP(Table2[[#This Row],[Ticket]],Okey!A:B,2,0),"")</f>
        <v>ok</v>
      </c>
      <c r="I1860" t="s">
        <v>19</v>
      </c>
      <c r="J1860" t="str">
        <f>VLOOKUP(Table2[[#This Row],[Author]],People!A:B,2,0)</f>
        <v>EL</v>
      </c>
      <c r="M1860" t="s">
        <v>1752</v>
      </c>
    </row>
    <row r="1861" spans="1:13" x14ac:dyDescent="0.25">
      <c r="A1861" s="75">
        <f t="shared" si="28"/>
        <v>1860</v>
      </c>
      <c r="B1861" s="13" t="s">
        <v>2330</v>
      </c>
      <c r="C1861" t="s">
        <v>2805</v>
      </c>
      <c r="D1861" t="s">
        <v>3158</v>
      </c>
      <c r="E1861" t="s">
        <v>3159</v>
      </c>
      <c r="G1861" t="s">
        <v>63</v>
      </c>
      <c r="H1861" s="75" t="str">
        <f>IFERROR(VLOOKUP(Table2[[#This Row],[Ticket]],Okey!A:B,2,0),"")</f>
        <v>ok</v>
      </c>
      <c r="I1861" t="s">
        <v>19</v>
      </c>
      <c r="J1861" t="str">
        <f>VLOOKUP(Table2[[#This Row],[Author]],People!A:B,2,0)</f>
        <v>EL</v>
      </c>
      <c r="M1861" t="s">
        <v>1752</v>
      </c>
    </row>
    <row r="1862" spans="1:13" x14ac:dyDescent="0.25">
      <c r="A1862" s="75">
        <f t="shared" si="28"/>
        <v>1861</v>
      </c>
      <c r="B1862" s="13" t="s">
        <v>2330</v>
      </c>
      <c r="C1862" t="s">
        <v>2805</v>
      </c>
      <c r="D1862" t="s">
        <v>3160</v>
      </c>
      <c r="E1862" t="s">
        <v>3161</v>
      </c>
      <c r="G1862" t="s">
        <v>63</v>
      </c>
      <c r="H1862" s="75" t="str">
        <f>IFERROR(VLOOKUP(Table2[[#This Row],[Ticket]],Okey!A:B,2,0),"")</f>
        <v>ok</v>
      </c>
      <c r="I1862" t="s">
        <v>19</v>
      </c>
      <c r="J1862" t="str">
        <f>VLOOKUP(Table2[[#This Row],[Author]],People!A:B,2,0)</f>
        <v>EL</v>
      </c>
      <c r="M1862" t="s">
        <v>1752</v>
      </c>
    </row>
    <row r="1863" spans="1:13" x14ac:dyDescent="0.25">
      <c r="A1863" s="75">
        <f t="shared" si="28"/>
        <v>1862</v>
      </c>
      <c r="B1863" s="13" t="s">
        <v>2330</v>
      </c>
      <c r="C1863" t="s">
        <v>2805</v>
      </c>
      <c r="D1863" t="s">
        <v>3162</v>
      </c>
      <c r="E1863" t="s">
        <v>3163</v>
      </c>
      <c r="G1863" t="s">
        <v>63</v>
      </c>
      <c r="H1863" s="75" t="str">
        <f>IFERROR(VLOOKUP(Table2[[#This Row],[Ticket]],Okey!A:B,2,0),"")</f>
        <v>ok</v>
      </c>
      <c r="I1863" t="s">
        <v>19</v>
      </c>
      <c r="J1863" t="str">
        <f>VLOOKUP(Table2[[#This Row],[Author]],People!A:B,2,0)</f>
        <v>EL</v>
      </c>
      <c r="M1863" t="s">
        <v>1752</v>
      </c>
    </row>
    <row r="1864" spans="1:13" x14ac:dyDescent="0.25">
      <c r="A1864" s="75">
        <f t="shared" si="28"/>
        <v>1863</v>
      </c>
      <c r="B1864" s="13" t="s">
        <v>2330</v>
      </c>
      <c r="C1864" t="s">
        <v>2805</v>
      </c>
      <c r="D1864" t="s">
        <v>3164</v>
      </c>
      <c r="E1864" t="s">
        <v>3165</v>
      </c>
      <c r="G1864" t="s">
        <v>63</v>
      </c>
      <c r="H1864" s="75" t="str">
        <f>IFERROR(VLOOKUP(Table2[[#This Row],[Ticket]],Okey!A:B,2,0),"")</f>
        <v>ok</v>
      </c>
      <c r="I1864" t="s">
        <v>19</v>
      </c>
      <c r="J1864" t="str">
        <f>VLOOKUP(Table2[[#This Row],[Author]],People!A:B,2,0)</f>
        <v>EL</v>
      </c>
      <c r="M1864" t="s">
        <v>1752</v>
      </c>
    </row>
    <row r="1865" spans="1:13" x14ac:dyDescent="0.25">
      <c r="A1865" s="75">
        <f t="shared" ref="A1865:A1928" si="29">1+A1864</f>
        <v>1864</v>
      </c>
      <c r="B1865" s="13" t="s">
        <v>2330</v>
      </c>
      <c r="C1865" t="s">
        <v>2805</v>
      </c>
      <c r="D1865" t="s">
        <v>3166</v>
      </c>
      <c r="E1865" t="s">
        <v>3167</v>
      </c>
      <c r="G1865" t="s">
        <v>63</v>
      </c>
      <c r="H1865" s="75" t="str">
        <f>IFERROR(VLOOKUP(Table2[[#This Row],[Ticket]],Okey!A:B,2,0),"")</f>
        <v>ok</v>
      </c>
      <c r="I1865" t="s">
        <v>19</v>
      </c>
      <c r="J1865" t="str">
        <f>VLOOKUP(Table2[[#This Row],[Author]],People!A:B,2,0)</f>
        <v>EL</v>
      </c>
      <c r="M1865" t="s">
        <v>1752</v>
      </c>
    </row>
    <row r="1866" spans="1:13" x14ac:dyDescent="0.25">
      <c r="A1866" s="75">
        <f t="shared" si="29"/>
        <v>1865</v>
      </c>
      <c r="B1866" s="13" t="s">
        <v>2330</v>
      </c>
      <c r="C1866" t="s">
        <v>2805</v>
      </c>
      <c r="D1866" t="s">
        <v>3168</v>
      </c>
      <c r="E1866" t="s">
        <v>3169</v>
      </c>
      <c r="G1866" t="s">
        <v>63</v>
      </c>
      <c r="H1866" s="75" t="str">
        <f>IFERROR(VLOOKUP(Table2[[#This Row],[Ticket]],Okey!A:B,2,0),"")</f>
        <v>ok</v>
      </c>
      <c r="I1866" t="s">
        <v>19</v>
      </c>
      <c r="J1866" t="str">
        <f>VLOOKUP(Table2[[#This Row],[Author]],People!A:B,2,0)</f>
        <v>EL</v>
      </c>
      <c r="M1866" t="s">
        <v>1752</v>
      </c>
    </row>
    <row r="1867" spans="1:13" x14ac:dyDescent="0.25">
      <c r="A1867" s="75">
        <f t="shared" si="29"/>
        <v>1866</v>
      </c>
      <c r="B1867" s="13" t="s">
        <v>2330</v>
      </c>
      <c r="C1867" t="s">
        <v>2805</v>
      </c>
      <c r="D1867" t="s">
        <v>3170</v>
      </c>
      <c r="E1867" t="s">
        <v>3171</v>
      </c>
      <c r="G1867" t="s">
        <v>63</v>
      </c>
      <c r="H1867" s="75" t="str">
        <f>IFERROR(VLOOKUP(Table2[[#This Row],[Ticket]],Okey!A:B,2,0),"")</f>
        <v>ok</v>
      </c>
      <c r="I1867" t="s">
        <v>19</v>
      </c>
      <c r="J1867" t="str">
        <f>VLOOKUP(Table2[[#This Row],[Author]],People!A:B,2,0)</f>
        <v>EL</v>
      </c>
      <c r="M1867" t="s">
        <v>1752</v>
      </c>
    </row>
    <row r="1868" spans="1:13" x14ac:dyDescent="0.25">
      <c r="A1868" s="75">
        <f t="shared" si="29"/>
        <v>1867</v>
      </c>
      <c r="B1868" s="13" t="s">
        <v>2330</v>
      </c>
      <c r="C1868" t="s">
        <v>2805</v>
      </c>
      <c r="D1868" t="s">
        <v>3172</v>
      </c>
      <c r="E1868" t="s">
        <v>3173</v>
      </c>
      <c r="G1868" t="s">
        <v>63</v>
      </c>
      <c r="H1868" s="75" t="str">
        <f>IFERROR(VLOOKUP(Table2[[#This Row],[Ticket]],Okey!A:B,2,0),"")</f>
        <v>ok</v>
      </c>
      <c r="I1868" t="s">
        <v>19</v>
      </c>
      <c r="J1868" t="str">
        <f>VLOOKUP(Table2[[#This Row],[Author]],People!A:B,2,0)</f>
        <v>EL</v>
      </c>
      <c r="M1868" t="s">
        <v>1752</v>
      </c>
    </row>
    <row r="1869" spans="1:13" x14ac:dyDescent="0.25">
      <c r="A1869" s="75">
        <f t="shared" si="29"/>
        <v>1868</v>
      </c>
      <c r="B1869" s="13" t="s">
        <v>2330</v>
      </c>
      <c r="C1869" t="s">
        <v>2805</v>
      </c>
      <c r="D1869" t="s">
        <v>3174</v>
      </c>
      <c r="E1869" t="s">
        <v>3175</v>
      </c>
      <c r="G1869" t="s">
        <v>63</v>
      </c>
      <c r="H1869" s="75" t="str">
        <f>IFERROR(VLOOKUP(Table2[[#This Row],[Ticket]],Okey!A:B,2,0),"")</f>
        <v>ok</v>
      </c>
      <c r="I1869" t="s">
        <v>19</v>
      </c>
      <c r="J1869" t="str">
        <f>VLOOKUP(Table2[[#This Row],[Author]],People!A:B,2,0)</f>
        <v>EL</v>
      </c>
      <c r="M1869" t="s">
        <v>1752</v>
      </c>
    </row>
    <row r="1870" spans="1:13" x14ac:dyDescent="0.25">
      <c r="A1870" s="75">
        <f t="shared" si="29"/>
        <v>1869</v>
      </c>
      <c r="B1870" s="13" t="s">
        <v>2330</v>
      </c>
      <c r="C1870" t="s">
        <v>2805</v>
      </c>
      <c r="D1870" t="s">
        <v>3176</v>
      </c>
      <c r="E1870" t="s">
        <v>3177</v>
      </c>
      <c r="G1870" t="s">
        <v>63</v>
      </c>
      <c r="H1870" s="75" t="str">
        <f>IFERROR(VLOOKUP(Table2[[#This Row],[Ticket]],Okey!A:B,2,0),"")</f>
        <v>ok</v>
      </c>
      <c r="I1870" t="s">
        <v>19</v>
      </c>
      <c r="J1870" t="str">
        <f>VLOOKUP(Table2[[#This Row],[Author]],People!A:B,2,0)</f>
        <v>EL</v>
      </c>
      <c r="M1870" t="s">
        <v>1752</v>
      </c>
    </row>
    <row r="1871" spans="1:13" x14ac:dyDescent="0.25">
      <c r="A1871" s="75">
        <f t="shared" si="29"/>
        <v>1870</v>
      </c>
      <c r="B1871" s="13" t="s">
        <v>2330</v>
      </c>
      <c r="C1871" t="s">
        <v>2805</v>
      </c>
      <c r="D1871" t="s">
        <v>3178</v>
      </c>
      <c r="E1871" t="s">
        <v>3179</v>
      </c>
      <c r="G1871" t="s">
        <v>63</v>
      </c>
      <c r="H1871" s="75" t="str">
        <f>IFERROR(VLOOKUP(Table2[[#This Row],[Ticket]],Okey!A:B,2,0),"")</f>
        <v>ok</v>
      </c>
      <c r="I1871" t="s">
        <v>19</v>
      </c>
      <c r="J1871" t="str">
        <f>VLOOKUP(Table2[[#This Row],[Author]],People!A:B,2,0)</f>
        <v>EL</v>
      </c>
      <c r="M1871" t="s">
        <v>1752</v>
      </c>
    </row>
    <row r="1872" spans="1:13" x14ac:dyDescent="0.25">
      <c r="A1872" s="75">
        <f t="shared" si="29"/>
        <v>1871</v>
      </c>
      <c r="B1872" s="13" t="s">
        <v>2330</v>
      </c>
      <c r="C1872" t="s">
        <v>2805</v>
      </c>
      <c r="D1872" t="s">
        <v>3180</v>
      </c>
      <c r="E1872" t="s">
        <v>3179</v>
      </c>
      <c r="G1872" t="s">
        <v>63</v>
      </c>
      <c r="H1872" s="75" t="str">
        <f>IFERROR(VLOOKUP(Table2[[#This Row],[Ticket]],Okey!A:B,2,0),"")</f>
        <v>ok</v>
      </c>
      <c r="I1872" t="s">
        <v>19</v>
      </c>
      <c r="J1872" t="str">
        <f>VLOOKUP(Table2[[#This Row],[Author]],People!A:B,2,0)</f>
        <v>EL</v>
      </c>
      <c r="M1872" t="s">
        <v>1752</v>
      </c>
    </row>
    <row r="1873" spans="1:13" x14ac:dyDescent="0.25">
      <c r="A1873" s="75">
        <f t="shared" si="29"/>
        <v>1872</v>
      </c>
      <c r="B1873" s="13" t="s">
        <v>2330</v>
      </c>
      <c r="C1873" t="s">
        <v>2805</v>
      </c>
      <c r="D1873" t="s">
        <v>1944</v>
      </c>
      <c r="E1873" t="s">
        <v>3181</v>
      </c>
      <c r="G1873" t="s">
        <v>63</v>
      </c>
      <c r="H1873" s="75" t="str">
        <f>IFERROR(VLOOKUP(Table2[[#This Row],[Ticket]],Okey!A:B,2,0),"")</f>
        <v>ok</v>
      </c>
      <c r="I1873" t="s">
        <v>19</v>
      </c>
      <c r="J1873" t="str">
        <f>VLOOKUP(Table2[[#This Row],[Author]],People!A:B,2,0)</f>
        <v>EL</v>
      </c>
      <c r="M1873" t="s">
        <v>1752</v>
      </c>
    </row>
    <row r="1874" spans="1:13" x14ac:dyDescent="0.25">
      <c r="A1874" s="75">
        <f t="shared" si="29"/>
        <v>1873</v>
      </c>
      <c r="B1874" s="13" t="s">
        <v>2330</v>
      </c>
      <c r="C1874" t="s">
        <v>2805</v>
      </c>
      <c r="D1874" t="s">
        <v>3182</v>
      </c>
      <c r="E1874" t="s">
        <v>3183</v>
      </c>
      <c r="G1874" t="s">
        <v>63</v>
      </c>
      <c r="H1874" s="75" t="str">
        <f>IFERROR(VLOOKUP(Table2[[#This Row],[Ticket]],Okey!A:B,2,0),"")</f>
        <v>ok</v>
      </c>
      <c r="I1874" t="s">
        <v>19</v>
      </c>
      <c r="J1874" t="str">
        <f>VLOOKUP(Table2[[#This Row],[Author]],People!A:B,2,0)</f>
        <v>EL</v>
      </c>
      <c r="M1874" t="s">
        <v>1752</v>
      </c>
    </row>
    <row r="1875" spans="1:13" x14ac:dyDescent="0.25">
      <c r="A1875" s="75">
        <f t="shared" si="29"/>
        <v>1874</v>
      </c>
      <c r="B1875" s="13" t="s">
        <v>2330</v>
      </c>
      <c r="C1875" t="s">
        <v>2805</v>
      </c>
      <c r="D1875" t="s">
        <v>3184</v>
      </c>
      <c r="E1875" t="s">
        <v>3185</v>
      </c>
      <c r="G1875" t="s">
        <v>63</v>
      </c>
      <c r="H1875" s="75" t="str">
        <f>IFERROR(VLOOKUP(Table2[[#This Row],[Ticket]],Okey!A:B,2,0),"")</f>
        <v>ok</v>
      </c>
      <c r="I1875" t="s">
        <v>19</v>
      </c>
      <c r="J1875" t="str">
        <f>VLOOKUP(Table2[[#This Row],[Author]],People!A:B,2,0)</f>
        <v>EL</v>
      </c>
      <c r="M1875" t="s">
        <v>1752</v>
      </c>
    </row>
    <row r="1876" spans="1:13" x14ac:dyDescent="0.25">
      <c r="A1876" s="75">
        <f t="shared" si="29"/>
        <v>1875</v>
      </c>
      <c r="B1876" s="13" t="s">
        <v>2330</v>
      </c>
      <c r="C1876" t="s">
        <v>2805</v>
      </c>
      <c r="D1876" t="s">
        <v>3186</v>
      </c>
      <c r="E1876" t="s">
        <v>3187</v>
      </c>
      <c r="G1876" t="s">
        <v>63</v>
      </c>
      <c r="H1876" s="75" t="str">
        <f>IFERROR(VLOOKUP(Table2[[#This Row],[Ticket]],Okey!A:B,2,0),"")</f>
        <v>ok</v>
      </c>
      <c r="I1876" t="s">
        <v>19</v>
      </c>
      <c r="J1876" t="str">
        <f>VLOOKUP(Table2[[#This Row],[Author]],People!A:B,2,0)</f>
        <v>EL</v>
      </c>
      <c r="M1876" t="s">
        <v>1752</v>
      </c>
    </row>
    <row r="1877" spans="1:13" x14ac:dyDescent="0.25">
      <c r="A1877" s="75">
        <f t="shared" si="29"/>
        <v>1876</v>
      </c>
      <c r="B1877" s="13" t="s">
        <v>2330</v>
      </c>
      <c r="C1877" t="s">
        <v>2805</v>
      </c>
      <c r="D1877" t="s">
        <v>3188</v>
      </c>
      <c r="E1877" t="s">
        <v>3189</v>
      </c>
      <c r="G1877" t="s">
        <v>63</v>
      </c>
      <c r="H1877" s="75" t="str">
        <f>IFERROR(VLOOKUP(Table2[[#This Row],[Ticket]],Okey!A:B,2,0),"")</f>
        <v>ok</v>
      </c>
      <c r="I1877" t="s">
        <v>19</v>
      </c>
      <c r="J1877" t="str">
        <f>VLOOKUP(Table2[[#This Row],[Author]],People!A:B,2,0)</f>
        <v>EL</v>
      </c>
      <c r="M1877" t="s">
        <v>1752</v>
      </c>
    </row>
    <row r="1878" spans="1:13" x14ac:dyDescent="0.25">
      <c r="A1878" s="75">
        <f t="shared" si="29"/>
        <v>1877</v>
      </c>
      <c r="B1878" s="13" t="s">
        <v>2330</v>
      </c>
      <c r="C1878" t="s">
        <v>2805</v>
      </c>
      <c r="D1878" t="s">
        <v>1946</v>
      </c>
      <c r="E1878" t="s">
        <v>3190</v>
      </c>
      <c r="G1878" t="s">
        <v>63</v>
      </c>
      <c r="H1878" s="75" t="str">
        <f>IFERROR(VLOOKUP(Table2[[#This Row],[Ticket]],Okey!A:B,2,0),"")</f>
        <v>ok</v>
      </c>
      <c r="I1878" t="s">
        <v>19</v>
      </c>
      <c r="J1878" t="str">
        <f>VLOOKUP(Table2[[#This Row],[Author]],People!A:B,2,0)</f>
        <v>EL</v>
      </c>
      <c r="M1878" t="s">
        <v>1752</v>
      </c>
    </row>
    <row r="1879" spans="1:13" x14ac:dyDescent="0.25">
      <c r="A1879" s="75">
        <f t="shared" si="29"/>
        <v>1878</v>
      </c>
      <c r="B1879" s="13" t="s">
        <v>2330</v>
      </c>
      <c r="C1879" t="s">
        <v>2805</v>
      </c>
      <c r="D1879" t="s">
        <v>3191</v>
      </c>
      <c r="E1879" t="s">
        <v>3192</v>
      </c>
      <c r="G1879" t="s">
        <v>63</v>
      </c>
      <c r="H1879" s="75" t="str">
        <f>IFERROR(VLOOKUP(Table2[[#This Row],[Ticket]],Okey!A:B,2,0),"")</f>
        <v>ok</v>
      </c>
      <c r="I1879" t="s">
        <v>19</v>
      </c>
      <c r="J1879" t="str">
        <f>VLOOKUP(Table2[[#This Row],[Author]],People!A:B,2,0)</f>
        <v>EL</v>
      </c>
      <c r="M1879" t="s">
        <v>1752</v>
      </c>
    </row>
    <row r="1880" spans="1:13" x14ac:dyDescent="0.25">
      <c r="A1880" s="75">
        <f t="shared" si="29"/>
        <v>1879</v>
      </c>
      <c r="B1880" s="13" t="s">
        <v>2330</v>
      </c>
      <c r="C1880" t="s">
        <v>2805</v>
      </c>
      <c r="D1880" t="s">
        <v>3193</v>
      </c>
      <c r="E1880" t="s">
        <v>3194</v>
      </c>
      <c r="G1880" t="s">
        <v>63</v>
      </c>
      <c r="H1880" s="75" t="str">
        <f>IFERROR(VLOOKUP(Table2[[#This Row],[Ticket]],Okey!A:B,2,0),"")</f>
        <v>ok</v>
      </c>
      <c r="I1880" t="s">
        <v>19</v>
      </c>
      <c r="J1880" t="str">
        <f>VLOOKUP(Table2[[#This Row],[Author]],People!A:B,2,0)</f>
        <v>EL</v>
      </c>
      <c r="M1880" t="s">
        <v>1752</v>
      </c>
    </row>
    <row r="1881" spans="1:13" x14ac:dyDescent="0.25">
      <c r="A1881" s="75">
        <f t="shared" si="29"/>
        <v>1880</v>
      </c>
      <c r="B1881" s="13" t="s">
        <v>2330</v>
      </c>
      <c r="C1881" t="s">
        <v>2805</v>
      </c>
      <c r="D1881" t="s">
        <v>3195</v>
      </c>
      <c r="E1881" t="s">
        <v>3196</v>
      </c>
      <c r="G1881" t="s">
        <v>63</v>
      </c>
      <c r="H1881" s="75" t="str">
        <f>IFERROR(VLOOKUP(Table2[[#This Row],[Ticket]],Okey!A:B,2,0),"")</f>
        <v>ok</v>
      </c>
      <c r="I1881" t="s">
        <v>19</v>
      </c>
      <c r="J1881" t="str">
        <f>VLOOKUP(Table2[[#This Row],[Author]],People!A:B,2,0)</f>
        <v>EL</v>
      </c>
      <c r="M1881" t="s">
        <v>1752</v>
      </c>
    </row>
    <row r="1882" spans="1:13" x14ac:dyDescent="0.25">
      <c r="A1882" s="75">
        <f t="shared" si="29"/>
        <v>1881</v>
      </c>
      <c r="B1882" s="13" t="s">
        <v>2330</v>
      </c>
      <c r="C1882" t="s">
        <v>2805</v>
      </c>
      <c r="D1882" t="s">
        <v>3197</v>
      </c>
      <c r="E1882" t="s">
        <v>3198</v>
      </c>
      <c r="G1882" t="s">
        <v>63</v>
      </c>
      <c r="H1882" s="75" t="str">
        <f>IFERROR(VLOOKUP(Table2[[#This Row],[Ticket]],Okey!A:B,2,0),"")</f>
        <v>ok</v>
      </c>
      <c r="I1882" t="s">
        <v>19</v>
      </c>
      <c r="J1882" t="str">
        <f>VLOOKUP(Table2[[#This Row],[Author]],People!A:B,2,0)</f>
        <v>EL</v>
      </c>
      <c r="M1882" t="s">
        <v>1752</v>
      </c>
    </row>
    <row r="1883" spans="1:13" x14ac:dyDescent="0.25">
      <c r="A1883" s="75">
        <f t="shared" si="29"/>
        <v>1882</v>
      </c>
      <c r="B1883" s="13" t="s">
        <v>2330</v>
      </c>
      <c r="C1883" t="s">
        <v>2805</v>
      </c>
      <c r="D1883" t="s">
        <v>3199</v>
      </c>
      <c r="E1883" t="s">
        <v>3200</v>
      </c>
      <c r="G1883" t="s">
        <v>63</v>
      </c>
      <c r="H1883" s="75" t="str">
        <f>IFERROR(VLOOKUP(Table2[[#This Row],[Ticket]],Okey!A:B,2,0),"")</f>
        <v>ok</v>
      </c>
      <c r="I1883" t="s">
        <v>19</v>
      </c>
      <c r="J1883" t="str">
        <f>VLOOKUP(Table2[[#This Row],[Author]],People!A:B,2,0)</f>
        <v>EL</v>
      </c>
      <c r="M1883" t="s">
        <v>1752</v>
      </c>
    </row>
    <row r="1884" spans="1:13" x14ac:dyDescent="0.25">
      <c r="A1884" s="75">
        <f t="shared" si="29"/>
        <v>1883</v>
      </c>
      <c r="B1884" s="13" t="s">
        <v>2330</v>
      </c>
      <c r="C1884" t="s">
        <v>2805</v>
      </c>
      <c r="D1884" t="s">
        <v>3201</v>
      </c>
      <c r="E1884" t="s">
        <v>3202</v>
      </c>
      <c r="G1884" t="s">
        <v>63</v>
      </c>
      <c r="H1884" s="75" t="str">
        <f>IFERROR(VLOOKUP(Table2[[#This Row],[Ticket]],Okey!A:B,2,0),"")</f>
        <v>ok</v>
      </c>
      <c r="I1884" t="s">
        <v>19</v>
      </c>
      <c r="J1884" t="str">
        <f>VLOOKUP(Table2[[#This Row],[Author]],People!A:B,2,0)</f>
        <v>EL</v>
      </c>
      <c r="M1884" t="s">
        <v>1752</v>
      </c>
    </row>
    <row r="1885" spans="1:13" x14ac:dyDescent="0.25">
      <c r="A1885" s="75">
        <f t="shared" si="29"/>
        <v>1884</v>
      </c>
      <c r="B1885" s="13" t="s">
        <v>2330</v>
      </c>
      <c r="C1885" t="s">
        <v>2805</v>
      </c>
      <c r="D1885" t="s">
        <v>3203</v>
      </c>
      <c r="E1885" t="s">
        <v>3204</v>
      </c>
      <c r="G1885" t="s">
        <v>63</v>
      </c>
      <c r="H1885" s="75" t="str">
        <f>IFERROR(VLOOKUP(Table2[[#This Row],[Ticket]],Okey!A:B,2,0),"")</f>
        <v>ok</v>
      </c>
      <c r="I1885" t="s">
        <v>19</v>
      </c>
      <c r="J1885" t="str">
        <f>VLOOKUP(Table2[[#This Row],[Author]],People!A:B,2,0)</f>
        <v>EL</v>
      </c>
      <c r="M1885" t="s">
        <v>1752</v>
      </c>
    </row>
    <row r="1886" spans="1:13" x14ac:dyDescent="0.25">
      <c r="A1886" s="75">
        <f t="shared" si="29"/>
        <v>1885</v>
      </c>
      <c r="B1886" s="13" t="s">
        <v>2330</v>
      </c>
      <c r="C1886" t="s">
        <v>2805</v>
      </c>
      <c r="D1886" t="s">
        <v>3205</v>
      </c>
      <c r="E1886" t="s">
        <v>3206</v>
      </c>
      <c r="G1886" t="s">
        <v>63</v>
      </c>
      <c r="H1886" s="75" t="str">
        <f>IFERROR(VLOOKUP(Table2[[#This Row],[Ticket]],Okey!A:B,2,0),"")</f>
        <v>ok</v>
      </c>
      <c r="I1886" t="s">
        <v>19</v>
      </c>
      <c r="J1886" t="str">
        <f>VLOOKUP(Table2[[#This Row],[Author]],People!A:B,2,0)</f>
        <v>EL</v>
      </c>
      <c r="M1886" t="s">
        <v>1752</v>
      </c>
    </row>
    <row r="1887" spans="1:13" x14ac:dyDescent="0.25">
      <c r="A1887" s="75">
        <f t="shared" si="29"/>
        <v>1886</v>
      </c>
      <c r="B1887" s="13" t="s">
        <v>2330</v>
      </c>
      <c r="C1887" t="s">
        <v>2805</v>
      </c>
      <c r="D1887" t="s">
        <v>3207</v>
      </c>
      <c r="E1887" t="s">
        <v>3208</v>
      </c>
      <c r="G1887" t="s">
        <v>63</v>
      </c>
      <c r="H1887" s="75" t="str">
        <f>IFERROR(VLOOKUP(Table2[[#This Row],[Ticket]],Okey!A:B,2,0),"")</f>
        <v>ok</v>
      </c>
      <c r="I1887" t="s">
        <v>19</v>
      </c>
      <c r="J1887" t="str">
        <f>VLOOKUP(Table2[[#This Row],[Author]],People!A:B,2,0)</f>
        <v>EL</v>
      </c>
      <c r="M1887" t="s">
        <v>1752</v>
      </c>
    </row>
    <row r="1888" spans="1:13" x14ac:dyDescent="0.25">
      <c r="A1888" s="75">
        <f t="shared" si="29"/>
        <v>1887</v>
      </c>
      <c r="B1888" s="13" t="s">
        <v>2330</v>
      </c>
      <c r="C1888" t="s">
        <v>2805</v>
      </c>
      <c r="D1888" t="s">
        <v>3209</v>
      </c>
      <c r="E1888" t="s">
        <v>3210</v>
      </c>
      <c r="G1888" t="s">
        <v>63</v>
      </c>
      <c r="H1888" s="75" t="str">
        <f>IFERROR(VLOOKUP(Table2[[#This Row],[Ticket]],Okey!A:B,2,0),"")</f>
        <v>ok</v>
      </c>
      <c r="I1888" t="s">
        <v>19</v>
      </c>
      <c r="J1888" t="str">
        <f>VLOOKUP(Table2[[#This Row],[Author]],People!A:B,2,0)</f>
        <v>EL</v>
      </c>
      <c r="M1888" t="s">
        <v>1752</v>
      </c>
    </row>
    <row r="1889" spans="1:13" x14ac:dyDescent="0.25">
      <c r="A1889" s="75">
        <f t="shared" si="29"/>
        <v>1888</v>
      </c>
      <c r="B1889" s="13" t="s">
        <v>2330</v>
      </c>
      <c r="C1889" t="s">
        <v>2805</v>
      </c>
      <c r="D1889" t="s">
        <v>3211</v>
      </c>
      <c r="E1889" t="s">
        <v>3212</v>
      </c>
      <c r="G1889" t="s">
        <v>63</v>
      </c>
      <c r="H1889" s="75" t="str">
        <f>IFERROR(VLOOKUP(Table2[[#This Row],[Ticket]],Okey!A:B,2,0),"")</f>
        <v>ok</v>
      </c>
      <c r="I1889" t="s">
        <v>19</v>
      </c>
      <c r="J1889" t="str">
        <f>VLOOKUP(Table2[[#This Row],[Author]],People!A:B,2,0)</f>
        <v>EL</v>
      </c>
      <c r="M1889" t="s">
        <v>1752</v>
      </c>
    </row>
    <row r="1890" spans="1:13" x14ac:dyDescent="0.25">
      <c r="A1890" s="75">
        <f t="shared" si="29"/>
        <v>1889</v>
      </c>
      <c r="B1890" s="13" t="s">
        <v>2330</v>
      </c>
      <c r="C1890" t="s">
        <v>2805</v>
      </c>
      <c r="D1890" t="s">
        <v>3213</v>
      </c>
      <c r="E1890" t="s">
        <v>3214</v>
      </c>
      <c r="G1890" t="s">
        <v>63</v>
      </c>
      <c r="H1890" s="75" t="str">
        <f>IFERROR(VLOOKUP(Table2[[#This Row],[Ticket]],Okey!A:B,2,0),"")</f>
        <v>ok</v>
      </c>
      <c r="I1890" t="s">
        <v>19</v>
      </c>
      <c r="J1890" t="str">
        <f>VLOOKUP(Table2[[#This Row],[Author]],People!A:B,2,0)</f>
        <v>EL</v>
      </c>
      <c r="M1890" t="s">
        <v>1752</v>
      </c>
    </row>
    <row r="1891" spans="1:13" x14ac:dyDescent="0.25">
      <c r="A1891" s="75">
        <f t="shared" si="29"/>
        <v>1890</v>
      </c>
      <c r="B1891" s="13" t="s">
        <v>2330</v>
      </c>
      <c r="C1891" t="s">
        <v>2805</v>
      </c>
      <c r="D1891" t="s">
        <v>3215</v>
      </c>
      <c r="E1891" t="s">
        <v>3216</v>
      </c>
      <c r="G1891" t="s">
        <v>63</v>
      </c>
      <c r="H1891" s="75" t="str">
        <f>IFERROR(VLOOKUP(Table2[[#This Row],[Ticket]],Okey!A:B,2,0),"")</f>
        <v>ok</v>
      </c>
      <c r="I1891" t="s">
        <v>19</v>
      </c>
      <c r="J1891" t="str">
        <f>VLOOKUP(Table2[[#This Row],[Author]],People!A:B,2,0)</f>
        <v>EL</v>
      </c>
      <c r="M1891" t="s">
        <v>1752</v>
      </c>
    </row>
    <row r="1892" spans="1:13" x14ac:dyDescent="0.25">
      <c r="A1892" s="75">
        <f t="shared" si="29"/>
        <v>1891</v>
      </c>
      <c r="B1892" s="13" t="s">
        <v>2330</v>
      </c>
      <c r="C1892" t="s">
        <v>2805</v>
      </c>
      <c r="D1892" t="s">
        <v>3217</v>
      </c>
      <c r="E1892" t="s">
        <v>3218</v>
      </c>
      <c r="G1892" t="s">
        <v>63</v>
      </c>
      <c r="H1892" s="75" t="str">
        <f>IFERROR(VLOOKUP(Table2[[#This Row],[Ticket]],Okey!A:B,2,0),"")</f>
        <v>ok</v>
      </c>
      <c r="I1892" t="s">
        <v>19</v>
      </c>
      <c r="J1892" t="str">
        <f>VLOOKUP(Table2[[#This Row],[Author]],People!A:B,2,0)</f>
        <v>EL</v>
      </c>
      <c r="M1892" t="s">
        <v>1752</v>
      </c>
    </row>
    <row r="1893" spans="1:13" x14ac:dyDescent="0.25">
      <c r="A1893" s="75">
        <f t="shared" si="29"/>
        <v>1892</v>
      </c>
      <c r="B1893" s="13" t="s">
        <v>2330</v>
      </c>
      <c r="C1893" t="s">
        <v>2805</v>
      </c>
      <c r="D1893" t="s">
        <v>1954</v>
      </c>
      <c r="E1893" t="s">
        <v>3219</v>
      </c>
      <c r="G1893" t="s">
        <v>63</v>
      </c>
      <c r="H1893" s="75" t="str">
        <f>IFERROR(VLOOKUP(Table2[[#This Row],[Ticket]],Okey!A:B,2,0),"")</f>
        <v>ok</v>
      </c>
      <c r="I1893" t="s">
        <v>19</v>
      </c>
      <c r="J1893" t="str">
        <f>VLOOKUP(Table2[[#This Row],[Author]],People!A:B,2,0)</f>
        <v>EL</v>
      </c>
      <c r="M1893" t="s">
        <v>1752</v>
      </c>
    </row>
    <row r="1894" spans="1:13" x14ac:dyDescent="0.25">
      <c r="A1894" s="75">
        <f t="shared" si="29"/>
        <v>1893</v>
      </c>
      <c r="B1894" s="13" t="s">
        <v>2330</v>
      </c>
      <c r="C1894" t="s">
        <v>2805</v>
      </c>
      <c r="D1894" t="s">
        <v>3220</v>
      </c>
      <c r="E1894" t="s">
        <v>3221</v>
      </c>
      <c r="G1894" t="s">
        <v>63</v>
      </c>
      <c r="H1894" s="75" t="str">
        <f>IFERROR(VLOOKUP(Table2[[#This Row],[Ticket]],Okey!A:B,2,0),"")</f>
        <v>ok</v>
      </c>
      <c r="I1894" t="s">
        <v>19</v>
      </c>
      <c r="J1894" t="str">
        <f>VLOOKUP(Table2[[#This Row],[Author]],People!A:B,2,0)</f>
        <v>EL</v>
      </c>
      <c r="M1894" t="s">
        <v>1752</v>
      </c>
    </row>
    <row r="1895" spans="1:13" x14ac:dyDescent="0.25">
      <c r="A1895" s="75">
        <f t="shared" si="29"/>
        <v>1894</v>
      </c>
      <c r="B1895" s="13" t="s">
        <v>2330</v>
      </c>
      <c r="C1895" t="s">
        <v>2805</v>
      </c>
      <c r="D1895" t="s">
        <v>3222</v>
      </c>
      <c r="E1895" t="s">
        <v>3223</v>
      </c>
      <c r="G1895" t="s">
        <v>63</v>
      </c>
      <c r="H1895" s="75" t="str">
        <f>IFERROR(VLOOKUP(Table2[[#This Row],[Ticket]],Okey!A:B,2,0),"")</f>
        <v>ok</v>
      </c>
      <c r="I1895" t="s">
        <v>19</v>
      </c>
      <c r="J1895" t="str">
        <f>VLOOKUP(Table2[[#This Row],[Author]],People!A:B,2,0)</f>
        <v>EL</v>
      </c>
      <c r="M1895" t="s">
        <v>1752</v>
      </c>
    </row>
    <row r="1896" spans="1:13" x14ac:dyDescent="0.25">
      <c r="A1896" s="75">
        <f t="shared" si="29"/>
        <v>1895</v>
      </c>
      <c r="B1896" s="13" t="s">
        <v>2330</v>
      </c>
      <c r="C1896" t="s">
        <v>2805</v>
      </c>
      <c r="D1896" t="s">
        <v>3224</v>
      </c>
      <c r="E1896" t="s">
        <v>3225</v>
      </c>
      <c r="G1896" t="s">
        <v>63</v>
      </c>
      <c r="H1896" s="75" t="str">
        <f>IFERROR(VLOOKUP(Table2[[#This Row],[Ticket]],Okey!A:B,2,0),"")</f>
        <v>ok</v>
      </c>
      <c r="I1896" t="s">
        <v>19</v>
      </c>
      <c r="J1896" t="str">
        <f>VLOOKUP(Table2[[#This Row],[Author]],People!A:B,2,0)</f>
        <v>EL</v>
      </c>
      <c r="M1896" t="s">
        <v>1752</v>
      </c>
    </row>
    <row r="1897" spans="1:13" x14ac:dyDescent="0.25">
      <c r="A1897" s="75">
        <f t="shared" si="29"/>
        <v>1896</v>
      </c>
      <c r="B1897" s="13" t="s">
        <v>2330</v>
      </c>
      <c r="C1897" t="s">
        <v>2805</v>
      </c>
      <c r="D1897" t="s">
        <v>3226</v>
      </c>
      <c r="E1897" t="s">
        <v>3227</v>
      </c>
      <c r="G1897" t="s">
        <v>63</v>
      </c>
      <c r="H1897" s="75" t="str">
        <f>IFERROR(VLOOKUP(Table2[[#This Row],[Ticket]],Okey!A:B,2,0),"")</f>
        <v>ok</v>
      </c>
      <c r="I1897" t="s">
        <v>19</v>
      </c>
      <c r="J1897" t="str">
        <f>VLOOKUP(Table2[[#This Row],[Author]],People!A:B,2,0)</f>
        <v>EL</v>
      </c>
      <c r="M1897" t="s">
        <v>1752</v>
      </c>
    </row>
    <row r="1898" spans="1:13" x14ac:dyDescent="0.25">
      <c r="A1898" s="75">
        <f t="shared" si="29"/>
        <v>1897</v>
      </c>
      <c r="B1898" s="13" t="s">
        <v>2330</v>
      </c>
      <c r="C1898" t="s">
        <v>2805</v>
      </c>
      <c r="D1898" t="s">
        <v>3228</v>
      </c>
      <c r="E1898" t="s">
        <v>3229</v>
      </c>
      <c r="G1898" t="s">
        <v>63</v>
      </c>
      <c r="H1898" s="75" t="str">
        <f>IFERROR(VLOOKUP(Table2[[#This Row],[Ticket]],Okey!A:B,2,0),"")</f>
        <v>ok</v>
      </c>
      <c r="I1898" t="s">
        <v>19</v>
      </c>
      <c r="J1898" t="str">
        <f>VLOOKUP(Table2[[#This Row],[Author]],People!A:B,2,0)</f>
        <v>EL</v>
      </c>
      <c r="M1898" t="s">
        <v>1752</v>
      </c>
    </row>
    <row r="1899" spans="1:13" x14ac:dyDescent="0.25">
      <c r="A1899" s="75">
        <f t="shared" si="29"/>
        <v>1898</v>
      </c>
      <c r="B1899" s="13" t="s">
        <v>2330</v>
      </c>
      <c r="C1899" t="s">
        <v>2805</v>
      </c>
      <c r="D1899" t="s">
        <v>3230</v>
      </c>
      <c r="E1899" t="s">
        <v>3231</v>
      </c>
      <c r="G1899" t="s">
        <v>63</v>
      </c>
      <c r="H1899" s="75" t="str">
        <f>IFERROR(VLOOKUP(Table2[[#This Row],[Ticket]],Okey!A:B,2,0),"")</f>
        <v>ok</v>
      </c>
      <c r="I1899" t="s">
        <v>19</v>
      </c>
      <c r="J1899" t="str">
        <f>VLOOKUP(Table2[[#This Row],[Author]],People!A:B,2,0)</f>
        <v>EL</v>
      </c>
      <c r="M1899" t="s">
        <v>1752</v>
      </c>
    </row>
    <row r="1900" spans="1:13" x14ac:dyDescent="0.25">
      <c r="A1900" s="75">
        <f t="shared" si="29"/>
        <v>1899</v>
      </c>
      <c r="B1900" s="13" t="s">
        <v>2330</v>
      </c>
      <c r="C1900" t="s">
        <v>2805</v>
      </c>
      <c r="D1900" t="s">
        <v>3232</v>
      </c>
      <c r="E1900" t="s">
        <v>3233</v>
      </c>
      <c r="G1900" t="s">
        <v>63</v>
      </c>
      <c r="H1900" s="75" t="str">
        <f>IFERROR(VLOOKUP(Table2[[#This Row],[Ticket]],Okey!A:B,2,0),"")</f>
        <v>ok</v>
      </c>
      <c r="I1900" t="s">
        <v>19</v>
      </c>
      <c r="J1900" t="str">
        <f>VLOOKUP(Table2[[#This Row],[Author]],People!A:B,2,0)</f>
        <v>EL</v>
      </c>
      <c r="M1900" t="s">
        <v>1752</v>
      </c>
    </row>
    <row r="1901" spans="1:13" x14ac:dyDescent="0.25">
      <c r="A1901" s="75">
        <f t="shared" si="29"/>
        <v>1900</v>
      </c>
      <c r="B1901" s="13" t="s">
        <v>2330</v>
      </c>
      <c r="C1901" t="s">
        <v>2805</v>
      </c>
      <c r="D1901" t="s">
        <v>3234</v>
      </c>
      <c r="E1901" t="s">
        <v>3235</v>
      </c>
      <c r="G1901" t="s">
        <v>63</v>
      </c>
      <c r="H1901" s="75" t="str">
        <f>IFERROR(VLOOKUP(Table2[[#This Row],[Ticket]],Okey!A:B,2,0),"")</f>
        <v>ok</v>
      </c>
      <c r="I1901" t="s">
        <v>19</v>
      </c>
      <c r="J1901" t="str">
        <f>VLOOKUP(Table2[[#This Row],[Author]],People!A:B,2,0)</f>
        <v>EL</v>
      </c>
      <c r="M1901" t="s">
        <v>1752</v>
      </c>
    </row>
    <row r="1902" spans="1:13" x14ac:dyDescent="0.25">
      <c r="A1902" s="75">
        <f t="shared" si="29"/>
        <v>1901</v>
      </c>
      <c r="B1902" s="13" t="s">
        <v>2330</v>
      </c>
      <c r="C1902" t="s">
        <v>2805</v>
      </c>
      <c r="D1902" t="s">
        <v>3236</v>
      </c>
      <c r="E1902" t="s">
        <v>3237</v>
      </c>
      <c r="G1902" t="s">
        <v>63</v>
      </c>
      <c r="H1902" s="75" t="str">
        <f>IFERROR(VLOOKUP(Table2[[#This Row],[Ticket]],Okey!A:B,2,0),"")</f>
        <v>ok</v>
      </c>
      <c r="I1902" t="s">
        <v>19</v>
      </c>
      <c r="J1902" t="str">
        <f>VLOOKUP(Table2[[#This Row],[Author]],People!A:B,2,0)</f>
        <v>EL</v>
      </c>
      <c r="M1902" t="s">
        <v>1752</v>
      </c>
    </row>
    <row r="1903" spans="1:13" x14ac:dyDescent="0.25">
      <c r="A1903" s="75">
        <f t="shared" si="29"/>
        <v>1902</v>
      </c>
      <c r="B1903" s="13" t="s">
        <v>2330</v>
      </c>
      <c r="C1903" t="s">
        <v>2805</v>
      </c>
      <c r="D1903" t="s">
        <v>3238</v>
      </c>
      <c r="E1903" t="s">
        <v>3239</v>
      </c>
      <c r="G1903" t="s">
        <v>63</v>
      </c>
      <c r="H1903" s="75" t="str">
        <f>IFERROR(VLOOKUP(Table2[[#This Row],[Ticket]],Okey!A:B,2,0),"")</f>
        <v>ok</v>
      </c>
      <c r="I1903" t="s">
        <v>19</v>
      </c>
      <c r="J1903" t="str">
        <f>VLOOKUP(Table2[[#This Row],[Author]],People!A:B,2,0)</f>
        <v>EL</v>
      </c>
      <c r="M1903" t="s">
        <v>1752</v>
      </c>
    </row>
    <row r="1904" spans="1:13" x14ac:dyDescent="0.25">
      <c r="A1904" s="75">
        <f t="shared" si="29"/>
        <v>1903</v>
      </c>
      <c r="B1904" s="13" t="s">
        <v>2330</v>
      </c>
      <c r="C1904" t="s">
        <v>2805</v>
      </c>
      <c r="D1904" t="s">
        <v>3240</v>
      </c>
      <c r="E1904" t="s">
        <v>3241</v>
      </c>
      <c r="G1904" t="s">
        <v>63</v>
      </c>
      <c r="H1904" s="75" t="str">
        <f>IFERROR(VLOOKUP(Table2[[#This Row],[Ticket]],Okey!A:B,2,0),"")</f>
        <v>ok</v>
      </c>
      <c r="I1904" t="s">
        <v>19</v>
      </c>
      <c r="J1904" t="str">
        <f>VLOOKUP(Table2[[#This Row],[Author]],People!A:B,2,0)</f>
        <v>EL</v>
      </c>
      <c r="M1904" t="s">
        <v>1752</v>
      </c>
    </row>
    <row r="1905" spans="1:13" x14ac:dyDescent="0.25">
      <c r="A1905" s="75">
        <f t="shared" si="29"/>
        <v>1904</v>
      </c>
      <c r="B1905" s="13" t="s">
        <v>2330</v>
      </c>
      <c r="C1905" t="s">
        <v>2805</v>
      </c>
      <c r="D1905" t="s">
        <v>3242</v>
      </c>
      <c r="E1905" t="s">
        <v>3243</v>
      </c>
      <c r="G1905" t="s">
        <v>63</v>
      </c>
      <c r="H1905" s="75" t="str">
        <f>IFERROR(VLOOKUP(Table2[[#This Row],[Ticket]],Okey!A:B,2,0),"")</f>
        <v>ok</v>
      </c>
      <c r="I1905" t="s">
        <v>19</v>
      </c>
      <c r="J1905" t="str">
        <f>VLOOKUP(Table2[[#This Row],[Author]],People!A:B,2,0)</f>
        <v>EL</v>
      </c>
      <c r="M1905" t="s">
        <v>1752</v>
      </c>
    </row>
    <row r="1906" spans="1:13" x14ac:dyDescent="0.25">
      <c r="A1906" s="75">
        <f t="shared" si="29"/>
        <v>1905</v>
      </c>
      <c r="B1906" s="13" t="s">
        <v>2330</v>
      </c>
      <c r="C1906" t="s">
        <v>2805</v>
      </c>
      <c r="D1906" t="s">
        <v>3244</v>
      </c>
      <c r="E1906" t="s">
        <v>3245</v>
      </c>
      <c r="G1906" t="s">
        <v>63</v>
      </c>
      <c r="H1906" s="75" t="str">
        <f>IFERROR(VLOOKUP(Table2[[#This Row],[Ticket]],Okey!A:B,2,0),"")</f>
        <v>ok</v>
      </c>
      <c r="I1906" t="s">
        <v>19</v>
      </c>
      <c r="J1906" t="str">
        <f>VLOOKUP(Table2[[#This Row],[Author]],People!A:B,2,0)</f>
        <v>EL</v>
      </c>
      <c r="M1906" t="s">
        <v>1752</v>
      </c>
    </row>
    <row r="1907" spans="1:13" x14ac:dyDescent="0.25">
      <c r="A1907" s="75">
        <f t="shared" si="29"/>
        <v>1906</v>
      </c>
      <c r="B1907" s="13" t="s">
        <v>2330</v>
      </c>
      <c r="C1907" t="s">
        <v>2805</v>
      </c>
      <c r="D1907" t="s">
        <v>3246</v>
      </c>
      <c r="E1907" t="s">
        <v>3247</v>
      </c>
      <c r="G1907" t="s">
        <v>63</v>
      </c>
      <c r="H1907" s="75" t="str">
        <f>IFERROR(VLOOKUP(Table2[[#This Row],[Ticket]],Okey!A:B,2,0),"")</f>
        <v>ok</v>
      </c>
      <c r="I1907" t="s">
        <v>19</v>
      </c>
      <c r="J1907" t="str">
        <f>VLOOKUP(Table2[[#This Row],[Author]],People!A:B,2,0)</f>
        <v>EL</v>
      </c>
      <c r="M1907" t="s">
        <v>1752</v>
      </c>
    </row>
    <row r="1908" spans="1:13" x14ac:dyDescent="0.25">
      <c r="A1908" s="75">
        <f t="shared" si="29"/>
        <v>1907</v>
      </c>
      <c r="B1908" s="13" t="s">
        <v>2330</v>
      </c>
      <c r="C1908" t="s">
        <v>2805</v>
      </c>
      <c r="D1908" t="s">
        <v>3248</v>
      </c>
      <c r="E1908" t="s">
        <v>3249</v>
      </c>
      <c r="G1908" t="s">
        <v>63</v>
      </c>
      <c r="H1908" s="75" t="str">
        <f>IFERROR(VLOOKUP(Table2[[#This Row],[Ticket]],Okey!A:B,2,0),"")</f>
        <v>ok</v>
      </c>
      <c r="I1908" t="s">
        <v>19</v>
      </c>
      <c r="J1908" t="str">
        <f>VLOOKUP(Table2[[#This Row],[Author]],People!A:B,2,0)</f>
        <v>EL</v>
      </c>
      <c r="M1908" t="s">
        <v>1752</v>
      </c>
    </row>
    <row r="1909" spans="1:13" x14ac:dyDescent="0.25">
      <c r="A1909" s="75">
        <f t="shared" si="29"/>
        <v>1908</v>
      </c>
      <c r="B1909" s="13" t="s">
        <v>2330</v>
      </c>
      <c r="C1909" t="s">
        <v>2805</v>
      </c>
      <c r="D1909" t="s">
        <v>3250</v>
      </c>
      <c r="E1909" t="s">
        <v>3251</v>
      </c>
      <c r="G1909" t="s">
        <v>63</v>
      </c>
      <c r="H1909" s="75" t="str">
        <f>IFERROR(VLOOKUP(Table2[[#This Row],[Ticket]],Okey!A:B,2,0),"")</f>
        <v>ok</v>
      </c>
      <c r="I1909" t="s">
        <v>19</v>
      </c>
      <c r="J1909" t="str">
        <f>VLOOKUP(Table2[[#This Row],[Author]],People!A:B,2,0)</f>
        <v>EL</v>
      </c>
      <c r="M1909" t="s">
        <v>1752</v>
      </c>
    </row>
    <row r="1910" spans="1:13" x14ac:dyDescent="0.25">
      <c r="A1910" s="75">
        <f t="shared" si="29"/>
        <v>1909</v>
      </c>
      <c r="B1910" s="13" t="s">
        <v>2330</v>
      </c>
      <c r="C1910" t="s">
        <v>2805</v>
      </c>
      <c r="D1910" t="s">
        <v>3252</v>
      </c>
      <c r="E1910" t="s">
        <v>3253</v>
      </c>
      <c r="G1910" t="s">
        <v>63</v>
      </c>
      <c r="H1910" s="75" t="str">
        <f>IFERROR(VLOOKUP(Table2[[#This Row],[Ticket]],Okey!A:B,2,0),"")</f>
        <v>ok</v>
      </c>
      <c r="I1910" t="s">
        <v>19</v>
      </c>
      <c r="J1910" t="str">
        <f>VLOOKUP(Table2[[#This Row],[Author]],People!A:B,2,0)</f>
        <v>EL</v>
      </c>
      <c r="M1910" t="s">
        <v>1752</v>
      </c>
    </row>
    <row r="1911" spans="1:13" x14ac:dyDescent="0.25">
      <c r="A1911" s="75">
        <f t="shared" si="29"/>
        <v>1910</v>
      </c>
      <c r="B1911" s="13" t="s">
        <v>2330</v>
      </c>
      <c r="C1911" t="s">
        <v>2805</v>
      </c>
      <c r="D1911" t="s">
        <v>3254</v>
      </c>
      <c r="E1911" t="s">
        <v>3255</v>
      </c>
      <c r="G1911" t="s">
        <v>63</v>
      </c>
      <c r="H1911" s="75" t="str">
        <f>IFERROR(VLOOKUP(Table2[[#This Row],[Ticket]],Okey!A:B,2,0),"")</f>
        <v>ok</v>
      </c>
      <c r="I1911" t="s">
        <v>19</v>
      </c>
      <c r="J1911" t="str">
        <f>VLOOKUP(Table2[[#This Row],[Author]],People!A:B,2,0)</f>
        <v>EL</v>
      </c>
      <c r="M1911" t="s">
        <v>1752</v>
      </c>
    </row>
    <row r="1912" spans="1:13" x14ac:dyDescent="0.25">
      <c r="A1912" s="75">
        <f t="shared" si="29"/>
        <v>1911</v>
      </c>
      <c r="B1912" s="13" t="s">
        <v>2330</v>
      </c>
      <c r="C1912" t="s">
        <v>2805</v>
      </c>
      <c r="D1912" t="s">
        <v>3256</v>
      </c>
      <c r="E1912" t="s">
        <v>3257</v>
      </c>
      <c r="G1912" t="s">
        <v>63</v>
      </c>
      <c r="H1912" s="75" t="str">
        <f>IFERROR(VLOOKUP(Table2[[#This Row],[Ticket]],Okey!A:B,2,0),"")</f>
        <v>ok</v>
      </c>
      <c r="I1912" t="s">
        <v>19</v>
      </c>
      <c r="J1912" t="str">
        <f>VLOOKUP(Table2[[#This Row],[Author]],People!A:B,2,0)</f>
        <v>EL</v>
      </c>
      <c r="M1912" t="s">
        <v>1752</v>
      </c>
    </row>
    <row r="1913" spans="1:13" x14ac:dyDescent="0.25">
      <c r="A1913" s="75">
        <f t="shared" si="29"/>
        <v>1912</v>
      </c>
      <c r="B1913" s="13" t="s">
        <v>2330</v>
      </c>
      <c r="C1913" t="s">
        <v>2805</v>
      </c>
      <c r="D1913" t="s">
        <v>3258</v>
      </c>
      <c r="E1913" t="s">
        <v>3259</v>
      </c>
      <c r="G1913" t="s">
        <v>63</v>
      </c>
      <c r="H1913" s="75" t="str">
        <f>IFERROR(VLOOKUP(Table2[[#This Row],[Ticket]],Okey!A:B,2,0),"")</f>
        <v>ok</v>
      </c>
      <c r="I1913" t="s">
        <v>19</v>
      </c>
      <c r="J1913" t="str">
        <f>VLOOKUP(Table2[[#This Row],[Author]],People!A:B,2,0)</f>
        <v>EL</v>
      </c>
      <c r="M1913" t="s">
        <v>1752</v>
      </c>
    </row>
    <row r="1914" spans="1:13" x14ac:dyDescent="0.25">
      <c r="A1914" s="75">
        <f t="shared" si="29"/>
        <v>1913</v>
      </c>
      <c r="B1914" s="13" t="s">
        <v>2330</v>
      </c>
      <c r="C1914" t="s">
        <v>2805</v>
      </c>
      <c r="D1914" t="s">
        <v>3260</v>
      </c>
      <c r="E1914" t="s">
        <v>3261</v>
      </c>
      <c r="G1914" t="s">
        <v>63</v>
      </c>
      <c r="H1914" s="75" t="str">
        <f>IFERROR(VLOOKUP(Table2[[#This Row],[Ticket]],Okey!A:B,2,0),"")</f>
        <v>ok</v>
      </c>
      <c r="I1914" t="s">
        <v>19</v>
      </c>
      <c r="J1914" t="str">
        <f>VLOOKUP(Table2[[#This Row],[Author]],People!A:B,2,0)</f>
        <v>EL</v>
      </c>
      <c r="M1914" t="s">
        <v>1752</v>
      </c>
    </row>
    <row r="1915" spans="1:13" x14ac:dyDescent="0.25">
      <c r="A1915" s="75">
        <f t="shared" si="29"/>
        <v>1914</v>
      </c>
      <c r="B1915" s="13" t="s">
        <v>2330</v>
      </c>
      <c r="C1915" t="s">
        <v>2805</v>
      </c>
      <c r="D1915" t="s">
        <v>3262</v>
      </c>
      <c r="E1915" t="s">
        <v>3263</v>
      </c>
      <c r="G1915" t="s">
        <v>63</v>
      </c>
      <c r="H1915" s="75" t="str">
        <f>IFERROR(VLOOKUP(Table2[[#This Row],[Ticket]],Okey!A:B,2,0),"")</f>
        <v>ok</v>
      </c>
      <c r="I1915" t="s">
        <v>19</v>
      </c>
      <c r="J1915" t="str">
        <f>VLOOKUP(Table2[[#This Row],[Author]],People!A:B,2,0)</f>
        <v>EL</v>
      </c>
      <c r="M1915" t="s">
        <v>1752</v>
      </c>
    </row>
    <row r="1916" spans="1:13" x14ac:dyDescent="0.25">
      <c r="A1916" s="75">
        <f t="shared" si="29"/>
        <v>1915</v>
      </c>
      <c r="B1916" s="13" t="s">
        <v>2330</v>
      </c>
      <c r="C1916" t="s">
        <v>2805</v>
      </c>
      <c r="D1916" t="s">
        <v>3264</v>
      </c>
      <c r="E1916" t="s">
        <v>3265</v>
      </c>
      <c r="G1916" t="s">
        <v>63</v>
      </c>
      <c r="H1916" s="75" t="str">
        <f>IFERROR(VLOOKUP(Table2[[#This Row],[Ticket]],Okey!A:B,2,0),"")</f>
        <v>ok</v>
      </c>
      <c r="I1916" t="s">
        <v>19</v>
      </c>
      <c r="J1916" t="str">
        <f>VLOOKUP(Table2[[#This Row],[Author]],People!A:B,2,0)</f>
        <v>EL</v>
      </c>
      <c r="M1916" t="s">
        <v>1752</v>
      </c>
    </row>
    <row r="1917" spans="1:13" x14ac:dyDescent="0.25">
      <c r="A1917" s="75">
        <f t="shared" si="29"/>
        <v>1916</v>
      </c>
      <c r="B1917" s="13" t="s">
        <v>2330</v>
      </c>
      <c r="C1917" t="s">
        <v>2805</v>
      </c>
      <c r="D1917" t="s">
        <v>3266</v>
      </c>
      <c r="E1917" t="s">
        <v>3267</v>
      </c>
      <c r="G1917" t="s">
        <v>63</v>
      </c>
      <c r="H1917" s="75" t="str">
        <f>IFERROR(VLOOKUP(Table2[[#This Row],[Ticket]],Okey!A:B,2,0),"")</f>
        <v>ok</v>
      </c>
      <c r="I1917" t="s">
        <v>19</v>
      </c>
      <c r="J1917" t="str">
        <f>VLOOKUP(Table2[[#This Row],[Author]],People!A:B,2,0)</f>
        <v>EL</v>
      </c>
      <c r="M1917" t="s">
        <v>1752</v>
      </c>
    </row>
    <row r="1918" spans="1:13" x14ac:dyDescent="0.25">
      <c r="A1918" s="75">
        <f t="shared" si="29"/>
        <v>1917</v>
      </c>
      <c r="B1918" s="13" t="s">
        <v>2330</v>
      </c>
      <c r="C1918" t="s">
        <v>2805</v>
      </c>
      <c r="D1918" t="s">
        <v>3268</v>
      </c>
      <c r="E1918" t="s">
        <v>3269</v>
      </c>
      <c r="G1918" t="s">
        <v>63</v>
      </c>
      <c r="H1918" s="75" t="str">
        <f>IFERROR(VLOOKUP(Table2[[#This Row],[Ticket]],Okey!A:B,2,0),"")</f>
        <v>ok</v>
      </c>
      <c r="I1918" t="s">
        <v>19</v>
      </c>
      <c r="J1918" t="str">
        <f>VLOOKUP(Table2[[#This Row],[Author]],People!A:B,2,0)</f>
        <v>EL</v>
      </c>
      <c r="M1918" t="s">
        <v>1752</v>
      </c>
    </row>
    <row r="1919" spans="1:13" x14ac:dyDescent="0.25">
      <c r="A1919" s="75">
        <f t="shared" si="29"/>
        <v>1918</v>
      </c>
      <c r="B1919" s="13" t="s">
        <v>2330</v>
      </c>
      <c r="C1919" t="s">
        <v>2805</v>
      </c>
      <c r="D1919" t="s">
        <v>3270</v>
      </c>
      <c r="E1919" t="s">
        <v>3271</v>
      </c>
      <c r="G1919" t="s">
        <v>63</v>
      </c>
      <c r="H1919" s="75" t="str">
        <f>IFERROR(VLOOKUP(Table2[[#This Row],[Ticket]],Okey!A:B,2,0),"")</f>
        <v>ok</v>
      </c>
      <c r="I1919" t="s">
        <v>19</v>
      </c>
      <c r="J1919" t="str">
        <f>VLOOKUP(Table2[[#This Row],[Author]],People!A:B,2,0)</f>
        <v>EL</v>
      </c>
      <c r="M1919" t="s">
        <v>1752</v>
      </c>
    </row>
    <row r="1920" spans="1:13" x14ac:dyDescent="0.25">
      <c r="A1920" s="75">
        <f t="shared" si="29"/>
        <v>1919</v>
      </c>
      <c r="B1920" s="13" t="s">
        <v>2330</v>
      </c>
      <c r="C1920" t="s">
        <v>2805</v>
      </c>
      <c r="D1920" t="s">
        <v>3272</v>
      </c>
      <c r="E1920" t="s">
        <v>3273</v>
      </c>
      <c r="G1920" t="s">
        <v>63</v>
      </c>
      <c r="H1920" s="75" t="str">
        <f>IFERROR(VLOOKUP(Table2[[#This Row],[Ticket]],Okey!A:B,2,0),"")</f>
        <v>ok</v>
      </c>
      <c r="I1920" t="s">
        <v>19</v>
      </c>
      <c r="J1920" t="str">
        <f>VLOOKUP(Table2[[#This Row],[Author]],People!A:B,2,0)</f>
        <v>EL</v>
      </c>
      <c r="M1920" t="s">
        <v>1752</v>
      </c>
    </row>
    <row r="1921" spans="1:13" x14ac:dyDescent="0.25">
      <c r="A1921" s="75">
        <f t="shared" si="29"/>
        <v>1920</v>
      </c>
      <c r="B1921" s="13" t="s">
        <v>2330</v>
      </c>
      <c r="C1921" t="s">
        <v>2805</v>
      </c>
      <c r="D1921" t="s">
        <v>3274</v>
      </c>
      <c r="E1921" t="s">
        <v>3275</v>
      </c>
      <c r="G1921" t="s">
        <v>63</v>
      </c>
      <c r="H1921" s="75" t="str">
        <f>IFERROR(VLOOKUP(Table2[[#This Row],[Ticket]],Okey!A:B,2,0),"")</f>
        <v>ok</v>
      </c>
      <c r="I1921" t="s">
        <v>19</v>
      </c>
      <c r="J1921" t="str">
        <f>VLOOKUP(Table2[[#This Row],[Author]],People!A:B,2,0)</f>
        <v>EL</v>
      </c>
      <c r="M1921" t="s">
        <v>1752</v>
      </c>
    </row>
    <row r="1922" spans="1:13" x14ac:dyDescent="0.25">
      <c r="A1922" s="75">
        <f t="shared" si="29"/>
        <v>1921</v>
      </c>
      <c r="B1922" s="13" t="s">
        <v>2330</v>
      </c>
      <c r="C1922" t="s">
        <v>2805</v>
      </c>
      <c r="D1922" t="s">
        <v>3276</v>
      </c>
      <c r="E1922" t="s">
        <v>3277</v>
      </c>
      <c r="G1922" t="s">
        <v>63</v>
      </c>
      <c r="H1922" s="75" t="str">
        <f>IFERROR(VLOOKUP(Table2[[#This Row],[Ticket]],Okey!A:B,2,0),"")</f>
        <v>ok</v>
      </c>
      <c r="I1922" t="s">
        <v>19</v>
      </c>
      <c r="J1922" t="str">
        <f>VLOOKUP(Table2[[#This Row],[Author]],People!A:B,2,0)</f>
        <v>EL</v>
      </c>
      <c r="M1922" t="s">
        <v>1752</v>
      </c>
    </row>
    <row r="1923" spans="1:13" x14ac:dyDescent="0.25">
      <c r="A1923" s="75">
        <f t="shared" si="29"/>
        <v>1922</v>
      </c>
      <c r="B1923" s="13" t="s">
        <v>2330</v>
      </c>
      <c r="C1923" t="s">
        <v>2805</v>
      </c>
      <c r="D1923" t="s">
        <v>3278</v>
      </c>
      <c r="E1923" t="s">
        <v>3279</v>
      </c>
      <c r="G1923" t="s">
        <v>63</v>
      </c>
      <c r="H1923" s="75" t="str">
        <f>IFERROR(VLOOKUP(Table2[[#This Row],[Ticket]],Okey!A:B,2,0),"")</f>
        <v>ok</v>
      </c>
      <c r="I1923" t="s">
        <v>19</v>
      </c>
      <c r="J1923" t="str">
        <f>VLOOKUP(Table2[[#This Row],[Author]],People!A:B,2,0)</f>
        <v>EL</v>
      </c>
      <c r="M1923" t="s">
        <v>1752</v>
      </c>
    </row>
    <row r="1924" spans="1:13" x14ac:dyDescent="0.25">
      <c r="A1924" s="75">
        <f t="shared" si="29"/>
        <v>1923</v>
      </c>
      <c r="B1924" s="13" t="s">
        <v>2330</v>
      </c>
      <c r="C1924" t="s">
        <v>2805</v>
      </c>
      <c r="D1924" t="s">
        <v>3280</v>
      </c>
      <c r="E1924" t="s">
        <v>3281</v>
      </c>
      <c r="G1924" t="s">
        <v>63</v>
      </c>
      <c r="H1924" s="75" t="str">
        <f>IFERROR(VLOOKUP(Table2[[#This Row],[Ticket]],Okey!A:B,2,0),"")</f>
        <v>ok</v>
      </c>
      <c r="I1924" t="s">
        <v>19</v>
      </c>
      <c r="J1924" t="str">
        <f>VLOOKUP(Table2[[#This Row],[Author]],People!A:B,2,0)</f>
        <v>EL</v>
      </c>
      <c r="M1924" t="s">
        <v>1752</v>
      </c>
    </row>
    <row r="1925" spans="1:13" x14ac:dyDescent="0.25">
      <c r="A1925" s="75">
        <f t="shared" si="29"/>
        <v>1924</v>
      </c>
      <c r="B1925" s="13" t="s">
        <v>2330</v>
      </c>
      <c r="C1925" t="s">
        <v>2805</v>
      </c>
      <c r="D1925" t="s">
        <v>3282</v>
      </c>
      <c r="E1925" t="s">
        <v>3283</v>
      </c>
      <c r="G1925" t="s">
        <v>63</v>
      </c>
      <c r="H1925" s="75" t="str">
        <f>IFERROR(VLOOKUP(Table2[[#This Row],[Ticket]],Okey!A:B,2,0),"")</f>
        <v>ok</v>
      </c>
      <c r="I1925" t="s">
        <v>19</v>
      </c>
      <c r="J1925" t="str">
        <f>VLOOKUP(Table2[[#This Row],[Author]],People!A:B,2,0)</f>
        <v>EL</v>
      </c>
      <c r="M1925" t="s">
        <v>1752</v>
      </c>
    </row>
    <row r="1926" spans="1:13" x14ac:dyDescent="0.25">
      <c r="A1926" s="75">
        <f t="shared" si="29"/>
        <v>1925</v>
      </c>
      <c r="B1926" s="13" t="s">
        <v>2330</v>
      </c>
      <c r="C1926" t="s">
        <v>2805</v>
      </c>
      <c r="D1926" t="s">
        <v>3284</v>
      </c>
      <c r="E1926" t="s">
        <v>3285</v>
      </c>
      <c r="G1926" t="s">
        <v>63</v>
      </c>
      <c r="H1926" s="75" t="str">
        <f>IFERROR(VLOOKUP(Table2[[#This Row],[Ticket]],Okey!A:B,2,0),"")</f>
        <v>ok</v>
      </c>
      <c r="I1926" t="s">
        <v>19</v>
      </c>
      <c r="J1926" t="str">
        <f>VLOOKUP(Table2[[#This Row],[Author]],People!A:B,2,0)</f>
        <v>EL</v>
      </c>
      <c r="M1926" t="s">
        <v>1752</v>
      </c>
    </row>
    <row r="1927" spans="1:13" x14ac:dyDescent="0.25">
      <c r="A1927" s="75">
        <f t="shared" si="29"/>
        <v>1926</v>
      </c>
      <c r="B1927" s="13" t="s">
        <v>2330</v>
      </c>
      <c r="C1927" t="s">
        <v>2805</v>
      </c>
      <c r="D1927" t="s">
        <v>3286</v>
      </c>
      <c r="E1927" t="s">
        <v>3287</v>
      </c>
      <c r="G1927" t="s">
        <v>63</v>
      </c>
      <c r="H1927" s="75" t="str">
        <f>IFERROR(VLOOKUP(Table2[[#This Row],[Ticket]],Okey!A:B,2,0),"")</f>
        <v>ok</v>
      </c>
      <c r="I1927" t="s">
        <v>19</v>
      </c>
      <c r="J1927" t="str">
        <f>VLOOKUP(Table2[[#This Row],[Author]],People!A:B,2,0)</f>
        <v>EL</v>
      </c>
      <c r="M1927" t="s">
        <v>1752</v>
      </c>
    </row>
    <row r="1928" spans="1:13" x14ac:dyDescent="0.25">
      <c r="A1928" s="75">
        <f t="shared" si="29"/>
        <v>1927</v>
      </c>
      <c r="B1928" s="13" t="s">
        <v>2330</v>
      </c>
      <c r="C1928" t="s">
        <v>2805</v>
      </c>
      <c r="D1928" t="s">
        <v>3288</v>
      </c>
      <c r="E1928" t="s">
        <v>3289</v>
      </c>
      <c r="G1928" t="s">
        <v>63</v>
      </c>
      <c r="H1928" s="75" t="str">
        <f>IFERROR(VLOOKUP(Table2[[#This Row],[Ticket]],Okey!A:B,2,0),"")</f>
        <v>ok</v>
      </c>
      <c r="I1928" t="s">
        <v>19</v>
      </c>
      <c r="J1928" t="str">
        <f>VLOOKUP(Table2[[#This Row],[Author]],People!A:B,2,0)</f>
        <v>EL</v>
      </c>
      <c r="M1928" t="s">
        <v>1752</v>
      </c>
    </row>
    <row r="1929" spans="1:13" x14ac:dyDescent="0.25">
      <c r="A1929" s="75">
        <f t="shared" ref="A1929:A1992" si="30">1+A1928</f>
        <v>1928</v>
      </c>
      <c r="B1929" s="13" t="s">
        <v>2330</v>
      </c>
      <c r="C1929" t="s">
        <v>2805</v>
      </c>
      <c r="D1929" t="s">
        <v>3290</v>
      </c>
      <c r="E1929" t="s">
        <v>3291</v>
      </c>
      <c r="G1929" t="s">
        <v>63</v>
      </c>
      <c r="H1929" s="75" t="str">
        <f>IFERROR(VLOOKUP(Table2[[#This Row],[Ticket]],Okey!A:B,2,0),"")</f>
        <v>ok</v>
      </c>
      <c r="I1929" t="s">
        <v>19</v>
      </c>
      <c r="J1929" t="str">
        <f>VLOOKUP(Table2[[#This Row],[Author]],People!A:B,2,0)</f>
        <v>EL</v>
      </c>
      <c r="M1929" t="s">
        <v>1752</v>
      </c>
    </row>
    <row r="1930" spans="1:13" x14ac:dyDescent="0.25">
      <c r="A1930" s="75">
        <f t="shared" si="30"/>
        <v>1929</v>
      </c>
      <c r="B1930" s="13" t="s">
        <v>2330</v>
      </c>
      <c r="C1930" t="s">
        <v>2805</v>
      </c>
      <c r="D1930" t="s">
        <v>3292</v>
      </c>
      <c r="E1930" t="s">
        <v>3293</v>
      </c>
      <c r="G1930" t="s">
        <v>63</v>
      </c>
      <c r="H1930" s="75" t="str">
        <f>IFERROR(VLOOKUP(Table2[[#This Row],[Ticket]],Okey!A:B,2,0),"")</f>
        <v>ok</v>
      </c>
      <c r="I1930" t="s">
        <v>19</v>
      </c>
      <c r="J1930" t="str">
        <f>VLOOKUP(Table2[[#This Row],[Author]],People!A:B,2,0)</f>
        <v>EL</v>
      </c>
      <c r="M1930" t="s">
        <v>1752</v>
      </c>
    </row>
    <row r="1931" spans="1:13" x14ac:dyDescent="0.25">
      <c r="A1931" s="75">
        <f t="shared" si="30"/>
        <v>1930</v>
      </c>
      <c r="B1931" s="13" t="s">
        <v>2330</v>
      </c>
      <c r="C1931" t="s">
        <v>2805</v>
      </c>
      <c r="D1931" t="s">
        <v>3294</v>
      </c>
      <c r="E1931" t="s">
        <v>3295</v>
      </c>
      <c r="G1931" t="s">
        <v>63</v>
      </c>
      <c r="H1931" s="75" t="str">
        <f>IFERROR(VLOOKUP(Table2[[#This Row],[Ticket]],Okey!A:B,2,0),"")</f>
        <v>ok</v>
      </c>
      <c r="I1931" t="s">
        <v>19</v>
      </c>
      <c r="J1931" t="str">
        <f>VLOOKUP(Table2[[#This Row],[Author]],People!A:B,2,0)</f>
        <v>EL</v>
      </c>
      <c r="M1931" t="s">
        <v>1752</v>
      </c>
    </row>
    <row r="1932" spans="1:13" x14ac:dyDescent="0.25">
      <c r="A1932" s="75">
        <f t="shared" si="30"/>
        <v>1931</v>
      </c>
      <c r="B1932" s="13" t="s">
        <v>2330</v>
      </c>
      <c r="C1932" t="s">
        <v>2805</v>
      </c>
      <c r="D1932" t="s">
        <v>3296</v>
      </c>
      <c r="E1932" t="s">
        <v>3297</v>
      </c>
      <c r="G1932" t="s">
        <v>63</v>
      </c>
      <c r="H1932" s="75" t="str">
        <f>IFERROR(VLOOKUP(Table2[[#This Row],[Ticket]],Okey!A:B,2,0),"")</f>
        <v>ok</v>
      </c>
      <c r="I1932" t="s">
        <v>19</v>
      </c>
      <c r="J1932" t="str">
        <f>VLOOKUP(Table2[[#This Row],[Author]],People!A:B,2,0)</f>
        <v>EL</v>
      </c>
      <c r="M1932" t="s">
        <v>1752</v>
      </c>
    </row>
    <row r="1933" spans="1:13" x14ac:dyDescent="0.25">
      <c r="A1933" s="75">
        <f t="shared" si="30"/>
        <v>1932</v>
      </c>
      <c r="B1933" s="13" t="s">
        <v>2330</v>
      </c>
      <c r="C1933" t="s">
        <v>2805</v>
      </c>
      <c r="D1933" t="s">
        <v>1924</v>
      </c>
      <c r="E1933" t="s">
        <v>3298</v>
      </c>
      <c r="G1933" t="s">
        <v>63</v>
      </c>
      <c r="H1933" s="75" t="str">
        <f>IFERROR(VLOOKUP(Table2[[#This Row],[Ticket]],Okey!A:B,2,0),"")</f>
        <v>ok</v>
      </c>
      <c r="I1933" t="s">
        <v>19</v>
      </c>
      <c r="J1933" t="str">
        <f>VLOOKUP(Table2[[#This Row],[Author]],People!A:B,2,0)</f>
        <v>EL</v>
      </c>
      <c r="M1933" t="s">
        <v>1752</v>
      </c>
    </row>
    <row r="1934" spans="1:13" x14ac:dyDescent="0.25">
      <c r="A1934" s="75">
        <f t="shared" si="30"/>
        <v>1933</v>
      </c>
      <c r="B1934" s="13" t="s">
        <v>2330</v>
      </c>
      <c r="C1934" t="s">
        <v>2805</v>
      </c>
      <c r="D1934" t="s">
        <v>3299</v>
      </c>
      <c r="E1934" t="s">
        <v>3300</v>
      </c>
      <c r="G1934" t="s">
        <v>63</v>
      </c>
      <c r="H1934" s="75" t="str">
        <f>IFERROR(VLOOKUP(Table2[[#This Row],[Ticket]],Okey!A:B,2,0),"")</f>
        <v>ok</v>
      </c>
      <c r="I1934" t="s">
        <v>19</v>
      </c>
      <c r="J1934" t="str">
        <f>VLOOKUP(Table2[[#This Row],[Author]],People!A:B,2,0)</f>
        <v>EL</v>
      </c>
      <c r="M1934" t="s">
        <v>1752</v>
      </c>
    </row>
    <row r="1935" spans="1:13" x14ac:dyDescent="0.25">
      <c r="A1935" s="75">
        <f t="shared" si="30"/>
        <v>1934</v>
      </c>
      <c r="B1935" s="13" t="s">
        <v>2330</v>
      </c>
      <c r="C1935" t="s">
        <v>2805</v>
      </c>
      <c r="D1935" t="s">
        <v>3301</v>
      </c>
      <c r="E1935" t="s">
        <v>3302</v>
      </c>
      <c r="G1935" t="s">
        <v>63</v>
      </c>
      <c r="H1935" s="75" t="str">
        <f>IFERROR(VLOOKUP(Table2[[#This Row],[Ticket]],Okey!A:B,2,0),"")</f>
        <v>ok</v>
      </c>
      <c r="I1935" t="s">
        <v>19</v>
      </c>
      <c r="J1935" t="str">
        <f>VLOOKUP(Table2[[#This Row],[Author]],People!A:B,2,0)</f>
        <v>EL</v>
      </c>
      <c r="M1935" t="s">
        <v>1752</v>
      </c>
    </row>
    <row r="1936" spans="1:13" x14ac:dyDescent="0.25">
      <c r="A1936" s="75">
        <f t="shared" si="30"/>
        <v>1935</v>
      </c>
      <c r="B1936" s="13" t="s">
        <v>2330</v>
      </c>
      <c r="C1936" t="s">
        <v>2805</v>
      </c>
      <c r="D1936" t="s">
        <v>3303</v>
      </c>
      <c r="E1936" t="s">
        <v>3304</v>
      </c>
      <c r="G1936" t="s">
        <v>63</v>
      </c>
      <c r="H1936" s="75" t="str">
        <f>IFERROR(VLOOKUP(Table2[[#This Row],[Ticket]],Okey!A:B,2,0),"")</f>
        <v>ok</v>
      </c>
      <c r="I1936" t="s">
        <v>19</v>
      </c>
      <c r="J1936" t="str">
        <f>VLOOKUP(Table2[[#This Row],[Author]],People!A:B,2,0)</f>
        <v>EL</v>
      </c>
      <c r="M1936" t="s">
        <v>1752</v>
      </c>
    </row>
    <row r="1937" spans="1:13" x14ac:dyDescent="0.25">
      <c r="A1937" s="75">
        <f t="shared" si="30"/>
        <v>1936</v>
      </c>
      <c r="B1937" s="13" t="s">
        <v>2330</v>
      </c>
      <c r="C1937" t="s">
        <v>2805</v>
      </c>
      <c r="D1937" t="s">
        <v>3305</v>
      </c>
      <c r="E1937" t="s">
        <v>3306</v>
      </c>
      <c r="G1937" t="s">
        <v>63</v>
      </c>
      <c r="H1937" s="75" t="str">
        <f>IFERROR(VLOOKUP(Table2[[#This Row],[Ticket]],Okey!A:B,2,0),"")</f>
        <v>ok</v>
      </c>
      <c r="I1937" t="s">
        <v>19</v>
      </c>
      <c r="J1937" t="str">
        <f>VLOOKUP(Table2[[#This Row],[Author]],People!A:B,2,0)</f>
        <v>EL</v>
      </c>
      <c r="M1937" t="s">
        <v>1752</v>
      </c>
    </row>
    <row r="1938" spans="1:13" x14ac:dyDescent="0.25">
      <c r="A1938" s="75">
        <f t="shared" si="30"/>
        <v>1937</v>
      </c>
      <c r="B1938" s="13" t="s">
        <v>2330</v>
      </c>
      <c r="C1938" t="s">
        <v>2805</v>
      </c>
      <c r="D1938" t="s">
        <v>3307</v>
      </c>
      <c r="E1938" t="s">
        <v>3308</v>
      </c>
      <c r="G1938" t="s">
        <v>63</v>
      </c>
      <c r="H1938" s="75" t="str">
        <f>IFERROR(VLOOKUP(Table2[[#This Row],[Ticket]],Okey!A:B,2,0),"")</f>
        <v>ok</v>
      </c>
      <c r="I1938" t="s">
        <v>19</v>
      </c>
      <c r="J1938" t="str">
        <f>VLOOKUP(Table2[[#This Row],[Author]],People!A:B,2,0)</f>
        <v>EL</v>
      </c>
      <c r="M1938" t="s">
        <v>1752</v>
      </c>
    </row>
    <row r="1939" spans="1:13" x14ac:dyDescent="0.25">
      <c r="A1939" s="75">
        <f t="shared" si="30"/>
        <v>1938</v>
      </c>
      <c r="B1939" s="13" t="s">
        <v>2330</v>
      </c>
      <c r="C1939" t="s">
        <v>2805</v>
      </c>
      <c r="D1939" t="s">
        <v>3309</v>
      </c>
      <c r="E1939" t="s">
        <v>3310</v>
      </c>
      <c r="G1939" t="s">
        <v>63</v>
      </c>
      <c r="H1939" s="75" t="str">
        <f>IFERROR(VLOOKUP(Table2[[#This Row],[Ticket]],Okey!A:B,2,0),"")</f>
        <v>ok</v>
      </c>
      <c r="I1939" t="s">
        <v>19</v>
      </c>
      <c r="J1939" t="str">
        <f>VLOOKUP(Table2[[#This Row],[Author]],People!A:B,2,0)</f>
        <v>EL</v>
      </c>
      <c r="M1939" t="s">
        <v>1752</v>
      </c>
    </row>
    <row r="1940" spans="1:13" x14ac:dyDescent="0.25">
      <c r="A1940" s="75">
        <f t="shared" si="30"/>
        <v>1939</v>
      </c>
      <c r="B1940" s="13" t="s">
        <v>2330</v>
      </c>
      <c r="C1940" t="s">
        <v>2805</v>
      </c>
      <c r="D1940" t="s">
        <v>3311</v>
      </c>
      <c r="E1940" t="s">
        <v>3312</v>
      </c>
      <c r="G1940" t="s">
        <v>63</v>
      </c>
      <c r="H1940" s="75" t="str">
        <f>IFERROR(VLOOKUP(Table2[[#This Row],[Ticket]],Okey!A:B,2,0),"")</f>
        <v>ok</v>
      </c>
      <c r="I1940" t="s">
        <v>19</v>
      </c>
      <c r="J1940" t="str">
        <f>VLOOKUP(Table2[[#This Row],[Author]],People!A:B,2,0)</f>
        <v>EL</v>
      </c>
      <c r="M1940" t="s">
        <v>1752</v>
      </c>
    </row>
    <row r="1941" spans="1:13" x14ac:dyDescent="0.25">
      <c r="A1941" s="75">
        <f t="shared" si="30"/>
        <v>1940</v>
      </c>
      <c r="B1941" s="13" t="s">
        <v>2330</v>
      </c>
      <c r="C1941" t="s">
        <v>2805</v>
      </c>
      <c r="D1941" t="s">
        <v>3313</v>
      </c>
      <c r="E1941" t="s">
        <v>3314</v>
      </c>
      <c r="G1941" t="s">
        <v>63</v>
      </c>
      <c r="H1941" s="75" t="str">
        <f>IFERROR(VLOOKUP(Table2[[#This Row],[Ticket]],Okey!A:B,2,0),"")</f>
        <v>ok</v>
      </c>
      <c r="I1941" t="s">
        <v>19</v>
      </c>
      <c r="J1941" t="str">
        <f>VLOOKUP(Table2[[#This Row],[Author]],People!A:B,2,0)</f>
        <v>EL</v>
      </c>
      <c r="M1941" t="s">
        <v>1752</v>
      </c>
    </row>
    <row r="1942" spans="1:13" x14ac:dyDescent="0.25">
      <c r="A1942" s="75">
        <f t="shared" si="30"/>
        <v>1941</v>
      </c>
      <c r="B1942" s="13" t="s">
        <v>2330</v>
      </c>
      <c r="C1942" t="s">
        <v>2805</v>
      </c>
      <c r="D1942" t="s">
        <v>3315</v>
      </c>
      <c r="E1942" t="s">
        <v>3316</v>
      </c>
      <c r="G1942" t="s">
        <v>63</v>
      </c>
      <c r="H1942" s="75" t="str">
        <f>IFERROR(VLOOKUP(Table2[[#This Row],[Ticket]],Okey!A:B,2,0),"")</f>
        <v>ok</v>
      </c>
      <c r="I1942" t="s">
        <v>19</v>
      </c>
      <c r="J1942" t="str">
        <f>VLOOKUP(Table2[[#This Row],[Author]],People!A:B,2,0)</f>
        <v>EL</v>
      </c>
      <c r="M1942" t="s">
        <v>1752</v>
      </c>
    </row>
    <row r="1943" spans="1:13" x14ac:dyDescent="0.25">
      <c r="A1943" s="75">
        <f t="shared" si="30"/>
        <v>1942</v>
      </c>
      <c r="B1943" s="13" t="s">
        <v>2330</v>
      </c>
      <c r="C1943" t="s">
        <v>2805</v>
      </c>
      <c r="D1943" t="s">
        <v>3317</v>
      </c>
      <c r="E1943" t="s">
        <v>3318</v>
      </c>
      <c r="G1943" t="s">
        <v>63</v>
      </c>
      <c r="H1943" s="75" t="str">
        <f>IFERROR(VLOOKUP(Table2[[#This Row],[Ticket]],Okey!A:B,2,0),"")</f>
        <v>ok</v>
      </c>
      <c r="I1943" t="s">
        <v>19</v>
      </c>
      <c r="J1943" t="str">
        <f>VLOOKUP(Table2[[#This Row],[Author]],People!A:B,2,0)</f>
        <v>EL</v>
      </c>
      <c r="M1943" t="s">
        <v>1752</v>
      </c>
    </row>
    <row r="1944" spans="1:13" x14ac:dyDescent="0.25">
      <c r="A1944" s="75">
        <f t="shared" si="30"/>
        <v>1943</v>
      </c>
      <c r="B1944" s="13" t="s">
        <v>2330</v>
      </c>
      <c r="C1944" t="s">
        <v>2805</v>
      </c>
      <c r="D1944" t="s">
        <v>3319</v>
      </c>
      <c r="E1944" t="s">
        <v>3320</v>
      </c>
      <c r="G1944" t="s">
        <v>63</v>
      </c>
      <c r="H1944" s="75" t="str">
        <f>IFERROR(VLOOKUP(Table2[[#This Row],[Ticket]],Okey!A:B,2,0),"")</f>
        <v>ok</v>
      </c>
      <c r="I1944" t="s">
        <v>19</v>
      </c>
      <c r="J1944" t="str">
        <f>VLOOKUP(Table2[[#This Row],[Author]],People!A:B,2,0)</f>
        <v>EL</v>
      </c>
      <c r="M1944" t="s">
        <v>1752</v>
      </c>
    </row>
    <row r="1945" spans="1:13" x14ac:dyDescent="0.25">
      <c r="A1945" s="75">
        <f t="shared" si="30"/>
        <v>1944</v>
      </c>
      <c r="B1945" s="13" t="s">
        <v>2330</v>
      </c>
      <c r="C1945" t="s">
        <v>2805</v>
      </c>
      <c r="D1945" t="s">
        <v>3321</v>
      </c>
      <c r="E1945" t="s">
        <v>3322</v>
      </c>
      <c r="G1945" t="s">
        <v>63</v>
      </c>
      <c r="H1945" s="75" t="str">
        <f>IFERROR(VLOOKUP(Table2[[#This Row],[Ticket]],Okey!A:B,2,0),"")</f>
        <v>ok</v>
      </c>
      <c r="I1945" t="s">
        <v>19</v>
      </c>
      <c r="J1945" t="str">
        <f>VLOOKUP(Table2[[#This Row],[Author]],People!A:B,2,0)</f>
        <v>EL</v>
      </c>
      <c r="M1945" t="s">
        <v>1752</v>
      </c>
    </row>
    <row r="1946" spans="1:13" x14ac:dyDescent="0.25">
      <c r="A1946" s="75">
        <f t="shared" si="30"/>
        <v>1945</v>
      </c>
      <c r="B1946" s="13" t="s">
        <v>2330</v>
      </c>
      <c r="C1946" t="s">
        <v>2805</v>
      </c>
      <c r="D1946" t="s">
        <v>3323</v>
      </c>
      <c r="E1946" t="s">
        <v>3324</v>
      </c>
      <c r="G1946" t="s">
        <v>63</v>
      </c>
      <c r="H1946" s="75" t="str">
        <f>IFERROR(VLOOKUP(Table2[[#This Row],[Ticket]],Okey!A:B,2,0),"")</f>
        <v>ok</v>
      </c>
      <c r="I1946" t="s">
        <v>19</v>
      </c>
      <c r="J1946" t="str">
        <f>VLOOKUP(Table2[[#This Row],[Author]],People!A:B,2,0)</f>
        <v>EL</v>
      </c>
      <c r="M1946" t="s">
        <v>1752</v>
      </c>
    </row>
    <row r="1947" spans="1:13" x14ac:dyDescent="0.25">
      <c r="A1947" s="75">
        <f t="shared" si="30"/>
        <v>1946</v>
      </c>
      <c r="B1947" s="13" t="s">
        <v>2330</v>
      </c>
      <c r="C1947" t="s">
        <v>2805</v>
      </c>
      <c r="D1947" t="s">
        <v>3325</v>
      </c>
      <c r="E1947" t="s">
        <v>3326</v>
      </c>
      <c r="G1947" t="s">
        <v>63</v>
      </c>
      <c r="H1947" s="75" t="str">
        <f>IFERROR(VLOOKUP(Table2[[#This Row],[Ticket]],Okey!A:B,2,0),"")</f>
        <v>ok</v>
      </c>
      <c r="I1947" t="s">
        <v>19</v>
      </c>
      <c r="J1947" t="str">
        <f>VLOOKUP(Table2[[#This Row],[Author]],People!A:B,2,0)</f>
        <v>EL</v>
      </c>
      <c r="M1947" t="s">
        <v>1752</v>
      </c>
    </row>
    <row r="1948" spans="1:13" x14ac:dyDescent="0.25">
      <c r="A1948" s="75">
        <f t="shared" si="30"/>
        <v>1947</v>
      </c>
      <c r="B1948" s="13" t="s">
        <v>2330</v>
      </c>
      <c r="C1948" t="s">
        <v>2805</v>
      </c>
      <c r="D1948" t="s">
        <v>3327</v>
      </c>
      <c r="E1948" t="s">
        <v>3328</v>
      </c>
      <c r="G1948" t="s">
        <v>63</v>
      </c>
      <c r="H1948" s="75" t="str">
        <f>IFERROR(VLOOKUP(Table2[[#This Row],[Ticket]],Okey!A:B,2,0),"")</f>
        <v>ok</v>
      </c>
      <c r="I1948" t="s">
        <v>19</v>
      </c>
      <c r="J1948" t="str">
        <f>VLOOKUP(Table2[[#This Row],[Author]],People!A:B,2,0)</f>
        <v>EL</v>
      </c>
      <c r="M1948" t="s">
        <v>1752</v>
      </c>
    </row>
    <row r="1949" spans="1:13" x14ac:dyDescent="0.25">
      <c r="A1949" s="75">
        <f t="shared" si="30"/>
        <v>1948</v>
      </c>
      <c r="B1949" s="13" t="s">
        <v>2330</v>
      </c>
      <c r="C1949" t="s">
        <v>2805</v>
      </c>
      <c r="D1949" t="s">
        <v>3329</v>
      </c>
      <c r="E1949" t="s">
        <v>3330</v>
      </c>
      <c r="G1949" t="s">
        <v>63</v>
      </c>
      <c r="H1949" s="75" t="str">
        <f>IFERROR(VLOOKUP(Table2[[#This Row],[Ticket]],Okey!A:B,2,0),"")</f>
        <v>ok</v>
      </c>
      <c r="I1949" t="s">
        <v>19</v>
      </c>
      <c r="J1949" t="str">
        <f>VLOOKUP(Table2[[#This Row],[Author]],People!A:B,2,0)</f>
        <v>EL</v>
      </c>
      <c r="M1949" t="s">
        <v>1752</v>
      </c>
    </row>
    <row r="1950" spans="1:13" x14ac:dyDescent="0.25">
      <c r="A1950" s="75">
        <f t="shared" si="30"/>
        <v>1949</v>
      </c>
      <c r="B1950" s="13" t="s">
        <v>2330</v>
      </c>
      <c r="C1950" t="s">
        <v>2805</v>
      </c>
      <c r="D1950" t="s">
        <v>3331</v>
      </c>
      <c r="E1950" t="s">
        <v>3332</v>
      </c>
      <c r="G1950" t="s">
        <v>63</v>
      </c>
      <c r="H1950" s="75" t="str">
        <f>IFERROR(VLOOKUP(Table2[[#This Row],[Ticket]],Okey!A:B,2,0),"")</f>
        <v>ok</v>
      </c>
      <c r="I1950" t="s">
        <v>19</v>
      </c>
      <c r="J1950" t="str">
        <f>VLOOKUP(Table2[[#This Row],[Author]],People!A:B,2,0)</f>
        <v>EL</v>
      </c>
      <c r="M1950" t="s">
        <v>1752</v>
      </c>
    </row>
    <row r="1951" spans="1:13" x14ac:dyDescent="0.25">
      <c r="A1951" s="75">
        <f t="shared" si="30"/>
        <v>1950</v>
      </c>
      <c r="B1951" s="13" t="s">
        <v>2330</v>
      </c>
      <c r="C1951" t="s">
        <v>2805</v>
      </c>
      <c r="D1951" t="s">
        <v>3333</v>
      </c>
      <c r="E1951" t="s">
        <v>3334</v>
      </c>
      <c r="G1951" t="s">
        <v>63</v>
      </c>
      <c r="H1951" s="75" t="str">
        <f>IFERROR(VLOOKUP(Table2[[#This Row],[Ticket]],Okey!A:B,2,0),"")</f>
        <v>ok</v>
      </c>
      <c r="I1951" t="s">
        <v>19</v>
      </c>
      <c r="J1951" t="str">
        <f>VLOOKUP(Table2[[#This Row],[Author]],People!A:B,2,0)</f>
        <v>EL</v>
      </c>
      <c r="M1951" t="s">
        <v>1752</v>
      </c>
    </row>
    <row r="1952" spans="1:13" x14ac:dyDescent="0.25">
      <c r="A1952" s="75">
        <f t="shared" si="30"/>
        <v>1951</v>
      </c>
      <c r="B1952" s="13" t="s">
        <v>2330</v>
      </c>
      <c r="C1952" t="s">
        <v>2805</v>
      </c>
      <c r="D1952" t="s">
        <v>3335</v>
      </c>
      <c r="E1952" t="s">
        <v>3336</v>
      </c>
      <c r="G1952" t="s">
        <v>63</v>
      </c>
      <c r="H1952" s="75" t="str">
        <f>IFERROR(VLOOKUP(Table2[[#This Row],[Ticket]],Okey!A:B,2,0),"")</f>
        <v>ok</v>
      </c>
      <c r="I1952" t="s">
        <v>19</v>
      </c>
      <c r="J1952" t="str">
        <f>VLOOKUP(Table2[[#This Row],[Author]],People!A:B,2,0)</f>
        <v>EL</v>
      </c>
      <c r="M1952" t="s">
        <v>1752</v>
      </c>
    </row>
    <row r="1953" spans="1:13" x14ac:dyDescent="0.25">
      <c r="A1953" s="75">
        <f t="shared" si="30"/>
        <v>1952</v>
      </c>
      <c r="B1953" s="13" t="s">
        <v>2330</v>
      </c>
      <c r="C1953" t="s">
        <v>2805</v>
      </c>
      <c r="D1953" t="s">
        <v>3337</v>
      </c>
      <c r="E1953" t="s">
        <v>3338</v>
      </c>
      <c r="G1953" t="s">
        <v>63</v>
      </c>
      <c r="H1953" s="75" t="str">
        <f>IFERROR(VLOOKUP(Table2[[#This Row],[Ticket]],Okey!A:B,2,0),"")</f>
        <v>ok</v>
      </c>
      <c r="I1953" t="s">
        <v>19</v>
      </c>
      <c r="J1953" t="str">
        <f>VLOOKUP(Table2[[#This Row],[Author]],People!A:B,2,0)</f>
        <v>EL</v>
      </c>
      <c r="M1953" t="s">
        <v>1752</v>
      </c>
    </row>
    <row r="1954" spans="1:13" x14ac:dyDescent="0.25">
      <c r="A1954" s="75">
        <f t="shared" si="30"/>
        <v>1953</v>
      </c>
      <c r="B1954" s="13" t="s">
        <v>2330</v>
      </c>
      <c r="C1954" t="s">
        <v>2805</v>
      </c>
      <c r="D1954" t="s">
        <v>3339</v>
      </c>
      <c r="E1954" t="s">
        <v>3340</v>
      </c>
      <c r="G1954" t="s">
        <v>63</v>
      </c>
      <c r="H1954" s="75" t="str">
        <f>IFERROR(VLOOKUP(Table2[[#This Row],[Ticket]],Okey!A:B,2,0),"")</f>
        <v>ok</v>
      </c>
      <c r="I1954" t="s">
        <v>19</v>
      </c>
      <c r="J1954" t="str">
        <f>VLOOKUP(Table2[[#This Row],[Author]],People!A:B,2,0)</f>
        <v>EL</v>
      </c>
      <c r="M1954" t="s">
        <v>1752</v>
      </c>
    </row>
    <row r="1955" spans="1:13" x14ac:dyDescent="0.25">
      <c r="A1955" s="75">
        <f t="shared" si="30"/>
        <v>1954</v>
      </c>
      <c r="B1955" s="13" t="s">
        <v>2330</v>
      </c>
      <c r="C1955" t="s">
        <v>2805</v>
      </c>
      <c r="D1955" t="s">
        <v>3341</v>
      </c>
      <c r="E1955" t="s">
        <v>3342</v>
      </c>
      <c r="G1955" t="s">
        <v>63</v>
      </c>
      <c r="H1955" s="75" t="str">
        <f>IFERROR(VLOOKUP(Table2[[#This Row],[Ticket]],Okey!A:B,2,0),"")</f>
        <v>ok</v>
      </c>
      <c r="I1955" t="s">
        <v>19</v>
      </c>
      <c r="J1955" t="str">
        <f>VLOOKUP(Table2[[#This Row],[Author]],People!A:B,2,0)</f>
        <v>EL</v>
      </c>
      <c r="M1955" t="s">
        <v>1752</v>
      </c>
    </row>
    <row r="1956" spans="1:13" x14ac:dyDescent="0.25">
      <c r="A1956" s="75">
        <f t="shared" si="30"/>
        <v>1955</v>
      </c>
      <c r="B1956" s="13" t="s">
        <v>2330</v>
      </c>
      <c r="C1956" t="s">
        <v>2805</v>
      </c>
      <c r="D1956" t="s">
        <v>3343</v>
      </c>
      <c r="E1956" t="s">
        <v>3344</v>
      </c>
      <c r="G1956" t="s">
        <v>63</v>
      </c>
      <c r="H1956" s="75" t="str">
        <f>IFERROR(VLOOKUP(Table2[[#This Row],[Ticket]],Okey!A:B,2,0),"")</f>
        <v>ok</v>
      </c>
      <c r="I1956" t="s">
        <v>19</v>
      </c>
      <c r="J1956" t="str">
        <f>VLOOKUP(Table2[[#This Row],[Author]],People!A:B,2,0)</f>
        <v>EL</v>
      </c>
      <c r="M1956" t="s">
        <v>1752</v>
      </c>
    </row>
    <row r="1957" spans="1:13" x14ac:dyDescent="0.25">
      <c r="A1957" s="75">
        <f t="shared" si="30"/>
        <v>1956</v>
      </c>
      <c r="B1957" s="13" t="s">
        <v>2330</v>
      </c>
      <c r="C1957" t="s">
        <v>2805</v>
      </c>
      <c r="D1957" t="s">
        <v>3345</v>
      </c>
      <c r="E1957" t="s">
        <v>3346</v>
      </c>
      <c r="G1957" t="s">
        <v>63</v>
      </c>
      <c r="H1957" s="75" t="str">
        <f>IFERROR(VLOOKUP(Table2[[#This Row],[Ticket]],Okey!A:B,2,0),"")</f>
        <v>ok</v>
      </c>
      <c r="I1957" t="s">
        <v>19</v>
      </c>
      <c r="J1957" t="str">
        <f>VLOOKUP(Table2[[#This Row],[Author]],People!A:B,2,0)</f>
        <v>EL</v>
      </c>
      <c r="M1957" t="s">
        <v>1752</v>
      </c>
    </row>
    <row r="1958" spans="1:13" x14ac:dyDescent="0.25">
      <c r="A1958" s="75">
        <f t="shared" si="30"/>
        <v>1957</v>
      </c>
      <c r="B1958" s="13" t="s">
        <v>2330</v>
      </c>
      <c r="C1958" t="s">
        <v>2805</v>
      </c>
      <c r="D1958" t="s">
        <v>3347</v>
      </c>
      <c r="E1958" t="s">
        <v>3348</v>
      </c>
      <c r="G1958" t="s">
        <v>63</v>
      </c>
      <c r="H1958" s="75" t="str">
        <f>IFERROR(VLOOKUP(Table2[[#This Row],[Ticket]],Okey!A:B,2,0),"")</f>
        <v>ok</v>
      </c>
      <c r="I1958" t="s">
        <v>19</v>
      </c>
      <c r="J1958" t="str">
        <f>VLOOKUP(Table2[[#This Row],[Author]],People!A:B,2,0)</f>
        <v>EL</v>
      </c>
      <c r="M1958" t="s">
        <v>1752</v>
      </c>
    </row>
    <row r="1959" spans="1:13" x14ac:dyDescent="0.25">
      <c r="A1959" s="75">
        <f t="shared" si="30"/>
        <v>1958</v>
      </c>
      <c r="B1959" s="13" t="s">
        <v>2330</v>
      </c>
      <c r="C1959" t="s">
        <v>2805</v>
      </c>
      <c r="D1959" t="s">
        <v>3349</v>
      </c>
      <c r="E1959" t="s">
        <v>3350</v>
      </c>
      <c r="G1959" t="s">
        <v>63</v>
      </c>
      <c r="H1959" s="75" t="str">
        <f>IFERROR(VLOOKUP(Table2[[#This Row],[Ticket]],Okey!A:B,2,0),"")</f>
        <v>ok</v>
      </c>
      <c r="I1959" t="s">
        <v>19</v>
      </c>
      <c r="J1959" t="str">
        <f>VLOOKUP(Table2[[#This Row],[Author]],People!A:B,2,0)</f>
        <v>EL</v>
      </c>
      <c r="M1959" t="s">
        <v>1752</v>
      </c>
    </row>
    <row r="1960" spans="1:13" x14ac:dyDescent="0.25">
      <c r="A1960" s="75">
        <f t="shared" si="30"/>
        <v>1959</v>
      </c>
      <c r="B1960" s="13" t="s">
        <v>2330</v>
      </c>
      <c r="C1960" t="s">
        <v>2805</v>
      </c>
      <c r="D1960" t="s">
        <v>3351</v>
      </c>
      <c r="E1960" t="s">
        <v>3352</v>
      </c>
      <c r="G1960" t="s">
        <v>63</v>
      </c>
      <c r="H1960" s="75" t="str">
        <f>IFERROR(VLOOKUP(Table2[[#This Row],[Ticket]],Okey!A:B,2,0),"")</f>
        <v>ok</v>
      </c>
      <c r="I1960" t="s">
        <v>19</v>
      </c>
      <c r="J1960" t="str">
        <f>VLOOKUP(Table2[[#This Row],[Author]],People!A:B,2,0)</f>
        <v>EL</v>
      </c>
      <c r="M1960" t="s">
        <v>1752</v>
      </c>
    </row>
    <row r="1961" spans="1:13" x14ac:dyDescent="0.25">
      <c r="A1961" s="75">
        <f t="shared" si="30"/>
        <v>1960</v>
      </c>
      <c r="B1961" s="13" t="s">
        <v>2330</v>
      </c>
      <c r="C1961" t="s">
        <v>2805</v>
      </c>
      <c r="D1961" t="s">
        <v>3353</v>
      </c>
      <c r="E1961" t="s">
        <v>3354</v>
      </c>
      <c r="G1961" t="s">
        <v>63</v>
      </c>
      <c r="H1961" s="75" t="str">
        <f>IFERROR(VLOOKUP(Table2[[#This Row],[Ticket]],Okey!A:B,2,0),"")</f>
        <v>ok</v>
      </c>
      <c r="I1961" t="s">
        <v>19</v>
      </c>
      <c r="J1961" t="str">
        <f>VLOOKUP(Table2[[#This Row],[Author]],People!A:B,2,0)</f>
        <v>EL</v>
      </c>
      <c r="M1961" t="s">
        <v>1752</v>
      </c>
    </row>
    <row r="1962" spans="1:13" x14ac:dyDescent="0.25">
      <c r="A1962" s="75">
        <f t="shared" si="30"/>
        <v>1961</v>
      </c>
      <c r="B1962" s="13" t="s">
        <v>2330</v>
      </c>
      <c r="C1962" t="s">
        <v>2805</v>
      </c>
      <c r="D1962" t="s">
        <v>3355</v>
      </c>
      <c r="E1962" t="s">
        <v>3356</v>
      </c>
      <c r="G1962" t="s">
        <v>63</v>
      </c>
      <c r="H1962" s="75" t="str">
        <f>IFERROR(VLOOKUP(Table2[[#This Row],[Ticket]],Okey!A:B,2,0),"")</f>
        <v>ok</v>
      </c>
      <c r="I1962" t="s">
        <v>19</v>
      </c>
      <c r="J1962" t="str">
        <f>VLOOKUP(Table2[[#This Row],[Author]],People!A:B,2,0)</f>
        <v>EL</v>
      </c>
      <c r="M1962" t="s">
        <v>1752</v>
      </c>
    </row>
    <row r="1963" spans="1:13" x14ac:dyDescent="0.25">
      <c r="A1963" s="75">
        <f t="shared" si="30"/>
        <v>1962</v>
      </c>
      <c r="B1963" s="13" t="s">
        <v>2330</v>
      </c>
      <c r="C1963" t="s">
        <v>2805</v>
      </c>
      <c r="D1963" t="s">
        <v>3357</v>
      </c>
      <c r="E1963" t="s">
        <v>3358</v>
      </c>
      <c r="G1963" t="s">
        <v>63</v>
      </c>
      <c r="H1963" s="75" t="str">
        <f>IFERROR(VLOOKUP(Table2[[#This Row],[Ticket]],Okey!A:B,2,0),"")</f>
        <v>ok</v>
      </c>
      <c r="I1963" t="s">
        <v>19</v>
      </c>
      <c r="J1963" t="str">
        <f>VLOOKUP(Table2[[#This Row],[Author]],People!A:B,2,0)</f>
        <v>EL</v>
      </c>
      <c r="M1963" t="s">
        <v>1752</v>
      </c>
    </row>
    <row r="1964" spans="1:13" x14ac:dyDescent="0.25">
      <c r="A1964" s="75">
        <f t="shared" si="30"/>
        <v>1963</v>
      </c>
      <c r="B1964" s="13" t="s">
        <v>2330</v>
      </c>
      <c r="C1964" t="s">
        <v>2805</v>
      </c>
      <c r="D1964" t="s">
        <v>3359</v>
      </c>
      <c r="E1964" t="s">
        <v>3360</v>
      </c>
      <c r="G1964" t="s">
        <v>63</v>
      </c>
      <c r="H1964" s="75" t="str">
        <f>IFERROR(VLOOKUP(Table2[[#This Row],[Ticket]],Okey!A:B,2,0),"")</f>
        <v>ok</v>
      </c>
      <c r="I1964" t="s">
        <v>19</v>
      </c>
      <c r="J1964" t="str">
        <f>VLOOKUP(Table2[[#This Row],[Author]],People!A:B,2,0)</f>
        <v>EL</v>
      </c>
      <c r="M1964" t="s">
        <v>1752</v>
      </c>
    </row>
    <row r="1965" spans="1:13" x14ac:dyDescent="0.25">
      <c r="A1965" s="75">
        <f t="shared" si="30"/>
        <v>1964</v>
      </c>
      <c r="B1965" s="13" t="s">
        <v>2330</v>
      </c>
      <c r="C1965" t="s">
        <v>2805</v>
      </c>
      <c r="D1965" t="s">
        <v>3361</v>
      </c>
      <c r="E1965" t="s">
        <v>3362</v>
      </c>
      <c r="G1965" t="s">
        <v>63</v>
      </c>
      <c r="H1965" s="75" t="str">
        <f>IFERROR(VLOOKUP(Table2[[#This Row],[Ticket]],Okey!A:B,2,0),"")</f>
        <v>ok</v>
      </c>
      <c r="I1965" t="s">
        <v>19</v>
      </c>
      <c r="J1965" t="str">
        <f>VLOOKUP(Table2[[#This Row],[Author]],People!A:B,2,0)</f>
        <v>EL</v>
      </c>
      <c r="M1965" t="s">
        <v>1752</v>
      </c>
    </row>
    <row r="1966" spans="1:13" x14ac:dyDescent="0.25">
      <c r="A1966" s="75">
        <f t="shared" si="30"/>
        <v>1965</v>
      </c>
      <c r="B1966" s="13" t="s">
        <v>2330</v>
      </c>
      <c r="C1966" t="s">
        <v>2805</v>
      </c>
      <c r="D1966" t="s">
        <v>3363</v>
      </c>
      <c r="E1966" t="s">
        <v>3364</v>
      </c>
      <c r="G1966" t="s">
        <v>63</v>
      </c>
      <c r="H1966" s="75" t="str">
        <f>IFERROR(VLOOKUP(Table2[[#This Row],[Ticket]],Okey!A:B,2,0),"")</f>
        <v>ok</v>
      </c>
      <c r="I1966" t="s">
        <v>19</v>
      </c>
      <c r="J1966" t="str">
        <f>VLOOKUP(Table2[[#This Row],[Author]],People!A:B,2,0)</f>
        <v>EL</v>
      </c>
      <c r="M1966" t="s">
        <v>1752</v>
      </c>
    </row>
    <row r="1967" spans="1:13" x14ac:dyDescent="0.25">
      <c r="A1967" s="75">
        <f t="shared" si="30"/>
        <v>1966</v>
      </c>
      <c r="B1967" s="13" t="s">
        <v>2330</v>
      </c>
      <c r="C1967" t="s">
        <v>2805</v>
      </c>
      <c r="D1967" t="s">
        <v>3365</v>
      </c>
      <c r="E1967" t="s">
        <v>3366</v>
      </c>
      <c r="G1967" t="s">
        <v>63</v>
      </c>
      <c r="H1967" s="75" t="str">
        <f>IFERROR(VLOOKUP(Table2[[#This Row],[Ticket]],Okey!A:B,2,0),"")</f>
        <v>ok</v>
      </c>
      <c r="I1967" t="s">
        <v>19</v>
      </c>
      <c r="J1967" t="str">
        <f>VLOOKUP(Table2[[#This Row],[Author]],People!A:B,2,0)</f>
        <v>EL</v>
      </c>
      <c r="M1967" t="s">
        <v>1752</v>
      </c>
    </row>
    <row r="1968" spans="1:13" x14ac:dyDescent="0.25">
      <c r="A1968" s="75">
        <f t="shared" si="30"/>
        <v>1967</v>
      </c>
      <c r="B1968" s="13" t="s">
        <v>2330</v>
      </c>
      <c r="C1968" t="s">
        <v>2805</v>
      </c>
      <c r="D1968" t="s">
        <v>3367</v>
      </c>
      <c r="E1968" t="s">
        <v>3368</v>
      </c>
      <c r="G1968" t="s">
        <v>63</v>
      </c>
      <c r="H1968" s="75" t="str">
        <f>IFERROR(VLOOKUP(Table2[[#This Row],[Ticket]],Okey!A:B,2,0),"")</f>
        <v>ok</v>
      </c>
      <c r="I1968" t="s">
        <v>19</v>
      </c>
      <c r="J1968" t="str">
        <f>VLOOKUP(Table2[[#This Row],[Author]],People!A:B,2,0)</f>
        <v>EL</v>
      </c>
      <c r="M1968" t="s">
        <v>1752</v>
      </c>
    </row>
    <row r="1969" spans="1:13" x14ac:dyDescent="0.25">
      <c r="A1969" s="75">
        <f t="shared" si="30"/>
        <v>1968</v>
      </c>
      <c r="B1969" s="13" t="s">
        <v>2330</v>
      </c>
      <c r="C1969" t="s">
        <v>2805</v>
      </c>
      <c r="D1969" t="s">
        <v>3369</v>
      </c>
      <c r="E1969" t="s">
        <v>3370</v>
      </c>
      <c r="G1969" t="s">
        <v>63</v>
      </c>
      <c r="H1969" s="75" t="str">
        <f>IFERROR(VLOOKUP(Table2[[#This Row],[Ticket]],Okey!A:B,2,0),"")</f>
        <v>ok</v>
      </c>
      <c r="I1969" t="s">
        <v>19</v>
      </c>
      <c r="J1969" t="str">
        <f>VLOOKUP(Table2[[#This Row],[Author]],People!A:B,2,0)</f>
        <v>EL</v>
      </c>
      <c r="M1969" t="s">
        <v>1752</v>
      </c>
    </row>
    <row r="1970" spans="1:13" x14ac:dyDescent="0.25">
      <c r="A1970" s="75">
        <f t="shared" si="30"/>
        <v>1969</v>
      </c>
      <c r="B1970" s="13" t="s">
        <v>2330</v>
      </c>
      <c r="C1970" t="s">
        <v>2805</v>
      </c>
      <c r="D1970" t="s">
        <v>3371</v>
      </c>
      <c r="E1970" t="s">
        <v>3372</v>
      </c>
      <c r="G1970" t="s">
        <v>63</v>
      </c>
      <c r="H1970" s="75" t="str">
        <f>IFERROR(VLOOKUP(Table2[[#This Row],[Ticket]],Okey!A:B,2,0),"")</f>
        <v>ok</v>
      </c>
      <c r="I1970" t="s">
        <v>19</v>
      </c>
      <c r="J1970" t="str">
        <f>VLOOKUP(Table2[[#This Row],[Author]],People!A:B,2,0)</f>
        <v>EL</v>
      </c>
      <c r="M1970" t="s">
        <v>1752</v>
      </c>
    </row>
    <row r="1971" spans="1:13" x14ac:dyDescent="0.25">
      <c r="A1971" s="75">
        <f t="shared" si="30"/>
        <v>1970</v>
      </c>
      <c r="B1971" s="13" t="s">
        <v>2330</v>
      </c>
      <c r="C1971" t="s">
        <v>2805</v>
      </c>
      <c r="D1971" t="s">
        <v>3373</v>
      </c>
      <c r="E1971" t="s">
        <v>3374</v>
      </c>
      <c r="G1971" t="s">
        <v>63</v>
      </c>
      <c r="H1971" s="75" t="str">
        <f>IFERROR(VLOOKUP(Table2[[#This Row],[Ticket]],Okey!A:B,2,0),"")</f>
        <v>ok</v>
      </c>
      <c r="I1971" t="s">
        <v>19</v>
      </c>
      <c r="J1971" t="str">
        <f>VLOOKUP(Table2[[#This Row],[Author]],People!A:B,2,0)</f>
        <v>EL</v>
      </c>
      <c r="M1971" t="s">
        <v>1752</v>
      </c>
    </row>
    <row r="1972" spans="1:13" x14ac:dyDescent="0.25">
      <c r="A1972" s="75">
        <f t="shared" si="30"/>
        <v>1971</v>
      </c>
      <c r="B1972" s="13" t="s">
        <v>2330</v>
      </c>
      <c r="C1972" t="s">
        <v>2805</v>
      </c>
      <c r="D1972" t="s">
        <v>3375</v>
      </c>
      <c r="E1972" t="s">
        <v>3376</v>
      </c>
      <c r="G1972" t="s">
        <v>63</v>
      </c>
      <c r="H1972" s="75" t="str">
        <f>IFERROR(VLOOKUP(Table2[[#This Row],[Ticket]],Okey!A:B,2,0),"")</f>
        <v>ok</v>
      </c>
      <c r="I1972" t="s">
        <v>19</v>
      </c>
      <c r="J1972" t="str">
        <f>VLOOKUP(Table2[[#This Row],[Author]],People!A:B,2,0)</f>
        <v>EL</v>
      </c>
      <c r="M1972" t="s">
        <v>1752</v>
      </c>
    </row>
    <row r="1973" spans="1:13" x14ac:dyDescent="0.25">
      <c r="A1973" s="75">
        <f t="shared" si="30"/>
        <v>1972</v>
      </c>
      <c r="B1973" s="13" t="s">
        <v>2330</v>
      </c>
      <c r="C1973" t="s">
        <v>2805</v>
      </c>
      <c r="D1973" t="s">
        <v>3377</v>
      </c>
      <c r="E1973" t="s">
        <v>3378</v>
      </c>
      <c r="G1973" t="s">
        <v>63</v>
      </c>
      <c r="H1973" s="75" t="str">
        <f>IFERROR(VLOOKUP(Table2[[#This Row],[Ticket]],Okey!A:B,2,0),"")</f>
        <v>ok</v>
      </c>
      <c r="I1973" t="s">
        <v>19</v>
      </c>
      <c r="J1973" t="str">
        <f>VLOOKUP(Table2[[#This Row],[Author]],People!A:B,2,0)</f>
        <v>EL</v>
      </c>
      <c r="M1973" t="s">
        <v>1752</v>
      </c>
    </row>
    <row r="1974" spans="1:13" x14ac:dyDescent="0.25">
      <c r="A1974" s="75">
        <f t="shared" si="30"/>
        <v>1973</v>
      </c>
      <c r="B1974" s="13" t="s">
        <v>2330</v>
      </c>
      <c r="C1974" t="s">
        <v>2805</v>
      </c>
      <c r="D1974" t="s">
        <v>3379</v>
      </c>
      <c r="E1974" t="s">
        <v>3380</v>
      </c>
      <c r="G1974" t="s">
        <v>63</v>
      </c>
      <c r="H1974" s="75" t="str">
        <f>IFERROR(VLOOKUP(Table2[[#This Row],[Ticket]],Okey!A:B,2,0),"")</f>
        <v>ok</v>
      </c>
      <c r="I1974" t="s">
        <v>19</v>
      </c>
      <c r="J1974" t="str">
        <f>VLOOKUP(Table2[[#This Row],[Author]],People!A:B,2,0)</f>
        <v>EL</v>
      </c>
      <c r="M1974" t="s">
        <v>1752</v>
      </c>
    </row>
    <row r="1975" spans="1:13" x14ac:dyDescent="0.25">
      <c r="A1975" s="75">
        <f t="shared" si="30"/>
        <v>1974</v>
      </c>
      <c r="B1975" s="13" t="s">
        <v>2330</v>
      </c>
      <c r="C1975" t="s">
        <v>2805</v>
      </c>
      <c r="D1975" t="s">
        <v>3381</v>
      </c>
      <c r="E1975" t="s">
        <v>3382</v>
      </c>
      <c r="G1975" t="s">
        <v>63</v>
      </c>
      <c r="H1975" s="75" t="str">
        <f>IFERROR(VLOOKUP(Table2[[#This Row],[Ticket]],Okey!A:B,2,0),"")</f>
        <v>ok</v>
      </c>
      <c r="I1975" t="s">
        <v>19</v>
      </c>
      <c r="J1975" t="str">
        <f>VLOOKUP(Table2[[#This Row],[Author]],People!A:B,2,0)</f>
        <v>EL</v>
      </c>
      <c r="M1975" t="s">
        <v>1752</v>
      </c>
    </row>
    <row r="1976" spans="1:13" x14ac:dyDescent="0.25">
      <c r="A1976" s="75">
        <f t="shared" si="30"/>
        <v>1975</v>
      </c>
      <c r="B1976" s="13" t="s">
        <v>2330</v>
      </c>
      <c r="C1976" t="s">
        <v>2805</v>
      </c>
      <c r="D1976" t="s">
        <v>3383</v>
      </c>
      <c r="E1976" t="s">
        <v>3384</v>
      </c>
      <c r="G1976" t="s">
        <v>63</v>
      </c>
      <c r="H1976" s="75" t="str">
        <f>IFERROR(VLOOKUP(Table2[[#This Row],[Ticket]],Okey!A:B,2,0),"")</f>
        <v>ok</v>
      </c>
      <c r="I1976" t="s">
        <v>19</v>
      </c>
      <c r="J1976" t="str">
        <f>VLOOKUP(Table2[[#This Row],[Author]],People!A:B,2,0)</f>
        <v>EL</v>
      </c>
      <c r="M1976" t="s">
        <v>1752</v>
      </c>
    </row>
    <row r="1977" spans="1:13" x14ac:dyDescent="0.25">
      <c r="A1977" s="75">
        <f t="shared" si="30"/>
        <v>1976</v>
      </c>
      <c r="B1977" s="13" t="s">
        <v>2330</v>
      </c>
      <c r="C1977" t="s">
        <v>2805</v>
      </c>
      <c r="D1977" t="s">
        <v>3385</v>
      </c>
      <c r="E1977" t="s">
        <v>3386</v>
      </c>
      <c r="G1977" t="s">
        <v>63</v>
      </c>
      <c r="H1977" s="75" t="str">
        <f>IFERROR(VLOOKUP(Table2[[#This Row],[Ticket]],Okey!A:B,2,0),"")</f>
        <v>ok</v>
      </c>
      <c r="I1977" t="s">
        <v>19</v>
      </c>
      <c r="J1977" t="str">
        <f>VLOOKUP(Table2[[#This Row],[Author]],People!A:B,2,0)</f>
        <v>EL</v>
      </c>
      <c r="M1977" t="s">
        <v>1752</v>
      </c>
    </row>
    <row r="1978" spans="1:13" x14ac:dyDescent="0.25">
      <c r="A1978" s="75">
        <f t="shared" si="30"/>
        <v>1977</v>
      </c>
      <c r="B1978" s="13" t="s">
        <v>2330</v>
      </c>
      <c r="C1978" t="s">
        <v>2805</v>
      </c>
      <c r="D1978" t="s">
        <v>3387</v>
      </c>
      <c r="E1978" t="s">
        <v>3388</v>
      </c>
      <c r="G1978" t="s">
        <v>63</v>
      </c>
      <c r="H1978" s="75" t="str">
        <f>IFERROR(VLOOKUP(Table2[[#This Row],[Ticket]],Okey!A:B,2,0),"")</f>
        <v>ok</v>
      </c>
      <c r="I1978" t="s">
        <v>19</v>
      </c>
      <c r="J1978" t="str">
        <f>VLOOKUP(Table2[[#This Row],[Author]],People!A:B,2,0)</f>
        <v>EL</v>
      </c>
      <c r="M1978" t="s">
        <v>1752</v>
      </c>
    </row>
    <row r="1979" spans="1:13" x14ac:dyDescent="0.25">
      <c r="A1979" s="75">
        <f t="shared" si="30"/>
        <v>1978</v>
      </c>
      <c r="B1979" s="13" t="s">
        <v>2330</v>
      </c>
      <c r="C1979" t="s">
        <v>2805</v>
      </c>
      <c r="D1979" t="s">
        <v>3389</v>
      </c>
      <c r="E1979" t="s">
        <v>3390</v>
      </c>
      <c r="G1979" t="s">
        <v>63</v>
      </c>
      <c r="H1979" s="75" t="str">
        <f>IFERROR(VLOOKUP(Table2[[#This Row],[Ticket]],Okey!A:B,2,0),"")</f>
        <v>ok</v>
      </c>
      <c r="I1979" t="s">
        <v>19</v>
      </c>
      <c r="J1979" t="str">
        <f>VLOOKUP(Table2[[#This Row],[Author]],People!A:B,2,0)</f>
        <v>EL</v>
      </c>
      <c r="M1979" t="s">
        <v>1752</v>
      </c>
    </row>
    <row r="1980" spans="1:13" x14ac:dyDescent="0.25">
      <c r="A1980" s="75">
        <f t="shared" si="30"/>
        <v>1979</v>
      </c>
      <c r="B1980" s="13" t="s">
        <v>2330</v>
      </c>
      <c r="C1980" t="s">
        <v>2805</v>
      </c>
      <c r="D1980" t="s">
        <v>3391</v>
      </c>
      <c r="E1980" t="s">
        <v>3392</v>
      </c>
      <c r="G1980" t="s">
        <v>63</v>
      </c>
      <c r="H1980" s="75" t="str">
        <f>IFERROR(VLOOKUP(Table2[[#This Row],[Ticket]],Okey!A:B,2,0),"")</f>
        <v>ok</v>
      </c>
      <c r="I1980" t="s">
        <v>19</v>
      </c>
      <c r="J1980" t="str">
        <f>VLOOKUP(Table2[[#This Row],[Author]],People!A:B,2,0)</f>
        <v>EL</v>
      </c>
      <c r="M1980" t="s">
        <v>1752</v>
      </c>
    </row>
    <row r="1981" spans="1:13" x14ac:dyDescent="0.25">
      <c r="A1981" s="75">
        <f t="shared" si="30"/>
        <v>1980</v>
      </c>
      <c r="B1981" s="13" t="s">
        <v>2330</v>
      </c>
      <c r="C1981" t="s">
        <v>2805</v>
      </c>
      <c r="D1981" t="s">
        <v>3393</v>
      </c>
      <c r="E1981" t="s">
        <v>3394</v>
      </c>
      <c r="G1981" t="s">
        <v>63</v>
      </c>
      <c r="H1981" s="75" t="str">
        <f>IFERROR(VLOOKUP(Table2[[#This Row],[Ticket]],Okey!A:B,2,0),"")</f>
        <v>ok</v>
      </c>
      <c r="I1981" t="s">
        <v>19</v>
      </c>
      <c r="J1981" t="str">
        <f>VLOOKUP(Table2[[#This Row],[Author]],People!A:B,2,0)</f>
        <v>EL</v>
      </c>
      <c r="M1981" t="s">
        <v>1752</v>
      </c>
    </row>
    <row r="1982" spans="1:13" x14ac:dyDescent="0.25">
      <c r="A1982" s="75">
        <f t="shared" si="30"/>
        <v>1981</v>
      </c>
      <c r="B1982" s="13" t="s">
        <v>2330</v>
      </c>
      <c r="C1982" t="s">
        <v>2805</v>
      </c>
      <c r="D1982" t="s">
        <v>3395</v>
      </c>
      <c r="E1982" t="s">
        <v>3396</v>
      </c>
      <c r="G1982" t="s">
        <v>63</v>
      </c>
      <c r="H1982" s="75" t="str">
        <f>IFERROR(VLOOKUP(Table2[[#This Row],[Ticket]],Okey!A:B,2,0),"")</f>
        <v>ok</v>
      </c>
      <c r="I1982" t="s">
        <v>19</v>
      </c>
      <c r="J1982" t="str">
        <f>VLOOKUP(Table2[[#This Row],[Author]],People!A:B,2,0)</f>
        <v>EL</v>
      </c>
      <c r="M1982" t="s">
        <v>1752</v>
      </c>
    </row>
    <row r="1983" spans="1:13" x14ac:dyDescent="0.25">
      <c r="A1983" s="75">
        <f t="shared" si="30"/>
        <v>1982</v>
      </c>
      <c r="B1983" s="13" t="s">
        <v>2330</v>
      </c>
      <c r="C1983" t="s">
        <v>2805</v>
      </c>
      <c r="D1983" t="s">
        <v>3397</v>
      </c>
      <c r="E1983" t="s">
        <v>3398</v>
      </c>
      <c r="G1983" t="s">
        <v>63</v>
      </c>
      <c r="H1983" s="75" t="str">
        <f>IFERROR(VLOOKUP(Table2[[#This Row],[Ticket]],Okey!A:B,2,0),"")</f>
        <v>ok</v>
      </c>
      <c r="I1983" t="s">
        <v>19</v>
      </c>
      <c r="J1983" t="str">
        <f>VLOOKUP(Table2[[#This Row],[Author]],People!A:B,2,0)</f>
        <v>EL</v>
      </c>
      <c r="M1983" t="s">
        <v>1752</v>
      </c>
    </row>
    <row r="1984" spans="1:13" x14ac:dyDescent="0.25">
      <c r="A1984" s="75">
        <f t="shared" si="30"/>
        <v>1983</v>
      </c>
      <c r="B1984" s="13" t="s">
        <v>2330</v>
      </c>
      <c r="C1984" t="s">
        <v>2805</v>
      </c>
      <c r="D1984" t="s">
        <v>3399</v>
      </c>
      <c r="E1984" t="s">
        <v>3400</v>
      </c>
      <c r="G1984" t="s">
        <v>63</v>
      </c>
      <c r="H1984" s="75" t="str">
        <f>IFERROR(VLOOKUP(Table2[[#This Row],[Ticket]],Okey!A:B,2,0),"")</f>
        <v>ok</v>
      </c>
      <c r="I1984" t="s">
        <v>19</v>
      </c>
      <c r="J1984" t="str">
        <f>VLOOKUP(Table2[[#This Row],[Author]],People!A:B,2,0)</f>
        <v>EL</v>
      </c>
      <c r="M1984" t="s">
        <v>1752</v>
      </c>
    </row>
    <row r="1985" spans="1:13" x14ac:dyDescent="0.25">
      <c r="A1985" s="75">
        <f t="shared" si="30"/>
        <v>1984</v>
      </c>
      <c r="B1985" s="13" t="s">
        <v>2330</v>
      </c>
      <c r="C1985" t="s">
        <v>2805</v>
      </c>
      <c r="D1985" t="s">
        <v>3401</v>
      </c>
      <c r="E1985" t="s">
        <v>3402</v>
      </c>
      <c r="G1985" t="s">
        <v>63</v>
      </c>
      <c r="H1985" s="75" t="str">
        <f>IFERROR(VLOOKUP(Table2[[#This Row],[Ticket]],Okey!A:B,2,0),"")</f>
        <v>ok</v>
      </c>
      <c r="I1985" t="s">
        <v>19</v>
      </c>
      <c r="J1985" t="str">
        <f>VLOOKUP(Table2[[#This Row],[Author]],People!A:B,2,0)</f>
        <v>EL</v>
      </c>
      <c r="M1985" t="s">
        <v>1752</v>
      </c>
    </row>
    <row r="1986" spans="1:13" x14ac:dyDescent="0.25">
      <c r="A1986" s="75">
        <f t="shared" si="30"/>
        <v>1985</v>
      </c>
      <c r="B1986" s="13" t="s">
        <v>2330</v>
      </c>
      <c r="C1986" t="s">
        <v>2805</v>
      </c>
      <c r="D1986" t="s">
        <v>3403</v>
      </c>
      <c r="E1986" t="s">
        <v>3404</v>
      </c>
      <c r="G1986" t="s">
        <v>63</v>
      </c>
      <c r="H1986" s="75" t="str">
        <f>IFERROR(VLOOKUP(Table2[[#This Row],[Ticket]],Okey!A:B,2,0),"")</f>
        <v>ok</v>
      </c>
      <c r="I1986" t="s">
        <v>19</v>
      </c>
      <c r="J1986" t="str">
        <f>VLOOKUP(Table2[[#This Row],[Author]],People!A:B,2,0)</f>
        <v>EL</v>
      </c>
      <c r="M1986" t="s">
        <v>1752</v>
      </c>
    </row>
    <row r="1987" spans="1:13" x14ac:dyDescent="0.25">
      <c r="A1987" s="75">
        <f t="shared" si="30"/>
        <v>1986</v>
      </c>
      <c r="B1987" s="13" t="s">
        <v>2330</v>
      </c>
      <c r="C1987" t="s">
        <v>2805</v>
      </c>
      <c r="D1987" t="s">
        <v>3405</v>
      </c>
      <c r="E1987" t="s">
        <v>3406</v>
      </c>
      <c r="G1987" t="s">
        <v>63</v>
      </c>
      <c r="H1987" s="75" t="str">
        <f>IFERROR(VLOOKUP(Table2[[#This Row],[Ticket]],Okey!A:B,2,0),"")</f>
        <v>ok</v>
      </c>
      <c r="I1987" t="s">
        <v>19</v>
      </c>
      <c r="J1987" t="str">
        <f>VLOOKUP(Table2[[#This Row],[Author]],People!A:B,2,0)</f>
        <v>EL</v>
      </c>
      <c r="M1987" t="s">
        <v>1752</v>
      </c>
    </row>
    <row r="1988" spans="1:13" x14ac:dyDescent="0.25">
      <c r="A1988" s="75">
        <f t="shared" si="30"/>
        <v>1987</v>
      </c>
      <c r="B1988" s="13" t="s">
        <v>2330</v>
      </c>
      <c r="C1988" t="s">
        <v>2805</v>
      </c>
      <c r="D1988" t="s">
        <v>3407</v>
      </c>
      <c r="E1988" t="s">
        <v>3408</v>
      </c>
      <c r="G1988" t="s">
        <v>63</v>
      </c>
      <c r="H1988" s="75" t="str">
        <f>IFERROR(VLOOKUP(Table2[[#This Row],[Ticket]],Okey!A:B,2,0),"")</f>
        <v>ok</v>
      </c>
      <c r="I1988" t="s">
        <v>19</v>
      </c>
      <c r="J1988" t="str">
        <f>VLOOKUP(Table2[[#This Row],[Author]],People!A:B,2,0)</f>
        <v>EL</v>
      </c>
      <c r="M1988" t="s">
        <v>1752</v>
      </c>
    </row>
    <row r="1989" spans="1:13" x14ac:dyDescent="0.25">
      <c r="A1989" s="75">
        <f t="shared" si="30"/>
        <v>1988</v>
      </c>
      <c r="B1989" s="13" t="s">
        <v>2330</v>
      </c>
      <c r="C1989" t="s">
        <v>2805</v>
      </c>
      <c r="D1989" t="s">
        <v>3409</v>
      </c>
      <c r="E1989" t="s">
        <v>3410</v>
      </c>
      <c r="G1989" t="s">
        <v>63</v>
      </c>
      <c r="H1989" s="75" t="str">
        <f>IFERROR(VLOOKUP(Table2[[#This Row],[Ticket]],Okey!A:B,2,0),"")</f>
        <v>ok</v>
      </c>
      <c r="I1989" t="s">
        <v>19</v>
      </c>
      <c r="J1989" t="str">
        <f>VLOOKUP(Table2[[#This Row],[Author]],People!A:B,2,0)</f>
        <v>EL</v>
      </c>
      <c r="M1989" t="s">
        <v>1752</v>
      </c>
    </row>
    <row r="1990" spans="1:13" x14ac:dyDescent="0.25">
      <c r="A1990" s="75">
        <f t="shared" si="30"/>
        <v>1989</v>
      </c>
      <c r="B1990" s="13" t="s">
        <v>2330</v>
      </c>
      <c r="C1990" t="s">
        <v>2805</v>
      </c>
      <c r="D1990" t="s">
        <v>3411</v>
      </c>
      <c r="E1990" t="s">
        <v>3412</v>
      </c>
      <c r="G1990" t="s">
        <v>63</v>
      </c>
      <c r="H1990" s="75" t="str">
        <f>IFERROR(VLOOKUP(Table2[[#This Row],[Ticket]],Okey!A:B,2,0),"")</f>
        <v>ok</v>
      </c>
      <c r="I1990" t="s">
        <v>19</v>
      </c>
      <c r="J1990" t="str">
        <f>VLOOKUP(Table2[[#This Row],[Author]],People!A:B,2,0)</f>
        <v>EL</v>
      </c>
      <c r="M1990" t="s">
        <v>1752</v>
      </c>
    </row>
    <row r="1991" spans="1:13" x14ac:dyDescent="0.25">
      <c r="A1991" s="75">
        <f t="shared" si="30"/>
        <v>1990</v>
      </c>
      <c r="B1991" s="13" t="s">
        <v>2330</v>
      </c>
      <c r="C1991" t="s">
        <v>2805</v>
      </c>
      <c r="D1991" t="s">
        <v>3413</v>
      </c>
      <c r="E1991" t="s">
        <v>3414</v>
      </c>
      <c r="G1991" t="s">
        <v>63</v>
      </c>
      <c r="H1991" s="75" t="str">
        <f>IFERROR(VLOOKUP(Table2[[#This Row],[Ticket]],Okey!A:B,2,0),"")</f>
        <v>ok</v>
      </c>
      <c r="I1991" t="s">
        <v>19</v>
      </c>
      <c r="J1991" t="str">
        <f>VLOOKUP(Table2[[#This Row],[Author]],People!A:B,2,0)</f>
        <v>EL</v>
      </c>
      <c r="M1991" t="s">
        <v>1752</v>
      </c>
    </row>
    <row r="1992" spans="1:13" x14ac:dyDescent="0.25">
      <c r="A1992" s="75">
        <f t="shared" si="30"/>
        <v>1991</v>
      </c>
      <c r="B1992" s="13" t="s">
        <v>2330</v>
      </c>
      <c r="C1992" t="s">
        <v>2805</v>
      </c>
      <c r="D1992" t="s">
        <v>3415</v>
      </c>
      <c r="E1992" t="s">
        <v>3416</v>
      </c>
      <c r="G1992" t="s">
        <v>63</v>
      </c>
      <c r="H1992" s="75" t="str">
        <f>IFERROR(VLOOKUP(Table2[[#This Row],[Ticket]],Okey!A:B,2,0),"")</f>
        <v>ok</v>
      </c>
      <c r="I1992" t="s">
        <v>19</v>
      </c>
      <c r="J1992" t="str">
        <f>VLOOKUP(Table2[[#This Row],[Author]],People!A:B,2,0)</f>
        <v>EL</v>
      </c>
      <c r="M1992" t="s">
        <v>1752</v>
      </c>
    </row>
    <row r="1993" spans="1:13" x14ac:dyDescent="0.25">
      <c r="A1993" s="75">
        <f t="shared" ref="A1993:A2056" si="31">1+A1992</f>
        <v>1992</v>
      </c>
      <c r="B1993" s="13" t="s">
        <v>2330</v>
      </c>
      <c r="C1993" t="s">
        <v>2805</v>
      </c>
      <c r="D1993" t="s">
        <v>3417</v>
      </c>
      <c r="E1993" t="s">
        <v>3418</v>
      </c>
      <c r="G1993" t="s">
        <v>63</v>
      </c>
      <c r="H1993" s="75" t="str">
        <f>IFERROR(VLOOKUP(Table2[[#This Row],[Ticket]],Okey!A:B,2,0),"")</f>
        <v>ok</v>
      </c>
      <c r="I1993" t="s">
        <v>19</v>
      </c>
      <c r="J1993" t="str">
        <f>VLOOKUP(Table2[[#This Row],[Author]],People!A:B,2,0)</f>
        <v>EL</v>
      </c>
      <c r="M1993" t="s">
        <v>1752</v>
      </c>
    </row>
    <row r="1994" spans="1:13" x14ac:dyDescent="0.25">
      <c r="A1994" s="75">
        <f t="shared" si="31"/>
        <v>1993</v>
      </c>
      <c r="B1994" s="13" t="s">
        <v>2330</v>
      </c>
      <c r="C1994" t="s">
        <v>2805</v>
      </c>
      <c r="D1994" t="s">
        <v>3419</v>
      </c>
      <c r="E1994" t="s">
        <v>3420</v>
      </c>
      <c r="G1994" t="s">
        <v>63</v>
      </c>
      <c r="H1994" s="75" t="str">
        <f>IFERROR(VLOOKUP(Table2[[#This Row],[Ticket]],Okey!A:B,2,0),"")</f>
        <v>ok</v>
      </c>
      <c r="I1994" t="s">
        <v>19</v>
      </c>
      <c r="J1994" t="str">
        <f>VLOOKUP(Table2[[#This Row],[Author]],People!A:B,2,0)</f>
        <v>EL</v>
      </c>
      <c r="M1994" t="s">
        <v>1752</v>
      </c>
    </row>
    <row r="1995" spans="1:13" x14ac:dyDescent="0.25">
      <c r="A1995" s="75">
        <f t="shared" si="31"/>
        <v>1994</v>
      </c>
      <c r="B1995" s="13" t="s">
        <v>2330</v>
      </c>
      <c r="C1995" t="s">
        <v>2805</v>
      </c>
      <c r="D1995" t="s">
        <v>3421</v>
      </c>
      <c r="E1995" t="s">
        <v>3422</v>
      </c>
      <c r="G1995" t="s">
        <v>63</v>
      </c>
      <c r="H1995" s="75" t="str">
        <f>IFERROR(VLOOKUP(Table2[[#This Row],[Ticket]],Okey!A:B,2,0),"")</f>
        <v>ok</v>
      </c>
      <c r="I1995" t="s">
        <v>19</v>
      </c>
      <c r="J1995" t="str">
        <f>VLOOKUP(Table2[[#This Row],[Author]],People!A:B,2,0)</f>
        <v>EL</v>
      </c>
      <c r="M1995" t="s">
        <v>1752</v>
      </c>
    </row>
    <row r="1996" spans="1:13" x14ac:dyDescent="0.25">
      <c r="A1996" s="75">
        <f t="shared" si="31"/>
        <v>1995</v>
      </c>
      <c r="B1996" s="13" t="s">
        <v>2330</v>
      </c>
      <c r="C1996" t="s">
        <v>2805</v>
      </c>
      <c r="D1996" t="s">
        <v>3423</v>
      </c>
      <c r="E1996" t="s">
        <v>3424</v>
      </c>
      <c r="G1996" t="s">
        <v>63</v>
      </c>
      <c r="H1996" s="75" t="str">
        <f>IFERROR(VLOOKUP(Table2[[#This Row],[Ticket]],Okey!A:B,2,0),"")</f>
        <v>ok</v>
      </c>
      <c r="I1996" t="s">
        <v>19</v>
      </c>
      <c r="J1996" t="str">
        <f>VLOOKUP(Table2[[#This Row],[Author]],People!A:B,2,0)</f>
        <v>EL</v>
      </c>
      <c r="M1996" t="s">
        <v>1752</v>
      </c>
    </row>
    <row r="1997" spans="1:13" x14ac:dyDescent="0.25">
      <c r="A1997" s="75">
        <f t="shared" si="31"/>
        <v>1996</v>
      </c>
      <c r="B1997" s="13" t="s">
        <v>2330</v>
      </c>
      <c r="C1997" t="s">
        <v>2805</v>
      </c>
      <c r="D1997" t="s">
        <v>3425</v>
      </c>
      <c r="E1997" t="s">
        <v>3426</v>
      </c>
      <c r="G1997" t="s">
        <v>63</v>
      </c>
      <c r="H1997" s="75" t="str">
        <f>IFERROR(VLOOKUP(Table2[[#This Row],[Ticket]],Okey!A:B,2,0),"")</f>
        <v>ok</v>
      </c>
      <c r="I1997" t="s">
        <v>19</v>
      </c>
      <c r="J1997" t="str">
        <f>VLOOKUP(Table2[[#This Row],[Author]],People!A:B,2,0)</f>
        <v>EL</v>
      </c>
      <c r="M1997" t="s">
        <v>1752</v>
      </c>
    </row>
    <row r="1998" spans="1:13" x14ac:dyDescent="0.25">
      <c r="A1998" s="75">
        <f t="shared" si="31"/>
        <v>1997</v>
      </c>
      <c r="B1998" s="13" t="s">
        <v>2330</v>
      </c>
      <c r="C1998" t="s">
        <v>2805</v>
      </c>
      <c r="D1998" t="s">
        <v>3427</v>
      </c>
      <c r="E1998" t="s">
        <v>3428</v>
      </c>
      <c r="G1998" t="s">
        <v>63</v>
      </c>
      <c r="H1998" s="75" t="str">
        <f>IFERROR(VLOOKUP(Table2[[#This Row],[Ticket]],Okey!A:B,2,0),"")</f>
        <v>ok</v>
      </c>
      <c r="I1998" t="s">
        <v>19</v>
      </c>
      <c r="J1998" t="str">
        <f>VLOOKUP(Table2[[#This Row],[Author]],People!A:B,2,0)</f>
        <v>EL</v>
      </c>
      <c r="M1998" t="s">
        <v>1752</v>
      </c>
    </row>
    <row r="1999" spans="1:13" x14ac:dyDescent="0.25">
      <c r="A1999" s="75">
        <f t="shared" si="31"/>
        <v>1998</v>
      </c>
      <c r="B1999" s="13" t="s">
        <v>2330</v>
      </c>
      <c r="C1999" t="s">
        <v>2805</v>
      </c>
      <c r="D1999" t="s">
        <v>3429</v>
      </c>
      <c r="E1999" t="s">
        <v>3430</v>
      </c>
      <c r="G1999" t="s">
        <v>63</v>
      </c>
      <c r="H1999" s="75" t="str">
        <f>IFERROR(VLOOKUP(Table2[[#This Row],[Ticket]],Okey!A:B,2,0),"")</f>
        <v>ok</v>
      </c>
      <c r="I1999" t="s">
        <v>19</v>
      </c>
      <c r="J1999" t="str">
        <f>VLOOKUP(Table2[[#This Row],[Author]],People!A:B,2,0)</f>
        <v>EL</v>
      </c>
      <c r="M1999" t="s">
        <v>1752</v>
      </c>
    </row>
    <row r="2000" spans="1:13" x14ac:dyDescent="0.25">
      <c r="A2000" s="75">
        <f t="shared" si="31"/>
        <v>1999</v>
      </c>
      <c r="B2000" s="13" t="s">
        <v>2330</v>
      </c>
      <c r="C2000" t="s">
        <v>2805</v>
      </c>
      <c r="D2000" t="s">
        <v>3431</v>
      </c>
      <c r="E2000" t="s">
        <v>3432</v>
      </c>
      <c r="G2000" t="s">
        <v>63</v>
      </c>
      <c r="H2000" s="75" t="str">
        <f>IFERROR(VLOOKUP(Table2[[#This Row],[Ticket]],Okey!A:B,2,0),"")</f>
        <v>ok</v>
      </c>
      <c r="I2000" t="s">
        <v>19</v>
      </c>
      <c r="J2000" t="str">
        <f>VLOOKUP(Table2[[#This Row],[Author]],People!A:B,2,0)</f>
        <v>EL</v>
      </c>
      <c r="M2000" t="s">
        <v>1752</v>
      </c>
    </row>
    <row r="2001" spans="1:13" x14ac:dyDescent="0.25">
      <c r="A2001" s="75">
        <f t="shared" si="31"/>
        <v>2000</v>
      </c>
      <c r="B2001" s="13" t="s">
        <v>2330</v>
      </c>
      <c r="C2001" t="s">
        <v>2805</v>
      </c>
      <c r="D2001" t="s">
        <v>3433</v>
      </c>
      <c r="E2001" t="s">
        <v>3434</v>
      </c>
      <c r="G2001" t="s">
        <v>63</v>
      </c>
      <c r="H2001" s="75" t="str">
        <f>IFERROR(VLOOKUP(Table2[[#This Row],[Ticket]],Okey!A:B,2,0),"")</f>
        <v>ok</v>
      </c>
      <c r="I2001" t="s">
        <v>19</v>
      </c>
      <c r="J2001" t="str">
        <f>VLOOKUP(Table2[[#This Row],[Author]],People!A:B,2,0)</f>
        <v>EL</v>
      </c>
      <c r="M2001" t="s">
        <v>1752</v>
      </c>
    </row>
    <row r="2002" spans="1:13" x14ac:dyDescent="0.25">
      <c r="A2002" s="75">
        <f t="shared" si="31"/>
        <v>2001</v>
      </c>
      <c r="B2002" s="13" t="s">
        <v>2330</v>
      </c>
      <c r="C2002" t="s">
        <v>2805</v>
      </c>
      <c r="D2002" t="s">
        <v>3435</v>
      </c>
      <c r="E2002" t="s">
        <v>3436</v>
      </c>
      <c r="G2002" t="s">
        <v>63</v>
      </c>
      <c r="H2002" s="75" t="str">
        <f>IFERROR(VLOOKUP(Table2[[#This Row],[Ticket]],Okey!A:B,2,0),"")</f>
        <v>ok</v>
      </c>
      <c r="I2002" t="s">
        <v>19</v>
      </c>
      <c r="J2002" t="str">
        <f>VLOOKUP(Table2[[#This Row],[Author]],People!A:B,2,0)</f>
        <v>EL</v>
      </c>
      <c r="M2002" t="s">
        <v>1752</v>
      </c>
    </row>
    <row r="2003" spans="1:13" x14ac:dyDescent="0.25">
      <c r="A2003" s="75">
        <f t="shared" si="31"/>
        <v>2002</v>
      </c>
      <c r="B2003" s="13" t="s">
        <v>2330</v>
      </c>
      <c r="C2003" t="s">
        <v>2805</v>
      </c>
      <c r="D2003" t="s">
        <v>3437</v>
      </c>
      <c r="E2003" t="s">
        <v>3438</v>
      </c>
      <c r="G2003" t="s">
        <v>63</v>
      </c>
      <c r="H2003" s="75" t="str">
        <f>IFERROR(VLOOKUP(Table2[[#This Row],[Ticket]],Okey!A:B,2,0),"")</f>
        <v>ok</v>
      </c>
      <c r="I2003" t="s">
        <v>19</v>
      </c>
      <c r="J2003" t="str">
        <f>VLOOKUP(Table2[[#This Row],[Author]],People!A:B,2,0)</f>
        <v>EL</v>
      </c>
      <c r="M2003" t="s">
        <v>1752</v>
      </c>
    </row>
    <row r="2004" spans="1:13" x14ac:dyDescent="0.25">
      <c r="A2004" s="75">
        <f t="shared" si="31"/>
        <v>2003</v>
      </c>
      <c r="B2004" s="13" t="s">
        <v>2330</v>
      </c>
      <c r="C2004" t="s">
        <v>2805</v>
      </c>
      <c r="D2004" t="s">
        <v>3439</v>
      </c>
      <c r="E2004" t="s">
        <v>3440</v>
      </c>
      <c r="G2004" t="s">
        <v>63</v>
      </c>
      <c r="H2004" s="75" t="str">
        <f>IFERROR(VLOOKUP(Table2[[#This Row],[Ticket]],Okey!A:B,2,0),"")</f>
        <v>ok</v>
      </c>
      <c r="I2004" t="s">
        <v>19</v>
      </c>
      <c r="J2004" t="str">
        <f>VLOOKUP(Table2[[#This Row],[Author]],People!A:B,2,0)</f>
        <v>EL</v>
      </c>
      <c r="M2004" t="s">
        <v>1752</v>
      </c>
    </row>
    <row r="2005" spans="1:13" x14ac:dyDescent="0.25">
      <c r="A2005" s="75">
        <f t="shared" si="31"/>
        <v>2004</v>
      </c>
      <c r="B2005" s="13" t="s">
        <v>2330</v>
      </c>
      <c r="C2005" t="s">
        <v>2805</v>
      </c>
      <c r="D2005" t="s">
        <v>3441</v>
      </c>
      <c r="E2005" t="s">
        <v>3442</v>
      </c>
      <c r="G2005" t="s">
        <v>63</v>
      </c>
      <c r="H2005" s="75" t="str">
        <f>IFERROR(VLOOKUP(Table2[[#This Row],[Ticket]],Okey!A:B,2,0),"")</f>
        <v>ok</v>
      </c>
      <c r="I2005" t="s">
        <v>19</v>
      </c>
      <c r="J2005" t="str">
        <f>VLOOKUP(Table2[[#This Row],[Author]],People!A:B,2,0)</f>
        <v>EL</v>
      </c>
      <c r="M2005" t="s">
        <v>1752</v>
      </c>
    </row>
    <row r="2006" spans="1:13" x14ac:dyDescent="0.25">
      <c r="A2006" s="75">
        <f t="shared" si="31"/>
        <v>2005</v>
      </c>
      <c r="B2006" s="13" t="s">
        <v>2330</v>
      </c>
      <c r="C2006" t="s">
        <v>2805</v>
      </c>
      <c r="D2006" t="s">
        <v>3443</v>
      </c>
      <c r="E2006" t="s">
        <v>3444</v>
      </c>
      <c r="G2006" t="s">
        <v>63</v>
      </c>
      <c r="H2006" s="75" t="str">
        <f>IFERROR(VLOOKUP(Table2[[#This Row],[Ticket]],Okey!A:B,2,0),"")</f>
        <v>ok</v>
      </c>
      <c r="I2006" t="s">
        <v>19</v>
      </c>
      <c r="J2006" t="str">
        <f>VLOOKUP(Table2[[#This Row],[Author]],People!A:B,2,0)</f>
        <v>EL</v>
      </c>
      <c r="M2006" t="s">
        <v>1752</v>
      </c>
    </row>
    <row r="2007" spans="1:13" x14ac:dyDescent="0.25">
      <c r="A2007" s="75">
        <f t="shared" si="31"/>
        <v>2006</v>
      </c>
      <c r="B2007" s="13" t="s">
        <v>2330</v>
      </c>
      <c r="C2007" t="s">
        <v>2805</v>
      </c>
      <c r="D2007" t="s">
        <v>3445</v>
      </c>
      <c r="E2007" t="s">
        <v>3446</v>
      </c>
      <c r="G2007" t="s">
        <v>63</v>
      </c>
      <c r="H2007" s="75" t="str">
        <f>IFERROR(VLOOKUP(Table2[[#This Row],[Ticket]],Okey!A:B,2,0),"")</f>
        <v>ok</v>
      </c>
      <c r="I2007" t="s">
        <v>19</v>
      </c>
      <c r="J2007" t="str">
        <f>VLOOKUP(Table2[[#This Row],[Author]],People!A:B,2,0)</f>
        <v>EL</v>
      </c>
      <c r="M2007" t="s">
        <v>1752</v>
      </c>
    </row>
    <row r="2008" spans="1:13" x14ac:dyDescent="0.25">
      <c r="A2008" s="75">
        <f t="shared" si="31"/>
        <v>2007</v>
      </c>
      <c r="B2008" s="13" t="s">
        <v>2330</v>
      </c>
      <c r="C2008" t="s">
        <v>2805</v>
      </c>
      <c r="D2008" t="s">
        <v>3447</v>
      </c>
      <c r="E2008" t="s">
        <v>3448</v>
      </c>
      <c r="G2008" t="s">
        <v>63</v>
      </c>
      <c r="H2008" s="75" t="str">
        <f>IFERROR(VLOOKUP(Table2[[#This Row],[Ticket]],Okey!A:B,2,0),"")</f>
        <v>ok</v>
      </c>
      <c r="I2008" t="s">
        <v>19</v>
      </c>
      <c r="J2008" t="str">
        <f>VLOOKUP(Table2[[#This Row],[Author]],People!A:B,2,0)</f>
        <v>EL</v>
      </c>
      <c r="M2008" t="s">
        <v>1752</v>
      </c>
    </row>
    <row r="2009" spans="1:13" x14ac:dyDescent="0.25">
      <c r="A2009" s="75">
        <f t="shared" si="31"/>
        <v>2008</v>
      </c>
      <c r="B2009" s="13" t="s">
        <v>2330</v>
      </c>
      <c r="C2009" t="s">
        <v>2805</v>
      </c>
      <c r="D2009" t="s">
        <v>3449</v>
      </c>
      <c r="E2009" t="s">
        <v>3450</v>
      </c>
      <c r="G2009" t="s">
        <v>63</v>
      </c>
      <c r="H2009" s="75" t="str">
        <f>IFERROR(VLOOKUP(Table2[[#This Row],[Ticket]],Okey!A:B,2,0),"")</f>
        <v>ok</v>
      </c>
      <c r="I2009" t="s">
        <v>19</v>
      </c>
      <c r="J2009" t="str">
        <f>VLOOKUP(Table2[[#This Row],[Author]],People!A:B,2,0)</f>
        <v>EL</v>
      </c>
      <c r="M2009" t="s">
        <v>1752</v>
      </c>
    </row>
    <row r="2010" spans="1:13" x14ac:dyDescent="0.25">
      <c r="A2010" s="75">
        <f t="shared" si="31"/>
        <v>2009</v>
      </c>
      <c r="B2010" s="13" t="s">
        <v>2330</v>
      </c>
      <c r="C2010" t="s">
        <v>2805</v>
      </c>
      <c r="D2010" t="s">
        <v>3451</v>
      </c>
      <c r="E2010" t="s">
        <v>3452</v>
      </c>
      <c r="G2010" t="s">
        <v>63</v>
      </c>
      <c r="H2010" s="75" t="str">
        <f>IFERROR(VLOOKUP(Table2[[#This Row],[Ticket]],Okey!A:B,2,0),"")</f>
        <v>ok</v>
      </c>
      <c r="I2010" t="s">
        <v>19</v>
      </c>
      <c r="J2010" t="str">
        <f>VLOOKUP(Table2[[#This Row],[Author]],People!A:B,2,0)</f>
        <v>EL</v>
      </c>
      <c r="M2010" t="s">
        <v>1752</v>
      </c>
    </row>
    <row r="2011" spans="1:13" x14ac:dyDescent="0.25">
      <c r="A2011" s="75">
        <f t="shared" si="31"/>
        <v>2010</v>
      </c>
      <c r="B2011" s="13" t="s">
        <v>2330</v>
      </c>
      <c r="C2011" t="s">
        <v>2805</v>
      </c>
      <c r="D2011" t="s">
        <v>3453</v>
      </c>
      <c r="E2011" t="s">
        <v>3454</v>
      </c>
      <c r="G2011" t="s">
        <v>63</v>
      </c>
      <c r="H2011" s="75" t="str">
        <f>IFERROR(VLOOKUP(Table2[[#This Row],[Ticket]],Okey!A:B,2,0),"")</f>
        <v>ok</v>
      </c>
      <c r="I2011" t="s">
        <v>19</v>
      </c>
      <c r="J2011" t="str">
        <f>VLOOKUP(Table2[[#This Row],[Author]],People!A:B,2,0)</f>
        <v>EL</v>
      </c>
      <c r="M2011" t="s">
        <v>1752</v>
      </c>
    </row>
    <row r="2012" spans="1:13" x14ac:dyDescent="0.25">
      <c r="A2012" s="75">
        <f t="shared" si="31"/>
        <v>2011</v>
      </c>
      <c r="B2012" s="13" t="s">
        <v>2330</v>
      </c>
      <c r="C2012" t="s">
        <v>2805</v>
      </c>
      <c r="D2012" t="s">
        <v>3455</v>
      </c>
      <c r="E2012" t="s">
        <v>3456</v>
      </c>
      <c r="G2012" t="s">
        <v>63</v>
      </c>
      <c r="H2012" s="75" t="str">
        <f>IFERROR(VLOOKUP(Table2[[#This Row],[Ticket]],Okey!A:B,2,0),"")</f>
        <v>ok</v>
      </c>
      <c r="I2012" t="s">
        <v>19</v>
      </c>
      <c r="J2012" t="str">
        <f>VLOOKUP(Table2[[#This Row],[Author]],People!A:B,2,0)</f>
        <v>EL</v>
      </c>
      <c r="M2012" t="s">
        <v>1752</v>
      </c>
    </row>
    <row r="2013" spans="1:13" x14ac:dyDescent="0.25">
      <c r="A2013" s="75">
        <f t="shared" si="31"/>
        <v>2012</v>
      </c>
      <c r="B2013" s="13" t="s">
        <v>2330</v>
      </c>
      <c r="C2013" t="s">
        <v>2805</v>
      </c>
      <c r="D2013" t="s">
        <v>3457</v>
      </c>
      <c r="E2013" t="s">
        <v>3458</v>
      </c>
      <c r="G2013" t="s">
        <v>63</v>
      </c>
      <c r="H2013" s="75" t="str">
        <f>IFERROR(VLOOKUP(Table2[[#This Row],[Ticket]],Okey!A:B,2,0),"")</f>
        <v>ok</v>
      </c>
      <c r="I2013" t="s">
        <v>19</v>
      </c>
      <c r="J2013" t="str">
        <f>VLOOKUP(Table2[[#This Row],[Author]],People!A:B,2,0)</f>
        <v>EL</v>
      </c>
      <c r="M2013" t="s">
        <v>1752</v>
      </c>
    </row>
    <row r="2014" spans="1:13" x14ac:dyDescent="0.25">
      <c r="A2014" s="75">
        <f t="shared" si="31"/>
        <v>2013</v>
      </c>
      <c r="B2014" s="13" t="s">
        <v>2330</v>
      </c>
      <c r="C2014" t="s">
        <v>2805</v>
      </c>
      <c r="D2014" t="s">
        <v>3459</v>
      </c>
      <c r="E2014" t="s">
        <v>3460</v>
      </c>
      <c r="G2014" t="s">
        <v>63</v>
      </c>
      <c r="H2014" s="75" t="str">
        <f>IFERROR(VLOOKUP(Table2[[#This Row],[Ticket]],Okey!A:B,2,0),"")</f>
        <v>ok</v>
      </c>
      <c r="I2014" t="s">
        <v>19</v>
      </c>
      <c r="J2014" t="str">
        <f>VLOOKUP(Table2[[#This Row],[Author]],People!A:B,2,0)</f>
        <v>EL</v>
      </c>
      <c r="M2014" t="s">
        <v>1752</v>
      </c>
    </row>
    <row r="2015" spans="1:13" x14ac:dyDescent="0.25">
      <c r="A2015" s="75">
        <f t="shared" si="31"/>
        <v>2014</v>
      </c>
      <c r="B2015" s="13" t="s">
        <v>2330</v>
      </c>
      <c r="C2015" t="s">
        <v>2805</v>
      </c>
      <c r="D2015" t="s">
        <v>3461</v>
      </c>
      <c r="E2015" t="s">
        <v>3462</v>
      </c>
      <c r="G2015" t="s">
        <v>63</v>
      </c>
      <c r="H2015" s="75" t="str">
        <f>IFERROR(VLOOKUP(Table2[[#This Row],[Ticket]],Okey!A:B,2,0),"")</f>
        <v>ok</v>
      </c>
      <c r="I2015" t="s">
        <v>19</v>
      </c>
      <c r="J2015" t="str">
        <f>VLOOKUP(Table2[[#This Row],[Author]],People!A:B,2,0)</f>
        <v>EL</v>
      </c>
      <c r="M2015" t="s">
        <v>1752</v>
      </c>
    </row>
    <row r="2016" spans="1:13" x14ac:dyDescent="0.25">
      <c r="A2016" s="75">
        <f t="shared" si="31"/>
        <v>2015</v>
      </c>
      <c r="B2016" s="13" t="s">
        <v>2330</v>
      </c>
      <c r="C2016" t="s">
        <v>2805</v>
      </c>
      <c r="D2016" t="s">
        <v>3463</v>
      </c>
      <c r="E2016" t="s">
        <v>3464</v>
      </c>
      <c r="G2016" t="s">
        <v>63</v>
      </c>
      <c r="H2016" s="75" t="str">
        <f>IFERROR(VLOOKUP(Table2[[#This Row],[Ticket]],Okey!A:B,2,0),"")</f>
        <v>ok</v>
      </c>
      <c r="I2016" t="s">
        <v>19</v>
      </c>
      <c r="J2016" t="str">
        <f>VLOOKUP(Table2[[#This Row],[Author]],People!A:B,2,0)</f>
        <v>EL</v>
      </c>
      <c r="M2016" t="s">
        <v>1752</v>
      </c>
    </row>
    <row r="2017" spans="1:13" x14ac:dyDescent="0.25">
      <c r="A2017" s="75">
        <f t="shared" si="31"/>
        <v>2016</v>
      </c>
      <c r="B2017" s="13" t="s">
        <v>2330</v>
      </c>
      <c r="C2017" t="s">
        <v>2805</v>
      </c>
      <c r="D2017" t="s">
        <v>3465</v>
      </c>
      <c r="E2017" t="s">
        <v>3466</v>
      </c>
      <c r="G2017" t="s">
        <v>63</v>
      </c>
      <c r="H2017" s="75" t="str">
        <f>IFERROR(VLOOKUP(Table2[[#This Row],[Ticket]],Okey!A:B,2,0),"")</f>
        <v>ok</v>
      </c>
      <c r="I2017" t="s">
        <v>19</v>
      </c>
      <c r="J2017" t="str">
        <f>VLOOKUP(Table2[[#This Row],[Author]],People!A:B,2,0)</f>
        <v>EL</v>
      </c>
      <c r="M2017" t="s">
        <v>1752</v>
      </c>
    </row>
    <row r="2018" spans="1:13" x14ac:dyDescent="0.25">
      <c r="A2018" s="75">
        <f t="shared" si="31"/>
        <v>2017</v>
      </c>
      <c r="B2018" s="13" t="s">
        <v>2330</v>
      </c>
      <c r="C2018" t="s">
        <v>2805</v>
      </c>
      <c r="D2018" t="s">
        <v>3467</v>
      </c>
      <c r="E2018" t="s">
        <v>3468</v>
      </c>
      <c r="G2018" t="s">
        <v>63</v>
      </c>
      <c r="H2018" s="75" t="str">
        <f>IFERROR(VLOOKUP(Table2[[#This Row],[Ticket]],Okey!A:B,2,0),"")</f>
        <v>ok</v>
      </c>
      <c r="I2018" t="s">
        <v>19</v>
      </c>
      <c r="J2018" t="str">
        <f>VLOOKUP(Table2[[#This Row],[Author]],People!A:B,2,0)</f>
        <v>EL</v>
      </c>
      <c r="M2018" t="s">
        <v>1752</v>
      </c>
    </row>
    <row r="2019" spans="1:13" x14ac:dyDescent="0.25">
      <c r="A2019" s="75">
        <f t="shared" si="31"/>
        <v>2018</v>
      </c>
      <c r="B2019" s="13" t="s">
        <v>2330</v>
      </c>
      <c r="C2019" t="s">
        <v>2805</v>
      </c>
      <c r="D2019" t="s">
        <v>3469</v>
      </c>
      <c r="E2019" t="s">
        <v>3470</v>
      </c>
      <c r="G2019" t="s">
        <v>63</v>
      </c>
      <c r="H2019" s="75" t="str">
        <f>IFERROR(VLOOKUP(Table2[[#This Row],[Ticket]],Okey!A:B,2,0),"")</f>
        <v>ok</v>
      </c>
      <c r="I2019" t="s">
        <v>19</v>
      </c>
      <c r="J2019" t="str">
        <f>VLOOKUP(Table2[[#This Row],[Author]],People!A:B,2,0)</f>
        <v>EL</v>
      </c>
      <c r="M2019" t="s">
        <v>1752</v>
      </c>
    </row>
    <row r="2020" spans="1:13" x14ac:dyDescent="0.25">
      <c r="A2020" s="75">
        <f t="shared" si="31"/>
        <v>2019</v>
      </c>
      <c r="B2020" s="13" t="s">
        <v>2330</v>
      </c>
      <c r="C2020" t="s">
        <v>2805</v>
      </c>
      <c r="D2020" t="s">
        <v>3471</v>
      </c>
      <c r="E2020" t="s">
        <v>3472</v>
      </c>
      <c r="G2020" t="s">
        <v>63</v>
      </c>
      <c r="H2020" s="75" t="str">
        <f>IFERROR(VLOOKUP(Table2[[#This Row],[Ticket]],Okey!A:B,2,0),"")</f>
        <v>ok</v>
      </c>
      <c r="I2020" t="s">
        <v>19</v>
      </c>
      <c r="J2020" t="str">
        <f>VLOOKUP(Table2[[#This Row],[Author]],People!A:B,2,0)</f>
        <v>EL</v>
      </c>
      <c r="M2020" t="s">
        <v>1752</v>
      </c>
    </row>
    <row r="2021" spans="1:13" x14ac:dyDescent="0.25">
      <c r="A2021" s="75">
        <f t="shared" si="31"/>
        <v>2020</v>
      </c>
      <c r="B2021" s="13" t="s">
        <v>2330</v>
      </c>
      <c r="C2021" t="s">
        <v>2805</v>
      </c>
      <c r="D2021" t="s">
        <v>3473</v>
      </c>
      <c r="E2021" t="s">
        <v>3474</v>
      </c>
      <c r="G2021" t="s">
        <v>63</v>
      </c>
      <c r="H2021" s="75" t="str">
        <f>IFERROR(VLOOKUP(Table2[[#This Row],[Ticket]],Okey!A:B,2,0),"")</f>
        <v>ok</v>
      </c>
      <c r="I2021" t="s">
        <v>19</v>
      </c>
      <c r="J2021" t="str">
        <f>VLOOKUP(Table2[[#This Row],[Author]],People!A:B,2,0)</f>
        <v>EL</v>
      </c>
      <c r="M2021" t="s">
        <v>1752</v>
      </c>
    </row>
    <row r="2022" spans="1:13" x14ac:dyDescent="0.25">
      <c r="A2022" s="75">
        <f t="shared" si="31"/>
        <v>2021</v>
      </c>
      <c r="B2022" s="13" t="s">
        <v>2330</v>
      </c>
      <c r="C2022" t="s">
        <v>2805</v>
      </c>
      <c r="D2022" t="s">
        <v>3475</v>
      </c>
      <c r="E2022" t="s">
        <v>3476</v>
      </c>
      <c r="G2022" t="s">
        <v>63</v>
      </c>
      <c r="H2022" s="75" t="str">
        <f>IFERROR(VLOOKUP(Table2[[#This Row],[Ticket]],Okey!A:B,2,0),"")</f>
        <v>ok</v>
      </c>
      <c r="I2022" t="s">
        <v>19</v>
      </c>
      <c r="J2022" t="str">
        <f>VLOOKUP(Table2[[#This Row],[Author]],People!A:B,2,0)</f>
        <v>EL</v>
      </c>
      <c r="M2022" t="s">
        <v>1752</v>
      </c>
    </row>
    <row r="2023" spans="1:13" x14ac:dyDescent="0.25">
      <c r="A2023" s="75">
        <f t="shared" si="31"/>
        <v>2022</v>
      </c>
      <c r="B2023" s="13" t="s">
        <v>2330</v>
      </c>
      <c r="C2023" t="s">
        <v>2805</v>
      </c>
      <c r="D2023" t="s">
        <v>3477</v>
      </c>
      <c r="E2023" t="s">
        <v>3478</v>
      </c>
      <c r="G2023" t="s">
        <v>63</v>
      </c>
      <c r="H2023" s="75" t="str">
        <f>IFERROR(VLOOKUP(Table2[[#This Row],[Ticket]],Okey!A:B,2,0),"")</f>
        <v>ok</v>
      </c>
      <c r="I2023" t="s">
        <v>19</v>
      </c>
      <c r="J2023" t="str">
        <f>VLOOKUP(Table2[[#This Row],[Author]],People!A:B,2,0)</f>
        <v>EL</v>
      </c>
      <c r="M2023" t="s">
        <v>1752</v>
      </c>
    </row>
    <row r="2024" spans="1:13" x14ac:dyDescent="0.25">
      <c r="A2024" s="75">
        <f t="shared" si="31"/>
        <v>2023</v>
      </c>
      <c r="B2024" s="13" t="s">
        <v>2330</v>
      </c>
      <c r="C2024" t="s">
        <v>2805</v>
      </c>
      <c r="D2024" t="s">
        <v>1866</v>
      </c>
      <c r="E2024" t="s">
        <v>3479</v>
      </c>
      <c r="G2024" t="s">
        <v>63</v>
      </c>
      <c r="H2024" s="75" t="str">
        <f>IFERROR(VLOOKUP(Table2[[#This Row],[Ticket]],Okey!A:B,2,0),"")</f>
        <v>ok</v>
      </c>
      <c r="I2024" t="s">
        <v>19</v>
      </c>
      <c r="J2024" t="str">
        <f>VLOOKUP(Table2[[#This Row],[Author]],People!A:B,2,0)</f>
        <v>EL</v>
      </c>
      <c r="M2024" t="s">
        <v>1752</v>
      </c>
    </row>
    <row r="2025" spans="1:13" x14ac:dyDescent="0.25">
      <c r="A2025" s="75">
        <f t="shared" si="31"/>
        <v>2024</v>
      </c>
      <c r="B2025" s="13" t="s">
        <v>2330</v>
      </c>
      <c r="C2025" t="s">
        <v>2805</v>
      </c>
      <c r="D2025" t="s">
        <v>3480</v>
      </c>
      <c r="E2025" t="s">
        <v>3481</v>
      </c>
      <c r="G2025" t="s">
        <v>63</v>
      </c>
      <c r="H2025" s="75" t="str">
        <f>IFERROR(VLOOKUP(Table2[[#This Row],[Ticket]],Okey!A:B,2,0),"")</f>
        <v>ok</v>
      </c>
      <c r="I2025" t="s">
        <v>19</v>
      </c>
      <c r="J2025" t="str">
        <f>VLOOKUP(Table2[[#This Row],[Author]],People!A:B,2,0)</f>
        <v>EL</v>
      </c>
      <c r="M2025" t="s">
        <v>1752</v>
      </c>
    </row>
    <row r="2026" spans="1:13" x14ac:dyDescent="0.25">
      <c r="A2026" s="75">
        <f t="shared" si="31"/>
        <v>2025</v>
      </c>
      <c r="B2026" s="13" t="s">
        <v>2330</v>
      </c>
      <c r="C2026" t="s">
        <v>2805</v>
      </c>
      <c r="D2026" t="s">
        <v>3482</v>
      </c>
      <c r="E2026" t="s">
        <v>3483</v>
      </c>
      <c r="G2026" t="s">
        <v>63</v>
      </c>
      <c r="H2026" s="75" t="str">
        <f>IFERROR(VLOOKUP(Table2[[#This Row],[Ticket]],Okey!A:B,2,0),"")</f>
        <v>ok</v>
      </c>
      <c r="I2026" t="s">
        <v>19</v>
      </c>
      <c r="J2026" t="str">
        <f>VLOOKUP(Table2[[#This Row],[Author]],People!A:B,2,0)</f>
        <v>EL</v>
      </c>
      <c r="M2026" t="s">
        <v>1752</v>
      </c>
    </row>
    <row r="2027" spans="1:13" x14ac:dyDescent="0.25">
      <c r="A2027" s="75">
        <f t="shared" si="31"/>
        <v>2026</v>
      </c>
      <c r="B2027" s="13" t="s">
        <v>2330</v>
      </c>
      <c r="C2027" t="s">
        <v>2805</v>
      </c>
      <c r="D2027" t="s">
        <v>3484</v>
      </c>
      <c r="E2027" t="s">
        <v>3485</v>
      </c>
      <c r="G2027" t="s">
        <v>63</v>
      </c>
      <c r="H2027" s="75" t="str">
        <f>IFERROR(VLOOKUP(Table2[[#This Row],[Ticket]],Okey!A:B,2,0),"")</f>
        <v>ok</v>
      </c>
      <c r="I2027" t="s">
        <v>19</v>
      </c>
      <c r="J2027" t="str">
        <f>VLOOKUP(Table2[[#This Row],[Author]],People!A:B,2,0)</f>
        <v>EL</v>
      </c>
      <c r="M2027" t="s">
        <v>1752</v>
      </c>
    </row>
    <row r="2028" spans="1:13" x14ac:dyDescent="0.25">
      <c r="A2028" s="75">
        <f t="shared" si="31"/>
        <v>2027</v>
      </c>
      <c r="B2028" s="13" t="s">
        <v>2330</v>
      </c>
      <c r="C2028" t="s">
        <v>2805</v>
      </c>
      <c r="D2028" t="s">
        <v>3486</v>
      </c>
      <c r="E2028" t="s">
        <v>3487</v>
      </c>
      <c r="G2028" t="s">
        <v>63</v>
      </c>
      <c r="H2028" s="75" t="str">
        <f>IFERROR(VLOOKUP(Table2[[#This Row],[Ticket]],Okey!A:B,2,0),"")</f>
        <v>ok</v>
      </c>
      <c r="I2028" t="s">
        <v>19</v>
      </c>
      <c r="J2028" t="str">
        <f>VLOOKUP(Table2[[#This Row],[Author]],People!A:B,2,0)</f>
        <v>EL</v>
      </c>
      <c r="M2028" t="s">
        <v>1752</v>
      </c>
    </row>
    <row r="2029" spans="1:13" x14ac:dyDescent="0.25">
      <c r="A2029" s="75">
        <f t="shared" si="31"/>
        <v>2028</v>
      </c>
      <c r="B2029" s="13" t="s">
        <v>2330</v>
      </c>
      <c r="C2029" t="s">
        <v>2805</v>
      </c>
      <c r="D2029" t="s">
        <v>3488</v>
      </c>
      <c r="E2029" t="s">
        <v>3489</v>
      </c>
      <c r="G2029" t="s">
        <v>63</v>
      </c>
      <c r="H2029" s="75" t="str">
        <f>IFERROR(VLOOKUP(Table2[[#This Row],[Ticket]],Okey!A:B,2,0),"")</f>
        <v>ok</v>
      </c>
      <c r="I2029" t="s">
        <v>19</v>
      </c>
      <c r="J2029" t="str">
        <f>VLOOKUP(Table2[[#This Row],[Author]],People!A:B,2,0)</f>
        <v>EL</v>
      </c>
      <c r="M2029" t="s">
        <v>1752</v>
      </c>
    </row>
    <row r="2030" spans="1:13" x14ac:dyDescent="0.25">
      <c r="A2030" s="75">
        <f t="shared" si="31"/>
        <v>2029</v>
      </c>
      <c r="B2030" s="13" t="s">
        <v>2330</v>
      </c>
      <c r="C2030" t="s">
        <v>2805</v>
      </c>
      <c r="D2030" t="s">
        <v>3490</v>
      </c>
      <c r="E2030" t="s">
        <v>3491</v>
      </c>
      <c r="G2030" t="s">
        <v>63</v>
      </c>
      <c r="H2030" s="75" t="str">
        <f>IFERROR(VLOOKUP(Table2[[#This Row],[Ticket]],Okey!A:B,2,0),"")</f>
        <v>ok</v>
      </c>
      <c r="I2030" t="s">
        <v>19</v>
      </c>
      <c r="J2030" t="str">
        <f>VLOOKUP(Table2[[#This Row],[Author]],People!A:B,2,0)</f>
        <v>EL</v>
      </c>
      <c r="M2030" t="s">
        <v>1752</v>
      </c>
    </row>
    <row r="2031" spans="1:13" x14ac:dyDescent="0.25">
      <c r="A2031" s="75">
        <f t="shared" si="31"/>
        <v>2030</v>
      </c>
      <c r="B2031" s="13" t="s">
        <v>2330</v>
      </c>
      <c r="C2031" t="s">
        <v>2805</v>
      </c>
      <c r="D2031" t="s">
        <v>3492</v>
      </c>
      <c r="E2031" t="s">
        <v>3493</v>
      </c>
      <c r="G2031" t="s">
        <v>63</v>
      </c>
      <c r="H2031" s="75" t="str">
        <f>IFERROR(VLOOKUP(Table2[[#This Row],[Ticket]],Okey!A:B,2,0),"")</f>
        <v>ok</v>
      </c>
      <c r="I2031" t="s">
        <v>19</v>
      </c>
      <c r="J2031" t="str">
        <f>VLOOKUP(Table2[[#This Row],[Author]],People!A:B,2,0)</f>
        <v>EL</v>
      </c>
      <c r="M2031" t="s">
        <v>1752</v>
      </c>
    </row>
    <row r="2032" spans="1:13" x14ac:dyDescent="0.25">
      <c r="A2032" s="75">
        <f t="shared" si="31"/>
        <v>2031</v>
      </c>
      <c r="B2032" s="13" t="s">
        <v>2330</v>
      </c>
      <c r="C2032" t="s">
        <v>2805</v>
      </c>
      <c r="D2032" t="s">
        <v>3494</v>
      </c>
      <c r="E2032" t="s">
        <v>3495</v>
      </c>
      <c r="G2032" t="s">
        <v>63</v>
      </c>
      <c r="H2032" s="75" t="str">
        <f>IFERROR(VLOOKUP(Table2[[#This Row],[Ticket]],Okey!A:B,2,0),"")</f>
        <v>ok</v>
      </c>
      <c r="I2032" t="s">
        <v>19</v>
      </c>
      <c r="J2032" t="str">
        <f>VLOOKUP(Table2[[#This Row],[Author]],People!A:B,2,0)</f>
        <v>EL</v>
      </c>
      <c r="M2032" t="s">
        <v>1752</v>
      </c>
    </row>
    <row r="2033" spans="1:13" x14ac:dyDescent="0.25">
      <c r="A2033" s="75">
        <f t="shared" si="31"/>
        <v>2032</v>
      </c>
      <c r="B2033" s="13" t="s">
        <v>2330</v>
      </c>
      <c r="C2033" t="s">
        <v>2805</v>
      </c>
      <c r="D2033" t="s">
        <v>3496</v>
      </c>
      <c r="E2033" t="s">
        <v>3497</v>
      </c>
      <c r="G2033" t="s">
        <v>63</v>
      </c>
      <c r="H2033" s="75" t="str">
        <f>IFERROR(VLOOKUP(Table2[[#This Row],[Ticket]],Okey!A:B,2,0),"")</f>
        <v>ok</v>
      </c>
      <c r="I2033" t="s">
        <v>19</v>
      </c>
      <c r="J2033" t="str">
        <f>VLOOKUP(Table2[[#This Row],[Author]],People!A:B,2,0)</f>
        <v>EL</v>
      </c>
      <c r="M2033" t="s">
        <v>1752</v>
      </c>
    </row>
    <row r="2034" spans="1:13" x14ac:dyDescent="0.25">
      <c r="A2034" s="75">
        <f t="shared" si="31"/>
        <v>2033</v>
      </c>
      <c r="B2034" s="13" t="s">
        <v>2330</v>
      </c>
      <c r="C2034" t="s">
        <v>2805</v>
      </c>
      <c r="D2034" t="s">
        <v>3498</v>
      </c>
      <c r="E2034" t="s">
        <v>3499</v>
      </c>
      <c r="G2034" t="s">
        <v>63</v>
      </c>
      <c r="H2034" s="75" t="str">
        <f>IFERROR(VLOOKUP(Table2[[#This Row],[Ticket]],Okey!A:B,2,0),"")</f>
        <v>ok</v>
      </c>
      <c r="I2034" t="s">
        <v>19</v>
      </c>
      <c r="J2034" t="str">
        <f>VLOOKUP(Table2[[#This Row],[Author]],People!A:B,2,0)</f>
        <v>EL</v>
      </c>
      <c r="M2034" t="s">
        <v>1752</v>
      </c>
    </row>
    <row r="2035" spans="1:13" x14ac:dyDescent="0.25">
      <c r="A2035" s="75">
        <f t="shared" si="31"/>
        <v>2034</v>
      </c>
      <c r="B2035" s="13" t="s">
        <v>2330</v>
      </c>
      <c r="C2035" t="s">
        <v>2805</v>
      </c>
      <c r="D2035" t="s">
        <v>3500</v>
      </c>
      <c r="E2035" t="s">
        <v>3501</v>
      </c>
      <c r="G2035" t="s">
        <v>63</v>
      </c>
      <c r="H2035" s="75" t="str">
        <f>IFERROR(VLOOKUP(Table2[[#This Row],[Ticket]],Okey!A:B,2,0),"")</f>
        <v>ok</v>
      </c>
      <c r="I2035" t="s">
        <v>19</v>
      </c>
      <c r="J2035" t="str">
        <f>VLOOKUP(Table2[[#This Row],[Author]],People!A:B,2,0)</f>
        <v>EL</v>
      </c>
      <c r="M2035" t="s">
        <v>1752</v>
      </c>
    </row>
    <row r="2036" spans="1:13" x14ac:dyDescent="0.25">
      <c r="A2036" s="75">
        <f t="shared" si="31"/>
        <v>2035</v>
      </c>
      <c r="B2036" s="13" t="s">
        <v>2330</v>
      </c>
      <c r="C2036" t="s">
        <v>2805</v>
      </c>
      <c r="D2036" t="s">
        <v>3502</v>
      </c>
      <c r="E2036" t="s">
        <v>3503</v>
      </c>
      <c r="G2036" t="s">
        <v>63</v>
      </c>
      <c r="H2036" s="75" t="str">
        <f>IFERROR(VLOOKUP(Table2[[#This Row],[Ticket]],Okey!A:B,2,0),"")</f>
        <v>ok</v>
      </c>
      <c r="I2036" t="s">
        <v>19</v>
      </c>
      <c r="J2036" t="str">
        <f>VLOOKUP(Table2[[#This Row],[Author]],People!A:B,2,0)</f>
        <v>EL</v>
      </c>
      <c r="M2036" t="s">
        <v>1752</v>
      </c>
    </row>
    <row r="2037" spans="1:13" x14ac:dyDescent="0.25">
      <c r="A2037" s="75">
        <f t="shared" si="31"/>
        <v>2036</v>
      </c>
      <c r="B2037" s="13" t="s">
        <v>2330</v>
      </c>
      <c r="C2037" t="s">
        <v>2805</v>
      </c>
      <c r="D2037" t="s">
        <v>3504</v>
      </c>
      <c r="E2037" t="s">
        <v>3505</v>
      </c>
      <c r="G2037" t="s">
        <v>63</v>
      </c>
      <c r="H2037" s="75" t="str">
        <f>IFERROR(VLOOKUP(Table2[[#This Row],[Ticket]],Okey!A:B,2,0),"")</f>
        <v>ok</v>
      </c>
      <c r="I2037" t="s">
        <v>19</v>
      </c>
      <c r="J2037" t="str">
        <f>VLOOKUP(Table2[[#This Row],[Author]],People!A:B,2,0)</f>
        <v>EL</v>
      </c>
      <c r="M2037" t="s">
        <v>1752</v>
      </c>
    </row>
    <row r="2038" spans="1:13" x14ac:dyDescent="0.25">
      <c r="A2038" s="75">
        <f t="shared" si="31"/>
        <v>2037</v>
      </c>
      <c r="B2038" s="13" t="s">
        <v>2330</v>
      </c>
      <c r="C2038" t="s">
        <v>2805</v>
      </c>
      <c r="D2038" t="s">
        <v>3506</v>
      </c>
      <c r="E2038" t="s">
        <v>3507</v>
      </c>
      <c r="G2038" t="s">
        <v>63</v>
      </c>
      <c r="H2038" s="75" t="str">
        <f>IFERROR(VLOOKUP(Table2[[#This Row],[Ticket]],Okey!A:B,2,0),"")</f>
        <v>ok</v>
      </c>
      <c r="I2038" t="s">
        <v>19</v>
      </c>
      <c r="J2038" t="str">
        <f>VLOOKUP(Table2[[#This Row],[Author]],People!A:B,2,0)</f>
        <v>EL</v>
      </c>
      <c r="M2038" t="s">
        <v>1752</v>
      </c>
    </row>
    <row r="2039" spans="1:13" x14ac:dyDescent="0.25">
      <c r="A2039" s="75">
        <f t="shared" si="31"/>
        <v>2038</v>
      </c>
      <c r="B2039" s="13" t="s">
        <v>2330</v>
      </c>
      <c r="C2039" t="s">
        <v>2805</v>
      </c>
      <c r="D2039" t="s">
        <v>3508</v>
      </c>
      <c r="E2039" t="s">
        <v>3509</v>
      </c>
      <c r="G2039" t="s">
        <v>63</v>
      </c>
      <c r="H2039" s="75" t="str">
        <f>IFERROR(VLOOKUP(Table2[[#This Row],[Ticket]],Okey!A:B,2,0),"")</f>
        <v>ok</v>
      </c>
      <c r="I2039" t="s">
        <v>19</v>
      </c>
      <c r="J2039" t="str">
        <f>VLOOKUP(Table2[[#This Row],[Author]],People!A:B,2,0)</f>
        <v>EL</v>
      </c>
      <c r="M2039" t="s">
        <v>1752</v>
      </c>
    </row>
    <row r="2040" spans="1:13" x14ac:dyDescent="0.25">
      <c r="A2040" s="75">
        <f t="shared" si="31"/>
        <v>2039</v>
      </c>
      <c r="B2040" s="13" t="s">
        <v>2330</v>
      </c>
      <c r="C2040" t="s">
        <v>2805</v>
      </c>
      <c r="D2040" t="s">
        <v>3510</v>
      </c>
      <c r="E2040" t="s">
        <v>3511</v>
      </c>
      <c r="G2040" t="s">
        <v>63</v>
      </c>
      <c r="H2040" s="75" t="str">
        <f>IFERROR(VLOOKUP(Table2[[#This Row],[Ticket]],Okey!A:B,2,0),"")</f>
        <v>ok</v>
      </c>
      <c r="I2040" t="s">
        <v>19</v>
      </c>
      <c r="J2040" t="str">
        <f>VLOOKUP(Table2[[#This Row],[Author]],People!A:B,2,0)</f>
        <v>EL</v>
      </c>
      <c r="M2040" t="s">
        <v>1752</v>
      </c>
    </row>
    <row r="2041" spans="1:13" x14ac:dyDescent="0.25">
      <c r="A2041" s="75">
        <f t="shared" si="31"/>
        <v>2040</v>
      </c>
      <c r="B2041" s="13" t="s">
        <v>2330</v>
      </c>
      <c r="C2041" t="s">
        <v>2805</v>
      </c>
      <c r="D2041" t="s">
        <v>3512</v>
      </c>
      <c r="E2041" t="s">
        <v>3513</v>
      </c>
      <c r="G2041" t="s">
        <v>63</v>
      </c>
      <c r="H2041" s="75" t="str">
        <f>IFERROR(VLOOKUP(Table2[[#This Row],[Ticket]],Okey!A:B,2,0),"")</f>
        <v>ok</v>
      </c>
      <c r="I2041" t="s">
        <v>19</v>
      </c>
      <c r="J2041" t="str">
        <f>VLOOKUP(Table2[[#This Row],[Author]],People!A:B,2,0)</f>
        <v>EL</v>
      </c>
      <c r="M2041" t="s">
        <v>1752</v>
      </c>
    </row>
    <row r="2042" spans="1:13" x14ac:dyDescent="0.25">
      <c r="A2042" s="75">
        <f t="shared" si="31"/>
        <v>2041</v>
      </c>
      <c r="B2042" s="13" t="s">
        <v>2330</v>
      </c>
      <c r="C2042" t="s">
        <v>2805</v>
      </c>
      <c r="D2042" t="s">
        <v>3514</v>
      </c>
      <c r="E2042" t="s">
        <v>3515</v>
      </c>
      <c r="G2042" t="s">
        <v>63</v>
      </c>
      <c r="H2042" s="75" t="str">
        <f>IFERROR(VLOOKUP(Table2[[#This Row],[Ticket]],Okey!A:B,2,0),"")</f>
        <v>ok</v>
      </c>
      <c r="I2042" t="s">
        <v>19</v>
      </c>
      <c r="J2042" t="str">
        <f>VLOOKUP(Table2[[#This Row],[Author]],People!A:B,2,0)</f>
        <v>EL</v>
      </c>
      <c r="M2042" t="s">
        <v>1752</v>
      </c>
    </row>
    <row r="2043" spans="1:13" x14ac:dyDescent="0.25">
      <c r="A2043" s="75">
        <f t="shared" si="31"/>
        <v>2042</v>
      </c>
      <c r="B2043" s="13" t="s">
        <v>2330</v>
      </c>
      <c r="C2043" t="s">
        <v>2805</v>
      </c>
      <c r="D2043" t="s">
        <v>3516</v>
      </c>
      <c r="E2043" t="s">
        <v>3517</v>
      </c>
      <c r="G2043" t="s">
        <v>63</v>
      </c>
      <c r="H2043" s="75" t="str">
        <f>IFERROR(VLOOKUP(Table2[[#This Row],[Ticket]],Okey!A:B,2,0),"")</f>
        <v>ok</v>
      </c>
      <c r="I2043" t="s">
        <v>19</v>
      </c>
      <c r="J2043" t="str">
        <f>VLOOKUP(Table2[[#This Row],[Author]],People!A:B,2,0)</f>
        <v>EL</v>
      </c>
      <c r="M2043" t="s">
        <v>1752</v>
      </c>
    </row>
    <row r="2044" spans="1:13" x14ac:dyDescent="0.25">
      <c r="A2044" s="75">
        <f t="shared" si="31"/>
        <v>2043</v>
      </c>
      <c r="B2044" s="13" t="s">
        <v>2330</v>
      </c>
      <c r="C2044" t="s">
        <v>2805</v>
      </c>
      <c r="D2044" t="s">
        <v>3518</v>
      </c>
      <c r="E2044" t="s">
        <v>3519</v>
      </c>
      <c r="G2044" t="s">
        <v>63</v>
      </c>
      <c r="H2044" s="75" t="str">
        <f>IFERROR(VLOOKUP(Table2[[#This Row],[Ticket]],Okey!A:B,2,0),"")</f>
        <v>ok</v>
      </c>
      <c r="I2044" t="s">
        <v>19</v>
      </c>
      <c r="J2044" t="str">
        <f>VLOOKUP(Table2[[#This Row],[Author]],People!A:B,2,0)</f>
        <v>EL</v>
      </c>
      <c r="M2044" t="s">
        <v>1752</v>
      </c>
    </row>
    <row r="2045" spans="1:13" x14ac:dyDescent="0.25">
      <c r="A2045" s="75">
        <f t="shared" si="31"/>
        <v>2044</v>
      </c>
      <c r="B2045" s="13" t="s">
        <v>2330</v>
      </c>
      <c r="C2045" t="s">
        <v>2805</v>
      </c>
      <c r="D2045" t="s">
        <v>3520</v>
      </c>
      <c r="E2045" t="s">
        <v>3521</v>
      </c>
      <c r="G2045" t="s">
        <v>63</v>
      </c>
      <c r="H2045" s="75" t="str">
        <f>IFERROR(VLOOKUP(Table2[[#This Row],[Ticket]],Okey!A:B,2,0),"")</f>
        <v>ok</v>
      </c>
      <c r="I2045" t="s">
        <v>19</v>
      </c>
      <c r="J2045" t="str">
        <f>VLOOKUP(Table2[[#This Row],[Author]],People!A:B,2,0)</f>
        <v>EL</v>
      </c>
      <c r="M2045" t="s">
        <v>1752</v>
      </c>
    </row>
    <row r="2046" spans="1:13" x14ac:dyDescent="0.25">
      <c r="A2046" s="75">
        <f t="shared" si="31"/>
        <v>2045</v>
      </c>
      <c r="B2046" s="13" t="s">
        <v>2330</v>
      </c>
      <c r="C2046" t="s">
        <v>2805</v>
      </c>
      <c r="D2046" t="s">
        <v>3522</v>
      </c>
      <c r="E2046" t="s">
        <v>3523</v>
      </c>
      <c r="G2046" t="s">
        <v>63</v>
      </c>
      <c r="H2046" s="75" t="str">
        <f>IFERROR(VLOOKUP(Table2[[#This Row],[Ticket]],Okey!A:B,2,0),"")</f>
        <v>ok</v>
      </c>
      <c r="I2046" t="s">
        <v>19</v>
      </c>
      <c r="J2046" t="str">
        <f>VLOOKUP(Table2[[#This Row],[Author]],People!A:B,2,0)</f>
        <v>EL</v>
      </c>
      <c r="M2046" t="s">
        <v>1752</v>
      </c>
    </row>
    <row r="2047" spans="1:13" x14ac:dyDescent="0.25">
      <c r="A2047" s="75">
        <f t="shared" si="31"/>
        <v>2046</v>
      </c>
      <c r="B2047" s="13" t="s">
        <v>2330</v>
      </c>
      <c r="C2047" t="s">
        <v>2805</v>
      </c>
      <c r="D2047" t="s">
        <v>3524</v>
      </c>
      <c r="E2047" t="s">
        <v>3525</v>
      </c>
      <c r="G2047" t="s">
        <v>63</v>
      </c>
      <c r="H2047" s="75" t="str">
        <f>IFERROR(VLOOKUP(Table2[[#This Row],[Ticket]],Okey!A:B,2,0),"")</f>
        <v>ok</v>
      </c>
      <c r="I2047" t="s">
        <v>19</v>
      </c>
      <c r="J2047" t="str">
        <f>VLOOKUP(Table2[[#This Row],[Author]],People!A:B,2,0)</f>
        <v>EL</v>
      </c>
      <c r="M2047" t="s">
        <v>1752</v>
      </c>
    </row>
    <row r="2048" spans="1:13" x14ac:dyDescent="0.25">
      <c r="A2048" s="75">
        <f t="shared" si="31"/>
        <v>2047</v>
      </c>
      <c r="B2048" s="13" t="s">
        <v>2330</v>
      </c>
      <c r="C2048" t="s">
        <v>2805</v>
      </c>
      <c r="D2048" t="s">
        <v>3526</v>
      </c>
      <c r="E2048" t="s">
        <v>3527</v>
      </c>
      <c r="G2048" t="s">
        <v>63</v>
      </c>
      <c r="H2048" s="75" t="str">
        <f>IFERROR(VLOOKUP(Table2[[#This Row],[Ticket]],Okey!A:B,2,0),"")</f>
        <v>ok</v>
      </c>
      <c r="I2048" t="s">
        <v>19</v>
      </c>
      <c r="J2048" t="str">
        <f>VLOOKUP(Table2[[#This Row],[Author]],People!A:B,2,0)</f>
        <v>EL</v>
      </c>
      <c r="M2048" t="s">
        <v>1752</v>
      </c>
    </row>
    <row r="2049" spans="1:13" x14ac:dyDescent="0.25">
      <c r="A2049" s="75">
        <f t="shared" si="31"/>
        <v>2048</v>
      </c>
      <c r="B2049" s="13" t="s">
        <v>2330</v>
      </c>
      <c r="C2049" t="s">
        <v>2805</v>
      </c>
      <c r="D2049" t="s">
        <v>3528</v>
      </c>
      <c r="E2049" t="s">
        <v>3529</v>
      </c>
      <c r="G2049" t="s">
        <v>63</v>
      </c>
      <c r="H2049" s="75" t="str">
        <f>IFERROR(VLOOKUP(Table2[[#This Row],[Ticket]],Okey!A:B,2,0),"")</f>
        <v>ok</v>
      </c>
      <c r="I2049" t="s">
        <v>19</v>
      </c>
      <c r="J2049" t="str">
        <f>VLOOKUP(Table2[[#This Row],[Author]],People!A:B,2,0)</f>
        <v>EL</v>
      </c>
      <c r="M2049" t="s">
        <v>1752</v>
      </c>
    </row>
    <row r="2050" spans="1:13" x14ac:dyDescent="0.25">
      <c r="A2050" s="75">
        <f t="shared" si="31"/>
        <v>2049</v>
      </c>
      <c r="B2050" s="13" t="s">
        <v>2330</v>
      </c>
      <c r="C2050" t="s">
        <v>2805</v>
      </c>
      <c r="D2050" t="s">
        <v>3530</v>
      </c>
      <c r="E2050" t="s">
        <v>3531</v>
      </c>
      <c r="G2050" t="s">
        <v>63</v>
      </c>
      <c r="H2050" s="75" t="str">
        <f>IFERROR(VLOOKUP(Table2[[#This Row],[Ticket]],Okey!A:B,2,0),"")</f>
        <v>ok</v>
      </c>
      <c r="I2050" t="s">
        <v>19</v>
      </c>
      <c r="J2050" t="str">
        <f>VLOOKUP(Table2[[#This Row],[Author]],People!A:B,2,0)</f>
        <v>EL</v>
      </c>
      <c r="M2050" t="s">
        <v>1752</v>
      </c>
    </row>
    <row r="2051" spans="1:13" x14ac:dyDescent="0.25">
      <c r="A2051" s="75">
        <f t="shared" si="31"/>
        <v>2050</v>
      </c>
      <c r="B2051" s="13" t="s">
        <v>2330</v>
      </c>
      <c r="C2051" t="s">
        <v>2805</v>
      </c>
      <c r="D2051" t="s">
        <v>3532</v>
      </c>
      <c r="E2051" t="s">
        <v>3533</v>
      </c>
      <c r="G2051" t="s">
        <v>63</v>
      </c>
      <c r="H2051" s="75" t="str">
        <f>IFERROR(VLOOKUP(Table2[[#This Row],[Ticket]],Okey!A:B,2,0),"")</f>
        <v>ok</v>
      </c>
      <c r="I2051" t="s">
        <v>19</v>
      </c>
      <c r="J2051" t="str">
        <f>VLOOKUP(Table2[[#This Row],[Author]],People!A:B,2,0)</f>
        <v>EL</v>
      </c>
      <c r="M2051" t="s">
        <v>1752</v>
      </c>
    </row>
    <row r="2052" spans="1:13" x14ac:dyDescent="0.25">
      <c r="A2052" s="75">
        <f t="shared" si="31"/>
        <v>2051</v>
      </c>
      <c r="B2052" s="13" t="s">
        <v>2330</v>
      </c>
      <c r="C2052" t="s">
        <v>2805</v>
      </c>
      <c r="D2052" t="s">
        <v>3534</v>
      </c>
      <c r="E2052" t="s">
        <v>3535</v>
      </c>
      <c r="G2052" t="s">
        <v>63</v>
      </c>
      <c r="H2052" s="75" t="str">
        <f>IFERROR(VLOOKUP(Table2[[#This Row],[Ticket]],Okey!A:B,2,0),"")</f>
        <v>ok</v>
      </c>
      <c r="I2052" t="s">
        <v>19</v>
      </c>
      <c r="J2052" t="str">
        <f>VLOOKUP(Table2[[#This Row],[Author]],People!A:B,2,0)</f>
        <v>EL</v>
      </c>
      <c r="M2052" t="s">
        <v>1752</v>
      </c>
    </row>
    <row r="2053" spans="1:13" x14ac:dyDescent="0.25">
      <c r="A2053" s="75">
        <f t="shared" si="31"/>
        <v>2052</v>
      </c>
      <c r="B2053" s="13" t="s">
        <v>2330</v>
      </c>
      <c r="C2053" t="s">
        <v>2805</v>
      </c>
      <c r="D2053" t="s">
        <v>3536</v>
      </c>
      <c r="E2053" t="s">
        <v>3537</v>
      </c>
      <c r="G2053" t="s">
        <v>63</v>
      </c>
      <c r="H2053" s="75" t="str">
        <f>IFERROR(VLOOKUP(Table2[[#This Row],[Ticket]],Okey!A:B,2,0),"")</f>
        <v>ok</v>
      </c>
      <c r="I2053" t="s">
        <v>19</v>
      </c>
      <c r="J2053" t="str">
        <f>VLOOKUP(Table2[[#This Row],[Author]],People!A:B,2,0)</f>
        <v>EL</v>
      </c>
      <c r="M2053" t="s">
        <v>1752</v>
      </c>
    </row>
    <row r="2054" spans="1:13" x14ac:dyDescent="0.25">
      <c r="A2054" s="75">
        <f t="shared" si="31"/>
        <v>2053</v>
      </c>
      <c r="B2054" s="13" t="s">
        <v>2330</v>
      </c>
      <c r="C2054" t="s">
        <v>2805</v>
      </c>
      <c r="D2054" t="s">
        <v>3538</v>
      </c>
      <c r="E2054" t="s">
        <v>3539</v>
      </c>
      <c r="G2054" t="s">
        <v>63</v>
      </c>
      <c r="H2054" s="75" t="str">
        <f>IFERROR(VLOOKUP(Table2[[#This Row],[Ticket]],Okey!A:B,2,0),"")</f>
        <v>ok</v>
      </c>
      <c r="I2054" t="s">
        <v>19</v>
      </c>
      <c r="J2054" t="str">
        <f>VLOOKUP(Table2[[#This Row],[Author]],People!A:B,2,0)</f>
        <v>EL</v>
      </c>
      <c r="M2054" t="s">
        <v>1752</v>
      </c>
    </row>
    <row r="2055" spans="1:13" x14ac:dyDescent="0.25">
      <c r="A2055" s="75">
        <f t="shared" si="31"/>
        <v>2054</v>
      </c>
      <c r="B2055" s="13" t="s">
        <v>2330</v>
      </c>
      <c r="C2055" t="s">
        <v>2805</v>
      </c>
      <c r="D2055" t="s">
        <v>3540</v>
      </c>
      <c r="E2055" t="s">
        <v>3541</v>
      </c>
      <c r="G2055" t="s">
        <v>63</v>
      </c>
      <c r="H2055" s="75" t="str">
        <f>IFERROR(VLOOKUP(Table2[[#This Row],[Ticket]],Okey!A:B,2,0),"")</f>
        <v>ok</v>
      </c>
      <c r="I2055" t="s">
        <v>19</v>
      </c>
      <c r="J2055" t="str">
        <f>VLOOKUP(Table2[[#This Row],[Author]],People!A:B,2,0)</f>
        <v>EL</v>
      </c>
      <c r="M2055" t="s">
        <v>1752</v>
      </c>
    </row>
    <row r="2056" spans="1:13" x14ac:dyDescent="0.25">
      <c r="A2056" s="75">
        <f t="shared" si="31"/>
        <v>2055</v>
      </c>
      <c r="B2056" s="13" t="s">
        <v>2330</v>
      </c>
      <c r="C2056" t="s">
        <v>2805</v>
      </c>
      <c r="D2056" t="s">
        <v>3542</v>
      </c>
      <c r="E2056" t="s">
        <v>3543</v>
      </c>
      <c r="G2056" t="s">
        <v>63</v>
      </c>
      <c r="H2056" s="75" t="str">
        <f>IFERROR(VLOOKUP(Table2[[#This Row],[Ticket]],Okey!A:B,2,0),"")</f>
        <v>ok</v>
      </c>
      <c r="I2056" t="s">
        <v>19</v>
      </c>
      <c r="J2056" t="str">
        <f>VLOOKUP(Table2[[#This Row],[Author]],People!A:B,2,0)</f>
        <v>EL</v>
      </c>
      <c r="M2056" t="s">
        <v>1752</v>
      </c>
    </row>
    <row r="2057" spans="1:13" x14ac:dyDescent="0.25">
      <c r="A2057" s="75">
        <f t="shared" ref="A2057:A2120" si="32">1+A2056</f>
        <v>2056</v>
      </c>
      <c r="B2057" s="13" t="s">
        <v>2330</v>
      </c>
      <c r="C2057" t="s">
        <v>2805</v>
      </c>
      <c r="D2057" t="s">
        <v>3544</v>
      </c>
      <c r="E2057" t="s">
        <v>3545</v>
      </c>
      <c r="G2057" t="s">
        <v>63</v>
      </c>
      <c r="H2057" s="75" t="str">
        <f>IFERROR(VLOOKUP(Table2[[#This Row],[Ticket]],Okey!A:B,2,0),"")</f>
        <v>ok</v>
      </c>
      <c r="I2057" t="s">
        <v>19</v>
      </c>
      <c r="J2057" t="str">
        <f>VLOOKUP(Table2[[#This Row],[Author]],People!A:B,2,0)</f>
        <v>EL</v>
      </c>
      <c r="M2057" t="s">
        <v>1752</v>
      </c>
    </row>
    <row r="2058" spans="1:13" x14ac:dyDescent="0.25">
      <c r="A2058" s="75">
        <f t="shared" si="32"/>
        <v>2057</v>
      </c>
      <c r="B2058" s="13" t="s">
        <v>2330</v>
      </c>
      <c r="C2058" t="s">
        <v>2805</v>
      </c>
      <c r="D2058" t="s">
        <v>3546</v>
      </c>
      <c r="E2058" t="s">
        <v>3547</v>
      </c>
      <c r="G2058" t="s">
        <v>63</v>
      </c>
      <c r="H2058" s="75" t="str">
        <f>IFERROR(VLOOKUP(Table2[[#This Row],[Ticket]],Okey!A:B,2,0),"")</f>
        <v>ok</v>
      </c>
      <c r="I2058" t="s">
        <v>19</v>
      </c>
      <c r="J2058" t="str">
        <f>VLOOKUP(Table2[[#This Row],[Author]],People!A:B,2,0)</f>
        <v>EL</v>
      </c>
      <c r="M2058" t="s">
        <v>1752</v>
      </c>
    </row>
    <row r="2059" spans="1:13" x14ac:dyDescent="0.25">
      <c r="A2059" s="75">
        <f t="shared" si="32"/>
        <v>2058</v>
      </c>
      <c r="B2059" s="13" t="s">
        <v>2330</v>
      </c>
      <c r="C2059" t="s">
        <v>2805</v>
      </c>
      <c r="D2059" t="s">
        <v>3548</v>
      </c>
      <c r="E2059" t="s">
        <v>3549</v>
      </c>
      <c r="G2059" t="s">
        <v>63</v>
      </c>
      <c r="H2059" s="75" t="str">
        <f>IFERROR(VLOOKUP(Table2[[#This Row],[Ticket]],Okey!A:B,2,0),"")</f>
        <v>ok</v>
      </c>
      <c r="I2059" t="s">
        <v>19</v>
      </c>
      <c r="J2059" t="str">
        <f>VLOOKUP(Table2[[#This Row],[Author]],People!A:B,2,0)</f>
        <v>EL</v>
      </c>
      <c r="M2059" t="s">
        <v>1752</v>
      </c>
    </row>
    <row r="2060" spans="1:13" x14ac:dyDescent="0.25">
      <c r="A2060" s="75">
        <f t="shared" si="32"/>
        <v>2059</v>
      </c>
      <c r="B2060" s="13" t="s">
        <v>2330</v>
      </c>
      <c r="C2060" t="s">
        <v>2805</v>
      </c>
      <c r="D2060" t="s">
        <v>3550</v>
      </c>
      <c r="E2060" t="s">
        <v>3551</v>
      </c>
      <c r="G2060" t="s">
        <v>63</v>
      </c>
      <c r="H2060" s="75" t="str">
        <f>IFERROR(VLOOKUP(Table2[[#This Row],[Ticket]],Okey!A:B,2,0),"")</f>
        <v>ok</v>
      </c>
      <c r="I2060" t="s">
        <v>19</v>
      </c>
      <c r="J2060" t="str">
        <f>VLOOKUP(Table2[[#This Row],[Author]],People!A:B,2,0)</f>
        <v>EL</v>
      </c>
      <c r="M2060" t="s">
        <v>1752</v>
      </c>
    </row>
    <row r="2061" spans="1:13" x14ac:dyDescent="0.25">
      <c r="A2061" s="75">
        <f t="shared" si="32"/>
        <v>2060</v>
      </c>
      <c r="B2061" s="13" t="s">
        <v>2330</v>
      </c>
      <c r="C2061" t="s">
        <v>2805</v>
      </c>
      <c r="D2061" t="s">
        <v>3552</v>
      </c>
      <c r="E2061" t="s">
        <v>3553</v>
      </c>
      <c r="G2061" t="s">
        <v>63</v>
      </c>
      <c r="H2061" s="75" t="str">
        <f>IFERROR(VLOOKUP(Table2[[#This Row],[Ticket]],Okey!A:B,2,0),"")</f>
        <v>ok</v>
      </c>
      <c r="I2061" t="s">
        <v>19</v>
      </c>
      <c r="J2061" t="str">
        <f>VLOOKUP(Table2[[#This Row],[Author]],People!A:B,2,0)</f>
        <v>EL</v>
      </c>
      <c r="M2061" t="s">
        <v>1752</v>
      </c>
    </row>
    <row r="2062" spans="1:13" x14ac:dyDescent="0.25">
      <c r="A2062" s="75">
        <f t="shared" si="32"/>
        <v>2061</v>
      </c>
      <c r="B2062" s="13" t="s">
        <v>2330</v>
      </c>
      <c r="C2062" t="s">
        <v>2805</v>
      </c>
      <c r="D2062" t="s">
        <v>3554</v>
      </c>
      <c r="E2062" t="s">
        <v>3555</v>
      </c>
      <c r="G2062" t="s">
        <v>63</v>
      </c>
      <c r="H2062" s="75" t="str">
        <f>IFERROR(VLOOKUP(Table2[[#This Row],[Ticket]],Okey!A:B,2,0),"")</f>
        <v>ok</v>
      </c>
      <c r="I2062" t="s">
        <v>19</v>
      </c>
      <c r="J2062" t="str">
        <f>VLOOKUP(Table2[[#This Row],[Author]],People!A:B,2,0)</f>
        <v>EL</v>
      </c>
      <c r="M2062" t="s">
        <v>1752</v>
      </c>
    </row>
    <row r="2063" spans="1:13" x14ac:dyDescent="0.25">
      <c r="A2063" s="75">
        <f t="shared" si="32"/>
        <v>2062</v>
      </c>
      <c r="B2063" s="13" t="s">
        <v>2330</v>
      </c>
      <c r="C2063" t="s">
        <v>2805</v>
      </c>
      <c r="D2063" t="s">
        <v>3556</v>
      </c>
      <c r="E2063" t="s">
        <v>3557</v>
      </c>
      <c r="G2063" t="s">
        <v>63</v>
      </c>
      <c r="H2063" s="75" t="str">
        <f>IFERROR(VLOOKUP(Table2[[#This Row],[Ticket]],Okey!A:B,2,0),"")</f>
        <v>ok</v>
      </c>
      <c r="I2063" t="s">
        <v>19</v>
      </c>
      <c r="J2063" t="str">
        <f>VLOOKUP(Table2[[#This Row],[Author]],People!A:B,2,0)</f>
        <v>EL</v>
      </c>
      <c r="M2063" t="s">
        <v>1752</v>
      </c>
    </row>
    <row r="2064" spans="1:13" x14ac:dyDescent="0.25">
      <c r="A2064" s="75">
        <f t="shared" si="32"/>
        <v>2063</v>
      </c>
      <c r="B2064" s="13" t="s">
        <v>2330</v>
      </c>
      <c r="C2064" t="s">
        <v>2805</v>
      </c>
      <c r="D2064" t="s">
        <v>3558</v>
      </c>
      <c r="E2064" t="s">
        <v>3559</v>
      </c>
      <c r="G2064" t="s">
        <v>63</v>
      </c>
      <c r="H2064" s="75" t="str">
        <f>IFERROR(VLOOKUP(Table2[[#This Row],[Ticket]],Okey!A:B,2,0),"")</f>
        <v>ok</v>
      </c>
      <c r="I2064" t="s">
        <v>19</v>
      </c>
      <c r="J2064" t="str">
        <f>VLOOKUP(Table2[[#This Row],[Author]],People!A:B,2,0)</f>
        <v>EL</v>
      </c>
      <c r="M2064" t="s">
        <v>1752</v>
      </c>
    </row>
    <row r="2065" spans="1:13" x14ac:dyDescent="0.25">
      <c r="A2065" s="75">
        <f t="shared" si="32"/>
        <v>2064</v>
      </c>
      <c r="B2065" s="13" t="s">
        <v>2330</v>
      </c>
      <c r="C2065" t="s">
        <v>2805</v>
      </c>
      <c r="D2065" t="s">
        <v>3560</v>
      </c>
      <c r="E2065" t="s">
        <v>3561</v>
      </c>
      <c r="G2065" t="s">
        <v>63</v>
      </c>
      <c r="H2065" s="75" t="str">
        <f>IFERROR(VLOOKUP(Table2[[#This Row],[Ticket]],Okey!A:B,2,0),"")</f>
        <v>ok</v>
      </c>
      <c r="I2065" t="s">
        <v>19</v>
      </c>
      <c r="J2065" t="str">
        <f>VLOOKUP(Table2[[#This Row],[Author]],People!A:B,2,0)</f>
        <v>EL</v>
      </c>
      <c r="M2065" t="s">
        <v>1752</v>
      </c>
    </row>
    <row r="2066" spans="1:13" x14ac:dyDescent="0.25">
      <c r="A2066" s="75">
        <f t="shared" si="32"/>
        <v>2065</v>
      </c>
      <c r="B2066" s="13" t="s">
        <v>2330</v>
      </c>
      <c r="C2066" t="s">
        <v>2805</v>
      </c>
      <c r="D2066" t="s">
        <v>3562</v>
      </c>
      <c r="E2066" t="s">
        <v>3563</v>
      </c>
      <c r="G2066" t="s">
        <v>63</v>
      </c>
      <c r="H2066" s="75" t="str">
        <f>IFERROR(VLOOKUP(Table2[[#This Row],[Ticket]],Okey!A:B,2,0),"")</f>
        <v>ok</v>
      </c>
      <c r="I2066" t="s">
        <v>19</v>
      </c>
      <c r="J2066" t="str">
        <f>VLOOKUP(Table2[[#This Row],[Author]],People!A:B,2,0)</f>
        <v>EL</v>
      </c>
      <c r="M2066" t="s">
        <v>1752</v>
      </c>
    </row>
    <row r="2067" spans="1:13" x14ac:dyDescent="0.25">
      <c r="A2067" s="75">
        <f t="shared" si="32"/>
        <v>2066</v>
      </c>
      <c r="B2067" s="13" t="s">
        <v>2330</v>
      </c>
      <c r="C2067" t="s">
        <v>2805</v>
      </c>
      <c r="D2067" t="s">
        <v>3564</v>
      </c>
      <c r="E2067" t="s">
        <v>3565</v>
      </c>
      <c r="G2067" t="s">
        <v>63</v>
      </c>
      <c r="H2067" s="75" t="str">
        <f>IFERROR(VLOOKUP(Table2[[#This Row],[Ticket]],Okey!A:B,2,0),"")</f>
        <v>ok</v>
      </c>
      <c r="I2067" t="s">
        <v>19</v>
      </c>
      <c r="J2067" t="str">
        <f>VLOOKUP(Table2[[#This Row],[Author]],People!A:B,2,0)</f>
        <v>EL</v>
      </c>
      <c r="M2067" t="s">
        <v>1752</v>
      </c>
    </row>
    <row r="2068" spans="1:13" x14ac:dyDescent="0.25">
      <c r="A2068" s="75">
        <f t="shared" si="32"/>
        <v>2067</v>
      </c>
      <c r="B2068" s="13" t="s">
        <v>2330</v>
      </c>
      <c r="C2068" t="s">
        <v>2805</v>
      </c>
      <c r="D2068" t="s">
        <v>3566</v>
      </c>
      <c r="E2068" t="s">
        <v>3567</v>
      </c>
      <c r="G2068" t="s">
        <v>63</v>
      </c>
      <c r="H2068" s="75" t="str">
        <f>IFERROR(VLOOKUP(Table2[[#This Row],[Ticket]],Okey!A:B,2,0),"")</f>
        <v>ok</v>
      </c>
      <c r="I2068" t="s">
        <v>19</v>
      </c>
      <c r="J2068" t="str">
        <f>VLOOKUP(Table2[[#This Row],[Author]],People!A:B,2,0)</f>
        <v>EL</v>
      </c>
      <c r="M2068" t="s">
        <v>1752</v>
      </c>
    </row>
    <row r="2069" spans="1:13" x14ac:dyDescent="0.25">
      <c r="A2069" s="75">
        <f t="shared" si="32"/>
        <v>2068</v>
      </c>
      <c r="B2069" s="13" t="s">
        <v>2330</v>
      </c>
      <c r="C2069" t="s">
        <v>2805</v>
      </c>
      <c r="D2069" t="s">
        <v>3568</v>
      </c>
      <c r="E2069" t="s">
        <v>3569</v>
      </c>
      <c r="G2069" t="s">
        <v>63</v>
      </c>
      <c r="H2069" s="75" t="str">
        <f>IFERROR(VLOOKUP(Table2[[#This Row],[Ticket]],Okey!A:B,2,0),"")</f>
        <v>ok</v>
      </c>
      <c r="I2069" t="s">
        <v>19</v>
      </c>
      <c r="J2069" t="str">
        <f>VLOOKUP(Table2[[#This Row],[Author]],People!A:B,2,0)</f>
        <v>EL</v>
      </c>
      <c r="M2069" t="s">
        <v>1752</v>
      </c>
    </row>
    <row r="2070" spans="1:13" x14ac:dyDescent="0.25">
      <c r="A2070" s="75">
        <f t="shared" si="32"/>
        <v>2069</v>
      </c>
      <c r="B2070" s="13" t="s">
        <v>2330</v>
      </c>
      <c r="C2070" t="s">
        <v>2805</v>
      </c>
      <c r="D2070" t="s">
        <v>3570</v>
      </c>
      <c r="E2070" t="s">
        <v>3571</v>
      </c>
      <c r="G2070" t="s">
        <v>63</v>
      </c>
      <c r="H2070" s="75" t="str">
        <f>IFERROR(VLOOKUP(Table2[[#This Row],[Ticket]],Okey!A:B,2,0),"")</f>
        <v>ok</v>
      </c>
      <c r="I2070" t="s">
        <v>19</v>
      </c>
      <c r="J2070" t="str">
        <f>VLOOKUP(Table2[[#This Row],[Author]],People!A:B,2,0)</f>
        <v>EL</v>
      </c>
      <c r="M2070" t="s">
        <v>1752</v>
      </c>
    </row>
    <row r="2071" spans="1:13" x14ac:dyDescent="0.25">
      <c r="A2071" s="75">
        <f t="shared" si="32"/>
        <v>2070</v>
      </c>
      <c r="B2071" s="13" t="s">
        <v>2330</v>
      </c>
      <c r="C2071" t="s">
        <v>2805</v>
      </c>
      <c r="D2071" t="s">
        <v>3572</v>
      </c>
      <c r="E2071" t="s">
        <v>3573</v>
      </c>
      <c r="G2071" t="s">
        <v>63</v>
      </c>
      <c r="H2071" s="75" t="str">
        <f>IFERROR(VLOOKUP(Table2[[#This Row],[Ticket]],Okey!A:B,2,0),"")</f>
        <v>ok</v>
      </c>
      <c r="I2071" t="s">
        <v>19</v>
      </c>
      <c r="J2071" t="str">
        <f>VLOOKUP(Table2[[#This Row],[Author]],People!A:B,2,0)</f>
        <v>EL</v>
      </c>
      <c r="M2071" t="s">
        <v>1752</v>
      </c>
    </row>
    <row r="2072" spans="1:13" x14ac:dyDescent="0.25">
      <c r="A2072" s="75">
        <f t="shared" si="32"/>
        <v>2071</v>
      </c>
      <c r="B2072" s="13" t="s">
        <v>2330</v>
      </c>
      <c r="C2072" t="s">
        <v>2805</v>
      </c>
      <c r="D2072" t="s">
        <v>3574</v>
      </c>
      <c r="E2072" t="s">
        <v>3575</v>
      </c>
      <c r="G2072" t="s">
        <v>63</v>
      </c>
      <c r="H2072" s="75" t="str">
        <f>IFERROR(VLOOKUP(Table2[[#This Row],[Ticket]],Okey!A:B,2,0),"")</f>
        <v>ok</v>
      </c>
      <c r="I2072" t="s">
        <v>19</v>
      </c>
      <c r="J2072" t="str">
        <f>VLOOKUP(Table2[[#This Row],[Author]],People!A:B,2,0)</f>
        <v>EL</v>
      </c>
      <c r="M2072" t="s">
        <v>1752</v>
      </c>
    </row>
    <row r="2073" spans="1:13" x14ac:dyDescent="0.25">
      <c r="A2073" s="75">
        <f t="shared" si="32"/>
        <v>2072</v>
      </c>
      <c r="B2073" s="13" t="s">
        <v>2330</v>
      </c>
      <c r="C2073" t="s">
        <v>2805</v>
      </c>
      <c r="D2073" t="s">
        <v>3576</v>
      </c>
      <c r="E2073" t="s">
        <v>3577</v>
      </c>
      <c r="G2073" t="s">
        <v>63</v>
      </c>
      <c r="H2073" s="75" t="str">
        <f>IFERROR(VLOOKUP(Table2[[#This Row],[Ticket]],Okey!A:B,2,0),"")</f>
        <v>ok</v>
      </c>
      <c r="I2073" t="s">
        <v>19</v>
      </c>
      <c r="J2073" t="str">
        <f>VLOOKUP(Table2[[#This Row],[Author]],People!A:B,2,0)</f>
        <v>EL</v>
      </c>
      <c r="M2073" t="s">
        <v>1752</v>
      </c>
    </row>
    <row r="2074" spans="1:13" x14ac:dyDescent="0.25">
      <c r="A2074" s="75">
        <f t="shared" si="32"/>
        <v>2073</v>
      </c>
      <c r="B2074" s="13" t="s">
        <v>2330</v>
      </c>
      <c r="C2074" t="s">
        <v>2805</v>
      </c>
      <c r="D2074" t="s">
        <v>3578</v>
      </c>
      <c r="E2074" t="s">
        <v>3579</v>
      </c>
      <c r="G2074" t="s">
        <v>63</v>
      </c>
      <c r="H2074" s="75" t="str">
        <f>IFERROR(VLOOKUP(Table2[[#This Row],[Ticket]],Okey!A:B,2,0),"")</f>
        <v>ok</v>
      </c>
      <c r="I2074" t="s">
        <v>19</v>
      </c>
      <c r="J2074" t="str">
        <f>VLOOKUP(Table2[[#This Row],[Author]],People!A:B,2,0)</f>
        <v>EL</v>
      </c>
      <c r="M2074" t="s">
        <v>1752</v>
      </c>
    </row>
    <row r="2075" spans="1:13" x14ac:dyDescent="0.25">
      <c r="A2075" s="75">
        <f t="shared" si="32"/>
        <v>2074</v>
      </c>
      <c r="B2075" s="13" t="s">
        <v>2330</v>
      </c>
      <c r="C2075" t="s">
        <v>2805</v>
      </c>
      <c r="D2075" t="s">
        <v>3580</v>
      </c>
      <c r="E2075" t="s">
        <v>3581</v>
      </c>
      <c r="G2075" t="s">
        <v>63</v>
      </c>
      <c r="H2075" s="75" t="str">
        <f>IFERROR(VLOOKUP(Table2[[#This Row],[Ticket]],Okey!A:B,2,0),"")</f>
        <v>ok</v>
      </c>
      <c r="I2075" t="s">
        <v>19</v>
      </c>
      <c r="J2075" t="str">
        <f>VLOOKUP(Table2[[#This Row],[Author]],People!A:B,2,0)</f>
        <v>EL</v>
      </c>
      <c r="M2075" t="s">
        <v>1752</v>
      </c>
    </row>
    <row r="2076" spans="1:13" x14ac:dyDescent="0.25">
      <c r="A2076" s="75">
        <f t="shared" si="32"/>
        <v>2075</v>
      </c>
      <c r="B2076" s="13" t="s">
        <v>2330</v>
      </c>
      <c r="C2076" t="s">
        <v>2805</v>
      </c>
      <c r="D2076" t="s">
        <v>3582</v>
      </c>
      <c r="E2076" t="s">
        <v>3583</v>
      </c>
      <c r="G2076" t="s">
        <v>63</v>
      </c>
      <c r="H2076" s="75" t="str">
        <f>IFERROR(VLOOKUP(Table2[[#This Row],[Ticket]],Okey!A:B,2,0),"")</f>
        <v>ok</v>
      </c>
      <c r="I2076" t="s">
        <v>19</v>
      </c>
      <c r="J2076" t="str">
        <f>VLOOKUP(Table2[[#This Row],[Author]],People!A:B,2,0)</f>
        <v>EL</v>
      </c>
      <c r="M2076" t="s">
        <v>1752</v>
      </c>
    </row>
    <row r="2077" spans="1:13" x14ac:dyDescent="0.25">
      <c r="A2077" s="75">
        <f t="shared" si="32"/>
        <v>2076</v>
      </c>
      <c r="B2077" s="13" t="s">
        <v>2330</v>
      </c>
      <c r="C2077" t="s">
        <v>2805</v>
      </c>
      <c r="D2077" t="s">
        <v>3584</v>
      </c>
      <c r="E2077" t="s">
        <v>3585</v>
      </c>
      <c r="G2077" t="s">
        <v>63</v>
      </c>
      <c r="H2077" s="75" t="str">
        <f>IFERROR(VLOOKUP(Table2[[#This Row],[Ticket]],Okey!A:B,2,0),"")</f>
        <v>ok</v>
      </c>
      <c r="I2077" t="s">
        <v>19</v>
      </c>
      <c r="J2077" t="str">
        <f>VLOOKUP(Table2[[#This Row],[Author]],People!A:B,2,0)</f>
        <v>EL</v>
      </c>
      <c r="M2077" t="s">
        <v>1752</v>
      </c>
    </row>
    <row r="2078" spans="1:13" x14ac:dyDescent="0.25">
      <c r="A2078" s="75">
        <f t="shared" si="32"/>
        <v>2077</v>
      </c>
      <c r="B2078" s="13" t="s">
        <v>2330</v>
      </c>
      <c r="C2078" t="s">
        <v>2805</v>
      </c>
      <c r="D2078" t="s">
        <v>3586</v>
      </c>
      <c r="E2078" t="s">
        <v>3587</v>
      </c>
      <c r="G2078" t="s">
        <v>63</v>
      </c>
      <c r="H2078" s="75" t="str">
        <f>IFERROR(VLOOKUP(Table2[[#This Row],[Ticket]],Okey!A:B,2,0),"")</f>
        <v>ok</v>
      </c>
      <c r="I2078" t="s">
        <v>19</v>
      </c>
      <c r="J2078" t="str">
        <f>VLOOKUP(Table2[[#This Row],[Author]],People!A:B,2,0)</f>
        <v>EL</v>
      </c>
      <c r="M2078" t="s">
        <v>1752</v>
      </c>
    </row>
    <row r="2079" spans="1:13" x14ac:dyDescent="0.25">
      <c r="A2079" s="75">
        <f t="shared" si="32"/>
        <v>2078</v>
      </c>
      <c r="B2079" s="13" t="s">
        <v>2330</v>
      </c>
      <c r="C2079" t="s">
        <v>2805</v>
      </c>
      <c r="D2079" t="s">
        <v>3588</v>
      </c>
      <c r="E2079" t="s">
        <v>3589</v>
      </c>
      <c r="G2079" t="s">
        <v>63</v>
      </c>
      <c r="H2079" s="75" t="str">
        <f>IFERROR(VLOOKUP(Table2[[#This Row],[Ticket]],Okey!A:B,2,0),"")</f>
        <v>ok</v>
      </c>
      <c r="I2079" t="s">
        <v>19</v>
      </c>
      <c r="J2079" t="str">
        <f>VLOOKUP(Table2[[#This Row],[Author]],People!A:B,2,0)</f>
        <v>EL</v>
      </c>
      <c r="M2079" t="s">
        <v>1752</v>
      </c>
    </row>
    <row r="2080" spans="1:13" x14ac:dyDescent="0.25">
      <c r="A2080" s="75">
        <f t="shared" si="32"/>
        <v>2079</v>
      </c>
      <c r="B2080" s="13" t="s">
        <v>2330</v>
      </c>
      <c r="C2080" t="s">
        <v>2805</v>
      </c>
      <c r="D2080" t="s">
        <v>3590</v>
      </c>
      <c r="E2080" t="s">
        <v>3591</v>
      </c>
      <c r="G2080" t="s">
        <v>63</v>
      </c>
      <c r="H2080" s="75" t="str">
        <f>IFERROR(VLOOKUP(Table2[[#This Row],[Ticket]],Okey!A:B,2,0),"")</f>
        <v>ok</v>
      </c>
      <c r="I2080" t="s">
        <v>19</v>
      </c>
      <c r="J2080" t="str">
        <f>VLOOKUP(Table2[[#This Row],[Author]],People!A:B,2,0)</f>
        <v>EL</v>
      </c>
      <c r="M2080" t="s">
        <v>1752</v>
      </c>
    </row>
    <row r="2081" spans="1:13" x14ac:dyDescent="0.25">
      <c r="A2081" s="75">
        <f t="shared" si="32"/>
        <v>2080</v>
      </c>
      <c r="B2081" s="13" t="s">
        <v>2330</v>
      </c>
      <c r="C2081" t="s">
        <v>2805</v>
      </c>
      <c r="D2081" t="s">
        <v>3592</v>
      </c>
      <c r="E2081" t="s">
        <v>3593</v>
      </c>
      <c r="G2081" t="s">
        <v>63</v>
      </c>
      <c r="H2081" s="75" t="str">
        <f>IFERROR(VLOOKUP(Table2[[#This Row],[Ticket]],Okey!A:B,2,0),"")</f>
        <v>ok</v>
      </c>
      <c r="I2081" t="s">
        <v>19</v>
      </c>
      <c r="J2081" t="str">
        <f>VLOOKUP(Table2[[#This Row],[Author]],People!A:B,2,0)</f>
        <v>EL</v>
      </c>
      <c r="M2081" t="s">
        <v>1752</v>
      </c>
    </row>
    <row r="2082" spans="1:13" x14ac:dyDescent="0.25">
      <c r="A2082" s="75">
        <f t="shared" si="32"/>
        <v>2081</v>
      </c>
      <c r="B2082" s="13" t="s">
        <v>2330</v>
      </c>
      <c r="C2082" t="s">
        <v>2805</v>
      </c>
      <c r="D2082" t="s">
        <v>3594</v>
      </c>
      <c r="E2082" t="s">
        <v>3595</v>
      </c>
      <c r="G2082" t="s">
        <v>63</v>
      </c>
      <c r="H2082" s="75" t="str">
        <f>IFERROR(VLOOKUP(Table2[[#This Row],[Ticket]],Okey!A:B,2,0),"")</f>
        <v>ok</v>
      </c>
      <c r="I2082" t="s">
        <v>19</v>
      </c>
      <c r="J2082" t="str">
        <f>VLOOKUP(Table2[[#This Row],[Author]],People!A:B,2,0)</f>
        <v>EL</v>
      </c>
      <c r="M2082" t="s">
        <v>1752</v>
      </c>
    </row>
    <row r="2083" spans="1:13" x14ac:dyDescent="0.25">
      <c r="A2083" s="75">
        <f t="shared" si="32"/>
        <v>2082</v>
      </c>
      <c r="B2083" s="13" t="s">
        <v>2330</v>
      </c>
      <c r="C2083" t="s">
        <v>2805</v>
      </c>
      <c r="D2083" t="s">
        <v>3596</v>
      </c>
      <c r="E2083" t="s">
        <v>3597</v>
      </c>
      <c r="G2083" t="s">
        <v>63</v>
      </c>
      <c r="H2083" s="75" t="str">
        <f>IFERROR(VLOOKUP(Table2[[#This Row],[Ticket]],Okey!A:B,2,0),"")</f>
        <v>ok</v>
      </c>
      <c r="I2083" t="s">
        <v>19</v>
      </c>
      <c r="J2083" t="str">
        <f>VLOOKUP(Table2[[#This Row],[Author]],People!A:B,2,0)</f>
        <v>EL</v>
      </c>
      <c r="M2083" t="s">
        <v>1752</v>
      </c>
    </row>
    <row r="2084" spans="1:13" x14ac:dyDescent="0.25">
      <c r="A2084" s="75">
        <f t="shared" si="32"/>
        <v>2083</v>
      </c>
      <c r="B2084" s="13" t="s">
        <v>2330</v>
      </c>
      <c r="C2084" t="s">
        <v>2805</v>
      </c>
      <c r="D2084" t="s">
        <v>3598</v>
      </c>
      <c r="E2084" t="s">
        <v>3599</v>
      </c>
      <c r="G2084" t="s">
        <v>63</v>
      </c>
      <c r="H2084" s="75" t="str">
        <f>IFERROR(VLOOKUP(Table2[[#This Row],[Ticket]],Okey!A:B,2,0),"")</f>
        <v>ok</v>
      </c>
      <c r="I2084" t="s">
        <v>19</v>
      </c>
      <c r="J2084" t="str">
        <f>VLOOKUP(Table2[[#This Row],[Author]],People!A:B,2,0)</f>
        <v>EL</v>
      </c>
      <c r="M2084" t="s">
        <v>1752</v>
      </c>
    </row>
    <row r="2085" spans="1:13" x14ac:dyDescent="0.25">
      <c r="A2085" s="75">
        <f t="shared" si="32"/>
        <v>2084</v>
      </c>
      <c r="B2085" s="13" t="s">
        <v>2330</v>
      </c>
      <c r="C2085" t="s">
        <v>2805</v>
      </c>
      <c r="D2085" t="s">
        <v>3600</v>
      </c>
      <c r="E2085" t="s">
        <v>3601</v>
      </c>
      <c r="G2085" t="s">
        <v>63</v>
      </c>
      <c r="H2085" s="75" t="str">
        <f>IFERROR(VLOOKUP(Table2[[#This Row],[Ticket]],Okey!A:B,2,0),"")</f>
        <v>ok</v>
      </c>
      <c r="I2085" t="s">
        <v>19</v>
      </c>
      <c r="J2085" t="str">
        <f>VLOOKUP(Table2[[#This Row],[Author]],People!A:B,2,0)</f>
        <v>EL</v>
      </c>
      <c r="M2085" t="s">
        <v>1752</v>
      </c>
    </row>
    <row r="2086" spans="1:13" x14ac:dyDescent="0.25">
      <c r="A2086" s="75">
        <f t="shared" si="32"/>
        <v>2085</v>
      </c>
      <c r="B2086" s="13" t="s">
        <v>2330</v>
      </c>
      <c r="C2086" t="s">
        <v>2805</v>
      </c>
      <c r="D2086" t="s">
        <v>3602</v>
      </c>
      <c r="E2086" t="s">
        <v>3603</v>
      </c>
      <c r="G2086" t="s">
        <v>63</v>
      </c>
      <c r="H2086" s="75" t="str">
        <f>IFERROR(VLOOKUP(Table2[[#This Row],[Ticket]],Okey!A:B,2,0),"")</f>
        <v>ok</v>
      </c>
      <c r="I2086" t="s">
        <v>19</v>
      </c>
      <c r="J2086" t="str">
        <f>VLOOKUP(Table2[[#This Row],[Author]],People!A:B,2,0)</f>
        <v>EL</v>
      </c>
      <c r="M2086" t="s">
        <v>1752</v>
      </c>
    </row>
    <row r="2087" spans="1:13" x14ac:dyDescent="0.25">
      <c r="A2087" s="75">
        <f t="shared" si="32"/>
        <v>2086</v>
      </c>
      <c r="B2087" s="13" t="s">
        <v>2330</v>
      </c>
      <c r="C2087" t="s">
        <v>2805</v>
      </c>
      <c r="D2087" t="s">
        <v>3604</v>
      </c>
      <c r="E2087" t="s">
        <v>3605</v>
      </c>
      <c r="G2087" t="s">
        <v>63</v>
      </c>
      <c r="H2087" s="75" t="str">
        <f>IFERROR(VLOOKUP(Table2[[#This Row],[Ticket]],Okey!A:B,2,0),"")</f>
        <v>ok</v>
      </c>
      <c r="I2087" t="s">
        <v>19</v>
      </c>
      <c r="J2087" t="str">
        <f>VLOOKUP(Table2[[#This Row],[Author]],People!A:B,2,0)</f>
        <v>EL</v>
      </c>
      <c r="M2087" t="s">
        <v>1752</v>
      </c>
    </row>
    <row r="2088" spans="1:13" x14ac:dyDescent="0.25">
      <c r="A2088" s="75">
        <f t="shared" si="32"/>
        <v>2087</v>
      </c>
      <c r="B2088" s="13" t="s">
        <v>2330</v>
      </c>
      <c r="C2088" t="s">
        <v>2805</v>
      </c>
      <c r="D2088" t="s">
        <v>3606</v>
      </c>
      <c r="E2088" t="s">
        <v>3607</v>
      </c>
      <c r="G2088" t="s">
        <v>63</v>
      </c>
      <c r="H2088" s="75" t="str">
        <f>IFERROR(VLOOKUP(Table2[[#This Row],[Ticket]],Okey!A:B,2,0),"")</f>
        <v>ok</v>
      </c>
      <c r="I2088" t="s">
        <v>19</v>
      </c>
      <c r="J2088" t="str">
        <f>VLOOKUP(Table2[[#This Row],[Author]],People!A:B,2,0)</f>
        <v>EL</v>
      </c>
      <c r="M2088" t="s">
        <v>1752</v>
      </c>
    </row>
    <row r="2089" spans="1:13" x14ac:dyDescent="0.25">
      <c r="A2089" s="75">
        <f t="shared" si="32"/>
        <v>2088</v>
      </c>
      <c r="B2089" s="13" t="s">
        <v>2330</v>
      </c>
      <c r="C2089" t="s">
        <v>2805</v>
      </c>
      <c r="D2089" t="s">
        <v>3608</v>
      </c>
      <c r="E2089" t="s">
        <v>3609</v>
      </c>
      <c r="G2089" t="s">
        <v>63</v>
      </c>
      <c r="H2089" s="75" t="str">
        <f>IFERROR(VLOOKUP(Table2[[#This Row],[Ticket]],Okey!A:B,2,0),"")</f>
        <v>ok</v>
      </c>
      <c r="I2089" t="s">
        <v>19</v>
      </c>
      <c r="J2089" t="str">
        <f>VLOOKUP(Table2[[#This Row],[Author]],People!A:B,2,0)</f>
        <v>EL</v>
      </c>
      <c r="M2089" t="s">
        <v>1752</v>
      </c>
    </row>
    <row r="2090" spans="1:13" x14ac:dyDescent="0.25">
      <c r="A2090" s="75">
        <f t="shared" si="32"/>
        <v>2089</v>
      </c>
      <c r="B2090" s="13" t="s">
        <v>2330</v>
      </c>
      <c r="C2090" t="s">
        <v>2805</v>
      </c>
      <c r="D2090" t="s">
        <v>3610</v>
      </c>
      <c r="E2090" t="s">
        <v>3611</v>
      </c>
      <c r="G2090" t="s">
        <v>63</v>
      </c>
      <c r="H2090" s="75" t="str">
        <f>IFERROR(VLOOKUP(Table2[[#This Row],[Ticket]],Okey!A:B,2,0),"")</f>
        <v>ok</v>
      </c>
      <c r="I2090" t="s">
        <v>19</v>
      </c>
      <c r="J2090" t="str">
        <f>VLOOKUP(Table2[[#This Row],[Author]],People!A:B,2,0)</f>
        <v>EL</v>
      </c>
      <c r="M2090" t="s">
        <v>1752</v>
      </c>
    </row>
    <row r="2091" spans="1:13" x14ac:dyDescent="0.25">
      <c r="A2091" s="75">
        <f t="shared" si="32"/>
        <v>2090</v>
      </c>
      <c r="B2091" s="13" t="s">
        <v>2330</v>
      </c>
      <c r="C2091" t="s">
        <v>2805</v>
      </c>
      <c r="D2091" t="s">
        <v>3612</v>
      </c>
      <c r="E2091" t="s">
        <v>3613</v>
      </c>
      <c r="F2091" t="s">
        <v>3614</v>
      </c>
      <c r="G2091" t="s">
        <v>18</v>
      </c>
      <c r="H2091" s="75" t="str">
        <f>IFERROR(VLOOKUP(Table2[[#This Row],[Ticket]],Okey!A:B,2,0),"")</f>
        <v>ok</v>
      </c>
      <c r="I2091" t="s">
        <v>19</v>
      </c>
      <c r="J2091" t="str">
        <f>VLOOKUP(Table2[[#This Row],[Author]],People!A:B,2,0)</f>
        <v>EL</v>
      </c>
      <c r="M2091" t="s">
        <v>1752</v>
      </c>
    </row>
    <row r="2092" spans="1:13" x14ac:dyDescent="0.25">
      <c r="A2092" s="75">
        <f t="shared" si="32"/>
        <v>2091</v>
      </c>
      <c r="B2092" s="13" t="s">
        <v>2330</v>
      </c>
      <c r="C2092" t="s">
        <v>2805</v>
      </c>
      <c r="D2092" t="s">
        <v>3615</v>
      </c>
      <c r="E2092" t="s">
        <v>3616</v>
      </c>
      <c r="F2092" t="s">
        <v>3614</v>
      </c>
      <c r="G2092" t="s">
        <v>18</v>
      </c>
      <c r="H2092" s="75" t="str">
        <f>IFERROR(VLOOKUP(Table2[[#This Row],[Ticket]],Okey!A:B,2,0),"")</f>
        <v>ok</v>
      </c>
      <c r="I2092" t="s">
        <v>19</v>
      </c>
      <c r="J2092" t="str">
        <f>VLOOKUP(Table2[[#This Row],[Author]],People!A:B,2,0)</f>
        <v>EL</v>
      </c>
      <c r="M2092" t="s">
        <v>1752</v>
      </c>
    </row>
    <row r="2093" spans="1:13" x14ac:dyDescent="0.25">
      <c r="A2093" s="75">
        <f t="shared" si="32"/>
        <v>2092</v>
      </c>
      <c r="B2093" s="13" t="s">
        <v>2330</v>
      </c>
      <c r="C2093" t="s">
        <v>2805</v>
      </c>
      <c r="D2093" t="s">
        <v>1926</v>
      </c>
      <c r="E2093" t="s">
        <v>3617</v>
      </c>
      <c r="F2093" t="s">
        <v>3618</v>
      </c>
      <c r="G2093" t="s">
        <v>496</v>
      </c>
      <c r="H2093" s="75" t="str">
        <f>IFERROR(VLOOKUP(Table2[[#This Row],[Ticket]],Okey!A:B,2,0),"")</f>
        <v>ok</v>
      </c>
      <c r="I2093" t="s">
        <v>19</v>
      </c>
      <c r="J2093" t="str">
        <f>VLOOKUP(Table2[[#This Row],[Author]],People!A:B,2,0)</f>
        <v>EL</v>
      </c>
      <c r="M2093" t="s">
        <v>1752</v>
      </c>
    </row>
    <row r="2094" spans="1:13" x14ac:dyDescent="0.25">
      <c r="A2094" s="75">
        <f t="shared" si="32"/>
        <v>2093</v>
      </c>
      <c r="B2094" s="13" t="s">
        <v>2330</v>
      </c>
      <c r="C2094" t="s">
        <v>3619</v>
      </c>
      <c r="D2094" t="s">
        <v>534</v>
      </c>
      <c r="E2094" t="s">
        <v>3620</v>
      </c>
      <c r="G2094" t="s">
        <v>63</v>
      </c>
      <c r="H2094" s="75" t="str">
        <f>IFERROR(VLOOKUP(Table2[[#This Row],[Ticket]],Okey!A:B,2,0),"")</f>
        <v>ok</v>
      </c>
      <c r="I2094" t="s">
        <v>19</v>
      </c>
      <c r="J2094" t="str">
        <f>VLOOKUP(Table2[[#This Row],[Author]],People!A:B,2,0)</f>
        <v>MGF</v>
      </c>
      <c r="M2094" t="s">
        <v>685</v>
      </c>
    </row>
    <row r="2095" spans="1:13" x14ac:dyDescent="0.25">
      <c r="A2095" s="75">
        <f t="shared" si="32"/>
        <v>2094</v>
      </c>
      <c r="B2095" s="13" t="s">
        <v>2330</v>
      </c>
      <c r="C2095" t="s">
        <v>3619</v>
      </c>
      <c r="D2095" t="s">
        <v>524</v>
      </c>
      <c r="F2095" t="s">
        <v>534</v>
      </c>
      <c r="G2095" t="s">
        <v>24</v>
      </c>
      <c r="H2095" s="75" t="str">
        <f>IFERROR(VLOOKUP(Table2[[#This Row],[Ticket]],Okey!A:B,2,0),"")</f>
        <v>ok</v>
      </c>
      <c r="I2095" t="s">
        <v>19</v>
      </c>
      <c r="J2095" t="str">
        <f>VLOOKUP(Table2[[#This Row],[Author]],People!A:B,2,0)</f>
        <v>MGF</v>
      </c>
      <c r="M2095" t="s">
        <v>685</v>
      </c>
    </row>
    <row r="2096" spans="1:13" x14ac:dyDescent="0.25">
      <c r="A2096" s="75">
        <f t="shared" si="32"/>
        <v>2095</v>
      </c>
      <c r="B2096" s="13" t="s">
        <v>2330</v>
      </c>
      <c r="C2096" t="s">
        <v>3619</v>
      </c>
      <c r="D2096" t="s">
        <v>526</v>
      </c>
      <c r="F2096" t="s">
        <v>534</v>
      </c>
      <c r="G2096" t="s">
        <v>24</v>
      </c>
      <c r="H2096" s="75" t="str">
        <f>IFERROR(VLOOKUP(Table2[[#This Row],[Ticket]],Okey!A:B,2,0),"")</f>
        <v>ok</v>
      </c>
      <c r="I2096" t="s">
        <v>19</v>
      </c>
      <c r="J2096" t="str">
        <f>VLOOKUP(Table2[[#This Row],[Author]],People!A:B,2,0)</f>
        <v>MGF</v>
      </c>
      <c r="M2096" t="s">
        <v>685</v>
      </c>
    </row>
    <row r="2097" spans="1:13" x14ac:dyDescent="0.25">
      <c r="A2097" s="75">
        <f t="shared" si="32"/>
        <v>2096</v>
      </c>
      <c r="B2097" s="13" t="s">
        <v>2330</v>
      </c>
      <c r="C2097" t="s">
        <v>3619</v>
      </c>
      <c r="D2097" t="s">
        <v>522</v>
      </c>
      <c r="E2097" t="s">
        <v>3621</v>
      </c>
      <c r="F2097" t="s">
        <v>555</v>
      </c>
      <c r="G2097" t="s">
        <v>496</v>
      </c>
      <c r="H2097" s="75" t="str">
        <f>IFERROR(VLOOKUP(Table2[[#This Row],[Ticket]],Okey!A:B,2,0),"")</f>
        <v>ok</v>
      </c>
      <c r="I2097" t="s">
        <v>19</v>
      </c>
      <c r="J2097" t="str">
        <f>VLOOKUP(Table2[[#This Row],[Author]],People!A:B,2,0)</f>
        <v>MGF</v>
      </c>
      <c r="M2097" t="s">
        <v>685</v>
      </c>
    </row>
    <row r="2098" spans="1:13" x14ac:dyDescent="0.25">
      <c r="A2098" s="75">
        <f t="shared" si="32"/>
        <v>2097</v>
      </c>
      <c r="B2098" s="13" t="s">
        <v>2330</v>
      </c>
      <c r="C2098" t="s">
        <v>3622</v>
      </c>
      <c r="D2098" t="s">
        <v>3623</v>
      </c>
      <c r="E2098" t="s">
        <v>3624</v>
      </c>
      <c r="F2098" t="s">
        <v>49</v>
      </c>
      <c r="G2098" t="s">
        <v>18</v>
      </c>
      <c r="H2098" s="75" t="str">
        <f>IFERROR(VLOOKUP(Table2[[#This Row],[Ticket]],Okey!A:B,2,0),"")</f>
        <v>ok</v>
      </c>
      <c r="I2098" t="s">
        <v>19</v>
      </c>
      <c r="J2098" t="str">
        <f>VLOOKUP(Table2[[#This Row],[Author]],People!A:B,2,0)</f>
        <v>MGF</v>
      </c>
      <c r="M2098" t="s">
        <v>40</v>
      </c>
    </row>
    <row r="2099" spans="1:13" x14ac:dyDescent="0.25">
      <c r="A2099" s="75">
        <f t="shared" si="32"/>
        <v>2098</v>
      </c>
      <c r="B2099" s="13" t="s">
        <v>2330</v>
      </c>
      <c r="C2099" t="s">
        <v>3622</v>
      </c>
      <c r="D2099" t="s">
        <v>3625</v>
      </c>
      <c r="E2099" t="s">
        <v>3626</v>
      </c>
      <c r="F2099" t="s">
        <v>49</v>
      </c>
      <c r="G2099" t="s">
        <v>18</v>
      </c>
      <c r="H2099" s="75" t="str">
        <f>IFERROR(VLOOKUP(Table2[[#This Row],[Ticket]],Okey!A:B,2,0),"")</f>
        <v>ok</v>
      </c>
      <c r="I2099" t="s">
        <v>19</v>
      </c>
      <c r="J2099" t="str">
        <f>VLOOKUP(Table2[[#This Row],[Author]],People!A:B,2,0)</f>
        <v>MGF</v>
      </c>
      <c r="M2099" t="s">
        <v>40</v>
      </c>
    </row>
    <row r="2100" spans="1:13" x14ac:dyDescent="0.25">
      <c r="A2100" s="75">
        <f t="shared" si="32"/>
        <v>2099</v>
      </c>
      <c r="B2100" s="13" t="s">
        <v>2330</v>
      </c>
      <c r="C2100" t="s">
        <v>3622</v>
      </c>
      <c r="D2100" t="s">
        <v>3627</v>
      </c>
      <c r="E2100" t="s">
        <v>3628</v>
      </c>
      <c r="F2100" t="s">
        <v>298</v>
      </c>
      <c r="G2100" t="s">
        <v>18</v>
      </c>
      <c r="H2100" s="75" t="str">
        <f>IFERROR(VLOOKUP(Table2[[#This Row],[Ticket]],Okey!A:B,2,0),"")</f>
        <v>ok</v>
      </c>
      <c r="I2100" t="s">
        <v>19</v>
      </c>
      <c r="J2100" t="str">
        <f>VLOOKUP(Table2[[#This Row],[Author]],People!A:B,2,0)</f>
        <v>MGF</v>
      </c>
      <c r="M2100" t="s">
        <v>40</v>
      </c>
    </row>
    <row r="2101" spans="1:13" x14ac:dyDescent="0.25">
      <c r="A2101" s="75">
        <f t="shared" si="32"/>
        <v>2100</v>
      </c>
      <c r="B2101" s="13" t="s">
        <v>2330</v>
      </c>
      <c r="C2101" t="s">
        <v>3622</v>
      </c>
      <c r="D2101" t="s">
        <v>3629</v>
      </c>
      <c r="E2101" t="s">
        <v>3630</v>
      </c>
      <c r="F2101" t="s">
        <v>316</v>
      </c>
      <c r="G2101" t="s">
        <v>18</v>
      </c>
      <c r="H2101" s="75" t="str">
        <f>IFERROR(VLOOKUP(Table2[[#This Row],[Ticket]],Okey!A:B,2,0),"")</f>
        <v>ok</v>
      </c>
      <c r="I2101" t="s">
        <v>19</v>
      </c>
      <c r="J2101" t="str">
        <f>VLOOKUP(Table2[[#This Row],[Author]],People!A:B,2,0)</f>
        <v>MGF</v>
      </c>
      <c r="M2101" t="s">
        <v>40</v>
      </c>
    </row>
    <row r="2102" spans="1:13" x14ac:dyDescent="0.25">
      <c r="A2102" s="75">
        <f t="shared" si="32"/>
        <v>2101</v>
      </c>
      <c r="B2102" s="13" t="s">
        <v>2330</v>
      </c>
      <c r="C2102" t="s">
        <v>3622</v>
      </c>
      <c r="D2102" t="s">
        <v>3631</v>
      </c>
      <c r="E2102" t="s">
        <v>3632</v>
      </c>
      <c r="F2102" t="s">
        <v>316</v>
      </c>
      <c r="G2102" t="s">
        <v>18</v>
      </c>
      <c r="H2102" s="75" t="str">
        <f>IFERROR(VLOOKUP(Table2[[#This Row],[Ticket]],Okey!A:B,2,0),"")</f>
        <v>ok</v>
      </c>
      <c r="I2102" t="s">
        <v>19</v>
      </c>
      <c r="J2102" t="str">
        <f>VLOOKUP(Table2[[#This Row],[Author]],People!A:B,2,0)</f>
        <v>MGF</v>
      </c>
      <c r="M2102" t="s">
        <v>40</v>
      </c>
    </row>
    <row r="2103" spans="1:13" x14ac:dyDescent="0.25">
      <c r="A2103" s="75">
        <f t="shared" si="32"/>
        <v>2102</v>
      </c>
      <c r="B2103" s="13" t="s">
        <v>2330</v>
      </c>
      <c r="C2103" t="s">
        <v>3633</v>
      </c>
      <c r="D2103" t="s">
        <v>2773</v>
      </c>
      <c r="E2103" t="s">
        <v>2774</v>
      </c>
      <c r="F2103" t="s">
        <v>2293</v>
      </c>
      <c r="G2103" t="s">
        <v>24</v>
      </c>
      <c r="H2103" s="75" t="str">
        <f>IFERROR(VLOOKUP(Table2[[#This Row],[Ticket]],Okey!A:B,2,0),"")</f>
        <v>ok</v>
      </c>
      <c r="I2103" t="s">
        <v>19</v>
      </c>
      <c r="J2103" t="str">
        <f>VLOOKUP(Table2[[#This Row],[Author]],People!A:B,2,0)</f>
        <v>EL</v>
      </c>
      <c r="M2103" t="s">
        <v>1752</v>
      </c>
    </row>
    <row r="2104" spans="1:13" x14ac:dyDescent="0.25">
      <c r="A2104" s="75">
        <f t="shared" si="32"/>
        <v>2103</v>
      </c>
      <c r="B2104" s="13" t="s">
        <v>2330</v>
      </c>
      <c r="C2104" t="s">
        <v>3633</v>
      </c>
      <c r="D2104" t="s">
        <v>3634</v>
      </c>
      <c r="E2104" t="s">
        <v>3635</v>
      </c>
      <c r="F2104" t="s">
        <v>1880</v>
      </c>
      <c r="G2104" t="s">
        <v>18</v>
      </c>
      <c r="H2104" s="75" t="str">
        <f>IFERROR(VLOOKUP(Table2[[#This Row],[Ticket]],Okey!A:B,2,0),"")</f>
        <v>ok</v>
      </c>
      <c r="I2104" t="s">
        <v>19</v>
      </c>
      <c r="J2104" t="str">
        <f>VLOOKUP(Table2[[#This Row],[Author]],People!A:B,2,0)</f>
        <v>EL</v>
      </c>
      <c r="M2104" t="s">
        <v>1752</v>
      </c>
    </row>
    <row r="2105" spans="1:13" x14ac:dyDescent="0.25">
      <c r="A2105" s="75">
        <f t="shared" si="32"/>
        <v>2104</v>
      </c>
      <c r="B2105" s="13" t="s">
        <v>2330</v>
      </c>
      <c r="C2105" t="s">
        <v>3633</v>
      </c>
      <c r="D2105" t="s">
        <v>3636</v>
      </c>
      <c r="E2105" t="s">
        <v>3637</v>
      </c>
      <c r="F2105" t="s">
        <v>1880</v>
      </c>
      <c r="G2105" t="s">
        <v>18</v>
      </c>
      <c r="H2105" s="75" t="str">
        <f>IFERROR(VLOOKUP(Table2[[#This Row],[Ticket]],Okey!A:B,2,0),"")</f>
        <v>ok</v>
      </c>
      <c r="I2105" t="s">
        <v>19</v>
      </c>
      <c r="J2105" t="str">
        <f>VLOOKUP(Table2[[#This Row],[Author]],People!A:B,2,0)</f>
        <v>EL</v>
      </c>
      <c r="M2105" t="s">
        <v>1752</v>
      </c>
    </row>
    <row r="2106" spans="1:13" x14ac:dyDescent="0.25">
      <c r="A2106" s="75">
        <f t="shared" si="32"/>
        <v>2105</v>
      </c>
      <c r="B2106" s="13" t="s">
        <v>2330</v>
      </c>
      <c r="C2106" t="s">
        <v>3633</v>
      </c>
      <c r="D2106" t="s">
        <v>3638</v>
      </c>
      <c r="E2106" t="s">
        <v>3639</v>
      </c>
      <c r="F2106" t="s">
        <v>2816</v>
      </c>
      <c r="G2106" t="s">
        <v>18</v>
      </c>
      <c r="H2106" s="75" t="str">
        <f>IFERROR(VLOOKUP(Table2[[#This Row],[Ticket]],Okey!A:B,2,0),"")</f>
        <v>ok</v>
      </c>
      <c r="I2106" t="s">
        <v>19</v>
      </c>
      <c r="J2106" t="str">
        <f>VLOOKUP(Table2[[#This Row],[Author]],People!A:B,2,0)</f>
        <v>EL</v>
      </c>
      <c r="M2106" t="s">
        <v>1752</v>
      </c>
    </row>
    <row r="2107" spans="1:13" x14ac:dyDescent="0.25">
      <c r="A2107" s="75">
        <f t="shared" si="32"/>
        <v>2106</v>
      </c>
      <c r="B2107" s="13" t="s">
        <v>2330</v>
      </c>
      <c r="C2107" t="s">
        <v>3640</v>
      </c>
      <c r="D2107" s="19" t="s">
        <v>543</v>
      </c>
      <c r="E2107" t="s">
        <v>544</v>
      </c>
      <c r="F2107" t="s">
        <v>2347</v>
      </c>
      <c r="G2107" t="s">
        <v>24</v>
      </c>
      <c r="H2107" s="75" t="str">
        <f>IFERROR(VLOOKUP(Table2[[#This Row],[Ticket]],Okey!A:B,2,0),"")</f>
        <v>ok</v>
      </c>
      <c r="I2107" t="s">
        <v>19</v>
      </c>
      <c r="J2107" t="str">
        <f>VLOOKUP(Table2[[#This Row],[Author]],People!A:B,2,0)</f>
        <v>LS</v>
      </c>
      <c r="M2107" t="s">
        <v>1025</v>
      </c>
    </row>
    <row r="2108" spans="1:13" x14ac:dyDescent="0.25">
      <c r="A2108" s="75">
        <f t="shared" si="32"/>
        <v>2107</v>
      </c>
      <c r="B2108" s="13" t="s">
        <v>2330</v>
      </c>
      <c r="C2108" t="s">
        <v>3641</v>
      </c>
      <c r="D2108" t="s">
        <v>3642</v>
      </c>
      <c r="E2108" t="s">
        <v>3624</v>
      </c>
      <c r="F2108" t="s">
        <v>3623</v>
      </c>
      <c r="G2108" t="s">
        <v>18</v>
      </c>
      <c r="H2108" s="75" t="str">
        <f>IFERROR(VLOOKUP(Table2[[#This Row],[Ticket]],Okey!A:B,2,0),"")</f>
        <v>ok</v>
      </c>
      <c r="I2108" t="s">
        <v>19</v>
      </c>
      <c r="J2108" t="str">
        <f>VLOOKUP(Table2[[#This Row],[Author]],People!A:B,2,0)</f>
        <v>MGF</v>
      </c>
      <c r="M2108" t="s">
        <v>40</v>
      </c>
    </row>
    <row r="2109" spans="1:13" x14ac:dyDescent="0.25">
      <c r="A2109" s="75">
        <f t="shared" si="32"/>
        <v>2108</v>
      </c>
      <c r="B2109" s="13" t="s">
        <v>2330</v>
      </c>
      <c r="C2109" t="s">
        <v>3641</v>
      </c>
      <c r="D2109" t="s">
        <v>3643</v>
      </c>
      <c r="E2109" t="s">
        <v>3626</v>
      </c>
      <c r="F2109" t="s">
        <v>3625</v>
      </c>
      <c r="G2109" t="s">
        <v>18</v>
      </c>
      <c r="H2109" s="75" t="str">
        <f>IFERROR(VLOOKUP(Table2[[#This Row],[Ticket]],Okey!A:B,2,0),"")</f>
        <v>ok</v>
      </c>
      <c r="I2109" t="s">
        <v>19</v>
      </c>
      <c r="J2109" t="str">
        <f>VLOOKUP(Table2[[#This Row],[Author]],People!A:B,2,0)</f>
        <v>MGF</v>
      </c>
      <c r="M2109" t="s">
        <v>40</v>
      </c>
    </row>
    <row r="2110" spans="1:13" x14ac:dyDescent="0.25">
      <c r="A2110" s="75">
        <f t="shared" si="32"/>
        <v>2109</v>
      </c>
      <c r="B2110" s="13" t="s">
        <v>2330</v>
      </c>
      <c r="C2110" t="s">
        <v>3641</v>
      </c>
      <c r="D2110" t="s">
        <v>3644</v>
      </c>
      <c r="E2110" t="s">
        <v>3628</v>
      </c>
      <c r="F2110" t="s">
        <v>3627</v>
      </c>
      <c r="G2110" t="s">
        <v>18</v>
      </c>
      <c r="H2110" s="75" t="str">
        <f>IFERROR(VLOOKUP(Table2[[#This Row],[Ticket]],Okey!A:B,2,0),"")</f>
        <v>ok</v>
      </c>
      <c r="I2110" t="s">
        <v>19</v>
      </c>
      <c r="J2110" t="str">
        <f>VLOOKUP(Table2[[#This Row],[Author]],People!A:B,2,0)</f>
        <v>MGF</v>
      </c>
      <c r="M2110" t="s">
        <v>40</v>
      </c>
    </row>
    <row r="2111" spans="1:13" x14ac:dyDescent="0.25">
      <c r="A2111" s="75">
        <f t="shared" si="32"/>
        <v>2110</v>
      </c>
      <c r="B2111" s="13" t="s">
        <v>2330</v>
      </c>
      <c r="C2111" t="s">
        <v>3641</v>
      </c>
      <c r="D2111" t="s">
        <v>3645</v>
      </c>
      <c r="E2111" t="s">
        <v>3630</v>
      </c>
      <c r="F2111" t="s">
        <v>3629</v>
      </c>
      <c r="G2111" t="s">
        <v>18</v>
      </c>
      <c r="H2111" s="75" t="str">
        <f>IFERROR(VLOOKUP(Table2[[#This Row],[Ticket]],Okey!A:B,2,0),"")</f>
        <v>ok</v>
      </c>
      <c r="I2111" t="s">
        <v>19</v>
      </c>
      <c r="J2111" t="str">
        <f>VLOOKUP(Table2[[#This Row],[Author]],People!A:B,2,0)</f>
        <v>MGF</v>
      </c>
      <c r="M2111" t="s">
        <v>40</v>
      </c>
    </row>
    <row r="2112" spans="1:13" x14ac:dyDescent="0.25">
      <c r="A2112" s="75">
        <f t="shared" si="32"/>
        <v>2111</v>
      </c>
      <c r="B2112" s="13" t="s">
        <v>2330</v>
      </c>
      <c r="C2112" t="s">
        <v>3641</v>
      </c>
      <c r="D2112" t="s">
        <v>3646</v>
      </c>
      <c r="E2112" t="s">
        <v>3632</v>
      </c>
      <c r="F2112" t="s">
        <v>3631</v>
      </c>
      <c r="G2112" t="s">
        <v>18</v>
      </c>
      <c r="H2112" s="75" t="str">
        <f>IFERROR(VLOOKUP(Table2[[#This Row],[Ticket]],Okey!A:B,2,0),"")</f>
        <v>ok</v>
      </c>
      <c r="I2112" t="s">
        <v>19</v>
      </c>
      <c r="J2112" t="str">
        <f>VLOOKUP(Table2[[#This Row],[Author]],People!A:B,2,0)</f>
        <v>MGF</v>
      </c>
      <c r="M2112" t="s">
        <v>40</v>
      </c>
    </row>
    <row r="2113" spans="1:13" x14ac:dyDescent="0.25">
      <c r="A2113" s="75">
        <f t="shared" si="32"/>
        <v>2112</v>
      </c>
      <c r="B2113" s="13" t="s">
        <v>2330</v>
      </c>
      <c r="C2113" t="s">
        <v>3647</v>
      </c>
      <c r="D2113" t="s">
        <v>220</v>
      </c>
      <c r="E2113" t="s">
        <v>3648</v>
      </c>
      <c r="G2113" t="s">
        <v>63</v>
      </c>
      <c r="H2113" s="75" t="str">
        <f>IFERROR(VLOOKUP(Table2[[#This Row],[Ticket]],Okey!A:B,2,0),"")</f>
        <v>ok</v>
      </c>
      <c r="I2113" t="s">
        <v>19</v>
      </c>
      <c r="J2113" t="str">
        <f>VLOOKUP(Table2[[#This Row],[Author]],People!A:B,2,0)</f>
        <v>MGF</v>
      </c>
      <c r="M2113" t="s">
        <v>40</v>
      </c>
    </row>
    <row r="2114" spans="1:13" x14ac:dyDescent="0.25">
      <c r="A2114" s="75">
        <f t="shared" si="32"/>
        <v>2113</v>
      </c>
      <c r="B2114" s="13" t="s">
        <v>2330</v>
      </c>
      <c r="C2114" t="s">
        <v>3647</v>
      </c>
      <c r="D2114" t="s">
        <v>244</v>
      </c>
      <c r="E2114" t="s">
        <v>3649</v>
      </c>
      <c r="G2114" t="s">
        <v>63</v>
      </c>
      <c r="H2114" s="75" t="str">
        <f>IFERROR(VLOOKUP(Table2[[#This Row],[Ticket]],Okey!A:B,2,0),"")</f>
        <v>ok</v>
      </c>
      <c r="I2114" t="s">
        <v>19</v>
      </c>
      <c r="J2114" t="str">
        <f>VLOOKUP(Table2[[#This Row],[Author]],People!A:B,2,0)</f>
        <v>MGF</v>
      </c>
      <c r="M2114" t="s">
        <v>40</v>
      </c>
    </row>
    <row r="2115" spans="1:13" x14ac:dyDescent="0.25">
      <c r="A2115" s="75">
        <f t="shared" si="32"/>
        <v>2114</v>
      </c>
      <c r="B2115" s="13" t="s">
        <v>2330</v>
      </c>
      <c r="C2115" t="s">
        <v>3647</v>
      </c>
      <c r="D2115" t="s">
        <v>250</v>
      </c>
      <c r="E2115" t="s">
        <v>3650</v>
      </c>
      <c r="G2115" t="s">
        <v>63</v>
      </c>
      <c r="H2115" s="75" t="str">
        <f>IFERROR(VLOOKUP(Table2[[#This Row],[Ticket]],Okey!A:B,2,0),"")</f>
        <v>ok</v>
      </c>
      <c r="I2115" t="s">
        <v>19</v>
      </c>
      <c r="J2115" t="str">
        <f>VLOOKUP(Table2[[#This Row],[Author]],People!A:B,2,0)</f>
        <v>MGF</v>
      </c>
      <c r="M2115" t="s">
        <v>40</v>
      </c>
    </row>
    <row r="2116" spans="1:13" x14ac:dyDescent="0.25">
      <c r="A2116" s="75">
        <f t="shared" si="32"/>
        <v>2115</v>
      </c>
      <c r="B2116" s="13" t="s">
        <v>2330</v>
      </c>
      <c r="C2116" t="s">
        <v>3647</v>
      </c>
      <c r="D2116" t="s">
        <v>251</v>
      </c>
      <c r="E2116" t="s">
        <v>3651</v>
      </c>
      <c r="G2116" t="s">
        <v>63</v>
      </c>
      <c r="H2116" s="75" t="str">
        <f>IFERROR(VLOOKUP(Table2[[#This Row],[Ticket]],Okey!A:B,2,0),"")</f>
        <v>ok</v>
      </c>
      <c r="I2116" t="s">
        <v>19</v>
      </c>
      <c r="J2116" t="str">
        <f>VLOOKUP(Table2[[#This Row],[Author]],People!A:B,2,0)</f>
        <v>MGF</v>
      </c>
      <c r="M2116" t="s">
        <v>40</v>
      </c>
    </row>
    <row r="2117" spans="1:13" x14ac:dyDescent="0.25">
      <c r="A2117" s="75">
        <f t="shared" si="32"/>
        <v>2116</v>
      </c>
      <c r="B2117" s="13" t="s">
        <v>2330</v>
      </c>
      <c r="C2117" t="s">
        <v>3647</v>
      </c>
      <c r="D2117" t="s">
        <v>255</v>
      </c>
      <c r="E2117" t="s">
        <v>3652</v>
      </c>
      <c r="G2117" t="s">
        <v>63</v>
      </c>
      <c r="H2117" s="75" t="str">
        <f>IFERROR(VLOOKUP(Table2[[#This Row],[Ticket]],Okey!A:B,2,0),"")</f>
        <v>ok</v>
      </c>
      <c r="I2117" t="s">
        <v>19</v>
      </c>
      <c r="J2117" t="str">
        <f>VLOOKUP(Table2[[#This Row],[Author]],People!A:B,2,0)</f>
        <v>MGF</v>
      </c>
      <c r="M2117" t="s">
        <v>40</v>
      </c>
    </row>
    <row r="2118" spans="1:13" x14ac:dyDescent="0.25">
      <c r="A2118" s="75">
        <f t="shared" si="32"/>
        <v>2117</v>
      </c>
      <c r="B2118" s="13" t="s">
        <v>2330</v>
      </c>
      <c r="C2118" t="s">
        <v>3647</v>
      </c>
      <c r="D2118" t="s">
        <v>256</v>
      </c>
      <c r="E2118" t="s">
        <v>3653</v>
      </c>
      <c r="G2118" t="s">
        <v>63</v>
      </c>
      <c r="H2118" s="75" t="str">
        <f>IFERROR(VLOOKUP(Table2[[#This Row],[Ticket]],Okey!A:B,2,0),"")</f>
        <v>ok</v>
      </c>
      <c r="I2118" t="s">
        <v>19</v>
      </c>
      <c r="J2118" t="str">
        <f>VLOOKUP(Table2[[#This Row],[Author]],People!A:B,2,0)</f>
        <v>MGF</v>
      </c>
      <c r="M2118" t="s">
        <v>40</v>
      </c>
    </row>
    <row r="2119" spans="1:13" x14ac:dyDescent="0.25">
      <c r="A2119" s="75">
        <f t="shared" si="32"/>
        <v>2118</v>
      </c>
      <c r="B2119" s="13" t="s">
        <v>2330</v>
      </c>
      <c r="C2119" t="s">
        <v>3647</v>
      </c>
      <c r="D2119" t="s">
        <v>257</v>
      </c>
      <c r="E2119" t="s">
        <v>3654</v>
      </c>
      <c r="G2119" t="s">
        <v>63</v>
      </c>
      <c r="H2119" s="75" t="str">
        <f>IFERROR(VLOOKUP(Table2[[#This Row],[Ticket]],Okey!A:B,2,0),"")</f>
        <v>ok</v>
      </c>
      <c r="I2119" t="s">
        <v>19</v>
      </c>
      <c r="J2119" t="str">
        <f>VLOOKUP(Table2[[#This Row],[Author]],People!A:B,2,0)</f>
        <v>MGF</v>
      </c>
      <c r="M2119" t="s">
        <v>40</v>
      </c>
    </row>
    <row r="2120" spans="1:13" x14ac:dyDescent="0.25">
      <c r="A2120" s="75">
        <f t="shared" si="32"/>
        <v>2119</v>
      </c>
      <c r="B2120" s="13" t="s">
        <v>2330</v>
      </c>
      <c r="C2120" t="s">
        <v>3647</v>
      </c>
      <c r="D2120" t="s">
        <v>39</v>
      </c>
      <c r="E2120" t="s">
        <v>3655</v>
      </c>
      <c r="G2120" t="s">
        <v>63</v>
      </c>
      <c r="H2120" s="75" t="str">
        <f>IFERROR(VLOOKUP(Table2[[#This Row],[Ticket]],Okey!A:B,2,0),"")</f>
        <v>ok</v>
      </c>
      <c r="I2120" t="s">
        <v>19</v>
      </c>
      <c r="J2120" t="str">
        <f>VLOOKUP(Table2[[#This Row],[Author]],People!A:B,2,0)</f>
        <v>MGF</v>
      </c>
      <c r="M2120" t="s">
        <v>40</v>
      </c>
    </row>
    <row r="2121" spans="1:13" x14ac:dyDescent="0.25">
      <c r="A2121" s="75">
        <f t="shared" ref="A2121:A2184" si="33">1+A2120</f>
        <v>2120</v>
      </c>
      <c r="B2121" s="13" t="s">
        <v>2330</v>
      </c>
      <c r="C2121" t="s">
        <v>3647</v>
      </c>
      <c r="D2121" t="s">
        <v>240</v>
      </c>
      <c r="E2121" t="s">
        <v>3656</v>
      </c>
      <c r="G2121" t="s">
        <v>63</v>
      </c>
      <c r="H2121" s="75" t="str">
        <f>IFERROR(VLOOKUP(Table2[[#This Row],[Ticket]],Okey!A:B,2,0),"")</f>
        <v>ok</v>
      </c>
      <c r="I2121" t="s">
        <v>19</v>
      </c>
      <c r="J2121" t="str">
        <f>VLOOKUP(Table2[[#This Row],[Author]],People!A:B,2,0)</f>
        <v>MGF</v>
      </c>
      <c r="M2121" t="s">
        <v>40</v>
      </c>
    </row>
    <row r="2122" spans="1:13" x14ac:dyDescent="0.25">
      <c r="A2122" s="75">
        <f t="shared" si="33"/>
        <v>2121</v>
      </c>
      <c r="B2122" s="13" t="s">
        <v>2330</v>
      </c>
      <c r="C2122" t="s">
        <v>3647</v>
      </c>
      <c r="D2122" t="s">
        <v>259</v>
      </c>
      <c r="E2122" t="s">
        <v>3657</v>
      </c>
      <c r="G2122" t="s">
        <v>63</v>
      </c>
      <c r="H2122" s="75" t="str">
        <f>IFERROR(VLOOKUP(Table2[[#This Row],[Ticket]],Okey!A:B,2,0),"")</f>
        <v>ok</v>
      </c>
      <c r="I2122" t="s">
        <v>19</v>
      </c>
      <c r="J2122" t="str">
        <f>VLOOKUP(Table2[[#This Row],[Author]],People!A:B,2,0)</f>
        <v>MGF</v>
      </c>
      <c r="M2122" t="s">
        <v>40</v>
      </c>
    </row>
    <row r="2123" spans="1:13" x14ac:dyDescent="0.25">
      <c r="A2123" s="75">
        <f t="shared" si="33"/>
        <v>2122</v>
      </c>
      <c r="B2123" s="13" t="s">
        <v>2330</v>
      </c>
      <c r="C2123" t="s">
        <v>3647</v>
      </c>
      <c r="D2123" t="s">
        <v>43</v>
      </c>
      <c r="E2123" t="s">
        <v>3658</v>
      </c>
      <c r="G2123" t="s">
        <v>63</v>
      </c>
      <c r="H2123" s="75" t="str">
        <f>IFERROR(VLOOKUP(Table2[[#This Row],[Ticket]],Okey!A:B,2,0),"")</f>
        <v>ok</v>
      </c>
      <c r="I2123" t="s">
        <v>19</v>
      </c>
      <c r="J2123" t="str">
        <f>VLOOKUP(Table2[[#This Row],[Author]],People!A:B,2,0)</f>
        <v>MGF</v>
      </c>
      <c r="M2123" t="s">
        <v>40</v>
      </c>
    </row>
    <row r="2124" spans="1:13" x14ac:dyDescent="0.25">
      <c r="A2124" s="75">
        <f t="shared" si="33"/>
        <v>2123</v>
      </c>
      <c r="B2124" s="13" t="s">
        <v>2330</v>
      </c>
      <c r="C2124" t="s">
        <v>3647</v>
      </c>
      <c r="D2124" t="s">
        <v>242</v>
      </c>
      <c r="E2124" t="s">
        <v>3659</v>
      </c>
      <c r="G2124" t="s">
        <v>63</v>
      </c>
      <c r="H2124" s="75" t="str">
        <f>IFERROR(VLOOKUP(Table2[[#This Row],[Ticket]],Okey!A:B,2,0),"")</f>
        <v>ok</v>
      </c>
      <c r="I2124" t="s">
        <v>19</v>
      </c>
      <c r="J2124" t="str">
        <f>VLOOKUP(Table2[[#This Row],[Author]],People!A:B,2,0)</f>
        <v>MGF</v>
      </c>
      <c r="M2124" t="s">
        <v>40</v>
      </c>
    </row>
    <row r="2125" spans="1:13" x14ac:dyDescent="0.25">
      <c r="A2125" s="75">
        <f t="shared" si="33"/>
        <v>2124</v>
      </c>
      <c r="B2125" s="13" t="s">
        <v>2330</v>
      </c>
      <c r="C2125" t="s">
        <v>3647</v>
      </c>
      <c r="D2125" t="s">
        <v>272</v>
      </c>
      <c r="E2125" t="s">
        <v>3660</v>
      </c>
      <c r="G2125" t="s">
        <v>63</v>
      </c>
      <c r="H2125" s="75" t="str">
        <f>IFERROR(VLOOKUP(Table2[[#This Row],[Ticket]],Okey!A:B,2,0),"")</f>
        <v>ok</v>
      </c>
      <c r="I2125" t="s">
        <v>19</v>
      </c>
      <c r="J2125" t="str">
        <f>VLOOKUP(Table2[[#This Row],[Author]],People!A:B,2,0)</f>
        <v>MGF</v>
      </c>
      <c r="M2125" t="s">
        <v>40</v>
      </c>
    </row>
    <row r="2126" spans="1:13" x14ac:dyDescent="0.25">
      <c r="A2126" s="75">
        <f t="shared" si="33"/>
        <v>2125</v>
      </c>
      <c r="B2126" s="13" t="s">
        <v>2330</v>
      </c>
      <c r="C2126" t="s">
        <v>3647</v>
      </c>
      <c r="D2126" t="s">
        <v>276</v>
      </c>
      <c r="E2126" t="s">
        <v>3661</v>
      </c>
      <c r="G2126" t="s">
        <v>63</v>
      </c>
      <c r="H2126" s="75" t="str">
        <f>IFERROR(VLOOKUP(Table2[[#This Row],[Ticket]],Okey!A:B,2,0),"")</f>
        <v>ok</v>
      </c>
      <c r="I2126" t="s">
        <v>19</v>
      </c>
      <c r="J2126" t="str">
        <f>VLOOKUP(Table2[[#This Row],[Author]],People!A:B,2,0)</f>
        <v>MGF</v>
      </c>
      <c r="M2126" t="s">
        <v>40</v>
      </c>
    </row>
    <row r="2127" spans="1:13" x14ac:dyDescent="0.25">
      <c r="A2127" s="75">
        <f t="shared" si="33"/>
        <v>2126</v>
      </c>
      <c r="B2127" s="13" t="s">
        <v>2330</v>
      </c>
      <c r="C2127" t="s">
        <v>3647</v>
      </c>
      <c r="D2127" t="s">
        <v>1966</v>
      </c>
      <c r="E2127" t="s">
        <v>1967</v>
      </c>
      <c r="G2127" t="s">
        <v>63</v>
      </c>
      <c r="H2127" s="75" t="str">
        <f>IFERROR(VLOOKUP(Table2[[#This Row],[Ticket]],Okey!A:B,2,0),"")</f>
        <v>ok</v>
      </c>
      <c r="I2127" t="s">
        <v>19</v>
      </c>
      <c r="J2127" t="str">
        <f>VLOOKUP(Table2[[#This Row],[Author]],People!A:B,2,0)</f>
        <v>MGF</v>
      </c>
      <c r="M2127" t="s">
        <v>40</v>
      </c>
    </row>
    <row r="2128" spans="1:13" x14ac:dyDescent="0.25">
      <c r="A2128" s="75">
        <f t="shared" si="33"/>
        <v>2127</v>
      </c>
      <c r="B2128" s="13" t="s">
        <v>2330</v>
      </c>
      <c r="C2128" t="s">
        <v>3647</v>
      </c>
      <c r="D2128" t="s">
        <v>2743</v>
      </c>
      <c r="E2128" t="s">
        <v>3662</v>
      </c>
      <c r="G2128" t="s">
        <v>63</v>
      </c>
      <c r="H2128" s="75" t="str">
        <f>IFERROR(VLOOKUP(Table2[[#This Row],[Ticket]],Okey!A:B,2,0),"")</f>
        <v>ok</v>
      </c>
      <c r="I2128" t="s">
        <v>19</v>
      </c>
      <c r="J2128" t="str">
        <f>VLOOKUP(Table2[[#This Row],[Author]],People!A:B,2,0)</f>
        <v>MGF</v>
      </c>
      <c r="M2128" t="s">
        <v>40</v>
      </c>
    </row>
    <row r="2129" spans="1:13" x14ac:dyDescent="0.25">
      <c r="A2129" s="75">
        <f t="shared" si="33"/>
        <v>2128</v>
      </c>
      <c r="B2129" s="13" t="s">
        <v>2330</v>
      </c>
      <c r="C2129" t="s">
        <v>3647</v>
      </c>
      <c r="D2129" t="s">
        <v>280</v>
      </c>
      <c r="E2129" t="s">
        <v>3663</v>
      </c>
      <c r="G2129" t="s">
        <v>63</v>
      </c>
      <c r="H2129" s="75" t="str">
        <f>IFERROR(VLOOKUP(Table2[[#This Row],[Ticket]],Okey!A:B,2,0),"")</f>
        <v>ok</v>
      </c>
      <c r="I2129" t="s">
        <v>19</v>
      </c>
      <c r="J2129" t="str">
        <f>VLOOKUP(Table2[[#This Row],[Author]],People!A:B,2,0)</f>
        <v>MGF</v>
      </c>
      <c r="M2129" t="s">
        <v>40</v>
      </c>
    </row>
    <row r="2130" spans="1:13" x14ac:dyDescent="0.25">
      <c r="A2130" s="75">
        <f t="shared" si="33"/>
        <v>2129</v>
      </c>
      <c r="B2130" s="13" t="s">
        <v>2330</v>
      </c>
      <c r="C2130" t="s">
        <v>3647</v>
      </c>
      <c r="D2130" t="s">
        <v>281</v>
      </c>
      <c r="E2130" t="s">
        <v>3664</v>
      </c>
      <c r="G2130" t="s">
        <v>63</v>
      </c>
      <c r="H2130" s="75" t="str">
        <f>IFERROR(VLOOKUP(Table2[[#This Row],[Ticket]],Okey!A:B,2,0),"")</f>
        <v>ok</v>
      </c>
      <c r="I2130" t="s">
        <v>19</v>
      </c>
      <c r="J2130" t="str">
        <f>VLOOKUP(Table2[[#This Row],[Author]],People!A:B,2,0)</f>
        <v>MGF</v>
      </c>
      <c r="M2130" t="s">
        <v>40</v>
      </c>
    </row>
    <row r="2131" spans="1:13" x14ac:dyDescent="0.25">
      <c r="A2131" s="75">
        <f t="shared" si="33"/>
        <v>2130</v>
      </c>
      <c r="B2131" s="13" t="s">
        <v>2330</v>
      </c>
      <c r="C2131" t="s">
        <v>3647</v>
      </c>
      <c r="D2131" t="s">
        <v>282</v>
      </c>
      <c r="E2131" t="s">
        <v>3665</v>
      </c>
      <c r="G2131" t="s">
        <v>63</v>
      </c>
      <c r="H2131" s="75" t="str">
        <f>IFERROR(VLOOKUP(Table2[[#This Row],[Ticket]],Okey!A:B,2,0),"")</f>
        <v>ok</v>
      </c>
      <c r="I2131" t="s">
        <v>19</v>
      </c>
      <c r="J2131" t="str">
        <f>VLOOKUP(Table2[[#This Row],[Author]],People!A:B,2,0)</f>
        <v>MGF</v>
      </c>
      <c r="M2131" t="s">
        <v>40</v>
      </c>
    </row>
    <row r="2132" spans="1:13" x14ac:dyDescent="0.25">
      <c r="A2132" s="75">
        <f t="shared" si="33"/>
        <v>2131</v>
      </c>
      <c r="B2132" s="13" t="s">
        <v>2330</v>
      </c>
      <c r="C2132" t="s">
        <v>3647</v>
      </c>
      <c r="D2132" t="s">
        <v>283</v>
      </c>
      <c r="E2132" t="s">
        <v>3666</v>
      </c>
      <c r="G2132" t="s">
        <v>63</v>
      </c>
      <c r="H2132" s="75" t="str">
        <f>IFERROR(VLOOKUP(Table2[[#This Row],[Ticket]],Okey!A:B,2,0),"")</f>
        <v>ok</v>
      </c>
      <c r="I2132" t="s">
        <v>19</v>
      </c>
      <c r="J2132" t="str">
        <f>VLOOKUP(Table2[[#This Row],[Author]],People!A:B,2,0)</f>
        <v>MGF</v>
      </c>
      <c r="M2132" t="s">
        <v>40</v>
      </c>
    </row>
    <row r="2133" spans="1:13" x14ac:dyDescent="0.25">
      <c r="A2133" s="75">
        <f t="shared" si="33"/>
        <v>2132</v>
      </c>
      <c r="B2133" s="13" t="s">
        <v>2330</v>
      </c>
      <c r="C2133" t="s">
        <v>3647</v>
      </c>
      <c r="D2133" t="s">
        <v>285</v>
      </c>
      <c r="E2133" t="s">
        <v>3667</v>
      </c>
      <c r="G2133" t="s">
        <v>63</v>
      </c>
      <c r="H2133" s="75" t="str">
        <f>IFERROR(VLOOKUP(Table2[[#This Row],[Ticket]],Okey!A:B,2,0),"")</f>
        <v>ok</v>
      </c>
      <c r="I2133" t="s">
        <v>19</v>
      </c>
      <c r="J2133" t="str">
        <f>VLOOKUP(Table2[[#This Row],[Author]],People!A:B,2,0)</f>
        <v>MGF</v>
      </c>
      <c r="M2133" t="s">
        <v>40</v>
      </c>
    </row>
    <row r="2134" spans="1:13" x14ac:dyDescent="0.25">
      <c r="A2134" s="75">
        <f t="shared" si="33"/>
        <v>2133</v>
      </c>
      <c r="B2134" s="13" t="s">
        <v>2330</v>
      </c>
      <c r="C2134" t="s">
        <v>3647</v>
      </c>
      <c r="D2134" t="s">
        <v>286</v>
      </c>
      <c r="E2134" t="s">
        <v>3668</v>
      </c>
      <c r="G2134" t="s">
        <v>63</v>
      </c>
      <c r="H2134" s="75" t="str">
        <f>IFERROR(VLOOKUP(Table2[[#This Row],[Ticket]],Okey!A:B,2,0),"")</f>
        <v>ok</v>
      </c>
      <c r="I2134" t="s">
        <v>19</v>
      </c>
      <c r="J2134" t="str">
        <f>VLOOKUP(Table2[[#This Row],[Author]],People!A:B,2,0)</f>
        <v>MGF</v>
      </c>
      <c r="M2134" t="s">
        <v>40</v>
      </c>
    </row>
    <row r="2135" spans="1:13" x14ac:dyDescent="0.25">
      <c r="A2135" s="75">
        <f t="shared" si="33"/>
        <v>2134</v>
      </c>
      <c r="B2135" s="13" t="s">
        <v>2330</v>
      </c>
      <c r="C2135" t="s">
        <v>3647</v>
      </c>
      <c r="D2135" t="s">
        <v>288</v>
      </c>
      <c r="E2135" t="s">
        <v>3669</v>
      </c>
      <c r="G2135" t="s">
        <v>63</v>
      </c>
      <c r="H2135" s="75" t="str">
        <f>IFERROR(VLOOKUP(Table2[[#This Row],[Ticket]],Okey!A:B,2,0),"")</f>
        <v>ok</v>
      </c>
      <c r="I2135" t="s">
        <v>19</v>
      </c>
      <c r="J2135" t="str">
        <f>VLOOKUP(Table2[[#This Row],[Author]],People!A:B,2,0)</f>
        <v>MGF</v>
      </c>
      <c r="M2135" t="s">
        <v>40</v>
      </c>
    </row>
    <row r="2136" spans="1:13" x14ac:dyDescent="0.25">
      <c r="A2136" s="75">
        <f t="shared" si="33"/>
        <v>2135</v>
      </c>
      <c r="B2136" s="13" t="s">
        <v>2330</v>
      </c>
      <c r="C2136" t="s">
        <v>3647</v>
      </c>
      <c r="D2136" t="s">
        <v>50</v>
      </c>
      <c r="E2136" t="s">
        <v>3670</v>
      </c>
      <c r="G2136" t="s">
        <v>63</v>
      </c>
      <c r="H2136" s="75" t="str">
        <f>IFERROR(VLOOKUP(Table2[[#This Row],[Ticket]],Okey!A:B,2,0),"")</f>
        <v>ok</v>
      </c>
      <c r="I2136" t="s">
        <v>19</v>
      </c>
      <c r="J2136" t="str">
        <f>VLOOKUP(Table2[[#This Row],[Author]],People!A:B,2,0)</f>
        <v>MGF</v>
      </c>
      <c r="M2136" t="s">
        <v>40</v>
      </c>
    </row>
    <row r="2137" spans="1:13" x14ac:dyDescent="0.25">
      <c r="A2137" s="75">
        <f t="shared" si="33"/>
        <v>2136</v>
      </c>
      <c r="B2137" s="13" t="s">
        <v>2330</v>
      </c>
      <c r="C2137" t="s">
        <v>3647</v>
      </c>
      <c r="D2137" t="s">
        <v>300</v>
      </c>
      <c r="E2137" t="s">
        <v>3671</v>
      </c>
      <c r="G2137" t="s">
        <v>63</v>
      </c>
      <c r="H2137" s="75" t="str">
        <f>IFERROR(VLOOKUP(Table2[[#This Row],[Ticket]],Okey!A:B,2,0),"")</f>
        <v>ok</v>
      </c>
      <c r="I2137" t="s">
        <v>19</v>
      </c>
      <c r="J2137" t="str">
        <f>VLOOKUP(Table2[[#This Row],[Author]],People!A:B,2,0)</f>
        <v>MGF</v>
      </c>
      <c r="M2137" t="s">
        <v>40</v>
      </c>
    </row>
    <row r="2138" spans="1:13" x14ac:dyDescent="0.25">
      <c r="A2138" s="75">
        <f t="shared" si="33"/>
        <v>2137</v>
      </c>
      <c r="B2138" s="13" t="s">
        <v>2330</v>
      </c>
      <c r="C2138" t="s">
        <v>3647</v>
      </c>
      <c r="D2138" t="s">
        <v>303</v>
      </c>
      <c r="E2138" t="s">
        <v>3672</v>
      </c>
      <c r="G2138" t="s">
        <v>63</v>
      </c>
      <c r="H2138" s="75" t="str">
        <f>IFERROR(VLOOKUP(Table2[[#This Row],[Ticket]],Okey!A:B,2,0),"")</f>
        <v>ok</v>
      </c>
      <c r="I2138" t="s">
        <v>19</v>
      </c>
      <c r="J2138" t="str">
        <f>VLOOKUP(Table2[[#This Row],[Author]],People!A:B,2,0)</f>
        <v>MGF</v>
      </c>
      <c r="M2138" t="s">
        <v>40</v>
      </c>
    </row>
    <row r="2139" spans="1:13" x14ac:dyDescent="0.25">
      <c r="A2139" s="75">
        <f t="shared" si="33"/>
        <v>2138</v>
      </c>
      <c r="B2139" s="13" t="s">
        <v>2330</v>
      </c>
      <c r="C2139" t="s">
        <v>3647</v>
      </c>
      <c r="D2139" t="s">
        <v>61</v>
      </c>
      <c r="E2139" t="s">
        <v>3649</v>
      </c>
      <c r="G2139" t="s">
        <v>63</v>
      </c>
      <c r="H2139" s="75" t="str">
        <f>IFERROR(VLOOKUP(Table2[[#This Row],[Ticket]],Okey!A:B,2,0),"")</f>
        <v>ok</v>
      </c>
      <c r="I2139" t="s">
        <v>19</v>
      </c>
      <c r="J2139" t="str">
        <f>VLOOKUP(Table2[[#This Row],[Author]],People!A:B,2,0)</f>
        <v>MGF</v>
      </c>
      <c r="M2139" t="s">
        <v>40</v>
      </c>
    </row>
    <row r="2140" spans="1:13" x14ac:dyDescent="0.25">
      <c r="A2140" s="75">
        <f t="shared" si="33"/>
        <v>2139</v>
      </c>
      <c r="B2140" s="13" t="s">
        <v>2330</v>
      </c>
      <c r="C2140" t="s">
        <v>3647</v>
      </c>
      <c r="D2140" t="s">
        <v>74</v>
      </c>
      <c r="E2140" t="s">
        <v>3650</v>
      </c>
      <c r="G2140" t="s">
        <v>63</v>
      </c>
      <c r="H2140" s="75" t="str">
        <f>IFERROR(VLOOKUP(Table2[[#This Row],[Ticket]],Okey!A:B,2,0),"")</f>
        <v>ok</v>
      </c>
      <c r="I2140" t="s">
        <v>19</v>
      </c>
      <c r="J2140" t="str">
        <f>VLOOKUP(Table2[[#This Row],[Author]],People!A:B,2,0)</f>
        <v>MGF</v>
      </c>
      <c r="M2140" t="s">
        <v>40</v>
      </c>
    </row>
    <row r="2141" spans="1:13" x14ac:dyDescent="0.25">
      <c r="A2141" s="75">
        <f t="shared" si="33"/>
        <v>2140</v>
      </c>
      <c r="B2141" s="13" t="s">
        <v>2330</v>
      </c>
      <c r="C2141" t="s">
        <v>3647</v>
      </c>
      <c r="D2141" t="s">
        <v>76</v>
      </c>
      <c r="E2141" t="s">
        <v>3651</v>
      </c>
      <c r="G2141" t="s">
        <v>63</v>
      </c>
      <c r="H2141" s="75" t="str">
        <f>IFERROR(VLOOKUP(Table2[[#This Row],[Ticket]],Okey!A:B,2,0),"")</f>
        <v>ok</v>
      </c>
      <c r="I2141" t="s">
        <v>19</v>
      </c>
      <c r="J2141" t="str">
        <f>VLOOKUP(Table2[[#This Row],[Author]],People!A:B,2,0)</f>
        <v>MGF</v>
      </c>
      <c r="M2141" t="s">
        <v>40</v>
      </c>
    </row>
    <row r="2142" spans="1:13" x14ac:dyDescent="0.25">
      <c r="A2142" s="75">
        <f t="shared" si="33"/>
        <v>2141</v>
      </c>
      <c r="B2142" s="13" t="s">
        <v>2330</v>
      </c>
      <c r="C2142" t="s">
        <v>3647</v>
      </c>
      <c r="D2142" t="s">
        <v>84</v>
      </c>
      <c r="E2142" t="s">
        <v>3652</v>
      </c>
      <c r="G2142" t="s">
        <v>63</v>
      </c>
      <c r="H2142" s="75" t="str">
        <f>IFERROR(VLOOKUP(Table2[[#This Row],[Ticket]],Okey!A:B,2,0),"")</f>
        <v>ok</v>
      </c>
      <c r="I2142" t="s">
        <v>19</v>
      </c>
      <c r="J2142" t="str">
        <f>VLOOKUP(Table2[[#This Row],[Author]],People!A:B,2,0)</f>
        <v>MGF</v>
      </c>
      <c r="M2142" t="s">
        <v>40</v>
      </c>
    </row>
    <row r="2143" spans="1:13" x14ac:dyDescent="0.25">
      <c r="A2143" s="75">
        <f t="shared" si="33"/>
        <v>2142</v>
      </c>
      <c r="B2143" s="13" t="s">
        <v>2330</v>
      </c>
      <c r="C2143" t="s">
        <v>3647</v>
      </c>
      <c r="D2143" t="s">
        <v>86</v>
      </c>
      <c r="E2143" t="s">
        <v>3653</v>
      </c>
      <c r="G2143" t="s">
        <v>63</v>
      </c>
      <c r="H2143" s="75" t="str">
        <f>IFERROR(VLOOKUP(Table2[[#This Row],[Ticket]],Okey!A:B,2,0),"")</f>
        <v>ok</v>
      </c>
      <c r="I2143" t="s">
        <v>19</v>
      </c>
      <c r="J2143" t="str">
        <f>VLOOKUP(Table2[[#This Row],[Author]],People!A:B,2,0)</f>
        <v>MGF</v>
      </c>
      <c r="M2143" t="s">
        <v>40</v>
      </c>
    </row>
    <row r="2144" spans="1:13" x14ac:dyDescent="0.25">
      <c r="A2144" s="75">
        <f t="shared" si="33"/>
        <v>2143</v>
      </c>
      <c r="B2144" s="13" t="s">
        <v>2330</v>
      </c>
      <c r="C2144" t="s">
        <v>3647</v>
      </c>
      <c r="D2144" t="s">
        <v>88</v>
      </c>
      <c r="E2144" t="s">
        <v>3654</v>
      </c>
      <c r="G2144" t="s">
        <v>63</v>
      </c>
      <c r="H2144" s="75" t="str">
        <f>IFERROR(VLOOKUP(Table2[[#This Row],[Ticket]],Okey!A:B,2,0),"")</f>
        <v>ok</v>
      </c>
      <c r="I2144" t="s">
        <v>19</v>
      </c>
      <c r="J2144" t="str">
        <f>VLOOKUP(Table2[[#This Row],[Author]],People!A:B,2,0)</f>
        <v>MGF</v>
      </c>
      <c r="M2144" t="s">
        <v>40</v>
      </c>
    </row>
    <row r="2145" spans="1:13" x14ac:dyDescent="0.25">
      <c r="A2145" s="75">
        <f t="shared" si="33"/>
        <v>2144</v>
      </c>
      <c r="B2145" s="13" t="s">
        <v>2330</v>
      </c>
      <c r="C2145" t="s">
        <v>3647</v>
      </c>
      <c r="D2145" t="s">
        <v>92</v>
      </c>
      <c r="E2145" t="s">
        <v>3655</v>
      </c>
      <c r="G2145" t="s">
        <v>63</v>
      </c>
      <c r="H2145" s="75" t="str">
        <f>IFERROR(VLOOKUP(Table2[[#This Row],[Ticket]],Okey!A:B,2,0),"")</f>
        <v>ok</v>
      </c>
      <c r="I2145" t="s">
        <v>19</v>
      </c>
      <c r="J2145" t="str">
        <f>VLOOKUP(Table2[[#This Row],[Author]],People!A:B,2,0)</f>
        <v>MGF</v>
      </c>
      <c r="M2145" t="s">
        <v>40</v>
      </c>
    </row>
    <row r="2146" spans="1:13" x14ac:dyDescent="0.25">
      <c r="A2146" s="75">
        <f t="shared" si="33"/>
        <v>2145</v>
      </c>
      <c r="B2146" s="13" t="s">
        <v>2330</v>
      </c>
      <c r="C2146" t="s">
        <v>3647</v>
      </c>
      <c r="D2146" t="s">
        <v>94</v>
      </c>
      <c r="E2146" t="s">
        <v>3673</v>
      </c>
      <c r="G2146" t="s">
        <v>63</v>
      </c>
      <c r="H2146" s="75" t="str">
        <f>IFERROR(VLOOKUP(Table2[[#This Row],[Ticket]],Okey!A:B,2,0),"")</f>
        <v>ok</v>
      </c>
      <c r="I2146" t="s">
        <v>19</v>
      </c>
      <c r="J2146" t="str">
        <f>VLOOKUP(Table2[[#This Row],[Author]],People!A:B,2,0)</f>
        <v>MGF</v>
      </c>
      <c r="M2146" t="s">
        <v>40</v>
      </c>
    </row>
    <row r="2147" spans="1:13" x14ac:dyDescent="0.25">
      <c r="A2147" s="75">
        <f t="shared" si="33"/>
        <v>2146</v>
      </c>
      <c r="B2147" s="13" t="s">
        <v>2330</v>
      </c>
      <c r="C2147" t="s">
        <v>3647</v>
      </c>
      <c r="D2147" t="s">
        <v>120</v>
      </c>
      <c r="E2147" t="s">
        <v>3658</v>
      </c>
      <c r="G2147" t="s">
        <v>63</v>
      </c>
      <c r="H2147" s="75" t="str">
        <f>IFERROR(VLOOKUP(Table2[[#This Row],[Ticket]],Okey!A:B,2,0),"")</f>
        <v>ok</v>
      </c>
      <c r="I2147" t="s">
        <v>19</v>
      </c>
      <c r="J2147" t="str">
        <f>VLOOKUP(Table2[[#This Row],[Author]],People!A:B,2,0)</f>
        <v>MGF</v>
      </c>
      <c r="M2147" t="s">
        <v>40</v>
      </c>
    </row>
    <row r="2148" spans="1:13" x14ac:dyDescent="0.25">
      <c r="A2148" s="75">
        <f t="shared" si="33"/>
        <v>2147</v>
      </c>
      <c r="B2148" s="13" t="s">
        <v>2330</v>
      </c>
      <c r="C2148" t="s">
        <v>3647</v>
      </c>
      <c r="D2148" t="s">
        <v>122</v>
      </c>
      <c r="E2148" t="s">
        <v>3660</v>
      </c>
      <c r="G2148" t="s">
        <v>63</v>
      </c>
      <c r="H2148" s="75" t="str">
        <f>IFERROR(VLOOKUP(Table2[[#This Row],[Ticket]],Okey!A:B,2,0),"")</f>
        <v>ok</v>
      </c>
      <c r="I2148" t="s">
        <v>19</v>
      </c>
      <c r="J2148" t="str">
        <f>VLOOKUP(Table2[[#This Row],[Author]],People!A:B,2,0)</f>
        <v>MGF</v>
      </c>
      <c r="M2148" t="s">
        <v>40</v>
      </c>
    </row>
    <row r="2149" spans="1:13" x14ac:dyDescent="0.25">
      <c r="A2149" s="75">
        <f t="shared" si="33"/>
        <v>2148</v>
      </c>
      <c r="B2149" s="13" t="s">
        <v>2330</v>
      </c>
      <c r="C2149" t="s">
        <v>3647</v>
      </c>
      <c r="D2149" t="s">
        <v>130</v>
      </c>
      <c r="E2149" t="s">
        <v>3674</v>
      </c>
      <c r="G2149" t="s">
        <v>63</v>
      </c>
      <c r="H2149" s="75" t="str">
        <f>IFERROR(VLOOKUP(Table2[[#This Row],[Ticket]],Okey!A:B,2,0),"")</f>
        <v>ok</v>
      </c>
      <c r="I2149" t="s">
        <v>19</v>
      </c>
      <c r="J2149" t="str">
        <f>VLOOKUP(Table2[[#This Row],[Author]],People!A:B,2,0)</f>
        <v>MGF</v>
      </c>
      <c r="M2149" t="s">
        <v>40</v>
      </c>
    </row>
    <row r="2150" spans="1:13" x14ac:dyDescent="0.25">
      <c r="A2150" s="75">
        <f t="shared" si="33"/>
        <v>2149</v>
      </c>
      <c r="B2150" s="13" t="s">
        <v>2330</v>
      </c>
      <c r="C2150" t="s">
        <v>3647</v>
      </c>
      <c r="D2150" t="s">
        <v>136</v>
      </c>
      <c r="E2150" t="s">
        <v>1967</v>
      </c>
      <c r="G2150" t="s">
        <v>63</v>
      </c>
      <c r="H2150" s="75" t="str">
        <f>IFERROR(VLOOKUP(Table2[[#This Row],[Ticket]],Okey!A:B,2,0),"")</f>
        <v>ok</v>
      </c>
      <c r="I2150" t="s">
        <v>19</v>
      </c>
      <c r="J2150" t="str">
        <f>VLOOKUP(Table2[[#This Row],[Author]],People!A:B,2,0)</f>
        <v>MGF</v>
      </c>
      <c r="M2150" t="s">
        <v>40</v>
      </c>
    </row>
    <row r="2151" spans="1:13" x14ac:dyDescent="0.25">
      <c r="A2151" s="75">
        <f t="shared" si="33"/>
        <v>2150</v>
      </c>
      <c r="B2151" s="13" t="s">
        <v>2330</v>
      </c>
      <c r="C2151" t="s">
        <v>3647</v>
      </c>
      <c r="D2151" t="s">
        <v>138</v>
      </c>
      <c r="E2151" t="s">
        <v>3663</v>
      </c>
      <c r="G2151" t="s">
        <v>63</v>
      </c>
      <c r="H2151" s="75" t="str">
        <f>IFERROR(VLOOKUP(Table2[[#This Row],[Ticket]],Okey!A:B,2,0),"")</f>
        <v>ok</v>
      </c>
      <c r="I2151" t="s">
        <v>19</v>
      </c>
      <c r="J2151" t="str">
        <f>VLOOKUP(Table2[[#This Row],[Author]],People!A:B,2,0)</f>
        <v>MGF</v>
      </c>
      <c r="M2151" t="s">
        <v>40</v>
      </c>
    </row>
    <row r="2152" spans="1:13" x14ac:dyDescent="0.25">
      <c r="A2152" s="75">
        <f t="shared" si="33"/>
        <v>2151</v>
      </c>
      <c r="B2152" s="13" t="s">
        <v>2330</v>
      </c>
      <c r="C2152" t="s">
        <v>3647</v>
      </c>
      <c r="D2152" t="s">
        <v>140</v>
      </c>
      <c r="E2152" t="s">
        <v>3675</v>
      </c>
      <c r="G2152" t="s">
        <v>63</v>
      </c>
      <c r="H2152" s="75" t="str">
        <f>IFERROR(VLOOKUP(Table2[[#This Row],[Ticket]],Okey!A:B,2,0),"")</f>
        <v>ok</v>
      </c>
      <c r="I2152" t="s">
        <v>19</v>
      </c>
      <c r="J2152" t="str">
        <f>VLOOKUP(Table2[[#This Row],[Author]],People!A:B,2,0)</f>
        <v>MGF</v>
      </c>
      <c r="M2152" t="s">
        <v>40</v>
      </c>
    </row>
    <row r="2153" spans="1:13" x14ac:dyDescent="0.25">
      <c r="A2153" s="75">
        <f t="shared" si="33"/>
        <v>2152</v>
      </c>
      <c r="B2153" s="13" t="s">
        <v>2330</v>
      </c>
      <c r="C2153" t="s">
        <v>3647</v>
      </c>
      <c r="D2153" t="s">
        <v>142</v>
      </c>
      <c r="E2153" t="s">
        <v>3676</v>
      </c>
      <c r="G2153" t="s">
        <v>63</v>
      </c>
      <c r="H2153" s="75" t="str">
        <f>IFERROR(VLOOKUP(Table2[[#This Row],[Ticket]],Okey!A:B,2,0),"")</f>
        <v>ok</v>
      </c>
      <c r="I2153" t="s">
        <v>19</v>
      </c>
      <c r="J2153" t="str">
        <f>VLOOKUP(Table2[[#This Row],[Author]],People!A:B,2,0)</f>
        <v>MGF</v>
      </c>
      <c r="M2153" t="s">
        <v>40</v>
      </c>
    </row>
    <row r="2154" spans="1:13" x14ac:dyDescent="0.25">
      <c r="A2154" s="75">
        <f t="shared" si="33"/>
        <v>2153</v>
      </c>
      <c r="B2154" s="13" t="s">
        <v>2330</v>
      </c>
      <c r="C2154" t="s">
        <v>3647</v>
      </c>
      <c r="D2154" t="s">
        <v>144</v>
      </c>
      <c r="E2154" t="s">
        <v>3666</v>
      </c>
      <c r="G2154" t="s">
        <v>63</v>
      </c>
      <c r="H2154" s="75" t="str">
        <f>IFERROR(VLOOKUP(Table2[[#This Row],[Ticket]],Okey!A:B,2,0),"")</f>
        <v>ok</v>
      </c>
      <c r="I2154" t="s">
        <v>19</v>
      </c>
      <c r="J2154" t="str">
        <f>VLOOKUP(Table2[[#This Row],[Author]],People!A:B,2,0)</f>
        <v>MGF</v>
      </c>
      <c r="M2154" t="s">
        <v>40</v>
      </c>
    </row>
    <row r="2155" spans="1:13" x14ac:dyDescent="0.25">
      <c r="A2155" s="75">
        <f t="shared" si="33"/>
        <v>2154</v>
      </c>
      <c r="B2155" s="13" t="s">
        <v>2330</v>
      </c>
      <c r="C2155" t="s">
        <v>3647</v>
      </c>
      <c r="D2155" t="s">
        <v>148</v>
      </c>
      <c r="E2155" t="s">
        <v>3667</v>
      </c>
      <c r="G2155" t="s">
        <v>63</v>
      </c>
      <c r="H2155" s="75" t="str">
        <f>IFERROR(VLOOKUP(Table2[[#This Row],[Ticket]],Okey!A:B,2,0),"")</f>
        <v>ok</v>
      </c>
      <c r="I2155" t="s">
        <v>19</v>
      </c>
      <c r="J2155" t="str">
        <f>VLOOKUP(Table2[[#This Row],[Author]],People!A:B,2,0)</f>
        <v>MGF</v>
      </c>
      <c r="M2155" t="s">
        <v>40</v>
      </c>
    </row>
    <row r="2156" spans="1:13" x14ac:dyDescent="0.25">
      <c r="A2156" s="75">
        <f t="shared" si="33"/>
        <v>2155</v>
      </c>
      <c r="B2156" s="13" t="s">
        <v>2330</v>
      </c>
      <c r="C2156" t="s">
        <v>3647</v>
      </c>
      <c r="D2156" t="s">
        <v>150</v>
      </c>
      <c r="E2156" t="s">
        <v>3668</v>
      </c>
      <c r="G2156" t="s">
        <v>63</v>
      </c>
      <c r="H2156" s="75" t="str">
        <f>IFERROR(VLOOKUP(Table2[[#This Row],[Ticket]],Okey!A:B,2,0),"")</f>
        <v>ok</v>
      </c>
      <c r="I2156" t="s">
        <v>19</v>
      </c>
      <c r="J2156" t="str">
        <f>VLOOKUP(Table2[[#This Row],[Author]],People!A:B,2,0)</f>
        <v>MGF</v>
      </c>
      <c r="M2156" t="s">
        <v>40</v>
      </c>
    </row>
    <row r="2157" spans="1:13" x14ac:dyDescent="0.25">
      <c r="A2157" s="75">
        <f t="shared" si="33"/>
        <v>2156</v>
      </c>
      <c r="B2157" s="13" t="s">
        <v>2330</v>
      </c>
      <c r="C2157" t="s">
        <v>3647</v>
      </c>
      <c r="D2157" t="s">
        <v>154</v>
      </c>
      <c r="E2157" t="s">
        <v>3669</v>
      </c>
      <c r="G2157" t="s">
        <v>63</v>
      </c>
      <c r="H2157" s="75" t="str">
        <f>IFERROR(VLOOKUP(Table2[[#This Row],[Ticket]],Okey!A:B,2,0),"")</f>
        <v>ok</v>
      </c>
      <c r="I2157" t="s">
        <v>19</v>
      </c>
      <c r="J2157" t="str">
        <f>VLOOKUP(Table2[[#This Row],[Author]],People!A:B,2,0)</f>
        <v>MGF</v>
      </c>
      <c r="M2157" t="s">
        <v>40</v>
      </c>
    </row>
    <row r="2158" spans="1:13" x14ac:dyDescent="0.25">
      <c r="A2158" s="75">
        <f t="shared" si="33"/>
        <v>2157</v>
      </c>
      <c r="B2158" s="13" t="s">
        <v>2330</v>
      </c>
      <c r="C2158" t="s">
        <v>3647</v>
      </c>
      <c r="D2158" t="s">
        <v>58</v>
      </c>
      <c r="E2158" t="s">
        <v>3670</v>
      </c>
      <c r="G2158" t="s">
        <v>63</v>
      </c>
      <c r="H2158" s="75" t="str">
        <f>IFERROR(VLOOKUP(Table2[[#This Row],[Ticket]],Okey!A:B,2,0),"")</f>
        <v>ok</v>
      </c>
      <c r="I2158" t="s">
        <v>19</v>
      </c>
      <c r="J2158" t="str">
        <f>VLOOKUP(Table2[[#This Row],[Author]],People!A:B,2,0)</f>
        <v>MGF</v>
      </c>
      <c r="M2158" t="s">
        <v>40</v>
      </c>
    </row>
    <row r="2159" spans="1:13" x14ac:dyDescent="0.25">
      <c r="A2159" s="75">
        <f t="shared" si="33"/>
        <v>2158</v>
      </c>
      <c r="B2159" s="13" t="s">
        <v>2330</v>
      </c>
      <c r="C2159" t="s">
        <v>3647</v>
      </c>
      <c r="D2159" t="s">
        <v>180</v>
      </c>
      <c r="E2159" t="s">
        <v>3671</v>
      </c>
      <c r="G2159" t="s">
        <v>63</v>
      </c>
      <c r="H2159" s="75" t="str">
        <f>IFERROR(VLOOKUP(Table2[[#This Row],[Ticket]],Okey!A:B,2,0),"")</f>
        <v>ok</v>
      </c>
      <c r="I2159" t="s">
        <v>19</v>
      </c>
      <c r="J2159" t="str">
        <f>VLOOKUP(Table2[[#This Row],[Author]],People!A:B,2,0)</f>
        <v>MGF</v>
      </c>
      <c r="M2159" t="s">
        <v>40</v>
      </c>
    </row>
    <row r="2160" spans="1:13" x14ac:dyDescent="0.25">
      <c r="A2160" s="75">
        <f t="shared" si="33"/>
        <v>2159</v>
      </c>
      <c r="B2160" s="13" t="s">
        <v>2330</v>
      </c>
      <c r="C2160" t="s">
        <v>3647</v>
      </c>
      <c r="D2160" t="s">
        <v>186</v>
      </c>
      <c r="E2160" t="s">
        <v>3672</v>
      </c>
      <c r="G2160" t="s">
        <v>63</v>
      </c>
      <c r="H2160" s="75" t="str">
        <f>IFERROR(VLOOKUP(Table2[[#This Row],[Ticket]],Okey!A:B,2,0),"")</f>
        <v>ok</v>
      </c>
      <c r="I2160" t="s">
        <v>19</v>
      </c>
      <c r="J2160" t="str">
        <f>VLOOKUP(Table2[[#This Row],[Author]],People!A:B,2,0)</f>
        <v>MGF</v>
      </c>
      <c r="M2160" t="s">
        <v>40</v>
      </c>
    </row>
    <row r="2161" spans="1:13" x14ac:dyDescent="0.25">
      <c r="A2161" s="75">
        <f t="shared" si="33"/>
        <v>2160</v>
      </c>
      <c r="B2161" t="s">
        <v>4851</v>
      </c>
      <c r="C2161" t="s">
        <v>7191</v>
      </c>
      <c r="D2161" t="s">
        <v>7192</v>
      </c>
      <c r="F2161" t="s">
        <v>7193</v>
      </c>
      <c r="G2161" t="s">
        <v>24</v>
      </c>
      <c r="H2161" s="75" t="str">
        <f>IFERROR(VLOOKUP(Table2[[#This Row],[Ticket]],Okey!A:B,2,0),"")</f>
        <v>ok</v>
      </c>
      <c r="I2161" t="s">
        <v>19</v>
      </c>
      <c r="J2161" t="str">
        <f>VLOOKUP(Table2[[#This Row],[Author]],People!A:B,2,0)</f>
        <v>MGF</v>
      </c>
      <c r="L2161" s="40"/>
      <c r="M2161" s="40" t="s">
        <v>2355</v>
      </c>
    </row>
    <row r="2162" spans="1:13" x14ac:dyDescent="0.25">
      <c r="A2162" s="75">
        <f t="shared" si="33"/>
        <v>2161</v>
      </c>
      <c r="B2162" t="s">
        <v>4851</v>
      </c>
      <c r="C2162" t="s">
        <v>7194</v>
      </c>
      <c r="D2162" t="s">
        <v>4330</v>
      </c>
      <c r="E2162" s="41"/>
      <c r="F2162" s="41" t="s">
        <v>4271</v>
      </c>
      <c r="G2162" t="s">
        <v>24</v>
      </c>
      <c r="H2162" s="75" t="str">
        <f>IFERROR(VLOOKUP(Table2[[#This Row],[Ticket]],Okey!A:B,2,0),"")</f>
        <v>ok</v>
      </c>
      <c r="I2162" t="s">
        <v>19</v>
      </c>
      <c r="J2162" t="str">
        <f>VLOOKUP(Table2[[#This Row],[Author]],People!A:B,2,0)</f>
        <v>HC</v>
      </c>
      <c r="L2162" s="40"/>
      <c r="M2162" s="40" t="s">
        <v>7195</v>
      </c>
    </row>
    <row r="2163" spans="1:13" x14ac:dyDescent="0.25">
      <c r="A2163" s="75">
        <f t="shared" si="33"/>
        <v>2162</v>
      </c>
      <c r="B2163" t="s">
        <v>4851</v>
      </c>
      <c r="C2163" t="s">
        <v>7209</v>
      </c>
      <c r="D2163" t="s">
        <v>460</v>
      </c>
      <c r="E2163" t="s">
        <v>7201</v>
      </c>
      <c r="G2163" t="s">
        <v>63</v>
      </c>
      <c r="H2163" s="75" t="str">
        <f>IFERROR(VLOOKUP(Table2[[#This Row],[Ticket]],Okey!A:B,2,0),"")</f>
        <v>ok</v>
      </c>
      <c r="I2163" t="s">
        <v>19</v>
      </c>
      <c r="J2163" t="str">
        <f>VLOOKUP(Table2[[#This Row],[Author]],People!A:B,2,0)</f>
        <v>MGF</v>
      </c>
      <c r="L2163" s="40"/>
      <c r="M2163" s="40" t="s">
        <v>7208</v>
      </c>
    </row>
    <row r="2164" spans="1:13" x14ac:dyDescent="0.25">
      <c r="A2164" s="75">
        <f t="shared" si="33"/>
        <v>2163</v>
      </c>
      <c r="B2164" t="s">
        <v>4851</v>
      </c>
      <c r="C2164" t="s">
        <v>7209</v>
      </c>
      <c r="D2164" t="s">
        <v>432</v>
      </c>
      <c r="E2164" t="s">
        <v>7202</v>
      </c>
      <c r="G2164" t="s">
        <v>63</v>
      </c>
      <c r="H2164" s="75" t="str">
        <f>IFERROR(VLOOKUP(Table2[[#This Row],[Ticket]],Okey!A:B,2,0),"")</f>
        <v>ok</v>
      </c>
      <c r="I2164" t="s">
        <v>19</v>
      </c>
      <c r="J2164" t="str">
        <f>VLOOKUP(Table2[[#This Row],[Author]],People!A:B,2,0)</f>
        <v>MGF</v>
      </c>
      <c r="L2164" s="40"/>
      <c r="M2164" s="40" t="s">
        <v>7208</v>
      </c>
    </row>
    <row r="2165" spans="1:13" x14ac:dyDescent="0.25">
      <c r="A2165" s="75">
        <f t="shared" si="33"/>
        <v>2164</v>
      </c>
      <c r="B2165" t="s">
        <v>4851</v>
      </c>
      <c r="C2165" t="s">
        <v>7209</v>
      </c>
      <c r="D2165" t="s">
        <v>7196</v>
      </c>
      <c r="E2165" t="s">
        <v>7203</v>
      </c>
      <c r="G2165" t="s">
        <v>63</v>
      </c>
      <c r="H2165" s="75" t="str">
        <f>IFERROR(VLOOKUP(Table2[[#This Row],[Ticket]],Okey!A:B,2,0),"")</f>
        <v>ok</v>
      </c>
      <c r="I2165" t="s">
        <v>19</v>
      </c>
      <c r="J2165" t="str">
        <f>VLOOKUP(Table2[[#This Row],[Author]],People!A:B,2,0)</f>
        <v>MGF</v>
      </c>
      <c r="L2165" s="40"/>
      <c r="M2165" s="40" t="s">
        <v>7208</v>
      </c>
    </row>
    <row r="2166" spans="1:13" x14ac:dyDescent="0.25">
      <c r="A2166" s="75">
        <f t="shared" si="33"/>
        <v>2165</v>
      </c>
      <c r="B2166" t="s">
        <v>4851</v>
      </c>
      <c r="C2166" t="s">
        <v>7209</v>
      </c>
      <c r="D2166" t="s">
        <v>436</v>
      </c>
      <c r="E2166" t="s">
        <v>7204</v>
      </c>
      <c r="G2166" t="s">
        <v>63</v>
      </c>
      <c r="H2166" s="75" t="str">
        <f>IFERROR(VLOOKUP(Table2[[#This Row],[Ticket]],Okey!A:B,2,0),"")</f>
        <v>ok</v>
      </c>
      <c r="I2166" t="s">
        <v>19</v>
      </c>
      <c r="J2166" t="str">
        <f>VLOOKUP(Table2[[#This Row],[Author]],People!A:B,2,0)</f>
        <v>MGF</v>
      </c>
      <c r="L2166" s="40"/>
      <c r="M2166" s="40" t="s">
        <v>7208</v>
      </c>
    </row>
    <row r="2167" spans="1:13" x14ac:dyDescent="0.25">
      <c r="A2167" s="75">
        <f t="shared" si="33"/>
        <v>2166</v>
      </c>
      <c r="B2167" t="s">
        <v>4851</v>
      </c>
      <c r="C2167" t="s">
        <v>7209</v>
      </c>
      <c r="D2167" t="s">
        <v>7197</v>
      </c>
      <c r="E2167" t="s">
        <v>7205</v>
      </c>
      <c r="G2167" t="s">
        <v>63</v>
      </c>
      <c r="H2167" s="75" t="str">
        <f>IFERROR(VLOOKUP(Table2[[#This Row],[Ticket]],Okey!A:B,2,0),"")</f>
        <v>ok</v>
      </c>
      <c r="I2167" t="s">
        <v>19</v>
      </c>
      <c r="J2167" t="str">
        <f>VLOOKUP(Table2[[#This Row],[Author]],People!A:B,2,0)</f>
        <v>MGF</v>
      </c>
      <c r="L2167" s="40"/>
      <c r="M2167" s="40" t="s">
        <v>7208</v>
      </c>
    </row>
    <row r="2168" spans="1:13" x14ac:dyDescent="0.25">
      <c r="A2168" s="75">
        <f t="shared" si="33"/>
        <v>2167</v>
      </c>
      <c r="B2168" t="s">
        <v>4851</v>
      </c>
      <c r="C2168" t="s">
        <v>7209</v>
      </c>
      <c r="D2168" t="s">
        <v>2334</v>
      </c>
      <c r="E2168" t="s">
        <v>7206</v>
      </c>
      <c r="G2168" t="s">
        <v>63</v>
      </c>
      <c r="H2168" s="75" t="str">
        <f>IFERROR(VLOOKUP(Table2[[#This Row],[Ticket]],Okey!A:B,2,0),"")</f>
        <v>ok</v>
      </c>
      <c r="I2168" t="s">
        <v>19</v>
      </c>
      <c r="J2168" t="str">
        <f>VLOOKUP(Table2[[#This Row],[Author]],People!A:B,2,0)</f>
        <v>MGF</v>
      </c>
      <c r="L2168" s="40"/>
      <c r="M2168" s="40" t="s">
        <v>7208</v>
      </c>
    </row>
    <row r="2169" spans="1:13" x14ac:dyDescent="0.25">
      <c r="A2169" s="75">
        <f t="shared" si="33"/>
        <v>2168</v>
      </c>
      <c r="B2169" t="s">
        <v>4851</v>
      </c>
      <c r="C2169" t="s">
        <v>7209</v>
      </c>
      <c r="D2169" t="s">
        <v>418</v>
      </c>
      <c r="E2169" t="s">
        <v>7207</v>
      </c>
      <c r="G2169" t="s">
        <v>63</v>
      </c>
      <c r="H2169" s="75" t="str">
        <f>IFERROR(VLOOKUP(Table2[[#This Row],[Ticket]],Okey!A:B,2,0),"")</f>
        <v>ok</v>
      </c>
      <c r="I2169" t="s">
        <v>19</v>
      </c>
      <c r="J2169" t="str">
        <f>VLOOKUP(Table2[[#This Row],[Author]],People!A:B,2,0)</f>
        <v>MGF</v>
      </c>
      <c r="L2169" s="40"/>
      <c r="M2169" s="40" t="s">
        <v>7208</v>
      </c>
    </row>
    <row r="2170" spans="1:13" x14ac:dyDescent="0.25">
      <c r="A2170" s="75">
        <f t="shared" si="33"/>
        <v>2169</v>
      </c>
      <c r="B2170" t="s">
        <v>4851</v>
      </c>
      <c r="C2170" t="s">
        <v>7209</v>
      </c>
      <c r="D2170" t="s">
        <v>7198</v>
      </c>
      <c r="F2170" t="s">
        <v>454</v>
      </c>
      <c r="G2170" t="s">
        <v>24</v>
      </c>
      <c r="H2170" s="75" t="str">
        <f>IFERROR(VLOOKUP(Table2[[#This Row],[Ticket]],Okey!A:B,2,0),"")</f>
        <v>ok</v>
      </c>
      <c r="I2170" t="s">
        <v>19</v>
      </c>
      <c r="J2170" t="str">
        <f>VLOOKUP(Table2[[#This Row],[Author]],People!A:B,2,0)</f>
        <v>MGF</v>
      </c>
      <c r="L2170" s="40"/>
      <c r="M2170" s="40" t="s">
        <v>7208</v>
      </c>
    </row>
    <row r="2171" spans="1:13" x14ac:dyDescent="0.25">
      <c r="A2171" s="75">
        <f t="shared" si="33"/>
        <v>2170</v>
      </c>
      <c r="B2171" t="s">
        <v>4851</v>
      </c>
      <c r="C2171" t="s">
        <v>7209</v>
      </c>
      <c r="D2171" t="s">
        <v>7199</v>
      </c>
      <c r="F2171" t="s">
        <v>454</v>
      </c>
      <c r="G2171" t="s">
        <v>24</v>
      </c>
      <c r="H2171" s="75" t="str">
        <f>IFERROR(VLOOKUP(Table2[[#This Row],[Ticket]],Okey!A:B,2,0),"")</f>
        <v>ok</v>
      </c>
      <c r="I2171" t="s">
        <v>19</v>
      </c>
      <c r="J2171" t="str">
        <f>VLOOKUP(Table2[[#This Row],[Author]],People!A:B,2,0)</f>
        <v>MGF</v>
      </c>
      <c r="L2171" s="40"/>
      <c r="M2171" s="40" t="s">
        <v>7208</v>
      </c>
    </row>
    <row r="2172" spans="1:13" x14ac:dyDescent="0.25">
      <c r="A2172" s="75">
        <f t="shared" si="33"/>
        <v>2171</v>
      </c>
      <c r="B2172" t="s">
        <v>4851</v>
      </c>
      <c r="C2172" t="s">
        <v>7209</v>
      </c>
      <c r="D2172" t="s">
        <v>7200</v>
      </c>
      <c r="F2172" t="s">
        <v>454</v>
      </c>
      <c r="G2172" t="s">
        <v>24</v>
      </c>
      <c r="H2172" s="75" t="str">
        <f>IFERROR(VLOOKUP(Table2[[#This Row],[Ticket]],Okey!A:B,2,0),"")</f>
        <v>ok</v>
      </c>
      <c r="I2172" t="s">
        <v>19</v>
      </c>
      <c r="J2172" t="str">
        <f>VLOOKUP(Table2[[#This Row],[Author]],People!A:B,2,0)</f>
        <v>MGF</v>
      </c>
      <c r="L2172" s="40"/>
      <c r="M2172" s="40" t="s">
        <v>7208</v>
      </c>
    </row>
    <row r="2173" spans="1:13" x14ac:dyDescent="0.25">
      <c r="A2173" s="75">
        <f t="shared" si="33"/>
        <v>2172</v>
      </c>
      <c r="B2173" t="s">
        <v>4851</v>
      </c>
      <c r="C2173" t="s">
        <v>7209</v>
      </c>
      <c r="D2173" t="s">
        <v>522</v>
      </c>
      <c r="F2173" t="s">
        <v>454</v>
      </c>
      <c r="G2173" t="s">
        <v>24</v>
      </c>
      <c r="H2173" s="75" t="str">
        <f>IFERROR(VLOOKUP(Table2[[#This Row],[Ticket]],Okey!A:B,2,0),"")</f>
        <v>ok</v>
      </c>
      <c r="I2173" t="s">
        <v>19</v>
      </c>
      <c r="J2173" t="str">
        <f>VLOOKUP(Table2[[#This Row],[Author]],People!A:B,2,0)</f>
        <v>MGF</v>
      </c>
      <c r="L2173" s="40"/>
      <c r="M2173" s="40" t="s">
        <v>7208</v>
      </c>
    </row>
    <row r="2174" spans="1:13" x14ac:dyDescent="0.25">
      <c r="A2174" s="75">
        <f t="shared" si="33"/>
        <v>2173</v>
      </c>
      <c r="B2174" t="s">
        <v>4851</v>
      </c>
      <c r="C2174" t="s">
        <v>7209</v>
      </c>
      <c r="D2174" t="s">
        <v>2333</v>
      </c>
      <c r="F2174" t="s">
        <v>454</v>
      </c>
      <c r="G2174" t="s">
        <v>24</v>
      </c>
      <c r="H2174" s="75" t="str">
        <f>IFERROR(VLOOKUP(Table2[[#This Row],[Ticket]],Okey!A:B,2,0),"")</f>
        <v>ok</v>
      </c>
      <c r="I2174" t="s">
        <v>19</v>
      </c>
      <c r="J2174" t="str">
        <f>VLOOKUP(Table2[[#This Row],[Author]],People!A:B,2,0)</f>
        <v>MGF</v>
      </c>
      <c r="L2174" s="40"/>
      <c r="M2174" s="40" t="s">
        <v>7208</v>
      </c>
    </row>
    <row r="2175" spans="1:13" x14ac:dyDescent="0.25">
      <c r="A2175" s="75">
        <f t="shared" si="33"/>
        <v>2174</v>
      </c>
      <c r="B2175" t="s">
        <v>4851</v>
      </c>
      <c r="C2175" t="s">
        <v>7209</v>
      </c>
      <c r="D2175" t="s">
        <v>2342</v>
      </c>
      <c r="F2175" t="s">
        <v>454</v>
      </c>
      <c r="G2175" t="s">
        <v>24</v>
      </c>
      <c r="H2175" s="75" t="str">
        <f>IFERROR(VLOOKUP(Table2[[#This Row],[Ticket]],Okey!A:B,2,0),"")</f>
        <v>ok</v>
      </c>
      <c r="I2175" t="s">
        <v>19</v>
      </c>
      <c r="J2175" t="str">
        <f>VLOOKUP(Table2[[#This Row],[Author]],People!A:B,2,0)</f>
        <v>MGF</v>
      </c>
      <c r="L2175" s="40"/>
      <c r="M2175" s="40" t="s">
        <v>7208</v>
      </c>
    </row>
    <row r="2176" spans="1:13" x14ac:dyDescent="0.25">
      <c r="A2176" s="75">
        <f t="shared" si="33"/>
        <v>2175</v>
      </c>
      <c r="B2176" s="44" t="s">
        <v>4851</v>
      </c>
      <c r="C2176" t="s">
        <v>7212</v>
      </c>
      <c r="D2176" t="s">
        <v>7215</v>
      </c>
      <c r="E2176" t="s">
        <v>4280</v>
      </c>
      <c r="F2176" t="s">
        <v>4275</v>
      </c>
      <c r="G2176" t="s">
        <v>18</v>
      </c>
      <c r="H2176" s="75" t="str">
        <f>IFERROR(VLOOKUP(Table2[[#This Row],[Ticket]],Okey!A:B,2,0),"")</f>
        <v>ok</v>
      </c>
      <c r="I2176" t="s">
        <v>19</v>
      </c>
      <c r="J2176" t="str">
        <f>VLOOKUP(Table2[[#This Row],[Author]],People!A:B,2,0)</f>
        <v>HC</v>
      </c>
      <c r="L2176" s="40"/>
      <c r="M2176" s="40" t="s">
        <v>7195</v>
      </c>
    </row>
    <row r="2177" spans="1:13" x14ac:dyDescent="0.25">
      <c r="A2177" s="75">
        <f t="shared" si="33"/>
        <v>2176</v>
      </c>
      <c r="B2177" t="s">
        <v>4851</v>
      </c>
      <c r="C2177" t="s">
        <v>7212</v>
      </c>
      <c r="D2177" t="s">
        <v>7216</v>
      </c>
      <c r="E2177" t="s">
        <v>7210</v>
      </c>
      <c r="F2177" t="s">
        <v>4283</v>
      </c>
      <c r="G2177" t="s">
        <v>18</v>
      </c>
      <c r="H2177" s="75" t="str">
        <f>IFERROR(VLOOKUP(Table2[[#This Row],[Ticket]],Okey!A:B,2,0),"")</f>
        <v>ok</v>
      </c>
      <c r="I2177" t="s">
        <v>19</v>
      </c>
      <c r="J2177" t="str">
        <f>VLOOKUP(Table2[[#This Row],[Author]],People!A:B,2,0)</f>
        <v>HC</v>
      </c>
      <c r="L2177" s="40"/>
      <c r="M2177" s="40" t="s">
        <v>7195</v>
      </c>
    </row>
    <row r="2178" spans="1:13" x14ac:dyDescent="0.25">
      <c r="A2178" s="75">
        <f t="shared" si="33"/>
        <v>2177</v>
      </c>
      <c r="B2178" t="s">
        <v>4851</v>
      </c>
      <c r="C2178" t="s">
        <v>7212</v>
      </c>
      <c r="D2178" t="s">
        <v>4279</v>
      </c>
      <c r="E2178" t="s">
        <v>7211</v>
      </c>
      <c r="G2178" t="s">
        <v>63</v>
      </c>
      <c r="H2178" s="75" t="str">
        <f>IFERROR(VLOOKUP(Table2[[#This Row],[Ticket]],Okey!A:B,2,0),"")</f>
        <v>ok</v>
      </c>
      <c r="I2178" t="s">
        <v>19</v>
      </c>
      <c r="J2178" t="str">
        <f>VLOOKUP(Table2[[#This Row],[Author]],People!A:B,2,0)</f>
        <v>HC</v>
      </c>
      <c r="L2178" s="40"/>
      <c r="M2178" s="40" t="s">
        <v>7195</v>
      </c>
    </row>
    <row r="2179" spans="1:13" x14ac:dyDescent="0.25">
      <c r="A2179" s="75">
        <f t="shared" si="33"/>
        <v>2178</v>
      </c>
      <c r="B2179" t="s">
        <v>4851</v>
      </c>
      <c r="C2179" t="s">
        <v>7214</v>
      </c>
      <c r="D2179" t="s">
        <v>7217</v>
      </c>
      <c r="E2179" t="s">
        <v>7213</v>
      </c>
      <c r="F2179" t="s">
        <v>2354</v>
      </c>
      <c r="G2179" t="s">
        <v>18</v>
      </c>
      <c r="H2179" s="75" t="str">
        <f>IFERROR(VLOOKUP(Table2[[#This Row],[Ticket]],Okey!A:B,2,0),"")</f>
        <v>ok</v>
      </c>
      <c r="I2179" t="s">
        <v>19</v>
      </c>
      <c r="J2179" t="str">
        <f>VLOOKUP(Table2[[#This Row],[Author]],People!A:B,2,0)</f>
        <v>MGF</v>
      </c>
      <c r="L2179" s="40"/>
      <c r="M2179" s="40" t="s">
        <v>2355</v>
      </c>
    </row>
    <row r="2180" spans="1:13" x14ac:dyDescent="0.25">
      <c r="A2180" s="75">
        <f t="shared" si="33"/>
        <v>2179</v>
      </c>
      <c r="B2180" t="s">
        <v>4851</v>
      </c>
      <c r="C2180" t="s">
        <v>7218</v>
      </c>
      <c r="D2180" t="s">
        <v>3807</v>
      </c>
      <c r="E2180" t="s">
        <v>7219</v>
      </c>
      <c r="G2180" t="s">
        <v>63</v>
      </c>
      <c r="H2180" s="75" t="str">
        <f>IFERROR(VLOOKUP(Table2[[#This Row],[Ticket]],Okey!A:B,2,0),"")</f>
        <v>ok</v>
      </c>
      <c r="I2180" t="s">
        <v>19</v>
      </c>
      <c r="J2180" t="str">
        <f>VLOOKUP(Table2[[#This Row],[Author]],People!A:B,2,0)</f>
        <v>MGF</v>
      </c>
      <c r="L2180" s="40"/>
      <c r="M2180" s="40" t="s">
        <v>329</v>
      </c>
    </row>
    <row r="2181" spans="1:13" x14ac:dyDescent="0.25">
      <c r="A2181" s="75">
        <f t="shared" si="33"/>
        <v>2180</v>
      </c>
      <c r="B2181" t="s">
        <v>4851</v>
      </c>
      <c r="C2181" t="s">
        <v>7218</v>
      </c>
      <c r="D2181" t="s">
        <v>709</v>
      </c>
      <c r="E2181" t="s">
        <v>7220</v>
      </c>
      <c r="G2181" t="s">
        <v>63</v>
      </c>
      <c r="H2181" s="75" t="str">
        <f>IFERROR(VLOOKUP(Table2[[#This Row],[Ticket]],Okey!A:B,2,0),"")</f>
        <v>ok</v>
      </c>
      <c r="I2181" t="s">
        <v>19</v>
      </c>
      <c r="J2181" t="str">
        <f>VLOOKUP(Table2[[#This Row],[Author]],People!A:B,2,0)</f>
        <v>MGF</v>
      </c>
      <c r="L2181" s="40"/>
      <c r="M2181" s="40" t="s">
        <v>329</v>
      </c>
    </row>
    <row r="2182" spans="1:13" x14ac:dyDescent="0.25">
      <c r="A2182" s="75">
        <f t="shared" si="33"/>
        <v>2181</v>
      </c>
      <c r="B2182" t="s">
        <v>4851</v>
      </c>
      <c r="C2182" t="s">
        <v>7218</v>
      </c>
      <c r="D2182" t="s">
        <v>705</v>
      </c>
      <c r="E2182" t="s">
        <v>7221</v>
      </c>
      <c r="G2182" t="s">
        <v>63</v>
      </c>
      <c r="H2182" s="75" t="str">
        <f>IFERROR(VLOOKUP(Table2[[#This Row],[Ticket]],Okey!A:B,2,0),"")</f>
        <v>ok</v>
      </c>
      <c r="I2182" t="s">
        <v>19</v>
      </c>
      <c r="J2182" t="str">
        <f>VLOOKUP(Table2[[#This Row],[Author]],People!A:B,2,0)</f>
        <v>MGF</v>
      </c>
      <c r="L2182" s="40"/>
      <c r="M2182" s="40" t="s">
        <v>329</v>
      </c>
    </row>
    <row r="2183" spans="1:13" x14ac:dyDescent="0.25">
      <c r="A2183" s="75">
        <f t="shared" si="33"/>
        <v>2182</v>
      </c>
      <c r="B2183" t="s">
        <v>4851</v>
      </c>
      <c r="C2183" t="s">
        <v>7218</v>
      </c>
      <c r="D2183" t="s">
        <v>707</v>
      </c>
      <c r="E2183" t="s">
        <v>7222</v>
      </c>
      <c r="G2183" t="s">
        <v>63</v>
      </c>
      <c r="H2183" s="75" t="str">
        <f>IFERROR(VLOOKUP(Table2[[#This Row],[Ticket]],Okey!A:B,2,0),"")</f>
        <v>ok</v>
      </c>
      <c r="I2183" t="s">
        <v>19</v>
      </c>
      <c r="J2183" t="str">
        <f>VLOOKUP(Table2[[#This Row],[Author]],People!A:B,2,0)</f>
        <v>MGF</v>
      </c>
      <c r="L2183" s="40"/>
      <c r="M2183" s="40" t="s">
        <v>329</v>
      </c>
    </row>
    <row r="2184" spans="1:13" x14ac:dyDescent="0.25">
      <c r="A2184" s="75">
        <f t="shared" si="33"/>
        <v>2183</v>
      </c>
      <c r="B2184" t="s">
        <v>4851</v>
      </c>
      <c r="C2184" t="s">
        <v>7218</v>
      </c>
      <c r="D2184" t="s">
        <v>620</v>
      </c>
      <c r="E2184" t="s">
        <v>7221</v>
      </c>
      <c r="G2184" t="s">
        <v>63</v>
      </c>
      <c r="H2184" s="75" t="str">
        <f>IFERROR(VLOOKUP(Table2[[#This Row],[Ticket]],Okey!A:B,2,0),"")</f>
        <v>ok</v>
      </c>
      <c r="I2184" t="s">
        <v>19</v>
      </c>
      <c r="J2184" t="str">
        <f>VLOOKUP(Table2[[#This Row],[Author]],People!A:B,2,0)</f>
        <v>MGF</v>
      </c>
      <c r="L2184" s="40"/>
      <c r="M2184" s="40" t="s">
        <v>329</v>
      </c>
    </row>
    <row r="2185" spans="1:13" x14ac:dyDescent="0.25">
      <c r="A2185" s="75">
        <f t="shared" ref="A2185:A2248" si="34">1+A2184</f>
        <v>2184</v>
      </c>
      <c r="B2185" t="s">
        <v>4851</v>
      </c>
      <c r="C2185" t="s">
        <v>7218</v>
      </c>
      <c r="D2185" t="s">
        <v>754</v>
      </c>
      <c r="E2185" t="s">
        <v>7223</v>
      </c>
      <c r="G2185" t="s">
        <v>63</v>
      </c>
      <c r="H2185" s="75" t="str">
        <f>IFERROR(VLOOKUP(Table2[[#This Row],[Ticket]],Okey!A:B,2,0),"")</f>
        <v>ok</v>
      </c>
      <c r="I2185" t="s">
        <v>19</v>
      </c>
      <c r="J2185" t="str">
        <f>VLOOKUP(Table2[[#This Row],[Author]],People!A:B,2,0)</f>
        <v>MGF</v>
      </c>
      <c r="L2185" s="40"/>
      <c r="M2185" s="40" t="s">
        <v>329</v>
      </c>
    </row>
    <row r="2186" spans="1:13" x14ac:dyDescent="0.25">
      <c r="A2186" s="75">
        <f t="shared" si="34"/>
        <v>2185</v>
      </c>
      <c r="B2186" t="s">
        <v>4851</v>
      </c>
      <c r="C2186" t="s">
        <v>7224</v>
      </c>
      <c r="D2186" t="s">
        <v>7227</v>
      </c>
      <c r="E2186" t="s">
        <v>7226</v>
      </c>
      <c r="F2186" t="s">
        <v>4266</v>
      </c>
      <c r="G2186" t="s">
        <v>18</v>
      </c>
      <c r="H2186" s="75" t="str">
        <f>IFERROR(VLOOKUP(Table2[[#This Row],[Ticket]],Okey!A:B,2,0),"")</f>
        <v>ok</v>
      </c>
      <c r="I2186" t="s">
        <v>19</v>
      </c>
      <c r="J2186" t="str">
        <f>VLOOKUP(Table2[[#This Row],[Author]],People!A:B,2,0)</f>
        <v>HC</v>
      </c>
      <c r="L2186" s="40"/>
      <c r="M2186" s="40" t="s">
        <v>7225</v>
      </c>
    </row>
    <row r="2187" spans="1:13" x14ac:dyDescent="0.25">
      <c r="A2187" s="75">
        <f t="shared" si="34"/>
        <v>2186</v>
      </c>
      <c r="B2187" t="s">
        <v>4851</v>
      </c>
      <c r="C2187" t="s">
        <v>7228</v>
      </c>
      <c r="D2187" t="s">
        <v>468</v>
      </c>
      <c r="E2187" t="s">
        <v>7229</v>
      </c>
      <c r="G2187" t="s">
        <v>63</v>
      </c>
      <c r="H2187" s="75" t="str">
        <f>IFERROR(VLOOKUP(Table2[[#This Row],[Ticket]],Okey!A:B,2,0),"")</f>
        <v>ok</v>
      </c>
      <c r="I2187" t="s">
        <v>5965</v>
      </c>
      <c r="J2187" t="str">
        <f>VLOOKUP(Table2[[#This Row],[Author]],People!A:B,2,0)</f>
        <v>MGF</v>
      </c>
      <c r="L2187" s="40"/>
      <c r="M2187" s="40" t="s">
        <v>7208</v>
      </c>
    </row>
    <row r="2188" spans="1:13" x14ac:dyDescent="0.25">
      <c r="A2188" s="75">
        <f t="shared" si="34"/>
        <v>2187</v>
      </c>
      <c r="B2188" t="s">
        <v>4851</v>
      </c>
      <c r="C2188" t="s">
        <v>7228</v>
      </c>
      <c r="D2188" t="s">
        <v>2334</v>
      </c>
      <c r="E2188" t="s">
        <v>7230</v>
      </c>
      <c r="G2188" t="s">
        <v>63</v>
      </c>
      <c r="H2188" s="75" t="str">
        <f>IFERROR(VLOOKUP(Table2[[#This Row],[Ticket]],Okey!A:B,2,0),"")</f>
        <v>ok</v>
      </c>
      <c r="I2188" t="s">
        <v>5965</v>
      </c>
      <c r="J2188" t="str">
        <f>VLOOKUP(Table2[[#This Row],[Author]],People!A:B,2,0)</f>
        <v>MGF</v>
      </c>
      <c r="L2188" s="40"/>
      <c r="M2188" s="40" t="s">
        <v>7208</v>
      </c>
    </row>
    <row r="2189" spans="1:13" x14ac:dyDescent="0.25">
      <c r="A2189" s="75">
        <f t="shared" si="34"/>
        <v>2188</v>
      </c>
      <c r="B2189" t="s">
        <v>4851</v>
      </c>
      <c r="C2189" t="s">
        <v>7228</v>
      </c>
      <c r="D2189" t="s">
        <v>454</v>
      </c>
      <c r="E2189" t="s">
        <v>7231</v>
      </c>
      <c r="G2189" t="s">
        <v>63</v>
      </c>
      <c r="H2189" s="75" t="str">
        <f>IFERROR(VLOOKUP(Table2[[#This Row],[Ticket]],Okey!A:B,2,0),"")</f>
        <v>ok</v>
      </c>
      <c r="I2189" t="s">
        <v>5965</v>
      </c>
      <c r="J2189" t="str">
        <f>VLOOKUP(Table2[[#This Row],[Author]],People!A:B,2,0)</f>
        <v>MGF</v>
      </c>
      <c r="L2189" s="40"/>
      <c r="M2189" s="40" t="s">
        <v>7208</v>
      </c>
    </row>
    <row r="2190" spans="1:13" x14ac:dyDescent="0.25">
      <c r="A2190" s="75">
        <f t="shared" si="34"/>
        <v>2189</v>
      </c>
      <c r="B2190" t="s">
        <v>4851</v>
      </c>
      <c r="C2190" t="s">
        <v>7228</v>
      </c>
      <c r="D2190" t="s">
        <v>438</v>
      </c>
      <c r="E2190" t="s">
        <v>7232</v>
      </c>
      <c r="G2190" t="s">
        <v>63</v>
      </c>
      <c r="H2190" s="75" t="str">
        <f>IFERROR(VLOOKUP(Table2[[#This Row],[Ticket]],Okey!A:B,2,0),"")</f>
        <v>ok</v>
      </c>
      <c r="I2190" t="s">
        <v>5965</v>
      </c>
      <c r="J2190" t="str">
        <f>VLOOKUP(Table2[[#This Row],[Author]],People!A:B,2,0)</f>
        <v>MGF</v>
      </c>
      <c r="L2190" s="40"/>
      <c r="M2190" s="40" t="s">
        <v>7208</v>
      </c>
    </row>
    <row r="2191" spans="1:13" x14ac:dyDescent="0.25">
      <c r="A2191" s="75">
        <f t="shared" si="34"/>
        <v>2190</v>
      </c>
      <c r="B2191" t="s">
        <v>4851</v>
      </c>
      <c r="C2191" t="s">
        <v>7228</v>
      </c>
      <c r="D2191" t="s">
        <v>522</v>
      </c>
      <c r="E2191" t="s">
        <v>7233</v>
      </c>
      <c r="F2191" t="s">
        <v>438</v>
      </c>
      <c r="G2191" t="s">
        <v>496</v>
      </c>
      <c r="H2191" s="75" t="str">
        <f>IFERROR(VLOOKUP(Table2[[#This Row],[Ticket]],Okey!A:B,2,0),"")</f>
        <v>ok</v>
      </c>
      <c r="I2191" t="s">
        <v>5965</v>
      </c>
      <c r="J2191" t="str">
        <f>VLOOKUP(Table2[[#This Row],[Author]],People!A:B,2,0)</f>
        <v>MGF</v>
      </c>
      <c r="L2191" s="40"/>
      <c r="M2191" s="40" t="s">
        <v>7208</v>
      </c>
    </row>
    <row r="2192" spans="1:13" x14ac:dyDescent="0.25">
      <c r="A2192" s="75">
        <f t="shared" si="34"/>
        <v>2191</v>
      </c>
      <c r="B2192" t="s">
        <v>4851</v>
      </c>
      <c r="C2192" t="s">
        <v>7228</v>
      </c>
      <c r="D2192" t="s">
        <v>7198</v>
      </c>
      <c r="E2192" t="s">
        <v>7234</v>
      </c>
      <c r="F2192" t="s">
        <v>438</v>
      </c>
      <c r="G2192" t="s">
        <v>496</v>
      </c>
      <c r="H2192" s="75" t="str">
        <f>IFERROR(VLOOKUP(Table2[[#This Row],[Ticket]],Okey!A:B,2,0),"")</f>
        <v>ok</v>
      </c>
      <c r="I2192" t="s">
        <v>5965</v>
      </c>
      <c r="J2192" t="str">
        <f>VLOOKUP(Table2[[#This Row],[Author]],People!A:B,2,0)</f>
        <v>MGF</v>
      </c>
      <c r="L2192" s="40"/>
      <c r="M2192" s="40" t="s">
        <v>7208</v>
      </c>
    </row>
    <row r="2193" spans="1:13" x14ac:dyDescent="0.25">
      <c r="A2193" s="75">
        <f t="shared" si="34"/>
        <v>2192</v>
      </c>
      <c r="B2193" t="s">
        <v>4851</v>
      </c>
      <c r="C2193" t="s">
        <v>7228</v>
      </c>
      <c r="D2193" t="s">
        <v>7199</v>
      </c>
      <c r="E2193" t="s">
        <v>7235</v>
      </c>
      <c r="F2193" t="s">
        <v>438</v>
      </c>
      <c r="G2193" t="s">
        <v>496</v>
      </c>
      <c r="H2193" s="75" t="str">
        <f>IFERROR(VLOOKUP(Table2[[#This Row],[Ticket]],Okey!A:B,2,0),"")</f>
        <v>ok</v>
      </c>
      <c r="I2193" t="s">
        <v>5965</v>
      </c>
      <c r="J2193" t="str">
        <f>VLOOKUP(Table2[[#This Row],[Author]],People!A:B,2,0)</f>
        <v>MGF</v>
      </c>
      <c r="L2193" s="40"/>
      <c r="M2193" s="40" t="s">
        <v>7208</v>
      </c>
    </row>
    <row r="2194" spans="1:13" x14ac:dyDescent="0.25">
      <c r="A2194" s="75">
        <f t="shared" si="34"/>
        <v>2193</v>
      </c>
      <c r="B2194" t="s">
        <v>4851</v>
      </c>
      <c r="C2194" t="s">
        <v>7228</v>
      </c>
      <c r="D2194" t="s">
        <v>7200</v>
      </c>
      <c r="E2194" t="s">
        <v>7236</v>
      </c>
      <c r="F2194" t="s">
        <v>438</v>
      </c>
      <c r="G2194" t="s">
        <v>496</v>
      </c>
      <c r="H2194" s="75" t="str">
        <f>IFERROR(VLOOKUP(Table2[[#This Row],[Ticket]],Okey!A:B,2,0),"")</f>
        <v>ok</v>
      </c>
      <c r="I2194" t="s">
        <v>5965</v>
      </c>
      <c r="J2194" t="str">
        <f>VLOOKUP(Table2[[#This Row],[Author]],People!A:B,2,0)</f>
        <v>MGF</v>
      </c>
      <c r="L2194" s="40"/>
      <c r="M2194" s="40" t="s">
        <v>7208</v>
      </c>
    </row>
    <row r="2195" spans="1:13" x14ac:dyDescent="0.25">
      <c r="A2195" s="75">
        <f t="shared" si="34"/>
        <v>2194</v>
      </c>
      <c r="B2195" t="s">
        <v>4851</v>
      </c>
      <c r="C2195" t="s">
        <v>7239</v>
      </c>
      <c r="D2195" t="s">
        <v>7237</v>
      </c>
      <c r="F2195" t="s">
        <v>454</v>
      </c>
      <c r="G2195" t="s">
        <v>24</v>
      </c>
      <c r="H2195" s="75" t="str">
        <f>IFERROR(VLOOKUP(Table2[[#This Row],[Ticket]],Okey!A:B,2,0),"")</f>
        <v>ok</v>
      </c>
      <c r="I2195" t="s">
        <v>19</v>
      </c>
      <c r="J2195" t="str">
        <f>VLOOKUP(Table2[[#This Row],[Author]],People!A:B,2,0)</f>
        <v>MGF</v>
      </c>
      <c r="L2195" s="40"/>
      <c r="M2195" s="40" t="s">
        <v>7208</v>
      </c>
    </row>
    <row r="2196" spans="1:13" x14ac:dyDescent="0.25">
      <c r="A2196" s="75">
        <f t="shared" si="34"/>
        <v>2195</v>
      </c>
      <c r="B2196" t="s">
        <v>4851</v>
      </c>
      <c r="C2196" t="s">
        <v>7239</v>
      </c>
      <c r="D2196" t="s">
        <v>418</v>
      </c>
      <c r="E2196" t="s">
        <v>7238</v>
      </c>
      <c r="G2196" t="s">
        <v>63</v>
      </c>
      <c r="H2196" s="75" t="str">
        <f>IFERROR(VLOOKUP(Table2[[#This Row],[Ticket]],Okey!A:B,2,0),"")</f>
        <v>ok</v>
      </c>
      <c r="I2196" t="s">
        <v>19</v>
      </c>
      <c r="J2196" t="str">
        <f>VLOOKUP(Table2[[#This Row],[Author]],People!A:B,2,0)</f>
        <v>MGF</v>
      </c>
      <c r="L2196" s="40"/>
      <c r="M2196" s="40" t="s">
        <v>7208</v>
      </c>
    </row>
    <row r="2197" spans="1:13" x14ac:dyDescent="0.25">
      <c r="A2197" s="75">
        <f t="shared" si="34"/>
        <v>2196</v>
      </c>
      <c r="B2197" t="s">
        <v>4851</v>
      </c>
      <c r="C2197" t="s">
        <v>7240</v>
      </c>
      <c r="D2197" t="s">
        <v>7241</v>
      </c>
      <c r="E2197" t="s">
        <v>7247</v>
      </c>
      <c r="F2197" t="s">
        <v>298</v>
      </c>
      <c r="G2197" t="s">
        <v>18</v>
      </c>
      <c r="H2197" s="75" t="str">
        <f>IFERROR(VLOOKUP(Table2[[#This Row],[Ticket]],Okey!A:B,2,0),"")</f>
        <v>ok</v>
      </c>
      <c r="I2197" t="s">
        <v>19</v>
      </c>
      <c r="J2197" t="str">
        <f>VLOOKUP(Table2[[#This Row],[Author]],People!A:B,2,0)</f>
        <v>MGF</v>
      </c>
      <c r="L2197" s="40"/>
      <c r="M2197" s="40" t="s">
        <v>40</v>
      </c>
    </row>
    <row r="2198" spans="1:13" x14ac:dyDescent="0.25">
      <c r="A2198" s="75">
        <f t="shared" si="34"/>
        <v>2197</v>
      </c>
      <c r="B2198" t="s">
        <v>4851</v>
      </c>
      <c r="C2198" t="s">
        <v>7240</v>
      </c>
      <c r="D2198" t="s">
        <v>7242</v>
      </c>
      <c r="E2198" t="s">
        <v>7248</v>
      </c>
      <c r="F2198" t="s">
        <v>298</v>
      </c>
      <c r="G2198" t="s">
        <v>18</v>
      </c>
      <c r="H2198" s="75" t="str">
        <f>IFERROR(VLOOKUP(Table2[[#This Row],[Ticket]],Okey!A:B,2,0),"")</f>
        <v>ok</v>
      </c>
      <c r="I2198" t="s">
        <v>19</v>
      </c>
      <c r="J2198" t="str">
        <f>VLOOKUP(Table2[[#This Row],[Author]],People!A:B,2,0)</f>
        <v>MGF</v>
      </c>
      <c r="L2198" s="40"/>
      <c r="M2198" s="40" t="s">
        <v>40</v>
      </c>
    </row>
    <row r="2199" spans="1:13" x14ac:dyDescent="0.25">
      <c r="A2199" s="75">
        <f t="shared" si="34"/>
        <v>2198</v>
      </c>
      <c r="B2199" t="s">
        <v>4851</v>
      </c>
      <c r="C2199" t="s">
        <v>7240</v>
      </c>
      <c r="D2199" t="s">
        <v>7243</v>
      </c>
      <c r="E2199" t="s">
        <v>7247</v>
      </c>
      <c r="F2199" t="s">
        <v>7241</v>
      </c>
      <c r="G2199" t="s">
        <v>18</v>
      </c>
      <c r="H2199" s="75" t="str">
        <f>IFERROR(VLOOKUP(Table2[[#This Row],[Ticket]],Okey!A:B,2,0),"")</f>
        <v>ok</v>
      </c>
      <c r="I2199" t="s">
        <v>19</v>
      </c>
      <c r="J2199" t="str">
        <f>VLOOKUP(Table2[[#This Row],[Author]],People!A:B,2,0)</f>
        <v>MGF</v>
      </c>
      <c r="L2199" s="40"/>
      <c r="M2199" s="40" t="s">
        <v>40</v>
      </c>
    </row>
    <row r="2200" spans="1:13" x14ac:dyDescent="0.25">
      <c r="A2200" s="75">
        <f t="shared" si="34"/>
        <v>2199</v>
      </c>
      <c r="B2200" t="s">
        <v>4851</v>
      </c>
      <c r="C2200" t="s">
        <v>7240</v>
      </c>
      <c r="D2200" t="s">
        <v>7244</v>
      </c>
      <c r="E2200" t="s">
        <v>7248</v>
      </c>
      <c r="F2200" t="s">
        <v>7242</v>
      </c>
      <c r="G2200" t="s">
        <v>18</v>
      </c>
      <c r="H2200" s="75" t="str">
        <f>IFERROR(VLOOKUP(Table2[[#This Row],[Ticket]],Okey!A:B,2,0),"")</f>
        <v>ok</v>
      </c>
      <c r="I2200" t="s">
        <v>19</v>
      </c>
      <c r="J2200" t="str">
        <f>VLOOKUP(Table2[[#This Row],[Author]],People!A:B,2,0)</f>
        <v>MGF</v>
      </c>
      <c r="L2200" s="40"/>
      <c r="M2200" s="40" t="s">
        <v>40</v>
      </c>
    </row>
    <row r="2201" spans="1:13" x14ac:dyDescent="0.25">
      <c r="A2201" s="75">
        <f t="shared" si="34"/>
        <v>2200</v>
      </c>
      <c r="B2201" t="s">
        <v>4851</v>
      </c>
      <c r="C2201" t="s">
        <v>7240</v>
      </c>
      <c r="D2201" t="s">
        <v>7245</v>
      </c>
      <c r="E2201" t="s">
        <v>7249</v>
      </c>
      <c r="F2201" t="s">
        <v>265</v>
      </c>
      <c r="G2201" t="s">
        <v>18</v>
      </c>
      <c r="H2201" s="75" t="str">
        <f>IFERROR(VLOOKUP(Table2[[#This Row],[Ticket]],Okey!A:B,2,0),"")</f>
        <v>ok</v>
      </c>
      <c r="I2201" t="s">
        <v>19</v>
      </c>
      <c r="J2201" t="str">
        <f>VLOOKUP(Table2[[#This Row],[Author]],People!A:B,2,0)</f>
        <v>MGF</v>
      </c>
      <c r="L2201" s="40"/>
      <c r="M2201" s="40" t="s">
        <v>40</v>
      </c>
    </row>
    <row r="2202" spans="1:13" x14ac:dyDescent="0.25">
      <c r="A2202" s="75">
        <f t="shared" si="34"/>
        <v>2201</v>
      </c>
      <c r="B2202" t="s">
        <v>4851</v>
      </c>
      <c r="C2202" t="s">
        <v>7240</v>
      </c>
      <c r="D2202" t="s">
        <v>7246</v>
      </c>
      <c r="E2202" t="s">
        <v>7249</v>
      </c>
      <c r="F2202" t="s">
        <v>7245</v>
      </c>
      <c r="G2202" t="s">
        <v>18</v>
      </c>
      <c r="H2202" s="75" t="str">
        <f>IFERROR(VLOOKUP(Table2[[#This Row],[Ticket]],Okey!A:B,2,0),"")</f>
        <v>ok</v>
      </c>
      <c r="I2202" t="s">
        <v>19</v>
      </c>
      <c r="J2202" t="str">
        <f>VLOOKUP(Table2[[#This Row],[Author]],People!A:B,2,0)</f>
        <v>MGF</v>
      </c>
      <c r="L2202" s="40"/>
      <c r="M2202" s="40" t="s">
        <v>40</v>
      </c>
    </row>
    <row r="2203" spans="1:13" x14ac:dyDescent="0.25">
      <c r="A2203" s="75">
        <f t="shared" si="34"/>
        <v>2202</v>
      </c>
      <c r="B2203" t="s">
        <v>4851</v>
      </c>
      <c r="C2203" t="s">
        <v>7240</v>
      </c>
      <c r="D2203" t="s">
        <v>3629</v>
      </c>
      <c r="F2203" t="s">
        <v>317</v>
      </c>
      <c r="G2203" t="s">
        <v>24</v>
      </c>
      <c r="H2203" s="75" t="str">
        <f>IFERROR(VLOOKUP(Table2[[#This Row],[Ticket]],Okey!A:B,2,0),"")</f>
        <v>ok</v>
      </c>
      <c r="I2203" t="s">
        <v>19</v>
      </c>
      <c r="J2203" t="str">
        <f>VLOOKUP(Table2[[#This Row],[Author]],People!A:B,2,0)</f>
        <v>MGF</v>
      </c>
      <c r="L2203" s="40"/>
      <c r="M2203" s="40" t="s">
        <v>40</v>
      </c>
    </row>
    <row r="2204" spans="1:13" x14ac:dyDescent="0.25">
      <c r="A2204" s="75">
        <f t="shared" si="34"/>
        <v>2203</v>
      </c>
      <c r="B2204" t="s">
        <v>4851</v>
      </c>
      <c r="C2204" t="s">
        <v>7240</v>
      </c>
      <c r="D2204" t="s">
        <v>3631</v>
      </c>
      <c r="F2204" t="s">
        <v>317</v>
      </c>
      <c r="G2204" t="s">
        <v>24</v>
      </c>
      <c r="H2204" s="75" t="str">
        <f>IFERROR(VLOOKUP(Table2[[#This Row],[Ticket]],Okey!A:B,2,0),"")</f>
        <v>ok</v>
      </c>
      <c r="I2204" t="s">
        <v>19</v>
      </c>
      <c r="J2204" t="str">
        <f>VLOOKUP(Table2[[#This Row],[Author]],People!A:B,2,0)</f>
        <v>MGF</v>
      </c>
      <c r="L2204" s="40"/>
      <c r="M2204" s="40" t="s">
        <v>40</v>
      </c>
    </row>
    <row r="2205" spans="1:13" x14ac:dyDescent="0.25">
      <c r="A2205" s="75">
        <f t="shared" si="34"/>
        <v>2204</v>
      </c>
      <c r="B2205" t="s">
        <v>4851</v>
      </c>
      <c r="C2205" t="s">
        <v>7240</v>
      </c>
      <c r="D2205" t="s">
        <v>39</v>
      </c>
      <c r="E2205" t="s">
        <v>7250</v>
      </c>
      <c r="G2205" t="s">
        <v>63</v>
      </c>
      <c r="H2205" s="75" t="str">
        <f>IFERROR(VLOOKUP(Table2[[#This Row],[Ticket]],Okey!A:B,2,0),"")</f>
        <v>ok</v>
      </c>
      <c r="I2205" t="s">
        <v>19</v>
      </c>
      <c r="J2205" t="str">
        <f>VLOOKUP(Table2[[#This Row],[Author]],People!A:B,2,0)</f>
        <v>MGF</v>
      </c>
      <c r="L2205" s="40"/>
      <c r="M2205" s="40" t="s">
        <v>40</v>
      </c>
    </row>
    <row r="2206" spans="1:13" x14ac:dyDescent="0.25">
      <c r="A2206" s="75">
        <f t="shared" si="34"/>
        <v>2205</v>
      </c>
      <c r="B2206" t="s">
        <v>4851</v>
      </c>
      <c r="C2206" t="s">
        <v>7240</v>
      </c>
      <c r="D2206" t="s">
        <v>240</v>
      </c>
      <c r="E2206" t="s">
        <v>7251</v>
      </c>
      <c r="G2206" t="s">
        <v>63</v>
      </c>
      <c r="H2206" s="75" t="str">
        <f>IFERROR(VLOOKUP(Table2[[#This Row],[Ticket]],Okey!A:B,2,0),"")</f>
        <v>ok</v>
      </c>
      <c r="I2206" t="s">
        <v>19</v>
      </c>
      <c r="J2206" t="str">
        <f>VLOOKUP(Table2[[#This Row],[Author]],People!A:B,2,0)</f>
        <v>MGF</v>
      </c>
      <c r="L2206" s="40"/>
      <c r="M2206" s="40" t="s">
        <v>40</v>
      </c>
    </row>
    <row r="2207" spans="1:13" x14ac:dyDescent="0.25">
      <c r="A2207" s="75">
        <f t="shared" si="34"/>
        <v>2206</v>
      </c>
      <c r="B2207" t="s">
        <v>4851</v>
      </c>
      <c r="C2207" t="s">
        <v>7240</v>
      </c>
      <c r="D2207" t="s">
        <v>92</v>
      </c>
      <c r="E2207" t="s">
        <v>7250</v>
      </c>
      <c r="G2207" t="s">
        <v>63</v>
      </c>
      <c r="H2207" s="75" t="str">
        <f>IFERROR(VLOOKUP(Table2[[#This Row],[Ticket]],Okey!A:B,2,0),"")</f>
        <v>ok</v>
      </c>
      <c r="I2207" t="s">
        <v>19</v>
      </c>
      <c r="J2207" t="str">
        <f>VLOOKUP(Table2[[#This Row],[Author]],People!A:B,2,0)</f>
        <v>MGF</v>
      </c>
      <c r="L2207" s="40"/>
      <c r="M2207" s="40" t="s">
        <v>40</v>
      </c>
    </row>
    <row r="2208" spans="1:13" x14ac:dyDescent="0.25">
      <c r="A2208" s="75">
        <f t="shared" si="34"/>
        <v>2207</v>
      </c>
      <c r="B2208" t="s">
        <v>4851</v>
      </c>
      <c r="C2208" t="s">
        <v>7240</v>
      </c>
      <c r="D2208" t="s">
        <v>259</v>
      </c>
      <c r="E2208" t="s">
        <v>7252</v>
      </c>
      <c r="G2208" t="s">
        <v>63</v>
      </c>
      <c r="H2208" s="75" t="str">
        <f>IFERROR(VLOOKUP(Table2[[#This Row],[Ticket]],Okey!A:B,2,0),"")</f>
        <v>ok</v>
      </c>
      <c r="I2208" t="s">
        <v>19</v>
      </c>
      <c r="J2208" t="str">
        <f>VLOOKUP(Table2[[#This Row],[Author]],People!A:B,2,0)</f>
        <v>MGF</v>
      </c>
      <c r="L2208" s="40"/>
      <c r="M2208" s="40" t="s">
        <v>40</v>
      </c>
    </row>
    <row r="2209" spans="1:13" x14ac:dyDescent="0.25">
      <c r="A2209" s="75">
        <f t="shared" si="34"/>
        <v>2208</v>
      </c>
      <c r="B2209" t="s">
        <v>4851</v>
      </c>
      <c r="C2209" t="s">
        <v>7240</v>
      </c>
      <c r="D2209" t="s">
        <v>94</v>
      </c>
      <c r="E2209" t="s">
        <v>7252</v>
      </c>
      <c r="G2209" t="s">
        <v>63</v>
      </c>
      <c r="H2209" s="75" t="str">
        <f>IFERROR(VLOOKUP(Table2[[#This Row],[Ticket]],Okey!A:B,2,0),"")</f>
        <v>ok</v>
      </c>
      <c r="I2209" t="s">
        <v>19</v>
      </c>
      <c r="J2209" t="str">
        <f>VLOOKUP(Table2[[#This Row],[Author]],People!A:B,2,0)</f>
        <v>MGF</v>
      </c>
      <c r="L2209" s="40"/>
      <c r="M2209" s="40" t="s">
        <v>40</v>
      </c>
    </row>
    <row r="2210" spans="1:13" x14ac:dyDescent="0.25">
      <c r="A2210" s="75">
        <f t="shared" si="34"/>
        <v>2209</v>
      </c>
      <c r="B2210" t="s">
        <v>4851</v>
      </c>
      <c r="C2210" t="s">
        <v>7240</v>
      </c>
      <c r="D2210" t="s">
        <v>264</v>
      </c>
      <c r="E2210" t="s">
        <v>7253</v>
      </c>
      <c r="G2210" t="s">
        <v>63</v>
      </c>
      <c r="H2210" s="75" t="str">
        <f>IFERROR(VLOOKUP(Table2[[#This Row],[Ticket]],Okey!A:B,2,0),"")</f>
        <v>ok</v>
      </c>
      <c r="I2210" t="s">
        <v>19</v>
      </c>
      <c r="J2210" t="str">
        <f>VLOOKUP(Table2[[#This Row],[Author]],People!A:B,2,0)</f>
        <v>MGF</v>
      </c>
      <c r="L2210" s="40"/>
      <c r="M2210" s="40" t="s">
        <v>40</v>
      </c>
    </row>
    <row r="2211" spans="1:13" x14ac:dyDescent="0.25">
      <c r="A2211" s="75">
        <f t="shared" si="34"/>
        <v>2210</v>
      </c>
      <c r="B2211" t="s">
        <v>4851</v>
      </c>
      <c r="C2211" t="s">
        <v>7240</v>
      </c>
      <c r="D2211" t="s">
        <v>104</v>
      </c>
      <c r="E2211" t="s">
        <v>7253</v>
      </c>
      <c r="G2211" t="s">
        <v>63</v>
      </c>
      <c r="H2211" s="75" t="str">
        <f>IFERROR(VLOOKUP(Table2[[#This Row],[Ticket]],Okey!A:B,2,0),"")</f>
        <v>ok</v>
      </c>
      <c r="I2211" t="s">
        <v>19</v>
      </c>
      <c r="J2211" t="str">
        <f>VLOOKUP(Table2[[#This Row],[Author]],People!A:B,2,0)</f>
        <v>MGF</v>
      </c>
      <c r="L2211" s="40"/>
      <c r="M2211" s="40" t="s">
        <v>40</v>
      </c>
    </row>
    <row r="2212" spans="1:13" x14ac:dyDescent="0.25">
      <c r="A2212" s="75">
        <f t="shared" si="34"/>
        <v>2211</v>
      </c>
      <c r="B2212" t="s">
        <v>4851</v>
      </c>
      <c r="C2212" t="s">
        <v>7240</v>
      </c>
      <c r="D2212" t="s">
        <v>260</v>
      </c>
      <c r="E2212" t="s">
        <v>7254</v>
      </c>
      <c r="G2212" t="s">
        <v>63</v>
      </c>
      <c r="H2212" s="75" t="str">
        <f>IFERROR(VLOOKUP(Table2[[#This Row],[Ticket]],Okey!A:B,2,0),"")</f>
        <v>ok</v>
      </c>
      <c r="I2212" t="s">
        <v>19</v>
      </c>
      <c r="J2212" t="str">
        <f>VLOOKUP(Table2[[#This Row],[Author]],People!A:B,2,0)</f>
        <v>MGF</v>
      </c>
      <c r="L2212" s="40"/>
      <c r="M2212" s="40" t="s">
        <v>40</v>
      </c>
    </row>
    <row r="2213" spans="1:13" x14ac:dyDescent="0.25">
      <c r="A2213" s="75">
        <f t="shared" si="34"/>
        <v>2212</v>
      </c>
      <c r="B2213" t="s">
        <v>4851</v>
      </c>
      <c r="C2213" t="s">
        <v>7240</v>
      </c>
      <c r="D2213" t="s">
        <v>96</v>
      </c>
      <c r="E2213" t="s">
        <v>7254</v>
      </c>
      <c r="G2213" t="s">
        <v>63</v>
      </c>
      <c r="H2213" s="75" t="str">
        <f>IFERROR(VLOOKUP(Table2[[#This Row],[Ticket]],Okey!A:B,2,0),"")</f>
        <v>ok</v>
      </c>
      <c r="I2213" t="s">
        <v>19</v>
      </c>
      <c r="J2213" t="str">
        <f>VLOOKUP(Table2[[#This Row],[Author]],People!A:B,2,0)</f>
        <v>MGF</v>
      </c>
      <c r="L2213" s="40"/>
      <c r="M2213" s="40" t="s">
        <v>40</v>
      </c>
    </row>
    <row r="2214" spans="1:13" x14ac:dyDescent="0.25">
      <c r="A2214" s="75">
        <f t="shared" si="34"/>
        <v>2213</v>
      </c>
      <c r="B2214" t="s">
        <v>4851</v>
      </c>
      <c r="C2214" t="s">
        <v>7240</v>
      </c>
      <c r="D2214" t="s">
        <v>261</v>
      </c>
      <c r="E2214" t="s">
        <v>7255</v>
      </c>
      <c r="G2214" t="s">
        <v>63</v>
      </c>
      <c r="H2214" s="75" t="str">
        <f>IFERROR(VLOOKUP(Table2[[#This Row],[Ticket]],Okey!A:B,2,0),"")</f>
        <v>ok</v>
      </c>
      <c r="I2214" t="s">
        <v>19</v>
      </c>
      <c r="J2214" t="str">
        <f>VLOOKUP(Table2[[#This Row],[Author]],People!A:B,2,0)</f>
        <v>MGF</v>
      </c>
      <c r="L2214" s="40"/>
      <c r="M2214" s="40" t="s">
        <v>40</v>
      </c>
    </row>
    <row r="2215" spans="1:13" x14ac:dyDescent="0.25">
      <c r="A2215" s="75">
        <f t="shared" si="34"/>
        <v>2214</v>
      </c>
      <c r="B2215" t="s">
        <v>4851</v>
      </c>
      <c r="C2215" t="s">
        <v>7240</v>
      </c>
      <c r="D2215" t="s">
        <v>98</v>
      </c>
      <c r="E2215" t="s">
        <v>7255</v>
      </c>
      <c r="G2215" t="s">
        <v>63</v>
      </c>
      <c r="H2215" s="75" t="str">
        <f>IFERROR(VLOOKUP(Table2[[#This Row],[Ticket]],Okey!A:B,2,0),"")</f>
        <v>ok</v>
      </c>
      <c r="I2215" t="s">
        <v>19</v>
      </c>
      <c r="J2215" t="str">
        <f>VLOOKUP(Table2[[#This Row],[Author]],People!A:B,2,0)</f>
        <v>MGF</v>
      </c>
      <c r="L2215" s="40"/>
      <c r="M2215" s="40" t="s">
        <v>40</v>
      </c>
    </row>
    <row r="2216" spans="1:13" x14ac:dyDescent="0.25">
      <c r="A2216" s="75">
        <f t="shared" si="34"/>
        <v>2215</v>
      </c>
      <c r="B2216" t="s">
        <v>4851</v>
      </c>
      <c r="C2216" t="s">
        <v>7240</v>
      </c>
      <c r="D2216" t="s">
        <v>262</v>
      </c>
      <c r="E2216" t="s">
        <v>7256</v>
      </c>
      <c r="G2216" t="s">
        <v>63</v>
      </c>
      <c r="H2216" s="75" t="str">
        <f>IFERROR(VLOOKUP(Table2[[#This Row],[Ticket]],Okey!A:B,2,0),"")</f>
        <v>ok</v>
      </c>
      <c r="I2216" t="s">
        <v>19</v>
      </c>
      <c r="J2216" t="str">
        <f>VLOOKUP(Table2[[#This Row],[Author]],People!A:B,2,0)</f>
        <v>MGF</v>
      </c>
      <c r="L2216" s="40"/>
      <c r="M2216" s="40" t="s">
        <v>40</v>
      </c>
    </row>
    <row r="2217" spans="1:13" x14ac:dyDescent="0.25">
      <c r="A2217" s="75">
        <f t="shared" si="34"/>
        <v>2216</v>
      </c>
      <c r="B2217" t="s">
        <v>4851</v>
      </c>
      <c r="C2217" t="s">
        <v>7240</v>
      </c>
      <c r="D2217" t="s">
        <v>100</v>
      </c>
      <c r="E2217" t="s">
        <v>7256</v>
      </c>
      <c r="G2217" t="s">
        <v>63</v>
      </c>
      <c r="H2217" s="75" t="str">
        <f>IFERROR(VLOOKUP(Table2[[#This Row],[Ticket]],Okey!A:B,2,0),"")</f>
        <v>ok</v>
      </c>
      <c r="I2217" t="s">
        <v>19</v>
      </c>
      <c r="J2217" t="str">
        <f>VLOOKUP(Table2[[#This Row],[Author]],People!A:B,2,0)</f>
        <v>MGF</v>
      </c>
      <c r="L2217" s="40"/>
      <c r="M2217" s="40" t="s">
        <v>40</v>
      </c>
    </row>
    <row r="2218" spans="1:13" x14ac:dyDescent="0.25">
      <c r="A2218" s="75">
        <f t="shared" si="34"/>
        <v>2217</v>
      </c>
      <c r="B2218" t="s">
        <v>4851</v>
      </c>
      <c r="C2218" t="s">
        <v>7240</v>
      </c>
      <c r="D2218" t="s">
        <v>263</v>
      </c>
      <c r="E2218" t="s">
        <v>7257</v>
      </c>
      <c r="G2218" t="s">
        <v>63</v>
      </c>
      <c r="H2218" s="75" t="str">
        <f>IFERROR(VLOOKUP(Table2[[#This Row],[Ticket]],Okey!A:B,2,0),"")</f>
        <v>ok</v>
      </c>
      <c r="I2218" t="s">
        <v>19</v>
      </c>
      <c r="J2218" t="str">
        <f>VLOOKUP(Table2[[#This Row],[Author]],People!A:B,2,0)</f>
        <v>MGF</v>
      </c>
      <c r="L2218" s="40"/>
      <c r="M2218" s="40" t="s">
        <v>40</v>
      </c>
    </row>
    <row r="2219" spans="1:13" x14ac:dyDescent="0.25">
      <c r="A2219" s="75">
        <f t="shared" si="34"/>
        <v>2218</v>
      </c>
      <c r="B2219" t="s">
        <v>4851</v>
      </c>
      <c r="C2219" t="s">
        <v>7240</v>
      </c>
      <c r="D2219" t="s">
        <v>102</v>
      </c>
      <c r="E2219" t="s">
        <v>7257</v>
      </c>
      <c r="G2219" t="s">
        <v>63</v>
      </c>
      <c r="H2219" s="75" t="str">
        <f>IFERROR(VLOOKUP(Table2[[#This Row],[Ticket]],Okey!A:B,2,0),"")</f>
        <v>ok</v>
      </c>
      <c r="I2219" t="s">
        <v>19</v>
      </c>
      <c r="J2219" t="str">
        <f>VLOOKUP(Table2[[#This Row],[Author]],People!A:B,2,0)</f>
        <v>MGF</v>
      </c>
      <c r="L2219" s="40"/>
      <c r="M2219" s="40" t="s">
        <v>40</v>
      </c>
    </row>
    <row r="2220" spans="1:13" x14ac:dyDescent="0.25">
      <c r="A2220" s="75">
        <f t="shared" si="34"/>
        <v>2219</v>
      </c>
      <c r="B2220" t="s">
        <v>4851</v>
      </c>
      <c r="C2220" t="s">
        <v>7240</v>
      </c>
      <c r="D2220" t="s">
        <v>37</v>
      </c>
      <c r="E2220" t="s">
        <v>7258</v>
      </c>
      <c r="G2220" t="s">
        <v>63</v>
      </c>
      <c r="H2220" s="75" t="str">
        <f>IFERROR(VLOOKUP(Table2[[#This Row],[Ticket]],Okey!A:B,2,0),"")</f>
        <v>ok</v>
      </c>
      <c r="I2220" t="s">
        <v>19</v>
      </c>
      <c r="J2220" t="str">
        <f>VLOOKUP(Table2[[#This Row],[Author]],People!A:B,2,0)</f>
        <v>MGF</v>
      </c>
      <c r="L2220" s="40"/>
      <c r="M2220" s="40" t="s">
        <v>40</v>
      </c>
    </row>
    <row r="2221" spans="1:13" x14ac:dyDescent="0.25">
      <c r="A2221" s="75">
        <f t="shared" si="34"/>
        <v>2220</v>
      </c>
      <c r="B2221" t="s">
        <v>4851</v>
      </c>
      <c r="C2221" t="s">
        <v>7240</v>
      </c>
      <c r="D2221" t="s">
        <v>54</v>
      </c>
      <c r="E2221" t="s">
        <v>7258</v>
      </c>
      <c r="G2221" t="s">
        <v>63</v>
      </c>
      <c r="H2221" s="75" t="str">
        <f>IFERROR(VLOOKUP(Table2[[#This Row],[Ticket]],Okey!A:B,2,0),"")</f>
        <v>ok</v>
      </c>
      <c r="I2221" t="s">
        <v>19</v>
      </c>
      <c r="J2221" t="str">
        <f>VLOOKUP(Table2[[#This Row],[Author]],People!A:B,2,0)</f>
        <v>MGF</v>
      </c>
      <c r="L2221" s="40"/>
      <c r="M2221" s="40" t="s">
        <v>40</v>
      </c>
    </row>
    <row r="2222" spans="1:13" x14ac:dyDescent="0.25">
      <c r="A2222" s="75">
        <f t="shared" si="34"/>
        <v>2221</v>
      </c>
      <c r="B2222" t="s">
        <v>4851</v>
      </c>
      <c r="C2222" t="s">
        <v>7321</v>
      </c>
      <c r="D2222" t="s">
        <v>7259</v>
      </c>
      <c r="E2222" t="s">
        <v>7269</v>
      </c>
      <c r="G2222" t="s">
        <v>63</v>
      </c>
      <c r="H2222" s="75" t="str">
        <f>IFERROR(VLOOKUP(Table2[[#This Row],[Ticket]],Okey!A:B,2,0),"")</f>
        <v>ok</v>
      </c>
      <c r="I2222" t="s">
        <v>19</v>
      </c>
      <c r="J2222" t="str">
        <f>VLOOKUP(Table2[[#This Row],[Author]],People!A:B,2,0)</f>
        <v>MGF</v>
      </c>
      <c r="L2222" s="40"/>
      <c r="M2222" s="40" t="s">
        <v>761</v>
      </c>
    </row>
    <row r="2223" spans="1:13" x14ac:dyDescent="0.25">
      <c r="A2223" s="75">
        <f t="shared" si="34"/>
        <v>2222</v>
      </c>
      <c r="B2223" t="s">
        <v>4851</v>
      </c>
      <c r="C2223" t="s">
        <v>7321</v>
      </c>
      <c r="D2223" t="s">
        <v>7260</v>
      </c>
      <c r="E2223" t="s">
        <v>7270</v>
      </c>
      <c r="G2223" t="s">
        <v>63</v>
      </c>
      <c r="H2223" s="75" t="str">
        <f>IFERROR(VLOOKUP(Table2[[#This Row],[Ticket]],Okey!A:B,2,0),"")</f>
        <v>ok</v>
      </c>
      <c r="I2223" t="s">
        <v>19</v>
      </c>
      <c r="J2223" t="str">
        <f>VLOOKUP(Table2[[#This Row],[Author]],People!A:B,2,0)</f>
        <v>MGF</v>
      </c>
      <c r="L2223" s="40"/>
      <c r="M2223" s="40" t="s">
        <v>761</v>
      </c>
    </row>
    <row r="2224" spans="1:13" x14ac:dyDescent="0.25">
      <c r="A2224" s="75">
        <f t="shared" si="34"/>
        <v>2223</v>
      </c>
      <c r="B2224" t="s">
        <v>4851</v>
      </c>
      <c r="C2224" t="s">
        <v>7321</v>
      </c>
      <c r="D2224" t="s">
        <v>7261</v>
      </c>
      <c r="E2224" t="s">
        <v>7271</v>
      </c>
      <c r="G2224" t="s">
        <v>63</v>
      </c>
      <c r="H2224" s="75" t="str">
        <f>IFERROR(VLOOKUP(Table2[[#This Row],[Ticket]],Okey!A:B,2,0),"")</f>
        <v>ok</v>
      </c>
      <c r="I2224" t="s">
        <v>19</v>
      </c>
      <c r="J2224" t="str">
        <f>VLOOKUP(Table2[[#This Row],[Author]],People!A:B,2,0)</f>
        <v>MGF</v>
      </c>
      <c r="L2224" s="40"/>
      <c r="M2224" s="40" t="s">
        <v>761</v>
      </c>
    </row>
    <row r="2225" spans="1:13" x14ac:dyDescent="0.25">
      <c r="A2225" s="75">
        <f t="shared" si="34"/>
        <v>2224</v>
      </c>
      <c r="B2225" t="s">
        <v>4851</v>
      </c>
      <c r="C2225" t="s">
        <v>7321</v>
      </c>
      <c r="D2225" t="s">
        <v>7262</v>
      </c>
      <c r="E2225" t="s">
        <v>7272</v>
      </c>
      <c r="G2225" t="s">
        <v>63</v>
      </c>
      <c r="H2225" s="75" t="str">
        <f>IFERROR(VLOOKUP(Table2[[#This Row],[Ticket]],Okey!A:B,2,0),"")</f>
        <v>ok</v>
      </c>
      <c r="I2225" t="s">
        <v>19</v>
      </c>
      <c r="J2225" t="str">
        <f>VLOOKUP(Table2[[#This Row],[Author]],People!A:B,2,0)</f>
        <v>MGF</v>
      </c>
      <c r="L2225" s="40"/>
      <c r="M2225" s="40" t="s">
        <v>761</v>
      </c>
    </row>
    <row r="2226" spans="1:13" x14ac:dyDescent="0.25">
      <c r="A2226" s="75">
        <f t="shared" si="34"/>
        <v>2225</v>
      </c>
      <c r="B2226" t="s">
        <v>4851</v>
      </c>
      <c r="C2226" t="s">
        <v>7321</v>
      </c>
      <c r="D2226" t="s">
        <v>7263</v>
      </c>
      <c r="E2226" t="s">
        <v>7273</v>
      </c>
      <c r="G2226" t="s">
        <v>63</v>
      </c>
      <c r="H2226" s="75" t="str">
        <f>IFERROR(VLOOKUP(Table2[[#This Row],[Ticket]],Okey!A:B,2,0),"")</f>
        <v>ok</v>
      </c>
      <c r="I2226" t="s">
        <v>19</v>
      </c>
      <c r="J2226" t="str">
        <f>VLOOKUP(Table2[[#This Row],[Author]],People!A:B,2,0)</f>
        <v>MGF</v>
      </c>
      <c r="L2226" s="40"/>
      <c r="M2226" s="40" t="s">
        <v>761</v>
      </c>
    </row>
    <row r="2227" spans="1:13" x14ac:dyDescent="0.25">
      <c r="A2227" s="75">
        <f t="shared" si="34"/>
        <v>2226</v>
      </c>
      <c r="B2227" t="s">
        <v>4851</v>
      </c>
      <c r="C2227" t="s">
        <v>7321</v>
      </c>
      <c r="D2227" t="s">
        <v>7264</v>
      </c>
      <c r="E2227" t="s">
        <v>7274</v>
      </c>
      <c r="G2227" t="s">
        <v>63</v>
      </c>
      <c r="H2227" s="75" t="str">
        <f>IFERROR(VLOOKUP(Table2[[#This Row],[Ticket]],Okey!A:B,2,0),"")</f>
        <v>ok</v>
      </c>
      <c r="I2227" t="s">
        <v>19</v>
      </c>
      <c r="J2227" t="str">
        <f>VLOOKUP(Table2[[#This Row],[Author]],People!A:B,2,0)</f>
        <v>MGF</v>
      </c>
      <c r="L2227" s="40"/>
      <c r="M2227" s="40" t="s">
        <v>761</v>
      </c>
    </row>
    <row r="2228" spans="1:13" x14ac:dyDescent="0.25">
      <c r="A2228" s="75">
        <f t="shared" si="34"/>
        <v>2227</v>
      </c>
      <c r="B2228" t="s">
        <v>4851</v>
      </c>
      <c r="C2228" t="s">
        <v>7321</v>
      </c>
      <c r="D2228" t="s">
        <v>7265</v>
      </c>
      <c r="E2228" t="s">
        <v>7275</v>
      </c>
      <c r="G2228" t="s">
        <v>63</v>
      </c>
      <c r="H2228" s="75" t="str">
        <f>IFERROR(VLOOKUP(Table2[[#This Row],[Ticket]],Okey!A:B,2,0),"")</f>
        <v>ok</v>
      </c>
      <c r="I2228" t="s">
        <v>19</v>
      </c>
      <c r="J2228" t="str">
        <f>VLOOKUP(Table2[[#This Row],[Author]],People!A:B,2,0)</f>
        <v>MGF</v>
      </c>
      <c r="L2228" s="40"/>
      <c r="M2228" s="40" t="s">
        <v>761</v>
      </c>
    </row>
    <row r="2229" spans="1:13" x14ac:dyDescent="0.25">
      <c r="A2229" s="75">
        <f t="shared" si="34"/>
        <v>2228</v>
      </c>
      <c r="B2229" t="s">
        <v>4851</v>
      </c>
      <c r="C2229" t="s">
        <v>7321</v>
      </c>
      <c r="D2229" t="s">
        <v>7266</v>
      </c>
      <c r="E2229" t="s">
        <v>7276</v>
      </c>
      <c r="G2229" t="s">
        <v>63</v>
      </c>
      <c r="H2229" s="75" t="str">
        <f>IFERROR(VLOOKUP(Table2[[#This Row],[Ticket]],Okey!A:B,2,0),"")</f>
        <v>ok</v>
      </c>
      <c r="I2229" t="s">
        <v>19</v>
      </c>
      <c r="J2229" t="str">
        <f>VLOOKUP(Table2[[#This Row],[Author]],People!A:B,2,0)</f>
        <v>MGF</v>
      </c>
      <c r="L2229" s="40"/>
      <c r="M2229" s="40" t="s">
        <v>761</v>
      </c>
    </row>
    <row r="2230" spans="1:13" x14ac:dyDescent="0.25">
      <c r="A2230" s="75">
        <f t="shared" si="34"/>
        <v>2229</v>
      </c>
      <c r="B2230" t="s">
        <v>4851</v>
      </c>
      <c r="C2230" t="s">
        <v>7321</v>
      </c>
      <c r="D2230" t="s">
        <v>7267</v>
      </c>
      <c r="E2230" t="s">
        <v>7277</v>
      </c>
      <c r="G2230" t="s">
        <v>63</v>
      </c>
      <c r="H2230" s="75" t="str">
        <f>IFERROR(VLOOKUP(Table2[[#This Row],[Ticket]],Okey!A:B,2,0),"")</f>
        <v>ok</v>
      </c>
      <c r="I2230" t="s">
        <v>19</v>
      </c>
      <c r="J2230" t="str">
        <f>VLOOKUP(Table2[[#This Row],[Author]],People!A:B,2,0)</f>
        <v>MGF</v>
      </c>
      <c r="L2230" s="40"/>
      <c r="M2230" s="40" t="s">
        <v>761</v>
      </c>
    </row>
    <row r="2231" spans="1:13" x14ac:dyDescent="0.25">
      <c r="A2231" s="75">
        <f t="shared" si="34"/>
        <v>2230</v>
      </c>
      <c r="B2231" t="s">
        <v>4851</v>
      </c>
      <c r="C2231" t="s">
        <v>7321</v>
      </c>
      <c r="D2231" t="s">
        <v>7268</v>
      </c>
      <c r="E2231" t="s">
        <v>7278</v>
      </c>
      <c r="G2231" t="s">
        <v>63</v>
      </c>
      <c r="H2231" s="75" t="str">
        <f>IFERROR(VLOOKUP(Table2[[#This Row],[Ticket]],Okey!A:B,2,0),"")</f>
        <v>ok</v>
      </c>
      <c r="I2231" t="s">
        <v>19</v>
      </c>
      <c r="J2231" t="str">
        <f>VLOOKUP(Table2[[#This Row],[Author]],People!A:B,2,0)</f>
        <v>MGF</v>
      </c>
      <c r="L2231" s="40"/>
      <c r="M2231" s="40" t="s">
        <v>761</v>
      </c>
    </row>
    <row r="2232" spans="1:13" x14ac:dyDescent="0.25">
      <c r="A2232" s="75">
        <f t="shared" si="34"/>
        <v>2231</v>
      </c>
      <c r="B2232" t="s">
        <v>4851</v>
      </c>
      <c r="C2232" t="s">
        <v>7321</v>
      </c>
      <c r="D2232" t="s">
        <v>7300</v>
      </c>
      <c r="E2232" t="s">
        <v>7279</v>
      </c>
      <c r="F2232" t="s">
        <v>981</v>
      </c>
      <c r="G2232" t="s">
        <v>18</v>
      </c>
      <c r="H2232" s="75" t="str">
        <f>IFERROR(VLOOKUP(Table2[[#This Row],[Ticket]],Okey!A:B,2,0),"")</f>
        <v>ok</v>
      </c>
      <c r="I2232" t="s">
        <v>19</v>
      </c>
      <c r="J2232" t="str">
        <f>VLOOKUP(Table2[[#This Row],[Author]],People!A:B,2,0)</f>
        <v>MGF</v>
      </c>
      <c r="L2232" s="40"/>
      <c r="M2232" s="40" t="s">
        <v>761</v>
      </c>
    </row>
    <row r="2233" spans="1:13" x14ac:dyDescent="0.25">
      <c r="A2233" s="75">
        <f t="shared" si="34"/>
        <v>2232</v>
      </c>
      <c r="B2233" t="s">
        <v>4851</v>
      </c>
      <c r="C2233" t="s">
        <v>7321</v>
      </c>
      <c r="D2233" t="s">
        <v>7301</v>
      </c>
      <c r="E2233" t="s">
        <v>7280</v>
      </c>
      <c r="F2233" t="s">
        <v>987</v>
      </c>
      <c r="G2233" t="s">
        <v>18</v>
      </c>
      <c r="H2233" s="75" t="str">
        <f>IFERROR(VLOOKUP(Table2[[#This Row],[Ticket]],Okey!A:B,2,0),"")</f>
        <v>ok</v>
      </c>
      <c r="I2233" t="s">
        <v>19</v>
      </c>
      <c r="J2233" t="str">
        <f>VLOOKUP(Table2[[#This Row],[Author]],People!A:B,2,0)</f>
        <v>MGF</v>
      </c>
      <c r="L2233" s="40"/>
      <c r="M2233" s="40" t="s">
        <v>761</v>
      </c>
    </row>
    <row r="2234" spans="1:13" x14ac:dyDescent="0.25">
      <c r="A2234" s="75">
        <f t="shared" si="34"/>
        <v>2233</v>
      </c>
      <c r="B2234" t="s">
        <v>4851</v>
      </c>
      <c r="C2234" t="s">
        <v>7321</v>
      </c>
      <c r="D2234" t="s">
        <v>7302</v>
      </c>
      <c r="E2234" t="s">
        <v>7281</v>
      </c>
      <c r="F2234" t="s">
        <v>984</v>
      </c>
      <c r="G2234" t="s">
        <v>18</v>
      </c>
      <c r="H2234" s="75" t="str">
        <f>IFERROR(VLOOKUP(Table2[[#This Row],[Ticket]],Okey!A:B,2,0),"")</f>
        <v>ok</v>
      </c>
      <c r="I2234" t="s">
        <v>19</v>
      </c>
      <c r="J2234" t="str">
        <f>VLOOKUP(Table2[[#This Row],[Author]],People!A:B,2,0)</f>
        <v>MGF</v>
      </c>
      <c r="L2234" s="40"/>
      <c r="M2234" s="40" t="s">
        <v>761</v>
      </c>
    </row>
    <row r="2235" spans="1:13" x14ac:dyDescent="0.25">
      <c r="A2235" s="75">
        <f t="shared" si="34"/>
        <v>2234</v>
      </c>
      <c r="B2235" t="s">
        <v>4851</v>
      </c>
      <c r="C2235" t="s">
        <v>7321</v>
      </c>
      <c r="D2235" t="s">
        <v>7303</v>
      </c>
      <c r="E2235" t="s">
        <v>7282</v>
      </c>
      <c r="F2235" t="s">
        <v>809</v>
      </c>
      <c r="G2235" t="s">
        <v>18</v>
      </c>
      <c r="H2235" s="75" t="str">
        <f>IFERROR(VLOOKUP(Table2[[#This Row],[Ticket]],Okey!A:B,2,0),"")</f>
        <v>ok</v>
      </c>
      <c r="I2235" t="s">
        <v>19</v>
      </c>
      <c r="J2235" t="str">
        <f>VLOOKUP(Table2[[#This Row],[Author]],People!A:B,2,0)</f>
        <v>MGF</v>
      </c>
      <c r="L2235" s="40"/>
      <c r="M2235" s="40" t="s">
        <v>761</v>
      </c>
    </row>
    <row r="2236" spans="1:13" x14ac:dyDescent="0.25">
      <c r="A2236" s="75">
        <f t="shared" si="34"/>
        <v>2235</v>
      </c>
      <c r="B2236" t="s">
        <v>4851</v>
      </c>
      <c r="C2236" t="s">
        <v>7321</v>
      </c>
      <c r="D2236" t="s">
        <v>7304</v>
      </c>
      <c r="E2236" t="s">
        <v>7283</v>
      </c>
      <c r="F2236" t="s">
        <v>809</v>
      </c>
      <c r="G2236" t="s">
        <v>18</v>
      </c>
      <c r="H2236" s="75" t="str">
        <f>IFERROR(VLOOKUP(Table2[[#This Row],[Ticket]],Okey!A:B,2,0),"")</f>
        <v>ok</v>
      </c>
      <c r="I2236" t="s">
        <v>19</v>
      </c>
      <c r="J2236" t="str">
        <f>VLOOKUP(Table2[[#This Row],[Author]],People!A:B,2,0)</f>
        <v>MGF</v>
      </c>
      <c r="L2236" s="40"/>
      <c r="M2236" s="40" t="s">
        <v>761</v>
      </c>
    </row>
    <row r="2237" spans="1:13" x14ac:dyDescent="0.25">
      <c r="A2237" s="75">
        <f t="shared" si="34"/>
        <v>2236</v>
      </c>
      <c r="B2237" t="s">
        <v>4851</v>
      </c>
      <c r="C2237" t="s">
        <v>7321</v>
      </c>
      <c r="D2237" t="s">
        <v>7305</v>
      </c>
      <c r="E2237" t="s">
        <v>7284</v>
      </c>
      <c r="F2237" t="s">
        <v>811</v>
      </c>
      <c r="G2237" t="s">
        <v>18</v>
      </c>
      <c r="H2237" s="75" t="str">
        <f>IFERROR(VLOOKUP(Table2[[#This Row],[Ticket]],Okey!A:B,2,0),"")</f>
        <v>ok</v>
      </c>
      <c r="I2237" t="s">
        <v>19</v>
      </c>
      <c r="J2237" t="str">
        <f>VLOOKUP(Table2[[#This Row],[Author]],People!A:B,2,0)</f>
        <v>MGF</v>
      </c>
      <c r="L2237" s="40"/>
      <c r="M2237" s="40" t="s">
        <v>761</v>
      </c>
    </row>
    <row r="2238" spans="1:13" x14ac:dyDescent="0.25">
      <c r="A2238" s="75">
        <f t="shared" si="34"/>
        <v>2237</v>
      </c>
      <c r="B2238" t="s">
        <v>4851</v>
      </c>
      <c r="C2238" t="s">
        <v>7321</v>
      </c>
      <c r="D2238" t="s">
        <v>7306</v>
      </c>
      <c r="E2238" t="s">
        <v>7285</v>
      </c>
      <c r="F2238" t="s">
        <v>811</v>
      </c>
      <c r="G2238" t="s">
        <v>18</v>
      </c>
      <c r="H2238" s="75" t="str">
        <f>IFERROR(VLOOKUP(Table2[[#This Row],[Ticket]],Okey!A:B,2,0),"")</f>
        <v>ok</v>
      </c>
      <c r="I2238" t="s">
        <v>19</v>
      </c>
      <c r="J2238" t="str">
        <f>VLOOKUP(Table2[[#This Row],[Author]],People!A:B,2,0)</f>
        <v>MGF</v>
      </c>
      <c r="L2238" s="40"/>
      <c r="M2238" s="40" t="s">
        <v>761</v>
      </c>
    </row>
    <row r="2239" spans="1:13" x14ac:dyDescent="0.25">
      <c r="A2239" s="75">
        <f t="shared" si="34"/>
        <v>2238</v>
      </c>
      <c r="B2239" t="s">
        <v>4851</v>
      </c>
      <c r="C2239" t="s">
        <v>7321</v>
      </c>
      <c r="D2239" t="s">
        <v>7307</v>
      </c>
      <c r="E2239" t="s">
        <v>7286</v>
      </c>
      <c r="F2239" t="s">
        <v>813</v>
      </c>
      <c r="G2239" t="s">
        <v>18</v>
      </c>
      <c r="H2239" s="75" t="str">
        <f>IFERROR(VLOOKUP(Table2[[#This Row],[Ticket]],Okey!A:B,2,0),"")</f>
        <v>ok</v>
      </c>
      <c r="I2239" t="s">
        <v>19</v>
      </c>
      <c r="J2239" t="str">
        <f>VLOOKUP(Table2[[#This Row],[Author]],People!A:B,2,0)</f>
        <v>MGF</v>
      </c>
      <c r="L2239" s="40"/>
      <c r="M2239" s="40" t="s">
        <v>761</v>
      </c>
    </row>
    <row r="2240" spans="1:13" x14ac:dyDescent="0.25">
      <c r="A2240" s="75">
        <f t="shared" si="34"/>
        <v>2239</v>
      </c>
      <c r="B2240" t="s">
        <v>4851</v>
      </c>
      <c r="C2240" t="s">
        <v>7321</v>
      </c>
      <c r="D2240" t="s">
        <v>7308</v>
      </c>
      <c r="E2240" t="s">
        <v>7287</v>
      </c>
      <c r="F2240" t="s">
        <v>813</v>
      </c>
      <c r="G2240" t="s">
        <v>18</v>
      </c>
      <c r="H2240" s="75" t="str">
        <f>IFERROR(VLOOKUP(Table2[[#This Row],[Ticket]],Okey!A:B,2,0),"")</f>
        <v>ok</v>
      </c>
      <c r="I2240" t="s">
        <v>19</v>
      </c>
      <c r="J2240" t="str">
        <f>VLOOKUP(Table2[[#This Row],[Author]],People!A:B,2,0)</f>
        <v>MGF</v>
      </c>
      <c r="L2240" s="40"/>
      <c r="M2240" s="40" t="s">
        <v>761</v>
      </c>
    </row>
    <row r="2241" spans="1:13" x14ac:dyDescent="0.25">
      <c r="A2241" s="75">
        <f t="shared" si="34"/>
        <v>2240</v>
      </c>
      <c r="B2241" t="s">
        <v>4851</v>
      </c>
      <c r="C2241" t="s">
        <v>7321</v>
      </c>
      <c r="D2241" t="s">
        <v>7309</v>
      </c>
      <c r="E2241" t="s">
        <v>7288</v>
      </c>
      <c r="F2241" t="s">
        <v>815</v>
      </c>
      <c r="G2241" t="s">
        <v>18</v>
      </c>
      <c r="H2241" s="75" t="str">
        <f>IFERROR(VLOOKUP(Table2[[#This Row],[Ticket]],Okey!A:B,2,0),"")</f>
        <v>ok</v>
      </c>
      <c r="I2241" t="s">
        <v>19</v>
      </c>
      <c r="J2241" t="str">
        <f>VLOOKUP(Table2[[#This Row],[Author]],People!A:B,2,0)</f>
        <v>MGF</v>
      </c>
      <c r="L2241" s="40"/>
      <c r="M2241" s="40" t="s">
        <v>761</v>
      </c>
    </row>
    <row r="2242" spans="1:13" x14ac:dyDescent="0.25">
      <c r="A2242" s="75">
        <f t="shared" si="34"/>
        <v>2241</v>
      </c>
      <c r="B2242" t="s">
        <v>4851</v>
      </c>
      <c r="C2242" t="s">
        <v>7321</v>
      </c>
      <c r="D2242" t="s">
        <v>7310</v>
      </c>
      <c r="E2242" t="s">
        <v>7289</v>
      </c>
      <c r="F2242" t="s">
        <v>815</v>
      </c>
      <c r="G2242" t="s">
        <v>18</v>
      </c>
      <c r="H2242" s="75" t="str">
        <f>IFERROR(VLOOKUP(Table2[[#This Row],[Ticket]],Okey!A:B,2,0),"")</f>
        <v>ok</v>
      </c>
      <c r="I2242" t="s">
        <v>19</v>
      </c>
      <c r="J2242" t="str">
        <f>VLOOKUP(Table2[[#This Row],[Author]],People!A:B,2,0)</f>
        <v>MGF</v>
      </c>
      <c r="L2242" s="40"/>
      <c r="M2242" s="40" t="s">
        <v>761</v>
      </c>
    </row>
    <row r="2243" spans="1:13" x14ac:dyDescent="0.25">
      <c r="A2243" s="75">
        <f t="shared" si="34"/>
        <v>2242</v>
      </c>
      <c r="B2243" t="s">
        <v>4851</v>
      </c>
      <c r="C2243" t="s">
        <v>7321</v>
      </c>
      <c r="D2243" t="s">
        <v>7311</v>
      </c>
      <c r="E2243" t="s">
        <v>7290</v>
      </c>
      <c r="F2243" t="s">
        <v>817</v>
      </c>
      <c r="G2243" t="s">
        <v>18</v>
      </c>
      <c r="H2243" s="75" t="str">
        <f>IFERROR(VLOOKUP(Table2[[#This Row],[Ticket]],Okey!A:B,2,0),"")</f>
        <v>ok</v>
      </c>
      <c r="I2243" t="s">
        <v>19</v>
      </c>
      <c r="J2243" t="str">
        <f>VLOOKUP(Table2[[#This Row],[Author]],People!A:B,2,0)</f>
        <v>MGF</v>
      </c>
      <c r="L2243" s="40"/>
      <c r="M2243" s="40" t="s">
        <v>761</v>
      </c>
    </row>
    <row r="2244" spans="1:13" x14ac:dyDescent="0.25">
      <c r="A2244" s="75">
        <f t="shared" si="34"/>
        <v>2243</v>
      </c>
      <c r="B2244" t="s">
        <v>4851</v>
      </c>
      <c r="C2244" t="s">
        <v>7321</v>
      </c>
      <c r="D2244" t="s">
        <v>7312</v>
      </c>
      <c r="E2244" t="s">
        <v>7291</v>
      </c>
      <c r="F2244" t="s">
        <v>817</v>
      </c>
      <c r="G2244" t="s">
        <v>18</v>
      </c>
      <c r="H2244" s="75" t="str">
        <f>IFERROR(VLOOKUP(Table2[[#This Row],[Ticket]],Okey!A:B,2,0),"")</f>
        <v>ok</v>
      </c>
      <c r="I2244" t="s">
        <v>19</v>
      </c>
      <c r="J2244" t="str">
        <f>VLOOKUP(Table2[[#This Row],[Author]],People!A:B,2,0)</f>
        <v>MGF</v>
      </c>
      <c r="L2244" s="40"/>
      <c r="M2244" s="40" t="s">
        <v>761</v>
      </c>
    </row>
    <row r="2245" spans="1:13" x14ac:dyDescent="0.25">
      <c r="A2245" s="75">
        <f t="shared" si="34"/>
        <v>2244</v>
      </c>
      <c r="B2245" t="s">
        <v>4851</v>
      </c>
      <c r="C2245" t="s">
        <v>7321</v>
      </c>
      <c r="D2245" t="s">
        <v>7313</v>
      </c>
      <c r="E2245" t="s">
        <v>7292</v>
      </c>
      <c r="F2245" t="s">
        <v>819</v>
      </c>
      <c r="G2245" t="s">
        <v>18</v>
      </c>
      <c r="H2245" s="75" t="str">
        <f>IFERROR(VLOOKUP(Table2[[#This Row],[Ticket]],Okey!A:B,2,0),"")</f>
        <v>ok</v>
      </c>
      <c r="I2245" t="s">
        <v>19</v>
      </c>
      <c r="J2245" t="str">
        <f>VLOOKUP(Table2[[#This Row],[Author]],People!A:B,2,0)</f>
        <v>MGF</v>
      </c>
      <c r="L2245" s="40"/>
      <c r="M2245" s="40" t="s">
        <v>761</v>
      </c>
    </row>
    <row r="2246" spans="1:13" x14ac:dyDescent="0.25">
      <c r="A2246" s="75">
        <f t="shared" si="34"/>
        <v>2245</v>
      </c>
      <c r="B2246" t="s">
        <v>4851</v>
      </c>
      <c r="C2246" t="s">
        <v>7321</v>
      </c>
      <c r="D2246" t="s">
        <v>7314</v>
      </c>
      <c r="E2246" t="s">
        <v>7293</v>
      </c>
      <c r="F2246" t="s">
        <v>819</v>
      </c>
      <c r="G2246" t="s">
        <v>18</v>
      </c>
      <c r="H2246" s="75" t="str">
        <f>IFERROR(VLOOKUP(Table2[[#This Row],[Ticket]],Okey!A:B,2,0),"")</f>
        <v>ok</v>
      </c>
      <c r="I2246" t="s">
        <v>19</v>
      </c>
      <c r="J2246" t="str">
        <f>VLOOKUP(Table2[[#This Row],[Author]],People!A:B,2,0)</f>
        <v>MGF</v>
      </c>
      <c r="L2246" s="40"/>
      <c r="M2246" s="40" t="s">
        <v>761</v>
      </c>
    </row>
    <row r="2247" spans="1:13" x14ac:dyDescent="0.25">
      <c r="A2247" s="75">
        <f t="shared" si="34"/>
        <v>2246</v>
      </c>
      <c r="B2247" t="s">
        <v>4851</v>
      </c>
      <c r="C2247" t="s">
        <v>7321</v>
      </c>
      <c r="D2247" t="s">
        <v>7315</v>
      </c>
      <c r="E2247" t="s">
        <v>7294</v>
      </c>
      <c r="F2247" t="s">
        <v>821</v>
      </c>
      <c r="G2247" t="s">
        <v>18</v>
      </c>
      <c r="H2247" s="75" t="str">
        <f>IFERROR(VLOOKUP(Table2[[#This Row],[Ticket]],Okey!A:B,2,0),"")</f>
        <v>ok</v>
      </c>
      <c r="I2247" t="s">
        <v>19</v>
      </c>
      <c r="J2247" t="str">
        <f>VLOOKUP(Table2[[#This Row],[Author]],People!A:B,2,0)</f>
        <v>MGF</v>
      </c>
      <c r="L2247" s="40"/>
      <c r="M2247" s="40" t="s">
        <v>761</v>
      </c>
    </row>
    <row r="2248" spans="1:13" x14ac:dyDescent="0.25">
      <c r="A2248" s="75">
        <f t="shared" si="34"/>
        <v>2247</v>
      </c>
      <c r="B2248" t="s">
        <v>4851</v>
      </c>
      <c r="C2248" t="s">
        <v>7321</v>
      </c>
      <c r="D2248" t="s">
        <v>7316</v>
      </c>
      <c r="E2248" t="s">
        <v>7295</v>
      </c>
      <c r="F2248" t="s">
        <v>821</v>
      </c>
      <c r="G2248" t="s">
        <v>18</v>
      </c>
      <c r="H2248" s="75" t="str">
        <f>IFERROR(VLOOKUP(Table2[[#This Row],[Ticket]],Okey!A:B,2,0),"")</f>
        <v>ok</v>
      </c>
      <c r="I2248" t="s">
        <v>19</v>
      </c>
      <c r="J2248" t="str">
        <f>VLOOKUP(Table2[[#This Row],[Author]],People!A:B,2,0)</f>
        <v>MGF</v>
      </c>
      <c r="L2248" s="40"/>
      <c r="M2248" s="40" t="s">
        <v>761</v>
      </c>
    </row>
    <row r="2249" spans="1:13" x14ac:dyDescent="0.25">
      <c r="A2249" s="75">
        <f t="shared" ref="A2249:A2312" si="35">1+A2248</f>
        <v>2248</v>
      </c>
      <c r="B2249" t="s">
        <v>4851</v>
      </c>
      <c r="C2249" t="s">
        <v>7321</v>
      </c>
      <c r="D2249" t="s">
        <v>7317</v>
      </c>
      <c r="E2249" t="s">
        <v>7296</v>
      </c>
      <c r="F2249" t="s">
        <v>823</v>
      </c>
      <c r="G2249" t="s">
        <v>18</v>
      </c>
      <c r="H2249" s="75" t="str">
        <f>IFERROR(VLOOKUP(Table2[[#This Row],[Ticket]],Okey!A:B,2,0),"")</f>
        <v>ok</v>
      </c>
      <c r="I2249" t="s">
        <v>19</v>
      </c>
      <c r="J2249" t="str">
        <f>VLOOKUP(Table2[[#This Row],[Author]],People!A:B,2,0)</f>
        <v>MGF</v>
      </c>
      <c r="L2249" s="40"/>
      <c r="M2249" s="40" t="s">
        <v>761</v>
      </c>
    </row>
    <row r="2250" spans="1:13" x14ac:dyDescent="0.25">
      <c r="A2250" s="75">
        <f t="shared" si="35"/>
        <v>2249</v>
      </c>
      <c r="B2250" t="s">
        <v>4851</v>
      </c>
      <c r="C2250" t="s">
        <v>7321</v>
      </c>
      <c r="D2250" t="s">
        <v>7318</v>
      </c>
      <c r="E2250" t="s">
        <v>7297</v>
      </c>
      <c r="F2250" t="s">
        <v>823</v>
      </c>
      <c r="G2250" t="s">
        <v>18</v>
      </c>
      <c r="H2250" s="75" t="str">
        <f>IFERROR(VLOOKUP(Table2[[#This Row],[Ticket]],Okey!A:B,2,0),"")</f>
        <v>ok</v>
      </c>
      <c r="I2250" t="s">
        <v>19</v>
      </c>
      <c r="J2250" t="str">
        <f>VLOOKUP(Table2[[#This Row],[Author]],People!A:B,2,0)</f>
        <v>MGF</v>
      </c>
      <c r="L2250" s="40"/>
      <c r="M2250" s="40" t="s">
        <v>761</v>
      </c>
    </row>
    <row r="2251" spans="1:13" x14ac:dyDescent="0.25">
      <c r="A2251" s="75">
        <f t="shared" si="35"/>
        <v>2250</v>
      </c>
      <c r="B2251" t="s">
        <v>4851</v>
      </c>
      <c r="C2251" t="s">
        <v>7321</v>
      </c>
      <c r="D2251" t="s">
        <v>7319</v>
      </c>
      <c r="E2251" t="s">
        <v>7298</v>
      </c>
      <c r="F2251" t="s">
        <v>2411</v>
      </c>
      <c r="G2251" t="s">
        <v>18</v>
      </c>
      <c r="H2251" s="75" t="str">
        <f>IFERROR(VLOOKUP(Table2[[#This Row],[Ticket]],Okey!A:B,2,0),"")</f>
        <v>ok</v>
      </c>
      <c r="I2251" t="s">
        <v>19</v>
      </c>
      <c r="J2251" t="str">
        <f>VLOOKUP(Table2[[#This Row],[Author]],People!A:B,2,0)</f>
        <v>MGF</v>
      </c>
      <c r="L2251" s="40"/>
      <c r="M2251" s="40" t="s">
        <v>761</v>
      </c>
    </row>
    <row r="2252" spans="1:13" x14ac:dyDescent="0.25">
      <c r="A2252" s="75">
        <f t="shared" si="35"/>
        <v>2251</v>
      </c>
      <c r="B2252" t="s">
        <v>4851</v>
      </c>
      <c r="C2252" t="s">
        <v>7321</v>
      </c>
      <c r="D2252" t="s">
        <v>7320</v>
      </c>
      <c r="E2252" t="s">
        <v>7299</v>
      </c>
      <c r="F2252" t="s">
        <v>2411</v>
      </c>
      <c r="G2252" t="s">
        <v>18</v>
      </c>
      <c r="H2252" s="75" t="str">
        <f>IFERROR(VLOOKUP(Table2[[#This Row],[Ticket]],Okey!A:B,2,0),"")</f>
        <v>ok</v>
      </c>
      <c r="I2252" t="s">
        <v>19</v>
      </c>
      <c r="J2252" t="str">
        <f>VLOOKUP(Table2[[#This Row],[Author]],People!A:B,2,0)</f>
        <v>MGF</v>
      </c>
      <c r="L2252" s="40"/>
      <c r="M2252" s="40" t="s">
        <v>761</v>
      </c>
    </row>
    <row r="2253" spans="1:13" x14ac:dyDescent="0.25">
      <c r="A2253" s="75">
        <f t="shared" si="35"/>
        <v>2252</v>
      </c>
      <c r="B2253" t="s">
        <v>4851</v>
      </c>
      <c r="C2253" t="s">
        <v>7321</v>
      </c>
      <c r="D2253" t="s">
        <v>2408</v>
      </c>
      <c r="F2253" t="s">
        <v>795</v>
      </c>
      <c r="G2253" t="s">
        <v>24</v>
      </c>
      <c r="H2253" s="75" t="str">
        <f>IFERROR(VLOOKUP(Table2[[#This Row],[Ticket]],Okey!A:B,2,0),"")</f>
        <v>ok</v>
      </c>
      <c r="I2253" t="s">
        <v>19</v>
      </c>
      <c r="J2253" t="str">
        <f>VLOOKUP(Table2[[#This Row],[Author]],People!A:B,2,0)</f>
        <v>MGF</v>
      </c>
      <c r="L2253" s="40"/>
      <c r="M2253" s="40" t="s">
        <v>761</v>
      </c>
    </row>
    <row r="2254" spans="1:13" x14ac:dyDescent="0.25">
      <c r="A2254" s="75">
        <f t="shared" si="35"/>
        <v>2253</v>
      </c>
      <c r="B2254" t="s">
        <v>4851</v>
      </c>
      <c r="C2254" t="s">
        <v>7323</v>
      </c>
      <c r="D2254" t="s">
        <v>4247</v>
      </c>
      <c r="F2254" t="s">
        <v>7217</v>
      </c>
      <c r="G2254" t="s">
        <v>24</v>
      </c>
      <c r="H2254" s="75" t="str">
        <f>IFERROR(VLOOKUP(Table2[[#This Row],[Ticket]],Okey!A:B,2,0),"")</f>
        <v>ok</v>
      </c>
      <c r="I2254" t="s">
        <v>19</v>
      </c>
      <c r="J2254" t="str">
        <f>VLOOKUP(Table2[[#This Row],[Author]],People!A:B,2,0)</f>
        <v>HC</v>
      </c>
      <c r="L2254" s="40"/>
      <c r="M2254" s="40" t="s">
        <v>7322</v>
      </c>
    </row>
    <row r="2255" spans="1:13" x14ac:dyDescent="0.25">
      <c r="A2255" s="75">
        <f t="shared" si="35"/>
        <v>2254</v>
      </c>
      <c r="B2255" t="s">
        <v>4851</v>
      </c>
      <c r="C2255" t="s">
        <v>7324</v>
      </c>
      <c r="D2255" t="s">
        <v>7418</v>
      </c>
      <c r="E2255" t="s">
        <v>7325</v>
      </c>
      <c r="F2255" t="s">
        <v>7326</v>
      </c>
      <c r="G2255" t="s">
        <v>18</v>
      </c>
      <c r="H2255" s="75" t="str">
        <f>IFERROR(VLOOKUP(Table2[[#This Row],[Ticket]],Okey!A:B,2,0),"")</f>
        <v>ok</v>
      </c>
      <c r="I2255" t="s">
        <v>19</v>
      </c>
      <c r="J2255" t="str">
        <f>VLOOKUP(Table2[[#This Row],[Author]],People!A:B,2,0)</f>
        <v>LS</v>
      </c>
      <c r="L2255" s="40"/>
      <c r="M2255" s="40" t="s">
        <v>1040</v>
      </c>
    </row>
    <row r="2256" spans="1:13" x14ac:dyDescent="0.25">
      <c r="A2256" s="75">
        <f t="shared" si="35"/>
        <v>2255</v>
      </c>
      <c r="B2256" t="s">
        <v>4851</v>
      </c>
      <c r="C2256" t="s">
        <v>7324</v>
      </c>
      <c r="D2256" t="s">
        <v>7419</v>
      </c>
      <c r="E2256" t="s">
        <v>7327</v>
      </c>
      <c r="F2256" t="s">
        <v>7328</v>
      </c>
      <c r="G2256" t="s">
        <v>18</v>
      </c>
      <c r="H2256" s="75" t="str">
        <f>IFERROR(VLOOKUP(Table2[[#This Row],[Ticket]],Okey!A:B,2,0),"")</f>
        <v>ok</v>
      </c>
      <c r="I2256" t="s">
        <v>19</v>
      </c>
      <c r="J2256" t="str">
        <f>VLOOKUP(Table2[[#This Row],[Author]],People!A:B,2,0)</f>
        <v>LS</v>
      </c>
      <c r="L2256" s="40"/>
      <c r="M2256" s="40" t="s">
        <v>1040</v>
      </c>
    </row>
    <row r="2257" spans="1:13" x14ac:dyDescent="0.25">
      <c r="A2257" s="75">
        <f t="shared" si="35"/>
        <v>2256</v>
      </c>
      <c r="B2257" t="s">
        <v>4851</v>
      </c>
      <c r="C2257" t="s">
        <v>7324</v>
      </c>
      <c r="D2257" t="s">
        <v>7420</v>
      </c>
      <c r="E2257" t="s">
        <v>7329</v>
      </c>
      <c r="F2257" t="s">
        <v>7328</v>
      </c>
      <c r="G2257" t="s">
        <v>18</v>
      </c>
      <c r="H2257" s="75" t="str">
        <f>IFERROR(VLOOKUP(Table2[[#This Row],[Ticket]],Okey!A:B,2,0),"")</f>
        <v>ok</v>
      </c>
      <c r="I2257" t="s">
        <v>19</v>
      </c>
      <c r="J2257" t="str">
        <f>VLOOKUP(Table2[[#This Row],[Author]],People!A:B,2,0)</f>
        <v>LS</v>
      </c>
      <c r="L2257" s="40"/>
      <c r="M2257" s="40" t="s">
        <v>1040</v>
      </c>
    </row>
    <row r="2258" spans="1:13" x14ac:dyDescent="0.25">
      <c r="A2258" s="75">
        <f t="shared" si="35"/>
        <v>2257</v>
      </c>
      <c r="B2258" t="s">
        <v>4851</v>
      </c>
      <c r="C2258" t="s">
        <v>7324</v>
      </c>
      <c r="D2258" t="s">
        <v>7421</v>
      </c>
      <c r="E2258" t="s">
        <v>7330</v>
      </c>
      <c r="F2258" t="s">
        <v>7328</v>
      </c>
      <c r="G2258" t="s">
        <v>18</v>
      </c>
      <c r="H2258" s="75" t="str">
        <f>IFERROR(VLOOKUP(Table2[[#This Row],[Ticket]],Okey!A:B,2,0),"")</f>
        <v>ok</v>
      </c>
      <c r="I2258" t="s">
        <v>19</v>
      </c>
      <c r="J2258" t="str">
        <f>VLOOKUP(Table2[[#This Row],[Author]],People!A:B,2,0)</f>
        <v>LS</v>
      </c>
      <c r="L2258" s="40"/>
      <c r="M2258" s="40" t="s">
        <v>1040</v>
      </c>
    </row>
    <row r="2259" spans="1:13" x14ac:dyDescent="0.25">
      <c r="A2259" s="75">
        <f t="shared" si="35"/>
        <v>2258</v>
      </c>
      <c r="B2259" t="s">
        <v>4851</v>
      </c>
      <c r="C2259" t="s">
        <v>7324</v>
      </c>
      <c r="D2259" t="s">
        <v>7422</v>
      </c>
      <c r="E2259" t="s">
        <v>7331</v>
      </c>
      <c r="F2259" t="s">
        <v>2554</v>
      </c>
      <c r="G2259" t="s">
        <v>18</v>
      </c>
      <c r="H2259" s="75" t="str">
        <f>IFERROR(VLOOKUP(Table2[[#This Row],[Ticket]],Okey!A:B,2,0),"")</f>
        <v>ok</v>
      </c>
      <c r="I2259" t="s">
        <v>19</v>
      </c>
      <c r="J2259" t="str">
        <f>VLOOKUP(Table2[[#This Row],[Author]],People!A:B,2,0)</f>
        <v>LS</v>
      </c>
      <c r="L2259" s="40"/>
      <c r="M2259" s="40" t="s">
        <v>1040</v>
      </c>
    </row>
    <row r="2260" spans="1:13" x14ac:dyDescent="0.25">
      <c r="A2260" s="75">
        <f t="shared" si="35"/>
        <v>2259</v>
      </c>
      <c r="B2260" t="s">
        <v>4851</v>
      </c>
      <c r="C2260" t="s">
        <v>7324</v>
      </c>
      <c r="D2260" t="s">
        <v>7423</v>
      </c>
      <c r="E2260" t="s">
        <v>7332</v>
      </c>
      <c r="F2260" t="s">
        <v>7333</v>
      </c>
      <c r="G2260" t="s">
        <v>18</v>
      </c>
      <c r="H2260" s="75" t="str">
        <f>IFERROR(VLOOKUP(Table2[[#This Row],[Ticket]],Okey!A:B,2,0),"")</f>
        <v>ok</v>
      </c>
      <c r="I2260" t="s">
        <v>19</v>
      </c>
      <c r="J2260" t="str">
        <f>VLOOKUP(Table2[[#This Row],[Author]],People!A:B,2,0)</f>
        <v>LS</v>
      </c>
      <c r="L2260" s="40"/>
      <c r="M2260" s="40" t="s">
        <v>1040</v>
      </c>
    </row>
    <row r="2261" spans="1:13" x14ac:dyDescent="0.25">
      <c r="A2261" s="75">
        <f t="shared" si="35"/>
        <v>2260</v>
      </c>
      <c r="B2261" t="s">
        <v>4851</v>
      </c>
      <c r="C2261" t="s">
        <v>7324</v>
      </c>
      <c r="D2261" t="s">
        <v>7424</v>
      </c>
      <c r="E2261" t="s">
        <v>7334</v>
      </c>
      <c r="F2261" t="s">
        <v>7425</v>
      </c>
      <c r="G2261" t="s">
        <v>18</v>
      </c>
      <c r="H2261" s="75" t="str">
        <f>IFERROR(VLOOKUP(Table2[[#This Row],[Ticket]],Okey!A:B,2,0),"")</f>
        <v>ok</v>
      </c>
      <c r="I2261" t="s">
        <v>19</v>
      </c>
      <c r="J2261" t="str">
        <f>VLOOKUP(Table2[[#This Row],[Author]],People!A:B,2,0)</f>
        <v>LS</v>
      </c>
      <c r="L2261" s="40"/>
      <c r="M2261" s="40" t="s">
        <v>1040</v>
      </c>
    </row>
    <row r="2262" spans="1:13" x14ac:dyDescent="0.25">
      <c r="A2262" s="75">
        <f t="shared" si="35"/>
        <v>2261</v>
      </c>
      <c r="B2262" t="s">
        <v>4851</v>
      </c>
      <c r="C2262" t="s">
        <v>7324</v>
      </c>
      <c r="D2262" t="s">
        <v>7425</v>
      </c>
      <c r="E2262" t="s">
        <v>7335</v>
      </c>
      <c r="F2262" t="s">
        <v>7423</v>
      </c>
      <c r="G2262" t="s">
        <v>18</v>
      </c>
      <c r="H2262" s="75" t="str">
        <f>IFERROR(VLOOKUP(Table2[[#This Row],[Ticket]],Okey!A:B,2,0),"")</f>
        <v>ok</v>
      </c>
      <c r="I2262" t="s">
        <v>19</v>
      </c>
      <c r="J2262" t="str">
        <f>VLOOKUP(Table2[[#This Row],[Author]],People!A:B,2,0)</f>
        <v>LS</v>
      </c>
      <c r="L2262" s="40"/>
      <c r="M2262" s="40" t="s">
        <v>1040</v>
      </c>
    </row>
    <row r="2263" spans="1:13" x14ac:dyDescent="0.25">
      <c r="A2263" s="75">
        <f t="shared" si="35"/>
        <v>2262</v>
      </c>
      <c r="B2263" t="s">
        <v>4851</v>
      </c>
      <c r="C2263" t="s">
        <v>7324</v>
      </c>
      <c r="D2263" t="s">
        <v>7426</v>
      </c>
      <c r="E2263" t="s">
        <v>7336</v>
      </c>
      <c r="F2263" t="s">
        <v>7333</v>
      </c>
      <c r="G2263" t="s">
        <v>18</v>
      </c>
      <c r="H2263" s="75" t="str">
        <f>IFERROR(VLOOKUP(Table2[[#This Row],[Ticket]],Okey!A:B,2,0),"")</f>
        <v>ok</v>
      </c>
      <c r="I2263" t="s">
        <v>19</v>
      </c>
      <c r="J2263" t="str">
        <f>VLOOKUP(Table2[[#This Row],[Author]],People!A:B,2,0)</f>
        <v>LS</v>
      </c>
      <c r="L2263" s="40"/>
      <c r="M2263" s="40" t="s">
        <v>1040</v>
      </c>
    </row>
    <row r="2264" spans="1:13" x14ac:dyDescent="0.25">
      <c r="A2264" s="75">
        <f t="shared" si="35"/>
        <v>2263</v>
      </c>
      <c r="B2264" t="s">
        <v>4851</v>
      </c>
      <c r="C2264" t="s">
        <v>7324</v>
      </c>
      <c r="D2264" t="s">
        <v>7427</v>
      </c>
      <c r="E2264" t="s">
        <v>7337</v>
      </c>
      <c r="F2264" t="s">
        <v>5112</v>
      </c>
      <c r="G2264" t="s">
        <v>18</v>
      </c>
      <c r="H2264" s="75" t="str">
        <f>IFERROR(VLOOKUP(Table2[[#This Row],[Ticket]],Okey!A:B,2,0),"")</f>
        <v>ok</v>
      </c>
      <c r="I2264" t="s">
        <v>19</v>
      </c>
      <c r="J2264" t="str">
        <f>VLOOKUP(Table2[[#This Row],[Author]],People!A:B,2,0)</f>
        <v>LS</v>
      </c>
      <c r="L2264" s="40"/>
      <c r="M2264" s="40" t="s">
        <v>1040</v>
      </c>
    </row>
    <row r="2265" spans="1:13" x14ac:dyDescent="0.25">
      <c r="A2265" s="75">
        <f t="shared" si="35"/>
        <v>2264</v>
      </c>
      <c r="B2265" t="s">
        <v>4851</v>
      </c>
      <c r="C2265" t="s">
        <v>7324</v>
      </c>
      <c r="D2265" t="s">
        <v>7428</v>
      </c>
      <c r="E2265" t="s">
        <v>7338</v>
      </c>
      <c r="F2265" t="s">
        <v>7339</v>
      </c>
      <c r="G2265" t="s">
        <v>18</v>
      </c>
      <c r="H2265" s="75" t="str">
        <f>IFERROR(VLOOKUP(Table2[[#This Row],[Ticket]],Okey!A:B,2,0),"")</f>
        <v>ok</v>
      </c>
      <c r="I2265" t="s">
        <v>19</v>
      </c>
      <c r="J2265" t="str">
        <f>VLOOKUP(Table2[[#This Row],[Author]],People!A:B,2,0)</f>
        <v>LS</v>
      </c>
      <c r="L2265" s="40"/>
      <c r="M2265" s="40" t="s">
        <v>1040</v>
      </c>
    </row>
    <row r="2266" spans="1:13" x14ac:dyDescent="0.25">
      <c r="A2266" s="75">
        <f t="shared" si="35"/>
        <v>2265</v>
      </c>
      <c r="B2266" t="s">
        <v>4851</v>
      </c>
      <c r="C2266" t="s">
        <v>7324</v>
      </c>
      <c r="D2266" t="s">
        <v>7429</v>
      </c>
      <c r="E2266" t="s">
        <v>7340</v>
      </c>
      <c r="F2266" t="s">
        <v>7339</v>
      </c>
      <c r="G2266" t="s">
        <v>18</v>
      </c>
      <c r="H2266" s="75" t="str">
        <f>IFERROR(VLOOKUP(Table2[[#This Row],[Ticket]],Okey!A:B,2,0),"")</f>
        <v>ok</v>
      </c>
      <c r="I2266" t="s">
        <v>19</v>
      </c>
      <c r="J2266" t="str">
        <f>VLOOKUP(Table2[[#This Row],[Author]],People!A:B,2,0)</f>
        <v>LS</v>
      </c>
      <c r="L2266" s="40"/>
      <c r="M2266" s="40" t="s">
        <v>1040</v>
      </c>
    </row>
    <row r="2267" spans="1:13" x14ac:dyDescent="0.25">
      <c r="A2267" s="75">
        <f t="shared" si="35"/>
        <v>2266</v>
      </c>
      <c r="B2267" t="s">
        <v>4851</v>
      </c>
      <c r="C2267" t="s">
        <v>7324</v>
      </c>
      <c r="D2267" t="s">
        <v>7430</v>
      </c>
      <c r="E2267" t="s">
        <v>7341</v>
      </c>
      <c r="F2267" t="s">
        <v>7333</v>
      </c>
      <c r="G2267" t="s">
        <v>18</v>
      </c>
      <c r="H2267" s="75" t="str">
        <f>IFERROR(VLOOKUP(Table2[[#This Row],[Ticket]],Okey!A:B,2,0),"")</f>
        <v>ok</v>
      </c>
      <c r="I2267" t="s">
        <v>19</v>
      </c>
      <c r="J2267" t="str">
        <f>VLOOKUP(Table2[[#This Row],[Author]],People!A:B,2,0)</f>
        <v>LS</v>
      </c>
      <c r="L2267" s="40"/>
      <c r="M2267" s="40" t="s">
        <v>1040</v>
      </c>
    </row>
    <row r="2268" spans="1:13" x14ac:dyDescent="0.25">
      <c r="A2268" s="75">
        <f t="shared" si="35"/>
        <v>2267</v>
      </c>
      <c r="B2268" t="s">
        <v>4851</v>
      </c>
      <c r="C2268" t="s">
        <v>7324</v>
      </c>
      <c r="D2268" t="s">
        <v>7431</v>
      </c>
      <c r="E2268" t="s">
        <v>7342</v>
      </c>
      <c r="F2268" t="s">
        <v>7343</v>
      </c>
      <c r="G2268" t="s">
        <v>18</v>
      </c>
      <c r="H2268" s="75" t="str">
        <f>IFERROR(VLOOKUP(Table2[[#This Row],[Ticket]],Okey!A:B,2,0),"")</f>
        <v>ok</v>
      </c>
      <c r="I2268" t="s">
        <v>19</v>
      </c>
      <c r="J2268" t="str">
        <f>VLOOKUP(Table2[[#This Row],[Author]],People!A:B,2,0)</f>
        <v>LS</v>
      </c>
      <c r="L2268" s="40"/>
      <c r="M2268" s="40" t="s">
        <v>1040</v>
      </c>
    </row>
    <row r="2269" spans="1:13" x14ac:dyDescent="0.25">
      <c r="A2269" s="75">
        <f t="shared" si="35"/>
        <v>2268</v>
      </c>
      <c r="B2269" t="s">
        <v>4851</v>
      </c>
      <c r="C2269" t="s">
        <v>7324</v>
      </c>
      <c r="D2269" t="s">
        <v>7432</v>
      </c>
      <c r="E2269" t="s">
        <v>7344</v>
      </c>
      <c r="F2269" t="s">
        <v>7333</v>
      </c>
      <c r="G2269" t="s">
        <v>18</v>
      </c>
      <c r="H2269" s="75" t="str">
        <f>IFERROR(VLOOKUP(Table2[[#This Row],[Ticket]],Okey!A:B,2,0),"")</f>
        <v>ok</v>
      </c>
      <c r="I2269" t="s">
        <v>19</v>
      </c>
      <c r="J2269" t="str">
        <f>VLOOKUP(Table2[[#This Row],[Author]],People!A:B,2,0)</f>
        <v>LS</v>
      </c>
      <c r="L2269" s="40"/>
      <c r="M2269" s="40" t="s">
        <v>1040</v>
      </c>
    </row>
    <row r="2270" spans="1:13" x14ac:dyDescent="0.25">
      <c r="A2270" s="75">
        <f t="shared" si="35"/>
        <v>2269</v>
      </c>
      <c r="B2270" t="s">
        <v>4851</v>
      </c>
      <c r="C2270" t="s">
        <v>7324</v>
      </c>
      <c r="D2270" t="s">
        <v>7433</v>
      </c>
      <c r="E2270" t="s">
        <v>7345</v>
      </c>
      <c r="F2270" t="s">
        <v>7346</v>
      </c>
      <c r="G2270" t="s">
        <v>18</v>
      </c>
      <c r="H2270" s="75" t="str">
        <f>IFERROR(VLOOKUP(Table2[[#This Row],[Ticket]],Okey!A:B,2,0),"")</f>
        <v>ok</v>
      </c>
      <c r="I2270" t="s">
        <v>19</v>
      </c>
      <c r="J2270" t="str">
        <f>VLOOKUP(Table2[[#This Row],[Author]],People!A:B,2,0)</f>
        <v>LS</v>
      </c>
      <c r="L2270" s="40"/>
      <c r="M2270" s="40" t="s">
        <v>1040</v>
      </c>
    </row>
    <row r="2271" spans="1:13" x14ac:dyDescent="0.25">
      <c r="A2271" s="75">
        <f t="shared" si="35"/>
        <v>2270</v>
      </c>
      <c r="B2271" t="s">
        <v>4851</v>
      </c>
      <c r="C2271" t="s">
        <v>7324</v>
      </c>
      <c r="D2271" t="s">
        <v>7434</v>
      </c>
      <c r="E2271" t="s">
        <v>7347</v>
      </c>
      <c r="F2271" t="s">
        <v>1315</v>
      </c>
      <c r="G2271" t="s">
        <v>18</v>
      </c>
      <c r="H2271" s="75" t="str">
        <f>IFERROR(VLOOKUP(Table2[[#This Row],[Ticket]],Okey!A:B,2,0),"")</f>
        <v>ok</v>
      </c>
      <c r="I2271" t="s">
        <v>19</v>
      </c>
      <c r="J2271" t="str">
        <f>VLOOKUP(Table2[[#This Row],[Author]],People!A:B,2,0)</f>
        <v>LS</v>
      </c>
      <c r="L2271" s="40"/>
      <c r="M2271" s="40" t="s">
        <v>1040</v>
      </c>
    </row>
    <row r="2272" spans="1:13" x14ac:dyDescent="0.25">
      <c r="A2272" s="75">
        <f t="shared" si="35"/>
        <v>2271</v>
      </c>
      <c r="B2272" t="s">
        <v>4851</v>
      </c>
      <c r="C2272" t="s">
        <v>7324</v>
      </c>
      <c r="D2272" t="s">
        <v>7435</v>
      </c>
      <c r="E2272" t="s">
        <v>7348</v>
      </c>
      <c r="F2272" t="s">
        <v>1315</v>
      </c>
      <c r="G2272" t="s">
        <v>18</v>
      </c>
      <c r="H2272" s="75" t="str">
        <f>IFERROR(VLOOKUP(Table2[[#This Row],[Ticket]],Okey!A:B,2,0),"")</f>
        <v>ok</v>
      </c>
      <c r="I2272" t="s">
        <v>19</v>
      </c>
      <c r="J2272" t="str">
        <f>VLOOKUP(Table2[[#This Row],[Author]],People!A:B,2,0)</f>
        <v>LS</v>
      </c>
      <c r="L2272" s="40"/>
      <c r="M2272" s="40" t="s">
        <v>1040</v>
      </c>
    </row>
    <row r="2273" spans="1:13" x14ac:dyDescent="0.25">
      <c r="A2273" s="75">
        <f t="shared" si="35"/>
        <v>2272</v>
      </c>
      <c r="B2273" t="s">
        <v>4851</v>
      </c>
      <c r="C2273" t="s">
        <v>7324</v>
      </c>
      <c r="D2273" t="s">
        <v>7436</v>
      </c>
      <c r="E2273" t="s">
        <v>7349</v>
      </c>
      <c r="F2273" t="s">
        <v>1294</v>
      </c>
      <c r="G2273" t="s">
        <v>18</v>
      </c>
      <c r="H2273" s="75" t="str">
        <f>IFERROR(VLOOKUP(Table2[[#This Row],[Ticket]],Okey!A:B,2,0),"")</f>
        <v>ok</v>
      </c>
      <c r="I2273" t="s">
        <v>19</v>
      </c>
      <c r="J2273" t="str">
        <f>VLOOKUP(Table2[[#This Row],[Author]],People!A:B,2,0)</f>
        <v>LS</v>
      </c>
      <c r="L2273" s="40"/>
      <c r="M2273" s="40" t="s">
        <v>1040</v>
      </c>
    </row>
    <row r="2274" spans="1:13" x14ac:dyDescent="0.25">
      <c r="A2274" s="75">
        <f t="shared" si="35"/>
        <v>2273</v>
      </c>
      <c r="B2274" t="s">
        <v>4851</v>
      </c>
      <c r="C2274" t="s">
        <v>7324</v>
      </c>
      <c r="D2274" t="s">
        <v>7437</v>
      </c>
      <c r="E2274" t="s">
        <v>7350</v>
      </c>
      <c r="F2274" t="s">
        <v>7351</v>
      </c>
      <c r="G2274" t="s">
        <v>18</v>
      </c>
      <c r="H2274" s="75" t="str">
        <f>IFERROR(VLOOKUP(Table2[[#This Row],[Ticket]],Okey!A:B,2,0),"")</f>
        <v>ok</v>
      </c>
      <c r="I2274" t="s">
        <v>19</v>
      </c>
      <c r="J2274" t="str">
        <f>VLOOKUP(Table2[[#This Row],[Author]],People!A:B,2,0)</f>
        <v>LS</v>
      </c>
      <c r="L2274" s="40"/>
      <c r="M2274" s="40" t="s">
        <v>1040</v>
      </c>
    </row>
    <row r="2275" spans="1:13" x14ac:dyDescent="0.25">
      <c r="A2275" s="75">
        <f t="shared" si="35"/>
        <v>2274</v>
      </c>
      <c r="B2275" t="s">
        <v>4851</v>
      </c>
      <c r="C2275" t="s">
        <v>7324</v>
      </c>
      <c r="D2275" t="s">
        <v>7438</v>
      </c>
      <c r="E2275" t="s">
        <v>7352</v>
      </c>
      <c r="F2275" t="s">
        <v>1048</v>
      </c>
      <c r="G2275" t="s">
        <v>18</v>
      </c>
      <c r="H2275" s="75" t="str">
        <f>IFERROR(VLOOKUP(Table2[[#This Row],[Ticket]],Okey!A:B,2,0),"")</f>
        <v>ok</v>
      </c>
      <c r="I2275" t="s">
        <v>19</v>
      </c>
      <c r="J2275" t="str">
        <f>VLOOKUP(Table2[[#This Row],[Author]],People!A:B,2,0)</f>
        <v>LS</v>
      </c>
      <c r="L2275" s="40"/>
      <c r="M2275" s="40" t="s">
        <v>1040</v>
      </c>
    </row>
    <row r="2276" spans="1:13" x14ac:dyDescent="0.25">
      <c r="A2276" s="75">
        <f t="shared" si="35"/>
        <v>2275</v>
      </c>
      <c r="B2276" t="s">
        <v>4851</v>
      </c>
      <c r="C2276" t="s">
        <v>7324</v>
      </c>
      <c r="D2276" t="s">
        <v>7439</v>
      </c>
      <c r="E2276" t="s">
        <v>7353</v>
      </c>
      <c r="F2276" t="s">
        <v>7354</v>
      </c>
      <c r="G2276" t="s">
        <v>18</v>
      </c>
      <c r="H2276" s="75" t="str">
        <f>IFERROR(VLOOKUP(Table2[[#This Row],[Ticket]],Okey!A:B,2,0),"")</f>
        <v>ok</v>
      </c>
      <c r="I2276" t="s">
        <v>19</v>
      </c>
      <c r="J2276" t="str">
        <f>VLOOKUP(Table2[[#This Row],[Author]],People!A:B,2,0)</f>
        <v>LS</v>
      </c>
      <c r="L2276" s="40"/>
      <c r="M2276" s="40" t="s">
        <v>1040</v>
      </c>
    </row>
    <row r="2277" spans="1:13" x14ac:dyDescent="0.25">
      <c r="A2277" s="75">
        <f t="shared" si="35"/>
        <v>2276</v>
      </c>
      <c r="B2277" t="s">
        <v>4851</v>
      </c>
      <c r="C2277" t="s">
        <v>7324</v>
      </c>
      <c r="D2277" t="s">
        <v>7440</v>
      </c>
      <c r="E2277" t="s">
        <v>7355</v>
      </c>
      <c r="F2277" t="s">
        <v>7354</v>
      </c>
      <c r="G2277" t="s">
        <v>18</v>
      </c>
      <c r="H2277" s="75" t="str">
        <f>IFERROR(VLOOKUP(Table2[[#This Row],[Ticket]],Okey!A:B,2,0),"")</f>
        <v>ok</v>
      </c>
      <c r="I2277" t="s">
        <v>19</v>
      </c>
      <c r="J2277" t="str">
        <f>VLOOKUP(Table2[[#This Row],[Author]],People!A:B,2,0)</f>
        <v>LS</v>
      </c>
      <c r="L2277" s="40"/>
      <c r="M2277" s="40" t="s">
        <v>1040</v>
      </c>
    </row>
    <row r="2278" spans="1:13" x14ac:dyDescent="0.25">
      <c r="A2278" s="75">
        <f t="shared" si="35"/>
        <v>2277</v>
      </c>
      <c r="B2278" t="s">
        <v>4851</v>
      </c>
      <c r="C2278" t="s">
        <v>7324</v>
      </c>
      <c r="D2278" t="s">
        <v>7441</v>
      </c>
      <c r="E2278" t="s">
        <v>7356</v>
      </c>
      <c r="F2278" t="s">
        <v>7354</v>
      </c>
      <c r="G2278" t="s">
        <v>18</v>
      </c>
      <c r="H2278" s="75" t="str">
        <f>IFERROR(VLOOKUP(Table2[[#This Row],[Ticket]],Okey!A:B,2,0),"")</f>
        <v>ok</v>
      </c>
      <c r="I2278" t="s">
        <v>19</v>
      </c>
      <c r="J2278" t="str">
        <f>VLOOKUP(Table2[[#This Row],[Author]],People!A:B,2,0)</f>
        <v>LS</v>
      </c>
      <c r="L2278" s="40"/>
      <c r="M2278" s="40" t="s">
        <v>1040</v>
      </c>
    </row>
    <row r="2279" spans="1:13" x14ac:dyDescent="0.25">
      <c r="A2279" s="75">
        <f t="shared" si="35"/>
        <v>2278</v>
      </c>
      <c r="B2279" t="s">
        <v>4851</v>
      </c>
      <c r="C2279" t="s">
        <v>7324</v>
      </c>
      <c r="D2279" t="s">
        <v>7442</v>
      </c>
      <c r="E2279" t="s">
        <v>7357</v>
      </c>
      <c r="F2279" t="s">
        <v>7354</v>
      </c>
      <c r="G2279" t="s">
        <v>18</v>
      </c>
      <c r="H2279" s="75" t="str">
        <f>IFERROR(VLOOKUP(Table2[[#This Row],[Ticket]],Okey!A:B,2,0),"")</f>
        <v>ok</v>
      </c>
      <c r="I2279" t="s">
        <v>19</v>
      </c>
      <c r="J2279" t="str">
        <f>VLOOKUP(Table2[[#This Row],[Author]],People!A:B,2,0)</f>
        <v>LS</v>
      </c>
      <c r="L2279" s="40"/>
      <c r="M2279" s="40" t="s">
        <v>1040</v>
      </c>
    </row>
    <row r="2280" spans="1:13" x14ac:dyDescent="0.25">
      <c r="A2280" s="75">
        <f t="shared" si="35"/>
        <v>2279</v>
      </c>
      <c r="B2280" t="s">
        <v>4851</v>
      </c>
      <c r="C2280" t="s">
        <v>7324</v>
      </c>
      <c r="D2280" t="s">
        <v>7443</v>
      </c>
      <c r="E2280" t="s">
        <v>7358</v>
      </c>
      <c r="F2280" t="s">
        <v>7354</v>
      </c>
      <c r="G2280" t="s">
        <v>18</v>
      </c>
      <c r="H2280" s="75" t="str">
        <f>IFERROR(VLOOKUP(Table2[[#This Row],[Ticket]],Okey!A:B,2,0),"")</f>
        <v>ok</v>
      </c>
      <c r="I2280" t="s">
        <v>19</v>
      </c>
      <c r="J2280" t="str">
        <f>VLOOKUP(Table2[[#This Row],[Author]],People!A:B,2,0)</f>
        <v>LS</v>
      </c>
      <c r="L2280" s="40"/>
      <c r="M2280" s="40" t="s">
        <v>1040</v>
      </c>
    </row>
    <row r="2281" spans="1:13" x14ac:dyDescent="0.25">
      <c r="A2281" s="75">
        <f t="shared" si="35"/>
        <v>2280</v>
      </c>
      <c r="B2281" t="s">
        <v>4851</v>
      </c>
      <c r="C2281" t="s">
        <v>7324</v>
      </c>
      <c r="D2281" t="s">
        <v>7444</v>
      </c>
      <c r="E2281" t="s">
        <v>7359</v>
      </c>
      <c r="F2281" t="s">
        <v>7354</v>
      </c>
      <c r="G2281" t="s">
        <v>18</v>
      </c>
      <c r="H2281" s="75" t="str">
        <f>IFERROR(VLOOKUP(Table2[[#This Row],[Ticket]],Okey!A:B,2,0),"")</f>
        <v>ok</v>
      </c>
      <c r="I2281" t="s">
        <v>19</v>
      </c>
      <c r="J2281" t="str">
        <f>VLOOKUP(Table2[[#This Row],[Author]],People!A:B,2,0)</f>
        <v>LS</v>
      </c>
      <c r="L2281" s="40"/>
      <c r="M2281" s="40" t="s">
        <v>1040</v>
      </c>
    </row>
    <row r="2282" spans="1:13" x14ac:dyDescent="0.25">
      <c r="A2282" s="75">
        <f t="shared" si="35"/>
        <v>2281</v>
      </c>
      <c r="B2282" t="s">
        <v>4851</v>
      </c>
      <c r="C2282" t="s">
        <v>7324</v>
      </c>
      <c r="D2282" t="s">
        <v>7445</v>
      </c>
      <c r="E2282" t="s">
        <v>7360</v>
      </c>
      <c r="F2282" t="s">
        <v>7354</v>
      </c>
      <c r="G2282" t="s">
        <v>18</v>
      </c>
      <c r="H2282" s="75" t="str">
        <f>IFERROR(VLOOKUP(Table2[[#This Row],[Ticket]],Okey!A:B,2,0),"")</f>
        <v>ok</v>
      </c>
      <c r="I2282" t="s">
        <v>19</v>
      </c>
      <c r="J2282" t="str">
        <f>VLOOKUP(Table2[[#This Row],[Author]],People!A:B,2,0)</f>
        <v>LS</v>
      </c>
      <c r="L2282" s="40"/>
      <c r="M2282" s="40" t="s">
        <v>1040</v>
      </c>
    </row>
    <row r="2283" spans="1:13" x14ac:dyDescent="0.25">
      <c r="A2283" s="75">
        <f t="shared" si="35"/>
        <v>2282</v>
      </c>
      <c r="B2283" t="s">
        <v>4851</v>
      </c>
      <c r="C2283" t="s">
        <v>7324</v>
      </c>
      <c r="D2283" t="s">
        <v>7446</v>
      </c>
      <c r="E2283" t="s">
        <v>7361</v>
      </c>
      <c r="F2283" t="s">
        <v>7354</v>
      </c>
      <c r="G2283" t="s">
        <v>18</v>
      </c>
      <c r="H2283" s="75" t="str">
        <f>IFERROR(VLOOKUP(Table2[[#This Row],[Ticket]],Okey!A:B,2,0),"")</f>
        <v>ok</v>
      </c>
      <c r="I2283" t="s">
        <v>19</v>
      </c>
      <c r="J2283" t="str">
        <f>VLOOKUP(Table2[[#This Row],[Author]],People!A:B,2,0)</f>
        <v>LS</v>
      </c>
      <c r="L2283" s="40"/>
      <c r="M2283" s="40" t="s">
        <v>1040</v>
      </c>
    </row>
    <row r="2284" spans="1:13" x14ac:dyDescent="0.25">
      <c r="A2284" s="75">
        <f t="shared" si="35"/>
        <v>2283</v>
      </c>
      <c r="B2284" t="s">
        <v>4851</v>
      </c>
      <c r="C2284" t="s">
        <v>7324</v>
      </c>
      <c r="D2284" t="s">
        <v>7447</v>
      </c>
      <c r="E2284" t="s">
        <v>7362</v>
      </c>
      <c r="F2284" t="s">
        <v>7354</v>
      </c>
      <c r="G2284" t="s">
        <v>18</v>
      </c>
      <c r="H2284" s="75" t="str">
        <f>IFERROR(VLOOKUP(Table2[[#This Row],[Ticket]],Okey!A:B,2,0),"")</f>
        <v>ok</v>
      </c>
      <c r="I2284" t="s">
        <v>19</v>
      </c>
      <c r="J2284" t="str">
        <f>VLOOKUP(Table2[[#This Row],[Author]],People!A:B,2,0)</f>
        <v>LS</v>
      </c>
      <c r="L2284" s="40"/>
      <c r="M2284" s="40" t="s">
        <v>1040</v>
      </c>
    </row>
    <row r="2285" spans="1:13" x14ac:dyDescent="0.25">
      <c r="A2285" s="75">
        <f t="shared" si="35"/>
        <v>2284</v>
      </c>
      <c r="B2285" t="s">
        <v>4851</v>
      </c>
      <c r="C2285" t="s">
        <v>7324</v>
      </c>
      <c r="D2285" t="s">
        <v>7448</v>
      </c>
      <c r="E2285" t="s">
        <v>7363</v>
      </c>
      <c r="F2285" t="s">
        <v>7354</v>
      </c>
      <c r="G2285" t="s">
        <v>18</v>
      </c>
      <c r="H2285" s="75" t="str">
        <f>IFERROR(VLOOKUP(Table2[[#This Row],[Ticket]],Okey!A:B,2,0),"")</f>
        <v>ok</v>
      </c>
      <c r="I2285" t="s">
        <v>19</v>
      </c>
      <c r="J2285" t="str">
        <f>VLOOKUP(Table2[[#This Row],[Author]],People!A:B,2,0)</f>
        <v>LS</v>
      </c>
      <c r="L2285" s="40"/>
      <c r="M2285" s="40" t="s">
        <v>1040</v>
      </c>
    </row>
    <row r="2286" spans="1:13" x14ac:dyDescent="0.25">
      <c r="A2286" s="75">
        <f t="shared" si="35"/>
        <v>2285</v>
      </c>
      <c r="B2286" t="s">
        <v>4851</v>
      </c>
      <c r="C2286" t="s">
        <v>7324</v>
      </c>
      <c r="D2286" t="s">
        <v>7449</v>
      </c>
      <c r="E2286" t="s">
        <v>7364</v>
      </c>
      <c r="F2286" t="s">
        <v>7354</v>
      </c>
      <c r="G2286" t="s">
        <v>18</v>
      </c>
      <c r="H2286" s="75" t="str">
        <f>IFERROR(VLOOKUP(Table2[[#This Row],[Ticket]],Okey!A:B,2,0),"")</f>
        <v>ok</v>
      </c>
      <c r="I2286" t="s">
        <v>19</v>
      </c>
      <c r="J2286" t="str">
        <f>VLOOKUP(Table2[[#This Row],[Author]],People!A:B,2,0)</f>
        <v>LS</v>
      </c>
      <c r="L2286" s="40"/>
      <c r="M2286" s="40" t="s">
        <v>1040</v>
      </c>
    </row>
    <row r="2287" spans="1:13" x14ac:dyDescent="0.25">
      <c r="A2287" s="75">
        <f t="shared" si="35"/>
        <v>2286</v>
      </c>
      <c r="B2287" t="s">
        <v>4851</v>
      </c>
      <c r="C2287" t="s">
        <v>7324</v>
      </c>
      <c r="D2287" t="s">
        <v>7450</v>
      </c>
      <c r="E2287" t="s">
        <v>7365</v>
      </c>
      <c r="F2287" t="s">
        <v>7354</v>
      </c>
      <c r="G2287" t="s">
        <v>18</v>
      </c>
      <c r="H2287" s="75" t="str">
        <f>IFERROR(VLOOKUP(Table2[[#This Row],[Ticket]],Okey!A:B,2,0),"")</f>
        <v>ok</v>
      </c>
      <c r="I2287" t="s">
        <v>19</v>
      </c>
      <c r="J2287" t="str">
        <f>VLOOKUP(Table2[[#This Row],[Author]],People!A:B,2,0)</f>
        <v>LS</v>
      </c>
      <c r="L2287" s="40"/>
      <c r="M2287" s="40" t="s">
        <v>1040</v>
      </c>
    </row>
    <row r="2288" spans="1:13" x14ac:dyDescent="0.25">
      <c r="A2288" s="75">
        <f t="shared" si="35"/>
        <v>2287</v>
      </c>
      <c r="B2288" t="s">
        <v>4851</v>
      </c>
      <c r="C2288" t="s">
        <v>7324</v>
      </c>
      <c r="D2288" t="s">
        <v>7451</v>
      </c>
      <c r="E2288" t="s">
        <v>7366</v>
      </c>
      <c r="F2288" t="s">
        <v>7354</v>
      </c>
      <c r="G2288" t="s">
        <v>18</v>
      </c>
      <c r="H2288" s="75" t="str">
        <f>IFERROR(VLOOKUP(Table2[[#This Row],[Ticket]],Okey!A:B,2,0),"")</f>
        <v>ok</v>
      </c>
      <c r="I2288" t="s">
        <v>19</v>
      </c>
      <c r="J2288" t="str">
        <f>VLOOKUP(Table2[[#This Row],[Author]],People!A:B,2,0)</f>
        <v>LS</v>
      </c>
      <c r="L2288" s="40"/>
      <c r="M2288" s="40" t="s">
        <v>1040</v>
      </c>
    </row>
    <row r="2289" spans="1:13" x14ac:dyDescent="0.25">
      <c r="A2289" s="75">
        <f t="shared" si="35"/>
        <v>2288</v>
      </c>
      <c r="B2289" t="s">
        <v>4851</v>
      </c>
      <c r="C2289" t="s">
        <v>7324</v>
      </c>
      <c r="D2289" t="s">
        <v>7452</v>
      </c>
      <c r="E2289" t="s">
        <v>7367</v>
      </c>
      <c r="F2289" t="s">
        <v>7354</v>
      </c>
      <c r="G2289" t="s">
        <v>18</v>
      </c>
      <c r="H2289" s="75" t="str">
        <f>IFERROR(VLOOKUP(Table2[[#This Row],[Ticket]],Okey!A:B,2,0),"")</f>
        <v>ok</v>
      </c>
      <c r="I2289" t="s">
        <v>19</v>
      </c>
      <c r="J2289" t="str">
        <f>VLOOKUP(Table2[[#This Row],[Author]],People!A:B,2,0)</f>
        <v>LS</v>
      </c>
      <c r="L2289" s="40"/>
      <c r="M2289" s="40" t="s">
        <v>1040</v>
      </c>
    </row>
    <row r="2290" spans="1:13" x14ac:dyDescent="0.25">
      <c r="A2290" s="75">
        <f t="shared" si="35"/>
        <v>2289</v>
      </c>
      <c r="B2290" t="s">
        <v>4851</v>
      </c>
      <c r="C2290" t="s">
        <v>7324</v>
      </c>
      <c r="D2290" t="s">
        <v>7453</v>
      </c>
      <c r="E2290" t="s">
        <v>7368</v>
      </c>
      <c r="F2290" t="s">
        <v>7354</v>
      </c>
      <c r="G2290" t="s">
        <v>18</v>
      </c>
      <c r="H2290" s="75" t="str">
        <f>IFERROR(VLOOKUP(Table2[[#This Row],[Ticket]],Okey!A:B,2,0),"")</f>
        <v>ok</v>
      </c>
      <c r="I2290" t="s">
        <v>19</v>
      </c>
      <c r="J2290" t="str">
        <f>VLOOKUP(Table2[[#This Row],[Author]],People!A:B,2,0)</f>
        <v>LS</v>
      </c>
      <c r="L2290" s="40"/>
      <c r="M2290" s="40" t="s">
        <v>1040</v>
      </c>
    </row>
    <row r="2291" spans="1:13" x14ac:dyDescent="0.25">
      <c r="A2291" s="75">
        <f t="shared" si="35"/>
        <v>2290</v>
      </c>
      <c r="B2291" t="s">
        <v>4851</v>
      </c>
      <c r="C2291" t="s">
        <v>7324</v>
      </c>
      <c r="D2291" t="s">
        <v>7454</v>
      </c>
      <c r="E2291" t="s">
        <v>7369</v>
      </c>
      <c r="F2291" t="s">
        <v>1249</v>
      </c>
      <c r="G2291" t="s">
        <v>18</v>
      </c>
      <c r="H2291" s="75" t="str">
        <f>IFERROR(VLOOKUP(Table2[[#This Row],[Ticket]],Okey!A:B,2,0),"")</f>
        <v>ok</v>
      </c>
      <c r="I2291" t="s">
        <v>19</v>
      </c>
      <c r="J2291" t="str">
        <f>VLOOKUP(Table2[[#This Row],[Author]],People!A:B,2,0)</f>
        <v>LS</v>
      </c>
      <c r="L2291" s="40"/>
      <c r="M2291" s="40" t="s">
        <v>1040</v>
      </c>
    </row>
    <row r="2292" spans="1:13" x14ac:dyDescent="0.25">
      <c r="A2292" s="75">
        <f t="shared" si="35"/>
        <v>2291</v>
      </c>
      <c r="B2292" t="s">
        <v>4851</v>
      </c>
      <c r="C2292" t="s">
        <v>7324</v>
      </c>
      <c r="D2292" t="s">
        <v>7455</v>
      </c>
      <c r="E2292" t="s">
        <v>7370</v>
      </c>
      <c r="F2292" t="s">
        <v>7371</v>
      </c>
      <c r="G2292" t="s">
        <v>18</v>
      </c>
      <c r="H2292" s="75" t="str">
        <f>IFERROR(VLOOKUP(Table2[[#This Row],[Ticket]],Okey!A:B,2,0),"")</f>
        <v>ok</v>
      </c>
      <c r="I2292" t="s">
        <v>19</v>
      </c>
      <c r="J2292" t="str">
        <f>VLOOKUP(Table2[[#This Row],[Author]],People!A:B,2,0)</f>
        <v>LS</v>
      </c>
      <c r="L2292" s="40"/>
      <c r="M2292" s="40" t="s">
        <v>1040</v>
      </c>
    </row>
    <row r="2293" spans="1:13" x14ac:dyDescent="0.25">
      <c r="A2293" s="75">
        <f t="shared" si="35"/>
        <v>2292</v>
      </c>
      <c r="B2293" t="s">
        <v>4851</v>
      </c>
      <c r="C2293" t="s">
        <v>7324</v>
      </c>
      <c r="D2293" t="s">
        <v>7456</v>
      </c>
      <c r="E2293" t="s">
        <v>7372</v>
      </c>
      <c r="F2293" t="s">
        <v>7371</v>
      </c>
      <c r="G2293" t="s">
        <v>18</v>
      </c>
      <c r="H2293" s="75" t="str">
        <f>IFERROR(VLOOKUP(Table2[[#This Row],[Ticket]],Okey!A:B,2,0),"")</f>
        <v>ok</v>
      </c>
      <c r="I2293" t="s">
        <v>19</v>
      </c>
      <c r="J2293" t="str">
        <f>VLOOKUP(Table2[[#This Row],[Author]],People!A:B,2,0)</f>
        <v>LS</v>
      </c>
      <c r="L2293" s="40"/>
      <c r="M2293" s="40" t="s">
        <v>1040</v>
      </c>
    </row>
    <row r="2294" spans="1:13" x14ac:dyDescent="0.25">
      <c r="A2294" s="75">
        <f t="shared" si="35"/>
        <v>2293</v>
      </c>
      <c r="B2294" t="s">
        <v>4851</v>
      </c>
      <c r="C2294" t="s">
        <v>7324</v>
      </c>
      <c r="D2294" t="s">
        <v>7457</v>
      </c>
      <c r="E2294" t="s">
        <v>7373</v>
      </c>
      <c r="F2294" t="s">
        <v>4544</v>
      </c>
      <c r="G2294" t="s">
        <v>18</v>
      </c>
      <c r="H2294" s="75" t="str">
        <f>IFERROR(VLOOKUP(Table2[[#This Row],[Ticket]],Okey!A:B,2,0),"")</f>
        <v>ok</v>
      </c>
      <c r="I2294" t="s">
        <v>19</v>
      </c>
      <c r="J2294" t="str">
        <f>VLOOKUP(Table2[[#This Row],[Author]],People!A:B,2,0)</f>
        <v>LS</v>
      </c>
      <c r="L2294" s="40"/>
      <c r="M2294" s="40" t="s">
        <v>1040</v>
      </c>
    </row>
    <row r="2295" spans="1:13" x14ac:dyDescent="0.25">
      <c r="A2295" s="75">
        <f t="shared" si="35"/>
        <v>2294</v>
      </c>
      <c r="B2295" t="s">
        <v>4851</v>
      </c>
      <c r="C2295" t="s">
        <v>7324</v>
      </c>
      <c r="D2295" t="s">
        <v>7458</v>
      </c>
      <c r="E2295" t="s">
        <v>7374</v>
      </c>
      <c r="F2295" t="s">
        <v>7375</v>
      </c>
      <c r="G2295" t="s">
        <v>18</v>
      </c>
      <c r="H2295" s="75" t="str">
        <f>IFERROR(VLOOKUP(Table2[[#This Row],[Ticket]],Okey!A:B,2,0),"")</f>
        <v>ok</v>
      </c>
      <c r="I2295" t="s">
        <v>19</v>
      </c>
      <c r="J2295" t="str">
        <f>VLOOKUP(Table2[[#This Row],[Author]],People!A:B,2,0)</f>
        <v>LS</v>
      </c>
      <c r="L2295" s="40"/>
      <c r="M2295" s="40" t="s">
        <v>1040</v>
      </c>
    </row>
    <row r="2296" spans="1:13" x14ac:dyDescent="0.25">
      <c r="A2296" s="75">
        <f t="shared" si="35"/>
        <v>2295</v>
      </c>
      <c r="B2296" t="s">
        <v>4851</v>
      </c>
      <c r="C2296" t="s">
        <v>7324</v>
      </c>
      <c r="D2296" t="s">
        <v>7459</v>
      </c>
      <c r="E2296" t="s">
        <v>7376</v>
      </c>
      <c r="F2296" t="s">
        <v>7375</v>
      </c>
      <c r="G2296" t="s">
        <v>18</v>
      </c>
      <c r="H2296" s="75" t="str">
        <f>IFERROR(VLOOKUP(Table2[[#This Row],[Ticket]],Okey!A:B,2,0),"")</f>
        <v>ok</v>
      </c>
      <c r="I2296" t="s">
        <v>19</v>
      </c>
      <c r="J2296" t="str">
        <f>VLOOKUP(Table2[[#This Row],[Author]],People!A:B,2,0)</f>
        <v>LS</v>
      </c>
      <c r="L2296" s="40"/>
      <c r="M2296" s="40" t="s">
        <v>1040</v>
      </c>
    </row>
    <row r="2297" spans="1:13" x14ac:dyDescent="0.25">
      <c r="A2297" s="75">
        <f t="shared" si="35"/>
        <v>2296</v>
      </c>
      <c r="B2297" t="s">
        <v>4851</v>
      </c>
      <c r="C2297" t="s">
        <v>7324</v>
      </c>
      <c r="D2297" t="s">
        <v>7460</v>
      </c>
      <c r="E2297" t="s">
        <v>7377</v>
      </c>
      <c r="F2297" t="s">
        <v>4552</v>
      </c>
      <c r="G2297" t="s">
        <v>18</v>
      </c>
      <c r="H2297" s="75" t="str">
        <f>IFERROR(VLOOKUP(Table2[[#This Row],[Ticket]],Okey!A:B,2,0),"")</f>
        <v>ok</v>
      </c>
      <c r="I2297" t="s">
        <v>19</v>
      </c>
      <c r="J2297" t="str">
        <f>VLOOKUP(Table2[[#This Row],[Author]],People!A:B,2,0)</f>
        <v>LS</v>
      </c>
      <c r="L2297" s="40"/>
      <c r="M2297" s="40" t="s">
        <v>1040</v>
      </c>
    </row>
    <row r="2298" spans="1:13" x14ac:dyDescent="0.25">
      <c r="A2298" s="75">
        <f t="shared" si="35"/>
        <v>2297</v>
      </c>
      <c r="B2298" t="s">
        <v>4851</v>
      </c>
      <c r="C2298" t="s">
        <v>7324</v>
      </c>
      <c r="D2298" t="s">
        <v>7461</v>
      </c>
      <c r="E2298" t="s">
        <v>7378</v>
      </c>
      <c r="F2298" t="s">
        <v>4552</v>
      </c>
      <c r="G2298" t="s">
        <v>18</v>
      </c>
      <c r="H2298" s="75" t="str">
        <f>IFERROR(VLOOKUP(Table2[[#This Row],[Ticket]],Okey!A:B,2,0),"")</f>
        <v>ok</v>
      </c>
      <c r="I2298" t="s">
        <v>19</v>
      </c>
      <c r="J2298" t="str">
        <f>VLOOKUP(Table2[[#This Row],[Author]],People!A:B,2,0)</f>
        <v>LS</v>
      </c>
      <c r="L2298" s="40"/>
      <c r="M2298" s="40" t="s">
        <v>1040</v>
      </c>
    </row>
    <row r="2299" spans="1:13" x14ac:dyDescent="0.25">
      <c r="A2299" s="75">
        <f t="shared" si="35"/>
        <v>2298</v>
      </c>
      <c r="B2299" t="s">
        <v>4851</v>
      </c>
      <c r="C2299" t="s">
        <v>7324</v>
      </c>
      <c r="D2299" t="s">
        <v>7462</v>
      </c>
      <c r="E2299" t="s">
        <v>7379</v>
      </c>
      <c r="F2299" t="s">
        <v>4552</v>
      </c>
      <c r="G2299" t="s">
        <v>18</v>
      </c>
      <c r="H2299" s="75" t="str">
        <f>IFERROR(VLOOKUP(Table2[[#This Row],[Ticket]],Okey!A:B,2,0),"")</f>
        <v>ok</v>
      </c>
      <c r="I2299" t="s">
        <v>19</v>
      </c>
      <c r="J2299" t="str">
        <f>VLOOKUP(Table2[[#This Row],[Author]],People!A:B,2,0)</f>
        <v>LS</v>
      </c>
      <c r="L2299" s="40"/>
      <c r="M2299" s="40" t="s">
        <v>1040</v>
      </c>
    </row>
    <row r="2300" spans="1:13" x14ac:dyDescent="0.25">
      <c r="A2300" s="75">
        <f t="shared" si="35"/>
        <v>2299</v>
      </c>
      <c r="B2300" t="s">
        <v>4851</v>
      </c>
      <c r="C2300" t="s">
        <v>7324</v>
      </c>
      <c r="D2300" t="s">
        <v>7463</v>
      </c>
      <c r="E2300" t="s">
        <v>7380</v>
      </c>
      <c r="F2300" t="s">
        <v>1093</v>
      </c>
      <c r="G2300" t="s">
        <v>18</v>
      </c>
      <c r="H2300" s="75" t="str">
        <f>IFERROR(VLOOKUP(Table2[[#This Row],[Ticket]],Okey!A:B,2,0),"")</f>
        <v>ok</v>
      </c>
      <c r="I2300" t="s">
        <v>19</v>
      </c>
      <c r="J2300" t="str">
        <f>VLOOKUP(Table2[[#This Row],[Author]],People!A:B,2,0)</f>
        <v>LS</v>
      </c>
      <c r="L2300" s="40"/>
      <c r="M2300" s="40" t="s">
        <v>1040</v>
      </c>
    </row>
    <row r="2301" spans="1:13" x14ac:dyDescent="0.25">
      <c r="A2301" s="75">
        <f t="shared" si="35"/>
        <v>2300</v>
      </c>
      <c r="B2301" t="s">
        <v>4851</v>
      </c>
      <c r="C2301" t="s">
        <v>7324</v>
      </c>
      <c r="D2301" t="s">
        <v>7464</v>
      </c>
      <c r="E2301" t="s">
        <v>7381</v>
      </c>
      <c r="F2301" t="s">
        <v>7382</v>
      </c>
      <c r="G2301" t="s">
        <v>18</v>
      </c>
      <c r="H2301" s="75" t="str">
        <f>IFERROR(VLOOKUP(Table2[[#This Row],[Ticket]],Okey!A:B,2,0),"")</f>
        <v>ok</v>
      </c>
      <c r="I2301" t="s">
        <v>19</v>
      </c>
      <c r="J2301" t="str">
        <f>VLOOKUP(Table2[[#This Row],[Author]],People!A:B,2,0)</f>
        <v>LS</v>
      </c>
      <c r="L2301" s="40"/>
      <c r="M2301" s="40" t="s">
        <v>1040</v>
      </c>
    </row>
    <row r="2302" spans="1:13" x14ac:dyDescent="0.25">
      <c r="A2302" s="75">
        <f t="shared" si="35"/>
        <v>2301</v>
      </c>
      <c r="B2302" t="s">
        <v>4851</v>
      </c>
      <c r="C2302" t="s">
        <v>7324</v>
      </c>
      <c r="D2302" t="s">
        <v>7465</v>
      </c>
      <c r="E2302" t="s">
        <v>7383</v>
      </c>
      <c r="F2302" t="s">
        <v>7384</v>
      </c>
      <c r="G2302" t="s">
        <v>18</v>
      </c>
      <c r="H2302" s="75" t="str">
        <f>IFERROR(VLOOKUP(Table2[[#This Row],[Ticket]],Okey!A:B,2,0),"")</f>
        <v>ok</v>
      </c>
      <c r="I2302" t="s">
        <v>19</v>
      </c>
      <c r="J2302" t="str">
        <f>VLOOKUP(Table2[[#This Row],[Author]],People!A:B,2,0)</f>
        <v>LS</v>
      </c>
      <c r="L2302" s="40"/>
      <c r="M2302" s="40" t="s">
        <v>1040</v>
      </c>
    </row>
    <row r="2303" spans="1:13" x14ac:dyDescent="0.25">
      <c r="A2303" s="75">
        <f t="shared" si="35"/>
        <v>2302</v>
      </c>
      <c r="B2303" t="s">
        <v>4851</v>
      </c>
      <c r="C2303" t="s">
        <v>7324</v>
      </c>
      <c r="D2303" t="s">
        <v>7466</v>
      </c>
      <c r="E2303" t="s">
        <v>7385</v>
      </c>
      <c r="F2303" t="s">
        <v>7382</v>
      </c>
      <c r="G2303" t="s">
        <v>18</v>
      </c>
      <c r="H2303" s="75" t="str">
        <f>IFERROR(VLOOKUP(Table2[[#This Row],[Ticket]],Okey!A:B,2,0),"")</f>
        <v>ok</v>
      </c>
      <c r="I2303" t="s">
        <v>19</v>
      </c>
      <c r="J2303" t="str">
        <f>VLOOKUP(Table2[[#This Row],[Author]],People!A:B,2,0)</f>
        <v>LS</v>
      </c>
      <c r="L2303" s="40"/>
      <c r="M2303" s="40" t="s">
        <v>1040</v>
      </c>
    </row>
    <row r="2304" spans="1:13" x14ac:dyDescent="0.25">
      <c r="A2304" s="75">
        <f t="shared" si="35"/>
        <v>2303</v>
      </c>
      <c r="B2304" t="s">
        <v>4851</v>
      </c>
      <c r="C2304" t="s">
        <v>7324</v>
      </c>
      <c r="D2304" t="s">
        <v>7467</v>
      </c>
      <c r="E2304" t="s">
        <v>7386</v>
      </c>
      <c r="F2304" t="s">
        <v>7384</v>
      </c>
      <c r="G2304" t="s">
        <v>18</v>
      </c>
      <c r="H2304" s="75" t="str">
        <f>IFERROR(VLOOKUP(Table2[[#This Row],[Ticket]],Okey!A:B,2,0),"")</f>
        <v>ok</v>
      </c>
      <c r="I2304" t="s">
        <v>19</v>
      </c>
      <c r="J2304" t="str">
        <f>VLOOKUP(Table2[[#This Row],[Author]],People!A:B,2,0)</f>
        <v>LS</v>
      </c>
      <c r="L2304" s="40"/>
      <c r="M2304" s="40" t="s">
        <v>1040</v>
      </c>
    </row>
    <row r="2305" spans="1:13" x14ac:dyDescent="0.25">
      <c r="A2305" s="75">
        <f t="shared" si="35"/>
        <v>2304</v>
      </c>
      <c r="B2305" t="s">
        <v>4851</v>
      </c>
      <c r="C2305" t="s">
        <v>7324</v>
      </c>
      <c r="D2305" t="s">
        <v>7468</v>
      </c>
      <c r="E2305" t="s">
        <v>7387</v>
      </c>
      <c r="F2305" t="s">
        <v>1345</v>
      </c>
      <c r="G2305" t="s">
        <v>18</v>
      </c>
      <c r="H2305" s="75" t="str">
        <f>IFERROR(VLOOKUP(Table2[[#This Row],[Ticket]],Okey!A:B,2,0),"")</f>
        <v>ok</v>
      </c>
      <c r="I2305" t="s">
        <v>19</v>
      </c>
      <c r="J2305" t="str">
        <f>VLOOKUP(Table2[[#This Row],[Author]],People!A:B,2,0)</f>
        <v>LS</v>
      </c>
      <c r="L2305" s="40"/>
      <c r="M2305" s="40" t="s">
        <v>1040</v>
      </c>
    </row>
    <row r="2306" spans="1:13" x14ac:dyDescent="0.25">
      <c r="A2306" s="75">
        <f t="shared" si="35"/>
        <v>2305</v>
      </c>
      <c r="B2306" t="s">
        <v>4851</v>
      </c>
      <c r="C2306" t="s">
        <v>7324</v>
      </c>
      <c r="D2306" t="s">
        <v>7469</v>
      </c>
      <c r="E2306" t="s">
        <v>7388</v>
      </c>
      <c r="F2306" t="s">
        <v>1093</v>
      </c>
      <c r="G2306" t="s">
        <v>18</v>
      </c>
      <c r="H2306" s="75" t="str">
        <f>IFERROR(VLOOKUP(Table2[[#This Row],[Ticket]],Okey!A:B,2,0),"")</f>
        <v>ok</v>
      </c>
      <c r="I2306" t="s">
        <v>19</v>
      </c>
      <c r="J2306" t="str">
        <f>VLOOKUP(Table2[[#This Row],[Author]],People!A:B,2,0)</f>
        <v>LS</v>
      </c>
      <c r="L2306" s="40"/>
      <c r="M2306" s="40" t="s">
        <v>1040</v>
      </c>
    </row>
    <row r="2307" spans="1:13" x14ac:dyDescent="0.25">
      <c r="A2307" s="75">
        <f t="shared" si="35"/>
        <v>2306</v>
      </c>
      <c r="B2307" t="s">
        <v>4851</v>
      </c>
      <c r="C2307" t="s">
        <v>7324</v>
      </c>
      <c r="D2307" t="s">
        <v>7470</v>
      </c>
      <c r="E2307" t="s">
        <v>7389</v>
      </c>
      <c r="F2307" t="s">
        <v>7469</v>
      </c>
      <c r="G2307" t="s">
        <v>18</v>
      </c>
      <c r="H2307" s="75" t="str">
        <f>IFERROR(VLOOKUP(Table2[[#This Row],[Ticket]],Okey!A:B,2,0),"")</f>
        <v>ok</v>
      </c>
      <c r="I2307" t="s">
        <v>19</v>
      </c>
      <c r="J2307" t="str">
        <f>VLOOKUP(Table2[[#This Row],[Author]],People!A:B,2,0)</f>
        <v>LS</v>
      </c>
      <c r="L2307" s="40"/>
      <c r="M2307" s="40" t="s">
        <v>1040</v>
      </c>
    </row>
    <row r="2308" spans="1:13" x14ac:dyDescent="0.25">
      <c r="A2308" s="75">
        <f t="shared" si="35"/>
        <v>2307</v>
      </c>
      <c r="B2308" t="s">
        <v>4851</v>
      </c>
      <c r="C2308" t="s">
        <v>7324</v>
      </c>
      <c r="D2308" t="s">
        <v>7471</v>
      </c>
      <c r="E2308" t="s">
        <v>7390</v>
      </c>
      <c r="F2308" t="s">
        <v>7470</v>
      </c>
      <c r="G2308" t="s">
        <v>18</v>
      </c>
      <c r="H2308" s="75" t="str">
        <f>IFERROR(VLOOKUP(Table2[[#This Row],[Ticket]],Okey!A:B,2,0),"")</f>
        <v>ok</v>
      </c>
      <c r="I2308" t="s">
        <v>19</v>
      </c>
      <c r="J2308" t="str">
        <f>VLOOKUP(Table2[[#This Row],[Author]],People!A:B,2,0)</f>
        <v>LS</v>
      </c>
      <c r="L2308" s="40"/>
      <c r="M2308" s="40" t="s">
        <v>1040</v>
      </c>
    </row>
    <row r="2309" spans="1:13" x14ac:dyDescent="0.25">
      <c r="A2309" s="75">
        <f t="shared" si="35"/>
        <v>2308</v>
      </c>
      <c r="B2309" t="s">
        <v>4851</v>
      </c>
      <c r="C2309" t="s">
        <v>7324</v>
      </c>
      <c r="D2309" t="s">
        <v>7472</v>
      </c>
      <c r="E2309" t="s">
        <v>7391</v>
      </c>
      <c r="F2309" t="s">
        <v>7470</v>
      </c>
      <c r="G2309" t="s">
        <v>18</v>
      </c>
      <c r="H2309" s="75" t="str">
        <f>IFERROR(VLOOKUP(Table2[[#This Row],[Ticket]],Okey!A:B,2,0),"")</f>
        <v>ok</v>
      </c>
      <c r="I2309" t="s">
        <v>19</v>
      </c>
      <c r="J2309" t="str">
        <f>VLOOKUP(Table2[[#This Row],[Author]],People!A:B,2,0)</f>
        <v>LS</v>
      </c>
      <c r="L2309" s="40"/>
      <c r="M2309" s="40" t="s">
        <v>1040</v>
      </c>
    </row>
    <row r="2310" spans="1:13" x14ac:dyDescent="0.25">
      <c r="A2310" s="75">
        <f t="shared" si="35"/>
        <v>2309</v>
      </c>
      <c r="B2310" t="s">
        <v>4851</v>
      </c>
      <c r="C2310" t="s">
        <v>7324</v>
      </c>
      <c r="D2310" t="s">
        <v>7473</v>
      </c>
      <c r="E2310" t="s">
        <v>7392</v>
      </c>
      <c r="F2310" t="s">
        <v>7470</v>
      </c>
      <c r="G2310" t="s">
        <v>18</v>
      </c>
      <c r="H2310" s="75" t="str">
        <f>IFERROR(VLOOKUP(Table2[[#This Row],[Ticket]],Okey!A:B,2,0),"")</f>
        <v>ok</v>
      </c>
      <c r="I2310" t="s">
        <v>19</v>
      </c>
      <c r="J2310" t="str">
        <f>VLOOKUP(Table2[[#This Row],[Author]],People!A:B,2,0)</f>
        <v>LS</v>
      </c>
      <c r="L2310" s="40"/>
      <c r="M2310" s="40" t="s">
        <v>1040</v>
      </c>
    </row>
    <row r="2311" spans="1:13" x14ac:dyDescent="0.25">
      <c r="A2311" s="75">
        <f t="shared" si="35"/>
        <v>2310</v>
      </c>
      <c r="B2311" t="s">
        <v>4851</v>
      </c>
      <c r="C2311" t="s">
        <v>7324</v>
      </c>
      <c r="D2311" t="s">
        <v>7474</v>
      </c>
      <c r="E2311" t="s">
        <v>7393</v>
      </c>
      <c r="F2311" t="s">
        <v>7470</v>
      </c>
      <c r="G2311" t="s">
        <v>18</v>
      </c>
      <c r="H2311" s="75" t="str">
        <f>IFERROR(VLOOKUP(Table2[[#This Row],[Ticket]],Okey!A:B,2,0),"")</f>
        <v>ok</v>
      </c>
      <c r="I2311" t="s">
        <v>19</v>
      </c>
      <c r="J2311" t="str">
        <f>VLOOKUP(Table2[[#This Row],[Author]],People!A:B,2,0)</f>
        <v>LS</v>
      </c>
      <c r="L2311" s="40"/>
      <c r="M2311" s="40" t="s">
        <v>1040</v>
      </c>
    </row>
    <row r="2312" spans="1:13" x14ac:dyDescent="0.25">
      <c r="A2312" s="75">
        <f t="shared" si="35"/>
        <v>2311</v>
      </c>
      <c r="B2312" t="s">
        <v>4851</v>
      </c>
      <c r="C2312" t="s">
        <v>7324</v>
      </c>
      <c r="D2312" t="s">
        <v>7475</v>
      </c>
      <c r="E2312" t="s">
        <v>7394</v>
      </c>
      <c r="F2312" t="s">
        <v>7470</v>
      </c>
      <c r="G2312" t="s">
        <v>18</v>
      </c>
      <c r="H2312" s="75" t="str">
        <f>IFERROR(VLOOKUP(Table2[[#This Row],[Ticket]],Okey!A:B,2,0),"")</f>
        <v>ok</v>
      </c>
      <c r="I2312" t="s">
        <v>19</v>
      </c>
      <c r="J2312" t="str">
        <f>VLOOKUP(Table2[[#This Row],[Author]],People!A:B,2,0)</f>
        <v>LS</v>
      </c>
      <c r="L2312" s="40"/>
      <c r="M2312" s="40" t="s">
        <v>1040</v>
      </c>
    </row>
    <row r="2313" spans="1:13" x14ac:dyDescent="0.25">
      <c r="A2313" s="75">
        <f t="shared" ref="A2313:A2376" si="36">1+A2312</f>
        <v>2312</v>
      </c>
      <c r="B2313" t="s">
        <v>4851</v>
      </c>
      <c r="C2313" t="s">
        <v>7324</v>
      </c>
      <c r="D2313" t="s">
        <v>7476</v>
      </c>
      <c r="E2313" t="s">
        <v>7395</v>
      </c>
      <c r="F2313" t="s">
        <v>7470</v>
      </c>
      <c r="G2313" t="s">
        <v>18</v>
      </c>
      <c r="H2313" s="75" t="str">
        <f>IFERROR(VLOOKUP(Table2[[#This Row],[Ticket]],Okey!A:B,2,0),"")</f>
        <v>ok</v>
      </c>
      <c r="I2313" t="s">
        <v>19</v>
      </c>
      <c r="J2313" t="str">
        <f>VLOOKUP(Table2[[#This Row],[Author]],People!A:B,2,0)</f>
        <v>LS</v>
      </c>
      <c r="L2313" s="40"/>
      <c r="M2313" s="40" t="s">
        <v>1040</v>
      </c>
    </row>
    <row r="2314" spans="1:13" x14ac:dyDescent="0.25">
      <c r="A2314" s="75">
        <f t="shared" si="36"/>
        <v>2313</v>
      </c>
      <c r="B2314" t="s">
        <v>4851</v>
      </c>
      <c r="C2314" t="s">
        <v>7324</v>
      </c>
      <c r="D2314" t="s">
        <v>7477</v>
      </c>
      <c r="E2314" t="s">
        <v>7396</v>
      </c>
      <c r="F2314" t="s">
        <v>7470</v>
      </c>
      <c r="G2314" t="s">
        <v>18</v>
      </c>
      <c r="H2314" s="75" t="str">
        <f>IFERROR(VLOOKUP(Table2[[#This Row],[Ticket]],Okey!A:B,2,0),"")</f>
        <v>ok</v>
      </c>
      <c r="I2314" t="s">
        <v>19</v>
      </c>
      <c r="J2314" t="str">
        <f>VLOOKUP(Table2[[#This Row],[Author]],People!A:B,2,0)</f>
        <v>LS</v>
      </c>
      <c r="L2314" s="40"/>
      <c r="M2314" s="40" t="s">
        <v>1040</v>
      </c>
    </row>
    <row r="2315" spans="1:13" x14ac:dyDescent="0.25">
      <c r="A2315" s="75">
        <f t="shared" si="36"/>
        <v>2314</v>
      </c>
      <c r="B2315" t="s">
        <v>4851</v>
      </c>
      <c r="C2315" t="s">
        <v>7324</v>
      </c>
      <c r="D2315" t="s">
        <v>7478</v>
      </c>
      <c r="E2315" t="s">
        <v>7397</v>
      </c>
      <c r="F2315" t="s">
        <v>7470</v>
      </c>
      <c r="G2315" t="s">
        <v>18</v>
      </c>
      <c r="H2315" s="75" t="str">
        <f>IFERROR(VLOOKUP(Table2[[#This Row],[Ticket]],Okey!A:B,2,0),"")</f>
        <v>ok</v>
      </c>
      <c r="I2315" t="s">
        <v>19</v>
      </c>
      <c r="J2315" t="str">
        <f>VLOOKUP(Table2[[#This Row],[Author]],People!A:B,2,0)</f>
        <v>LS</v>
      </c>
      <c r="L2315" s="40"/>
      <c r="M2315" s="40" t="s">
        <v>1040</v>
      </c>
    </row>
    <row r="2316" spans="1:13" x14ac:dyDescent="0.25">
      <c r="A2316" s="75">
        <f t="shared" si="36"/>
        <v>2315</v>
      </c>
      <c r="B2316" t="s">
        <v>4851</v>
      </c>
      <c r="C2316" t="s">
        <v>7324</v>
      </c>
      <c r="D2316" t="s">
        <v>7479</v>
      </c>
      <c r="E2316" t="s">
        <v>7398</v>
      </c>
      <c r="F2316" t="s">
        <v>7470</v>
      </c>
      <c r="G2316" t="s">
        <v>18</v>
      </c>
      <c r="H2316" s="75" t="str">
        <f>IFERROR(VLOOKUP(Table2[[#This Row],[Ticket]],Okey!A:B,2,0),"")</f>
        <v>ok</v>
      </c>
      <c r="I2316" t="s">
        <v>19</v>
      </c>
      <c r="J2316" t="str">
        <f>VLOOKUP(Table2[[#This Row],[Author]],People!A:B,2,0)</f>
        <v>LS</v>
      </c>
      <c r="L2316" s="40"/>
      <c r="M2316" s="40" t="s">
        <v>1040</v>
      </c>
    </row>
    <row r="2317" spans="1:13" x14ac:dyDescent="0.25">
      <c r="A2317" s="75">
        <f t="shared" si="36"/>
        <v>2316</v>
      </c>
      <c r="B2317" t="s">
        <v>4851</v>
      </c>
      <c r="C2317" t="s">
        <v>7324</v>
      </c>
      <c r="D2317" t="s">
        <v>7480</v>
      </c>
      <c r="E2317" t="s">
        <v>7399</v>
      </c>
      <c r="F2317" t="s">
        <v>7470</v>
      </c>
      <c r="G2317" t="s">
        <v>18</v>
      </c>
      <c r="H2317" s="75" t="str">
        <f>IFERROR(VLOOKUP(Table2[[#This Row],[Ticket]],Okey!A:B,2,0),"")</f>
        <v>ok</v>
      </c>
      <c r="I2317" t="s">
        <v>19</v>
      </c>
      <c r="J2317" t="str">
        <f>VLOOKUP(Table2[[#This Row],[Author]],People!A:B,2,0)</f>
        <v>LS</v>
      </c>
      <c r="L2317" s="40"/>
      <c r="M2317" s="40" t="s">
        <v>1040</v>
      </c>
    </row>
    <row r="2318" spans="1:13" x14ac:dyDescent="0.25">
      <c r="A2318" s="75">
        <f t="shared" si="36"/>
        <v>2317</v>
      </c>
      <c r="B2318" t="s">
        <v>4851</v>
      </c>
      <c r="C2318" t="s">
        <v>7324</v>
      </c>
      <c r="D2318" t="s">
        <v>7481</v>
      </c>
      <c r="E2318" t="s">
        <v>7400</v>
      </c>
      <c r="F2318" t="s">
        <v>7469</v>
      </c>
      <c r="G2318" t="s">
        <v>18</v>
      </c>
      <c r="H2318" s="75" t="str">
        <f>IFERROR(VLOOKUP(Table2[[#This Row],[Ticket]],Okey!A:B,2,0),"")</f>
        <v>ok</v>
      </c>
      <c r="I2318" t="s">
        <v>19</v>
      </c>
      <c r="J2318" t="str">
        <f>VLOOKUP(Table2[[#This Row],[Author]],People!A:B,2,0)</f>
        <v>LS</v>
      </c>
      <c r="L2318" s="40"/>
      <c r="M2318" s="40" t="s">
        <v>1040</v>
      </c>
    </row>
    <row r="2319" spans="1:13" x14ac:dyDescent="0.25">
      <c r="A2319" s="75">
        <f t="shared" si="36"/>
        <v>2318</v>
      </c>
      <c r="B2319" t="s">
        <v>4851</v>
      </c>
      <c r="C2319" t="s">
        <v>7324</v>
      </c>
      <c r="D2319" t="s">
        <v>7605</v>
      </c>
      <c r="E2319" t="s">
        <v>7401</v>
      </c>
      <c r="F2319" t="s">
        <v>7481</v>
      </c>
      <c r="G2319" t="s">
        <v>18</v>
      </c>
      <c r="H2319" s="75" t="str">
        <f>IFERROR(VLOOKUP(Table2[[#This Row],[Ticket]],Okey!A:B,2,0),"")</f>
        <v>ok</v>
      </c>
      <c r="I2319" t="s">
        <v>19</v>
      </c>
      <c r="J2319" t="str">
        <f>VLOOKUP(Table2[[#This Row],[Author]],People!A:B,2,0)</f>
        <v>LS</v>
      </c>
      <c r="L2319" s="40"/>
      <c r="M2319" s="40" t="s">
        <v>1040</v>
      </c>
    </row>
    <row r="2320" spans="1:13" x14ac:dyDescent="0.25">
      <c r="A2320" s="75">
        <f t="shared" si="36"/>
        <v>2319</v>
      </c>
      <c r="B2320" t="s">
        <v>4851</v>
      </c>
      <c r="C2320" t="s">
        <v>7324</v>
      </c>
      <c r="D2320" t="s">
        <v>7606</v>
      </c>
      <c r="E2320" t="s">
        <v>7402</v>
      </c>
      <c r="F2320" t="s">
        <v>7469</v>
      </c>
      <c r="G2320" t="s">
        <v>18</v>
      </c>
      <c r="H2320" s="75" t="str">
        <f>IFERROR(VLOOKUP(Table2[[#This Row],[Ticket]],Okey!A:B,2,0),"")</f>
        <v>ok</v>
      </c>
      <c r="I2320" t="s">
        <v>19</v>
      </c>
      <c r="J2320" t="str">
        <f>VLOOKUP(Table2[[#This Row],[Author]],People!A:B,2,0)</f>
        <v>LS</v>
      </c>
      <c r="L2320" s="40"/>
      <c r="M2320" s="40" t="s">
        <v>1040</v>
      </c>
    </row>
    <row r="2321" spans="1:13" x14ac:dyDescent="0.25">
      <c r="A2321" s="75">
        <f t="shared" si="36"/>
        <v>2320</v>
      </c>
      <c r="B2321" t="s">
        <v>4851</v>
      </c>
      <c r="C2321" t="s">
        <v>7324</v>
      </c>
      <c r="D2321" t="s">
        <v>7607</v>
      </c>
      <c r="E2321" t="s">
        <v>7403</v>
      </c>
      <c r="F2321" t="s">
        <v>7606</v>
      </c>
      <c r="G2321" t="s">
        <v>18</v>
      </c>
      <c r="H2321" s="75" t="str">
        <f>IFERROR(VLOOKUP(Table2[[#This Row],[Ticket]],Okey!A:B,2,0),"")</f>
        <v>ok</v>
      </c>
      <c r="I2321" t="s">
        <v>19</v>
      </c>
      <c r="J2321" t="str">
        <f>VLOOKUP(Table2[[#This Row],[Author]],People!A:B,2,0)</f>
        <v>LS</v>
      </c>
      <c r="L2321" s="40"/>
      <c r="M2321" s="40" t="s">
        <v>1040</v>
      </c>
    </row>
    <row r="2322" spans="1:13" x14ac:dyDescent="0.25">
      <c r="A2322" s="75">
        <f t="shared" si="36"/>
        <v>2321</v>
      </c>
      <c r="B2322" t="s">
        <v>4851</v>
      </c>
      <c r="C2322" t="s">
        <v>7324</v>
      </c>
      <c r="D2322" t="s">
        <v>7608</v>
      </c>
      <c r="E2322" t="s">
        <v>7404</v>
      </c>
      <c r="F2322" t="s">
        <v>7606</v>
      </c>
      <c r="G2322" t="s">
        <v>18</v>
      </c>
      <c r="H2322" s="75" t="str">
        <f>IFERROR(VLOOKUP(Table2[[#This Row],[Ticket]],Okey!A:B,2,0),"")</f>
        <v>ok</v>
      </c>
      <c r="I2322" t="s">
        <v>19</v>
      </c>
      <c r="J2322" t="str">
        <f>VLOOKUP(Table2[[#This Row],[Author]],People!A:B,2,0)</f>
        <v>LS</v>
      </c>
      <c r="L2322" s="40"/>
      <c r="M2322" s="40" t="s">
        <v>1040</v>
      </c>
    </row>
    <row r="2323" spans="1:13" x14ac:dyDescent="0.25">
      <c r="A2323" s="75">
        <f t="shared" si="36"/>
        <v>2322</v>
      </c>
      <c r="B2323" t="s">
        <v>4851</v>
      </c>
      <c r="C2323" t="s">
        <v>7324</v>
      </c>
      <c r="D2323" t="s">
        <v>7609</v>
      </c>
      <c r="E2323" t="s">
        <v>7405</v>
      </c>
      <c r="F2323" t="s">
        <v>7469</v>
      </c>
      <c r="G2323" t="s">
        <v>18</v>
      </c>
      <c r="H2323" s="75" t="str">
        <f>IFERROR(VLOOKUP(Table2[[#This Row],[Ticket]],Okey!A:B,2,0),"")</f>
        <v>ok</v>
      </c>
      <c r="I2323" t="s">
        <v>19</v>
      </c>
      <c r="J2323" t="str">
        <f>VLOOKUP(Table2[[#This Row],[Author]],People!A:B,2,0)</f>
        <v>LS</v>
      </c>
      <c r="L2323" s="40"/>
      <c r="M2323" s="40" t="s">
        <v>1040</v>
      </c>
    </row>
    <row r="2324" spans="1:13" x14ac:dyDescent="0.25">
      <c r="A2324" s="75">
        <f t="shared" si="36"/>
        <v>2323</v>
      </c>
      <c r="B2324" t="s">
        <v>4851</v>
      </c>
      <c r="C2324" t="s">
        <v>7324</v>
      </c>
      <c r="D2324" t="s">
        <v>7610</v>
      </c>
      <c r="E2324" t="s">
        <v>7406</v>
      </c>
      <c r="F2324" t="s">
        <v>7609</v>
      </c>
      <c r="G2324" t="s">
        <v>18</v>
      </c>
      <c r="H2324" s="75" t="str">
        <f>IFERROR(VLOOKUP(Table2[[#This Row],[Ticket]],Okey!A:B,2,0),"")</f>
        <v>ok</v>
      </c>
      <c r="I2324" t="s">
        <v>19</v>
      </c>
      <c r="J2324" t="str">
        <f>VLOOKUP(Table2[[#This Row],[Author]],People!A:B,2,0)</f>
        <v>LS</v>
      </c>
      <c r="L2324" s="40"/>
      <c r="M2324" s="40" t="s">
        <v>1040</v>
      </c>
    </row>
    <row r="2325" spans="1:13" x14ac:dyDescent="0.25">
      <c r="A2325" s="75">
        <f t="shared" si="36"/>
        <v>2324</v>
      </c>
      <c r="B2325" t="s">
        <v>4851</v>
      </c>
      <c r="C2325" t="s">
        <v>7324</v>
      </c>
      <c r="D2325" t="s">
        <v>7611</v>
      </c>
      <c r="E2325" t="s">
        <v>7407</v>
      </c>
      <c r="F2325" t="s">
        <v>7609</v>
      </c>
      <c r="G2325" t="s">
        <v>18</v>
      </c>
      <c r="H2325" s="75" t="str">
        <f>IFERROR(VLOOKUP(Table2[[#This Row],[Ticket]],Okey!A:B,2,0),"")</f>
        <v>ok</v>
      </c>
      <c r="I2325" t="s">
        <v>19</v>
      </c>
      <c r="J2325" t="str">
        <f>VLOOKUP(Table2[[#This Row],[Author]],People!A:B,2,0)</f>
        <v>LS</v>
      </c>
      <c r="L2325" s="40"/>
      <c r="M2325" s="40" t="s">
        <v>1040</v>
      </c>
    </row>
    <row r="2326" spans="1:13" x14ac:dyDescent="0.25">
      <c r="A2326" s="75">
        <f t="shared" si="36"/>
        <v>2325</v>
      </c>
      <c r="B2326" t="s">
        <v>4851</v>
      </c>
      <c r="C2326" t="s">
        <v>7324</v>
      </c>
      <c r="D2326" t="s">
        <v>7612</v>
      </c>
      <c r="E2326" t="s">
        <v>7408</v>
      </c>
      <c r="F2326" t="s">
        <v>7609</v>
      </c>
      <c r="G2326" t="s">
        <v>18</v>
      </c>
      <c r="H2326" s="75" t="str">
        <f>IFERROR(VLOOKUP(Table2[[#This Row],[Ticket]],Okey!A:B,2,0),"")</f>
        <v>ok</v>
      </c>
      <c r="I2326" t="s">
        <v>19</v>
      </c>
      <c r="J2326" t="str">
        <f>VLOOKUP(Table2[[#This Row],[Author]],People!A:B,2,0)</f>
        <v>LS</v>
      </c>
      <c r="L2326" s="40"/>
      <c r="M2326" s="40" t="s">
        <v>1040</v>
      </c>
    </row>
    <row r="2327" spans="1:13" x14ac:dyDescent="0.25">
      <c r="A2327" s="75">
        <f t="shared" si="36"/>
        <v>2326</v>
      </c>
      <c r="B2327" t="s">
        <v>4851</v>
      </c>
      <c r="C2327" t="s">
        <v>7324</v>
      </c>
      <c r="D2327" t="s">
        <v>7613</v>
      </c>
      <c r="E2327" t="s">
        <v>7409</v>
      </c>
      <c r="F2327" t="s">
        <v>7469</v>
      </c>
      <c r="G2327" t="s">
        <v>18</v>
      </c>
      <c r="H2327" s="75" t="str">
        <f>IFERROR(VLOOKUP(Table2[[#This Row],[Ticket]],Okey!A:B,2,0),"")</f>
        <v>ok</v>
      </c>
      <c r="I2327" t="s">
        <v>19</v>
      </c>
      <c r="J2327" t="str">
        <f>VLOOKUP(Table2[[#This Row],[Author]],People!A:B,2,0)</f>
        <v>LS</v>
      </c>
      <c r="L2327" s="40"/>
      <c r="M2327" s="40" t="s">
        <v>1040</v>
      </c>
    </row>
    <row r="2328" spans="1:13" x14ac:dyDescent="0.25">
      <c r="A2328" s="75">
        <f t="shared" si="36"/>
        <v>2327</v>
      </c>
      <c r="B2328" t="s">
        <v>4851</v>
      </c>
      <c r="C2328" t="s">
        <v>7324</v>
      </c>
      <c r="D2328" t="s">
        <v>7614</v>
      </c>
      <c r="E2328" t="s">
        <v>7410</v>
      </c>
      <c r="F2328" t="s">
        <v>7613</v>
      </c>
      <c r="G2328" t="s">
        <v>18</v>
      </c>
      <c r="H2328" s="75" t="str">
        <f>IFERROR(VLOOKUP(Table2[[#This Row],[Ticket]],Okey!A:B,2,0),"")</f>
        <v>ok</v>
      </c>
      <c r="I2328" t="s">
        <v>19</v>
      </c>
      <c r="J2328" t="str">
        <f>VLOOKUP(Table2[[#This Row],[Author]],People!A:B,2,0)</f>
        <v>LS</v>
      </c>
      <c r="L2328" s="40"/>
      <c r="M2328" s="40" t="s">
        <v>1040</v>
      </c>
    </row>
    <row r="2329" spans="1:13" x14ac:dyDescent="0.25">
      <c r="A2329" s="75">
        <f t="shared" si="36"/>
        <v>2328</v>
      </c>
      <c r="B2329" t="s">
        <v>4851</v>
      </c>
      <c r="C2329" t="s">
        <v>7324</v>
      </c>
      <c r="D2329" t="s">
        <v>7615</v>
      </c>
      <c r="E2329" t="s">
        <v>7411</v>
      </c>
      <c r="F2329" t="s">
        <v>7613</v>
      </c>
      <c r="G2329" t="s">
        <v>18</v>
      </c>
      <c r="H2329" s="75" t="str">
        <f>IFERROR(VLOOKUP(Table2[[#This Row],[Ticket]],Okey!A:B,2,0),"")</f>
        <v>ok</v>
      </c>
      <c r="I2329" t="s">
        <v>19</v>
      </c>
      <c r="J2329" t="str">
        <f>VLOOKUP(Table2[[#This Row],[Author]],People!A:B,2,0)</f>
        <v>LS</v>
      </c>
      <c r="L2329" s="40"/>
      <c r="M2329" s="40" t="s">
        <v>1040</v>
      </c>
    </row>
    <row r="2330" spans="1:13" x14ac:dyDescent="0.25">
      <c r="A2330" s="75">
        <f t="shared" si="36"/>
        <v>2329</v>
      </c>
      <c r="B2330" t="s">
        <v>4851</v>
      </c>
      <c r="C2330" t="s">
        <v>7324</v>
      </c>
      <c r="D2330" t="s">
        <v>7616</v>
      </c>
      <c r="E2330" t="s">
        <v>7412</v>
      </c>
      <c r="F2330" t="s">
        <v>7615</v>
      </c>
      <c r="G2330" t="s">
        <v>18</v>
      </c>
      <c r="H2330" s="75" t="str">
        <f>IFERROR(VLOOKUP(Table2[[#This Row],[Ticket]],Okey!A:B,2,0),"")</f>
        <v>ok</v>
      </c>
      <c r="I2330" t="s">
        <v>19</v>
      </c>
      <c r="J2330" t="str">
        <f>VLOOKUP(Table2[[#This Row],[Author]],People!A:B,2,0)</f>
        <v>LS</v>
      </c>
      <c r="L2330" s="40"/>
      <c r="M2330" s="40" t="s">
        <v>1040</v>
      </c>
    </row>
    <row r="2331" spans="1:13" x14ac:dyDescent="0.25">
      <c r="A2331" s="75">
        <f t="shared" si="36"/>
        <v>2330</v>
      </c>
      <c r="B2331" t="s">
        <v>4851</v>
      </c>
      <c r="C2331" t="s">
        <v>7324</v>
      </c>
      <c r="D2331" t="s">
        <v>7617</v>
      </c>
      <c r="E2331" t="s">
        <v>7413</v>
      </c>
      <c r="F2331" t="s">
        <v>7615</v>
      </c>
      <c r="G2331" t="s">
        <v>18</v>
      </c>
      <c r="H2331" s="75" t="str">
        <f>IFERROR(VLOOKUP(Table2[[#This Row],[Ticket]],Okey!A:B,2,0),"")</f>
        <v>ok</v>
      </c>
      <c r="I2331" t="s">
        <v>19</v>
      </c>
      <c r="J2331" t="str">
        <f>VLOOKUP(Table2[[#This Row],[Author]],People!A:B,2,0)</f>
        <v>LS</v>
      </c>
      <c r="L2331" s="40"/>
      <c r="M2331" s="40" t="s">
        <v>1040</v>
      </c>
    </row>
    <row r="2332" spans="1:13" x14ac:dyDescent="0.25">
      <c r="A2332" s="75">
        <f t="shared" si="36"/>
        <v>2331</v>
      </c>
      <c r="B2332" t="s">
        <v>4851</v>
      </c>
      <c r="C2332" t="s">
        <v>7324</v>
      </c>
      <c r="D2332" t="s">
        <v>7618</v>
      </c>
      <c r="E2332" t="s">
        <v>7414</v>
      </c>
      <c r="F2332" t="s">
        <v>7615</v>
      </c>
      <c r="G2332" t="s">
        <v>18</v>
      </c>
      <c r="H2332" s="75" t="str">
        <f>IFERROR(VLOOKUP(Table2[[#This Row],[Ticket]],Okey!A:B,2,0),"")</f>
        <v>ok</v>
      </c>
      <c r="I2332" t="s">
        <v>19</v>
      </c>
      <c r="J2332" t="str">
        <f>VLOOKUP(Table2[[#This Row],[Author]],People!A:B,2,0)</f>
        <v>LS</v>
      </c>
      <c r="L2332" s="40"/>
      <c r="M2332" s="40" t="s">
        <v>1040</v>
      </c>
    </row>
    <row r="2333" spans="1:13" x14ac:dyDescent="0.25">
      <c r="A2333" s="75">
        <f t="shared" si="36"/>
        <v>2332</v>
      </c>
      <c r="B2333" t="s">
        <v>4851</v>
      </c>
      <c r="C2333" t="s">
        <v>7324</v>
      </c>
      <c r="D2333" t="s">
        <v>7619</v>
      </c>
      <c r="E2333" t="s">
        <v>7415</v>
      </c>
      <c r="F2333" t="s">
        <v>7615</v>
      </c>
      <c r="G2333" t="s">
        <v>18</v>
      </c>
      <c r="H2333" s="75" t="str">
        <f>IFERROR(VLOOKUP(Table2[[#This Row],[Ticket]],Okey!A:B,2,0),"")</f>
        <v>ok</v>
      </c>
      <c r="I2333" t="s">
        <v>19</v>
      </c>
      <c r="J2333" t="str">
        <f>VLOOKUP(Table2[[#This Row],[Author]],People!A:B,2,0)</f>
        <v>LS</v>
      </c>
      <c r="L2333" s="40"/>
      <c r="M2333" s="40" t="s">
        <v>1040</v>
      </c>
    </row>
    <row r="2334" spans="1:13" x14ac:dyDescent="0.25">
      <c r="A2334" s="75">
        <f t="shared" si="36"/>
        <v>2333</v>
      </c>
      <c r="B2334" t="s">
        <v>4851</v>
      </c>
      <c r="C2334" t="s">
        <v>7324</v>
      </c>
      <c r="D2334" t="s">
        <v>7620</v>
      </c>
      <c r="E2334" t="s">
        <v>7416</v>
      </c>
      <c r="F2334" t="s">
        <v>7613</v>
      </c>
      <c r="G2334" t="s">
        <v>18</v>
      </c>
      <c r="H2334" s="75" t="str">
        <f>IFERROR(VLOOKUP(Table2[[#This Row],[Ticket]],Okey!A:B,2,0),"")</f>
        <v>ok</v>
      </c>
      <c r="I2334" t="s">
        <v>19</v>
      </c>
      <c r="J2334" t="str">
        <f>VLOOKUP(Table2[[#This Row],[Author]],People!A:B,2,0)</f>
        <v>LS</v>
      </c>
      <c r="L2334" s="40"/>
      <c r="M2334" s="40" t="s">
        <v>1040</v>
      </c>
    </row>
    <row r="2335" spans="1:13" x14ac:dyDescent="0.25">
      <c r="A2335" s="75">
        <f t="shared" si="36"/>
        <v>2334</v>
      </c>
      <c r="B2335" t="s">
        <v>4851</v>
      </c>
      <c r="C2335" t="s">
        <v>7324</v>
      </c>
      <c r="D2335" t="s">
        <v>7621</v>
      </c>
      <c r="E2335" t="s">
        <v>7417</v>
      </c>
      <c r="F2335" t="s">
        <v>7613</v>
      </c>
      <c r="G2335" t="s">
        <v>18</v>
      </c>
      <c r="H2335" s="75" t="str">
        <f>IFERROR(VLOOKUP(Table2[[#This Row],[Ticket]],Okey!A:B,2,0),"")</f>
        <v>ok</v>
      </c>
      <c r="I2335" t="s">
        <v>19</v>
      </c>
      <c r="J2335" t="str">
        <f>VLOOKUP(Table2[[#This Row],[Author]],People!A:B,2,0)</f>
        <v>LS</v>
      </c>
      <c r="L2335" s="40"/>
      <c r="M2335" s="40" t="s">
        <v>1040</v>
      </c>
    </row>
    <row r="2336" spans="1:13" x14ac:dyDescent="0.25">
      <c r="A2336" s="75">
        <f t="shared" si="36"/>
        <v>2335</v>
      </c>
      <c r="B2336" t="s">
        <v>4851</v>
      </c>
      <c r="C2336" t="s">
        <v>7324</v>
      </c>
      <c r="D2336" t="s">
        <v>7326</v>
      </c>
      <c r="E2336" t="s">
        <v>7522</v>
      </c>
      <c r="G2336" t="s">
        <v>63</v>
      </c>
      <c r="H2336" s="75" t="str">
        <f>IFERROR(VLOOKUP(Table2[[#This Row],[Ticket]],Okey!A:B,2,0),"")</f>
        <v>ok</v>
      </c>
      <c r="I2336" t="s">
        <v>19</v>
      </c>
      <c r="J2336" t="str">
        <f>VLOOKUP(Table2[[#This Row],[Author]],People!A:B,2,0)</f>
        <v>LS</v>
      </c>
      <c r="L2336" s="40"/>
      <c r="M2336" s="40" t="s">
        <v>1040</v>
      </c>
    </row>
    <row r="2337" spans="1:13" x14ac:dyDescent="0.25">
      <c r="A2337" s="75">
        <f t="shared" si="36"/>
        <v>2336</v>
      </c>
      <c r="B2337" t="s">
        <v>4851</v>
      </c>
      <c r="C2337" t="s">
        <v>7324</v>
      </c>
      <c r="D2337" t="s">
        <v>7482</v>
      </c>
      <c r="E2337" t="s">
        <v>7523</v>
      </c>
      <c r="G2337" t="s">
        <v>63</v>
      </c>
      <c r="H2337" s="75" t="str">
        <f>IFERROR(VLOOKUP(Table2[[#This Row],[Ticket]],Okey!A:B,2,0),"")</f>
        <v>ok</v>
      </c>
      <c r="I2337" t="s">
        <v>19</v>
      </c>
      <c r="J2337" t="str">
        <f>VLOOKUP(Table2[[#This Row],[Author]],People!A:B,2,0)</f>
        <v>LS</v>
      </c>
      <c r="L2337" s="40"/>
      <c r="M2337" s="40" t="s">
        <v>1040</v>
      </c>
    </row>
    <row r="2338" spans="1:13" x14ac:dyDescent="0.25">
      <c r="A2338" s="75">
        <f t="shared" si="36"/>
        <v>2337</v>
      </c>
      <c r="B2338" t="s">
        <v>4851</v>
      </c>
      <c r="C2338" t="s">
        <v>7324</v>
      </c>
      <c r="D2338" t="s">
        <v>7483</v>
      </c>
      <c r="E2338" t="s">
        <v>7524</v>
      </c>
      <c r="G2338" t="s">
        <v>63</v>
      </c>
      <c r="H2338" s="75" t="str">
        <f>IFERROR(VLOOKUP(Table2[[#This Row],[Ticket]],Okey!A:B,2,0),"")</f>
        <v>ok</v>
      </c>
      <c r="I2338" t="s">
        <v>19</v>
      </c>
      <c r="J2338" t="str">
        <f>VLOOKUP(Table2[[#This Row],[Author]],People!A:B,2,0)</f>
        <v>LS</v>
      </c>
      <c r="L2338" s="40"/>
      <c r="M2338" s="40" t="s">
        <v>1040</v>
      </c>
    </row>
    <row r="2339" spans="1:13" x14ac:dyDescent="0.25">
      <c r="A2339" s="75">
        <f t="shared" si="36"/>
        <v>2338</v>
      </c>
      <c r="B2339" t="s">
        <v>4851</v>
      </c>
      <c r="C2339" t="s">
        <v>7324</v>
      </c>
      <c r="D2339" t="s">
        <v>7484</v>
      </c>
      <c r="E2339" t="s">
        <v>7525</v>
      </c>
      <c r="G2339" t="s">
        <v>63</v>
      </c>
      <c r="H2339" s="75" t="str">
        <f>IFERROR(VLOOKUP(Table2[[#This Row],[Ticket]],Okey!A:B,2,0),"")</f>
        <v>ok</v>
      </c>
      <c r="I2339" t="s">
        <v>19</v>
      </c>
      <c r="J2339" t="str">
        <f>VLOOKUP(Table2[[#This Row],[Author]],People!A:B,2,0)</f>
        <v>LS</v>
      </c>
      <c r="L2339" s="40"/>
      <c r="M2339" s="40" t="s">
        <v>1040</v>
      </c>
    </row>
    <row r="2340" spans="1:13" x14ac:dyDescent="0.25">
      <c r="A2340" s="75">
        <f t="shared" si="36"/>
        <v>2339</v>
      </c>
      <c r="B2340" t="s">
        <v>4851</v>
      </c>
      <c r="C2340" t="s">
        <v>7324</v>
      </c>
      <c r="D2340" t="s">
        <v>7485</v>
      </c>
      <c r="E2340" t="s">
        <v>7526</v>
      </c>
      <c r="G2340" t="s">
        <v>63</v>
      </c>
      <c r="H2340" s="75" t="str">
        <f>IFERROR(VLOOKUP(Table2[[#This Row],[Ticket]],Okey!A:B,2,0),"")</f>
        <v>ok</v>
      </c>
      <c r="I2340" t="s">
        <v>19</v>
      </c>
      <c r="J2340" t="str">
        <f>VLOOKUP(Table2[[#This Row],[Author]],People!A:B,2,0)</f>
        <v>LS</v>
      </c>
      <c r="L2340" s="40"/>
      <c r="M2340" s="40" t="s">
        <v>1040</v>
      </c>
    </row>
    <row r="2341" spans="1:13" x14ac:dyDescent="0.25">
      <c r="A2341" s="75">
        <f t="shared" si="36"/>
        <v>2340</v>
      </c>
      <c r="B2341" t="s">
        <v>4851</v>
      </c>
      <c r="C2341" t="s">
        <v>7324</v>
      </c>
      <c r="D2341" t="s">
        <v>7486</v>
      </c>
      <c r="E2341" t="s">
        <v>7527</v>
      </c>
      <c r="G2341" t="s">
        <v>63</v>
      </c>
      <c r="H2341" s="75" t="str">
        <f>IFERROR(VLOOKUP(Table2[[#This Row],[Ticket]],Okey!A:B,2,0),"")</f>
        <v>ok</v>
      </c>
      <c r="I2341" t="s">
        <v>19</v>
      </c>
      <c r="J2341" t="str">
        <f>VLOOKUP(Table2[[#This Row],[Author]],People!A:B,2,0)</f>
        <v>LS</v>
      </c>
      <c r="L2341" s="40"/>
      <c r="M2341" s="40" t="s">
        <v>1040</v>
      </c>
    </row>
    <row r="2342" spans="1:13" x14ac:dyDescent="0.25">
      <c r="A2342" s="75">
        <f t="shared" si="36"/>
        <v>2341</v>
      </c>
      <c r="B2342" t="s">
        <v>4851</v>
      </c>
      <c r="C2342" t="s">
        <v>7324</v>
      </c>
      <c r="D2342" t="s">
        <v>7487</v>
      </c>
      <c r="E2342" t="s">
        <v>7528</v>
      </c>
      <c r="G2342" t="s">
        <v>63</v>
      </c>
      <c r="H2342" s="75" t="str">
        <f>IFERROR(VLOOKUP(Table2[[#This Row],[Ticket]],Okey!A:B,2,0),"")</f>
        <v>ok</v>
      </c>
      <c r="I2342" t="s">
        <v>19</v>
      </c>
      <c r="J2342" t="str">
        <f>VLOOKUP(Table2[[#This Row],[Author]],People!A:B,2,0)</f>
        <v>LS</v>
      </c>
      <c r="L2342" s="40"/>
      <c r="M2342" s="40" t="s">
        <v>1040</v>
      </c>
    </row>
    <row r="2343" spans="1:13" x14ac:dyDescent="0.25">
      <c r="A2343" s="75">
        <f t="shared" si="36"/>
        <v>2342</v>
      </c>
      <c r="B2343" t="s">
        <v>4851</v>
      </c>
      <c r="C2343" t="s">
        <v>7324</v>
      </c>
      <c r="D2343" t="s">
        <v>7488</v>
      </c>
      <c r="E2343" t="s">
        <v>7529</v>
      </c>
      <c r="G2343" t="s">
        <v>63</v>
      </c>
      <c r="H2343" s="75" t="str">
        <f>IFERROR(VLOOKUP(Table2[[#This Row],[Ticket]],Okey!A:B,2,0),"")</f>
        <v>ok</v>
      </c>
      <c r="I2343" t="s">
        <v>19</v>
      </c>
      <c r="J2343" t="str">
        <f>VLOOKUP(Table2[[#This Row],[Author]],People!A:B,2,0)</f>
        <v>LS</v>
      </c>
      <c r="L2343" s="40"/>
      <c r="M2343" s="40" t="s">
        <v>1040</v>
      </c>
    </row>
    <row r="2344" spans="1:13" x14ac:dyDescent="0.25">
      <c r="A2344" s="75">
        <f t="shared" si="36"/>
        <v>2343</v>
      </c>
      <c r="B2344" t="s">
        <v>4851</v>
      </c>
      <c r="C2344" t="s">
        <v>7324</v>
      </c>
      <c r="D2344" t="s">
        <v>7489</v>
      </c>
      <c r="E2344" t="s">
        <v>7530</v>
      </c>
      <c r="G2344" t="s">
        <v>63</v>
      </c>
      <c r="H2344" s="75" t="str">
        <f>IFERROR(VLOOKUP(Table2[[#This Row],[Ticket]],Okey!A:B,2,0),"")</f>
        <v>ok</v>
      </c>
      <c r="I2344" t="s">
        <v>19</v>
      </c>
      <c r="J2344" t="str">
        <f>VLOOKUP(Table2[[#This Row],[Author]],People!A:B,2,0)</f>
        <v>LS</v>
      </c>
      <c r="L2344" s="40"/>
      <c r="M2344" s="40" t="s">
        <v>1040</v>
      </c>
    </row>
    <row r="2345" spans="1:13" x14ac:dyDescent="0.25">
      <c r="A2345" s="75">
        <f t="shared" si="36"/>
        <v>2344</v>
      </c>
      <c r="B2345" t="s">
        <v>4851</v>
      </c>
      <c r="C2345" t="s">
        <v>7324</v>
      </c>
      <c r="D2345" t="s">
        <v>7490</v>
      </c>
      <c r="E2345" t="s">
        <v>7531</v>
      </c>
      <c r="G2345" t="s">
        <v>63</v>
      </c>
      <c r="H2345" s="75" t="str">
        <f>IFERROR(VLOOKUP(Table2[[#This Row],[Ticket]],Okey!A:B,2,0),"")</f>
        <v>ok</v>
      </c>
      <c r="I2345" t="s">
        <v>19</v>
      </c>
      <c r="J2345" t="str">
        <f>VLOOKUP(Table2[[#This Row],[Author]],People!A:B,2,0)</f>
        <v>LS</v>
      </c>
      <c r="L2345" s="40"/>
      <c r="M2345" s="40" t="s">
        <v>1040</v>
      </c>
    </row>
    <row r="2346" spans="1:13" x14ac:dyDescent="0.25">
      <c r="A2346" s="75">
        <f t="shared" si="36"/>
        <v>2345</v>
      </c>
      <c r="B2346" t="s">
        <v>4851</v>
      </c>
      <c r="C2346" t="s">
        <v>7324</v>
      </c>
      <c r="D2346" t="s">
        <v>7491</v>
      </c>
      <c r="E2346" t="s">
        <v>7532</v>
      </c>
      <c r="G2346" t="s">
        <v>63</v>
      </c>
      <c r="H2346" s="75" t="str">
        <f>IFERROR(VLOOKUP(Table2[[#This Row],[Ticket]],Okey!A:B,2,0),"")</f>
        <v>ok</v>
      </c>
      <c r="I2346" t="s">
        <v>19</v>
      </c>
      <c r="J2346" t="str">
        <f>VLOOKUP(Table2[[#This Row],[Author]],People!A:B,2,0)</f>
        <v>LS</v>
      </c>
      <c r="L2346" s="40"/>
      <c r="M2346" s="40" t="s">
        <v>1040</v>
      </c>
    </row>
    <row r="2347" spans="1:13" x14ac:dyDescent="0.25">
      <c r="A2347" s="75">
        <f t="shared" si="36"/>
        <v>2346</v>
      </c>
      <c r="B2347" t="s">
        <v>4851</v>
      </c>
      <c r="C2347" t="s">
        <v>7324</v>
      </c>
      <c r="D2347" t="s">
        <v>2709</v>
      </c>
      <c r="E2347" t="s">
        <v>7533</v>
      </c>
      <c r="G2347" t="s">
        <v>63</v>
      </c>
      <c r="H2347" s="75" t="str">
        <f>IFERROR(VLOOKUP(Table2[[#This Row],[Ticket]],Okey!A:B,2,0),"")</f>
        <v>ok</v>
      </c>
      <c r="I2347" t="s">
        <v>19</v>
      </c>
      <c r="J2347" t="str">
        <f>VLOOKUP(Table2[[#This Row],[Author]],People!A:B,2,0)</f>
        <v>LS</v>
      </c>
      <c r="L2347" s="40"/>
      <c r="M2347" s="40" t="s">
        <v>1040</v>
      </c>
    </row>
    <row r="2348" spans="1:13" x14ac:dyDescent="0.25">
      <c r="A2348" s="75">
        <f t="shared" si="36"/>
        <v>2347</v>
      </c>
      <c r="B2348" t="s">
        <v>4851</v>
      </c>
      <c r="C2348" t="s">
        <v>7324</v>
      </c>
      <c r="D2348" t="s">
        <v>7492</v>
      </c>
      <c r="E2348" t="s">
        <v>7534</v>
      </c>
      <c r="G2348" t="s">
        <v>63</v>
      </c>
      <c r="H2348" s="75" t="str">
        <f>IFERROR(VLOOKUP(Table2[[#This Row],[Ticket]],Okey!A:B,2,0),"")</f>
        <v>ok</v>
      </c>
      <c r="I2348" t="s">
        <v>19</v>
      </c>
      <c r="J2348" t="str">
        <f>VLOOKUP(Table2[[#This Row],[Author]],People!A:B,2,0)</f>
        <v>LS</v>
      </c>
      <c r="L2348" s="40"/>
      <c r="M2348" s="40" t="s">
        <v>1040</v>
      </c>
    </row>
    <row r="2349" spans="1:13" x14ac:dyDescent="0.25">
      <c r="A2349" s="75">
        <f t="shared" si="36"/>
        <v>2348</v>
      </c>
      <c r="B2349" t="s">
        <v>4851</v>
      </c>
      <c r="C2349" t="s">
        <v>7324</v>
      </c>
      <c r="D2349" t="s">
        <v>4590</v>
      </c>
      <c r="E2349" t="s">
        <v>7535</v>
      </c>
      <c r="G2349" t="s">
        <v>63</v>
      </c>
      <c r="H2349" s="75" t="str">
        <f>IFERROR(VLOOKUP(Table2[[#This Row],[Ticket]],Okey!A:B,2,0),"")</f>
        <v>ok</v>
      </c>
      <c r="I2349" t="s">
        <v>19</v>
      </c>
      <c r="J2349" t="str">
        <f>VLOOKUP(Table2[[#This Row],[Author]],People!A:B,2,0)</f>
        <v>LS</v>
      </c>
      <c r="L2349" s="40"/>
      <c r="M2349" s="40" t="s">
        <v>1040</v>
      </c>
    </row>
    <row r="2350" spans="1:13" x14ac:dyDescent="0.25">
      <c r="A2350" s="75">
        <f t="shared" si="36"/>
        <v>2349</v>
      </c>
      <c r="B2350" t="s">
        <v>4851</v>
      </c>
      <c r="C2350" t="s">
        <v>7324</v>
      </c>
      <c r="D2350" t="s">
        <v>4592</v>
      </c>
      <c r="E2350" t="s">
        <v>7536</v>
      </c>
      <c r="G2350" t="s">
        <v>63</v>
      </c>
      <c r="H2350" s="75" t="str">
        <f>IFERROR(VLOOKUP(Table2[[#This Row],[Ticket]],Okey!A:B,2,0),"")</f>
        <v>ok</v>
      </c>
      <c r="I2350" t="s">
        <v>19</v>
      </c>
      <c r="J2350" t="str">
        <f>VLOOKUP(Table2[[#This Row],[Author]],People!A:B,2,0)</f>
        <v>LS</v>
      </c>
      <c r="L2350" s="40"/>
      <c r="M2350" s="40" t="s">
        <v>1040</v>
      </c>
    </row>
    <row r="2351" spans="1:13" x14ac:dyDescent="0.25">
      <c r="A2351" s="75">
        <f t="shared" si="36"/>
        <v>2350</v>
      </c>
      <c r="B2351" t="s">
        <v>4851</v>
      </c>
      <c r="C2351" t="s">
        <v>7324</v>
      </c>
      <c r="D2351" t="s">
        <v>4594</v>
      </c>
      <c r="E2351" t="s">
        <v>7537</v>
      </c>
      <c r="G2351" t="s">
        <v>63</v>
      </c>
      <c r="H2351" s="75" t="str">
        <f>IFERROR(VLOOKUP(Table2[[#This Row],[Ticket]],Okey!A:B,2,0),"")</f>
        <v>ok</v>
      </c>
      <c r="I2351" t="s">
        <v>19</v>
      </c>
      <c r="J2351" t="str">
        <f>VLOOKUP(Table2[[#This Row],[Author]],People!A:B,2,0)</f>
        <v>LS</v>
      </c>
      <c r="L2351" s="40"/>
      <c r="M2351" s="40" t="s">
        <v>1040</v>
      </c>
    </row>
    <row r="2352" spans="1:13" x14ac:dyDescent="0.25">
      <c r="A2352" s="75">
        <f t="shared" si="36"/>
        <v>2351</v>
      </c>
      <c r="B2352" t="s">
        <v>4851</v>
      </c>
      <c r="C2352" t="s">
        <v>7324</v>
      </c>
      <c r="D2352" t="s">
        <v>4596</v>
      </c>
      <c r="E2352" t="s">
        <v>7538</v>
      </c>
      <c r="G2352" t="s">
        <v>63</v>
      </c>
      <c r="H2352" s="75" t="str">
        <f>IFERROR(VLOOKUP(Table2[[#This Row],[Ticket]],Okey!A:B,2,0),"")</f>
        <v>ok</v>
      </c>
      <c r="I2352" t="s">
        <v>19</v>
      </c>
      <c r="J2352" t="str">
        <f>VLOOKUP(Table2[[#This Row],[Author]],People!A:B,2,0)</f>
        <v>LS</v>
      </c>
      <c r="L2352" s="40"/>
      <c r="M2352" s="40" t="s">
        <v>1040</v>
      </c>
    </row>
    <row r="2353" spans="1:13" x14ac:dyDescent="0.25">
      <c r="A2353" s="75">
        <f t="shared" si="36"/>
        <v>2352</v>
      </c>
      <c r="B2353" t="s">
        <v>4851</v>
      </c>
      <c r="C2353" t="s">
        <v>7324</v>
      </c>
      <c r="D2353" t="s">
        <v>2560</v>
      </c>
      <c r="E2353" t="s">
        <v>7539</v>
      </c>
      <c r="G2353" t="s">
        <v>63</v>
      </c>
      <c r="H2353" s="75" t="str">
        <f>IFERROR(VLOOKUP(Table2[[#This Row],[Ticket]],Okey!A:B,2,0),"")</f>
        <v>ok</v>
      </c>
      <c r="I2353" t="s">
        <v>19</v>
      </c>
      <c r="J2353" t="str">
        <f>VLOOKUP(Table2[[#This Row],[Author]],People!A:B,2,0)</f>
        <v>LS</v>
      </c>
      <c r="L2353" s="40"/>
      <c r="M2353" s="40" t="s">
        <v>1040</v>
      </c>
    </row>
    <row r="2354" spans="1:13" x14ac:dyDescent="0.25">
      <c r="A2354" s="75">
        <f t="shared" si="36"/>
        <v>2353</v>
      </c>
      <c r="B2354" t="s">
        <v>4851</v>
      </c>
      <c r="C2354" t="s">
        <v>7324</v>
      </c>
      <c r="D2354" t="s">
        <v>2535</v>
      </c>
      <c r="E2354" t="s">
        <v>7540</v>
      </c>
      <c r="G2354" t="s">
        <v>63</v>
      </c>
      <c r="H2354" s="75" t="str">
        <f>IFERROR(VLOOKUP(Table2[[#This Row],[Ticket]],Okey!A:B,2,0),"")</f>
        <v>ok</v>
      </c>
      <c r="I2354" t="s">
        <v>19</v>
      </c>
      <c r="J2354" t="str">
        <f>VLOOKUP(Table2[[#This Row],[Author]],People!A:B,2,0)</f>
        <v>LS</v>
      </c>
      <c r="L2354" s="40"/>
      <c r="M2354" s="40" t="s">
        <v>1040</v>
      </c>
    </row>
    <row r="2355" spans="1:13" x14ac:dyDescent="0.25">
      <c r="A2355" s="75">
        <f t="shared" si="36"/>
        <v>2354</v>
      </c>
      <c r="B2355" t="s">
        <v>4851</v>
      </c>
      <c r="C2355" t="s">
        <v>7324</v>
      </c>
      <c r="D2355" t="s">
        <v>2587</v>
      </c>
      <c r="E2355" t="s">
        <v>7541</v>
      </c>
      <c r="G2355" t="s">
        <v>63</v>
      </c>
      <c r="H2355" s="75" t="str">
        <f>IFERROR(VLOOKUP(Table2[[#This Row],[Ticket]],Okey!A:B,2,0),"")</f>
        <v>ok</v>
      </c>
      <c r="I2355" t="s">
        <v>19</v>
      </c>
      <c r="J2355" t="str">
        <f>VLOOKUP(Table2[[#This Row],[Author]],People!A:B,2,0)</f>
        <v>LS</v>
      </c>
      <c r="L2355" s="40"/>
      <c r="M2355" s="40" t="s">
        <v>1040</v>
      </c>
    </row>
    <row r="2356" spans="1:13" x14ac:dyDescent="0.25">
      <c r="A2356" s="75">
        <f t="shared" si="36"/>
        <v>2355</v>
      </c>
      <c r="B2356" t="s">
        <v>4851</v>
      </c>
      <c r="C2356" t="s">
        <v>7324</v>
      </c>
      <c r="D2356" t="s">
        <v>2605</v>
      </c>
      <c r="E2356" t="s">
        <v>7542</v>
      </c>
      <c r="G2356" t="s">
        <v>63</v>
      </c>
      <c r="H2356" s="75" t="str">
        <f>IFERROR(VLOOKUP(Table2[[#This Row],[Ticket]],Okey!A:B,2,0),"")</f>
        <v>ok</v>
      </c>
      <c r="I2356" t="s">
        <v>19</v>
      </c>
      <c r="J2356" t="str">
        <f>VLOOKUP(Table2[[#This Row],[Author]],People!A:B,2,0)</f>
        <v>LS</v>
      </c>
      <c r="L2356" s="40"/>
      <c r="M2356" s="40" t="s">
        <v>1040</v>
      </c>
    </row>
    <row r="2357" spans="1:13" x14ac:dyDescent="0.25">
      <c r="A2357" s="75">
        <f t="shared" si="36"/>
        <v>2356</v>
      </c>
      <c r="B2357" t="s">
        <v>4851</v>
      </c>
      <c r="C2357" t="s">
        <v>7324</v>
      </c>
      <c r="D2357" t="s">
        <v>2625</v>
      </c>
      <c r="E2357" t="s">
        <v>7543</v>
      </c>
      <c r="G2357" t="s">
        <v>63</v>
      </c>
      <c r="H2357" s="75" t="str">
        <f>IFERROR(VLOOKUP(Table2[[#This Row],[Ticket]],Okey!A:B,2,0),"")</f>
        <v>ok</v>
      </c>
      <c r="I2357" t="s">
        <v>19</v>
      </c>
      <c r="J2357" t="str">
        <f>VLOOKUP(Table2[[#This Row],[Author]],People!A:B,2,0)</f>
        <v>LS</v>
      </c>
      <c r="L2357" s="40"/>
      <c r="M2357" s="40" t="s">
        <v>1040</v>
      </c>
    </row>
    <row r="2358" spans="1:13" x14ac:dyDescent="0.25">
      <c r="A2358" s="75">
        <f t="shared" si="36"/>
        <v>2357</v>
      </c>
      <c r="B2358" t="s">
        <v>4851</v>
      </c>
      <c r="C2358" t="s">
        <v>7324</v>
      </c>
      <c r="D2358" t="s">
        <v>2631</v>
      </c>
      <c r="E2358" t="s">
        <v>7544</v>
      </c>
      <c r="G2358" t="s">
        <v>63</v>
      </c>
      <c r="H2358" s="75" t="str">
        <f>IFERROR(VLOOKUP(Table2[[#This Row],[Ticket]],Okey!A:B,2,0),"")</f>
        <v>ok</v>
      </c>
      <c r="I2358" t="s">
        <v>19</v>
      </c>
      <c r="J2358" t="str">
        <f>VLOOKUP(Table2[[#This Row],[Author]],People!A:B,2,0)</f>
        <v>LS</v>
      </c>
      <c r="L2358" s="40"/>
      <c r="M2358" s="40" t="s">
        <v>1040</v>
      </c>
    </row>
    <row r="2359" spans="1:13" x14ac:dyDescent="0.25">
      <c r="A2359" s="75">
        <f t="shared" si="36"/>
        <v>2358</v>
      </c>
      <c r="B2359" t="s">
        <v>4851</v>
      </c>
      <c r="C2359" t="s">
        <v>7324</v>
      </c>
      <c r="D2359" t="s">
        <v>2633</v>
      </c>
      <c r="E2359" t="s">
        <v>7545</v>
      </c>
      <c r="G2359" t="s">
        <v>63</v>
      </c>
      <c r="H2359" s="75" t="str">
        <f>IFERROR(VLOOKUP(Table2[[#This Row],[Ticket]],Okey!A:B,2,0),"")</f>
        <v>ok</v>
      </c>
      <c r="I2359" t="s">
        <v>19</v>
      </c>
      <c r="J2359" t="str">
        <f>VLOOKUP(Table2[[#This Row],[Author]],People!A:B,2,0)</f>
        <v>LS</v>
      </c>
      <c r="L2359" s="40"/>
      <c r="M2359" s="40" t="s">
        <v>1040</v>
      </c>
    </row>
    <row r="2360" spans="1:13" x14ac:dyDescent="0.25">
      <c r="A2360" s="75">
        <f t="shared" si="36"/>
        <v>2359</v>
      </c>
      <c r="B2360" t="s">
        <v>4851</v>
      </c>
      <c r="C2360" t="s">
        <v>7324</v>
      </c>
      <c r="D2360" t="s">
        <v>2635</v>
      </c>
      <c r="E2360" t="s">
        <v>7546</v>
      </c>
      <c r="G2360" t="s">
        <v>63</v>
      </c>
      <c r="H2360" s="75" t="str">
        <f>IFERROR(VLOOKUP(Table2[[#This Row],[Ticket]],Okey!A:B,2,0),"")</f>
        <v>ok</v>
      </c>
      <c r="I2360" t="s">
        <v>19</v>
      </c>
      <c r="J2360" t="str">
        <f>VLOOKUP(Table2[[#This Row],[Author]],People!A:B,2,0)</f>
        <v>LS</v>
      </c>
      <c r="L2360" s="40"/>
      <c r="M2360" s="40" t="s">
        <v>1040</v>
      </c>
    </row>
    <row r="2361" spans="1:13" x14ac:dyDescent="0.25">
      <c r="A2361" s="75">
        <f t="shared" si="36"/>
        <v>2360</v>
      </c>
      <c r="B2361" t="s">
        <v>4851</v>
      </c>
      <c r="C2361" t="s">
        <v>7324</v>
      </c>
      <c r="D2361" t="s">
        <v>2637</v>
      </c>
      <c r="E2361" t="s">
        <v>7547</v>
      </c>
      <c r="G2361" t="s">
        <v>63</v>
      </c>
      <c r="H2361" s="75" t="str">
        <f>IFERROR(VLOOKUP(Table2[[#This Row],[Ticket]],Okey!A:B,2,0),"")</f>
        <v>ok</v>
      </c>
      <c r="I2361" t="s">
        <v>19</v>
      </c>
      <c r="J2361" t="str">
        <f>VLOOKUP(Table2[[#This Row],[Author]],People!A:B,2,0)</f>
        <v>LS</v>
      </c>
      <c r="L2361" s="40"/>
      <c r="M2361" s="40" t="s">
        <v>1040</v>
      </c>
    </row>
    <row r="2362" spans="1:13" x14ac:dyDescent="0.25">
      <c r="A2362" s="75">
        <f t="shared" si="36"/>
        <v>2361</v>
      </c>
      <c r="B2362" t="s">
        <v>4851</v>
      </c>
      <c r="C2362" t="s">
        <v>7324</v>
      </c>
      <c r="D2362" t="s">
        <v>2639</v>
      </c>
      <c r="E2362" t="s">
        <v>7548</v>
      </c>
      <c r="G2362" t="s">
        <v>63</v>
      </c>
      <c r="H2362" s="75" t="str">
        <f>IFERROR(VLOOKUP(Table2[[#This Row],[Ticket]],Okey!A:B,2,0),"")</f>
        <v>ok</v>
      </c>
      <c r="I2362" t="s">
        <v>19</v>
      </c>
      <c r="J2362" t="str">
        <f>VLOOKUP(Table2[[#This Row],[Author]],People!A:B,2,0)</f>
        <v>LS</v>
      </c>
      <c r="L2362" s="40"/>
      <c r="M2362" s="40" t="s">
        <v>1040</v>
      </c>
    </row>
    <row r="2363" spans="1:13" x14ac:dyDescent="0.25">
      <c r="A2363" s="75">
        <f t="shared" si="36"/>
        <v>2362</v>
      </c>
      <c r="B2363" t="s">
        <v>4851</v>
      </c>
      <c r="C2363" t="s">
        <v>7324</v>
      </c>
      <c r="D2363" t="s">
        <v>2641</v>
      </c>
      <c r="E2363" t="s">
        <v>7549</v>
      </c>
      <c r="G2363" t="s">
        <v>63</v>
      </c>
      <c r="H2363" s="75" t="str">
        <f>IFERROR(VLOOKUP(Table2[[#This Row],[Ticket]],Okey!A:B,2,0),"")</f>
        <v>ok</v>
      </c>
      <c r="I2363" t="s">
        <v>19</v>
      </c>
      <c r="J2363" t="str">
        <f>VLOOKUP(Table2[[#This Row],[Author]],People!A:B,2,0)</f>
        <v>LS</v>
      </c>
      <c r="L2363" s="40"/>
      <c r="M2363" s="40" t="s">
        <v>1040</v>
      </c>
    </row>
    <row r="2364" spans="1:13" x14ac:dyDescent="0.25">
      <c r="A2364" s="75">
        <f t="shared" si="36"/>
        <v>2363</v>
      </c>
      <c r="B2364" t="s">
        <v>4851</v>
      </c>
      <c r="C2364" t="s">
        <v>7324</v>
      </c>
      <c r="D2364" t="s">
        <v>2643</v>
      </c>
      <c r="E2364" t="s">
        <v>7550</v>
      </c>
      <c r="G2364" t="s">
        <v>63</v>
      </c>
      <c r="H2364" s="75" t="str">
        <f>IFERROR(VLOOKUP(Table2[[#This Row],[Ticket]],Okey!A:B,2,0),"")</f>
        <v>ok</v>
      </c>
      <c r="I2364" t="s">
        <v>19</v>
      </c>
      <c r="J2364" t="str">
        <f>VLOOKUP(Table2[[#This Row],[Author]],People!A:B,2,0)</f>
        <v>LS</v>
      </c>
      <c r="L2364" s="40"/>
      <c r="M2364" s="40" t="s">
        <v>1040</v>
      </c>
    </row>
    <row r="2365" spans="1:13" x14ac:dyDescent="0.25">
      <c r="A2365" s="75">
        <f t="shared" si="36"/>
        <v>2364</v>
      </c>
      <c r="B2365" t="s">
        <v>4851</v>
      </c>
      <c r="C2365" t="s">
        <v>7324</v>
      </c>
      <c r="D2365" t="s">
        <v>2645</v>
      </c>
      <c r="E2365" t="s">
        <v>7551</v>
      </c>
      <c r="G2365" t="s">
        <v>63</v>
      </c>
      <c r="H2365" s="75" t="str">
        <f>IFERROR(VLOOKUP(Table2[[#This Row],[Ticket]],Okey!A:B,2,0),"")</f>
        <v>ok</v>
      </c>
      <c r="I2365" t="s">
        <v>19</v>
      </c>
      <c r="J2365" t="str">
        <f>VLOOKUP(Table2[[#This Row],[Author]],People!A:B,2,0)</f>
        <v>LS</v>
      </c>
      <c r="L2365" s="40"/>
      <c r="M2365" s="40" t="s">
        <v>1040</v>
      </c>
    </row>
    <row r="2366" spans="1:13" x14ac:dyDescent="0.25">
      <c r="A2366" s="75">
        <f t="shared" si="36"/>
        <v>2365</v>
      </c>
      <c r="B2366" t="s">
        <v>4851</v>
      </c>
      <c r="C2366" t="s">
        <v>7324</v>
      </c>
      <c r="D2366" t="s">
        <v>2651</v>
      </c>
      <c r="E2366" t="s">
        <v>7552</v>
      </c>
      <c r="G2366" t="s">
        <v>63</v>
      </c>
      <c r="H2366" s="75" t="str">
        <f>IFERROR(VLOOKUP(Table2[[#This Row],[Ticket]],Okey!A:B,2,0),"")</f>
        <v>ok</v>
      </c>
      <c r="I2366" t="s">
        <v>19</v>
      </c>
      <c r="J2366" t="str">
        <f>VLOOKUP(Table2[[#This Row],[Author]],People!A:B,2,0)</f>
        <v>LS</v>
      </c>
      <c r="L2366" s="40"/>
      <c r="M2366" s="40" t="s">
        <v>1040</v>
      </c>
    </row>
    <row r="2367" spans="1:13" x14ac:dyDescent="0.25">
      <c r="A2367" s="75">
        <f t="shared" si="36"/>
        <v>2366</v>
      </c>
      <c r="B2367" t="s">
        <v>4851</v>
      </c>
      <c r="C2367" t="s">
        <v>7324</v>
      </c>
      <c r="D2367" t="s">
        <v>2653</v>
      </c>
      <c r="E2367" t="s">
        <v>7553</v>
      </c>
      <c r="G2367" t="s">
        <v>63</v>
      </c>
      <c r="H2367" s="75" t="str">
        <f>IFERROR(VLOOKUP(Table2[[#This Row],[Ticket]],Okey!A:B,2,0),"")</f>
        <v>ok</v>
      </c>
      <c r="I2367" t="s">
        <v>19</v>
      </c>
      <c r="J2367" t="str">
        <f>VLOOKUP(Table2[[#This Row],[Author]],People!A:B,2,0)</f>
        <v>LS</v>
      </c>
      <c r="L2367" s="40"/>
      <c r="M2367" s="40" t="s">
        <v>1040</v>
      </c>
    </row>
    <row r="2368" spans="1:13" x14ac:dyDescent="0.25">
      <c r="A2368" s="75">
        <f t="shared" si="36"/>
        <v>2367</v>
      </c>
      <c r="B2368" t="s">
        <v>4851</v>
      </c>
      <c r="C2368" t="s">
        <v>7324</v>
      </c>
      <c r="D2368" t="s">
        <v>7493</v>
      </c>
      <c r="E2368" t="s">
        <v>7554</v>
      </c>
      <c r="G2368" t="s">
        <v>63</v>
      </c>
      <c r="H2368" s="75" t="str">
        <f>IFERROR(VLOOKUP(Table2[[#This Row],[Ticket]],Okey!A:B,2,0),"")</f>
        <v>ok</v>
      </c>
      <c r="I2368" t="s">
        <v>19</v>
      </c>
      <c r="J2368" t="str">
        <f>VLOOKUP(Table2[[#This Row],[Author]],People!A:B,2,0)</f>
        <v>LS</v>
      </c>
      <c r="L2368" s="40"/>
      <c r="M2368" s="40" t="s">
        <v>1040</v>
      </c>
    </row>
    <row r="2369" spans="1:13" x14ac:dyDescent="0.25">
      <c r="A2369" s="75">
        <f t="shared" si="36"/>
        <v>2368</v>
      </c>
      <c r="B2369" t="s">
        <v>4851</v>
      </c>
      <c r="C2369" t="s">
        <v>7324</v>
      </c>
      <c r="D2369" t="s">
        <v>7494</v>
      </c>
      <c r="E2369" t="s">
        <v>7555</v>
      </c>
      <c r="G2369" t="s">
        <v>63</v>
      </c>
      <c r="H2369" s="75" t="str">
        <f>IFERROR(VLOOKUP(Table2[[#This Row],[Ticket]],Okey!A:B,2,0),"")</f>
        <v>ok</v>
      </c>
      <c r="I2369" t="s">
        <v>19</v>
      </c>
      <c r="J2369" t="str">
        <f>VLOOKUP(Table2[[#This Row],[Author]],People!A:B,2,0)</f>
        <v>LS</v>
      </c>
      <c r="L2369" s="40"/>
      <c r="M2369" s="40" t="s">
        <v>1040</v>
      </c>
    </row>
    <row r="2370" spans="1:13" x14ac:dyDescent="0.25">
      <c r="A2370" s="75">
        <f t="shared" si="36"/>
        <v>2369</v>
      </c>
      <c r="B2370" t="s">
        <v>4851</v>
      </c>
      <c r="C2370" t="s">
        <v>7324</v>
      </c>
      <c r="D2370" t="s">
        <v>7495</v>
      </c>
      <c r="E2370" t="s">
        <v>7556</v>
      </c>
      <c r="G2370" t="s">
        <v>63</v>
      </c>
      <c r="H2370" s="75" t="str">
        <f>IFERROR(VLOOKUP(Table2[[#This Row],[Ticket]],Okey!A:B,2,0),"")</f>
        <v>ok</v>
      </c>
      <c r="I2370" t="s">
        <v>19</v>
      </c>
      <c r="J2370" t="str">
        <f>VLOOKUP(Table2[[#This Row],[Author]],People!A:B,2,0)</f>
        <v>LS</v>
      </c>
      <c r="L2370" s="40"/>
      <c r="M2370" s="40" t="s">
        <v>1040</v>
      </c>
    </row>
    <row r="2371" spans="1:13" x14ac:dyDescent="0.25">
      <c r="A2371" s="75">
        <f t="shared" si="36"/>
        <v>2370</v>
      </c>
      <c r="B2371" t="s">
        <v>4851</v>
      </c>
      <c r="C2371" t="s">
        <v>7324</v>
      </c>
      <c r="D2371" t="s">
        <v>7496</v>
      </c>
      <c r="E2371" t="s">
        <v>7557</v>
      </c>
      <c r="G2371" t="s">
        <v>63</v>
      </c>
      <c r="H2371" s="75" t="str">
        <f>IFERROR(VLOOKUP(Table2[[#This Row],[Ticket]],Okey!A:B,2,0),"")</f>
        <v>ok</v>
      </c>
      <c r="I2371" t="s">
        <v>19</v>
      </c>
      <c r="J2371" t="str">
        <f>VLOOKUP(Table2[[#This Row],[Author]],People!A:B,2,0)</f>
        <v>LS</v>
      </c>
      <c r="L2371" s="40"/>
      <c r="M2371" s="40" t="s">
        <v>1040</v>
      </c>
    </row>
    <row r="2372" spans="1:13" x14ac:dyDescent="0.25">
      <c r="A2372" s="75">
        <f t="shared" si="36"/>
        <v>2371</v>
      </c>
      <c r="B2372" t="s">
        <v>4851</v>
      </c>
      <c r="C2372" t="s">
        <v>7324</v>
      </c>
      <c r="D2372" t="s">
        <v>7497</v>
      </c>
      <c r="E2372" t="s">
        <v>7558</v>
      </c>
      <c r="G2372" t="s">
        <v>63</v>
      </c>
      <c r="H2372" s="75" t="str">
        <f>IFERROR(VLOOKUP(Table2[[#This Row],[Ticket]],Okey!A:B,2,0),"")</f>
        <v>ok</v>
      </c>
      <c r="I2372" t="s">
        <v>19</v>
      </c>
      <c r="J2372" t="str">
        <f>VLOOKUP(Table2[[#This Row],[Author]],People!A:B,2,0)</f>
        <v>LS</v>
      </c>
      <c r="L2372" s="40"/>
      <c r="M2372" s="40" t="s">
        <v>1040</v>
      </c>
    </row>
    <row r="2373" spans="1:13" x14ac:dyDescent="0.25">
      <c r="A2373" s="75">
        <f t="shared" si="36"/>
        <v>2372</v>
      </c>
      <c r="B2373" t="s">
        <v>4851</v>
      </c>
      <c r="C2373" t="s">
        <v>7324</v>
      </c>
      <c r="D2373" t="s">
        <v>7498</v>
      </c>
      <c r="E2373" t="s">
        <v>7559</v>
      </c>
      <c r="G2373" t="s">
        <v>63</v>
      </c>
      <c r="H2373" s="75" t="str">
        <f>IFERROR(VLOOKUP(Table2[[#This Row],[Ticket]],Okey!A:B,2,0),"")</f>
        <v>ok</v>
      </c>
      <c r="I2373" t="s">
        <v>19</v>
      </c>
      <c r="J2373" t="str">
        <f>VLOOKUP(Table2[[#This Row],[Author]],People!A:B,2,0)</f>
        <v>LS</v>
      </c>
      <c r="L2373" s="40"/>
      <c r="M2373" s="40" t="s">
        <v>1040</v>
      </c>
    </row>
    <row r="2374" spans="1:13" x14ac:dyDescent="0.25">
      <c r="A2374" s="75">
        <f t="shared" si="36"/>
        <v>2373</v>
      </c>
      <c r="B2374" t="s">
        <v>4851</v>
      </c>
      <c r="C2374" t="s">
        <v>7324</v>
      </c>
      <c r="D2374" t="s">
        <v>7499</v>
      </c>
      <c r="E2374" t="s">
        <v>7560</v>
      </c>
      <c r="G2374" t="s">
        <v>63</v>
      </c>
      <c r="H2374" s="75" t="str">
        <f>IFERROR(VLOOKUP(Table2[[#This Row],[Ticket]],Okey!A:B,2,0),"")</f>
        <v>ok</v>
      </c>
      <c r="I2374" t="s">
        <v>19</v>
      </c>
      <c r="J2374" t="str">
        <f>VLOOKUP(Table2[[#This Row],[Author]],People!A:B,2,0)</f>
        <v>LS</v>
      </c>
      <c r="L2374" s="40"/>
      <c r="M2374" s="40" t="s">
        <v>1040</v>
      </c>
    </row>
    <row r="2375" spans="1:13" x14ac:dyDescent="0.25">
      <c r="A2375" s="75">
        <f t="shared" si="36"/>
        <v>2374</v>
      </c>
      <c r="B2375" t="s">
        <v>4851</v>
      </c>
      <c r="C2375" t="s">
        <v>7324</v>
      </c>
      <c r="D2375" t="s">
        <v>7500</v>
      </c>
      <c r="E2375" t="s">
        <v>7561</v>
      </c>
      <c r="G2375" t="s">
        <v>63</v>
      </c>
      <c r="H2375" s="75" t="str">
        <f>IFERROR(VLOOKUP(Table2[[#This Row],[Ticket]],Okey!A:B,2,0),"")</f>
        <v>ok</v>
      </c>
      <c r="I2375" t="s">
        <v>19</v>
      </c>
      <c r="J2375" t="str">
        <f>VLOOKUP(Table2[[#This Row],[Author]],People!A:B,2,0)</f>
        <v>LS</v>
      </c>
      <c r="L2375" s="40"/>
      <c r="M2375" s="40" t="s">
        <v>1040</v>
      </c>
    </row>
    <row r="2376" spans="1:13" x14ac:dyDescent="0.25">
      <c r="A2376" s="75">
        <f t="shared" si="36"/>
        <v>2375</v>
      </c>
      <c r="B2376" t="s">
        <v>4851</v>
      </c>
      <c r="C2376" t="s">
        <v>7324</v>
      </c>
      <c r="D2376" t="s">
        <v>7501</v>
      </c>
      <c r="E2376" t="s">
        <v>7562</v>
      </c>
      <c r="G2376" t="s">
        <v>63</v>
      </c>
      <c r="H2376" s="75" t="str">
        <f>IFERROR(VLOOKUP(Table2[[#This Row],[Ticket]],Okey!A:B,2,0),"")</f>
        <v>ok</v>
      </c>
      <c r="I2376" t="s">
        <v>19</v>
      </c>
      <c r="J2376" t="str">
        <f>VLOOKUP(Table2[[#This Row],[Author]],People!A:B,2,0)</f>
        <v>LS</v>
      </c>
      <c r="L2376" s="40"/>
      <c r="M2376" s="40" t="s">
        <v>1040</v>
      </c>
    </row>
    <row r="2377" spans="1:13" x14ac:dyDescent="0.25">
      <c r="A2377" s="75">
        <f t="shared" ref="A2377:A2440" si="37">1+A2376</f>
        <v>2376</v>
      </c>
      <c r="B2377" t="s">
        <v>4851</v>
      </c>
      <c r="C2377" t="s">
        <v>7324</v>
      </c>
      <c r="D2377" t="s">
        <v>1453</v>
      </c>
      <c r="E2377" t="s">
        <v>7563</v>
      </c>
      <c r="G2377" t="s">
        <v>63</v>
      </c>
      <c r="H2377" s="75" t="str">
        <f>IFERROR(VLOOKUP(Table2[[#This Row],[Ticket]],Okey!A:B,2,0),"")</f>
        <v>ok</v>
      </c>
      <c r="I2377" t="s">
        <v>19</v>
      </c>
      <c r="J2377" t="str">
        <f>VLOOKUP(Table2[[#This Row],[Author]],People!A:B,2,0)</f>
        <v>LS</v>
      </c>
      <c r="L2377" s="40"/>
      <c r="M2377" s="40" t="s">
        <v>1040</v>
      </c>
    </row>
    <row r="2378" spans="1:13" x14ac:dyDescent="0.25">
      <c r="A2378" s="75">
        <f t="shared" si="37"/>
        <v>2377</v>
      </c>
      <c r="B2378" t="s">
        <v>4851</v>
      </c>
      <c r="C2378" t="s">
        <v>7324</v>
      </c>
      <c r="D2378" t="s">
        <v>1455</v>
      </c>
      <c r="E2378" t="s">
        <v>7563</v>
      </c>
      <c r="G2378" t="s">
        <v>63</v>
      </c>
      <c r="H2378" s="75" t="str">
        <f>IFERROR(VLOOKUP(Table2[[#This Row],[Ticket]],Okey!A:B,2,0),"")</f>
        <v>ok</v>
      </c>
      <c r="I2378" t="s">
        <v>19</v>
      </c>
      <c r="J2378" t="str">
        <f>VLOOKUP(Table2[[#This Row],[Author]],People!A:B,2,0)</f>
        <v>LS</v>
      </c>
      <c r="L2378" s="40"/>
      <c r="M2378" s="40" t="s">
        <v>1040</v>
      </c>
    </row>
    <row r="2379" spans="1:13" x14ac:dyDescent="0.25">
      <c r="A2379" s="75">
        <f t="shared" si="37"/>
        <v>2378</v>
      </c>
      <c r="B2379" t="s">
        <v>4851</v>
      </c>
      <c r="C2379" t="s">
        <v>7324</v>
      </c>
      <c r="D2379" t="s">
        <v>7502</v>
      </c>
      <c r="E2379" t="s">
        <v>7564</v>
      </c>
      <c r="G2379" t="s">
        <v>63</v>
      </c>
      <c r="H2379" s="75" t="str">
        <f>IFERROR(VLOOKUP(Table2[[#This Row],[Ticket]],Okey!A:B,2,0),"")</f>
        <v>ok</v>
      </c>
      <c r="I2379" t="s">
        <v>19</v>
      </c>
      <c r="J2379" t="str">
        <f>VLOOKUP(Table2[[#This Row],[Author]],People!A:B,2,0)</f>
        <v>LS</v>
      </c>
      <c r="L2379" s="40"/>
      <c r="M2379" s="40" t="s">
        <v>1040</v>
      </c>
    </row>
    <row r="2380" spans="1:13" x14ac:dyDescent="0.25">
      <c r="A2380" s="75">
        <f t="shared" si="37"/>
        <v>2379</v>
      </c>
      <c r="B2380" t="s">
        <v>4851</v>
      </c>
      <c r="C2380" t="s">
        <v>7324</v>
      </c>
      <c r="D2380" t="s">
        <v>7503</v>
      </c>
      <c r="E2380" t="s">
        <v>7565</v>
      </c>
      <c r="G2380" t="s">
        <v>63</v>
      </c>
      <c r="H2380" s="75" t="str">
        <f>IFERROR(VLOOKUP(Table2[[#This Row],[Ticket]],Okey!A:B,2,0),"")</f>
        <v>ok</v>
      </c>
      <c r="I2380" t="s">
        <v>19</v>
      </c>
      <c r="J2380" t="str">
        <f>VLOOKUP(Table2[[#This Row],[Author]],People!A:B,2,0)</f>
        <v>LS</v>
      </c>
      <c r="L2380" s="40"/>
      <c r="M2380" s="40" t="s">
        <v>1040</v>
      </c>
    </row>
    <row r="2381" spans="1:13" x14ac:dyDescent="0.25">
      <c r="A2381" s="75">
        <f t="shared" si="37"/>
        <v>2380</v>
      </c>
      <c r="B2381" t="s">
        <v>4851</v>
      </c>
      <c r="C2381" t="s">
        <v>7324</v>
      </c>
      <c r="D2381" t="s">
        <v>7504</v>
      </c>
      <c r="E2381" t="s">
        <v>7566</v>
      </c>
      <c r="G2381" t="s">
        <v>63</v>
      </c>
      <c r="H2381" s="75" t="str">
        <f>IFERROR(VLOOKUP(Table2[[#This Row],[Ticket]],Okey!A:B,2,0),"")</f>
        <v>ok</v>
      </c>
      <c r="I2381" t="s">
        <v>19</v>
      </c>
      <c r="J2381" t="str">
        <f>VLOOKUP(Table2[[#This Row],[Author]],People!A:B,2,0)</f>
        <v>LS</v>
      </c>
      <c r="L2381" s="40"/>
      <c r="M2381" s="40" t="s">
        <v>1040</v>
      </c>
    </row>
    <row r="2382" spans="1:13" x14ac:dyDescent="0.25">
      <c r="A2382" s="75">
        <f t="shared" si="37"/>
        <v>2381</v>
      </c>
      <c r="B2382" t="s">
        <v>4851</v>
      </c>
      <c r="C2382" t="s">
        <v>7324</v>
      </c>
      <c r="D2382" t="s">
        <v>7505</v>
      </c>
      <c r="E2382" t="s">
        <v>7567</v>
      </c>
      <c r="G2382" t="s">
        <v>63</v>
      </c>
      <c r="H2382" s="75" t="str">
        <f>IFERROR(VLOOKUP(Table2[[#This Row],[Ticket]],Okey!A:B,2,0),"")</f>
        <v>ok</v>
      </c>
      <c r="I2382" t="s">
        <v>19</v>
      </c>
      <c r="J2382" t="str">
        <f>VLOOKUP(Table2[[#This Row],[Author]],People!A:B,2,0)</f>
        <v>LS</v>
      </c>
      <c r="L2382" s="40"/>
      <c r="M2382" s="40" t="s">
        <v>1040</v>
      </c>
    </row>
    <row r="2383" spans="1:13" x14ac:dyDescent="0.25">
      <c r="A2383" s="75">
        <f t="shared" si="37"/>
        <v>2382</v>
      </c>
      <c r="B2383" t="s">
        <v>4851</v>
      </c>
      <c r="C2383" t="s">
        <v>7324</v>
      </c>
      <c r="D2383" t="s">
        <v>5903</v>
      </c>
      <c r="E2383" t="s">
        <v>7568</v>
      </c>
      <c r="G2383" t="s">
        <v>63</v>
      </c>
      <c r="H2383" s="75" t="str">
        <f>IFERROR(VLOOKUP(Table2[[#This Row],[Ticket]],Okey!A:B,2,0),"")</f>
        <v>ok</v>
      </c>
      <c r="I2383" t="s">
        <v>19</v>
      </c>
      <c r="J2383" t="str">
        <f>VLOOKUP(Table2[[#This Row],[Author]],People!A:B,2,0)</f>
        <v>LS</v>
      </c>
      <c r="L2383" s="40"/>
      <c r="M2383" s="40" t="s">
        <v>1040</v>
      </c>
    </row>
    <row r="2384" spans="1:13" x14ac:dyDescent="0.25">
      <c r="A2384" s="75">
        <f t="shared" si="37"/>
        <v>2383</v>
      </c>
      <c r="B2384" t="s">
        <v>4851</v>
      </c>
      <c r="C2384" t="s">
        <v>7324</v>
      </c>
      <c r="D2384" t="s">
        <v>1308</v>
      </c>
      <c r="E2384" t="s">
        <v>7569</v>
      </c>
      <c r="G2384" t="s">
        <v>63</v>
      </c>
      <c r="H2384" s="75" t="str">
        <f>IFERROR(VLOOKUP(Table2[[#This Row],[Ticket]],Okey!A:B,2,0),"")</f>
        <v>ok</v>
      </c>
      <c r="I2384" t="s">
        <v>19</v>
      </c>
      <c r="J2384" t="str">
        <f>VLOOKUP(Table2[[#This Row],[Author]],People!A:B,2,0)</f>
        <v>LS</v>
      </c>
      <c r="L2384" s="40"/>
      <c r="M2384" s="40" t="s">
        <v>1040</v>
      </c>
    </row>
    <row r="2385" spans="1:13" x14ac:dyDescent="0.25">
      <c r="A2385" s="75">
        <f t="shared" si="37"/>
        <v>2384</v>
      </c>
      <c r="B2385" t="s">
        <v>4851</v>
      </c>
      <c r="C2385" t="s">
        <v>7324</v>
      </c>
      <c r="D2385" t="s">
        <v>1744</v>
      </c>
      <c r="E2385" t="s">
        <v>7570</v>
      </c>
      <c r="G2385" t="s">
        <v>63</v>
      </c>
      <c r="H2385" s="75" t="str">
        <f>IFERROR(VLOOKUP(Table2[[#This Row],[Ticket]],Okey!A:B,2,0),"")</f>
        <v>ok</v>
      </c>
      <c r="I2385" t="s">
        <v>19</v>
      </c>
      <c r="J2385" t="str">
        <f>VLOOKUP(Table2[[#This Row],[Author]],People!A:B,2,0)</f>
        <v>LS</v>
      </c>
      <c r="L2385" s="40"/>
      <c r="M2385" s="40" t="s">
        <v>1040</v>
      </c>
    </row>
    <row r="2386" spans="1:13" x14ac:dyDescent="0.25">
      <c r="A2386" s="75">
        <f t="shared" si="37"/>
        <v>2385</v>
      </c>
      <c r="B2386" t="s">
        <v>4851</v>
      </c>
      <c r="C2386" t="s">
        <v>7324</v>
      </c>
      <c r="D2386" t="s">
        <v>1746</v>
      </c>
      <c r="E2386" t="s">
        <v>7571</v>
      </c>
      <c r="G2386" t="s">
        <v>63</v>
      </c>
      <c r="H2386" s="75" t="str">
        <f>IFERROR(VLOOKUP(Table2[[#This Row],[Ticket]],Okey!A:B,2,0),"")</f>
        <v>ok</v>
      </c>
      <c r="I2386" t="s">
        <v>19</v>
      </c>
      <c r="J2386" t="str">
        <f>VLOOKUP(Table2[[#This Row],[Author]],People!A:B,2,0)</f>
        <v>LS</v>
      </c>
      <c r="L2386" s="40"/>
      <c r="M2386" s="40" t="s">
        <v>1040</v>
      </c>
    </row>
    <row r="2387" spans="1:13" x14ac:dyDescent="0.25">
      <c r="A2387" s="75">
        <f t="shared" si="37"/>
        <v>2386</v>
      </c>
      <c r="B2387" t="s">
        <v>4851</v>
      </c>
      <c r="C2387" t="s">
        <v>7324</v>
      </c>
      <c r="D2387" t="s">
        <v>1295</v>
      </c>
      <c r="E2387" t="s">
        <v>7572</v>
      </c>
      <c r="G2387" t="s">
        <v>63</v>
      </c>
      <c r="H2387" s="75" t="str">
        <f>IFERROR(VLOOKUP(Table2[[#This Row],[Ticket]],Okey!A:B,2,0),"")</f>
        <v>ok</v>
      </c>
      <c r="I2387" t="s">
        <v>19</v>
      </c>
      <c r="J2387" t="str">
        <f>VLOOKUP(Table2[[#This Row],[Author]],People!A:B,2,0)</f>
        <v>LS</v>
      </c>
      <c r="L2387" s="40"/>
      <c r="M2387" s="40" t="s">
        <v>1040</v>
      </c>
    </row>
    <row r="2388" spans="1:13" x14ac:dyDescent="0.25">
      <c r="A2388" s="75">
        <f t="shared" si="37"/>
        <v>2387</v>
      </c>
      <c r="B2388" t="s">
        <v>4851</v>
      </c>
      <c r="C2388" t="s">
        <v>7324</v>
      </c>
      <c r="D2388" t="s">
        <v>7506</v>
      </c>
      <c r="E2388" t="s">
        <v>7573</v>
      </c>
      <c r="G2388" t="s">
        <v>63</v>
      </c>
      <c r="H2388" s="75" t="str">
        <f>IFERROR(VLOOKUP(Table2[[#This Row],[Ticket]],Okey!A:B,2,0),"")</f>
        <v>ok</v>
      </c>
      <c r="I2388" t="s">
        <v>19</v>
      </c>
      <c r="J2388" t="str">
        <f>VLOOKUP(Table2[[#This Row],[Author]],People!A:B,2,0)</f>
        <v>LS</v>
      </c>
      <c r="L2388" s="40"/>
      <c r="M2388" s="40" t="s">
        <v>1040</v>
      </c>
    </row>
    <row r="2389" spans="1:13" x14ac:dyDescent="0.25">
      <c r="A2389" s="75">
        <f t="shared" si="37"/>
        <v>2388</v>
      </c>
      <c r="B2389" t="s">
        <v>4851</v>
      </c>
      <c r="C2389" t="s">
        <v>7324</v>
      </c>
      <c r="D2389" t="s">
        <v>1294</v>
      </c>
      <c r="E2389" t="s">
        <v>7574</v>
      </c>
      <c r="G2389" t="s">
        <v>63</v>
      </c>
      <c r="H2389" s="75" t="str">
        <f>IFERROR(VLOOKUP(Table2[[#This Row],[Ticket]],Okey!A:B,2,0),"")</f>
        <v>ok</v>
      </c>
      <c r="I2389" t="s">
        <v>19</v>
      </c>
      <c r="J2389" t="str">
        <f>VLOOKUP(Table2[[#This Row],[Author]],People!A:B,2,0)</f>
        <v>LS</v>
      </c>
      <c r="L2389" s="40"/>
      <c r="M2389" s="40" t="s">
        <v>1040</v>
      </c>
    </row>
    <row r="2390" spans="1:13" x14ac:dyDescent="0.25">
      <c r="A2390" s="75">
        <f t="shared" si="37"/>
        <v>2389</v>
      </c>
      <c r="B2390" t="s">
        <v>4851</v>
      </c>
      <c r="C2390" t="s">
        <v>7324</v>
      </c>
      <c r="D2390" t="s">
        <v>7351</v>
      </c>
      <c r="E2390" t="s">
        <v>7575</v>
      </c>
      <c r="G2390" t="s">
        <v>63</v>
      </c>
      <c r="H2390" s="75" t="str">
        <f>IFERROR(VLOOKUP(Table2[[#This Row],[Ticket]],Okey!A:B,2,0),"")</f>
        <v>ok</v>
      </c>
      <c r="I2390" t="s">
        <v>19</v>
      </c>
      <c r="J2390" t="str">
        <f>VLOOKUP(Table2[[#This Row],[Author]],People!A:B,2,0)</f>
        <v>LS</v>
      </c>
      <c r="L2390" s="40"/>
      <c r="M2390" s="40" t="s">
        <v>1040</v>
      </c>
    </row>
    <row r="2391" spans="1:13" x14ac:dyDescent="0.25">
      <c r="A2391" s="75">
        <f t="shared" si="37"/>
        <v>2390</v>
      </c>
      <c r="B2391" t="s">
        <v>4851</v>
      </c>
      <c r="C2391" t="s">
        <v>7324</v>
      </c>
      <c r="D2391" t="s">
        <v>7507</v>
      </c>
      <c r="E2391" t="s">
        <v>7576</v>
      </c>
      <c r="G2391" t="s">
        <v>63</v>
      </c>
      <c r="H2391" s="75" t="str">
        <f>IFERROR(VLOOKUP(Table2[[#This Row],[Ticket]],Okey!A:B,2,0),"")</f>
        <v>ok</v>
      </c>
      <c r="I2391" t="s">
        <v>19</v>
      </c>
      <c r="J2391" t="str">
        <f>VLOOKUP(Table2[[#This Row],[Author]],People!A:B,2,0)</f>
        <v>LS</v>
      </c>
      <c r="L2391" s="40"/>
      <c r="M2391" s="40" t="s">
        <v>1040</v>
      </c>
    </row>
    <row r="2392" spans="1:13" x14ac:dyDescent="0.25">
      <c r="A2392" s="75">
        <f t="shared" si="37"/>
        <v>2391</v>
      </c>
      <c r="B2392" t="s">
        <v>4851</v>
      </c>
      <c r="C2392" t="s">
        <v>7324</v>
      </c>
      <c r="D2392" t="s">
        <v>7508</v>
      </c>
      <c r="E2392" t="s">
        <v>7577</v>
      </c>
      <c r="G2392" t="s">
        <v>63</v>
      </c>
      <c r="H2392" s="75" t="str">
        <f>IFERROR(VLOOKUP(Table2[[#This Row],[Ticket]],Okey!A:B,2,0),"")</f>
        <v>ok</v>
      </c>
      <c r="I2392" t="s">
        <v>19</v>
      </c>
      <c r="J2392" t="str">
        <f>VLOOKUP(Table2[[#This Row],[Author]],People!A:B,2,0)</f>
        <v>LS</v>
      </c>
      <c r="L2392" s="40"/>
      <c r="M2392" s="40" t="s">
        <v>1040</v>
      </c>
    </row>
    <row r="2393" spans="1:13" x14ac:dyDescent="0.25">
      <c r="A2393" s="75">
        <f t="shared" si="37"/>
        <v>2392</v>
      </c>
      <c r="B2393" t="s">
        <v>4851</v>
      </c>
      <c r="C2393" t="s">
        <v>7324</v>
      </c>
      <c r="D2393" t="s">
        <v>2433</v>
      </c>
      <c r="E2393" t="s">
        <v>7578</v>
      </c>
      <c r="G2393" t="s">
        <v>63</v>
      </c>
      <c r="H2393" s="75" t="str">
        <f>IFERROR(VLOOKUP(Table2[[#This Row],[Ticket]],Okey!A:B,2,0),"")</f>
        <v>ok</v>
      </c>
      <c r="I2393" t="s">
        <v>19</v>
      </c>
      <c r="J2393" t="str">
        <f>VLOOKUP(Table2[[#This Row],[Author]],People!A:B,2,0)</f>
        <v>LS</v>
      </c>
      <c r="L2393" s="40"/>
      <c r="M2393" s="40" t="s">
        <v>1040</v>
      </c>
    </row>
    <row r="2394" spans="1:13" x14ac:dyDescent="0.25">
      <c r="A2394" s="75">
        <f t="shared" si="37"/>
        <v>2393</v>
      </c>
      <c r="B2394" t="s">
        <v>4851</v>
      </c>
      <c r="C2394" t="s">
        <v>7324</v>
      </c>
      <c r="D2394" t="s">
        <v>7509</v>
      </c>
      <c r="E2394" t="s">
        <v>7579</v>
      </c>
      <c r="G2394" t="s">
        <v>63</v>
      </c>
      <c r="H2394" s="75" t="str">
        <f>IFERROR(VLOOKUP(Table2[[#This Row],[Ticket]],Okey!A:B,2,0),"")</f>
        <v>ok</v>
      </c>
      <c r="I2394" t="s">
        <v>19</v>
      </c>
      <c r="J2394" t="str">
        <f>VLOOKUP(Table2[[#This Row],[Author]],People!A:B,2,0)</f>
        <v>LS</v>
      </c>
      <c r="L2394" s="40"/>
      <c r="M2394" s="40" t="s">
        <v>1040</v>
      </c>
    </row>
    <row r="2395" spans="1:13" x14ac:dyDescent="0.25">
      <c r="A2395" s="75">
        <f t="shared" si="37"/>
        <v>2394</v>
      </c>
      <c r="B2395" t="s">
        <v>4851</v>
      </c>
      <c r="C2395" t="s">
        <v>7324</v>
      </c>
      <c r="D2395" t="s">
        <v>7510</v>
      </c>
      <c r="E2395" t="s">
        <v>7580</v>
      </c>
      <c r="G2395" t="s">
        <v>63</v>
      </c>
      <c r="H2395" s="75" t="str">
        <f>IFERROR(VLOOKUP(Table2[[#This Row],[Ticket]],Okey!A:B,2,0),"")</f>
        <v>ok</v>
      </c>
      <c r="I2395" t="s">
        <v>19</v>
      </c>
      <c r="J2395" t="str">
        <f>VLOOKUP(Table2[[#This Row],[Author]],People!A:B,2,0)</f>
        <v>LS</v>
      </c>
      <c r="L2395" s="40"/>
      <c r="M2395" s="40" t="s">
        <v>1040</v>
      </c>
    </row>
    <row r="2396" spans="1:13" x14ac:dyDescent="0.25">
      <c r="A2396" s="75">
        <f t="shared" si="37"/>
        <v>2395</v>
      </c>
      <c r="B2396" t="s">
        <v>4851</v>
      </c>
      <c r="C2396" t="s">
        <v>7324</v>
      </c>
      <c r="D2396" t="s">
        <v>7511</v>
      </c>
      <c r="E2396" t="s">
        <v>7581</v>
      </c>
      <c r="G2396" t="s">
        <v>63</v>
      </c>
      <c r="H2396" s="75" t="str">
        <f>IFERROR(VLOOKUP(Table2[[#This Row],[Ticket]],Okey!A:B,2,0),"")</f>
        <v>ok</v>
      </c>
      <c r="I2396" t="s">
        <v>19</v>
      </c>
      <c r="J2396" t="str">
        <f>VLOOKUP(Table2[[#This Row],[Author]],People!A:B,2,0)</f>
        <v>LS</v>
      </c>
      <c r="L2396" s="40"/>
      <c r="M2396" s="40" t="s">
        <v>1040</v>
      </c>
    </row>
    <row r="2397" spans="1:13" x14ac:dyDescent="0.25">
      <c r="A2397" s="75">
        <f t="shared" si="37"/>
        <v>2396</v>
      </c>
      <c r="B2397" t="s">
        <v>4851</v>
      </c>
      <c r="C2397" t="s">
        <v>7324</v>
      </c>
      <c r="D2397" t="s">
        <v>2539</v>
      </c>
      <c r="E2397" t="s">
        <v>7582</v>
      </c>
      <c r="G2397" t="s">
        <v>63</v>
      </c>
      <c r="H2397" s="75" t="str">
        <f>IFERROR(VLOOKUP(Table2[[#This Row],[Ticket]],Okey!A:B,2,0),"")</f>
        <v>ok</v>
      </c>
      <c r="I2397" t="s">
        <v>19</v>
      </c>
      <c r="J2397" t="str">
        <f>VLOOKUP(Table2[[#This Row],[Author]],People!A:B,2,0)</f>
        <v>LS</v>
      </c>
      <c r="L2397" s="40"/>
      <c r="M2397" s="40" t="s">
        <v>1040</v>
      </c>
    </row>
    <row r="2398" spans="1:13" x14ac:dyDescent="0.25">
      <c r="A2398" s="75">
        <f t="shared" si="37"/>
        <v>2397</v>
      </c>
      <c r="B2398" t="s">
        <v>4851</v>
      </c>
      <c r="C2398" t="s">
        <v>7324</v>
      </c>
      <c r="D2398" t="s">
        <v>2503</v>
      </c>
      <c r="E2398" t="s">
        <v>7583</v>
      </c>
      <c r="G2398" t="s">
        <v>63</v>
      </c>
      <c r="H2398" s="75" t="str">
        <f>IFERROR(VLOOKUP(Table2[[#This Row],[Ticket]],Okey!A:B,2,0),"")</f>
        <v>ok</v>
      </c>
      <c r="I2398" t="s">
        <v>19</v>
      </c>
      <c r="J2398" t="str">
        <f>VLOOKUP(Table2[[#This Row],[Author]],People!A:B,2,0)</f>
        <v>LS</v>
      </c>
      <c r="L2398" s="40"/>
      <c r="M2398" s="40" t="s">
        <v>1040</v>
      </c>
    </row>
    <row r="2399" spans="1:13" x14ac:dyDescent="0.25">
      <c r="A2399" s="75">
        <f t="shared" si="37"/>
        <v>2398</v>
      </c>
      <c r="B2399" t="s">
        <v>4851</v>
      </c>
      <c r="C2399" t="s">
        <v>7324</v>
      </c>
      <c r="D2399" t="s">
        <v>1093</v>
      </c>
      <c r="E2399" t="s">
        <v>7584</v>
      </c>
      <c r="G2399" t="s">
        <v>63</v>
      </c>
      <c r="H2399" s="75" t="str">
        <f>IFERROR(VLOOKUP(Table2[[#This Row],[Ticket]],Okey!A:B,2,0),"")</f>
        <v>ok</v>
      </c>
      <c r="I2399" t="s">
        <v>19</v>
      </c>
      <c r="J2399" t="str">
        <f>VLOOKUP(Table2[[#This Row],[Author]],People!A:B,2,0)</f>
        <v>LS</v>
      </c>
      <c r="L2399" s="40"/>
      <c r="M2399" s="40" t="s">
        <v>1040</v>
      </c>
    </row>
    <row r="2400" spans="1:13" x14ac:dyDescent="0.25">
      <c r="A2400" s="75">
        <f t="shared" si="37"/>
        <v>2399</v>
      </c>
      <c r="B2400" t="s">
        <v>4851</v>
      </c>
      <c r="C2400" t="s">
        <v>7324</v>
      </c>
      <c r="D2400" t="s">
        <v>1096</v>
      </c>
      <c r="E2400" t="s">
        <v>7585</v>
      </c>
      <c r="G2400" t="s">
        <v>63</v>
      </c>
      <c r="H2400" s="75" t="str">
        <f>IFERROR(VLOOKUP(Table2[[#This Row],[Ticket]],Okey!A:B,2,0),"")</f>
        <v>ok</v>
      </c>
      <c r="I2400" t="s">
        <v>19</v>
      </c>
      <c r="J2400" t="str">
        <f>VLOOKUP(Table2[[#This Row],[Author]],People!A:B,2,0)</f>
        <v>LS</v>
      </c>
      <c r="L2400" s="40"/>
      <c r="M2400" s="40" t="s">
        <v>1040</v>
      </c>
    </row>
    <row r="2401" spans="1:13" x14ac:dyDescent="0.25">
      <c r="A2401" s="75">
        <f t="shared" si="37"/>
        <v>2400</v>
      </c>
      <c r="B2401" t="s">
        <v>4851</v>
      </c>
      <c r="C2401" t="s">
        <v>7324</v>
      </c>
      <c r="D2401" t="s">
        <v>7382</v>
      </c>
      <c r="E2401" t="s">
        <v>7586</v>
      </c>
      <c r="G2401" t="s">
        <v>63</v>
      </c>
      <c r="H2401" s="75" t="str">
        <f>IFERROR(VLOOKUP(Table2[[#This Row],[Ticket]],Okey!A:B,2,0),"")</f>
        <v>ok</v>
      </c>
      <c r="I2401" t="s">
        <v>19</v>
      </c>
      <c r="J2401" t="str">
        <f>VLOOKUP(Table2[[#This Row],[Author]],People!A:B,2,0)</f>
        <v>LS</v>
      </c>
      <c r="L2401" s="40"/>
      <c r="M2401" s="40" t="s">
        <v>1040</v>
      </c>
    </row>
    <row r="2402" spans="1:13" x14ac:dyDescent="0.25">
      <c r="A2402" s="75">
        <f t="shared" si="37"/>
        <v>2401</v>
      </c>
      <c r="B2402" t="s">
        <v>4851</v>
      </c>
      <c r="C2402" t="s">
        <v>7324</v>
      </c>
      <c r="D2402" t="s">
        <v>7512</v>
      </c>
      <c r="E2402" t="s">
        <v>7587</v>
      </c>
      <c r="G2402" t="s">
        <v>63</v>
      </c>
      <c r="H2402" s="75" t="str">
        <f>IFERROR(VLOOKUP(Table2[[#This Row],[Ticket]],Okey!A:B,2,0),"")</f>
        <v>ok</v>
      </c>
      <c r="I2402" t="s">
        <v>19</v>
      </c>
      <c r="J2402" t="str">
        <f>VLOOKUP(Table2[[#This Row],[Author]],People!A:B,2,0)</f>
        <v>LS</v>
      </c>
      <c r="L2402" s="40"/>
      <c r="M2402" s="40" t="s">
        <v>1040</v>
      </c>
    </row>
    <row r="2403" spans="1:13" x14ac:dyDescent="0.25">
      <c r="A2403" s="75">
        <f t="shared" si="37"/>
        <v>2402</v>
      </c>
      <c r="B2403" t="s">
        <v>4851</v>
      </c>
      <c r="C2403" t="s">
        <v>7324</v>
      </c>
      <c r="D2403" t="s">
        <v>7513</v>
      </c>
      <c r="E2403" t="s">
        <v>7588</v>
      </c>
      <c r="G2403" t="s">
        <v>63</v>
      </c>
      <c r="H2403" s="75" t="str">
        <f>IFERROR(VLOOKUP(Table2[[#This Row],[Ticket]],Okey!A:B,2,0),"")</f>
        <v>ok</v>
      </c>
      <c r="I2403" t="s">
        <v>19</v>
      </c>
      <c r="J2403" t="str">
        <f>VLOOKUP(Table2[[#This Row],[Author]],People!A:B,2,0)</f>
        <v>LS</v>
      </c>
      <c r="L2403" s="40"/>
      <c r="M2403" s="40" t="s">
        <v>1040</v>
      </c>
    </row>
    <row r="2404" spans="1:13" x14ac:dyDescent="0.25">
      <c r="A2404" s="75">
        <f t="shared" si="37"/>
        <v>2403</v>
      </c>
      <c r="B2404" t="s">
        <v>4851</v>
      </c>
      <c r="C2404" t="s">
        <v>7324</v>
      </c>
      <c r="D2404" t="s">
        <v>7514</v>
      </c>
      <c r="E2404" t="s">
        <v>7589</v>
      </c>
      <c r="G2404" t="s">
        <v>63</v>
      </c>
      <c r="H2404" s="75" t="str">
        <f>IFERROR(VLOOKUP(Table2[[#This Row],[Ticket]],Okey!A:B,2,0),"")</f>
        <v>ok</v>
      </c>
      <c r="I2404" t="s">
        <v>19</v>
      </c>
      <c r="J2404" t="str">
        <f>VLOOKUP(Table2[[#This Row],[Author]],People!A:B,2,0)</f>
        <v>LS</v>
      </c>
      <c r="L2404" s="40"/>
      <c r="M2404" s="40" t="s">
        <v>1040</v>
      </c>
    </row>
    <row r="2405" spans="1:13" x14ac:dyDescent="0.25">
      <c r="A2405" s="75">
        <f t="shared" si="37"/>
        <v>2404</v>
      </c>
      <c r="B2405" t="s">
        <v>4851</v>
      </c>
      <c r="C2405" t="s">
        <v>7324</v>
      </c>
      <c r="D2405" t="s">
        <v>7515</v>
      </c>
      <c r="E2405" t="s">
        <v>7590</v>
      </c>
      <c r="G2405" t="s">
        <v>63</v>
      </c>
      <c r="H2405" s="75" t="str">
        <f>IFERROR(VLOOKUP(Table2[[#This Row],[Ticket]],Okey!A:B,2,0),"")</f>
        <v>ok</v>
      </c>
      <c r="I2405" t="s">
        <v>19</v>
      </c>
      <c r="J2405" t="str">
        <f>VLOOKUP(Table2[[#This Row],[Author]],People!A:B,2,0)</f>
        <v>LS</v>
      </c>
      <c r="L2405" s="40"/>
      <c r="M2405" s="40" t="s">
        <v>1040</v>
      </c>
    </row>
    <row r="2406" spans="1:13" x14ac:dyDescent="0.25">
      <c r="A2406" s="75">
        <f t="shared" si="37"/>
        <v>2405</v>
      </c>
      <c r="B2406" t="s">
        <v>4851</v>
      </c>
      <c r="C2406" t="s">
        <v>7324</v>
      </c>
      <c r="D2406" t="s">
        <v>1101</v>
      </c>
      <c r="E2406" t="s">
        <v>7591</v>
      </c>
      <c r="G2406" t="s">
        <v>63</v>
      </c>
      <c r="H2406" s="75" t="str">
        <f>IFERROR(VLOOKUP(Table2[[#This Row],[Ticket]],Okey!A:B,2,0),"")</f>
        <v>ok</v>
      </c>
      <c r="I2406" t="s">
        <v>19</v>
      </c>
      <c r="J2406" t="str">
        <f>VLOOKUP(Table2[[#This Row],[Author]],People!A:B,2,0)</f>
        <v>LS</v>
      </c>
      <c r="L2406" s="40"/>
      <c r="M2406" s="40" t="s">
        <v>1040</v>
      </c>
    </row>
    <row r="2407" spans="1:13" x14ac:dyDescent="0.25">
      <c r="A2407" s="75">
        <f t="shared" si="37"/>
        <v>2406</v>
      </c>
      <c r="B2407" t="s">
        <v>4851</v>
      </c>
      <c r="C2407" t="s">
        <v>7324</v>
      </c>
      <c r="D2407" t="s">
        <v>6012</v>
      </c>
      <c r="E2407" t="s">
        <v>7592</v>
      </c>
      <c r="G2407" t="s">
        <v>63</v>
      </c>
      <c r="H2407" s="75" t="str">
        <f>IFERROR(VLOOKUP(Table2[[#This Row],[Ticket]],Okey!A:B,2,0),"")</f>
        <v>ok</v>
      </c>
      <c r="I2407" t="s">
        <v>19</v>
      </c>
      <c r="J2407" t="str">
        <f>VLOOKUP(Table2[[#This Row],[Author]],People!A:B,2,0)</f>
        <v>LS</v>
      </c>
      <c r="L2407" s="40"/>
      <c r="M2407" s="40" t="s">
        <v>1040</v>
      </c>
    </row>
    <row r="2408" spans="1:13" x14ac:dyDescent="0.25">
      <c r="A2408" s="75">
        <f t="shared" si="37"/>
        <v>2407</v>
      </c>
      <c r="B2408" t="s">
        <v>4851</v>
      </c>
      <c r="C2408" t="s">
        <v>7324</v>
      </c>
      <c r="D2408" t="s">
        <v>1345</v>
      </c>
      <c r="E2408" t="s">
        <v>7593</v>
      </c>
      <c r="G2408" t="s">
        <v>63</v>
      </c>
      <c r="H2408" s="75" t="str">
        <f>IFERROR(VLOOKUP(Table2[[#This Row],[Ticket]],Okey!A:B,2,0),"")</f>
        <v>ok</v>
      </c>
      <c r="I2408" t="s">
        <v>19</v>
      </c>
      <c r="J2408" t="str">
        <f>VLOOKUP(Table2[[#This Row],[Author]],People!A:B,2,0)</f>
        <v>LS</v>
      </c>
      <c r="L2408" s="40"/>
      <c r="M2408" s="40" t="s">
        <v>1040</v>
      </c>
    </row>
    <row r="2409" spans="1:13" x14ac:dyDescent="0.25">
      <c r="A2409" s="75">
        <f t="shared" si="37"/>
        <v>2408</v>
      </c>
      <c r="B2409" t="s">
        <v>4851</v>
      </c>
      <c r="C2409" t="s">
        <v>7324</v>
      </c>
      <c r="D2409" t="s">
        <v>7516</v>
      </c>
      <c r="E2409" t="s">
        <v>7594</v>
      </c>
      <c r="G2409" t="s">
        <v>63</v>
      </c>
      <c r="H2409" s="75" t="str">
        <f>IFERROR(VLOOKUP(Table2[[#This Row],[Ticket]],Okey!A:B,2,0),"")</f>
        <v>ok</v>
      </c>
      <c r="I2409" t="s">
        <v>19</v>
      </c>
      <c r="J2409" t="str">
        <f>VLOOKUP(Table2[[#This Row],[Author]],People!A:B,2,0)</f>
        <v>LS</v>
      </c>
      <c r="L2409" s="40"/>
      <c r="M2409" s="40" t="s">
        <v>1040</v>
      </c>
    </row>
    <row r="2410" spans="1:13" x14ac:dyDescent="0.25">
      <c r="A2410" s="75">
        <f t="shared" si="37"/>
        <v>2409</v>
      </c>
      <c r="B2410" t="s">
        <v>4851</v>
      </c>
      <c r="C2410" t="s">
        <v>7324</v>
      </c>
      <c r="D2410" t="s">
        <v>7517</v>
      </c>
      <c r="E2410" t="s">
        <v>7595</v>
      </c>
      <c r="G2410" t="s">
        <v>63</v>
      </c>
      <c r="H2410" s="75" t="str">
        <f>IFERROR(VLOOKUP(Table2[[#This Row],[Ticket]],Okey!A:B,2,0),"")</f>
        <v>ok</v>
      </c>
      <c r="I2410" t="s">
        <v>19</v>
      </c>
      <c r="J2410" t="str">
        <f>VLOOKUP(Table2[[#This Row],[Author]],People!A:B,2,0)</f>
        <v>LS</v>
      </c>
      <c r="L2410" s="40"/>
      <c r="M2410" s="40" t="s">
        <v>1040</v>
      </c>
    </row>
    <row r="2411" spans="1:13" x14ac:dyDescent="0.25">
      <c r="A2411" s="75">
        <f t="shared" si="37"/>
        <v>2410</v>
      </c>
      <c r="B2411" t="s">
        <v>4851</v>
      </c>
      <c r="C2411" t="s">
        <v>7324</v>
      </c>
      <c r="D2411" t="s">
        <v>5112</v>
      </c>
      <c r="E2411" t="s">
        <v>7596</v>
      </c>
      <c r="G2411" t="s">
        <v>63</v>
      </c>
      <c r="H2411" s="75" t="str">
        <f>IFERROR(VLOOKUP(Table2[[#This Row],[Ticket]],Okey!A:B,2,0),"")</f>
        <v>ok</v>
      </c>
      <c r="I2411" t="s">
        <v>19</v>
      </c>
      <c r="J2411" t="str">
        <f>VLOOKUP(Table2[[#This Row],[Author]],People!A:B,2,0)</f>
        <v>LS</v>
      </c>
      <c r="L2411" s="40"/>
      <c r="M2411" s="40" t="s">
        <v>1040</v>
      </c>
    </row>
    <row r="2412" spans="1:13" x14ac:dyDescent="0.25">
      <c r="A2412" s="75">
        <f t="shared" si="37"/>
        <v>2411</v>
      </c>
      <c r="B2412" t="s">
        <v>4851</v>
      </c>
      <c r="C2412" t="s">
        <v>7324</v>
      </c>
      <c r="D2412" t="s">
        <v>7339</v>
      </c>
      <c r="E2412" t="s">
        <v>7597</v>
      </c>
      <c r="G2412" t="s">
        <v>63</v>
      </c>
      <c r="H2412" s="75" t="str">
        <f>IFERROR(VLOOKUP(Table2[[#This Row],[Ticket]],Okey!A:B,2,0),"")</f>
        <v>ok</v>
      </c>
      <c r="I2412" t="s">
        <v>19</v>
      </c>
      <c r="J2412" t="str">
        <f>VLOOKUP(Table2[[#This Row],[Author]],People!A:B,2,0)</f>
        <v>LS</v>
      </c>
      <c r="L2412" s="40"/>
      <c r="M2412" s="40" t="s">
        <v>1040</v>
      </c>
    </row>
    <row r="2413" spans="1:13" x14ac:dyDescent="0.25">
      <c r="A2413" s="75">
        <f t="shared" si="37"/>
        <v>2412</v>
      </c>
      <c r="B2413" t="s">
        <v>4851</v>
      </c>
      <c r="C2413" t="s">
        <v>7324</v>
      </c>
      <c r="D2413" t="s">
        <v>7518</v>
      </c>
      <c r="E2413" t="s">
        <v>7598</v>
      </c>
      <c r="G2413" t="s">
        <v>63</v>
      </c>
      <c r="H2413" s="75" t="str">
        <f>IFERROR(VLOOKUP(Table2[[#This Row],[Ticket]],Okey!A:B,2,0),"")</f>
        <v>ok</v>
      </c>
      <c r="I2413" t="s">
        <v>19</v>
      </c>
      <c r="J2413" t="str">
        <f>VLOOKUP(Table2[[#This Row],[Author]],People!A:B,2,0)</f>
        <v>LS</v>
      </c>
      <c r="L2413" s="40"/>
      <c r="M2413" s="40" t="s">
        <v>1040</v>
      </c>
    </row>
    <row r="2414" spans="1:13" x14ac:dyDescent="0.25">
      <c r="A2414" s="75">
        <f t="shared" si="37"/>
        <v>2413</v>
      </c>
      <c r="B2414" t="s">
        <v>4851</v>
      </c>
      <c r="C2414" t="s">
        <v>7324</v>
      </c>
      <c r="D2414" t="s">
        <v>7519</v>
      </c>
      <c r="E2414" t="s">
        <v>7599</v>
      </c>
      <c r="G2414" t="s">
        <v>63</v>
      </c>
      <c r="H2414" s="75" t="str">
        <f>IFERROR(VLOOKUP(Table2[[#This Row],[Ticket]],Okey!A:B,2,0),"")</f>
        <v>ok</v>
      </c>
      <c r="I2414" t="s">
        <v>19</v>
      </c>
      <c r="J2414" t="str">
        <f>VLOOKUP(Table2[[#This Row],[Author]],People!A:B,2,0)</f>
        <v>LS</v>
      </c>
      <c r="L2414" s="40"/>
      <c r="M2414" s="40" t="s">
        <v>1040</v>
      </c>
    </row>
    <row r="2415" spans="1:13" x14ac:dyDescent="0.25">
      <c r="A2415" s="75">
        <f t="shared" si="37"/>
        <v>2414</v>
      </c>
      <c r="B2415" t="s">
        <v>4851</v>
      </c>
      <c r="C2415" t="s">
        <v>7324</v>
      </c>
      <c r="D2415" t="s">
        <v>7520</v>
      </c>
      <c r="E2415" t="s">
        <v>7600</v>
      </c>
      <c r="G2415" t="s">
        <v>63</v>
      </c>
      <c r="H2415" s="75" t="str">
        <f>IFERROR(VLOOKUP(Table2[[#This Row],[Ticket]],Okey!A:B,2,0),"")</f>
        <v>ok</v>
      </c>
      <c r="I2415" t="s">
        <v>19</v>
      </c>
      <c r="J2415" t="str">
        <f>VLOOKUP(Table2[[#This Row],[Author]],People!A:B,2,0)</f>
        <v>LS</v>
      </c>
      <c r="L2415" s="40"/>
      <c r="M2415" s="40" t="s">
        <v>1040</v>
      </c>
    </row>
    <row r="2416" spans="1:13" x14ac:dyDescent="0.25">
      <c r="A2416" s="75">
        <f t="shared" si="37"/>
        <v>2415</v>
      </c>
      <c r="B2416" t="s">
        <v>4851</v>
      </c>
      <c r="C2416" t="s">
        <v>7324</v>
      </c>
      <c r="D2416" t="s">
        <v>7521</v>
      </c>
      <c r="E2416" t="s">
        <v>7601</v>
      </c>
      <c r="G2416" t="s">
        <v>63</v>
      </c>
      <c r="H2416" s="75" t="str">
        <f>IFERROR(VLOOKUP(Table2[[#This Row],[Ticket]],Okey!A:B,2,0),"")</f>
        <v>ok</v>
      </c>
      <c r="I2416" t="s">
        <v>19</v>
      </c>
      <c r="J2416" t="str">
        <f>VLOOKUP(Table2[[#This Row],[Author]],People!A:B,2,0)</f>
        <v>LS</v>
      </c>
      <c r="L2416" s="40"/>
      <c r="M2416" s="40" t="s">
        <v>1040</v>
      </c>
    </row>
    <row r="2417" spans="1:13" x14ac:dyDescent="0.25">
      <c r="A2417" s="75">
        <f t="shared" si="37"/>
        <v>2416</v>
      </c>
      <c r="B2417" t="s">
        <v>4851</v>
      </c>
      <c r="C2417" t="s">
        <v>7324</v>
      </c>
      <c r="D2417" t="s">
        <v>6016</v>
      </c>
      <c r="E2417" t="s">
        <v>7602</v>
      </c>
      <c r="G2417" t="s">
        <v>63</v>
      </c>
      <c r="H2417" s="75" t="str">
        <f>IFERROR(VLOOKUP(Table2[[#This Row],[Ticket]],Okey!A:B,2,0),"")</f>
        <v>ok</v>
      </c>
      <c r="I2417" t="s">
        <v>19</v>
      </c>
      <c r="J2417" t="str">
        <f>VLOOKUP(Table2[[#This Row],[Author]],People!A:B,2,0)</f>
        <v>LS</v>
      </c>
      <c r="L2417" s="40"/>
      <c r="M2417" s="40" t="s">
        <v>1040</v>
      </c>
    </row>
    <row r="2418" spans="1:13" x14ac:dyDescent="0.25">
      <c r="A2418" s="75">
        <f t="shared" si="37"/>
        <v>2417</v>
      </c>
      <c r="B2418" t="s">
        <v>4851</v>
      </c>
      <c r="C2418" t="s">
        <v>7622</v>
      </c>
      <c r="D2418" t="s">
        <v>2585</v>
      </c>
      <c r="F2418" t="s">
        <v>2558</v>
      </c>
      <c r="G2418" t="s">
        <v>24</v>
      </c>
      <c r="H2418" s="75" t="str">
        <f>IFERROR(VLOOKUP(Table2[[#This Row],[Ticket]],Okey!A:B,2,0),"")</f>
        <v>ok</v>
      </c>
      <c r="I2418" t="s">
        <v>19</v>
      </c>
      <c r="J2418" t="str">
        <f>VLOOKUP(Table2[[#This Row],[Author]],People!A:B,2,0)</f>
        <v>LS</v>
      </c>
      <c r="L2418" s="40"/>
      <c r="M2418" s="40" t="s">
        <v>1040</v>
      </c>
    </row>
    <row r="2419" spans="1:13" x14ac:dyDescent="0.25">
      <c r="A2419" s="75">
        <f t="shared" si="37"/>
        <v>2418</v>
      </c>
      <c r="B2419" t="s">
        <v>4851</v>
      </c>
      <c r="C2419" t="s">
        <v>7622</v>
      </c>
      <c r="D2419" t="s">
        <v>2611</v>
      </c>
      <c r="F2419" t="s">
        <v>2538</v>
      </c>
      <c r="G2419" t="s">
        <v>24</v>
      </c>
      <c r="H2419" s="75" t="str">
        <f>IFERROR(VLOOKUP(Table2[[#This Row],[Ticket]],Okey!A:B,2,0),"")</f>
        <v>ok</v>
      </c>
      <c r="I2419" t="s">
        <v>19</v>
      </c>
      <c r="J2419" t="str">
        <f>VLOOKUP(Table2[[#This Row],[Author]],People!A:B,2,0)</f>
        <v>LS</v>
      </c>
      <c r="L2419" s="40"/>
      <c r="M2419" s="40" t="s">
        <v>1040</v>
      </c>
    </row>
    <row r="2420" spans="1:13" x14ac:dyDescent="0.25">
      <c r="A2420" s="75">
        <f t="shared" si="37"/>
        <v>2419</v>
      </c>
      <c r="B2420" t="s">
        <v>4851</v>
      </c>
      <c r="C2420" t="s">
        <v>7622</v>
      </c>
      <c r="D2420" t="s">
        <v>2623</v>
      </c>
      <c r="F2420" t="s">
        <v>2538</v>
      </c>
      <c r="G2420" t="s">
        <v>24</v>
      </c>
      <c r="H2420" s="75" t="str">
        <f>IFERROR(VLOOKUP(Table2[[#This Row],[Ticket]],Okey!A:B,2,0),"")</f>
        <v>ok</v>
      </c>
      <c r="I2420" t="s">
        <v>19</v>
      </c>
      <c r="J2420" t="str">
        <f>VLOOKUP(Table2[[#This Row],[Author]],People!A:B,2,0)</f>
        <v>LS</v>
      </c>
      <c r="L2420" s="40"/>
      <c r="M2420" s="40" t="s">
        <v>1040</v>
      </c>
    </row>
    <row r="2421" spans="1:13" x14ac:dyDescent="0.25">
      <c r="A2421" s="75">
        <f t="shared" si="37"/>
        <v>2420</v>
      </c>
      <c r="B2421" t="s">
        <v>4851</v>
      </c>
      <c r="C2421" t="s">
        <v>7622</v>
      </c>
      <c r="D2421" t="s">
        <v>7623</v>
      </c>
      <c r="F2421" t="s">
        <v>2538</v>
      </c>
      <c r="G2421" t="s">
        <v>24</v>
      </c>
      <c r="H2421" s="75" t="str">
        <f>IFERROR(VLOOKUP(Table2[[#This Row],[Ticket]],Okey!A:B,2,0),"")</f>
        <v>ok</v>
      </c>
      <c r="I2421" t="s">
        <v>19</v>
      </c>
      <c r="J2421" t="str">
        <f>VLOOKUP(Table2[[#This Row],[Author]],People!A:B,2,0)</f>
        <v>LS</v>
      </c>
      <c r="L2421" s="40"/>
      <c r="M2421" s="40" t="s">
        <v>1040</v>
      </c>
    </row>
    <row r="2422" spans="1:13" x14ac:dyDescent="0.25">
      <c r="A2422" s="75">
        <f t="shared" si="37"/>
        <v>2421</v>
      </c>
      <c r="B2422" t="s">
        <v>4851</v>
      </c>
      <c r="C2422" t="s">
        <v>7622</v>
      </c>
      <c r="D2422" t="s">
        <v>7624</v>
      </c>
      <c r="F2422" t="s">
        <v>2538</v>
      </c>
      <c r="G2422" t="s">
        <v>24</v>
      </c>
      <c r="H2422" s="75" t="str">
        <f>IFERROR(VLOOKUP(Table2[[#This Row],[Ticket]],Okey!A:B,2,0),"")</f>
        <v>ok</v>
      </c>
      <c r="I2422" t="s">
        <v>19</v>
      </c>
      <c r="J2422" t="str">
        <f>VLOOKUP(Table2[[#This Row],[Author]],People!A:B,2,0)</f>
        <v>LS</v>
      </c>
      <c r="L2422" s="40"/>
      <c r="M2422" s="40" t="s">
        <v>1040</v>
      </c>
    </row>
    <row r="2423" spans="1:13" x14ac:dyDescent="0.25">
      <c r="A2423" s="75">
        <f t="shared" si="37"/>
        <v>2422</v>
      </c>
      <c r="B2423" t="s">
        <v>4851</v>
      </c>
      <c r="C2423" t="s">
        <v>7622</v>
      </c>
      <c r="D2423" t="s">
        <v>7625</v>
      </c>
      <c r="F2423" t="s">
        <v>2538</v>
      </c>
      <c r="G2423" t="s">
        <v>24</v>
      </c>
      <c r="H2423" s="75" t="str">
        <f>IFERROR(VLOOKUP(Table2[[#This Row],[Ticket]],Okey!A:B,2,0),"")</f>
        <v>ok</v>
      </c>
      <c r="I2423" t="s">
        <v>19</v>
      </c>
      <c r="J2423" t="str">
        <f>VLOOKUP(Table2[[#This Row],[Author]],People!A:B,2,0)</f>
        <v>LS</v>
      </c>
      <c r="L2423" s="40"/>
      <c r="M2423" s="40" t="s">
        <v>1040</v>
      </c>
    </row>
    <row r="2424" spans="1:13" x14ac:dyDescent="0.25">
      <c r="A2424" s="75">
        <f t="shared" si="37"/>
        <v>2423</v>
      </c>
      <c r="B2424" t="s">
        <v>4851</v>
      </c>
      <c r="C2424" t="s">
        <v>7622</v>
      </c>
      <c r="D2424" t="s">
        <v>7626</v>
      </c>
      <c r="F2424" t="s">
        <v>7425</v>
      </c>
      <c r="G2424" t="s">
        <v>24</v>
      </c>
      <c r="H2424" s="75" t="str">
        <f>IFERROR(VLOOKUP(Table2[[#This Row],[Ticket]],Okey!A:B,2,0),"")</f>
        <v>ok</v>
      </c>
      <c r="I2424" t="s">
        <v>19</v>
      </c>
      <c r="J2424" t="str">
        <f>VLOOKUP(Table2[[#This Row],[Author]],People!A:B,2,0)</f>
        <v>LS</v>
      </c>
      <c r="L2424" s="40"/>
      <c r="M2424" s="40" t="s">
        <v>1040</v>
      </c>
    </row>
    <row r="2425" spans="1:13" x14ac:dyDescent="0.25">
      <c r="A2425" s="75">
        <f t="shared" si="37"/>
        <v>2424</v>
      </c>
      <c r="B2425" t="s">
        <v>4851</v>
      </c>
      <c r="C2425" t="s">
        <v>7622</v>
      </c>
      <c r="D2425" t="s">
        <v>7627</v>
      </c>
      <c r="F2425" t="s">
        <v>7424</v>
      </c>
      <c r="G2425" t="s">
        <v>24</v>
      </c>
      <c r="H2425" s="75" t="str">
        <f>IFERROR(VLOOKUP(Table2[[#This Row],[Ticket]],Okey!A:B,2,0),"")</f>
        <v>ok</v>
      </c>
      <c r="I2425" t="s">
        <v>19</v>
      </c>
      <c r="J2425" t="str">
        <f>VLOOKUP(Table2[[#This Row],[Author]],People!A:B,2,0)</f>
        <v>LS</v>
      </c>
      <c r="L2425" s="40"/>
      <c r="M2425" s="40" t="s">
        <v>1040</v>
      </c>
    </row>
    <row r="2426" spans="1:13" x14ac:dyDescent="0.25">
      <c r="A2426" s="75">
        <f t="shared" si="37"/>
        <v>2425</v>
      </c>
      <c r="B2426" t="s">
        <v>4851</v>
      </c>
      <c r="C2426" t="s">
        <v>7622</v>
      </c>
      <c r="D2426" t="s">
        <v>7628</v>
      </c>
      <c r="F2426" t="s">
        <v>7424</v>
      </c>
      <c r="G2426" t="s">
        <v>24</v>
      </c>
      <c r="H2426" s="75" t="str">
        <f>IFERROR(VLOOKUP(Table2[[#This Row],[Ticket]],Okey!A:B,2,0),"")</f>
        <v>ok</v>
      </c>
      <c r="I2426" t="s">
        <v>19</v>
      </c>
      <c r="J2426" t="str">
        <f>VLOOKUP(Table2[[#This Row],[Author]],People!A:B,2,0)</f>
        <v>LS</v>
      </c>
      <c r="L2426" s="40"/>
      <c r="M2426" s="40" t="s">
        <v>1040</v>
      </c>
    </row>
    <row r="2427" spans="1:13" x14ac:dyDescent="0.25">
      <c r="A2427" s="75">
        <f t="shared" si="37"/>
        <v>2426</v>
      </c>
      <c r="B2427" t="s">
        <v>4851</v>
      </c>
      <c r="C2427" t="s">
        <v>7622</v>
      </c>
      <c r="D2427" t="s">
        <v>7629</v>
      </c>
      <c r="F2427" t="s">
        <v>7424</v>
      </c>
      <c r="G2427" t="s">
        <v>24</v>
      </c>
      <c r="H2427" s="75" t="str">
        <f>IFERROR(VLOOKUP(Table2[[#This Row],[Ticket]],Okey!A:B,2,0),"")</f>
        <v>ok</v>
      </c>
      <c r="I2427" t="s">
        <v>19</v>
      </c>
      <c r="J2427" t="str">
        <f>VLOOKUP(Table2[[#This Row],[Author]],People!A:B,2,0)</f>
        <v>LS</v>
      </c>
      <c r="L2427" s="40"/>
      <c r="M2427" s="40" t="s">
        <v>1040</v>
      </c>
    </row>
    <row r="2428" spans="1:13" x14ac:dyDescent="0.25">
      <c r="A2428" s="75">
        <f t="shared" si="37"/>
        <v>2427</v>
      </c>
      <c r="B2428" t="s">
        <v>4851</v>
      </c>
      <c r="C2428" t="s">
        <v>7622</v>
      </c>
      <c r="D2428" t="s">
        <v>7630</v>
      </c>
      <c r="F2428" t="s">
        <v>7424</v>
      </c>
      <c r="G2428" t="s">
        <v>24</v>
      </c>
      <c r="H2428" s="75" t="str">
        <f>IFERROR(VLOOKUP(Table2[[#This Row],[Ticket]],Okey!A:B,2,0),"")</f>
        <v>ok</v>
      </c>
      <c r="I2428" t="s">
        <v>19</v>
      </c>
      <c r="J2428" t="str">
        <f>VLOOKUP(Table2[[#This Row],[Author]],People!A:B,2,0)</f>
        <v>LS</v>
      </c>
      <c r="L2428" s="40"/>
      <c r="M2428" s="40" t="s">
        <v>1040</v>
      </c>
    </row>
    <row r="2429" spans="1:13" x14ac:dyDescent="0.25">
      <c r="A2429" s="75">
        <f t="shared" si="37"/>
        <v>2428</v>
      </c>
      <c r="B2429" t="s">
        <v>4851</v>
      </c>
      <c r="C2429" t="s">
        <v>7622</v>
      </c>
      <c r="D2429" t="s">
        <v>7631</v>
      </c>
      <c r="F2429" t="s">
        <v>7424</v>
      </c>
      <c r="G2429" t="s">
        <v>24</v>
      </c>
      <c r="H2429" s="75" t="str">
        <f>IFERROR(VLOOKUP(Table2[[#This Row],[Ticket]],Okey!A:B,2,0),"")</f>
        <v>ok</v>
      </c>
      <c r="I2429" t="s">
        <v>19</v>
      </c>
      <c r="J2429" t="str">
        <f>VLOOKUP(Table2[[#This Row],[Author]],People!A:B,2,0)</f>
        <v>LS</v>
      </c>
      <c r="L2429" s="40"/>
      <c r="M2429" s="40" t="s">
        <v>1040</v>
      </c>
    </row>
    <row r="2430" spans="1:13" x14ac:dyDescent="0.25">
      <c r="A2430" s="75">
        <f t="shared" si="37"/>
        <v>2429</v>
      </c>
      <c r="B2430" t="s">
        <v>4851</v>
      </c>
      <c r="C2430" t="s">
        <v>7622</v>
      </c>
      <c r="D2430" t="s">
        <v>7632</v>
      </c>
      <c r="F2430" t="s">
        <v>7424</v>
      </c>
      <c r="G2430" t="s">
        <v>24</v>
      </c>
      <c r="H2430" s="75" t="str">
        <f>IFERROR(VLOOKUP(Table2[[#This Row],[Ticket]],Okey!A:B,2,0),"")</f>
        <v>ok</v>
      </c>
      <c r="I2430" t="s">
        <v>19</v>
      </c>
      <c r="J2430" t="str">
        <f>VLOOKUP(Table2[[#This Row],[Author]],People!A:B,2,0)</f>
        <v>LS</v>
      </c>
      <c r="L2430" s="40"/>
      <c r="M2430" s="40" t="s">
        <v>1040</v>
      </c>
    </row>
    <row r="2431" spans="1:13" x14ac:dyDescent="0.25">
      <c r="A2431" s="75">
        <f t="shared" si="37"/>
        <v>2430</v>
      </c>
      <c r="B2431" t="s">
        <v>4851</v>
      </c>
      <c r="C2431" t="s">
        <v>7622</v>
      </c>
      <c r="D2431" t="s">
        <v>7633</v>
      </c>
      <c r="F2431" t="s">
        <v>7424</v>
      </c>
      <c r="G2431" t="s">
        <v>24</v>
      </c>
      <c r="H2431" s="75" t="str">
        <f>IFERROR(VLOOKUP(Table2[[#This Row],[Ticket]],Okey!A:B,2,0),"")</f>
        <v>ok</v>
      </c>
      <c r="I2431" t="s">
        <v>19</v>
      </c>
      <c r="J2431" t="str">
        <f>VLOOKUP(Table2[[#This Row],[Author]],People!A:B,2,0)</f>
        <v>LS</v>
      </c>
      <c r="L2431" s="40"/>
      <c r="M2431" s="40" t="s">
        <v>1040</v>
      </c>
    </row>
    <row r="2432" spans="1:13" x14ac:dyDescent="0.25">
      <c r="A2432" s="75">
        <f t="shared" si="37"/>
        <v>2431</v>
      </c>
      <c r="B2432" t="s">
        <v>4851</v>
      </c>
      <c r="C2432" t="s">
        <v>7622</v>
      </c>
      <c r="D2432" t="s">
        <v>7634</v>
      </c>
      <c r="F2432" t="s">
        <v>7424</v>
      </c>
      <c r="G2432" t="s">
        <v>24</v>
      </c>
      <c r="H2432" s="75" t="str">
        <f>IFERROR(VLOOKUP(Table2[[#This Row],[Ticket]],Okey!A:B,2,0),"")</f>
        <v>ok</v>
      </c>
      <c r="I2432" t="s">
        <v>19</v>
      </c>
      <c r="J2432" t="str">
        <f>VLOOKUP(Table2[[#This Row],[Author]],People!A:B,2,0)</f>
        <v>LS</v>
      </c>
      <c r="L2432" s="40"/>
      <c r="M2432" s="40" t="s">
        <v>1040</v>
      </c>
    </row>
    <row r="2433" spans="1:13" x14ac:dyDescent="0.25">
      <c r="A2433" s="75">
        <f t="shared" si="37"/>
        <v>2432</v>
      </c>
      <c r="B2433" t="s">
        <v>4851</v>
      </c>
      <c r="C2433" t="s">
        <v>7622</v>
      </c>
      <c r="D2433" t="s">
        <v>7635</v>
      </c>
      <c r="F2433" t="s">
        <v>7424</v>
      </c>
      <c r="G2433" t="s">
        <v>24</v>
      </c>
      <c r="H2433" s="75" t="str">
        <f>IFERROR(VLOOKUP(Table2[[#This Row],[Ticket]],Okey!A:B,2,0),"")</f>
        <v>ok</v>
      </c>
      <c r="I2433" t="s">
        <v>19</v>
      </c>
      <c r="J2433" t="str">
        <f>VLOOKUP(Table2[[#This Row],[Author]],People!A:B,2,0)</f>
        <v>LS</v>
      </c>
      <c r="L2433" s="40"/>
      <c r="M2433" s="40" t="s">
        <v>1040</v>
      </c>
    </row>
    <row r="2434" spans="1:13" x14ac:dyDescent="0.25">
      <c r="A2434" s="75">
        <f t="shared" si="37"/>
        <v>2433</v>
      </c>
      <c r="B2434" t="s">
        <v>4851</v>
      </c>
      <c r="C2434" t="s">
        <v>7622</v>
      </c>
      <c r="D2434" t="s">
        <v>7636</v>
      </c>
      <c r="F2434" t="s">
        <v>7423</v>
      </c>
      <c r="G2434" t="s">
        <v>24</v>
      </c>
      <c r="H2434" s="75" t="str">
        <f>IFERROR(VLOOKUP(Table2[[#This Row],[Ticket]],Okey!A:B,2,0),"")</f>
        <v>ok</v>
      </c>
      <c r="I2434" t="s">
        <v>19</v>
      </c>
      <c r="J2434" t="str">
        <f>VLOOKUP(Table2[[#This Row],[Author]],People!A:B,2,0)</f>
        <v>LS</v>
      </c>
      <c r="L2434" s="40"/>
      <c r="M2434" s="40" t="s">
        <v>1040</v>
      </c>
    </row>
    <row r="2435" spans="1:13" x14ac:dyDescent="0.25">
      <c r="A2435" s="75">
        <f t="shared" si="37"/>
        <v>2434</v>
      </c>
      <c r="B2435" t="s">
        <v>4851</v>
      </c>
      <c r="C2435" t="s">
        <v>7622</v>
      </c>
      <c r="D2435" t="s">
        <v>7637</v>
      </c>
      <c r="F2435" t="s">
        <v>7800</v>
      </c>
      <c r="G2435" t="s">
        <v>24</v>
      </c>
      <c r="H2435" s="75" t="str">
        <f>IFERROR(VLOOKUP(Table2[[#This Row],[Ticket]],Okey!A:B,2,0),"")</f>
        <v>ok</v>
      </c>
      <c r="I2435" s="50" t="s">
        <v>19</v>
      </c>
      <c r="J2435" t="str">
        <f>VLOOKUP(Table2[[#This Row],[Author]],People!A:B,2,0)</f>
        <v>LS</v>
      </c>
      <c r="L2435" s="40"/>
      <c r="M2435" s="40" t="s">
        <v>1040</v>
      </c>
    </row>
    <row r="2436" spans="1:13" x14ac:dyDescent="0.25">
      <c r="A2436" s="75">
        <f t="shared" si="37"/>
        <v>2435</v>
      </c>
      <c r="B2436" t="s">
        <v>4851</v>
      </c>
      <c r="C2436" t="s">
        <v>7622</v>
      </c>
      <c r="D2436" t="s">
        <v>7638</v>
      </c>
      <c r="F2436" t="s">
        <v>7429</v>
      </c>
      <c r="G2436" t="s">
        <v>24</v>
      </c>
      <c r="H2436" s="75" t="str">
        <f>IFERROR(VLOOKUP(Table2[[#This Row],[Ticket]],Okey!A:B,2,0),"")</f>
        <v>ok</v>
      </c>
      <c r="I2436" t="s">
        <v>19</v>
      </c>
      <c r="J2436" t="str">
        <f>VLOOKUP(Table2[[#This Row],[Author]],People!A:B,2,0)</f>
        <v>LS</v>
      </c>
      <c r="L2436" s="40"/>
      <c r="M2436" s="40" t="s">
        <v>1040</v>
      </c>
    </row>
    <row r="2437" spans="1:13" x14ac:dyDescent="0.25">
      <c r="A2437" s="75">
        <f t="shared" si="37"/>
        <v>2436</v>
      </c>
      <c r="B2437" t="s">
        <v>4851</v>
      </c>
      <c r="C2437" t="s">
        <v>7622</v>
      </c>
      <c r="D2437" t="s">
        <v>7639</v>
      </c>
      <c r="F2437" t="s">
        <v>7429</v>
      </c>
      <c r="G2437" t="s">
        <v>24</v>
      </c>
      <c r="H2437" s="75" t="str">
        <f>IFERROR(VLOOKUP(Table2[[#This Row],[Ticket]],Okey!A:B,2,0),"")</f>
        <v>ok</v>
      </c>
      <c r="I2437" t="s">
        <v>19</v>
      </c>
      <c r="J2437" t="str">
        <f>VLOOKUP(Table2[[#This Row],[Author]],People!A:B,2,0)</f>
        <v>LS</v>
      </c>
      <c r="L2437" s="40"/>
      <c r="M2437" s="40" t="s">
        <v>1040</v>
      </c>
    </row>
    <row r="2438" spans="1:13" x14ac:dyDescent="0.25">
      <c r="A2438" s="75">
        <f t="shared" si="37"/>
        <v>2437</v>
      </c>
      <c r="B2438" t="s">
        <v>4851</v>
      </c>
      <c r="C2438" t="s">
        <v>7622</v>
      </c>
      <c r="D2438" t="s">
        <v>7640</v>
      </c>
      <c r="F2438" t="s">
        <v>7429</v>
      </c>
      <c r="G2438" t="s">
        <v>24</v>
      </c>
      <c r="H2438" s="75" t="str">
        <f>IFERROR(VLOOKUP(Table2[[#This Row],[Ticket]],Okey!A:B,2,0),"")</f>
        <v>ok</v>
      </c>
      <c r="I2438" t="s">
        <v>19</v>
      </c>
      <c r="J2438" t="str">
        <f>VLOOKUP(Table2[[#This Row],[Author]],People!A:B,2,0)</f>
        <v>LS</v>
      </c>
      <c r="L2438" s="40"/>
      <c r="M2438" s="40" t="s">
        <v>1040</v>
      </c>
    </row>
    <row r="2439" spans="1:13" x14ac:dyDescent="0.25">
      <c r="A2439" s="75">
        <f t="shared" si="37"/>
        <v>2438</v>
      </c>
      <c r="B2439" t="s">
        <v>4851</v>
      </c>
      <c r="C2439" t="s">
        <v>7622</v>
      </c>
      <c r="D2439" t="s">
        <v>7641</v>
      </c>
      <c r="F2439" t="s">
        <v>7429</v>
      </c>
      <c r="G2439" t="s">
        <v>24</v>
      </c>
      <c r="H2439" s="75" t="str">
        <f>IFERROR(VLOOKUP(Table2[[#This Row],[Ticket]],Okey!A:B,2,0),"")</f>
        <v>ok</v>
      </c>
      <c r="I2439" t="s">
        <v>19</v>
      </c>
      <c r="J2439" t="str">
        <f>VLOOKUP(Table2[[#This Row],[Author]],People!A:B,2,0)</f>
        <v>LS</v>
      </c>
      <c r="L2439" s="40"/>
      <c r="M2439" s="40" t="s">
        <v>1040</v>
      </c>
    </row>
    <row r="2440" spans="1:13" x14ac:dyDescent="0.25">
      <c r="A2440" s="75">
        <f t="shared" si="37"/>
        <v>2439</v>
      </c>
      <c r="B2440" t="s">
        <v>4851</v>
      </c>
      <c r="C2440" t="s">
        <v>7622</v>
      </c>
      <c r="D2440" t="s">
        <v>7642</v>
      </c>
      <c r="F2440" t="s">
        <v>7499</v>
      </c>
      <c r="G2440" t="s">
        <v>24</v>
      </c>
      <c r="H2440" s="75" t="str">
        <f>IFERROR(VLOOKUP(Table2[[#This Row],[Ticket]],Okey!A:B,2,0),"")</f>
        <v>ok</v>
      </c>
      <c r="I2440" t="s">
        <v>19</v>
      </c>
      <c r="J2440" t="str">
        <f>VLOOKUP(Table2[[#This Row],[Author]],People!A:B,2,0)</f>
        <v>LS</v>
      </c>
      <c r="L2440" s="40"/>
      <c r="M2440" s="40" t="s">
        <v>1040</v>
      </c>
    </row>
    <row r="2441" spans="1:13" x14ac:dyDescent="0.25">
      <c r="A2441" s="75">
        <f t="shared" ref="A2441:A2504" si="38">1+A2440</f>
        <v>2440</v>
      </c>
      <c r="B2441" t="s">
        <v>4851</v>
      </c>
      <c r="C2441" t="s">
        <v>7622</v>
      </c>
      <c r="D2441" t="s">
        <v>7643</v>
      </c>
      <c r="F2441" t="s">
        <v>7499</v>
      </c>
      <c r="G2441" t="s">
        <v>24</v>
      </c>
      <c r="H2441" s="75" t="str">
        <f>IFERROR(VLOOKUP(Table2[[#This Row],[Ticket]],Okey!A:B,2,0),"")</f>
        <v>ok</v>
      </c>
      <c r="I2441" t="s">
        <v>19</v>
      </c>
      <c r="J2441" t="str">
        <f>VLOOKUP(Table2[[#This Row],[Author]],People!A:B,2,0)</f>
        <v>LS</v>
      </c>
      <c r="L2441" s="40"/>
      <c r="M2441" s="40" t="s">
        <v>1040</v>
      </c>
    </row>
    <row r="2442" spans="1:13" x14ac:dyDescent="0.25">
      <c r="A2442" s="75">
        <f t="shared" si="38"/>
        <v>2441</v>
      </c>
      <c r="B2442" t="s">
        <v>4851</v>
      </c>
      <c r="C2442" t="s">
        <v>7622</v>
      </c>
      <c r="D2442" t="s">
        <v>7644</v>
      </c>
      <c r="F2442" t="s">
        <v>7429</v>
      </c>
      <c r="G2442" t="s">
        <v>24</v>
      </c>
      <c r="H2442" s="75" t="str">
        <f>IFERROR(VLOOKUP(Table2[[#This Row],[Ticket]],Okey!A:B,2,0),"")</f>
        <v>ok</v>
      </c>
      <c r="I2442" t="s">
        <v>19</v>
      </c>
      <c r="J2442" t="str">
        <f>VLOOKUP(Table2[[#This Row],[Author]],People!A:B,2,0)</f>
        <v>LS</v>
      </c>
      <c r="L2442" s="40"/>
      <c r="M2442" s="40" t="s">
        <v>1040</v>
      </c>
    </row>
    <row r="2443" spans="1:13" x14ac:dyDescent="0.25">
      <c r="A2443" s="75">
        <f t="shared" si="38"/>
        <v>2442</v>
      </c>
      <c r="B2443" t="s">
        <v>4851</v>
      </c>
      <c r="C2443" t="s">
        <v>7622</v>
      </c>
      <c r="D2443" t="s">
        <v>7645</v>
      </c>
      <c r="F2443" t="s">
        <v>7428</v>
      </c>
      <c r="G2443" t="s">
        <v>24</v>
      </c>
      <c r="H2443" s="75" t="str">
        <f>IFERROR(VLOOKUP(Table2[[#This Row],[Ticket]],Okey!A:B,2,0),"")</f>
        <v>ok</v>
      </c>
      <c r="I2443" t="s">
        <v>19</v>
      </c>
      <c r="J2443" t="str">
        <f>VLOOKUP(Table2[[#This Row],[Author]],People!A:B,2,0)</f>
        <v>LS</v>
      </c>
      <c r="L2443" s="40"/>
      <c r="M2443" s="40" t="s">
        <v>1040</v>
      </c>
    </row>
    <row r="2444" spans="1:13" x14ac:dyDescent="0.25">
      <c r="A2444" s="75">
        <f t="shared" si="38"/>
        <v>2443</v>
      </c>
      <c r="B2444" t="s">
        <v>4851</v>
      </c>
      <c r="C2444" t="s">
        <v>7622</v>
      </c>
      <c r="D2444" t="s">
        <v>7646</v>
      </c>
      <c r="F2444" t="s">
        <v>7428</v>
      </c>
      <c r="G2444" t="s">
        <v>24</v>
      </c>
      <c r="H2444" s="75" t="str">
        <f>IFERROR(VLOOKUP(Table2[[#This Row],[Ticket]],Okey!A:B,2,0),"")</f>
        <v>ok</v>
      </c>
      <c r="I2444" t="s">
        <v>19</v>
      </c>
      <c r="J2444" t="str">
        <f>VLOOKUP(Table2[[#This Row],[Author]],People!A:B,2,0)</f>
        <v>LS</v>
      </c>
      <c r="L2444" s="40"/>
      <c r="M2444" s="40" t="s">
        <v>1040</v>
      </c>
    </row>
    <row r="2445" spans="1:13" x14ac:dyDescent="0.25">
      <c r="A2445" s="75">
        <f t="shared" si="38"/>
        <v>2444</v>
      </c>
      <c r="B2445" t="s">
        <v>4851</v>
      </c>
      <c r="C2445" t="s">
        <v>7622</v>
      </c>
      <c r="D2445" t="s">
        <v>7647</v>
      </c>
      <c r="F2445" t="s">
        <v>7428</v>
      </c>
      <c r="G2445" t="s">
        <v>24</v>
      </c>
      <c r="H2445" s="75" t="str">
        <f>IFERROR(VLOOKUP(Table2[[#This Row],[Ticket]],Okey!A:B,2,0),"")</f>
        <v>ok</v>
      </c>
      <c r="I2445" t="s">
        <v>19</v>
      </c>
      <c r="J2445" t="str">
        <f>VLOOKUP(Table2[[#This Row],[Author]],People!A:B,2,0)</f>
        <v>LS</v>
      </c>
      <c r="L2445" s="40"/>
      <c r="M2445" s="40" t="s">
        <v>1040</v>
      </c>
    </row>
    <row r="2446" spans="1:13" x14ac:dyDescent="0.25">
      <c r="A2446" s="75">
        <f t="shared" si="38"/>
        <v>2445</v>
      </c>
      <c r="B2446" t="s">
        <v>4851</v>
      </c>
      <c r="C2446" t="s">
        <v>7622</v>
      </c>
      <c r="D2446" t="s">
        <v>7648</v>
      </c>
      <c r="F2446" t="s">
        <v>7428</v>
      </c>
      <c r="G2446" t="s">
        <v>24</v>
      </c>
      <c r="H2446" s="75" t="str">
        <f>IFERROR(VLOOKUP(Table2[[#This Row],[Ticket]],Okey!A:B,2,0),"")</f>
        <v>ok</v>
      </c>
      <c r="I2446" t="s">
        <v>19</v>
      </c>
      <c r="J2446" t="str">
        <f>VLOOKUP(Table2[[#This Row],[Author]],People!A:B,2,0)</f>
        <v>LS</v>
      </c>
      <c r="L2446" s="40"/>
      <c r="M2446" s="40" t="s">
        <v>1040</v>
      </c>
    </row>
    <row r="2447" spans="1:13" x14ac:dyDescent="0.25">
      <c r="A2447" s="75">
        <f t="shared" si="38"/>
        <v>2446</v>
      </c>
      <c r="B2447" t="s">
        <v>4851</v>
      </c>
      <c r="C2447" t="s">
        <v>7622</v>
      </c>
      <c r="D2447" t="s">
        <v>7649</v>
      </c>
      <c r="F2447" t="s">
        <v>7428</v>
      </c>
      <c r="G2447" t="s">
        <v>24</v>
      </c>
      <c r="H2447" s="75" t="str">
        <f>IFERROR(VLOOKUP(Table2[[#This Row],[Ticket]],Okey!A:B,2,0),"")</f>
        <v>ok</v>
      </c>
      <c r="I2447" s="50" t="s">
        <v>19</v>
      </c>
      <c r="J2447" t="str">
        <f>VLOOKUP(Table2[[#This Row],[Author]],People!A:B,2,0)</f>
        <v>LS</v>
      </c>
      <c r="L2447" s="40"/>
      <c r="M2447" s="40" t="s">
        <v>1040</v>
      </c>
    </row>
    <row r="2448" spans="1:13" x14ac:dyDescent="0.25">
      <c r="A2448" s="75">
        <f t="shared" si="38"/>
        <v>2447</v>
      </c>
      <c r="B2448" t="s">
        <v>4851</v>
      </c>
      <c r="C2448" t="s">
        <v>7622</v>
      </c>
      <c r="D2448" t="s">
        <v>7650</v>
      </c>
      <c r="F2448" t="s">
        <v>7428</v>
      </c>
      <c r="G2448" t="s">
        <v>24</v>
      </c>
      <c r="H2448" s="75" t="str">
        <f>IFERROR(VLOOKUP(Table2[[#This Row],[Ticket]],Okey!A:B,2,0),"")</f>
        <v>ok</v>
      </c>
      <c r="I2448" t="s">
        <v>19</v>
      </c>
      <c r="J2448" t="str">
        <f>VLOOKUP(Table2[[#This Row],[Author]],People!A:B,2,0)</f>
        <v>LS</v>
      </c>
      <c r="L2448" s="40"/>
      <c r="M2448" s="40" t="s">
        <v>1040</v>
      </c>
    </row>
    <row r="2449" spans="1:13" x14ac:dyDescent="0.25">
      <c r="A2449" s="75">
        <f t="shared" si="38"/>
        <v>2448</v>
      </c>
      <c r="B2449" t="s">
        <v>4851</v>
      </c>
      <c r="C2449" t="s">
        <v>7622</v>
      </c>
      <c r="D2449" t="s">
        <v>7651</v>
      </c>
      <c r="F2449" t="s">
        <v>7428</v>
      </c>
      <c r="G2449" t="s">
        <v>24</v>
      </c>
      <c r="H2449" s="75" t="str">
        <f>IFERROR(VLOOKUP(Table2[[#This Row],[Ticket]],Okey!A:B,2,0),"")</f>
        <v>ok</v>
      </c>
      <c r="I2449" t="s">
        <v>19</v>
      </c>
      <c r="J2449" t="str">
        <f>VLOOKUP(Table2[[#This Row],[Author]],People!A:B,2,0)</f>
        <v>LS</v>
      </c>
      <c r="L2449" s="40"/>
      <c r="M2449" s="40" t="s">
        <v>1040</v>
      </c>
    </row>
    <row r="2450" spans="1:13" x14ac:dyDescent="0.25">
      <c r="A2450" s="75">
        <f t="shared" si="38"/>
        <v>2449</v>
      </c>
      <c r="B2450" t="s">
        <v>4851</v>
      </c>
      <c r="C2450" t="s">
        <v>7622</v>
      </c>
      <c r="D2450" t="s">
        <v>7652</v>
      </c>
      <c r="F2450" t="s">
        <v>7428</v>
      </c>
      <c r="G2450" t="s">
        <v>24</v>
      </c>
      <c r="H2450" s="75" t="str">
        <f>IFERROR(VLOOKUP(Table2[[#This Row],[Ticket]],Okey!A:B,2,0),"")</f>
        <v>ok</v>
      </c>
      <c r="I2450" t="s">
        <v>19</v>
      </c>
      <c r="J2450" t="str">
        <f>VLOOKUP(Table2[[#This Row],[Author]],People!A:B,2,0)</f>
        <v>LS</v>
      </c>
      <c r="L2450" s="40"/>
      <c r="M2450" s="40" t="s">
        <v>1040</v>
      </c>
    </row>
    <row r="2451" spans="1:13" x14ac:dyDescent="0.25">
      <c r="A2451" s="75">
        <f t="shared" si="38"/>
        <v>2450</v>
      </c>
      <c r="B2451" t="s">
        <v>4851</v>
      </c>
      <c r="C2451" t="s">
        <v>7622</v>
      </c>
      <c r="D2451" t="s">
        <v>7653</v>
      </c>
      <c r="F2451" t="s">
        <v>7427</v>
      </c>
      <c r="G2451" t="s">
        <v>24</v>
      </c>
      <c r="H2451" s="75" t="str">
        <f>IFERROR(VLOOKUP(Table2[[#This Row],[Ticket]],Okey!A:B,2,0),"")</f>
        <v>ok</v>
      </c>
      <c r="I2451" t="s">
        <v>19</v>
      </c>
      <c r="J2451" t="str">
        <f>VLOOKUP(Table2[[#This Row],[Author]],People!A:B,2,0)</f>
        <v>LS</v>
      </c>
      <c r="L2451" s="40"/>
      <c r="M2451" s="40" t="s">
        <v>1040</v>
      </c>
    </row>
    <row r="2452" spans="1:13" x14ac:dyDescent="0.25">
      <c r="A2452" s="75">
        <f t="shared" si="38"/>
        <v>2451</v>
      </c>
      <c r="B2452" t="s">
        <v>4851</v>
      </c>
      <c r="C2452" t="s">
        <v>7622</v>
      </c>
      <c r="D2452" t="s">
        <v>7654</v>
      </c>
      <c r="F2452" t="s">
        <v>7427</v>
      </c>
      <c r="G2452" t="s">
        <v>24</v>
      </c>
      <c r="H2452" s="75" t="str">
        <f>IFERROR(VLOOKUP(Table2[[#This Row],[Ticket]],Okey!A:B,2,0),"")</f>
        <v>ok</v>
      </c>
      <c r="I2452" s="50" t="s">
        <v>19</v>
      </c>
      <c r="J2452" t="str">
        <f>VLOOKUP(Table2[[#This Row],[Author]],People!A:B,2,0)</f>
        <v>LS</v>
      </c>
      <c r="L2452" s="40"/>
      <c r="M2452" s="40" t="s">
        <v>1040</v>
      </c>
    </row>
    <row r="2453" spans="1:13" x14ac:dyDescent="0.25">
      <c r="A2453" s="75">
        <f t="shared" si="38"/>
        <v>2452</v>
      </c>
      <c r="B2453" t="s">
        <v>4851</v>
      </c>
      <c r="C2453" t="s">
        <v>7622</v>
      </c>
      <c r="D2453" t="s">
        <v>7655</v>
      </c>
      <c r="F2453" t="s">
        <v>7499</v>
      </c>
      <c r="G2453" t="s">
        <v>24</v>
      </c>
      <c r="H2453" s="75" t="str">
        <f>IFERROR(VLOOKUP(Table2[[#This Row],[Ticket]],Okey!A:B,2,0),"")</f>
        <v>ok</v>
      </c>
      <c r="I2453" t="s">
        <v>19</v>
      </c>
      <c r="J2453" t="str">
        <f>VLOOKUP(Table2[[#This Row],[Author]],People!A:B,2,0)</f>
        <v>LS</v>
      </c>
      <c r="L2453" s="40"/>
      <c r="M2453" s="40" t="s">
        <v>1040</v>
      </c>
    </row>
    <row r="2454" spans="1:13" x14ac:dyDescent="0.25">
      <c r="A2454" s="75">
        <f t="shared" si="38"/>
        <v>2453</v>
      </c>
      <c r="B2454" t="s">
        <v>4851</v>
      </c>
      <c r="C2454" t="s">
        <v>7622</v>
      </c>
      <c r="D2454" t="s">
        <v>7656</v>
      </c>
      <c r="F2454" t="s">
        <v>7499</v>
      </c>
      <c r="G2454" t="s">
        <v>24</v>
      </c>
      <c r="H2454" s="75" t="str">
        <f>IFERROR(VLOOKUP(Table2[[#This Row],[Ticket]],Okey!A:B,2,0),"")</f>
        <v>ok</v>
      </c>
      <c r="I2454" t="s">
        <v>19</v>
      </c>
      <c r="J2454" t="str">
        <f>VLOOKUP(Table2[[#This Row],[Author]],People!A:B,2,0)</f>
        <v>LS</v>
      </c>
      <c r="L2454" s="40"/>
      <c r="M2454" s="40" t="s">
        <v>1040</v>
      </c>
    </row>
    <row r="2455" spans="1:13" x14ac:dyDescent="0.25">
      <c r="A2455" s="75">
        <f t="shared" si="38"/>
        <v>2454</v>
      </c>
      <c r="B2455" t="s">
        <v>4851</v>
      </c>
      <c r="C2455" t="s">
        <v>7622</v>
      </c>
      <c r="D2455" t="s">
        <v>7657</v>
      </c>
      <c r="F2455" t="s">
        <v>7499</v>
      </c>
      <c r="G2455" t="s">
        <v>24</v>
      </c>
      <c r="H2455" s="75" t="str">
        <f>IFERROR(VLOOKUP(Table2[[#This Row],[Ticket]],Okey!A:B,2,0),"")</f>
        <v>ok</v>
      </c>
      <c r="I2455" t="s">
        <v>19</v>
      </c>
      <c r="J2455" t="str">
        <f>VLOOKUP(Table2[[#This Row],[Author]],People!A:B,2,0)</f>
        <v>LS</v>
      </c>
      <c r="L2455" s="40"/>
      <c r="M2455" s="40" t="s">
        <v>1040</v>
      </c>
    </row>
    <row r="2456" spans="1:13" x14ac:dyDescent="0.25">
      <c r="A2456" s="75">
        <f t="shared" si="38"/>
        <v>2455</v>
      </c>
      <c r="B2456" t="s">
        <v>4851</v>
      </c>
      <c r="C2456" t="s">
        <v>7622</v>
      </c>
      <c r="D2456" t="s">
        <v>7658</v>
      </c>
      <c r="F2456" t="s">
        <v>7499</v>
      </c>
      <c r="G2456" t="s">
        <v>24</v>
      </c>
      <c r="H2456" s="75" t="str">
        <f>IFERROR(VLOOKUP(Table2[[#This Row],[Ticket]],Okey!A:B,2,0),"")</f>
        <v>ok</v>
      </c>
      <c r="I2456" t="s">
        <v>19</v>
      </c>
      <c r="J2456" t="str">
        <f>VLOOKUP(Table2[[#This Row],[Author]],People!A:B,2,0)</f>
        <v>LS</v>
      </c>
      <c r="L2456" s="40"/>
      <c r="M2456" s="40" t="s">
        <v>1040</v>
      </c>
    </row>
    <row r="2457" spans="1:13" x14ac:dyDescent="0.25">
      <c r="A2457" s="75">
        <f t="shared" si="38"/>
        <v>2456</v>
      </c>
      <c r="B2457" t="s">
        <v>4851</v>
      </c>
      <c r="C2457" t="s">
        <v>7622</v>
      </c>
      <c r="D2457" t="s">
        <v>7659</v>
      </c>
      <c r="F2457" t="s">
        <v>7499</v>
      </c>
      <c r="G2457" t="s">
        <v>24</v>
      </c>
      <c r="H2457" s="75" t="str">
        <f>IFERROR(VLOOKUP(Table2[[#This Row],[Ticket]],Okey!A:B,2,0),"")</f>
        <v>ok</v>
      </c>
      <c r="I2457" t="s">
        <v>19</v>
      </c>
      <c r="J2457" t="str">
        <f>VLOOKUP(Table2[[#This Row],[Author]],People!A:B,2,0)</f>
        <v>LS</v>
      </c>
      <c r="L2457" s="40"/>
      <c r="M2457" s="40" t="s">
        <v>1040</v>
      </c>
    </row>
    <row r="2458" spans="1:13" x14ac:dyDescent="0.25">
      <c r="A2458" s="75">
        <f t="shared" si="38"/>
        <v>2457</v>
      </c>
      <c r="B2458" t="s">
        <v>4851</v>
      </c>
      <c r="C2458" t="s">
        <v>7622</v>
      </c>
      <c r="D2458" t="s">
        <v>7660</v>
      </c>
      <c r="F2458" t="s">
        <v>7499</v>
      </c>
      <c r="G2458" t="s">
        <v>24</v>
      </c>
      <c r="H2458" s="75" t="str">
        <f>IFERROR(VLOOKUP(Table2[[#This Row],[Ticket]],Okey!A:B,2,0),"")</f>
        <v>ok</v>
      </c>
      <c r="I2458" t="s">
        <v>19</v>
      </c>
      <c r="J2458" t="str">
        <f>VLOOKUP(Table2[[#This Row],[Author]],People!A:B,2,0)</f>
        <v>LS</v>
      </c>
      <c r="L2458" s="40"/>
      <c r="M2458" s="40" t="s">
        <v>1040</v>
      </c>
    </row>
    <row r="2459" spans="1:13" x14ac:dyDescent="0.25">
      <c r="A2459" s="75">
        <f t="shared" si="38"/>
        <v>2458</v>
      </c>
      <c r="B2459" t="s">
        <v>4851</v>
      </c>
      <c r="C2459" t="s">
        <v>7622</v>
      </c>
      <c r="D2459" t="s">
        <v>7661</v>
      </c>
      <c r="F2459" t="s">
        <v>7499</v>
      </c>
      <c r="G2459" t="s">
        <v>24</v>
      </c>
      <c r="H2459" s="75" t="str">
        <f>IFERROR(VLOOKUP(Table2[[#This Row],[Ticket]],Okey!A:B,2,0),"")</f>
        <v>ok</v>
      </c>
      <c r="I2459" t="s">
        <v>19</v>
      </c>
      <c r="J2459" t="str">
        <f>VLOOKUP(Table2[[#This Row],[Author]],People!A:B,2,0)</f>
        <v>LS</v>
      </c>
      <c r="L2459" s="40"/>
      <c r="M2459" s="40" t="s">
        <v>1040</v>
      </c>
    </row>
    <row r="2460" spans="1:13" x14ac:dyDescent="0.25">
      <c r="A2460" s="75">
        <f t="shared" si="38"/>
        <v>2459</v>
      </c>
      <c r="B2460" t="s">
        <v>4851</v>
      </c>
      <c r="C2460" t="s">
        <v>7622</v>
      </c>
      <c r="D2460" t="s">
        <v>5111</v>
      </c>
      <c r="F2460" t="s">
        <v>7426</v>
      </c>
      <c r="G2460" t="s">
        <v>24</v>
      </c>
      <c r="H2460" s="75" t="str">
        <f>IFERROR(VLOOKUP(Table2[[#This Row],[Ticket]],Okey!A:B,2,0),"")</f>
        <v>ok</v>
      </c>
      <c r="I2460" t="s">
        <v>19</v>
      </c>
      <c r="J2460" t="str">
        <f>VLOOKUP(Table2[[#This Row],[Author]],People!A:B,2,0)</f>
        <v>LS</v>
      </c>
      <c r="L2460" s="40"/>
      <c r="M2460" s="40" t="s">
        <v>1040</v>
      </c>
    </row>
    <row r="2461" spans="1:13" x14ac:dyDescent="0.25">
      <c r="A2461" s="75">
        <f t="shared" si="38"/>
        <v>2460</v>
      </c>
      <c r="B2461" t="s">
        <v>4851</v>
      </c>
      <c r="C2461" t="s">
        <v>7622</v>
      </c>
      <c r="D2461" t="s">
        <v>7662</v>
      </c>
      <c r="F2461" t="s">
        <v>7426</v>
      </c>
      <c r="G2461" t="s">
        <v>24</v>
      </c>
      <c r="H2461" s="75" t="str">
        <f>IFERROR(VLOOKUP(Table2[[#This Row],[Ticket]],Okey!A:B,2,0),"")</f>
        <v>ok</v>
      </c>
      <c r="I2461" t="s">
        <v>19</v>
      </c>
      <c r="J2461" t="str">
        <f>VLOOKUP(Table2[[#This Row],[Author]],People!A:B,2,0)</f>
        <v>LS</v>
      </c>
      <c r="L2461" s="40"/>
      <c r="M2461" s="40" t="s">
        <v>1040</v>
      </c>
    </row>
    <row r="2462" spans="1:13" x14ac:dyDescent="0.25">
      <c r="A2462" s="75">
        <f t="shared" si="38"/>
        <v>2461</v>
      </c>
      <c r="B2462" t="s">
        <v>4851</v>
      </c>
      <c r="C2462" t="s">
        <v>7622</v>
      </c>
      <c r="D2462" t="s">
        <v>7663</v>
      </c>
      <c r="F2462" t="s">
        <v>7429</v>
      </c>
      <c r="G2462" t="s">
        <v>24</v>
      </c>
      <c r="H2462" s="75" t="str">
        <f>IFERROR(VLOOKUP(Table2[[#This Row],[Ticket]],Okey!A:B,2,0),"")</f>
        <v>ok</v>
      </c>
      <c r="I2462" t="s">
        <v>19</v>
      </c>
      <c r="J2462" t="str">
        <f>VLOOKUP(Table2[[#This Row],[Author]],People!A:B,2,0)</f>
        <v>LS</v>
      </c>
      <c r="L2462" s="40"/>
      <c r="M2462" s="40" t="s">
        <v>1040</v>
      </c>
    </row>
    <row r="2463" spans="1:13" x14ac:dyDescent="0.25">
      <c r="A2463" s="75">
        <f t="shared" si="38"/>
        <v>2462</v>
      </c>
      <c r="B2463" t="s">
        <v>4851</v>
      </c>
      <c r="C2463" t="s">
        <v>7622</v>
      </c>
      <c r="D2463" t="s">
        <v>7664</v>
      </c>
      <c r="F2463" t="s">
        <v>7429</v>
      </c>
      <c r="G2463" t="s">
        <v>24</v>
      </c>
      <c r="H2463" s="75" t="str">
        <f>IFERROR(VLOOKUP(Table2[[#This Row],[Ticket]],Okey!A:B,2,0),"")</f>
        <v>ok</v>
      </c>
      <c r="I2463" t="s">
        <v>19</v>
      </c>
      <c r="J2463" t="str">
        <f>VLOOKUP(Table2[[#This Row],[Author]],People!A:B,2,0)</f>
        <v>LS</v>
      </c>
      <c r="L2463" s="40"/>
      <c r="M2463" s="40" t="s">
        <v>1040</v>
      </c>
    </row>
    <row r="2464" spans="1:13" x14ac:dyDescent="0.25">
      <c r="A2464" s="75">
        <f t="shared" si="38"/>
        <v>2463</v>
      </c>
      <c r="B2464" t="s">
        <v>4851</v>
      </c>
      <c r="C2464" t="s">
        <v>7622</v>
      </c>
      <c r="D2464" t="s">
        <v>7665</v>
      </c>
      <c r="F2464" t="s">
        <v>7429</v>
      </c>
      <c r="G2464" t="s">
        <v>24</v>
      </c>
      <c r="H2464" s="75" t="str">
        <f>IFERROR(VLOOKUP(Table2[[#This Row],[Ticket]],Okey!A:B,2,0),"")</f>
        <v>ok</v>
      </c>
      <c r="I2464" t="s">
        <v>19</v>
      </c>
      <c r="J2464" t="str">
        <f>VLOOKUP(Table2[[#This Row],[Author]],People!A:B,2,0)</f>
        <v>LS</v>
      </c>
      <c r="L2464" s="40"/>
      <c r="M2464" s="40" t="s">
        <v>1040</v>
      </c>
    </row>
    <row r="2465" spans="1:13" x14ac:dyDescent="0.25">
      <c r="A2465" s="75">
        <f t="shared" si="38"/>
        <v>2464</v>
      </c>
      <c r="B2465" t="s">
        <v>4851</v>
      </c>
      <c r="C2465" t="s">
        <v>7622</v>
      </c>
      <c r="D2465" t="s">
        <v>7666</v>
      </c>
      <c r="F2465" t="s">
        <v>7429</v>
      </c>
      <c r="G2465" t="s">
        <v>24</v>
      </c>
      <c r="H2465" s="75" t="str">
        <f>IFERROR(VLOOKUP(Table2[[#This Row],[Ticket]],Okey!A:B,2,0),"")</f>
        <v>ok</v>
      </c>
      <c r="I2465" t="s">
        <v>19</v>
      </c>
      <c r="J2465" t="str">
        <f>VLOOKUP(Table2[[#This Row],[Author]],People!A:B,2,0)</f>
        <v>LS</v>
      </c>
      <c r="L2465" s="40"/>
      <c r="M2465" s="40" t="s">
        <v>1040</v>
      </c>
    </row>
    <row r="2466" spans="1:13" x14ac:dyDescent="0.25">
      <c r="A2466" s="75">
        <f t="shared" si="38"/>
        <v>2465</v>
      </c>
      <c r="B2466" t="s">
        <v>4851</v>
      </c>
      <c r="C2466" t="s">
        <v>7622</v>
      </c>
      <c r="D2466" t="s">
        <v>7667</v>
      </c>
      <c r="F2466" t="s">
        <v>7429</v>
      </c>
      <c r="G2466" t="s">
        <v>24</v>
      </c>
      <c r="H2466" s="75" t="str">
        <f>IFERROR(VLOOKUP(Table2[[#This Row],[Ticket]],Okey!A:B,2,0),"")</f>
        <v>ok</v>
      </c>
      <c r="I2466" t="s">
        <v>19</v>
      </c>
      <c r="J2466" t="str">
        <f>VLOOKUP(Table2[[#This Row],[Author]],People!A:B,2,0)</f>
        <v>LS</v>
      </c>
      <c r="L2466" s="40"/>
      <c r="M2466" s="40" t="s">
        <v>1040</v>
      </c>
    </row>
    <row r="2467" spans="1:13" x14ac:dyDescent="0.25">
      <c r="A2467" s="75">
        <f t="shared" si="38"/>
        <v>2466</v>
      </c>
      <c r="B2467" t="s">
        <v>4851</v>
      </c>
      <c r="C2467" t="s">
        <v>7622</v>
      </c>
      <c r="D2467" t="s">
        <v>7668</v>
      </c>
      <c r="F2467" t="s">
        <v>7429</v>
      </c>
      <c r="G2467" t="s">
        <v>24</v>
      </c>
      <c r="H2467" s="75" t="str">
        <f>IFERROR(VLOOKUP(Table2[[#This Row],[Ticket]],Okey!A:B,2,0),"")</f>
        <v>ok</v>
      </c>
      <c r="I2467" t="s">
        <v>19</v>
      </c>
      <c r="J2467" t="str">
        <f>VLOOKUP(Table2[[#This Row],[Author]],People!A:B,2,0)</f>
        <v>LS</v>
      </c>
      <c r="L2467" s="40"/>
      <c r="M2467" s="40" t="s">
        <v>1040</v>
      </c>
    </row>
    <row r="2468" spans="1:13" x14ac:dyDescent="0.25">
      <c r="A2468" s="75">
        <f t="shared" si="38"/>
        <v>2467</v>
      </c>
      <c r="B2468" t="s">
        <v>4851</v>
      </c>
      <c r="C2468" t="s">
        <v>7622</v>
      </c>
      <c r="D2468" t="s">
        <v>7669</v>
      </c>
      <c r="F2468" t="s">
        <v>7429</v>
      </c>
      <c r="G2468" t="s">
        <v>24</v>
      </c>
      <c r="H2468" s="75" t="str">
        <f>IFERROR(VLOOKUP(Table2[[#This Row],[Ticket]],Okey!A:B,2,0),"")</f>
        <v>ok</v>
      </c>
      <c r="I2468" t="s">
        <v>19</v>
      </c>
      <c r="J2468" t="str">
        <f>VLOOKUP(Table2[[#This Row],[Author]],People!A:B,2,0)</f>
        <v>LS</v>
      </c>
      <c r="L2468" s="40"/>
      <c r="M2468" s="40" t="s">
        <v>1040</v>
      </c>
    </row>
    <row r="2469" spans="1:13" x14ac:dyDescent="0.25">
      <c r="A2469" s="75">
        <f t="shared" si="38"/>
        <v>2468</v>
      </c>
      <c r="B2469" t="s">
        <v>4851</v>
      </c>
      <c r="C2469" t="s">
        <v>7622</v>
      </c>
      <c r="D2469" t="s">
        <v>7670</v>
      </c>
      <c r="F2469" t="s">
        <v>7429</v>
      </c>
      <c r="G2469" t="s">
        <v>24</v>
      </c>
      <c r="H2469" s="75" t="str">
        <f>IFERROR(VLOOKUP(Table2[[#This Row],[Ticket]],Okey!A:B,2,0),"")</f>
        <v>ok</v>
      </c>
      <c r="I2469" t="s">
        <v>19</v>
      </c>
      <c r="J2469" t="str">
        <f>VLOOKUP(Table2[[#This Row],[Author]],People!A:B,2,0)</f>
        <v>LS</v>
      </c>
      <c r="L2469" s="40"/>
      <c r="M2469" s="40" t="s">
        <v>1040</v>
      </c>
    </row>
    <row r="2470" spans="1:13" x14ac:dyDescent="0.25">
      <c r="A2470" s="75">
        <f t="shared" si="38"/>
        <v>2469</v>
      </c>
      <c r="B2470" t="s">
        <v>4851</v>
      </c>
      <c r="C2470" t="s">
        <v>7622</v>
      </c>
      <c r="D2470" t="s">
        <v>7671</v>
      </c>
      <c r="F2470" t="s">
        <v>7428</v>
      </c>
      <c r="G2470" t="s">
        <v>24</v>
      </c>
      <c r="H2470" s="75" t="str">
        <f>IFERROR(VLOOKUP(Table2[[#This Row],[Ticket]],Okey!A:B,2,0),"")</f>
        <v>ok</v>
      </c>
      <c r="I2470" t="s">
        <v>19</v>
      </c>
      <c r="J2470" t="str">
        <f>VLOOKUP(Table2[[#This Row],[Author]],People!A:B,2,0)</f>
        <v>LS</v>
      </c>
      <c r="L2470" s="40"/>
      <c r="M2470" s="40" t="s">
        <v>1040</v>
      </c>
    </row>
    <row r="2471" spans="1:13" x14ac:dyDescent="0.25">
      <c r="A2471" s="75">
        <f t="shared" si="38"/>
        <v>2470</v>
      </c>
      <c r="B2471" t="s">
        <v>4851</v>
      </c>
      <c r="C2471" t="s">
        <v>7622</v>
      </c>
      <c r="D2471" t="s">
        <v>7672</v>
      </c>
      <c r="F2471" t="s">
        <v>7428</v>
      </c>
      <c r="G2471" t="s">
        <v>24</v>
      </c>
      <c r="H2471" s="75" t="str">
        <f>IFERROR(VLOOKUP(Table2[[#This Row],[Ticket]],Okey!A:B,2,0),"")</f>
        <v>ok</v>
      </c>
      <c r="I2471" t="s">
        <v>19</v>
      </c>
      <c r="J2471" t="str">
        <f>VLOOKUP(Table2[[#This Row],[Author]],People!A:B,2,0)</f>
        <v>LS</v>
      </c>
      <c r="L2471" s="40"/>
      <c r="M2471" s="40" t="s">
        <v>1040</v>
      </c>
    </row>
    <row r="2472" spans="1:13" x14ac:dyDescent="0.25">
      <c r="A2472" s="75">
        <f t="shared" si="38"/>
        <v>2471</v>
      </c>
      <c r="B2472" t="s">
        <v>4851</v>
      </c>
      <c r="C2472" t="s">
        <v>7622</v>
      </c>
      <c r="D2472" t="s">
        <v>7673</v>
      </c>
      <c r="F2472" t="s">
        <v>7428</v>
      </c>
      <c r="G2472" t="s">
        <v>24</v>
      </c>
      <c r="H2472" s="75" t="str">
        <f>IFERROR(VLOOKUP(Table2[[#This Row],[Ticket]],Okey!A:B,2,0),"")</f>
        <v>ok</v>
      </c>
      <c r="I2472" t="s">
        <v>19</v>
      </c>
      <c r="J2472" t="str">
        <f>VLOOKUP(Table2[[#This Row],[Author]],People!A:B,2,0)</f>
        <v>LS</v>
      </c>
      <c r="L2472" s="40"/>
      <c r="M2472" s="40" t="s">
        <v>1040</v>
      </c>
    </row>
    <row r="2473" spans="1:13" x14ac:dyDescent="0.25">
      <c r="A2473" s="75">
        <f t="shared" si="38"/>
        <v>2472</v>
      </c>
      <c r="B2473" t="s">
        <v>4851</v>
      </c>
      <c r="C2473" t="s">
        <v>7622</v>
      </c>
      <c r="D2473" t="s">
        <v>7674</v>
      </c>
      <c r="F2473" t="s">
        <v>7428</v>
      </c>
      <c r="G2473" t="s">
        <v>24</v>
      </c>
      <c r="H2473" s="75" t="str">
        <f>IFERROR(VLOOKUP(Table2[[#This Row],[Ticket]],Okey!A:B,2,0),"")</f>
        <v>ok</v>
      </c>
      <c r="I2473" t="s">
        <v>19</v>
      </c>
      <c r="J2473" t="str">
        <f>VLOOKUP(Table2[[#This Row],[Author]],People!A:B,2,0)</f>
        <v>LS</v>
      </c>
      <c r="L2473" s="40"/>
      <c r="M2473" s="40" t="s">
        <v>1040</v>
      </c>
    </row>
    <row r="2474" spans="1:13" x14ac:dyDescent="0.25">
      <c r="A2474" s="75">
        <f t="shared" si="38"/>
        <v>2473</v>
      </c>
      <c r="B2474" t="s">
        <v>4851</v>
      </c>
      <c r="C2474" t="s">
        <v>7622</v>
      </c>
      <c r="D2474" t="s">
        <v>7675</v>
      </c>
      <c r="F2474" t="s">
        <v>7428</v>
      </c>
      <c r="G2474" t="s">
        <v>24</v>
      </c>
      <c r="H2474" s="75" t="str">
        <f>IFERROR(VLOOKUP(Table2[[#This Row],[Ticket]],Okey!A:B,2,0),"")</f>
        <v>ok</v>
      </c>
      <c r="I2474" t="s">
        <v>19</v>
      </c>
      <c r="J2474" t="str">
        <f>VLOOKUP(Table2[[#This Row],[Author]],People!A:B,2,0)</f>
        <v>LS</v>
      </c>
      <c r="L2474" s="40"/>
      <c r="M2474" s="40" t="s">
        <v>1040</v>
      </c>
    </row>
    <row r="2475" spans="1:13" x14ac:dyDescent="0.25">
      <c r="A2475" s="75">
        <f t="shared" si="38"/>
        <v>2474</v>
      </c>
      <c r="B2475" t="s">
        <v>4851</v>
      </c>
      <c r="C2475" t="s">
        <v>7622</v>
      </c>
      <c r="D2475" t="s">
        <v>7676</v>
      </c>
      <c r="F2475" t="s">
        <v>7428</v>
      </c>
      <c r="G2475" t="s">
        <v>24</v>
      </c>
      <c r="H2475" s="75" t="str">
        <f>IFERROR(VLOOKUP(Table2[[#This Row],[Ticket]],Okey!A:B,2,0),"")</f>
        <v>ok</v>
      </c>
      <c r="I2475" t="s">
        <v>19</v>
      </c>
      <c r="J2475" t="str">
        <f>VLOOKUP(Table2[[#This Row],[Author]],People!A:B,2,0)</f>
        <v>LS</v>
      </c>
      <c r="L2475" s="40"/>
      <c r="M2475" s="40" t="s">
        <v>1040</v>
      </c>
    </row>
    <row r="2476" spans="1:13" x14ac:dyDescent="0.25">
      <c r="A2476" s="75">
        <f t="shared" si="38"/>
        <v>2475</v>
      </c>
      <c r="B2476" t="s">
        <v>4851</v>
      </c>
      <c r="C2476" t="s">
        <v>7622</v>
      </c>
      <c r="D2476" t="s">
        <v>7677</v>
      </c>
      <c r="F2476" t="s">
        <v>7428</v>
      </c>
      <c r="G2476" t="s">
        <v>24</v>
      </c>
      <c r="H2476" s="75" t="str">
        <f>IFERROR(VLOOKUP(Table2[[#This Row],[Ticket]],Okey!A:B,2,0),"")</f>
        <v>ok</v>
      </c>
      <c r="I2476" t="s">
        <v>19</v>
      </c>
      <c r="J2476" t="str">
        <f>VLOOKUP(Table2[[#This Row],[Author]],People!A:B,2,0)</f>
        <v>LS</v>
      </c>
      <c r="L2476" s="40"/>
      <c r="M2476" s="40" t="s">
        <v>1040</v>
      </c>
    </row>
    <row r="2477" spans="1:13" x14ac:dyDescent="0.25">
      <c r="A2477" s="75">
        <f t="shared" si="38"/>
        <v>2476</v>
      </c>
      <c r="B2477" t="s">
        <v>4851</v>
      </c>
      <c r="C2477" t="s">
        <v>7622</v>
      </c>
      <c r="D2477" t="s">
        <v>7678</v>
      </c>
      <c r="F2477" t="s">
        <v>7428</v>
      </c>
      <c r="G2477" t="s">
        <v>24</v>
      </c>
      <c r="H2477" s="75" t="str">
        <f>IFERROR(VLOOKUP(Table2[[#This Row],[Ticket]],Okey!A:B,2,0),"")</f>
        <v>ok</v>
      </c>
      <c r="I2477" t="s">
        <v>19</v>
      </c>
      <c r="J2477" t="str">
        <f>VLOOKUP(Table2[[#This Row],[Author]],People!A:B,2,0)</f>
        <v>LS</v>
      </c>
      <c r="L2477" s="40"/>
      <c r="M2477" s="40" t="s">
        <v>1040</v>
      </c>
    </row>
    <row r="2478" spans="1:13" x14ac:dyDescent="0.25">
      <c r="A2478" s="75">
        <f t="shared" si="38"/>
        <v>2477</v>
      </c>
      <c r="B2478" t="s">
        <v>4851</v>
      </c>
      <c r="C2478" t="s">
        <v>7622</v>
      </c>
      <c r="D2478" t="s">
        <v>7679</v>
      </c>
      <c r="F2478" t="s">
        <v>7428</v>
      </c>
      <c r="G2478" t="s">
        <v>24</v>
      </c>
      <c r="H2478" s="75" t="str">
        <f>IFERROR(VLOOKUP(Table2[[#This Row],[Ticket]],Okey!A:B,2,0),"")</f>
        <v>ok</v>
      </c>
      <c r="I2478" t="s">
        <v>19</v>
      </c>
      <c r="J2478" t="str">
        <f>VLOOKUP(Table2[[#This Row],[Author]],People!A:B,2,0)</f>
        <v>LS</v>
      </c>
      <c r="L2478" s="40"/>
      <c r="M2478" s="40" t="s">
        <v>1040</v>
      </c>
    </row>
    <row r="2479" spans="1:13" x14ac:dyDescent="0.25">
      <c r="A2479" s="75">
        <f t="shared" si="38"/>
        <v>2478</v>
      </c>
      <c r="B2479" t="s">
        <v>4851</v>
      </c>
      <c r="C2479" t="s">
        <v>7622</v>
      </c>
      <c r="D2479" t="s">
        <v>7680</v>
      </c>
      <c r="F2479" t="s">
        <v>7428</v>
      </c>
      <c r="G2479" t="s">
        <v>24</v>
      </c>
      <c r="H2479" s="75" t="str">
        <f>IFERROR(VLOOKUP(Table2[[#This Row],[Ticket]],Okey!A:B,2,0),"")</f>
        <v>ok</v>
      </c>
      <c r="I2479" t="s">
        <v>19</v>
      </c>
      <c r="J2479" t="str">
        <f>VLOOKUP(Table2[[#This Row],[Author]],People!A:B,2,0)</f>
        <v>LS</v>
      </c>
      <c r="L2479" s="40"/>
      <c r="M2479" s="40" t="s">
        <v>1040</v>
      </c>
    </row>
    <row r="2480" spans="1:13" x14ac:dyDescent="0.25">
      <c r="A2480" s="75">
        <f t="shared" si="38"/>
        <v>2479</v>
      </c>
      <c r="B2480" t="s">
        <v>4851</v>
      </c>
      <c r="C2480" t="s">
        <v>7622</v>
      </c>
      <c r="D2480" t="s">
        <v>7681</v>
      </c>
      <c r="F2480" t="s">
        <v>7428</v>
      </c>
      <c r="G2480" t="s">
        <v>24</v>
      </c>
      <c r="H2480" s="75" t="str">
        <f>IFERROR(VLOOKUP(Table2[[#This Row],[Ticket]],Okey!A:B,2,0),"")</f>
        <v>ok</v>
      </c>
      <c r="I2480" t="s">
        <v>19</v>
      </c>
      <c r="J2480" t="str">
        <f>VLOOKUP(Table2[[#This Row],[Author]],People!A:B,2,0)</f>
        <v>LS</v>
      </c>
      <c r="L2480" s="40"/>
      <c r="M2480" s="40" t="s">
        <v>1040</v>
      </c>
    </row>
    <row r="2481" spans="1:13" x14ac:dyDescent="0.25">
      <c r="A2481" s="75">
        <f t="shared" si="38"/>
        <v>2480</v>
      </c>
      <c r="B2481" t="s">
        <v>4851</v>
      </c>
      <c r="C2481" t="s">
        <v>7622</v>
      </c>
      <c r="D2481" t="s">
        <v>7682</v>
      </c>
      <c r="F2481" t="s">
        <v>7428</v>
      </c>
      <c r="G2481" t="s">
        <v>24</v>
      </c>
      <c r="H2481" s="75" t="str">
        <f>IFERROR(VLOOKUP(Table2[[#This Row],[Ticket]],Okey!A:B,2,0),"")</f>
        <v>ok</v>
      </c>
      <c r="I2481" t="s">
        <v>19</v>
      </c>
      <c r="J2481" t="str">
        <f>VLOOKUP(Table2[[#This Row],[Author]],People!A:B,2,0)</f>
        <v>LS</v>
      </c>
      <c r="L2481" s="40"/>
      <c r="M2481" s="40" t="s">
        <v>1040</v>
      </c>
    </row>
    <row r="2482" spans="1:13" x14ac:dyDescent="0.25">
      <c r="A2482" s="75">
        <f t="shared" si="38"/>
        <v>2481</v>
      </c>
      <c r="B2482" t="s">
        <v>4851</v>
      </c>
      <c r="C2482" t="s">
        <v>7622</v>
      </c>
      <c r="D2482" t="s">
        <v>7683</v>
      </c>
      <c r="F2482" t="s">
        <v>7427</v>
      </c>
      <c r="G2482" t="s">
        <v>24</v>
      </c>
      <c r="H2482" s="75" t="str">
        <f>IFERROR(VLOOKUP(Table2[[#This Row],[Ticket]],Okey!A:B,2,0),"")</f>
        <v>ok</v>
      </c>
      <c r="I2482" t="s">
        <v>19</v>
      </c>
      <c r="J2482" t="str">
        <f>VLOOKUP(Table2[[#This Row],[Author]],People!A:B,2,0)</f>
        <v>LS</v>
      </c>
      <c r="L2482" s="40"/>
      <c r="M2482" s="40" t="s">
        <v>1040</v>
      </c>
    </row>
    <row r="2483" spans="1:13" x14ac:dyDescent="0.25">
      <c r="A2483" s="75">
        <f t="shared" si="38"/>
        <v>2482</v>
      </c>
      <c r="B2483" t="s">
        <v>4851</v>
      </c>
      <c r="C2483" t="s">
        <v>7622</v>
      </c>
      <c r="D2483" t="s">
        <v>7684</v>
      </c>
      <c r="F2483" t="s">
        <v>7428</v>
      </c>
      <c r="G2483" t="s">
        <v>24</v>
      </c>
      <c r="H2483" s="75" t="str">
        <f>IFERROR(VLOOKUP(Table2[[#This Row],[Ticket]],Okey!A:B,2,0),"")</f>
        <v>ok</v>
      </c>
      <c r="I2483" t="s">
        <v>19</v>
      </c>
      <c r="J2483" t="str">
        <f>VLOOKUP(Table2[[#This Row],[Author]],People!A:B,2,0)</f>
        <v>LS</v>
      </c>
      <c r="L2483" s="40"/>
      <c r="M2483" s="40" t="s">
        <v>1040</v>
      </c>
    </row>
    <row r="2484" spans="1:13" x14ac:dyDescent="0.25">
      <c r="A2484" s="75">
        <f t="shared" si="38"/>
        <v>2483</v>
      </c>
      <c r="B2484" t="s">
        <v>4851</v>
      </c>
      <c r="C2484" t="s">
        <v>7622</v>
      </c>
      <c r="D2484" t="s">
        <v>7685</v>
      </c>
      <c r="F2484" t="s">
        <v>7428</v>
      </c>
      <c r="G2484" t="s">
        <v>24</v>
      </c>
      <c r="H2484" s="75" t="str">
        <f>IFERROR(VLOOKUP(Table2[[#This Row],[Ticket]],Okey!A:B,2,0),"")</f>
        <v>ok</v>
      </c>
      <c r="I2484" t="s">
        <v>19</v>
      </c>
      <c r="J2484" t="str">
        <f>VLOOKUP(Table2[[#This Row],[Author]],People!A:B,2,0)</f>
        <v>LS</v>
      </c>
      <c r="L2484" s="40"/>
      <c r="M2484" s="40" t="s">
        <v>1040</v>
      </c>
    </row>
    <row r="2485" spans="1:13" x14ac:dyDescent="0.25">
      <c r="A2485" s="75">
        <f t="shared" si="38"/>
        <v>2484</v>
      </c>
      <c r="B2485" t="s">
        <v>4851</v>
      </c>
      <c r="C2485" t="s">
        <v>7622</v>
      </c>
      <c r="D2485" t="s">
        <v>7686</v>
      </c>
      <c r="F2485" t="s">
        <v>7428</v>
      </c>
      <c r="G2485" t="s">
        <v>24</v>
      </c>
      <c r="H2485" s="75" t="str">
        <f>IFERROR(VLOOKUP(Table2[[#This Row],[Ticket]],Okey!A:B,2,0),"")</f>
        <v>ok</v>
      </c>
      <c r="I2485" t="s">
        <v>19</v>
      </c>
      <c r="J2485" t="str">
        <f>VLOOKUP(Table2[[#This Row],[Author]],People!A:B,2,0)</f>
        <v>LS</v>
      </c>
      <c r="L2485" s="40"/>
      <c r="M2485" s="40" t="s">
        <v>1040</v>
      </c>
    </row>
    <row r="2486" spans="1:13" x14ac:dyDescent="0.25">
      <c r="A2486" s="75">
        <f t="shared" si="38"/>
        <v>2485</v>
      </c>
      <c r="B2486" t="s">
        <v>4851</v>
      </c>
      <c r="C2486" t="s">
        <v>7622</v>
      </c>
      <c r="D2486" t="s">
        <v>7687</v>
      </c>
      <c r="F2486" t="s">
        <v>7428</v>
      </c>
      <c r="G2486" t="s">
        <v>24</v>
      </c>
      <c r="H2486" s="75" t="str">
        <f>IFERROR(VLOOKUP(Table2[[#This Row],[Ticket]],Okey!A:B,2,0),"")</f>
        <v>ok</v>
      </c>
      <c r="I2486" t="s">
        <v>19</v>
      </c>
      <c r="J2486" t="str">
        <f>VLOOKUP(Table2[[#This Row],[Author]],People!A:B,2,0)</f>
        <v>LS</v>
      </c>
      <c r="L2486" s="40"/>
      <c r="M2486" s="40" t="s">
        <v>1040</v>
      </c>
    </row>
    <row r="2487" spans="1:13" x14ac:dyDescent="0.25">
      <c r="A2487" s="75">
        <f t="shared" si="38"/>
        <v>2486</v>
      </c>
      <c r="B2487" t="s">
        <v>4851</v>
      </c>
      <c r="C2487" t="s">
        <v>7622</v>
      </c>
      <c r="D2487" t="s">
        <v>7688</v>
      </c>
      <c r="F2487" t="s">
        <v>7428</v>
      </c>
      <c r="G2487" t="s">
        <v>24</v>
      </c>
      <c r="H2487" s="75" t="str">
        <f>IFERROR(VLOOKUP(Table2[[#This Row],[Ticket]],Okey!A:B,2,0),"")</f>
        <v>ok</v>
      </c>
      <c r="I2487" t="s">
        <v>19</v>
      </c>
      <c r="J2487" t="str">
        <f>VLOOKUP(Table2[[#This Row],[Author]],People!A:B,2,0)</f>
        <v>LS</v>
      </c>
      <c r="L2487" s="40"/>
      <c r="M2487" s="40" t="s">
        <v>1040</v>
      </c>
    </row>
    <row r="2488" spans="1:13" x14ac:dyDescent="0.25">
      <c r="A2488" s="75">
        <f t="shared" si="38"/>
        <v>2487</v>
      </c>
      <c r="B2488" t="s">
        <v>4851</v>
      </c>
      <c r="C2488" t="s">
        <v>7622</v>
      </c>
      <c r="D2488" t="s">
        <v>7689</v>
      </c>
      <c r="F2488" t="s">
        <v>7428</v>
      </c>
      <c r="G2488" t="s">
        <v>24</v>
      </c>
      <c r="H2488" s="75" t="str">
        <f>IFERROR(VLOOKUP(Table2[[#This Row],[Ticket]],Okey!A:B,2,0),"")</f>
        <v>ok</v>
      </c>
      <c r="I2488" t="s">
        <v>19</v>
      </c>
      <c r="J2488" t="str">
        <f>VLOOKUP(Table2[[#This Row],[Author]],People!A:B,2,0)</f>
        <v>LS</v>
      </c>
      <c r="L2488" s="40"/>
      <c r="M2488" s="40" t="s">
        <v>1040</v>
      </c>
    </row>
    <row r="2489" spans="1:13" x14ac:dyDescent="0.25">
      <c r="A2489" s="75">
        <f t="shared" si="38"/>
        <v>2488</v>
      </c>
      <c r="B2489" t="s">
        <v>4851</v>
      </c>
      <c r="C2489" t="s">
        <v>7622</v>
      </c>
      <c r="D2489" t="s">
        <v>7690</v>
      </c>
      <c r="F2489" t="s">
        <v>7428</v>
      </c>
      <c r="G2489" t="s">
        <v>24</v>
      </c>
      <c r="H2489" s="75" t="str">
        <f>IFERROR(VLOOKUP(Table2[[#This Row],[Ticket]],Okey!A:B,2,0),"")</f>
        <v>ok</v>
      </c>
      <c r="I2489" t="s">
        <v>19</v>
      </c>
      <c r="J2489" t="str">
        <f>VLOOKUP(Table2[[#This Row],[Author]],People!A:B,2,0)</f>
        <v>LS</v>
      </c>
      <c r="L2489" s="40"/>
      <c r="M2489" s="40" t="s">
        <v>1040</v>
      </c>
    </row>
    <row r="2490" spans="1:13" x14ac:dyDescent="0.25">
      <c r="A2490" s="75">
        <f t="shared" si="38"/>
        <v>2489</v>
      </c>
      <c r="B2490" t="s">
        <v>4851</v>
      </c>
      <c r="C2490" t="s">
        <v>7622</v>
      </c>
      <c r="D2490" t="s">
        <v>7691</v>
      </c>
      <c r="F2490" t="s">
        <v>7428</v>
      </c>
      <c r="G2490" t="s">
        <v>24</v>
      </c>
      <c r="H2490" s="75" t="str">
        <f>IFERROR(VLOOKUP(Table2[[#This Row],[Ticket]],Okey!A:B,2,0),"")</f>
        <v>ok</v>
      </c>
      <c r="I2490" t="s">
        <v>19</v>
      </c>
      <c r="J2490" t="str">
        <f>VLOOKUP(Table2[[#This Row],[Author]],People!A:B,2,0)</f>
        <v>LS</v>
      </c>
      <c r="L2490" s="40"/>
      <c r="M2490" s="40" t="s">
        <v>1040</v>
      </c>
    </row>
    <row r="2491" spans="1:13" x14ac:dyDescent="0.25">
      <c r="A2491" s="75">
        <f t="shared" si="38"/>
        <v>2490</v>
      </c>
      <c r="B2491" t="s">
        <v>4851</v>
      </c>
      <c r="C2491" t="s">
        <v>7622</v>
      </c>
      <c r="D2491" t="s">
        <v>7692</v>
      </c>
      <c r="F2491" t="s">
        <v>7428</v>
      </c>
      <c r="G2491" t="s">
        <v>24</v>
      </c>
      <c r="H2491" s="75" t="str">
        <f>IFERROR(VLOOKUP(Table2[[#This Row],[Ticket]],Okey!A:B,2,0),"")</f>
        <v>ok</v>
      </c>
      <c r="I2491" t="s">
        <v>19</v>
      </c>
      <c r="J2491" t="str">
        <f>VLOOKUP(Table2[[#This Row],[Author]],People!A:B,2,0)</f>
        <v>LS</v>
      </c>
      <c r="L2491" s="40"/>
      <c r="M2491" s="40" t="s">
        <v>1040</v>
      </c>
    </row>
    <row r="2492" spans="1:13" x14ac:dyDescent="0.25">
      <c r="A2492" s="75">
        <f t="shared" si="38"/>
        <v>2491</v>
      </c>
      <c r="B2492" t="s">
        <v>4851</v>
      </c>
      <c r="C2492" t="s">
        <v>7622</v>
      </c>
      <c r="D2492" t="s">
        <v>7693</v>
      </c>
      <c r="F2492" t="s">
        <v>7428</v>
      </c>
      <c r="G2492" t="s">
        <v>24</v>
      </c>
      <c r="H2492" s="75" t="str">
        <f>IFERROR(VLOOKUP(Table2[[#This Row],[Ticket]],Okey!A:B,2,0),"")</f>
        <v>ok</v>
      </c>
      <c r="I2492" t="s">
        <v>19</v>
      </c>
      <c r="J2492" t="str">
        <f>VLOOKUP(Table2[[#This Row],[Author]],People!A:B,2,0)</f>
        <v>LS</v>
      </c>
      <c r="L2492" s="40"/>
      <c r="M2492" s="40" t="s">
        <v>1040</v>
      </c>
    </row>
    <row r="2493" spans="1:13" x14ac:dyDescent="0.25">
      <c r="A2493" s="75">
        <f t="shared" si="38"/>
        <v>2492</v>
      </c>
      <c r="B2493" t="s">
        <v>4851</v>
      </c>
      <c r="C2493" t="s">
        <v>7622</v>
      </c>
      <c r="D2493" t="s">
        <v>7694</v>
      </c>
      <c r="F2493" t="s">
        <v>7428</v>
      </c>
      <c r="G2493" t="s">
        <v>24</v>
      </c>
      <c r="H2493" s="75" t="str">
        <f>IFERROR(VLOOKUP(Table2[[#This Row],[Ticket]],Okey!A:B,2,0),"")</f>
        <v>ok</v>
      </c>
      <c r="I2493" t="s">
        <v>19</v>
      </c>
      <c r="J2493" t="str">
        <f>VLOOKUP(Table2[[#This Row],[Author]],People!A:B,2,0)</f>
        <v>LS</v>
      </c>
      <c r="L2493" s="40"/>
      <c r="M2493" s="40" t="s">
        <v>1040</v>
      </c>
    </row>
    <row r="2494" spans="1:13" x14ac:dyDescent="0.25">
      <c r="A2494" s="75">
        <f t="shared" si="38"/>
        <v>2493</v>
      </c>
      <c r="B2494" t="s">
        <v>4851</v>
      </c>
      <c r="C2494" t="s">
        <v>7622</v>
      </c>
      <c r="D2494" t="s">
        <v>7695</v>
      </c>
      <c r="F2494" t="s">
        <v>7428</v>
      </c>
      <c r="G2494" t="s">
        <v>24</v>
      </c>
      <c r="H2494" s="75" t="str">
        <f>IFERROR(VLOOKUP(Table2[[#This Row],[Ticket]],Okey!A:B,2,0),"")</f>
        <v>ok</v>
      </c>
      <c r="I2494" t="s">
        <v>19</v>
      </c>
      <c r="J2494" t="str">
        <f>VLOOKUP(Table2[[#This Row],[Author]],People!A:B,2,0)</f>
        <v>LS</v>
      </c>
      <c r="L2494" s="40"/>
      <c r="M2494" s="40" t="s">
        <v>1040</v>
      </c>
    </row>
    <row r="2495" spans="1:13" x14ac:dyDescent="0.25">
      <c r="A2495" s="75">
        <f t="shared" si="38"/>
        <v>2494</v>
      </c>
      <c r="B2495" t="s">
        <v>4851</v>
      </c>
      <c r="C2495" t="s">
        <v>7622</v>
      </c>
      <c r="D2495" t="s">
        <v>7343</v>
      </c>
      <c r="F2495" t="s">
        <v>7430</v>
      </c>
      <c r="G2495" t="s">
        <v>24</v>
      </c>
      <c r="H2495" s="75" t="str">
        <f>IFERROR(VLOOKUP(Table2[[#This Row],[Ticket]],Okey!A:B,2,0),"")</f>
        <v>ok</v>
      </c>
      <c r="I2495" t="s">
        <v>19</v>
      </c>
      <c r="J2495" t="str">
        <f>VLOOKUP(Table2[[#This Row],[Author]],People!A:B,2,0)</f>
        <v>LS</v>
      </c>
      <c r="L2495" s="40"/>
      <c r="M2495" s="40" t="s">
        <v>1040</v>
      </c>
    </row>
    <row r="2496" spans="1:13" x14ac:dyDescent="0.25">
      <c r="A2496" s="75">
        <f t="shared" si="38"/>
        <v>2495</v>
      </c>
      <c r="B2496" t="s">
        <v>4851</v>
      </c>
      <c r="C2496" t="s">
        <v>7622</v>
      </c>
      <c r="D2496" t="s">
        <v>7696</v>
      </c>
      <c r="F2496" t="s">
        <v>7431</v>
      </c>
      <c r="G2496" t="s">
        <v>24</v>
      </c>
      <c r="H2496" s="75" t="str">
        <f>IFERROR(VLOOKUP(Table2[[#This Row],[Ticket]],Okey!A:B,2,0),"")</f>
        <v>ok</v>
      </c>
      <c r="I2496" t="s">
        <v>19</v>
      </c>
      <c r="J2496" t="str">
        <f>VLOOKUP(Table2[[#This Row],[Author]],People!A:B,2,0)</f>
        <v>LS</v>
      </c>
      <c r="L2496" s="40"/>
      <c r="M2496" s="40" t="s">
        <v>1040</v>
      </c>
    </row>
    <row r="2497" spans="1:13" x14ac:dyDescent="0.25">
      <c r="A2497" s="75">
        <f t="shared" si="38"/>
        <v>2496</v>
      </c>
      <c r="B2497" t="s">
        <v>4851</v>
      </c>
      <c r="C2497" t="s">
        <v>7622</v>
      </c>
      <c r="D2497" t="s">
        <v>7697</v>
      </c>
      <c r="F2497" t="s">
        <v>7431</v>
      </c>
      <c r="G2497" t="s">
        <v>24</v>
      </c>
      <c r="H2497" s="75" t="str">
        <f>IFERROR(VLOOKUP(Table2[[#This Row],[Ticket]],Okey!A:B,2,0),"")</f>
        <v>ok</v>
      </c>
      <c r="I2497" t="s">
        <v>19</v>
      </c>
      <c r="J2497" t="str">
        <f>VLOOKUP(Table2[[#This Row],[Author]],People!A:B,2,0)</f>
        <v>LS</v>
      </c>
      <c r="L2497" s="40"/>
      <c r="M2497" s="40" t="s">
        <v>1040</v>
      </c>
    </row>
    <row r="2498" spans="1:13" x14ac:dyDescent="0.25">
      <c r="A2498" s="75">
        <f t="shared" si="38"/>
        <v>2497</v>
      </c>
      <c r="B2498" t="s">
        <v>4851</v>
      </c>
      <c r="C2498" t="s">
        <v>7622</v>
      </c>
      <c r="D2498" t="s">
        <v>7698</v>
      </c>
      <c r="F2498" t="s">
        <v>7425</v>
      </c>
      <c r="G2498" t="s">
        <v>24</v>
      </c>
      <c r="H2498" s="75" t="str">
        <f>IFERROR(VLOOKUP(Table2[[#This Row],[Ticket]],Okey!A:B,2,0),"")</f>
        <v>ok</v>
      </c>
      <c r="I2498" t="s">
        <v>19</v>
      </c>
      <c r="J2498" t="str">
        <f>VLOOKUP(Table2[[#This Row],[Author]],People!A:B,2,0)</f>
        <v>LS</v>
      </c>
      <c r="L2498" s="40"/>
      <c r="M2498" s="40" t="s">
        <v>1040</v>
      </c>
    </row>
    <row r="2499" spans="1:13" x14ac:dyDescent="0.25">
      <c r="A2499" s="75">
        <f t="shared" si="38"/>
        <v>2498</v>
      </c>
      <c r="B2499" t="s">
        <v>4851</v>
      </c>
      <c r="C2499" t="s">
        <v>7622</v>
      </c>
      <c r="D2499" t="s">
        <v>7346</v>
      </c>
      <c r="F2499" t="s">
        <v>7432</v>
      </c>
      <c r="G2499" t="s">
        <v>24</v>
      </c>
      <c r="H2499" s="75" t="str">
        <f>IFERROR(VLOOKUP(Table2[[#This Row],[Ticket]],Okey!A:B,2,0),"")</f>
        <v>ok</v>
      </c>
      <c r="I2499" t="s">
        <v>19</v>
      </c>
      <c r="J2499" t="str">
        <f>VLOOKUP(Table2[[#This Row],[Author]],People!A:B,2,0)</f>
        <v>LS</v>
      </c>
      <c r="L2499" s="40"/>
      <c r="M2499" s="40" t="s">
        <v>1040</v>
      </c>
    </row>
    <row r="2500" spans="1:13" x14ac:dyDescent="0.25">
      <c r="A2500" s="75">
        <f t="shared" si="38"/>
        <v>2499</v>
      </c>
      <c r="B2500" t="s">
        <v>4851</v>
      </c>
      <c r="C2500" t="s">
        <v>7622</v>
      </c>
      <c r="D2500" t="s">
        <v>7699</v>
      </c>
      <c r="F2500" t="s">
        <v>7430</v>
      </c>
      <c r="G2500" t="s">
        <v>24</v>
      </c>
      <c r="H2500" s="75" t="str">
        <f>IFERROR(VLOOKUP(Table2[[#This Row],[Ticket]],Okey!A:B,2,0),"")</f>
        <v>ok</v>
      </c>
      <c r="I2500" t="s">
        <v>19</v>
      </c>
      <c r="J2500" t="str">
        <f>VLOOKUP(Table2[[#This Row],[Author]],People!A:B,2,0)</f>
        <v>LS</v>
      </c>
      <c r="L2500" s="40"/>
      <c r="M2500" s="40" t="s">
        <v>1040</v>
      </c>
    </row>
    <row r="2501" spans="1:13" x14ac:dyDescent="0.25">
      <c r="A2501" s="75">
        <f t="shared" si="38"/>
        <v>2500</v>
      </c>
      <c r="B2501" t="s">
        <v>4851</v>
      </c>
      <c r="C2501" t="s">
        <v>7622</v>
      </c>
      <c r="D2501" t="s">
        <v>1067</v>
      </c>
      <c r="F2501" t="s">
        <v>7434</v>
      </c>
      <c r="G2501" t="s">
        <v>24</v>
      </c>
      <c r="H2501" s="75" t="str">
        <f>IFERROR(VLOOKUP(Table2[[#This Row],[Ticket]],Okey!A:B,2,0),"")</f>
        <v>ok</v>
      </c>
      <c r="I2501" t="s">
        <v>19</v>
      </c>
      <c r="J2501" t="str">
        <f>VLOOKUP(Table2[[#This Row],[Author]],People!A:B,2,0)</f>
        <v>LS</v>
      </c>
      <c r="L2501" s="40"/>
      <c r="M2501" s="40" t="s">
        <v>1040</v>
      </c>
    </row>
    <row r="2502" spans="1:13" x14ac:dyDescent="0.25">
      <c r="A2502" s="75">
        <f t="shared" si="38"/>
        <v>2501</v>
      </c>
      <c r="B2502" t="s">
        <v>4851</v>
      </c>
      <c r="C2502" t="s">
        <v>7622</v>
      </c>
      <c r="D2502" t="s">
        <v>7700</v>
      </c>
      <c r="F2502" t="s">
        <v>7435</v>
      </c>
      <c r="G2502" t="s">
        <v>24</v>
      </c>
      <c r="H2502" s="75" t="str">
        <f>IFERROR(VLOOKUP(Table2[[#This Row],[Ticket]],Okey!A:B,2,0),"")</f>
        <v>ok</v>
      </c>
      <c r="I2502" t="s">
        <v>19</v>
      </c>
      <c r="J2502" t="str">
        <f>VLOOKUP(Table2[[#This Row],[Author]],People!A:B,2,0)</f>
        <v>LS</v>
      </c>
      <c r="L2502" s="40"/>
      <c r="M2502" s="40" t="s">
        <v>1040</v>
      </c>
    </row>
    <row r="2503" spans="1:13" x14ac:dyDescent="0.25">
      <c r="A2503" s="75">
        <f t="shared" si="38"/>
        <v>2502</v>
      </c>
      <c r="B2503" t="s">
        <v>4851</v>
      </c>
      <c r="C2503" t="s">
        <v>7622</v>
      </c>
      <c r="D2503" t="s">
        <v>7701</v>
      </c>
      <c r="F2503" t="s">
        <v>7435</v>
      </c>
      <c r="G2503" t="s">
        <v>24</v>
      </c>
      <c r="H2503" s="75" t="str">
        <f>IFERROR(VLOOKUP(Table2[[#This Row],[Ticket]],Okey!A:B,2,0),"")</f>
        <v>ok</v>
      </c>
      <c r="I2503" t="s">
        <v>19</v>
      </c>
      <c r="J2503" t="str">
        <f>VLOOKUP(Table2[[#This Row],[Author]],People!A:B,2,0)</f>
        <v>LS</v>
      </c>
      <c r="L2503" s="40"/>
      <c r="M2503" s="40" t="s">
        <v>1040</v>
      </c>
    </row>
    <row r="2504" spans="1:13" x14ac:dyDescent="0.25">
      <c r="A2504" s="75">
        <f t="shared" si="38"/>
        <v>2503</v>
      </c>
      <c r="B2504" t="s">
        <v>4851</v>
      </c>
      <c r="C2504" t="s">
        <v>7622</v>
      </c>
      <c r="D2504" t="s">
        <v>6022</v>
      </c>
      <c r="F2504" t="s">
        <v>7434</v>
      </c>
      <c r="G2504" t="s">
        <v>24</v>
      </c>
      <c r="H2504" s="75" t="str">
        <f>IFERROR(VLOOKUP(Table2[[#This Row],[Ticket]],Okey!A:B,2,0),"")</f>
        <v>ok</v>
      </c>
      <c r="I2504" t="s">
        <v>19</v>
      </c>
      <c r="J2504" t="str">
        <f>VLOOKUP(Table2[[#This Row],[Author]],People!A:B,2,0)</f>
        <v>LS</v>
      </c>
      <c r="L2504" s="40"/>
      <c r="M2504" s="40" t="s">
        <v>1040</v>
      </c>
    </row>
    <row r="2505" spans="1:13" x14ac:dyDescent="0.25">
      <c r="A2505" s="75">
        <f t="shared" ref="A2505:A2568" si="39">1+A2504</f>
        <v>2504</v>
      </c>
      <c r="B2505" t="s">
        <v>4851</v>
      </c>
      <c r="C2505" t="s">
        <v>7622</v>
      </c>
      <c r="D2505" t="s">
        <v>7702</v>
      </c>
      <c r="F2505" t="s">
        <v>7504</v>
      </c>
      <c r="G2505" t="s">
        <v>24</v>
      </c>
      <c r="H2505" s="75" t="str">
        <f>IFERROR(VLOOKUP(Table2[[#This Row],[Ticket]],Okey!A:B,2,0),"")</f>
        <v>ok</v>
      </c>
      <c r="I2505" t="s">
        <v>19</v>
      </c>
      <c r="J2505" t="str">
        <f>VLOOKUP(Table2[[#This Row],[Author]],People!A:B,2,0)</f>
        <v>LS</v>
      </c>
      <c r="L2505" s="40"/>
      <c r="M2505" s="40" t="s">
        <v>1040</v>
      </c>
    </row>
    <row r="2506" spans="1:13" x14ac:dyDescent="0.25">
      <c r="A2506" s="75">
        <f t="shared" si="39"/>
        <v>2505</v>
      </c>
      <c r="B2506" t="s">
        <v>4851</v>
      </c>
      <c r="C2506" t="s">
        <v>7622</v>
      </c>
      <c r="D2506" t="s">
        <v>7703</v>
      </c>
      <c r="F2506" t="s">
        <v>7437</v>
      </c>
      <c r="G2506" t="s">
        <v>24</v>
      </c>
      <c r="H2506" s="75" t="str">
        <f>IFERROR(VLOOKUP(Table2[[#This Row],[Ticket]],Okey!A:B,2,0),"")</f>
        <v>ok</v>
      </c>
      <c r="I2506" t="s">
        <v>19</v>
      </c>
      <c r="J2506" t="str">
        <f>VLOOKUP(Table2[[#This Row],[Author]],People!A:B,2,0)</f>
        <v>LS</v>
      </c>
      <c r="L2506" s="40"/>
      <c r="M2506" s="40" t="s">
        <v>1040</v>
      </c>
    </row>
    <row r="2507" spans="1:13" x14ac:dyDescent="0.25">
      <c r="A2507" s="75">
        <f t="shared" si="39"/>
        <v>2506</v>
      </c>
      <c r="B2507" t="s">
        <v>4851</v>
      </c>
      <c r="C2507" t="s">
        <v>7622</v>
      </c>
      <c r="D2507" t="s">
        <v>7704</v>
      </c>
      <c r="F2507" t="s">
        <v>7437</v>
      </c>
      <c r="G2507" t="s">
        <v>24</v>
      </c>
      <c r="H2507" s="75" t="str">
        <f>IFERROR(VLOOKUP(Table2[[#This Row],[Ticket]],Okey!A:B,2,0),"")</f>
        <v>ok</v>
      </c>
      <c r="I2507" t="s">
        <v>19</v>
      </c>
      <c r="J2507" t="str">
        <f>VLOOKUP(Table2[[#This Row],[Author]],People!A:B,2,0)</f>
        <v>LS</v>
      </c>
      <c r="L2507" s="40"/>
      <c r="M2507" s="40" t="s">
        <v>1040</v>
      </c>
    </row>
    <row r="2508" spans="1:13" x14ac:dyDescent="0.25">
      <c r="A2508" s="75">
        <f t="shared" si="39"/>
        <v>2507</v>
      </c>
      <c r="B2508" t="s">
        <v>4851</v>
      </c>
      <c r="C2508" t="s">
        <v>7622</v>
      </c>
      <c r="D2508" t="s">
        <v>7705</v>
      </c>
      <c r="F2508" t="s">
        <v>7437</v>
      </c>
      <c r="G2508" t="s">
        <v>24</v>
      </c>
      <c r="H2508" s="75" t="str">
        <f>IFERROR(VLOOKUP(Table2[[#This Row],[Ticket]],Okey!A:B,2,0),"")</f>
        <v>ok</v>
      </c>
      <c r="I2508" t="s">
        <v>19</v>
      </c>
      <c r="J2508" t="str">
        <f>VLOOKUP(Table2[[#This Row],[Author]],People!A:B,2,0)</f>
        <v>LS</v>
      </c>
      <c r="L2508" s="40"/>
      <c r="M2508" s="40" t="s">
        <v>1040</v>
      </c>
    </row>
    <row r="2509" spans="1:13" x14ac:dyDescent="0.25">
      <c r="A2509" s="75">
        <f t="shared" si="39"/>
        <v>2508</v>
      </c>
      <c r="B2509" t="s">
        <v>4851</v>
      </c>
      <c r="C2509" t="s">
        <v>7622</v>
      </c>
      <c r="D2509" t="s">
        <v>7706</v>
      </c>
      <c r="F2509" t="s">
        <v>7437</v>
      </c>
      <c r="G2509" t="s">
        <v>24</v>
      </c>
      <c r="H2509" s="75" t="str">
        <f>IFERROR(VLOOKUP(Table2[[#This Row],[Ticket]],Okey!A:B,2,0),"")</f>
        <v>ok</v>
      </c>
      <c r="I2509" t="s">
        <v>19</v>
      </c>
      <c r="J2509" t="str">
        <f>VLOOKUP(Table2[[#This Row],[Author]],People!A:B,2,0)</f>
        <v>LS</v>
      </c>
      <c r="L2509" s="40"/>
      <c r="M2509" s="40" t="s">
        <v>1040</v>
      </c>
    </row>
    <row r="2510" spans="1:13" x14ac:dyDescent="0.25">
      <c r="A2510" s="75">
        <f t="shared" si="39"/>
        <v>2509</v>
      </c>
      <c r="B2510" t="s">
        <v>4851</v>
      </c>
      <c r="C2510" t="s">
        <v>7622</v>
      </c>
      <c r="D2510" t="s">
        <v>7707</v>
      </c>
      <c r="F2510" t="s">
        <v>7437</v>
      </c>
      <c r="G2510" t="s">
        <v>24</v>
      </c>
      <c r="H2510" s="75" t="str">
        <f>IFERROR(VLOOKUP(Table2[[#This Row],[Ticket]],Okey!A:B,2,0),"")</f>
        <v>ok</v>
      </c>
      <c r="I2510" t="s">
        <v>19</v>
      </c>
      <c r="J2510" t="str">
        <f>VLOOKUP(Table2[[#This Row],[Author]],People!A:B,2,0)</f>
        <v>LS</v>
      </c>
      <c r="L2510" s="40"/>
      <c r="M2510" s="40" t="s">
        <v>1040</v>
      </c>
    </row>
    <row r="2511" spans="1:13" x14ac:dyDescent="0.25">
      <c r="A2511" s="75">
        <f t="shared" si="39"/>
        <v>2510</v>
      </c>
      <c r="B2511" t="s">
        <v>4851</v>
      </c>
      <c r="C2511" t="s">
        <v>7622</v>
      </c>
      <c r="D2511" t="s">
        <v>7708</v>
      </c>
      <c r="F2511" t="s">
        <v>7437</v>
      </c>
      <c r="G2511" t="s">
        <v>24</v>
      </c>
      <c r="H2511" s="75" t="str">
        <f>IFERROR(VLOOKUP(Table2[[#This Row],[Ticket]],Okey!A:B,2,0),"")</f>
        <v>ok</v>
      </c>
      <c r="I2511" t="s">
        <v>19</v>
      </c>
      <c r="J2511" t="str">
        <f>VLOOKUP(Table2[[#This Row],[Author]],People!A:B,2,0)</f>
        <v>LS</v>
      </c>
      <c r="L2511" s="40"/>
      <c r="M2511" s="40" t="s">
        <v>1040</v>
      </c>
    </row>
    <row r="2512" spans="1:13" x14ac:dyDescent="0.25">
      <c r="A2512" s="75">
        <f t="shared" si="39"/>
        <v>2511</v>
      </c>
      <c r="B2512" t="s">
        <v>4851</v>
      </c>
      <c r="C2512" t="s">
        <v>7622</v>
      </c>
      <c r="D2512" t="s">
        <v>7709</v>
      </c>
      <c r="F2512" t="s">
        <v>7437</v>
      </c>
      <c r="G2512" t="s">
        <v>24</v>
      </c>
      <c r="H2512" s="75" t="str">
        <f>IFERROR(VLOOKUP(Table2[[#This Row],[Ticket]],Okey!A:B,2,0),"")</f>
        <v>ok</v>
      </c>
      <c r="I2512" t="s">
        <v>19</v>
      </c>
      <c r="J2512" t="str">
        <f>VLOOKUP(Table2[[#This Row],[Author]],People!A:B,2,0)</f>
        <v>LS</v>
      </c>
      <c r="L2512" s="40"/>
      <c r="M2512" s="40" t="s">
        <v>1040</v>
      </c>
    </row>
    <row r="2513" spans="1:13" x14ac:dyDescent="0.25">
      <c r="A2513" s="75">
        <f t="shared" si="39"/>
        <v>2512</v>
      </c>
      <c r="B2513" t="s">
        <v>4851</v>
      </c>
      <c r="C2513" t="s">
        <v>7622</v>
      </c>
      <c r="D2513" t="s">
        <v>7710</v>
      </c>
      <c r="F2513" t="s">
        <v>1746</v>
      </c>
      <c r="G2513" t="s">
        <v>24</v>
      </c>
      <c r="H2513" s="75" t="str">
        <f>IFERROR(VLOOKUP(Table2[[#This Row],[Ticket]],Okey!A:B,2,0),"")</f>
        <v>ok</v>
      </c>
      <c r="I2513" t="s">
        <v>19</v>
      </c>
      <c r="J2513" t="str">
        <f>VLOOKUP(Table2[[#This Row],[Author]],People!A:B,2,0)</f>
        <v>LS</v>
      </c>
      <c r="L2513" s="40"/>
      <c r="M2513" s="40" t="s">
        <v>1040</v>
      </c>
    </row>
    <row r="2514" spans="1:13" x14ac:dyDescent="0.25">
      <c r="A2514" s="75">
        <f t="shared" si="39"/>
        <v>2513</v>
      </c>
      <c r="B2514" t="s">
        <v>4851</v>
      </c>
      <c r="C2514" t="s">
        <v>7622</v>
      </c>
      <c r="D2514" t="s">
        <v>7711</v>
      </c>
      <c r="F2514" t="s">
        <v>7436</v>
      </c>
      <c r="G2514" t="s">
        <v>24</v>
      </c>
      <c r="H2514" s="75" t="str">
        <f>IFERROR(VLOOKUP(Table2[[#This Row],[Ticket]],Okey!A:B,2,0),"")</f>
        <v>ok</v>
      </c>
      <c r="I2514" t="s">
        <v>19</v>
      </c>
      <c r="J2514" t="str">
        <f>VLOOKUP(Table2[[#This Row],[Author]],People!A:B,2,0)</f>
        <v>LS</v>
      </c>
      <c r="L2514" s="40"/>
      <c r="M2514" s="40" t="s">
        <v>1040</v>
      </c>
    </row>
    <row r="2515" spans="1:13" x14ac:dyDescent="0.25">
      <c r="A2515" s="75">
        <f t="shared" si="39"/>
        <v>2514</v>
      </c>
      <c r="B2515" t="s">
        <v>4851</v>
      </c>
      <c r="C2515" t="s">
        <v>7622</v>
      </c>
      <c r="D2515" t="s">
        <v>7712</v>
      </c>
      <c r="F2515" t="s">
        <v>7801</v>
      </c>
      <c r="G2515" t="s">
        <v>24</v>
      </c>
      <c r="H2515" s="75" t="str">
        <f>IFERROR(VLOOKUP(Table2[[#This Row],[Ticket]],Okey!A:B,2,0),"")</f>
        <v>ok</v>
      </c>
      <c r="I2515" t="s">
        <v>19</v>
      </c>
      <c r="J2515" t="str">
        <f>VLOOKUP(Table2[[#This Row],[Author]],People!A:B,2,0)</f>
        <v>LS</v>
      </c>
      <c r="L2515" s="40"/>
      <c r="M2515" s="40" t="s">
        <v>1040</v>
      </c>
    </row>
    <row r="2516" spans="1:13" x14ac:dyDescent="0.25">
      <c r="A2516" s="75">
        <f t="shared" si="39"/>
        <v>2515</v>
      </c>
      <c r="B2516" t="s">
        <v>4851</v>
      </c>
      <c r="C2516" t="s">
        <v>7622</v>
      </c>
      <c r="D2516" t="s">
        <v>7713</v>
      </c>
      <c r="F2516" t="s">
        <v>7436</v>
      </c>
      <c r="G2516" t="s">
        <v>24</v>
      </c>
      <c r="H2516" s="75" t="str">
        <f>IFERROR(VLOOKUP(Table2[[#This Row],[Ticket]],Okey!A:B,2,0),"")</f>
        <v>ok</v>
      </c>
      <c r="I2516" t="s">
        <v>19</v>
      </c>
      <c r="J2516" t="str">
        <f>VLOOKUP(Table2[[#This Row],[Author]],People!A:B,2,0)</f>
        <v>LS</v>
      </c>
      <c r="L2516" s="40"/>
      <c r="M2516" s="40" t="s">
        <v>1040</v>
      </c>
    </row>
    <row r="2517" spans="1:13" x14ac:dyDescent="0.25">
      <c r="A2517" s="75">
        <f t="shared" si="39"/>
        <v>2516</v>
      </c>
      <c r="B2517" t="s">
        <v>4851</v>
      </c>
      <c r="C2517" t="s">
        <v>7622</v>
      </c>
      <c r="D2517" t="s">
        <v>7714</v>
      </c>
      <c r="F2517" t="s">
        <v>7801</v>
      </c>
      <c r="G2517" t="s">
        <v>24</v>
      </c>
      <c r="H2517" s="75" t="str">
        <f>IFERROR(VLOOKUP(Table2[[#This Row],[Ticket]],Okey!A:B,2,0),"")</f>
        <v>ok</v>
      </c>
      <c r="I2517" t="s">
        <v>19</v>
      </c>
      <c r="J2517" t="str">
        <f>VLOOKUP(Table2[[#This Row],[Author]],People!A:B,2,0)</f>
        <v>LS</v>
      </c>
      <c r="L2517" s="40"/>
      <c r="M2517" s="40" t="s">
        <v>1040</v>
      </c>
    </row>
    <row r="2518" spans="1:13" x14ac:dyDescent="0.25">
      <c r="A2518" s="75">
        <f t="shared" si="39"/>
        <v>2517</v>
      </c>
      <c r="B2518" t="s">
        <v>4851</v>
      </c>
      <c r="C2518" t="s">
        <v>7622</v>
      </c>
      <c r="D2518" t="s">
        <v>7715</v>
      </c>
      <c r="F2518" t="s">
        <v>7802</v>
      </c>
      <c r="G2518" t="s">
        <v>24</v>
      </c>
      <c r="H2518" s="75" t="str">
        <f>IFERROR(VLOOKUP(Table2[[#This Row],[Ticket]],Okey!A:B,2,0),"")</f>
        <v>ok</v>
      </c>
      <c r="I2518" t="s">
        <v>19</v>
      </c>
      <c r="J2518" t="str">
        <f>VLOOKUP(Table2[[#This Row],[Author]],People!A:B,2,0)</f>
        <v>LS</v>
      </c>
      <c r="L2518" s="40"/>
      <c r="M2518" s="40" t="s">
        <v>1040</v>
      </c>
    </row>
    <row r="2519" spans="1:13" x14ac:dyDescent="0.25">
      <c r="A2519" s="75">
        <f t="shared" si="39"/>
        <v>2518</v>
      </c>
      <c r="B2519" t="s">
        <v>4851</v>
      </c>
      <c r="C2519" t="s">
        <v>7622</v>
      </c>
      <c r="D2519" t="s">
        <v>7716</v>
      </c>
      <c r="F2519" t="s">
        <v>7802</v>
      </c>
      <c r="G2519" t="s">
        <v>24</v>
      </c>
      <c r="H2519" s="75" t="str">
        <f>IFERROR(VLOOKUP(Table2[[#This Row],[Ticket]],Okey!A:B,2,0),"")</f>
        <v>ok</v>
      </c>
      <c r="I2519" t="s">
        <v>19</v>
      </c>
      <c r="J2519" t="str">
        <f>VLOOKUP(Table2[[#This Row],[Author]],People!A:B,2,0)</f>
        <v>LS</v>
      </c>
      <c r="L2519" s="40"/>
      <c r="M2519" s="40" t="s">
        <v>1040</v>
      </c>
    </row>
    <row r="2520" spans="1:13" x14ac:dyDescent="0.25">
      <c r="A2520" s="75">
        <f t="shared" si="39"/>
        <v>2519</v>
      </c>
      <c r="B2520" t="s">
        <v>4851</v>
      </c>
      <c r="C2520" t="s">
        <v>7622</v>
      </c>
      <c r="D2520" t="s">
        <v>7717</v>
      </c>
      <c r="F2520" t="s">
        <v>7436</v>
      </c>
      <c r="G2520" t="s">
        <v>24</v>
      </c>
      <c r="H2520" s="75" t="str">
        <f>IFERROR(VLOOKUP(Table2[[#This Row],[Ticket]],Okey!A:B,2,0),"")</f>
        <v>ok</v>
      </c>
      <c r="I2520" t="s">
        <v>19</v>
      </c>
      <c r="J2520" t="str">
        <f>VLOOKUP(Table2[[#This Row],[Author]],People!A:B,2,0)</f>
        <v>LS</v>
      </c>
      <c r="L2520" s="40"/>
      <c r="M2520" s="40" t="s">
        <v>1040</v>
      </c>
    </row>
    <row r="2521" spans="1:13" x14ac:dyDescent="0.25">
      <c r="A2521" s="75">
        <f t="shared" si="39"/>
        <v>2520</v>
      </c>
      <c r="B2521" t="s">
        <v>4851</v>
      </c>
      <c r="C2521" t="s">
        <v>7622</v>
      </c>
      <c r="D2521" t="s">
        <v>7718</v>
      </c>
      <c r="F2521" t="s">
        <v>7803</v>
      </c>
      <c r="G2521" t="s">
        <v>24</v>
      </c>
      <c r="H2521" s="75" t="str">
        <f>IFERROR(VLOOKUP(Table2[[#This Row],[Ticket]],Okey!A:B,2,0),"")</f>
        <v>ok</v>
      </c>
      <c r="I2521" t="s">
        <v>19</v>
      </c>
      <c r="J2521" t="str">
        <f>VLOOKUP(Table2[[#This Row],[Author]],People!A:B,2,0)</f>
        <v>LS</v>
      </c>
      <c r="L2521" s="40"/>
      <c r="M2521" s="40" t="s">
        <v>1040</v>
      </c>
    </row>
    <row r="2522" spans="1:13" x14ac:dyDescent="0.25">
      <c r="A2522" s="75">
        <f t="shared" si="39"/>
        <v>2521</v>
      </c>
      <c r="B2522" t="s">
        <v>4851</v>
      </c>
      <c r="C2522" t="s">
        <v>7622</v>
      </c>
      <c r="D2522" t="s">
        <v>7719</v>
      </c>
      <c r="F2522" t="s">
        <v>7436</v>
      </c>
      <c r="G2522" t="s">
        <v>24</v>
      </c>
      <c r="H2522" s="75" t="str">
        <f>IFERROR(VLOOKUP(Table2[[#This Row],[Ticket]],Okey!A:B,2,0),"")</f>
        <v>ok</v>
      </c>
      <c r="I2522" t="s">
        <v>19</v>
      </c>
      <c r="J2522" t="str">
        <f>VLOOKUP(Table2[[#This Row],[Author]],People!A:B,2,0)</f>
        <v>LS</v>
      </c>
      <c r="L2522" s="40"/>
      <c r="M2522" s="40" t="s">
        <v>1040</v>
      </c>
    </row>
    <row r="2523" spans="1:13" x14ac:dyDescent="0.25">
      <c r="A2523" s="75">
        <f t="shared" si="39"/>
        <v>2522</v>
      </c>
      <c r="B2523" t="s">
        <v>4851</v>
      </c>
      <c r="C2523" t="s">
        <v>7622</v>
      </c>
      <c r="D2523" t="s">
        <v>7720</v>
      </c>
      <c r="F2523" t="s">
        <v>7803</v>
      </c>
      <c r="G2523" t="s">
        <v>24</v>
      </c>
      <c r="H2523" s="75" t="str">
        <f>IFERROR(VLOOKUP(Table2[[#This Row],[Ticket]],Okey!A:B,2,0),"")</f>
        <v>ok</v>
      </c>
      <c r="I2523" t="s">
        <v>19</v>
      </c>
      <c r="J2523" t="str">
        <f>VLOOKUP(Table2[[#This Row],[Author]],People!A:B,2,0)</f>
        <v>LS</v>
      </c>
      <c r="L2523" s="40"/>
      <c r="M2523" s="40" t="s">
        <v>1040</v>
      </c>
    </row>
    <row r="2524" spans="1:13" x14ac:dyDescent="0.25">
      <c r="A2524" s="75">
        <f t="shared" si="39"/>
        <v>2523</v>
      </c>
      <c r="B2524" t="s">
        <v>4851</v>
      </c>
      <c r="C2524" t="s">
        <v>7622</v>
      </c>
      <c r="D2524" t="s">
        <v>7721</v>
      </c>
      <c r="F2524" t="s">
        <v>7804</v>
      </c>
      <c r="G2524" t="s">
        <v>24</v>
      </c>
      <c r="H2524" s="75" t="str">
        <f>IFERROR(VLOOKUP(Table2[[#This Row],[Ticket]],Okey!A:B,2,0),"")</f>
        <v>ok</v>
      </c>
      <c r="I2524" t="s">
        <v>19</v>
      </c>
      <c r="J2524" t="str">
        <f>VLOOKUP(Table2[[#This Row],[Author]],People!A:B,2,0)</f>
        <v>LS</v>
      </c>
      <c r="L2524" s="40"/>
      <c r="M2524" s="40" t="s">
        <v>1040</v>
      </c>
    </row>
    <row r="2525" spans="1:13" x14ac:dyDescent="0.25">
      <c r="A2525" s="75">
        <f t="shared" si="39"/>
        <v>2524</v>
      </c>
      <c r="B2525" t="s">
        <v>4851</v>
      </c>
      <c r="C2525" t="s">
        <v>7622</v>
      </c>
      <c r="D2525" t="s">
        <v>7722</v>
      </c>
      <c r="F2525" t="s">
        <v>7804</v>
      </c>
      <c r="G2525" t="s">
        <v>24</v>
      </c>
      <c r="H2525" s="75" t="str">
        <f>IFERROR(VLOOKUP(Table2[[#This Row],[Ticket]],Okey!A:B,2,0),"")</f>
        <v>ok</v>
      </c>
      <c r="I2525" t="s">
        <v>19</v>
      </c>
      <c r="J2525" t="str">
        <f>VLOOKUP(Table2[[#This Row],[Author]],People!A:B,2,0)</f>
        <v>LS</v>
      </c>
      <c r="L2525" s="40"/>
      <c r="M2525" s="40" t="s">
        <v>1040</v>
      </c>
    </row>
    <row r="2526" spans="1:13" x14ac:dyDescent="0.25">
      <c r="A2526" s="75">
        <f t="shared" si="39"/>
        <v>2525</v>
      </c>
      <c r="B2526" t="s">
        <v>4851</v>
      </c>
      <c r="C2526" t="s">
        <v>7622</v>
      </c>
      <c r="D2526" t="s">
        <v>7723</v>
      </c>
      <c r="F2526" t="s">
        <v>7436</v>
      </c>
      <c r="G2526" t="s">
        <v>24</v>
      </c>
      <c r="H2526" s="75" t="str">
        <f>IFERROR(VLOOKUP(Table2[[#This Row],[Ticket]],Okey!A:B,2,0),"")</f>
        <v>ok</v>
      </c>
      <c r="I2526" t="s">
        <v>19</v>
      </c>
      <c r="J2526" t="str">
        <f>VLOOKUP(Table2[[#This Row],[Author]],People!A:B,2,0)</f>
        <v>LS</v>
      </c>
      <c r="L2526" s="40"/>
      <c r="M2526" s="40" t="s">
        <v>1040</v>
      </c>
    </row>
    <row r="2527" spans="1:13" x14ac:dyDescent="0.25">
      <c r="A2527" s="75">
        <f t="shared" si="39"/>
        <v>2526</v>
      </c>
      <c r="B2527" t="s">
        <v>4851</v>
      </c>
      <c r="C2527" t="s">
        <v>7622</v>
      </c>
      <c r="D2527" t="s">
        <v>1047</v>
      </c>
      <c r="F2527" t="s">
        <v>7351</v>
      </c>
      <c r="G2527" t="s">
        <v>24</v>
      </c>
      <c r="H2527" s="75" t="str">
        <f>IFERROR(VLOOKUP(Table2[[#This Row],[Ticket]],Okey!A:B,2,0),"")</f>
        <v>ok</v>
      </c>
      <c r="I2527" t="s">
        <v>19</v>
      </c>
      <c r="J2527" t="str">
        <f>VLOOKUP(Table2[[#This Row],[Author]],People!A:B,2,0)</f>
        <v>LS</v>
      </c>
      <c r="L2527" s="40"/>
      <c r="M2527" s="40" t="s">
        <v>1040</v>
      </c>
    </row>
    <row r="2528" spans="1:13" x14ac:dyDescent="0.25">
      <c r="A2528" s="75">
        <f t="shared" si="39"/>
        <v>2527</v>
      </c>
      <c r="B2528" t="s">
        <v>4851</v>
      </c>
      <c r="C2528" t="s">
        <v>7622</v>
      </c>
      <c r="D2528" t="s">
        <v>7724</v>
      </c>
      <c r="F2528" t="s">
        <v>7456</v>
      </c>
      <c r="G2528" t="s">
        <v>24</v>
      </c>
      <c r="H2528" s="75" t="str">
        <f>IFERROR(VLOOKUP(Table2[[#This Row],[Ticket]],Okey!A:B,2,0),"")</f>
        <v>ok</v>
      </c>
      <c r="I2528" t="s">
        <v>19</v>
      </c>
      <c r="J2528" t="str">
        <f>VLOOKUP(Table2[[#This Row],[Author]],People!A:B,2,0)</f>
        <v>LS</v>
      </c>
      <c r="L2528" s="40"/>
      <c r="M2528" s="40" t="s">
        <v>1040</v>
      </c>
    </row>
    <row r="2529" spans="1:13" x14ac:dyDescent="0.25">
      <c r="A2529" s="75">
        <f t="shared" si="39"/>
        <v>2528</v>
      </c>
      <c r="B2529" t="s">
        <v>4851</v>
      </c>
      <c r="C2529" t="s">
        <v>7622</v>
      </c>
      <c r="D2529" t="s">
        <v>7725</v>
      </c>
      <c r="F2529" t="s">
        <v>7456</v>
      </c>
      <c r="G2529" t="s">
        <v>24</v>
      </c>
      <c r="H2529" s="75" t="str">
        <f>IFERROR(VLOOKUP(Table2[[#This Row],[Ticket]],Okey!A:B,2,0),"")</f>
        <v>ok</v>
      </c>
      <c r="I2529" t="s">
        <v>19</v>
      </c>
      <c r="J2529" t="str">
        <f>VLOOKUP(Table2[[#This Row],[Author]],People!A:B,2,0)</f>
        <v>LS</v>
      </c>
      <c r="L2529" s="40"/>
      <c r="M2529" s="40" t="s">
        <v>1040</v>
      </c>
    </row>
    <row r="2530" spans="1:13" x14ac:dyDescent="0.25">
      <c r="A2530" s="75">
        <f t="shared" si="39"/>
        <v>2529</v>
      </c>
      <c r="B2530" t="s">
        <v>4851</v>
      </c>
      <c r="C2530" t="s">
        <v>7622</v>
      </c>
      <c r="D2530" t="s">
        <v>7726</v>
      </c>
      <c r="F2530" t="s">
        <v>7456</v>
      </c>
      <c r="G2530" t="s">
        <v>24</v>
      </c>
      <c r="H2530" s="75" t="str">
        <f>IFERROR(VLOOKUP(Table2[[#This Row],[Ticket]],Okey!A:B,2,0),"")</f>
        <v>ok</v>
      </c>
      <c r="I2530" t="s">
        <v>19</v>
      </c>
      <c r="J2530" t="str">
        <f>VLOOKUP(Table2[[#This Row],[Author]],People!A:B,2,0)</f>
        <v>LS</v>
      </c>
      <c r="L2530" s="40"/>
      <c r="M2530" s="40" t="s">
        <v>1040</v>
      </c>
    </row>
    <row r="2531" spans="1:13" x14ac:dyDescent="0.25">
      <c r="A2531" s="75">
        <f t="shared" si="39"/>
        <v>2530</v>
      </c>
      <c r="B2531" t="s">
        <v>4851</v>
      </c>
      <c r="C2531" t="s">
        <v>7622</v>
      </c>
      <c r="D2531" t="s">
        <v>7727</v>
      </c>
      <c r="F2531" t="s">
        <v>7456</v>
      </c>
      <c r="G2531" t="s">
        <v>24</v>
      </c>
      <c r="H2531" s="75" t="str">
        <f>IFERROR(VLOOKUP(Table2[[#This Row],[Ticket]],Okey!A:B,2,0),"")</f>
        <v>ok</v>
      </c>
      <c r="I2531" t="s">
        <v>19</v>
      </c>
      <c r="J2531" t="str">
        <f>VLOOKUP(Table2[[#This Row],[Author]],People!A:B,2,0)</f>
        <v>LS</v>
      </c>
      <c r="L2531" s="40"/>
      <c r="M2531" s="40" t="s">
        <v>1040</v>
      </c>
    </row>
    <row r="2532" spans="1:13" x14ac:dyDescent="0.25">
      <c r="A2532" s="75">
        <f t="shared" si="39"/>
        <v>2531</v>
      </c>
      <c r="B2532" t="s">
        <v>4851</v>
      </c>
      <c r="C2532" t="s">
        <v>7622</v>
      </c>
      <c r="D2532" t="s">
        <v>7728</v>
      </c>
      <c r="F2532" t="s">
        <v>7455</v>
      </c>
      <c r="G2532" t="s">
        <v>24</v>
      </c>
      <c r="H2532" s="75" t="str">
        <f>IFERROR(VLOOKUP(Table2[[#This Row],[Ticket]],Okey!A:B,2,0),"")</f>
        <v>ok</v>
      </c>
      <c r="I2532" t="s">
        <v>19</v>
      </c>
      <c r="J2532" t="str">
        <f>VLOOKUP(Table2[[#This Row],[Author]],People!A:B,2,0)</f>
        <v>LS</v>
      </c>
      <c r="L2532" s="40"/>
      <c r="M2532" s="40" t="s">
        <v>1040</v>
      </c>
    </row>
    <row r="2533" spans="1:13" x14ac:dyDescent="0.25">
      <c r="A2533" s="75">
        <f t="shared" si="39"/>
        <v>2532</v>
      </c>
      <c r="B2533" t="s">
        <v>4851</v>
      </c>
      <c r="C2533" t="s">
        <v>7622</v>
      </c>
      <c r="D2533" t="s">
        <v>7729</v>
      </c>
      <c r="F2533" t="s">
        <v>7455</v>
      </c>
      <c r="G2533" t="s">
        <v>24</v>
      </c>
      <c r="H2533" s="75" t="str">
        <f>IFERROR(VLOOKUP(Table2[[#This Row],[Ticket]],Okey!A:B,2,0),"")</f>
        <v>ok</v>
      </c>
      <c r="I2533" t="s">
        <v>19</v>
      </c>
      <c r="J2533" t="str">
        <f>VLOOKUP(Table2[[#This Row],[Author]],People!A:B,2,0)</f>
        <v>LS</v>
      </c>
      <c r="L2533" s="40"/>
      <c r="M2533" s="40" t="s">
        <v>1040</v>
      </c>
    </row>
    <row r="2534" spans="1:13" x14ac:dyDescent="0.25">
      <c r="A2534" s="75">
        <f t="shared" si="39"/>
        <v>2533</v>
      </c>
      <c r="B2534" t="s">
        <v>4851</v>
      </c>
      <c r="C2534" t="s">
        <v>7622</v>
      </c>
      <c r="D2534" t="s">
        <v>7730</v>
      </c>
      <c r="F2534" t="s">
        <v>7456</v>
      </c>
      <c r="G2534" t="s">
        <v>24</v>
      </c>
      <c r="H2534" s="75" t="str">
        <f>IFERROR(VLOOKUP(Table2[[#This Row],[Ticket]],Okey!A:B,2,0),"")</f>
        <v>ok</v>
      </c>
      <c r="I2534" t="s">
        <v>19</v>
      </c>
      <c r="J2534" t="str">
        <f>VLOOKUP(Table2[[#This Row],[Author]],People!A:B,2,0)</f>
        <v>LS</v>
      </c>
      <c r="L2534" s="40"/>
      <c r="M2534" s="40" t="s">
        <v>1040</v>
      </c>
    </row>
    <row r="2535" spans="1:13" x14ac:dyDescent="0.25">
      <c r="A2535" s="75">
        <f t="shared" si="39"/>
        <v>2534</v>
      </c>
      <c r="B2535" t="s">
        <v>4851</v>
      </c>
      <c r="C2535" t="s">
        <v>7622</v>
      </c>
      <c r="D2535" t="s">
        <v>7731</v>
      </c>
      <c r="F2535" t="s">
        <v>7456</v>
      </c>
      <c r="G2535" t="s">
        <v>24</v>
      </c>
      <c r="H2535" s="75" t="str">
        <f>IFERROR(VLOOKUP(Table2[[#This Row],[Ticket]],Okey!A:B,2,0),"")</f>
        <v>ok</v>
      </c>
      <c r="I2535" t="s">
        <v>19</v>
      </c>
      <c r="J2535" t="str">
        <f>VLOOKUP(Table2[[#This Row],[Author]],People!A:B,2,0)</f>
        <v>LS</v>
      </c>
      <c r="L2535" s="40"/>
      <c r="M2535" s="40" t="s">
        <v>1040</v>
      </c>
    </row>
    <row r="2536" spans="1:13" x14ac:dyDescent="0.25">
      <c r="A2536" s="75">
        <f t="shared" si="39"/>
        <v>2535</v>
      </c>
      <c r="B2536" t="s">
        <v>4851</v>
      </c>
      <c r="C2536" t="s">
        <v>7622</v>
      </c>
      <c r="D2536" t="s">
        <v>7732</v>
      </c>
      <c r="F2536" t="s">
        <v>7456</v>
      </c>
      <c r="G2536" t="s">
        <v>24</v>
      </c>
      <c r="H2536" s="75" t="str">
        <f>IFERROR(VLOOKUP(Table2[[#This Row],[Ticket]],Okey!A:B,2,0),"")</f>
        <v>ok</v>
      </c>
      <c r="I2536" t="s">
        <v>19</v>
      </c>
      <c r="J2536" t="str">
        <f>VLOOKUP(Table2[[#This Row],[Author]],People!A:B,2,0)</f>
        <v>LS</v>
      </c>
      <c r="L2536" s="40"/>
      <c r="M2536" s="40" t="s">
        <v>1040</v>
      </c>
    </row>
    <row r="2537" spans="1:13" x14ac:dyDescent="0.25">
      <c r="A2537" s="75">
        <f t="shared" si="39"/>
        <v>2536</v>
      </c>
      <c r="B2537" t="s">
        <v>4851</v>
      </c>
      <c r="C2537" t="s">
        <v>7622</v>
      </c>
      <c r="D2537" t="s">
        <v>7733</v>
      </c>
      <c r="F2537" t="s">
        <v>7456</v>
      </c>
      <c r="G2537" t="s">
        <v>24</v>
      </c>
      <c r="H2537" s="75" t="str">
        <f>IFERROR(VLOOKUP(Table2[[#This Row],[Ticket]],Okey!A:B,2,0),"")</f>
        <v>ok</v>
      </c>
      <c r="I2537" t="s">
        <v>19</v>
      </c>
      <c r="J2537" t="str">
        <f>VLOOKUP(Table2[[#This Row],[Author]],People!A:B,2,0)</f>
        <v>LS</v>
      </c>
      <c r="L2537" s="40"/>
      <c r="M2537" s="40" t="s">
        <v>1040</v>
      </c>
    </row>
    <row r="2538" spans="1:13" x14ac:dyDescent="0.25">
      <c r="A2538" s="75">
        <f t="shared" si="39"/>
        <v>2537</v>
      </c>
      <c r="B2538" t="s">
        <v>4851</v>
      </c>
      <c r="C2538" t="s">
        <v>7622</v>
      </c>
      <c r="D2538" t="s">
        <v>7734</v>
      </c>
      <c r="F2538" t="s">
        <v>7456</v>
      </c>
      <c r="G2538" t="s">
        <v>24</v>
      </c>
      <c r="H2538" s="75" t="str">
        <f>IFERROR(VLOOKUP(Table2[[#This Row],[Ticket]],Okey!A:B,2,0),"")</f>
        <v>ok</v>
      </c>
      <c r="I2538" t="s">
        <v>19</v>
      </c>
      <c r="J2538" t="str">
        <f>VLOOKUP(Table2[[#This Row],[Author]],People!A:B,2,0)</f>
        <v>LS</v>
      </c>
      <c r="L2538" s="40"/>
      <c r="M2538" s="40" t="s">
        <v>1040</v>
      </c>
    </row>
    <row r="2539" spans="1:13" x14ac:dyDescent="0.25">
      <c r="A2539" s="75">
        <f t="shared" si="39"/>
        <v>2538</v>
      </c>
      <c r="B2539" t="s">
        <v>4851</v>
      </c>
      <c r="C2539" t="s">
        <v>7622</v>
      </c>
      <c r="D2539" t="s">
        <v>7735</v>
      </c>
      <c r="F2539" t="s">
        <v>7456</v>
      </c>
      <c r="G2539" t="s">
        <v>24</v>
      </c>
      <c r="H2539" s="75" t="str">
        <f>IFERROR(VLOOKUP(Table2[[#This Row],[Ticket]],Okey!A:B,2,0),"")</f>
        <v>ok</v>
      </c>
      <c r="I2539" t="s">
        <v>19</v>
      </c>
      <c r="J2539" t="str">
        <f>VLOOKUP(Table2[[#This Row],[Author]],People!A:B,2,0)</f>
        <v>LS</v>
      </c>
      <c r="L2539" s="40"/>
      <c r="M2539" s="40" t="s">
        <v>1040</v>
      </c>
    </row>
    <row r="2540" spans="1:13" x14ac:dyDescent="0.25">
      <c r="A2540" s="75">
        <f t="shared" si="39"/>
        <v>2539</v>
      </c>
      <c r="B2540" t="s">
        <v>4851</v>
      </c>
      <c r="C2540" t="s">
        <v>7622</v>
      </c>
      <c r="D2540" t="s">
        <v>7736</v>
      </c>
      <c r="F2540" t="s">
        <v>7456</v>
      </c>
      <c r="G2540" t="s">
        <v>24</v>
      </c>
      <c r="H2540" s="75" t="str">
        <f>IFERROR(VLOOKUP(Table2[[#This Row],[Ticket]],Okey!A:B,2,0),"")</f>
        <v>ok</v>
      </c>
      <c r="I2540" t="s">
        <v>19</v>
      </c>
      <c r="J2540" t="str">
        <f>VLOOKUP(Table2[[#This Row],[Author]],People!A:B,2,0)</f>
        <v>LS</v>
      </c>
      <c r="L2540" s="40"/>
      <c r="M2540" s="40" t="s">
        <v>1040</v>
      </c>
    </row>
    <row r="2541" spans="1:13" x14ac:dyDescent="0.25">
      <c r="A2541" s="75">
        <f t="shared" si="39"/>
        <v>2540</v>
      </c>
      <c r="B2541" t="s">
        <v>4851</v>
      </c>
      <c r="C2541" t="s">
        <v>7622</v>
      </c>
      <c r="D2541" t="s">
        <v>7737</v>
      </c>
      <c r="F2541" t="s">
        <v>7456</v>
      </c>
      <c r="G2541" t="s">
        <v>24</v>
      </c>
      <c r="H2541" s="75" t="str">
        <f>IFERROR(VLOOKUP(Table2[[#This Row],[Ticket]],Okey!A:B,2,0),"")</f>
        <v>ok</v>
      </c>
      <c r="I2541" t="s">
        <v>19</v>
      </c>
      <c r="J2541" t="str">
        <f>VLOOKUP(Table2[[#This Row],[Author]],People!A:B,2,0)</f>
        <v>LS</v>
      </c>
      <c r="L2541" s="40"/>
      <c r="M2541" s="40" t="s">
        <v>1040</v>
      </c>
    </row>
    <row r="2542" spans="1:13" x14ac:dyDescent="0.25">
      <c r="A2542" s="75">
        <f t="shared" si="39"/>
        <v>2541</v>
      </c>
      <c r="B2542" t="s">
        <v>4851</v>
      </c>
      <c r="C2542" t="s">
        <v>7622</v>
      </c>
      <c r="D2542" t="s">
        <v>7738</v>
      </c>
      <c r="F2542" t="s">
        <v>7456</v>
      </c>
      <c r="G2542" t="s">
        <v>24</v>
      </c>
      <c r="H2542" s="75" t="str">
        <f>IFERROR(VLOOKUP(Table2[[#This Row],[Ticket]],Okey!A:B,2,0),"")</f>
        <v>ok</v>
      </c>
      <c r="I2542" t="s">
        <v>19</v>
      </c>
      <c r="J2542" t="str">
        <f>VLOOKUP(Table2[[#This Row],[Author]],People!A:B,2,0)</f>
        <v>LS</v>
      </c>
      <c r="L2542" s="40"/>
      <c r="M2542" s="40" t="s">
        <v>1040</v>
      </c>
    </row>
    <row r="2543" spans="1:13" x14ac:dyDescent="0.25">
      <c r="A2543" s="75">
        <f t="shared" si="39"/>
        <v>2542</v>
      </c>
      <c r="B2543" t="s">
        <v>4851</v>
      </c>
      <c r="C2543" t="s">
        <v>7622</v>
      </c>
      <c r="D2543" t="s">
        <v>7739</v>
      </c>
      <c r="F2543" t="s">
        <v>7456</v>
      </c>
      <c r="G2543" t="s">
        <v>24</v>
      </c>
      <c r="H2543" s="75" t="str">
        <f>IFERROR(VLOOKUP(Table2[[#This Row],[Ticket]],Okey!A:B,2,0),"")</f>
        <v>ok</v>
      </c>
      <c r="I2543" t="s">
        <v>19</v>
      </c>
      <c r="J2543" t="str">
        <f>VLOOKUP(Table2[[#This Row],[Author]],People!A:B,2,0)</f>
        <v>LS</v>
      </c>
      <c r="L2543" s="40"/>
      <c r="M2543" s="40" t="s">
        <v>1040</v>
      </c>
    </row>
    <row r="2544" spans="1:13" x14ac:dyDescent="0.25">
      <c r="A2544" s="75">
        <f t="shared" si="39"/>
        <v>2543</v>
      </c>
      <c r="B2544" t="s">
        <v>4851</v>
      </c>
      <c r="C2544" t="s">
        <v>7622</v>
      </c>
      <c r="D2544" t="s">
        <v>7740</v>
      </c>
      <c r="F2544" t="s">
        <v>7456</v>
      </c>
      <c r="G2544" t="s">
        <v>24</v>
      </c>
      <c r="H2544" s="75" t="str">
        <f>IFERROR(VLOOKUP(Table2[[#This Row],[Ticket]],Okey!A:B,2,0),"")</f>
        <v>ok</v>
      </c>
      <c r="I2544" t="s">
        <v>19</v>
      </c>
      <c r="J2544" t="str">
        <f>VLOOKUP(Table2[[#This Row],[Author]],People!A:B,2,0)</f>
        <v>LS</v>
      </c>
      <c r="L2544" s="40"/>
      <c r="M2544" s="40" t="s">
        <v>1040</v>
      </c>
    </row>
    <row r="2545" spans="1:13" x14ac:dyDescent="0.25">
      <c r="A2545" s="75">
        <f t="shared" si="39"/>
        <v>2544</v>
      </c>
      <c r="B2545" t="s">
        <v>4851</v>
      </c>
      <c r="C2545" t="s">
        <v>7622</v>
      </c>
      <c r="D2545" t="s">
        <v>7741</v>
      </c>
      <c r="F2545" t="s">
        <v>7456</v>
      </c>
      <c r="G2545" t="s">
        <v>24</v>
      </c>
      <c r="H2545" s="75" t="str">
        <f>IFERROR(VLOOKUP(Table2[[#This Row],[Ticket]],Okey!A:B,2,0),"")</f>
        <v>ok</v>
      </c>
      <c r="I2545" t="s">
        <v>19</v>
      </c>
      <c r="J2545" t="str">
        <f>VLOOKUP(Table2[[#This Row],[Author]],People!A:B,2,0)</f>
        <v>LS</v>
      </c>
      <c r="L2545" s="40"/>
      <c r="M2545" s="40" t="s">
        <v>1040</v>
      </c>
    </row>
    <row r="2546" spans="1:13" x14ac:dyDescent="0.25">
      <c r="A2546" s="75">
        <f t="shared" si="39"/>
        <v>2545</v>
      </c>
      <c r="B2546" t="s">
        <v>4851</v>
      </c>
      <c r="C2546" t="s">
        <v>7622</v>
      </c>
      <c r="D2546" t="s">
        <v>7742</v>
      </c>
      <c r="F2546" t="s">
        <v>7456</v>
      </c>
      <c r="G2546" t="s">
        <v>24</v>
      </c>
      <c r="H2546" s="75" t="str">
        <f>IFERROR(VLOOKUP(Table2[[#This Row],[Ticket]],Okey!A:B,2,0),"")</f>
        <v>ok</v>
      </c>
      <c r="I2546" t="s">
        <v>19</v>
      </c>
      <c r="J2546" t="str">
        <f>VLOOKUP(Table2[[#This Row],[Author]],People!A:B,2,0)</f>
        <v>LS</v>
      </c>
      <c r="L2546" s="40"/>
      <c r="M2546" s="40" t="s">
        <v>1040</v>
      </c>
    </row>
    <row r="2547" spans="1:13" x14ac:dyDescent="0.25">
      <c r="A2547" s="75">
        <f t="shared" si="39"/>
        <v>2546</v>
      </c>
      <c r="B2547" t="s">
        <v>4851</v>
      </c>
      <c r="C2547" t="s">
        <v>7622</v>
      </c>
      <c r="D2547" t="s">
        <v>7743</v>
      </c>
      <c r="F2547" t="s">
        <v>7456</v>
      </c>
      <c r="G2547" t="s">
        <v>24</v>
      </c>
      <c r="H2547" s="75" t="str">
        <f>IFERROR(VLOOKUP(Table2[[#This Row],[Ticket]],Okey!A:B,2,0),"")</f>
        <v>ok</v>
      </c>
      <c r="I2547" t="s">
        <v>19</v>
      </c>
      <c r="J2547" t="str">
        <f>VLOOKUP(Table2[[#This Row],[Author]],People!A:B,2,0)</f>
        <v>LS</v>
      </c>
      <c r="L2547" s="40"/>
      <c r="M2547" s="40" t="s">
        <v>1040</v>
      </c>
    </row>
    <row r="2548" spans="1:13" x14ac:dyDescent="0.25">
      <c r="A2548" s="75">
        <f t="shared" si="39"/>
        <v>2547</v>
      </c>
      <c r="B2548" t="s">
        <v>4851</v>
      </c>
      <c r="C2548" t="s">
        <v>7622</v>
      </c>
      <c r="D2548" t="s">
        <v>7744</v>
      </c>
      <c r="F2548" t="s">
        <v>7456</v>
      </c>
      <c r="G2548" t="s">
        <v>24</v>
      </c>
      <c r="H2548" s="75" t="str">
        <f>IFERROR(VLOOKUP(Table2[[#This Row],[Ticket]],Okey!A:B,2,0),"")</f>
        <v>ok</v>
      </c>
      <c r="I2548" t="s">
        <v>19</v>
      </c>
      <c r="J2548" t="str">
        <f>VLOOKUP(Table2[[#This Row],[Author]],People!A:B,2,0)</f>
        <v>LS</v>
      </c>
      <c r="L2548" s="40"/>
      <c r="M2548" s="40" t="s">
        <v>1040</v>
      </c>
    </row>
    <row r="2549" spans="1:13" x14ac:dyDescent="0.25">
      <c r="A2549" s="75">
        <f t="shared" si="39"/>
        <v>2548</v>
      </c>
      <c r="B2549" t="s">
        <v>4851</v>
      </c>
      <c r="C2549" t="s">
        <v>7622</v>
      </c>
      <c r="D2549" t="s">
        <v>7745</v>
      </c>
      <c r="F2549" t="s">
        <v>7456</v>
      </c>
      <c r="G2549" t="s">
        <v>24</v>
      </c>
      <c r="H2549" s="75" t="str">
        <f>IFERROR(VLOOKUP(Table2[[#This Row],[Ticket]],Okey!A:B,2,0),"")</f>
        <v>ok</v>
      </c>
      <c r="I2549" t="s">
        <v>19</v>
      </c>
      <c r="J2549" t="str">
        <f>VLOOKUP(Table2[[#This Row],[Author]],People!A:B,2,0)</f>
        <v>LS</v>
      </c>
      <c r="L2549" s="40"/>
      <c r="M2549" s="40" t="s">
        <v>1040</v>
      </c>
    </row>
    <row r="2550" spans="1:13" x14ac:dyDescent="0.25">
      <c r="A2550" s="75">
        <f t="shared" si="39"/>
        <v>2549</v>
      </c>
      <c r="B2550" t="s">
        <v>4851</v>
      </c>
      <c r="C2550" t="s">
        <v>7622</v>
      </c>
      <c r="D2550" t="s">
        <v>7746</v>
      </c>
      <c r="F2550" t="s">
        <v>7456</v>
      </c>
      <c r="G2550" t="s">
        <v>24</v>
      </c>
      <c r="H2550" s="75" t="str">
        <f>IFERROR(VLOOKUP(Table2[[#This Row],[Ticket]],Okey!A:B,2,0),"")</f>
        <v>ok</v>
      </c>
      <c r="I2550" t="s">
        <v>19</v>
      </c>
      <c r="J2550" t="str">
        <f>VLOOKUP(Table2[[#This Row],[Author]],People!A:B,2,0)</f>
        <v>LS</v>
      </c>
      <c r="L2550" s="40"/>
      <c r="M2550" s="40" t="s">
        <v>1040</v>
      </c>
    </row>
    <row r="2551" spans="1:13" x14ac:dyDescent="0.25">
      <c r="A2551" s="75">
        <f t="shared" si="39"/>
        <v>2550</v>
      </c>
      <c r="B2551" t="s">
        <v>4851</v>
      </c>
      <c r="C2551" t="s">
        <v>7622</v>
      </c>
      <c r="D2551" t="s">
        <v>7747</v>
      </c>
      <c r="F2551" t="s">
        <v>7456</v>
      </c>
      <c r="G2551" t="s">
        <v>24</v>
      </c>
      <c r="H2551" s="75" t="str">
        <f>IFERROR(VLOOKUP(Table2[[#This Row],[Ticket]],Okey!A:B,2,0),"")</f>
        <v>ok</v>
      </c>
      <c r="I2551" t="s">
        <v>19</v>
      </c>
      <c r="J2551" t="str">
        <f>VLOOKUP(Table2[[#This Row],[Author]],People!A:B,2,0)</f>
        <v>LS</v>
      </c>
      <c r="L2551" s="40"/>
      <c r="M2551" s="40" t="s">
        <v>1040</v>
      </c>
    </row>
    <row r="2552" spans="1:13" x14ac:dyDescent="0.25">
      <c r="A2552" s="75">
        <f t="shared" si="39"/>
        <v>2551</v>
      </c>
      <c r="B2552" t="s">
        <v>4851</v>
      </c>
      <c r="C2552" t="s">
        <v>7622</v>
      </c>
      <c r="D2552" t="s">
        <v>7748</v>
      </c>
      <c r="F2552" t="s">
        <v>7455</v>
      </c>
      <c r="G2552" t="s">
        <v>24</v>
      </c>
      <c r="H2552" s="75" t="str">
        <f>IFERROR(VLOOKUP(Table2[[#This Row],[Ticket]],Okey!A:B,2,0),"")</f>
        <v>ok</v>
      </c>
      <c r="I2552" t="s">
        <v>19</v>
      </c>
      <c r="J2552" t="str">
        <f>VLOOKUP(Table2[[#This Row],[Author]],People!A:B,2,0)</f>
        <v>LS</v>
      </c>
      <c r="L2552" s="40"/>
      <c r="M2552" s="40" t="s">
        <v>1040</v>
      </c>
    </row>
    <row r="2553" spans="1:13" x14ac:dyDescent="0.25">
      <c r="A2553" s="75">
        <f t="shared" si="39"/>
        <v>2552</v>
      </c>
      <c r="B2553" t="s">
        <v>4851</v>
      </c>
      <c r="C2553" t="s">
        <v>7622</v>
      </c>
      <c r="D2553" t="s">
        <v>7749</v>
      </c>
      <c r="F2553" t="s">
        <v>7456</v>
      </c>
      <c r="G2553" t="s">
        <v>24</v>
      </c>
      <c r="H2553" s="75" t="str">
        <f>IFERROR(VLOOKUP(Table2[[#This Row],[Ticket]],Okey!A:B,2,0),"")</f>
        <v>ok</v>
      </c>
      <c r="I2553" t="s">
        <v>19</v>
      </c>
      <c r="J2553" t="str">
        <f>VLOOKUP(Table2[[#This Row],[Author]],People!A:B,2,0)</f>
        <v>LS</v>
      </c>
      <c r="L2553" s="40"/>
      <c r="M2553" s="40" t="s">
        <v>1040</v>
      </c>
    </row>
    <row r="2554" spans="1:13" x14ac:dyDescent="0.25">
      <c r="A2554" s="75">
        <f t="shared" si="39"/>
        <v>2553</v>
      </c>
      <c r="B2554" t="s">
        <v>4851</v>
      </c>
      <c r="C2554" t="s">
        <v>7622</v>
      </c>
      <c r="D2554" t="s">
        <v>7750</v>
      </c>
      <c r="F2554" t="s">
        <v>7456</v>
      </c>
      <c r="G2554" t="s">
        <v>24</v>
      </c>
      <c r="H2554" s="75" t="str">
        <f>IFERROR(VLOOKUP(Table2[[#This Row],[Ticket]],Okey!A:B,2,0),"")</f>
        <v>ok</v>
      </c>
      <c r="I2554" t="s">
        <v>19</v>
      </c>
      <c r="J2554" t="str">
        <f>VLOOKUP(Table2[[#This Row],[Author]],People!A:B,2,0)</f>
        <v>LS</v>
      </c>
      <c r="L2554" s="40"/>
      <c r="M2554" s="40" t="s">
        <v>1040</v>
      </c>
    </row>
    <row r="2555" spans="1:13" x14ac:dyDescent="0.25">
      <c r="A2555" s="75">
        <f t="shared" si="39"/>
        <v>2554</v>
      </c>
      <c r="B2555" t="s">
        <v>4851</v>
      </c>
      <c r="C2555" t="s">
        <v>7622</v>
      </c>
      <c r="D2555" t="s">
        <v>7751</v>
      </c>
      <c r="F2555" t="s">
        <v>7456</v>
      </c>
      <c r="G2555" t="s">
        <v>24</v>
      </c>
      <c r="H2555" s="75" t="str">
        <f>IFERROR(VLOOKUP(Table2[[#This Row],[Ticket]],Okey!A:B,2,0),"")</f>
        <v>ok</v>
      </c>
      <c r="I2555" t="s">
        <v>19</v>
      </c>
      <c r="J2555" t="str">
        <f>VLOOKUP(Table2[[#This Row],[Author]],People!A:B,2,0)</f>
        <v>LS</v>
      </c>
      <c r="L2555" s="40"/>
      <c r="M2555" s="40" t="s">
        <v>1040</v>
      </c>
    </row>
    <row r="2556" spans="1:13" x14ac:dyDescent="0.25">
      <c r="A2556" s="75">
        <f t="shared" si="39"/>
        <v>2555</v>
      </c>
      <c r="B2556" t="s">
        <v>4851</v>
      </c>
      <c r="C2556" t="s">
        <v>7622</v>
      </c>
      <c r="D2556" t="s">
        <v>7752</v>
      </c>
      <c r="F2556" t="s">
        <v>7455</v>
      </c>
      <c r="G2556" t="s">
        <v>24</v>
      </c>
      <c r="H2556" s="75" t="str">
        <f>IFERROR(VLOOKUP(Table2[[#This Row],[Ticket]],Okey!A:B,2,0),"")</f>
        <v>ok</v>
      </c>
      <c r="I2556" t="s">
        <v>19</v>
      </c>
      <c r="J2556" t="str">
        <f>VLOOKUP(Table2[[#This Row],[Author]],People!A:B,2,0)</f>
        <v>LS</v>
      </c>
      <c r="L2556" s="40"/>
      <c r="M2556" s="40" t="s">
        <v>1040</v>
      </c>
    </row>
    <row r="2557" spans="1:13" x14ac:dyDescent="0.25">
      <c r="A2557" s="75">
        <f t="shared" si="39"/>
        <v>2556</v>
      </c>
      <c r="B2557" t="s">
        <v>4851</v>
      </c>
      <c r="C2557" t="s">
        <v>7622</v>
      </c>
      <c r="D2557" t="s">
        <v>7753</v>
      </c>
      <c r="F2557" t="s">
        <v>7456</v>
      </c>
      <c r="G2557" t="s">
        <v>24</v>
      </c>
      <c r="H2557" s="75" t="str">
        <f>IFERROR(VLOOKUP(Table2[[#This Row],[Ticket]],Okey!A:B,2,0),"")</f>
        <v>ok</v>
      </c>
      <c r="I2557" t="s">
        <v>19</v>
      </c>
      <c r="J2557" t="str">
        <f>VLOOKUP(Table2[[#This Row],[Author]],People!A:B,2,0)</f>
        <v>LS</v>
      </c>
      <c r="L2557" s="40"/>
      <c r="M2557" s="40" t="s">
        <v>1040</v>
      </c>
    </row>
    <row r="2558" spans="1:13" x14ac:dyDescent="0.25">
      <c r="A2558" s="75">
        <f t="shared" si="39"/>
        <v>2557</v>
      </c>
      <c r="B2558" t="s">
        <v>4851</v>
      </c>
      <c r="C2558" t="s">
        <v>7622</v>
      </c>
      <c r="D2558" t="s">
        <v>7754</v>
      </c>
      <c r="F2558" t="s">
        <v>7456</v>
      </c>
      <c r="G2558" t="s">
        <v>24</v>
      </c>
      <c r="H2558" s="75" t="str">
        <f>IFERROR(VLOOKUP(Table2[[#This Row],[Ticket]],Okey!A:B,2,0),"")</f>
        <v>ok</v>
      </c>
      <c r="I2558" t="s">
        <v>19</v>
      </c>
      <c r="J2558" t="str">
        <f>VLOOKUP(Table2[[#This Row],[Author]],People!A:B,2,0)</f>
        <v>LS</v>
      </c>
      <c r="L2558" s="40"/>
      <c r="M2558" s="40" t="s">
        <v>1040</v>
      </c>
    </row>
    <row r="2559" spans="1:13" x14ac:dyDescent="0.25">
      <c r="A2559" s="75">
        <f t="shared" si="39"/>
        <v>2558</v>
      </c>
      <c r="B2559" t="s">
        <v>4851</v>
      </c>
      <c r="C2559" t="s">
        <v>7622</v>
      </c>
      <c r="D2559" t="s">
        <v>7755</v>
      </c>
      <c r="F2559" t="s">
        <v>7456</v>
      </c>
      <c r="G2559" t="s">
        <v>24</v>
      </c>
      <c r="H2559" s="75" t="str">
        <f>IFERROR(VLOOKUP(Table2[[#This Row],[Ticket]],Okey!A:B,2,0),"")</f>
        <v>ok</v>
      </c>
      <c r="I2559" t="s">
        <v>19</v>
      </c>
      <c r="J2559" t="str">
        <f>VLOOKUP(Table2[[#This Row],[Author]],People!A:B,2,0)</f>
        <v>LS</v>
      </c>
      <c r="L2559" s="40"/>
      <c r="M2559" s="40" t="s">
        <v>1040</v>
      </c>
    </row>
    <row r="2560" spans="1:13" x14ac:dyDescent="0.25">
      <c r="A2560" s="75">
        <f t="shared" si="39"/>
        <v>2559</v>
      </c>
      <c r="B2560" t="s">
        <v>4851</v>
      </c>
      <c r="C2560" t="s">
        <v>7622</v>
      </c>
      <c r="D2560" t="s">
        <v>7756</v>
      </c>
      <c r="F2560" t="s">
        <v>7456</v>
      </c>
      <c r="G2560" t="s">
        <v>24</v>
      </c>
      <c r="H2560" s="75" t="str">
        <f>IFERROR(VLOOKUP(Table2[[#This Row],[Ticket]],Okey!A:B,2,0),"")</f>
        <v>ok</v>
      </c>
      <c r="I2560" t="s">
        <v>19</v>
      </c>
      <c r="J2560" t="str">
        <f>VLOOKUP(Table2[[#This Row],[Author]],People!A:B,2,0)</f>
        <v>LS</v>
      </c>
      <c r="L2560" s="40"/>
      <c r="M2560" s="40" t="s">
        <v>1040</v>
      </c>
    </row>
    <row r="2561" spans="1:13" x14ac:dyDescent="0.25">
      <c r="A2561" s="75">
        <f t="shared" si="39"/>
        <v>2560</v>
      </c>
      <c r="B2561" t="s">
        <v>4851</v>
      </c>
      <c r="C2561" t="s">
        <v>7622</v>
      </c>
      <c r="D2561" t="s">
        <v>7757</v>
      </c>
      <c r="F2561" t="s">
        <v>7456</v>
      </c>
      <c r="G2561" t="s">
        <v>24</v>
      </c>
      <c r="H2561" s="75" t="str">
        <f>IFERROR(VLOOKUP(Table2[[#This Row],[Ticket]],Okey!A:B,2,0),"")</f>
        <v>ok</v>
      </c>
      <c r="I2561" t="s">
        <v>19</v>
      </c>
      <c r="J2561" t="str">
        <f>VLOOKUP(Table2[[#This Row],[Author]],People!A:B,2,0)</f>
        <v>LS</v>
      </c>
      <c r="L2561" s="40"/>
      <c r="M2561" s="40" t="s">
        <v>1040</v>
      </c>
    </row>
    <row r="2562" spans="1:13" x14ac:dyDescent="0.25">
      <c r="A2562" s="75">
        <f t="shared" si="39"/>
        <v>2561</v>
      </c>
      <c r="B2562" t="s">
        <v>4851</v>
      </c>
      <c r="C2562" t="s">
        <v>7622</v>
      </c>
      <c r="D2562" t="s">
        <v>7758</v>
      </c>
      <c r="F2562" t="s">
        <v>7455</v>
      </c>
      <c r="G2562" t="s">
        <v>24</v>
      </c>
      <c r="H2562" s="75" t="str">
        <f>IFERROR(VLOOKUP(Table2[[#This Row],[Ticket]],Okey!A:B,2,0),"")</f>
        <v>ok</v>
      </c>
      <c r="I2562" t="s">
        <v>19</v>
      </c>
      <c r="J2562" t="str">
        <f>VLOOKUP(Table2[[#This Row],[Author]],People!A:B,2,0)</f>
        <v>LS</v>
      </c>
      <c r="L2562" s="40"/>
      <c r="M2562" s="40" t="s">
        <v>1040</v>
      </c>
    </row>
    <row r="2563" spans="1:13" x14ac:dyDescent="0.25">
      <c r="A2563" s="75">
        <f t="shared" si="39"/>
        <v>2562</v>
      </c>
      <c r="B2563" t="s">
        <v>4851</v>
      </c>
      <c r="C2563" t="s">
        <v>7622</v>
      </c>
      <c r="D2563" t="s">
        <v>7759</v>
      </c>
      <c r="F2563" t="s">
        <v>7455</v>
      </c>
      <c r="G2563" t="s">
        <v>24</v>
      </c>
      <c r="H2563" s="75" t="str">
        <f>IFERROR(VLOOKUP(Table2[[#This Row],[Ticket]],Okey!A:B,2,0),"")</f>
        <v>ok</v>
      </c>
      <c r="I2563" t="s">
        <v>19</v>
      </c>
      <c r="J2563" t="str">
        <f>VLOOKUP(Table2[[#This Row],[Author]],People!A:B,2,0)</f>
        <v>LS</v>
      </c>
      <c r="L2563" s="40"/>
      <c r="M2563" s="40" t="s">
        <v>1040</v>
      </c>
    </row>
    <row r="2564" spans="1:13" x14ac:dyDescent="0.25">
      <c r="A2564" s="75">
        <f t="shared" si="39"/>
        <v>2563</v>
      </c>
      <c r="B2564" t="s">
        <v>4851</v>
      </c>
      <c r="C2564" t="s">
        <v>7622</v>
      </c>
      <c r="D2564" t="s">
        <v>7760</v>
      </c>
      <c r="F2564" t="s">
        <v>7455</v>
      </c>
      <c r="G2564" t="s">
        <v>24</v>
      </c>
      <c r="H2564" s="75" t="str">
        <f>IFERROR(VLOOKUP(Table2[[#This Row],[Ticket]],Okey!A:B,2,0),"")</f>
        <v>ok</v>
      </c>
      <c r="I2564" t="s">
        <v>19</v>
      </c>
      <c r="J2564" t="str">
        <f>VLOOKUP(Table2[[#This Row],[Author]],People!A:B,2,0)</f>
        <v>LS</v>
      </c>
      <c r="L2564" s="40"/>
      <c r="M2564" s="40" t="s">
        <v>1040</v>
      </c>
    </row>
    <row r="2565" spans="1:13" x14ac:dyDescent="0.25">
      <c r="A2565" s="75">
        <f t="shared" si="39"/>
        <v>2564</v>
      </c>
      <c r="B2565" t="s">
        <v>4851</v>
      </c>
      <c r="C2565" t="s">
        <v>7622</v>
      </c>
      <c r="D2565" t="s">
        <v>7761</v>
      </c>
      <c r="F2565" t="s">
        <v>7455</v>
      </c>
      <c r="G2565" t="s">
        <v>24</v>
      </c>
      <c r="H2565" s="75" t="str">
        <f>IFERROR(VLOOKUP(Table2[[#This Row],[Ticket]],Okey!A:B,2,0),"")</f>
        <v>ok</v>
      </c>
      <c r="I2565" t="s">
        <v>19</v>
      </c>
      <c r="J2565" t="str">
        <f>VLOOKUP(Table2[[#This Row],[Author]],People!A:B,2,0)</f>
        <v>LS</v>
      </c>
      <c r="L2565" s="40"/>
      <c r="M2565" s="40" t="s">
        <v>1040</v>
      </c>
    </row>
    <row r="2566" spans="1:13" x14ac:dyDescent="0.25">
      <c r="A2566" s="75">
        <f t="shared" si="39"/>
        <v>2565</v>
      </c>
      <c r="B2566" t="s">
        <v>4851</v>
      </c>
      <c r="C2566" t="s">
        <v>7622</v>
      </c>
      <c r="D2566" t="s">
        <v>7762</v>
      </c>
      <c r="F2566" t="s">
        <v>7455</v>
      </c>
      <c r="G2566" t="s">
        <v>24</v>
      </c>
      <c r="H2566" s="75" t="str">
        <f>IFERROR(VLOOKUP(Table2[[#This Row],[Ticket]],Okey!A:B,2,0),"")</f>
        <v>ok</v>
      </c>
      <c r="I2566" t="s">
        <v>19</v>
      </c>
      <c r="J2566" t="str">
        <f>VLOOKUP(Table2[[#This Row],[Author]],People!A:B,2,0)</f>
        <v>LS</v>
      </c>
      <c r="L2566" s="40"/>
      <c r="M2566" s="40" t="s">
        <v>1040</v>
      </c>
    </row>
    <row r="2567" spans="1:13" x14ac:dyDescent="0.25">
      <c r="A2567" s="75">
        <f t="shared" si="39"/>
        <v>2566</v>
      </c>
      <c r="B2567" t="s">
        <v>4851</v>
      </c>
      <c r="C2567" t="s">
        <v>7622</v>
      </c>
      <c r="D2567" t="s">
        <v>7763</v>
      </c>
      <c r="F2567" t="s">
        <v>7455</v>
      </c>
      <c r="G2567" t="s">
        <v>24</v>
      </c>
      <c r="H2567" s="75" t="str">
        <f>IFERROR(VLOOKUP(Table2[[#This Row],[Ticket]],Okey!A:B,2,0),"")</f>
        <v>ok</v>
      </c>
      <c r="I2567" t="s">
        <v>19</v>
      </c>
      <c r="J2567" t="str">
        <f>VLOOKUP(Table2[[#This Row],[Author]],People!A:B,2,0)</f>
        <v>LS</v>
      </c>
      <c r="L2567" s="40"/>
      <c r="M2567" s="40" t="s">
        <v>1040</v>
      </c>
    </row>
    <row r="2568" spans="1:13" x14ac:dyDescent="0.25">
      <c r="A2568" s="75">
        <f t="shared" si="39"/>
        <v>2567</v>
      </c>
      <c r="B2568" t="s">
        <v>4851</v>
      </c>
      <c r="C2568" t="s">
        <v>7622</v>
      </c>
      <c r="D2568" t="s">
        <v>7764</v>
      </c>
      <c r="F2568" t="s">
        <v>7455</v>
      </c>
      <c r="G2568" t="s">
        <v>24</v>
      </c>
      <c r="H2568" s="75" t="str">
        <f>IFERROR(VLOOKUP(Table2[[#This Row],[Ticket]],Okey!A:B,2,0),"")</f>
        <v>ok</v>
      </c>
      <c r="I2568" t="s">
        <v>19</v>
      </c>
      <c r="J2568" t="str">
        <f>VLOOKUP(Table2[[#This Row],[Author]],People!A:B,2,0)</f>
        <v>LS</v>
      </c>
      <c r="L2568" s="40"/>
      <c r="M2568" s="40" t="s">
        <v>1040</v>
      </c>
    </row>
    <row r="2569" spans="1:13" x14ac:dyDescent="0.25">
      <c r="A2569" s="75">
        <f t="shared" ref="A2569:A2632" si="40">1+A2568</f>
        <v>2568</v>
      </c>
      <c r="B2569" t="s">
        <v>4851</v>
      </c>
      <c r="C2569" t="s">
        <v>7622</v>
      </c>
      <c r="D2569" t="s">
        <v>7765</v>
      </c>
      <c r="F2569" t="s">
        <v>7455</v>
      </c>
      <c r="G2569" t="s">
        <v>24</v>
      </c>
      <c r="H2569" s="75" t="str">
        <f>IFERROR(VLOOKUP(Table2[[#This Row],[Ticket]],Okey!A:B,2,0),"")</f>
        <v>ok</v>
      </c>
      <c r="I2569" t="s">
        <v>19</v>
      </c>
      <c r="J2569" t="str">
        <f>VLOOKUP(Table2[[#This Row],[Author]],People!A:B,2,0)</f>
        <v>LS</v>
      </c>
      <c r="L2569" s="40"/>
      <c r="M2569" s="40" t="s">
        <v>1040</v>
      </c>
    </row>
    <row r="2570" spans="1:13" x14ac:dyDescent="0.25">
      <c r="A2570" s="75">
        <f t="shared" si="40"/>
        <v>2569</v>
      </c>
      <c r="B2570" t="s">
        <v>4851</v>
      </c>
      <c r="C2570" t="s">
        <v>7622</v>
      </c>
      <c r="D2570" t="s">
        <v>7766</v>
      </c>
      <c r="F2570" t="s">
        <v>7455</v>
      </c>
      <c r="G2570" t="s">
        <v>24</v>
      </c>
      <c r="H2570" s="75" t="str">
        <f>IFERROR(VLOOKUP(Table2[[#This Row],[Ticket]],Okey!A:B,2,0),"")</f>
        <v>ok</v>
      </c>
      <c r="I2570" t="s">
        <v>19</v>
      </c>
      <c r="J2570" t="str">
        <f>VLOOKUP(Table2[[#This Row],[Author]],People!A:B,2,0)</f>
        <v>LS</v>
      </c>
      <c r="L2570" s="40"/>
      <c r="M2570" s="40" t="s">
        <v>1040</v>
      </c>
    </row>
    <row r="2571" spans="1:13" x14ac:dyDescent="0.25">
      <c r="A2571" s="75">
        <f t="shared" si="40"/>
        <v>2570</v>
      </c>
      <c r="B2571" t="s">
        <v>4851</v>
      </c>
      <c r="C2571" t="s">
        <v>7622</v>
      </c>
      <c r="D2571" t="s">
        <v>5188</v>
      </c>
      <c r="F2571" t="s">
        <v>7456</v>
      </c>
      <c r="G2571" t="s">
        <v>24</v>
      </c>
      <c r="H2571" s="75" t="str">
        <f>IFERROR(VLOOKUP(Table2[[#This Row],[Ticket]],Okey!A:B,2,0),"")</f>
        <v>ok</v>
      </c>
      <c r="I2571" t="s">
        <v>19</v>
      </c>
      <c r="J2571" t="str">
        <f>VLOOKUP(Table2[[#This Row],[Author]],People!A:B,2,0)</f>
        <v>LS</v>
      </c>
      <c r="L2571" s="40"/>
      <c r="M2571" s="40" t="s">
        <v>1040</v>
      </c>
    </row>
    <row r="2572" spans="1:13" x14ac:dyDescent="0.25">
      <c r="A2572" s="75">
        <f t="shared" si="40"/>
        <v>2571</v>
      </c>
      <c r="B2572" t="s">
        <v>4851</v>
      </c>
      <c r="C2572" t="s">
        <v>7622</v>
      </c>
      <c r="D2572" t="s">
        <v>5187</v>
      </c>
      <c r="F2572" t="s">
        <v>7456</v>
      </c>
      <c r="G2572" t="s">
        <v>24</v>
      </c>
      <c r="H2572" s="75" t="str">
        <f>IFERROR(VLOOKUP(Table2[[#This Row],[Ticket]],Okey!A:B,2,0),"")</f>
        <v>ok</v>
      </c>
      <c r="I2572" t="s">
        <v>19</v>
      </c>
      <c r="J2572" t="str">
        <f>VLOOKUP(Table2[[#This Row],[Author]],People!A:B,2,0)</f>
        <v>LS</v>
      </c>
      <c r="L2572" s="40"/>
      <c r="M2572" s="40" t="s">
        <v>1040</v>
      </c>
    </row>
    <row r="2573" spans="1:13" x14ac:dyDescent="0.25">
      <c r="A2573" s="75">
        <f t="shared" si="40"/>
        <v>2572</v>
      </c>
      <c r="B2573" t="s">
        <v>4851</v>
      </c>
      <c r="C2573" t="s">
        <v>7622</v>
      </c>
      <c r="D2573" t="s">
        <v>7767</v>
      </c>
      <c r="F2573" t="s">
        <v>7455</v>
      </c>
      <c r="G2573" t="s">
        <v>24</v>
      </c>
      <c r="H2573" s="75" t="str">
        <f>IFERROR(VLOOKUP(Table2[[#This Row],[Ticket]],Okey!A:B,2,0),"")</f>
        <v>ok</v>
      </c>
      <c r="I2573" t="s">
        <v>19</v>
      </c>
      <c r="J2573" t="str">
        <f>VLOOKUP(Table2[[#This Row],[Author]],People!A:B,2,0)</f>
        <v>LS</v>
      </c>
      <c r="L2573" s="40"/>
      <c r="M2573" s="40" t="s">
        <v>1040</v>
      </c>
    </row>
    <row r="2574" spans="1:13" x14ac:dyDescent="0.25">
      <c r="A2574" s="75">
        <f t="shared" si="40"/>
        <v>2573</v>
      </c>
      <c r="B2574" t="s">
        <v>4851</v>
      </c>
      <c r="C2574" t="s">
        <v>7622</v>
      </c>
      <c r="D2574" t="s">
        <v>7768</v>
      </c>
      <c r="F2574" t="s">
        <v>7455</v>
      </c>
      <c r="G2574" t="s">
        <v>24</v>
      </c>
      <c r="H2574" s="75" t="str">
        <f>IFERROR(VLOOKUP(Table2[[#This Row],[Ticket]],Okey!A:B,2,0),"")</f>
        <v>ok</v>
      </c>
      <c r="I2574" t="s">
        <v>19</v>
      </c>
      <c r="J2574" t="str">
        <f>VLOOKUP(Table2[[#This Row],[Author]],People!A:B,2,0)</f>
        <v>LS</v>
      </c>
      <c r="L2574" s="40"/>
      <c r="M2574" s="40" t="s">
        <v>1040</v>
      </c>
    </row>
    <row r="2575" spans="1:13" x14ac:dyDescent="0.25">
      <c r="A2575" s="75">
        <f t="shared" si="40"/>
        <v>2574</v>
      </c>
      <c r="B2575" t="s">
        <v>4851</v>
      </c>
      <c r="C2575" t="s">
        <v>7622</v>
      </c>
      <c r="D2575" t="s">
        <v>7769</v>
      </c>
      <c r="F2575" t="s">
        <v>7456</v>
      </c>
      <c r="G2575" t="s">
        <v>24</v>
      </c>
      <c r="H2575" s="75" t="str">
        <f>IFERROR(VLOOKUP(Table2[[#This Row],[Ticket]],Okey!A:B,2,0),"")</f>
        <v>ok</v>
      </c>
      <c r="I2575" t="s">
        <v>19</v>
      </c>
      <c r="J2575" t="str">
        <f>VLOOKUP(Table2[[#This Row],[Author]],People!A:B,2,0)</f>
        <v>LS</v>
      </c>
      <c r="L2575" s="40"/>
      <c r="M2575" s="40" t="s">
        <v>1040</v>
      </c>
    </row>
    <row r="2576" spans="1:13" x14ac:dyDescent="0.25">
      <c r="A2576" s="75">
        <f t="shared" si="40"/>
        <v>2575</v>
      </c>
      <c r="B2576" t="s">
        <v>4851</v>
      </c>
      <c r="C2576" t="s">
        <v>7622</v>
      </c>
      <c r="D2576" t="s">
        <v>7770</v>
      </c>
      <c r="F2576" t="s">
        <v>7456</v>
      </c>
      <c r="G2576" t="s">
        <v>24</v>
      </c>
      <c r="H2576" s="75" t="str">
        <f>IFERROR(VLOOKUP(Table2[[#This Row],[Ticket]],Okey!A:B,2,0),"")</f>
        <v>ok</v>
      </c>
      <c r="I2576" t="s">
        <v>19</v>
      </c>
      <c r="J2576" t="str">
        <f>VLOOKUP(Table2[[#This Row],[Author]],People!A:B,2,0)</f>
        <v>LS</v>
      </c>
      <c r="L2576" s="40"/>
      <c r="M2576" s="40" t="s">
        <v>1040</v>
      </c>
    </row>
    <row r="2577" spans="1:13" x14ac:dyDescent="0.25">
      <c r="A2577" s="75">
        <f t="shared" si="40"/>
        <v>2576</v>
      </c>
      <c r="B2577" t="s">
        <v>4851</v>
      </c>
      <c r="C2577" t="s">
        <v>7622</v>
      </c>
      <c r="D2577" t="s">
        <v>7771</v>
      </c>
      <c r="F2577" t="s">
        <v>7456</v>
      </c>
      <c r="G2577" t="s">
        <v>24</v>
      </c>
      <c r="H2577" s="75" t="str">
        <f>IFERROR(VLOOKUP(Table2[[#This Row],[Ticket]],Okey!A:B,2,0),"")</f>
        <v>ok</v>
      </c>
      <c r="I2577" t="s">
        <v>19</v>
      </c>
      <c r="J2577" t="str">
        <f>VLOOKUP(Table2[[#This Row],[Author]],People!A:B,2,0)</f>
        <v>LS</v>
      </c>
      <c r="L2577" s="40"/>
      <c r="M2577" s="40" t="s">
        <v>1040</v>
      </c>
    </row>
    <row r="2578" spans="1:13" x14ac:dyDescent="0.25">
      <c r="A2578" s="75">
        <f t="shared" si="40"/>
        <v>2577</v>
      </c>
      <c r="B2578" t="s">
        <v>4851</v>
      </c>
      <c r="C2578" t="s">
        <v>7622</v>
      </c>
      <c r="D2578" t="s">
        <v>7772</v>
      </c>
      <c r="F2578" t="s">
        <v>7456</v>
      </c>
      <c r="G2578" t="s">
        <v>24</v>
      </c>
      <c r="H2578" s="75" t="str">
        <f>IFERROR(VLOOKUP(Table2[[#This Row],[Ticket]],Okey!A:B,2,0),"")</f>
        <v>ok</v>
      </c>
      <c r="I2578" t="s">
        <v>19</v>
      </c>
      <c r="J2578" t="str">
        <f>VLOOKUP(Table2[[#This Row],[Author]],People!A:B,2,0)</f>
        <v>LS</v>
      </c>
      <c r="L2578" s="40"/>
      <c r="M2578" s="40" t="s">
        <v>1040</v>
      </c>
    </row>
    <row r="2579" spans="1:13" x14ac:dyDescent="0.25">
      <c r="A2579" s="75">
        <f t="shared" si="40"/>
        <v>2578</v>
      </c>
      <c r="B2579" t="s">
        <v>4851</v>
      </c>
      <c r="C2579" t="s">
        <v>7622</v>
      </c>
      <c r="D2579" t="s">
        <v>7773</v>
      </c>
      <c r="F2579" t="s">
        <v>7458</v>
      </c>
      <c r="G2579" t="s">
        <v>24</v>
      </c>
      <c r="H2579" s="75" t="str">
        <f>IFERROR(VLOOKUP(Table2[[#This Row],[Ticket]],Okey!A:B,2,0),"")</f>
        <v>ok</v>
      </c>
      <c r="I2579" t="s">
        <v>19</v>
      </c>
      <c r="J2579" t="str">
        <f>VLOOKUP(Table2[[#This Row],[Author]],People!A:B,2,0)</f>
        <v>LS</v>
      </c>
      <c r="L2579" s="40"/>
      <c r="M2579" s="40" t="s">
        <v>1040</v>
      </c>
    </row>
    <row r="2580" spans="1:13" x14ac:dyDescent="0.25">
      <c r="A2580" s="75">
        <f t="shared" si="40"/>
        <v>2579</v>
      </c>
      <c r="B2580" t="s">
        <v>4851</v>
      </c>
      <c r="C2580" t="s">
        <v>7622</v>
      </c>
      <c r="D2580" t="s">
        <v>7774</v>
      </c>
      <c r="F2580" t="s">
        <v>7458</v>
      </c>
      <c r="G2580" t="s">
        <v>24</v>
      </c>
      <c r="H2580" s="75" t="str">
        <f>IFERROR(VLOOKUP(Table2[[#This Row],[Ticket]],Okey!A:B,2,0),"")</f>
        <v>ok</v>
      </c>
      <c r="I2580" t="s">
        <v>19</v>
      </c>
      <c r="J2580" t="str">
        <f>VLOOKUP(Table2[[#This Row],[Author]],People!A:B,2,0)</f>
        <v>LS</v>
      </c>
      <c r="L2580" s="40"/>
      <c r="M2580" s="40" t="s">
        <v>1040</v>
      </c>
    </row>
    <row r="2581" spans="1:13" x14ac:dyDescent="0.25">
      <c r="A2581" s="75">
        <f t="shared" si="40"/>
        <v>2580</v>
      </c>
      <c r="B2581" t="s">
        <v>4851</v>
      </c>
      <c r="C2581" t="s">
        <v>7622</v>
      </c>
      <c r="D2581" t="s">
        <v>7775</v>
      </c>
      <c r="F2581" t="s">
        <v>7459</v>
      </c>
      <c r="G2581" t="s">
        <v>24</v>
      </c>
      <c r="H2581" s="75" t="str">
        <f>IFERROR(VLOOKUP(Table2[[#This Row],[Ticket]],Okey!A:B,2,0),"")</f>
        <v>ok</v>
      </c>
      <c r="I2581" t="s">
        <v>19</v>
      </c>
      <c r="J2581" t="str">
        <f>VLOOKUP(Table2[[#This Row],[Author]],People!A:B,2,0)</f>
        <v>LS</v>
      </c>
      <c r="L2581" s="40"/>
      <c r="M2581" s="40" t="s">
        <v>1040</v>
      </c>
    </row>
    <row r="2582" spans="1:13" x14ac:dyDescent="0.25">
      <c r="A2582" s="75">
        <f t="shared" si="40"/>
        <v>2581</v>
      </c>
      <c r="B2582" t="s">
        <v>4851</v>
      </c>
      <c r="C2582" t="s">
        <v>7622</v>
      </c>
      <c r="D2582" t="s">
        <v>7776</v>
      </c>
      <c r="F2582" t="s">
        <v>4547</v>
      </c>
      <c r="G2582" t="s">
        <v>24</v>
      </c>
      <c r="H2582" s="75" t="str">
        <f>IFERROR(VLOOKUP(Table2[[#This Row],[Ticket]],Okey!A:B,2,0),"")</f>
        <v>ok</v>
      </c>
      <c r="I2582" t="s">
        <v>19</v>
      </c>
      <c r="J2582" t="str">
        <f>VLOOKUP(Table2[[#This Row],[Author]],People!A:B,2,0)</f>
        <v>LS</v>
      </c>
      <c r="L2582" s="40"/>
      <c r="M2582" s="40" t="s">
        <v>1040</v>
      </c>
    </row>
    <row r="2583" spans="1:13" x14ac:dyDescent="0.25">
      <c r="A2583" s="75">
        <f t="shared" si="40"/>
        <v>2582</v>
      </c>
      <c r="B2583" t="s">
        <v>4851</v>
      </c>
      <c r="C2583" t="s">
        <v>7622</v>
      </c>
      <c r="D2583" t="s">
        <v>7777</v>
      </c>
      <c r="F2583" t="s">
        <v>4547</v>
      </c>
      <c r="G2583" t="s">
        <v>24</v>
      </c>
      <c r="H2583" s="75" t="str">
        <f>IFERROR(VLOOKUP(Table2[[#This Row],[Ticket]],Okey!A:B,2,0),"")</f>
        <v>ok</v>
      </c>
      <c r="I2583" t="s">
        <v>19</v>
      </c>
      <c r="J2583" t="str">
        <f>VLOOKUP(Table2[[#This Row],[Author]],People!A:B,2,0)</f>
        <v>LS</v>
      </c>
      <c r="L2583" s="40"/>
      <c r="M2583" s="40" t="s">
        <v>1040</v>
      </c>
    </row>
    <row r="2584" spans="1:13" x14ac:dyDescent="0.25">
      <c r="A2584" s="75">
        <f t="shared" si="40"/>
        <v>2583</v>
      </c>
      <c r="B2584" t="s">
        <v>4851</v>
      </c>
      <c r="C2584" t="s">
        <v>7622</v>
      </c>
      <c r="D2584" t="s">
        <v>7778</v>
      </c>
      <c r="F2584" t="s">
        <v>7460</v>
      </c>
      <c r="G2584" t="s">
        <v>24</v>
      </c>
      <c r="H2584" s="75" t="str">
        <f>IFERROR(VLOOKUP(Table2[[#This Row],[Ticket]],Okey!A:B,2,0),"")</f>
        <v>ok</v>
      </c>
      <c r="I2584" t="s">
        <v>19</v>
      </c>
      <c r="J2584" t="str">
        <f>VLOOKUP(Table2[[#This Row],[Author]],People!A:B,2,0)</f>
        <v>LS</v>
      </c>
      <c r="L2584" s="40"/>
      <c r="M2584" s="40" t="s">
        <v>1040</v>
      </c>
    </row>
    <row r="2585" spans="1:13" x14ac:dyDescent="0.25">
      <c r="A2585" s="75">
        <f t="shared" si="40"/>
        <v>2584</v>
      </c>
      <c r="B2585" t="s">
        <v>4851</v>
      </c>
      <c r="C2585" t="s">
        <v>7622</v>
      </c>
      <c r="D2585" t="s">
        <v>7779</v>
      </c>
      <c r="F2585" t="s">
        <v>7461</v>
      </c>
      <c r="G2585" t="s">
        <v>24</v>
      </c>
      <c r="H2585" s="75" t="str">
        <f>IFERROR(VLOOKUP(Table2[[#This Row],[Ticket]],Okey!A:B,2,0),"")</f>
        <v>ok</v>
      </c>
      <c r="I2585" t="s">
        <v>19</v>
      </c>
      <c r="J2585" t="str">
        <f>VLOOKUP(Table2[[#This Row],[Author]],People!A:B,2,0)</f>
        <v>LS</v>
      </c>
      <c r="L2585" s="40"/>
      <c r="M2585" s="40" t="s">
        <v>1040</v>
      </c>
    </row>
    <row r="2586" spans="1:13" x14ac:dyDescent="0.25">
      <c r="A2586" s="75">
        <f t="shared" si="40"/>
        <v>2585</v>
      </c>
      <c r="B2586" t="s">
        <v>4851</v>
      </c>
      <c r="C2586" t="s">
        <v>7622</v>
      </c>
      <c r="D2586" t="s">
        <v>7780</v>
      </c>
      <c r="F2586" t="s">
        <v>5103</v>
      </c>
      <c r="G2586" t="s">
        <v>24</v>
      </c>
      <c r="H2586" s="75" t="str">
        <f>IFERROR(VLOOKUP(Table2[[#This Row],[Ticket]],Okey!A:B,2,0),"")</f>
        <v>ok</v>
      </c>
      <c r="I2586" t="s">
        <v>19</v>
      </c>
      <c r="J2586" t="str">
        <f>VLOOKUP(Table2[[#This Row],[Author]],People!A:B,2,0)</f>
        <v>LS</v>
      </c>
      <c r="L2586" s="40"/>
      <c r="M2586" s="40" t="s">
        <v>1040</v>
      </c>
    </row>
    <row r="2587" spans="1:13" x14ac:dyDescent="0.25">
      <c r="A2587" s="75">
        <f t="shared" si="40"/>
        <v>2586</v>
      </c>
      <c r="B2587" t="s">
        <v>4851</v>
      </c>
      <c r="C2587" t="s">
        <v>7622</v>
      </c>
      <c r="D2587" t="s">
        <v>7781</v>
      </c>
      <c r="F2587" t="s">
        <v>5103</v>
      </c>
      <c r="G2587" t="s">
        <v>24</v>
      </c>
      <c r="H2587" s="75" t="str">
        <f>IFERROR(VLOOKUP(Table2[[#This Row],[Ticket]],Okey!A:B,2,0),"")</f>
        <v>ok</v>
      </c>
      <c r="I2587" t="s">
        <v>19</v>
      </c>
      <c r="J2587" t="str">
        <f>VLOOKUP(Table2[[#This Row],[Author]],People!A:B,2,0)</f>
        <v>LS</v>
      </c>
      <c r="L2587" s="40"/>
      <c r="M2587" s="40" t="s">
        <v>1040</v>
      </c>
    </row>
    <row r="2588" spans="1:13" x14ac:dyDescent="0.25">
      <c r="A2588" s="75">
        <f t="shared" si="40"/>
        <v>2587</v>
      </c>
      <c r="B2588" t="s">
        <v>4851</v>
      </c>
      <c r="C2588" t="s">
        <v>7622</v>
      </c>
      <c r="D2588" t="s">
        <v>7782</v>
      </c>
      <c r="F2588" t="s">
        <v>7805</v>
      </c>
      <c r="G2588" t="s">
        <v>24</v>
      </c>
      <c r="H2588" s="75" t="str">
        <f>IFERROR(VLOOKUP(Table2[[#This Row],[Ticket]],Okey!A:B,2,0),"")</f>
        <v>ok</v>
      </c>
      <c r="I2588" s="50" t="s">
        <v>19</v>
      </c>
      <c r="J2588" t="str">
        <f>VLOOKUP(Table2[[#This Row],[Author]],People!A:B,2,0)</f>
        <v>LS</v>
      </c>
      <c r="L2588" s="40"/>
      <c r="M2588" s="40" t="s">
        <v>1040</v>
      </c>
    </row>
    <row r="2589" spans="1:13" x14ac:dyDescent="0.25">
      <c r="A2589" s="75">
        <f t="shared" si="40"/>
        <v>2588</v>
      </c>
      <c r="B2589" t="s">
        <v>4851</v>
      </c>
      <c r="C2589" t="s">
        <v>7622</v>
      </c>
      <c r="D2589" t="s">
        <v>7783</v>
      </c>
      <c r="F2589" t="s">
        <v>7805</v>
      </c>
      <c r="G2589" t="s">
        <v>24</v>
      </c>
      <c r="H2589" s="75" t="str">
        <f>IFERROR(VLOOKUP(Table2[[#This Row],[Ticket]],Okey!A:B,2,0),"")</f>
        <v>ok</v>
      </c>
      <c r="I2589" s="50" t="s">
        <v>19</v>
      </c>
      <c r="J2589" t="str">
        <f>VLOOKUP(Table2[[#This Row],[Author]],People!A:B,2,0)</f>
        <v>LS</v>
      </c>
      <c r="L2589" s="40"/>
      <c r="M2589" s="40" t="s">
        <v>1040</v>
      </c>
    </row>
    <row r="2590" spans="1:13" x14ac:dyDescent="0.25">
      <c r="A2590" s="75">
        <f t="shared" si="40"/>
        <v>2589</v>
      </c>
      <c r="B2590" t="s">
        <v>4851</v>
      </c>
      <c r="C2590" t="s">
        <v>7622</v>
      </c>
      <c r="D2590" t="s">
        <v>7784</v>
      </c>
      <c r="F2590" t="s">
        <v>5103</v>
      </c>
      <c r="G2590" t="s">
        <v>24</v>
      </c>
      <c r="H2590" s="75" t="str">
        <f>IFERROR(VLOOKUP(Table2[[#This Row],[Ticket]],Okey!A:B,2,0),"")</f>
        <v>ok</v>
      </c>
      <c r="I2590" t="s">
        <v>19</v>
      </c>
      <c r="J2590" t="str">
        <f>VLOOKUP(Table2[[#This Row],[Author]],People!A:B,2,0)</f>
        <v>LS</v>
      </c>
      <c r="L2590" s="40"/>
      <c r="M2590" s="40" t="s">
        <v>1040</v>
      </c>
    </row>
    <row r="2591" spans="1:13" x14ac:dyDescent="0.25">
      <c r="A2591" s="75">
        <f t="shared" si="40"/>
        <v>2590</v>
      </c>
      <c r="B2591" t="s">
        <v>4851</v>
      </c>
      <c r="C2591" t="s">
        <v>7622</v>
      </c>
      <c r="D2591" t="s">
        <v>7785</v>
      </c>
      <c r="F2591" t="s">
        <v>5103</v>
      </c>
      <c r="G2591" t="s">
        <v>24</v>
      </c>
      <c r="H2591" s="75" t="str">
        <f>IFERROR(VLOOKUP(Table2[[#This Row],[Ticket]],Okey!A:B,2,0),"")</f>
        <v>ok</v>
      </c>
      <c r="I2591" t="s">
        <v>19</v>
      </c>
      <c r="J2591" t="str">
        <f>VLOOKUP(Table2[[#This Row],[Author]],People!A:B,2,0)</f>
        <v>LS</v>
      </c>
      <c r="L2591" s="40"/>
      <c r="M2591" s="40" t="s">
        <v>1040</v>
      </c>
    </row>
    <row r="2592" spans="1:13" x14ac:dyDescent="0.25">
      <c r="A2592" s="75">
        <f t="shared" si="40"/>
        <v>2591</v>
      </c>
      <c r="B2592" t="s">
        <v>4851</v>
      </c>
      <c r="C2592" t="s">
        <v>7622</v>
      </c>
      <c r="D2592" t="s">
        <v>7786</v>
      </c>
      <c r="F2592" t="s">
        <v>7805</v>
      </c>
      <c r="G2592" t="s">
        <v>24</v>
      </c>
      <c r="H2592" s="75" t="str">
        <f>IFERROR(VLOOKUP(Table2[[#This Row],[Ticket]],Okey!A:B,2,0),"")</f>
        <v>ok</v>
      </c>
      <c r="I2592" s="50" t="s">
        <v>19</v>
      </c>
      <c r="J2592" t="str">
        <f>VLOOKUP(Table2[[#This Row],[Author]],People!A:B,2,0)</f>
        <v>LS</v>
      </c>
      <c r="L2592" s="40"/>
      <c r="M2592" s="40" t="s">
        <v>1040</v>
      </c>
    </row>
    <row r="2593" spans="1:13" x14ac:dyDescent="0.25">
      <c r="A2593" s="75">
        <f t="shared" si="40"/>
        <v>2592</v>
      </c>
      <c r="B2593" t="s">
        <v>4851</v>
      </c>
      <c r="C2593" t="s">
        <v>7622</v>
      </c>
      <c r="D2593" t="s">
        <v>7787</v>
      </c>
      <c r="F2593" t="s">
        <v>7462</v>
      </c>
      <c r="G2593" t="s">
        <v>24</v>
      </c>
      <c r="H2593" s="75" t="str">
        <f>IFERROR(VLOOKUP(Table2[[#This Row],[Ticket]],Okey!A:B,2,0),"")</f>
        <v>ok</v>
      </c>
      <c r="I2593" t="s">
        <v>19</v>
      </c>
      <c r="J2593" t="str">
        <f>VLOOKUP(Table2[[#This Row],[Author]],People!A:B,2,0)</f>
        <v>LS</v>
      </c>
      <c r="L2593" s="40"/>
      <c r="M2593" s="40" t="s">
        <v>1040</v>
      </c>
    </row>
    <row r="2594" spans="1:13" x14ac:dyDescent="0.25">
      <c r="A2594" s="75">
        <f t="shared" si="40"/>
        <v>2593</v>
      </c>
      <c r="B2594" t="s">
        <v>4851</v>
      </c>
      <c r="C2594" t="s">
        <v>7622</v>
      </c>
      <c r="D2594" t="s">
        <v>7788</v>
      </c>
      <c r="F2594" t="s">
        <v>4552</v>
      </c>
      <c r="G2594" t="s">
        <v>24</v>
      </c>
      <c r="H2594" s="75" t="str">
        <f>IFERROR(VLOOKUP(Table2[[#This Row],[Ticket]],Okey!A:B,2,0),"")</f>
        <v>ok</v>
      </c>
      <c r="I2594" t="s">
        <v>19</v>
      </c>
      <c r="J2594" t="str">
        <f>VLOOKUP(Table2[[#This Row],[Author]],People!A:B,2,0)</f>
        <v>LS</v>
      </c>
      <c r="L2594" s="40"/>
      <c r="M2594" s="40" t="s">
        <v>1040</v>
      </c>
    </row>
    <row r="2595" spans="1:13" x14ac:dyDescent="0.25">
      <c r="A2595" s="75">
        <f t="shared" si="40"/>
        <v>2594</v>
      </c>
      <c r="B2595" t="s">
        <v>4851</v>
      </c>
      <c r="C2595" t="s">
        <v>7622</v>
      </c>
      <c r="D2595" t="s">
        <v>4547</v>
      </c>
      <c r="F2595" t="s">
        <v>7457</v>
      </c>
      <c r="G2595" t="s">
        <v>24</v>
      </c>
      <c r="H2595" s="75" t="str">
        <f>IFERROR(VLOOKUP(Table2[[#This Row],[Ticket]],Okey!A:B,2,0),"")</f>
        <v>ok</v>
      </c>
      <c r="I2595" t="s">
        <v>19</v>
      </c>
      <c r="J2595" t="str">
        <f>VLOOKUP(Table2[[#This Row],[Author]],People!A:B,2,0)</f>
        <v>LS</v>
      </c>
      <c r="L2595" s="40"/>
      <c r="M2595" s="40" t="s">
        <v>1040</v>
      </c>
    </row>
    <row r="2596" spans="1:13" x14ac:dyDescent="0.25">
      <c r="A2596" s="75">
        <f t="shared" si="40"/>
        <v>2595</v>
      </c>
      <c r="B2596" t="s">
        <v>4851</v>
      </c>
      <c r="C2596" t="s">
        <v>7622</v>
      </c>
      <c r="D2596" t="s">
        <v>7789</v>
      </c>
      <c r="F2596" t="s">
        <v>7457</v>
      </c>
      <c r="G2596" t="s">
        <v>24</v>
      </c>
      <c r="H2596" s="75" t="str">
        <f>IFERROR(VLOOKUP(Table2[[#This Row],[Ticket]],Okey!A:B,2,0),"")</f>
        <v>ok</v>
      </c>
      <c r="I2596" t="s">
        <v>19</v>
      </c>
      <c r="J2596" t="str">
        <f>VLOOKUP(Table2[[#This Row],[Author]],People!A:B,2,0)</f>
        <v>LS</v>
      </c>
      <c r="L2596" s="40"/>
      <c r="M2596" s="40" t="s">
        <v>1040</v>
      </c>
    </row>
    <row r="2597" spans="1:13" x14ac:dyDescent="0.25">
      <c r="A2597" s="75">
        <f t="shared" si="40"/>
        <v>2596</v>
      </c>
      <c r="B2597" t="s">
        <v>4851</v>
      </c>
      <c r="C2597" t="s">
        <v>7622</v>
      </c>
      <c r="D2597" t="s">
        <v>7790</v>
      </c>
      <c r="F2597" t="s">
        <v>7457</v>
      </c>
      <c r="G2597" t="s">
        <v>24</v>
      </c>
      <c r="H2597" s="75" t="str">
        <f>IFERROR(VLOOKUP(Table2[[#This Row],[Ticket]],Okey!A:B,2,0),"")</f>
        <v>ok</v>
      </c>
      <c r="I2597" t="s">
        <v>19</v>
      </c>
      <c r="J2597" t="str">
        <f>VLOOKUP(Table2[[#This Row],[Author]],People!A:B,2,0)</f>
        <v>LS</v>
      </c>
      <c r="L2597" s="40"/>
      <c r="M2597" s="40" t="s">
        <v>1040</v>
      </c>
    </row>
    <row r="2598" spans="1:13" x14ac:dyDescent="0.25">
      <c r="A2598" s="75">
        <f t="shared" si="40"/>
        <v>2597</v>
      </c>
      <c r="B2598" t="s">
        <v>4851</v>
      </c>
      <c r="C2598" t="s">
        <v>7622</v>
      </c>
      <c r="D2598" t="s">
        <v>4552</v>
      </c>
      <c r="F2598" t="s">
        <v>7457</v>
      </c>
      <c r="G2598" t="s">
        <v>24</v>
      </c>
      <c r="H2598" s="75" t="str">
        <f>IFERROR(VLOOKUP(Table2[[#This Row],[Ticket]],Okey!A:B,2,0),"")</f>
        <v>ok</v>
      </c>
      <c r="I2598" t="s">
        <v>19</v>
      </c>
      <c r="J2598" t="str">
        <f>VLOOKUP(Table2[[#This Row],[Author]],People!A:B,2,0)</f>
        <v>LS</v>
      </c>
      <c r="L2598" s="40"/>
      <c r="M2598" s="40" t="s">
        <v>1040</v>
      </c>
    </row>
    <row r="2599" spans="1:13" x14ac:dyDescent="0.25">
      <c r="A2599" s="75">
        <f t="shared" si="40"/>
        <v>2598</v>
      </c>
      <c r="B2599" t="s">
        <v>4851</v>
      </c>
      <c r="C2599" t="s">
        <v>7622</v>
      </c>
      <c r="D2599" t="s">
        <v>2498</v>
      </c>
      <c r="F2599" t="s">
        <v>2503</v>
      </c>
      <c r="G2599" t="s">
        <v>24</v>
      </c>
      <c r="H2599" s="75" t="str">
        <f>IFERROR(VLOOKUP(Table2[[#This Row],[Ticket]],Okey!A:B,2,0),"")</f>
        <v>ok</v>
      </c>
      <c r="I2599" t="s">
        <v>19</v>
      </c>
      <c r="J2599" t="str">
        <f>VLOOKUP(Table2[[#This Row],[Author]],People!A:B,2,0)</f>
        <v>LS</v>
      </c>
      <c r="L2599" s="40"/>
      <c r="M2599" s="40" t="s">
        <v>1040</v>
      </c>
    </row>
    <row r="2600" spans="1:13" x14ac:dyDescent="0.25">
      <c r="A2600" s="75">
        <f t="shared" si="40"/>
        <v>2599</v>
      </c>
      <c r="B2600" t="s">
        <v>4851</v>
      </c>
      <c r="C2600" t="s">
        <v>7622</v>
      </c>
      <c r="D2600" t="s">
        <v>2514</v>
      </c>
      <c r="F2600" t="s">
        <v>1093</v>
      </c>
      <c r="G2600" t="s">
        <v>24</v>
      </c>
      <c r="H2600" s="75" t="str">
        <f>IFERROR(VLOOKUP(Table2[[#This Row],[Ticket]],Okey!A:B,2,0),"")</f>
        <v>ok</v>
      </c>
      <c r="I2600" t="s">
        <v>19</v>
      </c>
      <c r="J2600" t="str">
        <f>VLOOKUP(Table2[[#This Row],[Author]],People!A:B,2,0)</f>
        <v>LS</v>
      </c>
      <c r="L2600" s="40"/>
      <c r="M2600" s="40" t="s">
        <v>1040</v>
      </c>
    </row>
    <row r="2601" spans="1:13" x14ac:dyDescent="0.25">
      <c r="A2601" s="75">
        <f t="shared" si="40"/>
        <v>2600</v>
      </c>
      <c r="B2601" t="s">
        <v>4851</v>
      </c>
      <c r="C2601" t="s">
        <v>7622</v>
      </c>
      <c r="D2601" t="s">
        <v>1089</v>
      </c>
      <c r="F2601" t="s">
        <v>7806</v>
      </c>
      <c r="G2601" t="s">
        <v>24</v>
      </c>
      <c r="H2601" s="75" t="str">
        <f>IFERROR(VLOOKUP(Table2[[#This Row],[Ticket]],Okey!A:B,2,0),"")</f>
        <v>ok</v>
      </c>
      <c r="I2601" s="50" t="s">
        <v>19</v>
      </c>
      <c r="J2601" t="str">
        <f>VLOOKUP(Table2[[#This Row],[Author]],People!A:B,2,0)</f>
        <v>LS</v>
      </c>
      <c r="L2601" s="40"/>
      <c r="M2601" s="40" t="s">
        <v>1040</v>
      </c>
    </row>
    <row r="2602" spans="1:13" x14ac:dyDescent="0.25">
      <c r="A2602" s="75">
        <f t="shared" si="40"/>
        <v>2601</v>
      </c>
      <c r="B2602" t="s">
        <v>4851</v>
      </c>
      <c r="C2602" t="s">
        <v>7622</v>
      </c>
      <c r="D2602" t="s">
        <v>7791</v>
      </c>
      <c r="F2602" t="s">
        <v>7807</v>
      </c>
      <c r="G2602" t="s">
        <v>24</v>
      </c>
      <c r="H2602" s="75" t="str">
        <f>IFERROR(VLOOKUP(Table2[[#This Row],[Ticket]],Okey!A:B,2,0),"")</f>
        <v>ok</v>
      </c>
      <c r="I2602" s="50" t="s">
        <v>19</v>
      </c>
      <c r="J2602" t="str">
        <f>VLOOKUP(Table2[[#This Row],[Author]],People!A:B,2,0)</f>
        <v>LS</v>
      </c>
      <c r="L2602" s="40"/>
      <c r="M2602" s="40" t="s">
        <v>1040</v>
      </c>
    </row>
    <row r="2603" spans="1:13" x14ac:dyDescent="0.25">
      <c r="A2603" s="75">
        <f t="shared" si="40"/>
        <v>2602</v>
      </c>
      <c r="B2603" t="s">
        <v>4851</v>
      </c>
      <c r="C2603" t="s">
        <v>7622</v>
      </c>
      <c r="D2603" t="s">
        <v>7792</v>
      </c>
      <c r="F2603" t="s">
        <v>1093</v>
      </c>
      <c r="G2603" t="s">
        <v>24</v>
      </c>
      <c r="H2603" s="75" t="str">
        <f>IFERROR(VLOOKUP(Table2[[#This Row],[Ticket]],Okey!A:B,2,0),"")</f>
        <v>ok</v>
      </c>
      <c r="I2603" t="s">
        <v>19</v>
      </c>
      <c r="J2603" t="str">
        <f>VLOOKUP(Table2[[#This Row],[Author]],People!A:B,2,0)</f>
        <v>LS</v>
      </c>
      <c r="L2603" s="40"/>
      <c r="M2603" s="40" t="s">
        <v>1040</v>
      </c>
    </row>
    <row r="2604" spans="1:13" x14ac:dyDescent="0.25">
      <c r="A2604" s="75">
        <f t="shared" si="40"/>
        <v>2603</v>
      </c>
      <c r="B2604" t="s">
        <v>4851</v>
      </c>
      <c r="C2604" t="s">
        <v>7622</v>
      </c>
      <c r="D2604" t="s">
        <v>7793</v>
      </c>
      <c r="F2604" t="s">
        <v>7463</v>
      </c>
      <c r="G2604" t="s">
        <v>24</v>
      </c>
      <c r="H2604" s="75" t="str">
        <f>IFERROR(VLOOKUP(Table2[[#This Row],[Ticket]],Okey!A:B,2,0),"")</f>
        <v>ok</v>
      </c>
      <c r="I2604" t="s">
        <v>19</v>
      </c>
      <c r="J2604" t="str">
        <f>VLOOKUP(Table2[[#This Row],[Author]],People!A:B,2,0)</f>
        <v>LS</v>
      </c>
      <c r="L2604" s="40"/>
      <c r="M2604" s="40" t="s">
        <v>1040</v>
      </c>
    </row>
    <row r="2605" spans="1:13" x14ac:dyDescent="0.25">
      <c r="A2605" s="75">
        <f t="shared" si="40"/>
        <v>2604</v>
      </c>
      <c r="B2605" t="s">
        <v>4851</v>
      </c>
      <c r="C2605" t="s">
        <v>7622</v>
      </c>
      <c r="D2605" t="s">
        <v>7794</v>
      </c>
      <c r="F2605" t="s">
        <v>7807</v>
      </c>
      <c r="G2605" t="s">
        <v>24</v>
      </c>
      <c r="H2605" s="75" t="str">
        <f>IFERROR(VLOOKUP(Table2[[#This Row],[Ticket]],Okey!A:B,2,0),"")</f>
        <v>ok</v>
      </c>
      <c r="I2605" s="50" t="s">
        <v>19</v>
      </c>
      <c r="J2605" t="str">
        <f>VLOOKUP(Table2[[#This Row],[Author]],People!A:B,2,0)</f>
        <v>LS</v>
      </c>
      <c r="L2605" s="40"/>
      <c r="M2605" s="40" t="s">
        <v>1040</v>
      </c>
    </row>
    <row r="2606" spans="1:13" x14ac:dyDescent="0.25">
      <c r="A2606" s="75">
        <f t="shared" si="40"/>
        <v>2605</v>
      </c>
      <c r="B2606" t="s">
        <v>4851</v>
      </c>
      <c r="C2606" t="s">
        <v>7622</v>
      </c>
      <c r="D2606" t="s">
        <v>43</v>
      </c>
      <c r="F2606" t="s">
        <v>1093</v>
      </c>
      <c r="G2606" t="s">
        <v>24</v>
      </c>
      <c r="H2606" s="75" t="str">
        <f>IFERROR(VLOOKUP(Table2[[#This Row],[Ticket]],Okey!A:B,2,0),"")</f>
        <v>ok</v>
      </c>
      <c r="I2606" t="s">
        <v>19</v>
      </c>
      <c r="J2606" t="str">
        <f>VLOOKUP(Table2[[#This Row],[Author]],People!A:B,2,0)</f>
        <v>LS</v>
      </c>
      <c r="L2606" s="40"/>
      <c r="M2606" s="40" t="s">
        <v>1040</v>
      </c>
    </row>
    <row r="2607" spans="1:13" x14ac:dyDescent="0.25">
      <c r="A2607" s="75">
        <f t="shared" si="40"/>
        <v>2606</v>
      </c>
      <c r="B2607" t="s">
        <v>4851</v>
      </c>
      <c r="C2607" t="s">
        <v>7622</v>
      </c>
      <c r="D2607" t="s">
        <v>1092</v>
      </c>
      <c r="F2607" t="s">
        <v>7463</v>
      </c>
      <c r="G2607" t="s">
        <v>24</v>
      </c>
      <c r="H2607" s="75" t="str">
        <f>IFERROR(VLOOKUP(Table2[[#This Row],[Ticket]],Okey!A:B,2,0),"")</f>
        <v>ok</v>
      </c>
      <c r="I2607" t="s">
        <v>19</v>
      </c>
      <c r="J2607" t="str">
        <f>VLOOKUP(Table2[[#This Row],[Author]],People!A:B,2,0)</f>
        <v>LS</v>
      </c>
      <c r="L2607" s="40"/>
      <c r="M2607" s="40" t="s">
        <v>1040</v>
      </c>
    </row>
    <row r="2608" spans="1:13" x14ac:dyDescent="0.25">
      <c r="A2608" s="75">
        <f t="shared" si="40"/>
        <v>2607</v>
      </c>
      <c r="B2608" t="s">
        <v>4851</v>
      </c>
      <c r="C2608" t="s">
        <v>7622</v>
      </c>
      <c r="D2608" t="s">
        <v>7795</v>
      </c>
      <c r="F2608" t="s">
        <v>7463</v>
      </c>
      <c r="G2608" t="s">
        <v>24</v>
      </c>
      <c r="H2608" s="75" t="str">
        <f>IFERROR(VLOOKUP(Table2[[#This Row],[Ticket]],Okey!A:B,2,0),"")</f>
        <v>ok</v>
      </c>
      <c r="I2608" t="s">
        <v>19</v>
      </c>
      <c r="J2608" t="str">
        <f>VLOOKUP(Table2[[#This Row],[Author]],People!A:B,2,0)</f>
        <v>LS</v>
      </c>
      <c r="L2608" s="40"/>
      <c r="M2608" s="40" t="s">
        <v>1040</v>
      </c>
    </row>
    <row r="2609" spans="1:13" x14ac:dyDescent="0.25">
      <c r="A2609" s="75">
        <f t="shared" si="40"/>
        <v>2608</v>
      </c>
      <c r="B2609" t="s">
        <v>4851</v>
      </c>
      <c r="C2609" t="s">
        <v>7622</v>
      </c>
      <c r="D2609" t="s">
        <v>7796</v>
      </c>
      <c r="F2609" t="s">
        <v>7467</v>
      </c>
      <c r="G2609" t="s">
        <v>24</v>
      </c>
      <c r="H2609" s="75" t="str">
        <f>IFERROR(VLOOKUP(Table2[[#This Row],[Ticket]],Okey!A:B,2,0),"")</f>
        <v>ok</v>
      </c>
      <c r="I2609" t="s">
        <v>19</v>
      </c>
      <c r="J2609" t="str">
        <f>VLOOKUP(Table2[[#This Row],[Author]],People!A:B,2,0)</f>
        <v>LS</v>
      </c>
      <c r="L2609" s="40"/>
      <c r="M2609" s="40" t="s">
        <v>1040</v>
      </c>
    </row>
    <row r="2610" spans="1:13" x14ac:dyDescent="0.25">
      <c r="A2610" s="75">
        <f t="shared" si="40"/>
        <v>2609</v>
      </c>
      <c r="B2610" t="s">
        <v>4851</v>
      </c>
      <c r="C2610" t="s">
        <v>7622</v>
      </c>
      <c r="D2610" t="s">
        <v>7797</v>
      </c>
      <c r="F2610" t="s">
        <v>7467</v>
      </c>
      <c r="G2610" t="s">
        <v>24</v>
      </c>
      <c r="H2610" s="75" t="str">
        <f>IFERROR(VLOOKUP(Table2[[#This Row],[Ticket]],Okey!A:B,2,0),"")</f>
        <v>ok</v>
      </c>
      <c r="I2610" t="s">
        <v>19</v>
      </c>
      <c r="J2610" t="str">
        <f>VLOOKUP(Table2[[#This Row],[Author]],People!A:B,2,0)</f>
        <v>LS</v>
      </c>
      <c r="L2610" s="40"/>
      <c r="M2610" s="40" t="s">
        <v>1040</v>
      </c>
    </row>
    <row r="2611" spans="1:13" x14ac:dyDescent="0.25">
      <c r="A2611" s="75">
        <f t="shared" si="40"/>
        <v>2610</v>
      </c>
      <c r="B2611" t="s">
        <v>4851</v>
      </c>
      <c r="C2611" t="s">
        <v>7622</v>
      </c>
      <c r="D2611" t="s">
        <v>7798</v>
      </c>
      <c r="F2611" t="s">
        <v>7467</v>
      </c>
      <c r="G2611" t="s">
        <v>24</v>
      </c>
      <c r="H2611" s="75" t="str">
        <f>IFERROR(VLOOKUP(Table2[[#This Row],[Ticket]],Okey!A:B,2,0),"")</f>
        <v>ok</v>
      </c>
      <c r="I2611" t="s">
        <v>19</v>
      </c>
      <c r="J2611" t="str">
        <f>VLOOKUP(Table2[[#This Row],[Author]],People!A:B,2,0)</f>
        <v>LS</v>
      </c>
      <c r="L2611" s="40"/>
      <c r="M2611" s="40" t="s">
        <v>1040</v>
      </c>
    </row>
    <row r="2612" spans="1:13" x14ac:dyDescent="0.25">
      <c r="A2612" s="75">
        <f t="shared" si="40"/>
        <v>2611</v>
      </c>
      <c r="B2612" t="s">
        <v>4851</v>
      </c>
      <c r="C2612" t="s">
        <v>7622</v>
      </c>
      <c r="D2612" t="s">
        <v>7799</v>
      </c>
      <c r="F2612" t="s">
        <v>7467</v>
      </c>
      <c r="G2612" t="s">
        <v>24</v>
      </c>
      <c r="H2612" s="75" t="str">
        <f>IFERROR(VLOOKUP(Table2[[#This Row],[Ticket]],Okey!A:B,2,0),"")</f>
        <v>ok</v>
      </c>
      <c r="I2612" t="s">
        <v>19</v>
      </c>
      <c r="J2612" t="str">
        <f>VLOOKUP(Table2[[#This Row],[Author]],People!A:B,2,0)</f>
        <v>LS</v>
      </c>
      <c r="L2612" s="40"/>
      <c r="M2612" s="40" t="s">
        <v>1040</v>
      </c>
    </row>
    <row r="2613" spans="1:13" x14ac:dyDescent="0.25">
      <c r="A2613" s="75">
        <f t="shared" si="40"/>
        <v>2612</v>
      </c>
      <c r="B2613" t="s">
        <v>4851</v>
      </c>
      <c r="C2613" t="s">
        <v>7622</v>
      </c>
      <c r="D2613" t="s">
        <v>6018</v>
      </c>
      <c r="F2613" t="s">
        <v>6016</v>
      </c>
      <c r="G2613" t="s">
        <v>24</v>
      </c>
      <c r="H2613" s="75" t="str">
        <f>IFERROR(VLOOKUP(Table2[[#This Row],[Ticket]],Okey!A:B,2,0),"")</f>
        <v>ok</v>
      </c>
      <c r="I2613" t="s">
        <v>19</v>
      </c>
      <c r="J2613" t="str">
        <f>VLOOKUP(Table2[[#This Row],[Author]],People!A:B,2,0)</f>
        <v>LS</v>
      </c>
      <c r="L2613" s="40"/>
      <c r="M2613" s="40" t="s">
        <v>1040</v>
      </c>
    </row>
    <row r="2614" spans="1:13" x14ac:dyDescent="0.25">
      <c r="A2614" s="75">
        <f t="shared" si="40"/>
        <v>2613</v>
      </c>
      <c r="B2614" t="s">
        <v>4851</v>
      </c>
      <c r="C2614" t="s">
        <v>7622</v>
      </c>
      <c r="D2614" t="s">
        <v>6013</v>
      </c>
      <c r="F2614" t="s">
        <v>7382</v>
      </c>
      <c r="G2614" t="s">
        <v>24</v>
      </c>
      <c r="H2614" s="75" t="str">
        <f>IFERROR(VLOOKUP(Table2[[#This Row],[Ticket]],Okey!A:B,2,0),"")</f>
        <v>ok</v>
      </c>
      <c r="I2614" t="s">
        <v>19</v>
      </c>
      <c r="J2614" t="str">
        <f>VLOOKUP(Table2[[#This Row],[Author]],People!A:B,2,0)</f>
        <v>LS</v>
      </c>
      <c r="L2614" s="40"/>
      <c r="M2614" s="40" t="s">
        <v>1040</v>
      </c>
    </row>
    <row r="2615" spans="1:13" x14ac:dyDescent="0.25">
      <c r="A2615" s="75">
        <f t="shared" si="40"/>
        <v>2614</v>
      </c>
      <c r="B2615" t="s">
        <v>4851</v>
      </c>
      <c r="C2615" t="s">
        <v>7622</v>
      </c>
      <c r="D2615" t="s">
        <v>1102</v>
      </c>
      <c r="F2615" t="s">
        <v>43</v>
      </c>
      <c r="G2615" t="s">
        <v>24</v>
      </c>
      <c r="H2615" s="75" t="str">
        <f>IFERROR(VLOOKUP(Table2[[#This Row],[Ticket]],Okey!A:B,2,0),"")</f>
        <v>ok</v>
      </c>
      <c r="I2615" t="s">
        <v>19</v>
      </c>
      <c r="J2615" t="str">
        <f>VLOOKUP(Table2[[#This Row],[Author]],People!A:B,2,0)</f>
        <v>LS</v>
      </c>
      <c r="L2615" s="40"/>
      <c r="M2615" s="40" t="s">
        <v>1040</v>
      </c>
    </row>
    <row r="2616" spans="1:13" x14ac:dyDescent="0.25">
      <c r="A2616" s="75">
        <f t="shared" si="40"/>
        <v>2615</v>
      </c>
      <c r="B2616" t="s">
        <v>4851</v>
      </c>
      <c r="C2616" t="s">
        <v>7622</v>
      </c>
      <c r="D2616" t="s">
        <v>1106</v>
      </c>
      <c r="F2616" t="s">
        <v>7808</v>
      </c>
      <c r="G2616" t="s">
        <v>24</v>
      </c>
      <c r="H2616" s="75" t="str">
        <f>IFERROR(VLOOKUP(Table2[[#This Row],[Ticket]],Okey!A:B,2,0),"")</f>
        <v>ok</v>
      </c>
      <c r="I2616" s="50" t="s">
        <v>19</v>
      </c>
      <c r="J2616" t="str">
        <f>VLOOKUP(Table2[[#This Row],[Author]],People!A:B,2,0)</f>
        <v>LS</v>
      </c>
      <c r="L2616" s="40"/>
      <c r="M2616" s="40" t="s">
        <v>1040</v>
      </c>
    </row>
    <row r="2617" spans="1:13" x14ac:dyDescent="0.25">
      <c r="A2617" s="75">
        <f t="shared" si="40"/>
        <v>2616</v>
      </c>
      <c r="B2617" t="s">
        <v>4851</v>
      </c>
      <c r="C2617" t="s">
        <v>7622</v>
      </c>
      <c r="D2617" t="s">
        <v>1108</v>
      </c>
      <c r="F2617" t="s">
        <v>7809</v>
      </c>
      <c r="G2617" t="s">
        <v>24</v>
      </c>
      <c r="H2617" s="75" t="str">
        <f>IFERROR(VLOOKUP(Table2[[#This Row],[Ticket]],Okey!A:B,2,0),"")</f>
        <v>ok</v>
      </c>
      <c r="I2617" s="50" t="s">
        <v>19</v>
      </c>
      <c r="J2617" t="str">
        <f>VLOOKUP(Table2[[#This Row],[Author]],People!A:B,2,0)</f>
        <v>LS</v>
      </c>
      <c r="L2617" s="40"/>
      <c r="M2617" s="40" t="s">
        <v>1040</v>
      </c>
    </row>
    <row r="2618" spans="1:13" x14ac:dyDescent="0.25">
      <c r="A2618" s="75">
        <f t="shared" si="40"/>
        <v>2617</v>
      </c>
      <c r="B2618" t="s">
        <v>4851</v>
      </c>
      <c r="C2618" t="s">
        <v>7622</v>
      </c>
      <c r="D2618" t="s">
        <v>1109</v>
      </c>
      <c r="F2618" t="s">
        <v>7810</v>
      </c>
      <c r="G2618" t="s">
        <v>24</v>
      </c>
      <c r="H2618" s="75" t="str">
        <f>IFERROR(VLOOKUP(Table2[[#This Row],[Ticket]],Okey!A:B,2,0),"")</f>
        <v>ok</v>
      </c>
      <c r="I2618" s="50" t="s">
        <v>19</v>
      </c>
      <c r="J2618" t="str">
        <f>VLOOKUP(Table2[[#This Row],[Author]],People!A:B,2,0)</f>
        <v>LS</v>
      </c>
      <c r="L2618" s="40"/>
      <c r="M2618" s="40" t="s">
        <v>1040</v>
      </c>
    </row>
    <row r="2619" spans="1:13" x14ac:dyDescent="0.25">
      <c r="A2619" s="75">
        <f t="shared" si="40"/>
        <v>2618</v>
      </c>
      <c r="B2619" t="s">
        <v>4851</v>
      </c>
      <c r="C2619" t="s">
        <v>7622</v>
      </c>
      <c r="D2619" t="s">
        <v>2477</v>
      </c>
      <c r="F2619" t="s">
        <v>6195</v>
      </c>
      <c r="G2619" t="s">
        <v>24</v>
      </c>
      <c r="H2619" s="75" t="str">
        <f>IFERROR(VLOOKUP(Table2[[#This Row],[Ticket]],Okey!A:B,2,0),"")</f>
        <v>ok</v>
      </c>
      <c r="I2619" t="s">
        <v>19</v>
      </c>
      <c r="J2619" t="str">
        <f>VLOOKUP(Table2[[#This Row],[Author]],People!A:B,2,0)</f>
        <v>LS</v>
      </c>
      <c r="L2619" s="40"/>
      <c r="M2619" s="40" t="s">
        <v>1040</v>
      </c>
    </row>
    <row r="2620" spans="1:13" x14ac:dyDescent="0.25">
      <c r="A2620" s="75">
        <f t="shared" si="40"/>
        <v>2619</v>
      </c>
      <c r="B2620" t="s">
        <v>4851</v>
      </c>
      <c r="C2620" t="s">
        <v>7622</v>
      </c>
      <c r="D2620" t="s">
        <v>2475</v>
      </c>
      <c r="F2620" t="s">
        <v>6195</v>
      </c>
      <c r="G2620" t="s">
        <v>24</v>
      </c>
      <c r="H2620" s="75" t="str">
        <f>IFERROR(VLOOKUP(Table2[[#This Row],[Ticket]],Okey!A:B,2,0),"")</f>
        <v>ok</v>
      </c>
      <c r="I2620" t="s">
        <v>19</v>
      </c>
      <c r="J2620" t="str">
        <f>VLOOKUP(Table2[[#This Row],[Author]],People!A:B,2,0)</f>
        <v>LS</v>
      </c>
      <c r="L2620" s="40"/>
      <c r="M2620" s="40" t="s">
        <v>1040</v>
      </c>
    </row>
    <row r="2621" spans="1:13" x14ac:dyDescent="0.25">
      <c r="A2621" s="75">
        <f t="shared" si="40"/>
        <v>2620</v>
      </c>
      <c r="B2621" t="s">
        <v>4851</v>
      </c>
      <c r="C2621" t="s">
        <v>7622</v>
      </c>
      <c r="D2621" t="s">
        <v>7375</v>
      </c>
      <c r="F2621" t="s">
        <v>7457</v>
      </c>
      <c r="G2621" t="s">
        <v>24</v>
      </c>
      <c r="H2621" s="75" t="str">
        <f>IFERROR(VLOOKUP(Table2[[#This Row],[Ticket]],Okey!A:B,2,0),"")</f>
        <v>ok</v>
      </c>
      <c r="I2621" t="s">
        <v>19</v>
      </c>
      <c r="J2621" t="str">
        <f>VLOOKUP(Table2[[#This Row],[Author]],People!A:B,2,0)</f>
        <v>LS</v>
      </c>
      <c r="L2621" s="40"/>
      <c r="M2621" s="40" t="s">
        <v>1040</v>
      </c>
    </row>
    <row r="2622" spans="1:13" x14ac:dyDescent="0.25">
      <c r="A2622" s="75">
        <f t="shared" si="40"/>
        <v>2621</v>
      </c>
      <c r="B2622" t="s">
        <v>4851</v>
      </c>
      <c r="C2622" t="s">
        <v>7622</v>
      </c>
      <c r="D2622" t="s">
        <v>7516</v>
      </c>
      <c r="F2622" t="s">
        <v>7425</v>
      </c>
      <c r="G2622" t="s">
        <v>24</v>
      </c>
      <c r="H2622" s="75" t="str">
        <f>IFERROR(VLOOKUP(Table2[[#This Row],[Ticket]],Okey!A:B,2,0),"")</f>
        <v>ok</v>
      </c>
      <c r="I2622" t="s">
        <v>19</v>
      </c>
      <c r="J2622" t="str">
        <f>VLOOKUP(Table2[[#This Row],[Author]],People!A:B,2,0)</f>
        <v>LS</v>
      </c>
      <c r="L2622" s="40"/>
      <c r="M2622" s="40" t="s">
        <v>1040</v>
      </c>
    </row>
    <row r="2623" spans="1:13" x14ac:dyDescent="0.25">
      <c r="A2623" s="75">
        <f t="shared" si="40"/>
        <v>2622</v>
      </c>
      <c r="B2623" t="s">
        <v>4851</v>
      </c>
      <c r="C2623" t="s">
        <v>7622</v>
      </c>
      <c r="D2623" t="s">
        <v>7517</v>
      </c>
      <c r="F2623" t="s">
        <v>7811</v>
      </c>
      <c r="G2623" t="s">
        <v>24</v>
      </c>
      <c r="H2623" s="75" t="str">
        <f>IFERROR(VLOOKUP(Table2[[#This Row],[Ticket]],Okey!A:B,2,0),"")</f>
        <v>ok</v>
      </c>
      <c r="I2623" t="s">
        <v>19</v>
      </c>
      <c r="J2623" t="str">
        <f>VLOOKUP(Table2[[#This Row],[Author]],People!A:B,2,0)</f>
        <v>LS</v>
      </c>
      <c r="L2623" s="40"/>
      <c r="M2623" s="40" t="s">
        <v>1040</v>
      </c>
    </row>
    <row r="2624" spans="1:13" x14ac:dyDescent="0.25">
      <c r="A2624" s="75">
        <f t="shared" si="40"/>
        <v>2623</v>
      </c>
      <c r="B2624" t="s">
        <v>4851</v>
      </c>
      <c r="C2624" t="s">
        <v>7622</v>
      </c>
      <c r="D2624" t="s">
        <v>5112</v>
      </c>
      <c r="F2624" t="s">
        <v>7426</v>
      </c>
      <c r="G2624" t="s">
        <v>24</v>
      </c>
      <c r="H2624" s="75" t="str">
        <f>IFERROR(VLOOKUP(Table2[[#This Row],[Ticket]],Okey!A:B,2,0),"")</f>
        <v>ok</v>
      </c>
      <c r="I2624" t="s">
        <v>19</v>
      </c>
      <c r="J2624" t="str">
        <f>VLOOKUP(Table2[[#This Row],[Author]],People!A:B,2,0)</f>
        <v>LS</v>
      </c>
      <c r="L2624" s="40"/>
      <c r="M2624" s="40" t="s">
        <v>1040</v>
      </c>
    </row>
    <row r="2625" spans="1:13" x14ac:dyDescent="0.25">
      <c r="A2625" s="75">
        <f t="shared" si="40"/>
        <v>2624</v>
      </c>
      <c r="B2625" t="s">
        <v>4851</v>
      </c>
      <c r="C2625" t="s">
        <v>7622</v>
      </c>
      <c r="D2625" t="s">
        <v>7339</v>
      </c>
      <c r="F2625" t="s">
        <v>7426</v>
      </c>
      <c r="G2625" t="s">
        <v>24</v>
      </c>
      <c r="H2625" s="75" t="str">
        <f>IFERROR(VLOOKUP(Table2[[#This Row],[Ticket]],Okey!A:B,2,0),"")</f>
        <v>ok</v>
      </c>
      <c r="I2625" t="s">
        <v>19</v>
      </c>
      <c r="J2625" t="str">
        <f>VLOOKUP(Table2[[#This Row],[Author]],People!A:B,2,0)</f>
        <v>LS</v>
      </c>
      <c r="L2625" s="40"/>
      <c r="M2625" s="40" t="s">
        <v>1040</v>
      </c>
    </row>
    <row r="2626" spans="1:13" x14ac:dyDescent="0.25">
      <c r="A2626" s="75">
        <f t="shared" si="40"/>
        <v>2625</v>
      </c>
      <c r="B2626" t="s">
        <v>4851</v>
      </c>
      <c r="C2626" t="s">
        <v>7622</v>
      </c>
      <c r="D2626" t="s">
        <v>7518</v>
      </c>
      <c r="F2626" t="s">
        <v>7506</v>
      </c>
      <c r="G2626" t="s">
        <v>24</v>
      </c>
      <c r="H2626" s="75" t="str">
        <f>IFERROR(VLOOKUP(Table2[[#This Row],[Ticket]],Okey!A:B,2,0),"")</f>
        <v>ok</v>
      </c>
      <c r="I2626" t="s">
        <v>19</v>
      </c>
      <c r="J2626" t="str">
        <f>VLOOKUP(Table2[[#This Row],[Author]],People!A:B,2,0)</f>
        <v>LS</v>
      </c>
      <c r="L2626" s="40"/>
      <c r="M2626" s="40" t="s">
        <v>1040</v>
      </c>
    </row>
    <row r="2627" spans="1:13" x14ac:dyDescent="0.25">
      <c r="A2627" s="75">
        <f t="shared" si="40"/>
        <v>2626</v>
      </c>
      <c r="B2627" t="s">
        <v>4851</v>
      </c>
      <c r="C2627" t="s">
        <v>7622</v>
      </c>
      <c r="D2627" t="s">
        <v>7519</v>
      </c>
      <c r="F2627" t="s">
        <v>7457</v>
      </c>
      <c r="G2627" t="s">
        <v>24</v>
      </c>
      <c r="H2627" s="75" t="str">
        <f>IFERROR(VLOOKUP(Table2[[#This Row],[Ticket]],Okey!A:B,2,0),"")</f>
        <v>ok</v>
      </c>
      <c r="I2627" t="s">
        <v>19</v>
      </c>
      <c r="J2627" t="str">
        <f>VLOOKUP(Table2[[#This Row],[Author]],People!A:B,2,0)</f>
        <v>LS</v>
      </c>
      <c r="L2627" s="40"/>
      <c r="M2627" s="40" t="s">
        <v>1040</v>
      </c>
    </row>
    <row r="2628" spans="1:13" x14ac:dyDescent="0.25">
      <c r="A2628" s="75">
        <f t="shared" si="40"/>
        <v>2627</v>
      </c>
      <c r="B2628" t="s">
        <v>4851</v>
      </c>
      <c r="C2628" t="s">
        <v>7622</v>
      </c>
      <c r="D2628" t="s">
        <v>7520</v>
      </c>
      <c r="F2628" t="s">
        <v>7613</v>
      </c>
      <c r="G2628" t="s">
        <v>24</v>
      </c>
      <c r="H2628" s="75" t="str">
        <f>IFERROR(VLOOKUP(Table2[[#This Row],[Ticket]],Okey!A:B,2,0),"")</f>
        <v>ok</v>
      </c>
      <c r="I2628" t="s">
        <v>19</v>
      </c>
      <c r="J2628" t="str">
        <f>VLOOKUP(Table2[[#This Row],[Author]],People!A:B,2,0)</f>
        <v>LS</v>
      </c>
      <c r="L2628" s="40"/>
      <c r="M2628" s="40" t="s">
        <v>1040</v>
      </c>
    </row>
    <row r="2629" spans="1:13" x14ac:dyDescent="0.25">
      <c r="A2629" s="75">
        <f t="shared" si="40"/>
        <v>2628</v>
      </c>
      <c r="B2629" t="s">
        <v>4851</v>
      </c>
      <c r="C2629" t="s">
        <v>7622</v>
      </c>
      <c r="D2629" t="s">
        <v>7521</v>
      </c>
      <c r="F2629" t="s">
        <v>7613</v>
      </c>
      <c r="G2629" t="s">
        <v>24</v>
      </c>
      <c r="H2629" s="75" t="str">
        <f>IFERROR(VLOOKUP(Table2[[#This Row],[Ticket]],Okey!A:B,2,0),"")</f>
        <v>ok</v>
      </c>
      <c r="I2629" t="s">
        <v>19</v>
      </c>
      <c r="J2629" t="str">
        <f>VLOOKUP(Table2[[#This Row],[Author]],People!A:B,2,0)</f>
        <v>LS</v>
      </c>
      <c r="L2629" s="40"/>
      <c r="M2629" s="40" t="s">
        <v>1040</v>
      </c>
    </row>
    <row r="2630" spans="1:13" x14ac:dyDescent="0.25">
      <c r="A2630" s="75">
        <f t="shared" si="40"/>
        <v>2629</v>
      </c>
      <c r="B2630" t="s">
        <v>4851</v>
      </c>
      <c r="C2630" t="s">
        <v>7622</v>
      </c>
      <c r="D2630" t="s">
        <v>6016</v>
      </c>
      <c r="F2630" t="s">
        <v>1345</v>
      </c>
      <c r="G2630" t="s">
        <v>24</v>
      </c>
      <c r="H2630" s="75" t="str">
        <f>IFERROR(VLOOKUP(Table2[[#This Row],[Ticket]],Okey!A:B,2,0),"")</f>
        <v>ok</v>
      </c>
      <c r="I2630" t="s">
        <v>19</v>
      </c>
      <c r="J2630" t="str">
        <f>VLOOKUP(Table2[[#This Row],[Author]],People!A:B,2,0)</f>
        <v>LS</v>
      </c>
      <c r="L2630" s="40"/>
      <c r="M2630" s="40" t="s">
        <v>1040</v>
      </c>
    </row>
    <row r="2631" spans="1:13" x14ac:dyDescent="0.25">
      <c r="A2631" s="75">
        <f t="shared" si="40"/>
        <v>2630</v>
      </c>
      <c r="B2631" t="s">
        <v>4851</v>
      </c>
      <c r="C2631" t="s">
        <v>7622</v>
      </c>
      <c r="D2631" t="s">
        <v>7812</v>
      </c>
      <c r="F2631" t="s">
        <v>2490</v>
      </c>
      <c r="G2631" t="s">
        <v>24</v>
      </c>
      <c r="H2631" s="75" t="str">
        <f>IFERROR(VLOOKUP(Table2[[#This Row],[Ticket]],Okey!A:B,2,0),"")</f>
        <v>ok</v>
      </c>
      <c r="I2631" t="s">
        <v>19</v>
      </c>
      <c r="J2631" t="str">
        <f>VLOOKUP(Table2[[#This Row],[Author]],People!A:B,2,0)</f>
        <v>LS</v>
      </c>
      <c r="L2631" s="40"/>
      <c r="M2631" s="40" t="s">
        <v>1040</v>
      </c>
    </row>
    <row r="2632" spans="1:13" x14ac:dyDescent="0.25">
      <c r="A2632" s="75">
        <f t="shared" si="40"/>
        <v>2631</v>
      </c>
      <c r="B2632" t="s">
        <v>4851</v>
      </c>
      <c r="C2632" t="s">
        <v>7622</v>
      </c>
      <c r="D2632" t="s">
        <v>7813</v>
      </c>
      <c r="F2632" t="s">
        <v>2490</v>
      </c>
      <c r="G2632" t="s">
        <v>24</v>
      </c>
      <c r="H2632" s="75" t="str">
        <f>IFERROR(VLOOKUP(Table2[[#This Row],[Ticket]],Okey!A:B,2,0),"")</f>
        <v>ok</v>
      </c>
      <c r="I2632" t="s">
        <v>19</v>
      </c>
      <c r="J2632" t="str">
        <f>VLOOKUP(Table2[[#This Row],[Author]],People!A:B,2,0)</f>
        <v>LS</v>
      </c>
      <c r="L2632" s="40"/>
      <c r="M2632" s="40" t="s">
        <v>1040</v>
      </c>
    </row>
    <row r="2633" spans="1:13" x14ac:dyDescent="0.25">
      <c r="A2633" s="75">
        <f t="shared" ref="A2633:A2696" si="41">1+A2632</f>
        <v>2632</v>
      </c>
      <c r="B2633" t="s">
        <v>4851</v>
      </c>
      <c r="C2633" t="s">
        <v>7622</v>
      </c>
      <c r="D2633" t="s">
        <v>7814</v>
      </c>
      <c r="F2633" t="s">
        <v>2490</v>
      </c>
      <c r="G2633" t="s">
        <v>24</v>
      </c>
      <c r="H2633" s="75" t="str">
        <f>IFERROR(VLOOKUP(Table2[[#This Row],[Ticket]],Okey!A:B,2,0),"")</f>
        <v>ok</v>
      </c>
      <c r="I2633" t="s">
        <v>19</v>
      </c>
      <c r="J2633" t="str">
        <f>VLOOKUP(Table2[[#This Row],[Author]],People!A:B,2,0)</f>
        <v>LS</v>
      </c>
      <c r="L2633" s="40"/>
      <c r="M2633" s="40" t="s">
        <v>1040</v>
      </c>
    </row>
    <row r="2634" spans="1:13" x14ac:dyDescent="0.25">
      <c r="A2634" s="75">
        <f t="shared" si="41"/>
        <v>2633</v>
      </c>
      <c r="B2634" t="s">
        <v>4851</v>
      </c>
      <c r="C2634" t="s">
        <v>7622</v>
      </c>
      <c r="D2634" t="s">
        <v>7815</v>
      </c>
      <c r="F2634" t="s">
        <v>2490</v>
      </c>
      <c r="G2634" t="s">
        <v>24</v>
      </c>
      <c r="H2634" s="75" t="str">
        <f>IFERROR(VLOOKUP(Table2[[#This Row],[Ticket]],Okey!A:B,2,0),"")</f>
        <v>ok</v>
      </c>
      <c r="I2634" t="s">
        <v>19</v>
      </c>
      <c r="J2634" t="str">
        <f>VLOOKUP(Table2[[#This Row],[Author]],People!A:B,2,0)</f>
        <v>LS</v>
      </c>
      <c r="L2634" s="40"/>
      <c r="M2634" s="40" t="s">
        <v>1040</v>
      </c>
    </row>
    <row r="2635" spans="1:13" x14ac:dyDescent="0.25">
      <c r="A2635" s="75">
        <f t="shared" si="41"/>
        <v>2634</v>
      </c>
      <c r="B2635" t="s">
        <v>4851</v>
      </c>
      <c r="C2635" t="s">
        <v>7622</v>
      </c>
      <c r="D2635" t="s">
        <v>7816</v>
      </c>
      <c r="F2635" t="s">
        <v>2490</v>
      </c>
      <c r="G2635" t="s">
        <v>24</v>
      </c>
      <c r="H2635" s="75" t="str">
        <f>IFERROR(VLOOKUP(Table2[[#This Row],[Ticket]],Okey!A:B,2,0),"")</f>
        <v>ok</v>
      </c>
      <c r="I2635" t="s">
        <v>19</v>
      </c>
      <c r="J2635" t="str">
        <f>VLOOKUP(Table2[[#This Row],[Author]],People!A:B,2,0)</f>
        <v>LS</v>
      </c>
      <c r="L2635" s="40"/>
      <c r="M2635" s="40" t="s">
        <v>1040</v>
      </c>
    </row>
    <row r="2636" spans="1:13" x14ac:dyDescent="0.25">
      <c r="A2636" s="75">
        <f t="shared" si="41"/>
        <v>2635</v>
      </c>
      <c r="B2636" t="s">
        <v>4851</v>
      </c>
      <c r="C2636" t="s">
        <v>7622</v>
      </c>
      <c r="D2636" t="s">
        <v>7817</v>
      </c>
      <c r="F2636" t="s">
        <v>2490</v>
      </c>
      <c r="G2636" t="s">
        <v>24</v>
      </c>
      <c r="H2636" s="75" t="str">
        <f>IFERROR(VLOOKUP(Table2[[#This Row],[Ticket]],Okey!A:B,2,0),"")</f>
        <v>ok</v>
      </c>
      <c r="I2636" t="s">
        <v>19</v>
      </c>
      <c r="J2636" t="str">
        <f>VLOOKUP(Table2[[#This Row],[Author]],People!A:B,2,0)</f>
        <v>LS</v>
      </c>
      <c r="L2636" s="40"/>
      <c r="M2636" s="40" t="s">
        <v>1040</v>
      </c>
    </row>
    <row r="2637" spans="1:13" x14ac:dyDescent="0.25">
      <c r="A2637" s="75">
        <f t="shared" si="41"/>
        <v>2636</v>
      </c>
      <c r="B2637" t="s">
        <v>4851</v>
      </c>
      <c r="C2637" t="s">
        <v>7622</v>
      </c>
      <c r="D2637" t="s">
        <v>7818</v>
      </c>
      <c r="F2637" t="s">
        <v>2490</v>
      </c>
      <c r="G2637" t="s">
        <v>24</v>
      </c>
      <c r="H2637" s="75" t="str">
        <f>IFERROR(VLOOKUP(Table2[[#This Row],[Ticket]],Okey!A:B,2,0),"")</f>
        <v>ok</v>
      </c>
      <c r="I2637" t="s">
        <v>19</v>
      </c>
      <c r="J2637" t="str">
        <f>VLOOKUP(Table2[[#This Row],[Author]],People!A:B,2,0)</f>
        <v>LS</v>
      </c>
      <c r="L2637" s="40"/>
      <c r="M2637" s="40" t="s">
        <v>1040</v>
      </c>
    </row>
    <row r="2638" spans="1:13" x14ac:dyDescent="0.25">
      <c r="A2638" s="75">
        <f t="shared" si="41"/>
        <v>2637</v>
      </c>
      <c r="B2638" t="s">
        <v>4851</v>
      </c>
      <c r="C2638" t="s">
        <v>7622</v>
      </c>
      <c r="D2638" t="s">
        <v>7819</v>
      </c>
      <c r="F2638" t="s">
        <v>2490</v>
      </c>
      <c r="G2638" t="s">
        <v>24</v>
      </c>
      <c r="H2638" s="75" t="str">
        <f>IFERROR(VLOOKUP(Table2[[#This Row],[Ticket]],Okey!A:B,2,0),"")</f>
        <v>ok</v>
      </c>
      <c r="I2638" t="s">
        <v>19</v>
      </c>
      <c r="J2638" t="str">
        <f>VLOOKUP(Table2[[#This Row],[Author]],People!A:B,2,0)</f>
        <v>LS</v>
      </c>
      <c r="L2638" s="40"/>
      <c r="M2638" s="40" t="s">
        <v>1040</v>
      </c>
    </row>
    <row r="2639" spans="1:13" x14ac:dyDescent="0.25">
      <c r="A2639" s="75">
        <f t="shared" si="41"/>
        <v>2638</v>
      </c>
      <c r="B2639" t="s">
        <v>4851</v>
      </c>
      <c r="C2639" t="s">
        <v>7622</v>
      </c>
      <c r="D2639" t="s">
        <v>7820</v>
      </c>
      <c r="F2639" t="s">
        <v>2490</v>
      </c>
      <c r="G2639" t="s">
        <v>24</v>
      </c>
      <c r="H2639" s="75" t="str">
        <f>IFERROR(VLOOKUP(Table2[[#This Row],[Ticket]],Okey!A:B,2,0),"")</f>
        <v>ok</v>
      </c>
      <c r="I2639" t="s">
        <v>19</v>
      </c>
      <c r="J2639" t="str">
        <f>VLOOKUP(Table2[[#This Row],[Author]],People!A:B,2,0)</f>
        <v>LS</v>
      </c>
      <c r="L2639" s="40"/>
      <c r="M2639" s="40" t="s">
        <v>1040</v>
      </c>
    </row>
    <row r="2640" spans="1:13" x14ac:dyDescent="0.25">
      <c r="A2640" s="75">
        <f t="shared" si="41"/>
        <v>2639</v>
      </c>
      <c r="B2640" t="s">
        <v>4851</v>
      </c>
      <c r="C2640" t="s">
        <v>7622</v>
      </c>
      <c r="D2640" t="s">
        <v>7821</v>
      </c>
      <c r="F2640" t="s">
        <v>2490</v>
      </c>
      <c r="G2640" t="s">
        <v>24</v>
      </c>
      <c r="H2640" s="75" t="str">
        <f>IFERROR(VLOOKUP(Table2[[#This Row],[Ticket]],Okey!A:B,2,0),"")</f>
        <v>ok</v>
      </c>
      <c r="I2640" t="s">
        <v>19</v>
      </c>
      <c r="J2640" t="str">
        <f>VLOOKUP(Table2[[#This Row],[Author]],People!A:B,2,0)</f>
        <v>LS</v>
      </c>
      <c r="L2640" s="40"/>
      <c r="M2640" s="40" t="s">
        <v>1040</v>
      </c>
    </row>
    <row r="2641" spans="1:13" x14ac:dyDescent="0.25">
      <c r="A2641" s="75">
        <f t="shared" si="41"/>
        <v>2640</v>
      </c>
      <c r="B2641" t="s">
        <v>4851</v>
      </c>
      <c r="C2641" t="s">
        <v>7622</v>
      </c>
      <c r="D2641" t="s">
        <v>7822</v>
      </c>
      <c r="F2641" t="s">
        <v>2490</v>
      </c>
      <c r="G2641" t="s">
        <v>24</v>
      </c>
      <c r="H2641" s="75" t="str">
        <f>IFERROR(VLOOKUP(Table2[[#This Row],[Ticket]],Okey!A:B,2,0),"")</f>
        <v>ok</v>
      </c>
      <c r="I2641" t="s">
        <v>19</v>
      </c>
      <c r="J2641" t="str">
        <f>VLOOKUP(Table2[[#This Row],[Author]],People!A:B,2,0)</f>
        <v>LS</v>
      </c>
      <c r="L2641" s="40"/>
      <c r="M2641" s="40" t="s">
        <v>1040</v>
      </c>
    </row>
    <row r="2642" spans="1:13" x14ac:dyDescent="0.25">
      <c r="A2642" s="75">
        <f t="shared" si="41"/>
        <v>2641</v>
      </c>
      <c r="B2642" t="s">
        <v>4851</v>
      </c>
      <c r="C2642" t="s">
        <v>7622</v>
      </c>
      <c r="D2642" t="s">
        <v>7823</v>
      </c>
      <c r="F2642" t="s">
        <v>2490</v>
      </c>
      <c r="G2642" t="s">
        <v>24</v>
      </c>
      <c r="H2642" s="75" t="str">
        <f>IFERROR(VLOOKUP(Table2[[#This Row],[Ticket]],Okey!A:B,2,0),"")</f>
        <v>ok</v>
      </c>
      <c r="I2642" t="s">
        <v>19</v>
      </c>
      <c r="J2642" t="str">
        <f>VLOOKUP(Table2[[#This Row],[Author]],People!A:B,2,0)</f>
        <v>LS</v>
      </c>
      <c r="L2642" s="40"/>
      <c r="M2642" s="40" t="s">
        <v>1040</v>
      </c>
    </row>
    <row r="2643" spans="1:13" x14ac:dyDescent="0.25">
      <c r="A2643" s="75">
        <f t="shared" si="41"/>
        <v>2642</v>
      </c>
      <c r="B2643" t="s">
        <v>4851</v>
      </c>
      <c r="C2643" t="s">
        <v>7622</v>
      </c>
      <c r="D2643" t="s">
        <v>7824</v>
      </c>
      <c r="F2643" t="s">
        <v>2490</v>
      </c>
      <c r="G2643" t="s">
        <v>24</v>
      </c>
      <c r="H2643" s="75" t="str">
        <f>IFERROR(VLOOKUP(Table2[[#This Row],[Ticket]],Okey!A:B,2,0),"")</f>
        <v>ok</v>
      </c>
      <c r="I2643" t="s">
        <v>19</v>
      </c>
      <c r="J2643" t="str">
        <f>VLOOKUP(Table2[[#This Row],[Author]],People!A:B,2,0)</f>
        <v>LS</v>
      </c>
      <c r="L2643" s="40"/>
      <c r="M2643" s="40" t="s">
        <v>1040</v>
      </c>
    </row>
    <row r="2644" spans="1:13" x14ac:dyDescent="0.25">
      <c r="A2644" s="75">
        <f t="shared" si="41"/>
        <v>2643</v>
      </c>
      <c r="B2644" t="s">
        <v>4851</v>
      </c>
      <c r="C2644" t="s">
        <v>7622</v>
      </c>
      <c r="D2644" t="s">
        <v>7825</v>
      </c>
      <c r="F2644" t="s">
        <v>2490</v>
      </c>
      <c r="G2644" t="s">
        <v>24</v>
      </c>
      <c r="H2644" s="75" t="str">
        <f>IFERROR(VLOOKUP(Table2[[#This Row],[Ticket]],Okey!A:B,2,0),"")</f>
        <v>ok</v>
      </c>
      <c r="I2644" t="s">
        <v>19</v>
      </c>
      <c r="J2644" t="str">
        <f>VLOOKUP(Table2[[#This Row],[Author]],People!A:B,2,0)</f>
        <v>LS</v>
      </c>
      <c r="L2644" s="40"/>
      <c r="M2644" s="40" t="s">
        <v>1040</v>
      </c>
    </row>
    <row r="2645" spans="1:13" x14ac:dyDescent="0.25">
      <c r="A2645" s="75">
        <f t="shared" si="41"/>
        <v>2644</v>
      </c>
      <c r="B2645" t="s">
        <v>4851</v>
      </c>
      <c r="C2645" t="s">
        <v>7622</v>
      </c>
      <c r="D2645" t="s">
        <v>7826</v>
      </c>
      <c r="F2645" t="s">
        <v>2490</v>
      </c>
      <c r="G2645" t="s">
        <v>24</v>
      </c>
      <c r="H2645" s="75" t="str">
        <f>IFERROR(VLOOKUP(Table2[[#This Row],[Ticket]],Okey!A:B,2,0),"")</f>
        <v>ok</v>
      </c>
      <c r="I2645" t="s">
        <v>19</v>
      </c>
      <c r="J2645" t="str">
        <f>VLOOKUP(Table2[[#This Row],[Author]],People!A:B,2,0)</f>
        <v>LS</v>
      </c>
      <c r="L2645" s="40"/>
      <c r="M2645" s="40" t="s">
        <v>1040</v>
      </c>
    </row>
    <row r="2646" spans="1:13" x14ac:dyDescent="0.25">
      <c r="A2646" s="75">
        <f t="shared" si="41"/>
        <v>2645</v>
      </c>
      <c r="B2646" t="s">
        <v>4851</v>
      </c>
      <c r="C2646" t="s">
        <v>7622</v>
      </c>
      <c r="D2646" t="s">
        <v>4542</v>
      </c>
      <c r="F2646" t="s">
        <v>2490</v>
      </c>
      <c r="G2646" t="s">
        <v>24</v>
      </c>
      <c r="H2646" s="75" t="str">
        <f>IFERROR(VLOOKUP(Table2[[#This Row],[Ticket]],Okey!A:B,2,0),"")</f>
        <v>ok</v>
      </c>
      <c r="I2646" t="s">
        <v>19</v>
      </c>
      <c r="J2646" t="str">
        <f>VLOOKUP(Table2[[#This Row],[Author]],People!A:B,2,0)</f>
        <v>LS</v>
      </c>
      <c r="L2646" s="40"/>
      <c r="M2646" s="40" t="s">
        <v>1040</v>
      </c>
    </row>
    <row r="2647" spans="1:13" x14ac:dyDescent="0.25">
      <c r="A2647" s="75">
        <f t="shared" si="41"/>
        <v>2646</v>
      </c>
      <c r="B2647" t="s">
        <v>4851</v>
      </c>
      <c r="C2647" t="s">
        <v>7622</v>
      </c>
      <c r="D2647" t="s">
        <v>4550</v>
      </c>
      <c r="F2647" t="s">
        <v>2490</v>
      </c>
      <c r="G2647" t="s">
        <v>24</v>
      </c>
      <c r="H2647" s="75" t="str">
        <f>IFERROR(VLOOKUP(Table2[[#This Row],[Ticket]],Okey!A:B,2,0),"")</f>
        <v>ok</v>
      </c>
      <c r="I2647" t="s">
        <v>19</v>
      </c>
      <c r="J2647" t="str">
        <f>VLOOKUP(Table2[[#This Row],[Author]],People!A:B,2,0)</f>
        <v>LS</v>
      </c>
      <c r="L2647" s="40"/>
      <c r="M2647" s="40" t="s">
        <v>1040</v>
      </c>
    </row>
    <row r="2648" spans="1:13" x14ac:dyDescent="0.25">
      <c r="A2648" s="75">
        <f t="shared" si="41"/>
        <v>2647</v>
      </c>
      <c r="B2648" t="s">
        <v>4851</v>
      </c>
      <c r="C2648" t="s">
        <v>7622</v>
      </c>
      <c r="D2648" t="s">
        <v>7827</v>
      </c>
      <c r="F2648" t="s">
        <v>2490</v>
      </c>
      <c r="G2648" t="s">
        <v>24</v>
      </c>
      <c r="H2648" s="75" t="str">
        <f>IFERROR(VLOOKUP(Table2[[#This Row],[Ticket]],Okey!A:B,2,0),"")</f>
        <v>ok</v>
      </c>
      <c r="I2648" t="s">
        <v>19</v>
      </c>
      <c r="J2648" t="str">
        <f>VLOOKUP(Table2[[#This Row],[Author]],People!A:B,2,0)</f>
        <v>LS</v>
      </c>
      <c r="L2648" s="40"/>
      <c r="M2648" s="40" t="s">
        <v>1040</v>
      </c>
    </row>
    <row r="2649" spans="1:13" x14ac:dyDescent="0.25">
      <c r="A2649" s="75">
        <f t="shared" si="41"/>
        <v>2648</v>
      </c>
      <c r="B2649" t="s">
        <v>4851</v>
      </c>
      <c r="C2649" t="s">
        <v>7622</v>
      </c>
      <c r="D2649" t="s">
        <v>7828</v>
      </c>
      <c r="F2649" t="s">
        <v>2490</v>
      </c>
      <c r="G2649" t="s">
        <v>24</v>
      </c>
      <c r="H2649" s="75" t="str">
        <f>IFERROR(VLOOKUP(Table2[[#This Row],[Ticket]],Okey!A:B,2,0),"")</f>
        <v>ok</v>
      </c>
      <c r="I2649" t="s">
        <v>19</v>
      </c>
      <c r="J2649" t="str">
        <f>VLOOKUP(Table2[[#This Row],[Author]],People!A:B,2,0)</f>
        <v>LS</v>
      </c>
      <c r="L2649" s="40"/>
      <c r="M2649" s="40" t="s">
        <v>1040</v>
      </c>
    </row>
    <row r="2650" spans="1:13" x14ac:dyDescent="0.25">
      <c r="A2650" s="75">
        <f t="shared" si="41"/>
        <v>2649</v>
      </c>
      <c r="B2650" t="s">
        <v>4851</v>
      </c>
      <c r="C2650" t="s">
        <v>7622</v>
      </c>
      <c r="D2650" t="s">
        <v>7829</v>
      </c>
      <c r="F2650" t="s">
        <v>2490</v>
      </c>
      <c r="G2650" t="s">
        <v>24</v>
      </c>
      <c r="H2650" s="75" t="str">
        <f>IFERROR(VLOOKUP(Table2[[#This Row],[Ticket]],Okey!A:B,2,0),"")</f>
        <v>ok</v>
      </c>
      <c r="I2650" t="s">
        <v>19</v>
      </c>
      <c r="J2650" t="str">
        <f>VLOOKUP(Table2[[#This Row],[Author]],People!A:B,2,0)</f>
        <v>LS</v>
      </c>
      <c r="L2650" s="40"/>
      <c r="M2650" s="40" t="s">
        <v>1040</v>
      </c>
    </row>
    <row r="2651" spans="1:13" x14ac:dyDescent="0.25">
      <c r="A2651" s="75">
        <f t="shared" si="41"/>
        <v>2650</v>
      </c>
      <c r="B2651" t="s">
        <v>4851</v>
      </c>
      <c r="C2651" t="s">
        <v>7622</v>
      </c>
      <c r="D2651" t="s">
        <v>7830</v>
      </c>
      <c r="F2651" t="s">
        <v>2490</v>
      </c>
      <c r="G2651" t="s">
        <v>24</v>
      </c>
      <c r="H2651" s="75" t="str">
        <f>IFERROR(VLOOKUP(Table2[[#This Row],[Ticket]],Okey!A:B,2,0),"")</f>
        <v>ok</v>
      </c>
      <c r="I2651" t="s">
        <v>19</v>
      </c>
      <c r="J2651" t="str">
        <f>VLOOKUP(Table2[[#This Row],[Author]],People!A:B,2,0)</f>
        <v>LS</v>
      </c>
      <c r="L2651" s="40"/>
      <c r="M2651" s="40" t="s">
        <v>1040</v>
      </c>
    </row>
    <row r="2652" spans="1:13" x14ac:dyDescent="0.25">
      <c r="A2652" s="75">
        <f t="shared" si="41"/>
        <v>2651</v>
      </c>
      <c r="B2652" t="s">
        <v>4851</v>
      </c>
      <c r="C2652" t="s">
        <v>7622</v>
      </c>
      <c r="D2652" t="s">
        <v>7831</v>
      </c>
      <c r="F2652" t="s">
        <v>2490</v>
      </c>
      <c r="G2652" t="s">
        <v>24</v>
      </c>
      <c r="H2652" s="75" t="str">
        <f>IFERROR(VLOOKUP(Table2[[#This Row],[Ticket]],Okey!A:B,2,0),"")</f>
        <v>ok</v>
      </c>
      <c r="I2652" t="s">
        <v>19</v>
      </c>
      <c r="J2652" t="str">
        <f>VLOOKUP(Table2[[#This Row],[Author]],People!A:B,2,0)</f>
        <v>LS</v>
      </c>
      <c r="L2652" s="40"/>
      <c r="M2652" s="40" t="s">
        <v>1040</v>
      </c>
    </row>
    <row r="2653" spans="1:13" x14ac:dyDescent="0.25">
      <c r="A2653" s="75">
        <f t="shared" si="41"/>
        <v>2652</v>
      </c>
      <c r="B2653" t="s">
        <v>4851</v>
      </c>
      <c r="C2653" t="s">
        <v>7622</v>
      </c>
      <c r="D2653" t="s">
        <v>7832</v>
      </c>
      <c r="F2653" t="s">
        <v>2490</v>
      </c>
      <c r="G2653" t="s">
        <v>24</v>
      </c>
      <c r="H2653" s="75" t="str">
        <f>IFERROR(VLOOKUP(Table2[[#This Row],[Ticket]],Okey!A:B,2,0),"")</f>
        <v>ok</v>
      </c>
      <c r="I2653" t="s">
        <v>19</v>
      </c>
      <c r="J2653" t="str">
        <f>VLOOKUP(Table2[[#This Row],[Author]],People!A:B,2,0)</f>
        <v>LS</v>
      </c>
      <c r="L2653" s="40"/>
      <c r="M2653" s="40" t="s">
        <v>1040</v>
      </c>
    </row>
    <row r="2654" spans="1:13" x14ac:dyDescent="0.25">
      <c r="A2654" s="75">
        <f t="shared" si="41"/>
        <v>2653</v>
      </c>
      <c r="B2654" t="s">
        <v>4851</v>
      </c>
      <c r="C2654" t="s">
        <v>7622</v>
      </c>
      <c r="D2654" t="s">
        <v>7833</v>
      </c>
      <c r="F2654" t="s">
        <v>2490</v>
      </c>
      <c r="G2654" t="s">
        <v>24</v>
      </c>
      <c r="H2654" s="75" t="str">
        <f>IFERROR(VLOOKUP(Table2[[#This Row],[Ticket]],Okey!A:B,2,0),"")</f>
        <v>ok</v>
      </c>
      <c r="I2654" t="s">
        <v>19</v>
      </c>
      <c r="J2654" t="str">
        <f>VLOOKUP(Table2[[#This Row],[Author]],People!A:B,2,0)</f>
        <v>LS</v>
      </c>
      <c r="L2654" s="40"/>
      <c r="M2654" s="40" t="s">
        <v>1040</v>
      </c>
    </row>
    <row r="2655" spans="1:13" x14ac:dyDescent="0.25">
      <c r="A2655" s="75">
        <f t="shared" si="41"/>
        <v>2654</v>
      </c>
      <c r="B2655" t="s">
        <v>4851</v>
      </c>
      <c r="C2655" t="s">
        <v>7622</v>
      </c>
      <c r="D2655" t="s">
        <v>5107</v>
      </c>
      <c r="F2655" t="s">
        <v>2490</v>
      </c>
      <c r="G2655" t="s">
        <v>24</v>
      </c>
      <c r="H2655" s="75" t="str">
        <f>IFERROR(VLOOKUP(Table2[[#This Row],[Ticket]],Okey!A:B,2,0),"")</f>
        <v>ok</v>
      </c>
      <c r="I2655" t="s">
        <v>19</v>
      </c>
      <c r="J2655" t="str">
        <f>VLOOKUP(Table2[[#This Row],[Author]],People!A:B,2,0)</f>
        <v>LS</v>
      </c>
      <c r="L2655" s="40"/>
      <c r="M2655" s="40" t="s">
        <v>1040</v>
      </c>
    </row>
    <row r="2656" spans="1:13" x14ac:dyDescent="0.25">
      <c r="A2656" s="75">
        <f t="shared" si="41"/>
        <v>2655</v>
      </c>
      <c r="B2656" t="s">
        <v>4851</v>
      </c>
      <c r="C2656" t="s">
        <v>7622</v>
      </c>
      <c r="D2656" t="s">
        <v>7834</v>
      </c>
      <c r="F2656" t="s">
        <v>2490</v>
      </c>
      <c r="G2656" t="s">
        <v>24</v>
      </c>
      <c r="H2656" s="75" t="str">
        <f>IFERROR(VLOOKUP(Table2[[#This Row],[Ticket]],Okey!A:B,2,0),"")</f>
        <v>ok</v>
      </c>
      <c r="I2656" t="s">
        <v>19</v>
      </c>
      <c r="J2656" t="str">
        <f>VLOOKUP(Table2[[#This Row],[Author]],People!A:B,2,0)</f>
        <v>LS</v>
      </c>
      <c r="L2656" s="40"/>
      <c r="M2656" s="40" t="s">
        <v>1040</v>
      </c>
    </row>
    <row r="2657" spans="1:13" x14ac:dyDescent="0.25">
      <c r="A2657" s="75">
        <f t="shared" si="41"/>
        <v>2656</v>
      </c>
      <c r="B2657" t="s">
        <v>4851</v>
      </c>
      <c r="C2657" t="s">
        <v>7622</v>
      </c>
      <c r="D2657" t="s">
        <v>7835</v>
      </c>
      <c r="F2657" t="s">
        <v>2493</v>
      </c>
      <c r="G2657" t="s">
        <v>24</v>
      </c>
      <c r="H2657" s="75" t="str">
        <f>IFERROR(VLOOKUP(Table2[[#This Row],[Ticket]],Okey!A:B,2,0),"")</f>
        <v>ok</v>
      </c>
      <c r="I2657" t="s">
        <v>19</v>
      </c>
      <c r="J2657" t="str">
        <f>VLOOKUP(Table2[[#This Row],[Author]],People!A:B,2,0)</f>
        <v>LS</v>
      </c>
      <c r="L2657" s="40"/>
      <c r="M2657" s="40" t="s">
        <v>1040</v>
      </c>
    </row>
    <row r="2658" spans="1:13" x14ac:dyDescent="0.25">
      <c r="A2658" s="75">
        <f t="shared" si="41"/>
        <v>2657</v>
      </c>
      <c r="B2658" t="s">
        <v>4851</v>
      </c>
      <c r="C2658" t="s">
        <v>7622</v>
      </c>
      <c r="D2658" t="s">
        <v>7836</v>
      </c>
      <c r="F2658" t="s">
        <v>2493</v>
      </c>
      <c r="G2658" t="s">
        <v>24</v>
      </c>
      <c r="H2658" s="75" t="str">
        <f>IFERROR(VLOOKUP(Table2[[#This Row],[Ticket]],Okey!A:B,2,0),"")</f>
        <v>ok</v>
      </c>
      <c r="I2658" t="s">
        <v>19</v>
      </c>
      <c r="J2658" t="str">
        <f>VLOOKUP(Table2[[#This Row],[Author]],People!A:B,2,0)</f>
        <v>LS</v>
      </c>
      <c r="L2658" s="40"/>
      <c r="M2658" s="40" t="s">
        <v>1040</v>
      </c>
    </row>
    <row r="2659" spans="1:13" x14ac:dyDescent="0.25">
      <c r="A2659" s="75">
        <f t="shared" si="41"/>
        <v>2658</v>
      </c>
      <c r="B2659" t="s">
        <v>4851</v>
      </c>
      <c r="C2659" t="s">
        <v>7622</v>
      </c>
      <c r="D2659" t="s">
        <v>7837</v>
      </c>
      <c r="F2659" t="s">
        <v>2493</v>
      </c>
      <c r="G2659" t="s">
        <v>24</v>
      </c>
      <c r="H2659" s="75" t="str">
        <f>IFERROR(VLOOKUP(Table2[[#This Row],[Ticket]],Okey!A:B,2,0),"")</f>
        <v>ok</v>
      </c>
      <c r="I2659" t="s">
        <v>19</v>
      </c>
      <c r="J2659" t="str">
        <f>VLOOKUP(Table2[[#This Row],[Author]],People!A:B,2,0)</f>
        <v>LS</v>
      </c>
      <c r="L2659" s="40"/>
      <c r="M2659" s="40" t="s">
        <v>1040</v>
      </c>
    </row>
    <row r="2660" spans="1:13" x14ac:dyDescent="0.25">
      <c r="A2660" s="75">
        <f t="shared" si="41"/>
        <v>2659</v>
      </c>
      <c r="B2660" t="s">
        <v>4851</v>
      </c>
      <c r="C2660" t="s">
        <v>7622</v>
      </c>
      <c r="D2660" t="s">
        <v>6752</v>
      </c>
      <c r="F2660" t="s">
        <v>2493</v>
      </c>
      <c r="G2660" t="s">
        <v>24</v>
      </c>
      <c r="H2660" s="75" t="str">
        <f>IFERROR(VLOOKUP(Table2[[#This Row],[Ticket]],Okey!A:B,2,0),"")</f>
        <v>ok</v>
      </c>
      <c r="I2660" t="s">
        <v>19</v>
      </c>
      <c r="J2660" t="str">
        <f>VLOOKUP(Table2[[#This Row],[Author]],People!A:B,2,0)</f>
        <v>LS</v>
      </c>
      <c r="L2660" s="40"/>
      <c r="M2660" s="40" t="s">
        <v>1040</v>
      </c>
    </row>
    <row r="2661" spans="1:13" x14ac:dyDescent="0.25">
      <c r="A2661" s="75">
        <f t="shared" si="41"/>
        <v>2660</v>
      </c>
      <c r="B2661" t="s">
        <v>4851</v>
      </c>
      <c r="C2661" t="s">
        <v>7622</v>
      </c>
      <c r="D2661" t="s">
        <v>7838</v>
      </c>
      <c r="F2661" t="s">
        <v>2504</v>
      </c>
      <c r="G2661" t="s">
        <v>24</v>
      </c>
      <c r="H2661" s="75" t="str">
        <f>IFERROR(VLOOKUP(Table2[[#This Row],[Ticket]],Okey!A:B,2,0),"")</f>
        <v>ok</v>
      </c>
      <c r="I2661" t="s">
        <v>19</v>
      </c>
      <c r="J2661" t="str">
        <f>VLOOKUP(Table2[[#This Row],[Author]],People!A:B,2,0)</f>
        <v>LS</v>
      </c>
      <c r="L2661" s="40"/>
      <c r="M2661" s="40" t="s">
        <v>1040</v>
      </c>
    </row>
    <row r="2662" spans="1:13" x14ac:dyDescent="0.25">
      <c r="A2662" s="75">
        <f t="shared" si="41"/>
        <v>2661</v>
      </c>
      <c r="B2662" t="s">
        <v>4851</v>
      </c>
      <c r="C2662" t="s">
        <v>7622</v>
      </c>
      <c r="D2662" t="s">
        <v>6014</v>
      </c>
      <c r="F2662" t="s">
        <v>2504</v>
      </c>
      <c r="G2662" t="s">
        <v>24</v>
      </c>
      <c r="H2662" s="75" t="str">
        <f>IFERROR(VLOOKUP(Table2[[#This Row],[Ticket]],Okey!A:B,2,0),"")</f>
        <v>ok</v>
      </c>
      <c r="I2662" t="s">
        <v>19</v>
      </c>
      <c r="J2662" t="str">
        <f>VLOOKUP(Table2[[#This Row],[Author]],People!A:B,2,0)</f>
        <v>LS</v>
      </c>
      <c r="L2662" s="40"/>
      <c r="M2662" s="40" t="s">
        <v>1040</v>
      </c>
    </row>
    <row r="2663" spans="1:13" x14ac:dyDescent="0.25">
      <c r="A2663" s="75">
        <f t="shared" si="41"/>
        <v>2662</v>
      </c>
      <c r="B2663" t="s">
        <v>4851</v>
      </c>
      <c r="C2663" t="s">
        <v>7622</v>
      </c>
      <c r="D2663" t="s">
        <v>7839</v>
      </c>
      <c r="F2663" t="s">
        <v>2509</v>
      </c>
      <c r="G2663" t="s">
        <v>24</v>
      </c>
      <c r="H2663" s="75" t="str">
        <f>IFERROR(VLOOKUP(Table2[[#This Row],[Ticket]],Okey!A:B,2,0),"")</f>
        <v>ok</v>
      </c>
      <c r="I2663" t="s">
        <v>19</v>
      </c>
      <c r="J2663" t="str">
        <f>VLOOKUP(Table2[[#This Row],[Author]],People!A:B,2,0)</f>
        <v>LS</v>
      </c>
      <c r="L2663" s="40"/>
      <c r="M2663" s="40" t="s">
        <v>1040</v>
      </c>
    </row>
    <row r="2664" spans="1:13" x14ac:dyDescent="0.25">
      <c r="A2664" s="75">
        <f t="shared" si="41"/>
        <v>2663</v>
      </c>
      <c r="B2664" t="s">
        <v>4851</v>
      </c>
      <c r="C2664" t="s">
        <v>7622</v>
      </c>
      <c r="D2664" t="s">
        <v>7840</v>
      </c>
      <c r="F2664" t="s">
        <v>2509</v>
      </c>
      <c r="G2664" t="s">
        <v>24</v>
      </c>
      <c r="H2664" s="75" t="str">
        <f>IFERROR(VLOOKUP(Table2[[#This Row],[Ticket]],Okey!A:B,2,0),"")</f>
        <v>ok</v>
      </c>
      <c r="I2664" t="s">
        <v>19</v>
      </c>
      <c r="J2664" t="str">
        <f>VLOOKUP(Table2[[#This Row],[Author]],People!A:B,2,0)</f>
        <v>LS</v>
      </c>
      <c r="L2664" s="40"/>
      <c r="M2664" s="40" t="s">
        <v>1040</v>
      </c>
    </row>
    <row r="2665" spans="1:13" x14ac:dyDescent="0.25">
      <c r="A2665" s="75">
        <f t="shared" si="41"/>
        <v>2664</v>
      </c>
      <c r="B2665" t="s">
        <v>4851</v>
      </c>
      <c r="C2665" t="s">
        <v>7622</v>
      </c>
      <c r="D2665" t="s">
        <v>7841</v>
      </c>
      <c r="F2665" t="s">
        <v>2509</v>
      </c>
      <c r="G2665" t="s">
        <v>24</v>
      </c>
      <c r="H2665" s="75" t="str">
        <f>IFERROR(VLOOKUP(Table2[[#This Row],[Ticket]],Okey!A:B,2,0),"")</f>
        <v>ok</v>
      </c>
      <c r="I2665" t="s">
        <v>19</v>
      </c>
      <c r="J2665" t="str">
        <f>VLOOKUP(Table2[[#This Row],[Author]],People!A:B,2,0)</f>
        <v>LS</v>
      </c>
      <c r="L2665" s="40"/>
      <c r="M2665" s="40" t="s">
        <v>1040</v>
      </c>
    </row>
    <row r="2666" spans="1:13" x14ac:dyDescent="0.25">
      <c r="A2666" s="75">
        <f t="shared" si="41"/>
        <v>2665</v>
      </c>
      <c r="B2666" t="s">
        <v>4851</v>
      </c>
      <c r="C2666" t="s">
        <v>7622</v>
      </c>
      <c r="D2666" t="s">
        <v>7842</v>
      </c>
      <c r="F2666" t="s">
        <v>2509</v>
      </c>
      <c r="G2666" t="s">
        <v>24</v>
      </c>
      <c r="H2666" s="75" t="str">
        <f>IFERROR(VLOOKUP(Table2[[#This Row],[Ticket]],Okey!A:B,2,0),"")</f>
        <v>ok</v>
      </c>
      <c r="I2666" t="s">
        <v>19</v>
      </c>
      <c r="J2666" t="str">
        <f>VLOOKUP(Table2[[#This Row],[Author]],People!A:B,2,0)</f>
        <v>LS</v>
      </c>
      <c r="L2666" s="40"/>
      <c r="M2666" s="40" t="s">
        <v>1040</v>
      </c>
    </row>
    <row r="2667" spans="1:13" x14ac:dyDescent="0.25">
      <c r="A2667" s="75">
        <f t="shared" si="41"/>
        <v>2666</v>
      </c>
      <c r="B2667" t="s">
        <v>4851</v>
      </c>
      <c r="C2667" t="s">
        <v>7622</v>
      </c>
      <c r="D2667" t="s">
        <v>7843</v>
      </c>
      <c r="F2667" t="s">
        <v>2509</v>
      </c>
      <c r="G2667" t="s">
        <v>24</v>
      </c>
      <c r="H2667" s="75" t="str">
        <f>IFERROR(VLOOKUP(Table2[[#This Row],[Ticket]],Okey!A:B,2,0),"")</f>
        <v>ok</v>
      </c>
      <c r="I2667" t="s">
        <v>19</v>
      </c>
      <c r="J2667" t="str">
        <f>VLOOKUP(Table2[[#This Row],[Author]],People!A:B,2,0)</f>
        <v>LS</v>
      </c>
      <c r="L2667" s="40"/>
      <c r="M2667" s="40" t="s">
        <v>1040</v>
      </c>
    </row>
    <row r="2668" spans="1:13" x14ac:dyDescent="0.25">
      <c r="A2668" s="75">
        <f t="shared" si="41"/>
        <v>2667</v>
      </c>
      <c r="B2668" t="s">
        <v>4851</v>
      </c>
      <c r="C2668" t="s">
        <v>7622</v>
      </c>
      <c r="D2668" t="s">
        <v>7844</v>
      </c>
      <c r="F2668" t="s">
        <v>2509</v>
      </c>
      <c r="G2668" t="s">
        <v>24</v>
      </c>
      <c r="H2668" s="75" t="str">
        <f>IFERROR(VLOOKUP(Table2[[#This Row],[Ticket]],Okey!A:B,2,0),"")</f>
        <v>ok</v>
      </c>
      <c r="I2668" t="s">
        <v>19</v>
      </c>
      <c r="J2668" t="str">
        <f>VLOOKUP(Table2[[#This Row],[Author]],People!A:B,2,0)</f>
        <v>LS</v>
      </c>
      <c r="L2668" s="40"/>
      <c r="M2668" s="40" t="s">
        <v>1040</v>
      </c>
    </row>
    <row r="2669" spans="1:13" x14ac:dyDescent="0.25">
      <c r="A2669" s="75">
        <f t="shared" si="41"/>
        <v>2668</v>
      </c>
      <c r="B2669" t="s">
        <v>4851</v>
      </c>
      <c r="C2669" t="s">
        <v>7622</v>
      </c>
      <c r="D2669" t="s">
        <v>7845</v>
      </c>
      <c r="F2669" t="s">
        <v>2509</v>
      </c>
      <c r="G2669" t="s">
        <v>24</v>
      </c>
      <c r="H2669" s="75" t="str">
        <f>IFERROR(VLOOKUP(Table2[[#This Row],[Ticket]],Okey!A:B,2,0),"")</f>
        <v>ok</v>
      </c>
      <c r="I2669" t="s">
        <v>19</v>
      </c>
      <c r="J2669" t="str">
        <f>VLOOKUP(Table2[[#This Row],[Author]],People!A:B,2,0)</f>
        <v>LS</v>
      </c>
      <c r="L2669" s="40"/>
      <c r="M2669" s="40" t="s">
        <v>1040</v>
      </c>
    </row>
    <row r="2670" spans="1:13" x14ac:dyDescent="0.25">
      <c r="A2670" s="75">
        <f t="shared" si="41"/>
        <v>2669</v>
      </c>
      <c r="B2670" t="s">
        <v>4851</v>
      </c>
      <c r="C2670" t="s">
        <v>7622</v>
      </c>
      <c r="D2670" t="s">
        <v>7846</v>
      </c>
      <c r="F2670" t="s">
        <v>2509</v>
      </c>
      <c r="G2670" t="s">
        <v>24</v>
      </c>
      <c r="H2670" s="75" t="str">
        <f>IFERROR(VLOOKUP(Table2[[#This Row],[Ticket]],Okey!A:B,2,0),"")</f>
        <v>ok</v>
      </c>
      <c r="I2670" t="s">
        <v>19</v>
      </c>
      <c r="J2670" t="str">
        <f>VLOOKUP(Table2[[#This Row],[Author]],People!A:B,2,0)</f>
        <v>LS</v>
      </c>
      <c r="L2670" s="40"/>
      <c r="M2670" s="40" t="s">
        <v>1040</v>
      </c>
    </row>
    <row r="2671" spans="1:13" x14ac:dyDescent="0.25">
      <c r="A2671" s="75">
        <f t="shared" si="41"/>
        <v>2670</v>
      </c>
      <c r="B2671" t="s">
        <v>4851</v>
      </c>
      <c r="C2671" t="s">
        <v>7622</v>
      </c>
      <c r="D2671" t="s">
        <v>7847</v>
      </c>
      <c r="F2671" t="s">
        <v>2509</v>
      </c>
      <c r="G2671" t="s">
        <v>24</v>
      </c>
      <c r="H2671" s="75" t="str">
        <f>IFERROR(VLOOKUP(Table2[[#This Row],[Ticket]],Okey!A:B,2,0),"")</f>
        <v>ok</v>
      </c>
      <c r="I2671" t="s">
        <v>19</v>
      </c>
      <c r="J2671" t="str">
        <f>VLOOKUP(Table2[[#This Row],[Author]],People!A:B,2,0)</f>
        <v>LS</v>
      </c>
      <c r="L2671" s="40"/>
      <c r="M2671" s="40" t="s">
        <v>1040</v>
      </c>
    </row>
    <row r="2672" spans="1:13" x14ac:dyDescent="0.25">
      <c r="A2672" s="75">
        <f t="shared" si="41"/>
        <v>2671</v>
      </c>
      <c r="B2672" t="s">
        <v>4851</v>
      </c>
      <c r="C2672" t="s">
        <v>7622</v>
      </c>
      <c r="D2672" t="s">
        <v>7848</v>
      </c>
      <c r="F2672" t="s">
        <v>2509</v>
      </c>
      <c r="G2672" t="s">
        <v>24</v>
      </c>
      <c r="H2672" s="75" t="str">
        <f>IFERROR(VLOOKUP(Table2[[#This Row],[Ticket]],Okey!A:B,2,0),"")</f>
        <v>ok</v>
      </c>
      <c r="I2672" t="s">
        <v>19</v>
      </c>
      <c r="J2672" t="str">
        <f>VLOOKUP(Table2[[#This Row],[Author]],People!A:B,2,0)</f>
        <v>LS</v>
      </c>
      <c r="L2672" s="40"/>
      <c r="M2672" s="40" t="s">
        <v>1040</v>
      </c>
    </row>
    <row r="2673" spans="1:13" x14ac:dyDescent="0.25">
      <c r="A2673" s="75">
        <f t="shared" si="41"/>
        <v>2672</v>
      </c>
      <c r="B2673" t="s">
        <v>4851</v>
      </c>
      <c r="C2673" t="s">
        <v>7622</v>
      </c>
      <c r="D2673" t="s">
        <v>7849</v>
      </c>
      <c r="F2673" t="s">
        <v>2509</v>
      </c>
      <c r="G2673" t="s">
        <v>24</v>
      </c>
      <c r="H2673" s="75" t="str">
        <f>IFERROR(VLOOKUP(Table2[[#This Row],[Ticket]],Okey!A:B,2,0),"")</f>
        <v>ok</v>
      </c>
      <c r="I2673" t="s">
        <v>19</v>
      </c>
      <c r="J2673" t="str">
        <f>VLOOKUP(Table2[[#This Row],[Author]],People!A:B,2,0)</f>
        <v>LS</v>
      </c>
      <c r="L2673" s="40"/>
      <c r="M2673" s="40" t="s">
        <v>1040</v>
      </c>
    </row>
    <row r="2674" spans="1:13" x14ac:dyDescent="0.25">
      <c r="A2674" s="75">
        <f t="shared" si="41"/>
        <v>2673</v>
      </c>
      <c r="B2674" t="s">
        <v>4851</v>
      </c>
      <c r="C2674" t="s">
        <v>7622</v>
      </c>
      <c r="D2674" t="s">
        <v>7850</v>
      </c>
      <c r="F2674" t="s">
        <v>2509</v>
      </c>
      <c r="G2674" t="s">
        <v>24</v>
      </c>
      <c r="H2674" s="75" t="str">
        <f>IFERROR(VLOOKUP(Table2[[#This Row],[Ticket]],Okey!A:B,2,0),"")</f>
        <v>ok</v>
      </c>
      <c r="I2674" t="s">
        <v>19</v>
      </c>
      <c r="J2674" t="str">
        <f>VLOOKUP(Table2[[#This Row],[Author]],People!A:B,2,0)</f>
        <v>LS</v>
      </c>
      <c r="L2674" s="40"/>
      <c r="M2674" s="40" t="s">
        <v>1040</v>
      </c>
    </row>
    <row r="2675" spans="1:13" x14ac:dyDescent="0.25">
      <c r="A2675" s="75">
        <f t="shared" si="41"/>
        <v>2674</v>
      </c>
      <c r="B2675" t="s">
        <v>4851</v>
      </c>
      <c r="C2675" t="s">
        <v>7622</v>
      </c>
      <c r="D2675" t="s">
        <v>7851</v>
      </c>
      <c r="F2675" t="s">
        <v>2509</v>
      </c>
      <c r="G2675" t="s">
        <v>24</v>
      </c>
      <c r="H2675" s="75" t="str">
        <f>IFERROR(VLOOKUP(Table2[[#This Row],[Ticket]],Okey!A:B,2,0),"")</f>
        <v>ok</v>
      </c>
      <c r="I2675" t="s">
        <v>19</v>
      </c>
      <c r="J2675" t="str">
        <f>VLOOKUP(Table2[[#This Row],[Author]],People!A:B,2,0)</f>
        <v>LS</v>
      </c>
      <c r="L2675" s="40"/>
      <c r="M2675" s="40" t="s">
        <v>1040</v>
      </c>
    </row>
    <row r="2676" spans="1:13" x14ac:dyDescent="0.25">
      <c r="A2676" s="75">
        <f t="shared" si="41"/>
        <v>2675</v>
      </c>
      <c r="B2676" t="s">
        <v>4851</v>
      </c>
      <c r="C2676" t="s">
        <v>7622</v>
      </c>
      <c r="D2676" t="s">
        <v>7852</v>
      </c>
      <c r="F2676" t="s">
        <v>2509</v>
      </c>
      <c r="G2676" t="s">
        <v>24</v>
      </c>
      <c r="H2676" s="75" t="str">
        <f>IFERROR(VLOOKUP(Table2[[#This Row],[Ticket]],Okey!A:B,2,0),"")</f>
        <v>ok</v>
      </c>
      <c r="I2676" t="s">
        <v>19</v>
      </c>
      <c r="J2676" t="str">
        <f>VLOOKUP(Table2[[#This Row],[Author]],People!A:B,2,0)</f>
        <v>LS</v>
      </c>
      <c r="L2676" s="40"/>
      <c r="M2676" s="40" t="s">
        <v>1040</v>
      </c>
    </row>
    <row r="2677" spans="1:13" x14ac:dyDescent="0.25">
      <c r="A2677" s="75">
        <f t="shared" si="41"/>
        <v>2676</v>
      </c>
      <c r="B2677" t="s">
        <v>4851</v>
      </c>
      <c r="C2677" t="s">
        <v>7622</v>
      </c>
      <c r="D2677" t="s">
        <v>7853</v>
      </c>
      <c r="F2677" t="s">
        <v>2509</v>
      </c>
      <c r="G2677" t="s">
        <v>24</v>
      </c>
      <c r="H2677" s="75" t="str">
        <f>IFERROR(VLOOKUP(Table2[[#This Row],[Ticket]],Okey!A:B,2,0),"")</f>
        <v>ok</v>
      </c>
      <c r="I2677" t="s">
        <v>19</v>
      </c>
      <c r="J2677" t="str">
        <f>VLOOKUP(Table2[[#This Row],[Author]],People!A:B,2,0)</f>
        <v>LS</v>
      </c>
      <c r="L2677" s="40"/>
      <c r="M2677" s="40" t="s">
        <v>1040</v>
      </c>
    </row>
    <row r="2678" spans="1:13" x14ac:dyDescent="0.25">
      <c r="A2678" s="75">
        <f t="shared" si="41"/>
        <v>2677</v>
      </c>
      <c r="B2678" t="s">
        <v>4851</v>
      </c>
      <c r="C2678" t="s">
        <v>7622</v>
      </c>
      <c r="D2678" t="s">
        <v>7854</v>
      </c>
      <c r="F2678" t="s">
        <v>2509</v>
      </c>
      <c r="G2678" t="s">
        <v>24</v>
      </c>
      <c r="H2678" s="75" t="str">
        <f>IFERROR(VLOOKUP(Table2[[#This Row],[Ticket]],Okey!A:B,2,0),"")</f>
        <v>ok</v>
      </c>
      <c r="I2678" t="s">
        <v>19</v>
      </c>
      <c r="J2678" t="str">
        <f>VLOOKUP(Table2[[#This Row],[Author]],People!A:B,2,0)</f>
        <v>LS</v>
      </c>
      <c r="L2678" s="40"/>
      <c r="M2678" s="40" t="s">
        <v>1040</v>
      </c>
    </row>
    <row r="2679" spans="1:13" x14ac:dyDescent="0.25">
      <c r="A2679" s="75">
        <f t="shared" si="41"/>
        <v>2678</v>
      </c>
      <c r="B2679" t="s">
        <v>4851</v>
      </c>
      <c r="C2679" t="s">
        <v>7622</v>
      </c>
      <c r="D2679" t="s">
        <v>7855</v>
      </c>
      <c r="F2679" t="s">
        <v>2509</v>
      </c>
      <c r="G2679" t="s">
        <v>24</v>
      </c>
      <c r="H2679" s="75" t="str">
        <f>IFERROR(VLOOKUP(Table2[[#This Row],[Ticket]],Okey!A:B,2,0),"")</f>
        <v>ok</v>
      </c>
      <c r="I2679" t="s">
        <v>19</v>
      </c>
      <c r="J2679" t="str">
        <f>VLOOKUP(Table2[[#This Row],[Author]],People!A:B,2,0)</f>
        <v>LS</v>
      </c>
      <c r="L2679" s="40"/>
      <c r="M2679" s="40" t="s">
        <v>1040</v>
      </c>
    </row>
    <row r="2680" spans="1:13" x14ac:dyDescent="0.25">
      <c r="A2680" s="75">
        <f t="shared" si="41"/>
        <v>2679</v>
      </c>
      <c r="B2680" t="s">
        <v>4851</v>
      </c>
      <c r="C2680" t="s">
        <v>7622</v>
      </c>
      <c r="D2680" t="s">
        <v>7856</v>
      </c>
      <c r="F2680" t="s">
        <v>2509</v>
      </c>
      <c r="G2680" t="s">
        <v>24</v>
      </c>
      <c r="H2680" s="75" t="str">
        <f>IFERROR(VLOOKUP(Table2[[#This Row],[Ticket]],Okey!A:B,2,0),"")</f>
        <v>ok</v>
      </c>
      <c r="I2680" t="s">
        <v>19</v>
      </c>
      <c r="J2680" t="str">
        <f>VLOOKUP(Table2[[#This Row],[Author]],People!A:B,2,0)</f>
        <v>LS</v>
      </c>
      <c r="L2680" s="40"/>
      <c r="M2680" s="40" t="s">
        <v>1040</v>
      </c>
    </row>
    <row r="2681" spans="1:13" x14ac:dyDescent="0.25">
      <c r="A2681" s="75">
        <f t="shared" si="41"/>
        <v>2680</v>
      </c>
      <c r="B2681" t="s">
        <v>4851</v>
      </c>
      <c r="C2681" t="s">
        <v>7622</v>
      </c>
      <c r="D2681" t="s">
        <v>7857</v>
      </c>
      <c r="F2681" t="s">
        <v>2509</v>
      </c>
      <c r="G2681" t="s">
        <v>24</v>
      </c>
      <c r="H2681" s="75" t="str">
        <f>IFERROR(VLOOKUP(Table2[[#This Row],[Ticket]],Okey!A:B,2,0),"")</f>
        <v>ok</v>
      </c>
      <c r="I2681" t="s">
        <v>19</v>
      </c>
      <c r="J2681" t="str">
        <f>VLOOKUP(Table2[[#This Row],[Author]],People!A:B,2,0)</f>
        <v>LS</v>
      </c>
      <c r="L2681" s="40"/>
      <c r="M2681" s="40" t="s">
        <v>1040</v>
      </c>
    </row>
    <row r="2682" spans="1:13" x14ac:dyDescent="0.25">
      <c r="A2682" s="75">
        <f t="shared" si="41"/>
        <v>2681</v>
      </c>
      <c r="B2682" t="s">
        <v>4851</v>
      </c>
      <c r="C2682" t="s">
        <v>7622</v>
      </c>
      <c r="D2682" t="s">
        <v>7858</v>
      </c>
      <c r="F2682" t="s">
        <v>2509</v>
      </c>
      <c r="G2682" t="s">
        <v>24</v>
      </c>
      <c r="H2682" s="75" t="str">
        <f>IFERROR(VLOOKUP(Table2[[#This Row],[Ticket]],Okey!A:B,2,0),"")</f>
        <v>ok</v>
      </c>
      <c r="I2682" t="s">
        <v>19</v>
      </c>
      <c r="J2682" t="str">
        <f>VLOOKUP(Table2[[#This Row],[Author]],People!A:B,2,0)</f>
        <v>LS</v>
      </c>
      <c r="L2682" s="40"/>
      <c r="M2682" s="40" t="s">
        <v>1040</v>
      </c>
    </row>
    <row r="2683" spans="1:13" x14ac:dyDescent="0.25">
      <c r="A2683" s="75">
        <f t="shared" si="41"/>
        <v>2682</v>
      </c>
      <c r="B2683" t="s">
        <v>4851</v>
      </c>
      <c r="C2683" t="s">
        <v>7622</v>
      </c>
      <c r="D2683" t="s">
        <v>7859</v>
      </c>
      <c r="F2683" t="s">
        <v>2509</v>
      </c>
      <c r="G2683" t="s">
        <v>24</v>
      </c>
      <c r="H2683" s="75" t="str">
        <f>IFERROR(VLOOKUP(Table2[[#This Row],[Ticket]],Okey!A:B,2,0),"")</f>
        <v>ok</v>
      </c>
      <c r="I2683" t="s">
        <v>19</v>
      </c>
      <c r="J2683" t="str">
        <f>VLOOKUP(Table2[[#This Row],[Author]],People!A:B,2,0)</f>
        <v>LS</v>
      </c>
      <c r="L2683" s="40"/>
      <c r="M2683" s="40" t="s">
        <v>1040</v>
      </c>
    </row>
    <row r="2684" spans="1:13" x14ac:dyDescent="0.25">
      <c r="A2684" s="75">
        <f t="shared" si="41"/>
        <v>2683</v>
      </c>
      <c r="B2684" t="s">
        <v>4851</v>
      </c>
      <c r="C2684" t="s">
        <v>7622</v>
      </c>
      <c r="D2684" t="s">
        <v>7860</v>
      </c>
      <c r="F2684" t="s">
        <v>2509</v>
      </c>
      <c r="G2684" t="s">
        <v>24</v>
      </c>
      <c r="H2684" s="75" t="str">
        <f>IFERROR(VLOOKUP(Table2[[#This Row],[Ticket]],Okey!A:B,2,0),"")</f>
        <v>ok</v>
      </c>
      <c r="I2684" t="s">
        <v>19</v>
      </c>
      <c r="J2684" t="str">
        <f>VLOOKUP(Table2[[#This Row],[Author]],People!A:B,2,0)</f>
        <v>LS</v>
      </c>
      <c r="L2684" s="40"/>
      <c r="M2684" s="40" t="s">
        <v>1040</v>
      </c>
    </row>
    <row r="2685" spans="1:13" x14ac:dyDescent="0.25">
      <c r="A2685" s="75">
        <f t="shared" si="41"/>
        <v>2684</v>
      </c>
      <c r="B2685" t="s">
        <v>4851</v>
      </c>
      <c r="C2685" t="s">
        <v>7622</v>
      </c>
      <c r="D2685" t="s">
        <v>7861</v>
      </c>
      <c r="F2685" t="s">
        <v>2509</v>
      </c>
      <c r="G2685" t="s">
        <v>24</v>
      </c>
      <c r="H2685" s="75" t="str">
        <f>IFERROR(VLOOKUP(Table2[[#This Row],[Ticket]],Okey!A:B,2,0),"")</f>
        <v>ok</v>
      </c>
      <c r="I2685" t="s">
        <v>19</v>
      </c>
      <c r="J2685" t="str">
        <f>VLOOKUP(Table2[[#This Row],[Author]],People!A:B,2,0)</f>
        <v>LS</v>
      </c>
      <c r="L2685" s="40"/>
      <c r="M2685" s="40" t="s">
        <v>1040</v>
      </c>
    </row>
    <row r="2686" spans="1:13" x14ac:dyDescent="0.25">
      <c r="A2686" s="75">
        <f t="shared" si="41"/>
        <v>2685</v>
      </c>
      <c r="B2686" t="s">
        <v>4851</v>
      </c>
      <c r="C2686" t="s">
        <v>7622</v>
      </c>
      <c r="D2686" t="s">
        <v>7862</v>
      </c>
      <c r="F2686" t="s">
        <v>2509</v>
      </c>
      <c r="G2686" t="s">
        <v>24</v>
      </c>
      <c r="H2686" s="75" t="str">
        <f>IFERROR(VLOOKUP(Table2[[#This Row],[Ticket]],Okey!A:B,2,0),"")</f>
        <v>ok</v>
      </c>
      <c r="I2686" t="s">
        <v>19</v>
      </c>
      <c r="J2686" t="str">
        <f>VLOOKUP(Table2[[#This Row],[Author]],People!A:B,2,0)</f>
        <v>LS</v>
      </c>
      <c r="L2686" s="40"/>
      <c r="M2686" s="40" t="s">
        <v>1040</v>
      </c>
    </row>
    <row r="2687" spans="1:13" x14ac:dyDescent="0.25">
      <c r="A2687" s="75">
        <f t="shared" si="41"/>
        <v>2686</v>
      </c>
      <c r="B2687" t="s">
        <v>4851</v>
      </c>
      <c r="C2687" t="s">
        <v>7622</v>
      </c>
      <c r="D2687" t="s">
        <v>7863</v>
      </c>
      <c r="F2687" t="s">
        <v>2509</v>
      </c>
      <c r="G2687" t="s">
        <v>24</v>
      </c>
      <c r="H2687" s="75" t="str">
        <f>IFERROR(VLOOKUP(Table2[[#This Row],[Ticket]],Okey!A:B,2,0),"")</f>
        <v>ok</v>
      </c>
      <c r="I2687" t="s">
        <v>19</v>
      </c>
      <c r="J2687" t="str">
        <f>VLOOKUP(Table2[[#This Row],[Author]],People!A:B,2,0)</f>
        <v>LS</v>
      </c>
      <c r="L2687" s="40"/>
      <c r="M2687" s="40" t="s">
        <v>1040</v>
      </c>
    </row>
    <row r="2688" spans="1:13" x14ac:dyDescent="0.25">
      <c r="A2688" s="75">
        <f t="shared" si="41"/>
        <v>2687</v>
      </c>
      <c r="B2688" t="s">
        <v>4851</v>
      </c>
      <c r="C2688" t="s">
        <v>7622</v>
      </c>
      <c r="D2688" t="s">
        <v>7864</v>
      </c>
      <c r="F2688" t="s">
        <v>2509</v>
      </c>
      <c r="G2688" t="s">
        <v>24</v>
      </c>
      <c r="H2688" s="75" t="str">
        <f>IFERROR(VLOOKUP(Table2[[#This Row],[Ticket]],Okey!A:B,2,0),"")</f>
        <v>ok</v>
      </c>
      <c r="I2688" t="s">
        <v>19</v>
      </c>
      <c r="J2688" t="str">
        <f>VLOOKUP(Table2[[#This Row],[Author]],People!A:B,2,0)</f>
        <v>LS</v>
      </c>
      <c r="L2688" s="40"/>
      <c r="M2688" s="40" t="s">
        <v>1040</v>
      </c>
    </row>
    <row r="2689" spans="1:13" x14ac:dyDescent="0.25">
      <c r="A2689" s="75">
        <f t="shared" si="41"/>
        <v>2688</v>
      </c>
      <c r="B2689" t="s">
        <v>4851</v>
      </c>
      <c r="C2689" t="s">
        <v>7622</v>
      </c>
      <c r="D2689" t="s">
        <v>7865</v>
      </c>
      <c r="F2689" t="s">
        <v>2509</v>
      </c>
      <c r="G2689" t="s">
        <v>24</v>
      </c>
      <c r="H2689" s="75" t="str">
        <f>IFERROR(VLOOKUP(Table2[[#This Row],[Ticket]],Okey!A:B,2,0),"")</f>
        <v>ok</v>
      </c>
      <c r="I2689" t="s">
        <v>19</v>
      </c>
      <c r="J2689" t="str">
        <f>VLOOKUP(Table2[[#This Row],[Author]],People!A:B,2,0)</f>
        <v>LS</v>
      </c>
      <c r="L2689" s="40"/>
      <c r="M2689" s="40" t="s">
        <v>1040</v>
      </c>
    </row>
    <row r="2690" spans="1:13" x14ac:dyDescent="0.25">
      <c r="A2690" s="75">
        <f t="shared" si="41"/>
        <v>2689</v>
      </c>
      <c r="B2690" t="s">
        <v>4851</v>
      </c>
      <c r="C2690" t="s">
        <v>7622</v>
      </c>
      <c r="D2690" t="s">
        <v>7866</v>
      </c>
      <c r="F2690" t="s">
        <v>2509</v>
      </c>
      <c r="G2690" t="s">
        <v>24</v>
      </c>
      <c r="H2690" s="75" t="str">
        <f>IFERROR(VLOOKUP(Table2[[#This Row],[Ticket]],Okey!A:B,2,0),"")</f>
        <v>ok</v>
      </c>
      <c r="I2690" t="s">
        <v>19</v>
      </c>
      <c r="J2690" t="str">
        <f>VLOOKUP(Table2[[#This Row],[Author]],People!A:B,2,0)</f>
        <v>LS</v>
      </c>
      <c r="L2690" s="40"/>
      <c r="M2690" s="40" t="s">
        <v>1040</v>
      </c>
    </row>
    <row r="2691" spans="1:13" x14ac:dyDescent="0.25">
      <c r="A2691" s="75">
        <f t="shared" si="41"/>
        <v>2690</v>
      </c>
      <c r="B2691" t="s">
        <v>4851</v>
      </c>
      <c r="C2691" t="s">
        <v>7622</v>
      </c>
      <c r="D2691" t="s">
        <v>7867</v>
      </c>
      <c r="F2691" t="s">
        <v>2509</v>
      </c>
      <c r="G2691" t="s">
        <v>24</v>
      </c>
      <c r="H2691" s="75" t="str">
        <f>IFERROR(VLOOKUP(Table2[[#This Row],[Ticket]],Okey!A:B,2,0),"")</f>
        <v>ok</v>
      </c>
      <c r="I2691" t="s">
        <v>19</v>
      </c>
      <c r="J2691" t="str">
        <f>VLOOKUP(Table2[[#This Row],[Author]],People!A:B,2,0)</f>
        <v>LS</v>
      </c>
      <c r="L2691" s="40"/>
      <c r="M2691" s="40" t="s">
        <v>1040</v>
      </c>
    </row>
    <row r="2692" spans="1:13" x14ac:dyDescent="0.25">
      <c r="A2692" s="75">
        <f t="shared" si="41"/>
        <v>2691</v>
      </c>
      <c r="B2692" t="s">
        <v>4851</v>
      </c>
      <c r="C2692" t="s">
        <v>7622</v>
      </c>
      <c r="D2692" t="s">
        <v>7868</v>
      </c>
      <c r="F2692" t="s">
        <v>2509</v>
      </c>
      <c r="G2692" t="s">
        <v>24</v>
      </c>
      <c r="H2692" s="75" t="str">
        <f>IFERROR(VLOOKUP(Table2[[#This Row],[Ticket]],Okey!A:B,2,0),"")</f>
        <v>ok</v>
      </c>
      <c r="I2692" t="s">
        <v>19</v>
      </c>
      <c r="J2692" t="str">
        <f>VLOOKUP(Table2[[#This Row],[Author]],People!A:B,2,0)</f>
        <v>LS</v>
      </c>
      <c r="L2692" s="40"/>
      <c r="M2692" s="40" t="s">
        <v>1040</v>
      </c>
    </row>
    <row r="2693" spans="1:13" x14ac:dyDescent="0.25">
      <c r="A2693" s="75">
        <f t="shared" si="41"/>
        <v>2692</v>
      </c>
      <c r="B2693" t="s">
        <v>4851</v>
      </c>
      <c r="C2693" t="s">
        <v>7622</v>
      </c>
      <c r="D2693" t="s">
        <v>7869</v>
      </c>
      <c r="F2693" t="s">
        <v>2509</v>
      </c>
      <c r="G2693" t="s">
        <v>24</v>
      </c>
      <c r="H2693" s="75" t="str">
        <f>IFERROR(VLOOKUP(Table2[[#This Row],[Ticket]],Okey!A:B,2,0),"")</f>
        <v>ok</v>
      </c>
      <c r="I2693" t="s">
        <v>19</v>
      </c>
      <c r="J2693" t="str">
        <f>VLOOKUP(Table2[[#This Row],[Author]],People!A:B,2,0)</f>
        <v>LS</v>
      </c>
      <c r="L2693" s="40"/>
      <c r="M2693" s="40" t="s">
        <v>1040</v>
      </c>
    </row>
    <row r="2694" spans="1:13" x14ac:dyDescent="0.25">
      <c r="A2694" s="75">
        <f t="shared" si="41"/>
        <v>2693</v>
      </c>
      <c r="B2694" t="s">
        <v>4851</v>
      </c>
      <c r="C2694" t="s">
        <v>7622</v>
      </c>
      <c r="D2694" t="s">
        <v>7870</v>
      </c>
      <c r="F2694" t="s">
        <v>2509</v>
      </c>
      <c r="G2694" t="s">
        <v>24</v>
      </c>
      <c r="H2694" s="75" t="str">
        <f>IFERROR(VLOOKUP(Table2[[#This Row],[Ticket]],Okey!A:B,2,0),"")</f>
        <v>ok</v>
      </c>
      <c r="I2694" t="s">
        <v>19</v>
      </c>
      <c r="J2694" t="str">
        <f>VLOOKUP(Table2[[#This Row],[Author]],People!A:B,2,0)</f>
        <v>LS</v>
      </c>
      <c r="L2694" s="40"/>
      <c r="M2694" s="40" t="s">
        <v>1040</v>
      </c>
    </row>
    <row r="2695" spans="1:13" x14ac:dyDescent="0.25">
      <c r="A2695" s="75">
        <f t="shared" si="41"/>
        <v>2694</v>
      </c>
      <c r="B2695" t="s">
        <v>4851</v>
      </c>
      <c r="C2695" t="s">
        <v>7622</v>
      </c>
      <c r="D2695" t="s">
        <v>7871</v>
      </c>
      <c r="F2695" t="s">
        <v>2509</v>
      </c>
      <c r="G2695" t="s">
        <v>24</v>
      </c>
      <c r="H2695" s="75" t="str">
        <f>IFERROR(VLOOKUP(Table2[[#This Row],[Ticket]],Okey!A:B,2,0),"")</f>
        <v>ok</v>
      </c>
      <c r="I2695" t="s">
        <v>19</v>
      </c>
      <c r="J2695" t="str">
        <f>VLOOKUP(Table2[[#This Row],[Author]],People!A:B,2,0)</f>
        <v>LS</v>
      </c>
      <c r="L2695" s="40"/>
      <c r="M2695" s="40" t="s">
        <v>1040</v>
      </c>
    </row>
    <row r="2696" spans="1:13" x14ac:dyDescent="0.25">
      <c r="A2696" s="75">
        <f t="shared" si="41"/>
        <v>2695</v>
      </c>
      <c r="B2696" t="s">
        <v>4851</v>
      </c>
      <c r="C2696" t="s">
        <v>7622</v>
      </c>
      <c r="D2696" t="s">
        <v>7872</v>
      </c>
      <c r="F2696" t="s">
        <v>2509</v>
      </c>
      <c r="G2696" t="s">
        <v>24</v>
      </c>
      <c r="H2696" s="75" t="str">
        <f>IFERROR(VLOOKUP(Table2[[#This Row],[Ticket]],Okey!A:B,2,0),"")</f>
        <v>ok</v>
      </c>
      <c r="I2696" t="s">
        <v>19</v>
      </c>
      <c r="J2696" t="str">
        <f>VLOOKUP(Table2[[#This Row],[Author]],People!A:B,2,0)</f>
        <v>LS</v>
      </c>
      <c r="L2696" s="40"/>
      <c r="M2696" s="40" t="s">
        <v>1040</v>
      </c>
    </row>
    <row r="2697" spans="1:13" x14ac:dyDescent="0.25">
      <c r="A2697" s="75">
        <f t="shared" ref="A2697:A2760" si="42">1+A2696</f>
        <v>2696</v>
      </c>
      <c r="B2697" t="s">
        <v>4851</v>
      </c>
      <c r="C2697" t="s">
        <v>7622</v>
      </c>
      <c r="D2697" t="s">
        <v>7873</v>
      </c>
      <c r="F2697" t="s">
        <v>2509</v>
      </c>
      <c r="G2697" t="s">
        <v>24</v>
      </c>
      <c r="H2697" s="75" t="str">
        <f>IFERROR(VLOOKUP(Table2[[#This Row],[Ticket]],Okey!A:B,2,0),"")</f>
        <v>ok</v>
      </c>
      <c r="I2697" t="s">
        <v>19</v>
      </c>
      <c r="J2697" t="str">
        <f>VLOOKUP(Table2[[#This Row],[Author]],People!A:B,2,0)</f>
        <v>LS</v>
      </c>
      <c r="L2697" s="40"/>
      <c r="M2697" s="40" t="s">
        <v>1040</v>
      </c>
    </row>
    <row r="2698" spans="1:13" x14ac:dyDescent="0.25">
      <c r="A2698" s="75">
        <f t="shared" si="42"/>
        <v>2697</v>
      </c>
      <c r="B2698" t="s">
        <v>4851</v>
      </c>
      <c r="C2698" t="s">
        <v>7622</v>
      </c>
      <c r="D2698" t="s">
        <v>7874</v>
      </c>
      <c r="F2698" t="s">
        <v>2509</v>
      </c>
      <c r="G2698" t="s">
        <v>24</v>
      </c>
      <c r="H2698" s="75" t="str">
        <f>IFERROR(VLOOKUP(Table2[[#This Row],[Ticket]],Okey!A:B,2,0),"")</f>
        <v>ok</v>
      </c>
      <c r="I2698" t="s">
        <v>19</v>
      </c>
      <c r="J2698" t="str">
        <f>VLOOKUP(Table2[[#This Row],[Author]],People!A:B,2,0)</f>
        <v>LS</v>
      </c>
      <c r="L2698" s="40"/>
      <c r="M2698" s="40" t="s">
        <v>1040</v>
      </c>
    </row>
    <row r="2699" spans="1:13" x14ac:dyDescent="0.25">
      <c r="A2699" s="75">
        <f t="shared" si="42"/>
        <v>2698</v>
      </c>
      <c r="B2699" t="s">
        <v>4851</v>
      </c>
      <c r="C2699" t="s">
        <v>7622</v>
      </c>
      <c r="D2699" t="s">
        <v>7875</v>
      </c>
      <c r="F2699" t="s">
        <v>2509</v>
      </c>
      <c r="G2699" t="s">
        <v>24</v>
      </c>
      <c r="H2699" s="75" t="str">
        <f>IFERROR(VLOOKUP(Table2[[#This Row],[Ticket]],Okey!A:B,2,0),"")</f>
        <v>ok</v>
      </c>
      <c r="I2699" t="s">
        <v>19</v>
      </c>
      <c r="J2699" t="str">
        <f>VLOOKUP(Table2[[#This Row],[Author]],People!A:B,2,0)</f>
        <v>LS</v>
      </c>
      <c r="L2699" s="40"/>
      <c r="M2699" s="40" t="s">
        <v>1040</v>
      </c>
    </row>
    <row r="2700" spans="1:13" x14ac:dyDescent="0.25">
      <c r="A2700" s="75">
        <f t="shared" si="42"/>
        <v>2699</v>
      </c>
      <c r="B2700" t="s">
        <v>4851</v>
      </c>
      <c r="C2700" t="s">
        <v>7622</v>
      </c>
      <c r="D2700" t="s">
        <v>7876</v>
      </c>
      <c r="F2700" t="s">
        <v>2509</v>
      </c>
      <c r="G2700" t="s">
        <v>24</v>
      </c>
      <c r="H2700" s="75" t="str">
        <f>IFERROR(VLOOKUP(Table2[[#This Row],[Ticket]],Okey!A:B,2,0),"")</f>
        <v>ok</v>
      </c>
      <c r="I2700" t="s">
        <v>19</v>
      </c>
      <c r="J2700" t="str">
        <f>VLOOKUP(Table2[[#This Row],[Author]],People!A:B,2,0)</f>
        <v>LS</v>
      </c>
      <c r="L2700" s="40"/>
      <c r="M2700" s="40" t="s">
        <v>1040</v>
      </c>
    </row>
    <row r="2701" spans="1:13" x14ac:dyDescent="0.25">
      <c r="A2701" s="75">
        <f t="shared" si="42"/>
        <v>2700</v>
      </c>
      <c r="B2701" t="s">
        <v>4851</v>
      </c>
      <c r="C2701" t="s">
        <v>7622</v>
      </c>
      <c r="D2701" t="s">
        <v>7877</v>
      </c>
      <c r="F2701" t="s">
        <v>2509</v>
      </c>
      <c r="G2701" t="s">
        <v>24</v>
      </c>
      <c r="H2701" s="75" t="str">
        <f>IFERROR(VLOOKUP(Table2[[#This Row],[Ticket]],Okey!A:B,2,0),"")</f>
        <v>ok</v>
      </c>
      <c r="I2701" t="s">
        <v>19</v>
      </c>
      <c r="J2701" t="str">
        <f>VLOOKUP(Table2[[#This Row],[Author]],People!A:B,2,0)</f>
        <v>LS</v>
      </c>
      <c r="L2701" s="40"/>
      <c r="M2701" s="40" t="s">
        <v>1040</v>
      </c>
    </row>
    <row r="2702" spans="1:13" x14ac:dyDescent="0.25">
      <c r="A2702" s="75">
        <f t="shared" si="42"/>
        <v>2701</v>
      </c>
      <c r="B2702" t="s">
        <v>4851</v>
      </c>
      <c r="C2702" t="s">
        <v>7622</v>
      </c>
      <c r="D2702" t="s">
        <v>7878</v>
      </c>
      <c r="F2702" t="s">
        <v>2509</v>
      </c>
      <c r="G2702" t="s">
        <v>24</v>
      </c>
      <c r="H2702" s="75" t="str">
        <f>IFERROR(VLOOKUP(Table2[[#This Row],[Ticket]],Okey!A:B,2,0),"")</f>
        <v>ok</v>
      </c>
      <c r="I2702" t="s">
        <v>19</v>
      </c>
      <c r="J2702" t="str">
        <f>VLOOKUP(Table2[[#This Row],[Author]],People!A:B,2,0)</f>
        <v>LS</v>
      </c>
      <c r="L2702" s="40"/>
      <c r="M2702" s="40" t="s">
        <v>1040</v>
      </c>
    </row>
    <row r="2703" spans="1:13" x14ac:dyDescent="0.25">
      <c r="A2703" s="75">
        <f t="shared" si="42"/>
        <v>2702</v>
      </c>
      <c r="B2703" t="s">
        <v>4851</v>
      </c>
      <c r="C2703" t="s">
        <v>7622</v>
      </c>
      <c r="D2703" t="s">
        <v>7879</v>
      </c>
      <c r="F2703" t="s">
        <v>2509</v>
      </c>
      <c r="G2703" t="s">
        <v>24</v>
      </c>
      <c r="H2703" s="75" t="str">
        <f>IFERROR(VLOOKUP(Table2[[#This Row],[Ticket]],Okey!A:B,2,0),"")</f>
        <v>ok</v>
      </c>
      <c r="I2703" t="s">
        <v>19</v>
      </c>
      <c r="J2703" t="str">
        <f>VLOOKUP(Table2[[#This Row],[Author]],People!A:B,2,0)</f>
        <v>LS</v>
      </c>
      <c r="L2703" s="40"/>
      <c r="M2703" s="40" t="s">
        <v>1040</v>
      </c>
    </row>
    <row r="2704" spans="1:13" x14ac:dyDescent="0.25">
      <c r="A2704" s="75">
        <f t="shared" si="42"/>
        <v>2703</v>
      </c>
      <c r="B2704" t="s">
        <v>4851</v>
      </c>
      <c r="C2704" t="s">
        <v>7622</v>
      </c>
      <c r="D2704" t="s">
        <v>7880</v>
      </c>
      <c r="F2704" t="s">
        <v>2509</v>
      </c>
      <c r="G2704" t="s">
        <v>24</v>
      </c>
      <c r="H2704" s="75" t="str">
        <f>IFERROR(VLOOKUP(Table2[[#This Row],[Ticket]],Okey!A:B,2,0),"")</f>
        <v>ok</v>
      </c>
      <c r="I2704" t="s">
        <v>19</v>
      </c>
      <c r="J2704" t="str">
        <f>VLOOKUP(Table2[[#This Row],[Author]],People!A:B,2,0)</f>
        <v>LS</v>
      </c>
      <c r="L2704" s="40"/>
      <c r="M2704" s="40" t="s">
        <v>1040</v>
      </c>
    </row>
    <row r="2705" spans="1:13" x14ac:dyDescent="0.25">
      <c r="A2705" s="75">
        <f t="shared" si="42"/>
        <v>2704</v>
      </c>
      <c r="B2705" t="s">
        <v>4851</v>
      </c>
      <c r="C2705" t="s">
        <v>7622</v>
      </c>
      <c r="D2705" t="s">
        <v>7881</v>
      </c>
      <c r="F2705" t="s">
        <v>2509</v>
      </c>
      <c r="G2705" t="s">
        <v>24</v>
      </c>
      <c r="H2705" s="75" t="str">
        <f>IFERROR(VLOOKUP(Table2[[#This Row],[Ticket]],Okey!A:B,2,0),"")</f>
        <v>ok</v>
      </c>
      <c r="I2705" t="s">
        <v>19</v>
      </c>
      <c r="J2705" t="str">
        <f>VLOOKUP(Table2[[#This Row],[Author]],People!A:B,2,0)</f>
        <v>LS</v>
      </c>
      <c r="L2705" s="40"/>
      <c r="M2705" s="40" t="s">
        <v>1040</v>
      </c>
    </row>
    <row r="2706" spans="1:13" x14ac:dyDescent="0.25">
      <c r="A2706" s="75">
        <f t="shared" si="42"/>
        <v>2705</v>
      </c>
      <c r="B2706" t="s">
        <v>4851</v>
      </c>
      <c r="C2706" t="s">
        <v>7622</v>
      </c>
      <c r="D2706" t="s">
        <v>7882</v>
      </c>
      <c r="F2706" t="s">
        <v>2509</v>
      </c>
      <c r="G2706" t="s">
        <v>24</v>
      </c>
      <c r="H2706" s="75" t="str">
        <f>IFERROR(VLOOKUP(Table2[[#This Row],[Ticket]],Okey!A:B,2,0),"")</f>
        <v>ok</v>
      </c>
      <c r="I2706" t="s">
        <v>19</v>
      </c>
      <c r="J2706" t="str">
        <f>VLOOKUP(Table2[[#This Row],[Author]],People!A:B,2,0)</f>
        <v>LS</v>
      </c>
      <c r="L2706" s="40"/>
      <c r="M2706" s="40" t="s">
        <v>1040</v>
      </c>
    </row>
    <row r="2707" spans="1:13" x14ac:dyDescent="0.25">
      <c r="A2707" s="75">
        <f t="shared" si="42"/>
        <v>2706</v>
      </c>
      <c r="B2707" t="s">
        <v>4851</v>
      </c>
      <c r="C2707" t="s">
        <v>7622</v>
      </c>
      <c r="D2707" t="s">
        <v>7883</v>
      </c>
      <c r="F2707" t="s">
        <v>2509</v>
      </c>
      <c r="G2707" t="s">
        <v>24</v>
      </c>
      <c r="H2707" s="75" t="str">
        <f>IFERROR(VLOOKUP(Table2[[#This Row],[Ticket]],Okey!A:B,2,0),"")</f>
        <v>ok</v>
      </c>
      <c r="I2707" t="s">
        <v>19</v>
      </c>
      <c r="J2707" t="str">
        <f>VLOOKUP(Table2[[#This Row],[Author]],People!A:B,2,0)</f>
        <v>LS</v>
      </c>
      <c r="L2707" s="40"/>
      <c r="M2707" s="40" t="s">
        <v>1040</v>
      </c>
    </row>
    <row r="2708" spans="1:13" x14ac:dyDescent="0.25">
      <c r="A2708" s="75">
        <f t="shared" si="42"/>
        <v>2707</v>
      </c>
      <c r="B2708" t="s">
        <v>4851</v>
      </c>
      <c r="C2708" t="s">
        <v>7622</v>
      </c>
      <c r="D2708" t="s">
        <v>7884</v>
      </c>
      <c r="F2708" t="s">
        <v>2509</v>
      </c>
      <c r="G2708" t="s">
        <v>24</v>
      </c>
      <c r="H2708" s="75" t="str">
        <f>IFERROR(VLOOKUP(Table2[[#This Row],[Ticket]],Okey!A:B,2,0),"")</f>
        <v>ok</v>
      </c>
      <c r="I2708" t="s">
        <v>19</v>
      </c>
      <c r="J2708" t="str">
        <f>VLOOKUP(Table2[[#This Row],[Author]],People!A:B,2,0)</f>
        <v>LS</v>
      </c>
      <c r="L2708" s="40"/>
      <c r="M2708" s="40" t="s">
        <v>1040</v>
      </c>
    </row>
    <row r="2709" spans="1:13" x14ac:dyDescent="0.25">
      <c r="A2709" s="75">
        <f t="shared" si="42"/>
        <v>2708</v>
      </c>
      <c r="B2709" t="s">
        <v>4851</v>
      </c>
      <c r="C2709" t="s">
        <v>7622</v>
      </c>
      <c r="D2709" t="s">
        <v>7885</v>
      </c>
      <c r="F2709" t="s">
        <v>2509</v>
      </c>
      <c r="G2709" t="s">
        <v>24</v>
      </c>
      <c r="H2709" s="75" t="str">
        <f>IFERROR(VLOOKUP(Table2[[#This Row],[Ticket]],Okey!A:B,2,0),"")</f>
        <v>ok</v>
      </c>
      <c r="I2709" t="s">
        <v>19</v>
      </c>
      <c r="J2709" t="str">
        <f>VLOOKUP(Table2[[#This Row],[Author]],People!A:B,2,0)</f>
        <v>LS</v>
      </c>
      <c r="L2709" s="40"/>
      <c r="M2709" s="40" t="s">
        <v>1040</v>
      </c>
    </row>
    <row r="2710" spans="1:13" x14ac:dyDescent="0.25">
      <c r="A2710" s="75">
        <f t="shared" si="42"/>
        <v>2709</v>
      </c>
      <c r="B2710" t="s">
        <v>4851</v>
      </c>
      <c r="C2710" t="s">
        <v>7622</v>
      </c>
      <c r="D2710" t="s">
        <v>6216</v>
      </c>
      <c r="F2710" t="s">
        <v>2509</v>
      </c>
      <c r="G2710" t="s">
        <v>24</v>
      </c>
      <c r="H2710" s="75" t="str">
        <f>IFERROR(VLOOKUP(Table2[[#This Row],[Ticket]],Okey!A:B,2,0),"")</f>
        <v>ok</v>
      </c>
      <c r="I2710" t="s">
        <v>19</v>
      </c>
      <c r="J2710" t="str">
        <f>VLOOKUP(Table2[[#This Row],[Author]],People!A:B,2,0)</f>
        <v>LS</v>
      </c>
      <c r="L2710" s="40"/>
      <c r="M2710" s="40" t="s">
        <v>1040</v>
      </c>
    </row>
    <row r="2711" spans="1:13" x14ac:dyDescent="0.25">
      <c r="A2711" s="75">
        <f t="shared" si="42"/>
        <v>2710</v>
      </c>
      <c r="B2711" t="s">
        <v>4851</v>
      </c>
      <c r="C2711" t="s">
        <v>7622</v>
      </c>
      <c r="D2711" t="s">
        <v>7886</v>
      </c>
      <c r="F2711" t="s">
        <v>2509</v>
      </c>
      <c r="G2711" t="s">
        <v>24</v>
      </c>
      <c r="H2711" s="75" t="str">
        <f>IFERROR(VLOOKUP(Table2[[#This Row],[Ticket]],Okey!A:B,2,0),"")</f>
        <v>ok</v>
      </c>
      <c r="I2711" t="s">
        <v>19</v>
      </c>
      <c r="J2711" t="str">
        <f>VLOOKUP(Table2[[#This Row],[Author]],People!A:B,2,0)</f>
        <v>LS</v>
      </c>
      <c r="L2711" s="40"/>
      <c r="M2711" s="40" t="s">
        <v>1040</v>
      </c>
    </row>
    <row r="2712" spans="1:13" x14ac:dyDescent="0.25">
      <c r="A2712" s="75">
        <f t="shared" si="42"/>
        <v>2711</v>
      </c>
      <c r="B2712" t="s">
        <v>4851</v>
      </c>
      <c r="C2712" t="s">
        <v>7622</v>
      </c>
      <c r="D2712" t="s">
        <v>6189</v>
      </c>
      <c r="F2712" t="s">
        <v>2509</v>
      </c>
      <c r="G2712" t="s">
        <v>24</v>
      </c>
      <c r="H2712" s="75" t="str">
        <f>IFERROR(VLOOKUP(Table2[[#This Row],[Ticket]],Okey!A:B,2,0),"")</f>
        <v>ok</v>
      </c>
      <c r="I2712" t="s">
        <v>19</v>
      </c>
      <c r="J2712" t="str">
        <f>VLOOKUP(Table2[[#This Row],[Author]],People!A:B,2,0)</f>
        <v>LS</v>
      </c>
      <c r="L2712" s="40"/>
      <c r="M2712" s="40" t="s">
        <v>1040</v>
      </c>
    </row>
    <row r="2713" spans="1:13" x14ac:dyDescent="0.25">
      <c r="A2713" s="75">
        <f t="shared" si="42"/>
        <v>2712</v>
      </c>
      <c r="B2713" t="s">
        <v>4851</v>
      </c>
      <c r="C2713" t="s">
        <v>7622</v>
      </c>
      <c r="D2713" t="s">
        <v>1273</v>
      </c>
      <c r="F2713" t="s">
        <v>2509</v>
      </c>
      <c r="G2713" t="s">
        <v>24</v>
      </c>
      <c r="H2713" s="75" t="str">
        <f>IFERROR(VLOOKUP(Table2[[#This Row],[Ticket]],Okey!A:B,2,0),"")</f>
        <v>ok</v>
      </c>
      <c r="I2713" t="s">
        <v>19</v>
      </c>
      <c r="J2713" t="str">
        <f>VLOOKUP(Table2[[#This Row],[Author]],People!A:B,2,0)</f>
        <v>LS</v>
      </c>
      <c r="L2713" s="40"/>
      <c r="M2713" s="40" t="s">
        <v>1040</v>
      </c>
    </row>
    <row r="2714" spans="1:13" x14ac:dyDescent="0.25">
      <c r="A2714" s="75">
        <f t="shared" si="42"/>
        <v>2713</v>
      </c>
      <c r="B2714" t="s">
        <v>4851</v>
      </c>
      <c r="C2714" t="s">
        <v>7622</v>
      </c>
      <c r="D2714" t="s">
        <v>6169</v>
      </c>
      <c r="F2714" t="s">
        <v>2509</v>
      </c>
      <c r="G2714" t="s">
        <v>24</v>
      </c>
      <c r="H2714" s="75" t="str">
        <f>IFERROR(VLOOKUP(Table2[[#This Row],[Ticket]],Okey!A:B,2,0),"")</f>
        <v>ok</v>
      </c>
      <c r="I2714" t="s">
        <v>19</v>
      </c>
      <c r="J2714" t="str">
        <f>VLOOKUP(Table2[[#This Row],[Author]],People!A:B,2,0)</f>
        <v>LS</v>
      </c>
      <c r="L2714" s="40"/>
      <c r="M2714" s="40" t="s">
        <v>1040</v>
      </c>
    </row>
    <row r="2715" spans="1:13" x14ac:dyDescent="0.25">
      <c r="A2715" s="75">
        <f t="shared" si="42"/>
        <v>2714</v>
      </c>
      <c r="B2715" t="s">
        <v>4851</v>
      </c>
      <c r="C2715" t="s">
        <v>7622</v>
      </c>
      <c r="D2715" t="s">
        <v>6170</v>
      </c>
      <c r="F2715" t="s">
        <v>2509</v>
      </c>
      <c r="G2715" t="s">
        <v>24</v>
      </c>
      <c r="H2715" s="75" t="str">
        <f>IFERROR(VLOOKUP(Table2[[#This Row],[Ticket]],Okey!A:B,2,0),"")</f>
        <v>ok</v>
      </c>
      <c r="I2715" t="s">
        <v>19</v>
      </c>
      <c r="J2715" t="str">
        <f>VLOOKUP(Table2[[#This Row],[Author]],People!A:B,2,0)</f>
        <v>LS</v>
      </c>
      <c r="L2715" s="40"/>
      <c r="M2715" s="40" t="s">
        <v>1040</v>
      </c>
    </row>
    <row r="2716" spans="1:13" x14ac:dyDescent="0.25">
      <c r="A2716" s="75">
        <f t="shared" si="42"/>
        <v>2715</v>
      </c>
      <c r="B2716" t="s">
        <v>4851</v>
      </c>
      <c r="C2716" t="s">
        <v>7622</v>
      </c>
      <c r="D2716" t="s">
        <v>6171</v>
      </c>
      <c r="F2716" t="s">
        <v>2509</v>
      </c>
      <c r="G2716" t="s">
        <v>24</v>
      </c>
      <c r="H2716" s="75" t="str">
        <f>IFERROR(VLOOKUP(Table2[[#This Row],[Ticket]],Okey!A:B,2,0),"")</f>
        <v>ok</v>
      </c>
      <c r="I2716" t="s">
        <v>19</v>
      </c>
      <c r="J2716" t="str">
        <f>VLOOKUP(Table2[[#This Row],[Author]],People!A:B,2,0)</f>
        <v>LS</v>
      </c>
      <c r="L2716" s="40"/>
      <c r="M2716" s="40" t="s">
        <v>1040</v>
      </c>
    </row>
    <row r="2717" spans="1:13" x14ac:dyDescent="0.25">
      <c r="A2717" s="75">
        <f t="shared" si="42"/>
        <v>2716</v>
      </c>
      <c r="B2717" t="s">
        <v>4851</v>
      </c>
      <c r="C2717" t="s">
        <v>7622</v>
      </c>
      <c r="D2717" t="s">
        <v>6172</v>
      </c>
      <c r="F2717" t="s">
        <v>2509</v>
      </c>
      <c r="G2717" t="s">
        <v>24</v>
      </c>
      <c r="H2717" s="75" t="str">
        <f>IFERROR(VLOOKUP(Table2[[#This Row],[Ticket]],Okey!A:B,2,0),"")</f>
        <v>ok</v>
      </c>
      <c r="I2717" t="s">
        <v>19</v>
      </c>
      <c r="J2717" t="str">
        <f>VLOOKUP(Table2[[#This Row],[Author]],People!A:B,2,0)</f>
        <v>LS</v>
      </c>
      <c r="L2717" s="40"/>
      <c r="M2717" s="40" t="s">
        <v>1040</v>
      </c>
    </row>
    <row r="2718" spans="1:13" x14ac:dyDescent="0.25">
      <c r="A2718" s="75">
        <f t="shared" si="42"/>
        <v>2717</v>
      </c>
      <c r="B2718" t="s">
        <v>4851</v>
      </c>
      <c r="C2718" t="s">
        <v>7622</v>
      </c>
      <c r="D2718" t="s">
        <v>6173</v>
      </c>
      <c r="F2718" t="s">
        <v>2509</v>
      </c>
      <c r="G2718" t="s">
        <v>24</v>
      </c>
      <c r="H2718" s="75" t="str">
        <f>IFERROR(VLOOKUP(Table2[[#This Row],[Ticket]],Okey!A:B,2,0),"")</f>
        <v>ok</v>
      </c>
      <c r="I2718" t="s">
        <v>19</v>
      </c>
      <c r="J2718" t="str">
        <f>VLOOKUP(Table2[[#This Row],[Author]],People!A:B,2,0)</f>
        <v>LS</v>
      </c>
      <c r="L2718" s="40"/>
      <c r="M2718" s="40" t="s">
        <v>1040</v>
      </c>
    </row>
    <row r="2719" spans="1:13" x14ac:dyDescent="0.25">
      <c r="A2719" s="75">
        <f t="shared" si="42"/>
        <v>2718</v>
      </c>
      <c r="B2719" t="s">
        <v>4851</v>
      </c>
      <c r="C2719" t="s">
        <v>7622</v>
      </c>
      <c r="D2719" t="s">
        <v>6174</v>
      </c>
      <c r="F2719" t="s">
        <v>2509</v>
      </c>
      <c r="G2719" t="s">
        <v>24</v>
      </c>
      <c r="H2719" s="75" t="str">
        <f>IFERROR(VLOOKUP(Table2[[#This Row],[Ticket]],Okey!A:B,2,0),"")</f>
        <v>ok</v>
      </c>
      <c r="I2719" t="s">
        <v>19</v>
      </c>
      <c r="J2719" t="str">
        <f>VLOOKUP(Table2[[#This Row],[Author]],People!A:B,2,0)</f>
        <v>LS</v>
      </c>
      <c r="L2719" s="40"/>
      <c r="M2719" s="40" t="s">
        <v>1040</v>
      </c>
    </row>
    <row r="2720" spans="1:13" x14ac:dyDescent="0.25">
      <c r="A2720" s="75">
        <f t="shared" si="42"/>
        <v>2719</v>
      </c>
      <c r="B2720" t="s">
        <v>4851</v>
      </c>
      <c r="C2720" t="s">
        <v>7622</v>
      </c>
      <c r="D2720" t="s">
        <v>1274</v>
      </c>
      <c r="F2720" t="s">
        <v>2509</v>
      </c>
      <c r="G2720" t="s">
        <v>24</v>
      </c>
      <c r="H2720" s="75" t="str">
        <f>IFERROR(VLOOKUP(Table2[[#This Row],[Ticket]],Okey!A:B,2,0),"")</f>
        <v>ok</v>
      </c>
      <c r="I2720" t="s">
        <v>19</v>
      </c>
      <c r="J2720" t="str">
        <f>VLOOKUP(Table2[[#This Row],[Author]],People!A:B,2,0)</f>
        <v>LS</v>
      </c>
      <c r="L2720" s="40"/>
      <c r="M2720" s="40" t="s">
        <v>1040</v>
      </c>
    </row>
    <row r="2721" spans="1:13" x14ac:dyDescent="0.25">
      <c r="A2721" s="75">
        <f t="shared" si="42"/>
        <v>2720</v>
      </c>
      <c r="B2721" t="s">
        <v>4851</v>
      </c>
      <c r="C2721" t="s">
        <v>7622</v>
      </c>
      <c r="D2721" t="s">
        <v>1271</v>
      </c>
      <c r="F2721" t="s">
        <v>2509</v>
      </c>
      <c r="G2721" t="s">
        <v>24</v>
      </c>
      <c r="H2721" s="75" t="str">
        <f>IFERROR(VLOOKUP(Table2[[#This Row],[Ticket]],Okey!A:B,2,0),"")</f>
        <v>ok</v>
      </c>
      <c r="I2721" t="s">
        <v>19</v>
      </c>
      <c r="J2721" t="str">
        <f>VLOOKUP(Table2[[#This Row],[Author]],People!A:B,2,0)</f>
        <v>LS</v>
      </c>
      <c r="L2721" s="40"/>
      <c r="M2721" s="40" t="s">
        <v>1040</v>
      </c>
    </row>
    <row r="2722" spans="1:13" x14ac:dyDescent="0.25">
      <c r="A2722" s="75">
        <f t="shared" si="42"/>
        <v>2721</v>
      </c>
      <c r="B2722" t="s">
        <v>4851</v>
      </c>
      <c r="C2722" t="s">
        <v>7622</v>
      </c>
      <c r="D2722" t="s">
        <v>6187</v>
      </c>
      <c r="F2722" t="s">
        <v>2509</v>
      </c>
      <c r="G2722" t="s">
        <v>24</v>
      </c>
      <c r="H2722" s="75" t="str">
        <f>IFERROR(VLOOKUP(Table2[[#This Row],[Ticket]],Okey!A:B,2,0),"")</f>
        <v>ok</v>
      </c>
      <c r="I2722" t="s">
        <v>19</v>
      </c>
      <c r="J2722" t="str">
        <f>VLOOKUP(Table2[[#This Row],[Author]],People!A:B,2,0)</f>
        <v>LS</v>
      </c>
      <c r="L2722" s="40"/>
      <c r="M2722" s="40" t="s">
        <v>1040</v>
      </c>
    </row>
    <row r="2723" spans="1:13" x14ac:dyDescent="0.25">
      <c r="A2723" s="75">
        <f t="shared" si="42"/>
        <v>2722</v>
      </c>
      <c r="B2723" t="s">
        <v>4851</v>
      </c>
      <c r="C2723" t="s">
        <v>7622</v>
      </c>
      <c r="D2723" t="s">
        <v>1275</v>
      </c>
      <c r="F2723" t="s">
        <v>2509</v>
      </c>
      <c r="G2723" t="s">
        <v>24</v>
      </c>
      <c r="H2723" s="75" t="str">
        <f>IFERROR(VLOOKUP(Table2[[#This Row],[Ticket]],Okey!A:B,2,0),"")</f>
        <v>ok</v>
      </c>
      <c r="I2723" t="s">
        <v>19</v>
      </c>
      <c r="J2723" t="str">
        <f>VLOOKUP(Table2[[#This Row],[Author]],People!A:B,2,0)</f>
        <v>LS</v>
      </c>
      <c r="L2723" s="40"/>
      <c r="M2723" s="40" t="s">
        <v>1040</v>
      </c>
    </row>
    <row r="2724" spans="1:13" x14ac:dyDescent="0.25">
      <c r="A2724" s="75">
        <f t="shared" si="42"/>
        <v>2723</v>
      </c>
      <c r="B2724" t="s">
        <v>4851</v>
      </c>
      <c r="C2724" t="s">
        <v>7622</v>
      </c>
      <c r="D2724" t="s">
        <v>7887</v>
      </c>
      <c r="F2724" t="s">
        <v>2509</v>
      </c>
      <c r="G2724" t="s">
        <v>24</v>
      </c>
      <c r="H2724" s="75" t="str">
        <f>IFERROR(VLOOKUP(Table2[[#This Row],[Ticket]],Okey!A:B,2,0),"")</f>
        <v>ok</v>
      </c>
      <c r="I2724" t="s">
        <v>19</v>
      </c>
      <c r="J2724" t="str">
        <f>VLOOKUP(Table2[[#This Row],[Author]],People!A:B,2,0)</f>
        <v>LS</v>
      </c>
      <c r="L2724" s="40"/>
      <c r="M2724" s="40" t="s">
        <v>1040</v>
      </c>
    </row>
    <row r="2725" spans="1:13" x14ac:dyDescent="0.25">
      <c r="A2725" s="75">
        <f t="shared" si="42"/>
        <v>2724</v>
      </c>
      <c r="B2725" t="s">
        <v>4851</v>
      </c>
      <c r="C2725" t="s">
        <v>7622</v>
      </c>
      <c r="D2725" t="s">
        <v>7888</v>
      </c>
      <c r="F2725" t="s">
        <v>2509</v>
      </c>
      <c r="G2725" t="s">
        <v>24</v>
      </c>
      <c r="H2725" s="75" t="str">
        <f>IFERROR(VLOOKUP(Table2[[#This Row],[Ticket]],Okey!A:B,2,0),"")</f>
        <v>ok</v>
      </c>
      <c r="I2725" t="s">
        <v>19</v>
      </c>
      <c r="J2725" t="str">
        <f>VLOOKUP(Table2[[#This Row],[Author]],People!A:B,2,0)</f>
        <v>LS</v>
      </c>
      <c r="L2725" s="40"/>
      <c r="M2725" s="40" t="s">
        <v>1040</v>
      </c>
    </row>
    <row r="2726" spans="1:13" x14ac:dyDescent="0.25">
      <c r="A2726" s="75">
        <f t="shared" si="42"/>
        <v>2725</v>
      </c>
      <c r="B2726" t="s">
        <v>4851</v>
      </c>
      <c r="C2726" t="s">
        <v>7622</v>
      </c>
      <c r="D2726" t="s">
        <v>7889</v>
      </c>
      <c r="F2726" t="s">
        <v>2509</v>
      </c>
      <c r="G2726" t="s">
        <v>24</v>
      </c>
      <c r="H2726" s="75" t="str">
        <f>IFERROR(VLOOKUP(Table2[[#This Row],[Ticket]],Okey!A:B,2,0),"")</f>
        <v>ok</v>
      </c>
      <c r="I2726" t="s">
        <v>19</v>
      </c>
      <c r="J2726" t="str">
        <f>VLOOKUP(Table2[[#This Row],[Author]],People!A:B,2,0)</f>
        <v>LS</v>
      </c>
      <c r="L2726" s="40"/>
      <c r="M2726" s="40" t="s">
        <v>1040</v>
      </c>
    </row>
    <row r="2727" spans="1:13" x14ac:dyDescent="0.25">
      <c r="A2727" s="75">
        <f t="shared" si="42"/>
        <v>2726</v>
      </c>
      <c r="B2727" t="s">
        <v>4851</v>
      </c>
      <c r="C2727" t="s">
        <v>7622</v>
      </c>
      <c r="D2727" t="s">
        <v>1276</v>
      </c>
      <c r="F2727" t="s">
        <v>2509</v>
      </c>
      <c r="G2727" t="s">
        <v>24</v>
      </c>
      <c r="H2727" s="75" t="str">
        <f>IFERROR(VLOOKUP(Table2[[#This Row],[Ticket]],Okey!A:B,2,0),"")</f>
        <v>ok</v>
      </c>
      <c r="I2727" t="s">
        <v>19</v>
      </c>
      <c r="J2727" t="str">
        <f>VLOOKUP(Table2[[#This Row],[Author]],People!A:B,2,0)</f>
        <v>LS</v>
      </c>
      <c r="L2727" s="40"/>
      <c r="M2727" s="40" t="s">
        <v>1040</v>
      </c>
    </row>
    <row r="2728" spans="1:13" x14ac:dyDescent="0.25">
      <c r="A2728" s="75">
        <f t="shared" si="42"/>
        <v>2727</v>
      </c>
      <c r="B2728" t="s">
        <v>4851</v>
      </c>
      <c r="C2728" t="s">
        <v>7622</v>
      </c>
      <c r="D2728" t="s">
        <v>7890</v>
      </c>
      <c r="F2728" t="s">
        <v>2509</v>
      </c>
      <c r="G2728" t="s">
        <v>24</v>
      </c>
      <c r="H2728" s="75" t="str">
        <f>IFERROR(VLOOKUP(Table2[[#This Row],[Ticket]],Okey!A:B,2,0),"")</f>
        <v>ok</v>
      </c>
      <c r="I2728" t="s">
        <v>19</v>
      </c>
      <c r="J2728" t="str">
        <f>VLOOKUP(Table2[[#This Row],[Author]],People!A:B,2,0)</f>
        <v>LS</v>
      </c>
      <c r="L2728" s="40"/>
      <c r="M2728" s="40" t="s">
        <v>1040</v>
      </c>
    </row>
    <row r="2729" spans="1:13" x14ac:dyDescent="0.25">
      <c r="A2729" s="75">
        <f t="shared" si="42"/>
        <v>2728</v>
      </c>
      <c r="B2729" t="s">
        <v>4851</v>
      </c>
      <c r="C2729" t="s">
        <v>7622</v>
      </c>
      <c r="D2729" t="s">
        <v>7891</v>
      </c>
      <c r="F2729" t="s">
        <v>2509</v>
      </c>
      <c r="G2729" t="s">
        <v>24</v>
      </c>
      <c r="H2729" s="75" t="str">
        <f>IFERROR(VLOOKUP(Table2[[#This Row],[Ticket]],Okey!A:B,2,0),"")</f>
        <v>ok</v>
      </c>
      <c r="I2729" t="s">
        <v>19</v>
      </c>
      <c r="J2729" t="str">
        <f>VLOOKUP(Table2[[#This Row],[Author]],People!A:B,2,0)</f>
        <v>LS</v>
      </c>
      <c r="L2729" s="40"/>
      <c r="M2729" s="40" t="s">
        <v>1040</v>
      </c>
    </row>
    <row r="2730" spans="1:13" x14ac:dyDescent="0.25">
      <c r="A2730" s="75">
        <f t="shared" si="42"/>
        <v>2729</v>
      </c>
      <c r="B2730" t="s">
        <v>4851</v>
      </c>
      <c r="C2730" t="s">
        <v>7622</v>
      </c>
      <c r="D2730" t="s">
        <v>7892</v>
      </c>
      <c r="F2730" t="s">
        <v>2509</v>
      </c>
      <c r="G2730" t="s">
        <v>24</v>
      </c>
      <c r="H2730" s="75" t="str">
        <f>IFERROR(VLOOKUP(Table2[[#This Row],[Ticket]],Okey!A:B,2,0),"")</f>
        <v>ok</v>
      </c>
      <c r="I2730" t="s">
        <v>19</v>
      </c>
      <c r="J2730" t="str">
        <f>VLOOKUP(Table2[[#This Row],[Author]],People!A:B,2,0)</f>
        <v>LS</v>
      </c>
      <c r="L2730" s="40"/>
      <c r="M2730" s="40" t="s">
        <v>1040</v>
      </c>
    </row>
    <row r="2731" spans="1:13" x14ac:dyDescent="0.25">
      <c r="A2731" s="75">
        <f t="shared" si="42"/>
        <v>2730</v>
      </c>
      <c r="B2731" t="s">
        <v>4851</v>
      </c>
      <c r="C2731" t="s">
        <v>7622</v>
      </c>
      <c r="D2731" t="s">
        <v>7893</v>
      </c>
      <c r="F2731" t="s">
        <v>2509</v>
      </c>
      <c r="G2731" t="s">
        <v>24</v>
      </c>
      <c r="H2731" s="75" t="str">
        <f>IFERROR(VLOOKUP(Table2[[#This Row],[Ticket]],Okey!A:B,2,0),"")</f>
        <v>ok</v>
      </c>
      <c r="I2731" t="s">
        <v>19</v>
      </c>
      <c r="J2731" t="str">
        <f>VLOOKUP(Table2[[#This Row],[Author]],People!A:B,2,0)</f>
        <v>LS</v>
      </c>
      <c r="L2731" s="40"/>
      <c r="M2731" s="40" t="s">
        <v>1040</v>
      </c>
    </row>
    <row r="2732" spans="1:13" x14ac:dyDescent="0.25">
      <c r="A2732" s="75">
        <f t="shared" si="42"/>
        <v>2731</v>
      </c>
      <c r="B2732" t="s">
        <v>4851</v>
      </c>
      <c r="C2732" t="s">
        <v>7622</v>
      </c>
      <c r="D2732" t="s">
        <v>1270</v>
      </c>
      <c r="F2732" t="s">
        <v>2509</v>
      </c>
      <c r="G2732" t="s">
        <v>24</v>
      </c>
      <c r="H2732" s="75" t="str">
        <f>IFERROR(VLOOKUP(Table2[[#This Row],[Ticket]],Okey!A:B,2,0),"")</f>
        <v>ok</v>
      </c>
      <c r="I2732" t="s">
        <v>19</v>
      </c>
      <c r="J2732" t="str">
        <f>VLOOKUP(Table2[[#This Row],[Author]],People!A:B,2,0)</f>
        <v>LS</v>
      </c>
      <c r="L2732" s="40"/>
      <c r="M2732" s="40" t="s">
        <v>1040</v>
      </c>
    </row>
    <row r="2733" spans="1:13" x14ac:dyDescent="0.25">
      <c r="A2733" s="75">
        <f t="shared" si="42"/>
        <v>2732</v>
      </c>
      <c r="B2733" t="s">
        <v>4851</v>
      </c>
      <c r="C2733" t="s">
        <v>7622</v>
      </c>
      <c r="D2733" t="s">
        <v>1268</v>
      </c>
      <c r="F2733" t="s">
        <v>2509</v>
      </c>
      <c r="G2733" t="s">
        <v>24</v>
      </c>
      <c r="H2733" s="75" t="str">
        <f>IFERROR(VLOOKUP(Table2[[#This Row],[Ticket]],Okey!A:B,2,0),"")</f>
        <v>ok</v>
      </c>
      <c r="I2733" t="s">
        <v>19</v>
      </c>
      <c r="J2733" t="str">
        <f>VLOOKUP(Table2[[#This Row],[Author]],People!A:B,2,0)</f>
        <v>LS</v>
      </c>
      <c r="L2733" s="40"/>
      <c r="M2733" s="40" t="s">
        <v>1040</v>
      </c>
    </row>
    <row r="2734" spans="1:13" x14ac:dyDescent="0.25">
      <c r="A2734" s="75">
        <f t="shared" si="42"/>
        <v>2733</v>
      </c>
      <c r="B2734" t="s">
        <v>4851</v>
      </c>
      <c r="C2734" t="s">
        <v>7622</v>
      </c>
      <c r="D2734" t="s">
        <v>1266</v>
      </c>
      <c r="F2734" t="s">
        <v>2509</v>
      </c>
      <c r="G2734" t="s">
        <v>24</v>
      </c>
      <c r="H2734" s="75" t="str">
        <f>IFERROR(VLOOKUP(Table2[[#This Row],[Ticket]],Okey!A:B,2,0),"")</f>
        <v>ok</v>
      </c>
      <c r="I2734" t="s">
        <v>19</v>
      </c>
      <c r="J2734" t="str">
        <f>VLOOKUP(Table2[[#This Row],[Author]],People!A:B,2,0)</f>
        <v>LS</v>
      </c>
      <c r="L2734" s="40"/>
      <c r="M2734" s="40" t="s">
        <v>1040</v>
      </c>
    </row>
    <row r="2735" spans="1:13" x14ac:dyDescent="0.25">
      <c r="A2735" s="75">
        <f t="shared" si="42"/>
        <v>2734</v>
      </c>
      <c r="B2735" t="s">
        <v>4851</v>
      </c>
      <c r="C2735" t="s">
        <v>7622</v>
      </c>
      <c r="D2735" t="s">
        <v>7894</v>
      </c>
      <c r="F2735" t="s">
        <v>2509</v>
      </c>
      <c r="G2735" t="s">
        <v>24</v>
      </c>
      <c r="H2735" s="75" t="str">
        <f>IFERROR(VLOOKUP(Table2[[#This Row],[Ticket]],Okey!A:B,2,0),"")</f>
        <v>ok</v>
      </c>
      <c r="I2735" t="s">
        <v>19</v>
      </c>
      <c r="J2735" t="str">
        <f>VLOOKUP(Table2[[#This Row],[Author]],People!A:B,2,0)</f>
        <v>LS</v>
      </c>
      <c r="L2735" s="40"/>
      <c r="M2735" s="40" t="s">
        <v>1040</v>
      </c>
    </row>
    <row r="2736" spans="1:13" x14ac:dyDescent="0.25">
      <c r="A2736" s="75">
        <f t="shared" si="42"/>
        <v>2735</v>
      </c>
      <c r="B2736" t="s">
        <v>4851</v>
      </c>
      <c r="C2736" t="s">
        <v>7622</v>
      </c>
      <c r="D2736" t="s">
        <v>7895</v>
      </c>
      <c r="F2736" t="s">
        <v>2509</v>
      </c>
      <c r="G2736" t="s">
        <v>24</v>
      </c>
      <c r="H2736" s="75" t="str">
        <f>IFERROR(VLOOKUP(Table2[[#This Row],[Ticket]],Okey!A:B,2,0),"")</f>
        <v>ok</v>
      </c>
      <c r="I2736" t="s">
        <v>19</v>
      </c>
      <c r="J2736" t="str">
        <f>VLOOKUP(Table2[[#This Row],[Author]],People!A:B,2,0)</f>
        <v>LS</v>
      </c>
      <c r="L2736" s="40"/>
      <c r="M2736" s="40" t="s">
        <v>1040</v>
      </c>
    </row>
    <row r="2737" spans="1:13" x14ac:dyDescent="0.25">
      <c r="A2737" s="75">
        <f t="shared" si="42"/>
        <v>2736</v>
      </c>
      <c r="B2737" t="s">
        <v>4851</v>
      </c>
      <c r="C2737" t="s">
        <v>7622</v>
      </c>
      <c r="D2737" t="s">
        <v>1264</v>
      </c>
      <c r="F2737" t="s">
        <v>2509</v>
      </c>
      <c r="G2737" t="s">
        <v>24</v>
      </c>
      <c r="H2737" s="75" t="str">
        <f>IFERROR(VLOOKUP(Table2[[#This Row],[Ticket]],Okey!A:B,2,0),"")</f>
        <v>ok</v>
      </c>
      <c r="I2737" t="s">
        <v>19</v>
      </c>
      <c r="J2737" t="str">
        <f>VLOOKUP(Table2[[#This Row],[Author]],People!A:B,2,0)</f>
        <v>LS</v>
      </c>
      <c r="L2737" s="40"/>
      <c r="M2737" s="40" t="s">
        <v>1040</v>
      </c>
    </row>
    <row r="2738" spans="1:13" x14ac:dyDescent="0.25">
      <c r="A2738" s="75">
        <f t="shared" si="42"/>
        <v>2737</v>
      </c>
      <c r="B2738" t="s">
        <v>4851</v>
      </c>
      <c r="C2738" t="s">
        <v>7622</v>
      </c>
      <c r="D2738" t="s">
        <v>7896</v>
      </c>
      <c r="F2738" t="s">
        <v>2509</v>
      </c>
      <c r="G2738" t="s">
        <v>24</v>
      </c>
      <c r="H2738" s="75" t="str">
        <f>IFERROR(VLOOKUP(Table2[[#This Row],[Ticket]],Okey!A:B,2,0),"")</f>
        <v>ok</v>
      </c>
      <c r="I2738" t="s">
        <v>19</v>
      </c>
      <c r="J2738" t="str">
        <f>VLOOKUP(Table2[[#This Row],[Author]],People!A:B,2,0)</f>
        <v>LS</v>
      </c>
      <c r="L2738" s="40"/>
      <c r="M2738" s="40" t="s">
        <v>1040</v>
      </c>
    </row>
    <row r="2739" spans="1:13" x14ac:dyDescent="0.25">
      <c r="A2739" s="75">
        <f t="shared" si="42"/>
        <v>2738</v>
      </c>
      <c r="B2739" t="s">
        <v>4851</v>
      </c>
      <c r="C2739" t="s">
        <v>7622</v>
      </c>
      <c r="D2739" t="s">
        <v>7897</v>
      </c>
      <c r="F2739" t="s">
        <v>2509</v>
      </c>
      <c r="G2739" t="s">
        <v>24</v>
      </c>
      <c r="H2739" s="75" t="str">
        <f>IFERROR(VLOOKUP(Table2[[#This Row],[Ticket]],Okey!A:B,2,0),"")</f>
        <v>ok</v>
      </c>
      <c r="I2739" t="s">
        <v>19</v>
      </c>
      <c r="J2739" t="str">
        <f>VLOOKUP(Table2[[#This Row],[Author]],People!A:B,2,0)</f>
        <v>LS</v>
      </c>
      <c r="L2739" s="40"/>
      <c r="M2739" s="40" t="s">
        <v>1040</v>
      </c>
    </row>
    <row r="2740" spans="1:13" x14ac:dyDescent="0.25">
      <c r="A2740" s="75">
        <f t="shared" si="42"/>
        <v>2739</v>
      </c>
      <c r="B2740" t="s">
        <v>4851</v>
      </c>
      <c r="C2740" t="s">
        <v>7622</v>
      </c>
      <c r="D2740" t="s">
        <v>7898</v>
      </c>
      <c r="F2740" t="s">
        <v>2509</v>
      </c>
      <c r="G2740" t="s">
        <v>24</v>
      </c>
      <c r="H2740" s="75" t="str">
        <f>IFERROR(VLOOKUP(Table2[[#This Row],[Ticket]],Okey!A:B,2,0),"")</f>
        <v>ok</v>
      </c>
      <c r="I2740" t="s">
        <v>19</v>
      </c>
      <c r="J2740" t="str">
        <f>VLOOKUP(Table2[[#This Row],[Author]],People!A:B,2,0)</f>
        <v>LS</v>
      </c>
      <c r="L2740" s="40"/>
      <c r="M2740" s="40" t="s">
        <v>1040</v>
      </c>
    </row>
    <row r="2741" spans="1:13" x14ac:dyDescent="0.25">
      <c r="A2741" s="75">
        <f t="shared" si="42"/>
        <v>2740</v>
      </c>
      <c r="B2741" t="s">
        <v>4851</v>
      </c>
      <c r="C2741" t="s">
        <v>7622</v>
      </c>
      <c r="D2741" t="s">
        <v>7899</v>
      </c>
      <c r="F2741" t="s">
        <v>2509</v>
      </c>
      <c r="G2741" t="s">
        <v>24</v>
      </c>
      <c r="H2741" s="75" t="str">
        <f>IFERROR(VLOOKUP(Table2[[#This Row],[Ticket]],Okey!A:B,2,0),"")</f>
        <v>ok</v>
      </c>
      <c r="I2741" t="s">
        <v>19</v>
      </c>
      <c r="J2741" t="str">
        <f>VLOOKUP(Table2[[#This Row],[Author]],People!A:B,2,0)</f>
        <v>LS</v>
      </c>
      <c r="L2741" s="40"/>
      <c r="M2741" s="40" t="s">
        <v>1040</v>
      </c>
    </row>
    <row r="2742" spans="1:13" x14ac:dyDescent="0.25">
      <c r="A2742" s="75">
        <f t="shared" si="42"/>
        <v>2741</v>
      </c>
      <c r="B2742" t="s">
        <v>4851</v>
      </c>
      <c r="C2742" t="s">
        <v>7622</v>
      </c>
      <c r="D2742" t="s">
        <v>7900</v>
      </c>
      <c r="F2742" t="s">
        <v>2509</v>
      </c>
      <c r="G2742" t="s">
        <v>24</v>
      </c>
      <c r="H2742" s="75" t="str">
        <f>IFERROR(VLOOKUP(Table2[[#This Row],[Ticket]],Okey!A:B,2,0),"")</f>
        <v>ok</v>
      </c>
      <c r="I2742" t="s">
        <v>19</v>
      </c>
      <c r="J2742" t="str">
        <f>VLOOKUP(Table2[[#This Row],[Author]],People!A:B,2,0)</f>
        <v>LS</v>
      </c>
      <c r="L2742" s="40"/>
      <c r="M2742" s="40" t="s">
        <v>1040</v>
      </c>
    </row>
    <row r="2743" spans="1:13" x14ac:dyDescent="0.25">
      <c r="A2743" s="75">
        <f t="shared" si="42"/>
        <v>2742</v>
      </c>
      <c r="B2743" t="s">
        <v>4851</v>
      </c>
      <c r="C2743" t="s">
        <v>7622</v>
      </c>
      <c r="D2743" t="s">
        <v>7901</v>
      </c>
      <c r="F2743" t="s">
        <v>2509</v>
      </c>
      <c r="G2743" t="s">
        <v>24</v>
      </c>
      <c r="H2743" s="75" t="str">
        <f>IFERROR(VLOOKUP(Table2[[#This Row],[Ticket]],Okey!A:B,2,0),"")</f>
        <v>ok</v>
      </c>
      <c r="I2743" t="s">
        <v>19</v>
      </c>
      <c r="J2743" t="str">
        <f>VLOOKUP(Table2[[#This Row],[Author]],People!A:B,2,0)</f>
        <v>LS</v>
      </c>
      <c r="L2743" s="40"/>
      <c r="M2743" s="40" t="s">
        <v>1040</v>
      </c>
    </row>
    <row r="2744" spans="1:13" x14ac:dyDescent="0.25">
      <c r="A2744" s="75">
        <f t="shared" si="42"/>
        <v>2743</v>
      </c>
      <c r="B2744" t="s">
        <v>4851</v>
      </c>
      <c r="C2744" t="s">
        <v>7622</v>
      </c>
      <c r="D2744" t="s">
        <v>7902</v>
      </c>
      <c r="F2744" t="s">
        <v>2509</v>
      </c>
      <c r="G2744" t="s">
        <v>24</v>
      </c>
      <c r="H2744" s="75" t="str">
        <f>IFERROR(VLOOKUP(Table2[[#This Row],[Ticket]],Okey!A:B,2,0),"")</f>
        <v>ok</v>
      </c>
      <c r="I2744" t="s">
        <v>19</v>
      </c>
      <c r="J2744" t="str">
        <f>VLOOKUP(Table2[[#This Row],[Author]],People!A:B,2,0)</f>
        <v>LS</v>
      </c>
      <c r="L2744" s="40"/>
      <c r="M2744" s="40" t="s">
        <v>1040</v>
      </c>
    </row>
    <row r="2745" spans="1:13" x14ac:dyDescent="0.25">
      <c r="A2745" s="75">
        <f t="shared" si="42"/>
        <v>2744</v>
      </c>
      <c r="B2745" t="s">
        <v>4851</v>
      </c>
      <c r="C2745" t="s">
        <v>7622</v>
      </c>
      <c r="D2745" t="s">
        <v>7903</v>
      </c>
      <c r="F2745" t="s">
        <v>2509</v>
      </c>
      <c r="G2745" t="s">
        <v>24</v>
      </c>
      <c r="H2745" s="75" t="str">
        <f>IFERROR(VLOOKUP(Table2[[#This Row],[Ticket]],Okey!A:B,2,0),"")</f>
        <v>ok</v>
      </c>
      <c r="I2745" t="s">
        <v>19</v>
      </c>
      <c r="J2745" t="str">
        <f>VLOOKUP(Table2[[#This Row],[Author]],People!A:B,2,0)</f>
        <v>LS</v>
      </c>
      <c r="L2745" s="40"/>
      <c r="M2745" s="40" t="s">
        <v>1040</v>
      </c>
    </row>
    <row r="2746" spans="1:13" x14ac:dyDescent="0.25">
      <c r="A2746" s="75">
        <f t="shared" si="42"/>
        <v>2745</v>
      </c>
      <c r="B2746" t="s">
        <v>4851</v>
      </c>
      <c r="C2746" t="s">
        <v>7622</v>
      </c>
      <c r="D2746" t="s">
        <v>7904</v>
      </c>
      <c r="F2746" t="s">
        <v>2509</v>
      </c>
      <c r="G2746" t="s">
        <v>24</v>
      </c>
      <c r="H2746" s="75" t="str">
        <f>IFERROR(VLOOKUP(Table2[[#This Row],[Ticket]],Okey!A:B,2,0),"")</f>
        <v>ok</v>
      </c>
      <c r="I2746" t="s">
        <v>19</v>
      </c>
      <c r="J2746" t="str">
        <f>VLOOKUP(Table2[[#This Row],[Author]],People!A:B,2,0)</f>
        <v>LS</v>
      </c>
      <c r="L2746" s="40"/>
      <c r="M2746" s="40" t="s">
        <v>1040</v>
      </c>
    </row>
    <row r="2747" spans="1:13" x14ac:dyDescent="0.25">
      <c r="A2747" s="75">
        <f t="shared" si="42"/>
        <v>2746</v>
      </c>
      <c r="B2747" t="s">
        <v>4851</v>
      </c>
      <c r="C2747" t="s">
        <v>7622</v>
      </c>
      <c r="D2747" t="s">
        <v>7905</v>
      </c>
      <c r="F2747" t="s">
        <v>2509</v>
      </c>
      <c r="G2747" t="s">
        <v>24</v>
      </c>
      <c r="H2747" s="75" t="str">
        <f>IFERROR(VLOOKUP(Table2[[#This Row],[Ticket]],Okey!A:B,2,0),"")</f>
        <v>ok</v>
      </c>
      <c r="I2747" t="s">
        <v>19</v>
      </c>
      <c r="J2747" t="str">
        <f>VLOOKUP(Table2[[#This Row],[Author]],People!A:B,2,0)</f>
        <v>LS</v>
      </c>
      <c r="L2747" s="40"/>
      <c r="M2747" s="40" t="s">
        <v>1040</v>
      </c>
    </row>
    <row r="2748" spans="1:13" x14ac:dyDescent="0.25">
      <c r="A2748" s="75">
        <f t="shared" si="42"/>
        <v>2747</v>
      </c>
      <c r="B2748" t="s">
        <v>4851</v>
      </c>
      <c r="C2748" t="s">
        <v>7622</v>
      </c>
      <c r="D2748" t="s">
        <v>7906</v>
      </c>
      <c r="F2748" t="s">
        <v>2509</v>
      </c>
      <c r="G2748" t="s">
        <v>24</v>
      </c>
      <c r="H2748" s="75" t="str">
        <f>IFERROR(VLOOKUP(Table2[[#This Row],[Ticket]],Okey!A:B,2,0),"")</f>
        <v>ok</v>
      </c>
      <c r="I2748" t="s">
        <v>19</v>
      </c>
      <c r="J2748" t="str">
        <f>VLOOKUP(Table2[[#This Row],[Author]],People!A:B,2,0)</f>
        <v>LS</v>
      </c>
      <c r="L2748" s="40"/>
      <c r="M2748" s="40" t="s">
        <v>1040</v>
      </c>
    </row>
    <row r="2749" spans="1:13" x14ac:dyDescent="0.25">
      <c r="A2749" s="75">
        <f t="shared" si="42"/>
        <v>2748</v>
      </c>
      <c r="B2749" t="s">
        <v>4851</v>
      </c>
      <c r="C2749" t="s">
        <v>7622</v>
      </c>
      <c r="D2749" t="s">
        <v>7907</v>
      </c>
      <c r="F2749" t="s">
        <v>2509</v>
      </c>
      <c r="G2749" t="s">
        <v>24</v>
      </c>
      <c r="H2749" s="75" t="str">
        <f>IFERROR(VLOOKUP(Table2[[#This Row],[Ticket]],Okey!A:B,2,0),"")</f>
        <v>ok</v>
      </c>
      <c r="I2749" t="s">
        <v>19</v>
      </c>
      <c r="J2749" t="str">
        <f>VLOOKUP(Table2[[#This Row],[Author]],People!A:B,2,0)</f>
        <v>LS</v>
      </c>
      <c r="L2749" s="40"/>
      <c r="M2749" s="40" t="s">
        <v>1040</v>
      </c>
    </row>
    <row r="2750" spans="1:13" x14ac:dyDescent="0.25">
      <c r="A2750" s="75">
        <f t="shared" si="42"/>
        <v>2749</v>
      </c>
      <c r="B2750" t="s">
        <v>4851</v>
      </c>
      <c r="C2750" t="s">
        <v>7622</v>
      </c>
      <c r="D2750" t="s">
        <v>7908</v>
      </c>
      <c r="F2750" t="s">
        <v>2509</v>
      </c>
      <c r="G2750" t="s">
        <v>24</v>
      </c>
      <c r="H2750" s="75" t="str">
        <f>IFERROR(VLOOKUP(Table2[[#This Row],[Ticket]],Okey!A:B,2,0),"")</f>
        <v>ok</v>
      </c>
      <c r="I2750" t="s">
        <v>19</v>
      </c>
      <c r="J2750" t="str">
        <f>VLOOKUP(Table2[[#This Row],[Author]],People!A:B,2,0)</f>
        <v>LS</v>
      </c>
      <c r="L2750" s="40"/>
      <c r="M2750" s="40" t="s">
        <v>1040</v>
      </c>
    </row>
    <row r="2751" spans="1:13" x14ac:dyDescent="0.25">
      <c r="A2751" s="75">
        <f t="shared" si="42"/>
        <v>2750</v>
      </c>
      <c r="B2751" t="s">
        <v>4851</v>
      </c>
      <c r="C2751" t="s">
        <v>7622</v>
      </c>
      <c r="D2751" t="s">
        <v>7909</v>
      </c>
      <c r="F2751" t="s">
        <v>2509</v>
      </c>
      <c r="G2751" t="s">
        <v>24</v>
      </c>
      <c r="H2751" s="75" t="str">
        <f>IFERROR(VLOOKUP(Table2[[#This Row],[Ticket]],Okey!A:B,2,0),"")</f>
        <v>ok</v>
      </c>
      <c r="I2751" t="s">
        <v>19</v>
      </c>
      <c r="J2751" t="str">
        <f>VLOOKUP(Table2[[#This Row],[Author]],People!A:B,2,0)</f>
        <v>LS</v>
      </c>
      <c r="L2751" s="40"/>
      <c r="M2751" s="40" t="s">
        <v>1040</v>
      </c>
    </row>
    <row r="2752" spans="1:13" x14ac:dyDescent="0.25">
      <c r="A2752" s="75">
        <f t="shared" si="42"/>
        <v>2751</v>
      </c>
      <c r="B2752" t="s">
        <v>4851</v>
      </c>
      <c r="C2752" t="s">
        <v>7622</v>
      </c>
      <c r="D2752" t="s">
        <v>7910</v>
      </c>
      <c r="F2752" t="s">
        <v>2509</v>
      </c>
      <c r="G2752" t="s">
        <v>24</v>
      </c>
      <c r="H2752" s="75" t="str">
        <f>IFERROR(VLOOKUP(Table2[[#This Row],[Ticket]],Okey!A:B,2,0),"")</f>
        <v>ok</v>
      </c>
      <c r="I2752" t="s">
        <v>19</v>
      </c>
      <c r="J2752" t="str">
        <f>VLOOKUP(Table2[[#This Row],[Author]],People!A:B,2,0)</f>
        <v>LS</v>
      </c>
      <c r="L2752" s="40"/>
      <c r="M2752" s="40" t="s">
        <v>1040</v>
      </c>
    </row>
    <row r="2753" spans="1:13" x14ac:dyDescent="0.25">
      <c r="A2753" s="75">
        <f t="shared" si="42"/>
        <v>2752</v>
      </c>
      <c r="B2753" t="s">
        <v>4851</v>
      </c>
      <c r="C2753" t="s">
        <v>7622</v>
      </c>
      <c r="D2753" t="s">
        <v>7911</v>
      </c>
      <c r="F2753" t="s">
        <v>2509</v>
      </c>
      <c r="G2753" t="s">
        <v>24</v>
      </c>
      <c r="H2753" s="75" t="str">
        <f>IFERROR(VLOOKUP(Table2[[#This Row],[Ticket]],Okey!A:B,2,0),"")</f>
        <v>ok</v>
      </c>
      <c r="I2753" t="s">
        <v>19</v>
      </c>
      <c r="J2753" t="str">
        <f>VLOOKUP(Table2[[#This Row],[Author]],People!A:B,2,0)</f>
        <v>LS</v>
      </c>
      <c r="L2753" s="40"/>
      <c r="M2753" s="40" t="s">
        <v>1040</v>
      </c>
    </row>
    <row r="2754" spans="1:13" x14ac:dyDescent="0.25">
      <c r="A2754" s="75">
        <f t="shared" si="42"/>
        <v>2753</v>
      </c>
      <c r="B2754" t="s">
        <v>4851</v>
      </c>
      <c r="C2754" t="s">
        <v>7622</v>
      </c>
      <c r="D2754" t="s">
        <v>7912</v>
      </c>
      <c r="F2754" t="s">
        <v>2509</v>
      </c>
      <c r="G2754" t="s">
        <v>24</v>
      </c>
      <c r="H2754" s="75" t="str">
        <f>IFERROR(VLOOKUP(Table2[[#This Row],[Ticket]],Okey!A:B,2,0),"")</f>
        <v>ok</v>
      </c>
      <c r="I2754" t="s">
        <v>19</v>
      </c>
      <c r="J2754" t="str">
        <f>VLOOKUP(Table2[[#This Row],[Author]],People!A:B,2,0)</f>
        <v>LS</v>
      </c>
      <c r="L2754" s="40"/>
      <c r="M2754" s="40" t="s">
        <v>1040</v>
      </c>
    </row>
    <row r="2755" spans="1:13" x14ac:dyDescent="0.25">
      <c r="A2755" s="75">
        <f t="shared" si="42"/>
        <v>2754</v>
      </c>
      <c r="B2755" t="s">
        <v>4851</v>
      </c>
      <c r="C2755" t="s">
        <v>7622</v>
      </c>
      <c r="D2755" t="s">
        <v>7913</v>
      </c>
      <c r="F2755" t="s">
        <v>2509</v>
      </c>
      <c r="G2755" t="s">
        <v>24</v>
      </c>
      <c r="H2755" s="75" t="str">
        <f>IFERROR(VLOOKUP(Table2[[#This Row],[Ticket]],Okey!A:B,2,0),"")</f>
        <v>ok</v>
      </c>
      <c r="I2755" t="s">
        <v>19</v>
      </c>
      <c r="J2755" t="str">
        <f>VLOOKUP(Table2[[#This Row],[Author]],People!A:B,2,0)</f>
        <v>LS</v>
      </c>
      <c r="L2755" s="40"/>
      <c r="M2755" s="40" t="s">
        <v>1040</v>
      </c>
    </row>
    <row r="2756" spans="1:13" x14ac:dyDescent="0.25">
      <c r="A2756" s="75">
        <f t="shared" si="42"/>
        <v>2755</v>
      </c>
      <c r="B2756" t="s">
        <v>4851</v>
      </c>
      <c r="C2756" t="s">
        <v>7622</v>
      </c>
      <c r="D2756" t="s">
        <v>7914</v>
      </c>
      <c r="F2756" t="s">
        <v>2509</v>
      </c>
      <c r="G2756" t="s">
        <v>24</v>
      </c>
      <c r="H2756" s="75" t="str">
        <f>IFERROR(VLOOKUP(Table2[[#This Row],[Ticket]],Okey!A:B,2,0),"")</f>
        <v>ok</v>
      </c>
      <c r="I2756" t="s">
        <v>19</v>
      </c>
      <c r="J2756" t="str">
        <f>VLOOKUP(Table2[[#This Row],[Author]],People!A:B,2,0)</f>
        <v>LS</v>
      </c>
      <c r="L2756" s="40"/>
      <c r="M2756" s="40" t="s">
        <v>1040</v>
      </c>
    </row>
    <row r="2757" spans="1:13" x14ac:dyDescent="0.25">
      <c r="A2757" s="75">
        <f t="shared" si="42"/>
        <v>2756</v>
      </c>
      <c r="B2757" t="s">
        <v>4851</v>
      </c>
      <c r="C2757" t="s">
        <v>7622</v>
      </c>
      <c r="D2757" t="s">
        <v>7915</v>
      </c>
      <c r="F2757" t="s">
        <v>2509</v>
      </c>
      <c r="G2757" t="s">
        <v>24</v>
      </c>
      <c r="H2757" s="75" t="str">
        <f>IFERROR(VLOOKUP(Table2[[#This Row],[Ticket]],Okey!A:B,2,0),"")</f>
        <v>ok</v>
      </c>
      <c r="I2757" t="s">
        <v>19</v>
      </c>
      <c r="J2757" t="str">
        <f>VLOOKUP(Table2[[#This Row],[Author]],People!A:B,2,0)</f>
        <v>LS</v>
      </c>
      <c r="L2757" s="40"/>
      <c r="M2757" s="40" t="s">
        <v>1040</v>
      </c>
    </row>
    <row r="2758" spans="1:13" x14ac:dyDescent="0.25">
      <c r="A2758" s="75">
        <f t="shared" si="42"/>
        <v>2757</v>
      </c>
      <c r="B2758" t="s">
        <v>4851</v>
      </c>
      <c r="C2758" t="s">
        <v>7622</v>
      </c>
      <c r="D2758" t="s">
        <v>7916</v>
      </c>
      <c r="F2758" t="s">
        <v>2509</v>
      </c>
      <c r="G2758" t="s">
        <v>24</v>
      </c>
      <c r="H2758" s="75" t="str">
        <f>IFERROR(VLOOKUP(Table2[[#This Row],[Ticket]],Okey!A:B,2,0),"")</f>
        <v>ok</v>
      </c>
      <c r="I2758" t="s">
        <v>19</v>
      </c>
      <c r="J2758" t="str">
        <f>VLOOKUP(Table2[[#This Row],[Author]],People!A:B,2,0)</f>
        <v>LS</v>
      </c>
      <c r="L2758" s="40"/>
      <c r="M2758" s="40" t="s">
        <v>1040</v>
      </c>
    </row>
    <row r="2759" spans="1:13" x14ac:dyDescent="0.25">
      <c r="A2759" s="75">
        <f t="shared" si="42"/>
        <v>2758</v>
      </c>
      <c r="B2759" t="s">
        <v>4851</v>
      </c>
      <c r="C2759" t="s">
        <v>7622</v>
      </c>
      <c r="D2759" t="s">
        <v>7917</v>
      </c>
      <c r="F2759" t="s">
        <v>2509</v>
      </c>
      <c r="G2759" t="s">
        <v>24</v>
      </c>
      <c r="H2759" s="75" t="str">
        <f>IFERROR(VLOOKUP(Table2[[#This Row],[Ticket]],Okey!A:B,2,0),"")</f>
        <v>ok</v>
      </c>
      <c r="I2759" t="s">
        <v>19</v>
      </c>
      <c r="J2759" t="str">
        <f>VLOOKUP(Table2[[#This Row],[Author]],People!A:B,2,0)</f>
        <v>LS</v>
      </c>
      <c r="L2759" s="40"/>
      <c r="M2759" s="40" t="s">
        <v>1040</v>
      </c>
    </row>
    <row r="2760" spans="1:13" x14ac:dyDescent="0.25">
      <c r="A2760" s="75">
        <f t="shared" si="42"/>
        <v>2759</v>
      </c>
      <c r="B2760" t="s">
        <v>4851</v>
      </c>
      <c r="C2760" t="s">
        <v>7622</v>
      </c>
      <c r="D2760" t="s">
        <v>7918</v>
      </c>
      <c r="F2760" t="s">
        <v>2509</v>
      </c>
      <c r="G2760" t="s">
        <v>24</v>
      </c>
      <c r="H2760" s="75" t="str">
        <f>IFERROR(VLOOKUP(Table2[[#This Row],[Ticket]],Okey!A:B,2,0),"")</f>
        <v>ok</v>
      </c>
      <c r="I2760" t="s">
        <v>19</v>
      </c>
      <c r="J2760" t="str">
        <f>VLOOKUP(Table2[[#This Row],[Author]],People!A:B,2,0)</f>
        <v>LS</v>
      </c>
      <c r="L2760" s="40"/>
      <c r="M2760" s="40" t="s">
        <v>1040</v>
      </c>
    </row>
    <row r="2761" spans="1:13" x14ac:dyDescent="0.25">
      <c r="A2761" s="75">
        <f t="shared" ref="A2761:A2824" si="43">1+A2760</f>
        <v>2760</v>
      </c>
      <c r="B2761" t="s">
        <v>4851</v>
      </c>
      <c r="C2761" t="s">
        <v>7622</v>
      </c>
      <c r="D2761" t="s">
        <v>7919</v>
      </c>
      <c r="F2761" t="s">
        <v>2509</v>
      </c>
      <c r="G2761" t="s">
        <v>24</v>
      </c>
      <c r="H2761" s="75" t="str">
        <f>IFERROR(VLOOKUP(Table2[[#This Row],[Ticket]],Okey!A:B,2,0),"")</f>
        <v>ok</v>
      </c>
      <c r="I2761" t="s">
        <v>19</v>
      </c>
      <c r="J2761" t="str">
        <f>VLOOKUP(Table2[[#This Row],[Author]],People!A:B,2,0)</f>
        <v>LS</v>
      </c>
      <c r="L2761" s="40"/>
      <c r="M2761" s="40" t="s">
        <v>1040</v>
      </c>
    </row>
    <row r="2762" spans="1:13" x14ac:dyDescent="0.25">
      <c r="A2762" s="75">
        <f t="shared" si="43"/>
        <v>2761</v>
      </c>
      <c r="B2762" t="s">
        <v>4851</v>
      </c>
      <c r="C2762" t="s">
        <v>7622</v>
      </c>
      <c r="D2762" t="s">
        <v>7920</v>
      </c>
      <c r="F2762" t="s">
        <v>2509</v>
      </c>
      <c r="G2762" t="s">
        <v>24</v>
      </c>
      <c r="H2762" s="75" t="str">
        <f>IFERROR(VLOOKUP(Table2[[#This Row],[Ticket]],Okey!A:B,2,0),"")</f>
        <v>ok</v>
      </c>
      <c r="I2762" t="s">
        <v>19</v>
      </c>
      <c r="J2762" t="str">
        <f>VLOOKUP(Table2[[#This Row],[Author]],People!A:B,2,0)</f>
        <v>LS</v>
      </c>
      <c r="L2762" s="40"/>
      <c r="M2762" s="40" t="s">
        <v>1040</v>
      </c>
    </row>
    <row r="2763" spans="1:13" x14ac:dyDescent="0.25">
      <c r="A2763" s="75">
        <f t="shared" si="43"/>
        <v>2762</v>
      </c>
      <c r="B2763" t="s">
        <v>4851</v>
      </c>
      <c r="C2763" t="s">
        <v>7622</v>
      </c>
      <c r="D2763" t="s">
        <v>7921</v>
      </c>
      <c r="F2763" t="s">
        <v>2509</v>
      </c>
      <c r="G2763" t="s">
        <v>24</v>
      </c>
      <c r="H2763" s="75" t="str">
        <f>IFERROR(VLOOKUP(Table2[[#This Row],[Ticket]],Okey!A:B,2,0),"")</f>
        <v>ok</v>
      </c>
      <c r="I2763" t="s">
        <v>19</v>
      </c>
      <c r="J2763" t="str">
        <f>VLOOKUP(Table2[[#This Row],[Author]],People!A:B,2,0)</f>
        <v>LS</v>
      </c>
      <c r="L2763" s="40"/>
      <c r="M2763" s="40" t="s">
        <v>1040</v>
      </c>
    </row>
    <row r="2764" spans="1:13" x14ac:dyDescent="0.25">
      <c r="A2764" s="75">
        <f t="shared" si="43"/>
        <v>2763</v>
      </c>
      <c r="B2764" t="s">
        <v>4851</v>
      </c>
      <c r="C2764" t="s">
        <v>7622</v>
      </c>
      <c r="D2764" t="s">
        <v>7922</v>
      </c>
      <c r="F2764" t="s">
        <v>2509</v>
      </c>
      <c r="G2764" t="s">
        <v>24</v>
      </c>
      <c r="H2764" s="75" t="str">
        <f>IFERROR(VLOOKUP(Table2[[#This Row],[Ticket]],Okey!A:B,2,0),"")</f>
        <v>ok</v>
      </c>
      <c r="I2764" t="s">
        <v>19</v>
      </c>
      <c r="J2764" t="str">
        <f>VLOOKUP(Table2[[#This Row],[Author]],People!A:B,2,0)</f>
        <v>LS</v>
      </c>
      <c r="L2764" s="40"/>
      <c r="M2764" s="40" t="s">
        <v>1040</v>
      </c>
    </row>
    <row r="2765" spans="1:13" x14ac:dyDescent="0.25">
      <c r="A2765" s="75">
        <f t="shared" si="43"/>
        <v>2764</v>
      </c>
      <c r="B2765" t="s">
        <v>4851</v>
      </c>
      <c r="C2765" t="s">
        <v>7622</v>
      </c>
      <c r="D2765" t="s">
        <v>7923</v>
      </c>
      <c r="F2765" t="s">
        <v>2509</v>
      </c>
      <c r="G2765" t="s">
        <v>24</v>
      </c>
      <c r="H2765" s="75" t="str">
        <f>IFERROR(VLOOKUP(Table2[[#This Row],[Ticket]],Okey!A:B,2,0),"")</f>
        <v>ok</v>
      </c>
      <c r="I2765" t="s">
        <v>19</v>
      </c>
      <c r="J2765" t="str">
        <f>VLOOKUP(Table2[[#This Row],[Author]],People!A:B,2,0)</f>
        <v>LS</v>
      </c>
      <c r="L2765" s="40"/>
      <c r="M2765" s="40" t="s">
        <v>1040</v>
      </c>
    </row>
    <row r="2766" spans="1:13" x14ac:dyDescent="0.25">
      <c r="A2766" s="75">
        <f t="shared" si="43"/>
        <v>2765</v>
      </c>
      <c r="B2766" t="s">
        <v>4851</v>
      </c>
      <c r="C2766" t="s">
        <v>7622</v>
      </c>
      <c r="D2766" t="s">
        <v>7924</v>
      </c>
      <c r="F2766" t="s">
        <v>2509</v>
      </c>
      <c r="G2766" t="s">
        <v>24</v>
      </c>
      <c r="H2766" s="75" t="str">
        <f>IFERROR(VLOOKUP(Table2[[#This Row],[Ticket]],Okey!A:B,2,0),"")</f>
        <v>ok</v>
      </c>
      <c r="I2766" t="s">
        <v>19</v>
      </c>
      <c r="J2766" t="str">
        <f>VLOOKUP(Table2[[#This Row],[Author]],People!A:B,2,0)</f>
        <v>LS</v>
      </c>
      <c r="L2766" s="40"/>
      <c r="M2766" s="40" t="s">
        <v>1040</v>
      </c>
    </row>
    <row r="2767" spans="1:13" x14ac:dyDescent="0.25">
      <c r="A2767" s="75">
        <f t="shared" si="43"/>
        <v>2766</v>
      </c>
      <c r="B2767" t="s">
        <v>4851</v>
      </c>
      <c r="C2767" t="s">
        <v>7622</v>
      </c>
      <c r="D2767" t="s">
        <v>7925</v>
      </c>
      <c r="F2767" t="s">
        <v>2509</v>
      </c>
      <c r="G2767" t="s">
        <v>24</v>
      </c>
      <c r="H2767" s="75" t="str">
        <f>IFERROR(VLOOKUP(Table2[[#This Row],[Ticket]],Okey!A:B,2,0),"")</f>
        <v>ok</v>
      </c>
      <c r="I2767" t="s">
        <v>19</v>
      </c>
      <c r="J2767" t="str">
        <f>VLOOKUP(Table2[[#This Row],[Author]],People!A:B,2,0)</f>
        <v>LS</v>
      </c>
      <c r="L2767" s="40"/>
      <c r="M2767" s="40" t="s">
        <v>1040</v>
      </c>
    </row>
    <row r="2768" spans="1:13" x14ac:dyDescent="0.25">
      <c r="A2768" s="75">
        <f t="shared" si="43"/>
        <v>2767</v>
      </c>
      <c r="B2768" t="s">
        <v>4851</v>
      </c>
      <c r="C2768" t="s">
        <v>7622</v>
      </c>
      <c r="D2768" t="s">
        <v>7926</v>
      </c>
      <c r="F2768" t="s">
        <v>2509</v>
      </c>
      <c r="G2768" t="s">
        <v>24</v>
      </c>
      <c r="H2768" s="75" t="str">
        <f>IFERROR(VLOOKUP(Table2[[#This Row],[Ticket]],Okey!A:B,2,0),"")</f>
        <v>ok</v>
      </c>
      <c r="I2768" t="s">
        <v>19</v>
      </c>
      <c r="J2768" t="str">
        <f>VLOOKUP(Table2[[#This Row],[Author]],People!A:B,2,0)</f>
        <v>LS</v>
      </c>
      <c r="L2768" s="40"/>
      <c r="M2768" s="40" t="s">
        <v>1040</v>
      </c>
    </row>
    <row r="2769" spans="1:13" x14ac:dyDescent="0.25">
      <c r="A2769" s="75">
        <f t="shared" si="43"/>
        <v>2768</v>
      </c>
      <c r="B2769" t="s">
        <v>4851</v>
      </c>
      <c r="C2769" t="s">
        <v>7622</v>
      </c>
      <c r="D2769" t="s">
        <v>7927</v>
      </c>
      <c r="F2769" t="s">
        <v>2509</v>
      </c>
      <c r="G2769" t="s">
        <v>24</v>
      </c>
      <c r="H2769" s="75" t="str">
        <f>IFERROR(VLOOKUP(Table2[[#This Row],[Ticket]],Okey!A:B,2,0),"")</f>
        <v>ok</v>
      </c>
      <c r="I2769" t="s">
        <v>19</v>
      </c>
      <c r="J2769" t="str">
        <f>VLOOKUP(Table2[[#This Row],[Author]],People!A:B,2,0)</f>
        <v>LS</v>
      </c>
      <c r="L2769" s="40"/>
      <c r="M2769" s="40" t="s">
        <v>1040</v>
      </c>
    </row>
    <row r="2770" spans="1:13" x14ac:dyDescent="0.25">
      <c r="A2770" s="75">
        <f t="shared" si="43"/>
        <v>2769</v>
      </c>
      <c r="B2770" t="s">
        <v>4851</v>
      </c>
      <c r="C2770" t="s">
        <v>7622</v>
      </c>
      <c r="D2770" t="s">
        <v>7928</v>
      </c>
      <c r="F2770" t="s">
        <v>2509</v>
      </c>
      <c r="G2770" t="s">
        <v>24</v>
      </c>
      <c r="H2770" s="75" t="str">
        <f>IFERROR(VLOOKUP(Table2[[#This Row],[Ticket]],Okey!A:B,2,0),"")</f>
        <v>ok</v>
      </c>
      <c r="I2770" t="s">
        <v>19</v>
      </c>
      <c r="J2770" t="str">
        <f>VLOOKUP(Table2[[#This Row],[Author]],People!A:B,2,0)</f>
        <v>LS</v>
      </c>
      <c r="L2770" s="40"/>
      <c r="M2770" s="40" t="s">
        <v>1040</v>
      </c>
    </row>
    <row r="2771" spans="1:13" x14ac:dyDescent="0.25">
      <c r="A2771" s="75">
        <f t="shared" si="43"/>
        <v>2770</v>
      </c>
      <c r="B2771" t="s">
        <v>4851</v>
      </c>
      <c r="C2771" t="s">
        <v>7622</v>
      </c>
      <c r="D2771" t="s">
        <v>7929</v>
      </c>
      <c r="F2771" t="s">
        <v>2509</v>
      </c>
      <c r="G2771" t="s">
        <v>24</v>
      </c>
      <c r="H2771" s="75" t="str">
        <f>IFERROR(VLOOKUP(Table2[[#This Row],[Ticket]],Okey!A:B,2,0),"")</f>
        <v>ok</v>
      </c>
      <c r="I2771" t="s">
        <v>19</v>
      </c>
      <c r="J2771" t="str">
        <f>VLOOKUP(Table2[[#This Row],[Author]],People!A:B,2,0)</f>
        <v>LS</v>
      </c>
      <c r="L2771" s="40"/>
      <c r="M2771" s="40" t="s">
        <v>1040</v>
      </c>
    </row>
    <row r="2772" spans="1:13" x14ac:dyDescent="0.25">
      <c r="A2772" s="75">
        <f t="shared" si="43"/>
        <v>2771</v>
      </c>
      <c r="B2772" t="s">
        <v>4851</v>
      </c>
      <c r="C2772" t="s">
        <v>7622</v>
      </c>
      <c r="D2772" t="s">
        <v>7930</v>
      </c>
      <c r="F2772" t="s">
        <v>2509</v>
      </c>
      <c r="G2772" t="s">
        <v>24</v>
      </c>
      <c r="H2772" s="75" t="str">
        <f>IFERROR(VLOOKUP(Table2[[#This Row],[Ticket]],Okey!A:B,2,0),"")</f>
        <v>ok</v>
      </c>
      <c r="I2772" t="s">
        <v>19</v>
      </c>
      <c r="J2772" t="str">
        <f>VLOOKUP(Table2[[#This Row],[Author]],People!A:B,2,0)</f>
        <v>LS</v>
      </c>
      <c r="L2772" s="40"/>
      <c r="M2772" s="40" t="s">
        <v>1040</v>
      </c>
    </row>
    <row r="2773" spans="1:13" x14ac:dyDescent="0.25">
      <c r="A2773" s="75">
        <f t="shared" si="43"/>
        <v>2772</v>
      </c>
      <c r="B2773" t="s">
        <v>4851</v>
      </c>
      <c r="C2773" t="s">
        <v>7622</v>
      </c>
      <c r="D2773" t="s">
        <v>7931</v>
      </c>
      <c r="F2773" t="s">
        <v>2509</v>
      </c>
      <c r="G2773" t="s">
        <v>24</v>
      </c>
      <c r="H2773" s="75" t="str">
        <f>IFERROR(VLOOKUP(Table2[[#This Row],[Ticket]],Okey!A:B,2,0),"")</f>
        <v>ok</v>
      </c>
      <c r="I2773" t="s">
        <v>19</v>
      </c>
      <c r="J2773" t="str">
        <f>VLOOKUP(Table2[[#This Row],[Author]],People!A:B,2,0)</f>
        <v>LS</v>
      </c>
      <c r="L2773" s="40"/>
      <c r="M2773" s="40" t="s">
        <v>1040</v>
      </c>
    </row>
    <row r="2774" spans="1:13" x14ac:dyDescent="0.25">
      <c r="A2774" s="75">
        <f t="shared" si="43"/>
        <v>2773</v>
      </c>
      <c r="B2774" t="s">
        <v>4851</v>
      </c>
      <c r="C2774" t="s">
        <v>7622</v>
      </c>
      <c r="D2774" t="s">
        <v>7932</v>
      </c>
      <c r="F2774" t="s">
        <v>2509</v>
      </c>
      <c r="G2774" t="s">
        <v>24</v>
      </c>
      <c r="H2774" s="75" t="str">
        <f>IFERROR(VLOOKUP(Table2[[#This Row],[Ticket]],Okey!A:B,2,0),"")</f>
        <v>ok</v>
      </c>
      <c r="I2774" t="s">
        <v>19</v>
      </c>
      <c r="J2774" t="str">
        <f>VLOOKUP(Table2[[#This Row],[Author]],People!A:B,2,0)</f>
        <v>LS</v>
      </c>
      <c r="L2774" s="40"/>
      <c r="M2774" s="40" t="s">
        <v>1040</v>
      </c>
    </row>
    <row r="2775" spans="1:13" x14ac:dyDescent="0.25">
      <c r="A2775" s="75">
        <f t="shared" si="43"/>
        <v>2774</v>
      </c>
      <c r="B2775" t="s">
        <v>4851</v>
      </c>
      <c r="C2775" t="s">
        <v>7622</v>
      </c>
      <c r="D2775" t="s">
        <v>1236</v>
      </c>
      <c r="F2775" t="s">
        <v>2509</v>
      </c>
      <c r="G2775" t="s">
        <v>24</v>
      </c>
      <c r="H2775" s="75" t="str">
        <f>IFERROR(VLOOKUP(Table2[[#This Row],[Ticket]],Okey!A:B,2,0),"")</f>
        <v>ok</v>
      </c>
      <c r="I2775" t="s">
        <v>19</v>
      </c>
      <c r="J2775" t="str">
        <f>VLOOKUP(Table2[[#This Row],[Author]],People!A:B,2,0)</f>
        <v>LS</v>
      </c>
      <c r="L2775" s="40"/>
      <c r="M2775" s="40" t="s">
        <v>1040</v>
      </c>
    </row>
    <row r="2776" spans="1:13" x14ac:dyDescent="0.25">
      <c r="A2776" s="75">
        <f t="shared" si="43"/>
        <v>2775</v>
      </c>
      <c r="B2776" t="s">
        <v>4851</v>
      </c>
      <c r="C2776" t="s">
        <v>7622</v>
      </c>
      <c r="D2776" t="s">
        <v>1238</v>
      </c>
      <c r="F2776" t="s">
        <v>2509</v>
      </c>
      <c r="G2776" t="s">
        <v>24</v>
      </c>
      <c r="H2776" s="75" t="str">
        <f>IFERROR(VLOOKUP(Table2[[#This Row],[Ticket]],Okey!A:B,2,0),"")</f>
        <v>ok</v>
      </c>
      <c r="I2776" t="s">
        <v>19</v>
      </c>
      <c r="J2776" t="str">
        <f>VLOOKUP(Table2[[#This Row],[Author]],People!A:B,2,0)</f>
        <v>LS</v>
      </c>
      <c r="L2776" s="40"/>
      <c r="M2776" s="40" t="s">
        <v>1040</v>
      </c>
    </row>
    <row r="2777" spans="1:13" x14ac:dyDescent="0.25">
      <c r="A2777" s="75">
        <f t="shared" si="43"/>
        <v>2776</v>
      </c>
      <c r="B2777" t="s">
        <v>4851</v>
      </c>
      <c r="C2777" t="s">
        <v>7622</v>
      </c>
      <c r="D2777" t="s">
        <v>1240</v>
      </c>
      <c r="F2777" t="s">
        <v>2509</v>
      </c>
      <c r="G2777" t="s">
        <v>24</v>
      </c>
      <c r="H2777" s="75" t="str">
        <f>IFERROR(VLOOKUP(Table2[[#This Row],[Ticket]],Okey!A:B,2,0),"")</f>
        <v>ok</v>
      </c>
      <c r="I2777" t="s">
        <v>19</v>
      </c>
      <c r="J2777" t="str">
        <f>VLOOKUP(Table2[[#This Row],[Author]],People!A:B,2,0)</f>
        <v>LS</v>
      </c>
      <c r="L2777" s="40"/>
      <c r="M2777" s="40" t="s">
        <v>1040</v>
      </c>
    </row>
    <row r="2778" spans="1:13" x14ac:dyDescent="0.25">
      <c r="A2778" s="75">
        <f t="shared" si="43"/>
        <v>2777</v>
      </c>
      <c r="B2778" t="s">
        <v>4851</v>
      </c>
      <c r="C2778" t="s">
        <v>7622</v>
      </c>
      <c r="D2778" t="s">
        <v>1241</v>
      </c>
      <c r="F2778" t="s">
        <v>2509</v>
      </c>
      <c r="G2778" t="s">
        <v>24</v>
      </c>
      <c r="H2778" s="75" t="str">
        <f>IFERROR(VLOOKUP(Table2[[#This Row],[Ticket]],Okey!A:B,2,0),"")</f>
        <v>ok</v>
      </c>
      <c r="I2778" t="s">
        <v>19</v>
      </c>
      <c r="J2778" t="str">
        <f>VLOOKUP(Table2[[#This Row],[Author]],People!A:B,2,0)</f>
        <v>LS</v>
      </c>
      <c r="L2778" s="40"/>
      <c r="M2778" s="40" t="s">
        <v>1040</v>
      </c>
    </row>
    <row r="2779" spans="1:13" x14ac:dyDescent="0.25">
      <c r="A2779" s="75">
        <f t="shared" si="43"/>
        <v>2778</v>
      </c>
      <c r="B2779" t="s">
        <v>4851</v>
      </c>
      <c r="C2779" t="s">
        <v>7622</v>
      </c>
      <c r="D2779" t="s">
        <v>1242</v>
      </c>
      <c r="F2779" t="s">
        <v>2509</v>
      </c>
      <c r="G2779" t="s">
        <v>24</v>
      </c>
      <c r="H2779" s="75" t="str">
        <f>IFERROR(VLOOKUP(Table2[[#This Row],[Ticket]],Okey!A:B,2,0),"")</f>
        <v>ok</v>
      </c>
      <c r="I2779" t="s">
        <v>19</v>
      </c>
      <c r="J2779" t="str">
        <f>VLOOKUP(Table2[[#This Row],[Author]],People!A:B,2,0)</f>
        <v>LS</v>
      </c>
      <c r="L2779" s="40"/>
      <c r="M2779" s="40" t="s">
        <v>1040</v>
      </c>
    </row>
    <row r="2780" spans="1:13" x14ac:dyDescent="0.25">
      <c r="A2780" s="75">
        <f t="shared" si="43"/>
        <v>2779</v>
      </c>
      <c r="B2780" t="s">
        <v>4851</v>
      </c>
      <c r="C2780" t="s">
        <v>7622</v>
      </c>
      <c r="D2780" t="s">
        <v>1243</v>
      </c>
      <c r="F2780" t="s">
        <v>2509</v>
      </c>
      <c r="G2780" t="s">
        <v>24</v>
      </c>
      <c r="H2780" s="75" t="str">
        <f>IFERROR(VLOOKUP(Table2[[#This Row],[Ticket]],Okey!A:B,2,0),"")</f>
        <v>ok</v>
      </c>
      <c r="I2780" t="s">
        <v>19</v>
      </c>
      <c r="J2780" t="str">
        <f>VLOOKUP(Table2[[#This Row],[Author]],People!A:B,2,0)</f>
        <v>LS</v>
      </c>
      <c r="L2780" s="40"/>
      <c r="M2780" s="40" t="s">
        <v>1040</v>
      </c>
    </row>
    <row r="2781" spans="1:13" x14ac:dyDescent="0.25">
      <c r="A2781" s="75">
        <f t="shared" si="43"/>
        <v>2780</v>
      </c>
      <c r="B2781" t="s">
        <v>4851</v>
      </c>
      <c r="C2781" t="s">
        <v>7622</v>
      </c>
      <c r="D2781" t="s">
        <v>1235</v>
      </c>
      <c r="F2781" t="s">
        <v>2509</v>
      </c>
      <c r="G2781" t="s">
        <v>24</v>
      </c>
      <c r="H2781" s="75" t="str">
        <f>IFERROR(VLOOKUP(Table2[[#This Row],[Ticket]],Okey!A:B,2,0),"")</f>
        <v>ok</v>
      </c>
      <c r="I2781" t="s">
        <v>19</v>
      </c>
      <c r="J2781" t="str">
        <f>VLOOKUP(Table2[[#This Row],[Author]],People!A:B,2,0)</f>
        <v>LS</v>
      </c>
      <c r="L2781" s="40"/>
      <c r="M2781" s="40" t="s">
        <v>1040</v>
      </c>
    </row>
    <row r="2782" spans="1:13" x14ac:dyDescent="0.25">
      <c r="A2782" s="75">
        <f t="shared" si="43"/>
        <v>2781</v>
      </c>
      <c r="B2782" t="s">
        <v>4851</v>
      </c>
      <c r="C2782" t="s">
        <v>7622</v>
      </c>
      <c r="D2782" t="s">
        <v>1104</v>
      </c>
      <c r="F2782" t="s">
        <v>2509</v>
      </c>
      <c r="G2782" t="s">
        <v>24</v>
      </c>
      <c r="H2782" s="75" t="str">
        <f>IFERROR(VLOOKUP(Table2[[#This Row],[Ticket]],Okey!A:B,2,0),"")</f>
        <v>ok</v>
      </c>
      <c r="I2782" t="s">
        <v>19</v>
      </c>
      <c r="J2782" t="str">
        <f>VLOOKUP(Table2[[#This Row],[Author]],People!A:B,2,0)</f>
        <v>LS</v>
      </c>
      <c r="L2782" s="40"/>
      <c r="M2782" s="40" t="s">
        <v>1040</v>
      </c>
    </row>
    <row r="2783" spans="1:13" x14ac:dyDescent="0.25">
      <c r="A2783" s="75">
        <f t="shared" si="43"/>
        <v>2782</v>
      </c>
      <c r="B2783" t="s">
        <v>4851</v>
      </c>
      <c r="C2783" t="s">
        <v>7622</v>
      </c>
      <c r="D2783" t="s">
        <v>1261</v>
      </c>
      <c r="F2783" t="s">
        <v>2509</v>
      </c>
      <c r="G2783" t="s">
        <v>24</v>
      </c>
      <c r="H2783" s="75" t="str">
        <f>IFERROR(VLOOKUP(Table2[[#This Row],[Ticket]],Okey!A:B,2,0),"")</f>
        <v>ok</v>
      </c>
      <c r="I2783" t="s">
        <v>19</v>
      </c>
      <c r="J2783" t="str">
        <f>VLOOKUP(Table2[[#This Row],[Author]],People!A:B,2,0)</f>
        <v>LS</v>
      </c>
      <c r="L2783" s="40"/>
      <c r="M2783" s="40" t="s">
        <v>1040</v>
      </c>
    </row>
    <row r="2784" spans="1:13" x14ac:dyDescent="0.25">
      <c r="A2784" s="75">
        <f t="shared" si="43"/>
        <v>2783</v>
      </c>
      <c r="B2784" t="s">
        <v>4851</v>
      </c>
      <c r="C2784" t="s">
        <v>7622</v>
      </c>
      <c r="D2784" t="s">
        <v>1256</v>
      </c>
      <c r="F2784" t="s">
        <v>2509</v>
      </c>
      <c r="G2784" t="s">
        <v>24</v>
      </c>
      <c r="H2784" s="75" t="str">
        <f>IFERROR(VLOOKUP(Table2[[#This Row],[Ticket]],Okey!A:B,2,0),"")</f>
        <v>ok</v>
      </c>
      <c r="I2784" s="50" t="s">
        <v>19</v>
      </c>
      <c r="J2784" t="str">
        <f>VLOOKUP(Table2[[#This Row],[Author]],People!A:B,2,0)</f>
        <v>LS</v>
      </c>
      <c r="L2784" s="40"/>
      <c r="M2784" s="40" t="s">
        <v>1040</v>
      </c>
    </row>
    <row r="2785" spans="1:13" x14ac:dyDescent="0.25">
      <c r="A2785" s="75">
        <f t="shared" si="43"/>
        <v>2784</v>
      </c>
      <c r="B2785" t="s">
        <v>4851</v>
      </c>
      <c r="C2785" t="s">
        <v>7622</v>
      </c>
      <c r="D2785" t="s">
        <v>1254</v>
      </c>
      <c r="F2785" t="s">
        <v>2509</v>
      </c>
      <c r="G2785" t="s">
        <v>24</v>
      </c>
      <c r="H2785" s="75" t="str">
        <f>IFERROR(VLOOKUP(Table2[[#This Row],[Ticket]],Okey!A:B,2,0),"")</f>
        <v>ok</v>
      </c>
      <c r="I2785" t="s">
        <v>19</v>
      </c>
      <c r="J2785" t="str">
        <f>VLOOKUP(Table2[[#This Row],[Author]],People!A:B,2,0)</f>
        <v>LS</v>
      </c>
      <c r="L2785" s="40"/>
      <c r="M2785" s="40" t="s">
        <v>1040</v>
      </c>
    </row>
    <row r="2786" spans="1:13" x14ac:dyDescent="0.25">
      <c r="A2786" s="75">
        <f t="shared" si="43"/>
        <v>2785</v>
      </c>
      <c r="B2786" t="s">
        <v>4851</v>
      </c>
      <c r="C2786" t="s">
        <v>7622</v>
      </c>
      <c r="D2786" t="s">
        <v>1259</v>
      </c>
      <c r="F2786" t="s">
        <v>2509</v>
      </c>
      <c r="G2786" t="s">
        <v>24</v>
      </c>
      <c r="H2786" s="75" t="str">
        <f>IFERROR(VLOOKUP(Table2[[#This Row],[Ticket]],Okey!A:B,2,0),"")</f>
        <v>ok</v>
      </c>
      <c r="I2786" t="s">
        <v>19</v>
      </c>
      <c r="J2786" t="str">
        <f>VLOOKUP(Table2[[#This Row],[Author]],People!A:B,2,0)</f>
        <v>LS</v>
      </c>
      <c r="L2786" s="40"/>
      <c r="M2786" s="40" t="s">
        <v>1040</v>
      </c>
    </row>
    <row r="2787" spans="1:13" x14ac:dyDescent="0.25">
      <c r="A2787" s="75">
        <f t="shared" si="43"/>
        <v>2786</v>
      </c>
      <c r="B2787" t="s">
        <v>4851</v>
      </c>
      <c r="C2787" t="s">
        <v>7622</v>
      </c>
      <c r="D2787" t="s">
        <v>1263</v>
      </c>
      <c r="F2787" t="s">
        <v>2509</v>
      </c>
      <c r="G2787" t="s">
        <v>24</v>
      </c>
      <c r="H2787" s="75" t="str">
        <f>IFERROR(VLOOKUP(Table2[[#This Row],[Ticket]],Okey!A:B,2,0),"")</f>
        <v>ok</v>
      </c>
      <c r="I2787" t="s">
        <v>19</v>
      </c>
      <c r="J2787" t="str">
        <f>VLOOKUP(Table2[[#This Row],[Author]],People!A:B,2,0)</f>
        <v>LS</v>
      </c>
      <c r="L2787" s="40"/>
      <c r="M2787" s="40" t="s">
        <v>1040</v>
      </c>
    </row>
    <row r="2788" spans="1:13" x14ac:dyDescent="0.25">
      <c r="A2788" s="75">
        <f t="shared" si="43"/>
        <v>2787</v>
      </c>
      <c r="B2788" t="s">
        <v>4851</v>
      </c>
      <c r="C2788" t="s">
        <v>7622</v>
      </c>
      <c r="D2788" t="s">
        <v>1257</v>
      </c>
      <c r="F2788" t="s">
        <v>2509</v>
      </c>
      <c r="G2788" t="s">
        <v>24</v>
      </c>
      <c r="H2788" s="75" t="str">
        <f>IFERROR(VLOOKUP(Table2[[#This Row],[Ticket]],Okey!A:B,2,0),"")</f>
        <v>ok</v>
      </c>
      <c r="I2788" t="s">
        <v>19</v>
      </c>
      <c r="J2788" t="str">
        <f>VLOOKUP(Table2[[#This Row],[Author]],People!A:B,2,0)</f>
        <v>LS</v>
      </c>
      <c r="L2788" s="40"/>
      <c r="M2788" s="40" t="s">
        <v>1040</v>
      </c>
    </row>
    <row r="2789" spans="1:13" x14ac:dyDescent="0.25">
      <c r="A2789" s="75">
        <f t="shared" si="43"/>
        <v>2788</v>
      </c>
      <c r="B2789" t="s">
        <v>4851</v>
      </c>
      <c r="C2789" t="s">
        <v>7622</v>
      </c>
      <c r="D2789" t="s">
        <v>2723</v>
      </c>
      <c r="F2789" t="s">
        <v>2515</v>
      </c>
      <c r="G2789" t="s">
        <v>24</v>
      </c>
      <c r="H2789" s="75" t="str">
        <f>IFERROR(VLOOKUP(Table2[[#This Row],[Ticket]],Okey!A:B,2,0),"")</f>
        <v>ok</v>
      </c>
      <c r="I2789" t="s">
        <v>19</v>
      </c>
      <c r="J2789" t="str">
        <f>VLOOKUP(Table2[[#This Row],[Author]],People!A:B,2,0)</f>
        <v>LS</v>
      </c>
      <c r="L2789" s="40"/>
      <c r="M2789" s="40" t="s">
        <v>1040</v>
      </c>
    </row>
    <row r="2790" spans="1:13" x14ac:dyDescent="0.25">
      <c r="A2790" s="75">
        <f t="shared" si="43"/>
        <v>2789</v>
      </c>
      <c r="B2790" t="s">
        <v>4851</v>
      </c>
      <c r="C2790" t="s">
        <v>7622</v>
      </c>
      <c r="D2790" t="s">
        <v>2434</v>
      </c>
      <c r="F2790" t="s">
        <v>2515</v>
      </c>
      <c r="G2790" t="s">
        <v>24</v>
      </c>
      <c r="H2790" s="75" t="str">
        <f>IFERROR(VLOOKUP(Table2[[#This Row],[Ticket]],Okey!A:B,2,0),"")</f>
        <v>ok</v>
      </c>
      <c r="I2790" t="s">
        <v>19</v>
      </c>
      <c r="J2790" t="str">
        <f>VLOOKUP(Table2[[#This Row],[Author]],People!A:B,2,0)</f>
        <v>LS</v>
      </c>
      <c r="L2790" s="40"/>
      <c r="M2790" s="40" t="s">
        <v>1040</v>
      </c>
    </row>
    <row r="2791" spans="1:13" x14ac:dyDescent="0.25">
      <c r="A2791" s="75">
        <f t="shared" si="43"/>
        <v>2790</v>
      </c>
      <c r="B2791" t="s">
        <v>4851</v>
      </c>
      <c r="C2791" t="s">
        <v>7622</v>
      </c>
      <c r="D2791" t="s">
        <v>2728</v>
      </c>
      <c r="F2791" t="s">
        <v>2515</v>
      </c>
      <c r="G2791" t="s">
        <v>24</v>
      </c>
      <c r="H2791" s="75" t="str">
        <f>IFERROR(VLOOKUP(Table2[[#This Row],[Ticket]],Okey!A:B,2,0),"")</f>
        <v>ok</v>
      </c>
      <c r="I2791" t="s">
        <v>19</v>
      </c>
      <c r="J2791" t="str">
        <f>VLOOKUP(Table2[[#This Row],[Author]],People!A:B,2,0)</f>
        <v>LS</v>
      </c>
      <c r="L2791" s="40"/>
      <c r="M2791" s="40" t="s">
        <v>1040</v>
      </c>
    </row>
    <row r="2792" spans="1:13" x14ac:dyDescent="0.25">
      <c r="A2792" s="75">
        <f t="shared" si="43"/>
        <v>2791</v>
      </c>
      <c r="B2792" t="s">
        <v>4851</v>
      </c>
      <c r="C2792" t="s">
        <v>7622</v>
      </c>
      <c r="D2792" t="s">
        <v>7933</v>
      </c>
      <c r="F2792" t="s">
        <v>2515</v>
      </c>
      <c r="G2792" t="s">
        <v>24</v>
      </c>
      <c r="H2792" s="75" t="str">
        <f>IFERROR(VLOOKUP(Table2[[#This Row],[Ticket]],Okey!A:B,2,0),"")</f>
        <v>ok</v>
      </c>
      <c r="I2792" t="s">
        <v>19</v>
      </c>
      <c r="J2792" t="str">
        <f>VLOOKUP(Table2[[#This Row],[Author]],People!A:B,2,0)</f>
        <v>LS</v>
      </c>
      <c r="L2792" s="40"/>
      <c r="M2792" s="40" t="s">
        <v>1040</v>
      </c>
    </row>
    <row r="2793" spans="1:13" x14ac:dyDescent="0.25">
      <c r="A2793" s="75">
        <f t="shared" si="43"/>
        <v>2792</v>
      </c>
      <c r="B2793" t="s">
        <v>4851</v>
      </c>
      <c r="C2793" t="s">
        <v>7622</v>
      </c>
      <c r="D2793" t="s">
        <v>2574</v>
      </c>
      <c r="F2793" t="s">
        <v>2515</v>
      </c>
      <c r="G2793" t="s">
        <v>24</v>
      </c>
      <c r="H2793" s="75" t="str">
        <f>IFERROR(VLOOKUP(Table2[[#This Row],[Ticket]],Okey!A:B,2,0),"")</f>
        <v>ok</v>
      </c>
      <c r="I2793" t="s">
        <v>19</v>
      </c>
      <c r="J2793" t="str">
        <f>VLOOKUP(Table2[[#This Row],[Author]],People!A:B,2,0)</f>
        <v>LS</v>
      </c>
      <c r="L2793" s="40"/>
      <c r="M2793" s="40" t="s">
        <v>1040</v>
      </c>
    </row>
    <row r="2794" spans="1:13" x14ac:dyDescent="0.25">
      <c r="A2794" s="75">
        <f t="shared" si="43"/>
        <v>2793</v>
      </c>
      <c r="B2794" t="s">
        <v>4851</v>
      </c>
      <c r="C2794" t="s">
        <v>7622</v>
      </c>
      <c r="D2794" t="s">
        <v>2575</v>
      </c>
      <c r="F2794" t="s">
        <v>2515</v>
      </c>
      <c r="G2794" t="s">
        <v>24</v>
      </c>
      <c r="H2794" s="75" t="str">
        <f>IFERROR(VLOOKUP(Table2[[#This Row],[Ticket]],Okey!A:B,2,0),"")</f>
        <v>ok</v>
      </c>
      <c r="I2794" t="s">
        <v>19</v>
      </c>
      <c r="J2794" t="str">
        <f>VLOOKUP(Table2[[#This Row],[Author]],People!A:B,2,0)</f>
        <v>LS</v>
      </c>
      <c r="L2794" s="40"/>
      <c r="M2794" s="40" t="s">
        <v>1040</v>
      </c>
    </row>
    <row r="2795" spans="1:13" x14ac:dyDescent="0.25">
      <c r="A2795" s="75">
        <f t="shared" si="43"/>
        <v>2794</v>
      </c>
      <c r="B2795" t="s">
        <v>4851</v>
      </c>
      <c r="C2795" t="s">
        <v>7622</v>
      </c>
      <c r="D2795" t="s">
        <v>2577</v>
      </c>
      <c r="F2795" t="s">
        <v>2515</v>
      </c>
      <c r="G2795" t="s">
        <v>24</v>
      </c>
      <c r="H2795" s="75" t="str">
        <f>IFERROR(VLOOKUP(Table2[[#This Row],[Ticket]],Okey!A:B,2,0),"")</f>
        <v>ok</v>
      </c>
      <c r="I2795" t="s">
        <v>19</v>
      </c>
      <c r="J2795" t="str">
        <f>VLOOKUP(Table2[[#This Row],[Author]],People!A:B,2,0)</f>
        <v>LS</v>
      </c>
      <c r="L2795" s="40"/>
      <c r="M2795" s="40" t="s">
        <v>1040</v>
      </c>
    </row>
    <row r="2796" spans="1:13" x14ac:dyDescent="0.25">
      <c r="A2796" s="75">
        <f t="shared" si="43"/>
        <v>2795</v>
      </c>
      <c r="B2796" t="s">
        <v>4851</v>
      </c>
      <c r="C2796" t="s">
        <v>7622</v>
      </c>
      <c r="D2796" t="s">
        <v>7934</v>
      </c>
      <c r="F2796" t="s">
        <v>2515</v>
      </c>
      <c r="G2796" t="s">
        <v>24</v>
      </c>
      <c r="H2796" s="75" t="str">
        <f>IFERROR(VLOOKUP(Table2[[#This Row],[Ticket]],Okey!A:B,2,0),"")</f>
        <v>ok</v>
      </c>
      <c r="I2796" t="s">
        <v>19</v>
      </c>
      <c r="J2796" t="str">
        <f>VLOOKUP(Table2[[#This Row],[Author]],People!A:B,2,0)</f>
        <v>LS</v>
      </c>
      <c r="L2796" s="40"/>
      <c r="M2796" s="40" t="s">
        <v>1040</v>
      </c>
    </row>
    <row r="2797" spans="1:13" x14ac:dyDescent="0.25">
      <c r="A2797" s="75">
        <f t="shared" si="43"/>
        <v>2796</v>
      </c>
      <c r="B2797" t="s">
        <v>4851</v>
      </c>
      <c r="C2797" t="s">
        <v>7622</v>
      </c>
      <c r="D2797" t="s">
        <v>7935</v>
      </c>
      <c r="F2797" t="s">
        <v>2515</v>
      </c>
      <c r="G2797" t="s">
        <v>24</v>
      </c>
      <c r="H2797" s="75" t="str">
        <f>IFERROR(VLOOKUP(Table2[[#This Row],[Ticket]],Okey!A:B,2,0),"")</f>
        <v>ok</v>
      </c>
      <c r="I2797" t="s">
        <v>19</v>
      </c>
      <c r="J2797" t="str">
        <f>VLOOKUP(Table2[[#This Row],[Author]],People!A:B,2,0)</f>
        <v>LS</v>
      </c>
      <c r="L2797" s="40"/>
      <c r="M2797" s="40" t="s">
        <v>1040</v>
      </c>
    </row>
    <row r="2798" spans="1:13" x14ac:dyDescent="0.25">
      <c r="A2798" s="75">
        <f t="shared" si="43"/>
        <v>2797</v>
      </c>
      <c r="B2798" t="s">
        <v>4851</v>
      </c>
      <c r="C2798" t="s">
        <v>7622</v>
      </c>
      <c r="D2798" t="s">
        <v>2599</v>
      </c>
      <c r="F2798" t="s">
        <v>2515</v>
      </c>
      <c r="G2798" t="s">
        <v>24</v>
      </c>
      <c r="H2798" s="75" t="str">
        <f>IFERROR(VLOOKUP(Table2[[#This Row],[Ticket]],Okey!A:B,2,0),"")</f>
        <v>ok</v>
      </c>
      <c r="I2798" t="s">
        <v>19</v>
      </c>
      <c r="J2798" t="str">
        <f>VLOOKUP(Table2[[#This Row],[Author]],People!A:B,2,0)</f>
        <v>LS</v>
      </c>
      <c r="L2798" s="40"/>
      <c r="M2798" s="40" t="s">
        <v>1040</v>
      </c>
    </row>
    <row r="2799" spans="1:13" x14ac:dyDescent="0.25">
      <c r="A2799" s="75">
        <f t="shared" si="43"/>
        <v>2798</v>
      </c>
      <c r="B2799" t="s">
        <v>4851</v>
      </c>
      <c r="C2799" t="s">
        <v>7622</v>
      </c>
      <c r="D2799" t="s">
        <v>2601</v>
      </c>
      <c r="F2799" t="s">
        <v>2515</v>
      </c>
      <c r="G2799" t="s">
        <v>24</v>
      </c>
      <c r="H2799" s="75" t="str">
        <f>IFERROR(VLOOKUP(Table2[[#This Row],[Ticket]],Okey!A:B,2,0),"")</f>
        <v>ok</v>
      </c>
      <c r="I2799" t="s">
        <v>19</v>
      </c>
      <c r="J2799" t="str">
        <f>VLOOKUP(Table2[[#This Row],[Author]],People!A:B,2,0)</f>
        <v>LS</v>
      </c>
      <c r="L2799" s="40"/>
      <c r="M2799" s="40" t="s">
        <v>1040</v>
      </c>
    </row>
    <row r="2800" spans="1:13" x14ac:dyDescent="0.25">
      <c r="A2800" s="75">
        <f t="shared" si="43"/>
        <v>2799</v>
      </c>
      <c r="B2800" t="s">
        <v>4851</v>
      </c>
      <c r="C2800" t="s">
        <v>7622</v>
      </c>
      <c r="D2800" t="s">
        <v>7936</v>
      </c>
      <c r="F2800" t="s">
        <v>2515</v>
      </c>
      <c r="G2800" t="s">
        <v>24</v>
      </c>
      <c r="H2800" s="75" t="str">
        <f>IFERROR(VLOOKUP(Table2[[#This Row],[Ticket]],Okey!A:B,2,0),"")</f>
        <v>ok</v>
      </c>
      <c r="I2800" t="s">
        <v>19</v>
      </c>
      <c r="J2800" t="str">
        <f>VLOOKUP(Table2[[#This Row],[Author]],People!A:B,2,0)</f>
        <v>LS</v>
      </c>
      <c r="L2800" s="40"/>
      <c r="M2800" s="40" t="s">
        <v>1040</v>
      </c>
    </row>
    <row r="2801" spans="1:13" x14ac:dyDescent="0.25">
      <c r="A2801" s="75">
        <f t="shared" si="43"/>
        <v>2800</v>
      </c>
      <c r="B2801" t="s">
        <v>4851</v>
      </c>
      <c r="C2801" t="s">
        <v>7622</v>
      </c>
      <c r="D2801" t="s">
        <v>7937</v>
      </c>
      <c r="F2801" t="s">
        <v>2515</v>
      </c>
      <c r="G2801" t="s">
        <v>24</v>
      </c>
      <c r="H2801" s="75" t="str">
        <f>IFERROR(VLOOKUP(Table2[[#This Row],[Ticket]],Okey!A:B,2,0),"")</f>
        <v>ok</v>
      </c>
      <c r="I2801" t="s">
        <v>19</v>
      </c>
      <c r="J2801" t="str">
        <f>VLOOKUP(Table2[[#This Row],[Author]],People!A:B,2,0)</f>
        <v>LS</v>
      </c>
      <c r="L2801" s="40"/>
      <c r="M2801" s="40" t="s">
        <v>1040</v>
      </c>
    </row>
    <row r="2802" spans="1:13" x14ac:dyDescent="0.25">
      <c r="A2802" s="75">
        <f t="shared" si="43"/>
        <v>2801</v>
      </c>
      <c r="B2802" t="s">
        <v>4851</v>
      </c>
      <c r="C2802" t="s">
        <v>7622</v>
      </c>
      <c r="D2802" t="s">
        <v>7938</v>
      </c>
      <c r="F2802" t="s">
        <v>2515</v>
      </c>
      <c r="G2802" t="s">
        <v>24</v>
      </c>
      <c r="H2802" s="75" t="str">
        <f>IFERROR(VLOOKUP(Table2[[#This Row],[Ticket]],Okey!A:B,2,0),"")</f>
        <v>ok</v>
      </c>
      <c r="I2802" t="s">
        <v>19</v>
      </c>
      <c r="J2802" t="str">
        <f>VLOOKUP(Table2[[#This Row],[Author]],People!A:B,2,0)</f>
        <v>LS</v>
      </c>
      <c r="L2802" s="40"/>
      <c r="M2802" s="40" t="s">
        <v>1040</v>
      </c>
    </row>
    <row r="2803" spans="1:13" x14ac:dyDescent="0.25">
      <c r="A2803" s="75">
        <f t="shared" si="43"/>
        <v>2802</v>
      </c>
      <c r="B2803" t="s">
        <v>4851</v>
      </c>
      <c r="C2803" t="s">
        <v>7622</v>
      </c>
      <c r="D2803" t="s">
        <v>7939</v>
      </c>
      <c r="F2803" t="s">
        <v>2515</v>
      </c>
      <c r="G2803" t="s">
        <v>24</v>
      </c>
      <c r="H2803" s="75" t="str">
        <f>IFERROR(VLOOKUP(Table2[[#This Row],[Ticket]],Okey!A:B,2,0),"")</f>
        <v>ok</v>
      </c>
      <c r="I2803" t="s">
        <v>19</v>
      </c>
      <c r="J2803" t="str">
        <f>VLOOKUP(Table2[[#This Row],[Author]],People!A:B,2,0)</f>
        <v>LS</v>
      </c>
      <c r="L2803" s="40"/>
      <c r="M2803" s="40" t="s">
        <v>1040</v>
      </c>
    </row>
    <row r="2804" spans="1:13" x14ac:dyDescent="0.25">
      <c r="A2804" s="75">
        <f t="shared" si="43"/>
        <v>2803</v>
      </c>
      <c r="B2804" t="s">
        <v>4851</v>
      </c>
      <c r="C2804" t="s">
        <v>7622</v>
      </c>
      <c r="D2804" t="s">
        <v>7940</v>
      </c>
      <c r="F2804" t="s">
        <v>2515</v>
      </c>
      <c r="G2804" t="s">
        <v>24</v>
      </c>
      <c r="H2804" s="75" t="str">
        <f>IFERROR(VLOOKUP(Table2[[#This Row],[Ticket]],Okey!A:B,2,0),"")</f>
        <v>ok</v>
      </c>
      <c r="I2804" t="s">
        <v>19</v>
      </c>
      <c r="J2804" t="str">
        <f>VLOOKUP(Table2[[#This Row],[Author]],People!A:B,2,0)</f>
        <v>LS</v>
      </c>
      <c r="L2804" s="40"/>
      <c r="M2804" s="40" t="s">
        <v>1040</v>
      </c>
    </row>
    <row r="2805" spans="1:13" x14ac:dyDescent="0.25">
      <c r="A2805" s="75">
        <f t="shared" si="43"/>
        <v>2804</v>
      </c>
      <c r="B2805" t="s">
        <v>4851</v>
      </c>
      <c r="C2805" t="s">
        <v>7622</v>
      </c>
      <c r="D2805" t="s">
        <v>7941</v>
      </c>
      <c r="F2805" t="s">
        <v>2515</v>
      </c>
      <c r="G2805" t="s">
        <v>24</v>
      </c>
      <c r="H2805" s="75" t="str">
        <f>IFERROR(VLOOKUP(Table2[[#This Row],[Ticket]],Okey!A:B,2,0),"")</f>
        <v>ok</v>
      </c>
      <c r="I2805" t="s">
        <v>19</v>
      </c>
      <c r="J2805" t="str">
        <f>VLOOKUP(Table2[[#This Row],[Author]],People!A:B,2,0)</f>
        <v>LS</v>
      </c>
      <c r="L2805" s="40"/>
      <c r="M2805" s="40" t="s">
        <v>1040</v>
      </c>
    </row>
    <row r="2806" spans="1:13" x14ac:dyDescent="0.25">
      <c r="A2806" s="75">
        <f t="shared" si="43"/>
        <v>2805</v>
      </c>
      <c r="B2806" t="s">
        <v>4851</v>
      </c>
      <c r="C2806" t="s">
        <v>7622</v>
      </c>
      <c r="D2806" t="s">
        <v>7942</v>
      </c>
      <c r="F2806" t="s">
        <v>2515</v>
      </c>
      <c r="G2806" t="s">
        <v>24</v>
      </c>
      <c r="H2806" s="75" t="str">
        <f>IFERROR(VLOOKUP(Table2[[#This Row],[Ticket]],Okey!A:B,2,0),"")</f>
        <v>ok</v>
      </c>
      <c r="I2806" t="s">
        <v>19</v>
      </c>
      <c r="J2806" t="str">
        <f>VLOOKUP(Table2[[#This Row],[Author]],People!A:B,2,0)</f>
        <v>LS</v>
      </c>
      <c r="L2806" s="40"/>
      <c r="M2806" s="40" t="s">
        <v>1040</v>
      </c>
    </row>
    <row r="2807" spans="1:13" x14ac:dyDescent="0.25">
      <c r="A2807" s="75">
        <f t="shared" si="43"/>
        <v>2806</v>
      </c>
      <c r="B2807" t="s">
        <v>4851</v>
      </c>
      <c r="C2807" t="s">
        <v>7622</v>
      </c>
      <c r="D2807" t="s">
        <v>7943</v>
      </c>
      <c r="F2807" t="s">
        <v>2515</v>
      </c>
      <c r="G2807" t="s">
        <v>24</v>
      </c>
      <c r="H2807" s="75" t="str">
        <f>IFERROR(VLOOKUP(Table2[[#This Row],[Ticket]],Okey!A:B,2,0),"")</f>
        <v>ok</v>
      </c>
      <c r="I2807" t="s">
        <v>19</v>
      </c>
      <c r="J2807" t="str">
        <f>VLOOKUP(Table2[[#This Row],[Author]],People!A:B,2,0)</f>
        <v>LS</v>
      </c>
      <c r="L2807" s="40"/>
      <c r="M2807" s="40" t="s">
        <v>1040</v>
      </c>
    </row>
    <row r="2808" spans="1:13" x14ac:dyDescent="0.25">
      <c r="A2808" s="75">
        <f t="shared" si="43"/>
        <v>2807</v>
      </c>
      <c r="B2808" t="s">
        <v>4851</v>
      </c>
      <c r="C2808" t="s">
        <v>7622</v>
      </c>
      <c r="D2808" t="s">
        <v>7944</v>
      </c>
      <c r="F2808" t="s">
        <v>2515</v>
      </c>
      <c r="G2808" t="s">
        <v>24</v>
      </c>
      <c r="H2808" s="75" t="str">
        <f>IFERROR(VLOOKUP(Table2[[#This Row],[Ticket]],Okey!A:B,2,0),"")</f>
        <v>ok</v>
      </c>
      <c r="I2808" t="s">
        <v>19</v>
      </c>
      <c r="J2808" t="str">
        <f>VLOOKUP(Table2[[#This Row],[Author]],People!A:B,2,0)</f>
        <v>LS</v>
      </c>
      <c r="L2808" s="40"/>
      <c r="M2808" s="40" t="s">
        <v>1040</v>
      </c>
    </row>
    <row r="2809" spans="1:13" x14ac:dyDescent="0.25">
      <c r="A2809" s="75">
        <f t="shared" si="43"/>
        <v>2808</v>
      </c>
      <c r="B2809" t="s">
        <v>4851</v>
      </c>
      <c r="C2809" t="s">
        <v>7622</v>
      </c>
      <c r="D2809" t="s">
        <v>7945</v>
      </c>
      <c r="F2809" t="s">
        <v>2515</v>
      </c>
      <c r="G2809" t="s">
        <v>24</v>
      </c>
      <c r="H2809" s="75" t="str">
        <f>IFERROR(VLOOKUP(Table2[[#This Row],[Ticket]],Okey!A:B,2,0),"")</f>
        <v>ok</v>
      </c>
      <c r="I2809" t="s">
        <v>19</v>
      </c>
      <c r="J2809" t="str">
        <f>VLOOKUP(Table2[[#This Row],[Author]],People!A:B,2,0)</f>
        <v>LS</v>
      </c>
      <c r="L2809" s="40"/>
      <c r="M2809" s="40" t="s">
        <v>1040</v>
      </c>
    </row>
    <row r="2810" spans="1:13" x14ac:dyDescent="0.25">
      <c r="A2810" s="75">
        <f t="shared" si="43"/>
        <v>2809</v>
      </c>
      <c r="B2810" t="s">
        <v>4851</v>
      </c>
      <c r="C2810" t="s">
        <v>7622</v>
      </c>
      <c r="D2810" t="s">
        <v>7946</v>
      </c>
      <c r="F2810" t="s">
        <v>2515</v>
      </c>
      <c r="G2810" t="s">
        <v>24</v>
      </c>
      <c r="H2810" s="75" t="str">
        <f>IFERROR(VLOOKUP(Table2[[#This Row],[Ticket]],Okey!A:B,2,0),"")</f>
        <v>ok</v>
      </c>
      <c r="I2810" t="s">
        <v>19</v>
      </c>
      <c r="J2810" t="str">
        <f>VLOOKUP(Table2[[#This Row],[Author]],People!A:B,2,0)</f>
        <v>LS</v>
      </c>
      <c r="L2810" s="40"/>
      <c r="M2810" s="40" t="s">
        <v>1040</v>
      </c>
    </row>
    <row r="2811" spans="1:13" x14ac:dyDescent="0.25">
      <c r="A2811" s="75">
        <f t="shared" si="43"/>
        <v>2810</v>
      </c>
      <c r="B2811" t="s">
        <v>4851</v>
      </c>
      <c r="C2811" t="s">
        <v>7622</v>
      </c>
      <c r="D2811" t="s">
        <v>2695</v>
      </c>
      <c r="F2811" t="s">
        <v>2515</v>
      </c>
      <c r="G2811" t="s">
        <v>24</v>
      </c>
      <c r="H2811" s="75" t="str">
        <f>IFERROR(VLOOKUP(Table2[[#This Row],[Ticket]],Okey!A:B,2,0),"")</f>
        <v>ok</v>
      </c>
      <c r="I2811" t="s">
        <v>19</v>
      </c>
      <c r="J2811" t="str">
        <f>VLOOKUP(Table2[[#This Row],[Author]],People!A:B,2,0)</f>
        <v>LS</v>
      </c>
      <c r="L2811" s="40"/>
      <c r="M2811" s="40" t="s">
        <v>1040</v>
      </c>
    </row>
    <row r="2812" spans="1:13" x14ac:dyDescent="0.25">
      <c r="A2812" s="75">
        <f t="shared" si="43"/>
        <v>2811</v>
      </c>
      <c r="B2812" t="s">
        <v>4851</v>
      </c>
      <c r="C2812" t="s">
        <v>7622</v>
      </c>
      <c r="D2812" t="s">
        <v>7947</v>
      </c>
      <c r="F2812" t="s">
        <v>2515</v>
      </c>
      <c r="G2812" t="s">
        <v>24</v>
      </c>
      <c r="H2812" s="75" t="str">
        <f>IFERROR(VLOOKUP(Table2[[#This Row],[Ticket]],Okey!A:B,2,0),"")</f>
        <v>ok</v>
      </c>
      <c r="I2812" t="s">
        <v>19</v>
      </c>
      <c r="J2812" t="str">
        <f>VLOOKUP(Table2[[#This Row],[Author]],People!A:B,2,0)</f>
        <v>LS</v>
      </c>
      <c r="L2812" s="40"/>
      <c r="M2812" s="40" t="s">
        <v>1040</v>
      </c>
    </row>
    <row r="2813" spans="1:13" x14ac:dyDescent="0.25">
      <c r="A2813" s="75">
        <f t="shared" si="43"/>
        <v>2812</v>
      </c>
      <c r="B2813" t="s">
        <v>4851</v>
      </c>
      <c r="C2813" t="s">
        <v>7622</v>
      </c>
      <c r="D2813" t="s">
        <v>2697</v>
      </c>
      <c r="F2813" t="s">
        <v>2515</v>
      </c>
      <c r="G2813" t="s">
        <v>24</v>
      </c>
      <c r="H2813" s="75" t="str">
        <f>IFERROR(VLOOKUP(Table2[[#This Row],[Ticket]],Okey!A:B,2,0),"")</f>
        <v>ok</v>
      </c>
      <c r="I2813" t="s">
        <v>19</v>
      </c>
      <c r="J2813" t="str">
        <f>VLOOKUP(Table2[[#This Row],[Author]],People!A:B,2,0)</f>
        <v>LS</v>
      </c>
      <c r="L2813" s="40"/>
      <c r="M2813" s="40" t="s">
        <v>1040</v>
      </c>
    </row>
    <row r="2814" spans="1:13" x14ac:dyDescent="0.25">
      <c r="A2814" s="75">
        <f t="shared" si="43"/>
        <v>2813</v>
      </c>
      <c r="B2814" t="s">
        <v>4851</v>
      </c>
      <c r="C2814" t="s">
        <v>7622</v>
      </c>
      <c r="D2814" t="s">
        <v>7948</v>
      </c>
      <c r="F2814" t="s">
        <v>2515</v>
      </c>
      <c r="G2814" t="s">
        <v>24</v>
      </c>
      <c r="H2814" s="75" t="str">
        <f>IFERROR(VLOOKUP(Table2[[#This Row],[Ticket]],Okey!A:B,2,0),"")</f>
        <v>ok</v>
      </c>
      <c r="I2814" t="s">
        <v>19</v>
      </c>
      <c r="J2814" t="str">
        <f>VLOOKUP(Table2[[#This Row],[Author]],People!A:B,2,0)</f>
        <v>LS</v>
      </c>
      <c r="L2814" s="40"/>
      <c r="M2814" s="40" t="s">
        <v>1040</v>
      </c>
    </row>
    <row r="2815" spans="1:13" x14ac:dyDescent="0.25">
      <c r="A2815" s="75">
        <f t="shared" si="43"/>
        <v>2814</v>
      </c>
      <c r="B2815" t="s">
        <v>4851</v>
      </c>
      <c r="C2815" t="s">
        <v>7622</v>
      </c>
      <c r="D2815" t="s">
        <v>7949</v>
      </c>
      <c r="F2815" t="s">
        <v>2515</v>
      </c>
      <c r="G2815" t="s">
        <v>24</v>
      </c>
      <c r="H2815" s="75" t="str">
        <f>IFERROR(VLOOKUP(Table2[[#This Row],[Ticket]],Okey!A:B,2,0),"")</f>
        <v>ok</v>
      </c>
      <c r="I2815" t="s">
        <v>19</v>
      </c>
      <c r="J2815" t="str">
        <f>VLOOKUP(Table2[[#This Row],[Author]],People!A:B,2,0)</f>
        <v>LS</v>
      </c>
      <c r="L2815" s="40"/>
      <c r="M2815" s="40" t="s">
        <v>1040</v>
      </c>
    </row>
    <row r="2816" spans="1:13" x14ac:dyDescent="0.25">
      <c r="A2816" s="75">
        <f t="shared" si="43"/>
        <v>2815</v>
      </c>
      <c r="B2816" t="s">
        <v>4851</v>
      </c>
      <c r="C2816" t="s">
        <v>7622</v>
      </c>
      <c r="D2816" t="s">
        <v>7950</v>
      </c>
      <c r="F2816" t="s">
        <v>2515</v>
      </c>
      <c r="G2816" t="s">
        <v>24</v>
      </c>
      <c r="H2816" s="75" t="str">
        <f>IFERROR(VLOOKUP(Table2[[#This Row],[Ticket]],Okey!A:B,2,0),"")</f>
        <v>ok</v>
      </c>
      <c r="I2816" t="s">
        <v>19</v>
      </c>
      <c r="J2816" t="str">
        <f>VLOOKUP(Table2[[#This Row],[Author]],People!A:B,2,0)</f>
        <v>LS</v>
      </c>
      <c r="L2816" s="40"/>
      <c r="M2816" s="40" t="s">
        <v>1040</v>
      </c>
    </row>
    <row r="2817" spans="1:13" x14ac:dyDescent="0.25">
      <c r="A2817" s="75">
        <f t="shared" si="43"/>
        <v>2816</v>
      </c>
      <c r="B2817" t="s">
        <v>4851</v>
      </c>
      <c r="C2817" t="s">
        <v>7622</v>
      </c>
      <c r="D2817" t="s">
        <v>7951</v>
      </c>
      <c r="F2817" t="s">
        <v>2515</v>
      </c>
      <c r="G2817" t="s">
        <v>24</v>
      </c>
      <c r="H2817" s="75" t="str">
        <f>IFERROR(VLOOKUP(Table2[[#This Row],[Ticket]],Okey!A:B,2,0),"")</f>
        <v>ok</v>
      </c>
      <c r="I2817" t="s">
        <v>19</v>
      </c>
      <c r="J2817" t="str">
        <f>VLOOKUP(Table2[[#This Row],[Author]],People!A:B,2,0)</f>
        <v>LS</v>
      </c>
      <c r="L2817" s="40"/>
      <c r="M2817" s="40" t="s">
        <v>1040</v>
      </c>
    </row>
    <row r="2818" spans="1:13" x14ac:dyDescent="0.25">
      <c r="A2818" s="75">
        <f t="shared" si="43"/>
        <v>2817</v>
      </c>
      <c r="B2818" t="s">
        <v>4851</v>
      </c>
      <c r="C2818" t="s">
        <v>7622</v>
      </c>
      <c r="D2818" t="s">
        <v>4981</v>
      </c>
      <c r="F2818" t="s">
        <v>2515</v>
      </c>
      <c r="G2818" t="s">
        <v>24</v>
      </c>
      <c r="H2818" s="75" t="str">
        <f>IFERROR(VLOOKUP(Table2[[#This Row],[Ticket]],Okey!A:B,2,0),"")</f>
        <v>ok</v>
      </c>
      <c r="I2818" t="s">
        <v>19</v>
      </c>
      <c r="J2818" t="str">
        <f>VLOOKUP(Table2[[#This Row],[Author]],People!A:B,2,0)</f>
        <v>LS</v>
      </c>
      <c r="L2818" s="40"/>
      <c r="M2818" s="40" t="s">
        <v>1040</v>
      </c>
    </row>
    <row r="2819" spans="1:13" x14ac:dyDescent="0.25">
      <c r="A2819" s="75">
        <f t="shared" si="43"/>
        <v>2818</v>
      </c>
      <c r="B2819" t="s">
        <v>4851</v>
      </c>
      <c r="C2819" t="s">
        <v>7622</v>
      </c>
      <c r="D2819" t="s">
        <v>4982</v>
      </c>
      <c r="F2819" t="s">
        <v>2515</v>
      </c>
      <c r="G2819" t="s">
        <v>24</v>
      </c>
      <c r="H2819" s="75" t="str">
        <f>IFERROR(VLOOKUP(Table2[[#This Row],[Ticket]],Okey!A:B,2,0),"")</f>
        <v>ok</v>
      </c>
      <c r="I2819" t="s">
        <v>19</v>
      </c>
      <c r="J2819" t="str">
        <f>VLOOKUP(Table2[[#This Row],[Author]],People!A:B,2,0)</f>
        <v>LS</v>
      </c>
      <c r="L2819" s="40"/>
      <c r="M2819" s="40" t="s">
        <v>1040</v>
      </c>
    </row>
    <row r="2820" spans="1:13" x14ac:dyDescent="0.25">
      <c r="A2820" s="75">
        <f t="shared" si="43"/>
        <v>2819</v>
      </c>
      <c r="B2820" t="s">
        <v>4851</v>
      </c>
      <c r="C2820" t="s">
        <v>7622</v>
      </c>
      <c r="D2820" t="s">
        <v>7952</v>
      </c>
      <c r="F2820" t="s">
        <v>2515</v>
      </c>
      <c r="G2820" t="s">
        <v>24</v>
      </c>
      <c r="H2820" s="75" t="str">
        <f>IFERROR(VLOOKUP(Table2[[#This Row],[Ticket]],Okey!A:B,2,0),"")</f>
        <v>ok</v>
      </c>
      <c r="I2820" t="s">
        <v>19</v>
      </c>
      <c r="J2820" t="str">
        <f>VLOOKUP(Table2[[#This Row],[Author]],People!A:B,2,0)</f>
        <v>LS</v>
      </c>
      <c r="L2820" s="40"/>
      <c r="M2820" s="40" t="s">
        <v>1040</v>
      </c>
    </row>
    <row r="2821" spans="1:13" x14ac:dyDescent="0.25">
      <c r="A2821" s="75">
        <f t="shared" si="43"/>
        <v>2820</v>
      </c>
      <c r="B2821" t="s">
        <v>4851</v>
      </c>
      <c r="C2821" t="s">
        <v>7953</v>
      </c>
      <c r="D2821" t="s">
        <v>402</v>
      </c>
      <c r="F2821" t="s">
        <v>454</v>
      </c>
      <c r="G2821" t="s">
        <v>24</v>
      </c>
      <c r="H2821" s="75" t="str">
        <f>IFERROR(VLOOKUP(Table2[[#This Row],[Ticket]],Okey!A:B,2,0),"")</f>
        <v>ok</v>
      </c>
      <c r="I2821" s="50" t="s">
        <v>19</v>
      </c>
      <c r="J2821" t="str">
        <f>VLOOKUP(Table2[[#This Row],[Author]],People!A:B,2,0)</f>
        <v>MGF</v>
      </c>
      <c r="L2821" s="40"/>
      <c r="M2821" s="40" t="s">
        <v>2363</v>
      </c>
    </row>
    <row r="2822" spans="1:13" x14ac:dyDescent="0.25">
      <c r="A2822" s="75">
        <f t="shared" si="43"/>
        <v>2821</v>
      </c>
      <c r="B2822" t="s">
        <v>4851</v>
      </c>
      <c r="C2822" t="s">
        <v>7953</v>
      </c>
      <c r="D2822" t="s">
        <v>410</v>
      </c>
      <c r="F2822" t="s">
        <v>454</v>
      </c>
      <c r="G2822" t="s">
        <v>24</v>
      </c>
      <c r="H2822" s="75" t="str">
        <f>IFERROR(VLOOKUP(Table2[[#This Row],[Ticket]],Okey!A:B,2,0),"")</f>
        <v>ok</v>
      </c>
      <c r="I2822" s="50" t="s">
        <v>19</v>
      </c>
      <c r="J2822" t="str">
        <f>VLOOKUP(Table2[[#This Row],[Author]],People!A:B,2,0)</f>
        <v>MGF</v>
      </c>
      <c r="L2822" s="40"/>
      <c r="M2822" s="40" t="s">
        <v>2363</v>
      </c>
    </row>
    <row r="2823" spans="1:13" x14ac:dyDescent="0.25">
      <c r="A2823" s="75">
        <f t="shared" si="43"/>
        <v>2822</v>
      </c>
      <c r="B2823" t="s">
        <v>4851</v>
      </c>
      <c r="C2823" t="s">
        <v>7967</v>
      </c>
      <c r="D2823" t="s">
        <v>7955</v>
      </c>
      <c r="F2823" t="s">
        <v>327</v>
      </c>
      <c r="G2823" t="s">
        <v>328</v>
      </c>
      <c r="H2823" s="75" t="str">
        <f>IFERROR(VLOOKUP(Table2[[#This Row],[Ticket]],Okey!A:B,2,0),"")</f>
        <v>ok</v>
      </c>
      <c r="I2823" s="50" t="s">
        <v>19</v>
      </c>
      <c r="J2823" t="str">
        <f>VLOOKUP(Table2[[#This Row],[Author]],People!A:B,2,0)</f>
        <v>HC</v>
      </c>
      <c r="L2823" s="40"/>
      <c r="M2823" s="40" t="s">
        <v>7954</v>
      </c>
    </row>
    <row r="2824" spans="1:13" x14ac:dyDescent="0.25">
      <c r="A2824" s="75">
        <f t="shared" si="43"/>
        <v>2823</v>
      </c>
      <c r="B2824" t="s">
        <v>4851</v>
      </c>
      <c r="C2824" t="s">
        <v>7967</v>
      </c>
      <c r="D2824" t="s">
        <v>7956</v>
      </c>
      <c r="F2824" t="s">
        <v>327</v>
      </c>
      <c r="G2824" t="s">
        <v>328</v>
      </c>
      <c r="H2824" s="75" t="str">
        <f>IFERROR(VLOOKUP(Table2[[#This Row],[Ticket]],Okey!A:B,2,0),"")</f>
        <v>ok</v>
      </c>
      <c r="I2824" s="50" t="s">
        <v>19</v>
      </c>
      <c r="J2824" t="str">
        <f>VLOOKUP(Table2[[#This Row],[Author]],People!A:B,2,0)</f>
        <v>HC</v>
      </c>
      <c r="L2824" s="40"/>
      <c r="M2824" s="40" t="s">
        <v>7954</v>
      </c>
    </row>
    <row r="2825" spans="1:13" x14ac:dyDescent="0.25">
      <c r="A2825" s="75">
        <f t="shared" ref="A2825:A2888" si="44">1+A2824</f>
        <v>2824</v>
      </c>
      <c r="B2825" t="s">
        <v>4851</v>
      </c>
      <c r="C2825" t="s">
        <v>7967</v>
      </c>
      <c r="D2825" t="s">
        <v>7957</v>
      </c>
      <c r="F2825" t="s">
        <v>327</v>
      </c>
      <c r="G2825" t="s">
        <v>328</v>
      </c>
      <c r="H2825" s="75" t="str">
        <f>IFERROR(VLOOKUP(Table2[[#This Row],[Ticket]],Okey!A:B,2,0),"")</f>
        <v>ok</v>
      </c>
      <c r="I2825" s="50" t="s">
        <v>19</v>
      </c>
      <c r="J2825" t="str">
        <f>VLOOKUP(Table2[[#This Row],[Author]],People!A:B,2,0)</f>
        <v>HC</v>
      </c>
      <c r="L2825" s="40"/>
      <c r="M2825" s="40" t="s">
        <v>7954</v>
      </c>
    </row>
    <row r="2826" spans="1:13" x14ac:dyDescent="0.25">
      <c r="A2826" s="75">
        <f t="shared" si="44"/>
        <v>2825</v>
      </c>
      <c r="B2826" t="s">
        <v>4851</v>
      </c>
      <c r="C2826" t="s">
        <v>7967</v>
      </c>
      <c r="D2826" t="s">
        <v>7958</v>
      </c>
      <c r="F2826" t="s">
        <v>327</v>
      </c>
      <c r="G2826" t="s">
        <v>328</v>
      </c>
      <c r="H2826" s="75" t="str">
        <f>IFERROR(VLOOKUP(Table2[[#This Row],[Ticket]],Okey!A:B,2,0),"")</f>
        <v>ok</v>
      </c>
      <c r="I2826" s="50" t="s">
        <v>19</v>
      </c>
      <c r="J2826" t="str">
        <f>VLOOKUP(Table2[[#This Row],[Author]],People!A:B,2,0)</f>
        <v>HC</v>
      </c>
      <c r="L2826" s="40"/>
      <c r="M2826" s="40" t="s">
        <v>7954</v>
      </c>
    </row>
    <row r="2827" spans="1:13" x14ac:dyDescent="0.25">
      <c r="A2827" s="75">
        <f t="shared" si="44"/>
        <v>2826</v>
      </c>
      <c r="B2827" t="s">
        <v>4851</v>
      </c>
      <c r="C2827" t="s">
        <v>7967</v>
      </c>
      <c r="D2827" t="s">
        <v>7959</v>
      </c>
      <c r="F2827" t="s">
        <v>327</v>
      </c>
      <c r="G2827" t="s">
        <v>328</v>
      </c>
      <c r="H2827" s="75" t="str">
        <f>IFERROR(VLOOKUP(Table2[[#This Row],[Ticket]],Okey!A:B,2,0),"")</f>
        <v>ok</v>
      </c>
      <c r="I2827" s="50" t="s">
        <v>19</v>
      </c>
      <c r="J2827" t="str">
        <f>VLOOKUP(Table2[[#This Row],[Author]],People!A:B,2,0)</f>
        <v>HC</v>
      </c>
      <c r="L2827" s="40"/>
      <c r="M2827" s="40" t="s">
        <v>7954</v>
      </c>
    </row>
    <row r="2828" spans="1:13" x14ac:dyDescent="0.25">
      <c r="A2828" s="75">
        <f t="shared" si="44"/>
        <v>2827</v>
      </c>
      <c r="B2828" t="s">
        <v>4851</v>
      </c>
      <c r="C2828" t="s">
        <v>7967</v>
      </c>
      <c r="D2828" t="s">
        <v>7960</v>
      </c>
      <c r="F2828" t="s">
        <v>327</v>
      </c>
      <c r="G2828" t="s">
        <v>328</v>
      </c>
      <c r="H2828" s="75" t="str">
        <f>IFERROR(VLOOKUP(Table2[[#This Row],[Ticket]],Okey!A:B,2,0),"")</f>
        <v>ok</v>
      </c>
      <c r="I2828" s="50" t="s">
        <v>19</v>
      </c>
      <c r="J2828" t="str">
        <f>VLOOKUP(Table2[[#This Row],[Author]],People!A:B,2,0)</f>
        <v>HC</v>
      </c>
      <c r="L2828" s="40"/>
      <c r="M2828" s="40" t="s">
        <v>7954</v>
      </c>
    </row>
    <row r="2829" spans="1:13" x14ac:dyDescent="0.25">
      <c r="A2829" s="75">
        <f t="shared" si="44"/>
        <v>2828</v>
      </c>
      <c r="B2829" t="s">
        <v>4851</v>
      </c>
      <c r="C2829" t="s">
        <v>7967</v>
      </c>
      <c r="D2829" t="s">
        <v>7961</v>
      </c>
      <c r="F2829" t="s">
        <v>327</v>
      </c>
      <c r="G2829" t="s">
        <v>328</v>
      </c>
      <c r="H2829" s="75" t="str">
        <f>IFERROR(VLOOKUP(Table2[[#This Row],[Ticket]],Okey!A:B,2,0),"")</f>
        <v>ok</v>
      </c>
      <c r="I2829" s="50" t="s">
        <v>19</v>
      </c>
      <c r="J2829" t="str">
        <f>VLOOKUP(Table2[[#This Row],[Author]],People!A:B,2,0)</f>
        <v>HC</v>
      </c>
      <c r="L2829" s="40"/>
      <c r="M2829" s="40" t="s">
        <v>7954</v>
      </c>
    </row>
    <row r="2830" spans="1:13" x14ac:dyDescent="0.25">
      <c r="A2830" s="75">
        <f t="shared" si="44"/>
        <v>2829</v>
      </c>
      <c r="B2830" t="s">
        <v>4851</v>
      </c>
      <c r="C2830" t="s">
        <v>7967</v>
      </c>
      <c r="D2830" t="s">
        <v>7962</v>
      </c>
      <c r="F2830" t="s">
        <v>327</v>
      </c>
      <c r="G2830" t="s">
        <v>328</v>
      </c>
      <c r="H2830" s="75" t="str">
        <f>IFERROR(VLOOKUP(Table2[[#This Row],[Ticket]],Okey!A:B,2,0),"")</f>
        <v>ok</v>
      </c>
      <c r="I2830" s="50" t="s">
        <v>19</v>
      </c>
      <c r="J2830" t="str">
        <f>VLOOKUP(Table2[[#This Row],[Author]],People!A:B,2,0)</f>
        <v>HC</v>
      </c>
      <c r="L2830" s="40"/>
      <c r="M2830" s="40" t="s">
        <v>7954</v>
      </c>
    </row>
    <row r="2831" spans="1:13" x14ac:dyDescent="0.25">
      <c r="A2831" s="75">
        <f t="shared" si="44"/>
        <v>2830</v>
      </c>
      <c r="B2831" t="s">
        <v>4851</v>
      </c>
      <c r="C2831" t="s">
        <v>7967</v>
      </c>
      <c r="D2831" t="s">
        <v>7963</v>
      </c>
      <c r="F2831" t="s">
        <v>327</v>
      </c>
      <c r="G2831" t="s">
        <v>328</v>
      </c>
      <c r="H2831" s="75" t="str">
        <f>IFERROR(VLOOKUP(Table2[[#This Row],[Ticket]],Okey!A:B,2,0),"")</f>
        <v>ok</v>
      </c>
      <c r="I2831" s="50" t="s">
        <v>19</v>
      </c>
      <c r="J2831" t="str">
        <f>VLOOKUP(Table2[[#This Row],[Author]],People!A:B,2,0)</f>
        <v>HC</v>
      </c>
      <c r="L2831" s="40"/>
      <c r="M2831" s="40" t="s">
        <v>7954</v>
      </c>
    </row>
    <row r="2832" spans="1:13" x14ac:dyDescent="0.25">
      <c r="A2832" s="75">
        <f t="shared" si="44"/>
        <v>2831</v>
      </c>
      <c r="B2832" t="s">
        <v>4851</v>
      </c>
      <c r="C2832" t="s">
        <v>7967</v>
      </c>
      <c r="D2832" t="s">
        <v>7964</v>
      </c>
      <c r="F2832" t="s">
        <v>327</v>
      </c>
      <c r="G2832" t="s">
        <v>328</v>
      </c>
      <c r="H2832" s="75" t="str">
        <f>IFERROR(VLOOKUP(Table2[[#This Row],[Ticket]],Okey!A:B,2,0),"")</f>
        <v>ok</v>
      </c>
      <c r="I2832" s="50" t="s">
        <v>19</v>
      </c>
      <c r="J2832" t="str">
        <f>VLOOKUP(Table2[[#This Row],[Author]],People!A:B,2,0)</f>
        <v>HC</v>
      </c>
      <c r="L2832" s="40"/>
      <c r="M2832" s="40" t="s">
        <v>7954</v>
      </c>
    </row>
    <row r="2833" spans="1:13" x14ac:dyDescent="0.25">
      <c r="A2833" s="75">
        <f t="shared" si="44"/>
        <v>2832</v>
      </c>
      <c r="B2833" t="s">
        <v>4851</v>
      </c>
      <c r="C2833" t="s">
        <v>7967</v>
      </c>
      <c r="D2833" t="s">
        <v>7965</v>
      </c>
      <c r="F2833" t="s">
        <v>327</v>
      </c>
      <c r="G2833" t="s">
        <v>328</v>
      </c>
      <c r="H2833" s="75" t="str">
        <f>IFERROR(VLOOKUP(Table2[[#This Row],[Ticket]],Okey!A:B,2,0),"")</f>
        <v>ok</v>
      </c>
      <c r="I2833" s="50" t="s">
        <v>19</v>
      </c>
      <c r="J2833" t="str">
        <f>VLOOKUP(Table2[[#This Row],[Author]],People!A:B,2,0)</f>
        <v>HC</v>
      </c>
      <c r="L2833" s="40"/>
      <c r="M2833" s="40" t="s">
        <v>7954</v>
      </c>
    </row>
    <row r="2834" spans="1:13" x14ac:dyDescent="0.25">
      <c r="A2834" s="75">
        <f t="shared" si="44"/>
        <v>2833</v>
      </c>
      <c r="B2834" t="s">
        <v>4851</v>
      </c>
      <c r="C2834" t="s">
        <v>7967</v>
      </c>
      <c r="D2834" t="s">
        <v>7966</v>
      </c>
      <c r="F2834" t="s">
        <v>327</v>
      </c>
      <c r="G2834" t="s">
        <v>328</v>
      </c>
      <c r="H2834" s="75" t="str">
        <f>IFERROR(VLOOKUP(Table2[[#This Row],[Ticket]],Okey!A:B,2,0),"")</f>
        <v>ok</v>
      </c>
      <c r="I2834" s="50" t="s">
        <v>19</v>
      </c>
      <c r="J2834" t="str">
        <f>VLOOKUP(Table2[[#This Row],[Author]],People!A:B,2,0)</f>
        <v>HC</v>
      </c>
      <c r="L2834" s="40"/>
      <c r="M2834" s="40" t="s">
        <v>7954</v>
      </c>
    </row>
    <row r="2835" spans="1:13" x14ac:dyDescent="0.25">
      <c r="A2835" s="75">
        <f t="shared" si="44"/>
        <v>2834</v>
      </c>
      <c r="B2835" s="47" t="s">
        <v>4851</v>
      </c>
      <c r="C2835" t="s">
        <v>7969</v>
      </c>
      <c r="D2835" t="s">
        <v>528</v>
      </c>
      <c r="F2835" t="s">
        <v>454</v>
      </c>
      <c r="G2835" t="s">
        <v>24</v>
      </c>
      <c r="H2835" s="75" t="str">
        <f>IFERROR(VLOOKUP(Table2[[#This Row],[Ticket]],Okey!A:B,2,0),"")</f>
        <v>ok</v>
      </c>
      <c r="I2835" s="50" t="s">
        <v>19</v>
      </c>
      <c r="J2835" t="str">
        <f>VLOOKUP(Table2[[#This Row],[Author]],People!A:B,2,0)</f>
        <v>MGF</v>
      </c>
      <c r="L2835" s="40"/>
      <c r="M2835" s="40" t="s">
        <v>7208</v>
      </c>
    </row>
    <row r="2836" spans="1:13" x14ac:dyDescent="0.25">
      <c r="A2836" s="75">
        <f t="shared" si="44"/>
        <v>2835</v>
      </c>
      <c r="B2836" s="47" t="s">
        <v>4851</v>
      </c>
      <c r="C2836" t="s">
        <v>7971</v>
      </c>
      <c r="D2836" s="50" t="s">
        <v>7972</v>
      </c>
      <c r="E2836" s="49" t="s">
        <v>7970</v>
      </c>
      <c r="F2836" s="50" t="s">
        <v>801</v>
      </c>
      <c r="G2836" t="s">
        <v>18</v>
      </c>
      <c r="H2836" s="75" t="str">
        <f>IFERROR(VLOOKUP(Table2[[#This Row],[Ticket]],Okey!A:B,2,0),"")</f>
        <v>ok</v>
      </c>
      <c r="I2836" t="s">
        <v>19</v>
      </c>
      <c r="J2836" t="str">
        <f>VLOOKUP(Table2[[#This Row],[Author]],People!A:B,2,0)</f>
        <v>MGF</v>
      </c>
      <c r="L2836" s="48"/>
      <c r="M2836" s="48" t="s">
        <v>761</v>
      </c>
    </row>
    <row r="2837" spans="1:13" x14ac:dyDescent="0.25">
      <c r="A2837" s="75">
        <f t="shared" si="44"/>
        <v>2836</v>
      </c>
      <c r="B2837" s="50" t="s">
        <v>4851</v>
      </c>
      <c r="C2837" t="s">
        <v>7985</v>
      </c>
      <c r="D2837" s="50" t="s">
        <v>7986</v>
      </c>
      <c r="E2837" t="s">
        <v>7973</v>
      </c>
      <c r="F2837" t="s">
        <v>2833</v>
      </c>
      <c r="G2837" s="50" t="s">
        <v>18</v>
      </c>
      <c r="H2837" s="75" t="str">
        <f>IFERROR(VLOOKUP(Table2[[#This Row],[Ticket]],Okey!A:B,2,0),"")</f>
        <v>ok</v>
      </c>
      <c r="I2837" s="52" t="s">
        <v>19</v>
      </c>
      <c r="J2837" t="str">
        <f>VLOOKUP(Table2[[#This Row],[Author]],People!A:B,2,0)</f>
        <v>EL</v>
      </c>
      <c r="L2837" s="48"/>
      <c r="M2837" s="48" t="s">
        <v>1752</v>
      </c>
    </row>
    <row r="2838" spans="1:13" x14ac:dyDescent="0.25">
      <c r="A2838" s="75">
        <f t="shared" si="44"/>
        <v>2837</v>
      </c>
      <c r="B2838" s="50" t="s">
        <v>4851</v>
      </c>
      <c r="C2838" s="50" t="s">
        <v>7985</v>
      </c>
      <c r="D2838" s="50" t="s">
        <v>7987</v>
      </c>
      <c r="E2838" t="s">
        <v>7974</v>
      </c>
      <c r="F2838" t="s">
        <v>2789</v>
      </c>
      <c r="G2838" s="50" t="s">
        <v>18</v>
      </c>
      <c r="H2838" s="75" t="str">
        <f>IFERROR(VLOOKUP(Table2[[#This Row],[Ticket]],Okey!A:B,2,0),"")</f>
        <v>ok</v>
      </c>
      <c r="I2838" s="52" t="s">
        <v>19</v>
      </c>
      <c r="J2838" t="str">
        <f>VLOOKUP(Table2[[#This Row],[Author]],People!A:B,2,0)</f>
        <v>EL</v>
      </c>
      <c r="L2838" s="48"/>
      <c r="M2838" s="48" t="s">
        <v>1752</v>
      </c>
    </row>
    <row r="2839" spans="1:13" x14ac:dyDescent="0.25">
      <c r="A2839" s="75">
        <f t="shared" si="44"/>
        <v>2838</v>
      </c>
      <c r="B2839" s="50" t="s">
        <v>4851</v>
      </c>
      <c r="C2839" s="50" t="s">
        <v>7985</v>
      </c>
      <c r="D2839" s="50" t="s">
        <v>7988</v>
      </c>
      <c r="E2839" t="s">
        <v>7975</v>
      </c>
      <c r="F2839" t="s">
        <v>7047</v>
      </c>
      <c r="G2839" s="50" t="s">
        <v>18</v>
      </c>
      <c r="H2839" s="75" t="str">
        <f>IFERROR(VLOOKUP(Table2[[#This Row],[Ticket]],Okey!A:B,2,0),"")</f>
        <v>ok</v>
      </c>
      <c r="I2839" s="52" t="s">
        <v>19</v>
      </c>
      <c r="J2839" t="str">
        <f>VLOOKUP(Table2[[#This Row],[Author]],People!A:B,2,0)</f>
        <v>EL</v>
      </c>
      <c r="L2839" s="48"/>
      <c r="M2839" s="48" t="s">
        <v>1752</v>
      </c>
    </row>
    <row r="2840" spans="1:13" x14ac:dyDescent="0.25">
      <c r="A2840" s="75">
        <f t="shared" si="44"/>
        <v>2839</v>
      </c>
      <c r="B2840" s="50" t="s">
        <v>4851</v>
      </c>
      <c r="C2840" s="50" t="s">
        <v>7985</v>
      </c>
      <c r="D2840" s="50" t="s">
        <v>7989</v>
      </c>
      <c r="E2840" t="s">
        <v>7976</v>
      </c>
      <c r="F2840" t="s">
        <v>7049</v>
      </c>
      <c r="G2840" s="50" t="s">
        <v>18</v>
      </c>
      <c r="H2840" s="75" t="str">
        <f>IFERROR(VLOOKUP(Table2[[#This Row],[Ticket]],Okey!A:B,2,0),"")</f>
        <v>ok</v>
      </c>
      <c r="I2840" s="52" t="s">
        <v>19</v>
      </c>
      <c r="J2840" t="str">
        <f>VLOOKUP(Table2[[#This Row],[Author]],People!A:B,2,0)</f>
        <v>EL</v>
      </c>
      <c r="K2840" s="50"/>
      <c r="L2840" s="48"/>
      <c r="M2840" s="48" t="s">
        <v>1752</v>
      </c>
    </row>
    <row r="2841" spans="1:13" x14ac:dyDescent="0.25">
      <c r="A2841" s="75">
        <f t="shared" si="44"/>
        <v>2840</v>
      </c>
      <c r="B2841" s="50" t="s">
        <v>4851</v>
      </c>
      <c r="C2841" s="50" t="s">
        <v>7985</v>
      </c>
      <c r="D2841" s="50" t="s">
        <v>7990</v>
      </c>
      <c r="E2841" t="s">
        <v>7977</v>
      </c>
      <c r="F2841" t="s">
        <v>7051</v>
      </c>
      <c r="G2841" s="50" t="s">
        <v>18</v>
      </c>
      <c r="H2841" s="75" t="str">
        <f>IFERROR(VLOOKUP(Table2[[#This Row],[Ticket]],Okey!A:B,2,0),"")</f>
        <v>ok</v>
      </c>
      <c r="I2841" s="52" t="s">
        <v>19</v>
      </c>
      <c r="J2841" t="str">
        <f>VLOOKUP(Table2[[#This Row],[Author]],People!A:B,2,0)</f>
        <v>EL</v>
      </c>
      <c r="K2841" s="50"/>
      <c r="L2841" s="48"/>
      <c r="M2841" s="48" t="s">
        <v>1752</v>
      </c>
    </row>
    <row r="2842" spans="1:13" x14ac:dyDescent="0.25">
      <c r="A2842" s="75">
        <f t="shared" si="44"/>
        <v>2841</v>
      </c>
      <c r="B2842" s="50" t="s">
        <v>4851</v>
      </c>
      <c r="C2842" s="50" t="s">
        <v>7985</v>
      </c>
      <c r="D2842" s="50" t="s">
        <v>7991</v>
      </c>
      <c r="E2842" t="s">
        <v>7978</v>
      </c>
      <c r="F2842" t="s">
        <v>7053</v>
      </c>
      <c r="G2842" s="50" t="s">
        <v>18</v>
      </c>
      <c r="H2842" s="75" t="str">
        <f>IFERROR(VLOOKUP(Table2[[#This Row],[Ticket]],Okey!A:B,2,0),"")</f>
        <v>ok</v>
      </c>
      <c r="I2842" s="52" t="s">
        <v>19</v>
      </c>
      <c r="J2842" t="str">
        <f>VLOOKUP(Table2[[#This Row],[Author]],People!A:B,2,0)</f>
        <v>EL</v>
      </c>
      <c r="K2842" s="50"/>
      <c r="L2842" s="48"/>
      <c r="M2842" s="48" t="s">
        <v>1752</v>
      </c>
    </row>
    <row r="2843" spans="1:13" x14ac:dyDescent="0.25">
      <c r="A2843" s="75">
        <f t="shared" si="44"/>
        <v>2842</v>
      </c>
      <c r="B2843" s="50" t="s">
        <v>4851</v>
      </c>
      <c r="C2843" s="50" t="s">
        <v>7985</v>
      </c>
      <c r="D2843" s="50" t="s">
        <v>7992</v>
      </c>
      <c r="E2843" t="s">
        <v>7979</v>
      </c>
      <c r="F2843" t="s">
        <v>7053</v>
      </c>
      <c r="G2843" s="50" t="s">
        <v>18</v>
      </c>
      <c r="H2843" s="75" t="str">
        <f>IFERROR(VLOOKUP(Table2[[#This Row],[Ticket]],Okey!A:B,2,0),"")</f>
        <v>ok</v>
      </c>
      <c r="I2843" s="52" t="s">
        <v>19</v>
      </c>
      <c r="J2843" t="str">
        <f>VLOOKUP(Table2[[#This Row],[Author]],People!A:B,2,0)</f>
        <v>EL</v>
      </c>
      <c r="K2843" s="50"/>
      <c r="L2843" s="48"/>
      <c r="M2843" s="48" t="s">
        <v>1752</v>
      </c>
    </row>
    <row r="2844" spans="1:13" x14ac:dyDescent="0.25">
      <c r="A2844" s="75">
        <f t="shared" si="44"/>
        <v>2843</v>
      </c>
      <c r="B2844" s="50" t="s">
        <v>4851</v>
      </c>
      <c r="C2844" s="50" t="s">
        <v>7985</v>
      </c>
      <c r="D2844" s="50" t="s">
        <v>7993</v>
      </c>
      <c r="E2844" t="s">
        <v>7980</v>
      </c>
      <c r="F2844" t="s">
        <v>1978</v>
      </c>
      <c r="G2844" s="50" t="s">
        <v>18</v>
      </c>
      <c r="H2844" s="75" t="str">
        <f>IFERROR(VLOOKUP(Table2[[#This Row],[Ticket]],Okey!A:B,2,0),"")</f>
        <v>ok</v>
      </c>
      <c r="I2844" s="52" t="s">
        <v>19</v>
      </c>
      <c r="J2844" t="str">
        <f>VLOOKUP(Table2[[#This Row],[Author]],People!A:B,2,0)</f>
        <v>EL</v>
      </c>
      <c r="K2844" s="50"/>
      <c r="L2844" s="48"/>
      <c r="M2844" s="48" t="s">
        <v>1752</v>
      </c>
    </row>
    <row r="2845" spans="1:13" x14ac:dyDescent="0.25">
      <c r="A2845" s="75">
        <f t="shared" si="44"/>
        <v>2844</v>
      </c>
      <c r="B2845" s="50" t="s">
        <v>4851</v>
      </c>
      <c r="C2845" s="50" t="s">
        <v>7985</v>
      </c>
      <c r="D2845" s="50" t="s">
        <v>7994</v>
      </c>
      <c r="E2845" t="s">
        <v>7981</v>
      </c>
      <c r="F2845" t="s">
        <v>7057</v>
      </c>
      <c r="G2845" s="50" t="s">
        <v>18</v>
      </c>
      <c r="H2845" s="75" t="str">
        <f>IFERROR(VLOOKUP(Table2[[#This Row],[Ticket]],Okey!A:B,2,0),"")</f>
        <v>ok</v>
      </c>
      <c r="I2845" s="52" t="s">
        <v>19</v>
      </c>
      <c r="J2845" t="str">
        <f>VLOOKUP(Table2[[#This Row],[Author]],People!A:B,2,0)</f>
        <v>EL</v>
      </c>
      <c r="K2845" s="50"/>
      <c r="L2845" s="48"/>
      <c r="M2845" s="48" t="s">
        <v>1752</v>
      </c>
    </row>
    <row r="2846" spans="1:13" x14ac:dyDescent="0.25">
      <c r="A2846" s="75">
        <f t="shared" si="44"/>
        <v>2845</v>
      </c>
      <c r="B2846" s="50" t="s">
        <v>4851</v>
      </c>
      <c r="C2846" s="50" t="s">
        <v>7985</v>
      </c>
      <c r="D2846" s="50" t="s">
        <v>7995</v>
      </c>
      <c r="E2846" t="s">
        <v>7982</v>
      </c>
      <c r="F2846" t="s">
        <v>7059</v>
      </c>
      <c r="G2846" s="50" t="s">
        <v>18</v>
      </c>
      <c r="H2846" s="75" t="str">
        <f>IFERROR(VLOOKUP(Table2[[#This Row],[Ticket]],Okey!A:B,2,0),"")</f>
        <v>ok</v>
      </c>
      <c r="I2846" s="52" t="s">
        <v>19</v>
      </c>
      <c r="J2846" t="str">
        <f>VLOOKUP(Table2[[#This Row],[Author]],People!A:B,2,0)</f>
        <v>EL</v>
      </c>
      <c r="K2846" s="50"/>
      <c r="L2846" s="48"/>
      <c r="M2846" s="48" t="s">
        <v>1752</v>
      </c>
    </row>
    <row r="2847" spans="1:13" x14ac:dyDescent="0.25">
      <c r="A2847" s="75">
        <f t="shared" si="44"/>
        <v>2846</v>
      </c>
      <c r="B2847" s="50" t="s">
        <v>4851</v>
      </c>
      <c r="C2847" s="50" t="s">
        <v>7985</v>
      </c>
      <c r="D2847" t="s">
        <v>7983</v>
      </c>
      <c r="E2847" t="s">
        <v>7984</v>
      </c>
      <c r="G2847" t="s">
        <v>63</v>
      </c>
      <c r="H2847" s="75" t="str">
        <f>IFERROR(VLOOKUP(Table2[[#This Row],[Ticket]],Okey!A:B,2,0),"")</f>
        <v>ok</v>
      </c>
      <c r="I2847" s="52" t="s">
        <v>19</v>
      </c>
      <c r="J2847" t="str">
        <f>VLOOKUP(Table2[[#This Row],[Author]],People!A:B,2,0)</f>
        <v>EL</v>
      </c>
      <c r="L2847" s="48"/>
      <c r="M2847" s="48" t="s">
        <v>1752</v>
      </c>
    </row>
    <row r="2848" spans="1:13" x14ac:dyDescent="0.25">
      <c r="A2848" s="75">
        <f t="shared" si="44"/>
        <v>2847</v>
      </c>
      <c r="B2848" s="50" t="s">
        <v>4851</v>
      </c>
      <c r="C2848" s="50" t="s">
        <v>7985</v>
      </c>
      <c r="D2848" t="s">
        <v>2843</v>
      </c>
      <c r="F2848" t="s">
        <v>2833</v>
      </c>
      <c r="G2848" t="s">
        <v>24</v>
      </c>
      <c r="H2848" s="75" t="str">
        <f>IFERROR(VLOOKUP(Table2[[#This Row],[Ticket]],Okey!A:B,2,0),"")</f>
        <v>ok</v>
      </c>
      <c r="I2848" s="52" t="s">
        <v>19</v>
      </c>
      <c r="J2848" t="str">
        <f>VLOOKUP(Table2[[#This Row],[Author]],People!A:B,2,0)</f>
        <v>EL</v>
      </c>
      <c r="L2848" s="48"/>
      <c r="M2848" s="48" t="s">
        <v>1752</v>
      </c>
    </row>
    <row r="2849" spans="1:13" x14ac:dyDescent="0.25">
      <c r="A2849" s="75">
        <f t="shared" si="44"/>
        <v>2848</v>
      </c>
      <c r="B2849" s="50" t="s">
        <v>4851</v>
      </c>
      <c r="C2849" s="50" t="s">
        <v>7985</v>
      </c>
      <c r="D2849" t="s">
        <v>2851</v>
      </c>
      <c r="F2849" t="s">
        <v>2843</v>
      </c>
      <c r="G2849" s="50" t="s">
        <v>24</v>
      </c>
      <c r="H2849" s="75" t="str">
        <f>IFERROR(VLOOKUP(Table2[[#This Row],[Ticket]],Okey!A:B,2,0),"")</f>
        <v>ok</v>
      </c>
      <c r="I2849" s="52" t="s">
        <v>19</v>
      </c>
      <c r="J2849" t="str">
        <f>VLOOKUP(Table2[[#This Row],[Author]],People!A:B,2,0)</f>
        <v>EL</v>
      </c>
      <c r="L2849" s="48"/>
      <c r="M2849" s="48" t="s">
        <v>1752</v>
      </c>
    </row>
    <row r="2850" spans="1:13" x14ac:dyDescent="0.25">
      <c r="A2850" s="75">
        <f t="shared" si="44"/>
        <v>2849</v>
      </c>
      <c r="B2850" s="50" t="s">
        <v>4851</v>
      </c>
      <c r="C2850" s="50" t="s">
        <v>7985</v>
      </c>
      <c r="D2850" t="s">
        <v>2857</v>
      </c>
      <c r="F2850" t="s">
        <v>2863</v>
      </c>
      <c r="G2850" s="50" t="s">
        <v>24</v>
      </c>
      <c r="H2850" s="75" t="str">
        <f>IFERROR(VLOOKUP(Table2[[#This Row],[Ticket]],Okey!A:B,2,0),"")</f>
        <v>ok</v>
      </c>
      <c r="I2850" s="52" t="s">
        <v>19</v>
      </c>
      <c r="J2850" t="str">
        <f>VLOOKUP(Table2[[#This Row],[Author]],People!A:B,2,0)</f>
        <v>EL</v>
      </c>
      <c r="L2850" s="48"/>
      <c r="M2850" s="48" t="s">
        <v>1752</v>
      </c>
    </row>
    <row r="2851" spans="1:13" x14ac:dyDescent="0.25">
      <c r="A2851" s="75">
        <f t="shared" si="44"/>
        <v>2850</v>
      </c>
      <c r="B2851" s="50" t="s">
        <v>4851</v>
      </c>
      <c r="C2851" s="50" t="s">
        <v>7985</v>
      </c>
      <c r="D2851" t="s">
        <v>2861</v>
      </c>
      <c r="F2851" t="s">
        <v>2863</v>
      </c>
      <c r="G2851" s="50" t="s">
        <v>24</v>
      </c>
      <c r="H2851" s="75" t="str">
        <f>IFERROR(VLOOKUP(Table2[[#This Row],[Ticket]],Okey!A:B,2,0),"")</f>
        <v>ok</v>
      </c>
      <c r="I2851" s="52" t="s">
        <v>19</v>
      </c>
      <c r="J2851" t="str">
        <f>VLOOKUP(Table2[[#This Row],[Author]],People!A:B,2,0)</f>
        <v>EL</v>
      </c>
      <c r="L2851" s="48"/>
      <c r="M2851" s="48" t="s">
        <v>1752</v>
      </c>
    </row>
    <row r="2852" spans="1:13" x14ac:dyDescent="0.25">
      <c r="A2852" s="75">
        <f t="shared" si="44"/>
        <v>2851</v>
      </c>
      <c r="B2852" s="50" t="s">
        <v>4851</v>
      </c>
      <c r="C2852" t="s">
        <v>8018</v>
      </c>
      <c r="D2852" t="s">
        <v>7996</v>
      </c>
      <c r="E2852" t="s">
        <v>8008</v>
      </c>
      <c r="G2852" t="s">
        <v>63</v>
      </c>
      <c r="H2852" s="75" t="str">
        <f>IFERROR(VLOOKUP(Table2[[#This Row],[Ticket]],Okey!A:B,2,0),"")</f>
        <v>ok</v>
      </c>
      <c r="I2852" s="52" t="s">
        <v>19</v>
      </c>
      <c r="J2852" t="str">
        <f>VLOOKUP(Table2[[#This Row],[Author]],People!A:B,2,0)</f>
        <v>HC</v>
      </c>
      <c r="L2852" s="48"/>
      <c r="M2852" s="50" t="s">
        <v>2329</v>
      </c>
    </row>
    <row r="2853" spans="1:13" x14ac:dyDescent="0.25">
      <c r="A2853" s="75">
        <f t="shared" si="44"/>
        <v>2852</v>
      </c>
      <c r="B2853" s="50" t="s">
        <v>4851</v>
      </c>
      <c r="C2853" s="50" t="s">
        <v>8018</v>
      </c>
      <c r="D2853" t="s">
        <v>7997</v>
      </c>
      <c r="E2853" t="s">
        <v>8009</v>
      </c>
      <c r="G2853" s="50" t="s">
        <v>63</v>
      </c>
      <c r="H2853" s="75" t="str">
        <f>IFERROR(VLOOKUP(Table2[[#This Row],[Ticket]],Okey!A:B,2,0),"")</f>
        <v>ok</v>
      </c>
      <c r="I2853" s="52" t="s">
        <v>19</v>
      </c>
      <c r="J2853" t="str">
        <f>VLOOKUP(Table2[[#This Row],[Author]],People!A:B,2,0)</f>
        <v>HC</v>
      </c>
      <c r="L2853" s="48"/>
      <c r="M2853" s="50" t="s">
        <v>2329</v>
      </c>
    </row>
    <row r="2854" spans="1:13" x14ac:dyDescent="0.25">
      <c r="A2854" s="75">
        <f t="shared" si="44"/>
        <v>2853</v>
      </c>
      <c r="B2854" s="50" t="s">
        <v>4851</v>
      </c>
      <c r="C2854" s="50" t="s">
        <v>8018</v>
      </c>
      <c r="D2854" t="s">
        <v>7998</v>
      </c>
      <c r="E2854" t="s">
        <v>8010</v>
      </c>
      <c r="G2854" s="50" t="s">
        <v>63</v>
      </c>
      <c r="H2854" s="75" t="str">
        <f>IFERROR(VLOOKUP(Table2[[#This Row],[Ticket]],Okey!A:B,2,0),"")</f>
        <v>ok</v>
      </c>
      <c r="I2854" s="52" t="s">
        <v>19</v>
      </c>
      <c r="J2854" t="str">
        <f>VLOOKUP(Table2[[#This Row],[Author]],People!A:B,2,0)</f>
        <v>HC</v>
      </c>
      <c r="L2854" s="48"/>
      <c r="M2854" s="50" t="s">
        <v>2329</v>
      </c>
    </row>
    <row r="2855" spans="1:13" x14ac:dyDescent="0.25">
      <c r="A2855" s="75">
        <f t="shared" si="44"/>
        <v>2854</v>
      </c>
      <c r="B2855" s="50" t="s">
        <v>4851</v>
      </c>
      <c r="C2855" s="50" t="s">
        <v>8018</v>
      </c>
      <c r="D2855" t="s">
        <v>7999</v>
      </c>
      <c r="E2855" t="s">
        <v>8011</v>
      </c>
      <c r="G2855" s="50" t="s">
        <v>63</v>
      </c>
      <c r="H2855" s="75" t="str">
        <f>IFERROR(VLOOKUP(Table2[[#This Row],[Ticket]],Okey!A:B,2,0),"")</f>
        <v>ok</v>
      </c>
      <c r="I2855" s="52" t="s">
        <v>19</v>
      </c>
      <c r="J2855" t="str">
        <f>VLOOKUP(Table2[[#This Row],[Author]],People!A:B,2,0)</f>
        <v>HC</v>
      </c>
      <c r="L2855" s="48"/>
      <c r="M2855" s="50" t="s">
        <v>2329</v>
      </c>
    </row>
    <row r="2856" spans="1:13" x14ac:dyDescent="0.25">
      <c r="A2856" s="75">
        <f t="shared" si="44"/>
        <v>2855</v>
      </c>
      <c r="B2856" s="50" t="s">
        <v>4851</v>
      </c>
      <c r="C2856" s="50" t="s">
        <v>8018</v>
      </c>
      <c r="D2856" t="s">
        <v>8000</v>
      </c>
      <c r="E2856" t="s">
        <v>8012</v>
      </c>
      <c r="G2856" s="50" t="s">
        <v>63</v>
      </c>
      <c r="H2856" s="75" t="str">
        <f>IFERROR(VLOOKUP(Table2[[#This Row],[Ticket]],Okey!A:B,2,0),"")</f>
        <v>ok</v>
      </c>
      <c r="I2856" s="52" t="s">
        <v>19</v>
      </c>
      <c r="J2856" t="str">
        <f>VLOOKUP(Table2[[#This Row],[Author]],People!A:B,2,0)</f>
        <v>HC</v>
      </c>
      <c r="L2856" s="48"/>
      <c r="M2856" s="50" t="s">
        <v>2329</v>
      </c>
    </row>
    <row r="2857" spans="1:13" x14ac:dyDescent="0.25">
      <c r="A2857" s="75">
        <f t="shared" si="44"/>
        <v>2856</v>
      </c>
      <c r="B2857" s="50" t="s">
        <v>4851</v>
      </c>
      <c r="C2857" s="50" t="s">
        <v>8018</v>
      </c>
      <c r="D2857" t="s">
        <v>8001</v>
      </c>
      <c r="E2857" t="s">
        <v>8013</v>
      </c>
      <c r="G2857" s="50" t="s">
        <v>63</v>
      </c>
      <c r="H2857" s="75" t="str">
        <f>IFERROR(VLOOKUP(Table2[[#This Row],[Ticket]],Okey!A:B,2,0),"")</f>
        <v>ok</v>
      </c>
      <c r="I2857" s="52" t="s">
        <v>19</v>
      </c>
      <c r="J2857" t="str">
        <f>VLOOKUP(Table2[[#This Row],[Author]],People!A:B,2,0)</f>
        <v>HC</v>
      </c>
      <c r="L2857" s="48"/>
      <c r="M2857" s="50" t="s">
        <v>2329</v>
      </c>
    </row>
    <row r="2858" spans="1:13" x14ac:dyDescent="0.25">
      <c r="A2858" s="75">
        <f t="shared" si="44"/>
        <v>2857</v>
      </c>
      <c r="B2858" s="50" t="s">
        <v>4851</v>
      </c>
      <c r="C2858" s="50" t="s">
        <v>8018</v>
      </c>
      <c r="D2858" t="s">
        <v>8002</v>
      </c>
      <c r="F2858" t="s">
        <v>8014</v>
      </c>
      <c r="G2858" t="s">
        <v>24</v>
      </c>
      <c r="H2858" s="75" t="str">
        <f>IFERROR(VLOOKUP(Table2[[#This Row],[Ticket]],Okey!A:B,2,0),"")</f>
        <v>ok</v>
      </c>
      <c r="I2858" s="52" t="s">
        <v>19</v>
      </c>
      <c r="J2858" t="str">
        <f>VLOOKUP(Table2[[#This Row],[Author]],People!A:B,2,0)</f>
        <v>HC</v>
      </c>
      <c r="L2858" s="48"/>
      <c r="M2858" s="50" t="s">
        <v>2329</v>
      </c>
    </row>
    <row r="2859" spans="1:13" x14ac:dyDescent="0.25">
      <c r="A2859" s="75">
        <f t="shared" si="44"/>
        <v>2858</v>
      </c>
      <c r="B2859" s="50" t="s">
        <v>4851</v>
      </c>
      <c r="C2859" s="50" t="s">
        <v>8018</v>
      </c>
      <c r="D2859" t="s">
        <v>8003</v>
      </c>
      <c r="F2859" t="s">
        <v>8015</v>
      </c>
      <c r="G2859" s="50" t="s">
        <v>24</v>
      </c>
      <c r="H2859" s="75" t="str">
        <f>IFERROR(VLOOKUP(Table2[[#This Row],[Ticket]],Okey!A:B,2,0),"")</f>
        <v>ok</v>
      </c>
      <c r="I2859" s="52" t="s">
        <v>19</v>
      </c>
      <c r="J2859" t="str">
        <f>VLOOKUP(Table2[[#This Row],[Author]],People!A:B,2,0)</f>
        <v>HC</v>
      </c>
      <c r="L2859" s="48"/>
      <c r="M2859" s="50" t="s">
        <v>2329</v>
      </c>
    </row>
    <row r="2860" spans="1:13" x14ac:dyDescent="0.25">
      <c r="A2860" s="75">
        <f t="shared" si="44"/>
        <v>2859</v>
      </c>
      <c r="B2860" s="50" t="s">
        <v>4851</v>
      </c>
      <c r="C2860" s="50" t="s">
        <v>8018</v>
      </c>
      <c r="D2860" t="s">
        <v>8004</v>
      </c>
      <c r="F2860" t="s">
        <v>8016</v>
      </c>
      <c r="G2860" s="50" t="s">
        <v>24</v>
      </c>
      <c r="H2860" s="75" t="str">
        <f>IFERROR(VLOOKUP(Table2[[#This Row],[Ticket]],Okey!A:B,2,0),"")</f>
        <v>ok</v>
      </c>
      <c r="I2860" s="52" t="s">
        <v>19</v>
      </c>
      <c r="J2860" t="str">
        <f>VLOOKUP(Table2[[#This Row],[Author]],People!A:B,2,0)</f>
        <v>HC</v>
      </c>
      <c r="L2860" s="48"/>
      <c r="M2860" s="50" t="s">
        <v>2329</v>
      </c>
    </row>
    <row r="2861" spans="1:13" x14ac:dyDescent="0.25">
      <c r="A2861" s="75">
        <f t="shared" si="44"/>
        <v>2860</v>
      </c>
      <c r="B2861" s="50" t="s">
        <v>4851</v>
      </c>
      <c r="C2861" s="50" t="s">
        <v>8018</v>
      </c>
      <c r="D2861" t="s">
        <v>4246</v>
      </c>
      <c r="F2861" t="s">
        <v>2393</v>
      </c>
      <c r="G2861" s="50" t="s">
        <v>24</v>
      </c>
      <c r="H2861" s="75" t="str">
        <f>IFERROR(VLOOKUP(Table2[[#This Row],[Ticket]],Okey!A:B,2,0),"")</f>
        <v>ok</v>
      </c>
      <c r="I2861" s="52" t="s">
        <v>19</v>
      </c>
      <c r="J2861" t="str">
        <f>VLOOKUP(Table2[[#This Row],[Author]],People!A:B,2,0)</f>
        <v>HC</v>
      </c>
      <c r="L2861" s="48"/>
      <c r="M2861" s="50" t="s">
        <v>2329</v>
      </c>
    </row>
    <row r="2862" spans="1:13" x14ac:dyDescent="0.25">
      <c r="A2862" s="75">
        <f t="shared" si="44"/>
        <v>2861</v>
      </c>
      <c r="B2862" s="50" t="s">
        <v>4851</v>
      </c>
      <c r="C2862" s="50" t="s">
        <v>8018</v>
      </c>
      <c r="D2862" t="s">
        <v>8005</v>
      </c>
      <c r="F2862" t="s">
        <v>8017</v>
      </c>
      <c r="G2862" s="50" t="s">
        <v>24</v>
      </c>
      <c r="H2862" s="75" t="str">
        <f>IFERROR(VLOOKUP(Table2[[#This Row],[Ticket]],Okey!A:B,2,0),"")</f>
        <v>ok</v>
      </c>
      <c r="I2862" s="52" t="s">
        <v>19</v>
      </c>
      <c r="J2862" t="str">
        <f>VLOOKUP(Table2[[#This Row],[Author]],People!A:B,2,0)</f>
        <v>HC</v>
      </c>
      <c r="L2862" s="48"/>
      <c r="M2862" s="50" t="s">
        <v>2329</v>
      </c>
    </row>
    <row r="2863" spans="1:13" x14ac:dyDescent="0.25">
      <c r="A2863" s="75">
        <f t="shared" si="44"/>
        <v>2862</v>
      </c>
      <c r="B2863" s="50" t="s">
        <v>4851</v>
      </c>
      <c r="C2863" s="50" t="s">
        <v>8018</v>
      </c>
      <c r="D2863" t="s">
        <v>8006</v>
      </c>
      <c r="F2863" t="s">
        <v>327</v>
      </c>
      <c r="G2863" t="s">
        <v>328</v>
      </c>
      <c r="H2863" s="75" t="str">
        <f>IFERROR(VLOOKUP(Table2[[#This Row],[Ticket]],Okey!A:B,2,0),"")</f>
        <v>ok</v>
      </c>
      <c r="I2863" s="52" t="s">
        <v>19</v>
      </c>
      <c r="J2863" t="str">
        <f>VLOOKUP(Table2[[#This Row],[Author]],People!A:B,2,0)</f>
        <v>HC</v>
      </c>
      <c r="L2863" s="48"/>
      <c r="M2863" s="50" t="s">
        <v>2329</v>
      </c>
    </row>
    <row r="2864" spans="1:13" x14ac:dyDescent="0.25">
      <c r="A2864" s="75">
        <f t="shared" si="44"/>
        <v>2863</v>
      </c>
      <c r="B2864" s="50" t="s">
        <v>4851</v>
      </c>
      <c r="C2864" s="50" t="s">
        <v>8018</v>
      </c>
      <c r="D2864" t="s">
        <v>8007</v>
      </c>
      <c r="F2864" s="50" t="s">
        <v>327</v>
      </c>
      <c r="G2864" s="50" t="s">
        <v>328</v>
      </c>
      <c r="H2864" s="75" t="str">
        <f>IFERROR(VLOOKUP(Table2[[#This Row],[Ticket]],Okey!A:B,2,0),"")</f>
        <v>ok</v>
      </c>
      <c r="I2864" s="52" t="s">
        <v>19</v>
      </c>
      <c r="J2864" t="str">
        <f>VLOOKUP(Table2[[#This Row],[Author]],People!A:B,2,0)</f>
        <v>HC</v>
      </c>
      <c r="L2864" s="48"/>
      <c r="M2864" s="50" t="s">
        <v>2329</v>
      </c>
    </row>
    <row r="2865" spans="1:13" x14ac:dyDescent="0.25">
      <c r="A2865" s="75">
        <f t="shared" si="44"/>
        <v>2864</v>
      </c>
      <c r="B2865" s="50" t="s">
        <v>4851</v>
      </c>
      <c r="C2865" t="s">
        <v>8019</v>
      </c>
      <c r="D2865" t="s">
        <v>7217</v>
      </c>
      <c r="E2865" t="s">
        <v>8021</v>
      </c>
      <c r="F2865" s="19" t="s">
        <v>8020</v>
      </c>
      <c r="G2865" t="s">
        <v>496</v>
      </c>
      <c r="H2865" s="75" t="str">
        <f>IFERROR(VLOOKUP(Table2[[#This Row],[Ticket]],Okey!A:B,2,0),"")</f>
        <v>ok</v>
      </c>
      <c r="I2865" s="52" t="s">
        <v>19</v>
      </c>
      <c r="J2865" t="str">
        <f>VLOOKUP(Table2[[#This Row],[Author]],People!A:B,2,0)</f>
        <v>HC</v>
      </c>
      <c r="L2865" s="48"/>
      <c r="M2865" s="48" t="s">
        <v>7322</v>
      </c>
    </row>
    <row r="2866" spans="1:13" x14ac:dyDescent="0.25">
      <c r="A2866" s="75">
        <f t="shared" si="44"/>
        <v>2865</v>
      </c>
      <c r="B2866" s="52" t="s">
        <v>4851</v>
      </c>
      <c r="C2866" t="s">
        <v>8023</v>
      </c>
      <c r="D2866" s="51" t="s">
        <v>3748</v>
      </c>
      <c r="E2866" s="52" t="s">
        <v>8022</v>
      </c>
      <c r="G2866" s="52" t="s">
        <v>63</v>
      </c>
      <c r="H2866" s="75" t="str">
        <f>IFERROR(VLOOKUP(Table2[[#This Row],[Ticket]],Okey!A:B,2,0),"")</f>
        <v>ok</v>
      </c>
      <c r="I2866" s="52" t="s">
        <v>19</v>
      </c>
      <c r="J2866" t="str">
        <f>VLOOKUP(Table2[[#This Row],[Author]],People!A:B,2,0)</f>
        <v>MGF</v>
      </c>
      <c r="L2866" s="48"/>
      <c r="M2866" s="48" t="s">
        <v>7208</v>
      </c>
    </row>
    <row r="2867" spans="1:13" x14ac:dyDescent="0.25">
      <c r="A2867" s="75">
        <f t="shared" si="44"/>
        <v>2866</v>
      </c>
      <c r="B2867" s="52" t="s">
        <v>4851</v>
      </c>
      <c r="C2867" t="s">
        <v>8024</v>
      </c>
      <c r="D2867" s="52" t="s">
        <v>8026</v>
      </c>
      <c r="E2867" t="s">
        <v>8025</v>
      </c>
      <c r="F2867" t="s">
        <v>2050</v>
      </c>
      <c r="G2867" t="s">
        <v>18</v>
      </c>
      <c r="H2867" s="75" t="str">
        <f>IFERROR(VLOOKUP(Table2[[#This Row],[Ticket]],Okey!A:B,2,0),"")</f>
        <v>ok</v>
      </c>
      <c r="I2867" s="52" t="s">
        <v>19</v>
      </c>
      <c r="J2867" t="str">
        <f>VLOOKUP(Table2[[#This Row],[Author]],People!A:B,2,0)</f>
        <v>EL</v>
      </c>
      <c r="L2867" s="48"/>
      <c r="M2867" s="48" t="s">
        <v>1752</v>
      </c>
    </row>
    <row r="2868" spans="1:13" x14ac:dyDescent="0.25">
      <c r="A2868" s="75">
        <f t="shared" si="44"/>
        <v>2867</v>
      </c>
      <c r="B2868" s="54" t="s">
        <v>4851</v>
      </c>
      <c r="C2868" t="s">
        <v>8028</v>
      </c>
      <c r="D2868" s="53" t="s">
        <v>8027</v>
      </c>
      <c r="F2868" s="54" t="s">
        <v>454</v>
      </c>
      <c r="G2868" t="s">
        <v>24</v>
      </c>
      <c r="H2868" s="75" t="str">
        <f>IFERROR(VLOOKUP(Table2[[#This Row],[Ticket]],Okey!A:B,2,0),"")</f>
        <v>ok</v>
      </c>
      <c r="I2868" t="s">
        <v>19</v>
      </c>
      <c r="J2868" t="str">
        <f>VLOOKUP(Table2[[#This Row],[Author]],People!A:B,2,0)</f>
        <v>MGF</v>
      </c>
      <c r="L2868" s="48"/>
      <c r="M2868" s="48" t="s">
        <v>7208</v>
      </c>
    </row>
    <row r="2869" spans="1:13" x14ac:dyDescent="0.25">
      <c r="A2869" s="75">
        <f t="shared" si="44"/>
        <v>2868</v>
      </c>
      <c r="B2869" s="54" t="s">
        <v>4851</v>
      </c>
      <c r="C2869" t="s">
        <v>8029</v>
      </c>
      <c r="D2869" t="s">
        <v>410</v>
      </c>
      <c r="F2869" t="s">
        <v>3738</v>
      </c>
      <c r="G2869" t="s">
        <v>24</v>
      </c>
      <c r="H2869" s="75" t="str">
        <f>IFERROR(VLOOKUP(Table2[[#This Row],[Ticket]],Okey!A:B,2,0),"")</f>
        <v>ok</v>
      </c>
      <c r="I2869" s="54" t="s">
        <v>19</v>
      </c>
      <c r="J2869" t="str">
        <f>VLOOKUP(Table2[[#This Row],[Author]],People!A:B,2,0)</f>
        <v>MGF</v>
      </c>
      <c r="L2869" s="48"/>
      <c r="M2869" s="48" t="s">
        <v>7208</v>
      </c>
    </row>
    <row r="2870" spans="1:13" x14ac:dyDescent="0.25">
      <c r="A2870" s="75">
        <f t="shared" si="44"/>
        <v>2869</v>
      </c>
      <c r="B2870" s="54" t="s">
        <v>4851</v>
      </c>
      <c r="C2870" s="54" t="s">
        <v>8029</v>
      </c>
      <c r="D2870" t="s">
        <v>709</v>
      </c>
      <c r="F2870" t="s">
        <v>410</v>
      </c>
      <c r="G2870" s="54" t="s">
        <v>24</v>
      </c>
      <c r="H2870" s="75" t="str">
        <f>IFERROR(VLOOKUP(Table2[[#This Row],[Ticket]],Okey!A:B,2,0),"")</f>
        <v>ok</v>
      </c>
      <c r="I2870" s="54" t="s">
        <v>19</v>
      </c>
      <c r="J2870" t="str">
        <f>VLOOKUP(Table2[[#This Row],[Author]],People!A:B,2,0)</f>
        <v>MGF</v>
      </c>
      <c r="L2870" s="48"/>
      <c r="M2870" s="48" t="s">
        <v>7208</v>
      </c>
    </row>
    <row r="2871" spans="1:13" x14ac:dyDescent="0.25">
      <c r="A2871" s="75">
        <f t="shared" si="44"/>
        <v>2870</v>
      </c>
      <c r="B2871" s="54" t="s">
        <v>4851</v>
      </c>
      <c r="C2871" s="54" t="s">
        <v>8029</v>
      </c>
      <c r="D2871" t="s">
        <v>707</v>
      </c>
      <c r="F2871" t="s">
        <v>410</v>
      </c>
      <c r="G2871" s="54" t="s">
        <v>24</v>
      </c>
      <c r="H2871" s="75" t="str">
        <f>IFERROR(VLOOKUP(Table2[[#This Row],[Ticket]],Okey!A:B,2,0),"")</f>
        <v>ok</v>
      </c>
      <c r="I2871" s="54" t="s">
        <v>19</v>
      </c>
      <c r="J2871" t="str">
        <f>VLOOKUP(Table2[[#This Row],[Author]],People!A:B,2,0)</f>
        <v>MGF</v>
      </c>
      <c r="L2871" s="48"/>
      <c r="M2871" s="48" t="s">
        <v>7208</v>
      </c>
    </row>
    <row r="2872" spans="1:13" x14ac:dyDescent="0.25">
      <c r="A2872" s="75">
        <f t="shared" si="44"/>
        <v>2871</v>
      </c>
      <c r="B2872" s="54" t="s">
        <v>4851</v>
      </c>
      <c r="C2872" s="54" t="s">
        <v>8029</v>
      </c>
      <c r="D2872" t="s">
        <v>754</v>
      </c>
      <c r="F2872" t="s">
        <v>410</v>
      </c>
      <c r="G2872" s="54" t="s">
        <v>24</v>
      </c>
      <c r="H2872" s="75" t="str">
        <f>IFERROR(VLOOKUP(Table2[[#This Row],[Ticket]],Okey!A:B,2,0),"")</f>
        <v>ok</v>
      </c>
      <c r="I2872" s="54" t="s">
        <v>19</v>
      </c>
      <c r="J2872" t="str">
        <f>VLOOKUP(Table2[[#This Row],[Author]],People!A:B,2,0)</f>
        <v>MGF</v>
      </c>
      <c r="L2872" s="48"/>
      <c r="M2872" s="48" t="s">
        <v>7208</v>
      </c>
    </row>
    <row r="2873" spans="1:13" x14ac:dyDescent="0.25">
      <c r="A2873" s="75">
        <f t="shared" si="44"/>
        <v>2872</v>
      </c>
      <c r="B2873" s="54" t="s">
        <v>4851</v>
      </c>
      <c r="C2873" t="s">
        <v>8030</v>
      </c>
      <c r="D2873" t="s">
        <v>446</v>
      </c>
      <c r="F2873" t="s">
        <v>454</v>
      </c>
      <c r="G2873" t="s">
        <v>24</v>
      </c>
      <c r="H2873" s="75" t="str">
        <f>IFERROR(VLOOKUP(Table2[[#This Row],[Ticket]],Okey!A:B,2,0),"")</f>
        <v>ok</v>
      </c>
      <c r="I2873" s="54" t="s">
        <v>19</v>
      </c>
      <c r="J2873" t="str">
        <f>VLOOKUP(Table2[[#This Row],[Author]],People!A:B,2,0)</f>
        <v>MGF</v>
      </c>
      <c r="L2873" s="48"/>
      <c r="M2873" s="48" t="s">
        <v>7208</v>
      </c>
    </row>
    <row r="2874" spans="1:13" x14ac:dyDescent="0.25">
      <c r="A2874" s="75">
        <f t="shared" si="44"/>
        <v>2873</v>
      </c>
      <c r="B2874" t="s">
        <v>4851</v>
      </c>
      <c r="C2874" t="s">
        <v>8035</v>
      </c>
      <c r="D2874" s="54" t="s">
        <v>8047</v>
      </c>
      <c r="E2874" t="s">
        <v>8031</v>
      </c>
      <c r="F2874" t="s">
        <v>8033</v>
      </c>
      <c r="G2874" t="s">
        <v>18</v>
      </c>
      <c r="H2874" s="75" t="str">
        <f>IFERROR(VLOOKUP(Table2[[#This Row],[Ticket]],Okey!A:B,2,0),"")</f>
        <v>ok</v>
      </c>
      <c r="I2874" s="54" t="s">
        <v>19</v>
      </c>
      <c r="J2874" t="str">
        <f>VLOOKUP(Table2[[#This Row],[Author]],People!A:B,2,0)</f>
        <v>HC</v>
      </c>
      <c r="L2874" s="48"/>
      <c r="M2874" s="48" t="s">
        <v>8037</v>
      </c>
    </row>
    <row r="2875" spans="1:13" x14ac:dyDescent="0.25">
      <c r="A2875" s="75">
        <f t="shared" si="44"/>
        <v>2874</v>
      </c>
      <c r="B2875" s="54" t="s">
        <v>4851</v>
      </c>
      <c r="C2875" t="s">
        <v>8035</v>
      </c>
      <c r="D2875" s="54" t="s">
        <v>8048</v>
      </c>
      <c r="E2875" t="s">
        <v>8032</v>
      </c>
      <c r="F2875" t="s">
        <v>8034</v>
      </c>
      <c r="G2875" s="54" t="s">
        <v>18</v>
      </c>
      <c r="H2875" s="75" t="str">
        <f>IFERROR(VLOOKUP(Table2[[#This Row],[Ticket]],Okey!A:B,2,0),"")</f>
        <v>ok</v>
      </c>
      <c r="I2875" s="54" t="s">
        <v>19</v>
      </c>
      <c r="J2875" t="str">
        <f>VLOOKUP(Table2[[#This Row],[Author]],People!A:B,2,0)</f>
        <v>HC</v>
      </c>
      <c r="L2875" s="48"/>
      <c r="M2875" s="48" t="s">
        <v>8037</v>
      </c>
    </row>
    <row r="2876" spans="1:13" x14ac:dyDescent="0.25">
      <c r="A2876" s="75">
        <f t="shared" si="44"/>
        <v>2875</v>
      </c>
      <c r="B2876" s="54" t="s">
        <v>4851</v>
      </c>
      <c r="C2876" t="s">
        <v>8036</v>
      </c>
      <c r="D2876" s="54" t="s">
        <v>8049</v>
      </c>
      <c r="E2876" t="s">
        <v>8038</v>
      </c>
      <c r="F2876" t="s">
        <v>1816</v>
      </c>
      <c r="G2876" s="54" t="s">
        <v>18</v>
      </c>
      <c r="H2876" s="75" t="str">
        <f>IFERROR(VLOOKUP(Table2[[#This Row],[Ticket]],Okey!A:B,2,0),"")</f>
        <v>ok</v>
      </c>
      <c r="I2876" s="54" t="s">
        <v>19</v>
      </c>
      <c r="J2876" t="str">
        <f>VLOOKUP(Table2[[#This Row],[Author]],People!A:B,2,0)</f>
        <v>EL</v>
      </c>
      <c r="L2876" s="48"/>
      <c r="M2876" s="48" t="s">
        <v>1752</v>
      </c>
    </row>
    <row r="2877" spans="1:13" x14ac:dyDescent="0.25">
      <c r="A2877" s="75">
        <f t="shared" si="44"/>
        <v>2876</v>
      </c>
      <c r="B2877" s="54" t="s">
        <v>4851</v>
      </c>
      <c r="C2877" s="54" t="s">
        <v>8036</v>
      </c>
      <c r="D2877" s="54" t="s">
        <v>8050</v>
      </c>
      <c r="E2877" t="s">
        <v>8039</v>
      </c>
      <c r="F2877" t="s">
        <v>2050</v>
      </c>
      <c r="G2877" s="54" t="s">
        <v>18</v>
      </c>
      <c r="H2877" s="75" t="str">
        <f>IFERROR(VLOOKUP(Table2[[#This Row],[Ticket]],Okey!A:B,2,0),"")</f>
        <v>ok</v>
      </c>
      <c r="I2877" s="54" t="s">
        <v>19</v>
      </c>
      <c r="J2877" t="str">
        <f>VLOOKUP(Table2[[#This Row],[Author]],People!A:B,2,0)</f>
        <v>EL</v>
      </c>
      <c r="L2877" s="48"/>
      <c r="M2877" s="48" t="s">
        <v>1752</v>
      </c>
    </row>
    <row r="2878" spans="1:13" x14ac:dyDescent="0.25">
      <c r="A2878" s="75">
        <f t="shared" si="44"/>
        <v>2877</v>
      </c>
      <c r="B2878" s="54" t="s">
        <v>4851</v>
      </c>
      <c r="C2878" s="54" t="s">
        <v>8036</v>
      </c>
      <c r="D2878" s="54" t="s">
        <v>8051</v>
      </c>
      <c r="E2878" t="s">
        <v>8040</v>
      </c>
      <c r="F2878" t="s">
        <v>6986</v>
      </c>
      <c r="G2878" s="54" t="s">
        <v>18</v>
      </c>
      <c r="H2878" s="75" t="str">
        <f>IFERROR(VLOOKUP(Table2[[#This Row],[Ticket]],Okey!A:B,2,0),"")</f>
        <v>ok</v>
      </c>
      <c r="I2878" s="54" t="s">
        <v>19</v>
      </c>
      <c r="J2878" t="str">
        <f>VLOOKUP(Table2[[#This Row],[Author]],People!A:B,2,0)</f>
        <v>EL</v>
      </c>
      <c r="L2878" s="48"/>
      <c r="M2878" s="48" t="s">
        <v>1752</v>
      </c>
    </row>
    <row r="2879" spans="1:13" x14ac:dyDescent="0.25">
      <c r="A2879" s="75">
        <f t="shared" si="44"/>
        <v>2878</v>
      </c>
      <c r="B2879" s="54" t="s">
        <v>4851</v>
      </c>
      <c r="C2879" s="54" t="s">
        <v>8036</v>
      </c>
      <c r="D2879" s="54" t="s">
        <v>8052</v>
      </c>
      <c r="E2879" t="s">
        <v>8041</v>
      </c>
      <c r="F2879" t="s">
        <v>2053</v>
      </c>
      <c r="G2879" s="54" t="s">
        <v>18</v>
      </c>
      <c r="H2879" s="75" t="str">
        <f>IFERROR(VLOOKUP(Table2[[#This Row],[Ticket]],Okey!A:B,2,0),"")</f>
        <v>ok</v>
      </c>
      <c r="I2879" s="54" t="s">
        <v>19</v>
      </c>
      <c r="J2879" t="str">
        <f>VLOOKUP(Table2[[#This Row],[Author]],People!A:B,2,0)</f>
        <v>EL</v>
      </c>
      <c r="L2879" s="48"/>
      <c r="M2879" s="48" t="s">
        <v>1752</v>
      </c>
    </row>
    <row r="2880" spans="1:13" x14ac:dyDescent="0.25">
      <c r="A2880" s="75">
        <f t="shared" si="44"/>
        <v>2879</v>
      </c>
      <c r="B2880" s="54" t="s">
        <v>4851</v>
      </c>
      <c r="C2880" t="s">
        <v>8042</v>
      </c>
      <c r="D2880" t="s">
        <v>8043</v>
      </c>
      <c r="E2880" t="s">
        <v>8044</v>
      </c>
      <c r="G2880" t="s">
        <v>63</v>
      </c>
      <c r="H2880" s="75" t="str">
        <f>IFERROR(VLOOKUP(Table2[[#This Row],[Ticket]],Okey!A:B,2,0),"")</f>
        <v>ok</v>
      </c>
      <c r="I2880" t="s">
        <v>8046</v>
      </c>
      <c r="J2880" t="str">
        <f>VLOOKUP(Table2[[#This Row],[Author]],People!A:B,2,0)</f>
        <v>HC</v>
      </c>
      <c r="L2880" s="48"/>
      <c r="M2880" s="48" t="s">
        <v>8045</v>
      </c>
    </row>
    <row r="2881" spans="1:13" x14ac:dyDescent="0.25">
      <c r="A2881" s="75">
        <f t="shared" si="44"/>
        <v>2880</v>
      </c>
      <c r="B2881" s="54" t="s">
        <v>4851</v>
      </c>
      <c r="C2881" s="54" t="s">
        <v>8042</v>
      </c>
      <c r="D2881" t="s">
        <v>6201</v>
      </c>
      <c r="E2881" t="s">
        <v>8043</v>
      </c>
      <c r="G2881" t="s">
        <v>24</v>
      </c>
      <c r="H2881" s="75" t="str">
        <f>IFERROR(VLOOKUP(Table2[[#This Row],[Ticket]],Okey!A:B,2,0),"")</f>
        <v>ok</v>
      </c>
      <c r="I2881" s="54" t="s">
        <v>8046</v>
      </c>
      <c r="J2881" t="str">
        <f>VLOOKUP(Table2[[#This Row],[Author]],People!A:B,2,0)</f>
        <v>HC</v>
      </c>
      <c r="K2881" s="54"/>
      <c r="L2881" s="48"/>
      <c r="M2881" s="48" t="s">
        <v>8045</v>
      </c>
    </row>
    <row r="2882" spans="1:13" x14ac:dyDescent="0.25">
      <c r="A2882" s="75">
        <f t="shared" si="44"/>
        <v>2881</v>
      </c>
      <c r="B2882" s="54" t="s">
        <v>4851</v>
      </c>
      <c r="C2882" t="s">
        <v>8053</v>
      </c>
      <c r="D2882" s="54" t="s">
        <v>446</v>
      </c>
      <c r="F2882" s="54" t="s">
        <v>3738</v>
      </c>
      <c r="G2882" s="54" t="s">
        <v>24</v>
      </c>
      <c r="H2882" s="75" t="str">
        <f>IFERROR(VLOOKUP(Table2[[#This Row],[Ticket]],Okey!A:B,2,0),"")</f>
        <v>ok</v>
      </c>
      <c r="I2882" t="s">
        <v>19</v>
      </c>
      <c r="J2882" t="str">
        <f>VLOOKUP(Table2[[#This Row],[Author]],People!A:B,2,0)</f>
        <v>MGF</v>
      </c>
      <c r="L2882" s="48"/>
      <c r="M2882" s="48" t="s">
        <v>7208</v>
      </c>
    </row>
    <row r="2883" spans="1:13" x14ac:dyDescent="0.25">
      <c r="A2883" s="75">
        <f t="shared" si="44"/>
        <v>2882</v>
      </c>
      <c r="B2883" s="57" t="s">
        <v>4851</v>
      </c>
      <c r="C2883" t="s">
        <v>8054</v>
      </c>
      <c r="D2883" s="55" t="s">
        <v>4094</v>
      </c>
      <c r="F2883" s="57" t="s">
        <v>454</v>
      </c>
      <c r="G2883" t="s">
        <v>24</v>
      </c>
      <c r="H2883" s="75" t="str">
        <f>IFERROR(VLOOKUP(Table2[[#This Row],[Ticket]],Okey!A:B,2,0),"")</f>
        <v>ok</v>
      </c>
      <c r="I2883" s="57" t="s">
        <v>19</v>
      </c>
      <c r="J2883" t="str">
        <f>VLOOKUP(Table2[[#This Row],[Author]],People!A:B,2,0)</f>
        <v>MGF</v>
      </c>
      <c r="L2883" s="56"/>
      <c r="M2883" s="58" t="s">
        <v>7208</v>
      </c>
    </row>
    <row r="2884" spans="1:13" x14ac:dyDescent="0.25">
      <c r="A2884" s="75">
        <f t="shared" si="44"/>
        <v>2883</v>
      </c>
      <c r="B2884" s="57" t="s">
        <v>4851</v>
      </c>
      <c r="C2884" t="s">
        <v>8054</v>
      </c>
      <c r="D2884" s="55" t="s">
        <v>351</v>
      </c>
      <c r="F2884" s="57" t="s">
        <v>454</v>
      </c>
      <c r="G2884" s="57" t="s">
        <v>24</v>
      </c>
      <c r="H2884" s="75" t="str">
        <f>IFERROR(VLOOKUP(Table2[[#This Row],[Ticket]],Okey!A:B,2,0),"")</f>
        <v>ok</v>
      </c>
      <c r="I2884" s="57" t="s">
        <v>19</v>
      </c>
      <c r="J2884" t="str">
        <f>VLOOKUP(Table2[[#This Row],[Author]],People!A:B,2,0)</f>
        <v>MGF</v>
      </c>
      <c r="L2884" s="56"/>
      <c r="M2884" s="58" t="s">
        <v>7208</v>
      </c>
    </row>
    <row r="2885" spans="1:13" x14ac:dyDescent="0.25">
      <c r="A2885" s="75">
        <f t="shared" si="44"/>
        <v>2884</v>
      </c>
      <c r="B2885" s="61" t="s">
        <v>5960</v>
      </c>
      <c r="C2885" t="s">
        <v>8058</v>
      </c>
      <c r="D2885" s="59" t="s">
        <v>4857</v>
      </c>
      <c r="E2885" s="61" t="s">
        <v>8055</v>
      </c>
      <c r="G2885" t="s">
        <v>63</v>
      </c>
      <c r="H2885" s="75" t="str">
        <f>IFERROR(VLOOKUP(Table2[[#This Row],[Ticket]],Okey!A:B,2,0),"")</f>
        <v>ok</v>
      </c>
      <c r="I2885" s="66" t="s">
        <v>19</v>
      </c>
      <c r="J2885" t="str">
        <f>VLOOKUP(Table2[[#This Row],[Author]],People!A:B,2,0)</f>
        <v>HC</v>
      </c>
      <c r="L2885" s="60"/>
      <c r="M2885" s="60" t="s">
        <v>7322</v>
      </c>
    </row>
    <row r="2886" spans="1:13" x14ac:dyDescent="0.25">
      <c r="A2886" s="75">
        <f t="shared" si="44"/>
        <v>2885</v>
      </c>
      <c r="B2886" s="61" t="s">
        <v>5960</v>
      </c>
      <c r="C2886" s="61" t="s">
        <v>8058</v>
      </c>
      <c r="D2886" t="s">
        <v>8056</v>
      </c>
      <c r="E2886" t="s">
        <v>8057</v>
      </c>
      <c r="F2886" t="s">
        <v>4867</v>
      </c>
      <c r="G2886" s="61" t="s">
        <v>24</v>
      </c>
      <c r="H2886" s="75" t="str">
        <f>IFERROR(VLOOKUP(Table2[[#This Row],[Ticket]],Okey!A:B,2,0),"")</f>
        <v>ok</v>
      </c>
      <c r="I2886" s="66" t="s">
        <v>19</v>
      </c>
      <c r="J2886" t="str">
        <f>VLOOKUP(Table2[[#This Row],[Author]],People!A:B,2,0)</f>
        <v>HC</v>
      </c>
      <c r="L2886" s="62"/>
      <c r="M2886" s="62" t="s">
        <v>7322</v>
      </c>
    </row>
    <row r="2887" spans="1:13" x14ac:dyDescent="0.25">
      <c r="A2887" s="75">
        <f t="shared" si="44"/>
        <v>2886</v>
      </c>
      <c r="B2887" s="61" t="s">
        <v>5960</v>
      </c>
      <c r="C2887" t="s">
        <v>8059</v>
      </c>
      <c r="D2887" t="s">
        <v>4330</v>
      </c>
      <c r="F2887" s="61" t="s">
        <v>327</v>
      </c>
      <c r="G2887" t="s">
        <v>328</v>
      </c>
      <c r="H2887" s="75" t="str">
        <f>IFERROR(VLOOKUP(Table2[[#This Row],[Ticket]],Okey!A:B,2,0),"")</f>
        <v>ok</v>
      </c>
      <c r="I2887" s="61" t="s">
        <v>19</v>
      </c>
      <c r="J2887" t="str">
        <f>VLOOKUP(Table2[[#This Row],[Author]],People!A:B,2,0)</f>
        <v>HC</v>
      </c>
      <c r="L2887" s="62"/>
      <c r="M2887" s="62" t="s">
        <v>7195</v>
      </c>
    </row>
    <row r="2888" spans="1:13" x14ac:dyDescent="0.25">
      <c r="A2888" s="75">
        <f t="shared" si="44"/>
        <v>2887</v>
      </c>
      <c r="B2888" s="61" t="s">
        <v>5960</v>
      </c>
      <c r="C2888" s="61" t="s">
        <v>8059</v>
      </c>
      <c r="D2888" t="s">
        <v>4331</v>
      </c>
      <c r="F2888" s="61" t="s">
        <v>327</v>
      </c>
      <c r="G2888" s="61" t="s">
        <v>328</v>
      </c>
      <c r="H2888" s="75" t="str">
        <f>IFERROR(VLOOKUP(Table2[[#This Row],[Ticket]],Okey!A:B,2,0),"")</f>
        <v>ok</v>
      </c>
      <c r="I2888" s="61" t="s">
        <v>19</v>
      </c>
      <c r="J2888" t="str">
        <f>VLOOKUP(Table2[[#This Row],[Author]],People!A:B,2,0)</f>
        <v>HC</v>
      </c>
      <c r="L2888" s="62"/>
      <c r="M2888" s="62" t="s">
        <v>7195</v>
      </c>
    </row>
    <row r="2889" spans="1:13" x14ac:dyDescent="0.25">
      <c r="A2889" s="75">
        <f t="shared" ref="A2889:A2952" si="45">1+A2888</f>
        <v>2888</v>
      </c>
      <c r="B2889" s="61" t="s">
        <v>5960</v>
      </c>
      <c r="C2889" s="61" t="s">
        <v>8059</v>
      </c>
      <c r="D2889" t="s">
        <v>4333</v>
      </c>
      <c r="F2889" s="61" t="s">
        <v>327</v>
      </c>
      <c r="G2889" s="61" t="s">
        <v>328</v>
      </c>
      <c r="H2889" s="75" t="str">
        <f>IFERROR(VLOOKUP(Table2[[#This Row],[Ticket]],Okey!A:B,2,0),"")</f>
        <v>ok</v>
      </c>
      <c r="I2889" s="61" t="s">
        <v>19</v>
      </c>
      <c r="J2889" t="str">
        <f>VLOOKUP(Table2[[#This Row],[Author]],People!A:B,2,0)</f>
        <v>HC</v>
      </c>
      <c r="L2889" s="62"/>
      <c r="M2889" s="62" t="s">
        <v>7195</v>
      </c>
    </row>
    <row r="2890" spans="1:13" x14ac:dyDescent="0.25">
      <c r="A2890" s="75">
        <f t="shared" si="45"/>
        <v>2889</v>
      </c>
      <c r="B2890" s="61" t="s">
        <v>5960</v>
      </c>
      <c r="C2890" s="61" t="s">
        <v>8059</v>
      </c>
      <c r="D2890" t="s">
        <v>4335</v>
      </c>
      <c r="F2890" s="61" t="s">
        <v>327</v>
      </c>
      <c r="G2890" s="61" t="s">
        <v>328</v>
      </c>
      <c r="H2890" s="75" t="str">
        <f>IFERROR(VLOOKUP(Table2[[#This Row],[Ticket]],Okey!A:B,2,0),"")</f>
        <v>ok</v>
      </c>
      <c r="I2890" s="61" t="s">
        <v>19</v>
      </c>
      <c r="J2890" t="str">
        <f>VLOOKUP(Table2[[#This Row],[Author]],People!A:B,2,0)</f>
        <v>HC</v>
      </c>
      <c r="L2890" s="62"/>
      <c r="M2890" s="62" t="s">
        <v>7195</v>
      </c>
    </row>
    <row r="2891" spans="1:13" x14ac:dyDescent="0.25">
      <c r="A2891" s="75">
        <f t="shared" si="45"/>
        <v>2890</v>
      </c>
      <c r="B2891" s="61" t="s">
        <v>5960</v>
      </c>
      <c r="C2891" t="s">
        <v>8060</v>
      </c>
      <c r="D2891" s="63" t="s">
        <v>541</v>
      </c>
      <c r="E2891" s="64" t="s">
        <v>8061</v>
      </c>
      <c r="G2891" t="s">
        <v>63</v>
      </c>
      <c r="H2891" s="75" t="str">
        <f>IFERROR(VLOOKUP(Table2[[#This Row],[Ticket]],Okey!A:B,2,0),"")</f>
        <v>ok</v>
      </c>
      <c r="I2891" t="s">
        <v>19</v>
      </c>
      <c r="J2891" t="str">
        <f>VLOOKUP(Table2[[#This Row],[Author]],People!A:B,2,0)</f>
        <v>MGF</v>
      </c>
      <c r="K2891" s="76" t="s">
        <v>8404</v>
      </c>
      <c r="L2891" s="62"/>
      <c r="M2891" s="62" t="s">
        <v>7208</v>
      </c>
    </row>
    <row r="2892" spans="1:13" x14ac:dyDescent="0.25">
      <c r="A2892" s="75">
        <f t="shared" si="45"/>
        <v>2891</v>
      </c>
      <c r="B2892" s="64" t="s">
        <v>5960</v>
      </c>
      <c r="C2892" t="s">
        <v>8062</v>
      </c>
      <c r="D2892" s="65" t="s">
        <v>534</v>
      </c>
      <c r="F2892" s="66" t="s">
        <v>454</v>
      </c>
      <c r="G2892" s="66" t="s">
        <v>24</v>
      </c>
      <c r="H2892" s="75" t="str">
        <f>IFERROR(VLOOKUP(Table2[[#This Row],[Ticket]],Okey!A:B,2,0),"")</f>
        <v>ok</v>
      </c>
      <c r="I2892" s="66" t="s">
        <v>19</v>
      </c>
      <c r="J2892" t="str">
        <f>VLOOKUP(Table2[[#This Row],[Author]],People!A:B,2,0)</f>
        <v>MGF</v>
      </c>
      <c r="K2892" s="75"/>
      <c r="L2892" s="62"/>
      <c r="M2892" s="67" t="s">
        <v>7208</v>
      </c>
    </row>
    <row r="2893" spans="1:13" x14ac:dyDescent="0.25">
      <c r="A2893" s="75">
        <f t="shared" si="45"/>
        <v>2892</v>
      </c>
      <c r="B2893" s="66" t="s">
        <v>5960</v>
      </c>
      <c r="C2893" s="66" t="s">
        <v>8060</v>
      </c>
      <c r="D2893" t="s">
        <v>440</v>
      </c>
      <c r="E2893" s="66"/>
      <c r="F2893" s="66" t="s">
        <v>541</v>
      </c>
      <c r="G2893" s="66" t="s">
        <v>24</v>
      </c>
      <c r="H2893" s="75" t="str">
        <f>IFERROR(VLOOKUP(Table2[[#This Row],[Ticket]],Okey!A:B,2,0),"")</f>
        <v>ok</v>
      </c>
      <c r="I2893" t="s">
        <v>19</v>
      </c>
      <c r="J2893" t="str">
        <f>VLOOKUP(Table2[[#This Row],[Author]],People!A:B,2,0)</f>
        <v>MGF</v>
      </c>
      <c r="K2893" s="75"/>
      <c r="L2893" s="67"/>
      <c r="M2893" s="67" t="s">
        <v>7208</v>
      </c>
    </row>
    <row r="2894" spans="1:13" x14ac:dyDescent="0.25">
      <c r="A2894" s="75">
        <f t="shared" si="45"/>
        <v>2893</v>
      </c>
      <c r="B2894" s="66" t="s">
        <v>5960</v>
      </c>
      <c r="C2894" s="66" t="s">
        <v>8060</v>
      </c>
      <c r="D2894" t="s">
        <v>442</v>
      </c>
      <c r="E2894" s="66"/>
      <c r="F2894" s="66" t="s">
        <v>541</v>
      </c>
      <c r="G2894" s="66" t="s">
        <v>24</v>
      </c>
      <c r="H2894" s="75" t="str">
        <f>IFERROR(VLOOKUP(Table2[[#This Row],[Ticket]],Okey!A:B,2,0),"")</f>
        <v>ok</v>
      </c>
      <c r="I2894" s="66" t="s">
        <v>19</v>
      </c>
      <c r="J2894" t="str">
        <f>VLOOKUP(Table2[[#This Row],[Author]],People!A:B,2,0)</f>
        <v>MGF</v>
      </c>
      <c r="K2894" s="75"/>
      <c r="L2894" s="67"/>
      <c r="M2894" s="67" t="s">
        <v>7208</v>
      </c>
    </row>
    <row r="2895" spans="1:13" x14ac:dyDescent="0.25">
      <c r="A2895" s="75">
        <f t="shared" si="45"/>
        <v>2894</v>
      </c>
      <c r="B2895" s="66" t="s">
        <v>5960</v>
      </c>
      <c r="C2895" s="66" t="s">
        <v>8060</v>
      </c>
      <c r="D2895" t="s">
        <v>444</v>
      </c>
      <c r="E2895" s="66"/>
      <c r="F2895" s="66" t="s">
        <v>541</v>
      </c>
      <c r="G2895" s="66" t="s">
        <v>24</v>
      </c>
      <c r="H2895" s="75" t="str">
        <f>IFERROR(VLOOKUP(Table2[[#This Row],[Ticket]],Okey!A:B,2,0),"")</f>
        <v>ok</v>
      </c>
      <c r="I2895" s="66" t="s">
        <v>19</v>
      </c>
      <c r="J2895" t="str">
        <f>VLOOKUP(Table2[[#This Row],[Author]],People!A:B,2,0)</f>
        <v>MGF</v>
      </c>
      <c r="K2895" s="75"/>
      <c r="L2895" s="67"/>
      <c r="M2895" s="67" t="s">
        <v>7208</v>
      </c>
    </row>
    <row r="2896" spans="1:13" x14ac:dyDescent="0.25">
      <c r="A2896" s="75">
        <f t="shared" si="45"/>
        <v>2895</v>
      </c>
      <c r="B2896" s="66" t="s">
        <v>5960</v>
      </c>
      <c r="C2896" t="s">
        <v>8063</v>
      </c>
      <c r="D2896" t="s">
        <v>4917</v>
      </c>
      <c r="E2896" t="s">
        <v>8064</v>
      </c>
      <c r="G2896" s="66" t="s">
        <v>63</v>
      </c>
      <c r="H2896" s="75" t="str">
        <f>IFERROR(VLOOKUP(Table2[[#This Row],[Ticket]],Okey!A:B,2,0),"")</f>
        <v>ok</v>
      </c>
      <c r="I2896" s="66" t="s">
        <v>19</v>
      </c>
      <c r="J2896" t="str">
        <f>VLOOKUP(Table2[[#This Row],[Author]],People!A:B,2,0)</f>
        <v>HC</v>
      </c>
      <c r="L2896" s="67"/>
      <c r="M2896" s="67" t="s">
        <v>8037</v>
      </c>
    </row>
    <row r="2897" spans="1:13" x14ac:dyDescent="0.25">
      <c r="A2897" s="75">
        <f t="shared" si="45"/>
        <v>2896</v>
      </c>
      <c r="B2897" s="66" t="s">
        <v>5960</v>
      </c>
      <c r="C2897" t="s">
        <v>8065</v>
      </c>
      <c r="D2897" t="s">
        <v>7447</v>
      </c>
      <c r="F2897" t="s">
        <v>7439</v>
      </c>
      <c r="G2897" t="s">
        <v>24</v>
      </c>
      <c r="H2897" s="75" t="str">
        <f>IFERROR(VLOOKUP(Table2[[#This Row],[Ticket]],Okey!A:B,2,0),"")</f>
        <v>ok</v>
      </c>
      <c r="I2897" s="66" t="s">
        <v>19</v>
      </c>
      <c r="J2897" t="str">
        <f>VLOOKUP(Table2[[#This Row],[Author]],People!A:B,2,0)</f>
        <v>LS</v>
      </c>
      <c r="L2897" s="67"/>
      <c r="M2897" s="67" t="s">
        <v>1040</v>
      </c>
    </row>
    <row r="2898" spans="1:13" x14ac:dyDescent="0.25">
      <c r="A2898" s="75">
        <f t="shared" si="45"/>
        <v>2897</v>
      </c>
      <c r="B2898" s="66" t="s">
        <v>5960</v>
      </c>
      <c r="C2898" t="s">
        <v>8066</v>
      </c>
      <c r="D2898" t="s">
        <v>549</v>
      </c>
      <c r="F2898" t="s">
        <v>454</v>
      </c>
      <c r="G2898" s="66" t="s">
        <v>24</v>
      </c>
      <c r="H2898" s="75" t="str">
        <f>IFERROR(VLOOKUP(Table2[[#This Row],[Ticket]],Okey!A:B,2,0),"")</f>
        <v>ok</v>
      </c>
      <c r="I2898" s="66" t="s">
        <v>19</v>
      </c>
      <c r="J2898" t="str">
        <f>VLOOKUP(Table2[[#This Row],[Author]],People!A:B,2,0)</f>
        <v>MGF</v>
      </c>
      <c r="K2898" s="75"/>
      <c r="L2898" s="67"/>
      <c r="M2898" s="67" t="s">
        <v>7208</v>
      </c>
    </row>
    <row r="2899" spans="1:13" x14ac:dyDescent="0.25">
      <c r="A2899" s="75">
        <f t="shared" si="45"/>
        <v>2898</v>
      </c>
      <c r="B2899" s="66" t="s">
        <v>5960</v>
      </c>
      <c r="C2899" t="s">
        <v>8069</v>
      </c>
      <c r="D2899" t="s">
        <v>418</v>
      </c>
      <c r="E2899" t="s">
        <v>8067</v>
      </c>
      <c r="G2899" t="s">
        <v>63</v>
      </c>
      <c r="H2899" s="75" t="str">
        <f>IFERROR(VLOOKUP(Table2[[#This Row],[Ticket]],Okey!A:B,2,0),"")</f>
        <v>ok</v>
      </c>
      <c r="I2899" s="66" t="s">
        <v>19</v>
      </c>
      <c r="J2899" t="str">
        <f>VLOOKUP(Table2[[#This Row],[Author]],People!A:B,2,0)</f>
        <v>MGF</v>
      </c>
      <c r="K2899" s="76" t="s">
        <v>8404</v>
      </c>
      <c r="L2899" s="76"/>
      <c r="M2899" s="67" t="s">
        <v>7208</v>
      </c>
    </row>
    <row r="2900" spans="1:13" x14ac:dyDescent="0.25">
      <c r="A2900" s="75">
        <f t="shared" si="45"/>
        <v>2899</v>
      </c>
      <c r="B2900" s="66" t="s">
        <v>5960</v>
      </c>
      <c r="C2900" t="s">
        <v>8069</v>
      </c>
      <c r="D2900" t="s">
        <v>420</v>
      </c>
      <c r="E2900" t="s">
        <v>8068</v>
      </c>
      <c r="G2900" s="66" t="s">
        <v>63</v>
      </c>
      <c r="H2900" s="75" t="str">
        <f>IFERROR(VLOOKUP(Table2[[#This Row],[Ticket]],Okey!A:B,2,0),"")</f>
        <v>ok</v>
      </c>
      <c r="I2900" s="66" t="s">
        <v>19</v>
      </c>
      <c r="J2900" t="str">
        <f>VLOOKUP(Table2[[#This Row],[Author]],People!A:B,2,0)</f>
        <v>MGF</v>
      </c>
      <c r="K2900" s="76" t="s">
        <v>8404</v>
      </c>
      <c r="L2900" s="76"/>
      <c r="M2900" s="67" t="s">
        <v>7208</v>
      </c>
    </row>
    <row r="2901" spans="1:13" x14ac:dyDescent="0.25">
      <c r="A2901" s="75">
        <f t="shared" si="45"/>
        <v>2900</v>
      </c>
      <c r="B2901" s="66" t="s">
        <v>5960</v>
      </c>
      <c r="C2901" t="s">
        <v>8070</v>
      </c>
      <c r="D2901" t="s">
        <v>3746</v>
      </c>
      <c r="F2901" t="s">
        <v>2334</v>
      </c>
      <c r="G2901" s="66" t="s">
        <v>24</v>
      </c>
      <c r="H2901" s="75" t="str">
        <f>IFERROR(VLOOKUP(Table2[[#This Row],[Ticket]],Okey!A:B,2,0),"")</f>
        <v>ok</v>
      </c>
      <c r="I2901" s="66" t="s">
        <v>19</v>
      </c>
      <c r="J2901" t="str">
        <f>VLOOKUP(Table2[[#This Row],[Author]],People!A:B,2,0)</f>
        <v>MGF</v>
      </c>
      <c r="K2901" s="75"/>
      <c r="L2901" s="67"/>
      <c r="M2901" s="67" t="s">
        <v>329</v>
      </c>
    </row>
    <row r="2902" spans="1:13" x14ac:dyDescent="0.25">
      <c r="A2902" s="75">
        <f t="shared" si="45"/>
        <v>2901</v>
      </c>
      <c r="B2902" s="66" t="s">
        <v>5960</v>
      </c>
      <c r="C2902" t="s">
        <v>8072</v>
      </c>
      <c r="D2902" s="66" t="s">
        <v>679</v>
      </c>
      <c r="F2902" t="s">
        <v>4263</v>
      </c>
      <c r="G2902" t="s">
        <v>24</v>
      </c>
      <c r="H2902" s="75" t="str">
        <f>IFERROR(VLOOKUP(Table2[[#This Row],[Ticket]],Okey!A:B,2,0),"")</f>
        <v>ok</v>
      </c>
      <c r="I2902" t="s">
        <v>19</v>
      </c>
      <c r="J2902" t="str">
        <f>VLOOKUP(Table2[[#This Row],[Author]],People!A:B,2,0)</f>
        <v>HC</v>
      </c>
      <c r="L2902" s="67"/>
      <c r="M2902" s="67" t="s">
        <v>7225</v>
      </c>
    </row>
    <row r="2903" spans="1:13" x14ac:dyDescent="0.25">
      <c r="A2903" s="75">
        <f t="shared" si="45"/>
        <v>2902</v>
      </c>
      <c r="B2903" s="66" t="s">
        <v>5960</v>
      </c>
      <c r="C2903" t="s">
        <v>8081</v>
      </c>
      <c r="D2903" t="s">
        <v>8082</v>
      </c>
      <c r="E2903" s="66" t="s">
        <v>8080</v>
      </c>
      <c r="F2903" s="66" t="s">
        <v>8079</v>
      </c>
      <c r="G2903" t="s">
        <v>18</v>
      </c>
      <c r="H2903" s="75" t="str">
        <f>IFERROR(VLOOKUP(Table2[[#This Row],[Ticket]],Okey!A:B,2,0),"")</f>
        <v>ok</v>
      </c>
      <c r="I2903" s="66" t="s">
        <v>19</v>
      </c>
      <c r="J2903" t="str">
        <f>VLOOKUP(Table2[[#This Row],[Author]],People!A:B,2,0)</f>
        <v>HC</v>
      </c>
      <c r="L2903" s="67"/>
      <c r="M2903" s="67" t="s">
        <v>7322</v>
      </c>
    </row>
    <row r="2904" spans="1:13" x14ac:dyDescent="0.25">
      <c r="A2904" s="75">
        <f t="shared" si="45"/>
        <v>2903</v>
      </c>
      <c r="B2904" s="66" t="s">
        <v>5960</v>
      </c>
      <c r="C2904" s="66" t="s">
        <v>8081</v>
      </c>
      <c r="D2904" t="s">
        <v>8073</v>
      </c>
      <c r="F2904" s="66" t="s">
        <v>8079</v>
      </c>
      <c r="G2904" s="66" t="s">
        <v>24</v>
      </c>
      <c r="H2904" s="75" t="str">
        <f>IFERROR(VLOOKUP(Table2[[#This Row],[Ticket]],Okey!A:B,2,0),"")</f>
        <v>ok</v>
      </c>
      <c r="I2904" s="66" t="s">
        <v>19</v>
      </c>
      <c r="J2904" t="str">
        <f>VLOOKUP(Table2[[#This Row],[Author]],People!A:B,2,0)</f>
        <v>HC</v>
      </c>
      <c r="L2904" s="67"/>
      <c r="M2904" s="67" t="s">
        <v>7322</v>
      </c>
    </row>
    <row r="2905" spans="1:13" x14ac:dyDescent="0.25">
      <c r="A2905" s="75">
        <f t="shared" si="45"/>
        <v>2904</v>
      </c>
      <c r="B2905" s="66" t="s">
        <v>5960</v>
      </c>
      <c r="C2905" s="66" t="s">
        <v>8081</v>
      </c>
      <c r="D2905" t="s">
        <v>8074</v>
      </c>
      <c r="F2905" s="66" t="s">
        <v>8079</v>
      </c>
      <c r="G2905" s="66" t="s">
        <v>24</v>
      </c>
      <c r="H2905" s="75" t="str">
        <f>IFERROR(VLOOKUP(Table2[[#This Row],[Ticket]],Okey!A:B,2,0),"")</f>
        <v>ok</v>
      </c>
      <c r="I2905" s="66" t="s">
        <v>19</v>
      </c>
      <c r="J2905" t="str">
        <f>VLOOKUP(Table2[[#This Row],[Author]],People!A:B,2,0)</f>
        <v>HC</v>
      </c>
      <c r="L2905" s="67"/>
      <c r="M2905" s="67" t="s">
        <v>7322</v>
      </c>
    </row>
    <row r="2906" spans="1:13" x14ac:dyDescent="0.25">
      <c r="A2906" s="75">
        <f t="shared" si="45"/>
        <v>2905</v>
      </c>
      <c r="B2906" s="66" t="s">
        <v>5960</v>
      </c>
      <c r="C2906" s="66" t="s">
        <v>8081</v>
      </c>
      <c r="D2906" t="s">
        <v>8075</v>
      </c>
      <c r="F2906" s="66" t="s">
        <v>8079</v>
      </c>
      <c r="G2906" s="66" t="s">
        <v>24</v>
      </c>
      <c r="H2906" s="75" t="str">
        <f>IFERROR(VLOOKUP(Table2[[#This Row],[Ticket]],Okey!A:B,2,0),"")</f>
        <v>ok</v>
      </c>
      <c r="I2906" s="66" t="s">
        <v>19</v>
      </c>
      <c r="J2906" t="str">
        <f>VLOOKUP(Table2[[#This Row],[Author]],People!A:B,2,0)</f>
        <v>HC</v>
      </c>
      <c r="L2906" s="67"/>
      <c r="M2906" s="67" t="s">
        <v>7322</v>
      </c>
    </row>
    <row r="2907" spans="1:13" x14ac:dyDescent="0.25">
      <c r="A2907" s="75">
        <f t="shared" si="45"/>
        <v>2906</v>
      </c>
      <c r="B2907" s="66" t="s">
        <v>5960</v>
      </c>
      <c r="C2907" s="66" t="s">
        <v>8081</v>
      </c>
      <c r="D2907" t="s">
        <v>8076</v>
      </c>
      <c r="F2907" s="66" t="s">
        <v>8079</v>
      </c>
      <c r="G2907" s="66" t="s">
        <v>24</v>
      </c>
      <c r="H2907" s="75" t="str">
        <f>IFERROR(VLOOKUP(Table2[[#This Row],[Ticket]],Okey!A:B,2,0),"")</f>
        <v>ok</v>
      </c>
      <c r="I2907" s="66" t="s">
        <v>19</v>
      </c>
      <c r="J2907" t="str">
        <f>VLOOKUP(Table2[[#This Row],[Author]],People!A:B,2,0)</f>
        <v>HC</v>
      </c>
      <c r="L2907" s="67"/>
      <c r="M2907" s="67" t="s">
        <v>7322</v>
      </c>
    </row>
    <row r="2908" spans="1:13" x14ac:dyDescent="0.25">
      <c r="A2908" s="75">
        <f t="shared" si="45"/>
        <v>2907</v>
      </c>
      <c r="B2908" s="66" t="s">
        <v>5960</v>
      </c>
      <c r="C2908" s="66" t="s">
        <v>8081</v>
      </c>
      <c r="D2908" t="s">
        <v>8077</v>
      </c>
      <c r="F2908" s="66" t="s">
        <v>8079</v>
      </c>
      <c r="G2908" s="66" t="s">
        <v>24</v>
      </c>
      <c r="H2908" s="75" t="str">
        <f>IFERROR(VLOOKUP(Table2[[#This Row],[Ticket]],Okey!A:B,2,0),"")</f>
        <v>ok</v>
      </c>
      <c r="I2908" s="66" t="s">
        <v>19</v>
      </c>
      <c r="J2908" t="str">
        <f>VLOOKUP(Table2[[#This Row],[Author]],People!A:B,2,0)</f>
        <v>HC</v>
      </c>
      <c r="L2908" s="67"/>
      <c r="M2908" s="67" t="s">
        <v>7322</v>
      </c>
    </row>
    <row r="2909" spans="1:13" x14ac:dyDescent="0.25">
      <c r="A2909" s="75">
        <f t="shared" si="45"/>
        <v>2908</v>
      </c>
      <c r="B2909" s="66" t="s">
        <v>5960</v>
      </c>
      <c r="C2909" s="66" t="s">
        <v>8081</v>
      </c>
      <c r="D2909" t="s">
        <v>8078</v>
      </c>
      <c r="F2909" s="66" t="s">
        <v>8079</v>
      </c>
      <c r="G2909" s="66" t="s">
        <v>24</v>
      </c>
      <c r="H2909" s="75" t="str">
        <f>IFERROR(VLOOKUP(Table2[[#This Row],[Ticket]],Okey!A:B,2,0),"")</f>
        <v>ok</v>
      </c>
      <c r="I2909" s="66" t="s">
        <v>19</v>
      </c>
      <c r="J2909" t="str">
        <f>VLOOKUP(Table2[[#This Row],[Author]],People!A:B,2,0)</f>
        <v>HC</v>
      </c>
      <c r="L2909" s="67"/>
      <c r="M2909" s="67" t="s">
        <v>7322</v>
      </c>
    </row>
    <row r="2910" spans="1:13" x14ac:dyDescent="0.25">
      <c r="A2910" s="75">
        <f t="shared" si="45"/>
        <v>2909</v>
      </c>
      <c r="B2910" s="68" t="s">
        <v>5960</v>
      </c>
      <c r="C2910" t="s">
        <v>8085</v>
      </c>
      <c r="D2910" s="69" t="s">
        <v>8092</v>
      </c>
      <c r="E2910" t="s">
        <v>8084</v>
      </c>
      <c r="F2910" s="68" t="s">
        <v>8083</v>
      </c>
      <c r="G2910" t="s">
        <v>18</v>
      </c>
      <c r="H2910" s="75" t="str">
        <f>IFERROR(VLOOKUP(Table2[[#This Row],[Ticket]],Okey!A:B,2,0),"")</f>
        <v>ok</v>
      </c>
      <c r="I2910" t="s">
        <v>19</v>
      </c>
      <c r="J2910" t="str">
        <f>VLOOKUP(Table2[[#This Row],[Author]],People!A:B,2,0)</f>
        <v>HC</v>
      </c>
      <c r="L2910" s="67"/>
      <c r="M2910" s="67" t="s">
        <v>8037</v>
      </c>
    </row>
    <row r="2911" spans="1:13" x14ac:dyDescent="0.25">
      <c r="A2911" s="75">
        <f t="shared" si="45"/>
        <v>2910</v>
      </c>
      <c r="B2911" s="69" t="s">
        <v>5960</v>
      </c>
      <c r="C2911" t="s">
        <v>8086</v>
      </c>
      <c r="D2911" s="69" t="s">
        <v>8093</v>
      </c>
      <c r="E2911" s="19" t="s">
        <v>8087</v>
      </c>
      <c r="F2911" t="s">
        <v>8014</v>
      </c>
      <c r="G2911" s="69" t="s">
        <v>18</v>
      </c>
      <c r="H2911" s="75" t="str">
        <f>IFERROR(VLOOKUP(Table2[[#This Row],[Ticket]],Okey!A:B,2,0),"")</f>
        <v>ok</v>
      </c>
      <c r="I2911" s="69" t="s">
        <v>19</v>
      </c>
      <c r="J2911" t="str">
        <f>VLOOKUP(Table2[[#This Row],[Author]],People!A:B,2,0)</f>
        <v>HC</v>
      </c>
      <c r="L2911" s="67"/>
      <c r="M2911" s="67" t="s">
        <v>2329</v>
      </c>
    </row>
    <row r="2912" spans="1:13" x14ac:dyDescent="0.25">
      <c r="A2912" s="75">
        <f t="shared" si="45"/>
        <v>2911</v>
      </c>
      <c r="B2912" s="69" t="s">
        <v>5960</v>
      </c>
      <c r="C2912" s="69" t="s">
        <v>8086</v>
      </c>
      <c r="D2912" t="s">
        <v>7997</v>
      </c>
      <c r="E2912" t="s">
        <v>8088</v>
      </c>
      <c r="G2912" t="s">
        <v>63</v>
      </c>
      <c r="H2912" s="75" t="str">
        <f>IFERROR(VLOOKUP(Table2[[#This Row],[Ticket]],Okey!A:B,2,0),"")</f>
        <v>ok</v>
      </c>
      <c r="I2912" s="69" t="s">
        <v>19</v>
      </c>
      <c r="J2912" t="str">
        <f>VLOOKUP(Table2[[#This Row],[Author]],People!A:B,2,0)</f>
        <v>HC</v>
      </c>
      <c r="K2912" s="75" t="e">
        <v>#REF!</v>
      </c>
      <c r="L2912" s="76" t="s">
        <v>8402</v>
      </c>
      <c r="M2912" s="67" t="s">
        <v>2329</v>
      </c>
    </row>
    <row r="2913" spans="1:13" x14ac:dyDescent="0.25">
      <c r="A2913" s="75">
        <f t="shared" si="45"/>
        <v>2912</v>
      </c>
      <c r="B2913" s="69" t="s">
        <v>5960</v>
      </c>
      <c r="C2913" s="69" t="s">
        <v>8086</v>
      </c>
      <c r="D2913" t="s">
        <v>8089</v>
      </c>
      <c r="F2913" t="s">
        <v>327</v>
      </c>
      <c r="G2913" t="s">
        <v>328</v>
      </c>
      <c r="H2913" s="75" t="str">
        <f>IFERROR(VLOOKUP(Table2[[#This Row],[Ticket]],Okey!A:B,2,0),"")</f>
        <v>ok</v>
      </c>
      <c r="I2913" s="69" t="s">
        <v>19</v>
      </c>
      <c r="J2913" t="str">
        <f>VLOOKUP(Table2[[#This Row],[Author]],People!A:B,2,0)</f>
        <v>HC</v>
      </c>
      <c r="K2913" s="75" t="s">
        <v>8401</v>
      </c>
      <c r="L2913" s="67"/>
      <c r="M2913" s="67" t="s">
        <v>2329</v>
      </c>
    </row>
    <row r="2914" spans="1:13" x14ac:dyDescent="0.25">
      <c r="A2914" s="75">
        <f t="shared" si="45"/>
        <v>2913</v>
      </c>
      <c r="B2914" s="69" t="s">
        <v>5960</v>
      </c>
      <c r="C2914" s="69" t="s">
        <v>8086</v>
      </c>
      <c r="D2914" t="s">
        <v>8090</v>
      </c>
      <c r="F2914" s="69" t="s">
        <v>327</v>
      </c>
      <c r="G2914" s="69" t="s">
        <v>328</v>
      </c>
      <c r="H2914" s="75" t="str">
        <f>IFERROR(VLOOKUP(Table2[[#This Row],[Ticket]],Okey!A:B,2,0),"")</f>
        <v>ok</v>
      </c>
      <c r="I2914" s="69" t="s">
        <v>19</v>
      </c>
      <c r="J2914" t="str">
        <f>VLOOKUP(Table2[[#This Row],[Author]],People!A:B,2,0)</f>
        <v>HC</v>
      </c>
      <c r="L2914" s="67"/>
      <c r="M2914" s="67" t="s">
        <v>2329</v>
      </c>
    </row>
    <row r="2915" spans="1:13" x14ac:dyDescent="0.25">
      <c r="A2915" s="75">
        <f t="shared" si="45"/>
        <v>2914</v>
      </c>
      <c r="B2915" s="69" t="s">
        <v>5960</v>
      </c>
      <c r="C2915" s="69" t="s">
        <v>8086</v>
      </c>
      <c r="D2915" t="s">
        <v>8091</v>
      </c>
      <c r="F2915" s="69" t="s">
        <v>327</v>
      </c>
      <c r="G2915" s="69" t="s">
        <v>328</v>
      </c>
      <c r="H2915" s="75" t="str">
        <f>IFERROR(VLOOKUP(Table2[[#This Row],[Ticket]],Okey!A:B,2,0),"")</f>
        <v>ok</v>
      </c>
      <c r="I2915" s="69" t="s">
        <v>19</v>
      </c>
      <c r="J2915" t="str">
        <f>VLOOKUP(Table2[[#This Row],[Author]],People!A:B,2,0)</f>
        <v>HC</v>
      </c>
      <c r="L2915" s="67"/>
      <c r="M2915" s="67" t="s">
        <v>2329</v>
      </c>
    </row>
    <row r="2916" spans="1:13" x14ac:dyDescent="0.25">
      <c r="A2916" s="75">
        <f t="shared" si="45"/>
        <v>2915</v>
      </c>
      <c r="B2916" s="69" t="s">
        <v>5960</v>
      </c>
      <c r="C2916" t="s">
        <v>8135</v>
      </c>
      <c r="D2916" t="s">
        <v>951</v>
      </c>
      <c r="E2916" t="s">
        <v>8103</v>
      </c>
      <c r="G2916" t="s">
        <v>63</v>
      </c>
      <c r="H2916" s="75" t="str">
        <f>IFERROR(VLOOKUP(Table2[[#This Row],[Ticket]],Okey!A:B,2,0),"")</f>
        <v>ok</v>
      </c>
      <c r="I2916" s="70" t="s">
        <v>19</v>
      </c>
      <c r="J2916" t="str">
        <f>VLOOKUP(Table2[[#This Row],[Author]],People!A:B,2,0)</f>
        <v>MGF</v>
      </c>
      <c r="K2916" s="76" t="s">
        <v>8404</v>
      </c>
      <c r="L2916" s="76"/>
      <c r="M2916" s="67" t="s">
        <v>761</v>
      </c>
    </row>
    <row r="2917" spans="1:13" x14ac:dyDescent="0.25">
      <c r="A2917" s="75">
        <f t="shared" si="45"/>
        <v>2916</v>
      </c>
      <c r="B2917" s="69" t="s">
        <v>5960</v>
      </c>
      <c r="C2917" s="69" t="s">
        <v>8135</v>
      </c>
      <c r="D2917" t="s">
        <v>953</v>
      </c>
      <c r="E2917" t="s">
        <v>8104</v>
      </c>
      <c r="G2917" s="69" t="s">
        <v>63</v>
      </c>
      <c r="H2917" s="75" t="str">
        <f>IFERROR(VLOOKUP(Table2[[#This Row],[Ticket]],Okey!A:B,2,0),"")</f>
        <v>ok</v>
      </c>
      <c r="I2917" s="70" t="s">
        <v>19</v>
      </c>
      <c r="J2917" t="str">
        <f>VLOOKUP(Table2[[#This Row],[Author]],People!A:B,2,0)</f>
        <v>MGF</v>
      </c>
      <c r="K2917" s="76" t="s">
        <v>8404</v>
      </c>
      <c r="L2917" s="76"/>
      <c r="M2917" s="67" t="s">
        <v>761</v>
      </c>
    </row>
    <row r="2918" spans="1:13" x14ac:dyDescent="0.25">
      <c r="A2918" s="75">
        <f t="shared" si="45"/>
        <v>2917</v>
      </c>
      <c r="B2918" s="69" t="s">
        <v>5960</v>
      </c>
      <c r="C2918" s="69" t="s">
        <v>8135</v>
      </c>
      <c r="D2918" t="s">
        <v>957</v>
      </c>
      <c r="E2918" t="s">
        <v>8105</v>
      </c>
      <c r="G2918" s="69" t="s">
        <v>63</v>
      </c>
      <c r="H2918" s="75" t="str">
        <f>IFERROR(VLOOKUP(Table2[[#This Row],[Ticket]],Okey!A:B,2,0),"")</f>
        <v>ok</v>
      </c>
      <c r="I2918" s="70" t="s">
        <v>19</v>
      </c>
      <c r="J2918" t="str">
        <f>VLOOKUP(Table2[[#This Row],[Author]],People!A:B,2,0)</f>
        <v>MGF</v>
      </c>
      <c r="K2918" s="76" t="s">
        <v>8404</v>
      </c>
      <c r="L2918" s="76"/>
      <c r="M2918" s="67" t="s">
        <v>761</v>
      </c>
    </row>
    <row r="2919" spans="1:13" x14ac:dyDescent="0.25">
      <c r="A2919" s="75">
        <f t="shared" si="45"/>
        <v>2918</v>
      </c>
      <c r="B2919" s="69" t="s">
        <v>5960</v>
      </c>
      <c r="C2919" s="69" t="s">
        <v>8135</v>
      </c>
      <c r="D2919" t="s">
        <v>8094</v>
      </c>
      <c r="E2919" t="s">
        <v>8106</v>
      </c>
      <c r="G2919" s="69" t="s">
        <v>63</v>
      </c>
      <c r="H2919" s="75" t="str">
        <f>IFERROR(VLOOKUP(Table2[[#This Row],[Ticket]],Okey!A:B,2,0),"")</f>
        <v>ok</v>
      </c>
      <c r="I2919" s="70" t="s">
        <v>19</v>
      </c>
      <c r="J2919" t="str">
        <f>VLOOKUP(Table2[[#This Row],[Author]],People!A:B,2,0)</f>
        <v>MGF</v>
      </c>
      <c r="K2919" s="76" t="s">
        <v>8404</v>
      </c>
      <c r="L2919" s="76"/>
      <c r="M2919" s="67" t="s">
        <v>761</v>
      </c>
    </row>
    <row r="2920" spans="1:13" x14ac:dyDescent="0.25">
      <c r="A2920" s="75">
        <f t="shared" si="45"/>
        <v>2919</v>
      </c>
      <c r="B2920" s="69" t="s">
        <v>5960</v>
      </c>
      <c r="C2920" s="69" t="s">
        <v>8135</v>
      </c>
      <c r="D2920" t="s">
        <v>8095</v>
      </c>
      <c r="E2920" t="s">
        <v>8107</v>
      </c>
      <c r="G2920" s="69" t="s">
        <v>63</v>
      </c>
      <c r="H2920" s="75" t="str">
        <f>IFERROR(VLOOKUP(Table2[[#This Row],[Ticket]],Okey!A:B,2,0),"")</f>
        <v>ok</v>
      </c>
      <c r="I2920" s="70" t="s">
        <v>19</v>
      </c>
      <c r="J2920" t="str">
        <f>VLOOKUP(Table2[[#This Row],[Author]],People!A:B,2,0)</f>
        <v>MGF</v>
      </c>
      <c r="K2920" s="76" t="s">
        <v>8404</v>
      </c>
      <c r="L2920" s="76"/>
      <c r="M2920" s="67" t="s">
        <v>761</v>
      </c>
    </row>
    <row r="2921" spans="1:13" x14ac:dyDescent="0.25">
      <c r="A2921" s="75">
        <f t="shared" si="45"/>
        <v>2920</v>
      </c>
      <c r="B2921" s="69" t="s">
        <v>5960</v>
      </c>
      <c r="C2921" s="69" t="s">
        <v>8135</v>
      </c>
      <c r="D2921" t="s">
        <v>8096</v>
      </c>
      <c r="E2921" t="s">
        <v>8108</v>
      </c>
      <c r="G2921" s="69" t="s">
        <v>63</v>
      </c>
      <c r="H2921" s="75" t="str">
        <f>IFERROR(VLOOKUP(Table2[[#This Row],[Ticket]],Okey!A:B,2,0),"")</f>
        <v>ok</v>
      </c>
      <c r="I2921" s="70" t="s">
        <v>19</v>
      </c>
      <c r="J2921" t="str">
        <f>VLOOKUP(Table2[[#This Row],[Author]],People!A:B,2,0)</f>
        <v>MGF</v>
      </c>
      <c r="K2921" s="76" t="s">
        <v>8404</v>
      </c>
      <c r="L2921" s="76"/>
      <c r="M2921" s="67" t="s">
        <v>761</v>
      </c>
    </row>
    <row r="2922" spans="1:13" x14ac:dyDescent="0.25">
      <c r="A2922" s="75">
        <f t="shared" si="45"/>
        <v>2921</v>
      </c>
      <c r="B2922" s="69" t="s">
        <v>5960</v>
      </c>
      <c r="C2922" s="69" t="s">
        <v>8135</v>
      </c>
      <c r="D2922" t="s">
        <v>8097</v>
      </c>
      <c r="E2922" t="s">
        <v>8109</v>
      </c>
      <c r="G2922" s="69" t="s">
        <v>63</v>
      </c>
      <c r="H2922" s="75" t="str">
        <f>IFERROR(VLOOKUP(Table2[[#This Row],[Ticket]],Okey!A:B,2,0),"")</f>
        <v>ok</v>
      </c>
      <c r="I2922" s="70" t="s">
        <v>19</v>
      </c>
      <c r="J2922" t="str">
        <f>VLOOKUP(Table2[[#This Row],[Author]],People!A:B,2,0)</f>
        <v>MGF</v>
      </c>
      <c r="K2922" s="76" t="s">
        <v>8404</v>
      </c>
      <c r="L2922" s="76"/>
      <c r="M2922" s="67" t="s">
        <v>761</v>
      </c>
    </row>
    <row r="2923" spans="1:13" x14ac:dyDescent="0.25">
      <c r="A2923" s="75">
        <f t="shared" si="45"/>
        <v>2922</v>
      </c>
      <c r="B2923" s="69" t="s">
        <v>5960</v>
      </c>
      <c r="C2923" s="69" t="s">
        <v>8135</v>
      </c>
      <c r="D2923" t="s">
        <v>8098</v>
      </c>
      <c r="E2923" t="s">
        <v>8110</v>
      </c>
      <c r="G2923" s="69" t="s">
        <v>63</v>
      </c>
      <c r="H2923" s="75" t="str">
        <f>IFERROR(VLOOKUP(Table2[[#This Row],[Ticket]],Okey!A:B,2,0),"")</f>
        <v>ok</v>
      </c>
      <c r="I2923" s="70" t="s">
        <v>19</v>
      </c>
      <c r="J2923" t="str">
        <f>VLOOKUP(Table2[[#This Row],[Author]],People!A:B,2,0)</f>
        <v>MGF</v>
      </c>
      <c r="K2923" s="76" t="s">
        <v>8404</v>
      </c>
      <c r="L2923" s="76"/>
      <c r="M2923" s="67" t="s">
        <v>761</v>
      </c>
    </row>
    <row r="2924" spans="1:13" x14ac:dyDescent="0.25">
      <c r="A2924" s="75">
        <f t="shared" si="45"/>
        <v>2923</v>
      </c>
      <c r="B2924" s="69" t="s">
        <v>5960</v>
      </c>
      <c r="C2924" s="69" t="s">
        <v>8135</v>
      </c>
      <c r="D2924" t="s">
        <v>8099</v>
      </c>
      <c r="E2924" t="s">
        <v>8111</v>
      </c>
      <c r="G2924" s="69" t="s">
        <v>63</v>
      </c>
      <c r="H2924" s="75" t="str">
        <f>IFERROR(VLOOKUP(Table2[[#This Row],[Ticket]],Okey!A:B,2,0),"")</f>
        <v>ok</v>
      </c>
      <c r="I2924" s="70" t="s">
        <v>19</v>
      </c>
      <c r="J2924" t="str">
        <f>VLOOKUP(Table2[[#This Row],[Author]],People!A:B,2,0)</f>
        <v>MGF</v>
      </c>
      <c r="K2924" s="76" t="s">
        <v>8404</v>
      </c>
      <c r="L2924" s="76"/>
      <c r="M2924" s="67" t="s">
        <v>761</v>
      </c>
    </row>
    <row r="2925" spans="1:13" x14ac:dyDescent="0.25">
      <c r="A2925" s="75">
        <f t="shared" si="45"/>
        <v>2924</v>
      </c>
      <c r="B2925" s="69" t="s">
        <v>5960</v>
      </c>
      <c r="C2925" s="69" t="s">
        <v>8135</v>
      </c>
      <c r="D2925" t="s">
        <v>8100</v>
      </c>
      <c r="E2925" t="s">
        <v>8112</v>
      </c>
      <c r="G2925" s="69" t="s">
        <v>63</v>
      </c>
      <c r="H2925" s="75" t="str">
        <f>IFERROR(VLOOKUP(Table2[[#This Row],[Ticket]],Okey!A:B,2,0),"")</f>
        <v>ok</v>
      </c>
      <c r="I2925" s="70" t="s">
        <v>19</v>
      </c>
      <c r="J2925" t="str">
        <f>VLOOKUP(Table2[[#This Row],[Author]],People!A:B,2,0)</f>
        <v>MGF</v>
      </c>
      <c r="K2925" s="76" t="s">
        <v>8404</v>
      </c>
      <c r="L2925" s="76"/>
      <c r="M2925" s="67" t="s">
        <v>761</v>
      </c>
    </row>
    <row r="2926" spans="1:13" x14ac:dyDescent="0.25">
      <c r="A2926" s="75">
        <f t="shared" si="45"/>
        <v>2925</v>
      </c>
      <c r="B2926" s="69" t="s">
        <v>5960</v>
      </c>
      <c r="C2926" s="69" t="s">
        <v>8135</v>
      </c>
      <c r="D2926" t="s">
        <v>8101</v>
      </c>
      <c r="E2926" t="s">
        <v>8113</v>
      </c>
      <c r="G2926" s="69" t="s">
        <v>63</v>
      </c>
      <c r="H2926" s="75" t="str">
        <f>IFERROR(VLOOKUP(Table2[[#This Row],[Ticket]],Okey!A:B,2,0),"")</f>
        <v>ok</v>
      </c>
      <c r="I2926" s="70" t="s">
        <v>19</v>
      </c>
      <c r="J2926" t="str">
        <f>VLOOKUP(Table2[[#This Row],[Author]],People!A:B,2,0)</f>
        <v>MGF</v>
      </c>
      <c r="K2926" s="76" t="s">
        <v>8404</v>
      </c>
      <c r="L2926" s="76"/>
      <c r="M2926" s="67" t="s">
        <v>761</v>
      </c>
    </row>
    <row r="2927" spans="1:13" x14ac:dyDescent="0.25">
      <c r="A2927" s="75">
        <f t="shared" si="45"/>
        <v>2926</v>
      </c>
      <c r="B2927" s="69" t="s">
        <v>5960</v>
      </c>
      <c r="C2927" s="69" t="s">
        <v>8135</v>
      </c>
      <c r="D2927" t="s">
        <v>8102</v>
      </c>
      <c r="E2927" t="s">
        <v>8114</v>
      </c>
      <c r="G2927" s="69" t="s">
        <v>63</v>
      </c>
      <c r="H2927" s="75" t="str">
        <f>IFERROR(VLOOKUP(Table2[[#This Row],[Ticket]],Okey!A:B,2,0),"")</f>
        <v>ok</v>
      </c>
      <c r="I2927" s="70" t="s">
        <v>19</v>
      </c>
      <c r="J2927" t="str">
        <f>VLOOKUP(Table2[[#This Row],[Author]],People!A:B,2,0)</f>
        <v>MGF</v>
      </c>
      <c r="K2927" s="76" t="s">
        <v>8404</v>
      </c>
      <c r="L2927" s="76"/>
      <c r="M2927" s="67" t="s">
        <v>761</v>
      </c>
    </row>
    <row r="2928" spans="1:13" x14ac:dyDescent="0.25">
      <c r="A2928" s="75">
        <f t="shared" si="45"/>
        <v>2927</v>
      </c>
      <c r="B2928" s="69" t="s">
        <v>5960</v>
      </c>
      <c r="C2928" s="69" t="s">
        <v>8135</v>
      </c>
      <c r="D2928" t="s">
        <v>8115</v>
      </c>
      <c r="E2928" t="s">
        <v>8125</v>
      </c>
      <c r="F2928" t="s">
        <v>797</v>
      </c>
      <c r="G2928" t="s">
        <v>18</v>
      </c>
      <c r="H2928" s="75" t="str">
        <f>IFERROR(VLOOKUP(Table2[[#This Row],[Ticket]],Okey!A:B,2,0),"")</f>
        <v>ok</v>
      </c>
      <c r="I2928" s="70" t="s">
        <v>19</v>
      </c>
      <c r="J2928" t="str">
        <f>VLOOKUP(Table2[[#This Row],[Author]],People!A:B,2,0)</f>
        <v>MGF</v>
      </c>
      <c r="K2928" s="75"/>
      <c r="L2928" s="76"/>
      <c r="M2928" s="67" t="s">
        <v>761</v>
      </c>
    </row>
    <row r="2929" spans="1:13" x14ac:dyDescent="0.25">
      <c r="A2929" s="75">
        <f t="shared" si="45"/>
        <v>2928</v>
      </c>
      <c r="B2929" s="69" t="s">
        <v>5960</v>
      </c>
      <c r="C2929" s="69" t="s">
        <v>8135</v>
      </c>
      <c r="D2929" t="s">
        <v>8116</v>
      </c>
      <c r="E2929" t="s">
        <v>8126</v>
      </c>
      <c r="F2929" t="s">
        <v>799</v>
      </c>
      <c r="G2929" s="69" t="s">
        <v>18</v>
      </c>
      <c r="H2929" s="75" t="str">
        <f>IFERROR(VLOOKUP(Table2[[#This Row],[Ticket]],Okey!A:B,2,0),"")</f>
        <v>ok</v>
      </c>
      <c r="I2929" s="70" t="s">
        <v>19</v>
      </c>
      <c r="J2929" t="str">
        <f>VLOOKUP(Table2[[#This Row],[Author]],People!A:B,2,0)</f>
        <v>MGF</v>
      </c>
      <c r="K2929" s="75"/>
      <c r="L2929" s="76"/>
      <c r="M2929" s="67" t="s">
        <v>761</v>
      </c>
    </row>
    <row r="2930" spans="1:13" x14ac:dyDescent="0.25">
      <c r="A2930" s="75">
        <f t="shared" si="45"/>
        <v>2929</v>
      </c>
      <c r="B2930" s="69" t="s">
        <v>5960</v>
      </c>
      <c r="C2930" s="69" t="s">
        <v>8135</v>
      </c>
      <c r="D2930" t="s">
        <v>8117</v>
      </c>
      <c r="E2930" t="s">
        <v>8127</v>
      </c>
      <c r="F2930" t="s">
        <v>801</v>
      </c>
      <c r="G2930" s="69" t="s">
        <v>18</v>
      </c>
      <c r="H2930" s="75" t="str">
        <f>IFERROR(VLOOKUP(Table2[[#This Row],[Ticket]],Okey!A:B,2,0),"")</f>
        <v>ok</v>
      </c>
      <c r="I2930" s="70" t="s">
        <v>19</v>
      </c>
      <c r="J2930" t="str">
        <f>VLOOKUP(Table2[[#This Row],[Author]],People!A:B,2,0)</f>
        <v>MGF</v>
      </c>
      <c r="K2930" s="75"/>
      <c r="L2930" s="76"/>
      <c r="M2930" s="67" t="s">
        <v>761</v>
      </c>
    </row>
    <row r="2931" spans="1:13" x14ac:dyDescent="0.25">
      <c r="A2931" s="75">
        <f t="shared" si="45"/>
        <v>2930</v>
      </c>
      <c r="B2931" s="69" t="s">
        <v>5960</v>
      </c>
      <c r="C2931" s="69" t="s">
        <v>8135</v>
      </c>
      <c r="D2931" t="s">
        <v>8118</v>
      </c>
      <c r="E2931" t="s">
        <v>8128</v>
      </c>
      <c r="F2931" t="s">
        <v>2404</v>
      </c>
      <c r="G2931" s="69" t="s">
        <v>18</v>
      </c>
      <c r="H2931" s="75" t="str">
        <f>IFERROR(VLOOKUP(Table2[[#This Row],[Ticket]],Okey!A:B,2,0),"")</f>
        <v>ok</v>
      </c>
      <c r="I2931" s="70" t="s">
        <v>19</v>
      </c>
      <c r="J2931" t="str">
        <f>VLOOKUP(Table2[[#This Row],[Author]],People!A:B,2,0)</f>
        <v>MGF</v>
      </c>
      <c r="K2931" s="75"/>
      <c r="L2931" s="76"/>
      <c r="M2931" s="67" t="s">
        <v>761</v>
      </c>
    </row>
    <row r="2932" spans="1:13" x14ac:dyDescent="0.25">
      <c r="A2932" s="75">
        <f t="shared" si="45"/>
        <v>2931</v>
      </c>
      <c r="B2932" s="69" t="s">
        <v>5960</v>
      </c>
      <c r="C2932" s="69" t="s">
        <v>8135</v>
      </c>
      <c r="D2932" t="s">
        <v>8119</v>
      </c>
      <c r="E2932" t="s">
        <v>8129</v>
      </c>
      <c r="F2932" t="s">
        <v>8118</v>
      </c>
      <c r="G2932" s="69" t="s">
        <v>18</v>
      </c>
      <c r="H2932" s="75" t="str">
        <f>IFERROR(VLOOKUP(Table2[[#This Row],[Ticket]],Okey!A:B,2,0),"")</f>
        <v>ok</v>
      </c>
      <c r="I2932" s="70" t="s">
        <v>19</v>
      </c>
      <c r="J2932" t="str">
        <f>VLOOKUP(Table2[[#This Row],[Author]],People!A:B,2,0)</f>
        <v>MGF</v>
      </c>
      <c r="K2932" s="75"/>
      <c r="L2932" s="76"/>
      <c r="M2932" s="67" t="s">
        <v>761</v>
      </c>
    </row>
    <row r="2933" spans="1:13" x14ac:dyDescent="0.25">
      <c r="A2933" s="75">
        <f t="shared" si="45"/>
        <v>2932</v>
      </c>
      <c r="B2933" s="69" t="s">
        <v>5960</v>
      </c>
      <c r="C2933" s="69" t="s">
        <v>8135</v>
      </c>
      <c r="D2933" t="s">
        <v>8120</v>
      </c>
      <c r="E2933" t="s">
        <v>8130</v>
      </c>
      <c r="F2933" t="s">
        <v>8118</v>
      </c>
      <c r="G2933" s="69" t="s">
        <v>18</v>
      </c>
      <c r="H2933" s="75" t="str">
        <f>IFERROR(VLOOKUP(Table2[[#This Row],[Ticket]],Okey!A:B,2,0),"")</f>
        <v>ok</v>
      </c>
      <c r="I2933" s="70" t="s">
        <v>19</v>
      </c>
      <c r="J2933" t="str">
        <f>VLOOKUP(Table2[[#This Row],[Author]],People!A:B,2,0)</f>
        <v>MGF</v>
      </c>
      <c r="K2933" s="75"/>
      <c r="L2933" s="76"/>
      <c r="M2933" s="67" t="s">
        <v>761</v>
      </c>
    </row>
    <row r="2934" spans="1:13" x14ac:dyDescent="0.25">
      <c r="A2934" s="75">
        <f t="shared" si="45"/>
        <v>2933</v>
      </c>
      <c r="B2934" s="69" t="s">
        <v>5960</v>
      </c>
      <c r="C2934" s="69" t="s">
        <v>8135</v>
      </c>
      <c r="D2934" t="s">
        <v>8121</v>
      </c>
      <c r="E2934" t="s">
        <v>8131</v>
      </c>
      <c r="F2934" t="s">
        <v>8119</v>
      </c>
      <c r="G2934" s="69" t="s">
        <v>18</v>
      </c>
      <c r="H2934" s="75" t="str">
        <f>IFERROR(VLOOKUP(Table2[[#This Row],[Ticket]],Okey!A:B,2,0),"")</f>
        <v>ok</v>
      </c>
      <c r="I2934" s="70" t="s">
        <v>19</v>
      </c>
      <c r="J2934" t="str">
        <f>VLOOKUP(Table2[[#This Row],[Author]],People!A:B,2,0)</f>
        <v>MGF</v>
      </c>
      <c r="K2934" s="75"/>
      <c r="L2934" s="76"/>
      <c r="M2934" s="67" t="s">
        <v>761</v>
      </c>
    </row>
    <row r="2935" spans="1:13" x14ac:dyDescent="0.25">
      <c r="A2935" s="75">
        <f t="shared" si="45"/>
        <v>2934</v>
      </c>
      <c r="B2935" s="69" t="s">
        <v>5960</v>
      </c>
      <c r="C2935" s="69" t="s">
        <v>8135</v>
      </c>
      <c r="D2935" t="s">
        <v>8122</v>
      </c>
      <c r="E2935" t="s">
        <v>8132</v>
      </c>
      <c r="F2935" t="s">
        <v>8120</v>
      </c>
      <c r="G2935" s="69" t="s">
        <v>18</v>
      </c>
      <c r="H2935" s="75" t="str">
        <f>IFERROR(VLOOKUP(Table2[[#This Row],[Ticket]],Okey!A:B,2,0),"")</f>
        <v>ok</v>
      </c>
      <c r="I2935" s="70" t="s">
        <v>19</v>
      </c>
      <c r="J2935" t="str">
        <f>VLOOKUP(Table2[[#This Row],[Author]],People!A:B,2,0)</f>
        <v>MGF</v>
      </c>
      <c r="K2935" s="75"/>
      <c r="L2935" s="76"/>
      <c r="M2935" s="67" t="s">
        <v>761</v>
      </c>
    </row>
    <row r="2936" spans="1:13" x14ac:dyDescent="0.25">
      <c r="A2936" s="75">
        <f t="shared" si="45"/>
        <v>2935</v>
      </c>
      <c r="B2936" s="69" t="s">
        <v>5960</v>
      </c>
      <c r="C2936" s="69" t="s">
        <v>8135</v>
      </c>
      <c r="D2936" t="s">
        <v>8123</v>
      </c>
      <c r="E2936" t="s">
        <v>8133</v>
      </c>
      <c r="F2936" t="s">
        <v>8120</v>
      </c>
      <c r="G2936" s="69" t="s">
        <v>18</v>
      </c>
      <c r="H2936" s="75" t="str">
        <f>IFERROR(VLOOKUP(Table2[[#This Row],[Ticket]],Okey!A:B,2,0),"")</f>
        <v>ok</v>
      </c>
      <c r="I2936" s="70" t="s">
        <v>19</v>
      </c>
      <c r="J2936" t="str">
        <f>VLOOKUP(Table2[[#This Row],[Author]],People!A:B,2,0)</f>
        <v>MGF</v>
      </c>
      <c r="K2936" s="75"/>
      <c r="L2936" s="76"/>
      <c r="M2936" s="67" t="s">
        <v>761</v>
      </c>
    </row>
    <row r="2937" spans="1:13" x14ac:dyDescent="0.25">
      <c r="A2937" s="75">
        <f t="shared" si="45"/>
        <v>2936</v>
      </c>
      <c r="B2937" s="69" t="s">
        <v>5960</v>
      </c>
      <c r="C2937" s="69" t="s">
        <v>8135</v>
      </c>
      <c r="D2937" t="s">
        <v>8124</v>
      </c>
      <c r="E2937" t="s">
        <v>8134</v>
      </c>
      <c r="F2937" t="s">
        <v>8095</v>
      </c>
      <c r="G2937" s="69" t="s">
        <v>18</v>
      </c>
      <c r="H2937" s="75" t="str">
        <f>IFERROR(VLOOKUP(Table2[[#This Row],[Ticket]],Okey!A:B,2,0),"")</f>
        <v>ok</v>
      </c>
      <c r="I2937" s="70" t="s">
        <v>19</v>
      </c>
      <c r="J2937" t="str">
        <f>VLOOKUP(Table2[[#This Row],[Author]],People!A:B,2,0)</f>
        <v>MGF</v>
      </c>
      <c r="K2937" s="75"/>
      <c r="L2937" s="76"/>
      <c r="M2937" s="67" t="s">
        <v>761</v>
      </c>
    </row>
    <row r="2938" spans="1:13" x14ac:dyDescent="0.25">
      <c r="A2938" s="75">
        <f t="shared" si="45"/>
        <v>2937</v>
      </c>
      <c r="B2938" s="69" t="s">
        <v>5960</v>
      </c>
      <c r="C2938" t="s">
        <v>8136</v>
      </c>
      <c r="D2938" s="69" t="s">
        <v>8137</v>
      </c>
      <c r="E2938" t="s">
        <v>7247</v>
      </c>
      <c r="F2938" t="s">
        <v>298</v>
      </c>
      <c r="G2938" s="69" t="s">
        <v>18</v>
      </c>
      <c r="H2938" s="75" t="str">
        <f>IFERROR(VLOOKUP(Table2[[#This Row],[Ticket]],Okey!A:B,2,0),"")</f>
        <v>ok</v>
      </c>
      <c r="I2938" s="70" t="s">
        <v>19</v>
      </c>
      <c r="J2938" t="str">
        <f>VLOOKUP(Table2[[#This Row],[Author]],People!A:B,2,0)</f>
        <v>MGF</v>
      </c>
      <c r="K2938" s="75"/>
      <c r="L2938" s="76"/>
      <c r="M2938" s="67" t="s">
        <v>40</v>
      </c>
    </row>
    <row r="2939" spans="1:13" x14ac:dyDescent="0.25">
      <c r="A2939" s="75">
        <f t="shared" si="45"/>
        <v>2938</v>
      </c>
      <c r="B2939" s="69" t="s">
        <v>5960</v>
      </c>
      <c r="C2939" s="69" t="s">
        <v>8136</v>
      </c>
      <c r="D2939" s="69" t="s">
        <v>8138</v>
      </c>
      <c r="E2939" t="s">
        <v>7248</v>
      </c>
      <c r="F2939" t="s">
        <v>298</v>
      </c>
      <c r="G2939" s="69" t="s">
        <v>18</v>
      </c>
      <c r="H2939" s="75" t="str">
        <f>IFERROR(VLOOKUP(Table2[[#This Row],[Ticket]],Okey!A:B,2,0),"")</f>
        <v>ok</v>
      </c>
      <c r="I2939" s="70" t="s">
        <v>19</v>
      </c>
      <c r="J2939" t="str">
        <f>VLOOKUP(Table2[[#This Row],[Author]],People!A:B,2,0)</f>
        <v>MGF</v>
      </c>
      <c r="K2939" s="75"/>
      <c r="L2939" s="76"/>
      <c r="M2939" s="67" t="s">
        <v>40</v>
      </c>
    </row>
    <row r="2940" spans="1:13" x14ac:dyDescent="0.25">
      <c r="A2940" s="75">
        <f t="shared" si="45"/>
        <v>2939</v>
      </c>
      <c r="B2940" s="69" t="s">
        <v>5960</v>
      </c>
      <c r="C2940" s="69" t="s">
        <v>8136</v>
      </c>
      <c r="D2940" t="s">
        <v>7243</v>
      </c>
      <c r="E2940" t="s">
        <v>7247</v>
      </c>
      <c r="F2940" s="69" t="s">
        <v>8137</v>
      </c>
      <c r="G2940" s="69" t="s">
        <v>18</v>
      </c>
      <c r="H2940" s="75" t="str">
        <f>IFERROR(VLOOKUP(Table2[[#This Row],[Ticket]],Okey!A:B,2,0),"")</f>
        <v>ok</v>
      </c>
      <c r="I2940" s="70" t="s">
        <v>19</v>
      </c>
      <c r="J2940" t="str">
        <f>VLOOKUP(Table2[[#This Row],[Author]],People!A:B,2,0)</f>
        <v>MGF</v>
      </c>
      <c r="K2940" s="75"/>
      <c r="L2940" s="76"/>
      <c r="M2940" s="67" t="s">
        <v>40</v>
      </c>
    </row>
    <row r="2941" spans="1:13" x14ac:dyDescent="0.25">
      <c r="A2941" s="75">
        <f t="shared" si="45"/>
        <v>2940</v>
      </c>
      <c r="B2941" s="69" t="s">
        <v>5960</v>
      </c>
      <c r="C2941" s="69" t="s">
        <v>8136</v>
      </c>
      <c r="D2941" t="s">
        <v>7244</v>
      </c>
      <c r="E2941" t="s">
        <v>7248</v>
      </c>
      <c r="F2941" s="69" t="s">
        <v>8138</v>
      </c>
      <c r="G2941" s="69" t="s">
        <v>18</v>
      </c>
      <c r="H2941" s="75" t="str">
        <f>IFERROR(VLOOKUP(Table2[[#This Row],[Ticket]],Okey!A:B,2,0),"")</f>
        <v>ok</v>
      </c>
      <c r="I2941" s="70" t="s">
        <v>19</v>
      </c>
      <c r="J2941" t="str">
        <f>VLOOKUP(Table2[[#This Row],[Author]],People!A:B,2,0)</f>
        <v>MGF</v>
      </c>
      <c r="K2941" s="75"/>
      <c r="L2941" s="76"/>
      <c r="M2941" s="67" t="s">
        <v>40</v>
      </c>
    </row>
    <row r="2942" spans="1:13" x14ac:dyDescent="0.25">
      <c r="A2942" s="75">
        <f t="shared" si="45"/>
        <v>2941</v>
      </c>
      <c r="B2942" s="69" t="s">
        <v>5960</v>
      </c>
      <c r="C2942" s="69" t="s">
        <v>8136</v>
      </c>
      <c r="D2942" s="69" t="s">
        <v>8139</v>
      </c>
      <c r="E2942" t="s">
        <v>7249</v>
      </c>
      <c r="F2942" t="s">
        <v>265</v>
      </c>
      <c r="G2942" s="69" t="s">
        <v>18</v>
      </c>
      <c r="H2942" s="75" t="str">
        <f>IFERROR(VLOOKUP(Table2[[#This Row],[Ticket]],Okey!A:B,2,0),"")</f>
        <v>ok</v>
      </c>
      <c r="I2942" s="70" t="s">
        <v>19</v>
      </c>
      <c r="J2942" t="str">
        <f>VLOOKUP(Table2[[#This Row],[Author]],People!A:B,2,0)</f>
        <v>MGF</v>
      </c>
      <c r="K2942" s="75"/>
      <c r="L2942" s="76"/>
      <c r="M2942" s="67" t="s">
        <v>40</v>
      </c>
    </row>
    <row r="2943" spans="1:13" x14ac:dyDescent="0.25">
      <c r="A2943" s="75">
        <f t="shared" si="45"/>
        <v>2942</v>
      </c>
      <c r="B2943" s="69" t="s">
        <v>5960</v>
      </c>
      <c r="C2943" s="69" t="s">
        <v>8136</v>
      </c>
      <c r="D2943" t="s">
        <v>7246</v>
      </c>
      <c r="E2943" t="s">
        <v>7249</v>
      </c>
      <c r="F2943" s="69" t="s">
        <v>8139</v>
      </c>
      <c r="G2943" s="69" t="s">
        <v>18</v>
      </c>
      <c r="H2943" s="75" t="str">
        <f>IFERROR(VLOOKUP(Table2[[#This Row],[Ticket]],Okey!A:B,2,0),"")</f>
        <v>ok</v>
      </c>
      <c r="I2943" s="70" t="s">
        <v>19</v>
      </c>
      <c r="J2943" t="str">
        <f>VLOOKUP(Table2[[#This Row],[Author]],People!A:B,2,0)</f>
        <v>MGF</v>
      </c>
      <c r="K2943" s="75"/>
      <c r="L2943" s="76"/>
      <c r="M2943" s="67" t="s">
        <v>40</v>
      </c>
    </row>
    <row r="2944" spans="1:13" x14ac:dyDescent="0.25">
      <c r="A2944" s="75">
        <f t="shared" si="45"/>
        <v>2943</v>
      </c>
      <c r="B2944" s="69" t="s">
        <v>5960</v>
      </c>
      <c r="C2944" s="69" t="s">
        <v>8136</v>
      </c>
      <c r="D2944" t="s">
        <v>39</v>
      </c>
      <c r="E2944" t="s">
        <v>7250</v>
      </c>
      <c r="G2944" t="s">
        <v>63</v>
      </c>
      <c r="H2944" s="75" t="str">
        <f>IFERROR(VLOOKUP(Table2[[#This Row],[Ticket]],Okey!A:B,2,0),"")</f>
        <v>ok</v>
      </c>
      <c r="I2944" s="70" t="s">
        <v>19</v>
      </c>
      <c r="J2944" t="str">
        <f>VLOOKUP(Table2[[#This Row],[Author]],People!A:B,2,0)</f>
        <v>MGF</v>
      </c>
      <c r="K2944" s="76" t="s">
        <v>8404</v>
      </c>
      <c r="L2944" s="76"/>
      <c r="M2944" s="67" t="s">
        <v>40</v>
      </c>
    </row>
    <row r="2945" spans="1:13" x14ac:dyDescent="0.25">
      <c r="A2945" s="75">
        <f t="shared" si="45"/>
        <v>2944</v>
      </c>
      <c r="B2945" s="69" t="s">
        <v>5960</v>
      </c>
      <c r="C2945" s="69" t="s">
        <v>8136</v>
      </c>
      <c r="D2945" t="s">
        <v>240</v>
      </c>
      <c r="E2945" t="s">
        <v>7251</v>
      </c>
      <c r="G2945" s="69" t="s">
        <v>63</v>
      </c>
      <c r="H2945" s="75" t="str">
        <f>IFERROR(VLOOKUP(Table2[[#This Row],[Ticket]],Okey!A:B,2,0),"")</f>
        <v>ok</v>
      </c>
      <c r="I2945" s="70" t="s">
        <v>19</v>
      </c>
      <c r="J2945" t="str">
        <f>VLOOKUP(Table2[[#This Row],[Author]],People!A:B,2,0)</f>
        <v>MGF</v>
      </c>
      <c r="K2945" s="76" t="s">
        <v>8404</v>
      </c>
      <c r="L2945" s="76"/>
      <c r="M2945" s="67" t="s">
        <v>40</v>
      </c>
    </row>
    <row r="2946" spans="1:13" x14ac:dyDescent="0.25">
      <c r="A2946" s="75">
        <f t="shared" si="45"/>
        <v>2945</v>
      </c>
      <c r="B2946" s="69" t="s">
        <v>5960</v>
      </c>
      <c r="C2946" s="69" t="s">
        <v>8136</v>
      </c>
      <c r="D2946" t="s">
        <v>92</v>
      </c>
      <c r="E2946" t="s">
        <v>7250</v>
      </c>
      <c r="G2946" s="69" t="s">
        <v>63</v>
      </c>
      <c r="H2946" s="75" t="str">
        <f>IFERROR(VLOOKUP(Table2[[#This Row],[Ticket]],Okey!A:B,2,0),"")</f>
        <v>ok</v>
      </c>
      <c r="I2946" s="70" t="s">
        <v>19</v>
      </c>
      <c r="J2946" t="str">
        <f>VLOOKUP(Table2[[#This Row],[Author]],People!A:B,2,0)</f>
        <v>MGF</v>
      </c>
      <c r="K2946" s="76" t="s">
        <v>8404</v>
      </c>
      <c r="L2946" s="76"/>
      <c r="M2946" s="67" t="s">
        <v>40</v>
      </c>
    </row>
    <row r="2947" spans="1:13" x14ac:dyDescent="0.25">
      <c r="A2947" s="75">
        <f t="shared" si="45"/>
        <v>2946</v>
      </c>
      <c r="B2947" s="69" t="s">
        <v>5960</v>
      </c>
      <c r="C2947" s="69" t="s">
        <v>8136</v>
      </c>
      <c r="D2947" t="s">
        <v>259</v>
      </c>
      <c r="E2947" t="s">
        <v>7252</v>
      </c>
      <c r="G2947" s="69" t="s">
        <v>63</v>
      </c>
      <c r="H2947" s="75" t="str">
        <f>IFERROR(VLOOKUP(Table2[[#This Row],[Ticket]],Okey!A:B,2,0),"")</f>
        <v>ok</v>
      </c>
      <c r="I2947" s="70" t="s">
        <v>19</v>
      </c>
      <c r="J2947" t="str">
        <f>VLOOKUP(Table2[[#This Row],[Author]],People!A:B,2,0)</f>
        <v>MGF</v>
      </c>
      <c r="K2947" s="76" t="s">
        <v>8404</v>
      </c>
      <c r="L2947" s="76"/>
      <c r="M2947" s="67" t="s">
        <v>40</v>
      </c>
    </row>
    <row r="2948" spans="1:13" x14ac:dyDescent="0.25">
      <c r="A2948" s="75">
        <f t="shared" si="45"/>
        <v>2947</v>
      </c>
      <c r="B2948" s="69" t="s">
        <v>5960</v>
      </c>
      <c r="C2948" s="69" t="s">
        <v>8136</v>
      </c>
      <c r="D2948" t="s">
        <v>94</v>
      </c>
      <c r="E2948" t="s">
        <v>7252</v>
      </c>
      <c r="G2948" s="69" t="s">
        <v>63</v>
      </c>
      <c r="H2948" s="75" t="str">
        <f>IFERROR(VLOOKUP(Table2[[#This Row],[Ticket]],Okey!A:B,2,0),"")</f>
        <v>ok</v>
      </c>
      <c r="I2948" s="70" t="s">
        <v>19</v>
      </c>
      <c r="J2948" t="str">
        <f>VLOOKUP(Table2[[#This Row],[Author]],People!A:B,2,0)</f>
        <v>MGF</v>
      </c>
      <c r="K2948" s="76" t="s">
        <v>8404</v>
      </c>
      <c r="L2948" s="76"/>
      <c r="M2948" s="67" t="s">
        <v>40</v>
      </c>
    </row>
    <row r="2949" spans="1:13" x14ac:dyDescent="0.25">
      <c r="A2949" s="75">
        <f t="shared" si="45"/>
        <v>2948</v>
      </c>
      <c r="B2949" s="69" t="s">
        <v>5960</v>
      </c>
      <c r="C2949" s="69" t="s">
        <v>8136</v>
      </c>
      <c r="D2949" t="s">
        <v>264</v>
      </c>
      <c r="E2949" t="s">
        <v>7253</v>
      </c>
      <c r="G2949" s="69" t="s">
        <v>63</v>
      </c>
      <c r="H2949" s="75" t="str">
        <f>IFERROR(VLOOKUP(Table2[[#This Row],[Ticket]],Okey!A:B,2,0),"")</f>
        <v>ok</v>
      </c>
      <c r="I2949" s="70" t="s">
        <v>19</v>
      </c>
      <c r="J2949" t="str">
        <f>VLOOKUP(Table2[[#This Row],[Author]],People!A:B,2,0)</f>
        <v>MGF</v>
      </c>
      <c r="K2949" s="76" t="s">
        <v>8404</v>
      </c>
      <c r="L2949" s="76"/>
      <c r="M2949" s="67" t="s">
        <v>40</v>
      </c>
    </row>
    <row r="2950" spans="1:13" x14ac:dyDescent="0.25">
      <c r="A2950" s="75">
        <f t="shared" si="45"/>
        <v>2949</v>
      </c>
      <c r="B2950" s="69" t="s">
        <v>5960</v>
      </c>
      <c r="C2950" s="69" t="s">
        <v>8136</v>
      </c>
      <c r="D2950" t="s">
        <v>104</v>
      </c>
      <c r="E2950" t="s">
        <v>7253</v>
      </c>
      <c r="G2950" s="69" t="s">
        <v>63</v>
      </c>
      <c r="H2950" s="75" t="str">
        <f>IFERROR(VLOOKUP(Table2[[#This Row],[Ticket]],Okey!A:B,2,0),"")</f>
        <v>ok</v>
      </c>
      <c r="I2950" s="70" t="s">
        <v>19</v>
      </c>
      <c r="J2950" t="str">
        <f>VLOOKUP(Table2[[#This Row],[Author]],People!A:B,2,0)</f>
        <v>MGF</v>
      </c>
      <c r="K2950" s="76" t="s">
        <v>8404</v>
      </c>
      <c r="L2950" s="76"/>
      <c r="M2950" s="67" t="s">
        <v>40</v>
      </c>
    </row>
    <row r="2951" spans="1:13" x14ac:dyDescent="0.25">
      <c r="A2951" s="75">
        <f t="shared" si="45"/>
        <v>2950</v>
      </c>
      <c r="B2951" s="69" t="s">
        <v>5960</v>
      </c>
      <c r="C2951" s="69" t="s">
        <v>8136</v>
      </c>
      <c r="D2951" t="s">
        <v>260</v>
      </c>
      <c r="E2951" t="s">
        <v>7254</v>
      </c>
      <c r="G2951" s="69" t="s">
        <v>63</v>
      </c>
      <c r="H2951" s="75" t="str">
        <f>IFERROR(VLOOKUP(Table2[[#This Row],[Ticket]],Okey!A:B,2,0),"")</f>
        <v>ok</v>
      </c>
      <c r="I2951" s="70" t="s">
        <v>19</v>
      </c>
      <c r="J2951" t="str">
        <f>VLOOKUP(Table2[[#This Row],[Author]],People!A:B,2,0)</f>
        <v>MGF</v>
      </c>
      <c r="K2951" s="76" t="s">
        <v>8404</v>
      </c>
      <c r="L2951" s="76"/>
      <c r="M2951" s="67" t="s">
        <v>40</v>
      </c>
    </row>
    <row r="2952" spans="1:13" x14ac:dyDescent="0.25">
      <c r="A2952" s="75">
        <f t="shared" si="45"/>
        <v>2951</v>
      </c>
      <c r="B2952" s="69" t="s">
        <v>5960</v>
      </c>
      <c r="C2952" s="69" t="s">
        <v>8136</v>
      </c>
      <c r="D2952" t="s">
        <v>96</v>
      </c>
      <c r="E2952" t="s">
        <v>7254</v>
      </c>
      <c r="G2952" s="69" t="s">
        <v>63</v>
      </c>
      <c r="H2952" s="75" t="str">
        <f>IFERROR(VLOOKUP(Table2[[#This Row],[Ticket]],Okey!A:B,2,0),"")</f>
        <v>ok</v>
      </c>
      <c r="I2952" s="70" t="s">
        <v>19</v>
      </c>
      <c r="J2952" t="str">
        <f>VLOOKUP(Table2[[#This Row],[Author]],People!A:B,2,0)</f>
        <v>MGF</v>
      </c>
      <c r="K2952" s="76" t="s">
        <v>8404</v>
      </c>
      <c r="L2952" s="76"/>
      <c r="M2952" s="67" t="s">
        <v>40</v>
      </c>
    </row>
    <row r="2953" spans="1:13" x14ac:dyDescent="0.25">
      <c r="A2953" s="75">
        <f t="shared" ref="A2953:A3016" si="46">1+A2952</f>
        <v>2952</v>
      </c>
      <c r="B2953" s="69" t="s">
        <v>5960</v>
      </c>
      <c r="C2953" s="69" t="s">
        <v>8136</v>
      </c>
      <c r="D2953" t="s">
        <v>261</v>
      </c>
      <c r="E2953" t="s">
        <v>7255</v>
      </c>
      <c r="G2953" s="69" t="s">
        <v>63</v>
      </c>
      <c r="H2953" s="75" t="str">
        <f>IFERROR(VLOOKUP(Table2[[#This Row],[Ticket]],Okey!A:B,2,0),"")</f>
        <v>ok</v>
      </c>
      <c r="I2953" s="70" t="s">
        <v>19</v>
      </c>
      <c r="J2953" t="str">
        <f>VLOOKUP(Table2[[#This Row],[Author]],People!A:B,2,0)</f>
        <v>MGF</v>
      </c>
      <c r="K2953" s="76" t="s">
        <v>8404</v>
      </c>
      <c r="L2953" s="76"/>
      <c r="M2953" s="67" t="s">
        <v>40</v>
      </c>
    </row>
    <row r="2954" spans="1:13" x14ac:dyDescent="0.25">
      <c r="A2954" s="75">
        <f t="shared" si="46"/>
        <v>2953</v>
      </c>
      <c r="B2954" s="69" t="s">
        <v>5960</v>
      </c>
      <c r="C2954" s="69" t="s">
        <v>8136</v>
      </c>
      <c r="D2954" t="s">
        <v>98</v>
      </c>
      <c r="E2954" t="s">
        <v>7255</v>
      </c>
      <c r="G2954" s="69" t="s">
        <v>63</v>
      </c>
      <c r="H2954" s="75" t="str">
        <f>IFERROR(VLOOKUP(Table2[[#This Row],[Ticket]],Okey!A:B,2,0),"")</f>
        <v>ok</v>
      </c>
      <c r="I2954" s="70" t="s">
        <v>19</v>
      </c>
      <c r="J2954" t="str">
        <f>VLOOKUP(Table2[[#This Row],[Author]],People!A:B,2,0)</f>
        <v>MGF</v>
      </c>
      <c r="K2954" s="76" t="s">
        <v>8404</v>
      </c>
      <c r="L2954" s="76"/>
      <c r="M2954" s="67" t="s">
        <v>40</v>
      </c>
    </row>
    <row r="2955" spans="1:13" x14ac:dyDescent="0.25">
      <c r="A2955" s="75">
        <f t="shared" si="46"/>
        <v>2954</v>
      </c>
      <c r="B2955" s="69" t="s">
        <v>5960</v>
      </c>
      <c r="C2955" s="69" t="s">
        <v>8136</v>
      </c>
      <c r="D2955" t="s">
        <v>262</v>
      </c>
      <c r="E2955" t="s">
        <v>7256</v>
      </c>
      <c r="G2955" s="69" t="s">
        <v>63</v>
      </c>
      <c r="H2955" s="75" t="str">
        <f>IFERROR(VLOOKUP(Table2[[#This Row],[Ticket]],Okey!A:B,2,0),"")</f>
        <v>ok</v>
      </c>
      <c r="I2955" s="70" t="s">
        <v>19</v>
      </c>
      <c r="J2955" t="str">
        <f>VLOOKUP(Table2[[#This Row],[Author]],People!A:B,2,0)</f>
        <v>MGF</v>
      </c>
      <c r="K2955" s="76" t="s">
        <v>8404</v>
      </c>
      <c r="L2955" s="76"/>
      <c r="M2955" s="67" t="s">
        <v>40</v>
      </c>
    </row>
    <row r="2956" spans="1:13" x14ac:dyDescent="0.25">
      <c r="A2956" s="75">
        <f t="shared" si="46"/>
        <v>2955</v>
      </c>
      <c r="B2956" s="69" t="s">
        <v>5960</v>
      </c>
      <c r="C2956" s="69" t="s">
        <v>8136</v>
      </c>
      <c r="D2956" t="s">
        <v>100</v>
      </c>
      <c r="E2956" t="s">
        <v>7256</v>
      </c>
      <c r="G2956" s="69" t="s">
        <v>63</v>
      </c>
      <c r="H2956" s="75" t="str">
        <f>IFERROR(VLOOKUP(Table2[[#This Row],[Ticket]],Okey!A:B,2,0),"")</f>
        <v>ok</v>
      </c>
      <c r="I2956" s="70" t="s">
        <v>19</v>
      </c>
      <c r="J2956" t="str">
        <f>VLOOKUP(Table2[[#This Row],[Author]],People!A:B,2,0)</f>
        <v>MGF</v>
      </c>
      <c r="K2956" s="76" t="s">
        <v>8404</v>
      </c>
      <c r="L2956" s="76"/>
      <c r="M2956" s="67" t="s">
        <v>40</v>
      </c>
    </row>
    <row r="2957" spans="1:13" x14ac:dyDescent="0.25">
      <c r="A2957" s="75">
        <f t="shared" si="46"/>
        <v>2956</v>
      </c>
      <c r="B2957" s="69" t="s">
        <v>5960</v>
      </c>
      <c r="C2957" s="69" t="s">
        <v>8136</v>
      </c>
      <c r="D2957" t="s">
        <v>263</v>
      </c>
      <c r="E2957" t="s">
        <v>7257</v>
      </c>
      <c r="G2957" s="69" t="s">
        <v>63</v>
      </c>
      <c r="H2957" s="75" t="str">
        <f>IFERROR(VLOOKUP(Table2[[#This Row],[Ticket]],Okey!A:B,2,0),"")</f>
        <v>ok</v>
      </c>
      <c r="I2957" s="70" t="s">
        <v>19</v>
      </c>
      <c r="J2957" t="str">
        <f>VLOOKUP(Table2[[#This Row],[Author]],People!A:B,2,0)</f>
        <v>MGF</v>
      </c>
      <c r="K2957" s="76" t="s">
        <v>8404</v>
      </c>
      <c r="L2957" s="76"/>
      <c r="M2957" s="67" t="s">
        <v>40</v>
      </c>
    </row>
    <row r="2958" spans="1:13" x14ac:dyDescent="0.25">
      <c r="A2958" s="75">
        <f t="shared" si="46"/>
        <v>2957</v>
      </c>
      <c r="B2958" s="69" t="s">
        <v>5960</v>
      </c>
      <c r="C2958" s="69" t="s">
        <v>8136</v>
      </c>
      <c r="D2958" t="s">
        <v>102</v>
      </c>
      <c r="E2958" t="s">
        <v>7257</v>
      </c>
      <c r="G2958" s="69" t="s">
        <v>63</v>
      </c>
      <c r="H2958" s="75" t="str">
        <f>IFERROR(VLOOKUP(Table2[[#This Row],[Ticket]],Okey!A:B,2,0),"")</f>
        <v>ok</v>
      </c>
      <c r="I2958" s="70" t="s">
        <v>19</v>
      </c>
      <c r="J2958" t="str">
        <f>VLOOKUP(Table2[[#This Row],[Author]],People!A:B,2,0)</f>
        <v>MGF</v>
      </c>
      <c r="K2958" s="76" t="s">
        <v>8404</v>
      </c>
      <c r="L2958" s="76"/>
      <c r="M2958" s="67" t="s">
        <v>40</v>
      </c>
    </row>
    <row r="2959" spans="1:13" x14ac:dyDescent="0.25">
      <c r="A2959" s="75">
        <f t="shared" si="46"/>
        <v>2958</v>
      </c>
      <c r="B2959" s="69" t="s">
        <v>5960</v>
      </c>
      <c r="C2959" s="69" t="s">
        <v>8136</v>
      </c>
      <c r="D2959" t="s">
        <v>37</v>
      </c>
      <c r="E2959" t="s">
        <v>7258</v>
      </c>
      <c r="G2959" s="69" t="s">
        <v>63</v>
      </c>
      <c r="H2959" s="75" t="str">
        <f>IFERROR(VLOOKUP(Table2[[#This Row],[Ticket]],Okey!A:B,2,0),"")</f>
        <v>ok</v>
      </c>
      <c r="I2959" s="70" t="s">
        <v>19</v>
      </c>
      <c r="J2959" t="str">
        <f>VLOOKUP(Table2[[#This Row],[Author]],People!A:B,2,0)</f>
        <v>MGF</v>
      </c>
      <c r="K2959" s="76" t="s">
        <v>8404</v>
      </c>
      <c r="L2959" s="76"/>
      <c r="M2959" s="67" t="s">
        <v>40</v>
      </c>
    </row>
    <row r="2960" spans="1:13" x14ac:dyDescent="0.25">
      <c r="A2960" s="75">
        <f t="shared" si="46"/>
        <v>2959</v>
      </c>
      <c r="B2960" s="69" t="s">
        <v>5960</v>
      </c>
      <c r="C2960" s="69" t="s">
        <v>8136</v>
      </c>
      <c r="D2960" t="s">
        <v>54</v>
      </c>
      <c r="E2960" t="s">
        <v>7258</v>
      </c>
      <c r="G2960" s="69" t="s">
        <v>63</v>
      </c>
      <c r="H2960" s="75" t="str">
        <f>IFERROR(VLOOKUP(Table2[[#This Row],[Ticket]],Okey!A:B,2,0),"")</f>
        <v>ok</v>
      </c>
      <c r="I2960" s="70" t="s">
        <v>19</v>
      </c>
      <c r="J2960" t="str">
        <f>VLOOKUP(Table2[[#This Row],[Author]],People!A:B,2,0)</f>
        <v>MGF</v>
      </c>
      <c r="K2960" s="76" t="s">
        <v>8404</v>
      </c>
      <c r="L2960" s="76"/>
      <c r="M2960" s="67" t="s">
        <v>40</v>
      </c>
    </row>
    <row r="2961" spans="1:13" x14ac:dyDescent="0.25">
      <c r="A2961" s="75">
        <f t="shared" si="46"/>
        <v>2960</v>
      </c>
      <c r="B2961" s="69" t="s">
        <v>5960</v>
      </c>
      <c r="C2961" s="69" t="s">
        <v>8136</v>
      </c>
      <c r="D2961" t="s">
        <v>3629</v>
      </c>
      <c r="F2961" t="s">
        <v>317</v>
      </c>
      <c r="G2961" t="s">
        <v>24</v>
      </c>
      <c r="H2961" s="75" t="str">
        <f>IFERROR(VLOOKUP(Table2[[#This Row],[Ticket]],Okey!A:B,2,0),"")</f>
        <v>ok</v>
      </c>
      <c r="I2961" s="70" t="s">
        <v>19</v>
      </c>
      <c r="J2961" t="str">
        <f>VLOOKUP(Table2[[#This Row],[Author]],People!A:B,2,0)</f>
        <v>MGF</v>
      </c>
      <c r="K2961" s="75"/>
      <c r="L2961" s="67"/>
      <c r="M2961" s="67" t="s">
        <v>40</v>
      </c>
    </row>
    <row r="2962" spans="1:13" x14ac:dyDescent="0.25">
      <c r="A2962" s="75">
        <f t="shared" si="46"/>
        <v>2961</v>
      </c>
      <c r="B2962" s="69" t="s">
        <v>5960</v>
      </c>
      <c r="C2962" s="69" t="s">
        <v>8136</v>
      </c>
      <c r="D2962" t="s">
        <v>3631</v>
      </c>
      <c r="F2962" t="s">
        <v>317</v>
      </c>
      <c r="G2962" s="69" t="s">
        <v>24</v>
      </c>
      <c r="H2962" s="75" t="str">
        <f>IFERROR(VLOOKUP(Table2[[#This Row],[Ticket]],Okey!A:B,2,0),"")</f>
        <v>ok</v>
      </c>
      <c r="I2962" s="70" t="s">
        <v>19</v>
      </c>
      <c r="J2962" t="str">
        <f>VLOOKUP(Table2[[#This Row],[Author]],People!A:B,2,0)</f>
        <v>MGF</v>
      </c>
      <c r="K2962" s="75"/>
      <c r="L2962" s="67"/>
      <c r="M2962" s="67" t="s">
        <v>40</v>
      </c>
    </row>
    <row r="2963" spans="1:13" x14ac:dyDescent="0.25">
      <c r="A2963" s="75">
        <f t="shared" si="46"/>
        <v>2962</v>
      </c>
      <c r="B2963" s="69" t="s">
        <v>5960</v>
      </c>
      <c r="C2963" t="s">
        <v>8140</v>
      </c>
      <c r="D2963" t="s">
        <v>8141</v>
      </c>
      <c r="F2963" t="s">
        <v>8092</v>
      </c>
      <c r="G2963" t="s">
        <v>24</v>
      </c>
      <c r="H2963" s="75" t="str">
        <f>IFERROR(VLOOKUP(Table2[[#This Row],[Ticket]],Okey!A:B,2,0),"")</f>
        <v>ok</v>
      </c>
      <c r="I2963" t="s">
        <v>8318</v>
      </c>
      <c r="J2963" t="str">
        <f>VLOOKUP(Table2[[#This Row],[Author]],People!A:B,2,0)</f>
        <v>HC</v>
      </c>
      <c r="K2963" s="70"/>
      <c r="L2963" s="67"/>
      <c r="M2963" s="67" t="s">
        <v>8037</v>
      </c>
    </row>
    <row r="2964" spans="1:13" x14ac:dyDescent="0.25">
      <c r="A2964" s="75">
        <f t="shared" si="46"/>
        <v>2963</v>
      </c>
      <c r="B2964" s="69" t="s">
        <v>5960</v>
      </c>
      <c r="C2964" s="69" t="s">
        <v>8140</v>
      </c>
      <c r="D2964" t="s">
        <v>8142</v>
      </c>
      <c r="F2964" s="69" t="s">
        <v>8092</v>
      </c>
      <c r="G2964" s="69" t="s">
        <v>24</v>
      </c>
      <c r="H2964" s="75" t="str">
        <f>IFERROR(VLOOKUP(Table2[[#This Row],[Ticket]],Okey!A:B,2,0),"")</f>
        <v>ok</v>
      </c>
      <c r="I2964" s="70" t="s">
        <v>8318</v>
      </c>
      <c r="J2964" t="str">
        <f>VLOOKUP(Table2[[#This Row],[Author]],People!A:B,2,0)</f>
        <v>HC</v>
      </c>
      <c r="K2964" s="70"/>
      <c r="L2964" s="67"/>
      <c r="M2964" s="67" t="s">
        <v>8037</v>
      </c>
    </row>
    <row r="2965" spans="1:13" x14ac:dyDescent="0.25">
      <c r="A2965" s="75">
        <f t="shared" si="46"/>
        <v>2964</v>
      </c>
      <c r="B2965" s="69" t="s">
        <v>5960</v>
      </c>
      <c r="C2965" s="69" t="s">
        <v>8140</v>
      </c>
      <c r="D2965" t="s">
        <v>8143</v>
      </c>
      <c r="F2965" t="s">
        <v>8144</v>
      </c>
      <c r="G2965" s="69" t="s">
        <v>24</v>
      </c>
      <c r="H2965" s="75" t="str">
        <f>IFERROR(VLOOKUP(Table2[[#This Row],[Ticket]],Okey!A:B,2,0),"")</f>
        <v>ok</v>
      </c>
      <c r="I2965" s="70" t="s">
        <v>8318</v>
      </c>
      <c r="J2965" t="str">
        <f>VLOOKUP(Table2[[#This Row],[Author]],People!A:B,2,0)</f>
        <v>HC</v>
      </c>
      <c r="K2965" s="70"/>
      <c r="L2965" s="67"/>
      <c r="M2965" s="67" t="s">
        <v>8037</v>
      </c>
    </row>
    <row r="2966" spans="1:13" x14ac:dyDescent="0.25">
      <c r="A2966" s="75">
        <f t="shared" si="46"/>
        <v>2965</v>
      </c>
      <c r="B2966" s="69" t="s">
        <v>5960</v>
      </c>
      <c r="C2966" t="s">
        <v>8302</v>
      </c>
      <c r="D2966" s="69" t="s">
        <v>8282</v>
      </c>
      <c r="E2966" t="s">
        <v>8145</v>
      </c>
      <c r="F2966" t="s">
        <v>2492</v>
      </c>
      <c r="G2966" t="s">
        <v>18</v>
      </c>
      <c r="H2966" s="75" t="str">
        <f>IFERROR(VLOOKUP(Table2[[#This Row],[Ticket]],Okey!A:B,2,0),"")</f>
        <v>ok</v>
      </c>
      <c r="I2966" s="70" t="s">
        <v>19</v>
      </c>
      <c r="J2966" t="str">
        <f>VLOOKUP(Table2[[#This Row],[Author]],People!A:B,2,0)</f>
        <v>LS</v>
      </c>
      <c r="K2966" s="70"/>
      <c r="L2966" s="67"/>
      <c r="M2966" s="67" t="s">
        <v>8165</v>
      </c>
    </row>
    <row r="2967" spans="1:13" x14ac:dyDescent="0.25">
      <c r="A2967" s="75">
        <f t="shared" si="46"/>
        <v>2966</v>
      </c>
      <c r="B2967" s="69" t="s">
        <v>5960</v>
      </c>
      <c r="C2967" s="69" t="s">
        <v>8302</v>
      </c>
      <c r="D2967" s="69" t="s">
        <v>8283</v>
      </c>
      <c r="E2967" t="s">
        <v>8146</v>
      </c>
      <c r="F2967" s="69" t="s">
        <v>8282</v>
      </c>
      <c r="G2967" s="69" t="s">
        <v>18</v>
      </c>
      <c r="H2967" s="75" t="str">
        <f>IFERROR(VLOOKUP(Table2[[#This Row],[Ticket]],Okey!A:B,2,0),"")</f>
        <v>ok</v>
      </c>
      <c r="I2967" s="75" t="s">
        <v>19</v>
      </c>
      <c r="J2967" t="str">
        <f>VLOOKUP(Table2[[#This Row],[Author]],People!A:B,2,0)</f>
        <v>LS</v>
      </c>
      <c r="K2967" s="70"/>
      <c r="L2967" s="67"/>
      <c r="M2967" s="67" t="s">
        <v>8165</v>
      </c>
    </row>
    <row r="2968" spans="1:13" x14ac:dyDescent="0.25">
      <c r="A2968" s="75">
        <f t="shared" si="46"/>
        <v>2967</v>
      </c>
      <c r="B2968" s="69" t="s">
        <v>5960</v>
      </c>
      <c r="C2968" s="69" t="s">
        <v>8302</v>
      </c>
      <c r="D2968" s="69" t="s">
        <v>8284</v>
      </c>
      <c r="E2968" t="s">
        <v>8147</v>
      </c>
      <c r="F2968" t="s">
        <v>1245</v>
      </c>
      <c r="G2968" s="69" t="s">
        <v>18</v>
      </c>
      <c r="H2968" s="75" t="str">
        <f>IFERROR(VLOOKUP(Table2[[#This Row],[Ticket]],Okey!A:B,2,0),"")</f>
        <v>ok</v>
      </c>
      <c r="I2968" s="75" t="s">
        <v>19</v>
      </c>
      <c r="J2968" t="str">
        <f>VLOOKUP(Table2[[#This Row],[Author]],People!A:B,2,0)</f>
        <v>LS</v>
      </c>
      <c r="K2968" s="70"/>
      <c r="L2968" s="67"/>
      <c r="M2968" s="67" t="s">
        <v>8165</v>
      </c>
    </row>
    <row r="2969" spans="1:13" x14ac:dyDescent="0.25">
      <c r="A2969" s="75">
        <f t="shared" si="46"/>
        <v>2968</v>
      </c>
      <c r="B2969" s="69" t="s">
        <v>5960</v>
      </c>
      <c r="C2969" s="69" t="s">
        <v>8302</v>
      </c>
      <c r="D2969" s="69" t="s">
        <v>8285</v>
      </c>
      <c r="E2969" t="s">
        <v>8148</v>
      </c>
      <c r="F2969" t="s">
        <v>2514</v>
      </c>
      <c r="G2969" s="69" t="s">
        <v>18</v>
      </c>
      <c r="H2969" s="75" t="str">
        <f>IFERROR(VLOOKUP(Table2[[#This Row],[Ticket]],Okey!A:B,2,0),"")</f>
        <v>ok</v>
      </c>
      <c r="I2969" s="75" t="s">
        <v>19</v>
      </c>
      <c r="J2969" t="str">
        <f>VLOOKUP(Table2[[#This Row],[Author]],People!A:B,2,0)</f>
        <v>LS</v>
      </c>
      <c r="K2969" s="70"/>
      <c r="L2969" s="67"/>
      <c r="M2969" s="67" t="s">
        <v>8165</v>
      </c>
    </row>
    <row r="2970" spans="1:13" x14ac:dyDescent="0.25">
      <c r="A2970" s="75">
        <f t="shared" si="46"/>
        <v>2969</v>
      </c>
      <c r="B2970" s="69" t="s">
        <v>5960</v>
      </c>
      <c r="C2970" s="69" t="s">
        <v>8302</v>
      </c>
      <c r="D2970" s="69" t="s">
        <v>8286</v>
      </c>
      <c r="E2970" t="s">
        <v>8149</v>
      </c>
      <c r="F2970" t="s">
        <v>2514</v>
      </c>
      <c r="G2970" s="69" t="s">
        <v>18</v>
      </c>
      <c r="H2970" s="75" t="str">
        <f>IFERROR(VLOOKUP(Table2[[#This Row],[Ticket]],Okey!A:B,2,0),"")</f>
        <v>ok</v>
      </c>
      <c r="I2970" s="75" t="s">
        <v>19</v>
      </c>
      <c r="J2970" t="str">
        <f>VLOOKUP(Table2[[#This Row],[Author]],People!A:B,2,0)</f>
        <v>LS</v>
      </c>
      <c r="K2970" s="70"/>
      <c r="L2970" s="67"/>
      <c r="M2970" s="67" t="s">
        <v>8165</v>
      </c>
    </row>
    <row r="2971" spans="1:13" x14ac:dyDescent="0.25">
      <c r="A2971" s="75">
        <f t="shared" si="46"/>
        <v>2970</v>
      </c>
      <c r="B2971" s="69" t="s">
        <v>5960</v>
      </c>
      <c r="C2971" s="69" t="s">
        <v>8302</v>
      </c>
      <c r="D2971" s="69" t="s">
        <v>8287</v>
      </c>
      <c r="E2971" t="s">
        <v>8150</v>
      </c>
      <c r="F2971" t="s">
        <v>43</v>
      </c>
      <c r="G2971" s="69" t="s">
        <v>18</v>
      </c>
      <c r="H2971" s="75" t="str">
        <f>IFERROR(VLOOKUP(Table2[[#This Row],[Ticket]],Okey!A:B,2,0),"")</f>
        <v>ok</v>
      </c>
      <c r="I2971" s="75" t="s">
        <v>19</v>
      </c>
      <c r="J2971" t="str">
        <f>VLOOKUP(Table2[[#This Row],[Author]],People!A:B,2,0)</f>
        <v>LS</v>
      </c>
      <c r="K2971" s="70"/>
      <c r="L2971" s="67"/>
      <c r="M2971" s="67" t="s">
        <v>8165</v>
      </c>
    </row>
    <row r="2972" spans="1:13" x14ac:dyDescent="0.25">
      <c r="A2972" s="75">
        <f t="shared" si="46"/>
        <v>2971</v>
      </c>
      <c r="B2972" s="69" t="s">
        <v>5960</v>
      </c>
      <c r="C2972" s="69" t="s">
        <v>8302</v>
      </c>
      <c r="D2972" s="69" t="s">
        <v>8288</v>
      </c>
      <c r="E2972" t="s">
        <v>8151</v>
      </c>
      <c r="F2972" t="s">
        <v>7609</v>
      </c>
      <c r="G2972" s="69" t="s">
        <v>18</v>
      </c>
      <c r="H2972" s="75" t="str">
        <f>IFERROR(VLOOKUP(Table2[[#This Row],[Ticket]],Okey!A:B,2,0),"")</f>
        <v>ok</v>
      </c>
      <c r="I2972" s="75" t="s">
        <v>19</v>
      </c>
      <c r="J2972" t="str">
        <f>VLOOKUP(Table2[[#This Row],[Author]],People!A:B,2,0)</f>
        <v>LS</v>
      </c>
      <c r="K2972" s="70"/>
      <c r="L2972" s="67"/>
      <c r="M2972" s="67" t="s">
        <v>8165</v>
      </c>
    </row>
    <row r="2973" spans="1:13" x14ac:dyDescent="0.25">
      <c r="A2973" s="75">
        <f t="shared" si="46"/>
        <v>2972</v>
      </c>
      <c r="B2973" s="69" t="s">
        <v>5960</v>
      </c>
      <c r="C2973" s="69" t="s">
        <v>8302</v>
      </c>
      <c r="D2973" s="69" t="s">
        <v>8289</v>
      </c>
      <c r="E2973" t="s">
        <v>8152</v>
      </c>
      <c r="F2973" t="s">
        <v>7609</v>
      </c>
      <c r="G2973" s="69" t="s">
        <v>18</v>
      </c>
      <c r="H2973" s="75" t="str">
        <f>IFERROR(VLOOKUP(Table2[[#This Row],[Ticket]],Okey!A:B,2,0),"")</f>
        <v>ok</v>
      </c>
      <c r="I2973" s="75" t="s">
        <v>19</v>
      </c>
      <c r="J2973" t="str">
        <f>VLOOKUP(Table2[[#This Row],[Author]],People!A:B,2,0)</f>
        <v>LS</v>
      </c>
      <c r="K2973" s="70"/>
      <c r="L2973" s="67"/>
      <c r="M2973" s="67" t="s">
        <v>8165</v>
      </c>
    </row>
    <row r="2974" spans="1:13" x14ac:dyDescent="0.25">
      <c r="A2974" s="75">
        <f t="shared" si="46"/>
        <v>2973</v>
      </c>
      <c r="B2974" s="69" t="s">
        <v>5960</v>
      </c>
      <c r="C2974" s="69" t="s">
        <v>8302</v>
      </c>
      <c r="D2974" s="69" t="s">
        <v>8290</v>
      </c>
      <c r="E2974" t="s">
        <v>8153</v>
      </c>
      <c r="F2974" t="s">
        <v>7609</v>
      </c>
      <c r="G2974" s="69" t="s">
        <v>18</v>
      </c>
      <c r="H2974" s="75" t="str">
        <f>IFERROR(VLOOKUP(Table2[[#This Row],[Ticket]],Okey!A:B,2,0),"")</f>
        <v>ok</v>
      </c>
      <c r="I2974" s="75" t="s">
        <v>19</v>
      </c>
      <c r="J2974" t="str">
        <f>VLOOKUP(Table2[[#This Row],[Author]],People!A:B,2,0)</f>
        <v>LS</v>
      </c>
      <c r="K2974" s="70"/>
      <c r="L2974" s="67"/>
      <c r="M2974" s="67" t="s">
        <v>8165</v>
      </c>
    </row>
    <row r="2975" spans="1:13" x14ac:dyDescent="0.25">
      <c r="A2975" s="75">
        <f t="shared" si="46"/>
        <v>2974</v>
      </c>
      <c r="B2975" s="69" t="s">
        <v>5960</v>
      </c>
      <c r="C2975" s="69" t="s">
        <v>8302</v>
      </c>
      <c r="D2975" s="69" t="s">
        <v>8291</v>
      </c>
      <c r="E2975" t="s">
        <v>8154</v>
      </c>
      <c r="F2975" t="s">
        <v>2495</v>
      </c>
      <c r="G2975" s="69" t="s">
        <v>18</v>
      </c>
      <c r="H2975" s="75" t="str">
        <f>IFERROR(VLOOKUP(Table2[[#This Row],[Ticket]],Okey!A:B,2,0),"")</f>
        <v>ok</v>
      </c>
      <c r="I2975" s="75" t="s">
        <v>19</v>
      </c>
      <c r="J2975" t="str">
        <f>VLOOKUP(Table2[[#This Row],[Author]],People!A:B,2,0)</f>
        <v>LS</v>
      </c>
      <c r="K2975" s="70"/>
      <c r="L2975" s="67"/>
      <c r="M2975" s="67" t="s">
        <v>8165</v>
      </c>
    </row>
    <row r="2976" spans="1:13" x14ac:dyDescent="0.25">
      <c r="A2976" s="75">
        <f t="shared" si="46"/>
        <v>2975</v>
      </c>
      <c r="B2976" s="69" t="s">
        <v>5960</v>
      </c>
      <c r="C2976" s="69" t="s">
        <v>8302</v>
      </c>
      <c r="D2976" s="69" t="s">
        <v>8292</v>
      </c>
      <c r="E2976" t="s">
        <v>8155</v>
      </c>
      <c r="F2976" t="s">
        <v>2451</v>
      </c>
      <c r="G2976" s="69" t="s">
        <v>18</v>
      </c>
      <c r="H2976" s="75" t="str">
        <f>IFERROR(VLOOKUP(Table2[[#This Row],[Ticket]],Okey!A:B,2,0),"")</f>
        <v>ok</v>
      </c>
      <c r="I2976" s="75" t="s">
        <v>19</v>
      </c>
      <c r="J2976" t="str">
        <f>VLOOKUP(Table2[[#This Row],[Author]],People!A:B,2,0)</f>
        <v>LS</v>
      </c>
      <c r="K2976" s="70"/>
      <c r="L2976" s="67"/>
      <c r="M2976" s="67" t="s">
        <v>8165</v>
      </c>
    </row>
    <row r="2977" spans="1:13" x14ac:dyDescent="0.25">
      <c r="A2977" s="75">
        <f t="shared" si="46"/>
        <v>2976</v>
      </c>
      <c r="B2977" s="69" t="s">
        <v>5960</v>
      </c>
      <c r="C2977" s="69" t="s">
        <v>8302</v>
      </c>
      <c r="D2977" s="69" t="s">
        <v>8293</v>
      </c>
      <c r="E2977" t="s">
        <v>8156</v>
      </c>
      <c r="F2977" t="s">
        <v>7811</v>
      </c>
      <c r="G2977" s="69" t="s">
        <v>18</v>
      </c>
      <c r="H2977" s="75" t="str">
        <f>IFERROR(VLOOKUP(Table2[[#This Row],[Ticket]],Okey!A:B,2,0),"")</f>
        <v>ok</v>
      </c>
      <c r="I2977" s="75" t="s">
        <v>19</v>
      </c>
      <c r="J2977" t="str">
        <f>VLOOKUP(Table2[[#This Row],[Author]],People!A:B,2,0)</f>
        <v>LS</v>
      </c>
      <c r="K2977" s="70"/>
      <c r="L2977" s="67"/>
      <c r="M2977" s="67" t="s">
        <v>8165</v>
      </c>
    </row>
    <row r="2978" spans="1:13" x14ac:dyDescent="0.25">
      <c r="A2978" s="75">
        <f t="shared" si="46"/>
        <v>2977</v>
      </c>
      <c r="B2978" s="69" t="s">
        <v>5960</v>
      </c>
      <c r="C2978" s="69" t="s">
        <v>8302</v>
      </c>
      <c r="D2978" s="69" t="s">
        <v>8294</v>
      </c>
      <c r="E2978" t="s">
        <v>8157</v>
      </c>
      <c r="F2978" t="s">
        <v>7432</v>
      </c>
      <c r="G2978" s="69" t="s">
        <v>18</v>
      </c>
      <c r="H2978" s="75" t="str">
        <f>IFERROR(VLOOKUP(Table2[[#This Row],[Ticket]],Okey!A:B,2,0),"")</f>
        <v>ok</v>
      </c>
      <c r="I2978" s="75" t="s">
        <v>19</v>
      </c>
      <c r="J2978" t="str">
        <f>VLOOKUP(Table2[[#This Row],[Author]],People!A:B,2,0)</f>
        <v>LS</v>
      </c>
      <c r="K2978" s="70"/>
      <c r="L2978" s="67"/>
      <c r="M2978" s="67" t="s">
        <v>8165</v>
      </c>
    </row>
    <row r="2979" spans="1:13" x14ac:dyDescent="0.25">
      <c r="A2979" s="75">
        <f t="shared" si="46"/>
        <v>2978</v>
      </c>
      <c r="B2979" s="69" t="s">
        <v>5960</v>
      </c>
      <c r="C2979" s="69" t="s">
        <v>8302</v>
      </c>
      <c r="D2979" s="69" t="s">
        <v>8295</v>
      </c>
      <c r="E2979" t="s">
        <v>8158</v>
      </c>
      <c r="F2979" t="s">
        <v>2495</v>
      </c>
      <c r="G2979" s="69" t="s">
        <v>18</v>
      </c>
      <c r="H2979" s="75" t="str">
        <f>IFERROR(VLOOKUP(Table2[[#This Row],[Ticket]],Okey!A:B,2,0),"")</f>
        <v>ok</v>
      </c>
      <c r="I2979" s="75" t="s">
        <v>19</v>
      </c>
      <c r="J2979" t="str">
        <f>VLOOKUP(Table2[[#This Row],[Author]],People!A:B,2,0)</f>
        <v>LS</v>
      </c>
      <c r="K2979" s="70"/>
      <c r="L2979" s="67"/>
      <c r="M2979" s="67" t="s">
        <v>8165</v>
      </c>
    </row>
    <row r="2980" spans="1:13" x14ac:dyDescent="0.25">
      <c r="A2980" s="75">
        <f t="shared" si="46"/>
        <v>2979</v>
      </c>
      <c r="B2980" s="69" t="s">
        <v>5960</v>
      </c>
      <c r="C2980" s="69" t="s">
        <v>8302</v>
      </c>
      <c r="D2980" s="69" t="s">
        <v>8296</v>
      </c>
      <c r="E2980" t="s">
        <v>8159</v>
      </c>
      <c r="F2980" s="69" t="s">
        <v>8295</v>
      </c>
      <c r="G2980" s="69" t="s">
        <v>18</v>
      </c>
      <c r="H2980" s="75" t="str">
        <f>IFERROR(VLOOKUP(Table2[[#This Row],[Ticket]],Okey!A:B,2,0),"")</f>
        <v>ok</v>
      </c>
      <c r="I2980" s="75" t="s">
        <v>19</v>
      </c>
      <c r="J2980" t="str">
        <f>VLOOKUP(Table2[[#This Row],[Author]],People!A:B,2,0)</f>
        <v>LS</v>
      </c>
      <c r="K2980" s="70"/>
      <c r="L2980" s="67"/>
      <c r="M2980" s="67" t="s">
        <v>8165</v>
      </c>
    </row>
    <row r="2981" spans="1:13" x14ac:dyDescent="0.25">
      <c r="A2981" s="75">
        <f t="shared" si="46"/>
        <v>2980</v>
      </c>
      <c r="B2981" s="69" t="s">
        <v>5960</v>
      </c>
      <c r="C2981" s="69" t="s">
        <v>8302</v>
      </c>
      <c r="D2981" s="69" t="s">
        <v>8297</v>
      </c>
      <c r="E2981" t="s">
        <v>8160</v>
      </c>
      <c r="F2981" s="69" t="s">
        <v>8295</v>
      </c>
      <c r="G2981" s="69" t="s">
        <v>18</v>
      </c>
      <c r="H2981" s="75" t="str">
        <f>IFERROR(VLOOKUP(Table2[[#This Row],[Ticket]],Okey!A:B,2,0),"")</f>
        <v>ok</v>
      </c>
      <c r="I2981" s="75" t="s">
        <v>19</v>
      </c>
      <c r="J2981" t="str">
        <f>VLOOKUP(Table2[[#This Row],[Author]],People!A:B,2,0)</f>
        <v>LS</v>
      </c>
      <c r="K2981" s="70"/>
      <c r="L2981" s="67"/>
      <c r="M2981" s="67" t="s">
        <v>8165</v>
      </c>
    </row>
    <row r="2982" spans="1:13" x14ac:dyDescent="0.25">
      <c r="A2982" s="75">
        <f t="shared" si="46"/>
        <v>2981</v>
      </c>
      <c r="B2982" s="69" t="s">
        <v>5960</v>
      </c>
      <c r="C2982" s="69" t="s">
        <v>8302</v>
      </c>
      <c r="D2982" s="69" t="s">
        <v>8298</v>
      </c>
      <c r="E2982" t="s">
        <v>8161</v>
      </c>
      <c r="F2982" s="69" t="s">
        <v>8295</v>
      </c>
      <c r="G2982" s="69" t="s">
        <v>18</v>
      </c>
      <c r="H2982" s="75" t="str">
        <f>IFERROR(VLOOKUP(Table2[[#This Row],[Ticket]],Okey!A:B,2,0),"")</f>
        <v>ok</v>
      </c>
      <c r="I2982" s="75" t="s">
        <v>19</v>
      </c>
      <c r="J2982" t="str">
        <f>VLOOKUP(Table2[[#This Row],[Author]],People!A:B,2,0)</f>
        <v>LS</v>
      </c>
      <c r="K2982" s="70"/>
      <c r="L2982" s="67"/>
      <c r="M2982" s="67" t="s">
        <v>8165</v>
      </c>
    </row>
    <row r="2983" spans="1:13" x14ac:dyDescent="0.25">
      <c r="A2983" s="75">
        <f t="shared" si="46"/>
        <v>2982</v>
      </c>
      <c r="B2983" s="69" t="s">
        <v>5960</v>
      </c>
      <c r="C2983" s="69" t="s">
        <v>8302</v>
      </c>
      <c r="D2983" s="69" t="s">
        <v>8299</v>
      </c>
      <c r="E2983" t="s">
        <v>8162</v>
      </c>
      <c r="F2983" s="69" t="s">
        <v>8295</v>
      </c>
      <c r="G2983" s="69" t="s">
        <v>18</v>
      </c>
      <c r="H2983" s="75" t="str">
        <f>IFERROR(VLOOKUP(Table2[[#This Row],[Ticket]],Okey!A:B,2,0),"")</f>
        <v>ok</v>
      </c>
      <c r="I2983" s="75" t="s">
        <v>19</v>
      </c>
      <c r="J2983" t="str">
        <f>VLOOKUP(Table2[[#This Row],[Author]],People!A:B,2,0)</f>
        <v>LS</v>
      </c>
      <c r="K2983" s="70"/>
      <c r="L2983" s="67"/>
      <c r="M2983" s="67" t="s">
        <v>8165</v>
      </c>
    </row>
    <row r="2984" spans="1:13" x14ac:dyDescent="0.25">
      <c r="A2984" s="75">
        <f t="shared" si="46"/>
        <v>2983</v>
      </c>
      <c r="B2984" s="69" t="s">
        <v>5960</v>
      </c>
      <c r="C2984" s="69" t="s">
        <v>8302</v>
      </c>
      <c r="D2984" s="69" t="s">
        <v>8300</v>
      </c>
      <c r="E2984" t="s">
        <v>8163</v>
      </c>
      <c r="F2984" s="69" t="s">
        <v>8295</v>
      </c>
      <c r="G2984" s="69" t="s">
        <v>18</v>
      </c>
      <c r="H2984" s="75" t="str">
        <f>IFERROR(VLOOKUP(Table2[[#This Row],[Ticket]],Okey!A:B,2,0),"")</f>
        <v>ok</v>
      </c>
      <c r="I2984" s="75" t="s">
        <v>19</v>
      </c>
      <c r="J2984" t="str">
        <f>VLOOKUP(Table2[[#This Row],[Author]],People!A:B,2,0)</f>
        <v>LS</v>
      </c>
      <c r="K2984" s="70"/>
      <c r="L2984" s="67"/>
      <c r="M2984" s="67" t="s">
        <v>8165</v>
      </c>
    </row>
    <row r="2985" spans="1:13" x14ac:dyDescent="0.25">
      <c r="A2985" s="75">
        <f t="shared" si="46"/>
        <v>2984</v>
      </c>
      <c r="B2985" s="69" t="s">
        <v>5960</v>
      </c>
      <c r="C2985" s="69" t="s">
        <v>8302</v>
      </c>
      <c r="D2985" s="69" t="s">
        <v>8301</v>
      </c>
      <c r="E2985" t="s">
        <v>8164</v>
      </c>
      <c r="F2985" s="69" t="s">
        <v>8295</v>
      </c>
      <c r="G2985" s="69" t="s">
        <v>18</v>
      </c>
      <c r="H2985" s="75" t="str">
        <f>IFERROR(VLOOKUP(Table2[[#This Row],[Ticket]],Okey!A:B,2,0),"")</f>
        <v>ok</v>
      </c>
      <c r="I2985" s="75" t="s">
        <v>19</v>
      </c>
      <c r="J2985" t="str">
        <f>VLOOKUP(Table2[[#This Row],[Author]],People!A:B,2,0)</f>
        <v>LS</v>
      </c>
      <c r="K2985" s="70"/>
      <c r="L2985" s="67"/>
      <c r="M2985" s="67" t="s">
        <v>8165</v>
      </c>
    </row>
    <row r="2986" spans="1:13" x14ac:dyDescent="0.25">
      <c r="A2986" s="75">
        <f t="shared" si="46"/>
        <v>2985</v>
      </c>
      <c r="B2986" s="69" t="s">
        <v>5960</v>
      </c>
      <c r="C2986" s="69" t="s">
        <v>8302</v>
      </c>
      <c r="D2986" t="s">
        <v>1101</v>
      </c>
      <c r="E2986" t="s">
        <v>8184</v>
      </c>
      <c r="G2986" t="s">
        <v>63</v>
      </c>
      <c r="H2986" s="75" t="str">
        <f>IFERROR(VLOOKUP(Table2[[#This Row],[Ticket]],Okey!A:B,2,0),"")</f>
        <v>ok</v>
      </c>
      <c r="I2986" s="70" t="s">
        <v>19</v>
      </c>
      <c r="J2986" t="str">
        <f>VLOOKUP(Table2[[#This Row],[Author]],People!A:B,2,0)</f>
        <v>LS</v>
      </c>
      <c r="K2986" s="70"/>
      <c r="L2986" s="67"/>
      <c r="M2986" s="67" t="s">
        <v>8165</v>
      </c>
    </row>
    <row r="2987" spans="1:13" x14ac:dyDescent="0.25">
      <c r="A2987" s="75">
        <f t="shared" si="46"/>
        <v>2986</v>
      </c>
      <c r="B2987" s="69" t="s">
        <v>5960</v>
      </c>
      <c r="C2987" s="69" t="s">
        <v>8302</v>
      </c>
      <c r="D2987" t="s">
        <v>6012</v>
      </c>
      <c r="E2987" t="s">
        <v>7585</v>
      </c>
      <c r="G2987" s="69" t="s">
        <v>63</v>
      </c>
      <c r="H2987" s="75" t="str">
        <f>IFERROR(VLOOKUP(Table2[[#This Row],[Ticket]],Okey!A:B,2,0),"")</f>
        <v>ok</v>
      </c>
      <c r="I2987" s="75" t="s">
        <v>19</v>
      </c>
      <c r="J2987" t="str">
        <f>VLOOKUP(Table2[[#This Row],[Author]],People!A:B,2,0)</f>
        <v>LS</v>
      </c>
      <c r="K2987" s="70"/>
      <c r="L2987" s="67"/>
      <c r="M2987" s="67" t="s">
        <v>8165</v>
      </c>
    </row>
    <row r="2988" spans="1:13" x14ac:dyDescent="0.25">
      <c r="A2988" s="75">
        <f t="shared" si="46"/>
        <v>2987</v>
      </c>
      <c r="B2988" s="69" t="s">
        <v>5960</v>
      </c>
      <c r="C2988" s="69" t="s">
        <v>8302</v>
      </c>
      <c r="D2988" t="s">
        <v>6015</v>
      </c>
      <c r="E2988" t="s">
        <v>8185</v>
      </c>
      <c r="G2988" s="69" t="s">
        <v>63</v>
      </c>
      <c r="H2988" s="75" t="str">
        <f>IFERROR(VLOOKUP(Table2[[#This Row],[Ticket]],Okey!A:B,2,0),"")</f>
        <v>ok</v>
      </c>
      <c r="I2988" s="75" t="s">
        <v>19</v>
      </c>
      <c r="J2988" t="str">
        <f>VLOOKUP(Table2[[#This Row],[Author]],People!A:B,2,0)</f>
        <v>LS</v>
      </c>
      <c r="K2988" s="70"/>
      <c r="L2988" s="67"/>
      <c r="M2988" s="67" t="s">
        <v>8165</v>
      </c>
    </row>
    <row r="2989" spans="1:13" x14ac:dyDescent="0.25">
      <c r="A2989" s="75">
        <f t="shared" si="46"/>
        <v>2988</v>
      </c>
      <c r="B2989" s="69" t="s">
        <v>5960</v>
      </c>
      <c r="C2989" s="69" t="s">
        <v>8302</v>
      </c>
      <c r="D2989" t="s">
        <v>8166</v>
      </c>
      <c r="E2989" t="s">
        <v>8186</v>
      </c>
      <c r="G2989" s="69" t="s">
        <v>63</v>
      </c>
      <c r="H2989" s="75" t="str">
        <f>IFERROR(VLOOKUP(Table2[[#This Row],[Ticket]],Okey!A:B,2,0),"")</f>
        <v>ok</v>
      </c>
      <c r="I2989" s="75" t="s">
        <v>19</v>
      </c>
      <c r="J2989" t="str">
        <f>VLOOKUP(Table2[[#This Row],[Author]],People!A:B,2,0)</f>
        <v>LS</v>
      </c>
      <c r="K2989" s="70"/>
      <c r="L2989" s="67"/>
      <c r="M2989" s="67" t="s">
        <v>8165</v>
      </c>
    </row>
    <row r="2990" spans="1:13" x14ac:dyDescent="0.25">
      <c r="A2990" s="75">
        <f t="shared" si="46"/>
        <v>2989</v>
      </c>
      <c r="B2990" s="69" t="s">
        <v>5960</v>
      </c>
      <c r="C2990" s="69" t="s">
        <v>8302</v>
      </c>
      <c r="D2990" t="s">
        <v>8167</v>
      </c>
      <c r="E2990" t="s">
        <v>8186</v>
      </c>
      <c r="G2990" s="69" t="s">
        <v>63</v>
      </c>
      <c r="H2990" s="75" t="str">
        <f>IFERROR(VLOOKUP(Table2[[#This Row],[Ticket]],Okey!A:B,2,0),"")</f>
        <v>ok</v>
      </c>
      <c r="I2990" s="75" t="s">
        <v>19</v>
      </c>
      <c r="J2990" t="str">
        <f>VLOOKUP(Table2[[#This Row],[Author]],People!A:B,2,0)</f>
        <v>LS</v>
      </c>
      <c r="K2990" s="70"/>
      <c r="L2990" s="67"/>
      <c r="M2990" s="67" t="s">
        <v>8165</v>
      </c>
    </row>
    <row r="2991" spans="1:13" x14ac:dyDescent="0.25">
      <c r="A2991" s="75">
        <f t="shared" si="46"/>
        <v>2990</v>
      </c>
      <c r="B2991" s="69" t="s">
        <v>5960</v>
      </c>
      <c r="C2991" s="69" t="s">
        <v>8302</v>
      </c>
      <c r="D2991" t="s">
        <v>8168</v>
      </c>
      <c r="E2991" t="s">
        <v>8187</v>
      </c>
      <c r="G2991" s="69" t="s">
        <v>63</v>
      </c>
      <c r="H2991" s="75" t="str">
        <f>IFERROR(VLOOKUP(Table2[[#This Row],[Ticket]],Okey!A:B,2,0),"")</f>
        <v>ok</v>
      </c>
      <c r="I2991" s="75" t="s">
        <v>19</v>
      </c>
      <c r="J2991" t="str">
        <f>VLOOKUP(Table2[[#This Row],[Author]],People!A:B,2,0)</f>
        <v>LS</v>
      </c>
      <c r="K2991" s="70"/>
      <c r="L2991" s="67"/>
      <c r="M2991" s="67" t="s">
        <v>8165</v>
      </c>
    </row>
    <row r="2992" spans="1:13" x14ac:dyDescent="0.25">
      <c r="A2992" s="75">
        <f t="shared" si="46"/>
        <v>2991</v>
      </c>
      <c r="B2992" s="69" t="s">
        <v>5960</v>
      </c>
      <c r="C2992" s="69" t="s">
        <v>8302</v>
      </c>
      <c r="D2992" t="s">
        <v>4209</v>
      </c>
      <c r="E2992" t="s">
        <v>8188</v>
      </c>
      <c r="G2992" s="69" t="s">
        <v>63</v>
      </c>
      <c r="H2992" s="75" t="str">
        <f>IFERROR(VLOOKUP(Table2[[#This Row],[Ticket]],Okey!A:B,2,0),"")</f>
        <v>ok</v>
      </c>
      <c r="I2992" s="75" t="s">
        <v>19</v>
      </c>
      <c r="J2992" t="str">
        <f>VLOOKUP(Table2[[#This Row],[Author]],People!A:B,2,0)</f>
        <v>LS</v>
      </c>
      <c r="K2992" s="70"/>
      <c r="L2992" s="67"/>
      <c r="M2992" s="67" t="s">
        <v>8165</v>
      </c>
    </row>
    <row r="2993" spans="1:13" x14ac:dyDescent="0.25">
      <c r="A2993" s="75">
        <f t="shared" si="46"/>
        <v>2992</v>
      </c>
      <c r="B2993" s="69" t="s">
        <v>5960</v>
      </c>
      <c r="C2993" s="69" t="s">
        <v>8302</v>
      </c>
      <c r="D2993" t="s">
        <v>4211</v>
      </c>
      <c r="E2993" t="s">
        <v>8189</v>
      </c>
      <c r="G2993" s="69" t="s">
        <v>63</v>
      </c>
      <c r="H2993" s="75" t="str">
        <f>IFERROR(VLOOKUP(Table2[[#This Row],[Ticket]],Okey!A:B,2,0),"")</f>
        <v>ok</v>
      </c>
      <c r="I2993" s="75" t="s">
        <v>19</v>
      </c>
      <c r="J2993" t="str">
        <f>VLOOKUP(Table2[[#This Row],[Author]],People!A:B,2,0)</f>
        <v>LS</v>
      </c>
      <c r="K2993" s="70"/>
      <c r="L2993" s="67"/>
      <c r="M2993" s="67" t="s">
        <v>8165</v>
      </c>
    </row>
    <row r="2994" spans="1:13" x14ac:dyDescent="0.25">
      <c r="A2994" s="75">
        <f t="shared" si="46"/>
        <v>2993</v>
      </c>
      <c r="B2994" s="69" t="s">
        <v>5960</v>
      </c>
      <c r="C2994" s="69" t="s">
        <v>8302</v>
      </c>
      <c r="D2994" t="s">
        <v>8169</v>
      </c>
      <c r="E2994" t="s">
        <v>8190</v>
      </c>
      <c r="G2994" s="69" t="s">
        <v>63</v>
      </c>
      <c r="H2994" s="75" t="str">
        <f>IFERROR(VLOOKUP(Table2[[#This Row],[Ticket]],Okey!A:B,2,0),"")</f>
        <v>ok</v>
      </c>
      <c r="I2994" s="75" t="s">
        <v>19</v>
      </c>
      <c r="J2994" t="str">
        <f>VLOOKUP(Table2[[#This Row],[Author]],People!A:B,2,0)</f>
        <v>LS</v>
      </c>
      <c r="K2994" s="70"/>
      <c r="L2994" s="67"/>
      <c r="M2994" s="67" t="s">
        <v>8165</v>
      </c>
    </row>
    <row r="2995" spans="1:13" x14ac:dyDescent="0.25">
      <c r="A2995" s="75">
        <f t="shared" si="46"/>
        <v>2994</v>
      </c>
      <c r="B2995" s="69" t="s">
        <v>5960</v>
      </c>
      <c r="C2995" s="69" t="s">
        <v>8302</v>
      </c>
      <c r="D2995" t="s">
        <v>8170</v>
      </c>
      <c r="E2995" t="s">
        <v>8191</v>
      </c>
      <c r="G2995" s="69" t="s">
        <v>63</v>
      </c>
      <c r="H2995" s="75" t="str">
        <f>IFERROR(VLOOKUP(Table2[[#This Row],[Ticket]],Okey!A:B,2,0),"")</f>
        <v>ok</v>
      </c>
      <c r="I2995" s="75" t="s">
        <v>19</v>
      </c>
      <c r="J2995" t="str">
        <f>VLOOKUP(Table2[[#This Row],[Author]],People!A:B,2,0)</f>
        <v>LS</v>
      </c>
      <c r="K2995" s="70"/>
      <c r="L2995" s="67"/>
      <c r="M2995" s="67" t="s">
        <v>8165</v>
      </c>
    </row>
    <row r="2996" spans="1:13" x14ac:dyDescent="0.25">
      <c r="A2996" s="75">
        <f t="shared" si="46"/>
        <v>2995</v>
      </c>
      <c r="B2996" s="69" t="s">
        <v>5960</v>
      </c>
      <c r="C2996" s="69" t="s">
        <v>8302</v>
      </c>
      <c r="D2996" t="s">
        <v>8171</v>
      </c>
      <c r="E2996" t="s">
        <v>8192</v>
      </c>
      <c r="G2996" s="69" t="s">
        <v>63</v>
      </c>
      <c r="H2996" s="75" t="str">
        <f>IFERROR(VLOOKUP(Table2[[#This Row],[Ticket]],Okey!A:B,2,0),"")</f>
        <v>ok</v>
      </c>
      <c r="I2996" s="75" t="s">
        <v>19</v>
      </c>
      <c r="J2996" t="str">
        <f>VLOOKUP(Table2[[#This Row],[Author]],People!A:B,2,0)</f>
        <v>LS</v>
      </c>
      <c r="K2996" s="70"/>
      <c r="L2996" s="67"/>
      <c r="M2996" s="67" t="s">
        <v>8165</v>
      </c>
    </row>
    <row r="2997" spans="1:13" x14ac:dyDescent="0.25">
      <c r="A2997" s="75">
        <f t="shared" si="46"/>
        <v>2996</v>
      </c>
      <c r="B2997" s="69" t="s">
        <v>5960</v>
      </c>
      <c r="C2997" s="69" t="s">
        <v>8302</v>
      </c>
      <c r="D2997" t="s">
        <v>8172</v>
      </c>
      <c r="E2997" t="s">
        <v>8193</v>
      </c>
      <c r="G2997" s="69" t="s">
        <v>63</v>
      </c>
      <c r="H2997" s="75" t="str">
        <f>IFERROR(VLOOKUP(Table2[[#This Row],[Ticket]],Okey!A:B,2,0),"")</f>
        <v>ok</v>
      </c>
      <c r="I2997" s="75" t="s">
        <v>19</v>
      </c>
      <c r="J2997" t="str">
        <f>VLOOKUP(Table2[[#This Row],[Author]],People!A:B,2,0)</f>
        <v>LS</v>
      </c>
      <c r="K2997" s="70"/>
      <c r="L2997" s="67"/>
      <c r="M2997" s="67" t="s">
        <v>8165</v>
      </c>
    </row>
    <row r="2998" spans="1:13" x14ac:dyDescent="0.25">
      <c r="A2998" s="75">
        <f t="shared" si="46"/>
        <v>2997</v>
      </c>
      <c r="B2998" s="69" t="s">
        <v>5960</v>
      </c>
      <c r="C2998" s="69" t="s">
        <v>8302</v>
      </c>
      <c r="D2998" t="s">
        <v>8173</v>
      </c>
      <c r="E2998" t="s">
        <v>8194</v>
      </c>
      <c r="G2998" s="69" t="s">
        <v>63</v>
      </c>
      <c r="H2998" s="75" t="str">
        <f>IFERROR(VLOOKUP(Table2[[#This Row],[Ticket]],Okey!A:B,2,0),"")</f>
        <v>ok</v>
      </c>
      <c r="I2998" s="75" t="s">
        <v>19</v>
      </c>
      <c r="J2998" t="str">
        <f>VLOOKUP(Table2[[#This Row],[Author]],People!A:B,2,0)</f>
        <v>LS</v>
      </c>
      <c r="K2998" s="70"/>
      <c r="L2998" s="67"/>
      <c r="M2998" s="67" t="s">
        <v>8165</v>
      </c>
    </row>
    <row r="2999" spans="1:13" x14ac:dyDescent="0.25">
      <c r="A2999" s="75">
        <f t="shared" si="46"/>
        <v>2998</v>
      </c>
      <c r="B2999" s="69" t="s">
        <v>5960</v>
      </c>
      <c r="C2999" s="69" t="s">
        <v>8302</v>
      </c>
      <c r="D2999" t="s">
        <v>8174</v>
      </c>
      <c r="E2999" t="s">
        <v>8195</v>
      </c>
      <c r="G2999" s="69" t="s">
        <v>63</v>
      </c>
      <c r="H2999" s="75" t="str">
        <f>IFERROR(VLOOKUP(Table2[[#This Row],[Ticket]],Okey!A:B,2,0),"")</f>
        <v>ok</v>
      </c>
      <c r="I2999" s="75" t="s">
        <v>19</v>
      </c>
      <c r="J2999" t="str">
        <f>VLOOKUP(Table2[[#This Row],[Author]],People!A:B,2,0)</f>
        <v>LS</v>
      </c>
      <c r="K2999" s="70"/>
      <c r="L2999" s="67"/>
      <c r="M2999" s="67" t="s">
        <v>8165</v>
      </c>
    </row>
    <row r="3000" spans="1:13" x14ac:dyDescent="0.25">
      <c r="A3000" s="75">
        <f t="shared" si="46"/>
        <v>2999</v>
      </c>
      <c r="B3000" s="69" t="s">
        <v>5960</v>
      </c>
      <c r="C3000" s="69" t="s">
        <v>8302</v>
      </c>
      <c r="D3000" t="s">
        <v>8175</v>
      </c>
      <c r="E3000" t="s">
        <v>8196</v>
      </c>
      <c r="G3000" s="69" t="s">
        <v>63</v>
      </c>
      <c r="H3000" s="75" t="str">
        <f>IFERROR(VLOOKUP(Table2[[#This Row],[Ticket]],Okey!A:B,2,0),"")</f>
        <v>ok</v>
      </c>
      <c r="I3000" s="75" t="s">
        <v>19</v>
      </c>
      <c r="J3000" t="str">
        <f>VLOOKUP(Table2[[#This Row],[Author]],People!A:B,2,0)</f>
        <v>LS</v>
      </c>
      <c r="K3000" s="70"/>
      <c r="L3000" s="67"/>
      <c r="M3000" s="67" t="s">
        <v>8165</v>
      </c>
    </row>
    <row r="3001" spans="1:13" x14ac:dyDescent="0.25">
      <c r="A3001" s="75">
        <f t="shared" si="46"/>
        <v>3000</v>
      </c>
      <c r="B3001" s="69" t="s">
        <v>5960</v>
      </c>
      <c r="C3001" s="69" t="s">
        <v>8302</v>
      </c>
      <c r="D3001" t="s">
        <v>2448</v>
      </c>
      <c r="E3001" t="s">
        <v>8197</v>
      </c>
      <c r="G3001" s="69" t="s">
        <v>63</v>
      </c>
      <c r="H3001" s="75" t="str">
        <f>IFERROR(VLOOKUP(Table2[[#This Row],[Ticket]],Okey!A:B,2,0),"")</f>
        <v>ok</v>
      </c>
      <c r="I3001" s="75" t="s">
        <v>19</v>
      </c>
      <c r="J3001" t="str">
        <f>VLOOKUP(Table2[[#This Row],[Author]],People!A:B,2,0)</f>
        <v>LS</v>
      </c>
      <c r="K3001" s="70"/>
      <c r="L3001" s="67"/>
      <c r="M3001" s="67" t="s">
        <v>8165</v>
      </c>
    </row>
    <row r="3002" spans="1:13" x14ac:dyDescent="0.25">
      <c r="A3002" s="75">
        <f t="shared" si="46"/>
        <v>3001</v>
      </c>
      <c r="B3002" s="69" t="s">
        <v>5960</v>
      </c>
      <c r="C3002" s="69" t="s">
        <v>8302</v>
      </c>
      <c r="D3002" t="s">
        <v>8176</v>
      </c>
      <c r="E3002" t="s">
        <v>8198</v>
      </c>
      <c r="G3002" s="69" t="s">
        <v>63</v>
      </c>
      <c r="H3002" s="75" t="str">
        <f>IFERROR(VLOOKUP(Table2[[#This Row],[Ticket]],Okey!A:B,2,0),"")</f>
        <v>ok</v>
      </c>
      <c r="I3002" s="75" t="s">
        <v>19</v>
      </c>
      <c r="J3002" t="str">
        <f>VLOOKUP(Table2[[#This Row],[Author]],People!A:B,2,0)</f>
        <v>LS</v>
      </c>
      <c r="K3002" s="70"/>
      <c r="L3002" s="67"/>
      <c r="M3002" s="67" t="s">
        <v>8165</v>
      </c>
    </row>
    <row r="3003" spans="1:13" x14ac:dyDescent="0.25">
      <c r="A3003" s="75">
        <f t="shared" si="46"/>
        <v>3002</v>
      </c>
      <c r="B3003" s="69" t="s">
        <v>5960</v>
      </c>
      <c r="C3003" s="69" t="s">
        <v>8302</v>
      </c>
      <c r="D3003" t="s">
        <v>7346</v>
      </c>
      <c r="E3003" t="s">
        <v>8199</v>
      </c>
      <c r="G3003" s="69" t="s">
        <v>63</v>
      </c>
      <c r="H3003" s="75" t="str">
        <f>IFERROR(VLOOKUP(Table2[[#This Row],[Ticket]],Okey!A:B,2,0),"")</f>
        <v>ok</v>
      </c>
      <c r="I3003" s="75" t="s">
        <v>19</v>
      </c>
      <c r="J3003" t="str">
        <f>VLOOKUP(Table2[[#This Row],[Author]],People!A:B,2,0)</f>
        <v>LS</v>
      </c>
      <c r="K3003" s="70"/>
      <c r="L3003" s="67"/>
      <c r="M3003" s="67" t="s">
        <v>8165</v>
      </c>
    </row>
    <row r="3004" spans="1:13" x14ac:dyDescent="0.25">
      <c r="A3004" s="75">
        <f t="shared" si="46"/>
        <v>3003</v>
      </c>
      <c r="B3004" s="69" t="s">
        <v>5960</v>
      </c>
      <c r="C3004" s="69" t="s">
        <v>8302</v>
      </c>
      <c r="D3004" t="s">
        <v>8177</v>
      </c>
      <c r="E3004" t="s">
        <v>8200</v>
      </c>
      <c r="G3004" s="69" t="s">
        <v>63</v>
      </c>
      <c r="H3004" s="75" t="str">
        <f>IFERROR(VLOOKUP(Table2[[#This Row],[Ticket]],Okey!A:B,2,0),"")</f>
        <v>ok</v>
      </c>
      <c r="I3004" s="75" t="s">
        <v>19</v>
      </c>
      <c r="J3004" t="str">
        <f>VLOOKUP(Table2[[#This Row],[Author]],People!A:B,2,0)</f>
        <v>LS</v>
      </c>
      <c r="K3004" s="70"/>
      <c r="L3004" s="67"/>
      <c r="M3004" s="67" t="s">
        <v>8165</v>
      </c>
    </row>
    <row r="3005" spans="1:13" x14ac:dyDescent="0.25">
      <c r="A3005" s="75">
        <f t="shared" si="46"/>
        <v>3004</v>
      </c>
      <c r="B3005" s="69" t="s">
        <v>5960</v>
      </c>
      <c r="C3005" s="69" t="s">
        <v>8302</v>
      </c>
      <c r="D3005" t="s">
        <v>8178</v>
      </c>
      <c r="E3005" t="s">
        <v>8201</v>
      </c>
      <c r="G3005" s="69" t="s">
        <v>63</v>
      </c>
      <c r="H3005" s="75" t="str">
        <f>IFERROR(VLOOKUP(Table2[[#This Row],[Ticket]],Okey!A:B,2,0),"")</f>
        <v>ok</v>
      </c>
      <c r="I3005" s="75" t="s">
        <v>19</v>
      </c>
      <c r="J3005" t="str">
        <f>VLOOKUP(Table2[[#This Row],[Author]],People!A:B,2,0)</f>
        <v>LS</v>
      </c>
      <c r="K3005" s="70"/>
      <c r="L3005" s="67"/>
      <c r="M3005" s="67" t="s">
        <v>8165</v>
      </c>
    </row>
    <row r="3006" spans="1:13" x14ac:dyDescent="0.25">
      <c r="A3006" s="75">
        <f t="shared" si="46"/>
        <v>3005</v>
      </c>
      <c r="B3006" s="69" t="s">
        <v>5960</v>
      </c>
      <c r="C3006" s="69" t="s">
        <v>8302</v>
      </c>
      <c r="D3006" t="s">
        <v>1453</v>
      </c>
      <c r="E3006" t="s">
        <v>8202</v>
      </c>
      <c r="G3006" s="69" t="s">
        <v>63</v>
      </c>
      <c r="H3006" s="75" t="str">
        <f>IFERROR(VLOOKUP(Table2[[#This Row],[Ticket]],Okey!A:B,2,0),"")</f>
        <v>ok</v>
      </c>
      <c r="I3006" s="75" t="s">
        <v>19</v>
      </c>
      <c r="J3006" t="str">
        <f>VLOOKUP(Table2[[#This Row],[Author]],People!A:B,2,0)</f>
        <v>LS</v>
      </c>
      <c r="K3006" s="70"/>
      <c r="L3006" s="67"/>
      <c r="M3006" s="67" t="s">
        <v>8165</v>
      </c>
    </row>
    <row r="3007" spans="1:13" x14ac:dyDescent="0.25">
      <c r="A3007" s="75">
        <f t="shared" si="46"/>
        <v>3006</v>
      </c>
      <c r="B3007" s="69" t="s">
        <v>5960</v>
      </c>
      <c r="C3007" s="69" t="s">
        <v>8302</v>
      </c>
      <c r="D3007" t="s">
        <v>8179</v>
      </c>
      <c r="E3007" t="s">
        <v>8203</v>
      </c>
      <c r="G3007" s="69" t="s">
        <v>63</v>
      </c>
      <c r="H3007" s="75" t="str">
        <f>IFERROR(VLOOKUP(Table2[[#This Row],[Ticket]],Okey!A:B,2,0),"")</f>
        <v>ok</v>
      </c>
      <c r="I3007" s="75" t="s">
        <v>19</v>
      </c>
      <c r="J3007" t="str">
        <f>VLOOKUP(Table2[[#This Row],[Author]],People!A:B,2,0)</f>
        <v>LS</v>
      </c>
      <c r="K3007" s="70"/>
      <c r="L3007" s="67"/>
      <c r="M3007" s="67" t="s">
        <v>8165</v>
      </c>
    </row>
    <row r="3008" spans="1:13" x14ac:dyDescent="0.25">
      <c r="A3008" s="75">
        <f t="shared" si="46"/>
        <v>3007</v>
      </c>
      <c r="B3008" s="69" t="s">
        <v>5960</v>
      </c>
      <c r="C3008" s="69" t="s">
        <v>8302</v>
      </c>
      <c r="D3008" t="s">
        <v>8180</v>
      </c>
      <c r="E3008" t="s">
        <v>8203</v>
      </c>
      <c r="G3008" s="69" t="s">
        <v>63</v>
      </c>
      <c r="H3008" s="75" t="str">
        <f>IFERROR(VLOOKUP(Table2[[#This Row],[Ticket]],Okey!A:B,2,0),"")</f>
        <v>ok</v>
      </c>
      <c r="I3008" s="75" t="s">
        <v>19</v>
      </c>
      <c r="J3008" t="str">
        <f>VLOOKUP(Table2[[#This Row],[Author]],People!A:B,2,0)</f>
        <v>LS</v>
      </c>
      <c r="K3008" s="70"/>
      <c r="L3008" s="67"/>
      <c r="M3008" s="67" t="s">
        <v>8165</v>
      </c>
    </row>
    <row r="3009" spans="1:13" x14ac:dyDescent="0.25">
      <c r="A3009" s="75">
        <f t="shared" si="46"/>
        <v>3008</v>
      </c>
      <c r="B3009" s="69" t="s">
        <v>5960</v>
      </c>
      <c r="C3009" s="69" t="s">
        <v>8302</v>
      </c>
      <c r="D3009" t="s">
        <v>8181</v>
      </c>
      <c r="E3009" t="s">
        <v>8204</v>
      </c>
      <c r="G3009" s="69" t="s">
        <v>63</v>
      </c>
      <c r="H3009" s="75" t="str">
        <f>IFERROR(VLOOKUP(Table2[[#This Row],[Ticket]],Okey!A:B,2,0),"")</f>
        <v>ok</v>
      </c>
      <c r="I3009" s="75" t="s">
        <v>19</v>
      </c>
      <c r="J3009" t="str">
        <f>VLOOKUP(Table2[[#This Row],[Author]],People!A:B,2,0)</f>
        <v>LS</v>
      </c>
      <c r="K3009" s="70"/>
      <c r="L3009" s="67"/>
      <c r="M3009" s="67" t="s">
        <v>8165</v>
      </c>
    </row>
    <row r="3010" spans="1:13" x14ac:dyDescent="0.25">
      <c r="A3010" s="75">
        <f t="shared" si="46"/>
        <v>3009</v>
      </c>
      <c r="B3010" s="69" t="s">
        <v>5960</v>
      </c>
      <c r="C3010" s="69" t="s">
        <v>8302</v>
      </c>
      <c r="D3010" t="s">
        <v>8182</v>
      </c>
      <c r="E3010" t="s">
        <v>8204</v>
      </c>
      <c r="G3010" s="69" t="s">
        <v>63</v>
      </c>
      <c r="H3010" s="75" t="str">
        <f>IFERROR(VLOOKUP(Table2[[#This Row],[Ticket]],Okey!A:B,2,0),"")</f>
        <v>ok</v>
      </c>
      <c r="I3010" s="75" t="s">
        <v>19</v>
      </c>
      <c r="J3010" t="str">
        <f>VLOOKUP(Table2[[#This Row],[Author]],People!A:B,2,0)</f>
        <v>LS</v>
      </c>
      <c r="K3010" s="70"/>
      <c r="L3010" s="67"/>
      <c r="M3010" s="67" t="s">
        <v>8165</v>
      </c>
    </row>
    <row r="3011" spans="1:13" x14ac:dyDescent="0.25">
      <c r="A3011" s="75">
        <f t="shared" si="46"/>
        <v>3010</v>
      </c>
      <c r="B3011" s="69" t="s">
        <v>5960</v>
      </c>
      <c r="C3011" s="69" t="s">
        <v>8302</v>
      </c>
      <c r="D3011" t="s">
        <v>1043</v>
      </c>
      <c r="E3011" t="s">
        <v>8205</v>
      </c>
      <c r="G3011" s="69" t="s">
        <v>63</v>
      </c>
      <c r="H3011" s="75" t="str">
        <f>IFERROR(VLOOKUP(Table2[[#This Row],[Ticket]],Okey!A:B,2,0),"")</f>
        <v>ok</v>
      </c>
      <c r="I3011" s="75" t="s">
        <v>19</v>
      </c>
      <c r="J3011" t="str">
        <f>VLOOKUP(Table2[[#This Row],[Author]],People!A:B,2,0)</f>
        <v>LS</v>
      </c>
      <c r="K3011" s="70"/>
      <c r="L3011" s="67"/>
      <c r="M3011" s="67" t="s">
        <v>8165</v>
      </c>
    </row>
    <row r="3012" spans="1:13" x14ac:dyDescent="0.25">
      <c r="A3012" s="75">
        <f t="shared" si="46"/>
        <v>3011</v>
      </c>
      <c r="B3012" s="69" t="s">
        <v>5960</v>
      </c>
      <c r="C3012" s="69" t="s">
        <v>8302</v>
      </c>
      <c r="D3012" t="s">
        <v>2720</v>
      </c>
      <c r="E3012" t="s">
        <v>8206</v>
      </c>
      <c r="G3012" s="69" t="s">
        <v>63</v>
      </c>
      <c r="H3012" s="75" t="str">
        <f>IFERROR(VLOOKUP(Table2[[#This Row],[Ticket]],Okey!A:B,2,0),"")</f>
        <v>ok</v>
      </c>
      <c r="I3012" s="75" t="s">
        <v>19</v>
      </c>
      <c r="J3012" t="str">
        <f>VLOOKUP(Table2[[#This Row],[Author]],People!A:B,2,0)</f>
        <v>LS</v>
      </c>
      <c r="K3012" s="70"/>
      <c r="L3012" s="67"/>
      <c r="M3012" s="67" t="s">
        <v>8165</v>
      </c>
    </row>
    <row r="3013" spans="1:13" x14ac:dyDescent="0.25">
      <c r="A3013" s="75">
        <f t="shared" si="46"/>
        <v>3012</v>
      </c>
      <c r="B3013" s="69" t="s">
        <v>5960</v>
      </c>
      <c r="C3013" s="69" t="s">
        <v>8302</v>
      </c>
      <c r="D3013" t="s">
        <v>6740</v>
      </c>
      <c r="E3013" t="s">
        <v>8207</v>
      </c>
      <c r="G3013" s="69" t="s">
        <v>63</v>
      </c>
      <c r="H3013" s="75" t="str">
        <f>IFERROR(VLOOKUP(Table2[[#This Row],[Ticket]],Okey!A:B,2,0),"")</f>
        <v>ok</v>
      </c>
      <c r="I3013" s="75" t="s">
        <v>19</v>
      </c>
      <c r="J3013" t="str">
        <f>VLOOKUP(Table2[[#This Row],[Author]],People!A:B,2,0)</f>
        <v>LS</v>
      </c>
      <c r="K3013" s="70"/>
      <c r="L3013" s="67"/>
      <c r="M3013" s="67" t="s">
        <v>8165</v>
      </c>
    </row>
    <row r="3014" spans="1:13" x14ac:dyDescent="0.25">
      <c r="A3014" s="75">
        <f t="shared" si="46"/>
        <v>3013</v>
      </c>
      <c r="B3014" s="69" t="s">
        <v>5960</v>
      </c>
      <c r="C3014" s="69" t="s">
        <v>8302</v>
      </c>
      <c r="D3014" t="s">
        <v>6742</v>
      </c>
      <c r="E3014" t="s">
        <v>8208</v>
      </c>
      <c r="G3014" s="69" t="s">
        <v>63</v>
      </c>
      <c r="H3014" s="75" t="str">
        <f>IFERROR(VLOOKUP(Table2[[#This Row],[Ticket]],Okey!A:B,2,0),"")</f>
        <v>ok</v>
      </c>
      <c r="I3014" s="75" t="s">
        <v>19</v>
      </c>
      <c r="J3014" t="str">
        <f>VLOOKUP(Table2[[#This Row],[Author]],People!A:B,2,0)</f>
        <v>LS</v>
      </c>
      <c r="K3014" s="70"/>
      <c r="L3014" s="67"/>
      <c r="M3014" s="67" t="s">
        <v>8165</v>
      </c>
    </row>
    <row r="3015" spans="1:13" x14ac:dyDescent="0.25">
      <c r="A3015" s="75">
        <f t="shared" si="46"/>
        <v>3014</v>
      </c>
      <c r="B3015" s="69" t="s">
        <v>5960</v>
      </c>
      <c r="C3015" s="69" t="s">
        <v>8302</v>
      </c>
      <c r="D3015" t="s">
        <v>8183</v>
      </c>
      <c r="E3015" t="s">
        <v>8209</v>
      </c>
      <c r="G3015" s="69" t="s">
        <v>63</v>
      </c>
      <c r="H3015" s="75" t="str">
        <f>IFERROR(VLOOKUP(Table2[[#This Row],[Ticket]],Okey!A:B,2,0),"")</f>
        <v>ok</v>
      </c>
      <c r="I3015" s="75" t="s">
        <v>19</v>
      </c>
      <c r="J3015" t="str">
        <f>VLOOKUP(Table2[[#This Row],[Author]],People!A:B,2,0)</f>
        <v>LS</v>
      </c>
      <c r="K3015" s="70"/>
      <c r="L3015" s="67"/>
      <c r="M3015" s="67" t="s">
        <v>8165</v>
      </c>
    </row>
    <row r="3016" spans="1:13" x14ac:dyDescent="0.25">
      <c r="A3016" s="75">
        <f t="shared" si="46"/>
        <v>3015</v>
      </c>
      <c r="B3016" s="69" t="s">
        <v>5960</v>
      </c>
      <c r="C3016" s="69" t="s">
        <v>8302</v>
      </c>
      <c r="D3016" t="s">
        <v>2545</v>
      </c>
      <c r="E3016" t="s">
        <v>8210</v>
      </c>
      <c r="G3016" s="69" t="s">
        <v>63</v>
      </c>
      <c r="H3016" s="75" t="str">
        <f>IFERROR(VLOOKUP(Table2[[#This Row],[Ticket]],Okey!A:B,2,0),"")</f>
        <v>ok</v>
      </c>
      <c r="I3016" s="75" t="s">
        <v>19</v>
      </c>
      <c r="J3016" t="str">
        <f>VLOOKUP(Table2[[#This Row],[Author]],People!A:B,2,0)</f>
        <v>LS</v>
      </c>
      <c r="K3016" s="70"/>
      <c r="L3016" s="67"/>
      <c r="M3016" s="67" t="s">
        <v>8165</v>
      </c>
    </row>
    <row r="3017" spans="1:13" x14ac:dyDescent="0.25">
      <c r="A3017" s="75">
        <f t="shared" ref="A3017:A3080" si="47">1+A3016</f>
        <v>3016</v>
      </c>
      <c r="B3017" s="69" t="s">
        <v>5960</v>
      </c>
      <c r="C3017" s="69" t="s">
        <v>8302</v>
      </c>
      <c r="D3017" t="s">
        <v>6235</v>
      </c>
      <c r="E3017" t="s">
        <v>8211</v>
      </c>
      <c r="G3017" s="69" t="s">
        <v>63</v>
      </c>
      <c r="H3017" s="75" t="str">
        <f>IFERROR(VLOOKUP(Table2[[#This Row],[Ticket]],Okey!A:B,2,0),"")</f>
        <v>ok</v>
      </c>
      <c r="I3017" s="75" t="s">
        <v>19</v>
      </c>
      <c r="J3017" t="str">
        <f>VLOOKUP(Table2[[#This Row],[Author]],People!A:B,2,0)</f>
        <v>LS</v>
      </c>
      <c r="K3017" s="70"/>
      <c r="L3017" s="67"/>
      <c r="M3017" s="67" t="s">
        <v>8165</v>
      </c>
    </row>
    <row r="3018" spans="1:13" x14ac:dyDescent="0.25">
      <c r="A3018" s="75">
        <f t="shared" si="47"/>
        <v>3017</v>
      </c>
      <c r="B3018" s="69" t="s">
        <v>5960</v>
      </c>
      <c r="C3018" s="69" t="s">
        <v>8302</v>
      </c>
      <c r="D3018" t="s">
        <v>2501</v>
      </c>
      <c r="E3018" t="s">
        <v>8212</v>
      </c>
      <c r="G3018" s="69" t="s">
        <v>63</v>
      </c>
      <c r="H3018" s="75" t="str">
        <f>IFERROR(VLOOKUP(Table2[[#This Row],[Ticket]],Okey!A:B,2,0),"")</f>
        <v>ok</v>
      </c>
      <c r="I3018" s="75" t="s">
        <v>19</v>
      </c>
      <c r="J3018" t="str">
        <f>VLOOKUP(Table2[[#This Row],[Author]],People!A:B,2,0)</f>
        <v>LS</v>
      </c>
      <c r="K3018" s="70"/>
      <c r="L3018" s="67"/>
      <c r="M3018" s="67" t="s">
        <v>8165</v>
      </c>
    </row>
    <row r="3019" spans="1:13" x14ac:dyDescent="0.25">
      <c r="A3019" s="75">
        <f t="shared" si="47"/>
        <v>3018</v>
      </c>
      <c r="B3019" s="69" t="s">
        <v>5960</v>
      </c>
      <c r="C3019" s="69" t="s">
        <v>8302</v>
      </c>
      <c r="D3019" t="s">
        <v>2504</v>
      </c>
      <c r="E3019" t="s">
        <v>8213</v>
      </c>
      <c r="G3019" s="69" t="s">
        <v>63</v>
      </c>
      <c r="H3019" s="75" t="str">
        <f>IFERROR(VLOOKUP(Table2[[#This Row],[Ticket]],Okey!A:B,2,0),"")</f>
        <v>ok</v>
      </c>
      <c r="I3019" s="75" t="s">
        <v>19</v>
      </c>
      <c r="J3019" t="str">
        <f>VLOOKUP(Table2[[#This Row],[Author]],People!A:B,2,0)</f>
        <v>LS</v>
      </c>
      <c r="K3019" s="70"/>
      <c r="L3019" s="67"/>
      <c r="M3019" s="67" t="s">
        <v>8165</v>
      </c>
    </row>
    <row r="3020" spans="1:13" x14ac:dyDescent="0.25">
      <c r="A3020" s="75">
        <f t="shared" si="47"/>
        <v>3019</v>
      </c>
      <c r="B3020" s="69" t="s">
        <v>5960</v>
      </c>
      <c r="C3020" s="69" t="s">
        <v>8302</v>
      </c>
      <c r="D3020" t="s">
        <v>7486</v>
      </c>
      <c r="E3020" s="70" t="s">
        <v>8303</v>
      </c>
      <c r="F3020" s="69" t="s">
        <v>8282</v>
      </c>
      <c r="G3020" s="69" t="s">
        <v>24</v>
      </c>
      <c r="H3020" s="75" t="str">
        <f>IFERROR(VLOOKUP(Table2[[#This Row],[Ticket]],Okey!A:B,2,0),"")</f>
        <v>ok</v>
      </c>
      <c r="I3020" s="75" t="s">
        <v>19</v>
      </c>
      <c r="J3020" t="str">
        <f>VLOOKUP(Table2[[#This Row],[Author]],People!A:B,2,0)</f>
        <v>LS</v>
      </c>
      <c r="K3020" s="70"/>
      <c r="L3020" s="67"/>
      <c r="M3020" s="67" t="s">
        <v>8165</v>
      </c>
    </row>
    <row r="3021" spans="1:13" x14ac:dyDescent="0.25">
      <c r="A3021" s="75">
        <f t="shared" si="47"/>
        <v>3020</v>
      </c>
      <c r="B3021" s="69" t="s">
        <v>5960</v>
      </c>
      <c r="C3021" s="69" t="s">
        <v>8302</v>
      </c>
      <c r="D3021" t="s">
        <v>8214</v>
      </c>
      <c r="E3021" s="70" t="s">
        <v>8304</v>
      </c>
      <c r="F3021" t="s">
        <v>8299</v>
      </c>
      <c r="G3021" s="69" t="s">
        <v>24</v>
      </c>
      <c r="H3021" s="75" t="str">
        <f>IFERROR(VLOOKUP(Table2[[#This Row],[Ticket]],Okey!A:B,2,0),"")</f>
        <v>ok</v>
      </c>
      <c r="I3021" s="75" t="s">
        <v>19</v>
      </c>
      <c r="J3021" t="str">
        <f>VLOOKUP(Table2[[#This Row],[Author]],People!A:B,2,0)</f>
        <v>LS</v>
      </c>
      <c r="K3021" s="70"/>
      <c r="L3021" s="67"/>
      <c r="M3021" s="67" t="s">
        <v>8165</v>
      </c>
    </row>
    <row r="3022" spans="1:13" x14ac:dyDescent="0.25">
      <c r="A3022" s="75">
        <f t="shared" si="47"/>
        <v>3021</v>
      </c>
      <c r="B3022" s="69" t="s">
        <v>5960</v>
      </c>
      <c r="C3022" s="69" t="s">
        <v>8302</v>
      </c>
      <c r="D3022" t="s">
        <v>8215</v>
      </c>
      <c r="E3022" s="70" t="s">
        <v>8305</v>
      </c>
      <c r="F3022" t="s">
        <v>6195</v>
      </c>
      <c r="G3022" s="69" t="s">
        <v>24</v>
      </c>
      <c r="H3022" s="75" t="str">
        <f>IFERROR(VLOOKUP(Table2[[#This Row],[Ticket]],Okey!A:B,2,0),"")</f>
        <v>ok</v>
      </c>
      <c r="I3022" s="75" t="s">
        <v>19</v>
      </c>
      <c r="J3022" t="str">
        <f>VLOOKUP(Table2[[#This Row],[Author]],People!A:B,2,0)</f>
        <v>LS</v>
      </c>
      <c r="K3022" s="70"/>
      <c r="L3022" s="67"/>
      <c r="M3022" s="67" t="s">
        <v>8165</v>
      </c>
    </row>
    <row r="3023" spans="1:13" x14ac:dyDescent="0.25">
      <c r="A3023" s="75">
        <f t="shared" si="47"/>
        <v>3022</v>
      </c>
      <c r="B3023" s="69" t="s">
        <v>5960</v>
      </c>
      <c r="C3023" s="69" t="s">
        <v>8302</v>
      </c>
      <c r="D3023" t="s">
        <v>8216</v>
      </c>
      <c r="E3023" s="70" t="s">
        <v>8306</v>
      </c>
      <c r="F3023" t="s">
        <v>6195</v>
      </c>
      <c r="G3023" s="69" t="s">
        <v>24</v>
      </c>
      <c r="H3023" s="75" t="str">
        <f>IFERROR(VLOOKUP(Table2[[#This Row],[Ticket]],Okey!A:B,2,0),"")</f>
        <v>ok</v>
      </c>
      <c r="I3023" s="75" t="s">
        <v>19</v>
      </c>
      <c r="J3023" t="str">
        <f>VLOOKUP(Table2[[#This Row],[Author]],People!A:B,2,0)</f>
        <v>LS</v>
      </c>
      <c r="K3023" s="70"/>
      <c r="L3023" s="67"/>
      <c r="M3023" s="67" t="s">
        <v>8165</v>
      </c>
    </row>
    <row r="3024" spans="1:13" x14ac:dyDescent="0.25">
      <c r="A3024" s="75">
        <f t="shared" si="47"/>
        <v>3023</v>
      </c>
      <c r="B3024" s="69" t="s">
        <v>5960</v>
      </c>
      <c r="C3024" s="69" t="s">
        <v>8302</v>
      </c>
      <c r="D3024" t="s">
        <v>8217</v>
      </c>
      <c r="E3024" s="70" t="s">
        <v>8307</v>
      </c>
      <c r="F3024" s="69" t="s">
        <v>8301</v>
      </c>
      <c r="G3024" s="69" t="s">
        <v>24</v>
      </c>
      <c r="H3024" s="75" t="str">
        <f>IFERROR(VLOOKUP(Table2[[#This Row],[Ticket]],Okey!A:B,2,0),"")</f>
        <v>ok</v>
      </c>
      <c r="I3024" s="75" t="s">
        <v>19</v>
      </c>
      <c r="J3024" t="str">
        <f>VLOOKUP(Table2[[#This Row],[Author]],People!A:B,2,0)</f>
        <v>LS</v>
      </c>
      <c r="K3024" s="70"/>
      <c r="L3024" s="67"/>
      <c r="M3024" s="67" t="s">
        <v>8165</v>
      </c>
    </row>
    <row r="3025" spans="1:13" x14ac:dyDescent="0.25">
      <c r="A3025" s="75">
        <f t="shared" si="47"/>
        <v>3024</v>
      </c>
      <c r="B3025" s="69" t="s">
        <v>5960</v>
      </c>
      <c r="C3025" s="69" t="s">
        <v>8302</v>
      </c>
      <c r="D3025" t="s">
        <v>8218</v>
      </c>
      <c r="E3025" s="70" t="s">
        <v>8308</v>
      </c>
      <c r="F3025" t="s">
        <v>8169</v>
      </c>
      <c r="G3025" s="69" t="s">
        <v>24</v>
      </c>
      <c r="H3025" s="75" t="str">
        <f>IFERROR(VLOOKUP(Table2[[#This Row],[Ticket]],Okey!A:B,2,0),"")</f>
        <v>ok</v>
      </c>
      <c r="I3025" s="75" t="s">
        <v>19</v>
      </c>
      <c r="J3025" t="str">
        <f>VLOOKUP(Table2[[#This Row],[Author]],People!A:B,2,0)</f>
        <v>LS</v>
      </c>
      <c r="K3025" s="70"/>
      <c r="L3025" s="67"/>
      <c r="M3025" s="67" t="s">
        <v>8165</v>
      </c>
    </row>
    <row r="3026" spans="1:13" x14ac:dyDescent="0.25">
      <c r="A3026" s="75">
        <f t="shared" si="47"/>
        <v>3025</v>
      </c>
      <c r="B3026" s="69" t="s">
        <v>5960</v>
      </c>
      <c r="C3026" s="69" t="s">
        <v>8302</v>
      </c>
      <c r="D3026" t="s">
        <v>2722</v>
      </c>
      <c r="E3026" s="70" t="s">
        <v>8309</v>
      </c>
      <c r="F3026" t="s">
        <v>2492</v>
      </c>
      <c r="G3026" s="69" t="s">
        <v>24</v>
      </c>
      <c r="H3026" s="75" t="str">
        <f>IFERROR(VLOOKUP(Table2[[#This Row],[Ticket]],Okey!A:B,2,0),"")</f>
        <v>ok</v>
      </c>
      <c r="I3026" s="75" t="s">
        <v>19</v>
      </c>
      <c r="J3026" t="str">
        <f>VLOOKUP(Table2[[#This Row],[Author]],People!A:B,2,0)</f>
        <v>LS</v>
      </c>
      <c r="K3026" s="70"/>
      <c r="L3026" s="67"/>
      <c r="M3026" s="67" t="s">
        <v>8165</v>
      </c>
    </row>
    <row r="3027" spans="1:13" x14ac:dyDescent="0.25">
      <c r="A3027" s="75">
        <f t="shared" si="47"/>
        <v>3026</v>
      </c>
      <c r="B3027" s="69" t="s">
        <v>5960</v>
      </c>
      <c r="C3027" s="69" t="s">
        <v>8302</v>
      </c>
      <c r="D3027" t="s">
        <v>2324</v>
      </c>
      <c r="E3027" s="70" t="s">
        <v>8310</v>
      </c>
      <c r="F3027" s="69" t="s">
        <v>8301</v>
      </c>
      <c r="G3027" s="69" t="s">
        <v>24</v>
      </c>
      <c r="H3027" s="75" t="str">
        <f>IFERROR(VLOOKUP(Table2[[#This Row],[Ticket]],Okey!A:B,2,0),"")</f>
        <v>ok</v>
      </c>
      <c r="I3027" s="75" t="s">
        <v>19</v>
      </c>
      <c r="J3027" t="str">
        <f>VLOOKUP(Table2[[#This Row],[Author]],People!A:B,2,0)</f>
        <v>LS</v>
      </c>
      <c r="K3027" s="70"/>
      <c r="L3027" s="67"/>
      <c r="M3027" s="67" t="s">
        <v>8165</v>
      </c>
    </row>
    <row r="3028" spans="1:13" x14ac:dyDescent="0.25">
      <c r="A3028" s="75">
        <f t="shared" si="47"/>
        <v>3027</v>
      </c>
      <c r="B3028" s="69" t="s">
        <v>5960</v>
      </c>
      <c r="C3028" s="69" t="s">
        <v>8302</v>
      </c>
      <c r="D3028" t="s">
        <v>8219</v>
      </c>
      <c r="E3028" s="70" t="s">
        <v>8311</v>
      </c>
      <c r="F3028" s="69" t="s">
        <v>8301</v>
      </c>
      <c r="G3028" s="69" t="s">
        <v>24</v>
      </c>
      <c r="H3028" s="75" t="str">
        <f>IFERROR(VLOOKUP(Table2[[#This Row],[Ticket]],Okey!A:B,2,0),"")</f>
        <v>ok</v>
      </c>
      <c r="I3028" s="75" t="s">
        <v>19</v>
      </c>
      <c r="J3028" t="str">
        <f>VLOOKUP(Table2[[#This Row],[Author]],People!A:B,2,0)</f>
        <v>LS</v>
      </c>
      <c r="K3028" s="70"/>
      <c r="L3028" s="67"/>
      <c r="M3028" s="67" t="s">
        <v>8165</v>
      </c>
    </row>
    <row r="3029" spans="1:13" x14ac:dyDescent="0.25">
      <c r="A3029" s="75">
        <f t="shared" si="47"/>
        <v>3028</v>
      </c>
      <c r="B3029" s="69" t="s">
        <v>5960</v>
      </c>
      <c r="C3029" s="69" t="s">
        <v>8302</v>
      </c>
      <c r="D3029" t="s">
        <v>8220</v>
      </c>
      <c r="E3029" s="70" t="s">
        <v>8312</v>
      </c>
      <c r="F3029" t="s">
        <v>8169</v>
      </c>
      <c r="G3029" s="69" t="s">
        <v>24</v>
      </c>
      <c r="H3029" s="75" t="str">
        <f>IFERROR(VLOOKUP(Table2[[#This Row],[Ticket]],Okey!A:B,2,0),"")</f>
        <v>ok</v>
      </c>
      <c r="I3029" s="75" t="s">
        <v>19</v>
      </c>
      <c r="J3029" t="str">
        <f>VLOOKUP(Table2[[#This Row],[Author]],People!A:B,2,0)</f>
        <v>LS</v>
      </c>
      <c r="K3029" s="70"/>
      <c r="L3029" s="67"/>
      <c r="M3029" s="67" t="s">
        <v>8165</v>
      </c>
    </row>
    <row r="3030" spans="1:13" x14ac:dyDescent="0.25">
      <c r="A3030" s="75">
        <f t="shared" si="47"/>
        <v>3029</v>
      </c>
      <c r="B3030" s="69" t="s">
        <v>5960</v>
      </c>
      <c r="C3030" s="69" t="s">
        <v>8302</v>
      </c>
      <c r="D3030" t="s">
        <v>8221</v>
      </c>
      <c r="E3030" s="70" t="s">
        <v>8313</v>
      </c>
      <c r="F3030" t="s">
        <v>2722</v>
      </c>
      <c r="G3030" s="69" t="s">
        <v>24</v>
      </c>
      <c r="H3030" s="75" t="str">
        <f>IFERROR(VLOOKUP(Table2[[#This Row],[Ticket]],Okey!A:B,2,0),"")</f>
        <v>ok</v>
      </c>
      <c r="I3030" s="75" t="s">
        <v>19</v>
      </c>
      <c r="J3030" t="str">
        <f>VLOOKUP(Table2[[#This Row],[Author]],People!A:B,2,0)</f>
        <v>LS</v>
      </c>
      <c r="K3030" s="70"/>
      <c r="L3030" s="67"/>
      <c r="M3030" s="67" t="s">
        <v>8165</v>
      </c>
    </row>
    <row r="3031" spans="1:13" x14ac:dyDescent="0.25">
      <c r="A3031" s="75">
        <f t="shared" si="47"/>
        <v>3030</v>
      </c>
      <c r="B3031" s="69" t="s">
        <v>5960</v>
      </c>
      <c r="C3031" s="69" t="s">
        <v>8302</v>
      </c>
      <c r="D3031" t="s">
        <v>5089</v>
      </c>
      <c r="E3031" s="70" t="s">
        <v>8314</v>
      </c>
      <c r="F3031" t="s">
        <v>2722</v>
      </c>
      <c r="G3031" s="69" t="s">
        <v>24</v>
      </c>
      <c r="H3031" s="75" t="str">
        <f>IFERROR(VLOOKUP(Table2[[#This Row],[Ticket]],Okey!A:B,2,0),"")</f>
        <v>ok</v>
      </c>
      <c r="I3031" s="75" t="s">
        <v>19</v>
      </c>
      <c r="J3031" t="str">
        <f>VLOOKUP(Table2[[#This Row],[Author]],People!A:B,2,0)</f>
        <v>LS</v>
      </c>
      <c r="K3031" s="70"/>
      <c r="L3031" s="67"/>
      <c r="M3031" s="67" t="s">
        <v>8165</v>
      </c>
    </row>
    <row r="3032" spans="1:13" x14ac:dyDescent="0.25">
      <c r="A3032" s="75">
        <f t="shared" si="47"/>
        <v>3031</v>
      </c>
      <c r="B3032" s="69" t="s">
        <v>5960</v>
      </c>
      <c r="C3032" s="69" t="s">
        <v>8302</v>
      </c>
      <c r="D3032" t="s">
        <v>5091</v>
      </c>
      <c r="E3032" s="70" t="s">
        <v>8315</v>
      </c>
      <c r="F3032" t="s">
        <v>2722</v>
      </c>
      <c r="G3032" s="69" t="s">
        <v>24</v>
      </c>
      <c r="H3032" s="75" t="str">
        <f>IFERROR(VLOOKUP(Table2[[#This Row],[Ticket]],Okey!A:B,2,0),"")</f>
        <v>ok</v>
      </c>
      <c r="I3032" s="75" t="s">
        <v>19</v>
      </c>
      <c r="J3032" t="str">
        <f>VLOOKUP(Table2[[#This Row],[Author]],People!A:B,2,0)</f>
        <v>LS</v>
      </c>
      <c r="K3032" s="70"/>
      <c r="L3032" s="67"/>
      <c r="M3032" s="67" t="s">
        <v>8165</v>
      </c>
    </row>
    <row r="3033" spans="1:13" x14ac:dyDescent="0.25">
      <c r="A3033" s="75">
        <f t="shared" si="47"/>
        <v>3032</v>
      </c>
      <c r="B3033" s="69" t="s">
        <v>5960</v>
      </c>
      <c r="C3033" s="69" t="s">
        <v>8302</v>
      </c>
      <c r="D3033" t="s">
        <v>8222</v>
      </c>
      <c r="E3033" s="70" t="s">
        <v>8316</v>
      </c>
      <c r="F3033" s="69" t="s">
        <v>8301</v>
      </c>
      <c r="G3033" s="69" t="s">
        <v>24</v>
      </c>
      <c r="H3033" s="75" t="str">
        <f>IFERROR(VLOOKUP(Table2[[#This Row],[Ticket]],Okey!A:B,2,0),"")</f>
        <v>ok</v>
      </c>
      <c r="I3033" s="75" t="s">
        <v>19</v>
      </c>
      <c r="J3033" t="str">
        <f>VLOOKUP(Table2[[#This Row],[Author]],People!A:B,2,0)</f>
        <v>LS</v>
      </c>
      <c r="K3033" s="70"/>
      <c r="L3033" s="67"/>
      <c r="M3033" s="67" t="s">
        <v>8165</v>
      </c>
    </row>
    <row r="3034" spans="1:13" x14ac:dyDescent="0.25">
      <c r="A3034" s="75">
        <f t="shared" si="47"/>
        <v>3033</v>
      </c>
      <c r="B3034" s="69" t="s">
        <v>5960</v>
      </c>
      <c r="C3034" s="69" t="s">
        <v>8302</v>
      </c>
      <c r="D3034" t="s">
        <v>3680</v>
      </c>
      <c r="E3034" s="70" t="s">
        <v>8317</v>
      </c>
      <c r="F3034" t="s">
        <v>2722</v>
      </c>
      <c r="G3034" s="69" t="s">
        <v>24</v>
      </c>
      <c r="H3034" s="75" t="str">
        <f>IFERROR(VLOOKUP(Table2[[#This Row],[Ticket]],Okey!A:B,2,0),"")</f>
        <v>ok</v>
      </c>
      <c r="I3034" s="75" t="s">
        <v>19</v>
      </c>
      <c r="J3034" t="str">
        <f>VLOOKUP(Table2[[#This Row],[Author]],People!A:B,2,0)</f>
        <v>LS</v>
      </c>
      <c r="K3034" s="70"/>
      <c r="L3034" s="67"/>
      <c r="M3034" s="67" t="s">
        <v>8165</v>
      </c>
    </row>
    <row r="3035" spans="1:13" x14ac:dyDescent="0.25">
      <c r="A3035" s="75">
        <f t="shared" si="47"/>
        <v>3034</v>
      </c>
      <c r="B3035" s="69" t="s">
        <v>5960</v>
      </c>
      <c r="C3035" s="69" t="s">
        <v>8302</v>
      </c>
      <c r="D3035" t="s">
        <v>8223</v>
      </c>
      <c r="F3035" t="s">
        <v>8255</v>
      </c>
      <c r="G3035" s="69" t="s">
        <v>24</v>
      </c>
      <c r="H3035" s="75" t="str">
        <f>IFERROR(VLOOKUP(Table2[[#This Row],[Ticket]],Okey!A:B,2,0),"")</f>
        <v>ok</v>
      </c>
      <c r="I3035" s="75" t="s">
        <v>19</v>
      </c>
      <c r="J3035" t="str">
        <f>VLOOKUP(Table2[[#This Row],[Author]],People!A:B,2,0)</f>
        <v>LS</v>
      </c>
      <c r="K3035" s="70"/>
      <c r="L3035" s="67"/>
      <c r="M3035" s="67" t="s">
        <v>8165</v>
      </c>
    </row>
    <row r="3036" spans="1:13" x14ac:dyDescent="0.25">
      <c r="A3036" s="75">
        <f t="shared" si="47"/>
        <v>3035</v>
      </c>
      <c r="B3036" s="69" t="s">
        <v>5960</v>
      </c>
      <c r="C3036" s="69" t="s">
        <v>8302</v>
      </c>
      <c r="D3036" t="s">
        <v>8224</v>
      </c>
      <c r="F3036" t="s">
        <v>8255</v>
      </c>
      <c r="G3036" s="69" t="s">
        <v>24</v>
      </c>
      <c r="H3036" s="75" t="str">
        <f>IFERROR(VLOOKUP(Table2[[#This Row],[Ticket]],Okey!A:B,2,0),"")</f>
        <v>ok</v>
      </c>
      <c r="I3036" s="75" t="s">
        <v>19</v>
      </c>
      <c r="J3036" t="str">
        <f>VLOOKUP(Table2[[#This Row],[Author]],People!A:B,2,0)</f>
        <v>LS</v>
      </c>
      <c r="K3036" s="70"/>
      <c r="L3036" s="67"/>
      <c r="M3036" s="67" t="s">
        <v>8165</v>
      </c>
    </row>
    <row r="3037" spans="1:13" x14ac:dyDescent="0.25">
      <c r="A3037" s="75">
        <f t="shared" si="47"/>
        <v>3036</v>
      </c>
      <c r="B3037" s="69" t="s">
        <v>5960</v>
      </c>
      <c r="C3037" s="69" t="s">
        <v>8302</v>
      </c>
      <c r="D3037" t="s">
        <v>8225</v>
      </c>
      <c r="F3037" s="69" t="s">
        <v>8284</v>
      </c>
      <c r="G3037" s="69" t="s">
        <v>24</v>
      </c>
      <c r="H3037" s="75" t="str">
        <f>IFERROR(VLOOKUP(Table2[[#This Row],[Ticket]],Okey!A:B,2,0),"")</f>
        <v>ok</v>
      </c>
      <c r="I3037" s="75" t="s">
        <v>19</v>
      </c>
      <c r="J3037" t="str">
        <f>VLOOKUP(Table2[[#This Row],[Author]],People!A:B,2,0)</f>
        <v>LS</v>
      </c>
      <c r="K3037" s="70"/>
      <c r="L3037" s="67"/>
      <c r="M3037" s="67" t="s">
        <v>8165</v>
      </c>
    </row>
    <row r="3038" spans="1:13" x14ac:dyDescent="0.25">
      <c r="A3038" s="75">
        <f t="shared" si="47"/>
        <v>3037</v>
      </c>
      <c r="B3038" s="69" t="s">
        <v>5960</v>
      </c>
      <c r="C3038" s="69" t="s">
        <v>8302</v>
      </c>
      <c r="D3038" t="s">
        <v>8226</v>
      </c>
      <c r="F3038" s="69" t="s">
        <v>8284</v>
      </c>
      <c r="G3038" s="69" t="s">
        <v>24</v>
      </c>
      <c r="H3038" s="75" t="str">
        <f>IFERROR(VLOOKUP(Table2[[#This Row],[Ticket]],Okey!A:B,2,0),"")</f>
        <v>ok</v>
      </c>
      <c r="I3038" s="75" t="s">
        <v>19</v>
      </c>
      <c r="J3038" t="str">
        <f>VLOOKUP(Table2[[#This Row],[Author]],People!A:B,2,0)</f>
        <v>LS</v>
      </c>
      <c r="K3038" s="70"/>
      <c r="L3038" s="67"/>
      <c r="M3038" s="67" t="s">
        <v>8165</v>
      </c>
    </row>
    <row r="3039" spans="1:13" x14ac:dyDescent="0.25">
      <c r="A3039" s="75">
        <f t="shared" si="47"/>
        <v>3038</v>
      </c>
      <c r="B3039" s="69" t="s">
        <v>5960</v>
      </c>
      <c r="C3039" s="69" t="s">
        <v>8302</v>
      </c>
      <c r="D3039" t="s">
        <v>8227</v>
      </c>
      <c r="F3039" s="69" t="s">
        <v>8284</v>
      </c>
      <c r="G3039" s="69" t="s">
        <v>24</v>
      </c>
      <c r="H3039" s="75" t="str">
        <f>IFERROR(VLOOKUP(Table2[[#This Row],[Ticket]],Okey!A:B,2,0),"")</f>
        <v>ok</v>
      </c>
      <c r="I3039" s="75" t="s">
        <v>19</v>
      </c>
      <c r="J3039" t="str">
        <f>VLOOKUP(Table2[[#This Row],[Author]],People!A:B,2,0)</f>
        <v>LS</v>
      </c>
      <c r="K3039" s="70"/>
      <c r="L3039" s="67"/>
      <c r="M3039" s="67" t="s">
        <v>8165</v>
      </c>
    </row>
    <row r="3040" spans="1:13" x14ac:dyDescent="0.25">
      <c r="A3040" s="75">
        <f t="shared" si="47"/>
        <v>3039</v>
      </c>
      <c r="B3040" s="69" t="s">
        <v>5960</v>
      </c>
      <c r="C3040" s="69" t="s">
        <v>8302</v>
      </c>
      <c r="D3040" t="s">
        <v>8228</v>
      </c>
      <c r="F3040" s="69" t="s">
        <v>8284</v>
      </c>
      <c r="G3040" s="69" t="s">
        <v>24</v>
      </c>
      <c r="H3040" s="75" t="str">
        <f>IFERROR(VLOOKUP(Table2[[#This Row],[Ticket]],Okey!A:B,2,0),"")</f>
        <v>ok</v>
      </c>
      <c r="I3040" s="75" t="s">
        <v>19</v>
      </c>
      <c r="J3040" t="str">
        <f>VLOOKUP(Table2[[#This Row],[Author]],People!A:B,2,0)</f>
        <v>LS</v>
      </c>
      <c r="K3040" s="70"/>
      <c r="L3040" s="67"/>
      <c r="M3040" s="67" t="s">
        <v>8165</v>
      </c>
    </row>
    <row r="3041" spans="1:13" x14ac:dyDescent="0.25">
      <c r="A3041" s="75">
        <f t="shared" si="47"/>
        <v>3040</v>
      </c>
      <c r="B3041" s="69" t="s">
        <v>5960</v>
      </c>
      <c r="C3041" s="69" t="s">
        <v>8302</v>
      </c>
      <c r="D3041" t="s">
        <v>8229</v>
      </c>
      <c r="F3041" s="69" t="s">
        <v>8284</v>
      </c>
      <c r="G3041" s="69" t="s">
        <v>24</v>
      </c>
      <c r="H3041" s="75" t="str">
        <f>IFERROR(VLOOKUP(Table2[[#This Row],[Ticket]],Okey!A:B,2,0),"")</f>
        <v>ok</v>
      </c>
      <c r="I3041" s="75" t="s">
        <v>19</v>
      </c>
      <c r="J3041" t="str">
        <f>VLOOKUP(Table2[[#This Row],[Author]],People!A:B,2,0)</f>
        <v>LS</v>
      </c>
      <c r="K3041" s="70"/>
      <c r="L3041" s="67"/>
      <c r="M3041" s="67" t="s">
        <v>8165</v>
      </c>
    </row>
    <row r="3042" spans="1:13" x14ac:dyDescent="0.25">
      <c r="A3042" s="75">
        <f t="shared" si="47"/>
        <v>3041</v>
      </c>
      <c r="B3042" s="69" t="s">
        <v>5960</v>
      </c>
      <c r="C3042" s="69" t="s">
        <v>8302</v>
      </c>
      <c r="D3042" t="s">
        <v>8230</v>
      </c>
      <c r="F3042" s="69" t="s">
        <v>8284</v>
      </c>
      <c r="G3042" s="69" t="s">
        <v>24</v>
      </c>
      <c r="H3042" s="75" t="str">
        <f>IFERROR(VLOOKUP(Table2[[#This Row],[Ticket]],Okey!A:B,2,0),"")</f>
        <v>ok</v>
      </c>
      <c r="I3042" s="75" t="s">
        <v>19</v>
      </c>
      <c r="J3042" t="str">
        <f>VLOOKUP(Table2[[#This Row],[Author]],People!A:B,2,0)</f>
        <v>LS</v>
      </c>
      <c r="K3042" s="70"/>
      <c r="L3042" s="67"/>
      <c r="M3042" s="67" t="s">
        <v>8165</v>
      </c>
    </row>
    <row r="3043" spans="1:13" x14ac:dyDescent="0.25">
      <c r="A3043" s="75">
        <f t="shared" si="47"/>
        <v>3042</v>
      </c>
      <c r="B3043" s="69" t="s">
        <v>5960</v>
      </c>
      <c r="C3043" s="69" t="s">
        <v>8302</v>
      </c>
      <c r="D3043" t="s">
        <v>8231</v>
      </c>
      <c r="F3043" s="69" t="s">
        <v>8284</v>
      </c>
      <c r="G3043" s="69" t="s">
        <v>24</v>
      </c>
      <c r="H3043" s="75" t="str">
        <f>IFERROR(VLOOKUP(Table2[[#This Row],[Ticket]],Okey!A:B,2,0),"")</f>
        <v>ok</v>
      </c>
      <c r="I3043" s="75" t="s">
        <v>19</v>
      </c>
      <c r="J3043" t="str">
        <f>VLOOKUP(Table2[[#This Row],[Author]],People!A:B,2,0)</f>
        <v>LS</v>
      </c>
      <c r="K3043" s="70"/>
      <c r="L3043" s="67"/>
      <c r="M3043" s="67" t="s">
        <v>8165</v>
      </c>
    </row>
    <row r="3044" spans="1:13" x14ac:dyDescent="0.25">
      <c r="A3044" s="75">
        <f t="shared" si="47"/>
        <v>3043</v>
      </c>
      <c r="B3044" s="69" t="s">
        <v>5960</v>
      </c>
      <c r="C3044" s="69" t="s">
        <v>8302</v>
      </c>
      <c r="D3044" t="s">
        <v>8232</v>
      </c>
      <c r="F3044" s="69" t="s">
        <v>8284</v>
      </c>
      <c r="G3044" s="69" t="s">
        <v>24</v>
      </c>
      <c r="H3044" s="75" t="str">
        <f>IFERROR(VLOOKUP(Table2[[#This Row],[Ticket]],Okey!A:B,2,0),"")</f>
        <v>ok</v>
      </c>
      <c r="I3044" s="75" t="s">
        <v>19</v>
      </c>
      <c r="J3044" t="str">
        <f>VLOOKUP(Table2[[#This Row],[Author]],People!A:B,2,0)</f>
        <v>LS</v>
      </c>
      <c r="K3044" s="70"/>
      <c r="L3044" s="67"/>
      <c r="M3044" s="67" t="s">
        <v>8165</v>
      </c>
    </row>
    <row r="3045" spans="1:13" x14ac:dyDescent="0.25">
      <c r="A3045" s="75">
        <f t="shared" si="47"/>
        <v>3044</v>
      </c>
      <c r="B3045" s="69" t="s">
        <v>5960</v>
      </c>
      <c r="C3045" s="69" t="s">
        <v>8302</v>
      </c>
      <c r="D3045" t="s">
        <v>8233</v>
      </c>
      <c r="F3045" s="69" t="s">
        <v>8284</v>
      </c>
      <c r="G3045" s="69" t="s">
        <v>24</v>
      </c>
      <c r="H3045" s="75" t="str">
        <f>IFERROR(VLOOKUP(Table2[[#This Row],[Ticket]],Okey!A:B,2,0),"")</f>
        <v>ok</v>
      </c>
      <c r="I3045" s="75" t="s">
        <v>19</v>
      </c>
      <c r="J3045" t="str">
        <f>VLOOKUP(Table2[[#This Row],[Author]],People!A:B,2,0)</f>
        <v>LS</v>
      </c>
      <c r="K3045" s="70"/>
      <c r="L3045" s="67"/>
      <c r="M3045" s="67" t="s">
        <v>8165</v>
      </c>
    </row>
    <row r="3046" spans="1:13" x14ac:dyDescent="0.25">
      <c r="A3046" s="75">
        <f t="shared" si="47"/>
        <v>3045</v>
      </c>
      <c r="B3046" s="69" t="s">
        <v>5960</v>
      </c>
      <c r="C3046" s="69" t="s">
        <v>8302</v>
      </c>
      <c r="D3046" t="s">
        <v>1251</v>
      </c>
      <c r="F3046" s="69" t="s">
        <v>8284</v>
      </c>
      <c r="G3046" s="69" t="s">
        <v>24</v>
      </c>
      <c r="H3046" s="75" t="str">
        <f>IFERROR(VLOOKUP(Table2[[#This Row],[Ticket]],Okey!A:B,2,0),"")</f>
        <v>ok</v>
      </c>
      <c r="I3046" s="75" t="s">
        <v>19</v>
      </c>
      <c r="J3046" t="str">
        <f>VLOOKUP(Table2[[#This Row],[Author]],People!A:B,2,0)</f>
        <v>LS</v>
      </c>
      <c r="K3046" s="70"/>
      <c r="L3046" s="67"/>
      <c r="M3046" s="67" t="s">
        <v>8165</v>
      </c>
    </row>
    <row r="3047" spans="1:13" x14ac:dyDescent="0.25">
      <c r="A3047" s="75">
        <f t="shared" si="47"/>
        <v>3046</v>
      </c>
      <c r="B3047" s="69" t="s">
        <v>5960</v>
      </c>
      <c r="C3047" s="69" t="s">
        <v>8302</v>
      </c>
      <c r="D3047" t="s">
        <v>8234</v>
      </c>
      <c r="F3047" s="69" t="s">
        <v>8284</v>
      </c>
      <c r="G3047" s="69" t="s">
        <v>24</v>
      </c>
      <c r="H3047" s="75" t="str">
        <f>IFERROR(VLOOKUP(Table2[[#This Row],[Ticket]],Okey!A:B,2,0),"")</f>
        <v>ok</v>
      </c>
      <c r="I3047" s="75" t="s">
        <v>19</v>
      </c>
      <c r="J3047" t="str">
        <f>VLOOKUP(Table2[[#This Row],[Author]],People!A:B,2,0)</f>
        <v>LS</v>
      </c>
      <c r="K3047" s="70"/>
      <c r="L3047" s="67"/>
      <c r="M3047" s="67" t="s">
        <v>8165</v>
      </c>
    </row>
    <row r="3048" spans="1:13" x14ac:dyDescent="0.25">
      <c r="A3048" s="75">
        <f t="shared" si="47"/>
        <v>3047</v>
      </c>
      <c r="B3048" s="69" t="s">
        <v>5960</v>
      </c>
      <c r="C3048" s="69" t="s">
        <v>8302</v>
      </c>
      <c r="D3048" t="s">
        <v>7492</v>
      </c>
      <c r="F3048" t="s">
        <v>4645</v>
      </c>
      <c r="G3048" s="69" t="s">
        <v>24</v>
      </c>
      <c r="H3048" s="75" t="str">
        <f>IFERROR(VLOOKUP(Table2[[#This Row],[Ticket]],Okey!A:B,2,0),"")</f>
        <v>ok</v>
      </c>
      <c r="I3048" s="75" t="s">
        <v>19</v>
      </c>
      <c r="J3048" t="str">
        <f>VLOOKUP(Table2[[#This Row],[Author]],People!A:B,2,0)</f>
        <v>LS</v>
      </c>
      <c r="K3048" s="70"/>
      <c r="L3048" s="67"/>
      <c r="M3048" s="67" t="s">
        <v>8165</v>
      </c>
    </row>
    <row r="3049" spans="1:13" x14ac:dyDescent="0.25">
      <c r="A3049" s="75">
        <f t="shared" si="47"/>
        <v>3048</v>
      </c>
      <c r="B3049" s="69" t="s">
        <v>5960</v>
      </c>
      <c r="C3049" s="69" t="s">
        <v>8302</v>
      </c>
      <c r="D3049" t="s">
        <v>4210</v>
      </c>
      <c r="F3049" t="s">
        <v>4211</v>
      </c>
      <c r="G3049" s="69" t="s">
        <v>24</v>
      </c>
      <c r="H3049" s="75" t="str">
        <f>IFERROR(VLOOKUP(Table2[[#This Row],[Ticket]],Okey!A:B,2,0),"")</f>
        <v>ok</v>
      </c>
      <c r="I3049" s="75" t="s">
        <v>19</v>
      </c>
      <c r="J3049" t="str">
        <f>VLOOKUP(Table2[[#This Row],[Author]],People!A:B,2,0)</f>
        <v>LS</v>
      </c>
      <c r="K3049" s="70"/>
      <c r="L3049" s="67"/>
      <c r="M3049" s="67" t="s">
        <v>8165</v>
      </c>
    </row>
    <row r="3050" spans="1:13" x14ac:dyDescent="0.25">
      <c r="A3050" s="75">
        <f t="shared" si="47"/>
        <v>3049</v>
      </c>
      <c r="B3050" s="69" t="s">
        <v>5960</v>
      </c>
      <c r="C3050" s="69" t="s">
        <v>8302</v>
      </c>
      <c r="D3050" t="s">
        <v>4611</v>
      </c>
      <c r="F3050" t="s">
        <v>4211</v>
      </c>
      <c r="G3050" s="69" t="s">
        <v>24</v>
      </c>
      <c r="H3050" s="75" t="str">
        <f>IFERROR(VLOOKUP(Table2[[#This Row],[Ticket]],Okey!A:B,2,0),"")</f>
        <v>ok</v>
      </c>
      <c r="I3050" s="75" t="s">
        <v>19</v>
      </c>
      <c r="J3050" t="str">
        <f>VLOOKUP(Table2[[#This Row],[Author]],People!A:B,2,0)</f>
        <v>LS</v>
      </c>
      <c r="K3050" s="70"/>
      <c r="L3050" s="67"/>
      <c r="M3050" s="67" t="s">
        <v>8165</v>
      </c>
    </row>
    <row r="3051" spans="1:13" x14ac:dyDescent="0.25">
      <c r="A3051" s="75">
        <f t="shared" si="47"/>
        <v>3050</v>
      </c>
      <c r="B3051" s="69" t="s">
        <v>5960</v>
      </c>
      <c r="C3051" s="69" t="s">
        <v>8302</v>
      </c>
      <c r="D3051" t="s">
        <v>1648</v>
      </c>
      <c r="F3051" t="s">
        <v>4211</v>
      </c>
      <c r="G3051" s="69" t="s">
        <v>24</v>
      </c>
      <c r="H3051" s="75" t="str">
        <f>IFERROR(VLOOKUP(Table2[[#This Row],[Ticket]],Okey!A:B,2,0),"")</f>
        <v>ok</v>
      </c>
      <c r="I3051" s="75" t="s">
        <v>19</v>
      </c>
      <c r="J3051" t="str">
        <f>VLOOKUP(Table2[[#This Row],[Author]],People!A:B,2,0)</f>
        <v>LS</v>
      </c>
      <c r="K3051" s="70"/>
      <c r="L3051" s="67"/>
      <c r="M3051" s="67" t="s">
        <v>8165</v>
      </c>
    </row>
    <row r="3052" spans="1:13" x14ac:dyDescent="0.25">
      <c r="A3052" s="75">
        <f t="shared" si="47"/>
        <v>3051</v>
      </c>
      <c r="B3052" s="69" t="s">
        <v>5960</v>
      </c>
      <c r="C3052" s="69" t="s">
        <v>8302</v>
      </c>
      <c r="D3052" t="s">
        <v>1348</v>
      </c>
      <c r="F3052" t="s">
        <v>4211</v>
      </c>
      <c r="G3052" s="69" t="s">
        <v>24</v>
      </c>
      <c r="H3052" s="75" t="str">
        <f>IFERROR(VLOOKUP(Table2[[#This Row],[Ticket]],Okey!A:B,2,0),"")</f>
        <v>ok</v>
      </c>
      <c r="I3052" s="75" t="s">
        <v>19</v>
      </c>
      <c r="J3052" t="str">
        <f>VLOOKUP(Table2[[#This Row],[Author]],People!A:B,2,0)</f>
        <v>LS</v>
      </c>
      <c r="K3052" s="70"/>
      <c r="L3052" s="67"/>
      <c r="M3052" s="67" t="s">
        <v>8165</v>
      </c>
    </row>
    <row r="3053" spans="1:13" x14ac:dyDescent="0.25">
      <c r="A3053" s="75">
        <f t="shared" si="47"/>
        <v>3052</v>
      </c>
      <c r="B3053" s="69" t="s">
        <v>5960</v>
      </c>
      <c r="C3053" s="69" t="s">
        <v>8302</v>
      </c>
      <c r="D3053" t="s">
        <v>1350</v>
      </c>
      <c r="F3053" t="s">
        <v>4211</v>
      </c>
      <c r="G3053" s="69" t="s">
        <v>24</v>
      </c>
      <c r="H3053" s="75" t="str">
        <f>IFERROR(VLOOKUP(Table2[[#This Row],[Ticket]],Okey!A:B,2,0),"")</f>
        <v>ok</v>
      </c>
      <c r="I3053" s="75" t="s">
        <v>19</v>
      </c>
      <c r="J3053" t="str">
        <f>VLOOKUP(Table2[[#This Row],[Author]],People!A:B,2,0)</f>
        <v>LS</v>
      </c>
      <c r="K3053" s="70"/>
      <c r="L3053" s="67"/>
      <c r="M3053" s="67" t="s">
        <v>8165</v>
      </c>
    </row>
    <row r="3054" spans="1:13" x14ac:dyDescent="0.25">
      <c r="A3054" s="75">
        <f t="shared" si="47"/>
        <v>3053</v>
      </c>
      <c r="B3054" s="69" t="s">
        <v>5960</v>
      </c>
      <c r="C3054" s="69" t="s">
        <v>8302</v>
      </c>
      <c r="D3054" t="s">
        <v>242</v>
      </c>
      <c r="F3054" s="69" t="s">
        <v>8287</v>
      </c>
      <c r="G3054" s="69" t="s">
        <v>24</v>
      </c>
      <c r="H3054" s="75" t="str">
        <f>IFERROR(VLOOKUP(Table2[[#This Row],[Ticket]],Okey!A:B,2,0),"")</f>
        <v>ok</v>
      </c>
      <c r="I3054" s="75" t="s">
        <v>19</v>
      </c>
      <c r="J3054" t="str">
        <f>VLOOKUP(Table2[[#This Row],[Author]],People!A:B,2,0)</f>
        <v>LS</v>
      </c>
      <c r="K3054" s="70"/>
      <c r="L3054" s="67"/>
      <c r="M3054" s="67" t="s">
        <v>8165</v>
      </c>
    </row>
    <row r="3055" spans="1:13" x14ac:dyDescent="0.25">
      <c r="A3055" s="75">
        <f t="shared" si="47"/>
        <v>3054</v>
      </c>
      <c r="B3055" s="69" t="s">
        <v>5960</v>
      </c>
      <c r="C3055" s="69" t="s">
        <v>8302</v>
      </c>
      <c r="D3055" t="s">
        <v>120</v>
      </c>
      <c r="F3055" s="69" t="s">
        <v>8287</v>
      </c>
      <c r="G3055" s="69" t="s">
        <v>24</v>
      </c>
      <c r="H3055" s="75" t="str">
        <f>IFERROR(VLOOKUP(Table2[[#This Row],[Ticket]],Okey!A:B,2,0),"")</f>
        <v>ok</v>
      </c>
      <c r="I3055" s="75" t="s">
        <v>19</v>
      </c>
      <c r="J3055" t="str">
        <f>VLOOKUP(Table2[[#This Row],[Author]],People!A:B,2,0)</f>
        <v>LS</v>
      </c>
      <c r="K3055" s="70"/>
      <c r="L3055" s="67"/>
      <c r="M3055" s="67" t="s">
        <v>8165</v>
      </c>
    </row>
    <row r="3056" spans="1:13" x14ac:dyDescent="0.25">
      <c r="A3056" s="75">
        <f t="shared" si="47"/>
        <v>3055</v>
      </c>
      <c r="B3056" s="69" t="s">
        <v>5960</v>
      </c>
      <c r="C3056" s="69" t="s">
        <v>8302</v>
      </c>
      <c r="D3056" t="s">
        <v>274</v>
      </c>
      <c r="F3056" s="69" t="s">
        <v>8287</v>
      </c>
      <c r="G3056" s="69" t="s">
        <v>24</v>
      </c>
      <c r="H3056" s="75" t="str">
        <f>IFERROR(VLOOKUP(Table2[[#This Row],[Ticket]],Okey!A:B,2,0),"")</f>
        <v>ok</v>
      </c>
      <c r="I3056" s="75" t="s">
        <v>19</v>
      </c>
      <c r="J3056" t="str">
        <f>VLOOKUP(Table2[[#This Row],[Author]],People!A:B,2,0)</f>
        <v>LS</v>
      </c>
      <c r="K3056" s="70"/>
      <c r="L3056" s="67"/>
      <c r="M3056" s="67" t="s">
        <v>8165</v>
      </c>
    </row>
    <row r="3057" spans="1:13" x14ac:dyDescent="0.25">
      <c r="A3057" s="75">
        <f t="shared" si="47"/>
        <v>3056</v>
      </c>
      <c r="B3057" s="69" t="s">
        <v>5960</v>
      </c>
      <c r="C3057" s="69" t="s">
        <v>8302</v>
      </c>
      <c r="D3057" t="s">
        <v>126</v>
      </c>
      <c r="F3057" s="69" t="s">
        <v>8287</v>
      </c>
      <c r="G3057" s="69" t="s">
        <v>24</v>
      </c>
      <c r="H3057" s="75" t="str">
        <f>IFERROR(VLOOKUP(Table2[[#This Row],[Ticket]],Okey!A:B,2,0),"")</f>
        <v>ok</v>
      </c>
      <c r="I3057" s="75" t="s">
        <v>19</v>
      </c>
      <c r="J3057" t="str">
        <f>VLOOKUP(Table2[[#This Row],[Author]],People!A:B,2,0)</f>
        <v>LS</v>
      </c>
      <c r="K3057" s="70"/>
      <c r="L3057" s="67"/>
      <c r="M3057" s="67" t="s">
        <v>8165</v>
      </c>
    </row>
    <row r="3058" spans="1:13" x14ac:dyDescent="0.25">
      <c r="A3058" s="75">
        <f t="shared" si="47"/>
        <v>3057</v>
      </c>
      <c r="B3058" s="69" t="s">
        <v>5960</v>
      </c>
      <c r="C3058" s="69" t="s">
        <v>8302</v>
      </c>
      <c r="D3058" t="s">
        <v>275</v>
      </c>
      <c r="F3058" s="69" t="s">
        <v>8287</v>
      </c>
      <c r="G3058" s="69" t="s">
        <v>24</v>
      </c>
      <c r="H3058" s="75" t="str">
        <f>IFERROR(VLOOKUP(Table2[[#This Row],[Ticket]],Okey!A:B,2,0),"")</f>
        <v>ok</v>
      </c>
      <c r="I3058" s="75" t="s">
        <v>19</v>
      </c>
      <c r="J3058" t="str">
        <f>VLOOKUP(Table2[[#This Row],[Author]],People!A:B,2,0)</f>
        <v>LS</v>
      </c>
      <c r="K3058" s="70"/>
      <c r="L3058" s="67"/>
      <c r="M3058" s="67" t="s">
        <v>8165</v>
      </c>
    </row>
    <row r="3059" spans="1:13" x14ac:dyDescent="0.25">
      <c r="A3059" s="75">
        <f t="shared" si="47"/>
        <v>3058</v>
      </c>
      <c r="B3059" s="69" t="s">
        <v>5960</v>
      </c>
      <c r="C3059" s="69" t="s">
        <v>8302</v>
      </c>
      <c r="D3059" t="s">
        <v>128</v>
      </c>
      <c r="F3059" s="69" t="s">
        <v>8287</v>
      </c>
      <c r="G3059" s="69" t="s">
        <v>24</v>
      </c>
      <c r="H3059" s="75" t="str">
        <f>IFERROR(VLOOKUP(Table2[[#This Row],[Ticket]],Okey!A:B,2,0),"")</f>
        <v>ok</v>
      </c>
      <c r="I3059" s="75" t="s">
        <v>19</v>
      </c>
      <c r="J3059" t="str">
        <f>VLOOKUP(Table2[[#This Row],[Author]],People!A:B,2,0)</f>
        <v>LS</v>
      </c>
      <c r="K3059" s="70"/>
      <c r="L3059" s="67"/>
      <c r="M3059" s="67" t="s">
        <v>8165</v>
      </c>
    </row>
    <row r="3060" spans="1:13" x14ac:dyDescent="0.25">
      <c r="A3060" s="75">
        <f t="shared" si="47"/>
        <v>3059</v>
      </c>
      <c r="B3060" s="69" t="s">
        <v>5960</v>
      </c>
      <c r="C3060" s="69" t="s">
        <v>8302</v>
      </c>
      <c r="D3060" t="s">
        <v>276</v>
      </c>
      <c r="F3060" s="69" t="s">
        <v>8287</v>
      </c>
      <c r="G3060" s="69" t="s">
        <v>24</v>
      </c>
      <c r="H3060" s="75" t="str">
        <f>IFERROR(VLOOKUP(Table2[[#This Row],[Ticket]],Okey!A:B,2,0),"")</f>
        <v>ok</v>
      </c>
      <c r="I3060" s="75" t="s">
        <v>19</v>
      </c>
      <c r="J3060" t="str">
        <f>VLOOKUP(Table2[[#This Row],[Author]],People!A:B,2,0)</f>
        <v>LS</v>
      </c>
      <c r="K3060" s="70"/>
      <c r="L3060" s="67"/>
      <c r="M3060" s="67" t="s">
        <v>8165</v>
      </c>
    </row>
    <row r="3061" spans="1:13" x14ac:dyDescent="0.25">
      <c r="A3061" s="75">
        <f t="shared" si="47"/>
        <v>3060</v>
      </c>
      <c r="B3061" s="69" t="s">
        <v>5960</v>
      </c>
      <c r="C3061" s="69" t="s">
        <v>8302</v>
      </c>
      <c r="D3061" t="s">
        <v>130</v>
      </c>
      <c r="F3061" s="69" t="s">
        <v>8287</v>
      </c>
      <c r="G3061" s="69" t="s">
        <v>24</v>
      </c>
      <c r="H3061" s="75" t="str">
        <f>IFERROR(VLOOKUP(Table2[[#This Row],[Ticket]],Okey!A:B,2,0),"")</f>
        <v>ok</v>
      </c>
      <c r="I3061" s="75" t="s">
        <v>19</v>
      </c>
      <c r="J3061" t="str">
        <f>VLOOKUP(Table2[[#This Row],[Author]],People!A:B,2,0)</f>
        <v>LS</v>
      </c>
      <c r="K3061" s="70"/>
      <c r="L3061" s="67"/>
      <c r="M3061" s="67" t="s">
        <v>8165</v>
      </c>
    </row>
    <row r="3062" spans="1:13" x14ac:dyDescent="0.25">
      <c r="A3062" s="75">
        <f t="shared" si="47"/>
        <v>3061</v>
      </c>
      <c r="B3062" s="69" t="s">
        <v>5960</v>
      </c>
      <c r="C3062" s="69" t="s">
        <v>8302</v>
      </c>
      <c r="D3062" t="s">
        <v>278</v>
      </c>
      <c r="F3062" s="69" t="s">
        <v>8287</v>
      </c>
      <c r="G3062" s="69" t="s">
        <v>24</v>
      </c>
      <c r="H3062" s="75" t="str">
        <f>IFERROR(VLOOKUP(Table2[[#This Row],[Ticket]],Okey!A:B,2,0),"")</f>
        <v>ok</v>
      </c>
      <c r="I3062" s="75" t="s">
        <v>19</v>
      </c>
      <c r="J3062" t="str">
        <f>VLOOKUP(Table2[[#This Row],[Author]],People!A:B,2,0)</f>
        <v>LS</v>
      </c>
      <c r="K3062" s="70"/>
      <c r="L3062" s="67"/>
      <c r="M3062" s="67" t="s">
        <v>8165</v>
      </c>
    </row>
    <row r="3063" spans="1:13" x14ac:dyDescent="0.25">
      <c r="A3063" s="75">
        <f t="shared" si="47"/>
        <v>3062</v>
      </c>
      <c r="B3063" s="69" t="s">
        <v>5960</v>
      </c>
      <c r="C3063" s="69" t="s">
        <v>8302</v>
      </c>
      <c r="D3063" t="s">
        <v>134</v>
      </c>
      <c r="F3063" s="69" t="s">
        <v>8287</v>
      </c>
      <c r="G3063" s="69" t="s">
        <v>24</v>
      </c>
      <c r="H3063" s="75" t="str">
        <f>IFERROR(VLOOKUP(Table2[[#This Row],[Ticket]],Okey!A:B,2,0),"")</f>
        <v>ok</v>
      </c>
      <c r="I3063" s="75" t="s">
        <v>19</v>
      </c>
      <c r="J3063" t="str">
        <f>VLOOKUP(Table2[[#This Row],[Author]],People!A:B,2,0)</f>
        <v>LS</v>
      </c>
      <c r="K3063" s="70"/>
      <c r="L3063" s="67"/>
      <c r="M3063" s="67" t="s">
        <v>8165</v>
      </c>
    </row>
    <row r="3064" spans="1:13" x14ac:dyDescent="0.25">
      <c r="A3064" s="75">
        <f t="shared" si="47"/>
        <v>3063</v>
      </c>
      <c r="B3064" s="69" t="s">
        <v>5960</v>
      </c>
      <c r="C3064" s="69" t="s">
        <v>8302</v>
      </c>
      <c r="D3064" t="s">
        <v>8235</v>
      </c>
      <c r="F3064" s="69" t="s">
        <v>8287</v>
      </c>
      <c r="G3064" s="69" t="s">
        <v>24</v>
      </c>
      <c r="H3064" s="75" t="str">
        <f>IFERROR(VLOOKUP(Table2[[#This Row],[Ticket]],Okey!A:B,2,0),"")</f>
        <v>ok</v>
      </c>
      <c r="I3064" s="75" t="s">
        <v>19</v>
      </c>
      <c r="J3064" t="str">
        <f>VLOOKUP(Table2[[#This Row],[Author]],People!A:B,2,0)</f>
        <v>LS</v>
      </c>
      <c r="K3064" s="70"/>
      <c r="L3064" s="67"/>
      <c r="M3064" s="67" t="s">
        <v>8165</v>
      </c>
    </row>
    <row r="3065" spans="1:13" x14ac:dyDescent="0.25">
      <c r="A3065" s="75">
        <f t="shared" si="47"/>
        <v>3064</v>
      </c>
      <c r="B3065" s="69" t="s">
        <v>5960</v>
      </c>
      <c r="C3065" s="69" t="s">
        <v>8302</v>
      </c>
      <c r="D3065" t="s">
        <v>8236</v>
      </c>
      <c r="F3065" s="69" t="s">
        <v>8287</v>
      </c>
      <c r="G3065" s="69" t="s">
        <v>24</v>
      </c>
      <c r="H3065" s="75" t="str">
        <f>IFERROR(VLOOKUP(Table2[[#This Row],[Ticket]],Okey!A:B,2,0),"")</f>
        <v>ok</v>
      </c>
      <c r="I3065" s="75" t="s">
        <v>19</v>
      </c>
      <c r="J3065" t="str">
        <f>VLOOKUP(Table2[[#This Row],[Author]],People!A:B,2,0)</f>
        <v>LS</v>
      </c>
      <c r="K3065" s="70"/>
      <c r="L3065" s="67"/>
      <c r="M3065" s="67" t="s">
        <v>8165</v>
      </c>
    </row>
    <row r="3066" spans="1:13" x14ac:dyDescent="0.25">
      <c r="A3066" s="75">
        <f t="shared" si="47"/>
        <v>3065</v>
      </c>
      <c r="B3066" s="69" t="s">
        <v>5960</v>
      </c>
      <c r="C3066" s="69" t="s">
        <v>8302</v>
      </c>
      <c r="D3066" t="s">
        <v>273</v>
      </c>
      <c r="F3066" s="69" t="s">
        <v>8287</v>
      </c>
      <c r="G3066" s="69" t="s">
        <v>24</v>
      </c>
      <c r="H3066" s="75" t="str">
        <f>IFERROR(VLOOKUP(Table2[[#This Row],[Ticket]],Okey!A:B,2,0),"")</f>
        <v>ok</v>
      </c>
      <c r="I3066" s="75" t="s">
        <v>19</v>
      </c>
      <c r="J3066" t="str">
        <f>VLOOKUP(Table2[[#This Row],[Author]],People!A:B,2,0)</f>
        <v>LS</v>
      </c>
      <c r="K3066" s="70"/>
      <c r="L3066" s="67"/>
      <c r="M3066" s="67" t="s">
        <v>8165</v>
      </c>
    </row>
    <row r="3067" spans="1:13" x14ac:dyDescent="0.25">
      <c r="A3067" s="75">
        <f t="shared" si="47"/>
        <v>3066</v>
      </c>
      <c r="B3067" s="69" t="s">
        <v>5960</v>
      </c>
      <c r="C3067" s="69" t="s">
        <v>8302</v>
      </c>
      <c r="D3067" t="s">
        <v>124</v>
      </c>
      <c r="F3067" s="69" t="s">
        <v>8287</v>
      </c>
      <c r="G3067" s="69" t="s">
        <v>24</v>
      </c>
      <c r="H3067" s="75" t="str">
        <f>IFERROR(VLOOKUP(Table2[[#This Row],[Ticket]],Okey!A:B,2,0),"")</f>
        <v>ok</v>
      </c>
      <c r="I3067" s="75" t="s">
        <v>19</v>
      </c>
      <c r="J3067" t="str">
        <f>VLOOKUP(Table2[[#This Row],[Author]],People!A:B,2,0)</f>
        <v>LS</v>
      </c>
      <c r="K3067" s="70"/>
      <c r="L3067" s="67"/>
      <c r="M3067" s="67" t="s">
        <v>8165</v>
      </c>
    </row>
    <row r="3068" spans="1:13" x14ac:dyDescent="0.25">
      <c r="A3068" s="75">
        <f t="shared" si="47"/>
        <v>3067</v>
      </c>
      <c r="B3068" s="69" t="s">
        <v>5960</v>
      </c>
      <c r="C3068" s="69" t="s">
        <v>8302</v>
      </c>
      <c r="D3068" t="s">
        <v>272</v>
      </c>
      <c r="F3068" s="69" t="s">
        <v>8287</v>
      </c>
      <c r="G3068" s="69" t="s">
        <v>24</v>
      </c>
      <c r="H3068" s="75" t="str">
        <f>IFERROR(VLOOKUP(Table2[[#This Row],[Ticket]],Okey!A:B,2,0),"")</f>
        <v>ok</v>
      </c>
      <c r="I3068" s="75" t="s">
        <v>19</v>
      </c>
      <c r="J3068" t="str">
        <f>VLOOKUP(Table2[[#This Row],[Author]],People!A:B,2,0)</f>
        <v>LS</v>
      </c>
      <c r="K3068" s="70"/>
      <c r="L3068" s="67"/>
      <c r="M3068" s="67" t="s">
        <v>8165</v>
      </c>
    </row>
    <row r="3069" spans="1:13" x14ac:dyDescent="0.25">
      <c r="A3069" s="75">
        <f t="shared" si="47"/>
        <v>3068</v>
      </c>
      <c r="B3069" s="69" t="s">
        <v>5960</v>
      </c>
      <c r="C3069" s="69" t="s">
        <v>8302</v>
      </c>
      <c r="D3069" t="s">
        <v>122</v>
      </c>
      <c r="F3069" s="69" t="s">
        <v>8287</v>
      </c>
      <c r="G3069" s="69" t="s">
        <v>24</v>
      </c>
      <c r="H3069" s="75" t="str">
        <f>IFERROR(VLOOKUP(Table2[[#This Row],[Ticket]],Okey!A:B,2,0),"")</f>
        <v>ok</v>
      </c>
      <c r="I3069" s="75" t="s">
        <v>19</v>
      </c>
      <c r="J3069" t="str">
        <f>VLOOKUP(Table2[[#This Row],[Author]],People!A:B,2,0)</f>
        <v>LS</v>
      </c>
      <c r="K3069" s="70"/>
      <c r="L3069" s="67"/>
      <c r="M3069" s="67" t="s">
        <v>8165</v>
      </c>
    </row>
    <row r="3070" spans="1:13" x14ac:dyDescent="0.25">
      <c r="A3070" s="75">
        <f t="shared" si="47"/>
        <v>3069</v>
      </c>
      <c r="B3070" s="69" t="s">
        <v>5960</v>
      </c>
      <c r="C3070" s="69" t="s">
        <v>8302</v>
      </c>
      <c r="D3070" t="s">
        <v>277</v>
      </c>
      <c r="F3070" s="69" t="s">
        <v>8287</v>
      </c>
      <c r="G3070" s="69" t="s">
        <v>24</v>
      </c>
      <c r="H3070" s="75" t="str">
        <f>IFERROR(VLOOKUP(Table2[[#This Row],[Ticket]],Okey!A:B,2,0),"")</f>
        <v>ok</v>
      </c>
      <c r="I3070" s="75" t="s">
        <v>19</v>
      </c>
      <c r="J3070" t="str">
        <f>VLOOKUP(Table2[[#This Row],[Author]],People!A:B,2,0)</f>
        <v>LS</v>
      </c>
      <c r="K3070" s="70"/>
      <c r="L3070" s="67"/>
      <c r="M3070" s="67" t="s">
        <v>8165</v>
      </c>
    </row>
    <row r="3071" spans="1:13" x14ac:dyDescent="0.25">
      <c r="A3071" s="75">
        <f t="shared" si="47"/>
        <v>3070</v>
      </c>
      <c r="B3071" s="69" t="s">
        <v>5960</v>
      </c>
      <c r="C3071" s="69" t="s">
        <v>8302</v>
      </c>
      <c r="D3071" t="s">
        <v>132</v>
      </c>
      <c r="F3071" s="69" t="s">
        <v>8287</v>
      </c>
      <c r="G3071" s="69" t="s">
        <v>24</v>
      </c>
      <c r="H3071" s="75" t="str">
        <f>IFERROR(VLOOKUP(Table2[[#This Row],[Ticket]],Okey!A:B,2,0),"")</f>
        <v>ok</v>
      </c>
      <c r="I3071" s="75" t="s">
        <v>19</v>
      </c>
      <c r="J3071" t="str">
        <f>VLOOKUP(Table2[[#This Row],[Author]],People!A:B,2,0)</f>
        <v>LS</v>
      </c>
      <c r="K3071" s="70"/>
      <c r="L3071" s="67"/>
      <c r="M3071" s="67" t="s">
        <v>8165</v>
      </c>
    </row>
    <row r="3072" spans="1:13" x14ac:dyDescent="0.25">
      <c r="A3072" s="75">
        <f t="shared" si="47"/>
        <v>3071</v>
      </c>
      <c r="B3072" s="69" t="s">
        <v>5960</v>
      </c>
      <c r="C3072" s="69" t="s">
        <v>8302</v>
      </c>
      <c r="D3072" t="s">
        <v>41</v>
      </c>
      <c r="F3072" s="69" t="s">
        <v>8287</v>
      </c>
      <c r="G3072" s="69" t="s">
        <v>24</v>
      </c>
      <c r="H3072" s="75" t="str">
        <f>IFERROR(VLOOKUP(Table2[[#This Row],[Ticket]],Okey!A:B,2,0),"")</f>
        <v>ok</v>
      </c>
      <c r="I3072" s="75" t="s">
        <v>19</v>
      </c>
      <c r="J3072" t="str">
        <f>VLOOKUP(Table2[[#This Row],[Author]],People!A:B,2,0)</f>
        <v>LS</v>
      </c>
      <c r="K3072" s="70"/>
      <c r="L3072" s="67"/>
      <c r="M3072" s="67" t="s">
        <v>8165</v>
      </c>
    </row>
    <row r="3073" spans="1:13" x14ac:dyDescent="0.25">
      <c r="A3073" s="75">
        <f t="shared" si="47"/>
        <v>3072</v>
      </c>
      <c r="B3073" s="69" t="s">
        <v>5960</v>
      </c>
      <c r="C3073" s="69" t="s">
        <v>8302</v>
      </c>
      <c r="D3073" t="s">
        <v>55</v>
      </c>
      <c r="F3073" s="69" t="s">
        <v>8287</v>
      </c>
      <c r="G3073" s="69" t="s">
        <v>24</v>
      </c>
      <c r="H3073" s="75" t="str">
        <f>IFERROR(VLOOKUP(Table2[[#This Row],[Ticket]],Okey!A:B,2,0),"")</f>
        <v>ok</v>
      </c>
      <c r="I3073" s="75" t="s">
        <v>19</v>
      </c>
      <c r="J3073" t="str">
        <f>VLOOKUP(Table2[[#This Row],[Author]],People!A:B,2,0)</f>
        <v>LS</v>
      </c>
      <c r="K3073" s="70"/>
      <c r="L3073" s="67"/>
      <c r="M3073" s="67" t="s">
        <v>8165</v>
      </c>
    </row>
    <row r="3074" spans="1:13" x14ac:dyDescent="0.25">
      <c r="A3074" s="75">
        <f t="shared" si="47"/>
        <v>3073</v>
      </c>
      <c r="B3074" s="69" t="s">
        <v>5960</v>
      </c>
      <c r="C3074" s="69" t="s">
        <v>8302</v>
      </c>
      <c r="D3074" t="s">
        <v>7795</v>
      </c>
      <c r="F3074" t="s">
        <v>7793</v>
      </c>
      <c r="G3074" s="69" t="s">
        <v>24</v>
      </c>
      <c r="H3074" s="75" t="str">
        <f>IFERROR(VLOOKUP(Table2[[#This Row],[Ticket]],Okey!A:B,2,0),"")</f>
        <v>ok</v>
      </c>
      <c r="I3074" s="75" t="s">
        <v>19</v>
      </c>
      <c r="J3074" t="str">
        <f>VLOOKUP(Table2[[#This Row],[Author]],People!A:B,2,0)</f>
        <v>LS</v>
      </c>
      <c r="K3074" s="70"/>
      <c r="L3074" s="67"/>
      <c r="M3074" s="67" t="s">
        <v>8165</v>
      </c>
    </row>
    <row r="3075" spans="1:13" x14ac:dyDescent="0.25">
      <c r="A3075" s="75">
        <f t="shared" si="47"/>
        <v>3074</v>
      </c>
      <c r="B3075" s="69" t="s">
        <v>5960</v>
      </c>
      <c r="C3075" s="69" t="s">
        <v>8302</v>
      </c>
      <c r="D3075" t="s">
        <v>8237</v>
      </c>
      <c r="F3075" t="s">
        <v>4606</v>
      </c>
      <c r="G3075" s="69" t="s">
        <v>24</v>
      </c>
      <c r="H3075" s="75" t="str">
        <f>IFERROR(VLOOKUP(Table2[[#This Row],[Ticket]],Okey!A:B,2,0),"")</f>
        <v>ok</v>
      </c>
      <c r="I3075" s="75" t="s">
        <v>19</v>
      </c>
      <c r="J3075" t="str">
        <f>VLOOKUP(Table2[[#This Row],[Author]],People!A:B,2,0)</f>
        <v>LS</v>
      </c>
      <c r="K3075" s="70"/>
      <c r="L3075" s="67"/>
      <c r="M3075" s="67" t="s">
        <v>8165</v>
      </c>
    </row>
    <row r="3076" spans="1:13" x14ac:dyDescent="0.25">
      <c r="A3076" s="75">
        <f t="shared" si="47"/>
        <v>3075</v>
      </c>
      <c r="B3076" s="69" t="s">
        <v>5960</v>
      </c>
      <c r="C3076" s="69" t="s">
        <v>8302</v>
      </c>
      <c r="D3076" t="s">
        <v>7447</v>
      </c>
      <c r="F3076" t="s">
        <v>7439</v>
      </c>
      <c r="G3076" s="69" t="s">
        <v>24</v>
      </c>
      <c r="H3076" s="75" t="str">
        <f>IFERROR(VLOOKUP(Table2[[#This Row],[Ticket]],Okey!A:B,2,0),"")</f>
        <v>ok</v>
      </c>
      <c r="I3076" s="75" t="s">
        <v>19</v>
      </c>
      <c r="J3076" t="str">
        <f>VLOOKUP(Table2[[#This Row],[Author]],People!A:B,2,0)</f>
        <v>LS</v>
      </c>
      <c r="K3076" s="70"/>
      <c r="L3076" s="67"/>
      <c r="M3076" s="67" t="s">
        <v>8165</v>
      </c>
    </row>
    <row r="3077" spans="1:13" x14ac:dyDescent="0.25">
      <c r="A3077" s="75">
        <f t="shared" si="47"/>
        <v>3076</v>
      </c>
      <c r="B3077" s="69" t="s">
        <v>5960</v>
      </c>
      <c r="C3077" s="69" t="s">
        <v>8302</v>
      </c>
      <c r="D3077" t="s">
        <v>8238</v>
      </c>
      <c r="F3077" s="69" t="s">
        <v>8293</v>
      </c>
      <c r="G3077" s="69" t="s">
        <v>24</v>
      </c>
      <c r="H3077" s="75" t="str">
        <f>IFERROR(VLOOKUP(Table2[[#This Row],[Ticket]],Okey!A:B,2,0),"")</f>
        <v>ok</v>
      </c>
      <c r="I3077" s="75" t="s">
        <v>19</v>
      </c>
      <c r="J3077" t="str">
        <f>VLOOKUP(Table2[[#This Row],[Author]],People!A:B,2,0)</f>
        <v>LS</v>
      </c>
      <c r="K3077" s="70"/>
      <c r="L3077" s="67"/>
      <c r="M3077" s="67" t="s">
        <v>8165</v>
      </c>
    </row>
    <row r="3078" spans="1:13" x14ac:dyDescent="0.25">
      <c r="A3078" s="75">
        <f t="shared" si="47"/>
        <v>3077</v>
      </c>
      <c r="B3078" s="69" t="s">
        <v>5960</v>
      </c>
      <c r="C3078" s="69" t="s">
        <v>8302</v>
      </c>
      <c r="D3078" t="s">
        <v>8239</v>
      </c>
      <c r="F3078" s="69" t="s">
        <v>8293</v>
      </c>
      <c r="G3078" s="69" t="s">
        <v>24</v>
      </c>
      <c r="H3078" s="75" t="str">
        <f>IFERROR(VLOOKUP(Table2[[#This Row],[Ticket]],Okey!A:B,2,0),"")</f>
        <v>ok</v>
      </c>
      <c r="I3078" s="75" t="s">
        <v>19</v>
      </c>
      <c r="J3078" t="str">
        <f>VLOOKUP(Table2[[#This Row],[Author]],People!A:B,2,0)</f>
        <v>LS</v>
      </c>
      <c r="K3078" s="70"/>
      <c r="L3078" s="67"/>
      <c r="M3078" s="67" t="s">
        <v>8165</v>
      </c>
    </row>
    <row r="3079" spans="1:13" x14ac:dyDescent="0.25">
      <c r="A3079" s="75">
        <f t="shared" si="47"/>
        <v>3078</v>
      </c>
      <c r="B3079" s="69" t="s">
        <v>5960</v>
      </c>
      <c r="C3079" s="69" t="s">
        <v>8302</v>
      </c>
      <c r="D3079" t="s">
        <v>8240</v>
      </c>
      <c r="F3079" s="69" t="s">
        <v>8293</v>
      </c>
      <c r="G3079" s="69" t="s">
        <v>24</v>
      </c>
      <c r="H3079" s="75" t="str">
        <f>IFERROR(VLOOKUP(Table2[[#This Row],[Ticket]],Okey!A:B,2,0),"")</f>
        <v>ok</v>
      </c>
      <c r="I3079" s="75" t="s">
        <v>19</v>
      </c>
      <c r="J3079" t="str">
        <f>VLOOKUP(Table2[[#This Row],[Author]],People!A:B,2,0)</f>
        <v>LS</v>
      </c>
      <c r="K3079" s="70"/>
      <c r="L3079" s="67"/>
      <c r="M3079" s="67" t="s">
        <v>8165</v>
      </c>
    </row>
    <row r="3080" spans="1:13" x14ac:dyDescent="0.25">
      <c r="A3080" s="75">
        <f t="shared" si="47"/>
        <v>3079</v>
      </c>
      <c r="B3080" s="69" t="s">
        <v>5960</v>
      </c>
      <c r="C3080" s="69" t="s">
        <v>8302</v>
      </c>
      <c r="D3080" t="s">
        <v>8241</v>
      </c>
      <c r="F3080" s="69" t="s">
        <v>8293</v>
      </c>
      <c r="G3080" s="69" t="s">
        <v>24</v>
      </c>
      <c r="H3080" s="75" t="str">
        <f>IFERROR(VLOOKUP(Table2[[#This Row],[Ticket]],Okey!A:B,2,0),"")</f>
        <v>ok</v>
      </c>
      <c r="I3080" s="75" t="s">
        <v>19</v>
      </c>
      <c r="J3080" t="str">
        <f>VLOOKUP(Table2[[#This Row],[Author]],People!A:B,2,0)</f>
        <v>LS</v>
      </c>
      <c r="K3080" s="70"/>
      <c r="L3080" s="67"/>
      <c r="M3080" s="67" t="s">
        <v>8165</v>
      </c>
    </row>
    <row r="3081" spans="1:13" x14ac:dyDescent="0.25">
      <c r="A3081" s="75">
        <f t="shared" ref="A3081:A3144" si="48">1+A3080</f>
        <v>3080</v>
      </c>
      <c r="B3081" s="69" t="s">
        <v>5960</v>
      </c>
      <c r="C3081" s="69" t="s">
        <v>8302</v>
      </c>
      <c r="D3081" t="s">
        <v>8242</v>
      </c>
      <c r="F3081" s="69" t="s">
        <v>8293</v>
      </c>
      <c r="G3081" s="69" t="s">
        <v>24</v>
      </c>
      <c r="H3081" s="75" t="str">
        <f>IFERROR(VLOOKUP(Table2[[#This Row],[Ticket]],Okey!A:B,2,0),"")</f>
        <v>ok</v>
      </c>
      <c r="I3081" s="75" t="s">
        <v>19</v>
      </c>
      <c r="J3081" t="str">
        <f>VLOOKUP(Table2[[#This Row],[Author]],People!A:B,2,0)</f>
        <v>LS</v>
      </c>
      <c r="K3081" s="70"/>
      <c r="L3081" s="67"/>
      <c r="M3081" s="67" t="s">
        <v>8165</v>
      </c>
    </row>
    <row r="3082" spans="1:13" x14ac:dyDescent="0.25">
      <c r="A3082" s="75">
        <f t="shared" si="48"/>
        <v>3081</v>
      </c>
      <c r="B3082" s="69" t="s">
        <v>5960</v>
      </c>
      <c r="C3082" s="69" t="s">
        <v>8302</v>
      </c>
      <c r="D3082" t="s">
        <v>8243</v>
      </c>
      <c r="F3082" s="69" t="s">
        <v>8293</v>
      </c>
      <c r="G3082" s="69" t="s">
        <v>24</v>
      </c>
      <c r="H3082" s="75" t="str">
        <f>IFERROR(VLOOKUP(Table2[[#This Row],[Ticket]],Okey!A:B,2,0),"")</f>
        <v>ok</v>
      </c>
      <c r="I3082" s="75" t="s">
        <v>19</v>
      </c>
      <c r="J3082" t="str">
        <f>VLOOKUP(Table2[[#This Row],[Author]],People!A:B,2,0)</f>
        <v>LS</v>
      </c>
      <c r="K3082" s="70"/>
      <c r="L3082" s="67"/>
      <c r="M3082" s="67" t="s">
        <v>8165</v>
      </c>
    </row>
    <row r="3083" spans="1:13" x14ac:dyDescent="0.25">
      <c r="A3083" s="75">
        <f t="shared" si="48"/>
        <v>3082</v>
      </c>
      <c r="B3083" s="69" t="s">
        <v>5960</v>
      </c>
      <c r="C3083" s="69" t="s">
        <v>8302</v>
      </c>
      <c r="D3083" t="s">
        <v>8244</v>
      </c>
      <c r="F3083" s="69" t="s">
        <v>8293</v>
      </c>
      <c r="G3083" s="69" t="s">
        <v>24</v>
      </c>
      <c r="H3083" s="75" t="str">
        <f>IFERROR(VLOOKUP(Table2[[#This Row],[Ticket]],Okey!A:B,2,0),"")</f>
        <v>ok</v>
      </c>
      <c r="I3083" s="75" t="s">
        <v>19</v>
      </c>
      <c r="J3083" t="str">
        <f>VLOOKUP(Table2[[#This Row],[Author]],People!A:B,2,0)</f>
        <v>LS</v>
      </c>
      <c r="K3083" s="70"/>
      <c r="L3083" s="67"/>
      <c r="M3083" s="67" t="s">
        <v>8165</v>
      </c>
    </row>
    <row r="3084" spans="1:13" x14ac:dyDescent="0.25">
      <c r="A3084" s="75">
        <f t="shared" si="48"/>
        <v>3083</v>
      </c>
      <c r="B3084" s="69" t="s">
        <v>5960</v>
      </c>
      <c r="C3084" s="69" t="s">
        <v>8302</v>
      </c>
      <c r="D3084" t="s">
        <v>8245</v>
      </c>
      <c r="F3084" s="69" t="s">
        <v>8294</v>
      </c>
      <c r="G3084" s="69" t="s">
        <v>24</v>
      </c>
      <c r="H3084" s="75" t="str">
        <f>IFERROR(VLOOKUP(Table2[[#This Row],[Ticket]],Okey!A:B,2,0),"")</f>
        <v>ok</v>
      </c>
      <c r="I3084" s="75" t="s">
        <v>19</v>
      </c>
      <c r="J3084" t="str">
        <f>VLOOKUP(Table2[[#This Row],[Author]],People!A:B,2,0)</f>
        <v>LS</v>
      </c>
      <c r="K3084" s="70"/>
      <c r="L3084" s="67"/>
      <c r="M3084" s="67" t="s">
        <v>8165</v>
      </c>
    </row>
    <row r="3085" spans="1:13" x14ac:dyDescent="0.25">
      <c r="A3085" s="75">
        <f t="shared" si="48"/>
        <v>3084</v>
      </c>
      <c r="B3085" s="69" t="s">
        <v>5960</v>
      </c>
      <c r="C3085" s="69" t="s">
        <v>8302</v>
      </c>
      <c r="D3085" t="s">
        <v>8246</v>
      </c>
      <c r="F3085" t="s">
        <v>8181</v>
      </c>
      <c r="G3085" s="69" t="s">
        <v>24</v>
      </c>
      <c r="H3085" s="75" t="str">
        <f>IFERROR(VLOOKUP(Table2[[#This Row],[Ticket]],Okey!A:B,2,0),"")</f>
        <v>ok</v>
      </c>
      <c r="I3085" s="75" t="s">
        <v>19</v>
      </c>
      <c r="J3085" t="str">
        <f>VLOOKUP(Table2[[#This Row],[Author]],People!A:B,2,0)</f>
        <v>LS</v>
      </c>
      <c r="K3085" s="70"/>
      <c r="L3085" s="67"/>
      <c r="M3085" s="67" t="s">
        <v>8165</v>
      </c>
    </row>
    <row r="3086" spans="1:13" x14ac:dyDescent="0.25">
      <c r="A3086" s="75">
        <f t="shared" si="48"/>
        <v>3085</v>
      </c>
      <c r="B3086" s="69" t="s">
        <v>5960</v>
      </c>
      <c r="C3086" s="69" t="s">
        <v>8302</v>
      </c>
      <c r="D3086" t="s">
        <v>1428</v>
      </c>
      <c r="F3086" t="s">
        <v>8181</v>
      </c>
      <c r="G3086" s="69" t="s">
        <v>24</v>
      </c>
      <c r="H3086" s="75" t="str">
        <f>IFERROR(VLOOKUP(Table2[[#This Row],[Ticket]],Okey!A:B,2,0),"")</f>
        <v>ok</v>
      </c>
      <c r="I3086" s="75" t="s">
        <v>19</v>
      </c>
      <c r="J3086" t="str">
        <f>VLOOKUP(Table2[[#This Row],[Author]],People!A:B,2,0)</f>
        <v>LS</v>
      </c>
      <c r="K3086" s="70"/>
      <c r="L3086" s="67"/>
      <c r="M3086" s="67" t="s">
        <v>8165</v>
      </c>
    </row>
    <row r="3087" spans="1:13" x14ac:dyDescent="0.25">
      <c r="A3087" s="75">
        <f t="shared" si="48"/>
        <v>3086</v>
      </c>
      <c r="B3087" s="69" t="s">
        <v>5960</v>
      </c>
      <c r="C3087" s="69" t="s">
        <v>8302</v>
      </c>
      <c r="D3087" t="s">
        <v>6192</v>
      </c>
      <c r="F3087" t="s">
        <v>1662</v>
      </c>
      <c r="G3087" s="69" t="s">
        <v>24</v>
      </c>
      <c r="H3087" s="75" t="str">
        <f>IFERROR(VLOOKUP(Table2[[#This Row],[Ticket]],Okey!A:B,2,0),"")</f>
        <v>ok</v>
      </c>
      <c r="I3087" s="75" t="s">
        <v>19</v>
      </c>
      <c r="J3087" t="str">
        <f>VLOOKUP(Table2[[#This Row],[Author]],People!A:B,2,0)</f>
        <v>LS</v>
      </c>
      <c r="K3087" s="70"/>
      <c r="L3087" s="67"/>
      <c r="M3087" s="67" t="s">
        <v>8165</v>
      </c>
    </row>
    <row r="3088" spans="1:13" x14ac:dyDescent="0.25">
      <c r="A3088" s="75">
        <f t="shared" si="48"/>
        <v>3087</v>
      </c>
      <c r="B3088" s="69" t="s">
        <v>5960</v>
      </c>
      <c r="C3088" s="69" t="s">
        <v>8302</v>
      </c>
      <c r="D3088" t="s">
        <v>8247</v>
      </c>
      <c r="F3088" t="s">
        <v>1664</v>
      </c>
      <c r="G3088" s="69" t="s">
        <v>24</v>
      </c>
      <c r="H3088" s="75" t="str">
        <f>IFERROR(VLOOKUP(Table2[[#This Row],[Ticket]],Okey!A:B,2,0),"")</f>
        <v>ok</v>
      </c>
      <c r="I3088" s="75" t="s">
        <v>19</v>
      </c>
      <c r="J3088" t="str">
        <f>VLOOKUP(Table2[[#This Row],[Author]],People!A:B,2,0)</f>
        <v>LS</v>
      </c>
      <c r="K3088" s="70"/>
      <c r="L3088" s="67"/>
      <c r="M3088" s="67" t="s">
        <v>8165</v>
      </c>
    </row>
    <row r="3089" spans="1:13" x14ac:dyDescent="0.25">
      <c r="A3089" s="75">
        <f t="shared" si="48"/>
        <v>3088</v>
      </c>
      <c r="B3089" s="69" t="s">
        <v>5960</v>
      </c>
      <c r="C3089" s="69" t="s">
        <v>8302</v>
      </c>
      <c r="D3089" t="s">
        <v>8248</v>
      </c>
      <c r="F3089" t="s">
        <v>1662</v>
      </c>
      <c r="G3089" s="69" t="s">
        <v>24</v>
      </c>
      <c r="H3089" s="75" t="str">
        <f>IFERROR(VLOOKUP(Table2[[#This Row],[Ticket]],Okey!A:B,2,0),"")</f>
        <v>ok</v>
      </c>
      <c r="I3089" s="75" t="s">
        <v>19</v>
      </c>
      <c r="J3089" t="str">
        <f>VLOOKUP(Table2[[#This Row],[Author]],People!A:B,2,0)</f>
        <v>LS</v>
      </c>
      <c r="K3089" s="70"/>
      <c r="L3089" s="67"/>
      <c r="M3089" s="67" t="s">
        <v>8165</v>
      </c>
    </row>
    <row r="3090" spans="1:13" x14ac:dyDescent="0.25">
      <c r="A3090" s="75">
        <f t="shared" si="48"/>
        <v>3089</v>
      </c>
      <c r="B3090" s="69" t="s">
        <v>5960</v>
      </c>
      <c r="C3090" s="69" t="s">
        <v>8302</v>
      </c>
      <c r="D3090" t="s">
        <v>8249</v>
      </c>
      <c r="F3090" t="s">
        <v>1662</v>
      </c>
      <c r="G3090" s="69" t="s">
        <v>24</v>
      </c>
      <c r="H3090" s="75" t="str">
        <f>IFERROR(VLOOKUP(Table2[[#This Row],[Ticket]],Okey!A:B,2,0),"")</f>
        <v>ok</v>
      </c>
      <c r="I3090" s="75" t="s">
        <v>19</v>
      </c>
      <c r="J3090" t="str">
        <f>VLOOKUP(Table2[[#This Row],[Author]],People!A:B,2,0)</f>
        <v>LS</v>
      </c>
      <c r="K3090" s="70"/>
      <c r="L3090" s="67"/>
      <c r="M3090" s="67" t="s">
        <v>8165</v>
      </c>
    </row>
    <row r="3091" spans="1:13" x14ac:dyDescent="0.25">
      <c r="A3091" s="75">
        <f t="shared" si="48"/>
        <v>3090</v>
      </c>
      <c r="B3091" s="69" t="s">
        <v>5960</v>
      </c>
      <c r="C3091" s="69" t="s">
        <v>8302</v>
      </c>
      <c r="D3091" t="s">
        <v>8250</v>
      </c>
      <c r="F3091" t="s">
        <v>1662</v>
      </c>
      <c r="G3091" s="69" t="s">
        <v>24</v>
      </c>
      <c r="H3091" s="75" t="str">
        <f>IFERROR(VLOOKUP(Table2[[#This Row],[Ticket]],Okey!A:B,2,0),"")</f>
        <v>ok</v>
      </c>
      <c r="I3091" s="75" t="s">
        <v>19</v>
      </c>
      <c r="J3091" t="str">
        <f>VLOOKUP(Table2[[#This Row],[Author]],People!A:B,2,0)</f>
        <v>LS</v>
      </c>
      <c r="K3091" s="70"/>
      <c r="L3091" s="67"/>
      <c r="M3091" s="67" t="s">
        <v>8165</v>
      </c>
    </row>
    <row r="3092" spans="1:13" x14ac:dyDescent="0.25">
      <c r="A3092" s="75">
        <f t="shared" si="48"/>
        <v>3091</v>
      </c>
      <c r="B3092" s="69" t="s">
        <v>5960</v>
      </c>
      <c r="C3092" s="69" t="s">
        <v>8302</v>
      </c>
      <c r="D3092" t="s">
        <v>6196</v>
      </c>
      <c r="F3092" t="s">
        <v>8215</v>
      </c>
      <c r="G3092" s="69" t="s">
        <v>24</v>
      </c>
      <c r="H3092" s="75" t="str">
        <f>IFERROR(VLOOKUP(Table2[[#This Row],[Ticket]],Okey!A:B,2,0),"")</f>
        <v>ok</v>
      </c>
      <c r="I3092" s="75" t="s">
        <v>19</v>
      </c>
      <c r="J3092" t="str">
        <f>VLOOKUP(Table2[[#This Row],[Author]],People!A:B,2,0)</f>
        <v>LS</v>
      </c>
      <c r="K3092" s="70"/>
      <c r="L3092" s="67"/>
      <c r="M3092" s="67" t="s">
        <v>8165</v>
      </c>
    </row>
    <row r="3093" spans="1:13" x14ac:dyDescent="0.25">
      <c r="A3093" s="75">
        <f t="shared" si="48"/>
        <v>3092</v>
      </c>
      <c r="B3093" s="69" t="s">
        <v>5960</v>
      </c>
      <c r="C3093" s="69" t="s">
        <v>8302</v>
      </c>
      <c r="D3093" t="s">
        <v>6198</v>
      </c>
      <c r="F3093" t="s">
        <v>8215</v>
      </c>
      <c r="G3093" s="69" t="s">
        <v>24</v>
      </c>
      <c r="H3093" s="75" t="str">
        <f>IFERROR(VLOOKUP(Table2[[#This Row],[Ticket]],Okey!A:B,2,0),"")</f>
        <v>ok</v>
      </c>
      <c r="I3093" s="75" t="s">
        <v>19</v>
      </c>
      <c r="J3093" t="str">
        <f>VLOOKUP(Table2[[#This Row],[Author]],People!A:B,2,0)</f>
        <v>LS</v>
      </c>
      <c r="K3093" s="70"/>
      <c r="L3093" s="67"/>
      <c r="M3093" s="67" t="s">
        <v>8165</v>
      </c>
    </row>
    <row r="3094" spans="1:13" x14ac:dyDescent="0.25">
      <c r="A3094" s="75">
        <f t="shared" si="48"/>
        <v>3093</v>
      </c>
      <c r="B3094" s="69" t="s">
        <v>5960</v>
      </c>
      <c r="C3094" s="69" t="s">
        <v>8302</v>
      </c>
      <c r="D3094" t="s">
        <v>6199</v>
      </c>
      <c r="F3094" t="s">
        <v>8215</v>
      </c>
      <c r="G3094" s="69" t="s">
        <v>24</v>
      </c>
      <c r="H3094" s="75" t="str">
        <f>IFERROR(VLOOKUP(Table2[[#This Row],[Ticket]],Okey!A:B,2,0),"")</f>
        <v>ok</v>
      </c>
      <c r="I3094" s="75" t="s">
        <v>19</v>
      </c>
      <c r="J3094" t="str">
        <f>VLOOKUP(Table2[[#This Row],[Author]],People!A:B,2,0)</f>
        <v>LS</v>
      </c>
      <c r="K3094" s="70"/>
      <c r="L3094" s="67"/>
      <c r="M3094" s="67" t="s">
        <v>8165</v>
      </c>
    </row>
    <row r="3095" spans="1:13" x14ac:dyDescent="0.25">
      <c r="A3095" s="75">
        <f t="shared" si="48"/>
        <v>3094</v>
      </c>
      <c r="B3095" s="69" t="s">
        <v>5960</v>
      </c>
      <c r="C3095" s="69" t="s">
        <v>8302</v>
      </c>
      <c r="D3095" t="s">
        <v>6202</v>
      </c>
      <c r="F3095" t="s">
        <v>8215</v>
      </c>
      <c r="G3095" s="69" t="s">
        <v>24</v>
      </c>
      <c r="H3095" s="75" t="str">
        <f>IFERROR(VLOOKUP(Table2[[#This Row],[Ticket]],Okey!A:B,2,0),"")</f>
        <v>ok</v>
      </c>
      <c r="I3095" s="75" t="s">
        <v>19</v>
      </c>
      <c r="J3095" t="str">
        <f>VLOOKUP(Table2[[#This Row],[Author]],People!A:B,2,0)</f>
        <v>LS</v>
      </c>
      <c r="K3095" s="70"/>
      <c r="L3095" s="67"/>
      <c r="M3095" s="67" t="s">
        <v>8165</v>
      </c>
    </row>
    <row r="3096" spans="1:13" x14ac:dyDescent="0.25">
      <c r="A3096" s="75">
        <f t="shared" si="48"/>
        <v>3095</v>
      </c>
      <c r="B3096" s="69" t="s">
        <v>5960</v>
      </c>
      <c r="C3096" s="69" t="s">
        <v>8302</v>
      </c>
      <c r="D3096" t="s">
        <v>6203</v>
      </c>
      <c r="F3096" t="s">
        <v>8215</v>
      </c>
      <c r="G3096" s="69" t="s">
        <v>24</v>
      </c>
      <c r="H3096" s="75" t="str">
        <f>IFERROR(VLOOKUP(Table2[[#This Row],[Ticket]],Okey!A:B,2,0),"")</f>
        <v>ok</v>
      </c>
      <c r="I3096" s="75" t="s">
        <v>19</v>
      </c>
      <c r="J3096" t="str">
        <f>VLOOKUP(Table2[[#This Row],[Author]],People!A:B,2,0)</f>
        <v>LS</v>
      </c>
      <c r="K3096" s="70"/>
      <c r="L3096" s="67"/>
      <c r="M3096" s="67" t="s">
        <v>8165</v>
      </c>
    </row>
    <row r="3097" spans="1:13" x14ac:dyDescent="0.25">
      <c r="A3097" s="75">
        <f t="shared" si="48"/>
        <v>3096</v>
      </c>
      <c r="B3097" s="69" t="s">
        <v>5960</v>
      </c>
      <c r="C3097" s="69" t="s">
        <v>8302</v>
      </c>
      <c r="D3097" t="s">
        <v>6204</v>
      </c>
      <c r="F3097" t="s">
        <v>8215</v>
      </c>
      <c r="G3097" s="69" t="s">
        <v>24</v>
      </c>
      <c r="H3097" s="75" t="str">
        <f>IFERROR(VLOOKUP(Table2[[#This Row],[Ticket]],Okey!A:B,2,0),"")</f>
        <v>ok</v>
      </c>
      <c r="I3097" s="75" t="s">
        <v>19</v>
      </c>
      <c r="J3097" t="str">
        <f>VLOOKUP(Table2[[#This Row],[Author]],People!A:B,2,0)</f>
        <v>LS</v>
      </c>
      <c r="K3097" s="70"/>
      <c r="L3097" s="67"/>
      <c r="M3097" s="67" t="s">
        <v>8165</v>
      </c>
    </row>
    <row r="3098" spans="1:13" x14ac:dyDescent="0.25">
      <c r="A3098" s="75">
        <f t="shared" si="48"/>
        <v>3097</v>
      </c>
      <c r="B3098" s="69" t="s">
        <v>5960</v>
      </c>
      <c r="C3098" s="69" t="s">
        <v>8302</v>
      </c>
      <c r="D3098" t="s">
        <v>6205</v>
      </c>
      <c r="F3098" t="s">
        <v>8215</v>
      </c>
      <c r="G3098" s="69" t="s">
        <v>24</v>
      </c>
      <c r="H3098" s="75" t="str">
        <f>IFERROR(VLOOKUP(Table2[[#This Row],[Ticket]],Okey!A:B,2,0),"")</f>
        <v>ok</v>
      </c>
      <c r="I3098" s="75" t="s">
        <v>19</v>
      </c>
      <c r="J3098" t="str">
        <f>VLOOKUP(Table2[[#This Row],[Author]],People!A:B,2,0)</f>
        <v>LS</v>
      </c>
      <c r="K3098" s="70"/>
      <c r="L3098" s="67"/>
      <c r="M3098" s="67" t="s">
        <v>8165</v>
      </c>
    </row>
    <row r="3099" spans="1:13" x14ac:dyDescent="0.25">
      <c r="A3099" s="75">
        <f t="shared" si="48"/>
        <v>3098</v>
      </c>
      <c r="B3099" s="69" t="s">
        <v>5960</v>
      </c>
      <c r="C3099" s="69" t="s">
        <v>8302</v>
      </c>
      <c r="D3099" t="s">
        <v>6220</v>
      </c>
      <c r="F3099" t="s">
        <v>8216</v>
      </c>
      <c r="G3099" s="69" t="s">
        <v>24</v>
      </c>
      <c r="H3099" s="75" t="str">
        <f>IFERROR(VLOOKUP(Table2[[#This Row],[Ticket]],Okey!A:B,2,0),"")</f>
        <v>ok</v>
      </c>
      <c r="I3099" s="75" t="s">
        <v>19</v>
      </c>
      <c r="J3099" t="str">
        <f>VLOOKUP(Table2[[#This Row],[Author]],People!A:B,2,0)</f>
        <v>LS</v>
      </c>
      <c r="K3099" s="70"/>
      <c r="L3099" s="67"/>
      <c r="M3099" s="67" t="s">
        <v>8165</v>
      </c>
    </row>
    <row r="3100" spans="1:13" x14ac:dyDescent="0.25">
      <c r="A3100" s="75">
        <f t="shared" si="48"/>
        <v>3099</v>
      </c>
      <c r="B3100" s="69" t="s">
        <v>5960</v>
      </c>
      <c r="C3100" s="69" t="s">
        <v>8302</v>
      </c>
      <c r="D3100" t="s">
        <v>6221</v>
      </c>
      <c r="F3100" t="s">
        <v>8216</v>
      </c>
      <c r="G3100" s="69" t="s">
        <v>24</v>
      </c>
      <c r="H3100" s="75" t="str">
        <f>IFERROR(VLOOKUP(Table2[[#This Row],[Ticket]],Okey!A:B,2,0),"")</f>
        <v>ok</v>
      </c>
      <c r="I3100" s="75" t="s">
        <v>19</v>
      </c>
      <c r="J3100" t="str">
        <f>VLOOKUP(Table2[[#This Row],[Author]],People!A:B,2,0)</f>
        <v>LS</v>
      </c>
      <c r="K3100" s="70"/>
      <c r="L3100" s="67"/>
      <c r="M3100" s="67" t="s">
        <v>8165</v>
      </c>
    </row>
    <row r="3101" spans="1:13" x14ac:dyDescent="0.25">
      <c r="A3101" s="75">
        <f t="shared" si="48"/>
        <v>3100</v>
      </c>
      <c r="B3101" s="69" t="s">
        <v>5960</v>
      </c>
      <c r="C3101" s="69" t="s">
        <v>8302</v>
      </c>
      <c r="D3101" t="s">
        <v>6214</v>
      </c>
      <c r="F3101" t="s">
        <v>8215</v>
      </c>
      <c r="G3101" s="69" t="s">
        <v>24</v>
      </c>
      <c r="H3101" s="75" t="str">
        <f>IFERROR(VLOOKUP(Table2[[#This Row],[Ticket]],Okey!A:B,2,0),"")</f>
        <v>ok</v>
      </c>
      <c r="I3101" s="75" t="s">
        <v>19</v>
      </c>
      <c r="J3101" t="str">
        <f>VLOOKUP(Table2[[#This Row],[Author]],People!A:B,2,0)</f>
        <v>LS</v>
      </c>
      <c r="K3101" s="70"/>
      <c r="L3101" s="67"/>
      <c r="M3101" s="67" t="s">
        <v>8165</v>
      </c>
    </row>
    <row r="3102" spans="1:13" x14ac:dyDescent="0.25">
      <c r="A3102" s="75">
        <f t="shared" si="48"/>
        <v>3101</v>
      </c>
      <c r="B3102" s="69" t="s">
        <v>5960</v>
      </c>
      <c r="C3102" s="69" t="s">
        <v>8302</v>
      </c>
      <c r="D3102" t="s">
        <v>6215</v>
      </c>
      <c r="F3102" t="s">
        <v>8215</v>
      </c>
      <c r="G3102" s="69" t="s">
        <v>24</v>
      </c>
      <c r="H3102" s="75" t="str">
        <f>IFERROR(VLOOKUP(Table2[[#This Row],[Ticket]],Okey!A:B,2,0),"")</f>
        <v>ok</v>
      </c>
      <c r="I3102" s="75" t="s">
        <v>19</v>
      </c>
      <c r="J3102" t="str">
        <f>VLOOKUP(Table2[[#This Row],[Author]],People!A:B,2,0)</f>
        <v>LS</v>
      </c>
      <c r="K3102" s="70"/>
      <c r="L3102" s="67"/>
      <c r="M3102" s="67" t="s">
        <v>8165</v>
      </c>
    </row>
    <row r="3103" spans="1:13" x14ac:dyDescent="0.25">
      <c r="A3103" s="75">
        <f t="shared" si="48"/>
        <v>3102</v>
      </c>
      <c r="B3103" s="69" t="s">
        <v>5960</v>
      </c>
      <c r="C3103" s="69" t="s">
        <v>8302</v>
      </c>
      <c r="D3103" t="s">
        <v>6217</v>
      </c>
      <c r="F3103" t="s">
        <v>8215</v>
      </c>
      <c r="G3103" s="69" t="s">
        <v>24</v>
      </c>
      <c r="H3103" s="75" t="str">
        <f>IFERROR(VLOOKUP(Table2[[#This Row],[Ticket]],Okey!A:B,2,0),"")</f>
        <v>ok</v>
      </c>
      <c r="I3103" s="75" t="s">
        <v>19</v>
      </c>
      <c r="J3103" t="str">
        <f>VLOOKUP(Table2[[#This Row],[Author]],People!A:B,2,0)</f>
        <v>LS</v>
      </c>
      <c r="K3103" s="70"/>
      <c r="L3103" s="67"/>
      <c r="M3103" s="67" t="s">
        <v>8165</v>
      </c>
    </row>
    <row r="3104" spans="1:13" x14ac:dyDescent="0.25">
      <c r="A3104" s="75">
        <f t="shared" si="48"/>
        <v>3103</v>
      </c>
      <c r="B3104" s="69" t="s">
        <v>5960</v>
      </c>
      <c r="C3104" s="69" t="s">
        <v>8302</v>
      </c>
      <c r="D3104" t="s">
        <v>6222</v>
      </c>
      <c r="F3104" t="s">
        <v>8216</v>
      </c>
      <c r="G3104" s="69" t="s">
        <v>24</v>
      </c>
      <c r="H3104" s="75" t="str">
        <f>IFERROR(VLOOKUP(Table2[[#This Row],[Ticket]],Okey!A:B,2,0),"")</f>
        <v>ok</v>
      </c>
      <c r="I3104" s="75" t="s">
        <v>19</v>
      </c>
      <c r="J3104" t="str">
        <f>VLOOKUP(Table2[[#This Row],[Author]],People!A:B,2,0)</f>
        <v>LS</v>
      </c>
      <c r="K3104" s="70"/>
      <c r="L3104" s="67"/>
      <c r="M3104" s="67" t="s">
        <v>8165</v>
      </c>
    </row>
    <row r="3105" spans="1:13" x14ac:dyDescent="0.25">
      <c r="A3105" s="75">
        <f t="shared" si="48"/>
        <v>3104</v>
      </c>
      <c r="B3105" s="69" t="s">
        <v>5960</v>
      </c>
      <c r="C3105" s="69" t="s">
        <v>8302</v>
      </c>
      <c r="D3105" t="s">
        <v>6161</v>
      </c>
      <c r="F3105" t="s">
        <v>6158</v>
      </c>
      <c r="G3105" s="69" t="s">
        <v>24</v>
      </c>
      <c r="H3105" s="75" t="str">
        <f>IFERROR(VLOOKUP(Table2[[#This Row],[Ticket]],Okey!A:B,2,0),"")</f>
        <v>ok</v>
      </c>
      <c r="I3105" s="75" t="s">
        <v>19</v>
      </c>
      <c r="J3105" t="str">
        <f>VLOOKUP(Table2[[#This Row],[Author]],People!A:B,2,0)</f>
        <v>LS</v>
      </c>
      <c r="K3105" s="70"/>
      <c r="L3105" s="67"/>
      <c r="M3105" s="67" t="s">
        <v>8165</v>
      </c>
    </row>
    <row r="3106" spans="1:13" x14ac:dyDescent="0.25">
      <c r="A3106" s="75">
        <f t="shared" si="48"/>
        <v>3105</v>
      </c>
      <c r="B3106" s="69" t="s">
        <v>5960</v>
      </c>
      <c r="C3106" s="69" t="s">
        <v>8302</v>
      </c>
      <c r="D3106" t="s">
        <v>1372</v>
      </c>
      <c r="F3106" t="s">
        <v>6134</v>
      </c>
      <c r="G3106" s="69" t="s">
        <v>24</v>
      </c>
      <c r="H3106" s="75" t="str">
        <f>IFERROR(VLOOKUP(Table2[[#This Row],[Ticket]],Okey!A:B,2,0),"")</f>
        <v>ok</v>
      </c>
      <c r="I3106" s="75" t="s">
        <v>19</v>
      </c>
      <c r="J3106" t="str">
        <f>VLOOKUP(Table2[[#This Row],[Author]],People!A:B,2,0)</f>
        <v>LS</v>
      </c>
      <c r="K3106" s="70"/>
      <c r="L3106" s="67"/>
      <c r="M3106" s="67" t="s">
        <v>8165</v>
      </c>
    </row>
    <row r="3107" spans="1:13" x14ac:dyDescent="0.25">
      <c r="A3107" s="75">
        <f t="shared" si="48"/>
        <v>3106</v>
      </c>
      <c r="B3107" s="69" t="s">
        <v>5960</v>
      </c>
      <c r="C3107" s="69" t="s">
        <v>8302</v>
      </c>
      <c r="D3107" t="s">
        <v>6736</v>
      </c>
      <c r="F3107" s="69" t="s">
        <v>8298</v>
      </c>
      <c r="G3107" s="69" t="s">
        <v>24</v>
      </c>
      <c r="H3107" s="75" t="str">
        <f>IFERROR(VLOOKUP(Table2[[#This Row],[Ticket]],Okey!A:B,2,0),"")</f>
        <v>ok</v>
      </c>
      <c r="I3107" s="75" t="s">
        <v>19</v>
      </c>
      <c r="J3107" t="str">
        <f>VLOOKUP(Table2[[#This Row],[Author]],People!A:B,2,0)</f>
        <v>LS</v>
      </c>
      <c r="K3107" s="70"/>
      <c r="L3107" s="67"/>
      <c r="M3107" s="67" t="s">
        <v>8165</v>
      </c>
    </row>
    <row r="3108" spans="1:13" x14ac:dyDescent="0.25">
      <c r="A3108" s="75">
        <f t="shared" si="48"/>
        <v>3107</v>
      </c>
      <c r="B3108" s="69" t="s">
        <v>5960</v>
      </c>
      <c r="C3108" s="69" t="s">
        <v>8302</v>
      </c>
      <c r="D3108" t="s">
        <v>4645</v>
      </c>
      <c r="F3108" s="69" t="s">
        <v>8297</v>
      </c>
      <c r="G3108" s="69" t="s">
        <v>24</v>
      </c>
      <c r="H3108" s="75" t="str">
        <f>IFERROR(VLOOKUP(Table2[[#This Row],[Ticket]],Okey!A:B,2,0),"")</f>
        <v>ok</v>
      </c>
      <c r="I3108" s="75" t="s">
        <v>19</v>
      </c>
      <c r="J3108" t="str">
        <f>VLOOKUP(Table2[[#This Row],[Author]],People!A:B,2,0)</f>
        <v>LS</v>
      </c>
      <c r="K3108" s="70"/>
      <c r="L3108" s="67"/>
      <c r="M3108" s="67" t="s">
        <v>8165</v>
      </c>
    </row>
    <row r="3109" spans="1:13" x14ac:dyDescent="0.25">
      <c r="A3109" s="75">
        <f t="shared" si="48"/>
        <v>3108</v>
      </c>
      <c r="B3109" s="69" t="s">
        <v>5960</v>
      </c>
      <c r="C3109" s="69" t="s">
        <v>8302</v>
      </c>
      <c r="D3109" t="s">
        <v>6762</v>
      </c>
      <c r="F3109" s="69" t="s">
        <v>8296</v>
      </c>
      <c r="G3109" s="69" t="s">
        <v>24</v>
      </c>
      <c r="H3109" s="75" t="str">
        <f>IFERROR(VLOOKUP(Table2[[#This Row],[Ticket]],Okey!A:B,2,0),"")</f>
        <v>ok</v>
      </c>
      <c r="I3109" s="75" t="s">
        <v>19</v>
      </c>
      <c r="J3109" t="str">
        <f>VLOOKUP(Table2[[#This Row],[Author]],People!A:B,2,0)</f>
        <v>LS</v>
      </c>
      <c r="K3109" s="70"/>
      <c r="L3109" s="67"/>
      <c r="M3109" s="67" t="s">
        <v>8165</v>
      </c>
    </row>
    <row r="3110" spans="1:13" x14ac:dyDescent="0.25">
      <c r="A3110" s="75">
        <f t="shared" si="48"/>
        <v>3109</v>
      </c>
      <c r="B3110" s="69" t="s">
        <v>5960</v>
      </c>
      <c r="C3110" s="69" t="s">
        <v>8302</v>
      </c>
      <c r="D3110" t="s">
        <v>6257</v>
      </c>
      <c r="F3110" s="69" t="s">
        <v>8295</v>
      </c>
      <c r="G3110" s="69" t="s">
        <v>24</v>
      </c>
      <c r="H3110" s="75" t="str">
        <f>IFERROR(VLOOKUP(Table2[[#This Row],[Ticket]],Okey!A:B,2,0),"")</f>
        <v>ok</v>
      </c>
      <c r="I3110" s="75" t="s">
        <v>19</v>
      </c>
      <c r="J3110" t="str">
        <f>VLOOKUP(Table2[[#This Row],[Author]],People!A:B,2,0)</f>
        <v>LS</v>
      </c>
      <c r="K3110" s="70"/>
      <c r="L3110" s="67"/>
      <c r="M3110" s="67" t="s">
        <v>8165</v>
      </c>
    </row>
    <row r="3111" spans="1:13" x14ac:dyDescent="0.25">
      <c r="A3111" s="75">
        <f t="shared" si="48"/>
        <v>3110</v>
      </c>
      <c r="B3111" s="69" t="s">
        <v>5960</v>
      </c>
      <c r="C3111" s="69" t="s">
        <v>8302</v>
      </c>
      <c r="D3111" t="s">
        <v>2425</v>
      </c>
      <c r="F3111" s="69" t="s">
        <v>8299</v>
      </c>
      <c r="G3111" s="69" t="s">
        <v>24</v>
      </c>
      <c r="H3111" s="75" t="str">
        <f>IFERROR(VLOOKUP(Table2[[#This Row],[Ticket]],Okey!A:B,2,0),"")</f>
        <v>ok</v>
      </c>
      <c r="I3111" s="75" t="s">
        <v>19</v>
      </c>
      <c r="J3111" t="str">
        <f>VLOOKUP(Table2[[#This Row],[Author]],People!A:B,2,0)</f>
        <v>LS</v>
      </c>
      <c r="K3111" s="70"/>
      <c r="L3111" s="67"/>
      <c r="M3111" s="67" t="s">
        <v>8165</v>
      </c>
    </row>
    <row r="3112" spans="1:13" x14ac:dyDescent="0.25">
      <c r="A3112" s="75">
        <f t="shared" si="48"/>
        <v>3111</v>
      </c>
      <c r="B3112" s="69" t="s">
        <v>5960</v>
      </c>
      <c r="C3112" s="69" t="s">
        <v>8302</v>
      </c>
      <c r="D3112" t="s">
        <v>5085</v>
      </c>
      <c r="F3112" s="69" t="s">
        <v>8298</v>
      </c>
      <c r="G3112" s="69" t="s">
        <v>24</v>
      </c>
      <c r="H3112" s="75" t="str">
        <f>IFERROR(VLOOKUP(Table2[[#This Row],[Ticket]],Okey!A:B,2,0),"")</f>
        <v>ok</v>
      </c>
      <c r="I3112" s="75" t="s">
        <v>19</v>
      </c>
      <c r="J3112" t="str">
        <f>VLOOKUP(Table2[[#This Row],[Author]],People!A:B,2,0)</f>
        <v>LS</v>
      </c>
      <c r="K3112" s="70"/>
      <c r="L3112" s="67"/>
      <c r="M3112" s="67" t="s">
        <v>8165</v>
      </c>
    </row>
    <row r="3113" spans="1:13" x14ac:dyDescent="0.25">
      <c r="A3113" s="75">
        <f t="shared" si="48"/>
        <v>3112</v>
      </c>
      <c r="B3113" s="69" t="s">
        <v>5960</v>
      </c>
      <c r="C3113" s="69" t="s">
        <v>8302</v>
      </c>
      <c r="D3113" t="s">
        <v>5087</v>
      </c>
      <c r="F3113" s="69" t="s">
        <v>8299</v>
      </c>
      <c r="G3113" s="69" t="s">
        <v>24</v>
      </c>
      <c r="H3113" s="75" t="str">
        <f>IFERROR(VLOOKUP(Table2[[#This Row],[Ticket]],Okey!A:B,2,0),"")</f>
        <v>ok</v>
      </c>
      <c r="I3113" s="75" t="s">
        <v>19</v>
      </c>
      <c r="J3113" t="str">
        <f>VLOOKUP(Table2[[#This Row],[Author]],People!A:B,2,0)</f>
        <v>LS</v>
      </c>
      <c r="K3113" s="70"/>
      <c r="L3113" s="67"/>
      <c r="M3113" s="67" t="s">
        <v>8165</v>
      </c>
    </row>
    <row r="3114" spans="1:13" x14ac:dyDescent="0.25">
      <c r="A3114" s="75">
        <f t="shared" si="48"/>
        <v>3113</v>
      </c>
      <c r="B3114" s="69" t="s">
        <v>5960</v>
      </c>
      <c r="C3114" s="69" t="s">
        <v>8302</v>
      </c>
      <c r="D3114" t="s">
        <v>5180</v>
      </c>
      <c r="F3114" s="69" t="s">
        <v>8296</v>
      </c>
      <c r="G3114" s="69" t="s">
        <v>24</v>
      </c>
      <c r="H3114" s="75" t="str">
        <f>IFERROR(VLOOKUP(Table2[[#This Row],[Ticket]],Okey!A:B,2,0),"")</f>
        <v>ok</v>
      </c>
      <c r="I3114" s="75" t="s">
        <v>19</v>
      </c>
      <c r="J3114" t="str">
        <f>VLOOKUP(Table2[[#This Row],[Author]],People!A:B,2,0)</f>
        <v>LS</v>
      </c>
      <c r="K3114" s="70"/>
      <c r="L3114" s="67"/>
      <c r="M3114" s="67" t="s">
        <v>8165</v>
      </c>
    </row>
    <row r="3115" spans="1:13" x14ac:dyDescent="0.25">
      <c r="A3115" s="75">
        <f t="shared" si="48"/>
        <v>3114</v>
      </c>
      <c r="B3115" s="69" t="s">
        <v>5960</v>
      </c>
      <c r="C3115" s="69" t="s">
        <v>8302</v>
      </c>
      <c r="D3115" t="s">
        <v>5093</v>
      </c>
      <c r="F3115" s="69" t="s">
        <v>8297</v>
      </c>
      <c r="G3115" s="69" t="s">
        <v>24</v>
      </c>
      <c r="H3115" s="75" t="str">
        <f>IFERROR(VLOOKUP(Table2[[#This Row],[Ticket]],Okey!A:B,2,0),"")</f>
        <v>ok</v>
      </c>
      <c r="I3115" s="75" t="s">
        <v>19</v>
      </c>
      <c r="J3115" t="str">
        <f>VLOOKUP(Table2[[#This Row],[Author]],People!A:B,2,0)</f>
        <v>LS</v>
      </c>
      <c r="K3115" s="70"/>
      <c r="L3115" s="67"/>
      <c r="M3115" s="67" t="s">
        <v>8165</v>
      </c>
    </row>
    <row r="3116" spans="1:13" x14ac:dyDescent="0.25">
      <c r="A3116" s="75">
        <f t="shared" si="48"/>
        <v>3115</v>
      </c>
      <c r="B3116" s="69" t="s">
        <v>5960</v>
      </c>
      <c r="C3116" s="69" t="s">
        <v>8302</v>
      </c>
      <c r="D3116" t="s">
        <v>7492</v>
      </c>
      <c r="F3116" t="s">
        <v>4645</v>
      </c>
      <c r="G3116" s="69" t="s">
        <v>24</v>
      </c>
      <c r="H3116" s="75" t="str">
        <f>IFERROR(VLOOKUP(Table2[[#This Row],[Ticket]],Okey!A:B,2,0),"")</f>
        <v>ok</v>
      </c>
      <c r="I3116" s="75" t="s">
        <v>19</v>
      </c>
      <c r="J3116" t="str">
        <f>VLOOKUP(Table2[[#This Row],[Author]],People!A:B,2,0)</f>
        <v>LS</v>
      </c>
      <c r="K3116" s="70"/>
      <c r="L3116" s="67"/>
      <c r="M3116" s="67" t="s">
        <v>8165</v>
      </c>
    </row>
    <row r="3117" spans="1:13" x14ac:dyDescent="0.25">
      <c r="A3117" s="75">
        <f t="shared" si="48"/>
        <v>3116</v>
      </c>
      <c r="B3117" s="69" t="s">
        <v>5960</v>
      </c>
      <c r="C3117" s="69" t="s">
        <v>8302</v>
      </c>
      <c r="D3117" t="s">
        <v>8251</v>
      </c>
      <c r="F3117" t="s">
        <v>6130</v>
      </c>
      <c r="G3117" s="69" t="s">
        <v>24</v>
      </c>
      <c r="H3117" s="75" t="str">
        <f>IFERROR(VLOOKUP(Table2[[#This Row],[Ticket]],Okey!A:B,2,0),"")</f>
        <v>ok</v>
      </c>
      <c r="I3117" s="75" t="s">
        <v>19</v>
      </c>
      <c r="J3117" t="str">
        <f>VLOOKUP(Table2[[#This Row],[Author]],People!A:B,2,0)</f>
        <v>LS</v>
      </c>
      <c r="K3117" s="70"/>
      <c r="L3117" s="67"/>
      <c r="M3117" s="67" t="s">
        <v>8165</v>
      </c>
    </row>
    <row r="3118" spans="1:13" x14ac:dyDescent="0.25">
      <c r="A3118" s="75">
        <f t="shared" si="48"/>
        <v>3117</v>
      </c>
      <c r="B3118" s="69" t="s">
        <v>5960</v>
      </c>
      <c r="C3118" s="69" t="s">
        <v>8302</v>
      </c>
      <c r="D3118" t="s">
        <v>8252</v>
      </c>
      <c r="F3118" t="s">
        <v>6130</v>
      </c>
      <c r="G3118" s="69" t="s">
        <v>24</v>
      </c>
      <c r="H3118" s="75" t="str">
        <f>IFERROR(VLOOKUP(Table2[[#This Row],[Ticket]],Okey!A:B,2,0),"")</f>
        <v>ok</v>
      </c>
      <c r="I3118" s="75" t="s">
        <v>19</v>
      </c>
      <c r="J3118" t="str">
        <f>VLOOKUP(Table2[[#This Row],[Author]],People!A:B,2,0)</f>
        <v>LS</v>
      </c>
      <c r="K3118" s="70"/>
      <c r="L3118" s="67"/>
      <c r="M3118" s="67" t="s">
        <v>8165</v>
      </c>
    </row>
    <row r="3119" spans="1:13" x14ac:dyDescent="0.25">
      <c r="A3119" s="75">
        <f t="shared" si="48"/>
        <v>3118</v>
      </c>
      <c r="B3119" s="69" t="s">
        <v>5960</v>
      </c>
      <c r="C3119" s="69" t="s">
        <v>8302</v>
      </c>
      <c r="D3119" t="s">
        <v>8253</v>
      </c>
      <c r="F3119" t="s">
        <v>6130</v>
      </c>
      <c r="G3119" s="69" t="s">
        <v>24</v>
      </c>
      <c r="H3119" s="75" t="str">
        <f>IFERROR(VLOOKUP(Table2[[#This Row],[Ticket]],Okey!A:B,2,0),"")</f>
        <v>ok</v>
      </c>
      <c r="I3119" s="75" t="s">
        <v>19</v>
      </c>
      <c r="J3119" t="str">
        <f>VLOOKUP(Table2[[#This Row],[Author]],People!A:B,2,0)</f>
        <v>LS</v>
      </c>
      <c r="K3119" s="70"/>
      <c r="L3119" s="67"/>
      <c r="M3119" s="67" t="s">
        <v>8165</v>
      </c>
    </row>
    <row r="3120" spans="1:13" x14ac:dyDescent="0.25">
      <c r="A3120" s="75">
        <f t="shared" si="48"/>
        <v>3119</v>
      </c>
      <c r="B3120" s="69" t="s">
        <v>5960</v>
      </c>
      <c r="C3120" s="69" t="s">
        <v>8302</v>
      </c>
      <c r="D3120" t="s">
        <v>8254</v>
      </c>
      <c r="F3120" t="s">
        <v>8215</v>
      </c>
      <c r="G3120" s="69" t="s">
        <v>24</v>
      </c>
      <c r="H3120" s="75" t="str">
        <f>IFERROR(VLOOKUP(Table2[[#This Row],[Ticket]],Okey!A:B,2,0),"")</f>
        <v>ok</v>
      </c>
      <c r="I3120" s="75" t="s">
        <v>19</v>
      </c>
      <c r="J3120" t="str">
        <f>VLOOKUP(Table2[[#This Row],[Author]],People!A:B,2,0)</f>
        <v>LS</v>
      </c>
      <c r="K3120" s="70"/>
      <c r="L3120" s="67"/>
      <c r="M3120" s="67" t="s">
        <v>8165</v>
      </c>
    </row>
    <row r="3121" spans="1:13" x14ac:dyDescent="0.25">
      <c r="A3121" s="75">
        <f t="shared" si="48"/>
        <v>3120</v>
      </c>
      <c r="B3121" s="69" t="s">
        <v>5960</v>
      </c>
      <c r="C3121" s="69" t="s">
        <v>8302</v>
      </c>
      <c r="D3121" t="s">
        <v>1252</v>
      </c>
      <c r="F3121" t="s">
        <v>1249</v>
      </c>
      <c r="G3121" s="69" t="s">
        <v>24</v>
      </c>
      <c r="H3121" s="75" t="str">
        <f>IFERROR(VLOOKUP(Table2[[#This Row],[Ticket]],Okey!A:B,2,0),"")</f>
        <v>ok</v>
      </c>
      <c r="I3121" s="75" t="s">
        <v>19</v>
      </c>
      <c r="J3121" t="str">
        <f>VLOOKUP(Table2[[#This Row],[Author]],People!A:B,2,0)</f>
        <v>LS</v>
      </c>
      <c r="K3121" s="70"/>
      <c r="L3121" s="67"/>
      <c r="M3121" s="67" t="s">
        <v>8165</v>
      </c>
    </row>
    <row r="3122" spans="1:13" x14ac:dyDescent="0.25">
      <c r="A3122" s="75">
        <f t="shared" si="48"/>
        <v>3121</v>
      </c>
      <c r="B3122" s="69" t="s">
        <v>5960</v>
      </c>
      <c r="C3122" s="69" t="s">
        <v>8302</v>
      </c>
      <c r="D3122" t="s">
        <v>8256</v>
      </c>
      <c r="F3122" s="69" t="s">
        <v>2490</v>
      </c>
      <c r="G3122" t="s">
        <v>24</v>
      </c>
      <c r="H3122" s="75" t="str">
        <f>IFERROR(VLOOKUP(Table2[[#This Row],[Ticket]],Okey!A:B,2,0),"")</f>
        <v>ok</v>
      </c>
      <c r="I3122" s="75" t="s">
        <v>19</v>
      </c>
      <c r="J3122" t="str">
        <f>VLOOKUP(Table2[[#This Row],[Author]],People!A:B,2,0)</f>
        <v>LS</v>
      </c>
      <c r="K3122" s="70"/>
      <c r="L3122" s="67"/>
      <c r="M3122" s="67" t="s">
        <v>8165</v>
      </c>
    </row>
    <row r="3123" spans="1:13" x14ac:dyDescent="0.25">
      <c r="A3123" s="75">
        <f t="shared" si="48"/>
        <v>3122</v>
      </c>
      <c r="B3123" s="69" t="s">
        <v>5960</v>
      </c>
      <c r="C3123" s="69" t="s">
        <v>8302</v>
      </c>
      <c r="D3123" t="s">
        <v>8257</v>
      </c>
      <c r="F3123" s="69" t="s">
        <v>2490</v>
      </c>
      <c r="G3123" s="69" t="s">
        <v>24</v>
      </c>
      <c r="H3123" s="75" t="str">
        <f>IFERROR(VLOOKUP(Table2[[#This Row],[Ticket]],Okey!A:B,2,0),"")</f>
        <v>ok</v>
      </c>
      <c r="I3123" s="75" t="s">
        <v>19</v>
      </c>
      <c r="J3123" t="str">
        <f>VLOOKUP(Table2[[#This Row],[Author]],People!A:B,2,0)</f>
        <v>LS</v>
      </c>
      <c r="K3123" s="70"/>
      <c r="L3123" s="67"/>
      <c r="M3123" s="67" t="s">
        <v>8165</v>
      </c>
    </row>
    <row r="3124" spans="1:13" x14ac:dyDescent="0.25">
      <c r="A3124" s="75">
        <f t="shared" si="48"/>
        <v>3123</v>
      </c>
      <c r="B3124" s="69" t="s">
        <v>5960</v>
      </c>
      <c r="C3124" s="69" t="s">
        <v>8302</v>
      </c>
      <c r="D3124" t="s">
        <v>8258</v>
      </c>
      <c r="F3124" s="69" t="s">
        <v>2490</v>
      </c>
      <c r="G3124" s="69" t="s">
        <v>24</v>
      </c>
      <c r="H3124" s="75" t="str">
        <f>IFERROR(VLOOKUP(Table2[[#This Row],[Ticket]],Okey!A:B,2,0),"")</f>
        <v>ok</v>
      </c>
      <c r="I3124" s="75" t="s">
        <v>19</v>
      </c>
      <c r="J3124" t="str">
        <f>VLOOKUP(Table2[[#This Row],[Author]],People!A:B,2,0)</f>
        <v>LS</v>
      </c>
      <c r="K3124" s="70"/>
      <c r="L3124" s="67"/>
      <c r="M3124" s="67" t="s">
        <v>8165</v>
      </c>
    </row>
    <row r="3125" spans="1:13" x14ac:dyDescent="0.25">
      <c r="A3125" s="75">
        <f t="shared" si="48"/>
        <v>3124</v>
      </c>
      <c r="B3125" s="69" t="s">
        <v>5960</v>
      </c>
      <c r="C3125" s="69" t="s">
        <v>8302</v>
      </c>
      <c r="D3125" t="s">
        <v>8259</v>
      </c>
      <c r="F3125" s="69" t="s">
        <v>2490</v>
      </c>
      <c r="G3125" s="69" t="s">
        <v>24</v>
      </c>
      <c r="H3125" s="75" t="str">
        <f>IFERROR(VLOOKUP(Table2[[#This Row],[Ticket]],Okey!A:B,2,0),"")</f>
        <v>ok</v>
      </c>
      <c r="I3125" s="75" t="s">
        <v>19</v>
      </c>
      <c r="J3125" t="str">
        <f>VLOOKUP(Table2[[#This Row],[Author]],People!A:B,2,0)</f>
        <v>LS</v>
      </c>
      <c r="K3125" s="70"/>
      <c r="L3125" s="67"/>
      <c r="M3125" s="67" t="s">
        <v>8165</v>
      </c>
    </row>
    <row r="3126" spans="1:13" x14ac:dyDescent="0.25">
      <c r="A3126" s="75">
        <f t="shared" si="48"/>
        <v>3125</v>
      </c>
      <c r="B3126" s="69" t="s">
        <v>5960</v>
      </c>
      <c r="C3126" s="69" t="s">
        <v>8302</v>
      </c>
      <c r="D3126" t="s">
        <v>8260</v>
      </c>
      <c r="F3126" s="69" t="s">
        <v>2490</v>
      </c>
      <c r="G3126" s="69" t="s">
        <v>24</v>
      </c>
      <c r="H3126" s="75" t="str">
        <f>IFERROR(VLOOKUP(Table2[[#This Row],[Ticket]],Okey!A:B,2,0),"")</f>
        <v>ok</v>
      </c>
      <c r="I3126" s="75" t="s">
        <v>19</v>
      </c>
      <c r="J3126" t="str">
        <f>VLOOKUP(Table2[[#This Row],[Author]],People!A:B,2,0)</f>
        <v>LS</v>
      </c>
      <c r="K3126" s="70"/>
      <c r="L3126" s="67"/>
      <c r="M3126" s="67" t="s">
        <v>8165</v>
      </c>
    </row>
    <row r="3127" spans="1:13" x14ac:dyDescent="0.25">
      <c r="A3127" s="75">
        <f t="shared" si="48"/>
        <v>3126</v>
      </c>
      <c r="B3127" s="69" t="s">
        <v>5960</v>
      </c>
      <c r="C3127" s="69" t="s">
        <v>8302</v>
      </c>
      <c r="D3127" t="s">
        <v>8261</v>
      </c>
      <c r="F3127" s="69" t="s">
        <v>2490</v>
      </c>
      <c r="G3127" s="69" t="s">
        <v>24</v>
      </c>
      <c r="H3127" s="75" t="str">
        <f>IFERROR(VLOOKUP(Table2[[#This Row],[Ticket]],Okey!A:B,2,0),"")</f>
        <v>ok</v>
      </c>
      <c r="I3127" s="75" t="s">
        <v>19</v>
      </c>
      <c r="J3127" t="str">
        <f>VLOOKUP(Table2[[#This Row],[Author]],People!A:B,2,0)</f>
        <v>LS</v>
      </c>
      <c r="K3127" s="70"/>
      <c r="L3127" s="67"/>
      <c r="M3127" s="67" t="s">
        <v>8165</v>
      </c>
    </row>
    <row r="3128" spans="1:13" x14ac:dyDescent="0.25">
      <c r="A3128" s="75">
        <f t="shared" si="48"/>
        <v>3127</v>
      </c>
      <c r="B3128" s="69" t="s">
        <v>5960</v>
      </c>
      <c r="C3128" s="69" t="s">
        <v>8302</v>
      </c>
      <c r="D3128" t="s">
        <v>8262</v>
      </c>
      <c r="F3128" s="69" t="s">
        <v>2490</v>
      </c>
      <c r="G3128" s="69" t="s">
        <v>24</v>
      </c>
      <c r="H3128" s="75" t="str">
        <f>IFERROR(VLOOKUP(Table2[[#This Row],[Ticket]],Okey!A:B,2,0),"")</f>
        <v>ok</v>
      </c>
      <c r="I3128" s="75" t="s">
        <v>19</v>
      </c>
      <c r="J3128" t="str">
        <f>VLOOKUP(Table2[[#This Row],[Author]],People!A:B,2,0)</f>
        <v>LS</v>
      </c>
      <c r="K3128" s="70"/>
      <c r="L3128" s="67"/>
      <c r="M3128" s="67" t="s">
        <v>8165</v>
      </c>
    </row>
    <row r="3129" spans="1:13" x14ac:dyDescent="0.25">
      <c r="A3129" s="75">
        <f t="shared" si="48"/>
        <v>3128</v>
      </c>
      <c r="B3129" s="69" t="s">
        <v>5960</v>
      </c>
      <c r="C3129" s="69" t="s">
        <v>8302</v>
      </c>
      <c r="D3129" t="s">
        <v>8263</v>
      </c>
      <c r="F3129" s="69" t="s">
        <v>2490</v>
      </c>
      <c r="G3129" s="69" t="s">
        <v>24</v>
      </c>
      <c r="H3129" s="75" t="str">
        <f>IFERROR(VLOOKUP(Table2[[#This Row],[Ticket]],Okey!A:B,2,0),"")</f>
        <v>ok</v>
      </c>
      <c r="I3129" s="75" t="s">
        <v>19</v>
      </c>
      <c r="J3129" t="str">
        <f>VLOOKUP(Table2[[#This Row],[Author]],People!A:B,2,0)</f>
        <v>LS</v>
      </c>
      <c r="K3129" s="70"/>
      <c r="L3129" s="67"/>
      <c r="M3129" s="67" t="s">
        <v>8165</v>
      </c>
    </row>
    <row r="3130" spans="1:13" x14ac:dyDescent="0.25">
      <c r="A3130" s="75">
        <f t="shared" si="48"/>
        <v>3129</v>
      </c>
      <c r="B3130" s="69" t="s">
        <v>5960</v>
      </c>
      <c r="C3130" s="69" t="s">
        <v>8302</v>
      </c>
      <c r="D3130" t="s">
        <v>8264</v>
      </c>
      <c r="F3130" s="69" t="s">
        <v>2490</v>
      </c>
      <c r="G3130" s="69" t="s">
        <v>24</v>
      </c>
      <c r="H3130" s="75" t="str">
        <f>IFERROR(VLOOKUP(Table2[[#This Row],[Ticket]],Okey!A:B,2,0),"")</f>
        <v>ok</v>
      </c>
      <c r="I3130" s="75" t="s">
        <v>19</v>
      </c>
      <c r="J3130" t="str">
        <f>VLOOKUP(Table2[[#This Row],[Author]],People!A:B,2,0)</f>
        <v>LS</v>
      </c>
      <c r="K3130" s="70"/>
      <c r="L3130" s="67"/>
      <c r="M3130" s="67" t="s">
        <v>8165</v>
      </c>
    </row>
    <row r="3131" spans="1:13" x14ac:dyDescent="0.25">
      <c r="A3131" s="75">
        <f t="shared" si="48"/>
        <v>3130</v>
      </c>
      <c r="B3131" s="69" t="s">
        <v>5960</v>
      </c>
      <c r="C3131" s="69" t="s">
        <v>8302</v>
      </c>
      <c r="D3131" t="s">
        <v>8265</v>
      </c>
      <c r="F3131" s="69" t="s">
        <v>2490</v>
      </c>
      <c r="G3131" s="69" t="s">
        <v>24</v>
      </c>
      <c r="H3131" s="75" t="str">
        <f>IFERROR(VLOOKUP(Table2[[#This Row],[Ticket]],Okey!A:B,2,0),"")</f>
        <v>ok</v>
      </c>
      <c r="I3131" s="75" t="s">
        <v>19</v>
      </c>
      <c r="J3131" t="str">
        <f>VLOOKUP(Table2[[#This Row],[Author]],People!A:B,2,0)</f>
        <v>LS</v>
      </c>
      <c r="K3131" s="70"/>
      <c r="L3131" s="67"/>
      <c r="M3131" s="67" t="s">
        <v>8165</v>
      </c>
    </row>
    <row r="3132" spans="1:13" x14ac:dyDescent="0.25">
      <c r="A3132" s="75">
        <f t="shared" si="48"/>
        <v>3131</v>
      </c>
      <c r="B3132" s="69" t="s">
        <v>5960</v>
      </c>
      <c r="C3132" s="69" t="s">
        <v>8302</v>
      </c>
      <c r="D3132" t="s">
        <v>8266</v>
      </c>
      <c r="F3132" s="69" t="s">
        <v>2490</v>
      </c>
      <c r="G3132" s="69" t="s">
        <v>24</v>
      </c>
      <c r="H3132" s="75" t="str">
        <f>IFERROR(VLOOKUP(Table2[[#This Row],[Ticket]],Okey!A:B,2,0),"")</f>
        <v>ok</v>
      </c>
      <c r="I3132" s="75" t="s">
        <v>19</v>
      </c>
      <c r="J3132" t="str">
        <f>VLOOKUP(Table2[[#This Row],[Author]],People!A:B,2,0)</f>
        <v>LS</v>
      </c>
      <c r="K3132" s="70"/>
      <c r="L3132" s="67"/>
      <c r="M3132" s="67" t="s">
        <v>8165</v>
      </c>
    </row>
    <row r="3133" spans="1:13" x14ac:dyDescent="0.25">
      <c r="A3133" s="75">
        <f t="shared" si="48"/>
        <v>3132</v>
      </c>
      <c r="B3133" s="69" t="s">
        <v>5960</v>
      </c>
      <c r="C3133" s="69" t="s">
        <v>8302</v>
      </c>
      <c r="D3133" t="s">
        <v>8267</v>
      </c>
      <c r="F3133" s="69" t="s">
        <v>2490</v>
      </c>
      <c r="G3133" s="69" t="s">
        <v>24</v>
      </c>
      <c r="H3133" s="75" t="str">
        <f>IFERROR(VLOOKUP(Table2[[#This Row],[Ticket]],Okey!A:B,2,0),"")</f>
        <v>ok</v>
      </c>
      <c r="I3133" s="75" t="s">
        <v>19</v>
      </c>
      <c r="J3133" t="str">
        <f>VLOOKUP(Table2[[#This Row],[Author]],People!A:B,2,0)</f>
        <v>LS</v>
      </c>
      <c r="K3133" s="70"/>
      <c r="L3133" s="67"/>
      <c r="M3133" s="67" t="s">
        <v>8165</v>
      </c>
    </row>
    <row r="3134" spans="1:13" x14ac:dyDescent="0.25">
      <c r="A3134" s="75">
        <f t="shared" si="48"/>
        <v>3133</v>
      </c>
      <c r="B3134" s="69" t="s">
        <v>5960</v>
      </c>
      <c r="C3134" s="69" t="s">
        <v>8302</v>
      </c>
      <c r="D3134" t="s">
        <v>8268</v>
      </c>
      <c r="F3134" s="69" t="s">
        <v>2490</v>
      </c>
      <c r="G3134" s="69" t="s">
        <v>24</v>
      </c>
      <c r="H3134" s="75" t="str">
        <f>IFERROR(VLOOKUP(Table2[[#This Row],[Ticket]],Okey!A:B,2,0),"")</f>
        <v>ok</v>
      </c>
      <c r="I3134" s="75" t="s">
        <v>19</v>
      </c>
      <c r="J3134" t="str">
        <f>VLOOKUP(Table2[[#This Row],[Author]],People!A:B,2,0)</f>
        <v>LS</v>
      </c>
      <c r="K3134" s="70"/>
      <c r="L3134" s="67"/>
      <c r="M3134" s="67" t="s">
        <v>8165</v>
      </c>
    </row>
    <row r="3135" spans="1:13" x14ac:dyDescent="0.25">
      <c r="A3135" s="75">
        <f t="shared" si="48"/>
        <v>3134</v>
      </c>
      <c r="B3135" s="69" t="s">
        <v>5960</v>
      </c>
      <c r="C3135" s="69" t="s">
        <v>8302</v>
      </c>
      <c r="D3135" t="s">
        <v>8269</v>
      </c>
      <c r="F3135" s="69" t="s">
        <v>2490</v>
      </c>
      <c r="G3135" s="69" t="s">
        <v>24</v>
      </c>
      <c r="H3135" s="75" t="str">
        <f>IFERROR(VLOOKUP(Table2[[#This Row],[Ticket]],Okey!A:B,2,0),"")</f>
        <v>ok</v>
      </c>
      <c r="I3135" s="75" t="s">
        <v>19</v>
      </c>
      <c r="J3135" t="str">
        <f>VLOOKUP(Table2[[#This Row],[Author]],People!A:B,2,0)</f>
        <v>LS</v>
      </c>
      <c r="K3135" s="70"/>
      <c r="L3135" s="67"/>
      <c r="M3135" s="67" t="s">
        <v>8165</v>
      </c>
    </row>
    <row r="3136" spans="1:13" x14ac:dyDescent="0.25">
      <c r="A3136" s="75">
        <f t="shared" si="48"/>
        <v>3135</v>
      </c>
      <c r="B3136" s="69" t="s">
        <v>5960</v>
      </c>
      <c r="C3136" s="69" t="s">
        <v>8302</v>
      </c>
      <c r="D3136" t="s">
        <v>6011</v>
      </c>
      <c r="F3136" s="69" t="s">
        <v>2504</v>
      </c>
      <c r="G3136" s="69" t="s">
        <v>24</v>
      </c>
      <c r="H3136" s="75" t="str">
        <f>IFERROR(VLOOKUP(Table2[[#This Row],[Ticket]],Okey!A:B,2,0),"")</f>
        <v>ok</v>
      </c>
      <c r="I3136" s="75" t="s">
        <v>19</v>
      </c>
      <c r="J3136" t="str">
        <f>VLOOKUP(Table2[[#This Row],[Author]],People!A:B,2,0)</f>
        <v>LS</v>
      </c>
      <c r="K3136" s="70"/>
      <c r="L3136" s="67"/>
      <c r="M3136" s="67" t="s">
        <v>8165</v>
      </c>
    </row>
    <row r="3137" spans="1:13" x14ac:dyDescent="0.25">
      <c r="A3137" s="75">
        <f t="shared" si="48"/>
        <v>3136</v>
      </c>
      <c r="B3137" s="69" t="s">
        <v>5960</v>
      </c>
      <c r="C3137" s="69" t="s">
        <v>8302</v>
      </c>
      <c r="D3137" t="s">
        <v>8270</v>
      </c>
      <c r="F3137" s="69" t="s">
        <v>2515</v>
      </c>
      <c r="G3137" s="69" t="s">
        <v>24</v>
      </c>
      <c r="H3137" s="75" t="str">
        <f>IFERROR(VLOOKUP(Table2[[#This Row],[Ticket]],Okey!A:B,2,0),"")</f>
        <v>ok</v>
      </c>
      <c r="I3137" s="75" t="s">
        <v>19</v>
      </c>
      <c r="J3137" t="str">
        <f>VLOOKUP(Table2[[#This Row],[Author]],People!A:B,2,0)</f>
        <v>LS</v>
      </c>
      <c r="K3137" s="70"/>
      <c r="L3137" s="67"/>
      <c r="M3137" s="67" t="s">
        <v>8165</v>
      </c>
    </row>
    <row r="3138" spans="1:13" x14ac:dyDescent="0.25">
      <c r="A3138" s="75">
        <f t="shared" si="48"/>
        <v>3137</v>
      </c>
      <c r="B3138" s="69" t="s">
        <v>5960</v>
      </c>
      <c r="C3138" s="69" t="s">
        <v>8302</v>
      </c>
      <c r="D3138" t="s">
        <v>8271</v>
      </c>
      <c r="F3138" s="69" t="s">
        <v>2515</v>
      </c>
      <c r="G3138" s="69" t="s">
        <v>24</v>
      </c>
      <c r="H3138" s="75" t="str">
        <f>IFERROR(VLOOKUP(Table2[[#This Row],[Ticket]],Okey!A:B,2,0),"")</f>
        <v>ok</v>
      </c>
      <c r="I3138" s="75" t="s">
        <v>19</v>
      </c>
      <c r="J3138" t="str">
        <f>VLOOKUP(Table2[[#This Row],[Author]],People!A:B,2,0)</f>
        <v>LS</v>
      </c>
      <c r="K3138" s="70"/>
      <c r="L3138" s="67"/>
      <c r="M3138" s="67" t="s">
        <v>8165</v>
      </c>
    </row>
    <row r="3139" spans="1:13" x14ac:dyDescent="0.25">
      <c r="A3139" s="75">
        <f t="shared" si="48"/>
        <v>3138</v>
      </c>
      <c r="B3139" s="69" t="s">
        <v>5960</v>
      </c>
      <c r="C3139" s="69" t="s">
        <v>8302</v>
      </c>
      <c r="D3139" t="s">
        <v>8272</v>
      </c>
      <c r="F3139" s="69" t="s">
        <v>2515</v>
      </c>
      <c r="G3139" s="69" t="s">
        <v>24</v>
      </c>
      <c r="H3139" s="75" t="str">
        <f>IFERROR(VLOOKUP(Table2[[#This Row],[Ticket]],Okey!A:B,2,0),"")</f>
        <v>ok</v>
      </c>
      <c r="I3139" s="75" t="s">
        <v>19</v>
      </c>
      <c r="J3139" t="str">
        <f>VLOOKUP(Table2[[#This Row],[Author]],People!A:B,2,0)</f>
        <v>LS</v>
      </c>
      <c r="K3139" s="70"/>
      <c r="L3139" s="67"/>
      <c r="M3139" s="67" t="s">
        <v>8165</v>
      </c>
    </row>
    <row r="3140" spans="1:13" x14ac:dyDescent="0.25">
      <c r="A3140" s="75">
        <f t="shared" si="48"/>
        <v>3139</v>
      </c>
      <c r="B3140" s="69" t="s">
        <v>5960</v>
      </c>
      <c r="C3140" s="69" t="s">
        <v>8302</v>
      </c>
      <c r="D3140" t="s">
        <v>1455</v>
      </c>
      <c r="F3140" s="69" t="s">
        <v>2515</v>
      </c>
      <c r="G3140" s="69" t="s">
        <v>24</v>
      </c>
      <c r="H3140" s="75" t="str">
        <f>IFERROR(VLOOKUP(Table2[[#This Row],[Ticket]],Okey!A:B,2,0),"")</f>
        <v>ok</v>
      </c>
      <c r="I3140" s="75" t="s">
        <v>19</v>
      </c>
      <c r="J3140" t="str">
        <f>VLOOKUP(Table2[[#This Row],[Author]],People!A:B,2,0)</f>
        <v>LS</v>
      </c>
      <c r="K3140" s="70"/>
      <c r="L3140" s="67"/>
      <c r="M3140" s="67" t="s">
        <v>8165</v>
      </c>
    </row>
    <row r="3141" spans="1:13" x14ac:dyDescent="0.25">
      <c r="A3141" s="75">
        <f t="shared" si="48"/>
        <v>3140</v>
      </c>
      <c r="B3141" s="69" t="s">
        <v>5960</v>
      </c>
      <c r="C3141" s="69" t="s">
        <v>8302</v>
      </c>
      <c r="D3141" t="s">
        <v>8273</v>
      </c>
      <c r="F3141" s="69" t="s">
        <v>2515</v>
      </c>
      <c r="G3141" s="69" t="s">
        <v>24</v>
      </c>
      <c r="H3141" s="75" t="str">
        <f>IFERROR(VLOOKUP(Table2[[#This Row],[Ticket]],Okey!A:B,2,0),"")</f>
        <v>ok</v>
      </c>
      <c r="I3141" s="75" t="s">
        <v>19</v>
      </c>
      <c r="J3141" t="str">
        <f>VLOOKUP(Table2[[#This Row],[Author]],People!A:B,2,0)</f>
        <v>LS</v>
      </c>
      <c r="K3141" s="70"/>
      <c r="L3141" s="67"/>
      <c r="M3141" s="67" t="s">
        <v>8165</v>
      </c>
    </row>
    <row r="3142" spans="1:13" x14ac:dyDescent="0.25">
      <c r="A3142" s="75">
        <f t="shared" si="48"/>
        <v>3141</v>
      </c>
      <c r="B3142" s="69" t="s">
        <v>5960</v>
      </c>
      <c r="C3142" s="69" t="s">
        <v>8302</v>
      </c>
      <c r="D3142" t="s">
        <v>8274</v>
      </c>
      <c r="F3142" s="69" t="s">
        <v>2515</v>
      </c>
      <c r="G3142" s="69" t="s">
        <v>24</v>
      </c>
      <c r="H3142" s="75" t="str">
        <f>IFERROR(VLOOKUP(Table2[[#This Row],[Ticket]],Okey!A:B,2,0),"")</f>
        <v>ok</v>
      </c>
      <c r="I3142" s="75" t="s">
        <v>19</v>
      </c>
      <c r="J3142" t="str">
        <f>VLOOKUP(Table2[[#This Row],[Author]],People!A:B,2,0)</f>
        <v>LS</v>
      </c>
      <c r="K3142" s="70"/>
      <c r="L3142" s="67"/>
      <c r="M3142" s="67" t="s">
        <v>8165</v>
      </c>
    </row>
    <row r="3143" spans="1:13" x14ac:dyDescent="0.25">
      <c r="A3143" s="75">
        <f t="shared" si="48"/>
        <v>3142</v>
      </c>
      <c r="B3143" s="69" t="s">
        <v>5960</v>
      </c>
      <c r="C3143" s="69" t="s">
        <v>8302</v>
      </c>
      <c r="D3143" t="s">
        <v>1458</v>
      </c>
      <c r="F3143" s="69" t="s">
        <v>2515</v>
      </c>
      <c r="G3143" s="69" t="s">
        <v>24</v>
      </c>
      <c r="H3143" s="75" t="str">
        <f>IFERROR(VLOOKUP(Table2[[#This Row],[Ticket]],Okey!A:B,2,0),"")</f>
        <v>ok</v>
      </c>
      <c r="I3143" s="75" t="s">
        <v>19</v>
      </c>
      <c r="J3143" t="str">
        <f>VLOOKUP(Table2[[#This Row],[Author]],People!A:B,2,0)</f>
        <v>LS</v>
      </c>
      <c r="K3143" s="70"/>
      <c r="L3143" s="67"/>
      <c r="M3143" s="67" t="s">
        <v>8165</v>
      </c>
    </row>
    <row r="3144" spans="1:13" x14ac:dyDescent="0.25">
      <c r="A3144" s="75">
        <f t="shared" si="48"/>
        <v>3143</v>
      </c>
      <c r="B3144" s="69" t="s">
        <v>5960</v>
      </c>
      <c r="C3144" s="69" t="s">
        <v>8302</v>
      </c>
      <c r="D3144" t="s">
        <v>8275</v>
      </c>
      <c r="F3144" s="69" t="s">
        <v>2515</v>
      </c>
      <c r="G3144" s="69" t="s">
        <v>24</v>
      </c>
      <c r="H3144" s="75" t="str">
        <f>IFERROR(VLOOKUP(Table2[[#This Row],[Ticket]],Okey!A:B,2,0),"")</f>
        <v>ok</v>
      </c>
      <c r="I3144" s="75" t="s">
        <v>19</v>
      </c>
      <c r="J3144" t="str">
        <f>VLOOKUP(Table2[[#This Row],[Author]],People!A:B,2,0)</f>
        <v>LS</v>
      </c>
      <c r="K3144" s="70"/>
      <c r="L3144" s="67"/>
      <c r="M3144" s="67" t="s">
        <v>8165</v>
      </c>
    </row>
    <row r="3145" spans="1:13" x14ac:dyDescent="0.25">
      <c r="A3145" s="75">
        <f t="shared" ref="A3145:A3208" si="49">1+A3144</f>
        <v>3144</v>
      </c>
      <c r="B3145" s="69" t="s">
        <v>5960</v>
      </c>
      <c r="C3145" s="69" t="s">
        <v>8302</v>
      </c>
      <c r="D3145" t="s">
        <v>1461</v>
      </c>
      <c r="F3145" s="69" t="s">
        <v>2515</v>
      </c>
      <c r="G3145" s="69" t="s">
        <v>24</v>
      </c>
      <c r="H3145" s="75" t="str">
        <f>IFERROR(VLOOKUP(Table2[[#This Row],[Ticket]],Okey!A:B,2,0),"")</f>
        <v>ok</v>
      </c>
      <c r="I3145" s="75" t="s">
        <v>19</v>
      </c>
      <c r="J3145" t="str">
        <f>VLOOKUP(Table2[[#This Row],[Author]],People!A:B,2,0)</f>
        <v>LS</v>
      </c>
      <c r="K3145" s="70"/>
      <c r="L3145" s="67"/>
      <c r="M3145" s="67" t="s">
        <v>8165</v>
      </c>
    </row>
    <row r="3146" spans="1:13" x14ac:dyDescent="0.25">
      <c r="A3146" s="75">
        <f t="shared" si="49"/>
        <v>3145</v>
      </c>
      <c r="B3146" s="69" t="s">
        <v>5960</v>
      </c>
      <c r="C3146" s="69" t="s">
        <v>8302</v>
      </c>
      <c r="D3146" t="s">
        <v>8276</v>
      </c>
      <c r="F3146" s="69" t="s">
        <v>2515</v>
      </c>
      <c r="G3146" s="69" t="s">
        <v>24</v>
      </c>
      <c r="H3146" s="75" t="str">
        <f>IFERROR(VLOOKUP(Table2[[#This Row],[Ticket]],Okey!A:B,2,0),"")</f>
        <v>ok</v>
      </c>
      <c r="I3146" s="75" t="s">
        <v>19</v>
      </c>
      <c r="J3146" t="str">
        <f>VLOOKUP(Table2[[#This Row],[Author]],People!A:B,2,0)</f>
        <v>LS</v>
      </c>
      <c r="K3146" s="70"/>
      <c r="L3146" s="67"/>
      <c r="M3146" s="67" t="s">
        <v>8165</v>
      </c>
    </row>
    <row r="3147" spans="1:13" x14ac:dyDescent="0.25">
      <c r="A3147" s="75">
        <f t="shared" si="49"/>
        <v>3146</v>
      </c>
      <c r="B3147" s="69" t="s">
        <v>5960</v>
      </c>
      <c r="C3147" s="69" t="s">
        <v>8302</v>
      </c>
      <c r="D3147" t="s">
        <v>8277</v>
      </c>
      <c r="F3147" s="69" t="s">
        <v>2515</v>
      </c>
      <c r="G3147" s="69" t="s">
        <v>24</v>
      </c>
      <c r="H3147" s="75" t="str">
        <f>IFERROR(VLOOKUP(Table2[[#This Row],[Ticket]],Okey!A:B,2,0),"")</f>
        <v>ok</v>
      </c>
      <c r="I3147" s="75" t="s">
        <v>19</v>
      </c>
      <c r="J3147" t="str">
        <f>VLOOKUP(Table2[[#This Row],[Author]],People!A:B,2,0)</f>
        <v>LS</v>
      </c>
      <c r="K3147" s="70"/>
      <c r="L3147" s="67"/>
      <c r="M3147" s="67" t="s">
        <v>8165</v>
      </c>
    </row>
    <row r="3148" spans="1:13" x14ac:dyDescent="0.25">
      <c r="A3148" s="75">
        <f t="shared" si="49"/>
        <v>3147</v>
      </c>
      <c r="B3148" s="69" t="s">
        <v>5960</v>
      </c>
      <c r="C3148" s="69" t="s">
        <v>8302</v>
      </c>
      <c r="D3148" t="s">
        <v>8278</v>
      </c>
      <c r="F3148" s="69" t="s">
        <v>2515</v>
      </c>
      <c r="G3148" s="69" t="s">
        <v>24</v>
      </c>
      <c r="H3148" s="75" t="str">
        <f>IFERROR(VLOOKUP(Table2[[#This Row],[Ticket]],Okey!A:B,2,0),"")</f>
        <v>ok</v>
      </c>
      <c r="I3148" s="75" t="s">
        <v>19</v>
      </c>
      <c r="J3148" t="str">
        <f>VLOOKUP(Table2[[#This Row],[Author]],People!A:B,2,0)</f>
        <v>LS</v>
      </c>
      <c r="K3148" s="70"/>
      <c r="L3148" s="67"/>
      <c r="M3148" s="67" t="s">
        <v>8165</v>
      </c>
    </row>
    <row r="3149" spans="1:13" x14ac:dyDescent="0.25">
      <c r="A3149" s="75">
        <f t="shared" si="49"/>
        <v>3148</v>
      </c>
      <c r="B3149" s="69" t="s">
        <v>5960</v>
      </c>
      <c r="C3149" s="69" t="s">
        <v>8302</v>
      </c>
      <c r="D3149" t="s">
        <v>8279</v>
      </c>
      <c r="F3149" s="69" t="s">
        <v>2515</v>
      </c>
      <c r="G3149" s="69" t="s">
        <v>24</v>
      </c>
      <c r="H3149" s="75" t="str">
        <f>IFERROR(VLOOKUP(Table2[[#This Row],[Ticket]],Okey!A:B,2,0),"")</f>
        <v>ok</v>
      </c>
      <c r="I3149" s="75" t="s">
        <v>19</v>
      </c>
      <c r="J3149" t="str">
        <f>VLOOKUP(Table2[[#This Row],[Author]],People!A:B,2,0)</f>
        <v>LS</v>
      </c>
      <c r="K3149" s="70"/>
      <c r="L3149" s="67"/>
      <c r="M3149" s="67" t="s">
        <v>8165</v>
      </c>
    </row>
    <row r="3150" spans="1:13" x14ac:dyDescent="0.25">
      <c r="A3150" s="75">
        <f t="shared" si="49"/>
        <v>3149</v>
      </c>
      <c r="B3150" s="69" t="s">
        <v>5960</v>
      </c>
      <c r="C3150" s="69" t="s">
        <v>8302</v>
      </c>
      <c r="D3150" t="s">
        <v>8280</v>
      </c>
      <c r="F3150" s="69" t="s">
        <v>2515</v>
      </c>
      <c r="G3150" s="69" t="s">
        <v>24</v>
      </c>
      <c r="H3150" s="75" t="str">
        <f>IFERROR(VLOOKUP(Table2[[#This Row],[Ticket]],Okey!A:B,2,0),"")</f>
        <v>ok</v>
      </c>
      <c r="I3150" s="75" t="s">
        <v>19</v>
      </c>
      <c r="J3150" t="str">
        <f>VLOOKUP(Table2[[#This Row],[Author]],People!A:B,2,0)</f>
        <v>LS</v>
      </c>
      <c r="K3150" s="70"/>
      <c r="L3150" s="67"/>
      <c r="M3150" s="67" t="s">
        <v>8165</v>
      </c>
    </row>
    <row r="3151" spans="1:13" x14ac:dyDescent="0.25">
      <c r="A3151" s="75">
        <f t="shared" si="49"/>
        <v>3150</v>
      </c>
      <c r="B3151" s="69" t="s">
        <v>5960</v>
      </c>
      <c r="C3151" s="69" t="s">
        <v>8302</v>
      </c>
      <c r="D3151" t="s">
        <v>8281</v>
      </c>
      <c r="F3151" s="69" t="s">
        <v>2515</v>
      </c>
      <c r="G3151" s="69" t="s">
        <v>24</v>
      </c>
      <c r="H3151" s="75" t="str">
        <f>IFERROR(VLOOKUP(Table2[[#This Row],[Ticket]],Okey!A:B,2,0),"")</f>
        <v>ok</v>
      </c>
      <c r="I3151" s="75" t="s">
        <v>19</v>
      </c>
      <c r="J3151" t="str">
        <f>VLOOKUP(Table2[[#This Row],[Author]],People!A:B,2,0)</f>
        <v>LS</v>
      </c>
      <c r="K3151" s="70"/>
      <c r="L3151" s="67"/>
      <c r="M3151" s="67" t="s">
        <v>8165</v>
      </c>
    </row>
    <row r="3152" spans="1:13" x14ac:dyDescent="0.25">
      <c r="A3152" s="75">
        <f t="shared" si="49"/>
        <v>3151</v>
      </c>
      <c r="B3152" s="69" t="s">
        <v>5960</v>
      </c>
      <c r="C3152" s="69" t="s">
        <v>8302</v>
      </c>
      <c r="D3152" t="s">
        <v>6197</v>
      </c>
      <c r="F3152" s="69" t="s">
        <v>2509</v>
      </c>
      <c r="G3152" s="69" t="s">
        <v>24</v>
      </c>
      <c r="H3152" s="75" t="str">
        <f>IFERROR(VLOOKUP(Table2[[#This Row],[Ticket]],Okey!A:B,2,0),"")</f>
        <v>ok</v>
      </c>
      <c r="I3152" s="75" t="s">
        <v>19</v>
      </c>
      <c r="J3152" t="str">
        <f>VLOOKUP(Table2[[#This Row],[Author]],People!A:B,2,0)</f>
        <v>LS</v>
      </c>
      <c r="K3152" s="70"/>
      <c r="L3152" s="67"/>
      <c r="M3152" s="67" t="s">
        <v>8165</v>
      </c>
    </row>
    <row r="3153" spans="1:13" x14ac:dyDescent="0.25">
      <c r="A3153" s="75">
        <f t="shared" si="49"/>
        <v>3152</v>
      </c>
      <c r="B3153" s="69" t="s">
        <v>5960</v>
      </c>
      <c r="C3153" s="69" t="s">
        <v>8302</v>
      </c>
      <c r="D3153" t="s">
        <v>2325</v>
      </c>
      <c r="F3153" s="69" t="s">
        <v>2493</v>
      </c>
      <c r="G3153" s="69" t="s">
        <v>24</v>
      </c>
      <c r="H3153" s="75" t="str">
        <f>IFERROR(VLOOKUP(Table2[[#This Row],[Ticket]],Okey!A:B,2,0),"")</f>
        <v>ok</v>
      </c>
      <c r="I3153" s="75" t="s">
        <v>19</v>
      </c>
      <c r="J3153" t="str">
        <f>VLOOKUP(Table2[[#This Row],[Author]],People!A:B,2,0)</f>
        <v>LS</v>
      </c>
      <c r="K3153" s="70"/>
      <c r="L3153" s="67"/>
      <c r="M3153" s="67" t="s">
        <v>8165</v>
      </c>
    </row>
    <row r="3154" spans="1:13" x14ac:dyDescent="0.25">
      <c r="A3154" s="75">
        <f t="shared" si="49"/>
        <v>3153</v>
      </c>
      <c r="B3154" s="69" t="s">
        <v>5960</v>
      </c>
      <c r="C3154" s="69" t="s">
        <v>8302</v>
      </c>
      <c r="D3154" t="s">
        <v>3682</v>
      </c>
      <c r="F3154" s="69" t="s">
        <v>2493</v>
      </c>
      <c r="G3154" s="69" t="s">
        <v>24</v>
      </c>
      <c r="H3154" s="75" t="str">
        <f>IFERROR(VLOOKUP(Table2[[#This Row],[Ticket]],Okey!A:B,2,0),"")</f>
        <v>ok</v>
      </c>
      <c r="I3154" s="75" t="s">
        <v>19</v>
      </c>
      <c r="J3154" t="str">
        <f>VLOOKUP(Table2[[#This Row],[Author]],People!A:B,2,0)</f>
        <v>LS</v>
      </c>
      <c r="K3154" s="70"/>
      <c r="L3154" s="67"/>
      <c r="M3154" s="67" t="s">
        <v>8165</v>
      </c>
    </row>
    <row r="3155" spans="1:13" x14ac:dyDescent="0.25">
      <c r="A3155" s="75">
        <f t="shared" si="49"/>
        <v>3154</v>
      </c>
      <c r="B3155" s="70" t="s">
        <v>5960</v>
      </c>
      <c r="C3155" t="s">
        <v>8319</v>
      </c>
      <c r="D3155" t="s">
        <v>2352</v>
      </c>
      <c r="E3155" s="73" t="s">
        <v>8320</v>
      </c>
      <c r="G3155" t="s">
        <v>63</v>
      </c>
      <c r="H3155" s="75" t="str">
        <f>IFERROR(VLOOKUP(Table2[[#This Row],[Ticket]],Okey!A:B,2,0),"")</f>
        <v>ok</v>
      </c>
      <c r="I3155" t="s">
        <v>8318</v>
      </c>
      <c r="J3155" t="str">
        <f>VLOOKUP(Table2[[#This Row],[Author]],People!A:B,2,0)</f>
        <v>MGF</v>
      </c>
      <c r="K3155" s="76" t="s">
        <v>8404</v>
      </c>
      <c r="L3155" s="76"/>
      <c r="M3155" s="67" t="s">
        <v>2355</v>
      </c>
    </row>
    <row r="3156" spans="1:13" x14ac:dyDescent="0.25">
      <c r="A3156" s="75">
        <f t="shared" si="49"/>
        <v>3155</v>
      </c>
      <c r="B3156" s="70" t="s">
        <v>5960</v>
      </c>
      <c r="C3156" t="s">
        <v>8333</v>
      </c>
      <c r="D3156" s="73" t="s">
        <v>8344</v>
      </c>
      <c r="E3156" t="s">
        <v>8321</v>
      </c>
      <c r="F3156" t="s">
        <v>240</v>
      </c>
      <c r="G3156" t="s">
        <v>18</v>
      </c>
      <c r="H3156" s="75" t="str">
        <f>IFERROR(VLOOKUP(Table2[[#This Row],[Ticket]],Okey!A:B,2,0),"")</f>
        <v>ok</v>
      </c>
      <c r="I3156" s="73" t="s">
        <v>8318</v>
      </c>
      <c r="J3156" t="str">
        <f>VLOOKUP(Table2[[#This Row],[Author]],People!A:B,2,0)</f>
        <v>MGF</v>
      </c>
      <c r="K3156" s="75" t="s">
        <v>8403</v>
      </c>
      <c r="L3156" s="76" t="s">
        <v>8405</v>
      </c>
      <c r="M3156" s="67" t="s">
        <v>40</v>
      </c>
    </row>
    <row r="3157" spans="1:13" x14ac:dyDescent="0.25">
      <c r="A3157" s="75">
        <f t="shared" si="49"/>
        <v>3156</v>
      </c>
      <c r="B3157" s="70" t="s">
        <v>5960</v>
      </c>
      <c r="C3157" s="70" t="s">
        <v>8333</v>
      </c>
      <c r="D3157" s="73" t="s">
        <v>8345</v>
      </c>
      <c r="E3157" t="s">
        <v>8322</v>
      </c>
      <c r="F3157" t="s">
        <v>240</v>
      </c>
      <c r="G3157" s="70" t="s">
        <v>18</v>
      </c>
      <c r="H3157" s="75" t="str">
        <f>IFERROR(VLOOKUP(Table2[[#This Row],[Ticket]],Okey!A:B,2,0),"")</f>
        <v>ok</v>
      </c>
      <c r="I3157" s="73" t="s">
        <v>8318</v>
      </c>
      <c r="J3157" t="str">
        <f>VLOOKUP(Table2[[#This Row],[Author]],People!A:B,2,0)</f>
        <v>MGF</v>
      </c>
      <c r="K3157" s="75" t="s">
        <v>8403</v>
      </c>
      <c r="L3157" s="76" t="s">
        <v>8405</v>
      </c>
      <c r="M3157" s="67" t="s">
        <v>40</v>
      </c>
    </row>
    <row r="3158" spans="1:13" x14ac:dyDescent="0.25">
      <c r="A3158" s="75">
        <f t="shared" si="49"/>
        <v>3157</v>
      </c>
      <c r="B3158" s="70" t="s">
        <v>5960</v>
      </c>
      <c r="C3158" s="70" t="s">
        <v>8333</v>
      </c>
      <c r="D3158" s="73" t="s">
        <v>8346</v>
      </c>
      <c r="E3158" t="s">
        <v>8323</v>
      </c>
      <c r="F3158" t="s">
        <v>49</v>
      </c>
      <c r="G3158" s="70" t="s">
        <v>18</v>
      </c>
      <c r="H3158" s="75" t="str">
        <f>IFERROR(VLOOKUP(Table2[[#This Row],[Ticket]],Okey!A:B,2,0),"")</f>
        <v>ok</v>
      </c>
      <c r="I3158" s="73" t="s">
        <v>8318</v>
      </c>
      <c r="J3158" t="str">
        <f>VLOOKUP(Table2[[#This Row],[Author]],People!A:B,2,0)</f>
        <v>MGF</v>
      </c>
      <c r="K3158" s="75"/>
      <c r="L3158" s="76"/>
      <c r="M3158" s="67" t="s">
        <v>40</v>
      </c>
    </row>
    <row r="3159" spans="1:13" x14ac:dyDescent="0.25">
      <c r="A3159" s="75">
        <f t="shared" si="49"/>
        <v>3158</v>
      </c>
      <c r="B3159" s="70" t="s">
        <v>5960</v>
      </c>
      <c r="C3159" s="70" t="s">
        <v>8333</v>
      </c>
      <c r="D3159" t="s">
        <v>8324</v>
      </c>
      <c r="E3159" t="s">
        <v>8321</v>
      </c>
      <c r="F3159" s="73" t="s">
        <v>8344</v>
      </c>
      <c r="G3159" t="s">
        <v>63</v>
      </c>
      <c r="H3159" s="75" t="str">
        <f>IFERROR(VLOOKUP(Table2[[#This Row],[Ticket]],Okey!A:B,2,0),"")</f>
        <v>ok</v>
      </c>
      <c r="I3159" s="73" t="s">
        <v>8318</v>
      </c>
      <c r="J3159" t="str">
        <f>VLOOKUP(Table2[[#This Row],[Author]],People!A:B,2,0)</f>
        <v>MGF</v>
      </c>
      <c r="K3159" s="76" t="s">
        <v>8404</v>
      </c>
      <c r="L3159" s="76"/>
      <c r="M3159" s="67" t="s">
        <v>40</v>
      </c>
    </row>
    <row r="3160" spans="1:13" x14ac:dyDescent="0.25">
      <c r="A3160" s="75">
        <f t="shared" si="49"/>
        <v>3159</v>
      </c>
      <c r="B3160" s="70" t="s">
        <v>5960</v>
      </c>
      <c r="C3160" s="70" t="s">
        <v>8333</v>
      </c>
      <c r="D3160" t="s">
        <v>8325</v>
      </c>
      <c r="E3160" t="s">
        <v>8322</v>
      </c>
      <c r="F3160" s="73" t="s">
        <v>8345</v>
      </c>
      <c r="G3160" s="70" t="s">
        <v>63</v>
      </c>
      <c r="H3160" s="75" t="str">
        <f>IFERROR(VLOOKUP(Table2[[#This Row],[Ticket]],Okey!A:B,2,0),"")</f>
        <v>ok</v>
      </c>
      <c r="I3160" s="73" t="s">
        <v>8318</v>
      </c>
      <c r="J3160" t="str">
        <f>VLOOKUP(Table2[[#This Row],[Author]],People!A:B,2,0)</f>
        <v>MGF</v>
      </c>
      <c r="K3160" s="76" t="s">
        <v>8404</v>
      </c>
      <c r="L3160" s="76"/>
      <c r="M3160" s="67" t="s">
        <v>40</v>
      </c>
    </row>
    <row r="3161" spans="1:13" x14ac:dyDescent="0.25">
      <c r="A3161" s="75">
        <f t="shared" si="49"/>
        <v>3160</v>
      </c>
      <c r="B3161" s="70" t="s">
        <v>5960</v>
      </c>
      <c r="C3161" s="70" t="s">
        <v>8333</v>
      </c>
      <c r="D3161" t="s">
        <v>8326</v>
      </c>
      <c r="E3161" t="s">
        <v>8323</v>
      </c>
      <c r="F3161" s="73" t="s">
        <v>8346</v>
      </c>
      <c r="G3161" s="70" t="s">
        <v>63</v>
      </c>
      <c r="H3161" s="75" t="str">
        <f>IFERROR(VLOOKUP(Table2[[#This Row],[Ticket]],Okey!A:B,2,0),"")</f>
        <v>ok</v>
      </c>
      <c r="I3161" s="73" t="s">
        <v>8318</v>
      </c>
      <c r="J3161" t="str">
        <f>VLOOKUP(Table2[[#This Row],[Author]],People!A:B,2,0)</f>
        <v>MGF</v>
      </c>
      <c r="K3161" s="76" t="s">
        <v>8404</v>
      </c>
      <c r="L3161" s="76"/>
      <c r="M3161" s="67" t="s">
        <v>40</v>
      </c>
    </row>
    <row r="3162" spans="1:13" x14ac:dyDescent="0.25">
      <c r="A3162" s="75">
        <f t="shared" si="49"/>
        <v>3161</v>
      </c>
      <c r="B3162" s="70" t="s">
        <v>5960</v>
      </c>
      <c r="C3162" s="70" t="s">
        <v>8333</v>
      </c>
      <c r="D3162" s="73" t="s">
        <v>8349</v>
      </c>
      <c r="E3162" t="s">
        <v>8327</v>
      </c>
      <c r="F3162" t="s">
        <v>8328</v>
      </c>
      <c r="G3162" s="70" t="s">
        <v>18</v>
      </c>
      <c r="H3162" s="75" t="str">
        <f>IFERROR(VLOOKUP(Table2[[#This Row],[Ticket]],Okey!A:B,2,0),"")</f>
        <v>ok</v>
      </c>
      <c r="I3162" s="73" t="s">
        <v>8318</v>
      </c>
      <c r="J3162" t="str">
        <f>VLOOKUP(Table2[[#This Row],[Author]],People!A:B,2,0)</f>
        <v>MGF</v>
      </c>
      <c r="K3162" s="75"/>
      <c r="L3162" s="76"/>
      <c r="M3162" s="67" t="s">
        <v>40</v>
      </c>
    </row>
    <row r="3163" spans="1:13" x14ac:dyDescent="0.25">
      <c r="A3163" s="75">
        <f t="shared" si="49"/>
        <v>3162</v>
      </c>
      <c r="B3163" s="70" t="s">
        <v>5960</v>
      </c>
      <c r="C3163" s="70" t="s">
        <v>8333</v>
      </c>
      <c r="D3163" s="73" t="s">
        <v>8347</v>
      </c>
      <c r="E3163" t="s">
        <v>8329</v>
      </c>
      <c r="F3163" t="s">
        <v>49</v>
      </c>
      <c r="G3163" s="70" t="s">
        <v>18</v>
      </c>
      <c r="H3163" s="75" t="str">
        <f>IFERROR(VLOOKUP(Table2[[#This Row],[Ticket]],Okey!A:B,2,0),"")</f>
        <v>ok</v>
      </c>
      <c r="I3163" s="73" t="s">
        <v>8318</v>
      </c>
      <c r="J3163" t="str">
        <f>VLOOKUP(Table2[[#This Row],[Author]],People!A:B,2,0)</f>
        <v>MGF</v>
      </c>
      <c r="K3163" s="75"/>
      <c r="L3163" s="76"/>
      <c r="M3163" s="67" t="s">
        <v>40</v>
      </c>
    </row>
    <row r="3164" spans="1:13" x14ac:dyDescent="0.25">
      <c r="A3164" s="75">
        <f t="shared" si="49"/>
        <v>3163</v>
      </c>
      <c r="B3164" s="70" t="s">
        <v>5960</v>
      </c>
      <c r="C3164" s="70" t="s">
        <v>8333</v>
      </c>
      <c r="D3164" s="73" t="s">
        <v>8348</v>
      </c>
      <c r="E3164" t="s">
        <v>8330</v>
      </c>
      <c r="F3164" t="s">
        <v>49</v>
      </c>
      <c r="G3164" s="70" t="s">
        <v>18</v>
      </c>
      <c r="H3164" s="75" t="str">
        <f>IFERROR(VLOOKUP(Table2[[#This Row],[Ticket]],Okey!A:B,2,0),"")</f>
        <v>ok</v>
      </c>
      <c r="I3164" s="73" t="s">
        <v>8318</v>
      </c>
      <c r="J3164" t="str">
        <f>VLOOKUP(Table2[[#This Row],[Author]],People!A:B,2,0)</f>
        <v>MGF</v>
      </c>
      <c r="K3164" s="75"/>
      <c r="L3164" s="76"/>
      <c r="M3164" s="67" t="s">
        <v>40</v>
      </c>
    </row>
    <row r="3165" spans="1:13" x14ac:dyDescent="0.25">
      <c r="A3165" s="75">
        <f t="shared" si="49"/>
        <v>3164</v>
      </c>
      <c r="B3165" s="70" t="s">
        <v>5960</v>
      </c>
      <c r="C3165" s="70" t="s">
        <v>8333</v>
      </c>
      <c r="D3165" t="s">
        <v>8331</v>
      </c>
      <c r="E3165" t="s">
        <v>8329</v>
      </c>
      <c r="F3165" s="73" t="s">
        <v>8347</v>
      </c>
      <c r="G3165" s="70" t="s">
        <v>63</v>
      </c>
      <c r="H3165" s="75" t="str">
        <f>IFERROR(VLOOKUP(Table2[[#This Row],[Ticket]],Okey!A:B,2,0),"")</f>
        <v>ok</v>
      </c>
      <c r="I3165" s="73" t="s">
        <v>8318</v>
      </c>
      <c r="J3165" t="str">
        <f>VLOOKUP(Table2[[#This Row],[Author]],People!A:B,2,0)</f>
        <v>MGF</v>
      </c>
      <c r="K3165" s="76" t="s">
        <v>8404</v>
      </c>
      <c r="L3165" s="76"/>
      <c r="M3165" s="67" t="s">
        <v>40</v>
      </c>
    </row>
    <row r="3166" spans="1:13" x14ac:dyDescent="0.25">
      <c r="A3166" s="75">
        <f t="shared" si="49"/>
        <v>3165</v>
      </c>
      <c r="B3166" s="70" t="s">
        <v>5960</v>
      </c>
      <c r="C3166" s="70" t="s">
        <v>8333</v>
      </c>
      <c r="D3166" t="s">
        <v>8332</v>
      </c>
      <c r="E3166" t="s">
        <v>8330</v>
      </c>
      <c r="F3166" s="73" t="s">
        <v>8348</v>
      </c>
      <c r="G3166" s="70" t="s">
        <v>63</v>
      </c>
      <c r="H3166" s="75" t="str">
        <f>IFERROR(VLOOKUP(Table2[[#This Row],[Ticket]],Okey!A:B,2,0),"")</f>
        <v>ok</v>
      </c>
      <c r="I3166" s="73" t="s">
        <v>8318</v>
      </c>
      <c r="J3166" t="str">
        <f>VLOOKUP(Table2[[#This Row],[Author]],People!A:B,2,0)</f>
        <v>MGF</v>
      </c>
      <c r="K3166" s="76" t="s">
        <v>8404</v>
      </c>
      <c r="L3166" s="76"/>
      <c r="M3166" s="67" t="s">
        <v>40</v>
      </c>
    </row>
    <row r="3167" spans="1:13" x14ac:dyDescent="0.25">
      <c r="A3167" s="75">
        <f t="shared" si="49"/>
        <v>3166</v>
      </c>
      <c r="B3167" s="70" t="s">
        <v>5960</v>
      </c>
      <c r="C3167" s="70" t="s">
        <v>8334</v>
      </c>
      <c r="D3167" t="s">
        <v>3748</v>
      </c>
      <c r="F3167" t="s">
        <v>454</v>
      </c>
      <c r="G3167" t="s">
        <v>24</v>
      </c>
      <c r="H3167" s="75" t="str">
        <f>IFERROR(VLOOKUP(Table2[[#This Row],[Ticket]],Okey!A:B,2,0),"")</f>
        <v>ok</v>
      </c>
      <c r="I3167" t="s">
        <v>8318</v>
      </c>
      <c r="J3167" t="str">
        <f>VLOOKUP(Table2[[#This Row],[Author]],People!A:B,2,0)</f>
        <v>MGF</v>
      </c>
      <c r="K3167" s="75"/>
      <c r="L3167" s="67"/>
      <c r="M3167" s="67" t="s">
        <v>7208</v>
      </c>
    </row>
    <row r="3168" spans="1:13" x14ac:dyDescent="0.25">
      <c r="A3168" s="75">
        <f t="shared" si="49"/>
        <v>3167</v>
      </c>
      <c r="B3168" s="70" t="s">
        <v>5960</v>
      </c>
      <c r="C3168" s="70" t="s">
        <v>8334</v>
      </c>
      <c r="D3168" t="s">
        <v>480</v>
      </c>
      <c r="F3168" t="s">
        <v>454</v>
      </c>
      <c r="G3168" s="70" t="s">
        <v>24</v>
      </c>
      <c r="H3168" s="75" t="str">
        <f>IFERROR(VLOOKUP(Table2[[#This Row],[Ticket]],Okey!A:B,2,0),"")</f>
        <v>ok</v>
      </c>
      <c r="I3168" s="73" t="s">
        <v>8318</v>
      </c>
      <c r="J3168" t="str">
        <f>VLOOKUP(Table2[[#This Row],[Author]],People!A:B,2,0)</f>
        <v>MGF</v>
      </c>
      <c r="K3168" s="75"/>
      <c r="L3168" s="67"/>
      <c r="M3168" s="67" t="s">
        <v>7208</v>
      </c>
    </row>
    <row r="3169" spans="1:13" x14ac:dyDescent="0.25">
      <c r="A3169" s="75">
        <f t="shared" si="49"/>
        <v>3168</v>
      </c>
      <c r="B3169" s="70" t="s">
        <v>5960</v>
      </c>
      <c r="C3169" s="70" t="s">
        <v>8334</v>
      </c>
      <c r="D3169" t="s">
        <v>8335</v>
      </c>
      <c r="F3169" t="s">
        <v>454</v>
      </c>
      <c r="G3169" s="70" t="s">
        <v>24</v>
      </c>
      <c r="H3169" s="75" t="str">
        <f>IFERROR(VLOOKUP(Table2[[#This Row],[Ticket]],Okey!A:B,2,0),"")</f>
        <v>ok</v>
      </c>
      <c r="I3169" s="73" t="s">
        <v>8318</v>
      </c>
      <c r="J3169" t="str">
        <f>VLOOKUP(Table2[[#This Row],[Author]],People!A:B,2,0)</f>
        <v>MGF</v>
      </c>
      <c r="K3169" s="75"/>
      <c r="L3169" s="67"/>
      <c r="M3169" s="67" t="s">
        <v>7208</v>
      </c>
    </row>
    <row r="3170" spans="1:13" x14ac:dyDescent="0.25">
      <c r="A3170" s="75">
        <f t="shared" si="49"/>
        <v>3169</v>
      </c>
      <c r="B3170" s="70" t="s">
        <v>5960</v>
      </c>
      <c r="C3170" s="70" t="s">
        <v>8334</v>
      </c>
      <c r="D3170" t="s">
        <v>8350</v>
      </c>
      <c r="F3170" t="s">
        <v>454</v>
      </c>
      <c r="G3170" s="70" t="s">
        <v>24</v>
      </c>
      <c r="H3170" s="75" t="str">
        <f>IFERROR(VLOOKUP(Table2[[#This Row],[Ticket]],Okey!A:B,2,0),"")</f>
        <v>ok</v>
      </c>
      <c r="I3170" s="73" t="s">
        <v>8318</v>
      </c>
      <c r="J3170" t="str">
        <f>VLOOKUP(Table2[[#This Row],[Author]],People!A:B,2,0)</f>
        <v>MGF</v>
      </c>
      <c r="K3170" s="75"/>
      <c r="L3170" s="67"/>
      <c r="M3170" s="67" t="s">
        <v>7208</v>
      </c>
    </row>
    <row r="3171" spans="1:13" x14ac:dyDescent="0.25">
      <c r="A3171" s="75">
        <f t="shared" si="49"/>
        <v>3170</v>
      </c>
      <c r="B3171" s="73" t="s">
        <v>5960</v>
      </c>
      <c r="C3171" t="s">
        <v>8338</v>
      </c>
      <c r="D3171" s="71" t="s">
        <v>8336</v>
      </c>
      <c r="E3171" s="73" t="s">
        <v>8337</v>
      </c>
      <c r="G3171" t="s">
        <v>63</v>
      </c>
      <c r="H3171" s="75" t="str">
        <f>IFERROR(VLOOKUP(Table2[[#This Row],[Ticket]],Okey!A:B,2,0),"")</f>
        <v>ok</v>
      </c>
      <c r="I3171" s="73" t="s">
        <v>8318</v>
      </c>
      <c r="J3171" t="str">
        <f>VLOOKUP(Table2[[#This Row],[Author]],People!A:B,2,0)</f>
        <v>MGF</v>
      </c>
      <c r="K3171" s="76" t="s">
        <v>8404</v>
      </c>
      <c r="L3171" s="72"/>
      <c r="M3171" s="74" t="s">
        <v>7208</v>
      </c>
    </row>
    <row r="3172" spans="1:13" x14ac:dyDescent="0.25">
      <c r="A3172" s="75">
        <f t="shared" si="49"/>
        <v>3171</v>
      </c>
      <c r="B3172" s="73" t="s">
        <v>5960</v>
      </c>
      <c r="C3172" t="s">
        <v>8343</v>
      </c>
      <c r="D3172" t="s">
        <v>8339</v>
      </c>
      <c r="E3172" t="s">
        <v>8340</v>
      </c>
      <c r="F3172" t="s">
        <v>8341</v>
      </c>
      <c r="G3172" t="s">
        <v>18</v>
      </c>
      <c r="H3172" s="75" t="str">
        <f>IFERROR(VLOOKUP(Table2[[#This Row],[Ticket]],Okey!A:B,2,0),"")</f>
        <v>ok</v>
      </c>
      <c r="I3172" t="s">
        <v>8046</v>
      </c>
      <c r="J3172" t="str">
        <f>VLOOKUP(Table2[[#This Row],[Author]],People!A:B,2,0)</f>
        <v>MGF</v>
      </c>
      <c r="L3172" s="74"/>
      <c r="M3172" s="74" t="s">
        <v>8342</v>
      </c>
    </row>
    <row r="3173" spans="1:13" x14ac:dyDescent="0.25">
      <c r="A3173" s="75">
        <f t="shared" si="49"/>
        <v>3172</v>
      </c>
      <c r="B3173" s="73" t="s">
        <v>5960</v>
      </c>
      <c r="C3173" t="s">
        <v>8362</v>
      </c>
      <c r="D3173" s="73" t="s">
        <v>8371</v>
      </c>
      <c r="E3173" t="s">
        <v>8352</v>
      </c>
      <c r="F3173" t="s">
        <v>5747</v>
      </c>
      <c r="G3173" t="s">
        <v>18</v>
      </c>
      <c r="H3173" s="75" t="str">
        <f>IFERROR(VLOOKUP(Table2[[#This Row],[Ticket]],Okey!A:B,2,0),"")</f>
        <v>ok</v>
      </c>
      <c r="I3173" t="s">
        <v>8318</v>
      </c>
      <c r="J3173" t="str">
        <f>VLOOKUP(Table2[[#This Row],[Author]],People!A:B,2,0)</f>
        <v>EL</v>
      </c>
      <c r="K3173" s="76" t="s">
        <v>8404</v>
      </c>
      <c r="L3173" s="76"/>
      <c r="M3173" s="74" t="s">
        <v>1752</v>
      </c>
    </row>
    <row r="3174" spans="1:13" x14ac:dyDescent="0.25">
      <c r="A3174" s="75">
        <f t="shared" si="49"/>
        <v>3173</v>
      </c>
      <c r="B3174" s="73" t="s">
        <v>5960</v>
      </c>
      <c r="C3174" s="73" t="s">
        <v>8362</v>
      </c>
      <c r="D3174" s="73" t="s">
        <v>8372</v>
      </c>
      <c r="E3174" t="s">
        <v>8353</v>
      </c>
      <c r="F3174" t="s">
        <v>5747</v>
      </c>
      <c r="G3174" s="73" t="s">
        <v>18</v>
      </c>
      <c r="H3174" s="75" t="str">
        <f>IFERROR(VLOOKUP(Table2[[#This Row],[Ticket]],Okey!A:B,2,0),"")</f>
        <v>ok</v>
      </c>
      <c r="I3174" s="75" t="s">
        <v>8318</v>
      </c>
      <c r="J3174" t="str">
        <f>VLOOKUP(Table2[[#This Row],[Author]],People!A:B,2,0)</f>
        <v>EL</v>
      </c>
      <c r="K3174" s="76" t="s">
        <v>8404</v>
      </c>
      <c r="L3174" s="76"/>
      <c r="M3174" s="74" t="s">
        <v>1752</v>
      </c>
    </row>
    <row r="3175" spans="1:13" x14ac:dyDescent="0.25">
      <c r="A3175" s="75">
        <f t="shared" si="49"/>
        <v>3174</v>
      </c>
      <c r="B3175" s="73" t="s">
        <v>5960</v>
      </c>
      <c r="C3175" s="73" t="s">
        <v>8362</v>
      </c>
      <c r="D3175" s="73" t="s">
        <v>8373</v>
      </c>
      <c r="E3175" t="s">
        <v>8354</v>
      </c>
      <c r="F3175" t="s">
        <v>5747</v>
      </c>
      <c r="G3175" s="73" t="s">
        <v>18</v>
      </c>
      <c r="H3175" s="75" t="str">
        <f>IFERROR(VLOOKUP(Table2[[#This Row],[Ticket]],Okey!A:B,2,0),"")</f>
        <v>ok</v>
      </c>
      <c r="I3175" s="75" t="s">
        <v>8318</v>
      </c>
      <c r="J3175" t="str">
        <f>VLOOKUP(Table2[[#This Row],[Author]],People!A:B,2,0)</f>
        <v>EL</v>
      </c>
      <c r="K3175" s="76" t="s">
        <v>8404</v>
      </c>
      <c r="L3175" s="76"/>
      <c r="M3175" s="74" t="s">
        <v>1752</v>
      </c>
    </row>
    <row r="3176" spans="1:13" x14ac:dyDescent="0.25">
      <c r="A3176" s="75">
        <f t="shared" si="49"/>
        <v>3175</v>
      </c>
      <c r="B3176" s="73" t="s">
        <v>5960</v>
      </c>
      <c r="C3176" s="73" t="s">
        <v>8362</v>
      </c>
      <c r="D3176" s="73" t="s">
        <v>8374</v>
      </c>
      <c r="E3176" t="s">
        <v>8355</v>
      </c>
      <c r="F3176" t="s">
        <v>5747</v>
      </c>
      <c r="G3176" s="73" t="s">
        <v>18</v>
      </c>
      <c r="H3176" s="75" t="str">
        <f>IFERROR(VLOOKUP(Table2[[#This Row],[Ticket]],Okey!A:B,2,0),"")</f>
        <v>ok</v>
      </c>
      <c r="I3176" s="75" t="s">
        <v>8318</v>
      </c>
      <c r="J3176" t="str">
        <f>VLOOKUP(Table2[[#This Row],[Author]],People!A:B,2,0)</f>
        <v>EL</v>
      </c>
      <c r="K3176" s="76" t="s">
        <v>8404</v>
      </c>
      <c r="L3176" s="76"/>
      <c r="M3176" s="74" t="s">
        <v>1752</v>
      </c>
    </row>
    <row r="3177" spans="1:13" x14ac:dyDescent="0.25">
      <c r="A3177" s="75">
        <f t="shared" si="49"/>
        <v>3176</v>
      </c>
      <c r="B3177" s="73" t="s">
        <v>5960</v>
      </c>
      <c r="C3177" s="73" t="s">
        <v>8362</v>
      </c>
      <c r="D3177" s="73" t="s">
        <v>8375</v>
      </c>
      <c r="E3177" t="s">
        <v>8356</v>
      </c>
      <c r="F3177" t="s">
        <v>5747</v>
      </c>
      <c r="G3177" s="73" t="s">
        <v>18</v>
      </c>
      <c r="H3177" s="75" t="str">
        <f>IFERROR(VLOOKUP(Table2[[#This Row],[Ticket]],Okey!A:B,2,0),"")</f>
        <v>ok</v>
      </c>
      <c r="I3177" s="75" t="s">
        <v>8318</v>
      </c>
      <c r="J3177" t="str">
        <f>VLOOKUP(Table2[[#This Row],[Author]],People!A:B,2,0)</f>
        <v>EL</v>
      </c>
      <c r="K3177" s="76" t="s">
        <v>8404</v>
      </c>
      <c r="L3177" s="76"/>
      <c r="M3177" s="74" t="s">
        <v>1752</v>
      </c>
    </row>
    <row r="3178" spans="1:13" x14ac:dyDescent="0.25">
      <c r="A3178" s="75">
        <f t="shared" si="49"/>
        <v>3177</v>
      </c>
      <c r="B3178" s="73" t="s">
        <v>5960</v>
      </c>
      <c r="C3178" s="73" t="s">
        <v>8362</v>
      </c>
      <c r="D3178" s="73" t="s">
        <v>8376</v>
      </c>
      <c r="E3178" t="s">
        <v>8357</v>
      </c>
      <c r="F3178" t="s">
        <v>5747</v>
      </c>
      <c r="G3178" s="73" t="s">
        <v>18</v>
      </c>
      <c r="H3178" s="75" t="str">
        <f>IFERROR(VLOOKUP(Table2[[#This Row],[Ticket]],Okey!A:B,2,0),"")</f>
        <v>ok</v>
      </c>
      <c r="I3178" s="75" t="s">
        <v>8318</v>
      </c>
      <c r="J3178" t="str">
        <f>VLOOKUP(Table2[[#This Row],[Author]],People!A:B,2,0)</f>
        <v>EL</v>
      </c>
      <c r="K3178" s="76" t="s">
        <v>8404</v>
      </c>
      <c r="L3178" s="76"/>
      <c r="M3178" s="74" t="s">
        <v>1752</v>
      </c>
    </row>
    <row r="3179" spans="1:13" x14ac:dyDescent="0.25">
      <c r="A3179" s="75">
        <f t="shared" si="49"/>
        <v>3178</v>
      </c>
      <c r="B3179" s="73" t="s">
        <v>5960</v>
      </c>
      <c r="C3179" s="73" t="s">
        <v>8362</v>
      </c>
      <c r="D3179" s="73" t="s">
        <v>8377</v>
      </c>
      <c r="E3179" t="s">
        <v>8358</v>
      </c>
      <c r="F3179" t="s">
        <v>5747</v>
      </c>
      <c r="G3179" s="73" t="s">
        <v>18</v>
      </c>
      <c r="H3179" s="75" t="str">
        <f>IFERROR(VLOOKUP(Table2[[#This Row],[Ticket]],Okey!A:B,2,0),"")</f>
        <v>ok</v>
      </c>
      <c r="I3179" s="75" t="s">
        <v>8318</v>
      </c>
      <c r="J3179" t="str">
        <f>VLOOKUP(Table2[[#This Row],[Author]],People!A:B,2,0)</f>
        <v>EL</v>
      </c>
      <c r="K3179" s="76" t="s">
        <v>8404</v>
      </c>
      <c r="L3179" s="76"/>
      <c r="M3179" s="74" t="s">
        <v>1752</v>
      </c>
    </row>
    <row r="3180" spans="1:13" x14ac:dyDescent="0.25">
      <c r="A3180" s="75">
        <f t="shared" si="49"/>
        <v>3179</v>
      </c>
      <c r="B3180" s="73" t="s">
        <v>5960</v>
      </c>
      <c r="C3180" s="73" t="s">
        <v>8362</v>
      </c>
      <c r="D3180" s="73" t="s">
        <v>8378</v>
      </c>
      <c r="E3180" t="s">
        <v>8359</v>
      </c>
      <c r="F3180" t="s">
        <v>5747</v>
      </c>
      <c r="G3180" s="73" t="s">
        <v>18</v>
      </c>
      <c r="H3180" s="75" t="str">
        <f>IFERROR(VLOOKUP(Table2[[#This Row],[Ticket]],Okey!A:B,2,0),"")</f>
        <v>ok</v>
      </c>
      <c r="I3180" s="75" t="s">
        <v>8318</v>
      </c>
      <c r="J3180" t="str">
        <f>VLOOKUP(Table2[[#This Row],[Author]],People!A:B,2,0)</f>
        <v>EL</v>
      </c>
      <c r="K3180" s="76" t="s">
        <v>8404</v>
      </c>
      <c r="L3180" s="76"/>
      <c r="M3180" s="74" t="s">
        <v>1752</v>
      </c>
    </row>
    <row r="3181" spans="1:13" x14ac:dyDescent="0.25">
      <c r="A3181" s="75">
        <f t="shared" si="49"/>
        <v>3180</v>
      </c>
      <c r="B3181" s="73" t="s">
        <v>5960</v>
      </c>
      <c r="C3181" s="73" t="s">
        <v>8362</v>
      </c>
      <c r="D3181" s="73" t="s">
        <v>8379</v>
      </c>
      <c r="E3181" t="s">
        <v>8360</v>
      </c>
      <c r="F3181" t="s">
        <v>5747</v>
      </c>
      <c r="G3181" s="73" t="s">
        <v>18</v>
      </c>
      <c r="H3181" s="75" t="str">
        <f>IFERROR(VLOOKUP(Table2[[#This Row],[Ticket]],Okey!A:B,2,0),"")</f>
        <v>ok</v>
      </c>
      <c r="I3181" s="75" t="s">
        <v>8318</v>
      </c>
      <c r="J3181" t="str">
        <f>VLOOKUP(Table2[[#This Row],[Author]],People!A:B,2,0)</f>
        <v>EL</v>
      </c>
      <c r="K3181" s="76" t="s">
        <v>8404</v>
      </c>
      <c r="L3181" s="76"/>
      <c r="M3181" s="74" t="s">
        <v>1752</v>
      </c>
    </row>
    <row r="3182" spans="1:13" x14ac:dyDescent="0.25">
      <c r="A3182" s="75">
        <f t="shared" si="49"/>
        <v>3181</v>
      </c>
      <c r="B3182" s="73" t="s">
        <v>5960</v>
      </c>
      <c r="C3182" s="73" t="s">
        <v>8362</v>
      </c>
      <c r="D3182" s="73" t="s">
        <v>8380</v>
      </c>
      <c r="E3182" t="s">
        <v>8361</v>
      </c>
      <c r="F3182" t="s">
        <v>5747</v>
      </c>
      <c r="G3182" s="73" t="s">
        <v>18</v>
      </c>
      <c r="H3182" s="75" t="str">
        <f>IFERROR(VLOOKUP(Table2[[#This Row],[Ticket]],Okey!A:B,2,0),"")</f>
        <v>ok</v>
      </c>
      <c r="I3182" s="75" t="s">
        <v>8318</v>
      </c>
      <c r="J3182" t="str">
        <f>VLOOKUP(Table2[[#This Row],[Author]],People!A:B,2,0)</f>
        <v>EL</v>
      </c>
      <c r="K3182" s="76" t="s">
        <v>8404</v>
      </c>
      <c r="L3182" s="76"/>
      <c r="M3182" s="74" t="s">
        <v>1752</v>
      </c>
    </row>
    <row r="3183" spans="1:13" x14ac:dyDescent="0.25">
      <c r="A3183" s="75">
        <f t="shared" si="49"/>
        <v>3182</v>
      </c>
      <c r="B3183" s="73" t="s">
        <v>5960</v>
      </c>
      <c r="C3183" s="73" t="s">
        <v>8362</v>
      </c>
      <c r="D3183" t="s">
        <v>8363</v>
      </c>
      <c r="F3183" t="s">
        <v>1767</v>
      </c>
      <c r="G3183" t="s">
        <v>24</v>
      </c>
      <c r="H3183" s="75" t="str">
        <f>IFERROR(VLOOKUP(Table2[[#This Row],[Ticket]],Okey!A:B,2,0),"")</f>
        <v>ok</v>
      </c>
      <c r="I3183" s="75" t="s">
        <v>8318</v>
      </c>
      <c r="J3183" t="str">
        <f>VLOOKUP(Table2[[#This Row],[Author]],People!A:B,2,0)</f>
        <v>EL</v>
      </c>
      <c r="K3183" s="75"/>
      <c r="L3183" s="74"/>
      <c r="M3183" s="74" t="s">
        <v>1752</v>
      </c>
    </row>
    <row r="3184" spans="1:13" x14ac:dyDescent="0.25">
      <c r="A3184" s="75">
        <f t="shared" si="49"/>
        <v>3183</v>
      </c>
      <c r="B3184" s="73" t="s">
        <v>5960</v>
      </c>
      <c r="C3184" s="73" t="s">
        <v>8362</v>
      </c>
      <c r="D3184" t="s">
        <v>8364</v>
      </c>
      <c r="F3184" t="s">
        <v>1785</v>
      </c>
      <c r="G3184" s="73" t="s">
        <v>24</v>
      </c>
      <c r="H3184" s="75" t="str">
        <f>IFERROR(VLOOKUP(Table2[[#This Row],[Ticket]],Okey!A:B,2,0),"")</f>
        <v>ok</v>
      </c>
      <c r="I3184" s="75" t="s">
        <v>8318</v>
      </c>
      <c r="J3184" t="str">
        <f>VLOOKUP(Table2[[#This Row],[Author]],People!A:B,2,0)</f>
        <v>EL</v>
      </c>
      <c r="K3184" s="75"/>
      <c r="L3184" s="74"/>
      <c r="M3184" s="74" t="s">
        <v>1752</v>
      </c>
    </row>
    <row r="3185" spans="1:13" x14ac:dyDescent="0.25">
      <c r="A3185" s="75">
        <f t="shared" si="49"/>
        <v>3184</v>
      </c>
      <c r="B3185" s="73" t="s">
        <v>5960</v>
      </c>
      <c r="C3185" s="73" t="s">
        <v>8362</v>
      </c>
      <c r="D3185" t="s">
        <v>8365</v>
      </c>
      <c r="F3185" t="s">
        <v>1767</v>
      </c>
      <c r="G3185" s="73" t="s">
        <v>24</v>
      </c>
      <c r="H3185" s="75" t="str">
        <f>IFERROR(VLOOKUP(Table2[[#This Row],[Ticket]],Okey!A:B,2,0),"")</f>
        <v>ok</v>
      </c>
      <c r="I3185" s="75" t="s">
        <v>8318</v>
      </c>
      <c r="J3185" t="str">
        <f>VLOOKUP(Table2[[#This Row],[Author]],People!A:B,2,0)</f>
        <v>EL</v>
      </c>
      <c r="K3185" s="75"/>
      <c r="L3185" s="74"/>
      <c r="M3185" s="74" t="s">
        <v>1752</v>
      </c>
    </row>
    <row r="3186" spans="1:13" x14ac:dyDescent="0.25">
      <c r="A3186" s="75">
        <f t="shared" si="49"/>
        <v>3185</v>
      </c>
      <c r="B3186" s="73" t="s">
        <v>5960</v>
      </c>
      <c r="C3186" s="73" t="s">
        <v>8362</v>
      </c>
      <c r="D3186" t="s">
        <v>8366</v>
      </c>
      <c r="F3186" t="s">
        <v>1793</v>
      </c>
      <c r="G3186" s="73" t="s">
        <v>24</v>
      </c>
      <c r="H3186" s="75" t="str">
        <f>IFERROR(VLOOKUP(Table2[[#This Row],[Ticket]],Okey!A:B,2,0),"")</f>
        <v>ok</v>
      </c>
      <c r="I3186" s="75" t="s">
        <v>8318</v>
      </c>
      <c r="J3186" t="str">
        <f>VLOOKUP(Table2[[#This Row],[Author]],People!A:B,2,0)</f>
        <v>EL</v>
      </c>
      <c r="K3186" s="75"/>
      <c r="L3186" s="74"/>
      <c r="M3186" s="74" t="s">
        <v>1752</v>
      </c>
    </row>
    <row r="3187" spans="1:13" x14ac:dyDescent="0.25">
      <c r="A3187" s="75">
        <f t="shared" si="49"/>
        <v>3186</v>
      </c>
      <c r="B3187" s="73" t="s">
        <v>5960</v>
      </c>
      <c r="C3187" s="73" t="s">
        <v>8362</v>
      </c>
      <c r="D3187" t="s">
        <v>8367</v>
      </c>
      <c r="F3187" t="s">
        <v>1751</v>
      </c>
      <c r="G3187" s="73" t="s">
        <v>24</v>
      </c>
      <c r="H3187" s="75" t="str">
        <f>IFERROR(VLOOKUP(Table2[[#This Row],[Ticket]],Okey!A:B,2,0),"")</f>
        <v>ok</v>
      </c>
      <c r="I3187" s="75" t="s">
        <v>8318</v>
      </c>
      <c r="J3187" t="str">
        <f>VLOOKUP(Table2[[#This Row],[Author]],People!A:B,2,0)</f>
        <v>EL</v>
      </c>
      <c r="K3187" s="75"/>
      <c r="L3187" s="74"/>
      <c r="M3187" s="74" t="s">
        <v>1752</v>
      </c>
    </row>
    <row r="3188" spans="1:13" x14ac:dyDescent="0.25">
      <c r="A3188" s="75">
        <f t="shared" si="49"/>
        <v>3187</v>
      </c>
      <c r="B3188" s="73" t="s">
        <v>5960</v>
      </c>
      <c r="C3188" s="73" t="s">
        <v>8362</v>
      </c>
      <c r="D3188" t="s">
        <v>8370</v>
      </c>
      <c r="F3188" t="s">
        <v>1775</v>
      </c>
      <c r="G3188" s="73" t="s">
        <v>24</v>
      </c>
      <c r="H3188" s="75" t="str">
        <f>IFERROR(VLOOKUP(Table2[[#This Row],[Ticket]],Okey!A:B,2,0),"")</f>
        <v>ok</v>
      </c>
      <c r="I3188" t="s">
        <v>8046</v>
      </c>
      <c r="J3188" t="str">
        <f>VLOOKUP(Table2[[#This Row],[Author]],People!A:B,2,0)</f>
        <v>EL</v>
      </c>
      <c r="K3188" s="75"/>
      <c r="L3188" s="74"/>
      <c r="M3188" s="74" t="s">
        <v>1752</v>
      </c>
    </row>
    <row r="3189" spans="1:13" x14ac:dyDescent="0.25">
      <c r="A3189" s="75">
        <f t="shared" si="49"/>
        <v>3188</v>
      </c>
      <c r="B3189" s="73" t="s">
        <v>5960</v>
      </c>
      <c r="C3189" s="73" t="s">
        <v>8362</v>
      </c>
      <c r="D3189" t="s">
        <v>1980</v>
      </c>
      <c r="F3189" t="s">
        <v>327</v>
      </c>
      <c r="G3189" t="s">
        <v>24</v>
      </c>
      <c r="H3189" s="75" t="str">
        <f>IFERROR(VLOOKUP(Table2[[#This Row],[Ticket]],Okey!A:B,2,0),"")</f>
        <v>ok</v>
      </c>
      <c r="I3189" s="75" t="s">
        <v>8318</v>
      </c>
      <c r="J3189" t="str">
        <f>VLOOKUP(Table2[[#This Row],[Author]],People!A:B,2,0)</f>
        <v>EL</v>
      </c>
      <c r="K3189" s="75"/>
      <c r="L3189" s="74"/>
      <c r="M3189" s="74" t="s">
        <v>1752</v>
      </c>
    </row>
    <row r="3190" spans="1:13" x14ac:dyDescent="0.25">
      <c r="A3190" s="75">
        <f t="shared" si="49"/>
        <v>3189</v>
      </c>
      <c r="B3190" s="73" t="s">
        <v>5960</v>
      </c>
      <c r="C3190" s="73" t="s">
        <v>8362</v>
      </c>
      <c r="D3190" t="s">
        <v>6778</v>
      </c>
      <c r="F3190" s="73" t="s">
        <v>327</v>
      </c>
      <c r="G3190" s="73" t="s">
        <v>24</v>
      </c>
      <c r="H3190" s="75" t="str">
        <f>IFERROR(VLOOKUP(Table2[[#This Row],[Ticket]],Okey!A:B,2,0),"")</f>
        <v>ok</v>
      </c>
      <c r="I3190" s="75" t="s">
        <v>8318</v>
      </c>
      <c r="J3190" t="str">
        <f>VLOOKUP(Table2[[#This Row],[Author]],People!A:B,2,0)</f>
        <v>EL</v>
      </c>
      <c r="K3190" s="75"/>
      <c r="L3190" s="74"/>
      <c r="M3190" s="74" t="s">
        <v>1752</v>
      </c>
    </row>
    <row r="3191" spans="1:13" x14ac:dyDescent="0.25">
      <c r="A3191" s="75">
        <f t="shared" si="49"/>
        <v>3190</v>
      </c>
      <c r="B3191" s="73" t="s">
        <v>5960</v>
      </c>
      <c r="C3191" s="73" t="s">
        <v>8362</v>
      </c>
      <c r="D3191" t="s">
        <v>6780</v>
      </c>
      <c r="F3191" s="73" t="s">
        <v>327</v>
      </c>
      <c r="G3191" s="73" t="s">
        <v>24</v>
      </c>
      <c r="H3191" s="75" t="str">
        <f>IFERROR(VLOOKUP(Table2[[#This Row],[Ticket]],Okey!A:B,2,0),"")</f>
        <v>ok</v>
      </c>
      <c r="I3191" s="75" t="s">
        <v>8318</v>
      </c>
      <c r="J3191" t="str">
        <f>VLOOKUP(Table2[[#This Row],[Author]],People!A:B,2,0)</f>
        <v>EL</v>
      </c>
      <c r="K3191" s="75"/>
      <c r="L3191" s="74"/>
      <c r="M3191" s="74" t="s">
        <v>1752</v>
      </c>
    </row>
    <row r="3192" spans="1:13" x14ac:dyDescent="0.25">
      <c r="A3192" s="75">
        <f t="shared" si="49"/>
        <v>3191</v>
      </c>
      <c r="B3192" s="73" t="s">
        <v>5960</v>
      </c>
      <c r="C3192" s="73" t="s">
        <v>8362</v>
      </c>
      <c r="D3192" t="s">
        <v>6782</v>
      </c>
      <c r="F3192" s="73" t="s">
        <v>327</v>
      </c>
      <c r="G3192" s="73" t="s">
        <v>24</v>
      </c>
      <c r="H3192" s="75" t="str">
        <f>IFERROR(VLOOKUP(Table2[[#This Row],[Ticket]],Okey!A:B,2,0),"")</f>
        <v>ok</v>
      </c>
      <c r="I3192" s="75" t="s">
        <v>8318</v>
      </c>
      <c r="J3192" t="str">
        <f>VLOOKUP(Table2[[#This Row],[Author]],People!A:B,2,0)</f>
        <v>EL</v>
      </c>
      <c r="K3192" s="75"/>
      <c r="L3192" s="74"/>
      <c r="M3192" s="74" t="s">
        <v>1752</v>
      </c>
    </row>
    <row r="3193" spans="1:13" x14ac:dyDescent="0.25">
      <c r="A3193" s="75">
        <f t="shared" si="49"/>
        <v>3192</v>
      </c>
      <c r="B3193" s="73" t="s">
        <v>5960</v>
      </c>
      <c r="C3193" s="73" t="s">
        <v>8362</v>
      </c>
      <c r="D3193" t="s">
        <v>6786</v>
      </c>
      <c r="F3193" s="73" t="s">
        <v>327</v>
      </c>
      <c r="G3193" s="73" t="s">
        <v>24</v>
      </c>
      <c r="H3193" s="75" t="str">
        <f>IFERROR(VLOOKUP(Table2[[#This Row],[Ticket]],Okey!A:B,2,0),"")</f>
        <v>ok</v>
      </c>
      <c r="I3193" s="75" t="s">
        <v>8318</v>
      </c>
      <c r="J3193" t="str">
        <f>VLOOKUP(Table2[[#This Row],[Author]],People!A:B,2,0)</f>
        <v>EL</v>
      </c>
      <c r="K3193" s="75"/>
      <c r="L3193" s="74"/>
      <c r="M3193" s="74" t="s">
        <v>1752</v>
      </c>
    </row>
    <row r="3194" spans="1:13" x14ac:dyDescent="0.25">
      <c r="A3194" s="75">
        <f t="shared" si="49"/>
        <v>3193</v>
      </c>
      <c r="B3194" s="73" t="s">
        <v>5960</v>
      </c>
      <c r="C3194" s="73" t="s">
        <v>8362</v>
      </c>
      <c r="D3194" t="s">
        <v>6788</v>
      </c>
      <c r="F3194" s="73" t="s">
        <v>327</v>
      </c>
      <c r="G3194" s="73" t="s">
        <v>24</v>
      </c>
      <c r="H3194" s="75" t="str">
        <f>IFERROR(VLOOKUP(Table2[[#This Row],[Ticket]],Okey!A:B,2,0),"")</f>
        <v>ok</v>
      </c>
      <c r="I3194" s="75" t="s">
        <v>8318</v>
      </c>
      <c r="J3194" t="str">
        <f>VLOOKUP(Table2[[#This Row],[Author]],People!A:B,2,0)</f>
        <v>EL</v>
      </c>
      <c r="K3194" s="75"/>
      <c r="L3194" s="74"/>
      <c r="M3194" s="74" t="s">
        <v>1752</v>
      </c>
    </row>
    <row r="3195" spans="1:13" x14ac:dyDescent="0.25">
      <c r="A3195" s="75">
        <f t="shared" si="49"/>
        <v>3194</v>
      </c>
      <c r="B3195" s="73" t="s">
        <v>5960</v>
      </c>
      <c r="C3195" s="73" t="s">
        <v>8362</v>
      </c>
      <c r="D3195" t="s">
        <v>8368</v>
      </c>
      <c r="F3195" s="73" t="s">
        <v>327</v>
      </c>
      <c r="G3195" s="73" t="s">
        <v>24</v>
      </c>
      <c r="H3195" s="75" t="str">
        <f>IFERROR(VLOOKUP(Table2[[#This Row],[Ticket]],Okey!A:B,2,0),"")</f>
        <v>ok</v>
      </c>
      <c r="I3195" s="75" t="s">
        <v>8318</v>
      </c>
      <c r="J3195" t="str">
        <f>VLOOKUP(Table2[[#This Row],[Author]],People!A:B,2,0)</f>
        <v>EL</v>
      </c>
      <c r="K3195" s="75"/>
      <c r="L3195" s="74"/>
      <c r="M3195" s="74" t="s">
        <v>1752</v>
      </c>
    </row>
    <row r="3196" spans="1:13" x14ac:dyDescent="0.25">
      <c r="A3196" s="75">
        <f t="shared" si="49"/>
        <v>3195</v>
      </c>
      <c r="B3196" s="73" t="s">
        <v>5960</v>
      </c>
      <c r="C3196" s="73" t="s">
        <v>8362</v>
      </c>
      <c r="D3196" t="s">
        <v>1982</v>
      </c>
      <c r="F3196" s="73" t="s">
        <v>327</v>
      </c>
      <c r="G3196" s="73" t="s">
        <v>24</v>
      </c>
      <c r="H3196" s="75" t="str">
        <f>IFERROR(VLOOKUP(Table2[[#This Row],[Ticket]],Okey!A:B,2,0),"")</f>
        <v>ok</v>
      </c>
      <c r="I3196" s="75" t="s">
        <v>8318</v>
      </c>
      <c r="J3196" t="str">
        <f>VLOOKUP(Table2[[#This Row],[Author]],People!A:B,2,0)</f>
        <v>EL</v>
      </c>
      <c r="K3196" s="75"/>
      <c r="L3196" s="74"/>
      <c r="M3196" s="74" t="s">
        <v>1752</v>
      </c>
    </row>
    <row r="3197" spans="1:13" x14ac:dyDescent="0.25">
      <c r="A3197" s="75">
        <f t="shared" si="49"/>
        <v>3196</v>
      </c>
      <c r="B3197" s="73" t="s">
        <v>5960</v>
      </c>
      <c r="C3197" s="73" t="s">
        <v>8362</v>
      </c>
      <c r="D3197" t="s">
        <v>1984</v>
      </c>
      <c r="F3197" s="73" t="s">
        <v>327</v>
      </c>
      <c r="G3197" s="73" t="s">
        <v>24</v>
      </c>
      <c r="H3197" s="75" t="str">
        <f>IFERROR(VLOOKUP(Table2[[#This Row],[Ticket]],Okey!A:B,2,0),"")</f>
        <v>ok</v>
      </c>
      <c r="I3197" s="75" t="s">
        <v>8318</v>
      </c>
      <c r="J3197" t="str">
        <f>VLOOKUP(Table2[[#This Row],[Author]],People!A:B,2,0)</f>
        <v>EL</v>
      </c>
      <c r="K3197" s="75"/>
      <c r="L3197" s="74"/>
      <c r="M3197" s="74" t="s">
        <v>1752</v>
      </c>
    </row>
    <row r="3198" spans="1:13" x14ac:dyDescent="0.25">
      <c r="A3198" s="75">
        <f t="shared" si="49"/>
        <v>3197</v>
      </c>
      <c r="B3198" s="73" t="s">
        <v>5960</v>
      </c>
      <c r="C3198" s="73" t="s">
        <v>8362</v>
      </c>
      <c r="D3198" t="s">
        <v>1986</v>
      </c>
      <c r="F3198" s="73" t="s">
        <v>327</v>
      </c>
      <c r="G3198" s="73" t="s">
        <v>24</v>
      </c>
      <c r="H3198" s="75" t="str">
        <f>IFERROR(VLOOKUP(Table2[[#This Row],[Ticket]],Okey!A:B,2,0),"")</f>
        <v>ok</v>
      </c>
      <c r="I3198" s="75" t="s">
        <v>8318</v>
      </c>
      <c r="J3198" t="str">
        <f>VLOOKUP(Table2[[#This Row],[Author]],People!A:B,2,0)</f>
        <v>EL</v>
      </c>
      <c r="K3198" s="75"/>
      <c r="L3198" s="74"/>
      <c r="M3198" s="74" t="s">
        <v>1752</v>
      </c>
    </row>
    <row r="3199" spans="1:13" x14ac:dyDescent="0.25">
      <c r="A3199" s="75">
        <f t="shared" si="49"/>
        <v>3198</v>
      </c>
      <c r="B3199" s="73" t="s">
        <v>5960</v>
      </c>
      <c r="C3199" s="73" t="s">
        <v>8362</v>
      </c>
      <c r="D3199" t="s">
        <v>1988</v>
      </c>
      <c r="F3199" s="73" t="s">
        <v>327</v>
      </c>
      <c r="G3199" s="73" t="s">
        <v>24</v>
      </c>
      <c r="H3199" s="75" t="str">
        <f>IFERROR(VLOOKUP(Table2[[#This Row],[Ticket]],Okey!A:B,2,0),"")</f>
        <v>ok</v>
      </c>
      <c r="I3199" s="75" t="s">
        <v>8318</v>
      </c>
      <c r="J3199" t="str">
        <f>VLOOKUP(Table2[[#This Row],[Author]],People!A:B,2,0)</f>
        <v>EL</v>
      </c>
      <c r="K3199" s="75"/>
      <c r="L3199" s="74"/>
      <c r="M3199" s="74" t="s">
        <v>1752</v>
      </c>
    </row>
    <row r="3200" spans="1:13" x14ac:dyDescent="0.25">
      <c r="A3200" s="75">
        <f t="shared" si="49"/>
        <v>3199</v>
      </c>
      <c r="B3200" s="73" t="s">
        <v>5960</v>
      </c>
      <c r="C3200" s="73" t="s">
        <v>8362</v>
      </c>
      <c r="D3200" t="s">
        <v>1990</v>
      </c>
      <c r="F3200" s="73" t="s">
        <v>1775</v>
      </c>
      <c r="G3200" s="73" t="s">
        <v>24</v>
      </c>
      <c r="H3200" s="75" t="str">
        <f>IFERROR(VLOOKUP(Table2[[#This Row],[Ticket]],Okey!A:B,2,0),"")</f>
        <v>ok</v>
      </c>
      <c r="I3200" s="75" t="s">
        <v>8318</v>
      </c>
      <c r="J3200" t="str">
        <f>VLOOKUP(Table2[[#This Row],[Author]],People!A:B,2,0)</f>
        <v>EL</v>
      </c>
      <c r="K3200" s="75"/>
      <c r="L3200" s="74"/>
      <c r="M3200" s="74" t="s">
        <v>1752</v>
      </c>
    </row>
    <row r="3201" spans="1:13" x14ac:dyDescent="0.25">
      <c r="A3201" s="75">
        <f t="shared" si="49"/>
        <v>3200</v>
      </c>
      <c r="B3201" s="73" t="s">
        <v>5960</v>
      </c>
      <c r="C3201" s="73" t="s">
        <v>8362</v>
      </c>
      <c r="D3201" t="s">
        <v>1992</v>
      </c>
      <c r="F3201" s="73" t="s">
        <v>327</v>
      </c>
      <c r="G3201" s="73" t="s">
        <v>24</v>
      </c>
      <c r="H3201" s="75" t="str">
        <f>IFERROR(VLOOKUP(Table2[[#This Row],[Ticket]],Okey!A:B,2,0),"")</f>
        <v>ok</v>
      </c>
      <c r="I3201" s="75" t="s">
        <v>8318</v>
      </c>
      <c r="J3201" t="str">
        <f>VLOOKUP(Table2[[#This Row],[Author]],People!A:B,2,0)</f>
        <v>EL</v>
      </c>
      <c r="K3201" s="75"/>
      <c r="L3201" s="74"/>
      <c r="M3201" s="74" t="s">
        <v>1752</v>
      </c>
    </row>
    <row r="3202" spans="1:13" x14ac:dyDescent="0.25">
      <c r="A3202" s="75">
        <f t="shared" si="49"/>
        <v>3201</v>
      </c>
      <c r="B3202" s="73" t="s">
        <v>5960</v>
      </c>
      <c r="C3202" s="73" t="s">
        <v>8362</v>
      </c>
      <c r="D3202" t="s">
        <v>6796</v>
      </c>
      <c r="F3202" s="73" t="s">
        <v>327</v>
      </c>
      <c r="G3202" s="73" t="s">
        <v>24</v>
      </c>
      <c r="H3202" s="75" t="str">
        <f>IFERROR(VLOOKUP(Table2[[#This Row],[Ticket]],Okey!A:B,2,0),"")</f>
        <v>ok</v>
      </c>
      <c r="I3202" s="75" t="s">
        <v>8318</v>
      </c>
      <c r="J3202" t="str">
        <f>VLOOKUP(Table2[[#This Row],[Author]],People!A:B,2,0)</f>
        <v>EL</v>
      </c>
      <c r="K3202" s="75"/>
      <c r="L3202" s="74"/>
      <c r="M3202" s="74" t="s">
        <v>1752</v>
      </c>
    </row>
    <row r="3203" spans="1:13" x14ac:dyDescent="0.25">
      <c r="A3203" s="75">
        <f t="shared" si="49"/>
        <v>3202</v>
      </c>
      <c r="B3203" s="73" t="s">
        <v>5960</v>
      </c>
      <c r="C3203" s="73" t="s">
        <v>8362</v>
      </c>
      <c r="D3203" t="s">
        <v>6798</v>
      </c>
      <c r="F3203" s="73" t="s">
        <v>327</v>
      </c>
      <c r="G3203" s="73" t="s">
        <v>24</v>
      </c>
      <c r="H3203" s="75" t="str">
        <f>IFERROR(VLOOKUP(Table2[[#This Row],[Ticket]],Okey!A:B,2,0),"")</f>
        <v>ok</v>
      </c>
      <c r="I3203" s="75" t="s">
        <v>8318</v>
      </c>
      <c r="J3203" t="str">
        <f>VLOOKUP(Table2[[#This Row],[Author]],People!A:B,2,0)</f>
        <v>EL</v>
      </c>
      <c r="K3203" s="75"/>
      <c r="L3203" s="74"/>
      <c r="M3203" s="74" t="s">
        <v>1752</v>
      </c>
    </row>
    <row r="3204" spans="1:13" x14ac:dyDescent="0.25">
      <c r="A3204" s="75">
        <f t="shared" si="49"/>
        <v>3203</v>
      </c>
      <c r="B3204" s="73" t="s">
        <v>5960</v>
      </c>
      <c r="C3204" s="73" t="s">
        <v>8362</v>
      </c>
      <c r="D3204" t="s">
        <v>6800</v>
      </c>
      <c r="F3204" s="73" t="s">
        <v>327</v>
      </c>
      <c r="G3204" s="73" t="s">
        <v>24</v>
      </c>
      <c r="H3204" s="75" t="str">
        <f>IFERROR(VLOOKUP(Table2[[#This Row],[Ticket]],Okey!A:B,2,0),"")</f>
        <v>ok</v>
      </c>
      <c r="I3204" s="75" t="s">
        <v>8318</v>
      </c>
      <c r="J3204" t="str">
        <f>VLOOKUP(Table2[[#This Row],[Author]],People!A:B,2,0)</f>
        <v>EL</v>
      </c>
      <c r="K3204" s="75"/>
      <c r="L3204" s="74"/>
      <c r="M3204" s="74" t="s">
        <v>1752</v>
      </c>
    </row>
    <row r="3205" spans="1:13" x14ac:dyDescent="0.25">
      <c r="A3205" s="75">
        <f t="shared" si="49"/>
        <v>3204</v>
      </c>
      <c r="B3205" s="73" t="s">
        <v>5960</v>
      </c>
      <c r="C3205" s="73" t="s">
        <v>8362</v>
      </c>
      <c r="D3205" t="s">
        <v>6802</v>
      </c>
      <c r="F3205" s="73" t="s">
        <v>327</v>
      </c>
      <c r="G3205" s="73" t="s">
        <v>24</v>
      </c>
      <c r="H3205" s="75" t="str">
        <f>IFERROR(VLOOKUP(Table2[[#This Row],[Ticket]],Okey!A:B,2,0),"")</f>
        <v>ok</v>
      </c>
      <c r="I3205" s="75" t="s">
        <v>8318</v>
      </c>
      <c r="J3205" t="str">
        <f>VLOOKUP(Table2[[#This Row],[Author]],People!A:B,2,0)</f>
        <v>EL</v>
      </c>
      <c r="K3205" s="75"/>
      <c r="L3205" s="74"/>
      <c r="M3205" s="74" t="s">
        <v>1752</v>
      </c>
    </row>
    <row r="3206" spans="1:13" x14ac:dyDescent="0.25">
      <c r="A3206" s="75">
        <f t="shared" si="49"/>
        <v>3205</v>
      </c>
      <c r="B3206" s="73" t="s">
        <v>5960</v>
      </c>
      <c r="C3206" s="73" t="s">
        <v>8362</v>
      </c>
      <c r="D3206" t="s">
        <v>6804</v>
      </c>
      <c r="F3206" s="73" t="s">
        <v>327</v>
      </c>
      <c r="G3206" s="73" t="s">
        <v>24</v>
      </c>
      <c r="H3206" s="75" t="str">
        <f>IFERROR(VLOOKUP(Table2[[#This Row],[Ticket]],Okey!A:B,2,0),"")</f>
        <v>ok</v>
      </c>
      <c r="I3206" s="75" t="s">
        <v>8318</v>
      </c>
      <c r="J3206" t="str">
        <f>VLOOKUP(Table2[[#This Row],[Author]],People!A:B,2,0)</f>
        <v>EL</v>
      </c>
      <c r="K3206" s="75"/>
      <c r="L3206" s="74"/>
      <c r="M3206" s="74" t="s">
        <v>1752</v>
      </c>
    </row>
    <row r="3207" spans="1:13" x14ac:dyDescent="0.25">
      <c r="A3207" s="75">
        <f t="shared" si="49"/>
        <v>3206</v>
      </c>
      <c r="B3207" s="73" t="s">
        <v>5960</v>
      </c>
      <c r="C3207" s="73" t="s">
        <v>8362</v>
      </c>
      <c r="D3207" t="s">
        <v>6806</v>
      </c>
      <c r="F3207" s="73" t="s">
        <v>327</v>
      </c>
      <c r="G3207" s="73" t="s">
        <v>24</v>
      </c>
      <c r="H3207" s="75" t="str">
        <f>IFERROR(VLOOKUP(Table2[[#This Row],[Ticket]],Okey!A:B,2,0),"")</f>
        <v>ok</v>
      </c>
      <c r="I3207" s="75" t="s">
        <v>8318</v>
      </c>
      <c r="J3207" t="str">
        <f>VLOOKUP(Table2[[#This Row],[Author]],People!A:B,2,0)</f>
        <v>EL</v>
      </c>
      <c r="K3207" s="75"/>
      <c r="L3207" s="74"/>
      <c r="M3207" s="74" t="s">
        <v>1752</v>
      </c>
    </row>
    <row r="3208" spans="1:13" x14ac:dyDescent="0.25">
      <c r="A3208" s="75">
        <f t="shared" si="49"/>
        <v>3207</v>
      </c>
      <c r="B3208" s="73" t="s">
        <v>5960</v>
      </c>
      <c r="C3208" s="73" t="s">
        <v>8362</v>
      </c>
      <c r="D3208" t="s">
        <v>1994</v>
      </c>
      <c r="F3208" s="73" t="s">
        <v>327</v>
      </c>
      <c r="G3208" s="73" t="s">
        <v>24</v>
      </c>
      <c r="H3208" s="75" t="str">
        <f>IFERROR(VLOOKUP(Table2[[#This Row],[Ticket]],Okey!A:B,2,0),"")</f>
        <v>ok</v>
      </c>
      <c r="I3208" s="75" t="s">
        <v>8318</v>
      </c>
      <c r="J3208" t="str">
        <f>VLOOKUP(Table2[[#This Row],[Author]],People!A:B,2,0)</f>
        <v>EL</v>
      </c>
      <c r="K3208" s="75"/>
      <c r="L3208" s="74"/>
      <c r="M3208" s="74" t="s">
        <v>1752</v>
      </c>
    </row>
    <row r="3209" spans="1:13" x14ac:dyDescent="0.25">
      <c r="A3209" s="75">
        <f t="shared" ref="A3209:A3272" si="50">1+A3208</f>
        <v>3208</v>
      </c>
      <c r="B3209" s="73" t="s">
        <v>5960</v>
      </c>
      <c r="C3209" s="73" t="s">
        <v>8362</v>
      </c>
      <c r="D3209" t="s">
        <v>1996</v>
      </c>
      <c r="F3209" s="73" t="s">
        <v>327</v>
      </c>
      <c r="G3209" s="73" t="s">
        <v>24</v>
      </c>
      <c r="H3209" s="75" t="str">
        <f>IFERROR(VLOOKUP(Table2[[#This Row],[Ticket]],Okey!A:B,2,0),"")</f>
        <v>ok</v>
      </c>
      <c r="I3209" s="75" t="s">
        <v>8318</v>
      </c>
      <c r="J3209" t="str">
        <f>VLOOKUP(Table2[[#This Row],[Author]],People!A:B,2,0)</f>
        <v>EL</v>
      </c>
      <c r="K3209" s="75"/>
      <c r="L3209" s="74"/>
      <c r="M3209" s="74" t="s">
        <v>1752</v>
      </c>
    </row>
    <row r="3210" spans="1:13" x14ac:dyDescent="0.25">
      <c r="A3210" s="75">
        <f t="shared" si="50"/>
        <v>3209</v>
      </c>
      <c r="B3210" s="73" t="s">
        <v>5960</v>
      </c>
      <c r="C3210" s="73" t="s">
        <v>8362</v>
      </c>
      <c r="D3210" t="s">
        <v>1998</v>
      </c>
      <c r="F3210" s="73" t="s">
        <v>327</v>
      </c>
      <c r="G3210" s="73" t="s">
        <v>24</v>
      </c>
      <c r="H3210" s="75" t="str">
        <f>IFERROR(VLOOKUP(Table2[[#This Row],[Ticket]],Okey!A:B,2,0),"")</f>
        <v>ok</v>
      </c>
      <c r="I3210" s="75" t="s">
        <v>8318</v>
      </c>
      <c r="J3210" t="str">
        <f>VLOOKUP(Table2[[#This Row],[Author]],People!A:B,2,0)</f>
        <v>EL</v>
      </c>
      <c r="K3210" s="75"/>
      <c r="L3210" s="74"/>
      <c r="M3210" s="74" t="s">
        <v>1752</v>
      </c>
    </row>
    <row r="3211" spans="1:13" x14ac:dyDescent="0.25">
      <c r="A3211" s="75">
        <f t="shared" si="50"/>
        <v>3210</v>
      </c>
      <c r="B3211" s="73" t="s">
        <v>5960</v>
      </c>
      <c r="C3211" s="73" t="s">
        <v>8362</v>
      </c>
      <c r="D3211" t="s">
        <v>2000</v>
      </c>
      <c r="F3211" s="73" t="s">
        <v>327</v>
      </c>
      <c r="G3211" s="73" t="s">
        <v>24</v>
      </c>
      <c r="H3211" s="75" t="str">
        <f>IFERROR(VLOOKUP(Table2[[#This Row],[Ticket]],Okey!A:B,2,0),"")</f>
        <v>ok</v>
      </c>
      <c r="I3211" s="75" t="s">
        <v>8318</v>
      </c>
      <c r="J3211" t="str">
        <f>VLOOKUP(Table2[[#This Row],[Author]],People!A:B,2,0)</f>
        <v>EL</v>
      </c>
      <c r="K3211" s="75"/>
      <c r="L3211" s="74"/>
      <c r="M3211" s="74" t="s">
        <v>1752</v>
      </c>
    </row>
    <row r="3212" spans="1:13" x14ac:dyDescent="0.25">
      <c r="A3212" s="75">
        <f t="shared" si="50"/>
        <v>3211</v>
      </c>
      <c r="B3212" s="73" t="s">
        <v>5960</v>
      </c>
      <c r="C3212" s="73" t="s">
        <v>8362</v>
      </c>
      <c r="D3212" t="s">
        <v>2002</v>
      </c>
      <c r="F3212" s="73" t="s">
        <v>327</v>
      </c>
      <c r="G3212" s="73" t="s">
        <v>24</v>
      </c>
      <c r="H3212" s="75" t="str">
        <f>IFERROR(VLOOKUP(Table2[[#This Row],[Ticket]],Okey!A:B,2,0),"")</f>
        <v>ok</v>
      </c>
      <c r="I3212" s="75" t="s">
        <v>8318</v>
      </c>
      <c r="J3212" t="str">
        <f>VLOOKUP(Table2[[#This Row],[Author]],People!A:B,2,0)</f>
        <v>EL</v>
      </c>
      <c r="K3212" s="75"/>
      <c r="L3212" s="74"/>
      <c r="M3212" s="74" t="s">
        <v>1752</v>
      </c>
    </row>
    <row r="3213" spans="1:13" x14ac:dyDescent="0.25">
      <c r="A3213" s="75">
        <f t="shared" si="50"/>
        <v>3212</v>
      </c>
      <c r="B3213" s="73" t="s">
        <v>5960</v>
      </c>
      <c r="C3213" s="73" t="s">
        <v>8362</v>
      </c>
      <c r="D3213" t="s">
        <v>2004</v>
      </c>
      <c r="F3213" s="73" t="s">
        <v>327</v>
      </c>
      <c r="G3213" s="73" t="s">
        <v>24</v>
      </c>
      <c r="H3213" s="75" t="str">
        <f>IFERROR(VLOOKUP(Table2[[#This Row],[Ticket]],Okey!A:B,2,0),"")</f>
        <v>ok</v>
      </c>
      <c r="I3213" s="75" t="s">
        <v>8318</v>
      </c>
      <c r="J3213" t="str">
        <f>VLOOKUP(Table2[[#This Row],[Author]],People!A:B,2,0)</f>
        <v>EL</v>
      </c>
      <c r="K3213" s="75"/>
      <c r="L3213" s="74"/>
      <c r="M3213" s="74" t="s">
        <v>1752</v>
      </c>
    </row>
    <row r="3214" spans="1:13" x14ac:dyDescent="0.25">
      <c r="A3214" s="75">
        <f t="shared" si="50"/>
        <v>3213</v>
      </c>
      <c r="B3214" s="73" t="s">
        <v>5960</v>
      </c>
      <c r="C3214" s="73" t="s">
        <v>8362</v>
      </c>
      <c r="D3214" t="s">
        <v>2006</v>
      </c>
      <c r="F3214" s="73" t="s">
        <v>327</v>
      </c>
      <c r="G3214" s="73" t="s">
        <v>24</v>
      </c>
      <c r="H3214" s="75" t="str">
        <f>IFERROR(VLOOKUP(Table2[[#This Row],[Ticket]],Okey!A:B,2,0),"")</f>
        <v>ok</v>
      </c>
      <c r="I3214" s="75" t="s">
        <v>8318</v>
      </c>
      <c r="J3214" t="str">
        <f>VLOOKUP(Table2[[#This Row],[Author]],People!A:B,2,0)</f>
        <v>EL</v>
      </c>
      <c r="K3214" s="75"/>
      <c r="L3214" s="74"/>
      <c r="M3214" s="74" t="s">
        <v>1752</v>
      </c>
    </row>
    <row r="3215" spans="1:13" x14ac:dyDescent="0.25">
      <c r="A3215" s="75">
        <f t="shared" si="50"/>
        <v>3214</v>
      </c>
      <c r="B3215" s="73" t="s">
        <v>5960</v>
      </c>
      <c r="C3215" s="73" t="s">
        <v>8362</v>
      </c>
      <c r="D3215" t="s">
        <v>2008</v>
      </c>
      <c r="F3215" s="73" t="s">
        <v>327</v>
      </c>
      <c r="G3215" s="73" t="s">
        <v>24</v>
      </c>
      <c r="H3215" s="75" t="str">
        <f>IFERROR(VLOOKUP(Table2[[#This Row],[Ticket]],Okey!A:B,2,0),"")</f>
        <v>ok</v>
      </c>
      <c r="I3215" s="75" t="s">
        <v>8318</v>
      </c>
      <c r="J3215" t="str">
        <f>VLOOKUP(Table2[[#This Row],[Author]],People!A:B,2,0)</f>
        <v>EL</v>
      </c>
      <c r="K3215" s="75"/>
      <c r="L3215" s="74"/>
      <c r="M3215" s="74" t="s">
        <v>1752</v>
      </c>
    </row>
    <row r="3216" spans="1:13" x14ac:dyDescent="0.25">
      <c r="A3216" s="75">
        <f t="shared" si="50"/>
        <v>3215</v>
      </c>
      <c r="B3216" s="73" t="s">
        <v>5960</v>
      </c>
      <c r="C3216" s="73" t="s">
        <v>8362</v>
      </c>
      <c r="D3216" t="s">
        <v>1822</v>
      </c>
      <c r="F3216" s="73" t="s">
        <v>327</v>
      </c>
      <c r="G3216" s="73" t="s">
        <v>24</v>
      </c>
      <c r="H3216" s="75" t="str">
        <f>IFERROR(VLOOKUP(Table2[[#This Row],[Ticket]],Okey!A:B,2,0),"")</f>
        <v>ok</v>
      </c>
      <c r="I3216" s="75" t="s">
        <v>8318</v>
      </c>
      <c r="J3216" t="str">
        <f>VLOOKUP(Table2[[#This Row],[Author]],People!A:B,2,0)</f>
        <v>EL</v>
      </c>
      <c r="K3216" s="75"/>
      <c r="L3216" s="74"/>
      <c r="M3216" s="74" t="s">
        <v>1752</v>
      </c>
    </row>
    <row r="3217" spans="1:13" x14ac:dyDescent="0.25">
      <c r="A3217" s="75">
        <f t="shared" si="50"/>
        <v>3216</v>
      </c>
      <c r="B3217" s="73" t="s">
        <v>5960</v>
      </c>
      <c r="C3217" s="73" t="s">
        <v>8362</v>
      </c>
      <c r="D3217" t="s">
        <v>6817</v>
      </c>
      <c r="F3217" s="73" t="s">
        <v>327</v>
      </c>
      <c r="G3217" s="73" t="s">
        <v>24</v>
      </c>
      <c r="H3217" s="75" t="str">
        <f>IFERROR(VLOOKUP(Table2[[#This Row],[Ticket]],Okey!A:B,2,0),"")</f>
        <v>ok</v>
      </c>
      <c r="I3217" s="75" t="s">
        <v>8318</v>
      </c>
      <c r="J3217" t="str">
        <f>VLOOKUP(Table2[[#This Row],[Author]],People!A:B,2,0)</f>
        <v>EL</v>
      </c>
      <c r="K3217" s="75"/>
      <c r="L3217" s="74"/>
      <c r="M3217" s="74" t="s">
        <v>1752</v>
      </c>
    </row>
    <row r="3218" spans="1:13" x14ac:dyDescent="0.25">
      <c r="A3218" s="75">
        <f t="shared" si="50"/>
        <v>3217</v>
      </c>
      <c r="B3218" s="73" t="s">
        <v>5960</v>
      </c>
      <c r="C3218" s="73" t="s">
        <v>8362</v>
      </c>
      <c r="D3218" t="s">
        <v>2010</v>
      </c>
      <c r="F3218" s="73" t="s">
        <v>327</v>
      </c>
      <c r="G3218" s="73" t="s">
        <v>24</v>
      </c>
      <c r="H3218" s="75" t="str">
        <f>IFERROR(VLOOKUP(Table2[[#This Row],[Ticket]],Okey!A:B,2,0),"")</f>
        <v>ok</v>
      </c>
      <c r="I3218" s="75" t="s">
        <v>8318</v>
      </c>
      <c r="J3218" t="str">
        <f>VLOOKUP(Table2[[#This Row],[Author]],People!A:B,2,0)</f>
        <v>EL</v>
      </c>
      <c r="K3218" s="75"/>
      <c r="L3218" s="74"/>
      <c r="M3218" s="74" t="s">
        <v>1752</v>
      </c>
    </row>
    <row r="3219" spans="1:13" x14ac:dyDescent="0.25">
      <c r="A3219" s="75">
        <f t="shared" si="50"/>
        <v>3218</v>
      </c>
      <c r="B3219" s="73" t="s">
        <v>5960</v>
      </c>
      <c r="C3219" s="73" t="s">
        <v>8362</v>
      </c>
      <c r="D3219" t="s">
        <v>2012</v>
      </c>
      <c r="F3219" s="73" t="s">
        <v>327</v>
      </c>
      <c r="G3219" s="73" t="s">
        <v>24</v>
      </c>
      <c r="H3219" s="75" t="str">
        <f>IFERROR(VLOOKUP(Table2[[#This Row],[Ticket]],Okey!A:B,2,0),"")</f>
        <v>ok</v>
      </c>
      <c r="I3219" s="75" t="s">
        <v>8318</v>
      </c>
      <c r="J3219" t="str">
        <f>VLOOKUP(Table2[[#This Row],[Author]],People!A:B,2,0)</f>
        <v>EL</v>
      </c>
      <c r="K3219" s="75"/>
      <c r="L3219" s="74"/>
      <c r="M3219" s="74" t="s">
        <v>1752</v>
      </c>
    </row>
    <row r="3220" spans="1:13" x14ac:dyDescent="0.25">
      <c r="A3220" s="75">
        <f t="shared" si="50"/>
        <v>3219</v>
      </c>
      <c r="B3220" s="73" t="s">
        <v>5960</v>
      </c>
      <c r="C3220" s="73" t="s">
        <v>8362</v>
      </c>
      <c r="D3220" t="s">
        <v>2014</v>
      </c>
      <c r="F3220" s="73" t="s">
        <v>327</v>
      </c>
      <c r="G3220" s="73" t="s">
        <v>24</v>
      </c>
      <c r="H3220" s="75" t="str">
        <f>IFERROR(VLOOKUP(Table2[[#This Row],[Ticket]],Okey!A:B,2,0),"")</f>
        <v>ok</v>
      </c>
      <c r="I3220" s="75" t="s">
        <v>8318</v>
      </c>
      <c r="J3220" t="str">
        <f>VLOOKUP(Table2[[#This Row],[Author]],People!A:B,2,0)</f>
        <v>EL</v>
      </c>
      <c r="K3220" s="75"/>
      <c r="L3220" s="74"/>
      <c r="M3220" s="74" t="s">
        <v>1752</v>
      </c>
    </row>
    <row r="3221" spans="1:13" x14ac:dyDescent="0.25">
      <c r="A3221" s="75">
        <f t="shared" si="50"/>
        <v>3220</v>
      </c>
      <c r="B3221" s="73" t="s">
        <v>5960</v>
      </c>
      <c r="C3221" s="73" t="s">
        <v>8362</v>
      </c>
      <c r="D3221" t="s">
        <v>2016</v>
      </c>
      <c r="F3221" s="73" t="s">
        <v>327</v>
      </c>
      <c r="G3221" s="73" t="s">
        <v>24</v>
      </c>
      <c r="H3221" s="75" t="str">
        <f>IFERROR(VLOOKUP(Table2[[#This Row],[Ticket]],Okey!A:B,2,0),"")</f>
        <v>ok</v>
      </c>
      <c r="I3221" s="75" t="s">
        <v>8318</v>
      </c>
      <c r="J3221" t="str">
        <f>VLOOKUP(Table2[[#This Row],[Author]],People!A:B,2,0)</f>
        <v>EL</v>
      </c>
      <c r="K3221" s="75"/>
      <c r="L3221" s="74"/>
      <c r="M3221" s="74" t="s">
        <v>1752</v>
      </c>
    </row>
    <row r="3222" spans="1:13" x14ac:dyDescent="0.25">
      <c r="A3222" s="75">
        <f t="shared" si="50"/>
        <v>3221</v>
      </c>
      <c r="B3222" s="73" t="s">
        <v>5960</v>
      </c>
      <c r="C3222" s="73" t="s">
        <v>8362</v>
      </c>
      <c r="D3222" t="s">
        <v>2018</v>
      </c>
      <c r="F3222" s="73" t="s">
        <v>327</v>
      </c>
      <c r="G3222" s="73" t="s">
        <v>24</v>
      </c>
      <c r="H3222" s="75" t="str">
        <f>IFERROR(VLOOKUP(Table2[[#This Row],[Ticket]],Okey!A:B,2,0),"")</f>
        <v>ok</v>
      </c>
      <c r="I3222" s="75" t="s">
        <v>8318</v>
      </c>
      <c r="J3222" t="str">
        <f>VLOOKUP(Table2[[#This Row],[Author]],People!A:B,2,0)</f>
        <v>EL</v>
      </c>
      <c r="K3222" s="75"/>
      <c r="L3222" s="74"/>
      <c r="M3222" s="74" t="s">
        <v>1752</v>
      </c>
    </row>
    <row r="3223" spans="1:13" x14ac:dyDescent="0.25">
      <c r="A3223" s="75">
        <f t="shared" si="50"/>
        <v>3222</v>
      </c>
      <c r="B3223" s="73" t="s">
        <v>5960</v>
      </c>
      <c r="C3223" s="73" t="s">
        <v>8362</v>
      </c>
      <c r="D3223" t="s">
        <v>2291</v>
      </c>
      <c r="F3223" s="73" t="s">
        <v>327</v>
      </c>
      <c r="G3223" s="73" t="s">
        <v>24</v>
      </c>
      <c r="H3223" s="75" t="str">
        <f>IFERROR(VLOOKUP(Table2[[#This Row],[Ticket]],Okey!A:B,2,0),"")</f>
        <v>ok</v>
      </c>
      <c r="I3223" s="75" t="s">
        <v>8318</v>
      </c>
      <c r="J3223" t="str">
        <f>VLOOKUP(Table2[[#This Row],[Author]],People!A:B,2,0)</f>
        <v>EL</v>
      </c>
      <c r="K3223" s="75"/>
      <c r="L3223" s="74"/>
      <c r="M3223" s="74" t="s">
        <v>1752</v>
      </c>
    </row>
    <row r="3224" spans="1:13" x14ac:dyDescent="0.25">
      <c r="A3224" s="75">
        <f t="shared" si="50"/>
        <v>3223</v>
      </c>
      <c r="B3224" s="73" t="s">
        <v>5960</v>
      </c>
      <c r="C3224" s="73" t="s">
        <v>8362</v>
      </c>
      <c r="D3224" t="s">
        <v>6833</v>
      </c>
      <c r="F3224" s="73" t="s">
        <v>327</v>
      </c>
      <c r="G3224" s="73" t="s">
        <v>24</v>
      </c>
      <c r="H3224" s="75" t="str">
        <f>IFERROR(VLOOKUP(Table2[[#This Row],[Ticket]],Okey!A:B,2,0),"")</f>
        <v>ok</v>
      </c>
      <c r="I3224" s="75" t="s">
        <v>8318</v>
      </c>
      <c r="J3224" t="str">
        <f>VLOOKUP(Table2[[#This Row],[Author]],People!A:B,2,0)</f>
        <v>EL</v>
      </c>
      <c r="K3224" s="75"/>
      <c r="L3224" s="74"/>
      <c r="M3224" s="74" t="s">
        <v>1752</v>
      </c>
    </row>
    <row r="3225" spans="1:13" x14ac:dyDescent="0.25">
      <c r="A3225" s="75">
        <f t="shared" si="50"/>
        <v>3224</v>
      </c>
      <c r="B3225" s="73" t="s">
        <v>5960</v>
      </c>
      <c r="C3225" s="73" t="s">
        <v>8362</v>
      </c>
      <c r="D3225" t="s">
        <v>6835</v>
      </c>
      <c r="F3225" s="73" t="s">
        <v>327</v>
      </c>
      <c r="G3225" s="73" t="s">
        <v>24</v>
      </c>
      <c r="H3225" s="75" t="str">
        <f>IFERROR(VLOOKUP(Table2[[#This Row],[Ticket]],Okey!A:B,2,0),"")</f>
        <v>ok</v>
      </c>
      <c r="I3225" s="75" t="s">
        <v>8318</v>
      </c>
      <c r="J3225" t="str">
        <f>VLOOKUP(Table2[[#This Row],[Author]],People!A:B,2,0)</f>
        <v>EL</v>
      </c>
      <c r="K3225" s="75"/>
      <c r="L3225" s="74"/>
      <c r="M3225" s="74" t="s">
        <v>1752</v>
      </c>
    </row>
    <row r="3226" spans="1:13" x14ac:dyDescent="0.25">
      <c r="A3226" s="75">
        <f t="shared" si="50"/>
        <v>3225</v>
      </c>
      <c r="B3226" s="73" t="s">
        <v>5960</v>
      </c>
      <c r="C3226" s="73" t="s">
        <v>8362</v>
      </c>
      <c r="D3226" t="s">
        <v>6942</v>
      </c>
      <c r="F3226" s="73" t="s">
        <v>327</v>
      </c>
      <c r="G3226" s="73" t="s">
        <v>24</v>
      </c>
      <c r="H3226" s="75" t="str">
        <f>IFERROR(VLOOKUP(Table2[[#This Row],[Ticket]],Okey!A:B,2,0),"")</f>
        <v>ok</v>
      </c>
      <c r="I3226" s="75" t="s">
        <v>8318</v>
      </c>
      <c r="J3226" t="str">
        <f>VLOOKUP(Table2[[#This Row],[Author]],People!A:B,2,0)</f>
        <v>EL</v>
      </c>
      <c r="K3226" s="75"/>
      <c r="L3226" s="74"/>
      <c r="M3226" s="74" t="s">
        <v>1752</v>
      </c>
    </row>
    <row r="3227" spans="1:13" x14ac:dyDescent="0.25">
      <c r="A3227" s="75">
        <f t="shared" si="50"/>
        <v>3226</v>
      </c>
      <c r="B3227" s="73" t="s">
        <v>5960</v>
      </c>
      <c r="C3227" s="73" t="s">
        <v>8362</v>
      </c>
      <c r="D3227" t="s">
        <v>6944</v>
      </c>
      <c r="F3227" s="73" t="s">
        <v>327</v>
      </c>
      <c r="G3227" s="73" t="s">
        <v>24</v>
      </c>
      <c r="H3227" s="75" t="str">
        <f>IFERROR(VLOOKUP(Table2[[#This Row],[Ticket]],Okey!A:B,2,0),"")</f>
        <v>ok</v>
      </c>
      <c r="I3227" s="75" t="s">
        <v>8318</v>
      </c>
      <c r="J3227" t="str">
        <f>VLOOKUP(Table2[[#This Row],[Author]],People!A:B,2,0)</f>
        <v>EL</v>
      </c>
      <c r="K3227" s="75"/>
      <c r="L3227" s="74"/>
      <c r="M3227" s="74" t="s">
        <v>1752</v>
      </c>
    </row>
    <row r="3228" spans="1:13" x14ac:dyDescent="0.25">
      <c r="A3228" s="75">
        <f t="shared" si="50"/>
        <v>3227</v>
      </c>
      <c r="B3228" s="73" t="s">
        <v>5960</v>
      </c>
      <c r="C3228" s="73" t="s">
        <v>8362</v>
      </c>
      <c r="D3228" t="s">
        <v>6946</v>
      </c>
      <c r="F3228" s="73" t="s">
        <v>327</v>
      </c>
      <c r="G3228" s="73" t="s">
        <v>24</v>
      </c>
      <c r="H3228" s="75" t="str">
        <f>IFERROR(VLOOKUP(Table2[[#This Row],[Ticket]],Okey!A:B,2,0),"")</f>
        <v>ok</v>
      </c>
      <c r="I3228" s="75" t="s">
        <v>8318</v>
      </c>
      <c r="J3228" t="str">
        <f>VLOOKUP(Table2[[#This Row],[Author]],People!A:B,2,0)</f>
        <v>EL</v>
      </c>
      <c r="K3228" s="75"/>
      <c r="L3228" s="74"/>
      <c r="M3228" s="74" t="s">
        <v>1752</v>
      </c>
    </row>
    <row r="3229" spans="1:13" x14ac:dyDescent="0.25">
      <c r="A3229" s="75">
        <f t="shared" si="50"/>
        <v>3228</v>
      </c>
      <c r="B3229" s="73" t="s">
        <v>5960</v>
      </c>
      <c r="C3229" s="73" t="s">
        <v>8362</v>
      </c>
      <c r="D3229" t="s">
        <v>6948</v>
      </c>
      <c r="F3229" s="73" t="s">
        <v>327</v>
      </c>
      <c r="G3229" s="73" t="s">
        <v>24</v>
      </c>
      <c r="H3229" s="75" t="str">
        <f>IFERROR(VLOOKUP(Table2[[#This Row],[Ticket]],Okey!A:B,2,0),"")</f>
        <v>ok</v>
      </c>
      <c r="I3229" s="75" t="s">
        <v>8318</v>
      </c>
      <c r="J3229" t="str">
        <f>VLOOKUP(Table2[[#This Row],[Author]],People!A:B,2,0)</f>
        <v>EL</v>
      </c>
      <c r="K3229" s="75"/>
      <c r="L3229" s="74"/>
      <c r="M3229" s="74" t="s">
        <v>1752</v>
      </c>
    </row>
    <row r="3230" spans="1:13" x14ac:dyDescent="0.25">
      <c r="A3230" s="75">
        <f t="shared" si="50"/>
        <v>3229</v>
      </c>
      <c r="B3230" s="73" t="s">
        <v>5960</v>
      </c>
      <c r="C3230" s="73" t="s">
        <v>8362</v>
      </c>
      <c r="D3230" t="s">
        <v>6950</v>
      </c>
      <c r="F3230" s="73" t="s">
        <v>327</v>
      </c>
      <c r="G3230" s="73" t="s">
        <v>24</v>
      </c>
      <c r="H3230" s="75" t="str">
        <f>IFERROR(VLOOKUP(Table2[[#This Row],[Ticket]],Okey!A:B,2,0),"")</f>
        <v>ok</v>
      </c>
      <c r="I3230" s="75" t="s">
        <v>8318</v>
      </c>
      <c r="J3230" t="str">
        <f>VLOOKUP(Table2[[#This Row],[Author]],People!A:B,2,0)</f>
        <v>EL</v>
      </c>
      <c r="K3230" s="75"/>
      <c r="L3230" s="74"/>
      <c r="M3230" s="74" t="s">
        <v>1752</v>
      </c>
    </row>
    <row r="3231" spans="1:13" x14ac:dyDescent="0.25">
      <c r="A3231" s="75">
        <f t="shared" si="50"/>
        <v>3230</v>
      </c>
      <c r="B3231" s="73" t="s">
        <v>5960</v>
      </c>
      <c r="C3231" s="73" t="s">
        <v>8362</v>
      </c>
      <c r="D3231" t="s">
        <v>2027</v>
      </c>
      <c r="F3231" s="73" t="s">
        <v>327</v>
      </c>
      <c r="G3231" s="73" t="s">
        <v>24</v>
      </c>
      <c r="H3231" s="75" t="str">
        <f>IFERROR(VLOOKUP(Table2[[#This Row],[Ticket]],Okey!A:B,2,0),"")</f>
        <v>ok</v>
      </c>
      <c r="I3231" s="75" t="s">
        <v>8318</v>
      </c>
      <c r="J3231" t="str">
        <f>VLOOKUP(Table2[[#This Row],[Author]],People!A:B,2,0)</f>
        <v>EL</v>
      </c>
      <c r="K3231" s="75"/>
      <c r="L3231" s="74"/>
      <c r="M3231" s="74" t="s">
        <v>1752</v>
      </c>
    </row>
    <row r="3232" spans="1:13" x14ac:dyDescent="0.25">
      <c r="A3232" s="75">
        <f t="shared" si="50"/>
        <v>3231</v>
      </c>
      <c r="B3232" s="73" t="s">
        <v>5960</v>
      </c>
      <c r="C3232" s="73" t="s">
        <v>8362</v>
      </c>
      <c r="D3232" t="s">
        <v>2029</v>
      </c>
      <c r="F3232" s="73" t="s">
        <v>327</v>
      </c>
      <c r="G3232" s="73" t="s">
        <v>24</v>
      </c>
      <c r="H3232" s="75" t="str">
        <f>IFERROR(VLOOKUP(Table2[[#This Row],[Ticket]],Okey!A:B,2,0),"")</f>
        <v>ok</v>
      </c>
      <c r="I3232" s="75" t="s">
        <v>8318</v>
      </c>
      <c r="J3232" t="str">
        <f>VLOOKUP(Table2[[#This Row],[Author]],People!A:B,2,0)</f>
        <v>EL</v>
      </c>
      <c r="K3232" s="75"/>
      <c r="L3232" s="74"/>
      <c r="M3232" s="74" t="s">
        <v>1752</v>
      </c>
    </row>
    <row r="3233" spans="1:13" x14ac:dyDescent="0.25">
      <c r="A3233" s="75">
        <f t="shared" si="50"/>
        <v>3232</v>
      </c>
      <c r="B3233" s="73" t="s">
        <v>5960</v>
      </c>
      <c r="C3233" s="73" t="s">
        <v>8362</v>
      </c>
      <c r="D3233" t="s">
        <v>6961</v>
      </c>
      <c r="F3233" s="73" t="s">
        <v>327</v>
      </c>
      <c r="G3233" s="73" t="s">
        <v>24</v>
      </c>
      <c r="H3233" s="75" t="str">
        <f>IFERROR(VLOOKUP(Table2[[#This Row],[Ticket]],Okey!A:B,2,0),"")</f>
        <v>ok</v>
      </c>
      <c r="I3233" s="75" t="s">
        <v>8318</v>
      </c>
      <c r="J3233" t="str">
        <f>VLOOKUP(Table2[[#This Row],[Author]],People!A:B,2,0)</f>
        <v>EL</v>
      </c>
      <c r="K3233" s="75"/>
      <c r="L3233" s="74"/>
      <c r="M3233" s="74" t="s">
        <v>1752</v>
      </c>
    </row>
    <row r="3234" spans="1:13" x14ac:dyDescent="0.25">
      <c r="A3234" s="75">
        <f t="shared" si="50"/>
        <v>3233</v>
      </c>
      <c r="B3234" s="73" t="s">
        <v>5960</v>
      </c>
      <c r="C3234" s="73" t="s">
        <v>8362</v>
      </c>
      <c r="D3234" t="s">
        <v>6963</v>
      </c>
      <c r="F3234" s="73" t="s">
        <v>327</v>
      </c>
      <c r="G3234" s="73" t="s">
        <v>24</v>
      </c>
      <c r="H3234" s="75" t="str">
        <f>IFERROR(VLOOKUP(Table2[[#This Row],[Ticket]],Okey!A:B,2,0),"")</f>
        <v>ok</v>
      </c>
      <c r="I3234" s="75" t="s">
        <v>8318</v>
      </c>
      <c r="J3234" t="str">
        <f>VLOOKUP(Table2[[#This Row],[Author]],People!A:B,2,0)</f>
        <v>EL</v>
      </c>
      <c r="K3234" s="75"/>
      <c r="L3234" s="74"/>
      <c r="M3234" s="74" t="s">
        <v>1752</v>
      </c>
    </row>
    <row r="3235" spans="1:13" x14ac:dyDescent="0.25">
      <c r="A3235" s="75">
        <f t="shared" si="50"/>
        <v>3234</v>
      </c>
      <c r="B3235" s="73" t="s">
        <v>5960</v>
      </c>
      <c r="C3235" s="73" t="s">
        <v>8362</v>
      </c>
      <c r="D3235" t="s">
        <v>6967</v>
      </c>
      <c r="F3235" s="73" t="s">
        <v>327</v>
      </c>
      <c r="G3235" s="73" t="s">
        <v>24</v>
      </c>
      <c r="H3235" s="75" t="str">
        <f>IFERROR(VLOOKUP(Table2[[#This Row],[Ticket]],Okey!A:B,2,0),"")</f>
        <v>ok</v>
      </c>
      <c r="I3235" s="75" t="s">
        <v>8318</v>
      </c>
      <c r="J3235" t="str">
        <f>VLOOKUP(Table2[[#This Row],[Author]],People!A:B,2,0)</f>
        <v>EL</v>
      </c>
      <c r="K3235" s="75"/>
      <c r="L3235" s="74"/>
      <c r="M3235" s="74" t="s">
        <v>1752</v>
      </c>
    </row>
    <row r="3236" spans="1:13" x14ac:dyDescent="0.25">
      <c r="A3236" s="75">
        <f t="shared" si="50"/>
        <v>3235</v>
      </c>
      <c r="B3236" s="73" t="s">
        <v>5960</v>
      </c>
      <c r="C3236" s="73" t="s">
        <v>8362</v>
      </c>
      <c r="D3236" t="s">
        <v>8369</v>
      </c>
      <c r="F3236" s="73" t="s">
        <v>327</v>
      </c>
      <c r="G3236" s="73" t="s">
        <v>24</v>
      </c>
      <c r="H3236" s="75" t="str">
        <f>IFERROR(VLOOKUP(Table2[[#This Row],[Ticket]],Okey!A:B,2,0),"")</f>
        <v>ok</v>
      </c>
      <c r="I3236" s="73" t="s">
        <v>8046</v>
      </c>
      <c r="J3236" t="str">
        <f>VLOOKUP(Table2[[#This Row],[Author]],People!A:B,2,0)</f>
        <v>EL</v>
      </c>
      <c r="K3236" s="75"/>
      <c r="L3236" s="74"/>
      <c r="M3236" s="74" t="s">
        <v>1752</v>
      </c>
    </row>
    <row r="3237" spans="1:13" x14ac:dyDescent="0.25">
      <c r="A3237" s="75">
        <f t="shared" si="50"/>
        <v>3236</v>
      </c>
      <c r="B3237" s="73" t="s">
        <v>5960</v>
      </c>
      <c r="C3237" t="s">
        <v>8383</v>
      </c>
      <c r="D3237" t="s">
        <v>695</v>
      </c>
      <c r="E3237" t="s">
        <v>8382</v>
      </c>
      <c r="F3237" t="s">
        <v>8381</v>
      </c>
      <c r="G3237" t="s">
        <v>496</v>
      </c>
      <c r="H3237" s="75" t="str">
        <f>IFERROR(VLOOKUP(Table2[[#This Row],[Ticket]],Okey!A:B,2,0),"")</f>
        <v>ok</v>
      </c>
      <c r="I3237" s="75" t="s">
        <v>8318</v>
      </c>
      <c r="J3237" t="str">
        <f>VLOOKUP(Table2[[#This Row],[Author]],People!A:B,2,0)</f>
        <v>MGF</v>
      </c>
      <c r="K3237" t="s">
        <v>8399</v>
      </c>
      <c r="L3237" s="74"/>
      <c r="M3237" s="74" t="s">
        <v>7208</v>
      </c>
    </row>
    <row r="3238" spans="1:13" x14ac:dyDescent="0.25">
      <c r="A3238" s="75">
        <f t="shared" si="50"/>
        <v>3237</v>
      </c>
      <c r="B3238" s="73" t="s">
        <v>5960</v>
      </c>
      <c r="C3238" t="s">
        <v>8386</v>
      </c>
      <c r="D3238" t="s">
        <v>3750</v>
      </c>
      <c r="E3238" t="s">
        <v>8384</v>
      </c>
      <c r="G3238" t="s">
        <v>63</v>
      </c>
      <c r="H3238" s="75" t="str">
        <f>IFERROR(VLOOKUP(Table2[[#This Row],[Ticket]],Okey!A:B,2,0),"")</f>
        <v>ok</v>
      </c>
      <c r="I3238" s="75" t="s">
        <v>8318</v>
      </c>
      <c r="J3238" t="str">
        <f>VLOOKUP(Table2[[#This Row],[Author]],People!A:B,2,0)</f>
        <v>MGF</v>
      </c>
      <c r="K3238" s="75" t="s">
        <v>8399</v>
      </c>
      <c r="L3238" s="74"/>
      <c r="M3238" s="74" t="s">
        <v>7208</v>
      </c>
    </row>
    <row r="3239" spans="1:13" x14ac:dyDescent="0.25">
      <c r="A3239" s="75">
        <f t="shared" si="50"/>
        <v>3238</v>
      </c>
      <c r="B3239" s="73" t="s">
        <v>5960</v>
      </c>
      <c r="C3239" s="73" t="s">
        <v>8386</v>
      </c>
      <c r="D3239" t="s">
        <v>3807</v>
      </c>
      <c r="E3239" t="s">
        <v>8385</v>
      </c>
      <c r="G3239" s="73" t="s">
        <v>63</v>
      </c>
      <c r="H3239" s="75" t="str">
        <f>IFERROR(VLOOKUP(Table2[[#This Row],[Ticket]],Okey!A:B,2,0),"")</f>
        <v>ok</v>
      </c>
      <c r="I3239" s="75" t="s">
        <v>8318</v>
      </c>
      <c r="J3239" t="str">
        <f>VLOOKUP(Table2[[#This Row],[Author]],People!A:B,2,0)</f>
        <v>MGF</v>
      </c>
      <c r="K3239" s="75" t="s">
        <v>8399</v>
      </c>
      <c r="L3239" s="74"/>
      <c r="M3239" s="74" t="s">
        <v>7208</v>
      </c>
    </row>
    <row r="3240" spans="1:13" x14ac:dyDescent="0.25">
      <c r="A3240" s="75">
        <f t="shared" si="50"/>
        <v>3239</v>
      </c>
      <c r="B3240" s="73" t="s">
        <v>5960</v>
      </c>
      <c r="C3240" t="s">
        <v>8396</v>
      </c>
      <c r="D3240" t="s">
        <v>1101</v>
      </c>
      <c r="E3240" t="s">
        <v>8184</v>
      </c>
      <c r="G3240" s="75" t="s">
        <v>63</v>
      </c>
      <c r="H3240" s="75" t="str">
        <f>IFERROR(VLOOKUP(Table2[[#This Row],[Ticket]],Okey!A:B,2,0),"")</f>
        <v>ok</v>
      </c>
      <c r="I3240" s="75" t="s">
        <v>8318</v>
      </c>
      <c r="J3240" t="str">
        <f>VLOOKUP(Table2[[#This Row],[Author]],People!A:B,2,0)</f>
        <v>LS</v>
      </c>
      <c r="L3240" s="74"/>
      <c r="M3240" s="74" t="s">
        <v>8165</v>
      </c>
    </row>
    <row r="3241" spans="1:13" x14ac:dyDescent="0.25">
      <c r="A3241" s="75">
        <f t="shared" si="50"/>
        <v>3240</v>
      </c>
      <c r="B3241" s="73" t="s">
        <v>5960</v>
      </c>
      <c r="C3241" s="75" t="s">
        <v>8396</v>
      </c>
      <c r="D3241" t="s">
        <v>6012</v>
      </c>
      <c r="E3241" t="s">
        <v>7585</v>
      </c>
      <c r="G3241" s="75" t="s">
        <v>63</v>
      </c>
      <c r="H3241" s="75" t="str">
        <f>IFERROR(VLOOKUP(Table2[[#This Row],[Ticket]],Okey!A:B,2,0),"")</f>
        <v>ok</v>
      </c>
      <c r="I3241" s="75" t="s">
        <v>8318</v>
      </c>
      <c r="J3241" t="str">
        <f>VLOOKUP(Table2[[#This Row],[Author]],People!A:B,2,0)</f>
        <v>LS</v>
      </c>
      <c r="L3241" s="74"/>
      <c r="M3241" s="76" t="s">
        <v>8165</v>
      </c>
    </row>
    <row r="3242" spans="1:13" x14ac:dyDescent="0.25">
      <c r="A3242" s="75">
        <f t="shared" si="50"/>
        <v>3241</v>
      </c>
      <c r="B3242" s="75" t="s">
        <v>5960</v>
      </c>
      <c r="C3242" s="75" t="s">
        <v>8396</v>
      </c>
      <c r="D3242" t="s">
        <v>6015</v>
      </c>
      <c r="E3242" t="s">
        <v>8185</v>
      </c>
      <c r="G3242" s="75" t="s">
        <v>63</v>
      </c>
      <c r="H3242" s="75" t="str">
        <f>IFERROR(VLOOKUP(Table2[[#This Row],[Ticket]],Okey!A:B,2,0),"")</f>
        <v>ok</v>
      </c>
      <c r="I3242" s="75" t="s">
        <v>8318</v>
      </c>
      <c r="J3242" t="str">
        <f>VLOOKUP(Table2[[#This Row],[Author]],People!A:B,2,0)</f>
        <v>LS</v>
      </c>
      <c r="L3242" s="74"/>
      <c r="M3242" s="76" t="s">
        <v>8165</v>
      </c>
    </row>
    <row r="3243" spans="1:13" x14ac:dyDescent="0.25">
      <c r="A3243" s="75">
        <f t="shared" si="50"/>
        <v>3242</v>
      </c>
      <c r="B3243" s="75" t="s">
        <v>5960</v>
      </c>
      <c r="C3243" s="75" t="s">
        <v>8396</v>
      </c>
      <c r="D3243" t="s">
        <v>8166</v>
      </c>
      <c r="E3243" t="s">
        <v>8186</v>
      </c>
      <c r="F3243" s="73"/>
      <c r="G3243" s="75" t="s">
        <v>63</v>
      </c>
      <c r="H3243" s="75" t="str">
        <f>IFERROR(VLOOKUP(Table2[[#This Row],[Ticket]],Okey!A:B,2,0),"")</f>
        <v>ok</v>
      </c>
      <c r="I3243" s="75" t="s">
        <v>8318</v>
      </c>
      <c r="J3243" t="str">
        <f>VLOOKUP(Table2[[#This Row],[Author]],People!A:B,2,0)</f>
        <v>LS</v>
      </c>
      <c r="L3243" s="74"/>
      <c r="M3243" s="76" t="s">
        <v>8165</v>
      </c>
    </row>
    <row r="3244" spans="1:13" x14ac:dyDescent="0.25">
      <c r="A3244" s="75">
        <f t="shared" si="50"/>
        <v>3243</v>
      </c>
      <c r="B3244" s="75" t="s">
        <v>5960</v>
      </c>
      <c r="C3244" s="75" t="s">
        <v>8396</v>
      </c>
      <c r="D3244" t="s">
        <v>8167</v>
      </c>
      <c r="E3244" t="s">
        <v>8186</v>
      </c>
      <c r="F3244" s="73"/>
      <c r="G3244" s="75" t="s">
        <v>63</v>
      </c>
      <c r="H3244" s="75" t="str">
        <f>IFERROR(VLOOKUP(Table2[[#This Row],[Ticket]],Okey!A:B,2,0),"")</f>
        <v>ok</v>
      </c>
      <c r="I3244" s="75" t="s">
        <v>8318</v>
      </c>
      <c r="J3244" t="str">
        <f>VLOOKUP(Table2[[#This Row],[Author]],People!A:B,2,0)</f>
        <v>LS</v>
      </c>
      <c r="L3244" s="74"/>
      <c r="M3244" s="76" t="s">
        <v>8165</v>
      </c>
    </row>
    <row r="3245" spans="1:13" x14ac:dyDescent="0.25">
      <c r="A3245" s="75">
        <f t="shared" si="50"/>
        <v>3244</v>
      </c>
      <c r="B3245" s="75" t="s">
        <v>5960</v>
      </c>
      <c r="C3245" s="75" t="s">
        <v>8396</v>
      </c>
      <c r="D3245" t="s">
        <v>8168</v>
      </c>
      <c r="E3245" t="s">
        <v>8187</v>
      </c>
      <c r="F3245" s="73"/>
      <c r="G3245" s="75" t="s">
        <v>63</v>
      </c>
      <c r="H3245" s="75" t="str">
        <f>IFERROR(VLOOKUP(Table2[[#This Row],[Ticket]],Okey!A:B,2,0),"")</f>
        <v>ok</v>
      </c>
      <c r="I3245" s="75" t="s">
        <v>8318</v>
      </c>
      <c r="J3245" t="str">
        <f>VLOOKUP(Table2[[#This Row],[Author]],People!A:B,2,0)</f>
        <v>LS</v>
      </c>
      <c r="L3245" s="74"/>
      <c r="M3245" s="76" t="s">
        <v>8165</v>
      </c>
    </row>
    <row r="3246" spans="1:13" x14ac:dyDescent="0.25">
      <c r="A3246" s="75">
        <f t="shared" si="50"/>
        <v>3245</v>
      </c>
      <c r="B3246" s="75" t="s">
        <v>5960</v>
      </c>
      <c r="C3246" s="75" t="s">
        <v>8396</v>
      </c>
      <c r="D3246" t="s">
        <v>4209</v>
      </c>
      <c r="E3246" t="s">
        <v>8188</v>
      </c>
      <c r="F3246" s="73"/>
      <c r="G3246" s="75" t="s">
        <v>63</v>
      </c>
      <c r="H3246" s="75" t="str">
        <f>IFERROR(VLOOKUP(Table2[[#This Row],[Ticket]],Okey!A:B,2,0),"")</f>
        <v>ok</v>
      </c>
      <c r="I3246" s="75" t="s">
        <v>8318</v>
      </c>
      <c r="J3246" t="str">
        <f>VLOOKUP(Table2[[#This Row],[Author]],People!A:B,2,0)</f>
        <v>LS</v>
      </c>
      <c r="L3246" s="74"/>
      <c r="M3246" s="76" t="s">
        <v>8165</v>
      </c>
    </row>
    <row r="3247" spans="1:13" x14ac:dyDescent="0.25">
      <c r="A3247" s="75">
        <f t="shared" si="50"/>
        <v>3246</v>
      </c>
      <c r="B3247" s="75" t="s">
        <v>5960</v>
      </c>
      <c r="C3247" s="75" t="s">
        <v>8396</v>
      </c>
      <c r="D3247" t="s">
        <v>4211</v>
      </c>
      <c r="E3247" t="s">
        <v>8189</v>
      </c>
      <c r="F3247" s="73"/>
      <c r="G3247" s="75" t="s">
        <v>63</v>
      </c>
      <c r="H3247" s="75" t="str">
        <f>IFERROR(VLOOKUP(Table2[[#This Row],[Ticket]],Okey!A:B,2,0),"")</f>
        <v>ok</v>
      </c>
      <c r="I3247" s="75" t="s">
        <v>8318</v>
      </c>
      <c r="J3247" t="str">
        <f>VLOOKUP(Table2[[#This Row],[Author]],People!A:B,2,0)</f>
        <v>LS</v>
      </c>
      <c r="L3247" s="74"/>
      <c r="M3247" s="76" t="s">
        <v>8165</v>
      </c>
    </row>
    <row r="3248" spans="1:13" x14ac:dyDescent="0.25">
      <c r="A3248" s="75">
        <f t="shared" si="50"/>
        <v>3247</v>
      </c>
      <c r="B3248" s="75" t="s">
        <v>5960</v>
      </c>
      <c r="C3248" s="75" t="s">
        <v>8396</v>
      </c>
      <c r="D3248" t="s">
        <v>8169</v>
      </c>
      <c r="E3248" t="s">
        <v>8190</v>
      </c>
      <c r="F3248" s="73"/>
      <c r="G3248" s="75" t="s">
        <v>63</v>
      </c>
      <c r="H3248" s="75" t="str">
        <f>IFERROR(VLOOKUP(Table2[[#This Row],[Ticket]],Okey!A:B,2,0),"")</f>
        <v>ok</v>
      </c>
      <c r="I3248" s="75" t="s">
        <v>8318</v>
      </c>
      <c r="J3248" t="str">
        <f>VLOOKUP(Table2[[#This Row],[Author]],People!A:B,2,0)</f>
        <v>LS</v>
      </c>
      <c r="L3248" s="74"/>
      <c r="M3248" s="76" t="s">
        <v>8165</v>
      </c>
    </row>
    <row r="3249" spans="1:13" x14ac:dyDescent="0.25">
      <c r="A3249" s="75">
        <f t="shared" si="50"/>
        <v>3248</v>
      </c>
      <c r="B3249" s="75" t="s">
        <v>5960</v>
      </c>
      <c r="C3249" s="75" t="s">
        <v>8396</v>
      </c>
      <c r="D3249" t="s">
        <v>8170</v>
      </c>
      <c r="E3249" t="s">
        <v>8191</v>
      </c>
      <c r="F3249" s="73"/>
      <c r="G3249" s="75" t="s">
        <v>63</v>
      </c>
      <c r="H3249" s="75" t="str">
        <f>IFERROR(VLOOKUP(Table2[[#This Row],[Ticket]],Okey!A:B,2,0),"")</f>
        <v>ok</v>
      </c>
      <c r="I3249" s="75" t="s">
        <v>8318</v>
      </c>
      <c r="J3249" t="str">
        <f>VLOOKUP(Table2[[#This Row],[Author]],People!A:B,2,0)</f>
        <v>LS</v>
      </c>
      <c r="L3249" s="74"/>
      <c r="M3249" s="76" t="s">
        <v>8165</v>
      </c>
    </row>
    <row r="3250" spans="1:13" x14ac:dyDescent="0.25">
      <c r="A3250" s="75">
        <f t="shared" si="50"/>
        <v>3249</v>
      </c>
      <c r="B3250" s="75" t="s">
        <v>5960</v>
      </c>
      <c r="C3250" s="75" t="s">
        <v>8396</v>
      </c>
      <c r="D3250" t="s">
        <v>8171</v>
      </c>
      <c r="E3250" t="s">
        <v>8192</v>
      </c>
      <c r="F3250" s="73"/>
      <c r="G3250" s="75" t="s">
        <v>63</v>
      </c>
      <c r="H3250" s="75" t="str">
        <f>IFERROR(VLOOKUP(Table2[[#This Row],[Ticket]],Okey!A:B,2,0),"")</f>
        <v>ok</v>
      </c>
      <c r="I3250" s="75" t="s">
        <v>8318</v>
      </c>
      <c r="J3250" t="str">
        <f>VLOOKUP(Table2[[#This Row],[Author]],People!A:B,2,0)</f>
        <v>LS</v>
      </c>
      <c r="L3250" s="74"/>
      <c r="M3250" s="76" t="s">
        <v>8165</v>
      </c>
    </row>
    <row r="3251" spans="1:13" x14ac:dyDescent="0.25">
      <c r="A3251" s="75">
        <f t="shared" si="50"/>
        <v>3250</v>
      </c>
      <c r="B3251" s="75" t="s">
        <v>5960</v>
      </c>
      <c r="C3251" s="75" t="s">
        <v>8396</v>
      </c>
      <c r="D3251" t="s">
        <v>8172</v>
      </c>
      <c r="E3251" t="s">
        <v>8193</v>
      </c>
      <c r="F3251" s="73"/>
      <c r="G3251" s="75" t="s">
        <v>63</v>
      </c>
      <c r="H3251" s="75" t="str">
        <f>IFERROR(VLOOKUP(Table2[[#This Row],[Ticket]],Okey!A:B,2,0),"")</f>
        <v>ok</v>
      </c>
      <c r="I3251" s="75" t="s">
        <v>8318</v>
      </c>
      <c r="J3251" t="str">
        <f>VLOOKUP(Table2[[#This Row],[Author]],People!A:B,2,0)</f>
        <v>LS</v>
      </c>
      <c r="L3251" s="74"/>
      <c r="M3251" s="76" t="s">
        <v>8165</v>
      </c>
    </row>
    <row r="3252" spans="1:13" x14ac:dyDescent="0.25">
      <c r="A3252" s="75">
        <f t="shared" si="50"/>
        <v>3251</v>
      </c>
      <c r="B3252" s="75" t="s">
        <v>5960</v>
      </c>
      <c r="C3252" s="75" t="s">
        <v>8396</v>
      </c>
      <c r="D3252" t="s">
        <v>8173</v>
      </c>
      <c r="E3252" t="s">
        <v>8194</v>
      </c>
      <c r="F3252" s="73"/>
      <c r="G3252" s="75" t="s">
        <v>63</v>
      </c>
      <c r="H3252" s="75" t="str">
        <f>IFERROR(VLOOKUP(Table2[[#This Row],[Ticket]],Okey!A:B,2,0),"")</f>
        <v>ok</v>
      </c>
      <c r="I3252" s="75" t="s">
        <v>8318</v>
      </c>
      <c r="J3252" t="str">
        <f>VLOOKUP(Table2[[#This Row],[Author]],People!A:B,2,0)</f>
        <v>LS</v>
      </c>
      <c r="L3252" s="74"/>
      <c r="M3252" s="76" t="s">
        <v>8165</v>
      </c>
    </row>
    <row r="3253" spans="1:13" x14ac:dyDescent="0.25">
      <c r="A3253" s="75">
        <f t="shared" si="50"/>
        <v>3252</v>
      </c>
      <c r="B3253" s="75" t="s">
        <v>5960</v>
      </c>
      <c r="C3253" s="75" t="s">
        <v>8396</v>
      </c>
      <c r="D3253" t="s">
        <v>8174</v>
      </c>
      <c r="E3253" t="s">
        <v>8195</v>
      </c>
      <c r="F3253" s="73"/>
      <c r="G3253" s="75" t="s">
        <v>63</v>
      </c>
      <c r="H3253" s="75" t="str">
        <f>IFERROR(VLOOKUP(Table2[[#This Row],[Ticket]],Okey!A:B,2,0),"")</f>
        <v>ok</v>
      </c>
      <c r="I3253" s="75" t="s">
        <v>8318</v>
      </c>
      <c r="J3253" t="str">
        <f>VLOOKUP(Table2[[#This Row],[Author]],People!A:B,2,0)</f>
        <v>LS</v>
      </c>
      <c r="L3253" s="74"/>
      <c r="M3253" s="76" t="s">
        <v>8165</v>
      </c>
    </row>
    <row r="3254" spans="1:13" x14ac:dyDescent="0.25">
      <c r="A3254" s="75">
        <f t="shared" si="50"/>
        <v>3253</v>
      </c>
      <c r="B3254" s="75" t="s">
        <v>5960</v>
      </c>
      <c r="C3254" s="75" t="s">
        <v>8396</v>
      </c>
      <c r="D3254" t="s">
        <v>8175</v>
      </c>
      <c r="E3254" t="s">
        <v>8196</v>
      </c>
      <c r="F3254" s="73"/>
      <c r="G3254" s="75" t="s">
        <v>63</v>
      </c>
      <c r="H3254" s="75" t="str">
        <f>IFERROR(VLOOKUP(Table2[[#This Row],[Ticket]],Okey!A:B,2,0),"")</f>
        <v>ok</v>
      </c>
      <c r="I3254" s="75" t="s">
        <v>8318</v>
      </c>
      <c r="J3254" t="str">
        <f>VLOOKUP(Table2[[#This Row],[Author]],People!A:B,2,0)</f>
        <v>LS</v>
      </c>
      <c r="L3254" s="74"/>
      <c r="M3254" s="76" t="s">
        <v>8165</v>
      </c>
    </row>
    <row r="3255" spans="1:13" x14ac:dyDescent="0.25">
      <c r="A3255" s="75">
        <f t="shared" si="50"/>
        <v>3254</v>
      </c>
      <c r="B3255" s="75" t="s">
        <v>5960</v>
      </c>
      <c r="C3255" s="75" t="s">
        <v>8396</v>
      </c>
      <c r="D3255" t="s">
        <v>2448</v>
      </c>
      <c r="E3255" s="75" t="s">
        <v>8197</v>
      </c>
      <c r="G3255" s="75" t="s">
        <v>63</v>
      </c>
      <c r="H3255" s="75" t="str">
        <f>IFERROR(VLOOKUP(Table2[[#This Row],[Ticket]],Okey!A:B,2,0),"")</f>
        <v>ok</v>
      </c>
      <c r="I3255" s="75" t="s">
        <v>8318</v>
      </c>
      <c r="J3255" t="str">
        <f>VLOOKUP(Table2[[#This Row],[Author]],People!A:B,2,0)</f>
        <v>LS</v>
      </c>
      <c r="L3255" s="74"/>
      <c r="M3255" s="76" t="s">
        <v>8165</v>
      </c>
    </row>
    <row r="3256" spans="1:13" x14ac:dyDescent="0.25">
      <c r="A3256" s="75">
        <f t="shared" si="50"/>
        <v>3255</v>
      </c>
      <c r="B3256" s="75" t="s">
        <v>5960</v>
      </c>
      <c r="C3256" s="75" t="s">
        <v>8396</v>
      </c>
      <c r="D3256" t="s">
        <v>8176</v>
      </c>
      <c r="E3256" t="s">
        <v>8198</v>
      </c>
      <c r="G3256" s="75" t="s">
        <v>63</v>
      </c>
      <c r="H3256" s="75" t="str">
        <f>IFERROR(VLOOKUP(Table2[[#This Row],[Ticket]],Okey!A:B,2,0),"")</f>
        <v>ok</v>
      </c>
      <c r="I3256" s="75" t="s">
        <v>8318</v>
      </c>
      <c r="J3256" t="str">
        <f>VLOOKUP(Table2[[#This Row],[Author]],People!A:B,2,0)</f>
        <v>LS</v>
      </c>
      <c r="L3256" s="76"/>
      <c r="M3256" s="76" t="s">
        <v>8165</v>
      </c>
    </row>
    <row r="3257" spans="1:13" x14ac:dyDescent="0.25">
      <c r="A3257" s="75">
        <f t="shared" si="50"/>
        <v>3256</v>
      </c>
      <c r="B3257" s="75" t="s">
        <v>5960</v>
      </c>
      <c r="C3257" s="75" t="s">
        <v>8396</v>
      </c>
      <c r="D3257" t="s">
        <v>7346</v>
      </c>
      <c r="E3257" t="s">
        <v>8199</v>
      </c>
      <c r="G3257" s="75" t="s">
        <v>63</v>
      </c>
      <c r="H3257" s="75" t="str">
        <f>IFERROR(VLOOKUP(Table2[[#This Row],[Ticket]],Okey!A:B,2,0),"")</f>
        <v>ok</v>
      </c>
      <c r="I3257" s="75" t="s">
        <v>8318</v>
      </c>
      <c r="J3257" t="str">
        <f>VLOOKUP(Table2[[#This Row],[Author]],People!A:B,2,0)</f>
        <v>LS</v>
      </c>
      <c r="L3257" s="76"/>
      <c r="M3257" s="76" t="s">
        <v>8165</v>
      </c>
    </row>
    <row r="3258" spans="1:13" x14ac:dyDescent="0.25">
      <c r="A3258" s="75">
        <f t="shared" si="50"/>
        <v>3257</v>
      </c>
      <c r="B3258" s="75" t="s">
        <v>5960</v>
      </c>
      <c r="C3258" s="75" t="s">
        <v>8396</v>
      </c>
      <c r="D3258" t="s">
        <v>8177</v>
      </c>
      <c r="E3258" t="s">
        <v>8200</v>
      </c>
      <c r="G3258" s="75" t="s">
        <v>63</v>
      </c>
      <c r="H3258" s="75" t="str">
        <f>IFERROR(VLOOKUP(Table2[[#This Row],[Ticket]],Okey!A:B,2,0),"")</f>
        <v>ok</v>
      </c>
      <c r="I3258" s="75" t="s">
        <v>8318</v>
      </c>
      <c r="J3258" t="str">
        <f>VLOOKUP(Table2[[#This Row],[Author]],People!A:B,2,0)</f>
        <v>LS</v>
      </c>
      <c r="L3258" s="76"/>
      <c r="M3258" s="76" t="s">
        <v>8165</v>
      </c>
    </row>
    <row r="3259" spans="1:13" x14ac:dyDescent="0.25">
      <c r="A3259" s="75">
        <f t="shared" si="50"/>
        <v>3258</v>
      </c>
      <c r="B3259" s="75" t="s">
        <v>5960</v>
      </c>
      <c r="C3259" t="s">
        <v>8396</v>
      </c>
      <c r="D3259" t="s">
        <v>8178</v>
      </c>
      <c r="E3259" t="s">
        <v>8201</v>
      </c>
      <c r="G3259" s="75" t="s">
        <v>63</v>
      </c>
      <c r="H3259" s="75" t="str">
        <f>IFERROR(VLOOKUP(Table2[[#This Row],[Ticket]],Okey!A:B,2,0),"")</f>
        <v>ok</v>
      </c>
      <c r="I3259" s="75" t="s">
        <v>8318</v>
      </c>
      <c r="J3259" t="str">
        <f>VLOOKUP(Table2[[#This Row],[Author]],People!A:B,2,0)</f>
        <v>LS</v>
      </c>
      <c r="L3259" s="76"/>
      <c r="M3259" s="76" t="s">
        <v>8165</v>
      </c>
    </row>
    <row r="3260" spans="1:13" x14ac:dyDescent="0.25">
      <c r="A3260" s="75">
        <f t="shared" si="50"/>
        <v>3259</v>
      </c>
      <c r="B3260" s="75" t="s">
        <v>5960</v>
      </c>
      <c r="C3260" t="s">
        <v>8396</v>
      </c>
      <c r="D3260" t="s">
        <v>1453</v>
      </c>
      <c r="E3260" t="s">
        <v>8202</v>
      </c>
      <c r="G3260" s="75" t="s">
        <v>63</v>
      </c>
      <c r="H3260" s="75" t="str">
        <f>IFERROR(VLOOKUP(Table2[[#This Row],[Ticket]],Okey!A:B,2,0),"")</f>
        <v>ok</v>
      </c>
      <c r="I3260" s="75" t="s">
        <v>8318</v>
      </c>
      <c r="J3260" t="str">
        <f>VLOOKUP(Table2[[#This Row],[Author]],People!A:B,2,0)</f>
        <v>LS</v>
      </c>
      <c r="L3260" s="76"/>
      <c r="M3260" s="76" t="s">
        <v>8165</v>
      </c>
    </row>
    <row r="3261" spans="1:13" x14ac:dyDescent="0.25">
      <c r="A3261" s="75">
        <f t="shared" si="50"/>
        <v>3260</v>
      </c>
      <c r="B3261" s="75" t="s">
        <v>5960</v>
      </c>
      <c r="C3261" t="s">
        <v>8396</v>
      </c>
      <c r="D3261" t="s">
        <v>8179</v>
      </c>
      <c r="E3261" t="s">
        <v>8203</v>
      </c>
      <c r="G3261" s="75" t="s">
        <v>63</v>
      </c>
      <c r="H3261" s="75" t="str">
        <f>IFERROR(VLOOKUP(Table2[[#This Row],[Ticket]],Okey!A:B,2,0),"")</f>
        <v>ok</v>
      </c>
      <c r="I3261" s="75" t="s">
        <v>8318</v>
      </c>
      <c r="J3261" t="str">
        <f>VLOOKUP(Table2[[#This Row],[Author]],People!A:B,2,0)</f>
        <v>LS</v>
      </c>
      <c r="L3261" s="76"/>
      <c r="M3261" s="76" t="s">
        <v>8165</v>
      </c>
    </row>
    <row r="3262" spans="1:13" x14ac:dyDescent="0.25">
      <c r="A3262" s="75">
        <f t="shared" si="50"/>
        <v>3261</v>
      </c>
      <c r="B3262" s="75" t="s">
        <v>5960</v>
      </c>
      <c r="C3262" s="75" t="s">
        <v>8396</v>
      </c>
      <c r="D3262" t="s">
        <v>8180</v>
      </c>
      <c r="E3262" t="s">
        <v>8203</v>
      </c>
      <c r="G3262" s="75" t="s">
        <v>63</v>
      </c>
      <c r="H3262" s="75" t="str">
        <f>IFERROR(VLOOKUP(Table2[[#This Row],[Ticket]],Okey!A:B,2,0),"")</f>
        <v>ok</v>
      </c>
      <c r="I3262" s="75" t="s">
        <v>8318</v>
      </c>
      <c r="J3262" t="str">
        <f>VLOOKUP(Table2[[#This Row],[Author]],People!A:B,2,0)</f>
        <v>LS</v>
      </c>
      <c r="L3262" s="76"/>
      <c r="M3262" s="76" t="s">
        <v>8165</v>
      </c>
    </row>
    <row r="3263" spans="1:13" x14ac:dyDescent="0.25">
      <c r="A3263" s="75">
        <f t="shared" si="50"/>
        <v>3262</v>
      </c>
      <c r="B3263" s="75" t="s">
        <v>5960</v>
      </c>
      <c r="C3263" s="75" t="s">
        <v>8396</v>
      </c>
      <c r="D3263" t="s">
        <v>8181</v>
      </c>
      <c r="E3263" t="s">
        <v>8204</v>
      </c>
      <c r="G3263" s="75" t="s">
        <v>63</v>
      </c>
      <c r="H3263" s="75" t="str">
        <f>IFERROR(VLOOKUP(Table2[[#This Row],[Ticket]],Okey!A:B,2,0),"")</f>
        <v>ok</v>
      </c>
      <c r="I3263" s="75" t="s">
        <v>8318</v>
      </c>
      <c r="J3263" t="str">
        <f>VLOOKUP(Table2[[#This Row],[Author]],People!A:B,2,0)</f>
        <v>LS</v>
      </c>
      <c r="L3263" s="76"/>
      <c r="M3263" s="76" t="s">
        <v>8165</v>
      </c>
    </row>
    <row r="3264" spans="1:13" x14ac:dyDescent="0.25">
      <c r="A3264" s="75">
        <f t="shared" si="50"/>
        <v>3263</v>
      </c>
      <c r="B3264" s="75" t="s">
        <v>5960</v>
      </c>
      <c r="C3264" s="75" t="s">
        <v>8396</v>
      </c>
      <c r="D3264" t="s">
        <v>8182</v>
      </c>
      <c r="E3264" t="s">
        <v>8204</v>
      </c>
      <c r="G3264" s="75" t="s">
        <v>63</v>
      </c>
      <c r="H3264" s="75" t="str">
        <f>IFERROR(VLOOKUP(Table2[[#This Row],[Ticket]],Okey!A:B,2,0),"")</f>
        <v>ok</v>
      </c>
      <c r="I3264" s="75" t="s">
        <v>8318</v>
      </c>
      <c r="J3264" t="str">
        <f>VLOOKUP(Table2[[#This Row],[Author]],People!A:B,2,0)</f>
        <v>LS</v>
      </c>
      <c r="L3264" s="76"/>
      <c r="M3264" s="76" t="s">
        <v>8165</v>
      </c>
    </row>
    <row r="3265" spans="1:13" x14ac:dyDescent="0.25">
      <c r="A3265" s="75">
        <f t="shared" si="50"/>
        <v>3264</v>
      </c>
      <c r="B3265" s="75" t="s">
        <v>5960</v>
      </c>
      <c r="C3265" s="75" t="s">
        <v>8396</v>
      </c>
      <c r="D3265" t="s">
        <v>1043</v>
      </c>
      <c r="E3265" t="s">
        <v>8205</v>
      </c>
      <c r="G3265" s="75" t="s">
        <v>63</v>
      </c>
      <c r="H3265" s="75" t="str">
        <f>IFERROR(VLOOKUP(Table2[[#This Row],[Ticket]],Okey!A:B,2,0),"")</f>
        <v>ok</v>
      </c>
      <c r="I3265" s="75" t="s">
        <v>8318</v>
      </c>
      <c r="J3265" t="str">
        <f>VLOOKUP(Table2[[#This Row],[Author]],People!A:B,2,0)</f>
        <v>LS</v>
      </c>
      <c r="L3265" s="76"/>
      <c r="M3265" s="76" t="s">
        <v>8165</v>
      </c>
    </row>
    <row r="3266" spans="1:13" x14ac:dyDescent="0.25">
      <c r="A3266" s="75">
        <f t="shared" si="50"/>
        <v>3265</v>
      </c>
      <c r="B3266" s="75" t="s">
        <v>5960</v>
      </c>
      <c r="C3266" s="75" t="s">
        <v>8396</v>
      </c>
      <c r="D3266" t="s">
        <v>2720</v>
      </c>
      <c r="E3266" t="s">
        <v>8206</v>
      </c>
      <c r="G3266" s="75" t="s">
        <v>63</v>
      </c>
      <c r="H3266" s="75" t="str">
        <f>IFERROR(VLOOKUP(Table2[[#This Row],[Ticket]],Okey!A:B,2,0),"")</f>
        <v>ok</v>
      </c>
      <c r="I3266" s="75" t="s">
        <v>8318</v>
      </c>
      <c r="J3266" t="str">
        <f>VLOOKUP(Table2[[#This Row],[Author]],People!A:B,2,0)</f>
        <v>LS</v>
      </c>
      <c r="L3266" s="76"/>
      <c r="M3266" s="76" t="s">
        <v>8165</v>
      </c>
    </row>
    <row r="3267" spans="1:13" x14ac:dyDescent="0.25">
      <c r="A3267" s="75">
        <f t="shared" si="50"/>
        <v>3266</v>
      </c>
      <c r="B3267" s="75" t="s">
        <v>5960</v>
      </c>
      <c r="C3267" s="75" t="s">
        <v>8396</v>
      </c>
      <c r="D3267" t="s">
        <v>6740</v>
      </c>
      <c r="E3267" t="s">
        <v>8207</v>
      </c>
      <c r="G3267" s="75" t="s">
        <v>63</v>
      </c>
      <c r="H3267" s="75" t="str">
        <f>IFERROR(VLOOKUP(Table2[[#This Row],[Ticket]],Okey!A:B,2,0),"")</f>
        <v>ok</v>
      </c>
      <c r="I3267" s="75" t="s">
        <v>8318</v>
      </c>
      <c r="J3267" t="str">
        <f>VLOOKUP(Table2[[#This Row],[Author]],People!A:B,2,0)</f>
        <v>LS</v>
      </c>
      <c r="L3267" s="76"/>
      <c r="M3267" s="76" t="s">
        <v>8165</v>
      </c>
    </row>
    <row r="3268" spans="1:13" x14ac:dyDescent="0.25">
      <c r="A3268" s="75">
        <f t="shared" si="50"/>
        <v>3267</v>
      </c>
      <c r="B3268" s="75" t="s">
        <v>5960</v>
      </c>
      <c r="C3268" s="75" t="s">
        <v>8396</v>
      </c>
      <c r="D3268" t="s">
        <v>6742</v>
      </c>
      <c r="E3268" t="s">
        <v>8208</v>
      </c>
      <c r="G3268" s="75" t="s">
        <v>63</v>
      </c>
      <c r="H3268" s="75" t="str">
        <f>IFERROR(VLOOKUP(Table2[[#This Row],[Ticket]],Okey!A:B,2,0),"")</f>
        <v>ok</v>
      </c>
      <c r="I3268" s="75" t="s">
        <v>8318</v>
      </c>
      <c r="J3268" t="str">
        <f>VLOOKUP(Table2[[#This Row],[Author]],People!A:B,2,0)</f>
        <v>LS</v>
      </c>
      <c r="L3268" s="76"/>
      <c r="M3268" s="76" t="s">
        <v>8165</v>
      </c>
    </row>
    <row r="3269" spans="1:13" x14ac:dyDescent="0.25">
      <c r="A3269" s="75">
        <f t="shared" si="50"/>
        <v>3268</v>
      </c>
      <c r="B3269" s="75" t="s">
        <v>5960</v>
      </c>
      <c r="C3269" s="75" t="s">
        <v>8396</v>
      </c>
      <c r="D3269" t="s">
        <v>8183</v>
      </c>
      <c r="E3269" t="s">
        <v>8209</v>
      </c>
      <c r="G3269" s="75" t="s">
        <v>63</v>
      </c>
      <c r="H3269" s="75" t="str">
        <f>IFERROR(VLOOKUP(Table2[[#This Row],[Ticket]],Okey!A:B,2,0),"")</f>
        <v>ok</v>
      </c>
      <c r="I3269" s="75" t="s">
        <v>8318</v>
      </c>
      <c r="J3269" t="str">
        <f>VLOOKUP(Table2[[#This Row],[Author]],People!A:B,2,0)</f>
        <v>LS</v>
      </c>
      <c r="L3269" s="76"/>
      <c r="M3269" s="76" t="s">
        <v>8165</v>
      </c>
    </row>
    <row r="3270" spans="1:13" x14ac:dyDescent="0.25">
      <c r="A3270" s="75">
        <f t="shared" si="50"/>
        <v>3269</v>
      </c>
      <c r="B3270" s="75" t="s">
        <v>5960</v>
      </c>
      <c r="C3270" s="75" t="s">
        <v>8396</v>
      </c>
      <c r="D3270" t="s">
        <v>2545</v>
      </c>
      <c r="E3270" t="s">
        <v>8210</v>
      </c>
      <c r="G3270" s="75" t="s">
        <v>63</v>
      </c>
      <c r="H3270" s="75" t="str">
        <f>IFERROR(VLOOKUP(Table2[[#This Row],[Ticket]],Okey!A:B,2,0),"")</f>
        <v>ok</v>
      </c>
      <c r="I3270" s="75" t="s">
        <v>8318</v>
      </c>
      <c r="J3270" t="str">
        <f>VLOOKUP(Table2[[#This Row],[Author]],People!A:B,2,0)</f>
        <v>LS</v>
      </c>
      <c r="L3270" s="76"/>
      <c r="M3270" s="76" t="s">
        <v>8165</v>
      </c>
    </row>
    <row r="3271" spans="1:13" x14ac:dyDescent="0.25">
      <c r="A3271" s="75">
        <f t="shared" si="50"/>
        <v>3270</v>
      </c>
      <c r="B3271" s="75" t="s">
        <v>5960</v>
      </c>
      <c r="C3271" s="75" t="s">
        <v>8396</v>
      </c>
      <c r="D3271" t="s">
        <v>6235</v>
      </c>
      <c r="E3271" t="s">
        <v>8211</v>
      </c>
      <c r="G3271" s="75" t="s">
        <v>63</v>
      </c>
      <c r="H3271" s="75" t="str">
        <f>IFERROR(VLOOKUP(Table2[[#This Row],[Ticket]],Okey!A:B,2,0),"")</f>
        <v>ok</v>
      </c>
      <c r="I3271" s="75" t="s">
        <v>8318</v>
      </c>
      <c r="J3271" t="str">
        <f>VLOOKUP(Table2[[#This Row],[Author]],People!A:B,2,0)</f>
        <v>LS</v>
      </c>
      <c r="L3271" s="76"/>
      <c r="M3271" s="76" t="s">
        <v>8165</v>
      </c>
    </row>
    <row r="3272" spans="1:13" x14ac:dyDescent="0.25">
      <c r="A3272" s="75">
        <f t="shared" si="50"/>
        <v>3271</v>
      </c>
      <c r="B3272" s="75" t="s">
        <v>5960</v>
      </c>
      <c r="C3272" s="75" t="s">
        <v>8396</v>
      </c>
      <c r="D3272" t="s">
        <v>2501</v>
      </c>
      <c r="E3272" t="s">
        <v>8212</v>
      </c>
      <c r="G3272" s="75" t="s">
        <v>63</v>
      </c>
      <c r="H3272" s="75" t="str">
        <f>IFERROR(VLOOKUP(Table2[[#This Row],[Ticket]],Okey!A:B,2,0),"")</f>
        <v>ok</v>
      </c>
      <c r="I3272" s="75" t="s">
        <v>8318</v>
      </c>
      <c r="J3272" t="str">
        <f>VLOOKUP(Table2[[#This Row],[Author]],People!A:B,2,0)</f>
        <v>LS</v>
      </c>
      <c r="L3272" s="76"/>
      <c r="M3272" s="76" t="s">
        <v>8165</v>
      </c>
    </row>
    <row r="3273" spans="1:13" x14ac:dyDescent="0.25">
      <c r="A3273" s="75">
        <f t="shared" ref="A3273:A3336" si="51">1+A3272</f>
        <v>3272</v>
      </c>
      <c r="B3273" s="75" t="s">
        <v>5960</v>
      </c>
      <c r="C3273" s="75" t="s">
        <v>8396</v>
      </c>
      <c r="D3273" t="s">
        <v>2504</v>
      </c>
      <c r="E3273" t="s">
        <v>8213</v>
      </c>
      <c r="G3273" s="75" t="s">
        <v>63</v>
      </c>
      <c r="H3273" s="75" t="str">
        <f>IFERROR(VLOOKUP(Table2[[#This Row],[Ticket]],Okey!A:B,2,0),"")</f>
        <v>ok</v>
      </c>
      <c r="I3273" s="75" t="s">
        <v>8318</v>
      </c>
      <c r="J3273" t="str">
        <f>VLOOKUP(Table2[[#This Row],[Author]],People!A:B,2,0)</f>
        <v>LS</v>
      </c>
      <c r="L3273" s="76"/>
      <c r="M3273" s="76" t="s">
        <v>8165</v>
      </c>
    </row>
    <row r="3274" spans="1:13" x14ac:dyDescent="0.25">
      <c r="A3274" s="75">
        <f t="shared" si="51"/>
        <v>3273</v>
      </c>
      <c r="B3274" s="75" t="s">
        <v>5960</v>
      </c>
      <c r="C3274" s="75" t="s">
        <v>8396</v>
      </c>
      <c r="D3274" t="s">
        <v>7486</v>
      </c>
      <c r="E3274" t="s">
        <v>8303</v>
      </c>
      <c r="F3274" s="75" t="s">
        <v>8282</v>
      </c>
      <c r="G3274" s="75" t="s">
        <v>496</v>
      </c>
      <c r="H3274" s="75" t="str">
        <f>IFERROR(VLOOKUP(Table2[[#This Row],[Ticket]],Okey!A:B,2,0),"")</f>
        <v>ok</v>
      </c>
      <c r="I3274" s="75" t="s">
        <v>8318</v>
      </c>
      <c r="J3274" t="str">
        <f>VLOOKUP(Table2[[#This Row],[Author]],People!A:B,2,0)</f>
        <v>LS</v>
      </c>
      <c r="L3274" s="76"/>
      <c r="M3274" s="76" t="s">
        <v>8165</v>
      </c>
    </row>
    <row r="3275" spans="1:13" x14ac:dyDescent="0.25">
      <c r="A3275" s="75">
        <f t="shared" si="51"/>
        <v>3274</v>
      </c>
      <c r="B3275" s="75" t="s">
        <v>5960</v>
      </c>
      <c r="C3275" s="75" t="s">
        <v>8396</v>
      </c>
      <c r="D3275" t="s">
        <v>8214</v>
      </c>
      <c r="E3275" t="s">
        <v>8304</v>
      </c>
      <c r="F3275" s="75" t="s">
        <v>8299</v>
      </c>
      <c r="G3275" s="75" t="s">
        <v>496</v>
      </c>
      <c r="H3275" s="75" t="str">
        <f>IFERROR(VLOOKUP(Table2[[#This Row],[Ticket]],Okey!A:B,2,0),"")</f>
        <v>ok</v>
      </c>
      <c r="I3275" s="75" t="s">
        <v>8318</v>
      </c>
      <c r="J3275" t="str">
        <f>VLOOKUP(Table2[[#This Row],[Author]],People!A:B,2,0)</f>
        <v>LS</v>
      </c>
      <c r="L3275" s="76"/>
      <c r="M3275" s="76" t="s">
        <v>8165</v>
      </c>
    </row>
    <row r="3276" spans="1:13" x14ac:dyDescent="0.25">
      <c r="A3276" s="75">
        <f t="shared" si="51"/>
        <v>3275</v>
      </c>
      <c r="B3276" s="75" t="s">
        <v>5960</v>
      </c>
      <c r="C3276" s="75" t="s">
        <v>8396</v>
      </c>
      <c r="D3276" t="s">
        <v>8215</v>
      </c>
      <c r="E3276" t="s">
        <v>8305</v>
      </c>
      <c r="F3276" t="s">
        <v>6195</v>
      </c>
      <c r="G3276" t="s">
        <v>496</v>
      </c>
      <c r="H3276" s="75" t="str">
        <f>IFERROR(VLOOKUP(Table2[[#This Row],[Ticket]],Okey!A:B,2,0),"")</f>
        <v>ok</v>
      </c>
      <c r="I3276" s="75" t="s">
        <v>8318</v>
      </c>
      <c r="J3276" t="str">
        <f>VLOOKUP(Table2[[#This Row],[Author]],People!A:B,2,0)</f>
        <v>LS</v>
      </c>
      <c r="L3276" s="76"/>
      <c r="M3276" s="76" t="s">
        <v>8165</v>
      </c>
    </row>
    <row r="3277" spans="1:13" x14ac:dyDescent="0.25">
      <c r="A3277" s="75">
        <f t="shared" si="51"/>
        <v>3276</v>
      </c>
      <c r="B3277" s="75" t="s">
        <v>5960</v>
      </c>
      <c r="C3277" s="75" t="s">
        <v>8396</v>
      </c>
      <c r="D3277" t="s">
        <v>8216</v>
      </c>
      <c r="E3277" t="s">
        <v>8306</v>
      </c>
      <c r="F3277" t="s">
        <v>6195</v>
      </c>
      <c r="G3277" s="75" t="s">
        <v>496</v>
      </c>
      <c r="H3277" s="75" t="str">
        <f>IFERROR(VLOOKUP(Table2[[#This Row],[Ticket]],Okey!A:B,2,0),"")</f>
        <v>ok</v>
      </c>
      <c r="I3277" s="75" t="s">
        <v>8318</v>
      </c>
      <c r="J3277" t="str">
        <f>VLOOKUP(Table2[[#This Row],[Author]],People!A:B,2,0)</f>
        <v>LS</v>
      </c>
      <c r="L3277" s="76"/>
      <c r="M3277" s="76" t="s">
        <v>8165</v>
      </c>
    </row>
    <row r="3278" spans="1:13" x14ac:dyDescent="0.25">
      <c r="A3278" s="75">
        <f t="shared" si="51"/>
        <v>3277</v>
      </c>
      <c r="B3278" s="75" t="s">
        <v>5960</v>
      </c>
      <c r="C3278" s="75" t="s">
        <v>8396</v>
      </c>
      <c r="D3278" t="s">
        <v>8223</v>
      </c>
      <c r="F3278" t="s">
        <v>8255</v>
      </c>
      <c r="G3278" t="s">
        <v>24</v>
      </c>
      <c r="H3278" s="75" t="str">
        <f>IFERROR(VLOOKUP(Table2[[#This Row],[Ticket]],Okey!A:B,2,0),"")</f>
        <v>ok</v>
      </c>
      <c r="I3278" s="75" t="s">
        <v>8318</v>
      </c>
      <c r="J3278" t="str">
        <f>VLOOKUP(Table2[[#This Row],[Author]],People!A:B,2,0)</f>
        <v>LS</v>
      </c>
      <c r="L3278" s="76"/>
      <c r="M3278" s="76" t="s">
        <v>8165</v>
      </c>
    </row>
    <row r="3279" spans="1:13" x14ac:dyDescent="0.25">
      <c r="A3279" s="75">
        <f t="shared" si="51"/>
        <v>3278</v>
      </c>
      <c r="B3279" s="75" t="s">
        <v>5960</v>
      </c>
      <c r="C3279" s="75" t="s">
        <v>8396</v>
      </c>
      <c r="D3279" t="s">
        <v>8224</v>
      </c>
      <c r="F3279" t="s">
        <v>8255</v>
      </c>
      <c r="G3279" s="75" t="s">
        <v>24</v>
      </c>
      <c r="H3279" s="75" t="str">
        <f>IFERROR(VLOOKUP(Table2[[#This Row],[Ticket]],Okey!A:B,2,0),"")</f>
        <v>ok</v>
      </c>
      <c r="I3279" s="75" t="s">
        <v>8318</v>
      </c>
      <c r="J3279" t="str">
        <f>VLOOKUP(Table2[[#This Row],[Author]],People!A:B,2,0)</f>
        <v>LS</v>
      </c>
      <c r="K3279" s="75"/>
      <c r="L3279" s="76"/>
      <c r="M3279" s="76" t="s">
        <v>8165</v>
      </c>
    </row>
    <row r="3280" spans="1:13" x14ac:dyDescent="0.25">
      <c r="A3280" s="75">
        <f t="shared" si="51"/>
        <v>3279</v>
      </c>
      <c r="B3280" s="75" t="s">
        <v>5960</v>
      </c>
      <c r="C3280" s="75" t="s">
        <v>8396</v>
      </c>
      <c r="D3280" t="s">
        <v>8225</v>
      </c>
      <c r="F3280" s="75" t="s">
        <v>8284</v>
      </c>
      <c r="G3280" s="75" t="s">
        <v>24</v>
      </c>
      <c r="H3280" s="75" t="str">
        <f>IFERROR(VLOOKUP(Table2[[#This Row],[Ticket]],Okey!A:B,2,0),"")</f>
        <v>ok</v>
      </c>
      <c r="I3280" s="75" t="s">
        <v>8318</v>
      </c>
      <c r="J3280" t="str">
        <f>VLOOKUP(Table2[[#This Row],[Author]],People!A:B,2,0)</f>
        <v>LS</v>
      </c>
      <c r="K3280" s="75"/>
      <c r="L3280" s="76"/>
      <c r="M3280" s="76" t="s">
        <v>8165</v>
      </c>
    </row>
    <row r="3281" spans="1:13" x14ac:dyDescent="0.25">
      <c r="A3281" s="75">
        <f t="shared" si="51"/>
        <v>3280</v>
      </c>
      <c r="B3281" s="75" t="s">
        <v>5960</v>
      </c>
      <c r="C3281" s="75" t="s">
        <v>8396</v>
      </c>
      <c r="D3281" t="s">
        <v>8226</v>
      </c>
      <c r="F3281" s="75" t="s">
        <v>8284</v>
      </c>
      <c r="G3281" s="75" t="s">
        <v>24</v>
      </c>
      <c r="H3281" s="75" t="str">
        <f>IFERROR(VLOOKUP(Table2[[#This Row],[Ticket]],Okey!A:B,2,0),"")</f>
        <v>ok</v>
      </c>
      <c r="I3281" s="75" t="s">
        <v>8318</v>
      </c>
      <c r="J3281" t="str">
        <f>VLOOKUP(Table2[[#This Row],[Author]],People!A:B,2,0)</f>
        <v>LS</v>
      </c>
      <c r="K3281" s="75"/>
      <c r="L3281" s="76"/>
      <c r="M3281" s="76" t="s">
        <v>8165</v>
      </c>
    </row>
    <row r="3282" spans="1:13" x14ac:dyDescent="0.25">
      <c r="A3282" s="75">
        <f t="shared" si="51"/>
        <v>3281</v>
      </c>
      <c r="B3282" s="75" t="s">
        <v>5960</v>
      </c>
      <c r="C3282" s="75" t="s">
        <v>8396</v>
      </c>
      <c r="D3282" t="s">
        <v>8227</v>
      </c>
      <c r="F3282" s="75" t="s">
        <v>8284</v>
      </c>
      <c r="G3282" s="75" t="s">
        <v>24</v>
      </c>
      <c r="H3282" s="75" t="str">
        <f>IFERROR(VLOOKUP(Table2[[#This Row],[Ticket]],Okey!A:B,2,0),"")</f>
        <v>ok</v>
      </c>
      <c r="I3282" s="75" t="s">
        <v>8318</v>
      </c>
      <c r="J3282" t="str">
        <f>VLOOKUP(Table2[[#This Row],[Author]],People!A:B,2,0)</f>
        <v>LS</v>
      </c>
      <c r="K3282" s="75"/>
      <c r="L3282" s="76"/>
      <c r="M3282" s="76" t="s">
        <v>8165</v>
      </c>
    </row>
    <row r="3283" spans="1:13" x14ac:dyDescent="0.25">
      <c r="A3283" s="75">
        <f t="shared" si="51"/>
        <v>3282</v>
      </c>
      <c r="B3283" s="75" t="s">
        <v>5960</v>
      </c>
      <c r="C3283" s="75" t="s">
        <v>8396</v>
      </c>
      <c r="D3283" t="s">
        <v>8228</v>
      </c>
      <c r="F3283" s="75" t="s">
        <v>8284</v>
      </c>
      <c r="G3283" s="75" t="s">
        <v>24</v>
      </c>
      <c r="H3283" s="75" t="str">
        <f>IFERROR(VLOOKUP(Table2[[#This Row],[Ticket]],Okey!A:B,2,0),"")</f>
        <v>ok</v>
      </c>
      <c r="I3283" s="75" t="s">
        <v>8318</v>
      </c>
      <c r="J3283" t="str">
        <f>VLOOKUP(Table2[[#This Row],[Author]],People!A:B,2,0)</f>
        <v>LS</v>
      </c>
      <c r="K3283" s="75"/>
      <c r="L3283" s="76"/>
      <c r="M3283" s="76" t="s">
        <v>8165</v>
      </c>
    </row>
    <row r="3284" spans="1:13" x14ac:dyDescent="0.25">
      <c r="A3284" s="75">
        <f t="shared" si="51"/>
        <v>3283</v>
      </c>
      <c r="B3284" s="75" t="s">
        <v>5960</v>
      </c>
      <c r="C3284" s="75" t="s">
        <v>8396</v>
      </c>
      <c r="D3284" t="s">
        <v>8229</v>
      </c>
      <c r="F3284" s="75" t="s">
        <v>8284</v>
      </c>
      <c r="G3284" s="75" t="s">
        <v>24</v>
      </c>
      <c r="H3284" s="75" t="str">
        <f>IFERROR(VLOOKUP(Table2[[#This Row],[Ticket]],Okey!A:B,2,0),"")</f>
        <v>ok</v>
      </c>
      <c r="I3284" s="75" t="s">
        <v>8318</v>
      </c>
      <c r="J3284" t="str">
        <f>VLOOKUP(Table2[[#This Row],[Author]],People!A:B,2,0)</f>
        <v>LS</v>
      </c>
      <c r="K3284" s="75"/>
      <c r="L3284" s="76"/>
      <c r="M3284" s="76" t="s">
        <v>8165</v>
      </c>
    </row>
    <row r="3285" spans="1:13" x14ac:dyDescent="0.25">
      <c r="A3285" s="75">
        <f t="shared" si="51"/>
        <v>3284</v>
      </c>
      <c r="B3285" s="75" t="s">
        <v>5960</v>
      </c>
      <c r="C3285" s="75" t="s">
        <v>8396</v>
      </c>
      <c r="D3285" t="s">
        <v>8230</v>
      </c>
      <c r="F3285" s="75" t="s">
        <v>8284</v>
      </c>
      <c r="G3285" s="75" t="s">
        <v>24</v>
      </c>
      <c r="H3285" s="75" t="str">
        <f>IFERROR(VLOOKUP(Table2[[#This Row],[Ticket]],Okey!A:B,2,0),"")</f>
        <v>ok</v>
      </c>
      <c r="I3285" s="75" t="s">
        <v>8318</v>
      </c>
      <c r="J3285" t="str">
        <f>VLOOKUP(Table2[[#This Row],[Author]],People!A:B,2,0)</f>
        <v>LS</v>
      </c>
      <c r="K3285" s="75"/>
      <c r="L3285" s="76"/>
      <c r="M3285" s="76" t="s">
        <v>8165</v>
      </c>
    </row>
    <row r="3286" spans="1:13" x14ac:dyDescent="0.25">
      <c r="A3286" s="75">
        <f t="shared" si="51"/>
        <v>3285</v>
      </c>
      <c r="B3286" s="75" t="s">
        <v>5960</v>
      </c>
      <c r="C3286" s="75" t="s">
        <v>8396</v>
      </c>
      <c r="D3286" t="s">
        <v>8231</v>
      </c>
      <c r="F3286" s="75" t="s">
        <v>8284</v>
      </c>
      <c r="G3286" s="75" t="s">
        <v>24</v>
      </c>
      <c r="H3286" s="75" t="str">
        <f>IFERROR(VLOOKUP(Table2[[#This Row],[Ticket]],Okey!A:B,2,0),"")</f>
        <v>ok</v>
      </c>
      <c r="I3286" s="75" t="s">
        <v>8318</v>
      </c>
      <c r="J3286" t="str">
        <f>VLOOKUP(Table2[[#This Row],[Author]],People!A:B,2,0)</f>
        <v>LS</v>
      </c>
      <c r="K3286" s="75"/>
      <c r="L3286" s="76"/>
      <c r="M3286" s="76" t="s">
        <v>8165</v>
      </c>
    </row>
    <row r="3287" spans="1:13" x14ac:dyDescent="0.25">
      <c r="A3287" s="75">
        <f t="shared" si="51"/>
        <v>3286</v>
      </c>
      <c r="B3287" s="75" t="s">
        <v>5960</v>
      </c>
      <c r="C3287" s="75" t="s">
        <v>8396</v>
      </c>
      <c r="D3287" t="s">
        <v>8232</v>
      </c>
      <c r="F3287" s="75" t="s">
        <v>8284</v>
      </c>
      <c r="G3287" s="75" t="s">
        <v>24</v>
      </c>
      <c r="H3287" s="75" t="str">
        <f>IFERROR(VLOOKUP(Table2[[#This Row],[Ticket]],Okey!A:B,2,0),"")</f>
        <v>ok</v>
      </c>
      <c r="I3287" s="75" t="s">
        <v>8318</v>
      </c>
      <c r="J3287" t="str">
        <f>VLOOKUP(Table2[[#This Row],[Author]],People!A:B,2,0)</f>
        <v>LS</v>
      </c>
      <c r="K3287" s="75"/>
      <c r="L3287" s="76"/>
      <c r="M3287" s="76" t="s">
        <v>8165</v>
      </c>
    </row>
    <row r="3288" spans="1:13" x14ac:dyDescent="0.25">
      <c r="A3288" s="75">
        <f t="shared" si="51"/>
        <v>3287</v>
      </c>
      <c r="B3288" s="75" t="s">
        <v>5960</v>
      </c>
      <c r="C3288" s="75" t="s">
        <v>8396</v>
      </c>
      <c r="D3288" t="s">
        <v>8233</v>
      </c>
      <c r="F3288" s="75" t="s">
        <v>8284</v>
      </c>
      <c r="G3288" s="75" t="s">
        <v>24</v>
      </c>
      <c r="H3288" s="75" t="str">
        <f>IFERROR(VLOOKUP(Table2[[#This Row],[Ticket]],Okey!A:B,2,0),"")</f>
        <v>ok</v>
      </c>
      <c r="I3288" s="75" t="s">
        <v>8318</v>
      </c>
      <c r="J3288" t="str">
        <f>VLOOKUP(Table2[[#This Row],[Author]],People!A:B,2,0)</f>
        <v>LS</v>
      </c>
      <c r="K3288" s="75"/>
      <c r="L3288" s="76"/>
      <c r="M3288" s="76" t="s">
        <v>8165</v>
      </c>
    </row>
    <row r="3289" spans="1:13" x14ac:dyDescent="0.25">
      <c r="A3289" s="75">
        <f t="shared" si="51"/>
        <v>3288</v>
      </c>
      <c r="B3289" s="75" t="s">
        <v>5960</v>
      </c>
      <c r="C3289" s="75" t="s">
        <v>8396</v>
      </c>
      <c r="D3289" t="s">
        <v>1251</v>
      </c>
      <c r="F3289" s="75" t="s">
        <v>8284</v>
      </c>
      <c r="G3289" s="75" t="s">
        <v>24</v>
      </c>
      <c r="H3289" s="75" t="str">
        <f>IFERROR(VLOOKUP(Table2[[#This Row],[Ticket]],Okey!A:B,2,0),"")</f>
        <v>ok</v>
      </c>
      <c r="I3289" s="75" t="s">
        <v>8318</v>
      </c>
      <c r="J3289" t="str">
        <f>VLOOKUP(Table2[[#This Row],[Author]],People!A:B,2,0)</f>
        <v>LS</v>
      </c>
      <c r="K3289" s="75"/>
      <c r="L3289" s="76"/>
      <c r="M3289" s="76" t="s">
        <v>8165</v>
      </c>
    </row>
    <row r="3290" spans="1:13" x14ac:dyDescent="0.25">
      <c r="A3290" s="75">
        <f t="shared" si="51"/>
        <v>3289</v>
      </c>
      <c r="B3290" s="75" t="s">
        <v>5960</v>
      </c>
      <c r="C3290" s="75" t="s">
        <v>8396</v>
      </c>
      <c r="D3290" t="s">
        <v>8234</v>
      </c>
      <c r="F3290" s="75" t="s">
        <v>8284</v>
      </c>
      <c r="G3290" s="75" t="s">
        <v>24</v>
      </c>
      <c r="H3290" s="75" t="str">
        <f>IFERROR(VLOOKUP(Table2[[#This Row],[Ticket]],Okey!A:B,2,0),"")</f>
        <v>ok</v>
      </c>
      <c r="I3290" s="75" t="s">
        <v>8318</v>
      </c>
      <c r="J3290" t="str">
        <f>VLOOKUP(Table2[[#This Row],[Author]],People!A:B,2,0)</f>
        <v>LS</v>
      </c>
      <c r="K3290" s="75"/>
      <c r="L3290" s="76"/>
      <c r="M3290" s="76" t="s">
        <v>8165</v>
      </c>
    </row>
    <row r="3291" spans="1:13" x14ac:dyDescent="0.25">
      <c r="A3291" s="75">
        <f t="shared" si="51"/>
        <v>3290</v>
      </c>
      <c r="B3291" s="75" t="s">
        <v>5960</v>
      </c>
      <c r="C3291" s="75" t="s">
        <v>8396</v>
      </c>
      <c r="D3291" t="s">
        <v>7492</v>
      </c>
      <c r="F3291" t="s">
        <v>4645</v>
      </c>
      <c r="G3291" s="75" t="s">
        <v>24</v>
      </c>
      <c r="H3291" s="75" t="str">
        <f>IFERROR(VLOOKUP(Table2[[#This Row],[Ticket]],Okey!A:B,2,0),"")</f>
        <v>ok</v>
      </c>
      <c r="I3291" s="75" t="s">
        <v>8318</v>
      </c>
      <c r="J3291" t="str">
        <f>VLOOKUP(Table2[[#This Row],[Author]],People!A:B,2,0)</f>
        <v>LS</v>
      </c>
      <c r="K3291" s="75"/>
      <c r="L3291" s="76"/>
      <c r="M3291" s="76" t="s">
        <v>8165</v>
      </c>
    </row>
    <row r="3292" spans="1:13" x14ac:dyDescent="0.25">
      <c r="A3292" s="75">
        <f t="shared" si="51"/>
        <v>3291</v>
      </c>
      <c r="B3292" s="75" t="s">
        <v>5960</v>
      </c>
      <c r="C3292" s="75" t="s">
        <v>8396</v>
      </c>
      <c r="D3292" t="s">
        <v>4210</v>
      </c>
      <c r="F3292" t="s">
        <v>4211</v>
      </c>
      <c r="G3292" s="75" t="s">
        <v>24</v>
      </c>
      <c r="H3292" s="75" t="str">
        <f>IFERROR(VLOOKUP(Table2[[#This Row],[Ticket]],Okey!A:B,2,0),"")</f>
        <v>ok</v>
      </c>
      <c r="I3292" s="75" t="s">
        <v>8318</v>
      </c>
      <c r="J3292" t="str">
        <f>VLOOKUP(Table2[[#This Row],[Author]],People!A:B,2,0)</f>
        <v>LS</v>
      </c>
      <c r="K3292" s="75"/>
      <c r="L3292" s="76"/>
      <c r="M3292" s="76" t="s">
        <v>8165</v>
      </c>
    </row>
    <row r="3293" spans="1:13" x14ac:dyDescent="0.25">
      <c r="A3293" s="75">
        <f t="shared" si="51"/>
        <v>3292</v>
      </c>
      <c r="B3293" s="75" t="s">
        <v>5960</v>
      </c>
      <c r="C3293" s="75" t="s">
        <v>8396</v>
      </c>
      <c r="D3293" t="s">
        <v>4611</v>
      </c>
      <c r="F3293" t="s">
        <v>4211</v>
      </c>
      <c r="G3293" s="75" t="s">
        <v>24</v>
      </c>
      <c r="H3293" s="75" t="str">
        <f>IFERROR(VLOOKUP(Table2[[#This Row],[Ticket]],Okey!A:B,2,0),"")</f>
        <v>ok</v>
      </c>
      <c r="I3293" s="75" t="s">
        <v>8318</v>
      </c>
      <c r="J3293" t="str">
        <f>VLOOKUP(Table2[[#This Row],[Author]],People!A:B,2,0)</f>
        <v>LS</v>
      </c>
      <c r="K3293" s="75"/>
      <c r="L3293" s="76"/>
      <c r="M3293" s="76" t="s">
        <v>8165</v>
      </c>
    </row>
    <row r="3294" spans="1:13" x14ac:dyDescent="0.25">
      <c r="A3294" s="75">
        <f t="shared" si="51"/>
        <v>3293</v>
      </c>
      <c r="B3294" s="75" t="s">
        <v>5960</v>
      </c>
      <c r="C3294" s="75" t="s">
        <v>8396</v>
      </c>
      <c r="D3294" t="s">
        <v>1648</v>
      </c>
      <c r="F3294" t="s">
        <v>4211</v>
      </c>
      <c r="G3294" s="75" t="s">
        <v>24</v>
      </c>
      <c r="H3294" s="75" t="str">
        <f>IFERROR(VLOOKUP(Table2[[#This Row],[Ticket]],Okey!A:B,2,0),"")</f>
        <v>ok</v>
      </c>
      <c r="I3294" s="75" t="s">
        <v>8318</v>
      </c>
      <c r="J3294" t="str">
        <f>VLOOKUP(Table2[[#This Row],[Author]],People!A:B,2,0)</f>
        <v>LS</v>
      </c>
      <c r="K3294" s="75"/>
      <c r="L3294" s="76"/>
      <c r="M3294" s="76" t="s">
        <v>8165</v>
      </c>
    </row>
    <row r="3295" spans="1:13" x14ac:dyDescent="0.25">
      <c r="A3295" s="75">
        <f t="shared" si="51"/>
        <v>3294</v>
      </c>
      <c r="B3295" s="75" t="s">
        <v>5960</v>
      </c>
      <c r="C3295" s="75" t="s">
        <v>8396</v>
      </c>
      <c r="D3295" t="s">
        <v>1348</v>
      </c>
      <c r="F3295" t="s">
        <v>4211</v>
      </c>
      <c r="G3295" s="75" t="s">
        <v>24</v>
      </c>
      <c r="H3295" s="75" t="str">
        <f>IFERROR(VLOOKUP(Table2[[#This Row],[Ticket]],Okey!A:B,2,0),"")</f>
        <v>ok</v>
      </c>
      <c r="I3295" s="75" t="s">
        <v>8318</v>
      </c>
      <c r="J3295" t="str">
        <f>VLOOKUP(Table2[[#This Row],[Author]],People!A:B,2,0)</f>
        <v>LS</v>
      </c>
      <c r="K3295" s="75"/>
      <c r="L3295" s="76"/>
      <c r="M3295" s="76" t="s">
        <v>8165</v>
      </c>
    </row>
    <row r="3296" spans="1:13" x14ac:dyDescent="0.25">
      <c r="A3296" s="75">
        <f t="shared" si="51"/>
        <v>3295</v>
      </c>
      <c r="B3296" s="75" t="s">
        <v>5960</v>
      </c>
      <c r="C3296" s="75" t="s">
        <v>8396</v>
      </c>
      <c r="D3296" t="s">
        <v>1350</v>
      </c>
      <c r="F3296" t="s">
        <v>4211</v>
      </c>
      <c r="G3296" s="75" t="s">
        <v>24</v>
      </c>
      <c r="H3296" s="75" t="str">
        <f>IFERROR(VLOOKUP(Table2[[#This Row],[Ticket]],Okey!A:B,2,0),"")</f>
        <v>ok</v>
      </c>
      <c r="I3296" s="75" t="s">
        <v>8318</v>
      </c>
      <c r="J3296" t="str">
        <f>VLOOKUP(Table2[[#This Row],[Author]],People!A:B,2,0)</f>
        <v>LS</v>
      </c>
      <c r="K3296" s="75"/>
      <c r="L3296" s="76"/>
      <c r="M3296" s="76" t="s">
        <v>8165</v>
      </c>
    </row>
    <row r="3297" spans="1:13" x14ac:dyDescent="0.25">
      <c r="A3297" s="75">
        <f t="shared" si="51"/>
        <v>3296</v>
      </c>
      <c r="B3297" s="75" t="s">
        <v>5960</v>
      </c>
      <c r="C3297" s="75" t="s">
        <v>8396</v>
      </c>
      <c r="D3297" t="s">
        <v>242</v>
      </c>
      <c r="F3297" s="75" t="s">
        <v>8287</v>
      </c>
      <c r="G3297" s="75" t="s">
        <v>24</v>
      </c>
      <c r="H3297" s="75" t="str">
        <f>IFERROR(VLOOKUP(Table2[[#This Row],[Ticket]],Okey!A:B,2,0),"")</f>
        <v>ok</v>
      </c>
      <c r="I3297" s="75" t="s">
        <v>8318</v>
      </c>
      <c r="J3297" t="str">
        <f>VLOOKUP(Table2[[#This Row],[Author]],People!A:B,2,0)</f>
        <v>LS</v>
      </c>
      <c r="K3297" s="75"/>
      <c r="L3297" s="76"/>
      <c r="M3297" s="76" t="s">
        <v>8165</v>
      </c>
    </row>
    <row r="3298" spans="1:13" x14ac:dyDescent="0.25">
      <c r="A3298" s="75">
        <f t="shared" si="51"/>
        <v>3297</v>
      </c>
      <c r="B3298" s="75" t="s">
        <v>5960</v>
      </c>
      <c r="C3298" s="75" t="s">
        <v>8396</v>
      </c>
      <c r="D3298" t="s">
        <v>120</v>
      </c>
      <c r="F3298" s="75" t="s">
        <v>8287</v>
      </c>
      <c r="G3298" s="75" t="s">
        <v>24</v>
      </c>
      <c r="H3298" s="75" t="str">
        <f>IFERROR(VLOOKUP(Table2[[#This Row],[Ticket]],Okey!A:B,2,0),"")</f>
        <v>ok</v>
      </c>
      <c r="I3298" s="75" t="s">
        <v>8318</v>
      </c>
      <c r="J3298" t="str">
        <f>VLOOKUP(Table2[[#This Row],[Author]],People!A:B,2,0)</f>
        <v>LS</v>
      </c>
      <c r="K3298" s="75"/>
      <c r="L3298" s="76"/>
      <c r="M3298" s="76" t="s">
        <v>8165</v>
      </c>
    </row>
    <row r="3299" spans="1:13" x14ac:dyDescent="0.25">
      <c r="A3299" s="75">
        <f t="shared" si="51"/>
        <v>3298</v>
      </c>
      <c r="B3299" s="75" t="s">
        <v>5960</v>
      </c>
      <c r="C3299" s="75" t="s">
        <v>8396</v>
      </c>
      <c r="D3299" t="s">
        <v>274</v>
      </c>
      <c r="F3299" s="75" t="s">
        <v>8287</v>
      </c>
      <c r="G3299" s="75" t="s">
        <v>24</v>
      </c>
      <c r="H3299" s="75" t="str">
        <f>IFERROR(VLOOKUP(Table2[[#This Row],[Ticket]],Okey!A:B,2,0),"")</f>
        <v>ok</v>
      </c>
      <c r="I3299" s="75" t="s">
        <v>8318</v>
      </c>
      <c r="J3299" t="str">
        <f>VLOOKUP(Table2[[#This Row],[Author]],People!A:B,2,0)</f>
        <v>LS</v>
      </c>
      <c r="K3299" s="75"/>
      <c r="L3299" s="76"/>
      <c r="M3299" s="76" t="s">
        <v>8165</v>
      </c>
    </row>
    <row r="3300" spans="1:13" x14ac:dyDescent="0.25">
      <c r="A3300" s="75">
        <f t="shared" si="51"/>
        <v>3299</v>
      </c>
      <c r="B3300" s="75" t="s">
        <v>5960</v>
      </c>
      <c r="C3300" s="75" t="s">
        <v>8396</v>
      </c>
      <c r="D3300" t="s">
        <v>126</v>
      </c>
      <c r="F3300" s="75" t="s">
        <v>8287</v>
      </c>
      <c r="G3300" s="75" t="s">
        <v>24</v>
      </c>
      <c r="H3300" s="75" t="str">
        <f>IFERROR(VLOOKUP(Table2[[#This Row],[Ticket]],Okey!A:B,2,0),"")</f>
        <v>ok</v>
      </c>
      <c r="I3300" s="75" t="s">
        <v>8318</v>
      </c>
      <c r="J3300" t="str">
        <f>VLOOKUP(Table2[[#This Row],[Author]],People!A:B,2,0)</f>
        <v>LS</v>
      </c>
      <c r="K3300" s="75"/>
      <c r="L3300" s="76"/>
      <c r="M3300" s="76" t="s">
        <v>8165</v>
      </c>
    </row>
    <row r="3301" spans="1:13" x14ac:dyDescent="0.25">
      <c r="A3301" s="75">
        <f t="shared" si="51"/>
        <v>3300</v>
      </c>
      <c r="B3301" s="75" t="s">
        <v>5960</v>
      </c>
      <c r="C3301" s="75" t="s">
        <v>8396</v>
      </c>
      <c r="D3301" t="s">
        <v>275</v>
      </c>
      <c r="F3301" s="75" t="s">
        <v>8287</v>
      </c>
      <c r="G3301" s="75" t="s">
        <v>24</v>
      </c>
      <c r="H3301" s="75" t="str">
        <f>IFERROR(VLOOKUP(Table2[[#This Row],[Ticket]],Okey!A:B,2,0),"")</f>
        <v>ok</v>
      </c>
      <c r="I3301" s="75" t="s">
        <v>8318</v>
      </c>
      <c r="J3301" t="str">
        <f>VLOOKUP(Table2[[#This Row],[Author]],People!A:B,2,0)</f>
        <v>LS</v>
      </c>
      <c r="K3301" s="75"/>
      <c r="L3301" s="76"/>
      <c r="M3301" s="76" t="s">
        <v>8165</v>
      </c>
    </row>
    <row r="3302" spans="1:13" x14ac:dyDescent="0.25">
      <c r="A3302" s="75">
        <f t="shared" si="51"/>
        <v>3301</v>
      </c>
      <c r="B3302" s="75" t="s">
        <v>5960</v>
      </c>
      <c r="C3302" s="75" t="s">
        <v>8396</v>
      </c>
      <c r="D3302" t="s">
        <v>128</v>
      </c>
      <c r="F3302" s="75" t="s">
        <v>8287</v>
      </c>
      <c r="G3302" s="75" t="s">
        <v>24</v>
      </c>
      <c r="H3302" s="75" t="str">
        <f>IFERROR(VLOOKUP(Table2[[#This Row],[Ticket]],Okey!A:B,2,0),"")</f>
        <v>ok</v>
      </c>
      <c r="I3302" s="75" t="s">
        <v>8318</v>
      </c>
      <c r="J3302" t="str">
        <f>VLOOKUP(Table2[[#This Row],[Author]],People!A:B,2,0)</f>
        <v>LS</v>
      </c>
      <c r="K3302" s="75"/>
      <c r="L3302" s="76"/>
      <c r="M3302" s="76" t="s">
        <v>8165</v>
      </c>
    </row>
    <row r="3303" spans="1:13" x14ac:dyDescent="0.25">
      <c r="A3303" s="75">
        <f t="shared" si="51"/>
        <v>3302</v>
      </c>
      <c r="B3303" s="75" t="s">
        <v>5960</v>
      </c>
      <c r="C3303" s="75" t="s">
        <v>8396</v>
      </c>
      <c r="D3303" t="s">
        <v>276</v>
      </c>
      <c r="F3303" s="75" t="s">
        <v>8287</v>
      </c>
      <c r="G3303" s="75" t="s">
        <v>24</v>
      </c>
      <c r="H3303" s="75" t="str">
        <f>IFERROR(VLOOKUP(Table2[[#This Row],[Ticket]],Okey!A:B,2,0),"")</f>
        <v>ok</v>
      </c>
      <c r="I3303" s="75" t="s">
        <v>8318</v>
      </c>
      <c r="J3303" t="str">
        <f>VLOOKUP(Table2[[#This Row],[Author]],People!A:B,2,0)</f>
        <v>LS</v>
      </c>
      <c r="K3303" s="75"/>
      <c r="L3303" s="76"/>
      <c r="M3303" s="76" t="s">
        <v>8165</v>
      </c>
    </row>
    <row r="3304" spans="1:13" x14ac:dyDescent="0.25">
      <c r="A3304" s="75">
        <f t="shared" si="51"/>
        <v>3303</v>
      </c>
      <c r="B3304" s="75" t="s">
        <v>5960</v>
      </c>
      <c r="C3304" s="75" t="s">
        <v>8396</v>
      </c>
      <c r="D3304" t="s">
        <v>130</v>
      </c>
      <c r="F3304" s="75" t="s">
        <v>8287</v>
      </c>
      <c r="G3304" s="75" t="s">
        <v>24</v>
      </c>
      <c r="H3304" s="75" t="str">
        <f>IFERROR(VLOOKUP(Table2[[#This Row],[Ticket]],Okey!A:B,2,0),"")</f>
        <v>ok</v>
      </c>
      <c r="I3304" s="75" t="s">
        <v>8318</v>
      </c>
      <c r="J3304" t="str">
        <f>VLOOKUP(Table2[[#This Row],[Author]],People!A:B,2,0)</f>
        <v>LS</v>
      </c>
      <c r="K3304" s="75"/>
      <c r="L3304" s="76"/>
      <c r="M3304" s="76" t="s">
        <v>8165</v>
      </c>
    </row>
    <row r="3305" spans="1:13" x14ac:dyDescent="0.25">
      <c r="A3305" s="75">
        <f t="shared" si="51"/>
        <v>3304</v>
      </c>
      <c r="B3305" s="75" t="s">
        <v>5960</v>
      </c>
      <c r="C3305" s="75" t="s">
        <v>8396</v>
      </c>
      <c r="D3305" t="s">
        <v>278</v>
      </c>
      <c r="F3305" s="75" t="s">
        <v>8287</v>
      </c>
      <c r="G3305" s="75" t="s">
        <v>24</v>
      </c>
      <c r="H3305" s="75" t="str">
        <f>IFERROR(VLOOKUP(Table2[[#This Row],[Ticket]],Okey!A:B,2,0),"")</f>
        <v>ok</v>
      </c>
      <c r="I3305" s="75" t="s">
        <v>8318</v>
      </c>
      <c r="J3305" t="str">
        <f>VLOOKUP(Table2[[#This Row],[Author]],People!A:B,2,0)</f>
        <v>LS</v>
      </c>
      <c r="K3305" s="75"/>
      <c r="L3305" s="76"/>
      <c r="M3305" s="76" t="s">
        <v>8165</v>
      </c>
    </row>
    <row r="3306" spans="1:13" x14ac:dyDescent="0.25">
      <c r="A3306" s="75">
        <f t="shared" si="51"/>
        <v>3305</v>
      </c>
      <c r="B3306" s="75" t="s">
        <v>5960</v>
      </c>
      <c r="C3306" s="75" t="s">
        <v>8396</v>
      </c>
      <c r="D3306" t="s">
        <v>134</v>
      </c>
      <c r="F3306" s="75" t="s">
        <v>8287</v>
      </c>
      <c r="G3306" s="75" t="s">
        <v>24</v>
      </c>
      <c r="H3306" s="75" t="str">
        <f>IFERROR(VLOOKUP(Table2[[#This Row],[Ticket]],Okey!A:B,2,0),"")</f>
        <v>ok</v>
      </c>
      <c r="I3306" s="75" t="s">
        <v>8318</v>
      </c>
      <c r="J3306" t="str">
        <f>VLOOKUP(Table2[[#This Row],[Author]],People!A:B,2,0)</f>
        <v>LS</v>
      </c>
      <c r="K3306" s="75"/>
      <c r="L3306" s="76"/>
      <c r="M3306" s="76" t="s">
        <v>8165</v>
      </c>
    </row>
    <row r="3307" spans="1:13" x14ac:dyDescent="0.25">
      <c r="A3307" s="75">
        <f t="shared" si="51"/>
        <v>3306</v>
      </c>
      <c r="B3307" s="75" t="s">
        <v>5960</v>
      </c>
      <c r="C3307" s="75" t="s">
        <v>8396</v>
      </c>
      <c r="D3307" t="s">
        <v>8235</v>
      </c>
      <c r="F3307" s="75" t="s">
        <v>8287</v>
      </c>
      <c r="G3307" s="75" t="s">
        <v>24</v>
      </c>
      <c r="H3307" s="75" t="str">
        <f>IFERROR(VLOOKUP(Table2[[#This Row],[Ticket]],Okey!A:B,2,0),"")</f>
        <v>ok</v>
      </c>
      <c r="I3307" s="75" t="s">
        <v>8318</v>
      </c>
      <c r="J3307" t="str">
        <f>VLOOKUP(Table2[[#This Row],[Author]],People!A:B,2,0)</f>
        <v>LS</v>
      </c>
      <c r="K3307" s="75"/>
      <c r="L3307" s="76"/>
      <c r="M3307" s="76" t="s">
        <v>8165</v>
      </c>
    </row>
    <row r="3308" spans="1:13" x14ac:dyDescent="0.25">
      <c r="A3308" s="75">
        <f t="shared" si="51"/>
        <v>3307</v>
      </c>
      <c r="B3308" s="75" t="s">
        <v>5960</v>
      </c>
      <c r="C3308" s="75" t="s">
        <v>8396</v>
      </c>
      <c r="D3308" t="s">
        <v>8236</v>
      </c>
      <c r="F3308" s="75" t="s">
        <v>8287</v>
      </c>
      <c r="G3308" s="75" t="s">
        <v>24</v>
      </c>
      <c r="H3308" s="75" t="str">
        <f>IFERROR(VLOOKUP(Table2[[#This Row],[Ticket]],Okey!A:B,2,0),"")</f>
        <v>ok</v>
      </c>
      <c r="I3308" s="75" t="s">
        <v>8318</v>
      </c>
      <c r="J3308" t="str">
        <f>VLOOKUP(Table2[[#This Row],[Author]],People!A:B,2,0)</f>
        <v>LS</v>
      </c>
      <c r="K3308" s="75"/>
      <c r="L3308" s="76"/>
      <c r="M3308" s="76" t="s">
        <v>8165</v>
      </c>
    </row>
    <row r="3309" spans="1:13" x14ac:dyDescent="0.25">
      <c r="A3309" s="75">
        <f t="shared" si="51"/>
        <v>3308</v>
      </c>
      <c r="B3309" s="75" t="s">
        <v>5960</v>
      </c>
      <c r="C3309" s="75" t="s">
        <v>8396</v>
      </c>
      <c r="D3309" t="s">
        <v>273</v>
      </c>
      <c r="F3309" s="75" t="s">
        <v>8287</v>
      </c>
      <c r="G3309" s="75" t="s">
        <v>24</v>
      </c>
      <c r="H3309" s="75" t="str">
        <f>IFERROR(VLOOKUP(Table2[[#This Row],[Ticket]],Okey!A:B,2,0),"")</f>
        <v>ok</v>
      </c>
      <c r="I3309" s="75" t="s">
        <v>8318</v>
      </c>
      <c r="J3309" t="str">
        <f>VLOOKUP(Table2[[#This Row],[Author]],People!A:B,2,0)</f>
        <v>LS</v>
      </c>
      <c r="K3309" s="75"/>
      <c r="L3309" s="76"/>
      <c r="M3309" s="76" t="s">
        <v>8165</v>
      </c>
    </row>
    <row r="3310" spans="1:13" x14ac:dyDescent="0.25">
      <c r="A3310" s="75">
        <f t="shared" si="51"/>
        <v>3309</v>
      </c>
      <c r="B3310" s="75" t="s">
        <v>5960</v>
      </c>
      <c r="C3310" s="75" t="s">
        <v>8396</v>
      </c>
      <c r="D3310" t="s">
        <v>124</v>
      </c>
      <c r="F3310" s="75" t="s">
        <v>8287</v>
      </c>
      <c r="G3310" s="75" t="s">
        <v>24</v>
      </c>
      <c r="H3310" s="75" t="str">
        <f>IFERROR(VLOOKUP(Table2[[#This Row],[Ticket]],Okey!A:B,2,0),"")</f>
        <v>ok</v>
      </c>
      <c r="I3310" s="75" t="s">
        <v>8318</v>
      </c>
      <c r="J3310" t="str">
        <f>VLOOKUP(Table2[[#This Row],[Author]],People!A:B,2,0)</f>
        <v>LS</v>
      </c>
      <c r="K3310" s="75"/>
      <c r="L3310" s="76"/>
      <c r="M3310" s="76" t="s">
        <v>8165</v>
      </c>
    </row>
    <row r="3311" spans="1:13" x14ac:dyDescent="0.25">
      <c r="A3311" s="75">
        <f t="shared" si="51"/>
        <v>3310</v>
      </c>
      <c r="B3311" s="75" t="s">
        <v>5960</v>
      </c>
      <c r="C3311" s="75" t="s">
        <v>8396</v>
      </c>
      <c r="D3311" t="s">
        <v>272</v>
      </c>
      <c r="F3311" s="75" t="s">
        <v>8287</v>
      </c>
      <c r="G3311" s="75" t="s">
        <v>24</v>
      </c>
      <c r="H3311" s="75" t="str">
        <f>IFERROR(VLOOKUP(Table2[[#This Row],[Ticket]],Okey!A:B,2,0),"")</f>
        <v>ok</v>
      </c>
      <c r="I3311" s="75" t="s">
        <v>8318</v>
      </c>
      <c r="J3311" t="str">
        <f>VLOOKUP(Table2[[#This Row],[Author]],People!A:B,2,0)</f>
        <v>LS</v>
      </c>
      <c r="K3311" s="75"/>
      <c r="L3311" s="76"/>
      <c r="M3311" s="76" t="s">
        <v>8165</v>
      </c>
    </row>
    <row r="3312" spans="1:13" x14ac:dyDescent="0.25">
      <c r="A3312" s="75">
        <f t="shared" si="51"/>
        <v>3311</v>
      </c>
      <c r="B3312" s="75" t="s">
        <v>5960</v>
      </c>
      <c r="C3312" s="75" t="s">
        <v>8396</v>
      </c>
      <c r="D3312" t="s">
        <v>122</v>
      </c>
      <c r="F3312" s="75" t="s">
        <v>8287</v>
      </c>
      <c r="G3312" s="75" t="s">
        <v>24</v>
      </c>
      <c r="H3312" s="75" t="str">
        <f>IFERROR(VLOOKUP(Table2[[#This Row],[Ticket]],Okey!A:B,2,0),"")</f>
        <v>ok</v>
      </c>
      <c r="I3312" s="75" t="s">
        <v>8318</v>
      </c>
      <c r="J3312" t="str">
        <f>VLOOKUP(Table2[[#This Row],[Author]],People!A:B,2,0)</f>
        <v>LS</v>
      </c>
      <c r="K3312" s="75"/>
      <c r="L3312" s="76"/>
      <c r="M3312" s="76" t="s">
        <v>8165</v>
      </c>
    </row>
    <row r="3313" spans="1:13" x14ac:dyDescent="0.25">
      <c r="A3313" s="75">
        <f t="shared" si="51"/>
        <v>3312</v>
      </c>
      <c r="B3313" s="75" t="s">
        <v>5960</v>
      </c>
      <c r="C3313" s="75" t="s">
        <v>8396</v>
      </c>
      <c r="D3313" t="s">
        <v>277</v>
      </c>
      <c r="F3313" s="75" t="s">
        <v>8287</v>
      </c>
      <c r="G3313" s="75" t="s">
        <v>24</v>
      </c>
      <c r="H3313" s="75" t="str">
        <f>IFERROR(VLOOKUP(Table2[[#This Row],[Ticket]],Okey!A:B,2,0),"")</f>
        <v>ok</v>
      </c>
      <c r="I3313" s="75" t="s">
        <v>8318</v>
      </c>
      <c r="J3313" t="str">
        <f>VLOOKUP(Table2[[#This Row],[Author]],People!A:B,2,0)</f>
        <v>LS</v>
      </c>
      <c r="K3313" s="75"/>
      <c r="L3313" s="76"/>
      <c r="M3313" s="76" t="s">
        <v>8165</v>
      </c>
    </row>
    <row r="3314" spans="1:13" x14ac:dyDescent="0.25">
      <c r="A3314" s="75">
        <f t="shared" si="51"/>
        <v>3313</v>
      </c>
      <c r="B3314" s="75" t="s">
        <v>5960</v>
      </c>
      <c r="C3314" s="75" t="s">
        <v>8396</v>
      </c>
      <c r="D3314" t="s">
        <v>132</v>
      </c>
      <c r="F3314" s="75" t="s">
        <v>8287</v>
      </c>
      <c r="G3314" s="75" t="s">
        <v>24</v>
      </c>
      <c r="H3314" s="75" t="str">
        <f>IFERROR(VLOOKUP(Table2[[#This Row],[Ticket]],Okey!A:B,2,0),"")</f>
        <v>ok</v>
      </c>
      <c r="I3314" s="75" t="s">
        <v>8318</v>
      </c>
      <c r="J3314" t="str">
        <f>VLOOKUP(Table2[[#This Row],[Author]],People!A:B,2,0)</f>
        <v>LS</v>
      </c>
      <c r="K3314" s="75"/>
      <c r="L3314" s="76"/>
      <c r="M3314" s="76" t="s">
        <v>8165</v>
      </c>
    </row>
    <row r="3315" spans="1:13" x14ac:dyDescent="0.25">
      <c r="A3315" s="75">
        <f t="shared" si="51"/>
        <v>3314</v>
      </c>
      <c r="B3315" s="75" t="s">
        <v>5960</v>
      </c>
      <c r="C3315" s="75" t="s">
        <v>8396</v>
      </c>
      <c r="D3315" t="s">
        <v>41</v>
      </c>
      <c r="F3315" s="75" t="s">
        <v>8287</v>
      </c>
      <c r="G3315" s="75" t="s">
        <v>24</v>
      </c>
      <c r="H3315" s="75" t="str">
        <f>IFERROR(VLOOKUP(Table2[[#This Row],[Ticket]],Okey!A:B,2,0),"")</f>
        <v>ok</v>
      </c>
      <c r="I3315" s="75" t="s">
        <v>8318</v>
      </c>
      <c r="J3315" t="str">
        <f>VLOOKUP(Table2[[#This Row],[Author]],People!A:B,2,0)</f>
        <v>LS</v>
      </c>
      <c r="K3315" s="75"/>
      <c r="L3315" s="76"/>
      <c r="M3315" s="76" t="s">
        <v>8165</v>
      </c>
    </row>
    <row r="3316" spans="1:13" x14ac:dyDescent="0.25">
      <c r="A3316" s="75">
        <f t="shared" si="51"/>
        <v>3315</v>
      </c>
      <c r="B3316" s="75" t="s">
        <v>5960</v>
      </c>
      <c r="C3316" s="75" t="s">
        <v>8396</v>
      </c>
      <c r="D3316" t="s">
        <v>55</v>
      </c>
      <c r="F3316" s="75" t="s">
        <v>8287</v>
      </c>
      <c r="G3316" s="75" t="s">
        <v>24</v>
      </c>
      <c r="H3316" s="75" t="str">
        <f>IFERROR(VLOOKUP(Table2[[#This Row],[Ticket]],Okey!A:B,2,0),"")</f>
        <v>ok</v>
      </c>
      <c r="I3316" s="75" t="s">
        <v>8318</v>
      </c>
      <c r="J3316" t="str">
        <f>VLOOKUP(Table2[[#This Row],[Author]],People!A:B,2,0)</f>
        <v>LS</v>
      </c>
      <c r="K3316" s="75"/>
      <c r="L3316" s="76"/>
      <c r="M3316" s="76" t="s">
        <v>8165</v>
      </c>
    </row>
    <row r="3317" spans="1:13" x14ac:dyDescent="0.25">
      <c r="A3317" s="75">
        <f t="shared" si="51"/>
        <v>3316</v>
      </c>
      <c r="B3317" s="75" t="s">
        <v>5960</v>
      </c>
      <c r="C3317" s="75" t="s">
        <v>8396</v>
      </c>
      <c r="D3317" t="s">
        <v>7795</v>
      </c>
      <c r="F3317" t="s">
        <v>7793</v>
      </c>
      <c r="G3317" s="75" t="s">
        <v>24</v>
      </c>
      <c r="H3317" s="75" t="str">
        <f>IFERROR(VLOOKUP(Table2[[#This Row],[Ticket]],Okey!A:B,2,0),"")</f>
        <v>ok</v>
      </c>
      <c r="I3317" s="75" t="s">
        <v>8318</v>
      </c>
      <c r="J3317" t="str">
        <f>VLOOKUP(Table2[[#This Row],[Author]],People!A:B,2,0)</f>
        <v>LS</v>
      </c>
      <c r="K3317" s="75"/>
      <c r="L3317" s="76"/>
      <c r="M3317" s="76" t="s">
        <v>8165</v>
      </c>
    </row>
    <row r="3318" spans="1:13" x14ac:dyDescent="0.25">
      <c r="A3318" s="75">
        <f t="shared" si="51"/>
        <v>3317</v>
      </c>
      <c r="B3318" s="75" t="s">
        <v>5960</v>
      </c>
      <c r="C3318" s="75" t="s">
        <v>8396</v>
      </c>
      <c r="D3318" t="s">
        <v>8237</v>
      </c>
      <c r="F3318" t="s">
        <v>4606</v>
      </c>
      <c r="G3318" s="75" t="s">
        <v>24</v>
      </c>
      <c r="H3318" s="75" t="str">
        <f>IFERROR(VLOOKUP(Table2[[#This Row],[Ticket]],Okey!A:B,2,0),"")</f>
        <v>ok</v>
      </c>
      <c r="I3318" s="75" t="s">
        <v>8318</v>
      </c>
      <c r="J3318" t="str">
        <f>VLOOKUP(Table2[[#This Row],[Author]],People!A:B,2,0)</f>
        <v>LS</v>
      </c>
      <c r="K3318" s="75"/>
      <c r="L3318" s="76"/>
      <c r="M3318" s="76" t="s">
        <v>8165</v>
      </c>
    </row>
    <row r="3319" spans="1:13" x14ac:dyDescent="0.25">
      <c r="A3319" s="75">
        <f t="shared" si="51"/>
        <v>3318</v>
      </c>
      <c r="B3319" s="75" t="s">
        <v>5960</v>
      </c>
      <c r="C3319" s="75" t="s">
        <v>8396</v>
      </c>
      <c r="D3319" t="s">
        <v>7447</v>
      </c>
      <c r="F3319" t="s">
        <v>7439</v>
      </c>
      <c r="G3319" s="75" t="s">
        <v>24</v>
      </c>
      <c r="H3319" s="75" t="str">
        <f>IFERROR(VLOOKUP(Table2[[#This Row],[Ticket]],Okey!A:B,2,0),"")</f>
        <v>ok</v>
      </c>
      <c r="I3319" s="75" t="s">
        <v>8318</v>
      </c>
      <c r="J3319" t="str">
        <f>VLOOKUP(Table2[[#This Row],[Author]],People!A:B,2,0)</f>
        <v>LS</v>
      </c>
      <c r="K3319" s="75"/>
      <c r="L3319" s="76"/>
      <c r="M3319" s="76" t="s">
        <v>8165</v>
      </c>
    </row>
    <row r="3320" spans="1:13" x14ac:dyDescent="0.25">
      <c r="A3320" s="75">
        <f t="shared" si="51"/>
        <v>3319</v>
      </c>
      <c r="B3320" s="75" t="s">
        <v>5960</v>
      </c>
      <c r="C3320" s="75" t="s">
        <v>8396</v>
      </c>
      <c r="D3320" t="s">
        <v>8238</v>
      </c>
      <c r="F3320" s="75" t="s">
        <v>8293</v>
      </c>
      <c r="G3320" s="75" t="s">
        <v>24</v>
      </c>
      <c r="H3320" s="75" t="str">
        <f>IFERROR(VLOOKUP(Table2[[#This Row],[Ticket]],Okey!A:B,2,0),"")</f>
        <v>ok</v>
      </c>
      <c r="I3320" s="75" t="s">
        <v>8318</v>
      </c>
      <c r="J3320" t="str">
        <f>VLOOKUP(Table2[[#This Row],[Author]],People!A:B,2,0)</f>
        <v>LS</v>
      </c>
      <c r="K3320" s="75"/>
      <c r="L3320" s="76"/>
      <c r="M3320" s="76" t="s">
        <v>8165</v>
      </c>
    </row>
    <row r="3321" spans="1:13" x14ac:dyDescent="0.25">
      <c r="A3321" s="75">
        <f t="shared" si="51"/>
        <v>3320</v>
      </c>
      <c r="B3321" s="75" t="s">
        <v>5960</v>
      </c>
      <c r="C3321" s="75" t="s">
        <v>8396</v>
      </c>
      <c r="D3321" t="s">
        <v>8239</v>
      </c>
      <c r="F3321" s="75" t="s">
        <v>8293</v>
      </c>
      <c r="G3321" s="75" t="s">
        <v>24</v>
      </c>
      <c r="H3321" s="75" t="str">
        <f>IFERROR(VLOOKUP(Table2[[#This Row],[Ticket]],Okey!A:B,2,0),"")</f>
        <v>ok</v>
      </c>
      <c r="I3321" s="75" t="s">
        <v>8318</v>
      </c>
      <c r="J3321" t="str">
        <f>VLOOKUP(Table2[[#This Row],[Author]],People!A:B,2,0)</f>
        <v>LS</v>
      </c>
      <c r="K3321" s="75"/>
      <c r="L3321" s="76"/>
      <c r="M3321" s="76" t="s">
        <v>8165</v>
      </c>
    </row>
    <row r="3322" spans="1:13" x14ac:dyDescent="0.25">
      <c r="A3322" s="75">
        <f t="shared" si="51"/>
        <v>3321</v>
      </c>
      <c r="B3322" s="75" t="s">
        <v>5960</v>
      </c>
      <c r="C3322" s="75" t="s">
        <v>8396</v>
      </c>
      <c r="D3322" t="s">
        <v>8240</v>
      </c>
      <c r="F3322" s="75" t="s">
        <v>8293</v>
      </c>
      <c r="G3322" s="75" t="s">
        <v>24</v>
      </c>
      <c r="H3322" s="75" t="str">
        <f>IFERROR(VLOOKUP(Table2[[#This Row],[Ticket]],Okey!A:B,2,0),"")</f>
        <v>ok</v>
      </c>
      <c r="I3322" s="75" t="s">
        <v>8318</v>
      </c>
      <c r="J3322" t="str">
        <f>VLOOKUP(Table2[[#This Row],[Author]],People!A:B,2,0)</f>
        <v>LS</v>
      </c>
      <c r="K3322" s="75"/>
      <c r="L3322" s="76"/>
      <c r="M3322" s="76" t="s">
        <v>8165</v>
      </c>
    </row>
    <row r="3323" spans="1:13" x14ac:dyDescent="0.25">
      <c r="A3323" s="75">
        <f t="shared" si="51"/>
        <v>3322</v>
      </c>
      <c r="B3323" s="75" t="s">
        <v>5960</v>
      </c>
      <c r="C3323" s="75" t="s">
        <v>8396</v>
      </c>
      <c r="D3323" t="s">
        <v>8241</v>
      </c>
      <c r="F3323" s="75" t="s">
        <v>8293</v>
      </c>
      <c r="G3323" s="75" t="s">
        <v>24</v>
      </c>
      <c r="H3323" s="75" t="str">
        <f>IFERROR(VLOOKUP(Table2[[#This Row],[Ticket]],Okey!A:B,2,0),"")</f>
        <v>ok</v>
      </c>
      <c r="I3323" s="75" t="s">
        <v>8318</v>
      </c>
      <c r="J3323" t="str">
        <f>VLOOKUP(Table2[[#This Row],[Author]],People!A:B,2,0)</f>
        <v>LS</v>
      </c>
      <c r="K3323" s="75"/>
      <c r="L3323" s="76"/>
      <c r="M3323" s="76" t="s">
        <v>8165</v>
      </c>
    </row>
    <row r="3324" spans="1:13" x14ac:dyDescent="0.25">
      <c r="A3324" s="75">
        <f t="shared" si="51"/>
        <v>3323</v>
      </c>
      <c r="B3324" s="75" t="s">
        <v>5960</v>
      </c>
      <c r="C3324" s="75" t="s">
        <v>8396</v>
      </c>
      <c r="D3324" t="s">
        <v>8242</v>
      </c>
      <c r="F3324" s="75" t="s">
        <v>8293</v>
      </c>
      <c r="G3324" s="75" t="s">
        <v>24</v>
      </c>
      <c r="H3324" s="75" t="str">
        <f>IFERROR(VLOOKUP(Table2[[#This Row],[Ticket]],Okey!A:B,2,0),"")</f>
        <v>ok</v>
      </c>
      <c r="I3324" s="75" t="s">
        <v>8318</v>
      </c>
      <c r="J3324" t="str">
        <f>VLOOKUP(Table2[[#This Row],[Author]],People!A:B,2,0)</f>
        <v>LS</v>
      </c>
      <c r="K3324" s="75"/>
      <c r="L3324" s="76"/>
      <c r="M3324" s="76" t="s">
        <v>8165</v>
      </c>
    </row>
    <row r="3325" spans="1:13" x14ac:dyDescent="0.25">
      <c r="A3325" s="75">
        <f t="shared" si="51"/>
        <v>3324</v>
      </c>
      <c r="B3325" s="75" t="s">
        <v>5960</v>
      </c>
      <c r="C3325" s="75" t="s">
        <v>8396</v>
      </c>
      <c r="D3325" t="s">
        <v>8243</v>
      </c>
      <c r="F3325" s="75" t="s">
        <v>8293</v>
      </c>
      <c r="G3325" s="75" t="s">
        <v>24</v>
      </c>
      <c r="H3325" s="75" t="str">
        <f>IFERROR(VLOOKUP(Table2[[#This Row],[Ticket]],Okey!A:B,2,0),"")</f>
        <v>ok</v>
      </c>
      <c r="I3325" s="75" t="s">
        <v>8318</v>
      </c>
      <c r="J3325" t="str">
        <f>VLOOKUP(Table2[[#This Row],[Author]],People!A:B,2,0)</f>
        <v>LS</v>
      </c>
      <c r="K3325" s="75"/>
      <c r="L3325" s="76"/>
      <c r="M3325" s="76" t="s">
        <v>8165</v>
      </c>
    </row>
    <row r="3326" spans="1:13" x14ac:dyDescent="0.25">
      <c r="A3326" s="75">
        <f t="shared" si="51"/>
        <v>3325</v>
      </c>
      <c r="B3326" s="75" t="s">
        <v>5960</v>
      </c>
      <c r="C3326" s="75" t="s">
        <v>8396</v>
      </c>
      <c r="D3326" t="s">
        <v>8244</v>
      </c>
      <c r="F3326" s="75" t="s">
        <v>8293</v>
      </c>
      <c r="G3326" s="75" t="s">
        <v>24</v>
      </c>
      <c r="H3326" s="75" t="str">
        <f>IFERROR(VLOOKUP(Table2[[#This Row],[Ticket]],Okey!A:B,2,0),"")</f>
        <v>ok</v>
      </c>
      <c r="I3326" s="75" t="s">
        <v>8318</v>
      </c>
      <c r="J3326" t="str">
        <f>VLOOKUP(Table2[[#This Row],[Author]],People!A:B,2,0)</f>
        <v>LS</v>
      </c>
      <c r="K3326" s="75"/>
      <c r="L3326" s="76"/>
      <c r="M3326" s="76" t="s">
        <v>8165</v>
      </c>
    </row>
    <row r="3327" spans="1:13" x14ac:dyDescent="0.25">
      <c r="A3327" s="75">
        <f t="shared" si="51"/>
        <v>3326</v>
      </c>
      <c r="B3327" s="75" t="s">
        <v>5960</v>
      </c>
      <c r="C3327" s="75" t="s">
        <v>8396</v>
      </c>
      <c r="D3327" t="s">
        <v>8245</v>
      </c>
      <c r="F3327" s="75" t="s">
        <v>8294</v>
      </c>
      <c r="G3327" s="75" t="s">
        <v>24</v>
      </c>
      <c r="H3327" s="75" t="str">
        <f>IFERROR(VLOOKUP(Table2[[#This Row],[Ticket]],Okey!A:B,2,0),"")</f>
        <v>ok</v>
      </c>
      <c r="I3327" s="75" t="s">
        <v>8318</v>
      </c>
      <c r="J3327" t="str">
        <f>VLOOKUP(Table2[[#This Row],[Author]],People!A:B,2,0)</f>
        <v>LS</v>
      </c>
      <c r="K3327" s="75"/>
      <c r="L3327" s="76"/>
      <c r="M3327" s="76" t="s">
        <v>8165</v>
      </c>
    </row>
    <row r="3328" spans="1:13" x14ac:dyDescent="0.25">
      <c r="A3328" s="75">
        <f t="shared" si="51"/>
        <v>3327</v>
      </c>
      <c r="B3328" s="75" t="s">
        <v>5960</v>
      </c>
      <c r="C3328" s="75" t="s">
        <v>8396</v>
      </c>
      <c r="D3328" t="s">
        <v>8246</v>
      </c>
      <c r="F3328" t="s">
        <v>8181</v>
      </c>
      <c r="G3328" s="75" t="s">
        <v>24</v>
      </c>
      <c r="H3328" s="75" t="str">
        <f>IFERROR(VLOOKUP(Table2[[#This Row],[Ticket]],Okey!A:B,2,0),"")</f>
        <v>ok</v>
      </c>
      <c r="I3328" s="75" t="s">
        <v>8318</v>
      </c>
      <c r="J3328" t="str">
        <f>VLOOKUP(Table2[[#This Row],[Author]],People!A:B,2,0)</f>
        <v>LS</v>
      </c>
      <c r="K3328" s="75"/>
      <c r="L3328" s="76"/>
      <c r="M3328" s="76" t="s">
        <v>8165</v>
      </c>
    </row>
    <row r="3329" spans="1:13" x14ac:dyDescent="0.25">
      <c r="A3329" s="75">
        <f t="shared" si="51"/>
        <v>3328</v>
      </c>
      <c r="B3329" s="75" t="s">
        <v>5960</v>
      </c>
      <c r="C3329" s="75" t="s">
        <v>8396</v>
      </c>
      <c r="D3329" t="s">
        <v>1428</v>
      </c>
      <c r="F3329" t="s">
        <v>8181</v>
      </c>
      <c r="G3329" s="75" t="s">
        <v>24</v>
      </c>
      <c r="H3329" s="75" t="str">
        <f>IFERROR(VLOOKUP(Table2[[#This Row],[Ticket]],Okey!A:B,2,0),"")</f>
        <v>ok</v>
      </c>
      <c r="I3329" s="75" t="s">
        <v>8318</v>
      </c>
      <c r="J3329" t="str">
        <f>VLOOKUP(Table2[[#This Row],[Author]],People!A:B,2,0)</f>
        <v>LS</v>
      </c>
      <c r="K3329" s="75"/>
      <c r="L3329" s="76"/>
      <c r="M3329" s="76" t="s">
        <v>8165</v>
      </c>
    </row>
    <row r="3330" spans="1:13" x14ac:dyDescent="0.25">
      <c r="A3330" s="75">
        <f t="shared" si="51"/>
        <v>3329</v>
      </c>
      <c r="B3330" s="75" t="s">
        <v>5960</v>
      </c>
      <c r="C3330" s="75" t="s">
        <v>8396</v>
      </c>
      <c r="D3330" t="s">
        <v>6192</v>
      </c>
      <c r="F3330" t="s">
        <v>1662</v>
      </c>
      <c r="G3330" s="75" t="s">
        <v>24</v>
      </c>
      <c r="H3330" s="75" t="str">
        <f>IFERROR(VLOOKUP(Table2[[#This Row],[Ticket]],Okey!A:B,2,0),"")</f>
        <v>ok</v>
      </c>
      <c r="I3330" s="75" t="s">
        <v>8318</v>
      </c>
      <c r="J3330" t="str">
        <f>VLOOKUP(Table2[[#This Row],[Author]],People!A:B,2,0)</f>
        <v>LS</v>
      </c>
      <c r="K3330" s="75"/>
      <c r="L3330" s="76"/>
      <c r="M3330" s="76" t="s">
        <v>8165</v>
      </c>
    </row>
    <row r="3331" spans="1:13" x14ac:dyDescent="0.25">
      <c r="A3331" s="75">
        <f t="shared" si="51"/>
        <v>3330</v>
      </c>
      <c r="B3331" s="75" t="s">
        <v>5960</v>
      </c>
      <c r="C3331" s="75" t="s">
        <v>8396</v>
      </c>
      <c r="D3331" t="s">
        <v>8247</v>
      </c>
      <c r="F3331" t="s">
        <v>1664</v>
      </c>
      <c r="G3331" s="75" t="s">
        <v>24</v>
      </c>
      <c r="H3331" s="75" t="str">
        <f>IFERROR(VLOOKUP(Table2[[#This Row],[Ticket]],Okey!A:B,2,0),"")</f>
        <v>ok</v>
      </c>
      <c r="I3331" s="75" t="s">
        <v>8318</v>
      </c>
      <c r="J3331" t="str">
        <f>VLOOKUP(Table2[[#This Row],[Author]],People!A:B,2,0)</f>
        <v>LS</v>
      </c>
      <c r="K3331" s="75"/>
      <c r="L3331" s="76"/>
      <c r="M3331" s="76" t="s">
        <v>8165</v>
      </c>
    </row>
    <row r="3332" spans="1:13" x14ac:dyDescent="0.25">
      <c r="A3332" s="75">
        <f t="shared" si="51"/>
        <v>3331</v>
      </c>
      <c r="B3332" s="75" t="s">
        <v>5960</v>
      </c>
      <c r="C3332" s="75" t="s">
        <v>8396</v>
      </c>
      <c r="D3332" t="s">
        <v>8248</v>
      </c>
      <c r="F3332" t="s">
        <v>1662</v>
      </c>
      <c r="G3332" s="75" t="s">
        <v>24</v>
      </c>
      <c r="H3332" s="75" t="str">
        <f>IFERROR(VLOOKUP(Table2[[#This Row],[Ticket]],Okey!A:B,2,0),"")</f>
        <v>ok</v>
      </c>
      <c r="I3332" s="75" t="s">
        <v>8318</v>
      </c>
      <c r="J3332" t="str">
        <f>VLOOKUP(Table2[[#This Row],[Author]],People!A:B,2,0)</f>
        <v>LS</v>
      </c>
      <c r="K3332" s="75"/>
      <c r="L3332" s="76"/>
      <c r="M3332" s="76" t="s">
        <v>8165</v>
      </c>
    </row>
    <row r="3333" spans="1:13" x14ac:dyDescent="0.25">
      <c r="A3333" s="75">
        <f t="shared" si="51"/>
        <v>3332</v>
      </c>
      <c r="B3333" s="75" t="s">
        <v>5960</v>
      </c>
      <c r="C3333" s="75" t="s">
        <v>8396</v>
      </c>
      <c r="D3333" t="s">
        <v>8249</v>
      </c>
      <c r="F3333" t="s">
        <v>1662</v>
      </c>
      <c r="G3333" s="75" t="s">
        <v>24</v>
      </c>
      <c r="H3333" s="75" t="str">
        <f>IFERROR(VLOOKUP(Table2[[#This Row],[Ticket]],Okey!A:B,2,0),"")</f>
        <v>ok</v>
      </c>
      <c r="I3333" s="75" t="s">
        <v>8318</v>
      </c>
      <c r="J3333" t="str">
        <f>VLOOKUP(Table2[[#This Row],[Author]],People!A:B,2,0)</f>
        <v>LS</v>
      </c>
      <c r="K3333" s="75"/>
      <c r="L3333" s="76"/>
      <c r="M3333" s="76" t="s">
        <v>8165</v>
      </c>
    </row>
    <row r="3334" spans="1:13" x14ac:dyDescent="0.25">
      <c r="A3334" s="75">
        <f t="shared" si="51"/>
        <v>3333</v>
      </c>
      <c r="B3334" s="75" t="s">
        <v>5960</v>
      </c>
      <c r="C3334" s="75" t="s">
        <v>8396</v>
      </c>
      <c r="D3334" t="s">
        <v>8250</v>
      </c>
      <c r="F3334" t="s">
        <v>1662</v>
      </c>
      <c r="G3334" s="75" t="s">
        <v>24</v>
      </c>
      <c r="H3334" s="75" t="str">
        <f>IFERROR(VLOOKUP(Table2[[#This Row],[Ticket]],Okey!A:B,2,0),"")</f>
        <v>ok</v>
      </c>
      <c r="I3334" s="75" t="s">
        <v>8318</v>
      </c>
      <c r="J3334" t="str">
        <f>VLOOKUP(Table2[[#This Row],[Author]],People!A:B,2,0)</f>
        <v>LS</v>
      </c>
      <c r="K3334" s="75"/>
      <c r="L3334" s="76"/>
      <c r="M3334" s="76" t="s">
        <v>8165</v>
      </c>
    </row>
    <row r="3335" spans="1:13" x14ac:dyDescent="0.25">
      <c r="A3335" s="75">
        <f t="shared" si="51"/>
        <v>3334</v>
      </c>
      <c r="B3335" s="75" t="s">
        <v>5960</v>
      </c>
      <c r="C3335" s="75" t="s">
        <v>8396</v>
      </c>
      <c r="D3335" t="s">
        <v>6196</v>
      </c>
      <c r="F3335" t="s">
        <v>8215</v>
      </c>
      <c r="G3335" s="75" t="s">
        <v>24</v>
      </c>
      <c r="H3335" s="75" t="str">
        <f>IFERROR(VLOOKUP(Table2[[#This Row],[Ticket]],Okey!A:B,2,0),"")</f>
        <v>ok</v>
      </c>
      <c r="I3335" s="75" t="s">
        <v>8318</v>
      </c>
      <c r="J3335" t="str">
        <f>VLOOKUP(Table2[[#This Row],[Author]],People!A:B,2,0)</f>
        <v>LS</v>
      </c>
      <c r="K3335" s="75"/>
      <c r="L3335" s="76"/>
      <c r="M3335" s="76" t="s">
        <v>8165</v>
      </c>
    </row>
    <row r="3336" spans="1:13" x14ac:dyDescent="0.25">
      <c r="A3336" s="75">
        <f t="shared" si="51"/>
        <v>3335</v>
      </c>
      <c r="B3336" s="75" t="s">
        <v>5960</v>
      </c>
      <c r="C3336" s="75" t="s">
        <v>8396</v>
      </c>
      <c r="D3336" t="s">
        <v>6198</v>
      </c>
      <c r="F3336" t="s">
        <v>8215</v>
      </c>
      <c r="G3336" s="75" t="s">
        <v>24</v>
      </c>
      <c r="H3336" s="75" t="str">
        <f>IFERROR(VLOOKUP(Table2[[#This Row],[Ticket]],Okey!A:B,2,0),"")</f>
        <v>ok</v>
      </c>
      <c r="I3336" s="75" t="s">
        <v>8318</v>
      </c>
      <c r="J3336" t="str">
        <f>VLOOKUP(Table2[[#This Row],[Author]],People!A:B,2,0)</f>
        <v>LS</v>
      </c>
      <c r="K3336" s="75"/>
      <c r="L3336" s="76"/>
      <c r="M3336" s="76" t="s">
        <v>8165</v>
      </c>
    </row>
    <row r="3337" spans="1:13" x14ac:dyDescent="0.25">
      <c r="A3337" s="75">
        <f t="shared" ref="A3337:A3400" si="52">1+A3336</f>
        <v>3336</v>
      </c>
      <c r="B3337" s="75" t="s">
        <v>5960</v>
      </c>
      <c r="C3337" s="75" t="s">
        <v>8396</v>
      </c>
      <c r="D3337" t="s">
        <v>6199</v>
      </c>
      <c r="F3337" t="s">
        <v>8215</v>
      </c>
      <c r="G3337" s="75" t="s">
        <v>24</v>
      </c>
      <c r="H3337" s="75" t="str">
        <f>IFERROR(VLOOKUP(Table2[[#This Row],[Ticket]],Okey!A:B,2,0),"")</f>
        <v>ok</v>
      </c>
      <c r="I3337" s="75" t="s">
        <v>8318</v>
      </c>
      <c r="J3337" t="str">
        <f>VLOOKUP(Table2[[#This Row],[Author]],People!A:B,2,0)</f>
        <v>LS</v>
      </c>
      <c r="K3337" s="75"/>
      <c r="L3337" s="76"/>
      <c r="M3337" s="76" t="s">
        <v>8165</v>
      </c>
    </row>
    <row r="3338" spans="1:13" x14ac:dyDescent="0.25">
      <c r="A3338" s="75">
        <f t="shared" si="52"/>
        <v>3337</v>
      </c>
      <c r="B3338" s="75" t="s">
        <v>5960</v>
      </c>
      <c r="C3338" s="75" t="s">
        <v>8396</v>
      </c>
      <c r="D3338" t="s">
        <v>6202</v>
      </c>
      <c r="F3338" t="s">
        <v>8215</v>
      </c>
      <c r="G3338" s="75" t="s">
        <v>24</v>
      </c>
      <c r="H3338" s="75" t="str">
        <f>IFERROR(VLOOKUP(Table2[[#This Row],[Ticket]],Okey!A:B,2,0),"")</f>
        <v>ok</v>
      </c>
      <c r="I3338" s="75" t="s">
        <v>8318</v>
      </c>
      <c r="J3338" t="str">
        <f>VLOOKUP(Table2[[#This Row],[Author]],People!A:B,2,0)</f>
        <v>LS</v>
      </c>
      <c r="K3338" s="75"/>
      <c r="L3338" s="76"/>
      <c r="M3338" s="76" t="s">
        <v>8165</v>
      </c>
    </row>
    <row r="3339" spans="1:13" x14ac:dyDescent="0.25">
      <c r="A3339" s="75">
        <f t="shared" si="52"/>
        <v>3338</v>
      </c>
      <c r="B3339" s="75" t="s">
        <v>5960</v>
      </c>
      <c r="C3339" s="75" t="s">
        <v>8396</v>
      </c>
      <c r="D3339" t="s">
        <v>6203</v>
      </c>
      <c r="F3339" t="s">
        <v>8215</v>
      </c>
      <c r="G3339" s="75" t="s">
        <v>24</v>
      </c>
      <c r="H3339" s="75" t="str">
        <f>IFERROR(VLOOKUP(Table2[[#This Row],[Ticket]],Okey!A:B,2,0),"")</f>
        <v>ok</v>
      </c>
      <c r="I3339" s="75" t="s">
        <v>8318</v>
      </c>
      <c r="J3339" t="str">
        <f>VLOOKUP(Table2[[#This Row],[Author]],People!A:B,2,0)</f>
        <v>LS</v>
      </c>
      <c r="K3339" s="75"/>
      <c r="L3339" s="76"/>
      <c r="M3339" s="76" t="s">
        <v>8165</v>
      </c>
    </row>
    <row r="3340" spans="1:13" x14ac:dyDescent="0.25">
      <c r="A3340" s="75">
        <f t="shared" si="52"/>
        <v>3339</v>
      </c>
      <c r="B3340" s="75" t="s">
        <v>5960</v>
      </c>
      <c r="C3340" s="75" t="s">
        <v>8396</v>
      </c>
      <c r="D3340" t="s">
        <v>6204</v>
      </c>
      <c r="F3340" t="s">
        <v>8215</v>
      </c>
      <c r="G3340" s="75" t="s">
        <v>24</v>
      </c>
      <c r="H3340" s="75" t="str">
        <f>IFERROR(VLOOKUP(Table2[[#This Row],[Ticket]],Okey!A:B,2,0),"")</f>
        <v>ok</v>
      </c>
      <c r="I3340" s="75" t="s">
        <v>8318</v>
      </c>
      <c r="J3340" t="str">
        <f>VLOOKUP(Table2[[#This Row],[Author]],People!A:B,2,0)</f>
        <v>LS</v>
      </c>
      <c r="K3340" s="75"/>
      <c r="L3340" s="76"/>
      <c r="M3340" s="76" t="s">
        <v>8165</v>
      </c>
    </row>
    <row r="3341" spans="1:13" x14ac:dyDescent="0.25">
      <c r="A3341" s="75">
        <f t="shared" si="52"/>
        <v>3340</v>
      </c>
      <c r="B3341" s="75" t="s">
        <v>5960</v>
      </c>
      <c r="C3341" s="75" t="s">
        <v>8396</v>
      </c>
      <c r="D3341" t="s">
        <v>6205</v>
      </c>
      <c r="F3341" t="s">
        <v>8215</v>
      </c>
      <c r="G3341" s="75" t="s">
        <v>24</v>
      </c>
      <c r="H3341" s="75" t="str">
        <f>IFERROR(VLOOKUP(Table2[[#This Row],[Ticket]],Okey!A:B,2,0),"")</f>
        <v>ok</v>
      </c>
      <c r="I3341" s="75" t="s">
        <v>8318</v>
      </c>
      <c r="J3341" t="str">
        <f>VLOOKUP(Table2[[#This Row],[Author]],People!A:B,2,0)</f>
        <v>LS</v>
      </c>
      <c r="K3341" s="75"/>
      <c r="L3341" s="76"/>
      <c r="M3341" s="76" t="s">
        <v>8165</v>
      </c>
    </row>
    <row r="3342" spans="1:13" x14ac:dyDescent="0.25">
      <c r="A3342" s="75">
        <f t="shared" si="52"/>
        <v>3341</v>
      </c>
      <c r="B3342" s="75" t="s">
        <v>5960</v>
      </c>
      <c r="C3342" s="75" t="s">
        <v>8396</v>
      </c>
      <c r="D3342" t="s">
        <v>6220</v>
      </c>
      <c r="F3342" t="s">
        <v>8216</v>
      </c>
      <c r="G3342" s="75" t="s">
        <v>24</v>
      </c>
      <c r="H3342" s="75" t="str">
        <f>IFERROR(VLOOKUP(Table2[[#This Row],[Ticket]],Okey!A:B,2,0),"")</f>
        <v>ok</v>
      </c>
      <c r="I3342" s="75" t="s">
        <v>8318</v>
      </c>
      <c r="J3342" t="str">
        <f>VLOOKUP(Table2[[#This Row],[Author]],People!A:B,2,0)</f>
        <v>LS</v>
      </c>
      <c r="K3342" s="75"/>
      <c r="L3342" s="76"/>
      <c r="M3342" s="76" t="s">
        <v>8165</v>
      </c>
    </row>
    <row r="3343" spans="1:13" x14ac:dyDescent="0.25">
      <c r="A3343" s="75">
        <f t="shared" si="52"/>
        <v>3342</v>
      </c>
      <c r="B3343" s="75" t="s">
        <v>5960</v>
      </c>
      <c r="C3343" s="75" t="s">
        <v>8396</v>
      </c>
      <c r="D3343" t="s">
        <v>6221</v>
      </c>
      <c r="F3343" t="s">
        <v>8216</v>
      </c>
      <c r="G3343" s="75" t="s">
        <v>24</v>
      </c>
      <c r="H3343" s="75" t="str">
        <f>IFERROR(VLOOKUP(Table2[[#This Row],[Ticket]],Okey!A:B,2,0),"")</f>
        <v>ok</v>
      </c>
      <c r="I3343" s="75" t="s">
        <v>8318</v>
      </c>
      <c r="J3343" t="str">
        <f>VLOOKUP(Table2[[#This Row],[Author]],People!A:B,2,0)</f>
        <v>LS</v>
      </c>
      <c r="K3343" s="75"/>
      <c r="L3343" s="76"/>
      <c r="M3343" s="76" t="s">
        <v>8165</v>
      </c>
    </row>
    <row r="3344" spans="1:13" x14ac:dyDescent="0.25">
      <c r="A3344" s="75">
        <f t="shared" si="52"/>
        <v>3343</v>
      </c>
      <c r="B3344" s="75" t="s">
        <v>5960</v>
      </c>
      <c r="C3344" s="75" t="s">
        <v>8396</v>
      </c>
      <c r="D3344" t="s">
        <v>6214</v>
      </c>
      <c r="F3344" t="s">
        <v>8215</v>
      </c>
      <c r="G3344" s="75" t="s">
        <v>24</v>
      </c>
      <c r="H3344" s="75" t="str">
        <f>IFERROR(VLOOKUP(Table2[[#This Row],[Ticket]],Okey!A:B,2,0),"")</f>
        <v>ok</v>
      </c>
      <c r="I3344" s="75" t="s">
        <v>8318</v>
      </c>
      <c r="J3344" t="str">
        <f>VLOOKUP(Table2[[#This Row],[Author]],People!A:B,2,0)</f>
        <v>LS</v>
      </c>
      <c r="K3344" s="75"/>
      <c r="L3344" s="76"/>
      <c r="M3344" s="76" t="s">
        <v>8165</v>
      </c>
    </row>
    <row r="3345" spans="1:13" x14ac:dyDescent="0.25">
      <c r="A3345" s="75">
        <f t="shared" si="52"/>
        <v>3344</v>
      </c>
      <c r="B3345" s="75" t="s">
        <v>5960</v>
      </c>
      <c r="C3345" s="75" t="s">
        <v>8396</v>
      </c>
      <c r="D3345" t="s">
        <v>6215</v>
      </c>
      <c r="F3345" t="s">
        <v>8215</v>
      </c>
      <c r="G3345" s="75" t="s">
        <v>24</v>
      </c>
      <c r="H3345" s="75" t="str">
        <f>IFERROR(VLOOKUP(Table2[[#This Row],[Ticket]],Okey!A:B,2,0),"")</f>
        <v>ok</v>
      </c>
      <c r="I3345" s="75" t="s">
        <v>8318</v>
      </c>
      <c r="J3345" t="str">
        <f>VLOOKUP(Table2[[#This Row],[Author]],People!A:B,2,0)</f>
        <v>LS</v>
      </c>
      <c r="K3345" s="75"/>
      <c r="L3345" s="76"/>
      <c r="M3345" s="76" t="s">
        <v>8165</v>
      </c>
    </row>
    <row r="3346" spans="1:13" x14ac:dyDescent="0.25">
      <c r="A3346" s="75">
        <f t="shared" si="52"/>
        <v>3345</v>
      </c>
      <c r="B3346" s="75" t="s">
        <v>5960</v>
      </c>
      <c r="C3346" s="75" t="s">
        <v>8396</v>
      </c>
      <c r="D3346" t="s">
        <v>6217</v>
      </c>
      <c r="F3346" t="s">
        <v>8215</v>
      </c>
      <c r="G3346" s="75" t="s">
        <v>24</v>
      </c>
      <c r="H3346" s="75" t="str">
        <f>IFERROR(VLOOKUP(Table2[[#This Row],[Ticket]],Okey!A:B,2,0),"")</f>
        <v>ok</v>
      </c>
      <c r="I3346" s="75" t="s">
        <v>8318</v>
      </c>
      <c r="J3346" t="str">
        <f>VLOOKUP(Table2[[#This Row],[Author]],People!A:B,2,0)</f>
        <v>LS</v>
      </c>
      <c r="K3346" s="75"/>
      <c r="L3346" s="76"/>
      <c r="M3346" s="76" t="s">
        <v>8165</v>
      </c>
    </row>
    <row r="3347" spans="1:13" x14ac:dyDescent="0.25">
      <c r="A3347" s="75">
        <f t="shared" si="52"/>
        <v>3346</v>
      </c>
      <c r="B3347" s="75" t="s">
        <v>5960</v>
      </c>
      <c r="C3347" s="75" t="s">
        <v>8396</v>
      </c>
      <c r="D3347" t="s">
        <v>6222</v>
      </c>
      <c r="F3347" t="s">
        <v>8216</v>
      </c>
      <c r="G3347" s="75" t="s">
        <v>24</v>
      </c>
      <c r="H3347" s="75" t="str">
        <f>IFERROR(VLOOKUP(Table2[[#This Row],[Ticket]],Okey!A:B,2,0),"")</f>
        <v>ok</v>
      </c>
      <c r="I3347" s="75" t="s">
        <v>8318</v>
      </c>
      <c r="J3347" t="str">
        <f>VLOOKUP(Table2[[#This Row],[Author]],People!A:B,2,0)</f>
        <v>LS</v>
      </c>
      <c r="K3347" s="75"/>
      <c r="L3347" s="76"/>
      <c r="M3347" s="76" t="s">
        <v>8165</v>
      </c>
    </row>
    <row r="3348" spans="1:13" x14ac:dyDescent="0.25">
      <c r="A3348" s="75">
        <f t="shared" si="52"/>
        <v>3347</v>
      </c>
      <c r="B3348" s="75" t="s">
        <v>5960</v>
      </c>
      <c r="C3348" s="75" t="s">
        <v>8396</v>
      </c>
      <c r="D3348" t="s">
        <v>6161</v>
      </c>
      <c r="F3348" t="s">
        <v>6158</v>
      </c>
      <c r="G3348" s="75" t="s">
        <v>24</v>
      </c>
      <c r="H3348" s="75" t="str">
        <f>IFERROR(VLOOKUP(Table2[[#This Row],[Ticket]],Okey!A:B,2,0),"")</f>
        <v>ok</v>
      </c>
      <c r="I3348" s="75" t="s">
        <v>8318</v>
      </c>
      <c r="J3348" t="str">
        <f>VLOOKUP(Table2[[#This Row],[Author]],People!A:B,2,0)</f>
        <v>LS</v>
      </c>
      <c r="K3348" s="75"/>
      <c r="L3348" s="76"/>
      <c r="M3348" s="76" t="s">
        <v>8165</v>
      </c>
    </row>
    <row r="3349" spans="1:13" x14ac:dyDescent="0.25">
      <c r="A3349" s="75">
        <f t="shared" si="52"/>
        <v>3348</v>
      </c>
      <c r="B3349" s="75" t="s">
        <v>5960</v>
      </c>
      <c r="C3349" s="75" t="s">
        <v>8396</v>
      </c>
      <c r="D3349" t="s">
        <v>1372</v>
      </c>
      <c r="F3349" t="s">
        <v>6134</v>
      </c>
      <c r="G3349" s="75" t="s">
        <v>24</v>
      </c>
      <c r="H3349" s="75" t="str">
        <f>IFERROR(VLOOKUP(Table2[[#This Row],[Ticket]],Okey!A:B,2,0),"")</f>
        <v>ok</v>
      </c>
      <c r="I3349" s="75" t="s">
        <v>8318</v>
      </c>
      <c r="J3349" t="str">
        <f>VLOOKUP(Table2[[#This Row],[Author]],People!A:B,2,0)</f>
        <v>LS</v>
      </c>
      <c r="K3349" s="75"/>
      <c r="L3349" s="76"/>
      <c r="M3349" s="76" t="s">
        <v>8165</v>
      </c>
    </row>
    <row r="3350" spans="1:13" x14ac:dyDescent="0.25">
      <c r="A3350" s="75">
        <f t="shared" si="52"/>
        <v>3349</v>
      </c>
      <c r="B3350" s="75" t="s">
        <v>5960</v>
      </c>
      <c r="C3350" s="75" t="s">
        <v>8396</v>
      </c>
      <c r="D3350" t="s">
        <v>7492</v>
      </c>
      <c r="F3350" t="s">
        <v>4645</v>
      </c>
      <c r="G3350" s="75" t="s">
        <v>24</v>
      </c>
      <c r="H3350" s="75" t="str">
        <f>IFERROR(VLOOKUP(Table2[[#This Row],[Ticket]],Okey!A:B,2,0),"")</f>
        <v>ok</v>
      </c>
      <c r="I3350" s="75" t="s">
        <v>8318</v>
      </c>
      <c r="J3350" t="str">
        <f>VLOOKUP(Table2[[#This Row],[Author]],People!A:B,2,0)</f>
        <v>LS</v>
      </c>
      <c r="K3350" s="75"/>
      <c r="L3350" s="76"/>
      <c r="M3350" s="76" t="s">
        <v>8165</v>
      </c>
    </row>
    <row r="3351" spans="1:13" x14ac:dyDescent="0.25">
      <c r="A3351" s="75">
        <f t="shared" si="52"/>
        <v>3350</v>
      </c>
      <c r="B3351" s="75" t="s">
        <v>5960</v>
      </c>
      <c r="C3351" s="75" t="s">
        <v>8396</v>
      </c>
      <c r="D3351" t="s">
        <v>8251</v>
      </c>
      <c r="F3351" t="s">
        <v>6130</v>
      </c>
      <c r="G3351" s="75" t="s">
        <v>24</v>
      </c>
      <c r="H3351" s="75" t="str">
        <f>IFERROR(VLOOKUP(Table2[[#This Row],[Ticket]],Okey!A:B,2,0),"")</f>
        <v>ok</v>
      </c>
      <c r="I3351" s="75" t="s">
        <v>8318</v>
      </c>
      <c r="J3351" t="str">
        <f>VLOOKUP(Table2[[#This Row],[Author]],People!A:B,2,0)</f>
        <v>LS</v>
      </c>
      <c r="K3351" s="75"/>
      <c r="L3351" s="76"/>
      <c r="M3351" s="76" t="s">
        <v>8165</v>
      </c>
    </row>
    <row r="3352" spans="1:13" x14ac:dyDescent="0.25">
      <c r="A3352" s="75">
        <f t="shared" si="52"/>
        <v>3351</v>
      </c>
      <c r="B3352" s="75" t="s">
        <v>5960</v>
      </c>
      <c r="C3352" s="75" t="s">
        <v>8396</v>
      </c>
      <c r="D3352" t="s">
        <v>8252</v>
      </c>
      <c r="F3352" t="s">
        <v>6130</v>
      </c>
      <c r="G3352" s="75" t="s">
        <v>24</v>
      </c>
      <c r="H3352" s="75" t="str">
        <f>IFERROR(VLOOKUP(Table2[[#This Row],[Ticket]],Okey!A:B,2,0),"")</f>
        <v>ok</v>
      </c>
      <c r="I3352" s="75" t="s">
        <v>8318</v>
      </c>
      <c r="J3352" t="str">
        <f>VLOOKUP(Table2[[#This Row],[Author]],People!A:B,2,0)</f>
        <v>LS</v>
      </c>
      <c r="K3352" s="75"/>
      <c r="L3352" s="76"/>
      <c r="M3352" s="76" t="s">
        <v>8165</v>
      </c>
    </row>
    <row r="3353" spans="1:13" x14ac:dyDescent="0.25">
      <c r="A3353" s="75">
        <f t="shared" si="52"/>
        <v>3352</v>
      </c>
      <c r="B3353" s="75" t="s">
        <v>5960</v>
      </c>
      <c r="C3353" s="75" t="s">
        <v>8396</v>
      </c>
      <c r="D3353" t="s">
        <v>8253</v>
      </c>
      <c r="F3353" t="s">
        <v>6130</v>
      </c>
      <c r="G3353" s="75" t="s">
        <v>24</v>
      </c>
      <c r="H3353" s="75" t="str">
        <f>IFERROR(VLOOKUP(Table2[[#This Row],[Ticket]],Okey!A:B,2,0),"")</f>
        <v>ok</v>
      </c>
      <c r="I3353" s="75" t="s">
        <v>8318</v>
      </c>
      <c r="J3353" t="str">
        <f>VLOOKUP(Table2[[#This Row],[Author]],People!A:B,2,0)</f>
        <v>LS</v>
      </c>
      <c r="K3353" s="75"/>
      <c r="L3353" s="76"/>
      <c r="M3353" s="76" t="s">
        <v>8165</v>
      </c>
    </row>
    <row r="3354" spans="1:13" x14ac:dyDescent="0.25">
      <c r="A3354" s="75">
        <f t="shared" si="52"/>
        <v>3353</v>
      </c>
      <c r="B3354" s="75" t="s">
        <v>5960</v>
      </c>
      <c r="C3354" s="75" t="s">
        <v>8396</v>
      </c>
      <c r="D3354" t="s">
        <v>8254</v>
      </c>
      <c r="F3354" t="s">
        <v>8215</v>
      </c>
      <c r="G3354" s="75" t="s">
        <v>24</v>
      </c>
      <c r="H3354" s="75" t="str">
        <f>IFERROR(VLOOKUP(Table2[[#This Row],[Ticket]],Okey!A:B,2,0),"")</f>
        <v>ok</v>
      </c>
      <c r="I3354" s="75" t="s">
        <v>8318</v>
      </c>
      <c r="J3354" t="str">
        <f>VLOOKUP(Table2[[#This Row],[Author]],People!A:B,2,0)</f>
        <v>LS</v>
      </c>
      <c r="K3354" s="75"/>
      <c r="L3354" s="76"/>
      <c r="M3354" s="76" t="s">
        <v>8165</v>
      </c>
    </row>
    <row r="3355" spans="1:13" x14ac:dyDescent="0.25">
      <c r="A3355" s="75">
        <f t="shared" si="52"/>
        <v>3354</v>
      </c>
      <c r="B3355" s="75" t="s">
        <v>5960</v>
      </c>
      <c r="C3355" s="75" t="s">
        <v>8396</v>
      </c>
      <c r="D3355" t="s">
        <v>1252</v>
      </c>
      <c r="F3355" t="s">
        <v>1249</v>
      </c>
      <c r="G3355" s="75" t="s">
        <v>24</v>
      </c>
      <c r="H3355" s="75" t="str">
        <f>IFERROR(VLOOKUP(Table2[[#This Row],[Ticket]],Okey!A:B,2,0),"")</f>
        <v>ok</v>
      </c>
      <c r="I3355" s="75" t="s">
        <v>8318</v>
      </c>
      <c r="J3355" t="str">
        <f>VLOOKUP(Table2[[#This Row],[Author]],People!A:B,2,0)</f>
        <v>LS</v>
      </c>
      <c r="K3355" s="75"/>
      <c r="L3355" s="76"/>
      <c r="M3355" s="76" t="s">
        <v>8165</v>
      </c>
    </row>
    <row r="3356" spans="1:13" x14ac:dyDescent="0.25">
      <c r="A3356" s="75">
        <f t="shared" si="52"/>
        <v>3355</v>
      </c>
      <c r="B3356" s="75" t="s">
        <v>5960</v>
      </c>
      <c r="C3356" s="75" t="s">
        <v>8396</v>
      </c>
      <c r="D3356" t="s">
        <v>8256</v>
      </c>
      <c r="F3356" t="s">
        <v>2490</v>
      </c>
      <c r="G3356" s="75" t="s">
        <v>24</v>
      </c>
      <c r="H3356" s="75" t="str">
        <f>IFERROR(VLOOKUP(Table2[[#This Row],[Ticket]],Okey!A:B,2,0),"")</f>
        <v>ok</v>
      </c>
      <c r="I3356" s="75" t="s">
        <v>8318</v>
      </c>
      <c r="J3356" t="str">
        <f>VLOOKUP(Table2[[#This Row],[Author]],People!A:B,2,0)</f>
        <v>LS</v>
      </c>
      <c r="K3356" s="75"/>
      <c r="L3356" s="76"/>
      <c r="M3356" s="76" t="s">
        <v>8165</v>
      </c>
    </row>
    <row r="3357" spans="1:13" x14ac:dyDescent="0.25">
      <c r="A3357" s="75">
        <f t="shared" si="52"/>
        <v>3356</v>
      </c>
      <c r="B3357" s="75" t="s">
        <v>5960</v>
      </c>
      <c r="C3357" s="75" t="s">
        <v>8396</v>
      </c>
      <c r="D3357" t="s">
        <v>8257</v>
      </c>
      <c r="F3357" t="s">
        <v>2490</v>
      </c>
      <c r="G3357" s="75" t="s">
        <v>24</v>
      </c>
      <c r="H3357" s="75" t="str">
        <f>IFERROR(VLOOKUP(Table2[[#This Row],[Ticket]],Okey!A:B,2,0),"")</f>
        <v>ok</v>
      </c>
      <c r="I3357" s="75" t="s">
        <v>8318</v>
      </c>
      <c r="J3357" t="str">
        <f>VLOOKUP(Table2[[#This Row],[Author]],People!A:B,2,0)</f>
        <v>LS</v>
      </c>
      <c r="K3357" s="75"/>
      <c r="L3357" s="76"/>
      <c r="M3357" s="76" t="s">
        <v>8165</v>
      </c>
    </row>
    <row r="3358" spans="1:13" x14ac:dyDescent="0.25">
      <c r="A3358" s="75">
        <f t="shared" si="52"/>
        <v>3357</v>
      </c>
      <c r="B3358" s="75" t="s">
        <v>5960</v>
      </c>
      <c r="C3358" s="75" t="s">
        <v>8396</v>
      </c>
      <c r="D3358" t="s">
        <v>8258</v>
      </c>
      <c r="F3358" t="s">
        <v>2490</v>
      </c>
      <c r="G3358" s="75" t="s">
        <v>24</v>
      </c>
      <c r="H3358" s="75" t="str">
        <f>IFERROR(VLOOKUP(Table2[[#This Row],[Ticket]],Okey!A:B,2,0),"")</f>
        <v>ok</v>
      </c>
      <c r="I3358" s="75" t="s">
        <v>8318</v>
      </c>
      <c r="J3358" t="str">
        <f>VLOOKUP(Table2[[#This Row],[Author]],People!A:B,2,0)</f>
        <v>LS</v>
      </c>
      <c r="K3358" s="75"/>
      <c r="L3358" s="76"/>
      <c r="M3358" s="76" t="s">
        <v>8165</v>
      </c>
    </row>
    <row r="3359" spans="1:13" x14ac:dyDescent="0.25">
      <c r="A3359" s="75">
        <f t="shared" si="52"/>
        <v>3358</v>
      </c>
      <c r="B3359" s="75" t="s">
        <v>5960</v>
      </c>
      <c r="C3359" s="75" t="s">
        <v>8396</v>
      </c>
      <c r="D3359" t="s">
        <v>8259</v>
      </c>
      <c r="F3359" t="s">
        <v>2490</v>
      </c>
      <c r="G3359" s="75" t="s">
        <v>24</v>
      </c>
      <c r="H3359" s="75" t="str">
        <f>IFERROR(VLOOKUP(Table2[[#This Row],[Ticket]],Okey!A:B,2,0),"")</f>
        <v>ok</v>
      </c>
      <c r="I3359" s="75" t="s">
        <v>8318</v>
      </c>
      <c r="J3359" t="str">
        <f>VLOOKUP(Table2[[#This Row],[Author]],People!A:B,2,0)</f>
        <v>LS</v>
      </c>
      <c r="K3359" s="75"/>
      <c r="L3359" s="76"/>
      <c r="M3359" s="76" t="s">
        <v>8165</v>
      </c>
    </row>
    <row r="3360" spans="1:13" x14ac:dyDescent="0.25">
      <c r="A3360" s="75">
        <f t="shared" si="52"/>
        <v>3359</v>
      </c>
      <c r="B3360" s="75" t="s">
        <v>5960</v>
      </c>
      <c r="C3360" s="75" t="s">
        <v>8396</v>
      </c>
      <c r="D3360" t="s">
        <v>8260</v>
      </c>
      <c r="F3360" t="s">
        <v>2490</v>
      </c>
      <c r="G3360" s="75" t="s">
        <v>24</v>
      </c>
      <c r="H3360" s="75" t="str">
        <f>IFERROR(VLOOKUP(Table2[[#This Row],[Ticket]],Okey!A:B,2,0),"")</f>
        <v>ok</v>
      </c>
      <c r="I3360" s="75" t="s">
        <v>8318</v>
      </c>
      <c r="J3360" t="str">
        <f>VLOOKUP(Table2[[#This Row],[Author]],People!A:B,2,0)</f>
        <v>LS</v>
      </c>
      <c r="K3360" s="75"/>
      <c r="L3360" s="76"/>
      <c r="M3360" s="76" t="s">
        <v>8165</v>
      </c>
    </row>
    <row r="3361" spans="1:13" x14ac:dyDescent="0.25">
      <c r="A3361" s="75">
        <f t="shared" si="52"/>
        <v>3360</v>
      </c>
      <c r="B3361" s="75" t="s">
        <v>5960</v>
      </c>
      <c r="C3361" s="75" t="s">
        <v>8396</v>
      </c>
      <c r="D3361" t="s">
        <v>8261</v>
      </c>
      <c r="F3361" t="s">
        <v>2490</v>
      </c>
      <c r="G3361" s="75" t="s">
        <v>24</v>
      </c>
      <c r="H3361" s="75" t="str">
        <f>IFERROR(VLOOKUP(Table2[[#This Row],[Ticket]],Okey!A:B,2,0),"")</f>
        <v>ok</v>
      </c>
      <c r="I3361" s="75" t="s">
        <v>8318</v>
      </c>
      <c r="J3361" t="str">
        <f>VLOOKUP(Table2[[#This Row],[Author]],People!A:B,2,0)</f>
        <v>LS</v>
      </c>
      <c r="K3361" s="75"/>
      <c r="L3361" s="76"/>
      <c r="M3361" s="76" t="s">
        <v>8165</v>
      </c>
    </row>
    <row r="3362" spans="1:13" x14ac:dyDescent="0.25">
      <c r="A3362" s="75">
        <f t="shared" si="52"/>
        <v>3361</v>
      </c>
      <c r="B3362" s="75" t="s">
        <v>5960</v>
      </c>
      <c r="C3362" s="75" t="s">
        <v>8396</v>
      </c>
      <c r="D3362" t="s">
        <v>8262</v>
      </c>
      <c r="F3362" t="s">
        <v>2490</v>
      </c>
      <c r="G3362" s="75" t="s">
        <v>24</v>
      </c>
      <c r="H3362" s="75" t="str">
        <f>IFERROR(VLOOKUP(Table2[[#This Row],[Ticket]],Okey!A:B,2,0),"")</f>
        <v>ok</v>
      </c>
      <c r="I3362" s="75" t="s">
        <v>8318</v>
      </c>
      <c r="J3362" t="str">
        <f>VLOOKUP(Table2[[#This Row],[Author]],People!A:B,2,0)</f>
        <v>LS</v>
      </c>
      <c r="K3362" s="75"/>
      <c r="L3362" s="76"/>
      <c r="M3362" s="76" t="s">
        <v>8165</v>
      </c>
    </row>
    <row r="3363" spans="1:13" x14ac:dyDescent="0.25">
      <c r="A3363" s="75">
        <f t="shared" si="52"/>
        <v>3362</v>
      </c>
      <c r="B3363" s="75" t="s">
        <v>5960</v>
      </c>
      <c r="C3363" s="75" t="s">
        <v>8396</v>
      </c>
      <c r="D3363" t="s">
        <v>8263</v>
      </c>
      <c r="F3363" t="s">
        <v>2490</v>
      </c>
      <c r="G3363" s="75" t="s">
        <v>24</v>
      </c>
      <c r="H3363" s="75" t="str">
        <f>IFERROR(VLOOKUP(Table2[[#This Row],[Ticket]],Okey!A:B,2,0),"")</f>
        <v>ok</v>
      </c>
      <c r="I3363" s="75" t="s">
        <v>8318</v>
      </c>
      <c r="J3363" t="str">
        <f>VLOOKUP(Table2[[#This Row],[Author]],People!A:B,2,0)</f>
        <v>LS</v>
      </c>
      <c r="K3363" s="75"/>
      <c r="L3363" s="76"/>
      <c r="M3363" s="76" t="s">
        <v>8165</v>
      </c>
    </row>
    <row r="3364" spans="1:13" x14ac:dyDescent="0.25">
      <c r="A3364" s="75">
        <f t="shared" si="52"/>
        <v>3363</v>
      </c>
      <c r="B3364" s="75" t="s">
        <v>5960</v>
      </c>
      <c r="C3364" s="75" t="s">
        <v>8396</v>
      </c>
      <c r="D3364" t="s">
        <v>8264</v>
      </c>
      <c r="F3364" t="s">
        <v>2490</v>
      </c>
      <c r="G3364" s="75" t="s">
        <v>24</v>
      </c>
      <c r="H3364" s="75" t="str">
        <f>IFERROR(VLOOKUP(Table2[[#This Row],[Ticket]],Okey!A:B,2,0),"")</f>
        <v>ok</v>
      </c>
      <c r="I3364" s="75" t="s">
        <v>8318</v>
      </c>
      <c r="J3364" t="str">
        <f>VLOOKUP(Table2[[#This Row],[Author]],People!A:B,2,0)</f>
        <v>LS</v>
      </c>
      <c r="K3364" s="75"/>
      <c r="L3364" s="76"/>
      <c r="M3364" s="76" t="s">
        <v>8165</v>
      </c>
    </row>
    <row r="3365" spans="1:13" x14ac:dyDescent="0.25">
      <c r="A3365" s="75">
        <f t="shared" si="52"/>
        <v>3364</v>
      </c>
      <c r="B3365" s="75" t="s">
        <v>5960</v>
      </c>
      <c r="C3365" s="75" t="s">
        <v>8396</v>
      </c>
      <c r="D3365" t="s">
        <v>8265</v>
      </c>
      <c r="F3365" t="s">
        <v>2490</v>
      </c>
      <c r="G3365" s="75" t="s">
        <v>24</v>
      </c>
      <c r="H3365" s="75" t="str">
        <f>IFERROR(VLOOKUP(Table2[[#This Row],[Ticket]],Okey!A:B,2,0),"")</f>
        <v>ok</v>
      </c>
      <c r="I3365" s="75" t="s">
        <v>8318</v>
      </c>
      <c r="J3365" t="str">
        <f>VLOOKUP(Table2[[#This Row],[Author]],People!A:B,2,0)</f>
        <v>LS</v>
      </c>
      <c r="K3365" s="75"/>
      <c r="L3365" s="76"/>
      <c r="M3365" s="76" t="s">
        <v>8165</v>
      </c>
    </row>
    <row r="3366" spans="1:13" x14ac:dyDescent="0.25">
      <c r="A3366" s="75">
        <f t="shared" si="52"/>
        <v>3365</v>
      </c>
      <c r="B3366" s="75" t="s">
        <v>5960</v>
      </c>
      <c r="C3366" s="75" t="s">
        <v>8396</v>
      </c>
      <c r="D3366" t="s">
        <v>8266</v>
      </c>
      <c r="F3366" t="s">
        <v>2490</v>
      </c>
      <c r="G3366" s="75" t="s">
        <v>24</v>
      </c>
      <c r="H3366" s="75" t="str">
        <f>IFERROR(VLOOKUP(Table2[[#This Row],[Ticket]],Okey!A:B,2,0),"")</f>
        <v>ok</v>
      </c>
      <c r="I3366" s="75" t="s">
        <v>8318</v>
      </c>
      <c r="J3366" t="str">
        <f>VLOOKUP(Table2[[#This Row],[Author]],People!A:B,2,0)</f>
        <v>LS</v>
      </c>
      <c r="K3366" s="75"/>
      <c r="L3366" s="76"/>
      <c r="M3366" s="76" t="s">
        <v>8165</v>
      </c>
    </row>
    <row r="3367" spans="1:13" x14ac:dyDescent="0.25">
      <c r="A3367" s="75">
        <f t="shared" si="52"/>
        <v>3366</v>
      </c>
      <c r="B3367" s="75" t="s">
        <v>5960</v>
      </c>
      <c r="C3367" s="75" t="s">
        <v>8396</v>
      </c>
      <c r="D3367" t="s">
        <v>8267</v>
      </c>
      <c r="F3367" t="s">
        <v>2490</v>
      </c>
      <c r="G3367" s="75" t="s">
        <v>24</v>
      </c>
      <c r="H3367" s="75" t="str">
        <f>IFERROR(VLOOKUP(Table2[[#This Row],[Ticket]],Okey!A:B,2,0),"")</f>
        <v>ok</v>
      </c>
      <c r="I3367" s="75" t="s">
        <v>8318</v>
      </c>
      <c r="J3367" t="str">
        <f>VLOOKUP(Table2[[#This Row],[Author]],People!A:B,2,0)</f>
        <v>LS</v>
      </c>
      <c r="K3367" s="75"/>
      <c r="L3367" s="76"/>
      <c r="M3367" s="76" t="s">
        <v>8165</v>
      </c>
    </row>
    <row r="3368" spans="1:13" x14ac:dyDescent="0.25">
      <c r="A3368" s="75">
        <f t="shared" si="52"/>
        <v>3367</v>
      </c>
      <c r="B3368" s="75" t="s">
        <v>5960</v>
      </c>
      <c r="C3368" s="75" t="s">
        <v>8396</v>
      </c>
      <c r="D3368" t="s">
        <v>8268</v>
      </c>
      <c r="F3368" t="s">
        <v>2490</v>
      </c>
      <c r="G3368" s="75" t="s">
        <v>24</v>
      </c>
      <c r="H3368" s="75" t="str">
        <f>IFERROR(VLOOKUP(Table2[[#This Row],[Ticket]],Okey!A:B,2,0),"")</f>
        <v>ok</v>
      </c>
      <c r="I3368" s="75" t="s">
        <v>8318</v>
      </c>
      <c r="J3368" t="str">
        <f>VLOOKUP(Table2[[#This Row],[Author]],People!A:B,2,0)</f>
        <v>LS</v>
      </c>
      <c r="K3368" s="75"/>
      <c r="L3368" s="76"/>
      <c r="M3368" s="76" t="s">
        <v>8165</v>
      </c>
    </row>
    <row r="3369" spans="1:13" x14ac:dyDescent="0.25">
      <c r="A3369" s="75">
        <f t="shared" si="52"/>
        <v>3368</v>
      </c>
      <c r="B3369" s="75" t="s">
        <v>5960</v>
      </c>
      <c r="C3369" s="75" t="s">
        <v>8396</v>
      </c>
      <c r="D3369" t="s">
        <v>8269</v>
      </c>
      <c r="F3369" t="s">
        <v>2490</v>
      </c>
      <c r="G3369" s="75" t="s">
        <v>24</v>
      </c>
      <c r="H3369" s="75" t="str">
        <f>IFERROR(VLOOKUP(Table2[[#This Row],[Ticket]],Okey!A:B,2,0),"")</f>
        <v>ok</v>
      </c>
      <c r="I3369" s="75" t="s">
        <v>8318</v>
      </c>
      <c r="J3369" t="str">
        <f>VLOOKUP(Table2[[#This Row],[Author]],People!A:B,2,0)</f>
        <v>LS</v>
      </c>
      <c r="K3369" s="75"/>
      <c r="L3369" s="76"/>
      <c r="M3369" s="76" t="s">
        <v>8165</v>
      </c>
    </row>
    <row r="3370" spans="1:13" x14ac:dyDescent="0.25">
      <c r="A3370" s="75">
        <f t="shared" si="52"/>
        <v>3369</v>
      </c>
      <c r="B3370" s="75" t="s">
        <v>5960</v>
      </c>
      <c r="C3370" s="75" t="s">
        <v>8396</v>
      </c>
      <c r="D3370" t="s">
        <v>6011</v>
      </c>
      <c r="F3370" t="s">
        <v>2504</v>
      </c>
      <c r="G3370" s="75" t="s">
        <v>24</v>
      </c>
      <c r="H3370" s="75" t="str">
        <f>IFERROR(VLOOKUP(Table2[[#This Row],[Ticket]],Okey!A:B,2,0),"")</f>
        <v>ok</v>
      </c>
      <c r="I3370" s="75" t="s">
        <v>8318</v>
      </c>
      <c r="J3370" t="str">
        <f>VLOOKUP(Table2[[#This Row],[Author]],People!A:B,2,0)</f>
        <v>LS</v>
      </c>
      <c r="K3370" s="75"/>
      <c r="L3370" s="76"/>
      <c r="M3370" s="76" t="s">
        <v>8165</v>
      </c>
    </row>
    <row r="3371" spans="1:13" x14ac:dyDescent="0.25">
      <c r="A3371" s="75">
        <f t="shared" si="52"/>
        <v>3370</v>
      </c>
      <c r="B3371" s="75" t="s">
        <v>5960</v>
      </c>
      <c r="C3371" s="75" t="s">
        <v>8396</v>
      </c>
      <c r="D3371" t="s">
        <v>8270</v>
      </c>
      <c r="F3371" t="s">
        <v>2515</v>
      </c>
      <c r="G3371" s="75" t="s">
        <v>24</v>
      </c>
      <c r="H3371" s="75" t="str">
        <f>IFERROR(VLOOKUP(Table2[[#This Row],[Ticket]],Okey!A:B,2,0),"")</f>
        <v>ok</v>
      </c>
      <c r="I3371" s="75" t="s">
        <v>8318</v>
      </c>
      <c r="J3371" t="str">
        <f>VLOOKUP(Table2[[#This Row],[Author]],People!A:B,2,0)</f>
        <v>LS</v>
      </c>
      <c r="K3371" s="75"/>
      <c r="L3371" s="76"/>
      <c r="M3371" s="76" t="s">
        <v>8165</v>
      </c>
    </row>
    <row r="3372" spans="1:13" x14ac:dyDescent="0.25">
      <c r="A3372" s="75">
        <f t="shared" si="52"/>
        <v>3371</v>
      </c>
      <c r="B3372" s="75" t="s">
        <v>5960</v>
      </c>
      <c r="C3372" s="75" t="s">
        <v>8396</v>
      </c>
      <c r="D3372" t="s">
        <v>8271</v>
      </c>
      <c r="F3372" t="s">
        <v>2515</v>
      </c>
      <c r="G3372" s="75" t="s">
        <v>24</v>
      </c>
      <c r="H3372" s="75" t="str">
        <f>IFERROR(VLOOKUP(Table2[[#This Row],[Ticket]],Okey!A:B,2,0),"")</f>
        <v>ok</v>
      </c>
      <c r="I3372" s="75" t="s">
        <v>8318</v>
      </c>
      <c r="J3372" t="str">
        <f>VLOOKUP(Table2[[#This Row],[Author]],People!A:B,2,0)</f>
        <v>LS</v>
      </c>
      <c r="K3372" s="75"/>
      <c r="L3372" s="76"/>
      <c r="M3372" s="76" t="s">
        <v>8165</v>
      </c>
    </row>
    <row r="3373" spans="1:13" x14ac:dyDescent="0.25">
      <c r="A3373" s="75">
        <f t="shared" si="52"/>
        <v>3372</v>
      </c>
      <c r="B3373" s="75" t="s">
        <v>5960</v>
      </c>
      <c r="C3373" s="75" t="s">
        <v>8396</v>
      </c>
      <c r="D3373" t="s">
        <v>8272</v>
      </c>
      <c r="F3373" t="s">
        <v>2515</v>
      </c>
      <c r="G3373" s="75" t="s">
        <v>24</v>
      </c>
      <c r="H3373" s="75" t="str">
        <f>IFERROR(VLOOKUP(Table2[[#This Row],[Ticket]],Okey!A:B,2,0),"")</f>
        <v>ok</v>
      </c>
      <c r="I3373" s="75" t="s">
        <v>8318</v>
      </c>
      <c r="J3373" t="str">
        <f>VLOOKUP(Table2[[#This Row],[Author]],People!A:B,2,0)</f>
        <v>LS</v>
      </c>
      <c r="K3373" s="75"/>
      <c r="L3373" s="76"/>
      <c r="M3373" s="76" t="s">
        <v>8165</v>
      </c>
    </row>
    <row r="3374" spans="1:13" x14ac:dyDescent="0.25">
      <c r="A3374" s="75">
        <f t="shared" si="52"/>
        <v>3373</v>
      </c>
      <c r="B3374" s="75" t="s">
        <v>5960</v>
      </c>
      <c r="C3374" s="75" t="s">
        <v>8396</v>
      </c>
      <c r="D3374" t="s">
        <v>1455</v>
      </c>
      <c r="F3374" t="s">
        <v>2515</v>
      </c>
      <c r="G3374" s="75" t="s">
        <v>24</v>
      </c>
      <c r="H3374" s="75" t="str">
        <f>IFERROR(VLOOKUP(Table2[[#This Row],[Ticket]],Okey!A:B,2,0),"")</f>
        <v>ok</v>
      </c>
      <c r="I3374" s="75" t="s">
        <v>8318</v>
      </c>
      <c r="J3374" t="str">
        <f>VLOOKUP(Table2[[#This Row],[Author]],People!A:B,2,0)</f>
        <v>LS</v>
      </c>
      <c r="K3374" s="75"/>
      <c r="L3374" s="76"/>
      <c r="M3374" s="76" t="s">
        <v>8165</v>
      </c>
    </row>
    <row r="3375" spans="1:13" x14ac:dyDescent="0.25">
      <c r="A3375" s="75">
        <f t="shared" si="52"/>
        <v>3374</v>
      </c>
      <c r="B3375" s="75" t="s">
        <v>5960</v>
      </c>
      <c r="C3375" s="75" t="s">
        <v>8396</v>
      </c>
      <c r="D3375" t="s">
        <v>8273</v>
      </c>
      <c r="F3375" t="s">
        <v>2515</v>
      </c>
      <c r="G3375" s="75" t="s">
        <v>24</v>
      </c>
      <c r="H3375" s="75" t="str">
        <f>IFERROR(VLOOKUP(Table2[[#This Row],[Ticket]],Okey!A:B,2,0),"")</f>
        <v>ok</v>
      </c>
      <c r="I3375" s="75" t="s">
        <v>8318</v>
      </c>
      <c r="J3375" t="str">
        <f>VLOOKUP(Table2[[#This Row],[Author]],People!A:B,2,0)</f>
        <v>LS</v>
      </c>
      <c r="K3375" s="75"/>
      <c r="L3375" s="76"/>
      <c r="M3375" s="76" t="s">
        <v>8165</v>
      </c>
    </row>
    <row r="3376" spans="1:13" x14ac:dyDescent="0.25">
      <c r="A3376" s="75">
        <f t="shared" si="52"/>
        <v>3375</v>
      </c>
      <c r="B3376" s="75" t="s">
        <v>5960</v>
      </c>
      <c r="C3376" s="75" t="s">
        <v>8396</v>
      </c>
      <c r="D3376" t="s">
        <v>8274</v>
      </c>
      <c r="F3376" t="s">
        <v>2515</v>
      </c>
      <c r="G3376" s="75" t="s">
        <v>24</v>
      </c>
      <c r="H3376" s="75" t="str">
        <f>IFERROR(VLOOKUP(Table2[[#This Row],[Ticket]],Okey!A:B,2,0),"")</f>
        <v>ok</v>
      </c>
      <c r="I3376" s="75" t="s">
        <v>8318</v>
      </c>
      <c r="J3376" t="str">
        <f>VLOOKUP(Table2[[#This Row],[Author]],People!A:B,2,0)</f>
        <v>LS</v>
      </c>
      <c r="K3376" s="75"/>
      <c r="L3376" s="76"/>
      <c r="M3376" s="76" t="s">
        <v>8165</v>
      </c>
    </row>
    <row r="3377" spans="1:13" x14ac:dyDescent="0.25">
      <c r="A3377" s="75">
        <f t="shared" si="52"/>
        <v>3376</v>
      </c>
      <c r="B3377" s="75" t="s">
        <v>5960</v>
      </c>
      <c r="C3377" s="75" t="s">
        <v>8396</v>
      </c>
      <c r="D3377" t="s">
        <v>1458</v>
      </c>
      <c r="F3377" t="s">
        <v>2515</v>
      </c>
      <c r="G3377" s="75" t="s">
        <v>24</v>
      </c>
      <c r="H3377" s="75" t="str">
        <f>IFERROR(VLOOKUP(Table2[[#This Row],[Ticket]],Okey!A:B,2,0),"")</f>
        <v>ok</v>
      </c>
      <c r="I3377" s="75" t="s">
        <v>8318</v>
      </c>
      <c r="J3377" t="str">
        <f>VLOOKUP(Table2[[#This Row],[Author]],People!A:B,2,0)</f>
        <v>LS</v>
      </c>
      <c r="K3377" s="75"/>
      <c r="L3377" s="76"/>
      <c r="M3377" s="76" t="s">
        <v>8165</v>
      </c>
    </row>
    <row r="3378" spans="1:13" x14ac:dyDescent="0.25">
      <c r="A3378" s="75">
        <f t="shared" si="52"/>
        <v>3377</v>
      </c>
      <c r="B3378" s="75" t="s">
        <v>5960</v>
      </c>
      <c r="C3378" s="75" t="s">
        <v>8396</v>
      </c>
      <c r="D3378" t="s">
        <v>8275</v>
      </c>
      <c r="F3378" t="s">
        <v>2515</v>
      </c>
      <c r="G3378" s="75" t="s">
        <v>24</v>
      </c>
      <c r="H3378" s="75" t="str">
        <f>IFERROR(VLOOKUP(Table2[[#This Row],[Ticket]],Okey!A:B,2,0),"")</f>
        <v>ok</v>
      </c>
      <c r="I3378" s="75" t="s">
        <v>8318</v>
      </c>
      <c r="J3378" t="str">
        <f>VLOOKUP(Table2[[#This Row],[Author]],People!A:B,2,0)</f>
        <v>LS</v>
      </c>
      <c r="K3378" s="75"/>
      <c r="L3378" s="76"/>
      <c r="M3378" s="76" t="s">
        <v>8165</v>
      </c>
    </row>
    <row r="3379" spans="1:13" x14ac:dyDescent="0.25">
      <c r="A3379" s="75">
        <f t="shared" si="52"/>
        <v>3378</v>
      </c>
      <c r="B3379" s="75" t="s">
        <v>5960</v>
      </c>
      <c r="C3379" s="75" t="s">
        <v>8396</v>
      </c>
      <c r="D3379" t="s">
        <v>1461</v>
      </c>
      <c r="F3379" t="s">
        <v>2515</v>
      </c>
      <c r="G3379" s="75" t="s">
        <v>24</v>
      </c>
      <c r="H3379" s="75" t="str">
        <f>IFERROR(VLOOKUP(Table2[[#This Row],[Ticket]],Okey!A:B,2,0),"")</f>
        <v>ok</v>
      </c>
      <c r="I3379" s="75" t="s">
        <v>8318</v>
      </c>
      <c r="J3379" t="str">
        <f>VLOOKUP(Table2[[#This Row],[Author]],People!A:B,2,0)</f>
        <v>LS</v>
      </c>
      <c r="K3379" s="75"/>
      <c r="L3379" s="76"/>
      <c r="M3379" s="76" t="s">
        <v>8165</v>
      </c>
    </row>
    <row r="3380" spans="1:13" x14ac:dyDescent="0.25">
      <c r="A3380" s="75">
        <f t="shared" si="52"/>
        <v>3379</v>
      </c>
      <c r="B3380" s="75" t="s">
        <v>5960</v>
      </c>
      <c r="C3380" s="75" t="s">
        <v>8396</v>
      </c>
      <c r="D3380" t="s">
        <v>8276</v>
      </c>
      <c r="F3380" t="s">
        <v>2515</v>
      </c>
      <c r="G3380" s="75" t="s">
        <v>24</v>
      </c>
      <c r="H3380" s="75" t="str">
        <f>IFERROR(VLOOKUP(Table2[[#This Row],[Ticket]],Okey!A:B,2,0),"")</f>
        <v>ok</v>
      </c>
      <c r="I3380" s="75" t="s">
        <v>8318</v>
      </c>
      <c r="J3380" t="str">
        <f>VLOOKUP(Table2[[#This Row],[Author]],People!A:B,2,0)</f>
        <v>LS</v>
      </c>
      <c r="K3380" s="75"/>
      <c r="L3380" s="76"/>
      <c r="M3380" s="76" t="s">
        <v>8165</v>
      </c>
    </row>
    <row r="3381" spans="1:13" x14ac:dyDescent="0.25">
      <c r="A3381" s="75">
        <f t="shared" si="52"/>
        <v>3380</v>
      </c>
      <c r="B3381" s="75" t="s">
        <v>5960</v>
      </c>
      <c r="C3381" s="75" t="s">
        <v>8396</v>
      </c>
      <c r="D3381" t="s">
        <v>8277</v>
      </c>
      <c r="F3381" t="s">
        <v>2515</v>
      </c>
      <c r="G3381" s="75" t="s">
        <v>24</v>
      </c>
      <c r="H3381" s="75" t="str">
        <f>IFERROR(VLOOKUP(Table2[[#This Row],[Ticket]],Okey!A:B,2,0),"")</f>
        <v>ok</v>
      </c>
      <c r="I3381" s="75" t="s">
        <v>8318</v>
      </c>
      <c r="J3381" t="str">
        <f>VLOOKUP(Table2[[#This Row],[Author]],People!A:B,2,0)</f>
        <v>LS</v>
      </c>
      <c r="K3381" s="75"/>
      <c r="L3381" s="76"/>
      <c r="M3381" s="76" t="s">
        <v>8165</v>
      </c>
    </row>
    <row r="3382" spans="1:13" x14ac:dyDescent="0.25">
      <c r="A3382" s="75">
        <f t="shared" si="52"/>
        <v>3381</v>
      </c>
      <c r="B3382" s="75" t="s">
        <v>5960</v>
      </c>
      <c r="C3382" s="75" t="s">
        <v>8396</v>
      </c>
      <c r="D3382" t="s">
        <v>8278</v>
      </c>
      <c r="F3382" t="s">
        <v>2515</v>
      </c>
      <c r="G3382" s="75" t="s">
        <v>24</v>
      </c>
      <c r="H3382" s="75" t="str">
        <f>IFERROR(VLOOKUP(Table2[[#This Row],[Ticket]],Okey!A:B,2,0),"")</f>
        <v>ok</v>
      </c>
      <c r="I3382" s="75" t="s">
        <v>8318</v>
      </c>
      <c r="J3382" t="str">
        <f>VLOOKUP(Table2[[#This Row],[Author]],People!A:B,2,0)</f>
        <v>LS</v>
      </c>
      <c r="K3382" s="75"/>
      <c r="L3382" s="76"/>
      <c r="M3382" s="76" t="s">
        <v>8165</v>
      </c>
    </row>
    <row r="3383" spans="1:13" x14ac:dyDescent="0.25">
      <c r="A3383" s="75">
        <f t="shared" si="52"/>
        <v>3382</v>
      </c>
      <c r="B3383" s="75" t="s">
        <v>5960</v>
      </c>
      <c r="C3383" s="75" t="s">
        <v>8396</v>
      </c>
      <c r="D3383" t="s">
        <v>8279</v>
      </c>
      <c r="F3383" t="s">
        <v>2515</v>
      </c>
      <c r="G3383" s="75" t="s">
        <v>24</v>
      </c>
      <c r="H3383" s="75" t="str">
        <f>IFERROR(VLOOKUP(Table2[[#This Row],[Ticket]],Okey!A:B,2,0),"")</f>
        <v>ok</v>
      </c>
      <c r="I3383" s="75" t="s">
        <v>8318</v>
      </c>
      <c r="J3383" t="str">
        <f>VLOOKUP(Table2[[#This Row],[Author]],People!A:B,2,0)</f>
        <v>LS</v>
      </c>
      <c r="K3383" s="75"/>
      <c r="L3383" s="76"/>
      <c r="M3383" s="76" t="s">
        <v>8165</v>
      </c>
    </row>
    <row r="3384" spans="1:13" x14ac:dyDescent="0.25">
      <c r="A3384" s="75">
        <f t="shared" si="52"/>
        <v>3383</v>
      </c>
      <c r="B3384" s="75" t="s">
        <v>5960</v>
      </c>
      <c r="C3384" s="75" t="s">
        <v>8396</v>
      </c>
      <c r="D3384" t="s">
        <v>8280</v>
      </c>
      <c r="F3384" t="s">
        <v>2515</v>
      </c>
      <c r="G3384" s="75" t="s">
        <v>24</v>
      </c>
      <c r="H3384" s="75" t="str">
        <f>IFERROR(VLOOKUP(Table2[[#This Row],[Ticket]],Okey!A:B,2,0),"")</f>
        <v>ok</v>
      </c>
      <c r="I3384" s="75" t="s">
        <v>8318</v>
      </c>
      <c r="J3384" t="str">
        <f>VLOOKUP(Table2[[#This Row],[Author]],People!A:B,2,0)</f>
        <v>LS</v>
      </c>
      <c r="K3384" s="75"/>
      <c r="L3384" s="76"/>
      <c r="M3384" s="76" t="s">
        <v>8165</v>
      </c>
    </row>
    <row r="3385" spans="1:13" x14ac:dyDescent="0.25">
      <c r="A3385" s="75">
        <f t="shared" si="52"/>
        <v>3384</v>
      </c>
      <c r="B3385" s="75" t="s">
        <v>5960</v>
      </c>
      <c r="C3385" s="75" t="s">
        <v>8396</v>
      </c>
      <c r="D3385" t="s">
        <v>8281</v>
      </c>
      <c r="F3385" t="s">
        <v>2515</v>
      </c>
      <c r="G3385" s="75" t="s">
        <v>24</v>
      </c>
      <c r="H3385" s="75" t="str">
        <f>IFERROR(VLOOKUP(Table2[[#This Row],[Ticket]],Okey!A:B,2,0),"")</f>
        <v>ok</v>
      </c>
      <c r="I3385" s="75" t="s">
        <v>8318</v>
      </c>
      <c r="J3385" t="str">
        <f>VLOOKUP(Table2[[#This Row],[Author]],People!A:B,2,0)</f>
        <v>LS</v>
      </c>
      <c r="K3385" s="75"/>
      <c r="L3385" s="76"/>
      <c r="M3385" s="76" t="s">
        <v>8165</v>
      </c>
    </row>
    <row r="3386" spans="1:13" x14ac:dyDescent="0.25">
      <c r="A3386" s="75">
        <f t="shared" si="52"/>
        <v>3385</v>
      </c>
      <c r="B3386" s="75" t="s">
        <v>5960</v>
      </c>
      <c r="C3386" s="75" t="s">
        <v>8396</v>
      </c>
      <c r="D3386" t="s">
        <v>6197</v>
      </c>
      <c r="F3386" t="s">
        <v>2509</v>
      </c>
      <c r="G3386" s="75" t="s">
        <v>24</v>
      </c>
      <c r="H3386" s="75" t="str">
        <f>IFERROR(VLOOKUP(Table2[[#This Row],[Ticket]],Okey!A:B,2,0),"")</f>
        <v>ok</v>
      </c>
      <c r="I3386" s="75" t="s">
        <v>8318</v>
      </c>
      <c r="J3386" t="str">
        <f>VLOOKUP(Table2[[#This Row],[Author]],People!A:B,2,0)</f>
        <v>LS</v>
      </c>
      <c r="K3386" s="75"/>
      <c r="L3386" s="76"/>
      <c r="M3386" s="76" t="s">
        <v>8165</v>
      </c>
    </row>
    <row r="3387" spans="1:13" x14ac:dyDescent="0.25">
      <c r="A3387" s="75">
        <f t="shared" si="52"/>
        <v>3386</v>
      </c>
      <c r="B3387" s="75" t="s">
        <v>5960</v>
      </c>
      <c r="C3387" s="75" t="s">
        <v>8394</v>
      </c>
      <c r="D3387" s="75" t="s">
        <v>8397</v>
      </c>
      <c r="E3387" t="s">
        <v>8387</v>
      </c>
      <c r="F3387" t="s">
        <v>6842</v>
      </c>
      <c r="G3387" t="s">
        <v>18</v>
      </c>
      <c r="H3387" s="75" t="str">
        <f>IFERROR(VLOOKUP(Table2[[#This Row],[Ticket]],Okey!A:B,2,0),"")</f>
        <v>ok</v>
      </c>
      <c r="I3387" s="75" t="s">
        <v>8318</v>
      </c>
      <c r="J3387" t="str">
        <f>VLOOKUP(Table2[[#This Row],[Author]],People!A:B,2,0)</f>
        <v>EL</v>
      </c>
      <c r="K3387" s="75"/>
      <c r="L3387" s="76"/>
      <c r="M3387" s="76" t="s">
        <v>1752</v>
      </c>
    </row>
    <row r="3388" spans="1:13" x14ac:dyDescent="0.25">
      <c r="A3388" s="75">
        <f t="shared" si="52"/>
        <v>3387</v>
      </c>
      <c r="B3388" s="75" t="s">
        <v>5960</v>
      </c>
      <c r="C3388" s="75" t="s">
        <v>8394</v>
      </c>
      <c r="D3388" s="75" t="s">
        <v>8398</v>
      </c>
      <c r="E3388" t="s">
        <v>8388</v>
      </c>
      <c r="F3388" t="s">
        <v>8389</v>
      </c>
      <c r="G3388" t="s">
        <v>18</v>
      </c>
      <c r="H3388" s="75" t="str">
        <f>IFERROR(VLOOKUP(Table2[[#This Row],[Ticket]],Okey!A:B,2,0),"")</f>
        <v>ok</v>
      </c>
      <c r="I3388" s="75" t="s">
        <v>8318</v>
      </c>
      <c r="J3388" t="str">
        <f>VLOOKUP(Table2[[#This Row],[Author]],People!A:B,2,0)</f>
        <v>EL</v>
      </c>
      <c r="K3388" s="75"/>
      <c r="L3388" s="76"/>
      <c r="M3388" s="76" t="s">
        <v>1752</v>
      </c>
    </row>
    <row r="3389" spans="1:13" x14ac:dyDescent="0.25">
      <c r="A3389" s="75">
        <f t="shared" si="52"/>
        <v>3388</v>
      </c>
      <c r="B3389" s="75" t="s">
        <v>5960</v>
      </c>
      <c r="C3389" s="75" t="s">
        <v>8394</v>
      </c>
      <c r="D3389" t="s">
        <v>6994</v>
      </c>
      <c r="F3389" t="s">
        <v>8049</v>
      </c>
      <c r="G3389" t="s">
        <v>24</v>
      </c>
      <c r="H3389" s="75" t="str">
        <f>IFERROR(VLOOKUP(Table2[[#This Row],[Ticket]],Okey!A:B,2,0),"")</f>
        <v>ok</v>
      </c>
      <c r="I3389" s="75" t="s">
        <v>8318</v>
      </c>
      <c r="J3389" t="str">
        <f>VLOOKUP(Table2[[#This Row],[Author]],People!A:B,2,0)</f>
        <v>EL</v>
      </c>
      <c r="K3389" s="75"/>
      <c r="L3389" s="76"/>
      <c r="M3389" s="76" t="s">
        <v>1752</v>
      </c>
    </row>
    <row r="3390" spans="1:13" x14ac:dyDescent="0.25">
      <c r="A3390" s="75">
        <f t="shared" si="52"/>
        <v>3389</v>
      </c>
      <c r="B3390" s="75" t="s">
        <v>5960</v>
      </c>
      <c r="C3390" s="75" t="s">
        <v>8394</v>
      </c>
      <c r="D3390" t="s">
        <v>2031</v>
      </c>
      <c r="F3390" t="s">
        <v>327</v>
      </c>
      <c r="G3390" t="s">
        <v>24</v>
      </c>
      <c r="H3390" s="75" t="str">
        <f>IFERROR(VLOOKUP(Table2[[#This Row],[Ticket]],Okey!A:B,2,0),"")</f>
        <v>ok</v>
      </c>
      <c r="I3390" s="75" t="s">
        <v>8318</v>
      </c>
      <c r="J3390" t="str">
        <f>VLOOKUP(Table2[[#This Row],[Author]],People!A:B,2,0)</f>
        <v>EL</v>
      </c>
      <c r="K3390" s="75"/>
      <c r="L3390" s="76"/>
      <c r="M3390" s="76" t="s">
        <v>1752</v>
      </c>
    </row>
    <row r="3391" spans="1:13" x14ac:dyDescent="0.25">
      <c r="A3391" s="75">
        <f t="shared" si="52"/>
        <v>3390</v>
      </c>
      <c r="B3391" s="75" t="s">
        <v>5960</v>
      </c>
      <c r="C3391" s="75" t="s">
        <v>8394</v>
      </c>
      <c r="D3391" t="s">
        <v>6942</v>
      </c>
      <c r="F3391" t="s">
        <v>327</v>
      </c>
      <c r="G3391" t="s">
        <v>24</v>
      </c>
      <c r="H3391" s="75" t="str">
        <f>IFERROR(VLOOKUP(Table2[[#This Row],[Ticket]],Okey!A:B,2,0),"")</f>
        <v>ok</v>
      </c>
      <c r="I3391" s="75" t="s">
        <v>8318</v>
      </c>
      <c r="J3391" t="str">
        <f>VLOOKUP(Table2[[#This Row],[Author]],People!A:B,2,0)</f>
        <v>EL</v>
      </c>
      <c r="K3391" s="75"/>
      <c r="L3391" s="76"/>
      <c r="M3391" s="76" t="s">
        <v>1752</v>
      </c>
    </row>
    <row r="3392" spans="1:13" x14ac:dyDescent="0.25">
      <c r="A3392" s="75">
        <f t="shared" si="52"/>
        <v>3391</v>
      </c>
      <c r="B3392" s="75" t="s">
        <v>5960</v>
      </c>
      <c r="C3392" s="75" t="s">
        <v>8394</v>
      </c>
      <c r="D3392" t="s">
        <v>6944</v>
      </c>
      <c r="F3392" t="s">
        <v>327</v>
      </c>
      <c r="G3392" t="s">
        <v>24</v>
      </c>
      <c r="H3392" s="75" t="str">
        <f>IFERROR(VLOOKUP(Table2[[#This Row],[Ticket]],Okey!A:B,2,0),"")</f>
        <v>ok</v>
      </c>
      <c r="I3392" s="75" t="s">
        <v>8318</v>
      </c>
      <c r="J3392" t="str">
        <f>VLOOKUP(Table2[[#This Row],[Author]],People!A:B,2,0)</f>
        <v>EL</v>
      </c>
      <c r="K3392" s="75"/>
      <c r="L3392" s="76"/>
      <c r="M3392" s="76" t="s">
        <v>1752</v>
      </c>
    </row>
    <row r="3393" spans="1:13" x14ac:dyDescent="0.25">
      <c r="A3393" s="75">
        <f t="shared" si="52"/>
        <v>3392</v>
      </c>
      <c r="B3393" s="75" t="s">
        <v>5960</v>
      </c>
      <c r="C3393" s="75" t="s">
        <v>8394</v>
      </c>
      <c r="D3393" t="s">
        <v>6946</v>
      </c>
      <c r="F3393" t="s">
        <v>327</v>
      </c>
      <c r="G3393" t="s">
        <v>24</v>
      </c>
      <c r="H3393" s="75" t="str">
        <f>IFERROR(VLOOKUP(Table2[[#This Row],[Ticket]],Okey!A:B,2,0),"")</f>
        <v>ok</v>
      </c>
      <c r="I3393" s="75" t="s">
        <v>8318</v>
      </c>
      <c r="J3393" t="str">
        <f>VLOOKUP(Table2[[#This Row],[Author]],People!A:B,2,0)</f>
        <v>EL</v>
      </c>
      <c r="K3393" s="75"/>
      <c r="L3393" s="76"/>
      <c r="M3393" s="76" t="s">
        <v>1752</v>
      </c>
    </row>
    <row r="3394" spans="1:13" x14ac:dyDescent="0.25">
      <c r="A3394" s="75">
        <f t="shared" si="52"/>
        <v>3393</v>
      </c>
      <c r="B3394" s="75" t="s">
        <v>5960</v>
      </c>
      <c r="C3394" s="75" t="s">
        <v>8394</v>
      </c>
      <c r="D3394" t="s">
        <v>6948</v>
      </c>
      <c r="F3394" t="s">
        <v>327</v>
      </c>
      <c r="G3394" t="s">
        <v>24</v>
      </c>
      <c r="H3394" s="75" t="str">
        <f>IFERROR(VLOOKUP(Table2[[#This Row],[Ticket]],Okey!A:B,2,0),"")</f>
        <v>ok</v>
      </c>
      <c r="I3394" s="75" t="s">
        <v>8318</v>
      </c>
      <c r="J3394" t="str">
        <f>VLOOKUP(Table2[[#This Row],[Author]],People!A:B,2,0)</f>
        <v>EL</v>
      </c>
      <c r="K3394" s="75"/>
      <c r="L3394" s="76"/>
      <c r="M3394" s="76" t="s">
        <v>1752</v>
      </c>
    </row>
    <row r="3395" spans="1:13" x14ac:dyDescent="0.25">
      <c r="A3395" s="75">
        <f t="shared" si="52"/>
        <v>3394</v>
      </c>
      <c r="B3395" s="75" t="s">
        <v>5960</v>
      </c>
      <c r="C3395" s="75" t="s">
        <v>8394</v>
      </c>
      <c r="D3395" t="s">
        <v>6950</v>
      </c>
      <c r="F3395" t="s">
        <v>327</v>
      </c>
      <c r="G3395" t="s">
        <v>24</v>
      </c>
      <c r="H3395" s="75" t="str">
        <f>IFERROR(VLOOKUP(Table2[[#This Row],[Ticket]],Okey!A:B,2,0),"")</f>
        <v>ok</v>
      </c>
      <c r="I3395" s="75" t="s">
        <v>8318</v>
      </c>
      <c r="J3395" t="str">
        <f>VLOOKUP(Table2[[#This Row],[Author]],People!A:B,2,0)</f>
        <v>EL</v>
      </c>
      <c r="K3395" s="75"/>
      <c r="L3395" s="76"/>
      <c r="M3395" s="76" t="s">
        <v>1752</v>
      </c>
    </row>
    <row r="3396" spans="1:13" x14ac:dyDescent="0.25">
      <c r="A3396" s="75">
        <f t="shared" si="52"/>
        <v>3395</v>
      </c>
      <c r="B3396" s="75" t="s">
        <v>5960</v>
      </c>
      <c r="C3396" s="75" t="s">
        <v>8394</v>
      </c>
      <c r="D3396" t="s">
        <v>2027</v>
      </c>
      <c r="F3396" t="s">
        <v>327</v>
      </c>
      <c r="G3396" t="s">
        <v>24</v>
      </c>
      <c r="H3396" s="75" t="str">
        <f>IFERROR(VLOOKUP(Table2[[#This Row],[Ticket]],Okey!A:B,2,0),"")</f>
        <v>ok</v>
      </c>
      <c r="I3396" s="75" t="s">
        <v>8318</v>
      </c>
      <c r="J3396" t="str">
        <f>VLOOKUP(Table2[[#This Row],[Author]],People!A:B,2,0)</f>
        <v>EL</v>
      </c>
      <c r="K3396" s="75"/>
      <c r="L3396" s="76"/>
      <c r="M3396" s="76" t="s">
        <v>1752</v>
      </c>
    </row>
    <row r="3397" spans="1:13" x14ac:dyDescent="0.25">
      <c r="A3397" s="75">
        <f t="shared" si="52"/>
        <v>3396</v>
      </c>
      <c r="B3397" s="75" t="s">
        <v>5960</v>
      </c>
      <c r="C3397" s="75" t="s">
        <v>8394</v>
      </c>
      <c r="D3397" t="s">
        <v>2029</v>
      </c>
      <c r="F3397" t="s">
        <v>327</v>
      </c>
      <c r="G3397" t="s">
        <v>24</v>
      </c>
      <c r="H3397" s="75" t="str">
        <f>IFERROR(VLOOKUP(Table2[[#This Row],[Ticket]],Okey!A:B,2,0),"")</f>
        <v>ok</v>
      </c>
      <c r="I3397" s="75" t="s">
        <v>8318</v>
      </c>
      <c r="J3397" t="str">
        <f>VLOOKUP(Table2[[#This Row],[Author]],People!A:B,2,0)</f>
        <v>EL</v>
      </c>
      <c r="K3397" s="75"/>
      <c r="L3397" s="76"/>
      <c r="M3397" s="76" t="s">
        <v>1752</v>
      </c>
    </row>
    <row r="3398" spans="1:13" x14ac:dyDescent="0.25">
      <c r="A3398" s="75">
        <f t="shared" si="52"/>
        <v>3397</v>
      </c>
      <c r="B3398" s="75" t="s">
        <v>5960</v>
      </c>
      <c r="C3398" s="75" t="s">
        <v>8394</v>
      </c>
      <c r="D3398" t="s">
        <v>6961</v>
      </c>
      <c r="F3398" t="s">
        <v>327</v>
      </c>
      <c r="G3398" t="s">
        <v>24</v>
      </c>
      <c r="H3398" s="75" t="str">
        <f>IFERROR(VLOOKUP(Table2[[#This Row],[Ticket]],Okey!A:B,2,0),"")</f>
        <v>ok</v>
      </c>
      <c r="I3398" s="75" t="s">
        <v>8318</v>
      </c>
      <c r="J3398" t="str">
        <f>VLOOKUP(Table2[[#This Row],[Author]],People!A:B,2,0)</f>
        <v>EL</v>
      </c>
      <c r="K3398" s="75"/>
      <c r="L3398" s="76"/>
      <c r="M3398" s="76" t="s">
        <v>1752</v>
      </c>
    </row>
    <row r="3399" spans="1:13" x14ac:dyDescent="0.25">
      <c r="A3399" s="75">
        <f t="shared" si="52"/>
        <v>3398</v>
      </c>
      <c r="B3399" s="75" t="s">
        <v>5960</v>
      </c>
      <c r="C3399" s="75" t="s">
        <v>8394</v>
      </c>
      <c r="D3399" t="s">
        <v>6963</v>
      </c>
      <c r="F3399" t="s">
        <v>327</v>
      </c>
      <c r="G3399" t="s">
        <v>24</v>
      </c>
      <c r="H3399" s="75" t="str">
        <f>IFERROR(VLOOKUP(Table2[[#This Row],[Ticket]],Okey!A:B,2,0),"")</f>
        <v>ok</v>
      </c>
      <c r="I3399" s="75" t="s">
        <v>8318</v>
      </c>
      <c r="J3399" t="str">
        <f>VLOOKUP(Table2[[#This Row],[Author]],People!A:B,2,0)</f>
        <v>EL</v>
      </c>
      <c r="K3399" s="75"/>
      <c r="L3399" s="76"/>
      <c r="M3399" s="76" t="s">
        <v>1752</v>
      </c>
    </row>
    <row r="3400" spans="1:13" x14ac:dyDescent="0.25">
      <c r="A3400" s="75">
        <f t="shared" si="52"/>
        <v>3399</v>
      </c>
      <c r="B3400" s="75" t="s">
        <v>5960</v>
      </c>
      <c r="C3400" s="75" t="s">
        <v>8394</v>
      </c>
      <c r="D3400" t="s">
        <v>6967</v>
      </c>
      <c r="F3400" t="s">
        <v>327</v>
      </c>
      <c r="G3400" t="s">
        <v>24</v>
      </c>
      <c r="H3400" s="75" t="str">
        <f>IFERROR(VLOOKUP(Table2[[#This Row],[Ticket]],Okey!A:B,2,0),"")</f>
        <v>ok</v>
      </c>
      <c r="I3400" s="75" t="s">
        <v>8318</v>
      </c>
      <c r="J3400" t="str">
        <f>VLOOKUP(Table2[[#This Row],[Author]],People!A:B,2,0)</f>
        <v>EL</v>
      </c>
      <c r="K3400" s="75"/>
      <c r="L3400" s="76"/>
      <c r="M3400" s="76" t="s">
        <v>1752</v>
      </c>
    </row>
    <row r="3401" spans="1:13" x14ac:dyDescent="0.25">
      <c r="A3401" s="75">
        <f t="shared" ref="A3401:A3410" si="53">1+A3400</f>
        <v>3400</v>
      </c>
      <c r="B3401" s="75" t="s">
        <v>5960</v>
      </c>
      <c r="C3401" s="75" t="s">
        <v>8394</v>
      </c>
      <c r="D3401" t="s">
        <v>6961</v>
      </c>
      <c r="F3401" t="s">
        <v>327</v>
      </c>
      <c r="G3401" t="s">
        <v>24</v>
      </c>
      <c r="H3401" s="75" t="str">
        <f>IFERROR(VLOOKUP(Table2[[#This Row],[Ticket]],Okey!A:B,2,0),"")</f>
        <v>ok</v>
      </c>
      <c r="I3401" s="75" t="s">
        <v>8318</v>
      </c>
      <c r="J3401" t="str">
        <f>VLOOKUP(Table2[[#This Row],[Author]],People!A:B,2,0)</f>
        <v>EL</v>
      </c>
      <c r="K3401" s="75"/>
      <c r="L3401" s="76"/>
      <c r="M3401" s="76" t="s">
        <v>1752</v>
      </c>
    </row>
    <row r="3402" spans="1:13" x14ac:dyDescent="0.25">
      <c r="A3402" s="75">
        <f t="shared" si="53"/>
        <v>3401</v>
      </c>
      <c r="B3402" s="75" t="s">
        <v>5960</v>
      </c>
      <c r="C3402" s="75" t="s">
        <v>8394</v>
      </c>
      <c r="D3402" t="s">
        <v>2420</v>
      </c>
      <c r="E3402" t="s">
        <v>8390</v>
      </c>
      <c r="F3402" t="s">
        <v>6842</v>
      </c>
      <c r="G3402" t="s">
        <v>496</v>
      </c>
      <c r="H3402" s="75" t="str">
        <f>IFERROR(VLOOKUP(Table2[[#This Row],[Ticket]],Okey!A:B,2,0),"")</f>
        <v>ok</v>
      </c>
      <c r="I3402" s="75" t="s">
        <v>8318</v>
      </c>
      <c r="J3402" t="str">
        <f>VLOOKUP(Table2[[#This Row],[Author]],People!A:B,2,0)</f>
        <v>EL</v>
      </c>
      <c r="K3402" s="75"/>
      <c r="L3402" s="76"/>
      <c r="M3402" s="76" t="s">
        <v>1752</v>
      </c>
    </row>
    <row r="3403" spans="1:13" x14ac:dyDescent="0.25">
      <c r="A3403" s="75">
        <f t="shared" si="53"/>
        <v>3402</v>
      </c>
      <c r="B3403" s="75" t="s">
        <v>5960</v>
      </c>
      <c r="C3403" s="75" t="s">
        <v>8394</v>
      </c>
      <c r="D3403" t="s">
        <v>2422</v>
      </c>
      <c r="E3403" t="s">
        <v>8391</v>
      </c>
      <c r="G3403" t="s">
        <v>63</v>
      </c>
      <c r="H3403" s="75" t="str">
        <f>IFERROR(VLOOKUP(Table2[[#This Row],[Ticket]],Okey!A:B,2,0),"")</f>
        <v>ok</v>
      </c>
      <c r="I3403" s="75" t="s">
        <v>8318</v>
      </c>
      <c r="J3403" t="str">
        <f>VLOOKUP(Table2[[#This Row],[Author]],People!A:B,2,0)</f>
        <v>EL</v>
      </c>
      <c r="K3403" s="76" t="s">
        <v>8404</v>
      </c>
      <c r="L3403" s="76"/>
      <c r="M3403" s="76" t="s">
        <v>1752</v>
      </c>
    </row>
    <row r="3404" spans="1:13" x14ac:dyDescent="0.25">
      <c r="A3404" s="75">
        <f t="shared" si="53"/>
        <v>3403</v>
      </c>
      <c r="B3404" s="75" t="s">
        <v>5960</v>
      </c>
      <c r="C3404" s="75" t="s">
        <v>8394</v>
      </c>
      <c r="D3404" t="s">
        <v>5506</v>
      </c>
      <c r="E3404" t="s">
        <v>8392</v>
      </c>
      <c r="G3404" t="s">
        <v>63</v>
      </c>
      <c r="H3404" s="75" t="str">
        <f>IFERROR(VLOOKUP(Table2[[#This Row],[Ticket]],Okey!A:B,2,0),"")</f>
        <v>ok</v>
      </c>
      <c r="I3404" s="75" t="s">
        <v>8318</v>
      </c>
      <c r="J3404" t="str">
        <f>VLOOKUP(Table2[[#This Row],[Author]],People!A:B,2,0)</f>
        <v>EL</v>
      </c>
      <c r="K3404" s="76" t="s">
        <v>8404</v>
      </c>
      <c r="L3404" s="76"/>
      <c r="M3404" s="76" t="s">
        <v>1752</v>
      </c>
    </row>
    <row r="3405" spans="1:13" x14ac:dyDescent="0.25">
      <c r="A3405" s="75">
        <f t="shared" si="53"/>
        <v>3404</v>
      </c>
      <c r="B3405" s="75" t="s">
        <v>5960</v>
      </c>
      <c r="C3405" s="75" t="s">
        <v>8394</v>
      </c>
      <c r="D3405" t="s">
        <v>7167</v>
      </c>
      <c r="E3405" t="s">
        <v>8393</v>
      </c>
      <c r="G3405" t="s">
        <v>63</v>
      </c>
      <c r="H3405" s="75" t="str">
        <f>IFERROR(VLOOKUP(Table2[[#This Row],[Ticket]],Okey!A:B,2,0),"")</f>
        <v>ok</v>
      </c>
      <c r="I3405" s="75" t="s">
        <v>8318</v>
      </c>
      <c r="J3405" t="str">
        <f>VLOOKUP(Table2[[#This Row],[Author]],People!A:B,2,0)</f>
        <v>EL</v>
      </c>
      <c r="K3405" s="76" t="s">
        <v>8404</v>
      </c>
      <c r="L3405" s="76"/>
      <c r="M3405" s="76" t="s">
        <v>1752</v>
      </c>
    </row>
    <row r="3406" spans="1:13" x14ac:dyDescent="0.25">
      <c r="A3406" s="75">
        <f t="shared" si="53"/>
        <v>3405</v>
      </c>
      <c r="B3406" s="75" t="s">
        <v>5960</v>
      </c>
      <c r="C3406" s="75" t="s">
        <v>8395</v>
      </c>
      <c r="D3406" t="s">
        <v>8344</v>
      </c>
      <c r="F3406" t="s">
        <v>39</v>
      </c>
      <c r="G3406" t="s">
        <v>24</v>
      </c>
      <c r="H3406" s="75" t="str">
        <f>IFERROR(VLOOKUP(Table2[[#This Row],[Ticket]],Okey!A:B,2,0),"")</f>
        <v>ok</v>
      </c>
      <c r="I3406" s="75" t="s">
        <v>8318</v>
      </c>
      <c r="J3406" t="str">
        <f>VLOOKUP(Table2[[#This Row],[Author]],People!A:B,2,0)</f>
        <v>MGF</v>
      </c>
      <c r="K3406" s="75" t="s">
        <v>8403</v>
      </c>
      <c r="L3406" s="76"/>
      <c r="M3406" s="76" t="s">
        <v>40</v>
      </c>
    </row>
    <row r="3407" spans="1:13" x14ac:dyDescent="0.25">
      <c r="A3407" s="75">
        <f t="shared" si="53"/>
        <v>3406</v>
      </c>
      <c r="B3407" s="75" t="s">
        <v>5960</v>
      </c>
      <c r="C3407" s="75" t="s">
        <v>8395</v>
      </c>
      <c r="D3407" t="s">
        <v>8345</v>
      </c>
      <c r="F3407" t="s">
        <v>39</v>
      </c>
      <c r="G3407" t="s">
        <v>24</v>
      </c>
      <c r="H3407" s="75" t="str">
        <f>IFERROR(VLOOKUP(Table2[[#This Row],[Ticket]],Okey!A:B,2,0),"")</f>
        <v>ok</v>
      </c>
      <c r="I3407" s="75" t="s">
        <v>8318</v>
      </c>
      <c r="J3407" t="str">
        <f>VLOOKUP(Table2[[#This Row],[Author]],People!A:B,2,0)</f>
        <v>MGF</v>
      </c>
      <c r="K3407" s="75" t="s">
        <v>8403</v>
      </c>
      <c r="L3407" s="76"/>
      <c r="M3407" s="76" t="s">
        <v>40</v>
      </c>
    </row>
    <row r="3408" spans="1:13" x14ac:dyDescent="0.25">
      <c r="A3408" s="75">
        <f t="shared" si="53"/>
        <v>3407</v>
      </c>
      <c r="B3408" s="75" t="s">
        <v>5960</v>
      </c>
      <c r="C3408" t="s">
        <v>8400</v>
      </c>
      <c r="D3408" t="s">
        <v>591</v>
      </c>
      <c r="F3408" t="s">
        <v>551</v>
      </c>
      <c r="G3408" t="s">
        <v>24</v>
      </c>
      <c r="H3408" s="75" t="str">
        <f>IFERROR(VLOOKUP(Table2[[#This Row],[Ticket]],Okey!A:B,2,0),"")</f>
        <v>ok</v>
      </c>
      <c r="I3408" s="75" t="s">
        <v>8318</v>
      </c>
      <c r="J3408" t="str">
        <f>VLOOKUP(Table2[[#This Row],[Author]],People!A:B,2,0)</f>
        <v>MGF</v>
      </c>
      <c r="L3408" s="76"/>
      <c r="M3408" s="76" t="s">
        <v>7208</v>
      </c>
    </row>
    <row r="3409" spans="1:13" x14ac:dyDescent="0.25">
      <c r="A3409" s="75">
        <f t="shared" si="53"/>
        <v>3408</v>
      </c>
      <c r="B3409" s="75" t="s">
        <v>5960</v>
      </c>
      <c r="C3409" t="s">
        <v>8406</v>
      </c>
      <c r="D3409" t="s">
        <v>456</v>
      </c>
      <c r="E3409" t="s">
        <v>8407</v>
      </c>
      <c r="G3409" t="s">
        <v>63</v>
      </c>
      <c r="H3409" s="75" t="str">
        <f>IFERROR(VLOOKUP(Table2[[#This Row],[Ticket]],Okey!A:B,2,0),"")</f>
        <v>ok</v>
      </c>
      <c r="I3409" s="75" t="s">
        <v>8318</v>
      </c>
      <c r="J3409" t="str">
        <f>VLOOKUP(Table2[[#This Row],[Author]],People!A:B,2,0)</f>
        <v>MGF</v>
      </c>
      <c r="L3409" s="76"/>
      <c r="M3409" s="76" t="s">
        <v>7208</v>
      </c>
    </row>
    <row r="3410" spans="1:13" x14ac:dyDescent="0.25">
      <c r="A3410" s="75">
        <f t="shared" si="53"/>
        <v>3409</v>
      </c>
      <c r="B3410" s="75" t="s">
        <v>5960</v>
      </c>
      <c r="C3410" t="s">
        <v>8406</v>
      </c>
      <c r="D3410" t="s">
        <v>460</v>
      </c>
      <c r="E3410" t="s">
        <v>8408</v>
      </c>
      <c r="G3410" s="75" t="s">
        <v>63</v>
      </c>
      <c r="H3410" s="75" t="str">
        <f>IFERROR(VLOOKUP(Table2[[#This Row],[Ticket]],Okey!A:B,2,0),"")</f>
        <v>ok</v>
      </c>
      <c r="I3410" s="75" t="s">
        <v>8318</v>
      </c>
      <c r="J3410" t="str">
        <f>VLOOKUP(Table2[[#This Row],[Author]],People!A:B,2,0)</f>
        <v>MGF</v>
      </c>
      <c r="L3410" s="76"/>
      <c r="M3410" s="76" t="s">
        <v>7208</v>
      </c>
    </row>
    <row r="3411" spans="1:13" x14ac:dyDescent="0.25">
      <c r="A3411" s="76">
        <f>1+A3410</f>
        <v>3410</v>
      </c>
      <c r="B3411" s="75" t="s">
        <v>5960</v>
      </c>
      <c r="C3411" t="s">
        <v>8410</v>
      </c>
      <c r="D3411" s="75" t="s">
        <v>8409</v>
      </c>
      <c r="E3411" t="s">
        <v>8411</v>
      </c>
      <c r="F3411" s="75" t="s">
        <v>1751</v>
      </c>
      <c r="G3411" s="75" t="s">
        <v>18</v>
      </c>
      <c r="H3411" s="75" t="str">
        <f>IFERROR(VLOOKUP(Table2[[#This Row],[Ticket]],Okey!A:B,2,0),"")</f>
        <v>ok</v>
      </c>
      <c r="I3411" t="s">
        <v>8318</v>
      </c>
      <c r="J3411" t="str">
        <f>VLOOKUP(Table2[[#This Row],[Author]],People!A:B,2,0)</f>
        <v>EL</v>
      </c>
      <c r="L3411" s="76"/>
      <c r="M3411" s="76" t="s">
        <v>8412</v>
      </c>
    </row>
    <row r="3412" spans="1:13" x14ac:dyDescent="0.25">
      <c r="A3412" s="76">
        <f>1+A3411</f>
        <v>3411</v>
      </c>
      <c r="B3412" s="75" t="s">
        <v>5960</v>
      </c>
      <c r="C3412" t="s">
        <v>8425</v>
      </c>
      <c r="D3412" t="s">
        <v>8115</v>
      </c>
      <c r="E3412" t="s">
        <v>8413</v>
      </c>
      <c r="G3412" t="s">
        <v>63</v>
      </c>
      <c r="H3412" s="75" t="str">
        <f>IFERROR(VLOOKUP(Table2[[#This Row],[Ticket]],Okey!A:B,2,0),"")</f>
        <v>ok</v>
      </c>
      <c r="I3412" s="75" t="s">
        <v>8318</v>
      </c>
      <c r="J3412" t="str">
        <f>VLOOKUP(Table2[[#This Row],[Author]],People!A:B,2,0)</f>
        <v>MGF</v>
      </c>
      <c r="L3412" s="76"/>
      <c r="M3412" s="76" t="s">
        <v>761</v>
      </c>
    </row>
    <row r="3413" spans="1:13" x14ac:dyDescent="0.25">
      <c r="A3413" s="76">
        <f t="shared" ref="A3413:A3419" si="54">1+A3412</f>
        <v>3412</v>
      </c>
      <c r="B3413" s="75" t="s">
        <v>5960</v>
      </c>
      <c r="C3413" s="75" t="s">
        <v>8425</v>
      </c>
      <c r="D3413" t="s">
        <v>8116</v>
      </c>
      <c r="E3413" t="s">
        <v>8414</v>
      </c>
      <c r="G3413" s="75" t="s">
        <v>63</v>
      </c>
      <c r="H3413" s="75" t="str">
        <f>IFERROR(VLOOKUP(Table2[[#This Row],[Ticket]],Okey!A:B,2,0),"")</f>
        <v>ok</v>
      </c>
      <c r="I3413" s="75" t="s">
        <v>8318</v>
      </c>
      <c r="J3413" t="str">
        <f>VLOOKUP(Table2[[#This Row],[Author]],People!A:B,2,0)</f>
        <v>MGF</v>
      </c>
      <c r="L3413" s="76"/>
      <c r="M3413" s="76" t="s">
        <v>761</v>
      </c>
    </row>
    <row r="3414" spans="1:13" x14ac:dyDescent="0.25">
      <c r="A3414" s="76">
        <f t="shared" si="54"/>
        <v>3413</v>
      </c>
      <c r="B3414" s="75" t="s">
        <v>5960</v>
      </c>
      <c r="C3414" s="75" t="s">
        <v>8425</v>
      </c>
      <c r="D3414" t="s">
        <v>8117</v>
      </c>
      <c r="E3414" t="s">
        <v>8415</v>
      </c>
      <c r="G3414" s="75" t="s">
        <v>63</v>
      </c>
      <c r="H3414" s="75" t="str">
        <f>IFERROR(VLOOKUP(Table2[[#This Row],[Ticket]],Okey!A:B,2,0),"")</f>
        <v>ok</v>
      </c>
      <c r="I3414" s="75" t="s">
        <v>8318</v>
      </c>
      <c r="J3414" t="str">
        <f>VLOOKUP(Table2[[#This Row],[Author]],People!A:B,2,0)</f>
        <v>MGF</v>
      </c>
      <c r="L3414" s="76"/>
      <c r="M3414" s="76" t="s">
        <v>761</v>
      </c>
    </row>
    <row r="3415" spans="1:13" x14ac:dyDescent="0.25">
      <c r="A3415" s="76">
        <f t="shared" si="54"/>
        <v>3414</v>
      </c>
      <c r="B3415" s="75" t="s">
        <v>5960</v>
      </c>
      <c r="C3415" s="75" t="s">
        <v>8425</v>
      </c>
      <c r="D3415" t="s">
        <v>8118</v>
      </c>
      <c r="E3415" t="s">
        <v>8416</v>
      </c>
      <c r="G3415" s="75" t="s">
        <v>63</v>
      </c>
      <c r="H3415" s="75" t="str">
        <f>IFERROR(VLOOKUP(Table2[[#This Row],[Ticket]],Okey!A:B,2,0),"")</f>
        <v>ok</v>
      </c>
      <c r="I3415" s="75" t="s">
        <v>8318</v>
      </c>
      <c r="J3415" t="str">
        <f>VLOOKUP(Table2[[#This Row],[Author]],People!A:B,2,0)</f>
        <v>MGF</v>
      </c>
      <c r="L3415" s="76"/>
      <c r="M3415" s="76" t="s">
        <v>761</v>
      </c>
    </row>
    <row r="3416" spans="1:13" x14ac:dyDescent="0.25">
      <c r="A3416" s="76">
        <f t="shared" si="54"/>
        <v>3415</v>
      </c>
      <c r="B3416" s="75" t="s">
        <v>5960</v>
      </c>
      <c r="C3416" s="75" t="s">
        <v>8425</v>
      </c>
      <c r="D3416" t="s">
        <v>8121</v>
      </c>
      <c r="E3416" t="s">
        <v>8417</v>
      </c>
      <c r="G3416" s="75" t="s">
        <v>63</v>
      </c>
      <c r="H3416" s="75" t="str">
        <f>IFERROR(VLOOKUP(Table2[[#This Row],[Ticket]],Okey!A:B,2,0),"")</f>
        <v>ok</v>
      </c>
      <c r="I3416" s="75" t="s">
        <v>8318</v>
      </c>
      <c r="J3416" t="str">
        <f>VLOOKUP(Table2[[#This Row],[Author]],People!A:B,2,0)</f>
        <v>MGF</v>
      </c>
      <c r="L3416" s="76"/>
      <c r="M3416" s="76" t="s">
        <v>761</v>
      </c>
    </row>
    <row r="3417" spans="1:13" x14ac:dyDescent="0.25">
      <c r="A3417" s="76">
        <f t="shared" si="54"/>
        <v>3416</v>
      </c>
      <c r="B3417" s="75" t="s">
        <v>5960</v>
      </c>
      <c r="C3417" s="75" t="s">
        <v>8425</v>
      </c>
      <c r="D3417" t="s">
        <v>8122</v>
      </c>
      <c r="E3417" t="s">
        <v>8418</v>
      </c>
      <c r="G3417" s="75" t="s">
        <v>63</v>
      </c>
      <c r="H3417" s="75" t="str">
        <f>IFERROR(VLOOKUP(Table2[[#This Row],[Ticket]],Okey!A:B,2,0),"")</f>
        <v>ok</v>
      </c>
      <c r="I3417" s="75" t="s">
        <v>8318</v>
      </c>
      <c r="J3417" t="str">
        <f>VLOOKUP(Table2[[#This Row],[Author]],People!A:B,2,0)</f>
        <v>MGF</v>
      </c>
      <c r="L3417" s="76"/>
      <c r="M3417" s="76" t="s">
        <v>761</v>
      </c>
    </row>
    <row r="3418" spans="1:13" x14ac:dyDescent="0.25">
      <c r="A3418" s="76">
        <f t="shared" si="54"/>
        <v>3417</v>
      </c>
      <c r="B3418" s="75" t="s">
        <v>5960</v>
      </c>
      <c r="C3418" s="75" t="s">
        <v>8425</v>
      </c>
      <c r="D3418" t="s">
        <v>8123</v>
      </c>
      <c r="E3418" t="s">
        <v>8419</v>
      </c>
      <c r="G3418" s="75" t="s">
        <v>63</v>
      </c>
      <c r="H3418" s="75" t="str">
        <f>IFERROR(VLOOKUP(Table2[[#This Row],[Ticket]],Okey!A:B,2,0),"")</f>
        <v>ok</v>
      </c>
      <c r="I3418" s="75" t="s">
        <v>8318</v>
      </c>
      <c r="J3418" t="str">
        <f>VLOOKUP(Table2[[#This Row],[Author]],People!A:B,2,0)</f>
        <v>MGF</v>
      </c>
      <c r="L3418" s="76"/>
      <c r="M3418" s="76" t="s">
        <v>761</v>
      </c>
    </row>
    <row r="3419" spans="1:13" x14ac:dyDescent="0.25">
      <c r="A3419" s="76">
        <f t="shared" si="54"/>
        <v>3418</v>
      </c>
      <c r="B3419" s="75" t="s">
        <v>5960</v>
      </c>
      <c r="C3419" s="75" t="s">
        <v>8425</v>
      </c>
      <c r="D3419" t="s">
        <v>8124</v>
      </c>
      <c r="E3419" t="s">
        <v>8420</v>
      </c>
      <c r="G3419" s="75" t="s">
        <v>63</v>
      </c>
      <c r="H3419" s="75" t="str">
        <f>IFERROR(VLOOKUP(Table2[[#This Row],[Ticket]],Okey!A:B,2,0),"")</f>
        <v>ok</v>
      </c>
      <c r="I3419" s="75" t="s">
        <v>8318</v>
      </c>
      <c r="J3419" t="str">
        <f>VLOOKUP(Table2[[#This Row],[Author]],People!A:B,2,0)</f>
        <v>MGF</v>
      </c>
      <c r="L3419" s="76"/>
      <c r="M3419" s="76" t="s">
        <v>761</v>
      </c>
    </row>
    <row r="3420" spans="1:13" x14ac:dyDescent="0.25">
      <c r="A3420" s="76">
        <f t="shared" ref="A3420:A3422" si="55">1+A3419</f>
        <v>3419</v>
      </c>
      <c r="B3420" s="75" t="s">
        <v>5960</v>
      </c>
      <c r="C3420" t="s">
        <v>8424</v>
      </c>
      <c r="D3420" t="s">
        <v>709</v>
      </c>
      <c r="E3420" t="s">
        <v>8421</v>
      </c>
      <c r="G3420" s="75" t="s">
        <v>63</v>
      </c>
      <c r="H3420" s="75" t="str">
        <f>IFERROR(VLOOKUP(Table2[[#This Row],[Ticket]],Okey!A:B,2,0),"")</f>
        <v>ok</v>
      </c>
      <c r="I3420" s="75" t="s">
        <v>8318</v>
      </c>
      <c r="J3420" t="str">
        <f>VLOOKUP(Table2[[#This Row],[Author]],People!A:B,2,0)</f>
        <v>MGF</v>
      </c>
      <c r="L3420" s="76"/>
      <c r="M3420" s="76" t="s">
        <v>7208</v>
      </c>
    </row>
    <row r="3421" spans="1:13" x14ac:dyDescent="0.25">
      <c r="A3421" s="76">
        <f t="shared" si="55"/>
        <v>3420</v>
      </c>
      <c r="B3421" s="75" t="s">
        <v>5960</v>
      </c>
      <c r="C3421" s="75" t="s">
        <v>8424</v>
      </c>
      <c r="D3421" t="s">
        <v>707</v>
      </c>
      <c r="E3421" t="s">
        <v>8422</v>
      </c>
      <c r="G3421" s="75" t="s">
        <v>63</v>
      </c>
      <c r="H3421" s="75" t="str">
        <f>IFERROR(VLOOKUP(Table2[[#This Row],[Ticket]],Okey!A:B,2,0),"")</f>
        <v>ok</v>
      </c>
      <c r="I3421" s="75" t="s">
        <v>8318</v>
      </c>
      <c r="J3421" t="str">
        <f>VLOOKUP(Table2[[#This Row],[Author]],People!A:B,2,0)</f>
        <v>MGF</v>
      </c>
      <c r="L3421" s="76"/>
      <c r="M3421" s="76" t="s">
        <v>7208</v>
      </c>
    </row>
    <row r="3422" spans="1:13" x14ac:dyDescent="0.25">
      <c r="A3422" s="76">
        <f t="shared" si="55"/>
        <v>3421</v>
      </c>
      <c r="B3422" s="75" t="s">
        <v>5960</v>
      </c>
      <c r="C3422" s="75" t="s">
        <v>8424</v>
      </c>
      <c r="D3422" t="s">
        <v>754</v>
      </c>
      <c r="E3422" t="s">
        <v>8423</v>
      </c>
      <c r="G3422" s="75" t="s">
        <v>63</v>
      </c>
      <c r="H3422" s="75" t="str">
        <f>IFERROR(VLOOKUP(Table2[[#This Row],[Ticket]],Okey!A:B,2,0),"")</f>
        <v>ok</v>
      </c>
      <c r="I3422" s="75" t="s">
        <v>8318</v>
      </c>
      <c r="J3422" t="str">
        <f>VLOOKUP(Table2[[#This Row],[Author]],People!A:B,2,0)</f>
        <v>MGF</v>
      </c>
      <c r="L3422" s="76"/>
      <c r="M3422" s="76" t="s">
        <v>7208</v>
      </c>
    </row>
    <row r="3423" spans="1:13" x14ac:dyDescent="0.25">
      <c r="A3423" s="76">
        <f t="shared" ref="A3423:A3425" si="56">1+A3422</f>
        <v>3422</v>
      </c>
      <c r="B3423" t="s">
        <v>13</v>
      </c>
      <c r="C3423" t="s">
        <v>8426</v>
      </c>
      <c r="D3423" t="s">
        <v>7246</v>
      </c>
      <c r="F3423" t="s">
        <v>7245</v>
      </c>
      <c r="G3423" s="75" t="s">
        <v>24</v>
      </c>
      <c r="H3423" s="75" t="str">
        <f>IFERROR(VLOOKUP(Table2[[#This Row],[Ticket]],Okey!A:B,2,0),"")</f>
        <v>ok</v>
      </c>
      <c r="I3423" s="75" t="s">
        <v>8318</v>
      </c>
      <c r="J3423" t="str">
        <f>VLOOKUP(Table2[[#This Row],[Author]],People!A:B,2,0)</f>
        <v>MGF</v>
      </c>
      <c r="L3423" s="76"/>
      <c r="M3423" s="76" t="s">
        <v>40</v>
      </c>
    </row>
    <row r="3424" spans="1:13" x14ac:dyDescent="0.25">
      <c r="A3424" s="76">
        <f t="shared" si="56"/>
        <v>3423</v>
      </c>
      <c r="B3424" s="75" t="s">
        <v>13</v>
      </c>
      <c r="C3424" s="75" t="s">
        <v>8426</v>
      </c>
      <c r="D3424" t="s">
        <v>7243</v>
      </c>
      <c r="F3424" t="s">
        <v>7241</v>
      </c>
      <c r="G3424" s="75" t="s">
        <v>24</v>
      </c>
      <c r="H3424" s="75" t="str">
        <f>IFERROR(VLOOKUP(Table2[[#This Row],[Ticket]],Okey!A:B,2,0),"")</f>
        <v>ok</v>
      </c>
      <c r="I3424" s="75" t="s">
        <v>8318</v>
      </c>
      <c r="J3424" t="str">
        <f>VLOOKUP(Table2[[#This Row],[Author]],People!A:B,2,0)</f>
        <v>MGF</v>
      </c>
      <c r="L3424" s="76"/>
      <c r="M3424" s="76" t="s">
        <v>40</v>
      </c>
    </row>
    <row r="3425" spans="1:13" x14ac:dyDescent="0.25">
      <c r="A3425" s="76">
        <f t="shared" si="56"/>
        <v>3424</v>
      </c>
      <c r="B3425" s="75" t="s">
        <v>13</v>
      </c>
      <c r="C3425" s="75" t="s">
        <v>8426</v>
      </c>
      <c r="D3425" t="s">
        <v>7244</v>
      </c>
      <c r="F3425" t="s">
        <v>7242</v>
      </c>
      <c r="G3425" s="75" t="s">
        <v>24</v>
      </c>
      <c r="H3425" s="75" t="str">
        <f>IFERROR(VLOOKUP(Table2[[#This Row],[Ticket]],Okey!A:B,2,0),"")</f>
        <v>ok</v>
      </c>
      <c r="I3425" s="75" t="s">
        <v>8318</v>
      </c>
      <c r="J3425" t="str">
        <f>VLOOKUP(Table2[[#This Row],[Author]],People!A:B,2,0)</f>
        <v>MGF</v>
      </c>
      <c r="L3425" s="76"/>
      <c r="M3425" s="76" t="s">
        <v>40</v>
      </c>
    </row>
    <row r="3426" spans="1:13" x14ac:dyDescent="0.25">
      <c r="A3426" s="76">
        <f t="shared" ref="A3426:A3435" si="57">1+A3425</f>
        <v>3425</v>
      </c>
      <c r="B3426" s="75" t="s">
        <v>13</v>
      </c>
      <c r="C3426" t="s">
        <v>8434</v>
      </c>
      <c r="D3426" t="s">
        <v>4120</v>
      </c>
      <c r="F3426" t="s">
        <v>8433</v>
      </c>
      <c r="G3426" t="s">
        <v>24</v>
      </c>
      <c r="H3426" s="75" t="str">
        <f>IFERROR(VLOOKUP(Table2[[#This Row],[Ticket]],Okey!A:B,2,0),"")</f>
        <v>ok</v>
      </c>
      <c r="I3426" s="75" t="s">
        <v>8318</v>
      </c>
      <c r="J3426" t="str">
        <f>VLOOKUP(Table2[[#This Row],[Author]],People!A:B,2,0)</f>
        <v>MGF</v>
      </c>
      <c r="L3426" s="76"/>
      <c r="M3426" s="76" t="s">
        <v>7208</v>
      </c>
    </row>
    <row r="3427" spans="1:13" x14ac:dyDescent="0.25">
      <c r="A3427" s="76">
        <f t="shared" si="57"/>
        <v>3426</v>
      </c>
      <c r="B3427" s="75" t="s">
        <v>13</v>
      </c>
      <c r="C3427" s="75" t="s">
        <v>8434</v>
      </c>
      <c r="D3427" t="s">
        <v>3842</v>
      </c>
      <c r="F3427" t="s">
        <v>8433</v>
      </c>
      <c r="G3427" s="75" t="s">
        <v>24</v>
      </c>
      <c r="H3427" s="75" t="str">
        <f>IFERROR(VLOOKUP(Table2[[#This Row],[Ticket]],Okey!A:B,2,0),"")</f>
        <v>ok</v>
      </c>
      <c r="I3427" s="75" t="s">
        <v>8318</v>
      </c>
      <c r="J3427" t="str">
        <f>VLOOKUP(Table2[[#This Row],[Author]],People!A:B,2,0)</f>
        <v>MGF</v>
      </c>
      <c r="L3427" s="76"/>
      <c r="M3427" s="76" t="s">
        <v>7208</v>
      </c>
    </row>
    <row r="3428" spans="1:13" x14ac:dyDescent="0.25">
      <c r="A3428" s="76">
        <f t="shared" si="57"/>
        <v>3427</v>
      </c>
      <c r="B3428" s="75" t="s">
        <v>13</v>
      </c>
      <c r="C3428" s="75" t="s">
        <v>8434</v>
      </c>
      <c r="D3428" t="s">
        <v>8427</v>
      </c>
      <c r="F3428" t="s">
        <v>8433</v>
      </c>
      <c r="G3428" s="75" t="s">
        <v>24</v>
      </c>
      <c r="H3428" s="75" t="str">
        <f>IFERROR(VLOOKUP(Table2[[#This Row],[Ticket]],Okey!A:B,2,0),"")</f>
        <v>ok</v>
      </c>
      <c r="I3428" s="75" t="s">
        <v>8318</v>
      </c>
      <c r="J3428" t="str">
        <f>VLOOKUP(Table2[[#This Row],[Author]],People!A:B,2,0)</f>
        <v>MGF</v>
      </c>
      <c r="L3428" s="76"/>
      <c r="M3428" s="76" t="s">
        <v>7208</v>
      </c>
    </row>
    <row r="3429" spans="1:13" x14ac:dyDescent="0.25">
      <c r="A3429" s="76">
        <f t="shared" si="57"/>
        <v>3428</v>
      </c>
      <c r="B3429" s="75" t="s">
        <v>13</v>
      </c>
      <c r="C3429" s="75" t="s">
        <v>8434</v>
      </c>
      <c r="D3429" t="s">
        <v>8428</v>
      </c>
      <c r="F3429" t="s">
        <v>8433</v>
      </c>
      <c r="G3429" s="75" t="s">
        <v>24</v>
      </c>
      <c r="H3429" s="75" t="str">
        <f>IFERROR(VLOOKUP(Table2[[#This Row],[Ticket]],Okey!A:B,2,0),"")</f>
        <v>ok</v>
      </c>
      <c r="I3429" s="75" t="s">
        <v>8318</v>
      </c>
      <c r="J3429" t="str">
        <f>VLOOKUP(Table2[[#This Row],[Author]],People!A:B,2,0)</f>
        <v>MGF</v>
      </c>
      <c r="L3429" s="76"/>
      <c r="M3429" s="76" t="s">
        <v>7208</v>
      </c>
    </row>
    <row r="3430" spans="1:13" x14ac:dyDescent="0.25">
      <c r="A3430" s="76">
        <f t="shared" si="57"/>
        <v>3429</v>
      </c>
      <c r="B3430" s="75" t="s">
        <v>13</v>
      </c>
      <c r="C3430" s="75" t="s">
        <v>8434</v>
      </c>
      <c r="D3430" t="s">
        <v>8429</v>
      </c>
      <c r="F3430" t="s">
        <v>8433</v>
      </c>
      <c r="G3430" s="75" t="s">
        <v>24</v>
      </c>
      <c r="H3430" s="75" t="str">
        <f>IFERROR(VLOOKUP(Table2[[#This Row],[Ticket]],Okey!A:B,2,0),"")</f>
        <v>ok</v>
      </c>
      <c r="I3430" s="75" t="s">
        <v>8318</v>
      </c>
      <c r="J3430" t="str">
        <f>VLOOKUP(Table2[[#This Row],[Author]],People!A:B,2,0)</f>
        <v>MGF</v>
      </c>
      <c r="L3430" s="76"/>
      <c r="M3430" s="76" t="s">
        <v>7208</v>
      </c>
    </row>
    <row r="3431" spans="1:13" x14ac:dyDescent="0.25">
      <c r="A3431" s="76">
        <f t="shared" si="57"/>
        <v>3430</v>
      </c>
      <c r="B3431" s="75" t="s">
        <v>13</v>
      </c>
      <c r="C3431" s="75" t="s">
        <v>8434</v>
      </c>
      <c r="D3431" t="s">
        <v>8430</v>
      </c>
      <c r="F3431" t="s">
        <v>8433</v>
      </c>
      <c r="G3431" s="75" t="s">
        <v>24</v>
      </c>
      <c r="H3431" s="75" t="str">
        <f>IFERROR(VLOOKUP(Table2[[#This Row],[Ticket]],Okey!A:B,2,0),"")</f>
        <v>ok</v>
      </c>
      <c r="I3431" s="75" t="s">
        <v>8318</v>
      </c>
      <c r="J3431" t="str">
        <f>VLOOKUP(Table2[[#This Row],[Author]],People!A:B,2,0)</f>
        <v>MGF</v>
      </c>
      <c r="L3431" s="76"/>
      <c r="M3431" s="76" t="s">
        <v>7208</v>
      </c>
    </row>
    <row r="3432" spans="1:13" x14ac:dyDescent="0.25">
      <c r="A3432" s="76">
        <f t="shared" si="57"/>
        <v>3431</v>
      </c>
      <c r="B3432" s="75" t="s">
        <v>13</v>
      </c>
      <c r="C3432" s="75" t="s">
        <v>8434</v>
      </c>
      <c r="D3432" t="s">
        <v>3728</v>
      </c>
      <c r="F3432" t="s">
        <v>8433</v>
      </c>
      <c r="G3432" s="75" t="s">
        <v>24</v>
      </c>
      <c r="H3432" s="75" t="str">
        <f>IFERROR(VLOOKUP(Table2[[#This Row],[Ticket]],Okey!A:B,2,0),"")</f>
        <v>ok</v>
      </c>
      <c r="I3432" s="75" t="s">
        <v>8318</v>
      </c>
      <c r="J3432" t="str">
        <f>VLOOKUP(Table2[[#This Row],[Author]],People!A:B,2,0)</f>
        <v>MGF</v>
      </c>
      <c r="L3432" s="76"/>
      <c r="M3432" s="76" t="s">
        <v>7208</v>
      </c>
    </row>
    <row r="3433" spans="1:13" x14ac:dyDescent="0.25">
      <c r="A3433" s="76">
        <f t="shared" si="57"/>
        <v>3432</v>
      </c>
      <c r="B3433" s="75" t="s">
        <v>13</v>
      </c>
      <c r="C3433" s="75" t="s">
        <v>8434</v>
      </c>
      <c r="D3433" t="s">
        <v>4470</v>
      </c>
      <c r="F3433" t="s">
        <v>8433</v>
      </c>
      <c r="G3433" s="75" t="s">
        <v>24</v>
      </c>
      <c r="H3433" s="75" t="str">
        <f>IFERROR(VLOOKUP(Table2[[#This Row],[Ticket]],Okey!A:B,2,0),"")</f>
        <v>ok</v>
      </c>
      <c r="I3433" s="75" t="s">
        <v>8318</v>
      </c>
      <c r="J3433" t="str">
        <f>VLOOKUP(Table2[[#This Row],[Author]],People!A:B,2,0)</f>
        <v>MGF</v>
      </c>
      <c r="L3433" s="76"/>
      <c r="M3433" s="76" t="s">
        <v>7208</v>
      </c>
    </row>
    <row r="3434" spans="1:13" x14ac:dyDescent="0.25">
      <c r="A3434" s="76">
        <f t="shared" si="57"/>
        <v>3433</v>
      </c>
      <c r="B3434" s="75" t="s">
        <v>13</v>
      </c>
      <c r="C3434" s="75" t="s">
        <v>8434</v>
      </c>
      <c r="D3434" t="s">
        <v>8431</v>
      </c>
      <c r="F3434" t="s">
        <v>8433</v>
      </c>
      <c r="G3434" s="75" t="s">
        <v>24</v>
      </c>
      <c r="H3434" s="75" t="str">
        <f>IFERROR(VLOOKUP(Table2[[#This Row],[Ticket]],Okey!A:B,2,0),"")</f>
        <v>ok</v>
      </c>
      <c r="I3434" s="75" t="s">
        <v>8318</v>
      </c>
      <c r="J3434" t="str">
        <f>VLOOKUP(Table2[[#This Row],[Author]],People!A:B,2,0)</f>
        <v>MGF</v>
      </c>
      <c r="L3434" s="76"/>
      <c r="M3434" s="76" t="s">
        <v>7208</v>
      </c>
    </row>
    <row r="3435" spans="1:13" x14ac:dyDescent="0.25">
      <c r="A3435" s="76">
        <f t="shared" si="57"/>
        <v>3434</v>
      </c>
      <c r="B3435" s="75" t="s">
        <v>13</v>
      </c>
      <c r="C3435" s="75" t="s">
        <v>8434</v>
      </c>
      <c r="D3435" t="s">
        <v>8432</v>
      </c>
      <c r="F3435" t="s">
        <v>8433</v>
      </c>
      <c r="G3435" s="75" t="s">
        <v>24</v>
      </c>
      <c r="H3435" s="75" t="str">
        <f>IFERROR(VLOOKUP(Table2[[#This Row],[Ticket]],Okey!A:B,2,0),"")</f>
        <v>ok</v>
      </c>
      <c r="I3435" s="75" t="s">
        <v>8318</v>
      </c>
      <c r="J3435" t="str">
        <f>VLOOKUP(Table2[[#This Row],[Author]],People!A:B,2,0)</f>
        <v>MGF</v>
      </c>
      <c r="L3435" s="76"/>
      <c r="M3435" s="76" t="s">
        <v>7208</v>
      </c>
    </row>
    <row r="3436" spans="1:13" x14ac:dyDescent="0.25">
      <c r="A3436" s="76">
        <f>1+A3435</f>
        <v>3435</v>
      </c>
      <c r="B3436" s="75" t="s">
        <v>13</v>
      </c>
      <c r="C3436" t="s">
        <v>8435</v>
      </c>
      <c r="D3436" t="s">
        <v>622</v>
      </c>
      <c r="E3436" t="s">
        <v>607</v>
      </c>
      <c r="G3436" t="s">
        <v>63</v>
      </c>
      <c r="H3436" s="75" t="str">
        <f>IFERROR(VLOOKUP(Table2[[#This Row],[Ticket]],Okey!A:B,2,0),"")</f>
        <v>ok</v>
      </c>
      <c r="I3436" s="75" t="s">
        <v>8318</v>
      </c>
      <c r="J3436" t="str">
        <f>VLOOKUP(Table2[[#This Row],[Author]],People!A:B,2,0)</f>
        <v>MGF</v>
      </c>
      <c r="L3436" s="76"/>
      <c r="M3436" s="76" t="s">
        <v>7208</v>
      </c>
    </row>
    <row r="3437" spans="1:13" x14ac:dyDescent="0.25">
      <c r="A3437" s="76">
        <f t="shared" ref="A3437:A3439" si="58">1+A3436</f>
        <v>3436</v>
      </c>
      <c r="B3437" s="75" t="s">
        <v>13</v>
      </c>
      <c r="C3437" s="75" t="s">
        <v>8435</v>
      </c>
      <c r="D3437" t="s">
        <v>526</v>
      </c>
      <c r="E3437" t="s">
        <v>602</v>
      </c>
      <c r="F3437" t="s">
        <v>622</v>
      </c>
      <c r="G3437" s="75" t="s">
        <v>63</v>
      </c>
      <c r="H3437" s="75" t="str">
        <f>IFERROR(VLOOKUP(Table2[[#This Row],[Ticket]],Okey!A:B,2,0),"")</f>
        <v>ok</v>
      </c>
      <c r="I3437" s="75" t="s">
        <v>8318</v>
      </c>
      <c r="J3437" t="str">
        <f>VLOOKUP(Table2[[#This Row],[Author]],People!A:B,2,0)</f>
        <v>MGF</v>
      </c>
      <c r="L3437" s="76"/>
      <c r="M3437" s="76" t="s">
        <v>7208</v>
      </c>
    </row>
    <row r="3438" spans="1:13" x14ac:dyDescent="0.25">
      <c r="A3438" s="76">
        <f t="shared" si="58"/>
        <v>3437</v>
      </c>
      <c r="B3438" s="75" t="s">
        <v>13</v>
      </c>
      <c r="C3438" s="75" t="s">
        <v>8435</v>
      </c>
      <c r="D3438" t="s">
        <v>538</v>
      </c>
      <c r="E3438" t="s">
        <v>606</v>
      </c>
      <c r="F3438" t="s">
        <v>622</v>
      </c>
      <c r="G3438" s="75" t="s">
        <v>63</v>
      </c>
      <c r="H3438" s="75" t="str">
        <f>IFERROR(VLOOKUP(Table2[[#This Row],[Ticket]],Okey!A:B,2,0),"")</f>
        <v>ok</v>
      </c>
      <c r="I3438" s="75" t="s">
        <v>8318</v>
      </c>
      <c r="J3438" t="str">
        <f>VLOOKUP(Table2[[#This Row],[Author]],People!A:B,2,0)</f>
        <v>MGF</v>
      </c>
      <c r="L3438" s="76"/>
      <c r="M3438" s="76" t="s">
        <v>7208</v>
      </c>
    </row>
    <row r="3439" spans="1:13" x14ac:dyDescent="0.25">
      <c r="A3439" s="76">
        <f t="shared" si="58"/>
        <v>3438</v>
      </c>
      <c r="B3439" s="75" t="s">
        <v>13</v>
      </c>
      <c r="C3439" s="75" t="s">
        <v>8435</v>
      </c>
      <c r="D3439" t="s">
        <v>3989</v>
      </c>
      <c r="E3439" t="s">
        <v>604</v>
      </c>
      <c r="F3439" t="s">
        <v>622</v>
      </c>
      <c r="G3439" s="75" t="s">
        <v>63</v>
      </c>
      <c r="H3439" s="75" t="str">
        <f>IFERROR(VLOOKUP(Table2[[#This Row],[Ticket]],Okey!A:B,2,0),"")</f>
        <v>ok</v>
      </c>
      <c r="I3439" s="75" t="s">
        <v>8318</v>
      </c>
      <c r="J3439" t="str">
        <f>VLOOKUP(Table2[[#This Row],[Author]],People!A:B,2,0)</f>
        <v>MGF</v>
      </c>
      <c r="L3439" s="76"/>
      <c r="M3439" s="76" t="s">
        <v>7208</v>
      </c>
    </row>
    <row r="3440" spans="1:13" x14ac:dyDescent="0.25">
      <c r="A3440" s="76">
        <f t="shared" ref="A3440:A3446" si="59">1+A3439</f>
        <v>3439</v>
      </c>
      <c r="B3440" s="75" t="s">
        <v>13</v>
      </c>
      <c r="C3440" t="s">
        <v>8437</v>
      </c>
      <c r="D3440" t="s">
        <v>8436</v>
      </c>
      <c r="F3440" t="s">
        <v>8433</v>
      </c>
      <c r="G3440" t="s">
        <v>24</v>
      </c>
      <c r="H3440" s="75" t="str">
        <f>IFERROR(VLOOKUP(Table2[[#This Row],[Ticket]],Okey!A:B,2,0),"")</f>
        <v>ok</v>
      </c>
      <c r="I3440" s="75" t="s">
        <v>8318</v>
      </c>
      <c r="J3440" t="str">
        <f>VLOOKUP(Table2[[#This Row],[Author]],People!A:B,2,0)</f>
        <v>MGF</v>
      </c>
      <c r="L3440" s="76"/>
      <c r="M3440" s="76" t="s">
        <v>7208</v>
      </c>
    </row>
    <row r="3441" spans="1:13" x14ac:dyDescent="0.25">
      <c r="A3441" s="76">
        <f t="shared" si="59"/>
        <v>3440</v>
      </c>
      <c r="B3441" s="75" t="s">
        <v>13</v>
      </c>
      <c r="C3441" s="75" t="s">
        <v>8437</v>
      </c>
      <c r="D3441" t="s">
        <v>3764</v>
      </c>
      <c r="F3441" t="s">
        <v>8433</v>
      </c>
      <c r="G3441" s="75" t="s">
        <v>24</v>
      </c>
      <c r="H3441" s="75" t="str">
        <f>IFERROR(VLOOKUP(Table2[[#This Row],[Ticket]],Okey!A:B,2,0),"")</f>
        <v>ok</v>
      </c>
      <c r="I3441" s="75" t="s">
        <v>8318</v>
      </c>
      <c r="J3441" t="str">
        <f>VLOOKUP(Table2[[#This Row],[Author]],People!A:B,2,0)</f>
        <v>MGF</v>
      </c>
      <c r="L3441" s="76"/>
      <c r="M3441" s="76" t="s">
        <v>7208</v>
      </c>
    </row>
    <row r="3442" spans="1:13" x14ac:dyDescent="0.25">
      <c r="A3442" s="76">
        <f t="shared" si="59"/>
        <v>3441</v>
      </c>
      <c r="B3442" s="75" t="s">
        <v>13</v>
      </c>
      <c r="C3442" s="75" t="s">
        <v>8437</v>
      </c>
      <c r="D3442" t="s">
        <v>3766</v>
      </c>
      <c r="F3442" t="s">
        <v>8433</v>
      </c>
      <c r="G3442" s="75" t="s">
        <v>24</v>
      </c>
      <c r="H3442" s="75" t="str">
        <f>IFERROR(VLOOKUP(Table2[[#This Row],[Ticket]],Okey!A:B,2,0),"")</f>
        <v>ok</v>
      </c>
      <c r="I3442" s="75" t="s">
        <v>8318</v>
      </c>
      <c r="J3442" t="str">
        <f>VLOOKUP(Table2[[#This Row],[Author]],People!A:B,2,0)</f>
        <v>MGF</v>
      </c>
      <c r="L3442" s="76"/>
      <c r="M3442" s="76" t="s">
        <v>7208</v>
      </c>
    </row>
    <row r="3443" spans="1:13" x14ac:dyDescent="0.25">
      <c r="A3443" s="76">
        <f t="shared" si="59"/>
        <v>3442</v>
      </c>
      <c r="B3443" s="75" t="s">
        <v>13</v>
      </c>
      <c r="C3443" s="75" t="s">
        <v>8437</v>
      </c>
      <c r="D3443" t="s">
        <v>3768</v>
      </c>
      <c r="F3443" t="s">
        <v>8433</v>
      </c>
      <c r="G3443" s="75" t="s">
        <v>24</v>
      </c>
      <c r="H3443" s="75" t="str">
        <f>IFERROR(VLOOKUP(Table2[[#This Row],[Ticket]],Okey!A:B,2,0),"")</f>
        <v>ok</v>
      </c>
      <c r="I3443" s="75" t="s">
        <v>8318</v>
      </c>
      <c r="J3443" t="str">
        <f>VLOOKUP(Table2[[#This Row],[Author]],People!A:B,2,0)</f>
        <v>MGF</v>
      </c>
      <c r="L3443" s="76"/>
      <c r="M3443" s="76" t="s">
        <v>7208</v>
      </c>
    </row>
    <row r="3444" spans="1:13" x14ac:dyDescent="0.25">
      <c r="A3444" s="76">
        <f t="shared" si="59"/>
        <v>3443</v>
      </c>
      <c r="B3444" s="75" t="s">
        <v>13</v>
      </c>
      <c r="C3444" s="75" t="s">
        <v>8437</v>
      </c>
      <c r="D3444" t="s">
        <v>3770</v>
      </c>
      <c r="F3444" t="s">
        <v>8433</v>
      </c>
      <c r="G3444" s="75" t="s">
        <v>24</v>
      </c>
      <c r="H3444" s="75" t="str">
        <f>IFERROR(VLOOKUP(Table2[[#This Row],[Ticket]],Okey!A:B,2,0),"")</f>
        <v>ok</v>
      </c>
      <c r="I3444" s="75" t="s">
        <v>8318</v>
      </c>
      <c r="J3444" t="str">
        <f>VLOOKUP(Table2[[#This Row],[Author]],People!A:B,2,0)</f>
        <v>MGF</v>
      </c>
      <c r="L3444" s="76"/>
      <c r="M3444" s="76" t="s">
        <v>7208</v>
      </c>
    </row>
    <row r="3445" spans="1:13" x14ac:dyDescent="0.25">
      <c r="A3445" s="76">
        <f t="shared" si="59"/>
        <v>3444</v>
      </c>
      <c r="B3445" s="75" t="s">
        <v>13</v>
      </c>
      <c r="C3445" s="75" t="s">
        <v>8437</v>
      </c>
      <c r="D3445" t="s">
        <v>3772</v>
      </c>
      <c r="F3445" t="s">
        <v>8433</v>
      </c>
      <c r="G3445" s="75" t="s">
        <v>24</v>
      </c>
      <c r="H3445" s="75" t="str">
        <f>IFERROR(VLOOKUP(Table2[[#This Row],[Ticket]],Okey!A:B,2,0),"")</f>
        <v>ok</v>
      </c>
      <c r="I3445" s="75" t="s">
        <v>8318</v>
      </c>
      <c r="J3445" t="str">
        <f>VLOOKUP(Table2[[#This Row],[Author]],People!A:B,2,0)</f>
        <v>MGF</v>
      </c>
      <c r="L3445" s="76"/>
      <c r="M3445" s="76" t="s">
        <v>7208</v>
      </c>
    </row>
    <row r="3446" spans="1:13" x14ac:dyDescent="0.25">
      <c r="A3446" s="76">
        <f t="shared" si="59"/>
        <v>3445</v>
      </c>
      <c r="B3446" s="75" t="s">
        <v>13</v>
      </c>
      <c r="C3446" s="75" t="s">
        <v>8437</v>
      </c>
      <c r="D3446" t="s">
        <v>3774</v>
      </c>
      <c r="F3446" t="s">
        <v>8433</v>
      </c>
      <c r="G3446" s="75" t="s">
        <v>24</v>
      </c>
      <c r="H3446" s="75" t="str">
        <f>IFERROR(VLOOKUP(Table2[[#This Row],[Ticket]],Okey!A:B,2,0),"")</f>
        <v>ok</v>
      </c>
      <c r="I3446" s="75" t="s">
        <v>8318</v>
      </c>
      <c r="J3446" t="str">
        <f>VLOOKUP(Table2[[#This Row],[Author]],People!A:B,2,0)</f>
        <v>MGF</v>
      </c>
      <c r="L3446" s="76"/>
      <c r="M3446" s="76" t="s">
        <v>7208</v>
      </c>
    </row>
    <row r="3447" spans="1:13" x14ac:dyDescent="0.25">
      <c r="A3447" s="76">
        <f>1+A3446</f>
        <v>3446</v>
      </c>
      <c r="B3447" s="75" t="s">
        <v>13</v>
      </c>
      <c r="C3447" t="s">
        <v>8442</v>
      </c>
      <c r="D3447" t="s">
        <v>8438</v>
      </c>
      <c r="E3447" t="s">
        <v>8439</v>
      </c>
      <c r="G3447" t="s">
        <v>63</v>
      </c>
      <c r="H3447" s="75" t="str">
        <f>IFERROR(VLOOKUP(Table2[[#This Row],[Ticket]],Okey!A:B,2,0),"")</f>
        <v>ok</v>
      </c>
      <c r="I3447" s="75" t="s">
        <v>8318</v>
      </c>
      <c r="J3447" t="str">
        <f>VLOOKUP(Table2[[#This Row],[Author]],People!A:B,2,0)</f>
        <v>MGF</v>
      </c>
      <c r="L3447" s="76"/>
      <c r="M3447" s="76" t="s">
        <v>7208</v>
      </c>
    </row>
    <row r="3448" spans="1:13" x14ac:dyDescent="0.25">
      <c r="A3448" s="76">
        <f t="shared" ref="A3448:A3449" si="60">1+A3447</f>
        <v>3447</v>
      </c>
      <c r="B3448" s="75" t="s">
        <v>13</v>
      </c>
      <c r="C3448" s="75" t="s">
        <v>8442</v>
      </c>
      <c r="D3448" t="s">
        <v>3779</v>
      </c>
      <c r="E3448" t="s">
        <v>8440</v>
      </c>
      <c r="F3448" t="s">
        <v>3787</v>
      </c>
      <c r="G3448" t="s">
        <v>496</v>
      </c>
      <c r="H3448" s="75" t="str">
        <f>IFERROR(VLOOKUP(Table2[[#This Row],[Ticket]],Okey!A:B,2,0),"")</f>
        <v>ok</v>
      </c>
      <c r="I3448" s="75" t="s">
        <v>8318</v>
      </c>
      <c r="J3448" t="str">
        <f>VLOOKUP(Table2[[#This Row],[Author]],People!A:B,2,0)</f>
        <v>MGF</v>
      </c>
      <c r="L3448" s="76"/>
      <c r="M3448" s="76" t="s">
        <v>7208</v>
      </c>
    </row>
    <row r="3449" spans="1:13" x14ac:dyDescent="0.25">
      <c r="A3449" s="76">
        <f t="shared" si="60"/>
        <v>3448</v>
      </c>
      <c r="B3449" s="75" t="s">
        <v>13</v>
      </c>
      <c r="C3449" s="75" t="s">
        <v>8442</v>
      </c>
      <c r="D3449" t="s">
        <v>3781</v>
      </c>
      <c r="E3449" t="s">
        <v>8441</v>
      </c>
      <c r="F3449" t="s">
        <v>3787</v>
      </c>
      <c r="G3449" s="75" t="s">
        <v>496</v>
      </c>
      <c r="H3449" s="75" t="str">
        <f>IFERROR(VLOOKUP(Table2[[#This Row],[Ticket]],Okey!A:B,2,0),"")</f>
        <v>ok</v>
      </c>
      <c r="I3449" s="75" t="s">
        <v>8318</v>
      </c>
      <c r="J3449" t="str">
        <f>VLOOKUP(Table2[[#This Row],[Author]],People!A:B,2,0)</f>
        <v>MGF</v>
      </c>
      <c r="L3449" s="76"/>
      <c r="M3449" s="76" t="s">
        <v>7208</v>
      </c>
    </row>
    <row r="3450" spans="1:13" x14ac:dyDescent="0.25">
      <c r="A3450" s="76">
        <f>1+A3449</f>
        <v>3449</v>
      </c>
      <c r="B3450" s="75" t="s">
        <v>13</v>
      </c>
      <c r="C3450" t="s">
        <v>8443</v>
      </c>
      <c r="D3450" s="77" t="s">
        <v>8586</v>
      </c>
      <c r="E3450" s="41" t="s">
        <v>8444</v>
      </c>
      <c r="F3450" s="75" t="s">
        <v>4266</v>
      </c>
      <c r="G3450" t="s">
        <v>18</v>
      </c>
      <c r="H3450" s="76" t="str">
        <f>IFERROR(VLOOKUP(Table2[[#This Row],[Ticket]],Okey!A:B,2,0),"")</f>
        <v>ok</v>
      </c>
      <c r="I3450" s="77" t="s">
        <v>8318</v>
      </c>
      <c r="J3450" t="str">
        <f>VLOOKUP(Table2[[#This Row],[Author]],People!A:B,2,0)</f>
        <v>HC</v>
      </c>
      <c r="L3450" s="76"/>
      <c r="M3450" s="76" t="s">
        <v>7225</v>
      </c>
    </row>
    <row r="3451" spans="1:13" x14ac:dyDescent="0.25">
      <c r="A3451" s="76">
        <f t="shared" ref="A3451:A3482" si="61">1+A3450</f>
        <v>3450</v>
      </c>
      <c r="B3451" s="75" t="s">
        <v>13</v>
      </c>
      <c r="C3451" s="75" t="s">
        <v>8530</v>
      </c>
      <c r="D3451" t="s">
        <v>8532</v>
      </c>
      <c r="E3451" t="s">
        <v>8445</v>
      </c>
      <c r="F3451" t="s">
        <v>8398</v>
      </c>
      <c r="G3451" t="s">
        <v>18</v>
      </c>
      <c r="H3451" s="76" t="str">
        <f>IFERROR(VLOOKUP(Table2[[#This Row],[Ticket]],Okey!A:B,2,0),"")</f>
        <v>ok</v>
      </c>
      <c r="I3451" t="s">
        <v>8318</v>
      </c>
      <c r="J3451" t="str">
        <f>VLOOKUP(Table2[[#This Row],[Author]],People!A:B,2,0)</f>
        <v>EL</v>
      </c>
      <c r="L3451" s="76"/>
      <c r="M3451" s="76" t="s">
        <v>8497</v>
      </c>
    </row>
    <row r="3452" spans="1:13" x14ac:dyDescent="0.25">
      <c r="A3452" s="76">
        <f t="shared" si="61"/>
        <v>3451</v>
      </c>
      <c r="B3452" s="75" t="s">
        <v>13</v>
      </c>
      <c r="C3452" s="77" t="s">
        <v>8530</v>
      </c>
      <c r="D3452" t="s">
        <v>8533</v>
      </c>
      <c r="E3452" t="s">
        <v>8446</v>
      </c>
      <c r="F3452" t="s">
        <v>8532</v>
      </c>
      <c r="G3452" s="75" t="s">
        <v>18</v>
      </c>
      <c r="H3452" s="76" t="str">
        <f>IFERROR(VLOOKUP(Table2[[#This Row],[Ticket]],Okey!A:B,2,0),"")</f>
        <v>ok</v>
      </c>
      <c r="I3452" s="77" t="s">
        <v>8318</v>
      </c>
      <c r="J3452" t="str">
        <f>VLOOKUP(Table2[[#This Row],[Author]],People!A:B,2,0)</f>
        <v>EL</v>
      </c>
      <c r="K3452" s="77"/>
      <c r="L3452" s="76"/>
      <c r="M3452" s="76" t="s">
        <v>8497</v>
      </c>
    </row>
    <row r="3453" spans="1:13" x14ac:dyDescent="0.25">
      <c r="A3453" s="76">
        <f t="shared" si="61"/>
        <v>3452</v>
      </c>
      <c r="B3453" s="75" t="s">
        <v>13</v>
      </c>
      <c r="C3453" s="77" t="s">
        <v>8530</v>
      </c>
      <c r="D3453" t="s">
        <v>8534</v>
      </c>
      <c r="E3453" t="s">
        <v>8447</v>
      </c>
      <c r="F3453" s="77" t="s">
        <v>8532</v>
      </c>
      <c r="G3453" s="75" t="s">
        <v>18</v>
      </c>
      <c r="H3453" s="76" t="str">
        <f>IFERROR(VLOOKUP(Table2[[#This Row],[Ticket]],Okey!A:B,2,0),"")</f>
        <v>ok</v>
      </c>
      <c r="I3453" s="77" t="s">
        <v>8318</v>
      </c>
      <c r="J3453" t="str">
        <f>VLOOKUP(Table2[[#This Row],[Author]],People!A:B,2,0)</f>
        <v>EL</v>
      </c>
      <c r="K3453" s="77"/>
      <c r="L3453" s="76"/>
      <c r="M3453" s="76" t="s">
        <v>8497</v>
      </c>
    </row>
    <row r="3454" spans="1:13" x14ac:dyDescent="0.25">
      <c r="A3454" s="76">
        <f t="shared" si="61"/>
        <v>3453</v>
      </c>
      <c r="B3454" s="75" t="s">
        <v>13</v>
      </c>
      <c r="C3454" s="77" t="s">
        <v>8530</v>
      </c>
      <c r="D3454" t="s">
        <v>8535</v>
      </c>
      <c r="E3454" t="s">
        <v>8448</v>
      </c>
      <c r="F3454" s="77" t="s">
        <v>8532</v>
      </c>
      <c r="G3454" s="75" t="s">
        <v>18</v>
      </c>
      <c r="H3454" s="76" t="str">
        <f>IFERROR(VLOOKUP(Table2[[#This Row],[Ticket]],Okey!A:B,2,0),"")</f>
        <v>ok</v>
      </c>
      <c r="I3454" s="77" t="s">
        <v>8318</v>
      </c>
      <c r="J3454" t="str">
        <f>VLOOKUP(Table2[[#This Row],[Author]],People!A:B,2,0)</f>
        <v>EL</v>
      </c>
      <c r="K3454" s="77"/>
      <c r="L3454" s="76"/>
      <c r="M3454" s="76" t="s">
        <v>8497</v>
      </c>
    </row>
    <row r="3455" spans="1:13" ht="30" x14ac:dyDescent="0.25">
      <c r="A3455" s="76">
        <f t="shared" si="61"/>
        <v>3454</v>
      </c>
      <c r="B3455" s="75" t="s">
        <v>13</v>
      </c>
      <c r="C3455" s="77" t="s">
        <v>8530</v>
      </c>
      <c r="D3455" s="19" t="s">
        <v>8536</v>
      </c>
      <c r="E3455" s="19" t="s">
        <v>8449</v>
      </c>
      <c r="F3455" s="77" t="s">
        <v>8532</v>
      </c>
      <c r="G3455" s="75" t="s">
        <v>18</v>
      </c>
      <c r="H3455" s="76" t="str">
        <f>IFERROR(VLOOKUP(Table2[[#This Row],[Ticket]],Okey!A:B,2,0),"")</f>
        <v>ok</v>
      </c>
      <c r="I3455" s="77" t="s">
        <v>8318</v>
      </c>
      <c r="J3455" t="str">
        <f>VLOOKUP(Table2[[#This Row],[Author]],People!A:B,2,0)</f>
        <v>EL</v>
      </c>
      <c r="K3455" s="77"/>
      <c r="L3455" s="76"/>
      <c r="M3455" s="76" t="s">
        <v>8497</v>
      </c>
    </row>
    <row r="3456" spans="1:13" x14ac:dyDescent="0.25">
      <c r="A3456" s="76">
        <f t="shared" si="61"/>
        <v>3455</v>
      </c>
      <c r="B3456" s="75" t="s">
        <v>13</v>
      </c>
      <c r="C3456" s="77" t="s">
        <v>8530</v>
      </c>
      <c r="D3456" t="s">
        <v>8537</v>
      </c>
      <c r="E3456" t="s">
        <v>8450</v>
      </c>
      <c r="F3456" s="77" t="s">
        <v>8532</v>
      </c>
      <c r="G3456" s="75" t="s">
        <v>18</v>
      </c>
      <c r="H3456" s="76" t="str">
        <f>IFERROR(VLOOKUP(Table2[[#This Row],[Ticket]],Okey!A:B,2,0),"")</f>
        <v>ok</v>
      </c>
      <c r="I3456" s="77" t="s">
        <v>8318</v>
      </c>
      <c r="J3456" t="str">
        <f>VLOOKUP(Table2[[#This Row],[Author]],People!A:B,2,0)</f>
        <v>EL</v>
      </c>
      <c r="K3456" s="77"/>
      <c r="L3456" s="76"/>
      <c r="M3456" s="76" t="s">
        <v>8497</v>
      </c>
    </row>
    <row r="3457" spans="1:13" x14ac:dyDescent="0.25">
      <c r="A3457" s="76">
        <f t="shared" si="61"/>
        <v>3456</v>
      </c>
      <c r="B3457" s="75" t="s">
        <v>13</v>
      </c>
      <c r="C3457" s="77" t="s">
        <v>8530</v>
      </c>
      <c r="D3457" t="s">
        <v>8538</v>
      </c>
      <c r="E3457" t="s">
        <v>8451</v>
      </c>
      <c r="F3457" s="77" t="s">
        <v>8537</v>
      </c>
      <c r="G3457" s="75" t="s">
        <v>18</v>
      </c>
      <c r="H3457" s="76" t="str">
        <f>IFERROR(VLOOKUP(Table2[[#This Row],[Ticket]],Okey!A:B,2,0),"")</f>
        <v>ok</v>
      </c>
      <c r="I3457" s="77" t="s">
        <v>8318</v>
      </c>
      <c r="J3457" t="str">
        <f>VLOOKUP(Table2[[#This Row],[Author]],People!A:B,2,0)</f>
        <v>EL</v>
      </c>
      <c r="K3457" s="77"/>
      <c r="L3457" s="76"/>
      <c r="M3457" s="76" t="s">
        <v>8497</v>
      </c>
    </row>
    <row r="3458" spans="1:13" x14ac:dyDescent="0.25">
      <c r="A3458" s="76">
        <f t="shared" si="61"/>
        <v>3457</v>
      </c>
      <c r="B3458" s="75" t="s">
        <v>13</v>
      </c>
      <c r="C3458" s="77" t="s">
        <v>8530</v>
      </c>
      <c r="D3458" t="s">
        <v>8539</v>
      </c>
      <c r="E3458" t="s">
        <v>8452</v>
      </c>
      <c r="F3458" s="77" t="s">
        <v>8537</v>
      </c>
      <c r="G3458" s="75" t="s">
        <v>18</v>
      </c>
      <c r="H3458" s="76" t="str">
        <f>IFERROR(VLOOKUP(Table2[[#This Row],[Ticket]],Okey!A:B,2,0),"")</f>
        <v>ok</v>
      </c>
      <c r="I3458" s="77" t="s">
        <v>8318</v>
      </c>
      <c r="J3458" t="str">
        <f>VLOOKUP(Table2[[#This Row],[Author]],People!A:B,2,0)</f>
        <v>EL</v>
      </c>
      <c r="K3458" s="77"/>
      <c r="L3458" s="76"/>
      <c r="M3458" s="76" t="s">
        <v>8497</v>
      </c>
    </row>
    <row r="3459" spans="1:13" x14ac:dyDescent="0.25">
      <c r="A3459" s="76">
        <f t="shared" si="61"/>
        <v>3458</v>
      </c>
      <c r="B3459" s="75" t="s">
        <v>13</v>
      </c>
      <c r="C3459" s="77" t="s">
        <v>8530</v>
      </c>
      <c r="D3459" t="s">
        <v>8540</v>
      </c>
      <c r="E3459" t="s">
        <v>8453</v>
      </c>
      <c r="F3459" t="s">
        <v>8398</v>
      </c>
      <c r="G3459" s="75" t="s">
        <v>18</v>
      </c>
      <c r="H3459" s="76" t="str">
        <f>IFERROR(VLOOKUP(Table2[[#This Row],[Ticket]],Okey!A:B,2,0),"")</f>
        <v>ok</v>
      </c>
      <c r="I3459" s="77" t="s">
        <v>8318</v>
      </c>
      <c r="J3459" t="str">
        <f>VLOOKUP(Table2[[#This Row],[Author]],People!A:B,2,0)</f>
        <v>EL</v>
      </c>
      <c r="K3459" s="77"/>
      <c r="L3459" s="76"/>
      <c r="M3459" s="76" t="s">
        <v>8497</v>
      </c>
    </row>
    <row r="3460" spans="1:13" x14ac:dyDescent="0.25">
      <c r="A3460" s="76">
        <f t="shared" si="61"/>
        <v>3459</v>
      </c>
      <c r="B3460" s="75" t="s">
        <v>13</v>
      </c>
      <c r="C3460" s="77" t="s">
        <v>8530</v>
      </c>
      <c r="D3460" t="s">
        <v>8541</v>
      </c>
      <c r="E3460" t="s">
        <v>8454</v>
      </c>
      <c r="F3460" t="s">
        <v>1767</v>
      </c>
      <c r="G3460" s="75" t="s">
        <v>18</v>
      </c>
      <c r="H3460" s="76" t="str">
        <f>IFERROR(VLOOKUP(Table2[[#This Row],[Ticket]],Okey!A:B,2,0),"")</f>
        <v>ok</v>
      </c>
      <c r="I3460" s="77" t="s">
        <v>8318</v>
      </c>
      <c r="J3460" t="str">
        <f>VLOOKUP(Table2[[#This Row],[Author]],People!A:B,2,0)</f>
        <v>EL</v>
      </c>
      <c r="K3460" s="77"/>
      <c r="L3460" s="76"/>
      <c r="M3460" s="76" t="s">
        <v>8497</v>
      </c>
    </row>
    <row r="3461" spans="1:13" x14ac:dyDescent="0.25">
      <c r="A3461" s="76">
        <f t="shared" si="61"/>
        <v>3460</v>
      </c>
      <c r="B3461" s="75" t="s">
        <v>13</v>
      </c>
      <c r="C3461" s="77" t="s">
        <v>8530</v>
      </c>
      <c r="D3461" t="s">
        <v>8542</v>
      </c>
      <c r="E3461" t="s">
        <v>8455</v>
      </c>
      <c r="F3461" s="77" t="s">
        <v>8541</v>
      </c>
      <c r="G3461" s="75" t="s">
        <v>18</v>
      </c>
      <c r="H3461" s="76" t="str">
        <f>IFERROR(VLOOKUP(Table2[[#This Row],[Ticket]],Okey!A:B,2,0),"")</f>
        <v>ok</v>
      </c>
      <c r="I3461" s="77" t="s">
        <v>8318</v>
      </c>
      <c r="J3461" t="str">
        <f>VLOOKUP(Table2[[#This Row],[Author]],People!A:B,2,0)</f>
        <v>EL</v>
      </c>
      <c r="K3461" s="77"/>
      <c r="L3461" s="76"/>
      <c r="M3461" s="76" t="s">
        <v>8497</v>
      </c>
    </row>
    <row r="3462" spans="1:13" x14ac:dyDescent="0.25">
      <c r="A3462" s="76">
        <f t="shared" si="61"/>
        <v>3461</v>
      </c>
      <c r="B3462" s="75" t="s">
        <v>13</v>
      </c>
      <c r="C3462" s="77" t="s">
        <v>8530</v>
      </c>
      <c r="D3462" t="s">
        <v>8543</v>
      </c>
      <c r="E3462" t="s">
        <v>8456</v>
      </c>
      <c r="F3462" s="77" t="s">
        <v>8541</v>
      </c>
      <c r="G3462" s="75" t="s">
        <v>18</v>
      </c>
      <c r="H3462" s="76" t="str">
        <f>IFERROR(VLOOKUP(Table2[[#This Row],[Ticket]],Okey!A:B,2,0),"")</f>
        <v>ok</v>
      </c>
      <c r="I3462" s="77" t="s">
        <v>8318</v>
      </c>
      <c r="J3462" t="str">
        <f>VLOOKUP(Table2[[#This Row],[Author]],People!A:B,2,0)</f>
        <v>EL</v>
      </c>
      <c r="K3462" s="77"/>
      <c r="L3462" s="76"/>
      <c r="M3462" s="76" t="s">
        <v>8497</v>
      </c>
    </row>
    <row r="3463" spans="1:13" x14ac:dyDescent="0.25">
      <c r="A3463" s="76">
        <f t="shared" si="61"/>
        <v>3462</v>
      </c>
      <c r="B3463" s="75" t="s">
        <v>13</v>
      </c>
      <c r="C3463" s="77" t="s">
        <v>8530</v>
      </c>
      <c r="D3463" t="s">
        <v>8544</v>
      </c>
      <c r="E3463" t="s">
        <v>8457</v>
      </c>
      <c r="F3463" s="77" t="s">
        <v>8541</v>
      </c>
      <c r="G3463" s="75" t="s">
        <v>18</v>
      </c>
      <c r="H3463" s="76" t="str">
        <f>IFERROR(VLOOKUP(Table2[[#This Row],[Ticket]],Okey!A:B,2,0),"")</f>
        <v>ok</v>
      </c>
      <c r="I3463" s="77" t="s">
        <v>8318</v>
      </c>
      <c r="J3463" t="str">
        <f>VLOOKUP(Table2[[#This Row],[Author]],People!A:B,2,0)</f>
        <v>EL</v>
      </c>
      <c r="K3463" s="77"/>
      <c r="L3463" s="76"/>
      <c r="M3463" s="76" t="s">
        <v>8497</v>
      </c>
    </row>
    <row r="3464" spans="1:13" x14ac:dyDescent="0.25">
      <c r="A3464" s="76">
        <f t="shared" si="61"/>
        <v>3463</v>
      </c>
      <c r="B3464" s="75" t="s">
        <v>13</v>
      </c>
      <c r="C3464" s="77" t="s">
        <v>8530</v>
      </c>
      <c r="D3464" t="s">
        <v>8545</v>
      </c>
      <c r="E3464" t="s">
        <v>8458</v>
      </c>
      <c r="F3464" t="s">
        <v>8363</v>
      </c>
      <c r="G3464" s="75" t="s">
        <v>18</v>
      </c>
      <c r="H3464" s="76" t="str">
        <f>IFERROR(VLOOKUP(Table2[[#This Row],[Ticket]],Okey!A:B,2,0),"")</f>
        <v>ok</v>
      </c>
      <c r="I3464" s="77" t="s">
        <v>8318</v>
      </c>
      <c r="J3464" t="str">
        <f>VLOOKUP(Table2[[#This Row],[Author]],People!A:B,2,0)</f>
        <v>EL</v>
      </c>
      <c r="K3464" s="77"/>
      <c r="L3464" s="76"/>
      <c r="M3464" s="76" t="s">
        <v>8497</v>
      </c>
    </row>
    <row r="3465" spans="1:13" x14ac:dyDescent="0.25">
      <c r="A3465" s="76">
        <f t="shared" si="61"/>
        <v>3464</v>
      </c>
      <c r="B3465" s="75" t="s">
        <v>13</v>
      </c>
      <c r="C3465" s="77" t="s">
        <v>8530</v>
      </c>
      <c r="D3465" t="s">
        <v>8546</v>
      </c>
      <c r="E3465" t="s">
        <v>8459</v>
      </c>
      <c r="F3465" s="77" t="s">
        <v>8545</v>
      </c>
      <c r="G3465" s="75" t="s">
        <v>18</v>
      </c>
      <c r="H3465" s="76" t="str">
        <f>IFERROR(VLOOKUP(Table2[[#This Row],[Ticket]],Okey!A:B,2,0),"")</f>
        <v>ok</v>
      </c>
      <c r="I3465" s="77" t="s">
        <v>8318</v>
      </c>
      <c r="J3465" t="str">
        <f>VLOOKUP(Table2[[#This Row],[Author]],People!A:B,2,0)</f>
        <v>EL</v>
      </c>
      <c r="K3465" s="77"/>
      <c r="L3465" s="76"/>
      <c r="M3465" s="76" t="s">
        <v>8497</v>
      </c>
    </row>
    <row r="3466" spans="1:13" x14ac:dyDescent="0.25">
      <c r="A3466" s="76">
        <f t="shared" si="61"/>
        <v>3465</v>
      </c>
      <c r="B3466" s="75" t="s">
        <v>13</v>
      </c>
      <c r="C3466" s="77" t="s">
        <v>8530</v>
      </c>
      <c r="D3466" t="s">
        <v>8547</v>
      </c>
      <c r="E3466" t="s">
        <v>8460</v>
      </c>
      <c r="F3466" s="77" t="s">
        <v>8545</v>
      </c>
      <c r="G3466" s="75" t="s">
        <v>18</v>
      </c>
      <c r="H3466" s="76" t="str">
        <f>IFERROR(VLOOKUP(Table2[[#This Row],[Ticket]],Okey!A:B,2,0),"")</f>
        <v>ok</v>
      </c>
      <c r="I3466" s="77" t="s">
        <v>8318</v>
      </c>
      <c r="J3466" t="str">
        <f>VLOOKUP(Table2[[#This Row],[Author]],People!A:B,2,0)</f>
        <v>EL</v>
      </c>
      <c r="K3466" s="77"/>
      <c r="L3466" s="76"/>
      <c r="M3466" s="76" t="s">
        <v>8497</v>
      </c>
    </row>
    <row r="3467" spans="1:13" x14ac:dyDescent="0.25">
      <c r="A3467" s="76">
        <f t="shared" si="61"/>
        <v>3466</v>
      </c>
      <c r="B3467" s="75" t="s">
        <v>13</v>
      </c>
      <c r="C3467" s="77" t="s">
        <v>8530</v>
      </c>
      <c r="D3467" t="s">
        <v>8548</v>
      </c>
      <c r="E3467" t="s">
        <v>8461</v>
      </c>
      <c r="F3467" s="77" t="s">
        <v>8545</v>
      </c>
      <c r="G3467" s="75" t="s">
        <v>18</v>
      </c>
      <c r="H3467" s="76" t="str">
        <f>IFERROR(VLOOKUP(Table2[[#This Row],[Ticket]],Okey!A:B,2,0),"")</f>
        <v>ok</v>
      </c>
      <c r="I3467" s="77" t="s">
        <v>8318</v>
      </c>
      <c r="J3467" t="str">
        <f>VLOOKUP(Table2[[#This Row],[Author]],People!A:B,2,0)</f>
        <v>EL</v>
      </c>
      <c r="K3467" s="77"/>
      <c r="L3467" s="76"/>
      <c r="M3467" s="76" t="s">
        <v>8497</v>
      </c>
    </row>
    <row r="3468" spans="1:13" x14ac:dyDescent="0.25">
      <c r="A3468" s="76">
        <f t="shared" si="61"/>
        <v>3467</v>
      </c>
      <c r="B3468" s="75" t="s">
        <v>13</v>
      </c>
      <c r="C3468" s="77" t="s">
        <v>8530</v>
      </c>
      <c r="D3468" t="s">
        <v>8549</v>
      </c>
      <c r="E3468" t="s">
        <v>8462</v>
      </c>
      <c r="F3468" s="77" t="s">
        <v>8545</v>
      </c>
      <c r="G3468" s="75" t="s">
        <v>18</v>
      </c>
      <c r="H3468" s="76" t="str">
        <f>IFERROR(VLOOKUP(Table2[[#This Row],[Ticket]],Okey!A:B,2,0),"")</f>
        <v>ok</v>
      </c>
      <c r="I3468" s="77" t="s">
        <v>8318</v>
      </c>
      <c r="J3468" t="str">
        <f>VLOOKUP(Table2[[#This Row],[Author]],People!A:B,2,0)</f>
        <v>EL</v>
      </c>
      <c r="K3468" s="77"/>
      <c r="L3468" s="76"/>
      <c r="M3468" s="76" t="s">
        <v>8497</v>
      </c>
    </row>
    <row r="3469" spans="1:13" x14ac:dyDescent="0.25">
      <c r="A3469" s="76">
        <f t="shared" si="61"/>
        <v>3468</v>
      </c>
      <c r="B3469" s="75" t="s">
        <v>13</v>
      </c>
      <c r="C3469" s="77" t="s">
        <v>8530</v>
      </c>
      <c r="D3469" t="s">
        <v>8550</v>
      </c>
      <c r="E3469" t="s">
        <v>8463</v>
      </c>
      <c r="F3469" t="s">
        <v>8363</v>
      </c>
      <c r="G3469" s="75" t="s">
        <v>18</v>
      </c>
      <c r="H3469" s="76" t="str">
        <f>IFERROR(VLOOKUP(Table2[[#This Row],[Ticket]],Okey!A:B,2,0),"")</f>
        <v>ok</v>
      </c>
      <c r="I3469" s="77" t="s">
        <v>8318</v>
      </c>
      <c r="J3469" t="str">
        <f>VLOOKUP(Table2[[#This Row],[Author]],People!A:B,2,0)</f>
        <v>EL</v>
      </c>
      <c r="K3469" s="77"/>
      <c r="L3469" s="76"/>
      <c r="M3469" s="76" t="s">
        <v>8497</v>
      </c>
    </row>
    <row r="3470" spans="1:13" x14ac:dyDescent="0.25">
      <c r="A3470" s="76">
        <f t="shared" si="61"/>
        <v>3469</v>
      </c>
      <c r="B3470" s="75" t="s">
        <v>13</v>
      </c>
      <c r="C3470" s="77" t="s">
        <v>8530</v>
      </c>
      <c r="D3470" t="s">
        <v>8551</v>
      </c>
      <c r="E3470" t="s">
        <v>8464</v>
      </c>
      <c r="F3470" s="77" t="s">
        <v>8550</v>
      </c>
      <c r="G3470" s="75" t="s">
        <v>18</v>
      </c>
      <c r="H3470" s="76" t="str">
        <f>IFERROR(VLOOKUP(Table2[[#This Row],[Ticket]],Okey!A:B,2,0),"")</f>
        <v>ok</v>
      </c>
      <c r="I3470" s="77" t="s">
        <v>8318</v>
      </c>
      <c r="J3470" t="str">
        <f>VLOOKUP(Table2[[#This Row],[Author]],People!A:B,2,0)</f>
        <v>EL</v>
      </c>
      <c r="K3470" s="77"/>
      <c r="L3470" s="76"/>
      <c r="M3470" s="76" t="s">
        <v>8497</v>
      </c>
    </row>
    <row r="3471" spans="1:13" x14ac:dyDescent="0.25">
      <c r="A3471" s="76">
        <f t="shared" si="61"/>
        <v>3470</v>
      </c>
      <c r="B3471" s="75" t="s">
        <v>13</v>
      </c>
      <c r="C3471" s="77" t="s">
        <v>8530</v>
      </c>
      <c r="D3471" t="s">
        <v>8552</v>
      </c>
      <c r="E3471" t="s">
        <v>8465</v>
      </c>
      <c r="F3471" s="77" t="s">
        <v>8550</v>
      </c>
      <c r="G3471" s="75" t="s">
        <v>18</v>
      </c>
      <c r="H3471" s="76" t="str">
        <f>IFERROR(VLOOKUP(Table2[[#This Row],[Ticket]],Okey!A:B,2,0),"")</f>
        <v>ok</v>
      </c>
      <c r="I3471" s="77" t="s">
        <v>8318</v>
      </c>
      <c r="J3471" t="str">
        <f>VLOOKUP(Table2[[#This Row],[Author]],People!A:B,2,0)</f>
        <v>EL</v>
      </c>
      <c r="K3471" s="77"/>
      <c r="L3471" s="76"/>
      <c r="M3471" s="76" t="s">
        <v>8497</v>
      </c>
    </row>
    <row r="3472" spans="1:13" x14ac:dyDescent="0.25">
      <c r="A3472" s="76">
        <f t="shared" si="61"/>
        <v>3471</v>
      </c>
      <c r="B3472" s="75" t="s">
        <v>13</v>
      </c>
      <c r="C3472" s="77" t="s">
        <v>8530</v>
      </c>
      <c r="D3472" t="s">
        <v>8553</v>
      </c>
      <c r="E3472" t="s">
        <v>8466</v>
      </c>
      <c r="F3472" t="s">
        <v>1785</v>
      </c>
      <c r="G3472" s="75" t="s">
        <v>18</v>
      </c>
      <c r="H3472" s="76" t="str">
        <f>IFERROR(VLOOKUP(Table2[[#This Row],[Ticket]],Okey!A:B,2,0),"")</f>
        <v>ok</v>
      </c>
      <c r="I3472" s="77" t="s">
        <v>8318</v>
      </c>
      <c r="J3472" t="str">
        <f>VLOOKUP(Table2[[#This Row],[Author]],People!A:B,2,0)</f>
        <v>EL</v>
      </c>
      <c r="K3472" s="77"/>
      <c r="L3472" s="76"/>
      <c r="M3472" s="76" t="s">
        <v>8497</v>
      </c>
    </row>
    <row r="3473" spans="1:13" x14ac:dyDescent="0.25">
      <c r="A3473" s="76">
        <f t="shared" si="61"/>
        <v>3472</v>
      </c>
      <c r="B3473" s="75" t="s">
        <v>13</v>
      </c>
      <c r="C3473" s="77" t="s">
        <v>8530</v>
      </c>
      <c r="D3473" t="s">
        <v>8554</v>
      </c>
      <c r="E3473" t="s">
        <v>8467</v>
      </c>
      <c r="F3473" s="77" t="s">
        <v>8553</v>
      </c>
      <c r="G3473" s="75" t="s">
        <v>18</v>
      </c>
      <c r="H3473" s="76" t="str">
        <f>IFERROR(VLOOKUP(Table2[[#This Row],[Ticket]],Okey!A:B,2,0),"")</f>
        <v>ok</v>
      </c>
      <c r="I3473" s="77" t="s">
        <v>8318</v>
      </c>
      <c r="J3473" t="str">
        <f>VLOOKUP(Table2[[#This Row],[Author]],People!A:B,2,0)</f>
        <v>EL</v>
      </c>
      <c r="K3473" s="77"/>
      <c r="L3473" s="76"/>
      <c r="M3473" s="76" t="s">
        <v>8497</v>
      </c>
    </row>
    <row r="3474" spans="1:13" x14ac:dyDescent="0.25">
      <c r="A3474" s="76">
        <f t="shared" si="61"/>
        <v>3473</v>
      </c>
      <c r="B3474" s="75" t="s">
        <v>13</v>
      </c>
      <c r="C3474" s="77" t="s">
        <v>8530</v>
      </c>
      <c r="D3474" t="s">
        <v>8555</v>
      </c>
      <c r="E3474" t="s">
        <v>8468</v>
      </c>
      <c r="F3474" s="77" t="s">
        <v>8553</v>
      </c>
      <c r="G3474" s="75" t="s">
        <v>18</v>
      </c>
      <c r="H3474" s="76" t="str">
        <f>IFERROR(VLOOKUP(Table2[[#This Row],[Ticket]],Okey!A:B,2,0),"")</f>
        <v>ok</v>
      </c>
      <c r="I3474" s="77" t="s">
        <v>8318</v>
      </c>
      <c r="J3474" t="str">
        <f>VLOOKUP(Table2[[#This Row],[Author]],People!A:B,2,0)</f>
        <v>EL</v>
      </c>
      <c r="K3474" s="77"/>
      <c r="L3474" s="76"/>
      <c r="M3474" s="76" t="s">
        <v>8497</v>
      </c>
    </row>
    <row r="3475" spans="1:13" x14ac:dyDescent="0.25">
      <c r="A3475" s="76">
        <f t="shared" si="61"/>
        <v>3474</v>
      </c>
      <c r="B3475" s="75" t="s">
        <v>13</v>
      </c>
      <c r="C3475" s="77" t="s">
        <v>8530</v>
      </c>
      <c r="D3475" t="s">
        <v>8556</v>
      </c>
      <c r="E3475" t="s">
        <v>8469</v>
      </c>
      <c r="F3475" s="77" t="s">
        <v>8553</v>
      </c>
      <c r="G3475" s="75" t="s">
        <v>18</v>
      </c>
      <c r="H3475" s="76" t="str">
        <f>IFERROR(VLOOKUP(Table2[[#This Row],[Ticket]],Okey!A:B,2,0),"")</f>
        <v>ok</v>
      </c>
      <c r="I3475" s="77" t="s">
        <v>8318</v>
      </c>
      <c r="J3475" t="str">
        <f>VLOOKUP(Table2[[#This Row],[Author]],People!A:B,2,0)</f>
        <v>EL</v>
      </c>
      <c r="K3475" s="77"/>
      <c r="L3475" s="76"/>
      <c r="M3475" s="76" t="s">
        <v>8497</v>
      </c>
    </row>
    <row r="3476" spans="1:13" x14ac:dyDescent="0.25">
      <c r="A3476" s="76">
        <f t="shared" si="61"/>
        <v>3475</v>
      </c>
      <c r="B3476" s="75" t="s">
        <v>13</v>
      </c>
      <c r="C3476" s="77" t="s">
        <v>8530</v>
      </c>
      <c r="D3476" t="s">
        <v>8557</v>
      </c>
      <c r="E3476" t="s">
        <v>8457</v>
      </c>
      <c r="F3476" s="77" t="s">
        <v>8553</v>
      </c>
      <c r="G3476" s="75" t="s">
        <v>18</v>
      </c>
      <c r="H3476" s="76" t="str">
        <f>IFERROR(VLOOKUP(Table2[[#This Row],[Ticket]],Okey!A:B,2,0),"")</f>
        <v>ok</v>
      </c>
      <c r="I3476" s="77" t="s">
        <v>8318</v>
      </c>
      <c r="J3476" t="str">
        <f>VLOOKUP(Table2[[#This Row],[Author]],People!A:B,2,0)</f>
        <v>EL</v>
      </c>
      <c r="K3476" s="77"/>
      <c r="L3476" s="76"/>
      <c r="M3476" s="76" t="s">
        <v>8497</v>
      </c>
    </row>
    <row r="3477" spans="1:13" x14ac:dyDescent="0.25">
      <c r="A3477" s="76">
        <f t="shared" si="61"/>
        <v>3476</v>
      </c>
      <c r="B3477" s="75" t="s">
        <v>13</v>
      </c>
      <c r="C3477" s="77" t="s">
        <v>8530</v>
      </c>
      <c r="D3477" t="s">
        <v>8558</v>
      </c>
      <c r="E3477" t="s">
        <v>8470</v>
      </c>
      <c r="F3477" t="s">
        <v>8364</v>
      </c>
      <c r="G3477" s="75" t="s">
        <v>18</v>
      </c>
      <c r="H3477" s="76" t="str">
        <f>IFERROR(VLOOKUP(Table2[[#This Row],[Ticket]],Okey!A:B,2,0),"")</f>
        <v>ok</v>
      </c>
      <c r="I3477" s="77" t="s">
        <v>8318</v>
      </c>
      <c r="J3477" t="str">
        <f>VLOOKUP(Table2[[#This Row],[Author]],People!A:B,2,0)</f>
        <v>EL</v>
      </c>
      <c r="K3477" s="77"/>
      <c r="L3477" s="76"/>
      <c r="M3477" s="76" t="s">
        <v>8497</v>
      </c>
    </row>
    <row r="3478" spans="1:13" x14ac:dyDescent="0.25">
      <c r="A3478" s="76">
        <f t="shared" si="61"/>
        <v>3477</v>
      </c>
      <c r="B3478" s="75" t="s">
        <v>13</v>
      </c>
      <c r="C3478" s="77" t="s">
        <v>8530</v>
      </c>
      <c r="D3478" t="s">
        <v>8559</v>
      </c>
      <c r="E3478" t="s">
        <v>8471</v>
      </c>
      <c r="F3478" s="77" t="s">
        <v>8558</v>
      </c>
      <c r="G3478" s="75" t="s">
        <v>18</v>
      </c>
      <c r="H3478" s="76" t="str">
        <f>IFERROR(VLOOKUP(Table2[[#This Row],[Ticket]],Okey!A:B,2,0),"")</f>
        <v>ok</v>
      </c>
      <c r="I3478" s="77" t="s">
        <v>8318</v>
      </c>
      <c r="J3478" t="str">
        <f>VLOOKUP(Table2[[#This Row],[Author]],People!A:B,2,0)</f>
        <v>EL</v>
      </c>
      <c r="K3478" s="77"/>
      <c r="L3478" s="76"/>
      <c r="M3478" s="76" t="s">
        <v>8497</v>
      </c>
    </row>
    <row r="3479" spans="1:13" x14ac:dyDescent="0.25">
      <c r="A3479" s="76">
        <f t="shared" si="61"/>
        <v>3478</v>
      </c>
      <c r="B3479" s="75" t="s">
        <v>13</v>
      </c>
      <c r="C3479" s="77" t="s">
        <v>8530</v>
      </c>
      <c r="D3479" t="s">
        <v>8560</v>
      </c>
      <c r="E3479" t="s">
        <v>8472</v>
      </c>
      <c r="F3479" s="77" t="s">
        <v>8558</v>
      </c>
      <c r="G3479" s="75" t="s">
        <v>18</v>
      </c>
      <c r="H3479" s="76" t="str">
        <f>IFERROR(VLOOKUP(Table2[[#This Row],[Ticket]],Okey!A:B,2,0),"")</f>
        <v>ok</v>
      </c>
      <c r="I3479" s="77" t="s">
        <v>8318</v>
      </c>
      <c r="J3479" t="str">
        <f>VLOOKUP(Table2[[#This Row],[Author]],People!A:B,2,0)</f>
        <v>EL</v>
      </c>
      <c r="K3479" s="77"/>
      <c r="L3479" s="76"/>
      <c r="M3479" s="76" t="s">
        <v>8497</v>
      </c>
    </row>
    <row r="3480" spans="1:13" x14ac:dyDescent="0.25">
      <c r="A3480" s="76">
        <f t="shared" si="61"/>
        <v>3479</v>
      </c>
      <c r="B3480" s="75" t="s">
        <v>13</v>
      </c>
      <c r="C3480" s="77" t="s">
        <v>8530</v>
      </c>
      <c r="D3480" t="s">
        <v>8561</v>
      </c>
      <c r="E3480" t="s">
        <v>8473</v>
      </c>
      <c r="F3480" s="77" t="s">
        <v>8558</v>
      </c>
      <c r="G3480" s="75" t="s">
        <v>18</v>
      </c>
      <c r="H3480" s="76" t="str">
        <f>IFERROR(VLOOKUP(Table2[[#This Row],[Ticket]],Okey!A:B,2,0),"")</f>
        <v>ok</v>
      </c>
      <c r="I3480" s="77" t="s">
        <v>8318</v>
      </c>
      <c r="J3480" t="str">
        <f>VLOOKUP(Table2[[#This Row],[Author]],People!A:B,2,0)</f>
        <v>EL</v>
      </c>
      <c r="K3480" s="77"/>
      <c r="L3480" s="76"/>
      <c r="M3480" s="76" t="s">
        <v>8497</v>
      </c>
    </row>
    <row r="3481" spans="1:13" x14ac:dyDescent="0.25">
      <c r="A3481" s="76">
        <f t="shared" si="61"/>
        <v>3480</v>
      </c>
      <c r="B3481" s="75" t="s">
        <v>13</v>
      </c>
      <c r="C3481" s="77" t="s">
        <v>8530</v>
      </c>
      <c r="D3481" t="s">
        <v>8562</v>
      </c>
      <c r="E3481" t="s">
        <v>8474</v>
      </c>
      <c r="F3481" s="77" t="s">
        <v>8558</v>
      </c>
      <c r="G3481" s="75" t="s">
        <v>18</v>
      </c>
      <c r="H3481" s="76" t="str">
        <f>IFERROR(VLOOKUP(Table2[[#This Row],[Ticket]],Okey!A:B,2,0),"")</f>
        <v>ok</v>
      </c>
      <c r="I3481" s="77" t="s">
        <v>8318</v>
      </c>
      <c r="J3481" t="str">
        <f>VLOOKUP(Table2[[#This Row],[Author]],People!A:B,2,0)</f>
        <v>EL</v>
      </c>
      <c r="K3481" s="77"/>
      <c r="L3481" s="76"/>
      <c r="M3481" s="76" t="s">
        <v>8497</v>
      </c>
    </row>
    <row r="3482" spans="1:13" x14ac:dyDescent="0.25">
      <c r="A3482" s="76">
        <f t="shared" si="61"/>
        <v>3481</v>
      </c>
      <c r="B3482" s="75" t="s">
        <v>13</v>
      </c>
      <c r="C3482" s="77" t="s">
        <v>8530</v>
      </c>
      <c r="D3482" t="s">
        <v>8563</v>
      </c>
      <c r="E3482" t="s">
        <v>8475</v>
      </c>
      <c r="F3482" s="77" t="s">
        <v>8558</v>
      </c>
      <c r="G3482" s="75" t="s">
        <v>18</v>
      </c>
      <c r="H3482" s="76" t="str">
        <f>IFERROR(VLOOKUP(Table2[[#This Row],[Ticket]],Okey!A:B,2,0),"")</f>
        <v>ok</v>
      </c>
      <c r="I3482" s="77" t="s">
        <v>8318</v>
      </c>
      <c r="J3482" t="str">
        <f>VLOOKUP(Table2[[#This Row],[Author]],People!A:B,2,0)</f>
        <v>EL</v>
      </c>
      <c r="K3482" s="77"/>
      <c r="L3482" s="76"/>
      <c r="M3482" s="76" t="s">
        <v>8497</v>
      </c>
    </row>
    <row r="3483" spans="1:13" x14ac:dyDescent="0.25">
      <c r="A3483" s="76">
        <f t="shared" ref="A3483:A3504" si="62">1+A3482</f>
        <v>3482</v>
      </c>
      <c r="B3483" s="75" t="s">
        <v>13</v>
      </c>
      <c r="C3483" s="77" t="s">
        <v>8530</v>
      </c>
      <c r="D3483" t="s">
        <v>8564</v>
      </c>
      <c r="E3483" t="s">
        <v>8476</v>
      </c>
      <c r="F3483" s="77" t="s">
        <v>8558</v>
      </c>
      <c r="G3483" s="75" t="s">
        <v>18</v>
      </c>
      <c r="H3483" s="76" t="str">
        <f>IFERROR(VLOOKUP(Table2[[#This Row],[Ticket]],Okey!A:B,2,0),"")</f>
        <v>ok</v>
      </c>
      <c r="I3483" s="77" t="s">
        <v>8318</v>
      </c>
      <c r="J3483" t="str">
        <f>VLOOKUP(Table2[[#This Row],[Author]],People!A:B,2,0)</f>
        <v>EL</v>
      </c>
      <c r="K3483" s="77"/>
      <c r="L3483" s="76"/>
      <c r="M3483" s="76" t="s">
        <v>8497</v>
      </c>
    </row>
    <row r="3484" spans="1:13" x14ac:dyDescent="0.25">
      <c r="A3484" s="76">
        <f t="shared" si="62"/>
        <v>3483</v>
      </c>
      <c r="B3484" s="75" t="s">
        <v>13</v>
      </c>
      <c r="C3484" s="77" t="s">
        <v>8530</v>
      </c>
      <c r="D3484" t="s">
        <v>8565</v>
      </c>
      <c r="E3484" t="s">
        <v>8477</v>
      </c>
      <c r="F3484" s="77" t="s">
        <v>8558</v>
      </c>
      <c r="G3484" s="75" t="s">
        <v>18</v>
      </c>
      <c r="H3484" s="76" t="str">
        <f>IFERROR(VLOOKUP(Table2[[#This Row],[Ticket]],Okey!A:B,2,0),"")</f>
        <v>ok</v>
      </c>
      <c r="I3484" s="77" t="s">
        <v>8318</v>
      </c>
      <c r="J3484" t="str">
        <f>VLOOKUP(Table2[[#This Row],[Author]],People!A:B,2,0)</f>
        <v>EL</v>
      </c>
      <c r="K3484" s="77"/>
      <c r="L3484" s="76"/>
      <c r="M3484" s="76" t="s">
        <v>8497</v>
      </c>
    </row>
    <row r="3485" spans="1:13" x14ac:dyDescent="0.25">
      <c r="A3485" s="76">
        <f t="shared" si="62"/>
        <v>3484</v>
      </c>
      <c r="B3485" s="75" t="s">
        <v>13</v>
      </c>
      <c r="C3485" s="77" t="s">
        <v>8530</v>
      </c>
      <c r="D3485" t="s">
        <v>8566</v>
      </c>
      <c r="E3485" t="s">
        <v>8478</v>
      </c>
      <c r="F3485" t="s">
        <v>8364</v>
      </c>
      <c r="G3485" s="75" t="s">
        <v>18</v>
      </c>
      <c r="H3485" s="76" t="str">
        <f>IFERROR(VLOOKUP(Table2[[#This Row],[Ticket]],Okey!A:B,2,0),"")</f>
        <v>ok</v>
      </c>
      <c r="I3485" s="77" t="s">
        <v>8318</v>
      </c>
      <c r="J3485" t="str">
        <f>VLOOKUP(Table2[[#This Row],[Author]],People!A:B,2,0)</f>
        <v>EL</v>
      </c>
      <c r="K3485" s="77"/>
      <c r="L3485" s="76"/>
      <c r="M3485" s="76" t="s">
        <v>8497</v>
      </c>
    </row>
    <row r="3486" spans="1:13" x14ac:dyDescent="0.25">
      <c r="A3486" s="76">
        <f t="shared" si="62"/>
        <v>3485</v>
      </c>
      <c r="B3486" s="75" t="s">
        <v>13</v>
      </c>
      <c r="C3486" s="77" t="s">
        <v>8530</v>
      </c>
      <c r="D3486" t="s">
        <v>8567</v>
      </c>
      <c r="E3486" t="s">
        <v>8479</v>
      </c>
      <c r="F3486" s="77" t="s">
        <v>8566</v>
      </c>
      <c r="G3486" s="75" t="s">
        <v>18</v>
      </c>
      <c r="H3486" s="76" t="str">
        <f>IFERROR(VLOOKUP(Table2[[#This Row],[Ticket]],Okey!A:B,2,0),"")</f>
        <v>ok</v>
      </c>
      <c r="I3486" s="77" t="s">
        <v>8318</v>
      </c>
      <c r="J3486" t="str">
        <f>VLOOKUP(Table2[[#This Row],[Author]],People!A:B,2,0)</f>
        <v>EL</v>
      </c>
      <c r="K3486" s="77"/>
      <c r="L3486" s="76"/>
      <c r="M3486" s="76" t="s">
        <v>8497</v>
      </c>
    </row>
    <row r="3487" spans="1:13" x14ac:dyDescent="0.25">
      <c r="A3487" s="76">
        <f t="shared" si="62"/>
        <v>3486</v>
      </c>
      <c r="B3487" s="75" t="s">
        <v>13</v>
      </c>
      <c r="C3487" s="77" t="s">
        <v>8530</v>
      </c>
      <c r="D3487" t="s">
        <v>8568</v>
      </c>
      <c r="E3487" t="s">
        <v>8480</v>
      </c>
      <c r="F3487" s="77" t="s">
        <v>8566</v>
      </c>
      <c r="G3487" s="75" t="s">
        <v>18</v>
      </c>
      <c r="H3487" s="76" t="str">
        <f>IFERROR(VLOOKUP(Table2[[#This Row],[Ticket]],Okey!A:B,2,0),"")</f>
        <v>ok</v>
      </c>
      <c r="I3487" s="77" t="s">
        <v>8318</v>
      </c>
      <c r="J3487" t="str">
        <f>VLOOKUP(Table2[[#This Row],[Author]],People!A:B,2,0)</f>
        <v>EL</v>
      </c>
      <c r="K3487" s="77"/>
      <c r="L3487" s="76"/>
      <c r="M3487" s="76" t="s">
        <v>8497</v>
      </c>
    </row>
    <row r="3488" spans="1:13" x14ac:dyDescent="0.25">
      <c r="A3488" s="76">
        <f t="shared" si="62"/>
        <v>3487</v>
      </c>
      <c r="B3488" s="75" t="s">
        <v>13</v>
      </c>
      <c r="C3488" s="77" t="s">
        <v>8530</v>
      </c>
      <c r="D3488" t="s">
        <v>8569</v>
      </c>
      <c r="E3488" t="s">
        <v>8481</v>
      </c>
      <c r="F3488" s="77" t="s">
        <v>8566</v>
      </c>
      <c r="G3488" s="75" t="s">
        <v>18</v>
      </c>
      <c r="H3488" s="76" t="str">
        <f>IFERROR(VLOOKUP(Table2[[#This Row],[Ticket]],Okey!A:B,2,0),"")</f>
        <v>ok</v>
      </c>
      <c r="I3488" s="77" t="s">
        <v>8318</v>
      </c>
      <c r="J3488" t="str">
        <f>VLOOKUP(Table2[[#This Row],[Author]],People!A:B,2,0)</f>
        <v>EL</v>
      </c>
      <c r="K3488" s="77"/>
      <c r="L3488" s="76"/>
      <c r="M3488" s="76" t="s">
        <v>8497</v>
      </c>
    </row>
    <row r="3489" spans="1:13" x14ac:dyDescent="0.25">
      <c r="A3489" s="76">
        <f t="shared" si="62"/>
        <v>3488</v>
      </c>
      <c r="B3489" s="75" t="s">
        <v>13</v>
      </c>
      <c r="C3489" s="77" t="s">
        <v>8530</v>
      </c>
      <c r="D3489" t="s">
        <v>8570</v>
      </c>
      <c r="E3489" t="s">
        <v>8482</v>
      </c>
      <c r="F3489" s="77" t="s">
        <v>8566</v>
      </c>
      <c r="G3489" s="75" t="s">
        <v>18</v>
      </c>
      <c r="H3489" s="76" t="str">
        <f>IFERROR(VLOOKUP(Table2[[#This Row],[Ticket]],Okey!A:B,2,0),"")</f>
        <v>ok</v>
      </c>
      <c r="I3489" s="77" t="s">
        <v>8318</v>
      </c>
      <c r="J3489" t="str">
        <f>VLOOKUP(Table2[[#This Row],[Author]],People!A:B,2,0)</f>
        <v>EL</v>
      </c>
      <c r="K3489" s="77"/>
      <c r="L3489" s="76"/>
      <c r="M3489" s="76" t="s">
        <v>8497</v>
      </c>
    </row>
    <row r="3490" spans="1:13" x14ac:dyDescent="0.25">
      <c r="A3490" s="76">
        <f t="shared" si="62"/>
        <v>3489</v>
      </c>
      <c r="B3490" s="75" t="s">
        <v>13</v>
      </c>
      <c r="C3490" s="77" t="s">
        <v>8530</v>
      </c>
      <c r="D3490" t="s">
        <v>8571</v>
      </c>
      <c r="E3490" t="s">
        <v>8483</v>
      </c>
      <c r="F3490" s="77" t="s">
        <v>8566</v>
      </c>
      <c r="G3490" s="75" t="s">
        <v>18</v>
      </c>
      <c r="H3490" s="76" t="str">
        <f>IFERROR(VLOOKUP(Table2[[#This Row],[Ticket]],Okey!A:B,2,0),"")</f>
        <v>ok</v>
      </c>
      <c r="I3490" s="77" t="s">
        <v>8318</v>
      </c>
      <c r="J3490" t="str">
        <f>VLOOKUP(Table2[[#This Row],[Author]],People!A:B,2,0)</f>
        <v>EL</v>
      </c>
      <c r="K3490" s="77"/>
      <c r="L3490" s="76"/>
      <c r="M3490" s="76" t="s">
        <v>8497</v>
      </c>
    </row>
    <row r="3491" spans="1:13" x14ac:dyDescent="0.25">
      <c r="A3491" s="76">
        <f t="shared" si="62"/>
        <v>3490</v>
      </c>
      <c r="B3491" s="75" t="s">
        <v>13</v>
      </c>
      <c r="C3491" s="77" t="s">
        <v>8530</v>
      </c>
      <c r="D3491" t="s">
        <v>8572</v>
      </c>
      <c r="E3491" t="s">
        <v>8484</v>
      </c>
      <c r="F3491" s="77" t="s">
        <v>8566</v>
      </c>
      <c r="G3491" s="75" t="s">
        <v>18</v>
      </c>
      <c r="H3491" s="76" t="str">
        <f>IFERROR(VLOOKUP(Table2[[#This Row],[Ticket]],Okey!A:B,2,0),"")</f>
        <v>ok</v>
      </c>
      <c r="I3491" s="77" t="s">
        <v>8318</v>
      </c>
      <c r="J3491" t="str">
        <f>VLOOKUP(Table2[[#This Row],[Author]],People!A:B,2,0)</f>
        <v>EL</v>
      </c>
      <c r="K3491" s="77"/>
      <c r="L3491" s="76"/>
      <c r="M3491" s="76" t="s">
        <v>8497</v>
      </c>
    </row>
    <row r="3492" spans="1:13" x14ac:dyDescent="0.25">
      <c r="A3492" s="76">
        <f t="shared" si="62"/>
        <v>3491</v>
      </c>
      <c r="B3492" s="75" t="s">
        <v>13</v>
      </c>
      <c r="C3492" s="77" t="s">
        <v>8530</v>
      </c>
      <c r="D3492" t="s">
        <v>8573</v>
      </c>
      <c r="E3492" t="s">
        <v>8485</v>
      </c>
      <c r="F3492" s="77" t="s">
        <v>8566</v>
      </c>
      <c r="G3492" s="75" t="s">
        <v>18</v>
      </c>
      <c r="H3492" s="76" t="str">
        <f>IFERROR(VLOOKUP(Table2[[#This Row],[Ticket]],Okey!A:B,2,0),"")</f>
        <v>ok</v>
      </c>
      <c r="I3492" s="77" t="s">
        <v>8318</v>
      </c>
      <c r="J3492" t="str">
        <f>VLOOKUP(Table2[[#This Row],[Author]],People!A:B,2,0)</f>
        <v>EL</v>
      </c>
      <c r="K3492" s="77"/>
      <c r="L3492" s="76"/>
      <c r="M3492" s="76" t="s">
        <v>8497</v>
      </c>
    </row>
    <row r="3493" spans="1:13" x14ac:dyDescent="0.25">
      <c r="A3493" s="76">
        <f t="shared" si="62"/>
        <v>3492</v>
      </c>
      <c r="B3493" s="75" t="s">
        <v>13</v>
      </c>
      <c r="C3493" s="77" t="s">
        <v>8530</v>
      </c>
      <c r="D3493" t="s">
        <v>8574</v>
      </c>
      <c r="E3493" t="s">
        <v>8486</v>
      </c>
      <c r="F3493" s="77" t="s">
        <v>8566</v>
      </c>
      <c r="G3493" s="75" t="s">
        <v>18</v>
      </c>
      <c r="H3493" s="76" t="str">
        <f>IFERROR(VLOOKUP(Table2[[#This Row],[Ticket]],Okey!A:B,2,0),"")</f>
        <v>ok</v>
      </c>
      <c r="I3493" s="77" t="s">
        <v>8318</v>
      </c>
      <c r="J3493" t="str">
        <f>VLOOKUP(Table2[[#This Row],[Author]],People!A:B,2,0)</f>
        <v>EL</v>
      </c>
      <c r="K3493" s="77"/>
      <c r="L3493" s="76"/>
      <c r="M3493" s="76" t="s">
        <v>8497</v>
      </c>
    </row>
    <row r="3494" spans="1:13" x14ac:dyDescent="0.25">
      <c r="A3494" s="76">
        <f t="shared" si="62"/>
        <v>3493</v>
      </c>
      <c r="B3494" s="75" t="s">
        <v>13</v>
      </c>
      <c r="C3494" s="77" t="s">
        <v>8530</v>
      </c>
      <c r="D3494" t="s">
        <v>8575</v>
      </c>
      <c r="E3494" t="s">
        <v>8487</v>
      </c>
      <c r="F3494" t="s">
        <v>1793</v>
      </c>
      <c r="G3494" s="75" t="s">
        <v>18</v>
      </c>
      <c r="H3494" s="76" t="str">
        <f>IFERROR(VLOOKUP(Table2[[#This Row],[Ticket]],Okey!A:B,2,0),"")</f>
        <v>ok</v>
      </c>
      <c r="I3494" s="77" t="s">
        <v>8318</v>
      </c>
      <c r="J3494" t="str">
        <f>VLOOKUP(Table2[[#This Row],[Author]],People!A:B,2,0)</f>
        <v>EL</v>
      </c>
      <c r="K3494" s="77"/>
      <c r="L3494" s="76"/>
      <c r="M3494" s="76" t="s">
        <v>8497</v>
      </c>
    </row>
    <row r="3495" spans="1:13" x14ac:dyDescent="0.25">
      <c r="A3495" s="76">
        <f t="shared" si="62"/>
        <v>3494</v>
      </c>
      <c r="B3495" s="75" t="s">
        <v>13</v>
      </c>
      <c r="C3495" s="77" t="s">
        <v>8530</v>
      </c>
      <c r="D3495" t="s">
        <v>8576</v>
      </c>
      <c r="E3495" t="s">
        <v>8469</v>
      </c>
      <c r="F3495" s="77" t="s">
        <v>8575</v>
      </c>
      <c r="G3495" s="75" t="s">
        <v>18</v>
      </c>
      <c r="H3495" s="76" t="str">
        <f>IFERROR(VLOOKUP(Table2[[#This Row],[Ticket]],Okey!A:B,2,0),"")</f>
        <v>ok</v>
      </c>
      <c r="I3495" s="77" t="s">
        <v>8318</v>
      </c>
      <c r="J3495" t="str">
        <f>VLOOKUP(Table2[[#This Row],[Author]],People!A:B,2,0)</f>
        <v>EL</v>
      </c>
      <c r="K3495" s="77"/>
      <c r="L3495" s="76"/>
      <c r="M3495" s="76" t="s">
        <v>8497</v>
      </c>
    </row>
    <row r="3496" spans="1:13" x14ac:dyDescent="0.25">
      <c r="A3496" s="76">
        <f t="shared" si="62"/>
        <v>3495</v>
      </c>
      <c r="B3496" s="75" t="s">
        <v>13</v>
      </c>
      <c r="C3496" s="77" t="s">
        <v>8530</v>
      </c>
      <c r="D3496" t="s">
        <v>8577</v>
      </c>
      <c r="E3496" t="s">
        <v>8488</v>
      </c>
      <c r="F3496" t="s">
        <v>8366</v>
      </c>
      <c r="G3496" s="75" t="s">
        <v>18</v>
      </c>
      <c r="H3496" s="76" t="str">
        <f>IFERROR(VLOOKUP(Table2[[#This Row],[Ticket]],Okey!A:B,2,0),"")</f>
        <v>ok</v>
      </c>
      <c r="I3496" s="77" t="s">
        <v>8318</v>
      </c>
      <c r="J3496" t="str">
        <f>VLOOKUP(Table2[[#This Row],[Author]],People!A:B,2,0)</f>
        <v>EL</v>
      </c>
      <c r="K3496" s="77"/>
      <c r="L3496" s="76"/>
      <c r="M3496" s="76" t="s">
        <v>8497</v>
      </c>
    </row>
    <row r="3497" spans="1:13" x14ac:dyDescent="0.25">
      <c r="A3497" s="76">
        <f t="shared" si="62"/>
        <v>3496</v>
      </c>
      <c r="B3497" s="75" t="s">
        <v>13</v>
      </c>
      <c r="C3497" s="77" t="s">
        <v>8530</v>
      </c>
      <c r="D3497" t="s">
        <v>8578</v>
      </c>
      <c r="E3497" t="s">
        <v>8489</v>
      </c>
      <c r="F3497" t="s">
        <v>8366</v>
      </c>
      <c r="G3497" s="75" t="s">
        <v>18</v>
      </c>
      <c r="H3497" s="76" t="str">
        <f>IFERROR(VLOOKUP(Table2[[#This Row],[Ticket]],Okey!A:B,2,0),"")</f>
        <v>ok</v>
      </c>
      <c r="I3497" s="77" t="s">
        <v>8318</v>
      </c>
      <c r="J3497" t="str">
        <f>VLOOKUP(Table2[[#This Row],[Author]],People!A:B,2,0)</f>
        <v>EL</v>
      </c>
      <c r="K3497" s="77"/>
      <c r="L3497" s="76"/>
      <c r="M3497" s="76" t="s">
        <v>8497</v>
      </c>
    </row>
    <row r="3498" spans="1:13" x14ac:dyDescent="0.25">
      <c r="A3498" s="76">
        <f t="shared" si="62"/>
        <v>3497</v>
      </c>
      <c r="B3498" s="75" t="s">
        <v>13</v>
      </c>
      <c r="C3498" s="77" t="s">
        <v>8530</v>
      </c>
      <c r="D3498" t="s">
        <v>8579</v>
      </c>
      <c r="E3498" t="s">
        <v>8490</v>
      </c>
      <c r="F3498" s="77" t="s">
        <v>8578</v>
      </c>
      <c r="G3498" s="75" t="s">
        <v>18</v>
      </c>
      <c r="H3498" s="76" t="str">
        <f>IFERROR(VLOOKUP(Table2[[#This Row],[Ticket]],Okey!A:B,2,0),"")</f>
        <v>ok</v>
      </c>
      <c r="I3498" s="77" t="s">
        <v>8318</v>
      </c>
      <c r="J3498" t="str">
        <f>VLOOKUP(Table2[[#This Row],[Author]],People!A:B,2,0)</f>
        <v>EL</v>
      </c>
      <c r="K3498" s="77"/>
      <c r="L3498" s="76"/>
      <c r="M3498" s="76" t="s">
        <v>8497</v>
      </c>
    </row>
    <row r="3499" spans="1:13" x14ac:dyDescent="0.25">
      <c r="A3499" s="76">
        <f t="shared" si="62"/>
        <v>3498</v>
      </c>
      <c r="B3499" s="75" t="s">
        <v>13</v>
      </c>
      <c r="C3499" s="77" t="s">
        <v>8530</v>
      </c>
      <c r="D3499" t="s">
        <v>8580</v>
      </c>
      <c r="E3499" t="s">
        <v>8491</v>
      </c>
      <c r="F3499" s="77" t="s">
        <v>8578</v>
      </c>
      <c r="G3499" s="75" t="s">
        <v>18</v>
      </c>
      <c r="H3499" s="76" t="str">
        <f>IFERROR(VLOOKUP(Table2[[#This Row],[Ticket]],Okey!A:B,2,0),"")</f>
        <v>ok</v>
      </c>
      <c r="I3499" s="77" t="s">
        <v>8318</v>
      </c>
      <c r="J3499" t="str">
        <f>VLOOKUP(Table2[[#This Row],[Author]],People!A:B,2,0)</f>
        <v>EL</v>
      </c>
      <c r="K3499" s="77"/>
      <c r="L3499" s="76"/>
      <c r="M3499" s="76" t="s">
        <v>8497</v>
      </c>
    </row>
    <row r="3500" spans="1:13" x14ac:dyDescent="0.25">
      <c r="A3500" s="76">
        <f t="shared" si="62"/>
        <v>3499</v>
      </c>
      <c r="B3500" s="75" t="s">
        <v>13</v>
      </c>
      <c r="C3500" s="77" t="s">
        <v>8530</v>
      </c>
      <c r="D3500" t="s">
        <v>8581</v>
      </c>
      <c r="E3500" t="s">
        <v>8492</v>
      </c>
      <c r="F3500" s="77" t="s">
        <v>8578</v>
      </c>
      <c r="G3500" s="75" t="s">
        <v>18</v>
      </c>
      <c r="H3500" s="76" t="str">
        <f>IFERROR(VLOOKUP(Table2[[#This Row],[Ticket]],Okey!A:B,2,0),"")</f>
        <v>ok</v>
      </c>
      <c r="I3500" s="77" t="s">
        <v>8318</v>
      </c>
      <c r="J3500" t="str">
        <f>VLOOKUP(Table2[[#This Row],[Author]],People!A:B,2,0)</f>
        <v>EL</v>
      </c>
      <c r="K3500" s="77"/>
      <c r="L3500" s="76"/>
      <c r="M3500" s="76" t="s">
        <v>8497</v>
      </c>
    </row>
    <row r="3501" spans="1:13" x14ac:dyDescent="0.25">
      <c r="A3501" s="76">
        <f t="shared" si="62"/>
        <v>3500</v>
      </c>
      <c r="B3501" s="75" t="s">
        <v>13</v>
      </c>
      <c r="C3501" s="77" t="s">
        <v>8530</v>
      </c>
      <c r="D3501" t="s">
        <v>8582</v>
      </c>
      <c r="E3501" t="s">
        <v>8493</v>
      </c>
      <c r="F3501" s="77" t="s">
        <v>8578</v>
      </c>
      <c r="G3501" s="75" t="s">
        <v>18</v>
      </c>
      <c r="H3501" s="76" t="str">
        <f>IFERROR(VLOOKUP(Table2[[#This Row],[Ticket]],Okey!A:B,2,0),"")</f>
        <v>ok</v>
      </c>
      <c r="I3501" s="77" t="s">
        <v>8318</v>
      </c>
      <c r="J3501" t="str">
        <f>VLOOKUP(Table2[[#This Row],[Author]],People!A:B,2,0)</f>
        <v>EL</v>
      </c>
      <c r="K3501" s="77"/>
      <c r="L3501" s="76"/>
      <c r="M3501" s="76" t="s">
        <v>8497</v>
      </c>
    </row>
    <row r="3502" spans="1:13" x14ac:dyDescent="0.25">
      <c r="A3502" s="76">
        <f t="shared" si="62"/>
        <v>3501</v>
      </c>
      <c r="B3502" s="75" t="s">
        <v>13</v>
      </c>
      <c r="C3502" s="77" t="s">
        <v>8530</v>
      </c>
      <c r="D3502" t="s">
        <v>8583</v>
      </c>
      <c r="E3502" t="s">
        <v>8494</v>
      </c>
      <c r="F3502" s="75" t="s">
        <v>8366</v>
      </c>
      <c r="G3502" s="75" t="s">
        <v>18</v>
      </c>
      <c r="H3502" s="76" t="str">
        <f>IFERROR(VLOOKUP(Table2[[#This Row],[Ticket]],Okey!A:B,2,0),"")</f>
        <v>ok</v>
      </c>
      <c r="I3502" s="77" t="s">
        <v>8318</v>
      </c>
      <c r="J3502" t="str">
        <f>VLOOKUP(Table2[[#This Row],[Author]],People!A:B,2,0)</f>
        <v>EL</v>
      </c>
      <c r="K3502" s="77"/>
      <c r="L3502" s="76"/>
      <c r="M3502" s="76" t="s">
        <v>8497</v>
      </c>
    </row>
    <row r="3503" spans="1:13" x14ac:dyDescent="0.25">
      <c r="A3503" s="76">
        <f t="shared" si="62"/>
        <v>3502</v>
      </c>
      <c r="B3503" s="75" t="s">
        <v>13</v>
      </c>
      <c r="C3503" s="77" t="s">
        <v>8530</v>
      </c>
      <c r="D3503" t="s">
        <v>8584</v>
      </c>
      <c r="E3503" t="s">
        <v>8495</v>
      </c>
      <c r="F3503" s="75" t="s">
        <v>8366</v>
      </c>
      <c r="G3503" s="75" t="s">
        <v>18</v>
      </c>
      <c r="H3503" s="76" t="str">
        <f>IFERROR(VLOOKUP(Table2[[#This Row],[Ticket]],Okey!A:B,2,0),"")</f>
        <v>ok</v>
      </c>
      <c r="I3503" s="77" t="s">
        <v>8318</v>
      </c>
      <c r="J3503" t="str">
        <f>VLOOKUP(Table2[[#This Row],[Author]],People!A:B,2,0)</f>
        <v>EL</v>
      </c>
      <c r="K3503" s="77"/>
      <c r="L3503" s="76"/>
      <c r="M3503" s="76" t="s">
        <v>8497</v>
      </c>
    </row>
    <row r="3504" spans="1:13" x14ac:dyDescent="0.25">
      <c r="A3504" s="76">
        <f t="shared" si="62"/>
        <v>3503</v>
      </c>
      <c r="B3504" s="75" t="s">
        <v>13</v>
      </c>
      <c r="C3504" s="77" t="s">
        <v>8530</v>
      </c>
      <c r="D3504" t="s">
        <v>8585</v>
      </c>
      <c r="E3504" t="s">
        <v>8496</v>
      </c>
      <c r="F3504" s="75" t="s">
        <v>8366</v>
      </c>
      <c r="G3504" s="75" t="s">
        <v>18</v>
      </c>
      <c r="H3504" s="76" t="str">
        <f>IFERROR(VLOOKUP(Table2[[#This Row],[Ticket]],Okey!A:B,2,0),"")</f>
        <v>ok</v>
      </c>
      <c r="I3504" s="77" t="s">
        <v>8318</v>
      </c>
      <c r="J3504" t="str">
        <f>VLOOKUP(Table2[[#This Row],[Author]],People!A:B,2,0)</f>
        <v>EL</v>
      </c>
      <c r="K3504" s="77"/>
      <c r="L3504" s="76"/>
      <c r="M3504" s="76" t="s">
        <v>8497</v>
      </c>
    </row>
    <row r="3505" spans="1:13" x14ac:dyDescent="0.25">
      <c r="A3505" s="76">
        <f t="shared" ref="A3505:A3511" si="63">1+A3504</f>
        <v>3504</v>
      </c>
      <c r="B3505" s="77" t="s">
        <v>13</v>
      </c>
      <c r="C3505" s="77" t="s">
        <v>8530</v>
      </c>
      <c r="D3505" s="77" t="s">
        <v>5847</v>
      </c>
      <c r="F3505" t="s">
        <v>327</v>
      </c>
      <c r="G3505" t="s">
        <v>328</v>
      </c>
      <c r="H3505" s="76" t="str">
        <f>IFERROR(VLOOKUP(Table2[[#This Row],[Ticket]],Okey!A:B,2,0),"")</f>
        <v>ok</v>
      </c>
      <c r="I3505" s="77" t="s">
        <v>8318</v>
      </c>
      <c r="J3505" s="77" t="str">
        <f>VLOOKUP(Table2[[#This Row],[Author]],People!A:B,2,0)</f>
        <v>EL</v>
      </c>
      <c r="L3505" s="76"/>
      <c r="M3505" s="76" t="s">
        <v>8497</v>
      </c>
    </row>
    <row r="3506" spans="1:13" x14ac:dyDescent="0.25">
      <c r="A3506" s="76">
        <f t="shared" si="63"/>
        <v>3505</v>
      </c>
      <c r="B3506" s="77" t="s">
        <v>13</v>
      </c>
      <c r="C3506" t="s">
        <v>8498</v>
      </c>
      <c r="D3506" s="77" t="s">
        <v>8587</v>
      </c>
      <c r="E3506" t="s">
        <v>8499</v>
      </c>
      <c r="F3506" t="s">
        <v>8504</v>
      </c>
      <c r="G3506" s="77" t="s">
        <v>18</v>
      </c>
      <c r="H3506" s="76" t="str">
        <f>IFERROR(VLOOKUP(Table2[[#This Row],[Ticket]],Okey!A:B,2,0),"")</f>
        <v>ok</v>
      </c>
      <c r="I3506" s="77" t="s">
        <v>8318</v>
      </c>
      <c r="J3506" t="str">
        <f>VLOOKUP(Table2[[#This Row],[Author]],People!A:B,2,0)</f>
        <v>HC</v>
      </c>
      <c r="K3506" s="77"/>
      <c r="L3506" s="76"/>
      <c r="M3506" s="76" t="s">
        <v>8037</v>
      </c>
    </row>
    <row r="3507" spans="1:13" x14ac:dyDescent="0.25">
      <c r="A3507" s="76">
        <f t="shared" si="63"/>
        <v>3506</v>
      </c>
      <c r="B3507" s="77" t="s">
        <v>13</v>
      </c>
      <c r="C3507" s="77" t="s">
        <v>8498</v>
      </c>
      <c r="D3507" s="77" t="s">
        <v>8588</v>
      </c>
      <c r="E3507" t="s">
        <v>8500</v>
      </c>
      <c r="F3507" t="s">
        <v>8505</v>
      </c>
      <c r="G3507" s="77" t="s">
        <v>18</v>
      </c>
      <c r="H3507" s="76" t="str">
        <f>IFERROR(VLOOKUP(Table2[[#This Row],[Ticket]],Okey!A:B,2,0),"")</f>
        <v>ok</v>
      </c>
      <c r="I3507" s="77" t="s">
        <v>8318</v>
      </c>
      <c r="J3507" t="str">
        <f>VLOOKUP(Table2[[#This Row],[Author]],People!A:B,2,0)</f>
        <v>HC</v>
      </c>
      <c r="K3507" s="77"/>
      <c r="L3507" s="76"/>
      <c r="M3507" s="76" t="s">
        <v>8037</v>
      </c>
    </row>
    <row r="3508" spans="1:13" x14ac:dyDescent="0.25">
      <c r="A3508" s="76">
        <f t="shared" si="63"/>
        <v>3507</v>
      </c>
      <c r="B3508" s="77" t="s">
        <v>13</v>
      </c>
      <c r="C3508" s="77" t="s">
        <v>8498</v>
      </c>
      <c r="D3508" s="77" t="s">
        <v>8589</v>
      </c>
      <c r="E3508" t="s">
        <v>8501</v>
      </c>
      <c r="F3508" t="s">
        <v>8506</v>
      </c>
      <c r="G3508" s="77" t="s">
        <v>18</v>
      </c>
      <c r="H3508" s="76" t="str">
        <f>IFERROR(VLOOKUP(Table2[[#This Row],[Ticket]],Okey!A:B,2,0),"")</f>
        <v>ok</v>
      </c>
      <c r="I3508" s="77" t="s">
        <v>8318</v>
      </c>
      <c r="J3508" t="str">
        <f>VLOOKUP(Table2[[#This Row],[Author]],People!A:B,2,0)</f>
        <v>HC</v>
      </c>
      <c r="K3508" s="77"/>
      <c r="L3508" s="76"/>
      <c r="M3508" s="76" t="s">
        <v>8037</v>
      </c>
    </row>
    <row r="3509" spans="1:13" x14ac:dyDescent="0.25">
      <c r="A3509" s="76">
        <f t="shared" si="63"/>
        <v>3508</v>
      </c>
      <c r="B3509" s="77" t="s">
        <v>13</v>
      </c>
      <c r="C3509" s="77" t="s">
        <v>8498</v>
      </c>
      <c r="D3509" s="77" t="s">
        <v>8590</v>
      </c>
      <c r="E3509" t="s">
        <v>8502</v>
      </c>
      <c r="F3509" t="s">
        <v>8507</v>
      </c>
      <c r="G3509" s="77" t="s">
        <v>18</v>
      </c>
      <c r="H3509" s="76" t="str">
        <f>IFERROR(VLOOKUP(Table2[[#This Row],[Ticket]],Okey!A:B,2,0),"")</f>
        <v>ok</v>
      </c>
      <c r="I3509" s="77" t="s">
        <v>8318</v>
      </c>
      <c r="J3509" t="str">
        <f>VLOOKUP(Table2[[#This Row],[Author]],People!A:B,2,0)</f>
        <v>HC</v>
      </c>
      <c r="K3509" s="77"/>
      <c r="L3509" s="76"/>
      <c r="M3509" s="76" t="s">
        <v>8037</v>
      </c>
    </row>
    <row r="3510" spans="1:13" x14ac:dyDescent="0.25">
      <c r="A3510" s="76">
        <f t="shared" si="63"/>
        <v>3509</v>
      </c>
      <c r="B3510" s="77" t="s">
        <v>13</v>
      </c>
      <c r="C3510" s="77" t="s">
        <v>8498</v>
      </c>
      <c r="D3510" s="77" t="s">
        <v>8591</v>
      </c>
      <c r="E3510" t="s">
        <v>8503</v>
      </c>
      <c r="F3510" t="s">
        <v>8508</v>
      </c>
      <c r="G3510" s="77" t="s">
        <v>18</v>
      </c>
      <c r="H3510" s="76" t="str">
        <f>IFERROR(VLOOKUP(Table2[[#This Row],[Ticket]],Okey!A:B,2,0),"")</f>
        <v>ok</v>
      </c>
      <c r="I3510" s="77" t="s">
        <v>8318</v>
      </c>
      <c r="J3510" t="str">
        <f>VLOOKUP(Table2[[#This Row],[Author]],People!A:B,2,0)</f>
        <v>HC</v>
      </c>
      <c r="K3510" s="77"/>
      <c r="L3510" s="76"/>
      <c r="M3510" s="76" t="s">
        <v>8037</v>
      </c>
    </row>
    <row r="3511" spans="1:13" x14ac:dyDescent="0.25">
      <c r="A3511" s="76">
        <f t="shared" si="63"/>
        <v>3510</v>
      </c>
      <c r="B3511" s="77" t="s">
        <v>13</v>
      </c>
      <c r="C3511" t="s">
        <v>8509</v>
      </c>
      <c r="D3511" t="s">
        <v>8017</v>
      </c>
      <c r="F3511" s="77" t="s">
        <v>327</v>
      </c>
      <c r="G3511" s="77" t="s">
        <v>328</v>
      </c>
      <c r="H3511" s="76" t="str">
        <f>IFERROR(VLOOKUP(Table2[[#This Row],[Ticket]],Okey!A:B,2,0),"")</f>
        <v>ok</v>
      </c>
      <c r="I3511" s="77" t="s">
        <v>8318</v>
      </c>
      <c r="J3511" t="str">
        <f>VLOOKUP(Table2[[#This Row],[Author]],People!A:B,2,0)</f>
        <v>HC</v>
      </c>
      <c r="K3511" s="77"/>
      <c r="L3511" s="76"/>
      <c r="M3511" s="76" t="s">
        <v>2804</v>
      </c>
    </row>
    <row r="3512" spans="1:13" x14ac:dyDescent="0.25">
      <c r="A3512" s="76">
        <f t="shared" ref="A3512:A3514" si="64">1+A3511</f>
        <v>3511</v>
      </c>
      <c r="B3512" s="77" t="s">
        <v>13</v>
      </c>
      <c r="C3512" s="77" t="s">
        <v>8509</v>
      </c>
      <c r="D3512" t="s">
        <v>8510</v>
      </c>
      <c r="E3512" s="77"/>
      <c r="F3512" s="77" t="s">
        <v>327</v>
      </c>
      <c r="G3512" s="77" t="s">
        <v>328</v>
      </c>
      <c r="H3512" s="76" t="str">
        <f>IFERROR(VLOOKUP(Table2[[#This Row],[Ticket]],Okey!A:B,2,0),"")</f>
        <v>ok</v>
      </c>
      <c r="I3512" s="77" t="s">
        <v>8318</v>
      </c>
      <c r="J3512" t="str">
        <f>VLOOKUP(Table2[[#This Row],[Author]],People!A:B,2,0)</f>
        <v>HC</v>
      </c>
      <c r="K3512" s="77"/>
      <c r="L3512" s="76"/>
      <c r="M3512" s="76" t="s">
        <v>2804</v>
      </c>
    </row>
    <row r="3513" spans="1:13" x14ac:dyDescent="0.25">
      <c r="A3513" s="76">
        <f t="shared" si="64"/>
        <v>3512</v>
      </c>
      <c r="B3513" s="77" t="s">
        <v>13</v>
      </c>
      <c r="C3513" s="77" t="s">
        <v>8509</v>
      </c>
      <c r="D3513" t="s">
        <v>8511</v>
      </c>
      <c r="E3513" s="77"/>
      <c r="F3513" s="77" t="s">
        <v>327</v>
      </c>
      <c r="G3513" s="77" t="s">
        <v>328</v>
      </c>
      <c r="H3513" s="76" t="str">
        <f>IFERROR(VLOOKUP(Table2[[#This Row],[Ticket]],Okey!A:B,2,0),"")</f>
        <v>ok</v>
      </c>
      <c r="I3513" s="77" t="s">
        <v>8318</v>
      </c>
      <c r="J3513" t="str">
        <f>VLOOKUP(Table2[[#This Row],[Author]],People!A:B,2,0)</f>
        <v>HC</v>
      </c>
      <c r="K3513" s="77"/>
      <c r="L3513" s="76"/>
      <c r="M3513" s="76" t="s">
        <v>2804</v>
      </c>
    </row>
    <row r="3514" spans="1:13" x14ac:dyDescent="0.25">
      <c r="A3514" s="76">
        <f t="shared" si="64"/>
        <v>3513</v>
      </c>
      <c r="B3514" s="77" t="s">
        <v>13</v>
      </c>
      <c r="C3514" s="77" t="s">
        <v>8509</v>
      </c>
      <c r="D3514" t="s">
        <v>8005</v>
      </c>
      <c r="E3514" s="77"/>
      <c r="F3514" s="77" t="s">
        <v>327</v>
      </c>
      <c r="G3514" s="77" t="s">
        <v>328</v>
      </c>
      <c r="H3514" s="76" t="str">
        <f>IFERROR(VLOOKUP(Table2[[#This Row],[Ticket]],Okey!A:B,2,0),"")</f>
        <v>ok</v>
      </c>
      <c r="I3514" s="77" t="s">
        <v>8318</v>
      </c>
      <c r="J3514" t="str">
        <f>VLOOKUP(Table2[[#This Row],[Author]],People!A:B,2,0)</f>
        <v>HC</v>
      </c>
      <c r="K3514" s="77"/>
      <c r="L3514" s="76"/>
      <c r="M3514" s="76" t="s">
        <v>2804</v>
      </c>
    </row>
    <row r="3515" spans="1:13" x14ac:dyDescent="0.25">
      <c r="A3515" s="76">
        <f>1+A3514</f>
        <v>3514</v>
      </c>
      <c r="B3515" s="77" t="s">
        <v>13</v>
      </c>
      <c r="C3515" t="s">
        <v>8512</v>
      </c>
      <c r="D3515" t="s">
        <v>8513</v>
      </c>
      <c r="E3515" t="s">
        <v>8520</v>
      </c>
      <c r="G3515" t="s">
        <v>63</v>
      </c>
      <c r="H3515" s="76" t="str">
        <f>IFERROR(VLOOKUP(Table2[[#This Row],[Ticket]],Okey!A:B,2,0),"")</f>
        <v>ok</v>
      </c>
      <c r="I3515" s="77" t="s">
        <v>8318</v>
      </c>
      <c r="J3515" t="str">
        <f>VLOOKUP(Table2[[#This Row],[Author]],People!A:B,2,0)</f>
        <v>HC</v>
      </c>
      <c r="K3515" s="77"/>
      <c r="L3515" s="76"/>
      <c r="M3515" s="76" t="s">
        <v>7322</v>
      </c>
    </row>
    <row r="3516" spans="1:13" x14ac:dyDescent="0.25">
      <c r="A3516" s="76">
        <f t="shared" ref="A3516:A3522" si="65">1+A3515</f>
        <v>3515</v>
      </c>
      <c r="B3516" s="77" t="s">
        <v>13</v>
      </c>
      <c r="C3516" s="77" t="s">
        <v>8512</v>
      </c>
      <c r="D3516" t="s">
        <v>8514</v>
      </c>
      <c r="E3516" t="s">
        <v>8521</v>
      </c>
      <c r="G3516" s="77" t="s">
        <v>63</v>
      </c>
      <c r="H3516" s="76" t="str">
        <f>IFERROR(VLOOKUP(Table2[[#This Row],[Ticket]],Okey!A:B,2,0),"")</f>
        <v>ok</v>
      </c>
      <c r="I3516" s="77" t="s">
        <v>8318</v>
      </c>
      <c r="J3516" t="str">
        <f>VLOOKUP(Table2[[#This Row],[Author]],People!A:B,2,0)</f>
        <v>HC</v>
      </c>
      <c r="K3516" s="77"/>
      <c r="L3516" s="76"/>
      <c r="M3516" s="76" t="s">
        <v>7322</v>
      </c>
    </row>
    <row r="3517" spans="1:13" x14ac:dyDescent="0.25">
      <c r="A3517" s="76">
        <f t="shared" si="65"/>
        <v>3516</v>
      </c>
      <c r="B3517" s="77" t="s">
        <v>13</v>
      </c>
      <c r="C3517" s="77" t="s">
        <v>8512</v>
      </c>
      <c r="D3517" t="s">
        <v>5998</v>
      </c>
      <c r="E3517" t="s">
        <v>8522</v>
      </c>
      <c r="G3517" s="77" t="s">
        <v>63</v>
      </c>
      <c r="H3517" s="76" t="str">
        <f>IFERROR(VLOOKUP(Table2[[#This Row],[Ticket]],Okey!A:B,2,0),"")</f>
        <v>ok</v>
      </c>
      <c r="I3517" s="77" t="s">
        <v>8318</v>
      </c>
      <c r="J3517" t="str">
        <f>VLOOKUP(Table2[[#This Row],[Author]],People!A:B,2,0)</f>
        <v>HC</v>
      </c>
      <c r="K3517" s="77"/>
      <c r="L3517" s="76"/>
      <c r="M3517" s="76" t="s">
        <v>7322</v>
      </c>
    </row>
    <row r="3518" spans="1:13" x14ac:dyDescent="0.25">
      <c r="A3518" s="76">
        <f t="shared" si="65"/>
        <v>3517</v>
      </c>
      <c r="B3518" s="77" t="s">
        <v>13</v>
      </c>
      <c r="C3518" s="77" t="s">
        <v>8512</v>
      </c>
      <c r="D3518" t="s">
        <v>8515</v>
      </c>
      <c r="E3518" t="s">
        <v>8523</v>
      </c>
      <c r="G3518" s="77" t="s">
        <v>63</v>
      </c>
      <c r="H3518" s="76" t="str">
        <f>IFERROR(VLOOKUP(Table2[[#This Row],[Ticket]],Okey!A:B,2,0),"")</f>
        <v>ok</v>
      </c>
      <c r="I3518" s="77" t="s">
        <v>8318</v>
      </c>
      <c r="J3518" t="str">
        <f>VLOOKUP(Table2[[#This Row],[Author]],People!A:B,2,0)</f>
        <v>HC</v>
      </c>
      <c r="K3518" s="77"/>
      <c r="L3518" s="76"/>
      <c r="M3518" s="76" t="s">
        <v>7322</v>
      </c>
    </row>
    <row r="3519" spans="1:13" x14ac:dyDescent="0.25">
      <c r="A3519" s="76">
        <f t="shared" si="65"/>
        <v>3518</v>
      </c>
      <c r="B3519" s="77" t="s">
        <v>13</v>
      </c>
      <c r="C3519" s="77" t="s">
        <v>8512</v>
      </c>
      <c r="D3519" t="s">
        <v>8516</v>
      </c>
      <c r="E3519" t="s">
        <v>8524</v>
      </c>
      <c r="G3519" s="77" t="s">
        <v>63</v>
      </c>
      <c r="H3519" s="76" t="str">
        <f>IFERROR(VLOOKUP(Table2[[#This Row],[Ticket]],Okey!A:B,2,0),"")</f>
        <v>ok</v>
      </c>
      <c r="I3519" s="77" t="s">
        <v>8318</v>
      </c>
      <c r="J3519" t="str">
        <f>VLOOKUP(Table2[[#This Row],[Author]],People!A:B,2,0)</f>
        <v>HC</v>
      </c>
      <c r="K3519" s="77"/>
      <c r="L3519" s="76"/>
      <c r="M3519" s="76" t="s">
        <v>7322</v>
      </c>
    </row>
    <row r="3520" spans="1:13" x14ac:dyDescent="0.25">
      <c r="A3520" s="76">
        <f t="shared" si="65"/>
        <v>3519</v>
      </c>
      <c r="B3520" s="77" t="s">
        <v>13</v>
      </c>
      <c r="C3520" s="77" t="s">
        <v>8512</v>
      </c>
      <c r="D3520" t="s">
        <v>8517</v>
      </c>
      <c r="E3520" t="s">
        <v>8525</v>
      </c>
      <c r="G3520" s="77" t="s">
        <v>63</v>
      </c>
      <c r="H3520" s="76" t="str">
        <f>IFERROR(VLOOKUP(Table2[[#This Row],[Ticket]],Okey!A:B,2,0),"")</f>
        <v>ok</v>
      </c>
      <c r="I3520" s="77" t="s">
        <v>8318</v>
      </c>
      <c r="J3520" t="str">
        <f>VLOOKUP(Table2[[#This Row],[Author]],People!A:B,2,0)</f>
        <v>HC</v>
      </c>
      <c r="K3520" s="77"/>
      <c r="L3520" s="76"/>
      <c r="M3520" s="76" t="s">
        <v>7322</v>
      </c>
    </row>
    <row r="3521" spans="1:13" x14ac:dyDescent="0.25">
      <c r="A3521" s="76">
        <f t="shared" si="65"/>
        <v>3520</v>
      </c>
      <c r="B3521" s="77" t="s">
        <v>13</v>
      </c>
      <c r="C3521" s="77" t="s">
        <v>8512</v>
      </c>
      <c r="D3521" t="s">
        <v>8518</v>
      </c>
      <c r="E3521" t="s">
        <v>8526</v>
      </c>
      <c r="G3521" s="77" t="s">
        <v>63</v>
      </c>
      <c r="H3521" s="76" t="str">
        <f>IFERROR(VLOOKUP(Table2[[#This Row],[Ticket]],Okey!A:B,2,0),"")</f>
        <v>ok</v>
      </c>
      <c r="I3521" s="77" t="s">
        <v>8318</v>
      </c>
      <c r="J3521" t="str">
        <f>VLOOKUP(Table2[[#This Row],[Author]],People!A:B,2,0)</f>
        <v>HC</v>
      </c>
      <c r="K3521" s="77"/>
      <c r="L3521" s="76"/>
      <c r="M3521" s="76" t="s">
        <v>7322</v>
      </c>
    </row>
    <row r="3522" spans="1:13" x14ac:dyDescent="0.25">
      <c r="A3522" s="76">
        <f t="shared" si="65"/>
        <v>3521</v>
      </c>
      <c r="B3522" s="77" t="s">
        <v>13</v>
      </c>
      <c r="C3522" s="77" t="s">
        <v>8512</v>
      </c>
      <c r="D3522" t="s">
        <v>8519</v>
      </c>
      <c r="E3522" t="s">
        <v>8527</v>
      </c>
      <c r="G3522" s="77" t="s">
        <v>63</v>
      </c>
      <c r="H3522" s="76" t="str">
        <f>IFERROR(VLOOKUP(Table2[[#This Row],[Ticket]],Okey!A:B,2,0),"")</f>
        <v>ok</v>
      </c>
      <c r="I3522" s="77" t="s">
        <v>8318</v>
      </c>
      <c r="J3522" t="str">
        <f>VLOOKUP(Table2[[#This Row],[Author]],People!A:B,2,0)</f>
        <v>HC</v>
      </c>
      <c r="K3522" s="77"/>
      <c r="L3522" s="76"/>
      <c r="M3522" s="76" t="s">
        <v>7322</v>
      </c>
    </row>
    <row r="3523" spans="1:13" x14ac:dyDescent="0.25">
      <c r="A3523" s="76">
        <f>1+A3522</f>
        <v>3522</v>
      </c>
      <c r="B3523" s="77" t="s">
        <v>13</v>
      </c>
      <c r="C3523" t="s">
        <v>8529</v>
      </c>
      <c r="D3523" t="s">
        <v>180</v>
      </c>
      <c r="E3523" t="s">
        <v>8528</v>
      </c>
      <c r="F3523" t="s">
        <v>7241</v>
      </c>
      <c r="G3523" t="s">
        <v>24</v>
      </c>
      <c r="H3523" s="76" t="str">
        <f>IFERROR(VLOOKUP(Table2[[#This Row],[Ticket]],Okey!A:B,2,0),"")</f>
        <v>ok</v>
      </c>
      <c r="I3523" s="77" t="s">
        <v>8318</v>
      </c>
      <c r="J3523" t="str">
        <f>VLOOKUP(Table2[[#This Row],[Author]],People!A:B,2,0)</f>
        <v>MGF</v>
      </c>
      <c r="L3523" s="76"/>
      <c r="M3523" s="76" t="s">
        <v>40</v>
      </c>
    </row>
    <row r="3524" spans="1:13" x14ac:dyDescent="0.25">
      <c r="A3524" s="76">
        <f t="shared" ref="A3524:A3526" si="66">1+A3523</f>
        <v>3523</v>
      </c>
      <c r="B3524" s="77" t="s">
        <v>13</v>
      </c>
      <c r="C3524" s="77" t="s">
        <v>8529</v>
      </c>
      <c r="D3524" t="s">
        <v>8139</v>
      </c>
      <c r="F3524" s="77" t="s">
        <v>327</v>
      </c>
      <c r="G3524" s="77" t="s">
        <v>328</v>
      </c>
      <c r="H3524" s="76" t="str">
        <f>IFERROR(VLOOKUP(Table2[[#This Row],[Ticket]],Okey!A:B,2,0),"")</f>
        <v>ok</v>
      </c>
      <c r="I3524" s="77" t="s">
        <v>8318</v>
      </c>
      <c r="J3524" t="str">
        <f>VLOOKUP(Table2[[#This Row],[Author]],People!A:B,2,0)</f>
        <v>MGF</v>
      </c>
      <c r="K3524" s="77"/>
      <c r="L3524" s="76"/>
      <c r="M3524" s="76" t="s">
        <v>40</v>
      </c>
    </row>
    <row r="3525" spans="1:13" x14ac:dyDescent="0.25">
      <c r="A3525" s="76">
        <f t="shared" si="66"/>
        <v>3524</v>
      </c>
      <c r="B3525" s="77" t="s">
        <v>13</v>
      </c>
      <c r="C3525" s="77" t="s">
        <v>8529</v>
      </c>
      <c r="D3525" t="s">
        <v>8137</v>
      </c>
      <c r="F3525" s="77" t="s">
        <v>327</v>
      </c>
      <c r="G3525" s="77" t="s">
        <v>328</v>
      </c>
      <c r="H3525" s="76" t="str">
        <f>IFERROR(VLOOKUP(Table2[[#This Row],[Ticket]],Okey!A:B,2,0),"")</f>
        <v>ok</v>
      </c>
      <c r="I3525" s="77" t="s">
        <v>8318</v>
      </c>
      <c r="J3525" t="str">
        <f>VLOOKUP(Table2[[#This Row],[Author]],People!A:B,2,0)</f>
        <v>MGF</v>
      </c>
      <c r="K3525" s="77"/>
      <c r="L3525" s="76"/>
      <c r="M3525" s="76" t="s">
        <v>40</v>
      </c>
    </row>
    <row r="3526" spans="1:13" x14ac:dyDescent="0.25">
      <c r="A3526" s="76">
        <f t="shared" si="66"/>
        <v>3525</v>
      </c>
      <c r="B3526" s="77" t="s">
        <v>13</v>
      </c>
      <c r="C3526" s="77" t="s">
        <v>8529</v>
      </c>
      <c r="D3526" t="s">
        <v>8138</v>
      </c>
      <c r="F3526" s="77" t="s">
        <v>327</v>
      </c>
      <c r="G3526" s="77" t="s">
        <v>328</v>
      </c>
      <c r="H3526" s="76" t="str">
        <f>IFERROR(VLOOKUP(Table2[[#This Row],[Ticket]],Okey!A:B,2,0),"")</f>
        <v>ok</v>
      </c>
      <c r="I3526" s="77" t="s">
        <v>8318</v>
      </c>
      <c r="J3526" t="str">
        <f>VLOOKUP(Table2[[#This Row],[Author]],People!A:B,2,0)</f>
        <v>MGF</v>
      </c>
      <c r="K3526" s="77"/>
      <c r="L3526" s="76"/>
      <c r="M3526" s="76" t="s">
        <v>40</v>
      </c>
    </row>
    <row r="3527" spans="1:13" x14ac:dyDescent="0.25">
      <c r="A3527" s="76">
        <f t="shared" ref="A3527:A3529" si="67">1+A3526</f>
        <v>3526</v>
      </c>
      <c r="B3527" s="77" t="s">
        <v>13</v>
      </c>
      <c r="C3527" t="s">
        <v>8607</v>
      </c>
      <c r="D3527" t="s">
        <v>8117</v>
      </c>
      <c r="E3527" t="s">
        <v>8592</v>
      </c>
      <c r="G3527" t="s">
        <v>63</v>
      </c>
      <c r="H3527" s="76" t="str">
        <f>IFERROR(VLOOKUP(Table2[[#This Row],[Ticket]],Okey!A:B,2,0),"")</f>
        <v>ok</v>
      </c>
      <c r="I3527" s="77" t="s">
        <v>8318</v>
      </c>
      <c r="J3527" t="str">
        <f>VLOOKUP(Table2[[#This Row],[Author]],People!A:B,2,0)</f>
        <v>MGF</v>
      </c>
      <c r="L3527" s="76"/>
      <c r="M3527" s="76" t="s">
        <v>761</v>
      </c>
    </row>
    <row r="3528" spans="1:13" x14ac:dyDescent="0.25">
      <c r="A3528" s="76">
        <f t="shared" si="67"/>
        <v>3527</v>
      </c>
      <c r="B3528" s="77" t="s">
        <v>13</v>
      </c>
      <c r="C3528" s="77" t="s">
        <v>8607</v>
      </c>
      <c r="D3528" t="s">
        <v>936</v>
      </c>
      <c r="E3528" t="s">
        <v>8593</v>
      </c>
      <c r="G3528" s="77" t="s">
        <v>63</v>
      </c>
      <c r="H3528" s="76" t="str">
        <f>IFERROR(VLOOKUP(Table2[[#This Row],[Ticket]],Okey!A:B,2,0),"")</f>
        <v>ok</v>
      </c>
      <c r="I3528" s="77" t="s">
        <v>8318</v>
      </c>
      <c r="J3528" t="str">
        <f>VLOOKUP(Table2[[#This Row],[Author]],People!A:B,2,0)</f>
        <v>MGF</v>
      </c>
      <c r="L3528" s="76"/>
      <c r="M3528" s="76" t="s">
        <v>761</v>
      </c>
    </row>
    <row r="3529" spans="1:13" x14ac:dyDescent="0.25">
      <c r="A3529" s="76">
        <f t="shared" si="67"/>
        <v>3528</v>
      </c>
      <c r="B3529" s="77" t="s">
        <v>13</v>
      </c>
      <c r="C3529" s="77" t="s">
        <v>8607</v>
      </c>
      <c r="D3529" t="s">
        <v>953</v>
      </c>
      <c r="E3529" t="s">
        <v>8594</v>
      </c>
      <c r="G3529" s="77" t="s">
        <v>63</v>
      </c>
      <c r="H3529" s="76" t="str">
        <f>IFERROR(VLOOKUP(Table2[[#This Row],[Ticket]],Okey!A:B,2,0),"")</f>
        <v>ok</v>
      </c>
      <c r="I3529" s="77" t="s">
        <v>8318</v>
      </c>
      <c r="J3529" t="str">
        <f>VLOOKUP(Table2[[#This Row],[Author]],People!A:B,2,0)</f>
        <v>MGF</v>
      </c>
      <c r="L3529" s="76"/>
      <c r="M3529" s="76" t="s">
        <v>761</v>
      </c>
    </row>
    <row r="3530" spans="1:13" x14ac:dyDescent="0.25">
      <c r="A3530" s="76">
        <f t="shared" ref="A3530:A3536" si="68">1+A3529</f>
        <v>3529</v>
      </c>
      <c r="B3530" s="77" t="s">
        <v>13</v>
      </c>
      <c r="C3530" s="77" t="s">
        <v>8607</v>
      </c>
      <c r="D3530" s="77" t="s">
        <v>8608</v>
      </c>
      <c r="E3530" t="s">
        <v>8595</v>
      </c>
      <c r="F3530" t="s">
        <v>801</v>
      </c>
      <c r="G3530" t="s">
        <v>18</v>
      </c>
      <c r="H3530" s="76" t="str">
        <f>IFERROR(VLOOKUP(Table2[[#This Row],[Ticket]],Okey!A:B,2,0),"")</f>
        <v>ok</v>
      </c>
      <c r="I3530" s="77" t="s">
        <v>8318</v>
      </c>
      <c r="J3530" t="str">
        <f>VLOOKUP(Table2[[#This Row],[Author]],People!A:B,2,0)</f>
        <v>MGF</v>
      </c>
      <c r="L3530" s="76"/>
      <c r="M3530" s="76" t="s">
        <v>761</v>
      </c>
    </row>
    <row r="3531" spans="1:13" x14ac:dyDescent="0.25">
      <c r="A3531" s="76">
        <f t="shared" si="68"/>
        <v>3530</v>
      </c>
      <c r="B3531" s="77" t="s">
        <v>13</v>
      </c>
      <c r="C3531" s="77" t="s">
        <v>8607</v>
      </c>
      <c r="D3531" s="77" t="s">
        <v>8609</v>
      </c>
      <c r="E3531" t="s">
        <v>8596</v>
      </c>
      <c r="F3531" t="s">
        <v>807</v>
      </c>
      <c r="G3531" s="77" t="s">
        <v>18</v>
      </c>
      <c r="H3531" s="76" t="str">
        <f>IFERROR(VLOOKUP(Table2[[#This Row],[Ticket]],Okey!A:B,2,0),"")</f>
        <v>ok</v>
      </c>
      <c r="I3531" s="77" t="s">
        <v>8318</v>
      </c>
      <c r="J3531" t="str">
        <f>VLOOKUP(Table2[[#This Row],[Author]],People!A:B,2,0)</f>
        <v>MGF</v>
      </c>
      <c r="K3531" s="77"/>
      <c r="L3531" s="76"/>
      <c r="M3531" s="76" t="s">
        <v>761</v>
      </c>
    </row>
    <row r="3532" spans="1:13" x14ac:dyDescent="0.25">
      <c r="A3532" s="76">
        <f t="shared" si="68"/>
        <v>3531</v>
      </c>
      <c r="B3532" s="77" t="s">
        <v>13</v>
      </c>
      <c r="C3532" s="77" t="s">
        <v>8607</v>
      </c>
      <c r="D3532" s="77" t="s">
        <v>8610</v>
      </c>
      <c r="E3532" t="s">
        <v>8597</v>
      </c>
      <c r="F3532" t="s">
        <v>8602</v>
      </c>
      <c r="G3532" s="77" t="s">
        <v>18</v>
      </c>
      <c r="H3532" s="76" t="str">
        <f>IFERROR(VLOOKUP(Table2[[#This Row],[Ticket]],Okey!A:B,2,0),"")</f>
        <v>ok</v>
      </c>
      <c r="I3532" s="77" t="s">
        <v>8318</v>
      </c>
      <c r="J3532" t="str">
        <f>VLOOKUP(Table2[[#This Row],[Author]],People!A:B,2,0)</f>
        <v>MGF</v>
      </c>
      <c r="K3532" s="77"/>
      <c r="L3532" s="76"/>
      <c r="M3532" s="76" t="s">
        <v>761</v>
      </c>
    </row>
    <row r="3533" spans="1:13" x14ac:dyDescent="0.25">
      <c r="A3533" s="76">
        <f t="shared" si="68"/>
        <v>3532</v>
      </c>
      <c r="B3533" s="77" t="s">
        <v>13</v>
      </c>
      <c r="C3533" s="77" t="s">
        <v>8607</v>
      </c>
      <c r="D3533" s="77" t="s">
        <v>8611</v>
      </c>
      <c r="E3533" t="s">
        <v>8598</v>
      </c>
      <c r="F3533" t="s">
        <v>8603</v>
      </c>
      <c r="G3533" s="77" t="s">
        <v>18</v>
      </c>
      <c r="H3533" s="76" t="str">
        <f>IFERROR(VLOOKUP(Table2[[#This Row],[Ticket]],Okey!A:B,2,0),"")</f>
        <v>ok</v>
      </c>
      <c r="I3533" s="77" t="s">
        <v>8318</v>
      </c>
      <c r="J3533" t="str">
        <f>VLOOKUP(Table2[[#This Row],[Author]],People!A:B,2,0)</f>
        <v>MGF</v>
      </c>
      <c r="K3533" s="77"/>
      <c r="L3533" s="76"/>
      <c r="M3533" s="76" t="s">
        <v>761</v>
      </c>
    </row>
    <row r="3534" spans="1:13" x14ac:dyDescent="0.25">
      <c r="A3534" s="76">
        <f t="shared" si="68"/>
        <v>3533</v>
      </c>
      <c r="B3534" s="77" t="s">
        <v>13</v>
      </c>
      <c r="C3534" s="77" t="s">
        <v>8607</v>
      </c>
      <c r="D3534" s="77" t="s">
        <v>8612</v>
      </c>
      <c r="E3534" t="s">
        <v>8599</v>
      </c>
      <c r="F3534" t="s">
        <v>8604</v>
      </c>
      <c r="G3534" s="77" t="s">
        <v>18</v>
      </c>
      <c r="H3534" s="76" t="str">
        <f>IFERROR(VLOOKUP(Table2[[#This Row],[Ticket]],Okey!A:B,2,0),"")</f>
        <v>ok</v>
      </c>
      <c r="I3534" s="77" t="s">
        <v>8318</v>
      </c>
      <c r="J3534" t="str">
        <f>VLOOKUP(Table2[[#This Row],[Author]],People!A:B,2,0)</f>
        <v>MGF</v>
      </c>
      <c r="K3534" s="77"/>
      <c r="L3534" s="76"/>
      <c r="M3534" s="76" t="s">
        <v>761</v>
      </c>
    </row>
    <row r="3535" spans="1:13" x14ac:dyDescent="0.25">
      <c r="A3535" s="76">
        <f t="shared" si="68"/>
        <v>3534</v>
      </c>
      <c r="B3535" s="77" t="s">
        <v>13</v>
      </c>
      <c r="C3535" s="77" t="s">
        <v>8607</v>
      </c>
      <c r="D3535" s="77" t="s">
        <v>8613</v>
      </c>
      <c r="E3535" t="s">
        <v>8600</v>
      </c>
      <c r="F3535" t="s">
        <v>8605</v>
      </c>
      <c r="G3535" s="77" t="s">
        <v>18</v>
      </c>
      <c r="H3535" s="76" t="str">
        <f>IFERROR(VLOOKUP(Table2[[#This Row],[Ticket]],Okey!A:B,2,0),"")</f>
        <v>ok</v>
      </c>
      <c r="I3535" s="77" t="s">
        <v>8318</v>
      </c>
      <c r="J3535" t="str">
        <f>VLOOKUP(Table2[[#This Row],[Author]],People!A:B,2,0)</f>
        <v>MGF</v>
      </c>
      <c r="K3535" s="77"/>
      <c r="L3535" s="76"/>
      <c r="M3535" s="76" t="s">
        <v>761</v>
      </c>
    </row>
    <row r="3536" spans="1:13" x14ac:dyDescent="0.25">
      <c r="A3536" s="76">
        <f t="shared" si="68"/>
        <v>3535</v>
      </c>
      <c r="B3536" s="77" t="s">
        <v>13</v>
      </c>
      <c r="C3536" s="77" t="s">
        <v>8607</v>
      </c>
      <c r="D3536" s="77" t="s">
        <v>8614</v>
      </c>
      <c r="E3536" t="s">
        <v>8601</v>
      </c>
      <c r="F3536" t="s">
        <v>8606</v>
      </c>
      <c r="G3536" s="77" t="s">
        <v>18</v>
      </c>
      <c r="H3536" s="76" t="str">
        <f>IFERROR(VLOOKUP(Table2[[#This Row],[Ticket]],Okey!A:B,2,0),"")</f>
        <v>ok</v>
      </c>
      <c r="I3536" s="77" t="s">
        <v>8318</v>
      </c>
      <c r="J3536" t="str">
        <f>VLOOKUP(Table2[[#This Row],[Author]],People!A:B,2,0)</f>
        <v>MGF</v>
      </c>
      <c r="K3536" s="77"/>
      <c r="L3536" s="76"/>
      <c r="M3536" s="76" t="s">
        <v>761</v>
      </c>
    </row>
    <row r="3537" spans="1:13" x14ac:dyDescent="0.25">
      <c r="A3537" s="76">
        <f>1+A3536</f>
        <v>3536</v>
      </c>
      <c r="B3537" s="77" t="s">
        <v>13</v>
      </c>
      <c r="C3537" t="s">
        <v>8615</v>
      </c>
      <c r="D3537" t="s">
        <v>8678</v>
      </c>
      <c r="E3537" t="s">
        <v>8618</v>
      </c>
      <c r="F3537" t="s">
        <v>4576</v>
      </c>
      <c r="G3537" s="77" t="s">
        <v>18</v>
      </c>
      <c r="H3537" s="76" t="str">
        <f>IFERROR(VLOOKUP(Table2[[#This Row],[Ticket]],Okey!A:B,2,0),"")</f>
        <v>ok</v>
      </c>
      <c r="I3537" t="s">
        <v>8318</v>
      </c>
      <c r="J3537" t="str">
        <f>VLOOKUP(Table2[[#This Row],[Author]],People!A:B,2,0)</f>
        <v>LS</v>
      </c>
      <c r="L3537" s="76"/>
      <c r="M3537" s="76" t="s">
        <v>8165</v>
      </c>
    </row>
    <row r="3538" spans="1:13" x14ac:dyDescent="0.25">
      <c r="A3538" s="76">
        <f t="shared" ref="A3538:A3563" si="69">1+A3537</f>
        <v>3537</v>
      </c>
      <c r="B3538" s="77" t="s">
        <v>13</v>
      </c>
      <c r="C3538" s="77" t="s">
        <v>8615</v>
      </c>
      <c r="D3538" t="s">
        <v>8679</v>
      </c>
      <c r="E3538" t="s">
        <v>8619</v>
      </c>
      <c r="F3538" t="s">
        <v>634</v>
      </c>
      <c r="G3538" s="77" t="s">
        <v>18</v>
      </c>
      <c r="H3538" s="76" t="str">
        <f>IFERROR(VLOOKUP(Table2[[#This Row],[Ticket]],Okey!A:B,2,0),"")</f>
        <v>ok</v>
      </c>
      <c r="I3538" s="77" t="s">
        <v>8318</v>
      </c>
      <c r="J3538" t="str">
        <f>VLOOKUP(Table2[[#This Row],[Author]],People!A:B,2,0)</f>
        <v>LS</v>
      </c>
      <c r="L3538" s="76"/>
      <c r="M3538" s="76" t="s">
        <v>8165</v>
      </c>
    </row>
    <row r="3539" spans="1:13" x14ac:dyDescent="0.25">
      <c r="A3539" s="76">
        <f t="shared" si="69"/>
        <v>3538</v>
      </c>
      <c r="B3539" s="77" t="s">
        <v>13</v>
      </c>
      <c r="C3539" s="77" t="s">
        <v>8615</v>
      </c>
      <c r="D3539" t="s">
        <v>8680</v>
      </c>
      <c r="E3539" t="s">
        <v>8620</v>
      </c>
      <c r="F3539" t="s">
        <v>4579</v>
      </c>
      <c r="G3539" s="77" t="s">
        <v>18</v>
      </c>
      <c r="H3539" s="76" t="str">
        <f>IFERROR(VLOOKUP(Table2[[#This Row],[Ticket]],Okey!A:B,2,0),"")</f>
        <v>ok</v>
      </c>
      <c r="I3539" s="77" t="s">
        <v>8318</v>
      </c>
      <c r="J3539" t="str">
        <f>VLOOKUP(Table2[[#This Row],[Author]],People!A:B,2,0)</f>
        <v>LS</v>
      </c>
      <c r="L3539" s="76"/>
      <c r="M3539" s="76" t="s">
        <v>8165</v>
      </c>
    </row>
    <row r="3540" spans="1:13" x14ac:dyDescent="0.25">
      <c r="A3540" s="76">
        <f t="shared" si="69"/>
        <v>3539</v>
      </c>
      <c r="B3540" s="77" t="s">
        <v>13</v>
      </c>
      <c r="C3540" s="77" t="s">
        <v>8615</v>
      </c>
      <c r="D3540" t="s">
        <v>8681</v>
      </c>
      <c r="E3540" t="s">
        <v>8621</v>
      </c>
      <c r="F3540" t="s">
        <v>2323</v>
      </c>
      <c r="G3540" s="77" t="s">
        <v>18</v>
      </c>
      <c r="H3540" s="76" t="str">
        <f>IFERROR(VLOOKUP(Table2[[#This Row],[Ticket]],Okey!A:B,2,0),"")</f>
        <v>ok</v>
      </c>
      <c r="I3540" s="77" t="s">
        <v>8318</v>
      </c>
      <c r="J3540" t="str">
        <f>VLOOKUP(Table2[[#This Row],[Author]],People!A:B,2,0)</f>
        <v>LS</v>
      </c>
      <c r="L3540" s="76"/>
      <c r="M3540" s="76" t="s">
        <v>8165</v>
      </c>
    </row>
    <row r="3541" spans="1:13" x14ac:dyDescent="0.25">
      <c r="A3541" s="76">
        <f t="shared" si="69"/>
        <v>3540</v>
      </c>
      <c r="B3541" s="77" t="s">
        <v>13</v>
      </c>
      <c r="C3541" s="77" t="s">
        <v>8615</v>
      </c>
      <c r="D3541" t="s">
        <v>8682</v>
      </c>
      <c r="E3541" t="s">
        <v>8622</v>
      </c>
      <c r="F3541" t="s">
        <v>4584</v>
      </c>
      <c r="G3541" s="77" t="s">
        <v>18</v>
      </c>
      <c r="H3541" s="76" t="str">
        <f>IFERROR(VLOOKUP(Table2[[#This Row],[Ticket]],Okey!A:B,2,0),"")</f>
        <v>ok</v>
      </c>
      <c r="I3541" s="77" t="s">
        <v>8318</v>
      </c>
      <c r="J3541" t="str">
        <f>VLOOKUP(Table2[[#This Row],[Author]],People!A:B,2,0)</f>
        <v>LS</v>
      </c>
      <c r="L3541" s="76"/>
      <c r="M3541" s="76" t="s">
        <v>8165</v>
      </c>
    </row>
    <row r="3542" spans="1:13" x14ac:dyDescent="0.25">
      <c r="A3542" s="76">
        <f t="shared" si="69"/>
        <v>3541</v>
      </c>
      <c r="B3542" s="77" t="s">
        <v>13</v>
      </c>
      <c r="C3542" s="77" t="s">
        <v>8615</v>
      </c>
      <c r="D3542" t="s">
        <v>8683</v>
      </c>
      <c r="E3542" t="s">
        <v>8623</v>
      </c>
      <c r="F3542" t="s">
        <v>4586</v>
      </c>
      <c r="G3542" s="77" t="s">
        <v>18</v>
      </c>
      <c r="H3542" s="76" t="str">
        <f>IFERROR(VLOOKUP(Table2[[#This Row],[Ticket]],Okey!A:B,2,0),"")</f>
        <v>ok</v>
      </c>
      <c r="I3542" s="77" t="s">
        <v>8318</v>
      </c>
      <c r="J3542" t="str">
        <f>VLOOKUP(Table2[[#This Row],[Author]],People!A:B,2,0)</f>
        <v>LS</v>
      </c>
      <c r="L3542" s="76"/>
      <c r="M3542" s="76" t="s">
        <v>8165</v>
      </c>
    </row>
    <row r="3543" spans="1:13" x14ac:dyDescent="0.25">
      <c r="A3543" s="76">
        <f t="shared" si="69"/>
        <v>3542</v>
      </c>
      <c r="B3543" s="77" t="s">
        <v>13</v>
      </c>
      <c r="C3543" s="77" t="s">
        <v>8615</v>
      </c>
      <c r="D3543" t="s">
        <v>8684</v>
      </c>
      <c r="E3543" t="s">
        <v>8624</v>
      </c>
      <c r="F3543" t="s">
        <v>4544</v>
      </c>
      <c r="G3543" s="77" t="s">
        <v>18</v>
      </c>
      <c r="H3543" s="76" t="str">
        <f>IFERROR(VLOOKUP(Table2[[#This Row],[Ticket]],Okey!A:B,2,0),"")</f>
        <v>ok</v>
      </c>
      <c r="I3543" s="77" t="s">
        <v>8318</v>
      </c>
      <c r="J3543" t="str">
        <f>VLOOKUP(Table2[[#This Row],[Author]],People!A:B,2,0)</f>
        <v>LS</v>
      </c>
      <c r="L3543" s="76"/>
      <c r="M3543" s="76" t="s">
        <v>8165</v>
      </c>
    </row>
    <row r="3544" spans="1:13" x14ac:dyDescent="0.25">
      <c r="A3544" s="76">
        <f t="shared" si="69"/>
        <v>3543</v>
      </c>
      <c r="B3544" s="77" t="s">
        <v>13</v>
      </c>
      <c r="C3544" s="77" t="s">
        <v>8615</v>
      </c>
      <c r="D3544" t="s">
        <v>8685</v>
      </c>
      <c r="E3544" t="s">
        <v>8625</v>
      </c>
      <c r="F3544" t="s">
        <v>4544</v>
      </c>
      <c r="G3544" s="77" t="s">
        <v>18</v>
      </c>
      <c r="H3544" s="76" t="str">
        <f>IFERROR(VLOOKUP(Table2[[#This Row],[Ticket]],Okey!A:B,2,0),"")</f>
        <v>ok</v>
      </c>
      <c r="I3544" s="77" t="s">
        <v>8318</v>
      </c>
      <c r="J3544" t="str">
        <f>VLOOKUP(Table2[[#This Row],[Author]],People!A:B,2,0)</f>
        <v>LS</v>
      </c>
      <c r="L3544" s="76"/>
      <c r="M3544" s="76" t="s">
        <v>8165</v>
      </c>
    </row>
    <row r="3545" spans="1:13" x14ac:dyDescent="0.25">
      <c r="A3545" s="76">
        <f t="shared" si="69"/>
        <v>3544</v>
      </c>
      <c r="B3545" s="77" t="s">
        <v>13</v>
      </c>
      <c r="C3545" s="77" t="s">
        <v>8615</v>
      </c>
      <c r="D3545" t="s">
        <v>8686</v>
      </c>
      <c r="E3545" t="s">
        <v>8626</v>
      </c>
      <c r="F3545" t="s">
        <v>1093</v>
      </c>
      <c r="G3545" s="77" t="s">
        <v>18</v>
      </c>
      <c r="H3545" s="76" t="str">
        <f>IFERROR(VLOOKUP(Table2[[#This Row],[Ticket]],Okey!A:B,2,0),"")</f>
        <v>ok</v>
      </c>
      <c r="I3545" s="77" t="s">
        <v>8318</v>
      </c>
      <c r="J3545" t="str">
        <f>VLOOKUP(Table2[[#This Row],[Author]],People!A:B,2,0)</f>
        <v>LS</v>
      </c>
      <c r="L3545" s="76"/>
      <c r="M3545" s="76" t="s">
        <v>8165</v>
      </c>
    </row>
    <row r="3546" spans="1:13" x14ac:dyDescent="0.25">
      <c r="A3546" s="76">
        <f t="shared" si="69"/>
        <v>3545</v>
      </c>
      <c r="B3546" s="77" t="s">
        <v>13</v>
      </c>
      <c r="C3546" s="77" t="s">
        <v>8615</v>
      </c>
      <c r="D3546" t="s">
        <v>8687</v>
      </c>
      <c r="E3546" t="s">
        <v>8627</v>
      </c>
      <c r="F3546" s="77" t="s">
        <v>8686</v>
      </c>
      <c r="G3546" s="77" t="s">
        <v>18</v>
      </c>
      <c r="H3546" s="76" t="str">
        <f>IFERROR(VLOOKUP(Table2[[#This Row],[Ticket]],Okey!A:B,2,0),"")</f>
        <v>ok</v>
      </c>
      <c r="I3546" s="77" t="s">
        <v>8318</v>
      </c>
      <c r="J3546" t="str">
        <f>VLOOKUP(Table2[[#This Row],[Author]],People!A:B,2,0)</f>
        <v>LS</v>
      </c>
      <c r="L3546" s="76"/>
      <c r="M3546" s="76" t="s">
        <v>8165</v>
      </c>
    </row>
    <row r="3547" spans="1:13" x14ac:dyDescent="0.25">
      <c r="A3547" s="76">
        <f t="shared" si="69"/>
        <v>3546</v>
      </c>
      <c r="B3547" s="77" t="s">
        <v>13</v>
      </c>
      <c r="C3547" s="77" t="s">
        <v>8615</v>
      </c>
      <c r="D3547" t="s">
        <v>8688</v>
      </c>
      <c r="E3547" t="s">
        <v>8616</v>
      </c>
      <c r="F3547" s="77" t="s">
        <v>8687</v>
      </c>
      <c r="G3547" s="77" t="s">
        <v>18</v>
      </c>
      <c r="H3547" s="76" t="str">
        <f>IFERROR(VLOOKUP(Table2[[#This Row],[Ticket]],Okey!A:B,2,0),"")</f>
        <v>ok</v>
      </c>
      <c r="I3547" s="77" t="s">
        <v>8318</v>
      </c>
      <c r="J3547" t="str">
        <f>VLOOKUP(Table2[[#This Row],[Author]],People!A:B,2,0)</f>
        <v>LS</v>
      </c>
      <c r="L3547" s="76"/>
      <c r="M3547" s="76" t="s">
        <v>8165</v>
      </c>
    </row>
    <row r="3548" spans="1:13" x14ac:dyDescent="0.25">
      <c r="A3548" s="76">
        <f t="shared" si="69"/>
        <v>3547</v>
      </c>
      <c r="B3548" s="77" t="s">
        <v>13</v>
      </c>
      <c r="C3548" s="77" t="s">
        <v>8615</v>
      </c>
      <c r="D3548" t="s">
        <v>8689</v>
      </c>
      <c r="E3548" t="s">
        <v>8617</v>
      </c>
      <c r="F3548" s="77" t="s">
        <v>8687</v>
      </c>
      <c r="G3548" s="77" t="s">
        <v>18</v>
      </c>
      <c r="H3548" s="76" t="str">
        <f>IFERROR(VLOOKUP(Table2[[#This Row],[Ticket]],Okey!A:B,2,0),"")</f>
        <v>ok</v>
      </c>
      <c r="I3548" s="77" t="s">
        <v>8318</v>
      </c>
      <c r="J3548" t="str">
        <f>VLOOKUP(Table2[[#This Row],[Author]],People!A:B,2,0)</f>
        <v>LS</v>
      </c>
      <c r="L3548" s="76"/>
      <c r="M3548" s="76" t="s">
        <v>8165</v>
      </c>
    </row>
    <row r="3549" spans="1:13" x14ac:dyDescent="0.25">
      <c r="A3549" s="76">
        <f t="shared" si="69"/>
        <v>3548</v>
      </c>
      <c r="B3549" s="77" t="s">
        <v>13</v>
      </c>
      <c r="C3549" s="77" t="s">
        <v>8615</v>
      </c>
      <c r="D3549" t="s">
        <v>8690</v>
      </c>
      <c r="E3549" t="s">
        <v>8628</v>
      </c>
      <c r="F3549" s="77" t="s">
        <v>8687</v>
      </c>
      <c r="G3549" s="77" t="s">
        <v>18</v>
      </c>
      <c r="H3549" s="76" t="str">
        <f>IFERROR(VLOOKUP(Table2[[#This Row],[Ticket]],Okey!A:B,2,0),"")</f>
        <v>ok</v>
      </c>
      <c r="I3549" s="77" t="s">
        <v>8318</v>
      </c>
      <c r="J3549" t="str">
        <f>VLOOKUP(Table2[[#This Row],[Author]],People!A:B,2,0)</f>
        <v>LS</v>
      </c>
      <c r="L3549" s="76"/>
      <c r="M3549" s="76" t="s">
        <v>8165</v>
      </c>
    </row>
    <row r="3550" spans="1:13" x14ac:dyDescent="0.25">
      <c r="A3550" s="76">
        <f t="shared" si="69"/>
        <v>3549</v>
      </c>
      <c r="B3550" s="77" t="s">
        <v>13</v>
      </c>
      <c r="C3550" s="77" t="s">
        <v>8615</v>
      </c>
      <c r="D3550" t="s">
        <v>8691</v>
      </c>
      <c r="E3550" t="s">
        <v>8629</v>
      </c>
      <c r="F3550" s="77" t="s">
        <v>8687</v>
      </c>
      <c r="G3550" s="77" t="s">
        <v>18</v>
      </c>
      <c r="H3550" s="76" t="str">
        <f>IFERROR(VLOOKUP(Table2[[#This Row],[Ticket]],Okey!A:B,2,0),"")</f>
        <v>ok</v>
      </c>
      <c r="I3550" s="77" t="s">
        <v>8318</v>
      </c>
      <c r="J3550" t="str">
        <f>VLOOKUP(Table2[[#This Row],[Author]],People!A:B,2,0)</f>
        <v>LS</v>
      </c>
      <c r="L3550" s="76"/>
      <c r="M3550" s="76" t="s">
        <v>8165</v>
      </c>
    </row>
    <row r="3551" spans="1:13" x14ac:dyDescent="0.25">
      <c r="A3551" s="76">
        <f t="shared" si="69"/>
        <v>3550</v>
      </c>
      <c r="B3551" s="77" t="s">
        <v>13</v>
      </c>
      <c r="C3551" s="77" t="s">
        <v>8615</v>
      </c>
      <c r="D3551" t="s">
        <v>8692</v>
      </c>
      <c r="E3551" t="s">
        <v>8630</v>
      </c>
      <c r="F3551" s="77" t="s">
        <v>8687</v>
      </c>
      <c r="G3551" s="77" t="s">
        <v>18</v>
      </c>
      <c r="H3551" s="76" t="str">
        <f>IFERROR(VLOOKUP(Table2[[#This Row],[Ticket]],Okey!A:B,2,0),"")</f>
        <v>ok</v>
      </c>
      <c r="I3551" s="77" t="s">
        <v>8318</v>
      </c>
      <c r="J3551" t="str">
        <f>VLOOKUP(Table2[[#This Row],[Author]],People!A:B,2,0)</f>
        <v>LS</v>
      </c>
      <c r="L3551" s="76"/>
      <c r="M3551" s="76" t="s">
        <v>8165</v>
      </c>
    </row>
    <row r="3552" spans="1:13" x14ac:dyDescent="0.25">
      <c r="A3552" s="76">
        <f t="shared" si="69"/>
        <v>3551</v>
      </c>
      <c r="B3552" s="77" t="s">
        <v>13</v>
      </c>
      <c r="C3552" s="77" t="s">
        <v>8615</v>
      </c>
      <c r="D3552" t="s">
        <v>8693</v>
      </c>
      <c r="E3552" t="s">
        <v>8631</v>
      </c>
      <c r="F3552" s="77" t="s">
        <v>8687</v>
      </c>
      <c r="G3552" s="77" t="s">
        <v>18</v>
      </c>
      <c r="H3552" s="76" t="str">
        <f>IFERROR(VLOOKUP(Table2[[#This Row],[Ticket]],Okey!A:B,2,0),"")</f>
        <v>ok</v>
      </c>
      <c r="I3552" s="77" t="s">
        <v>8318</v>
      </c>
      <c r="J3552" t="str">
        <f>VLOOKUP(Table2[[#This Row],[Author]],People!A:B,2,0)</f>
        <v>LS</v>
      </c>
      <c r="L3552" s="76"/>
      <c r="M3552" s="76" t="s">
        <v>8165</v>
      </c>
    </row>
    <row r="3553" spans="1:13" x14ac:dyDescent="0.25">
      <c r="A3553" s="76">
        <f t="shared" si="69"/>
        <v>3552</v>
      </c>
      <c r="B3553" s="77" t="s">
        <v>13</v>
      </c>
      <c r="C3553" s="77" t="s">
        <v>8615</v>
      </c>
      <c r="D3553" t="s">
        <v>8694</v>
      </c>
      <c r="E3553" t="s">
        <v>8632</v>
      </c>
      <c r="F3553" s="77" t="s">
        <v>8687</v>
      </c>
      <c r="G3553" s="77" t="s">
        <v>18</v>
      </c>
      <c r="H3553" s="76" t="str">
        <f>IFERROR(VLOOKUP(Table2[[#This Row],[Ticket]],Okey!A:B,2,0),"")</f>
        <v>ok</v>
      </c>
      <c r="I3553" s="77" t="s">
        <v>8318</v>
      </c>
      <c r="J3553" t="str">
        <f>VLOOKUP(Table2[[#This Row],[Author]],People!A:B,2,0)</f>
        <v>LS</v>
      </c>
      <c r="L3553" s="76"/>
      <c r="M3553" s="76" t="s">
        <v>8165</v>
      </c>
    </row>
    <row r="3554" spans="1:13" x14ac:dyDescent="0.25">
      <c r="A3554" s="76">
        <f t="shared" si="69"/>
        <v>3553</v>
      </c>
      <c r="B3554" s="77" t="s">
        <v>13</v>
      </c>
      <c r="C3554" s="77" t="s">
        <v>8615</v>
      </c>
      <c r="D3554" t="s">
        <v>8695</v>
      </c>
      <c r="E3554" t="s">
        <v>8633</v>
      </c>
      <c r="F3554" s="77" t="s">
        <v>8686</v>
      </c>
      <c r="G3554" s="77" t="s">
        <v>18</v>
      </c>
      <c r="H3554" s="76" t="str">
        <f>IFERROR(VLOOKUP(Table2[[#This Row],[Ticket]],Okey!A:B,2,0),"")</f>
        <v>ok</v>
      </c>
      <c r="I3554" s="77" t="s">
        <v>8318</v>
      </c>
      <c r="J3554" t="str">
        <f>VLOOKUP(Table2[[#This Row],[Author]],People!A:B,2,0)</f>
        <v>LS</v>
      </c>
      <c r="L3554" s="76"/>
      <c r="M3554" s="76" t="s">
        <v>8165</v>
      </c>
    </row>
    <row r="3555" spans="1:13" x14ac:dyDescent="0.25">
      <c r="A3555" s="76">
        <f t="shared" si="69"/>
        <v>3554</v>
      </c>
      <c r="B3555" s="77" t="s">
        <v>13</v>
      </c>
      <c r="C3555" s="77" t="s">
        <v>8615</v>
      </c>
      <c r="D3555" t="s">
        <v>8696</v>
      </c>
      <c r="E3555" t="s">
        <v>8634</v>
      </c>
      <c r="F3555" s="77" t="s">
        <v>8695</v>
      </c>
      <c r="G3555" s="77" t="s">
        <v>18</v>
      </c>
      <c r="H3555" s="76" t="str">
        <f>IFERROR(VLOOKUP(Table2[[#This Row],[Ticket]],Okey!A:B,2,0),"")</f>
        <v>ok</v>
      </c>
      <c r="I3555" s="77" t="s">
        <v>8318</v>
      </c>
      <c r="J3555" t="str">
        <f>VLOOKUP(Table2[[#This Row],[Author]],People!A:B,2,0)</f>
        <v>LS</v>
      </c>
      <c r="L3555" s="76"/>
      <c r="M3555" s="76" t="s">
        <v>8165</v>
      </c>
    </row>
    <row r="3556" spans="1:13" x14ac:dyDescent="0.25">
      <c r="A3556" s="76">
        <f t="shared" si="69"/>
        <v>3555</v>
      </c>
      <c r="B3556" s="77" t="s">
        <v>13</v>
      </c>
      <c r="C3556" s="77" t="s">
        <v>8615</v>
      </c>
      <c r="D3556" t="s">
        <v>8697</v>
      </c>
      <c r="E3556" t="s">
        <v>8635</v>
      </c>
      <c r="F3556" s="77" t="s">
        <v>8695</v>
      </c>
      <c r="G3556" s="77" t="s">
        <v>18</v>
      </c>
      <c r="H3556" s="76" t="str">
        <f>IFERROR(VLOOKUP(Table2[[#This Row],[Ticket]],Okey!A:B,2,0),"")</f>
        <v>ok</v>
      </c>
      <c r="I3556" s="77" t="s">
        <v>8318</v>
      </c>
      <c r="J3556" t="str">
        <f>VLOOKUP(Table2[[#This Row],[Author]],People!A:B,2,0)</f>
        <v>LS</v>
      </c>
      <c r="L3556" s="76"/>
      <c r="M3556" s="76" t="s">
        <v>8165</v>
      </c>
    </row>
    <row r="3557" spans="1:13" x14ac:dyDescent="0.25">
      <c r="A3557" s="76">
        <f t="shared" si="69"/>
        <v>3556</v>
      </c>
      <c r="B3557" s="77" t="s">
        <v>13</v>
      </c>
      <c r="C3557" s="77" t="s">
        <v>8615</v>
      </c>
      <c r="D3557" t="s">
        <v>8698</v>
      </c>
      <c r="E3557" t="s">
        <v>8636</v>
      </c>
      <c r="F3557" s="77" t="s">
        <v>8695</v>
      </c>
      <c r="G3557" s="77" t="s">
        <v>18</v>
      </c>
      <c r="H3557" s="76" t="str">
        <f>IFERROR(VLOOKUP(Table2[[#This Row],[Ticket]],Okey!A:B,2,0),"")</f>
        <v>ok</v>
      </c>
      <c r="I3557" s="77" t="s">
        <v>8318</v>
      </c>
      <c r="J3557" t="str">
        <f>VLOOKUP(Table2[[#This Row],[Author]],People!A:B,2,0)</f>
        <v>LS</v>
      </c>
      <c r="L3557" s="76"/>
      <c r="M3557" s="76" t="s">
        <v>8165</v>
      </c>
    </row>
    <row r="3558" spans="1:13" x14ac:dyDescent="0.25">
      <c r="A3558" s="76">
        <f t="shared" si="69"/>
        <v>3557</v>
      </c>
      <c r="B3558" s="77" t="s">
        <v>13</v>
      </c>
      <c r="C3558" s="77" t="s">
        <v>8615</v>
      </c>
      <c r="D3558" t="s">
        <v>8699</v>
      </c>
      <c r="E3558" t="s">
        <v>8637</v>
      </c>
      <c r="F3558" s="77" t="s">
        <v>8695</v>
      </c>
      <c r="G3558" s="77" t="s">
        <v>18</v>
      </c>
      <c r="H3558" s="76" t="str">
        <f>IFERROR(VLOOKUP(Table2[[#This Row],[Ticket]],Okey!A:B,2,0),"")</f>
        <v>ok</v>
      </c>
      <c r="I3558" s="77" t="s">
        <v>8318</v>
      </c>
      <c r="J3558" t="str">
        <f>VLOOKUP(Table2[[#This Row],[Author]],People!A:B,2,0)</f>
        <v>LS</v>
      </c>
      <c r="L3558" s="76"/>
      <c r="M3558" s="76" t="s">
        <v>8165</v>
      </c>
    </row>
    <row r="3559" spans="1:13" x14ac:dyDescent="0.25">
      <c r="A3559" s="76">
        <f t="shared" si="69"/>
        <v>3558</v>
      </c>
      <c r="B3559" s="77" t="s">
        <v>13</v>
      </c>
      <c r="C3559" s="77" t="s">
        <v>8615</v>
      </c>
      <c r="D3559" t="s">
        <v>8700</v>
      </c>
      <c r="E3559" t="s">
        <v>8638</v>
      </c>
      <c r="F3559" s="77" t="s">
        <v>8686</v>
      </c>
      <c r="G3559" s="77" t="s">
        <v>18</v>
      </c>
      <c r="H3559" s="76" t="str">
        <f>IFERROR(VLOOKUP(Table2[[#This Row],[Ticket]],Okey!A:B,2,0),"")</f>
        <v>ok</v>
      </c>
      <c r="I3559" s="77" t="s">
        <v>8318</v>
      </c>
      <c r="J3559" t="str">
        <f>VLOOKUP(Table2[[#This Row],[Author]],People!A:B,2,0)</f>
        <v>LS</v>
      </c>
      <c r="L3559" s="76"/>
      <c r="M3559" s="76" t="s">
        <v>8165</v>
      </c>
    </row>
    <row r="3560" spans="1:13" x14ac:dyDescent="0.25">
      <c r="A3560" s="76">
        <f t="shared" si="69"/>
        <v>3559</v>
      </c>
      <c r="B3560" s="77" t="s">
        <v>13</v>
      </c>
      <c r="C3560" s="77" t="s">
        <v>8615</v>
      </c>
      <c r="D3560" t="s">
        <v>8701</v>
      </c>
      <c r="E3560" t="s">
        <v>8639</v>
      </c>
      <c r="F3560" t="s">
        <v>4211</v>
      </c>
      <c r="G3560" s="77" t="s">
        <v>18</v>
      </c>
      <c r="H3560" s="76" t="str">
        <f>IFERROR(VLOOKUP(Table2[[#This Row],[Ticket]],Okey!A:B,2,0),"")</f>
        <v>ok</v>
      </c>
      <c r="I3560" s="77" t="s">
        <v>8318</v>
      </c>
      <c r="J3560" t="str">
        <f>VLOOKUP(Table2[[#This Row],[Author]],People!A:B,2,0)</f>
        <v>LS</v>
      </c>
      <c r="L3560" s="76"/>
      <c r="M3560" s="76" t="s">
        <v>8165</v>
      </c>
    </row>
    <row r="3561" spans="1:13" x14ac:dyDescent="0.25">
      <c r="A3561" s="76">
        <f t="shared" si="69"/>
        <v>3560</v>
      </c>
      <c r="B3561" s="77" t="s">
        <v>13</v>
      </c>
      <c r="C3561" s="77" t="s">
        <v>8615</v>
      </c>
      <c r="D3561" t="s">
        <v>8702</v>
      </c>
      <c r="E3561" t="s">
        <v>8640</v>
      </c>
      <c r="F3561" t="s">
        <v>8170</v>
      </c>
      <c r="G3561" s="77" t="s">
        <v>18</v>
      </c>
      <c r="H3561" s="76" t="str">
        <f>IFERROR(VLOOKUP(Table2[[#This Row],[Ticket]],Okey!A:B,2,0),"")</f>
        <v>ok</v>
      </c>
      <c r="I3561" s="77" t="s">
        <v>8318</v>
      </c>
      <c r="J3561" t="str">
        <f>VLOOKUP(Table2[[#This Row],[Author]],People!A:B,2,0)</f>
        <v>LS</v>
      </c>
      <c r="L3561" s="76"/>
      <c r="M3561" s="76" t="s">
        <v>8165</v>
      </c>
    </row>
    <row r="3562" spans="1:13" x14ac:dyDescent="0.25">
      <c r="A3562" s="76">
        <f t="shared" si="69"/>
        <v>3561</v>
      </c>
      <c r="B3562" s="77" t="s">
        <v>13</v>
      </c>
      <c r="C3562" s="77" t="s">
        <v>8615</v>
      </c>
      <c r="D3562" t="s">
        <v>8703</v>
      </c>
      <c r="E3562" t="s">
        <v>8641</v>
      </c>
      <c r="F3562" t="s">
        <v>8170</v>
      </c>
      <c r="G3562" s="77" t="s">
        <v>18</v>
      </c>
      <c r="H3562" s="76" t="str">
        <f>IFERROR(VLOOKUP(Table2[[#This Row],[Ticket]],Okey!A:B,2,0),"")</f>
        <v>ok</v>
      </c>
      <c r="I3562" s="77" t="s">
        <v>8318</v>
      </c>
      <c r="J3562" t="str">
        <f>VLOOKUP(Table2[[#This Row],[Author]],People!A:B,2,0)</f>
        <v>LS</v>
      </c>
      <c r="L3562" s="76"/>
      <c r="M3562" s="76" t="s">
        <v>8165</v>
      </c>
    </row>
    <row r="3563" spans="1:13" x14ac:dyDescent="0.25">
      <c r="A3563" s="76">
        <f t="shared" si="69"/>
        <v>3562</v>
      </c>
      <c r="B3563" s="77" t="s">
        <v>13</v>
      </c>
      <c r="C3563" s="77" t="s">
        <v>8615</v>
      </c>
      <c r="D3563" t="s">
        <v>8704</v>
      </c>
      <c r="E3563" t="s">
        <v>8642</v>
      </c>
      <c r="F3563" t="s">
        <v>1245</v>
      </c>
      <c r="G3563" s="77" t="s">
        <v>18</v>
      </c>
      <c r="H3563" s="76" t="str">
        <f>IFERROR(VLOOKUP(Table2[[#This Row],[Ticket]],Okey!A:B,2,0),"")</f>
        <v>ok</v>
      </c>
      <c r="I3563" s="77" t="s">
        <v>8318</v>
      </c>
      <c r="J3563" t="str">
        <f>VLOOKUP(Table2[[#This Row],[Author]],People!A:B,2,0)</f>
        <v>LS</v>
      </c>
      <c r="L3563" s="76"/>
      <c r="M3563" s="76" t="s">
        <v>8165</v>
      </c>
    </row>
    <row r="3564" spans="1:13" x14ac:dyDescent="0.25">
      <c r="A3564" s="76">
        <f t="shared" ref="A3564:A3573" si="70">1+A3563</f>
        <v>3563</v>
      </c>
      <c r="B3564" s="77" t="s">
        <v>13</v>
      </c>
      <c r="C3564" s="77" t="s">
        <v>8615</v>
      </c>
      <c r="D3564" t="s">
        <v>1058</v>
      </c>
      <c r="E3564" t="s">
        <v>8644</v>
      </c>
      <c r="G3564" s="77" t="s">
        <v>63</v>
      </c>
      <c r="H3564" s="76" t="str">
        <f>IFERROR(VLOOKUP(Table2[[#This Row],[Ticket]],Okey!A:B,2,0),"")</f>
        <v>ok</v>
      </c>
      <c r="I3564" s="77" t="s">
        <v>8318</v>
      </c>
      <c r="J3564" t="str">
        <f>VLOOKUP(Table2[[#This Row],[Author]],People!A:B,2,0)</f>
        <v>LS</v>
      </c>
      <c r="L3564" s="76"/>
      <c r="M3564" s="76" t="s">
        <v>8165</v>
      </c>
    </row>
    <row r="3565" spans="1:13" x14ac:dyDescent="0.25">
      <c r="A3565" s="76">
        <f t="shared" si="70"/>
        <v>3564</v>
      </c>
      <c r="B3565" s="77" t="s">
        <v>13</v>
      </c>
      <c r="C3565" s="77" t="s">
        <v>8615</v>
      </c>
      <c r="D3565" t="s">
        <v>1060</v>
      </c>
      <c r="E3565" t="s">
        <v>8645</v>
      </c>
      <c r="G3565" s="77" t="s">
        <v>63</v>
      </c>
      <c r="H3565" s="76" t="str">
        <f>IFERROR(VLOOKUP(Table2[[#This Row],[Ticket]],Okey!A:B,2,0),"")</f>
        <v>ok</v>
      </c>
      <c r="I3565" s="77" t="s">
        <v>8318</v>
      </c>
      <c r="J3565" t="str">
        <f>VLOOKUP(Table2[[#This Row],[Author]],People!A:B,2,0)</f>
        <v>LS</v>
      </c>
      <c r="L3565" s="76"/>
      <c r="M3565" s="76" t="s">
        <v>8165</v>
      </c>
    </row>
    <row r="3566" spans="1:13" x14ac:dyDescent="0.25">
      <c r="A3566" s="76">
        <f t="shared" si="70"/>
        <v>3565</v>
      </c>
      <c r="B3566" s="77" t="s">
        <v>13</v>
      </c>
      <c r="C3566" s="77" t="s">
        <v>8615</v>
      </c>
      <c r="D3566" t="s">
        <v>1077</v>
      </c>
      <c r="E3566" t="s">
        <v>8646</v>
      </c>
      <c r="G3566" s="77" t="s">
        <v>63</v>
      </c>
      <c r="H3566" s="76" t="str">
        <f>IFERROR(VLOOKUP(Table2[[#This Row],[Ticket]],Okey!A:B,2,0),"")</f>
        <v>ok</v>
      </c>
      <c r="I3566" s="77" t="s">
        <v>8318</v>
      </c>
      <c r="J3566" t="str">
        <f>VLOOKUP(Table2[[#This Row],[Author]],People!A:B,2,0)</f>
        <v>LS</v>
      </c>
      <c r="L3566" s="76"/>
      <c r="M3566" s="76" t="s">
        <v>8165</v>
      </c>
    </row>
    <row r="3567" spans="1:13" x14ac:dyDescent="0.25">
      <c r="A3567" s="76">
        <f t="shared" si="70"/>
        <v>3566</v>
      </c>
      <c r="B3567" s="77" t="s">
        <v>13</v>
      </c>
      <c r="C3567" s="77" t="s">
        <v>8615</v>
      </c>
      <c r="D3567" t="s">
        <v>6139</v>
      </c>
      <c r="E3567" t="s">
        <v>8647</v>
      </c>
      <c r="G3567" s="77" t="s">
        <v>63</v>
      </c>
      <c r="H3567" s="76" t="str">
        <f>IFERROR(VLOOKUP(Table2[[#This Row],[Ticket]],Okey!A:B,2,0),"")</f>
        <v>ok</v>
      </c>
      <c r="I3567" s="77" t="s">
        <v>8318</v>
      </c>
      <c r="J3567" t="str">
        <f>VLOOKUP(Table2[[#This Row],[Author]],People!A:B,2,0)</f>
        <v>LS</v>
      </c>
      <c r="L3567" s="76"/>
      <c r="M3567" s="76" t="s">
        <v>8165</v>
      </c>
    </row>
    <row r="3568" spans="1:13" x14ac:dyDescent="0.25">
      <c r="A3568" s="76">
        <f t="shared" si="70"/>
        <v>3567</v>
      </c>
      <c r="B3568" s="77" t="s">
        <v>13</v>
      </c>
      <c r="C3568" s="77" t="s">
        <v>8615</v>
      </c>
      <c r="D3568" t="s">
        <v>8643</v>
      </c>
      <c r="E3568" t="s">
        <v>8648</v>
      </c>
      <c r="G3568" s="77" t="s">
        <v>63</v>
      </c>
      <c r="H3568" s="76" t="str">
        <f>IFERROR(VLOOKUP(Table2[[#This Row],[Ticket]],Okey!A:B,2,0),"")</f>
        <v>ok</v>
      </c>
      <c r="I3568" s="77" t="s">
        <v>8318</v>
      </c>
      <c r="J3568" t="str">
        <f>VLOOKUP(Table2[[#This Row],[Author]],People!A:B,2,0)</f>
        <v>LS</v>
      </c>
      <c r="L3568" s="76"/>
      <c r="M3568" s="76" t="s">
        <v>8165</v>
      </c>
    </row>
    <row r="3569" spans="1:13" x14ac:dyDescent="0.25">
      <c r="A3569" s="76">
        <f t="shared" si="70"/>
        <v>3568</v>
      </c>
      <c r="B3569" s="77" t="s">
        <v>13</v>
      </c>
      <c r="C3569" s="77" t="s">
        <v>8615</v>
      </c>
      <c r="D3569" t="s">
        <v>1098</v>
      </c>
      <c r="E3569" t="s">
        <v>8649</v>
      </c>
      <c r="G3569" s="77" t="s">
        <v>63</v>
      </c>
      <c r="H3569" s="76" t="str">
        <f>IFERROR(VLOOKUP(Table2[[#This Row],[Ticket]],Okey!A:B,2,0),"")</f>
        <v>ok</v>
      </c>
      <c r="I3569" s="77" t="s">
        <v>8318</v>
      </c>
      <c r="J3569" t="str">
        <f>VLOOKUP(Table2[[#This Row],[Author]],People!A:B,2,0)</f>
        <v>LS</v>
      </c>
      <c r="L3569" s="76"/>
      <c r="M3569" s="76" t="s">
        <v>8165</v>
      </c>
    </row>
    <row r="3570" spans="1:13" x14ac:dyDescent="0.25">
      <c r="A3570" s="76">
        <f t="shared" si="70"/>
        <v>3569</v>
      </c>
      <c r="B3570" s="77" t="s">
        <v>13</v>
      </c>
      <c r="C3570" s="77" t="s">
        <v>8615</v>
      </c>
      <c r="D3570" t="s">
        <v>7382</v>
      </c>
      <c r="E3570" t="s">
        <v>8650</v>
      </c>
      <c r="G3570" s="77" t="s">
        <v>63</v>
      </c>
      <c r="H3570" s="76" t="str">
        <f>IFERROR(VLOOKUP(Table2[[#This Row],[Ticket]],Okey!A:B,2,0),"")</f>
        <v>ok</v>
      </c>
      <c r="I3570" s="77" t="s">
        <v>8318</v>
      </c>
      <c r="J3570" t="str">
        <f>VLOOKUP(Table2[[#This Row],[Author]],People!A:B,2,0)</f>
        <v>LS</v>
      </c>
      <c r="L3570" s="76"/>
      <c r="M3570" s="76" t="s">
        <v>8165</v>
      </c>
    </row>
    <row r="3571" spans="1:13" x14ac:dyDescent="0.25">
      <c r="A3571" s="76">
        <f t="shared" si="70"/>
        <v>3570</v>
      </c>
      <c r="B3571" s="77" t="s">
        <v>13</v>
      </c>
      <c r="C3571" s="77" t="s">
        <v>8615</v>
      </c>
      <c r="D3571" t="s">
        <v>7513</v>
      </c>
      <c r="E3571" t="s">
        <v>8651</v>
      </c>
      <c r="G3571" s="77" t="s">
        <v>63</v>
      </c>
      <c r="H3571" s="76" t="str">
        <f>IFERROR(VLOOKUP(Table2[[#This Row],[Ticket]],Okey!A:B,2,0),"")</f>
        <v>ok</v>
      </c>
      <c r="I3571" s="77" t="s">
        <v>8318</v>
      </c>
      <c r="J3571" t="str">
        <f>VLOOKUP(Table2[[#This Row],[Author]],People!A:B,2,0)</f>
        <v>LS</v>
      </c>
      <c r="L3571" s="76"/>
      <c r="M3571" s="76" t="s">
        <v>8165</v>
      </c>
    </row>
    <row r="3572" spans="1:13" x14ac:dyDescent="0.25">
      <c r="A3572" s="76">
        <f t="shared" si="70"/>
        <v>3571</v>
      </c>
      <c r="B3572" s="77" t="s">
        <v>13</v>
      </c>
      <c r="C3572" s="77" t="s">
        <v>8615</v>
      </c>
      <c r="D3572" t="s">
        <v>7515</v>
      </c>
      <c r="E3572" t="s">
        <v>8652</v>
      </c>
      <c r="G3572" s="77" t="s">
        <v>63</v>
      </c>
      <c r="H3572" s="76" t="str">
        <f>IFERROR(VLOOKUP(Table2[[#This Row],[Ticket]],Okey!A:B,2,0),"")</f>
        <v>ok</v>
      </c>
      <c r="I3572" s="77" t="s">
        <v>8318</v>
      </c>
      <c r="J3572" t="str">
        <f>VLOOKUP(Table2[[#This Row],[Author]],People!A:B,2,0)</f>
        <v>LS</v>
      </c>
      <c r="L3572" s="76"/>
      <c r="M3572" s="76" t="s">
        <v>8165</v>
      </c>
    </row>
    <row r="3573" spans="1:13" x14ac:dyDescent="0.25">
      <c r="A3573" s="76">
        <f t="shared" si="70"/>
        <v>3572</v>
      </c>
      <c r="B3573" s="77" t="s">
        <v>13</v>
      </c>
      <c r="C3573" s="77" t="s">
        <v>8615</v>
      </c>
      <c r="D3573" t="s">
        <v>1101</v>
      </c>
      <c r="E3573" t="s">
        <v>8653</v>
      </c>
      <c r="G3573" s="77" t="s">
        <v>63</v>
      </c>
      <c r="H3573" s="76" t="str">
        <f>IFERROR(VLOOKUP(Table2[[#This Row],[Ticket]],Okey!A:B,2,0),"")</f>
        <v>ok</v>
      </c>
      <c r="I3573" s="77" t="s">
        <v>8318</v>
      </c>
      <c r="J3573" t="str">
        <f>VLOOKUP(Table2[[#This Row],[Author]],People!A:B,2,0)</f>
        <v>LS</v>
      </c>
      <c r="L3573" s="76"/>
      <c r="M3573" s="76" t="s">
        <v>8165</v>
      </c>
    </row>
    <row r="3574" spans="1:13" x14ac:dyDescent="0.25">
      <c r="A3574" s="76">
        <f t="shared" ref="A3574:A3575" si="71">1+A3573</f>
        <v>3573</v>
      </c>
      <c r="B3574" s="77" t="s">
        <v>13</v>
      </c>
      <c r="C3574" s="77" t="s">
        <v>8615</v>
      </c>
      <c r="D3574" t="s">
        <v>1076</v>
      </c>
      <c r="E3574" t="s">
        <v>8654</v>
      </c>
      <c r="F3574" t="s">
        <v>1318</v>
      </c>
      <c r="G3574" s="77" t="s">
        <v>496</v>
      </c>
      <c r="H3574" s="76" t="str">
        <f>IFERROR(VLOOKUP(Table2[[#This Row],[Ticket]],Okey!A:B,2,0),"")</f>
        <v>ok</v>
      </c>
      <c r="I3574" s="77" t="s">
        <v>8318</v>
      </c>
      <c r="J3574" t="str">
        <f>VLOOKUP(Table2[[#This Row],[Author]],People!A:B,2,0)</f>
        <v>LS</v>
      </c>
      <c r="L3574" s="76"/>
      <c r="M3574" s="76" t="s">
        <v>8165</v>
      </c>
    </row>
    <row r="3575" spans="1:13" x14ac:dyDescent="0.25">
      <c r="A3575" s="76">
        <f t="shared" si="71"/>
        <v>3574</v>
      </c>
      <c r="B3575" s="77" t="s">
        <v>13</v>
      </c>
      <c r="C3575" s="77" t="s">
        <v>8615</v>
      </c>
      <c r="D3575" t="s">
        <v>7517</v>
      </c>
      <c r="E3575" t="s">
        <v>8655</v>
      </c>
      <c r="F3575" t="s">
        <v>8656</v>
      </c>
      <c r="G3575" s="77" t="s">
        <v>496</v>
      </c>
      <c r="H3575" s="76" t="str">
        <f>IFERROR(VLOOKUP(Table2[[#This Row],[Ticket]],Okey!A:B,2,0),"")</f>
        <v>ok</v>
      </c>
      <c r="I3575" s="77" t="s">
        <v>8318</v>
      </c>
      <c r="J3575" t="str">
        <f>VLOOKUP(Table2[[#This Row],[Author]],People!A:B,2,0)</f>
        <v>LS</v>
      </c>
      <c r="L3575" s="76"/>
      <c r="M3575" s="76" t="s">
        <v>8165</v>
      </c>
    </row>
    <row r="3576" spans="1:13" x14ac:dyDescent="0.25">
      <c r="A3576" s="76">
        <f t="shared" ref="A3576:A3610" si="72">1+A3575</f>
        <v>3575</v>
      </c>
      <c r="B3576" s="77" t="s">
        <v>13</v>
      </c>
      <c r="C3576" s="77" t="s">
        <v>8615</v>
      </c>
      <c r="D3576" t="s">
        <v>7440</v>
      </c>
      <c r="F3576" s="77" t="s">
        <v>7439</v>
      </c>
      <c r="G3576" t="s">
        <v>24</v>
      </c>
      <c r="H3576" s="76" t="str">
        <f>IFERROR(VLOOKUP(Table2[[#This Row],[Ticket]],Okey!A:B,2,0),"")</f>
        <v>ok</v>
      </c>
      <c r="I3576" s="77" t="s">
        <v>8318</v>
      </c>
      <c r="J3576" t="str">
        <f>VLOOKUP(Table2[[#This Row],[Author]],People!A:B,2,0)</f>
        <v>LS</v>
      </c>
      <c r="L3576" s="76"/>
      <c r="M3576" s="76" t="s">
        <v>8165</v>
      </c>
    </row>
    <row r="3577" spans="1:13" x14ac:dyDescent="0.25">
      <c r="A3577" s="76">
        <f t="shared" si="72"/>
        <v>3576</v>
      </c>
      <c r="B3577" s="77" t="s">
        <v>13</v>
      </c>
      <c r="C3577" s="77" t="s">
        <v>8615</v>
      </c>
      <c r="D3577" t="s">
        <v>7441</v>
      </c>
      <c r="F3577" s="77" t="s">
        <v>7439</v>
      </c>
      <c r="G3577" s="77" t="s">
        <v>24</v>
      </c>
      <c r="H3577" s="76" t="str">
        <f>IFERROR(VLOOKUP(Table2[[#This Row],[Ticket]],Okey!A:B,2,0),"")</f>
        <v>ok</v>
      </c>
      <c r="I3577" s="77" t="s">
        <v>8318</v>
      </c>
      <c r="J3577" t="str">
        <f>VLOOKUP(Table2[[#This Row],[Author]],People!A:B,2,0)</f>
        <v>LS</v>
      </c>
      <c r="L3577" s="76"/>
      <c r="M3577" s="76" t="s">
        <v>8165</v>
      </c>
    </row>
    <row r="3578" spans="1:13" x14ac:dyDescent="0.25">
      <c r="A3578" s="76">
        <f t="shared" si="72"/>
        <v>3577</v>
      </c>
      <c r="B3578" s="77" t="s">
        <v>13</v>
      </c>
      <c r="C3578" s="77" t="s">
        <v>8615</v>
      </c>
      <c r="D3578" t="s">
        <v>7442</v>
      </c>
      <c r="F3578" s="77" t="s">
        <v>7439</v>
      </c>
      <c r="G3578" s="77" t="s">
        <v>24</v>
      </c>
      <c r="H3578" s="76" t="str">
        <f>IFERROR(VLOOKUP(Table2[[#This Row],[Ticket]],Okey!A:B,2,0),"")</f>
        <v>ok</v>
      </c>
      <c r="I3578" s="77" t="s">
        <v>8318</v>
      </c>
      <c r="J3578" t="str">
        <f>VLOOKUP(Table2[[#This Row],[Author]],People!A:B,2,0)</f>
        <v>LS</v>
      </c>
      <c r="L3578" s="76"/>
      <c r="M3578" s="76" t="s">
        <v>8165</v>
      </c>
    </row>
    <row r="3579" spans="1:13" x14ac:dyDescent="0.25">
      <c r="A3579" s="76">
        <f t="shared" si="72"/>
        <v>3578</v>
      </c>
      <c r="B3579" s="77" t="s">
        <v>13</v>
      </c>
      <c r="C3579" s="77" t="s">
        <v>8615</v>
      </c>
      <c r="D3579" t="s">
        <v>7443</v>
      </c>
      <c r="F3579" s="77" t="s">
        <v>7439</v>
      </c>
      <c r="G3579" s="77" t="s">
        <v>24</v>
      </c>
      <c r="H3579" s="76" t="str">
        <f>IFERROR(VLOOKUP(Table2[[#This Row],[Ticket]],Okey!A:B,2,0),"")</f>
        <v>ok</v>
      </c>
      <c r="I3579" s="77" t="s">
        <v>8318</v>
      </c>
      <c r="J3579" t="str">
        <f>VLOOKUP(Table2[[#This Row],[Author]],People!A:B,2,0)</f>
        <v>LS</v>
      </c>
      <c r="L3579" s="76"/>
      <c r="M3579" s="76" t="s">
        <v>8165</v>
      </c>
    </row>
    <row r="3580" spans="1:13" x14ac:dyDescent="0.25">
      <c r="A3580" s="76">
        <f t="shared" si="72"/>
        <v>3579</v>
      </c>
      <c r="B3580" s="77" t="s">
        <v>13</v>
      </c>
      <c r="C3580" s="77" t="s">
        <v>8615</v>
      </c>
      <c r="D3580" t="s">
        <v>7444</v>
      </c>
      <c r="F3580" s="77" t="s">
        <v>7439</v>
      </c>
      <c r="G3580" s="77" t="s">
        <v>24</v>
      </c>
      <c r="H3580" s="76" t="str">
        <f>IFERROR(VLOOKUP(Table2[[#This Row],[Ticket]],Okey!A:B,2,0),"")</f>
        <v>ok</v>
      </c>
      <c r="I3580" s="77" t="s">
        <v>8318</v>
      </c>
      <c r="J3580" t="str">
        <f>VLOOKUP(Table2[[#This Row],[Author]],People!A:B,2,0)</f>
        <v>LS</v>
      </c>
      <c r="L3580" s="76"/>
      <c r="M3580" s="76" t="s">
        <v>8165</v>
      </c>
    </row>
    <row r="3581" spans="1:13" x14ac:dyDescent="0.25">
      <c r="A3581" s="76">
        <f t="shared" si="72"/>
        <v>3580</v>
      </c>
      <c r="B3581" s="77" t="s">
        <v>13</v>
      </c>
      <c r="C3581" s="77" t="s">
        <v>8615</v>
      </c>
      <c r="D3581" t="s">
        <v>7445</v>
      </c>
      <c r="F3581" s="77" t="s">
        <v>7439</v>
      </c>
      <c r="G3581" s="77" t="s">
        <v>24</v>
      </c>
      <c r="H3581" s="76" t="str">
        <f>IFERROR(VLOOKUP(Table2[[#This Row],[Ticket]],Okey!A:B,2,0),"")</f>
        <v>ok</v>
      </c>
      <c r="I3581" s="77" t="s">
        <v>8318</v>
      </c>
      <c r="J3581" t="str">
        <f>VLOOKUP(Table2[[#This Row],[Author]],People!A:B,2,0)</f>
        <v>LS</v>
      </c>
      <c r="L3581" s="76"/>
      <c r="M3581" s="76" t="s">
        <v>8165</v>
      </c>
    </row>
    <row r="3582" spans="1:13" x14ac:dyDescent="0.25">
      <c r="A3582" s="76">
        <f t="shared" si="72"/>
        <v>3581</v>
      </c>
      <c r="B3582" s="77" t="s">
        <v>13</v>
      </c>
      <c r="C3582" s="77" t="s">
        <v>8615</v>
      </c>
      <c r="D3582" t="s">
        <v>7446</v>
      </c>
      <c r="F3582" s="77" t="s">
        <v>7439</v>
      </c>
      <c r="G3582" s="77" t="s">
        <v>24</v>
      </c>
      <c r="H3582" s="76" t="str">
        <f>IFERROR(VLOOKUP(Table2[[#This Row],[Ticket]],Okey!A:B,2,0),"")</f>
        <v>ok</v>
      </c>
      <c r="I3582" s="77" t="s">
        <v>8318</v>
      </c>
      <c r="J3582" t="str">
        <f>VLOOKUP(Table2[[#This Row],[Author]],People!A:B,2,0)</f>
        <v>LS</v>
      </c>
      <c r="L3582" s="76"/>
      <c r="M3582" s="76" t="s">
        <v>8165</v>
      </c>
    </row>
    <row r="3583" spans="1:13" x14ac:dyDescent="0.25">
      <c r="A3583" s="76">
        <f t="shared" si="72"/>
        <v>3582</v>
      </c>
      <c r="B3583" s="77" t="s">
        <v>13</v>
      </c>
      <c r="C3583" s="77" t="s">
        <v>8615</v>
      </c>
      <c r="D3583" t="s">
        <v>7448</v>
      </c>
      <c r="F3583" s="77" t="s">
        <v>7439</v>
      </c>
      <c r="G3583" s="77" t="s">
        <v>24</v>
      </c>
      <c r="H3583" s="76" t="str">
        <f>IFERROR(VLOOKUP(Table2[[#This Row],[Ticket]],Okey!A:B,2,0),"")</f>
        <v>ok</v>
      </c>
      <c r="I3583" s="77" t="s">
        <v>8318</v>
      </c>
      <c r="J3583" t="str">
        <f>VLOOKUP(Table2[[#This Row],[Author]],People!A:B,2,0)</f>
        <v>LS</v>
      </c>
      <c r="L3583" s="76"/>
      <c r="M3583" s="76" t="s">
        <v>8165</v>
      </c>
    </row>
    <row r="3584" spans="1:13" x14ac:dyDescent="0.25">
      <c r="A3584" s="76">
        <f t="shared" si="72"/>
        <v>3583</v>
      </c>
      <c r="B3584" s="77" t="s">
        <v>13</v>
      </c>
      <c r="C3584" s="77" t="s">
        <v>8615</v>
      </c>
      <c r="D3584" t="s">
        <v>7449</v>
      </c>
      <c r="F3584" s="77" t="s">
        <v>7439</v>
      </c>
      <c r="G3584" s="77" t="s">
        <v>24</v>
      </c>
      <c r="H3584" s="76" t="str">
        <f>IFERROR(VLOOKUP(Table2[[#This Row],[Ticket]],Okey!A:B,2,0),"")</f>
        <v>ok</v>
      </c>
      <c r="I3584" s="77" t="s">
        <v>8318</v>
      </c>
      <c r="J3584" t="str">
        <f>VLOOKUP(Table2[[#This Row],[Author]],People!A:B,2,0)</f>
        <v>LS</v>
      </c>
      <c r="L3584" s="76"/>
      <c r="M3584" s="76" t="s">
        <v>8165</v>
      </c>
    </row>
    <row r="3585" spans="1:13" x14ac:dyDescent="0.25">
      <c r="A3585" s="76">
        <f t="shared" si="72"/>
        <v>3584</v>
      </c>
      <c r="B3585" s="77" t="s">
        <v>13</v>
      </c>
      <c r="C3585" s="77" t="s">
        <v>8615</v>
      </c>
      <c r="D3585" t="s">
        <v>7450</v>
      </c>
      <c r="F3585" s="77" t="s">
        <v>7439</v>
      </c>
      <c r="G3585" s="77" t="s">
        <v>24</v>
      </c>
      <c r="H3585" s="76" t="str">
        <f>IFERROR(VLOOKUP(Table2[[#This Row],[Ticket]],Okey!A:B,2,0),"")</f>
        <v>ok</v>
      </c>
      <c r="I3585" s="77" t="s">
        <v>8318</v>
      </c>
      <c r="J3585" t="str">
        <f>VLOOKUP(Table2[[#This Row],[Author]],People!A:B,2,0)</f>
        <v>LS</v>
      </c>
      <c r="L3585" s="76"/>
      <c r="M3585" s="76" t="s">
        <v>8165</v>
      </c>
    </row>
    <row r="3586" spans="1:13" x14ac:dyDescent="0.25">
      <c r="A3586" s="76">
        <f t="shared" si="72"/>
        <v>3585</v>
      </c>
      <c r="B3586" s="77" t="s">
        <v>13</v>
      </c>
      <c r="C3586" s="77" t="s">
        <v>8615</v>
      </c>
      <c r="D3586" t="s">
        <v>7451</v>
      </c>
      <c r="F3586" s="77" t="s">
        <v>7439</v>
      </c>
      <c r="G3586" s="77" t="s">
        <v>24</v>
      </c>
      <c r="H3586" s="76" t="str">
        <f>IFERROR(VLOOKUP(Table2[[#This Row],[Ticket]],Okey!A:B,2,0),"")</f>
        <v>ok</v>
      </c>
      <c r="I3586" s="77" t="s">
        <v>8318</v>
      </c>
      <c r="J3586" t="str">
        <f>VLOOKUP(Table2[[#This Row],[Author]],People!A:B,2,0)</f>
        <v>LS</v>
      </c>
      <c r="L3586" s="76"/>
      <c r="M3586" s="76" t="s">
        <v>8165</v>
      </c>
    </row>
    <row r="3587" spans="1:13" x14ac:dyDescent="0.25">
      <c r="A3587" s="76">
        <f t="shared" si="72"/>
        <v>3586</v>
      </c>
      <c r="B3587" s="77" t="s">
        <v>13</v>
      </c>
      <c r="C3587" s="77" t="s">
        <v>8615</v>
      </c>
      <c r="D3587" t="s">
        <v>7452</v>
      </c>
      <c r="F3587" s="77" t="s">
        <v>7439</v>
      </c>
      <c r="G3587" s="77" t="s">
        <v>24</v>
      </c>
      <c r="H3587" s="76" t="str">
        <f>IFERROR(VLOOKUP(Table2[[#This Row],[Ticket]],Okey!A:B,2,0),"")</f>
        <v>ok</v>
      </c>
      <c r="I3587" s="77" t="s">
        <v>8318</v>
      </c>
      <c r="J3587" t="str">
        <f>VLOOKUP(Table2[[#This Row],[Author]],People!A:B,2,0)</f>
        <v>LS</v>
      </c>
      <c r="L3587" s="76"/>
      <c r="M3587" s="76" t="s">
        <v>8165</v>
      </c>
    </row>
    <row r="3588" spans="1:13" x14ac:dyDescent="0.25">
      <c r="A3588" s="76">
        <f t="shared" si="72"/>
        <v>3587</v>
      </c>
      <c r="B3588" s="77" t="s">
        <v>13</v>
      </c>
      <c r="C3588" s="77" t="s">
        <v>8615</v>
      </c>
      <c r="D3588" t="s">
        <v>7453</v>
      </c>
      <c r="F3588" s="77" t="s">
        <v>7439</v>
      </c>
      <c r="G3588" s="77" t="s">
        <v>24</v>
      </c>
      <c r="H3588" s="76" t="str">
        <f>IFERROR(VLOOKUP(Table2[[#This Row],[Ticket]],Okey!A:B,2,0),"")</f>
        <v>ok</v>
      </c>
      <c r="I3588" s="77" t="s">
        <v>8318</v>
      </c>
      <c r="J3588" t="str">
        <f>VLOOKUP(Table2[[#This Row],[Author]],People!A:B,2,0)</f>
        <v>LS</v>
      </c>
      <c r="L3588" s="76"/>
      <c r="M3588" s="76" t="s">
        <v>8165</v>
      </c>
    </row>
    <row r="3589" spans="1:13" x14ac:dyDescent="0.25">
      <c r="A3589" s="76">
        <f t="shared" si="72"/>
        <v>3588</v>
      </c>
      <c r="B3589" s="77" t="s">
        <v>13</v>
      </c>
      <c r="C3589" s="77" t="s">
        <v>8615</v>
      </c>
      <c r="D3589" t="s">
        <v>8657</v>
      </c>
      <c r="F3589" s="77" t="s">
        <v>1058</v>
      </c>
      <c r="G3589" s="77" t="s">
        <v>24</v>
      </c>
      <c r="H3589" s="76" t="str">
        <f>IFERROR(VLOOKUP(Table2[[#This Row],[Ticket]],Okey!A:B,2,0),"")</f>
        <v>ok</v>
      </c>
      <c r="I3589" s="77" t="s">
        <v>8318</v>
      </c>
      <c r="J3589" t="str">
        <f>VLOOKUP(Table2[[#This Row],[Author]],People!A:B,2,0)</f>
        <v>LS</v>
      </c>
      <c r="L3589" s="76"/>
      <c r="M3589" s="76" t="s">
        <v>8165</v>
      </c>
    </row>
    <row r="3590" spans="1:13" x14ac:dyDescent="0.25">
      <c r="A3590" s="76">
        <f t="shared" si="72"/>
        <v>3589</v>
      </c>
      <c r="B3590" s="77" t="s">
        <v>13</v>
      </c>
      <c r="C3590" s="77" t="s">
        <v>8615</v>
      </c>
      <c r="D3590" t="s">
        <v>8658</v>
      </c>
      <c r="F3590" s="77" t="s">
        <v>1058</v>
      </c>
      <c r="G3590" s="77" t="s">
        <v>24</v>
      </c>
      <c r="H3590" s="76" t="str">
        <f>IFERROR(VLOOKUP(Table2[[#This Row],[Ticket]],Okey!A:B,2,0),"")</f>
        <v>ok</v>
      </c>
      <c r="I3590" s="77" t="s">
        <v>8318</v>
      </c>
      <c r="J3590" t="str">
        <f>VLOOKUP(Table2[[#This Row],[Author]],People!A:B,2,0)</f>
        <v>LS</v>
      </c>
      <c r="L3590" s="76"/>
      <c r="M3590" s="76" t="s">
        <v>8165</v>
      </c>
    </row>
    <row r="3591" spans="1:13" x14ac:dyDescent="0.25">
      <c r="A3591" s="76">
        <f t="shared" si="72"/>
        <v>3590</v>
      </c>
      <c r="B3591" s="77" t="s">
        <v>13</v>
      </c>
      <c r="C3591" s="77" t="s">
        <v>8615</v>
      </c>
      <c r="D3591" t="s">
        <v>8659</v>
      </c>
      <c r="F3591" s="77" t="s">
        <v>1058</v>
      </c>
      <c r="G3591" s="77" t="s">
        <v>24</v>
      </c>
      <c r="H3591" s="76" t="str">
        <f>IFERROR(VLOOKUP(Table2[[#This Row],[Ticket]],Okey!A:B,2,0),"")</f>
        <v>ok</v>
      </c>
      <c r="I3591" s="77" t="s">
        <v>8318</v>
      </c>
      <c r="J3591" t="str">
        <f>VLOOKUP(Table2[[#This Row],[Author]],People!A:B,2,0)</f>
        <v>LS</v>
      </c>
      <c r="L3591" s="76"/>
      <c r="M3591" s="76" t="s">
        <v>8165</v>
      </c>
    </row>
    <row r="3592" spans="1:13" x14ac:dyDescent="0.25">
      <c r="A3592" s="76">
        <f t="shared" si="72"/>
        <v>3591</v>
      </c>
      <c r="B3592" s="77" t="s">
        <v>13</v>
      </c>
      <c r="C3592" s="77" t="s">
        <v>8615</v>
      </c>
      <c r="D3592" t="s">
        <v>8660</v>
      </c>
      <c r="F3592" s="77" t="s">
        <v>1313</v>
      </c>
      <c r="G3592" s="77" t="s">
        <v>24</v>
      </c>
      <c r="H3592" s="76" t="str">
        <f>IFERROR(VLOOKUP(Table2[[#This Row],[Ticket]],Okey!A:B,2,0),"")</f>
        <v>ok</v>
      </c>
      <c r="I3592" s="77" t="s">
        <v>8318</v>
      </c>
      <c r="J3592" t="str">
        <f>VLOOKUP(Table2[[#This Row],[Author]],People!A:B,2,0)</f>
        <v>LS</v>
      </c>
      <c r="L3592" s="76"/>
      <c r="M3592" s="76" t="s">
        <v>8165</v>
      </c>
    </row>
    <row r="3593" spans="1:13" x14ac:dyDescent="0.25">
      <c r="A3593" s="76">
        <f t="shared" si="72"/>
        <v>3592</v>
      </c>
      <c r="B3593" s="77" t="s">
        <v>13</v>
      </c>
      <c r="C3593" s="77" t="s">
        <v>8615</v>
      </c>
      <c r="D3593" t="s">
        <v>8661</v>
      </c>
      <c r="F3593" s="77" t="s">
        <v>1313</v>
      </c>
      <c r="G3593" s="77" t="s">
        <v>24</v>
      </c>
      <c r="H3593" s="76" t="str">
        <f>IFERROR(VLOOKUP(Table2[[#This Row],[Ticket]],Okey!A:B,2,0),"")</f>
        <v>ok</v>
      </c>
      <c r="I3593" s="77" t="s">
        <v>8318</v>
      </c>
      <c r="J3593" t="str">
        <f>VLOOKUP(Table2[[#This Row],[Author]],People!A:B,2,0)</f>
        <v>LS</v>
      </c>
      <c r="L3593" s="76"/>
      <c r="M3593" s="76" t="s">
        <v>8165</v>
      </c>
    </row>
    <row r="3594" spans="1:13" x14ac:dyDescent="0.25">
      <c r="A3594" s="76">
        <f t="shared" si="72"/>
        <v>3593</v>
      </c>
      <c r="B3594" s="77" t="s">
        <v>13</v>
      </c>
      <c r="C3594" s="77" t="s">
        <v>8615</v>
      </c>
      <c r="D3594" t="s">
        <v>8662</v>
      </c>
      <c r="F3594" s="77" t="s">
        <v>8668</v>
      </c>
      <c r="G3594" s="77" t="s">
        <v>24</v>
      </c>
      <c r="H3594" s="76" t="str">
        <f>IFERROR(VLOOKUP(Table2[[#This Row],[Ticket]],Okey!A:B,2,0),"")</f>
        <v>ok</v>
      </c>
      <c r="I3594" s="77" t="s">
        <v>8318</v>
      </c>
      <c r="J3594" t="str">
        <f>VLOOKUP(Table2[[#This Row],[Author]],People!A:B,2,0)</f>
        <v>LS</v>
      </c>
      <c r="L3594" s="76"/>
      <c r="M3594" s="76" t="s">
        <v>8165</v>
      </c>
    </row>
    <row r="3595" spans="1:13" x14ac:dyDescent="0.25">
      <c r="A3595" s="76">
        <f t="shared" si="72"/>
        <v>3594</v>
      </c>
      <c r="B3595" s="77" t="s">
        <v>13</v>
      </c>
      <c r="C3595" s="77" t="s">
        <v>8615</v>
      </c>
      <c r="D3595" t="s">
        <v>8663</v>
      </c>
      <c r="F3595" s="77" t="s">
        <v>6020</v>
      </c>
      <c r="G3595" s="77" t="s">
        <v>24</v>
      </c>
      <c r="H3595" s="76" t="str">
        <f>IFERROR(VLOOKUP(Table2[[#This Row],[Ticket]],Okey!A:B,2,0),"")</f>
        <v>ok</v>
      </c>
      <c r="I3595" s="77" t="s">
        <v>8318</v>
      </c>
      <c r="J3595" t="str">
        <f>VLOOKUP(Table2[[#This Row],[Author]],People!A:B,2,0)</f>
        <v>LS</v>
      </c>
      <c r="L3595" s="76"/>
      <c r="M3595" s="76" t="s">
        <v>8165</v>
      </c>
    </row>
    <row r="3596" spans="1:13" x14ac:dyDescent="0.25">
      <c r="A3596" s="76">
        <f t="shared" si="72"/>
        <v>3595</v>
      </c>
      <c r="B3596" s="77" t="s">
        <v>13</v>
      </c>
      <c r="C3596" s="77" t="s">
        <v>8615</v>
      </c>
      <c r="D3596" t="s">
        <v>8664</v>
      </c>
      <c r="F3596" s="77" t="s">
        <v>6020</v>
      </c>
      <c r="G3596" s="77" t="s">
        <v>24</v>
      </c>
      <c r="H3596" s="76" t="str">
        <f>IFERROR(VLOOKUP(Table2[[#This Row],[Ticket]],Okey!A:B,2,0),"")</f>
        <v>ok</v>
      </c>
      <c r="I3596" s="77" t="s">
        <v>8318</v>
      </c>
      <c r="J3596" t="str">
        <f>VLOOKUP(Table2[[#This Row],[Author]],People!A:B,2,0)</f>
        <v>LS</v>
      </c>
      <c r="L3596" s="76"/>
      <c r="M3596" s="76" t="s">
        <v>8165</v>
      </c>
    </row>
    <row r="3597" spans="1:13" x14ac:dyDescent="0.25">
      <c r="A3597" s="76">
        <f t="shared" si="72"/>
        <v>3596</v>
      </c>
      <c r="B3597" s="77" t="s">
        <v>13</v>
      </c>
      <c r="C3597" s="77" t="s">
        <v>8615</v>
      </c>
      <c r="D3597" t="s">
        <v>8665</v>
      </c>
      <c r="F3597" s="77" t="s">
        <v>6020</v>
      </c>
      <c r="G3597" s="77" t="s">
        <v>24</v>
      </c>
      <c r="H3597" s="76" t="str">
        <f>IFERROR(VLOOKUP(Table2[[#This Row],[Ticket]],Okey!A:B,2,0),"")</f>
        <v>ok</v>
      </c>
      <c r="I3597" s="77" t="s">
        <v>8318</v>
      </c>
      <c r="J3597" t="str">
        <f>VLOOKUP(Table2[[#This Row],[Author]],People!A:B,2,0)</f>
        <v>LS</v>
      </c>
      <c r="L3597" s="76"/>
      <c r="M3597" s="76" t="s">
        <v>8165</v>
      </c>
    </row>
    <row r="3598" spans="1:13" x14ac:dyDescent="0.25">
      <c r="A3598" s="76">
        <f t="shared" si="72"/>
        <v>3597</v>
      </c>
      <c r="B3598" s="77" t="s">
        <v>13</v>
      </c>
      <c r="C3598" s="77" t="s">
        <v>8615</v>
      </c>
      <c r="D3598" t="s">
        <v>8666</v>
      </c>
      <c r="F3598" s="77" t="s">
        <v>6020</v>
      </c>
      <c r="G3598" s="77" t="s">
        <v>24</v>
      </c>
      <c r="H3598" s="76" t="str">
        <f>IFERROR(VLOOKUP(Table2[[#This Row],[Ticket]],Okey!A:B,2,0),"")</f>
        <v>ok</v>
      </c>
      <c r="I3598" s="77" t="s">
        <v>8318</v>
      </c>
      <c r="J3598" t="str">
        <f>VLOOKUP(Table2[[#This Row],[Author]],People!A:B,2,0)</f>
        <v>LS</v>
      </c>
      <c r="L3598" s="76"/>
      <c r="M3598" s="76" t="s">
        <v>8165</v>
      </c>
    </row>
    <row r="3599" spans="1:13" x14ac:dyDescent="0.25">
      <c r="A3599" s="76">
        <f t="shared" si="72"/>
        <v>3598</v>
      </c>
      <c r="B3599" s="77" t="s">
        <v>13</v>
      </c>
      <c r="C3599" s="77" t="s">
        <v>8615</v>
      </c>
      <c r="D3599" t="s">
        <v>1078</v>
      </c>
      <c r="F3599" s="77" t="s">
        <v>1318</v>
      </c>
      <c r="G3599" s="77" t="s">
        <v>24</v>
      </c>
      <c r="H3599" s="76" t="str">
        <f>IFERROR(VLOOKUP(Table2[[#This Row],[Ticket]],Okey!A:B,2,0),"")</f>
        <v>ok</v>
      </c>
      <c r="I3599" s="77" t="s">
        <v>8318</v>
      </c>
      <c r="J3599" t="str">
        <f>VLOOKUP(Table2[[#This Row],[Author]],People!A:B,2,0)</f>
        <v>LS</v>
      </c>
      <c r="L3599" s="76"/>
      <c r="M3599" s="76" t="s">
        <v>8165</v>
      </c>
    </row>
    <row r="3600" spans="1:13" x14ac:dyDescent="0.25">
      <c r="A3600" s="76">
        <f t="shared" si="72"/>
        <v>3599</v>
      </c>
      <c r="B3600" s="77" t="s">
        <v>13</v>
      </c>
      <c r="C3600" s="77" t="s">
        <v>8615</v>
      </c>
      <c r="D3600" t="s">
        <v>7637</v>
      </c>
      <c r="F3600" s="77" t="s">
        <v>7432</v>
      </c>
      <c r="G3600" s="77" t="s">
        <v>24</v>
      </c>
      <c r="H3600" s="76" t="str">
        <f>IFERROR(VLOOKUP(Table2[[#This Row],[Ticket]],Okey!A:B,2,0),"")</f>
        <v>ok</v>
      </c>
      <c r="I3600" s="77" t="s">
        <v>8318</v>
      </c>
      <c r="J3600" t="str">
        <f>VLOOKUP(Table2[[#This Row],[Author]],People!A:B,2,0)</f>
        <v>LS</v>
      </c>
      <c r="L3600" s="76"/>
      <c r="M3600" s="76" t="s">
        <v>8165</v>
      </c>
    </row>
    <row r="3601" spans="1:13" x14ac:dyDescent="0.25">
      <c r="A3601" s="76">
        <f t="shared" si="72"/>
        <v>3600</v>
      </c>
      <c r="B3601" s="77" t="s">
        <v>13</v>
      </c>
      <c r="C3601" s="77" t="s">
        <v>8615</v>
      </c>
      <c r="D3601" t="s">
        <v>8244</v>
      </c>
      <c r="F3601" s="77" t="s">
        <v>7811</v>
      </c>
      <c r="G3601" s="77" t="s">
        <v>24</v>
      </c>
      <c r="H3601" s="76" t="str">
        <f>IFERROR(VLOOKUP(Table2[[#This Row],[Ticket]],Okey!A:B,2,0),"")</f>
        <v>ok</v>
      </c>
      <c r="I3601" s="77" t="s">
        <v>8318</v>
      </c>
      <c r="J3601" t="str">
        <f>VLOOKUP(Table2[[#This Row],[Author]],People!A:B,2,0)</f>
        <v>LS</v>
      </c>
      <c r="L3601" s="76"/>
      <c r="M3601" s="76" t="s">
        <v>8165</v>
      </c>
    </row>
    <row r="3602" spans="1:13" x14ac:dyDescent="0.25">
      <c r="A3602" s="76">
        <f t="shared" si="72"/>
        <v>3601</v>
      </c>
      <c r="B3602" s="77" t="s">
        <v>13</v>
      </c>
      <c r="C3602" s="77" t="s">
        <v>8615</v>
      </c>
      <c r="D3602" t="s">
        <v>4636</v>
      </c>
      <c r="F3602" s="77" t="s">
        <v>8684</v>
      </c>
      <c r="G3602" s="77" t="s">
        <v>24</v>
      </c>
      <c r="H3602" s="76" t="str">
        <f>IFERROR(VLOOKUP(Table2[[#This Row],[Ticket]],Okey!A:B,2,0),"")</f>
        <v>ok</v>
      </c>
      <c r="I3602" s="77" t="s">
        <v>8318</v>
      </c>
      <c r="J3602" t="str">
        <f>VLOOKUP(Table2[[#This Row],[Author]],People!A:B,2,0)</f>
        <v>LS</v>
      </c>
      <c r="L3602" s="76"/>
      <c r="M3602" s="76" t="s">
        <v>8165</v>
      </c>
    </row>
    <row r="3603" spans="1:13" x14ac:dyDescent="0.25">
      <c r="A3603" s="76">
        <f t="shared" si="72"/>
        <v>3602</v>
      </c>
      <c r="B3603" s="77" t="s">
        <v>13</v>
      </c>
      <c r="C3603" s="77" t="s">
        <v>8615</v>
      </c>
      <c r="D3603" t="s">
        <v>4634</v>
      </c>
      <c r="F3603" s="77" t="s">
        <v>8684</v>
      </c>
      <c r="G3603" s="77" t="s">
        <v>24</v>
      </c>
      <c r="H3603" s="76" t="str">
        <f>IFERROR(VLOOKUP(Table2[[#This Row],[Ticket]],Okey!A:B,2,0),"")</f>
        <v>ok</v>
      </c>
      <c r="I3603" s="77" t="s">
        <v>8318</v>
      </c>
      <c r="J3603" t="str">
        <f>VLOOKUP(Table2[[#This Row],[Author]],People!A:B,2,0)</f>
        <v>LS</v>
      </c>
      <c r="L3603" s="76"/>
      <c r="M3603" s="76" t="s">
        <v>8165</v>
      </c>
    </row>
    <row r="3604" spans="1:13" x14ac:dyDescent="0.25">
      <c r="A3604" s="76">
        <f t="shared" si="72"/>
        <v>3603</v>
      </c>
      <c r="B3604" s="77" t="s">
        <v>13</v>
      </c>
      <c r="C3604" s="77" t="s">
        <v>8615</v>
      </c>
      <c r="D3604" t="s">
        <v>6125</v>
      </c>
      <c r="F3604" s="77" t="s">
        <v>6139</v>
      </c>
      <c r="G3604" s="77" t="s">
        <v>24</v>
      </c>
      <c r="H3604" s="76" t="str">
        <f>IFERROR(VLOOKUP(Table2[[#This Row],[Ticket]],Okey!A:B,2,0),"")</f>
        <v>ok</v>
      </c>
      <c r="I3604" s="77" t="s">
        <v>8318</v>
      </c>
      <c r="J3604" t="str">
        <f>VLOOKUP(Table2[[#This Row],[Author]],People!A:B,2,0)</f>
        <v>LS</v>
      </c>
      <c r="L3604" s="76"/>
      <c r="M3604" s="76" t="s">
        <v>8165</v>
      </c>
    </row>
    <row r="3605" spans="1:13" x14ac:dyDescent="0.25">
      <c r="A3605" s="76">
        <f t="shared" si="72"/>
        <v>3604</v>
      </c>
      <c r="B3605" s="77" t="s">
        <v>13</v>
      </c>
      <c r="C3605" s="77" t="s">
        <v>8615</v>
      </c>
      <c r="D3605" t="s">
        <v>8667</v>
      </c>
      <c r="F3605" s="77" t="s">
        <v>2517</v>
      </c>
      <c r="G3605" s="77" t="s">
        <v>24</v>
      </c>
      <c r="H3605" s="76" t="str">
        <f>IFERROR(VLOOKUP(Table2[[#This Row],[Ticket]],Okey!A:B,2,0),"")</f>
        <v>ok</v>
      </c>
      <c r="I3605" s="77" t="s">
        <v>8318</v>
      </c>
      <c r="J3605" t="str">
        <f>VLOOKUP(Table2[[#This Row],[Author]],People!A:B,2,0)</f>
        <v>LS</v>
      </c>
      <c r="L3605" s="76"/>
      <c r="M3605" s="76" t="s">
        <v>8165</v>
      </c>
    </row>
    <row r="3606" spans="1:13" x14ac:dyDescent="0.25">
      <c r="A3606" s="76">
        <f t="shared" si="72"/>
        <v>3605</v>
      </c>
      <c r="B3606" s="77" t="s">
        <v>13</v>
      </c>
      <c r="C3606" s="77" t="s">
        <v>8615</v>
      </c>
      <c r="D3606" t="s">
        <v>4957</v>
      </c>
      <c r="F3606" s="77" t="s">
        <v>4875</v>
      </c>
      <c r="G3606" s="77" t="s">
        <v>24</v>
      </c>
      <c r="H3606" s="76" t="str">
        <f>IFERROR(VLOOKUP(Table2[[#This Row],[Ticket]],Okey!A:B,2,0),"")</f>
        <v>ok</v>
      </c>
      <c r="I3606" s="77" t="s">
        <v>8318</v>
      </c>
      <c r="J3606" t="str">
        <f>VLOOKUP(Table2[[#This Row],[Author]],People!A:B,2,0)</f>
        <v>LS</v>
      </c>
      <c r="L3606" s="76"/>
      <c r="M3606" s="76" t="s">
        <v>8165</v>
      </c>
    </row>
    <row r="3607" spans="1:13" x14ac:dyDescent="0.25">
      <c r="A3607" s="76">
        <f t="shared" si="72"/>
        <v>3606</v>
      </c>
      <c r="B3607" s="77" t="s">
        <v>13</v>
      </c>
      <c r="C3607" s="77" t="s">
        <v>8615</v>
      </c>
      <c r="D3607" t="s">
        <v>8225</v>
      </c>
      <c r="F3607" s="77" t="s">
        <v>1244</v>
      </c>
      <c r="G3607" s="77" t="s">
        <v>24</v>
      </c>
      <c r="H3607" s="76" t="str">
        <f>IFERROR(VLOOKUP(Table2[[#This Row],[Ticket]],Okey!A:B,2,0),"")</f>
        <v>ok</v>
      </c>
      <c r="I3607" s="77" t="s">
        <v>8318</v>
      </c>
      <c r="J3607" t="str">
        <f>VLOOKUP(Table2[[#This Row],[Author]],People!A:B,2,0)</f>
        <v>LS</v>
      </c>
      <c r="L3607" s="76"/>
      <c r="M3607" s="76" t="s">
        <v>8165</v>
      </c>
    </row>
    <row r="3608" spans="1:13" x14ac:dyDescent="0.25">
      <c r="A3608" s="76">
        <f t="shared" si="72"/>
        <v>3607</v>
      </c>
      <c r="B3608" s="77" t="s">
        <v>13</v>
      </c>
      <c r="C3608" s="77" t="s">
        <v>8615</v>
      </c>
      <c r="D3608" t="s">
        <v>8227</v>
      </c>
      <c r="F3608" s="77" t="s">
        <v>1247</v>
      </c>
      <c r="G3608" s="77" t="s">
        <v>24</v>
      </c>
      <c r="H3608" s="76" t="str">
        <f>IFERROR(VLOOKUP(Table2[[#This Row],[Ticket]],Okey!A:B,2,0),"")</f>
        <v>ok</v>
      </c>
      <c r="I3608" s="77" t="s">
        <v>8318</v>
      </c>
      <c r="J3608" t="str">
        <f>VLOOKUP(Table2[[#This Row],[Author]],People!A:B,2,0)</f>
        <v>LS</v>
      </c>
      <c r="L3608" s="76"/>
      <c r="M3608" s="76" t="s">
        <v>8165</v>
      </c>
    </row>
    <row r="3609" spans="1:13" x14ac:dyDescent="0.25">
      <c r="A3609" s="76">
        <f t="shared" si="72"/>
        <v>3608</v>
      </c>
      <c r="B3609" s="77" t="s">
        <v>13</v>
      </c>
      <c r="C3609" s="77" t="s">
        <v>8615</v>
      </c>
      <c r="D3609" t="s">
        <v>8232</v>
      </c>
      <c r="F3609" s="77" t="s">
        <v>1248</v>
      </c>
      <c r="G3609" s="77" t="s">
        <v>24</v>
      </c>
      <c r="H3609" s="76" t="str">
        <f>IFERROR(VLOOKUP(Table2[[#This Row],[Ticket]],Okey!A:B,2,0),"")</f>
        <v>ok</v>
      </c>
      <c r="I3609" s="77" t="s">
        <v>8318</v>
      </c>
      <c r="J3609" t="str">
        <f>VLOOKUP(Table2[[#This Row],[Author]],People!A:B,2,0)</f>
        <v>LS</v>
      </c>
      <c r="L3609" s="76"/>
      <c r="M3609" s="76" t="s">
        <v>8165</v>
      </c>
    </row>
    <row r="3610" spans="1:13" x14ac:dyDescent="0.25">
      <c r="A3610" s="76">
        <f t="shared" si="72"/>
        <v>3609</v>
      </c>
      <c r="B3610" s="77" t="s">
        <v>13</v>
      </c>
      <c r="C3610" s="77" t="s">
        <v>8615</v>
      </c>
      <c r="D3610" t="s">
        <v>8233</v>
      </c>
      <c r="F3610" s="77" t="s">
        <v>1248</v>
      </c>
      <c r="G3610" s="77" t="s">
        <v>24</v>
      </c>
      <c r="H3610" s="76" t="str">
        <f>IFERROR(VLOOKUP(Table2[[#This Row],[Ticket]],Okey!A:B,2,0),"")</f>
        <v>ok</v>
      </c>
      <c r="I3610" s="77" t="s">
        <v>8318</v>
      </c>
      <c r="J3610" t="str">
        <f>VLOOKUP(Table2[[#This Row],[Author]],People!A:B,2,0)</f>
        <v>LS</v>
      </c>
      <c r="L3610" s="76"/>
      <c r="M3610" s="76" t="s">
        <v>8165</v>
      </c>
    </row>
    <row r="3611" spans="1:13" x14ac:dyDescent="0.25">
      <c r="A3611" s="76">
        <f t="shared" ref="A3611:A3618" si="73">1+A3610</f>
        <v>3610</v>
      </c>
      <c r="B3611" s="77" t="s">
        <v>13</v>
      </c>
      <c r="C3611" s="77" t="s">
        <v>8615</v>
      </c>
      <c r="D3611" t="s">
        <v>1311</v>
      </c>
      <c r="F3611" s="77" t="s">
        <v>2515</v>
      </c>
      <c r="G3611" t="s">
        <v>328</v>
      </c>
      <c r="H3611" s="76" t="str">
        <f>IFERROR(VLOOKUP(Table2[[#This Row],[Ticket]],Okey!A:B,2,0),"")</f>
        <v>ok</v>
      </c>
      <c r="I3611" s="77" t="s">
        <v>8318</v>
      </c>
      <c r="J3611" t="str">
        <f>VLOOKUP(Table2[[#This Row],[Author]],People!A:B,2,0)</f>
        <v>LS</v>
      </c>
      <c r="L3611" s="76"/>
      <c r="M3611" s="76" t="s">
        <v>8165</v>
      </c>
    </row>
    <row r="3612" spans="1:13" x14ac:dyDescent="0.25">
      <c r="A3612" s="76">
        <f t="shared" si="73"/>
        <v>3611</v>
      </c>
      <c r="B3612" s="77" t="s">
        <v>13</v>
      </c>
      <c r="C3612" s="77" t="s">
        <v>8615</v>
      </c>
      <c r="D3612" t="s">
        <v>8669</v>
      </c>
      <c r="F3612" s="77" t="s">
        <v>2515</v>
      </c>
      <c r="G3612" s="77" t="s">
        <v>328</v>
      </c>
      <c r="H3612" s="76" t="str">
        <f>IFERROR(VLOOKUP(Table2[[#This Row],[Ticket]],Okey!A:B,2,0),"")</f>
        <v>ok</v>
      </c>
      <c r="I3612" s="77" t="s">
        <v>8318</v>
      </c>
      <c r="J3612" t="str">
        <f>VLOOKUP(Table2[[#This Row],[Author]],People!A:B,2,0)</f>
        <v>LS</v>
      </c>
      <c r="L3612" s="76"/>
      <c r="M3612" s="76" t="s">
        <v>8165</v>
      </c>
    </row>
    <row r="3613" spans="1:13" x14ac:dyDescent="0.25">
      <c r="A3613" s="76">
        <f t="shared" si="73"/>
        <v>3612</v>
      </c>
      <c r="B3613" s="77" t="s">
        <v>13</v>
      </c>
      <c r="C3613" s="77" t="s">
        <v>8615</v>
      </c>
      <c r="D3613" t="s">
        <v>8670</v>
      </c>
      <c r="F3613" s="77" t="s">
        <v>2515</v>
      </c>
      <c r="G3613" s="77" t="s">
        <v>328</v>
      </c>
      <c r="H3613" s="76" t="str">
        <f>IFERROR(VLOOKUP(Table2[[#This Row],[Ticket]],Okey!A:B,2,0),"")</f>
        <v>ok</v>
      </c>
      <c r="I3613" s="77" t="s">
        <v>8318</v>
      </c>
      <c r="J3613" t="str">
        <f>VLOOKUP(Table2[[#This Row],[Author]],People!A:B,2,0)</f>
        <v>LS</v>
      </c>
      <c r="L3613" s="76"/>
      <c r="M3613" s="76" t="s">
        <v>8165</v>
      </c>
    </row>
    <row r="3614" spans="1:13" x14ac:dyDescent="0.25">
      <c r="A3614" s="76">
        <f t="shared" si="73"/>
        <v>3613</v>
      </c>
      <c r="B3614" s="77" t="s">
        <v>13</v>
      </c>
      <c r="C3614" s="77" t="s">
        <v>8615</v>
      </c>
      <c r="D3614" t="s">
        <v>8671</v>
      </c>
      <c r="F3614" s="77" t="s">
        <v>2515</v>
      </c>
      <c r="G3614" s="77" t="s">
        <v>328</v>
      </c>
      <c r="H3614" s="76" t="str">
        <f>IFERROR(VLOOKUP(Table2[[#This Row],[Ticket]],Okey!A:B,2,0),"")</f>
        <v>ok</v>
      </c>
      <c r="I3614" s="77" t="s">
        <v>8318</v>
      </c>
      <c r="J3614" t="str">
        <f>VLOOKUP(Table2[[#This Row],[Author]],People!A:B,2,0)</f>
        <v>LS</v>
      </c>
      <c r="L3614" s="76"/>
      <c r="M3614" s="76" t="s">
        <v>8165</v>
      </c>
    </row>
    <row r="3615" spans="1:13" x14ac:dyDescent="0.25">
      <c r="A3615" s="76">
        <f t="shared" si="73"/>
        <v>3614</v>
      </c>
      <c r="B3615" s="77" t="s">
        <v>13</v>
      </c>
      <c r="C3615" s="77" t="s">
        <v>8615</v>
      </c>
      <c r="D3615" t="s">
        <v>2714</v>
      </c>
      <c r="F3615" s="77" t="s">
        <v>2509</v>
      </c>
      <c r="G3615" s="77" t="s">
        <v>328</v>
      </c>
      <c r="H3615" s="76" t="str">
        <f>IFERROR(VLOOKUP(Table2[[#This Row],[Ticket]],Okey!A:B,2,0),"")</f>
        <v>ok</v>
      </c>
      <c r="I3615" s="77" t="s">
        <v>8318</v>
      </c>
      <c r="J3615" t="str">
        <f>VLOOKUP(Table2[[#This Row],[Author]],People!A:B,2,0)</f>
        <v>LS</v>
      </c>
      <c r="L3615" s="76"/>
      <c r="M3615" s="76" t="s">
        <v>8165</v>
      </c>
    </row>
    <row r="3616" spans="1:13" x14ac:dyDescent="0.25">
      <c r="A3616" s="76">
        <f t="shared" si="73"/>
        <v>3615</v>
      </c>
      <c r="B3616" s="77" t="s">
        <v>13</v>
      </c>
      <c r="C3616" s="77" t="s">
        <v>8615</v>
      </c>
      <c r="D3616" t="s">
        <v>8672</v>
      </c>
      <c r="F3616" s="77" t="s">
        <v>2493</v>
      </c>
      <c r="G3616" s="77" t="s">
        <v>328</v>
      </c>
      <c r="H3616" s="76" t="str">
        <f>IFERROR(VLOOKUP(Table2[[#This Row],[Ticket]],Okey!A:B,2,0),"")</f>
        <v>ok</v>
      </c>
      <c r="I3616" s="77" t="s">
        <v>8318</v>
      </c>
      <c r="J3616" t="str">
        <f>VLOOKUP(Table2[[#This Row],[Author]],People!A:B,2,0)</f>
        <v>LS</v>
      </c>
      <c r="L3616" s="76"/>
      <c r="M3616" s="76" t="s">
        <v>8165</v>
      </c>
    </row>
    <row r="3617" spans="1:13" x14ac:dyDescent="0.25">
      <c r="A3617" s="76">
        <f t="shared" si="73"/>
        <v>3616</v>
      </c>
      <c r="B3617" s="77" t="s">
        <v>13</v>
      </c>
      <c r="C3617" s="77" t="s">
        <v>8615</v>
      </c>
      <c r="D3617" t="s">
        <v>8673</v>
      </c>
      <c r="F3617" s="77" t="s">
        <v>2493</v>
      </c>
      <c r="G3617" s="77" t="s">
        <v>328</v>
      </c>
      <c r="H3617" s="76" t="str">
        <f>IFERROR(VLOOKUP(Table2[[#This Row],[Ticket]],Okey!A:B,2,0),"")</f>
        <v>ok</v>
      </c>
      <c r="I3617" s="77" t="s">
        <v>8318</v>
      </c>
      <c r="J3617" t="str">
        <f>VLOOKUP(Table2[[#This Row],[Author]],People!A:B,2,0)</f>
        <v>LS</v>
      </c>
      <c r="L3617" s="76"/>
      <c r="M3617" s="76" t="s">
        <v>8165</v>
      </c>
    </row>
    <row r="3618" spans="1:13" x14ac:dyDescent="0.25">
      <c r="A3618" s="76">
        <f t="shared" si="73"/>
        <v>3617</v>
      </c>
      <c r="B3618" s="77" t="s">
        <v>13</v>
      </c>
      <c r="C3618" s="77" t="s">
        <v>8615</v>
      </c>
      <c r="D3618" t="s">
        <v>8674</v>
      </c>
      <c r="F3618" s="77" t="s">
        <v>2493</v>
      </c>
      <c r="G3618" s="77" t="s">
        <v>328</v>
      </c>
      <c r="H3618" s="76" t="str">
        <f>IFERROR(VLOOKUP(Table2[[#This Row],[Ticket]],Okey!A:B,2,0),"")</f>
        <v>ok</v>
      </c>
      <c r="I3618" s="77" t="s">
        <v>8318</v>
      </c>
      <c r="J3618" t="str">
        <f>VLOOKUP(Table2[[#This Row],[Author]],People!A:B,2,0)</f>
        <v>LS</v>
      </c>
      <c r="L3618" s="76"/>
      <c r="M3618" s="76" t="s">
        <v>8165</v>
      </c>
    </row>
    <row r="3619" spans="1:13" x14ac:dyDescent="0.25">
      <c r="A3619" s="76">
        <f>1+A3618</f>
        <v>3618</v>
      </c>
      <c r="B3619" s="77" t="s">
        <v>13</v>
      </c>
      <c r="C3619" t="s">
        <v>8677</v>
      </c>
      <c r="D3619" t="s">
        <v>8675</v>
      </c>
      <c r="E3619" t="s">
        <v>8676</v>
      </c>
      <c r="G3619" t="s">
        <v>63</v>
      </c>
      <c r="H3619" s="76" t="str">
        <f>IFERROR(VLOOKUP(Table2[[#This Row],[Ticket]],Okey!A:B,2,0),"")</f>
        <v>ok</v>
      </c>
      <c r="I3619" s="77" t="s">
        <v>8318</v>
      </c>
      <c r="J3619" t="str">
        <f>VLOOKUP(Table2[[#This Row],[Author]],People!A:B,2,0)</f>
        <v>MGF</v>
      </c>
      <c r="L3619" s="76"/>
      <c r="M3619" s="76" t="s">
        <v>7208</v>
      </c>
    </row>
    <row r="3620" spans="1:13" x14ac:dyDescent="0.25">
      <c r="A3620" s="76">
        <f>1+A3619</f>
        <v>3619</v>
      </c>
      <c r="B3620" s="77" t="s">
        <v>13</v>
      </c>
      <c r="C3620" t="s">
        <v>8705</v>
      </c>
      <c r="D3620" t="s">
        <v>8778</v>
      </c>
      <c r="E3620" s="79" t="s">
        <v>8707</v>
      </c>
      <c r="F3620" s="82" t="s">
        <v>799</v>
      </c>
      <c r="G3620" t="s">
        <v>18</v>
      </c>
      <c r="H3620" s="76" t="str">
        <f>IFERROR(VLOOKUP(Table2[[#This Row],[Ticket]],Okey!A:B,2,0),"")</f>
        <v>ok</v>
      </c>
      <c r="I3620" s="77" t="s">
        <v>8318</v>
      </c>
      <c r="J3620" t="str">
        <f>VLOOKUP(Table2[[#This Row],[Author]],People!A:B,2,0)</f>
        <v>MGF</v>
      </c>
      <c r="L3620" s="76"/>
      <c r="M3620" s="76" t="s">
        <v>8706</v>
      </c>
    </row>
    <row r="3621" spans="1:13" x14ac:dyDescent="0.25">
      <c r="A3621" s="76">
        <f t="shared" ref="A3621:A3654" si="74">1+A3620</f>
        <v>3620</v>
      </c>
      <c r="B3621" s="77" t="s">
        <v>13</v>
      </c>
      <c r="C3621" s="77" t="s">
        <v>8705</v>
      </c>
      <c r="D3621" t="s">
        <v>8779</v>
      </c>
      <c r="E3621" s="80" t="s">
        <v>8708</v>
      </c>
      <c r="F3621" s="77" t="s">
        <v>8778</v>
      </c>
      <c r="G3621" s="77" t="s">
        <v>18</v>
      </c>
      <c r="H3621" s="76" t="str">
        <f>IFERROR(VLOOKUP(Table2[[#This Row],[Ticket]],Okey!A:B,2,0),"")</f>
        <v>ok</v>
      </c>
      <c r="I3621" s="77" t="s">
        <v>8318</v>
      </c>
      <c r="J3621" t="str">
        <f>VLOOKUP(Table2[[#This Row],[Author]],People!A:B,2,0)</f>
        <v>MGF</v>
      </c>
      <c r="L3621" s="76"/>
      <c r="M3621" s="76" t="s">
        <v>8706</v>
      </c>
    </row>
    <row r="3622" spans="1:13" x14ac:dyDescent="0.25">
      <c r="A3622" s="76">
        <f t="shared" si="74"/>
        <v>3621</v>
      </c>
      <c r="B3622" s="77" t="s">
        <v>13</v>
      </c>
      <c r="C3622" s="77" t="s">
        <v>8705</v>
      </c>
      <c r="D3622" t="s">
        <v>8780</v>
      </c>
      <c r="E3622" s="80" t="s">
        <v>8709</v>
      </c>
      <c r="F3622" s="77" t="s">
        <v>8778</v>
      </c>
      <c r="G3622" s="77" t="s">
        <v>18</v>
      </c>
      <c r="H3622" s="76" t="str">
        <f>IFERROR(VLOOKUP(Table2[[#This Row],[Ticket]],Okey!A:B,2,0),"")</f>
        <v>ok</v>
      </c>
      <c r="I3622" s="77" t="s">
        <v>8318</v>
      </c>
      <c r="J3622" t="str">
        <f>VLOOKUP(Table2[[#This Row],[Author]],People!A:B,2,0)</f>
        <v>MGF</v>
      </c>
      <c r="L3622" s="76"/>
      <c r="M3622" s="76" t="s">
        <v>8706</v>
      </c>
    </row>
    <row r="3623" spans="1:13" x14ac:dyDescent="0.25">
      <c r="A3623" s="76">
        <f t="shared" si="74"/>
        <v>3622</v>
      </c>
      <c r="B3623" s="77" t="s">
        <v>13</v>
      </c>
      <c r="C3623" s="77" t="s">
        <v>8705</v>
      </c>
      <c r="D3623" t="s">
        <v>8781</v>
      </c>
      <c r="E3623" s="80" t="s">
        <v>8710</v>
      </c>
      <c r="F3623" s="77" t="s">
        <v>8778</v>
      </c>
      <c r="G3623" s="77" t="s">
        <v>18</v>
      </c>
      <c r="H3623" s="76" t="str">
        <f>IFERROR(VLOOKUP(Table2[[#This Row],[Ticket]],Okey!A:B,2,0),"")</f>
        <v>ok</v>
      </c>
      <c r="I3623" s="77" t="s">
        <v>8318</v>
      </c>
      <c r="J3623" t="str">
        <f>VLOOKUP(Table2[[#This Row],[Author]],People!A:B,2,0)</f>
        <v>MGF</v>
      </c>
      <c r="L3623" s="76"/>
      <c r="M3623" s="76" t="s">
        <v>8706</v>
      </c>
    </row>
    <row r="3624" spans="1:13" x14ac:dyDescent="0.25">
      <c r="A3624" s="76">
        <f t="shared" si="74"/>
        <v>3623</v>
      </c>
      <c r="B3624" s="77" t="s">
        <v>13</v>
      </c>
      <c r="C3624" s="77" t="s">
        <v>8705</v>
      </c>
      <c r="D3624" t="s">
        <v>8782</v>
      </c>
      <c r="E3624" s="80" t="s">
        <v>8711</v>
      </c>
      <c r="F3624" s="77" t="s">
        <v>8778</v>
      </c>
      <c r="G3624" s="77" t="s">
        <v>18</v>
      </c>
      <c r="H3624" s="76" t="str">
        <f>IFERROR(VLOOKUP(Table2[[#This Row],[Ticket]],Okey!A:B,2,0),"")</f>
        <v>ok</v>
      </c>
      <c r="I3624" s="77" t="s">
        <v>8318</v>
      </c>
      <c r="J3624" t="str">
        <f>VLOOKUP(Table2[[#This Row],[Author]],People!A:B,2,0)</f>
        <v>MGF</v>
      </c>
      <c r="L3624" s="76"/>
      <c r="M3624" s="76" t="s">
        <v>8706</v>
      </c>
    </row>
    <row r="3625" spans="1:13" x14ac:dyDescent="0.25">
      <c r="A3625" s="76">
        <f t="shared" si="74"/>
        <v>3624</v>
      </c>
      <c r="B3625" s="77" t="s">
        <v>13</v>
      </c>
      <c r="C3625" s="77" t="s">
        <v>8705</v>
      </c>
      <c r="D3625" t="s">
        <v>8783</v>
      </c>
      <c r="E3625" s="80" t="s">
        <v>8712</v>
      </c>
      <c r="F3625" s="77" t="s">
        <v>8778</v>
      </c>
      <c r="G3625" s="77" t="s">
        <v>18</v>
      </c>
      <c r="H3625" s="76" t="str">
        <f>IFERROR(VLOOKUP(Table2[[#This Row],[Ticket]],Okey!A:B,2,0),"")</f>
        <v>ok</v>
      </c>
      <c r="I3625" s="77" t="s">
        <v>8318</v>
      </c>
      <c r="J3625" t="str">
        <f>VLOOKUP(Table2[[#This Row],[Author]],People!A:B,2,0)</f>
        <v>MGF</v>
      </c>
      <c r="L3625" s="76"/>
      <c r="M3625" s="76" t="s">
        <v>8706</v>
      </c>
    </row>
    <row r="3626" spans="1:13" x14ac:dyDescent="0.25">
      <c r="A3626" s="76">
        <f t="shared" si="74"/>
        <v>3625</v>
      </c>
      <c r="B3626" s="77" t="s">
        <v>13</v>
      </c>
      <c r="C3626" s="77" t="s">
        <v>8705</v>
      </c>
      <c r="D3626" t="s">
        <v>8784</v>
      </c>
      <c r="E3626" s="80" t="s">
        <v>8713</v>
      </c>
      <c r="F3626" s="77" t="s">
        <v>8778</v>
      </c>
      <c r="G3626" s="77" t="s">
        <v>18</v>
      </c>
      <c r="H3626" s="76" t="str">
        <f>IFERROR(VLOOKUP(Table2[[#This Row],[Ticket]],Okey!A:B,2,0),"")</f>
        <v>ok</v>
      </c>
      <c r="I3626" s="77" t="s">
        <v>8318</v>
      </c>
      <c r="J3626" t="str">
        <f>VLOOKUP(Table2[[#This Row],[Author]],People!A:B,2,0)</f>
        <v>MGF</v>
      </c>
      <c r="L3626" s="76"/>
      <c r="M3626" s="76" t="s">
        <v>8706</v>
      </c>
    </row>
    <row r="3627" spans="1:13" x14ac:dyDescent="0.25">
      <c r="A3627" s="76">
        <f t="shared" si="74"/>
        <v>3626</v>
      </c>
      <c r="B3627" s="77" t="s">
        <v>13</v>
      </c>
      <c r="C3627" s="77" t="s">
        <v>8705</v>
      </c>
      <c r="D3627" t="s">
        <v>8785</v>
      </c>
      <c r="E3627" s="80" t="s">
        <v>8714</v>
      </c>
      <c r="F3627" s="77" t="s">
        <v>8778</v>
      </c>
      <c r="G3627" s="77" t="s">
        <v>18</v>
      </c>
      <c r="H3627" s="76" t="str">
        <f>IFERROR(VLOOKUP(Table2[[#This Row],[Ticket]],Okey!A:B,2,0),"")</f>
        <v>ok</v>
      </c>
      <c r="I3627" s="77" t="s">
        <v>8318</v>
      </c>
      <c r="J3627" t="str">
        <f>VLOOKUP(Table2[[#This Row],[Author]],People!A:B,2,0)</f>
        <v>MGF</v>
      </c>
      <c r="L3627" s="76"/>
      <c r="M3627" s="76" t="s">
        <v>8706</v>
      </c>
    </row>
    <row r="3628" spans="1:13" x14ac:dyDescent="0.25">
      <c r="A3628" s="76">
        <f t="shared" si="74"/>
        <v>3627</v>
      </c>
      <c r="B3628" s="77" t="s">
        <v>13</v>
      </c>
      <c r="C3628" s="77" t="s">
        <v>8705</v>
      </c>
      <c r="D3628" t="s">
        <v>8786</v>
      </c>
      <c r="E3628" s="80" t="s">
        <v>8715</v>
      </c>
      <c r="F3628" s="77" t="s">
        <v>8778</v>
      </c>
      <c r="G3628" s="77" t="s">
        <v>18</v>
      </c>
      <c r="H3628" s="76" t="str">
        <f>IFERROR(VLOOKUP(Table2[[#This Row],[Ticket]],Okey!A:B,2,0),"")</f>
        <v>ok</v>
      </c>
      <c r="I3628" s="77" t="s">
        <v>8318</v>
      </c>
      <c r="J3628" t="str">
        <f>VLOOKUP(Table2[[#This Row],[Author]],People!A:B,2,0)</f>
        <v>MGF</v>
      </c>
      <c r="L3628" s="76"/>
      <c r="M3628" s="76" t="s">
        <v>8706</v>
      </c>
    </row>
    <row r="3629" spans="1:13" x14ac:dyDescent="0.25">
      <c r="A3629" s="76">
        <f t="shared" si="74"/>
        <v>3628</v>
      </c>
      <c r="B3629" s="77" t="s">
        <v>13</v>
      </c>
      <c r="C3629" s="77" t="s">
        <v>8705</v>
      </c>
      <c r="D3629" t="s">
        <v>8787</v>
      </c>
      <c r="E3629" s="80" t="s">
        <v>8716</v>
      </c>
      <c r="F3629" s="77" t="s">
        <v>8778</v>
      </c>
      <c r="G3629" s="77" t="s">
        <v>18</v>
      </c>
      <c r="H3629" s="76" t="str">
        <f>IFERROR(VLOOKUP(Table2[[#This Row],[Ticket]],Okey!A:B,2,0),"")</f>
        <v>ok</v>
      </c>
      <c r="I3629" s="77" t="s">
        <v>8318</v>
      </c>
      <c r="J3629" t="str">
        <f>VLOOKUP(Table2[[#This Row],[Author]],People!A:B,2,0)</f>
        <v>MGF</v>
      </c>
      <c r="L3629" s="76"/>
      <c r="M3629" s="76" t="s">
        <v>8706</v>
      </c>
    </row>
    <row r="3630" spans="1:13" x14ac:dyDescent="0.25">
      <c r="A3630" s="76">
        <f t="shared" si="74"/>
        <v>3629</v>
      </c>
      <c r="B3630" s="77" t="s">
        <v>13</v>
      </c>
      <c r="C3630" s="77" t="s">
        <v>8705</v>
      </c>
      <c r="D3630" t="s">
        <v>8788</v>
      </c>
      <c r="E3630" s="80" t="s">
        <v>8717</v>
      </c>
      <c r="F3630" s="77" t="s">
        <v>8778</v>
      </c>
      <c r="G3630" s="77" t="s">
        <v>18</v>
      </c>
      <c r="H3630" s="76" t="str">
        <f>IFERROR(VLOOKUP(Table2[[#This Row],[Ticket]],Okey!A:B,2,0),"")</f>
        <v>ok</v>
      </c>
      <c r="I3630" s="77" t="s">
        <v>8318</v>
      </c>
      <c r="J3630" t="str">
        <f>VLOOKUP(Table2[[#This Row],[Author]],People!A:B,2,0)</f>
        <v>MGF</v>
      </c>
      <c r="L3630" s="76"/>
      <c r="M3630" s="76" t="s">
        <v>8706</v>
      </c>
    </row>
    <row r="3631" spans="1:13" x14ac:dyDescent="0.25">
      <c r="A3631" s="76">
        <f t="shared" si="74"/>
        <v>3630</v>
      </c>
      <c r="B3631" s="77" t="s">
        <v>13</v>
      </c>
      <c r="C3631" s="77" t="s">
        <v>8705</v>
      </c>
      <c r="D3631" t="s">
        <v>8789</v>
      </c>
      <c r="E3631" s="81" t="s">
        <v>8718</v>
      </c>
      <c r="F3631" s="77" t="s">
        <v>8778</v>
      </c>
      <c r="G3631" s="77" t="s">
        <v>18</v>
      </c>
      <c r="H3631" s="76" t="str">
        <f>IFERROR(VLOOKUP(Table2[[#This Row],[Ticket]],Okey!A:B,2,0),"")</f>
        <v>ok</v>
      </c>
      <c r="I3631" s="77" t="s">
        <v>8318</v>
      </c>
      <c r="J3631" t="str">
        <f>VLOOKUP(Table2[[#This Row],[Author]],People!A:B,2,0)</f>
        <v>MGF</v>
      </c>
      <c r="L3631" s="76"/>
      <c r="M3631" s="76" t="s">
        <v>8706</v>
      </c>
    </row>
    <row r="3632" spans="1:13" x14ac:dyDescent="0.25">
      <c r="A3632" s="76">
        <f t="shared" si="74"/>
        <v>3631</v>
      </c>
      <c r="B3632" s="77" t="s">
        <v>13</v>
      </c>
      <c r="C3632" s="77" t="s">
        <v>8705</v>
      </c>
      <c r="D3632" t="s">
        <v>8790</v>
      </c>
      <c r="E3632" s="79" t="s">
        <v>8719</v>
      </c>
      <c r="F3632" s="82" t="s">
        <v>799</v>
      </c>
      <c r="G3632" s="77" t="s">
        <v>18</v>
      </c>
      <c r="H3632" s="76" t="str">
        <f>IFERROR(VLOOKUP(Table2[[#This Row],[Ticket]],Okey!A:B,2,0),"")</f>
        <v>ok</v>
      </c>
      <c r="I3632" s="77" t="s">
        <v>8318</v>
      </c>
      <c r="J3632" t="str">
        <f>VLOOKUP(Table2[[#This Row],[Author]],People!A:B,2,0)</f>
        <v>MGF</v>
      </c>
      <c r="L3632" s="76"/>
      <c r="M3632" s="76" t="s">
        <v>8706</v>
      </c>
    </row>
    <row r="3633" spans="1:13" x14ac:dyDescent="0.25">
      <c r="A3633" s="76">
        <f t="shared" si="74"/>
        <v>3632</v>
      </c>
      <c r="B3633" s="77" t="s">
        <v>13</v>
      </c>
      <c r="C3633" s="77" t="s">
        <v>8705</v>
      </c>
      <c r="D3633" t="s">
        <v>8791</v>
      </c>
      <c r="E3633" s="80" t="s">
        <v>8720</v>
      </c>
      <c r="F3633" s="77" t="s">
        <v>8790</v>
      </c>
      <c r="G3633" s="77" t="s">
        <v>18</v>
      </c>
      <c r="H3633" s="76" t="str">
        <f>IFERROR(VLOOKUP(Table2[[#This Row],[Ticket]],Okey!A:B,2,0),"")</f>
        <v>ok</v>
      </c>
      <c r="I3633" s="77" t="s">
        <v>8318</v>
      </c>
      <c r="J3633" t="str">
        <f>VLOOKUP(Table2[[#This Row],[Author]],People!A:B,2,0)</f>
        <v>MGF</v>
      </c>
      <c r="L3633" s="76"/>
      <c r="M3633" s="76" t="s">
        <v>8706</v>
      </c>
    </row>
    <row r="3634" spans="1:13" x14ac:dyDescent="0.25">
      <c r="A3634" s="76">
        <f t="shared" si="74"/>
        <v>3633</v>
      </c>
      <c r="B3634" s="77" t="s">
        <v>13</v>
      </c>
      <c r="C3634" s="77" t="s">
        <v>8705</v>
      </c>
      <c r="D3634" t="s">
        <v>8792</v>
      </c>
      <c r="E3634" s="81" t="s">
        <v>8721</v>
      </c>
      <c r="F3634" s="77" t="s">
        <v>8790</v>
      </c>
      <c r="G3634" s="77" t="s">
        <v>18</v>
      </c>
      <c r="H3634" s="76" t="str">
        <f>IFERROR(VLOOKUP(Table2[[#This Row],[Ticket]],Okey!A:B,2,0),"")</f>
        <v>ok</v>
      </c>
      <c r="I3634" s="77" t="s">
        <v>8318</v>
      </c>
      <c r="J3634" t="str">
        <f>VLOOKUP(Table2[[#This Row],[Author]],People!A:B,2,0)</f>
        <v>MGF</v>
      </c>
      <c r="L3634" s="76"/>
      <c r="M3634" s="76" t="s">
        <v>8706</v>
      </c>
    </row>
    <row r="3635" spans="1:13" x14ac:dyDescent="0.25">
      <c r="A3635" s="76">
        <f t="shared" si="74"/>
        <v>3634</v>
      </c>
      <c r="B3635" s="77" t="s">
        <v>13</v>
      </c>
      <c r="C3635" s="77" t="s">
        <v>8705</v>
      </c>
      <c r="D3635" t="s">
        <v>8793</v>
      </c>
      <c r="E3635" s="79" t="s">
        <v>8722</v>
      </c>
      <c r="F3635" s="82" t="s">
        <v>799</v>
      </c>
      <c r="G3635" s="77" t="s">
        <v>18</v>
      </c>
      <c r="H3635" s="76" t="str">
        <f>IFERROR(VLOOKUP(Table2[[#This Row],[Ticket]],Okey!A:B,2,0),"")</f>
        <v>ok</v>
      </c>
      <c r="I3635" s="77" t="s">
        <v>8318</v>
      </c>
      <c r="J3635" t="str">
        <f>VLOOKUP(Table2[[#This Row],[Author]],People!A:B,2,0)</f>
        <v>MGF</v>
      </c>
      <c r="L3635" s="76"/>
      <c r="M3635" s="76" t="s">
        <v>8706</v>
      </c>
    </row>
    <row r="3636" spans="1:13" x14ac:dyDescent="0.25">
      <c r="A3636" s="76">
        <f t="shared" si="74"/>
        <v>3635</v>
      </c>
      <c r="B3636" s="77" t="s">
        <v>13</v>
      </c>
      <c r="C3636" s="77" t="s">
        <v>8705</v>
      </c>
      <c r="D3636" t="s">
        <v>8794</v>
      </c>
      <c r="E3636" s="80" t="s">
        <v>8723</v>
      </c>
      <c r="F3636" s="77" t="s">
        <v>8793</v>
      </c>
      <c r="G3636" s="77" t="s">
        <v>18</v>
      </c>
      <c r="H3636" s="76" t="str">
        <f>IFERROR(VLOOKUP(Table2[[#This Row],[Ticket]],Okey!A:B,2,0),"")</f>
        <v>ok</v>
      </c>
      <c r="I3636" s="77" t="s">
        <v>8318</v>
      </c>
      <c r="J3636" t="str">
        <f>VLOOKUP(Table2[[#This Row],[Author]],People!A:B,2,0)</f>
        <v>MGF</v>
      </c>
      <c r="L3636" s="76"/>
      <c r="M3636" s="76" t="s">
        <v>8706</v>
      </c>
    </row>
    <row r="3637" spans="1:13" x14ac:dyDescent="0.25">
      <c r="A3637" s="76">
        <f t="shared" si="74"/>
        <v>3636</v>
      </c>
      <c r="B3637" s="77" t="s">
        <v>13</v>
      </c>
      <c r="C3637" s="77" t="s">
        <v>8705</v>
      </c>
      <c r="D3637" t="s">
        <v>8795</v>
      </c>
      <c r="E3637" s="80" t="s">
        <v>8724</v>
      </c>
      <c r="F3637" s="77" t="s">
        <v>8793</v>
      </c>
      <c r="G3637" s="77" t="s">
        <v>18</v>
      </c>
      <c r="H3637" s="76" t="str">
        <f>IFERROR(VLOOKUP(Table2[[#This Row],[Ticket]],Okey!A:B,2,0),"")</f>
        <v>ok</v>
      </c>
      <c r="I3637" s="77" t="s">
        <v>8318</v>
      </c>
      <c r="J3637" t="str">
        <f>VLOOKUP(Table2[[#This Row],[Author]],People!A:B,2,0)</f>
        <v>MGF</v>
      </c>
      <c r="L3637" s="76"/>
      <c r="M3637" s="76" t="s">
        <v>8706</v>
      </c>
    </row>
    <row r="3638" spans="1:13" x14ac:dyDescent="0.25">
      <c r="A3638" s="76">
        <f t="shared" si="74"/>
        <v>3637</v>
      </c>
      <c r="B3638" s="77" t="s">
        <v>13</v>
      </c>
      <c r="C3638" s="77" t="s">
        <v>8705</v>
      </c>
      <c r="D3638" t="s">
        <v>8796</v>
      </c>
      <c r="E3638" s="81" t="s">
        <v>8725</v>
      </c>
      <c r="F3638" s="77" t="s">
        <v>8793</v>
      </c>
      <c r="G3638" s="77" t="s">
        <v>18</v>
      </c>
      <c r="H3638" s="76" t="str">
        <f>IFERROR(VLOOKUP(Table2[[#This Row],[Ticket]],Okey!A:B,2,0),"")</f>
        <v>ok</v>
      </c>
      <c r="I3638" s="77" t="s">
        <v>8318</v>
      </c>
      <c r="J3638" t="str">
        <f>VLOOKUP(Table2[[#This Row],[Author]],People!A:B,2,0)</f>
        <v>MGF</v>
      </c>
      <c r="L3638" s="76"/>
      <c r="M3638" s="76" t="s">
        <v>8706</v>
      </c>
    </row>
    <row r="3639" spans="1:13" x14ac:dyDescent="0.25">
      <c r="A3639" s="76">
        <f t="shared" si="74"/>
        <v>3638</v>
      </c>
      <c r="B3639" s="77" t="s">
        <v>13</v>
      </c>
      <c r="C3639" s="77" t="s">
        <v>8705</v>
      </c>
      <c r="D3639" t="s">
        <v>8797</v>
      </c>
      <c r="E3639" s="79" t="s">
        <v>8726</v>
      </c>
      <c r="F3639" s="82" t="s">
        <v>799</v>
      </c>
      <c r="G3639" s="77" t="s">
        <v>18</v>
      </c>
      <c r="H3639" s="76" t="str">
        <f>IFERROR(VLOOKUP(Table2[[#This Row],[Ticket]],Okey!A:B,2,0),"")</f>
        <v>ok</v>
      </c>
      <c r="I3639" s="77" t="s">
        <v>8318</v>
      </c>
      <c r="J3639" t="str">
        <f>VLOOKUP(Table2[[#This Row],[Author]],People!A:B,2,0)</f>
        <v>MGF</v>
      </c>
      <c r="L3639" s="76"/>
      <c r="M3639" s="76" t="s">
        <v>8706</v>
      </c>
    </row>
    <row r="3640" spans="1:13" x14ac:dyDescent="0.25">
      <c r="A3640" s="76">
        <f t="shared" si="74"/>
        <v>3639</v>
      </c>
      <c r="B3640" s="77" t="s">
        <v>13</v>
      </c>
      <c r="C3640" s="77" t="s">
        <v>8705</v>
      </c>
      <c r="D3640" t="s">
        <v>8798</v>
      </c>
      <c r="E3640" s="80" t="s">
        <v>8727</v>
      </c>
      <c r="F3640" s="77" t="s">
        <v>8797</v>
      </c>
      <c r="G3640" s="77" t="s">
        <v>18</v>
      </c>
      <c r="H3640" s="76" t="str">
        <f>IFERROR(VLOOKUP(Table2[[#This Row],[Ticket]],Okey!A:B,2,0),"")</f>
        <v>ok</v>
      </c>
      <c r="I3640" s="77" t="s">
        <v>8318</v>
      </c>
      <c r="J3640" t="str">
        <f>VLOOKUP(Table2[[#This Row],[Author]],People!A:B,2,0)</f>
        <v>MGF</v>
      </c>
      <c r="L3640" s="76"/>
      <c r="M3640" s="76" t="s">
        <v>8706</v>
      </c>
    </row>
    <row r="3641" spans="1:13" x14ac:dyDescent="0.25">
      <c r="A3641" s="76">
        <f t="shared" si="74"/>
        <v>3640</v>
      </c>
      <c r="B3641" s="77" t="s">
        <v>13</v>
      </c>
      <c r="C3641" s="77" t="s">
        <v>8705</v>
      </c>
      <c r="D3641" t="s">
        <v>8799</v>
      </c>
      <c r="E3641" s="80" t="s">
        <v>8728</v>
      </c>
      <c r="F3641" s="77" t="s">
        <v>8797</v>
      </c>
      <c r="G3641" s="77" t="s">
        <v>18</v>
      </c>
      <c r="H3641" s="76" t="str">
        <f>IFERROR(VLOOKUP(Table2[[#This Row],[Ticket]],Okey!A:B,2,0),"")</f>
        <v>ok</v>
      </c>
      <c r="I3641" s="77" t="s">
        <v>8318</v>
      </c>
      <c r="J3641" t="str">
        <f>VLOOKUP(Table2[[#This Row],[Author]],People!A:B,2,0)</f>
        <v>MGF</v>
      </c>
      <c r="L3641" s="76"/>
      <c r="M3641" s="76" t="s">
        <v>8706</v>
      </c>
    </row>
    <row r="3642" spans="1:13" x14ac:dyDescent="0.25">
      <c r="A3642" s="76">
        <f t="shared" si="74"/>
        <v>3641</v>
      </c>
      <c r="B3642" s="77" t="s">
        <v>13</v>
      </c>
      <c r="C3642" s="77" t="s">
        <v>8705</v>
      </c>
      <c r="D3642" t="s">
        <v>8800</v>
      </c>
      <c r="E3642" s="80" t="s">
        <v>8729</v>
      </c>
      <c r="F3642" s="77" t="s">
        <v>8797</v>
      </c>
      <c r="G3642" s="77" t="s">
        <v>18</v>
      </c>
      <c r="H3642" s="76" t="str">
        <f>IFERROR(VLOOKUP(Table2[[#This Row],[Ticket]],Okey!A:B,2,0),"")</f>
        <v>ok</v>
      </c>
      <c r="I3642" s="77" t="s">
        <v>8318</v>
      </c>
      <c r="J3642" t="str">
        <f>VLOOKUP(Table2[[#This Row],[Author]],People!A:B,2,0)</f>
        <v>MGF</v>
      </c>
      <c r="L3642" s="76"/>
      <c r="M3642" s="76" t="s">
        <v>8706</v>
      </c>
    </row>
    <row r="3643" spans="1:13" x14ac:dyDescent="0.25">
      <c r="A3643" s="76">
        <f t="shared" si="74"/>
        <v>3642</v>
      </c>
      <c r="B3643" s="77" t="s">
        <v>13</v>
      </c>
      <c r="C3643" s="77" t="s">
        <v>8705</v>
      </c>
      <c r="D3643" t="s">
        <v>8801</v>
      </c>
      <c r="E3643" s="80" t="s">
        <v>8730</v>
      </c>
      <c r="F3643" s="77" t="s">
        <v>8797</v>
      </c>
      <c r="G3643" s="77" t="s">
        <v>18</v>
      </c>
      <c r="H3643" s="76" t="str">
        <f>IFERROR(VLOOKUP(Table2[[#This Row],[Ticket]],Okey!A:B,2,0),"")</f>
        <v>ok</v>
      </c>
      <c r="I3643" s="77" t="s">
        <v>8318</v>
      </c>
      <c r="J3643" t="str">
        <f>VLOOKUP(Table2[[#This Row],[Author]],People!A:B,2,0)</f>
        <v>MGF</v>
      </c>
      <c r="L3643" s="76"/>
      <c r="M3643" s="76" t="s">
        <v>8706</v>
      </c>
    </row>
    <row r="3644" spans="1:13" x14ac:dyDescent="0.25">
      <c r="A3644" s="76">
        <f t="shared" si="74"/>
        <v>3643</v>
      </c>
      <c r="B3644" s="77" t="s">
        <v>13</v>
      </c>
      <c r="C3644" s="77" t="s">
        <v>8705</v>
      </c>
      <c r="D3644" t="s">
        <v>8802</v>
      </c>
      <c r="E3644" s="80" t="s">
        <v>8731</v>
      </c>
      <c r="F3644" s="77" t="s">
        <v>8797</v>
      </c>
      <c r="G3644" s="77" t="s">
        <v>18</v>
      </c>
      <c r="H3644" s="76" t="str">
        <f>IFERROR(VLOOKUP(Table2[[#This Row],[Ticket]],Okey!A:B,2,0),"")</f>
        <v>ok</v>
      </c>
      <c r="I3644" s="77" t="s">
        <v>8318</v>
      </c>
      <c r="J3644" t="str">
        <f>VLOOKUP(Table2[[#This Row],[Author]],People!A:B,2,0)</f>
        <v>MGF</v>
      </c>
      <c r="L3644" s="76"/>
      <c r="M3644" s="76" t="s">
        <v>8706</v>
      </c>
    </row>
    <row r="3645" spans="1:13" x14ac:dyDescent="0.25">
      <c r="A3645" s="76">
        <f t="shared" si="74"/>
        <v>3644</v>
      </c>
      <c r="B3645" s="77" t="s">
        <v>13</v>
      </c>
      <c r="C3645" s="77" t="s">
        <v>8705</v>
      </c>
      <c r="D3645" t="s">
        <v>8803</v>
      </c>
      <c r="E3645" s="80" t="s">
        <v>8732</v>
      </c>
      <c r="F3645" s="77" t="s">
        <v>8797</v>
      </c>
      <c r="G3645" s="77" t="s">
        <v>18</v>
      </c>
      <c r="H3645" s="76" t="str">
        <f>IFERROR(VLOOKUP(Table2[[#This Row],[Ticket]],Okey!A:B,2,0),"")</f>
        <v>ok</v>
      </c>
      <c r="I3645" s="77" t="s">
        <v>8318</v>
      </c>
      <c r="J3645" t="str">
        <f>VLOOKUP(Table2[[#This Row],[Author]],People!A:B,2,0)</f>
        <v>MGF</v>
      </c>
      <c r="L3645" s="76"/>
      <c r="M3645" s="76" t="s">
        <v>8706</v>
      </c>
    </row>
    <row r="3646" spans="1:13" x14ac:dyDescent="0.25">
      <c r="A3646" s="76">
        <f t="shared" si="74"/>
        <v>3645</v>
      </c>
      <c r="B3646" s="77" t="s">
        <v>13</v>
      </c>
      <c r="C3646" s="77" t="s">
        <v>8705</v>
      </c>
      <c r="D3646" t="s">
        <v>8804</v>
      </c>
      <c r="E3646" s="81" t="s">
        <v>8733</v>
      </c>
      <c r="F3646" s="77" t="s">
        <v>8797</v>
      </c>
      <c r="G3646" s="77" t="s">
        <v>18</v>
      </c>
      <c r="H3646" s="76" t="str">
        <f>IFERROR(VLOOKUP(Table2[[#This Row],[Ticket]],Okey!A:B,2,0),"")</f>
        <v>ok</v>
      </c>
      <c r="I3646" s="77" t="s">
        <v>8318</v>
      </c>
      <c r="J3646" t="str">
        <f>VLOOKUP(Table2[[#This Row],[Author]],People!A:B,2,0)</f>
        <v>MGF</v>
      </c>
      <c r="L3646" s="76"/>
      <c r="M3646" s="76" t="s">
        <v>8706</v>
      </c>
    </row>
    <row r="3647" spans="1:13" x14ac:dyDescent="0.25">
      <c r="A3647" s="76">
        <f t="shared" si="74"/>
        <v>3646</v>
      </c>
      <c r="B3647" s="77" t="s">
        <v>13</v>
      </c>
      <c r="C3647" s="77" t="s">
        <v>8705</v>
      </c>
      <c r="D3647" t="s">
        <v>8805</v>
      </c>
      <c r="E3647" s="79" t="s">
        <v>8734</v>
      </c>
      <c r="F3647" s="82" t="s">
        <v>799</v>
      </c>
      <c r="G3647" s="77" t="s">
        <v>18</v>
      </c>
      <c r="H3647" s="76" t="str">
        <f>IFERROR(VLOOKUP(Table2[[#This Row],[Ticket]],Okey!A:B,2,0),"")</f>
        <v>ok</v>
      </c>
      <c r="I3647" s="77" t="s">
        <v>8318</v>
      </c>
      <c r="J3647" t="str">
        <f>VLOOKUP(Table2[[#This Row],[Author]],People!A:B,2,0)</f>
        <v>MGF</v>
      </c>
      <c r="L3647" s="76"/>
      <c r="M3647" s="76" t="s">
        <v>8706</v>
      </c>
    </row>
    <row r="3648" spans="1:13" x14ac:dyDescent="0.25">
      <c r="A3648" s="76">
        <f t="shared" si="74"/>
        <v>3647</v>
      </c>
      <c r="B3648" s="77" t="s">
        <v>13</v>
      </c>
      <c r="C3648" s="77" t="s">
        <v>8705</v>
      </c>
      <c r="D3648" t="s">
        <v>8806</v>
      </c>
      <c r="E3648" s="80" t="s">
        <v>8735</v>
      </c>
      <c r="F3648" s="77" t="s">
        <v>8805</v>
      </c>
      <c r="G3648" s="77" t="s">
        <v>18</v>
      </c>
      <c r="H3648" s="76" t="str">
        <f>IFERROR(VLOOKUP(Table2[[#This Row],[Ticket]],Okey!A:B,2,0),"")</f>
        <v>ok</v>
      </c>
      <c r="I3648" s="77" t="s">
        <v>8318</v>
      </c>
      <c r="J3648" t="str">
        <f>VLOOKUP(Table2[[#This Row],[Author]],People!A:B,2,0)</f>
        <v>MGF</v>
      </c>
      <c r="L3648" s="76"/>
      <c r="M3648" s="76" t="s">
        <v>8706</v>
      </c>
    </row>
    <row r="3649" spans="1:13" x14ac:dyDescent="0.25">
      <c r="A3649" s="76">
        <f t="shared" si="74"/>
        <v>3648</v>
      </c>
      <c r="B3649" s="77" t="s">
        <v>13</v>
      </c>
      <c r="C3649" s="77" t="s">
        <v>8705</v>
      </c>
      <c r="D3649" t="s">
        <v>8807</v>
      </c>
      <c r="E3649" s="80" t="s">
        <v>8736</v>
      </c>
      <c r="F3649" s="77" t="s">
        <v>8805</v>
      </c>
      <c r="G3649" s="77" t="s">
        <v>18</v>
      </c>
      <c r="H3649" s="76" t="str">
        <f>IFERROR(VLOOKUP(Table2[[#This Row],[Ticket]],Okey!A:B,2,0),"")</f>
        <v>ok</v>
      </c>
      <c r="I3649" s="77" t="s">
        <v>8318</v>
      </c>
      <c r="J3649" t="str">
        <f>VLOOKUP(Table2[[#This Row],[Author]],People!A:B,2,0)</f>
        <v>MGF</v>
      </c>
      <c r="L3649" s="76"/>
      <c r="M3649" s="76" t="s">
        <v>8706</v>
      </c>
    </row>
    <row r="3650" spans="1:13" x14ac:dyDescent="0.25">
      <c r="A3650" s="76">
        <f t="shared" si="74"/>
        <v>3649</v>
      </c>
      <c r="B3650" s="77" t="s">
        <v>13</v>
      </c>
      <c r="C3650" s="77" t="s">
        <v>8705</v>
      </c>
      <c r="D3650" t="s">
        <v>8808</v>
      </c>
      <c r="E3650" s="80" t="s">
        <v>8737</v>
      </c>
      <c r="F3650" s="77" t="s">
        <v>8805</v>
      </c>
      <c r="G3650" s="77" t="s">
        <v>18</v>
      </c>
      <c r="H3650" s="76" t="str">
        <f>IFERROR(VLOOKUP(Table2[[#This Row],[Ticket]],Okey!A:B,2,0),"")</f>
        <v>ok</v>
      </c>
      <c r="I3650" s="77" t="s">
        <v>8318</v>
      </c>
      <c r="J3650" t="str">
        <f>VLOOKUP(Table2[[#This Row],[Author]],People!A:B,2,0)</f>
        <v>MGF</v>
      </c>
      <c r="L3650" s="76"/>
      <c r="M3650" s="76" t="s">
        <v>8706</v>
      </c>
    </row>
    <row r="3651" spans="1:13" x14ac:dyDescent="0.25">
      <c r="A3651" s="76">
        <f t="shared" si="74"/>
        <v>3650</v>
      </c>
      <c r="B3651" s="77" t="s">
        <v>13</v>
      </c>
      <c r="C3651" s="77" t="s">
        <v>8705</v>
      </c>
      <c r="D3651" t="s">
        <v>8809</v>
      </c>
      <c r="E3651" s="80" t="s">
        <v>8738</v>
      </c>
      <c r="F3651" s="77" t="s">
        <v>8805</v>
      </c>
      <c r="G3651" s="77" t="s">
        <v>18</v>
      </c>
      <c r="H3651" s="76" t="str">
        <f>IFERROR(VLOOKUP(Table2[[#This Row],[Ticket]],Okey!A:B,2,0),"")</f>
        <v>ok</v>
      </c>
      <c r="I3651" s="77" t="s">
        <v>8318</v>
      </c>
      <c r="J3651" t="str">
        <f>VLOOKUP(Table2[[#This Row],[Author]],People!A:B,2,0)</f>
        <v>MGF</v>
      </c>
      <c r="L3651" s="76"/>
      <c r="M3651" s="76" t="s">
        <v>8706</v>
      </c>
    </row>
    <row r="3652" spans="1:13" x14ac:dyDescent="0.25">
      <c r="A3652" s="76">
        <f t="shared" si="74"/>
        <v>3651</v>
      </c>
      <c r="B3652" s="77" t="s">
        <v>13</v>
      </c>
      <c r="C3652" s="77" t="s">
        <v>8705</v>
      </c>
      <c r="D3652" t="s">
        <v>8810</v>
      </c>
      <c r="E3652" s="80" t="s">
        <v>8739</v>
      </c>
      <c r="F3652" s="77" t="s">
        <v>8805</v>
      </c>
      <c r="G3652" s="77" t="s">
        <v>18</v>
      </c>
      <c r="H3652" s="76" t="str">
        <f>IFERROR(VLOOKUP(Table2[[#This Row],[Ticket]],Okey!A:B,2,0),"")</f>
        <v>ok</v>
      </c>
      <c r="I3652" s="77" t="s">
        <v>8318</v>
      </c>
      <c r="J3652" t="str">
        <f>VLOOKUP(Table2[[#This Row],[Author]],People!A:B,2,0)</f>
        <v>MGF</v>
      </c>
      <c r="L3652" s="76"/>
      <c r="M3652" s="76" t="s">
        <v>8706</v>
      </c>
    </row>
    <row r="3653" spans="1:13" x14ac:dyDescent="0.25">
      <c r="A3653" s="76">
        <f t="shared" si="74"/>
        <v>3652</v>
      </c>
      <c r="B3653" s="77" t="s">
        <v>13</v>
      </c>
      <c r="C3653" s="77" t="s">
        <v>8705</v>
      </c>
      <c r="D3653" t="s">
        <v>8811</v>
      </c>
      <c r="E3653" s="80" t="s">
        <v>8740</v>
      </c>
      <c r="F3653" s="77" t="s">
        <v>8805</v>
      </c>
      <c r="G3653" s="77" t="s">
        <v>18</v>
      </c>
      <c r="H3653" s="76" t="str">
        <f>IFERROR(VLOOKUP(Table2[[#This Row],[Ticket]],Okey!A:B,2,0),"")</f>
        <v>ok</v>
      </c>
      <c r="I3653" s="77" t="s">
        <v>8318</v>
      </c>
      <c r="J3653" t="str">
        <f>VLOOKUP(Table2[[#This Row],[Author]],People!A:B,2,0)</f>
        <v>MGF</v>
      </c>
      <c r="L3653" s="76"/>
      <c r="M3653" s="76" t="s">
        <v>8706</v>
      </c>
    </row>
    <row r="3654" spans="1:13" x14ac:dyDescent="0.25">
      <c r="A3654" s="76">
        <f t="shared" si="74"/>
        <v>3653</v>
      </c>
      <c r="B3654" s="77" t="s">
        <v>13</v>
      </c>
      <c r="C3654" s="77" t="s">
        <v>8705</v>
      </c>
      <c r="D3654" t="s">
        <v>8812</v>
      </c>
      <c r="E3654" s="81" t="s">
        <v>8741</v>
      </c>
      <c r="F3654" s="77" t="s">
        <v>8805</v>
      </c>
      <c r="G3654" s="77" t="s">
        <v>18</v>
      </c>
      <c r="H3654" s="76" t="str">
        <f>IFERROR(VLOOKUP(Table2[[#This Row],[Ticket]],Okey!A:B,2,0),"")</f>
        <v>ok</v>
      </c>
      <c r="I3654" s="77" t="s">
        <v>8318</v>
      </c>
      <c r="J3654" t="str">
        <f>VLOOKUP(Table2[[#This Row],[Author]],People!A:B,2,0)</f>
        <v>MGF</v>
      </c>
      <c r="L3654" s="76"/>
      <c r="M3654" s="76" t="s">
        <v>8706</v>
      </c>
    </row>
    <row r="3655" spans="1:13" x14ac:dyDescent="0.25">
      <c r="A3655" s="76">
        <f t="shared" ref="A3655:A3689" si="75">1+A3654</f>
        <v>3654</v>
      </c>
      <c r="B3655" s="77" t="s">
        <v>13</v>
      </c>
      <c r="C3655" s="77" t="s">
        <v>8705</v>
      </c>
      <c r="D3655" t="s">
        <v>8813</v>
      </c>
      <c r="E3655" s="79" t="s">
        <v>8742</v>
      </c>
      <c r="F3655" s="82" t="s">
        <v>799</v>
      </c>
      <c r="G3655" s="77" t="s">
        <v>18</v>
      </c>
      <c r="H3655" s="76" t="str">
        <f>IFERROR(VLOOKUP(Table2[[#This Row],[Ticket]],Okey!A:B,2,0),"")</f>
        <v>ok</v>
      </c>
      <c r="I3655" s="77" t="s">
        <v>8318</v>
      </c>
      <c r="J3655" t="str">
        <f>VLOOKUP(Table2[[#This Row],[Author]],People!A:B,2,0)</f>
        <v>MGF</v>
      </c>
      <c r="L3655" s="76"/>
      <c r="M3655" s="76" t="s">
        <v>8706</v>
      </c>
    </row>
    <row r="3656" spans="1:13" x14ac:dyDescent="0.25">
      <c r="A3656" s="76">
        <f t="shared" si="75"/>
        <v>3655</v>
      </c>
      <c r="B3656" s="77" t="s">
        <v>13</v>
      </c>
      <c r="C3656" s="77" t="s">
        <v>8705</v>
      </c>
      <c r="D3656" t="s">
        <v>8814</v>
      </c>
      <c r="E3656" s="80" t="s">
        <v>8743</v>
      </c>
      <c r="F3656" s="77" t="s">
        <v>8813</v>
      </c>
      <c r="G3656" s="77" t="s">
        <v>18</v>
      </c>
      <c r="H3656" s="76" t="str">
        <f>IFERROR(VLOOKUP(Table2[[#This Row],[Ticket]],Okey!A:B,2,0),"")</f>
        <v>ok</v>
      </c>
      <c r="I3656" s="77" t="s">
        <v>8318</v>
      </c>
      <c r="J3656" t="str">
        <f>VLOOKUP(Table2[[#This Row],[Author]],People!A:B,2,0)</f>
        <v>MGF</v>
      </c>
      <c r="L3656" s="76"/>
      <c r="M3656" s="76" t="s">
        <v>8706</v>
      </c>
    </row>
    <row r="3657" spans="1:13" x14ac:dyDescent="0.25">
      <c r="A3657" s="76">
        <f t="shared" si="75"/>
        <v>3656</v>
      </c>
      <c r="B3657" s="77" t="s">
        <v>13</v>
      </c>
      <c r="C3657" s="77" t="s">
        <v>8705</v>
      </c>
      <c r="D3657" t="s">
        <v>8815</v>
      </c>
      <c r="E3657" s="80" t="s">
        <v>8744</v>
      </c>
      <c r="F3657" s="77" t="s">
        <v>8813</v>
      </c>
      <c r="G3657" s="77" t="s">
        <v>18</v>
      </c>
      <c r="H3657" s="76" t="str">
        <f>IFERROR(VLOOKUP(Table2[[#This Row],[Ticket]],Okey!A:B,2,0),"")</f>
        <v>ok</v>
      </c>
      <c r="I3657" s="77" t="s">
        <v>8318</v>
      </c>
      <c r="J3657" t="str">
        <f>VLOOKUP(Table2[[#This Row],[Author]],People!A:B,2,0)</f>
        <v>MGF</v>
      </c>
      <c r="L3657" s="76"/>
      <c r="M3657" s="76" t="s">
        <v>8706</v>
      </c>
    </row>
    <row r="3658" spans="1:13" x14ac:dyDescent="0.25">
      <c r="A3658" s="76">
        <f t="shared" si="75"/>
        <v>3657</v>
      </c>
      <c r="B3658" s="77" t="s">
        <v>13</v>
      </c>
      <c r="C3658" s="77" t="s">
        <v>8705</v>
      </c>
      <c r="D3658" t="s">
        <v>8816</v>
      </c>
      <c r="E3658" s="80" t="s">
        <v>8745</v>
      </c>
      <c r="F3658" s="77" t="s">
        <v>8813</v>
      </c>
      <c r="G3658" s="77" t="s">
        <v>18</v>
      </c>
      <c r="H3658" s="76" t="str">
        <f>IFERROR(VLOOKUP(Table2[[#This Row],[Ticket]],Okey!A:B,2,0),"")</f>
        <v>ok</v>
      </c>
      <c r="I3658" s="77" t="s">
        <v>8318</v>
      </c>
      <c r="J3658" t="str">
        <f>VLOOKUP(Table2[[#This Row],[Author]],People!A:B,2,0)</f>
        <v>MGF</v>
      </c>
      <c r="L3658" s="76"/>
      <c r="M3658" s="76" t="s">
        <v>8706</v>
      </c>
    </row>
    <row r="3659" spans="1:13" x14ac:dyDescent="0.25">
      <c r="A3659" s="76">
        <f t="shared" si="75"/>
        <v>3658</v>
      </c>
      <c r="B3659" s="77" t="s">
        <v>13</v>
      </c>
      <c r="C3659" s="77" t="s">
        <v>8705</v>
      </c>
      <c r="D3659" t="s">
        <v>8817</v>
      </c>
      <c r="E3659" s="80" t="s">
        <v>8746</v>
      </c>
      <c r="F3659" s="77" t="s">
        <v>8813</v>
      </c>
      <c r="G3659" s="77" t="s">
        <v>18</v>
      </c>
      <c r="H3659" s="76" t="str">
        <f>IFERROR(VLOOKUP(Table2[[#This Row],[Ticket]],Okey!A:B,2,0),"")</f>
        <v>ok</v>
      </c>
      <c r="I3659" s="77" t="s">
        <v>8318</v>
      </c>
      <c r="J3659" t="str">
        <f>VLOOKUP(Table2[[#This Row],[Author]],People!A:B,2,0)</f>
        <v>MGF</v>
      </c>
      <c r="L3659" s="76"/>
      <c r="M3659" s="76" t="s">
        <v>8706</v>
      </c>
    </row>
    <row r="3660" spans="1:13" x14ac:dyDescent="0.25">
      <c r="A3660" s="76">
        <f t="shared" si="75"/>
        <v>3659</v>
      </c>
      <c r="B3660" s="77" t="s">
        <v>13</v>
      </c>
      <c r="C3660" s="77" t="s">
        <v>8705</v>
      </c>
      <c r="D3660" t="s">
        <v>8818</v>
      </c>
      <c r="E3660" s="80" t="s">
        <v>8747</v>
      </c>
      <c r="F3660" s="77" t="s">
        <v>8813</v>
      </c>
      <c r="G3660" s="77" t="s">
        <v>18</v>
      </c>
      <c r="H3660" s="76" t="str">
        <f>IFERROR(VLOOKUP(Table2[[#This Row],[Ticket]],Okey!A:B,2,0),"")</f>
        <v>ok</v>
      </c>
      <c r="I3660" s="77" t="s">
        <v>8318</v>
      </c>
      <c r="J3660" t="str">
        <f>VLOOKUP(Table2[[#This Row],[Author]],People!A:B,2,0)</f>
        <v>MGF</v>
      </c>
      <c r="L3660" s="76"/>
      <c r="M3660" s="76" t="s">
        <v>8706</v>
      </c>
    </row>
    <row r="3661" spans="1:13" x14ac:dyDescent="0.25">
      <c r="A3661" s="76">
        <f t="shared" si="75"/>
        <v>3660</v>
      </c>
      <c r="B3661" s="77" t="s">
        <v>13</v>
      </c>
      <c r="C3661" s="77" t="s">
        <v>8705</v>
      </c>
      <c r="D3661" t="s">
        <v>8819</v>
      </c>
      <c r="E3661" s="80" t="s">
        <v>8748</v>
      </c>
      <c r="F3661" s="77" t="s">
        <v>8813</v>
      </c>
      <c r="G3661" s="77" t="s">
        <v>18</v>
      </c>
      <c r="H3661" s="76" t="str">
        <f>IFERROR(VLOOKUP(Table2[[#This Row],[Ticket]],Okey!A:B,2,0),"")</f>
        <v>ok</v>
      </c>
      <c r="I3661" s="77" t="s">
        <v>8318</v>
      </c>
      <c r="J3661" t="str">
        <f>VLOOKUP(Table2[[#This Row],[Author]],People!A:B,2,0)</f>
        <v>MGF</v>
      </c>
      <c r="L3661" s="76"/>
      <c r="M3661" s="76" t="s">
        <v>8706</v>
      </c>
    </row>
    <row r="3662" spans="1:13" x14ac:dyDescent="0.25">
      <c r="A3662" s="76">
        <f t="shared" si="75"/>
        <v>3661</v>
      </c>
      <c r="B3662" s="77" t="s">
        <v>13</v>
      </c>
      <c r="C3662" s="77" t="s">
        <v>8705</v>
      </c>
      <c r="D3662" t="s">
        <v>8820</v>
      </c>
      <c r="E3662" s="80" t="s">
        <v>8749</v>
      </c>
      <c r="F3662" s="77" t="s">
        <v>8813</v>
      </c>
      <c r="G3662" s="77" t="s">
        <v>18</v>
      </c>
      <c r="H3662" s="76" t="str">
        <f>IFERROR(VLOOKUP(Table2[[#This Row],[Ticket]],Okey!A:B,2,0),"")</f>
        <v>ok</v>
      </c>
      <c r="I3662" s="77" t="s">
        <v>8318</v>
      </c>
      <c r="J3662" t="str">
        <f>VLOOKUP(Table2[[#This Row],[Author]],People!A:B,2,0)</f>
        <v>MGF</v>
      </c>
      <c r="L3662" s="76"/>
      <c r="M3662" s="76" t="s">
        <v>8706</v>
      </c>
    </row>
    <row r="3663" spans="1:13" x14ac:dyDescent="0.25">
      <c r="A3663" s="76">
        <f t="shared" si="75"/>
        <v>3662</v>
      </c>
      <c r="B3663" s="77" t="s">
        <v>13</v>
      </c>
      <c r="C3663" s="77" t="s">
        <v>8705</v>
      </c>
      <c r="D3663" t="s">
        <v>8821</v>
      </c>
      <c r="E3663" s="80" t="s">
        <v>8750</v>
      </c>
      <c r="F3663" s="77" t="s">
        <v>8813</v>
      </c>
      <c r="G3663" s="77" t="s">
        <v>18</v>
      </c>
      <c r="H3663" s="76" t="str">
        <f>IFERROR(VLOOKUP(Table2[[#This Row],[Ticket]],Okey!A:B,2,0),"")</f>
        <v>ok</v>
      </c>
      <c r="I3663" s="77" t="s">
        <v>8318</v>
      </c>
      <c r="J3663" t="str">
        <f>VLOOKUP(Table2[[#This Row],[Author]],People!A:B,2,0)</f>
        <v>MGF</v>
      </c>
      <c r="L3663" s="76"/>
      <c r="M3663" s="76" t="s">
        <v>8706</v>
      </c>
    </row>
    <row r="3664" spans="1:13" x14ac:dyDescent="0.25">
      <c r="A3664" s="76">
        <f t="shared" si="75"/>
        <v>3663</v>
      </c>
      <c r="B3664" s="77" t="s">
        <v>13</v>
      </c>
      <c r="C3664" s="77" t="s">
        <v>8705</v>
      </c>
      <c r="D3664" t="s">
        <v>8822</v>
      </c>
      <c r="E3664" s="80" t="s">
        <v>8751</v>
      </c>
      <c r="F3664" s="77" t="s">
        <v>8813</v>
      </c>
      <c r="G3664" s="77" t="s">
        <v>18</v>
      </c>
      <c r="H3664" s="76" t="str">
        <f>IFERROR(VLOOKUP(Table2[[#This Row],[Ticket]],Okey!A:B,2,0),"")</f>
        <v>ok</v>
      </c>
      <c r="I3664" s="77" t="s">
        <v>8318</v>
      </c>
      <c r="J3664" t="str">
        <f>VLOOKUP(Table2[[#This Row],[Author]],People!A:B,2,0)</f>
        <v>MGF</v>
      </c>
      <c r="L3664" s="76"/>
      <c r="M3664" s="76" t="s">
        <v>8706</v>
      </c>
    </row>
    <row r="3665" spans="1:13" x14ac:dyDescent="0.25">
      <c r="A3665" s="76">
        <f t="shared" si="75"/>
        <v>3664</v>
      </c>
      <c r="B3665" s="77" t="s">
        <v>13</v>
      </c>
      <c r="C3665" s="77" t="s">
        <v>8705</v>
      </c>
      <c r="D3665" t="s">
        <v>8823</v>
      </c>
      <c r="E3665" s="80" t="s">
        <v>8752</v>
      </c>
      <c r="F3665" s="77" t="s">
        <v>8813</v>
      </c>
      <c r="G3665" s="77" t="s">
        <v>18</v>
      </c>
      <c r="H3665" s="76" t="str">
        <f>IFERROR(VLOOKUP(Table2[[#This Row],[Ticket]],Okey!A:B,2,0),"")</f>
        <v>ok</v>
      </c>
      <c r="I3665" s="77" t="s">
        <v>8318</v>
      </c>
      <c r="J3665" t="str">
        <f>VLOOKUP(Table2[[#This Row],[Author]],People!A:B,2,0)</f>
        <v>MGF</v>
      </c>
      <c r="L3665" s="76"/>
      <c r="M3665" s="76" t="s">
        <v>8706</v>
      </c>
    </row>
    <row r="3666" spans="1:13" x14ac:dyDescent="0.25">
      <c r="A3666" s="76">
        <f t="shared" si="75"/>
        <v>3665</v>
      </c>
      <c r="B3666" s="77" t="s">
        <v>13</v>
      </c>
      <c r="C3666" s="77" t="s">
        <v>8705</v>
      </c>
      <c r="D3666" t="s">
        <v>8824</v>
      </c>
      <c r="E3666" s="81" t="s">
        <v>8753</v>
      </c>
      <c r="F3666" s="77" t="s">
        <v>8813</v>
      </c>
      <c r="G3666" s="77" t="s">
        <v>18</v>
      </c>
      <c r="H3666" s="76" t="str">
        <f>IFERROR(VLOOKUP(Table2[[#This Row],[Ticket]],Okey!A:B,2,0),"")</f>
        <v>ok</v>
      </c>
      <c r="I3666" s="77" t="s">
        <v>8318</v>
      </c>
      <c r="J3666" t="str">
        <f>VLOOKUP(Table2[[#This Row],[Author]],People!A:B,2,0)</f>
        <v>MGF</v>
      </c>
      <c r="L3666" s="76"/>
      <c r="M3666" s="76" t="s">
        <v>8706</v>
      </c>
    </row>
    <row r="3667" spans="1:13" x14ac:dyDescent="0.25">
      <c r="A3667" s="76">
        <f t="shared" si="75"/>
        <v>3666</v>
      </c>
      <c r="B3667" s="77" t="s">
        <v>13</v>
      </c>
      <c r="C3667" s="77" t="s">
        <v>8705</v>
      </c>
      <c r="D3667" t="s">
        <v>8825</v>
      </c>
      <c r="E3667" s="79" t="s">
        <v>8754</v>
      </c>
      <c r="F3667" s="82" t="s">
        <v>799</v>
      </c>
      <c r="G3667" s="77" t="s">
        <v>18</v>
      </c>
      <c r="H3667" s="76" t="str">
        <f>IFERROR(VLOOKUP(Table2[[#This Row],[Ticket]],Okey!A:B,2,0),"")</f>
        <v>ok</v>
      </c>
      <c r="I3667" s="77" t="s">
        <v>8318</v>
      </c>
      <c r="J3667" t="str">
        <f>VLOOKUP(Table2[[#This Row],[Author]],People!A:B,2,0)</f>
        <v>MGF</v>
      </c>
      <c r="L3667" s="76"/>
      <c r="M3667" s="76" t="s">
        <v>8706</v>
      </c>
    </row>
    <row r="3668" spans="1:13" x14ac:dyDescent="0.25">
      <c r="A3668" s="76">
        <f t="shared" si="75"/>
        <v>3667</v>
      </c>
      <c r="B3668" s="77" t="s">
        <v>13</v>
      </c>
      <c r="C3668" s="77" t="s">
        <v>8705</v>
      </c>
      <c r="D3668" t="s">
        <v>8826</v>
      </c>
      <c r="E3668" s="80" t="s">
        <v>8755</v>
      </c>
      <c r="F3668" s="77" t="s">
        <v>8825</v>
      </c>
      <c r="G3668" s="77" t="s">
        <v>18</v>
      </c>
      <c r="H3668" s="76" t="str">
        <f>IFERROR(VLOOKUP(Table2[[#This Row],[Ticket]],Okey!A:B,2,0),"")</f>
        <v>ok</v>
      </c>
      <c r="I3668" s="77" t="s">
        <v>8318</v>
      </c>
      <c r="J3668" t="str">
        <f>VLOOKUP(Table2[[#This Row],[Author]],People!A:B,2,0)</f>
        <v>MGF</v>
      </c>
      <c r="L3668" s="76"/>
      <c r="M3668" s="76" t="s">
        <v>8706</v>
      </c>
    </row>
    <row r="3669" spans="1:13" x14ac:dyDescent="0.25">
      <c r="A3669" s="76">
        <f t="shared" si="75"/>
        <v>3668</v>
      </c>
      <c r="B3669" s="77" t="s">
        <v>13</v>
      </c>
      <c r="C3669" s="77" t="s">
        <v>8705</v>
      </c>
      <c r="D3669" t="s">
        <v>8827</v>
      </c>
      <c r="E3669" s="81" t="s">
        <v>8756</v>
      </c>
      <c r="F3669" s="77" t="s">
        <v>8825</v>
      </c>
      <c r="G3669" s="77" t="s">
        <v>18</v>
      </c>
      <c r="H3669" s="76" t="str">
        <f>IFERROR(VLOOKUP(Table2[[#This Row],[Ticket]],Okey!A:B,2,0),"")</f>
        <v>ok</v>
      </c>
      <c r="I3669" s="77" t="s">
        <v>8318</v>
      </c>
      <c r="J3669" t="str">
        <f>VLOOKUP(Table2[[#This Row],[Author]],People!A:B,2,0)</f>
        <v>MGF</v>
      </c>
      <c r="L3669" s="76"/>
      <c r="M3669" s="76" t="s">
        <v>8706</v>
      </c>
    </row>
    <row r="3670" spans="1:13" x14ac:dyDescent="0.25">
      <c r="A3670" s="76">
        <f t="shared" si="75"/>
        <v>3669</v>
      </c>
      <c r="B3670" s="77" t="s">
        <v>13</v>
      </c>
      <c r="C3670" s="77" t="s">
        <v>8705</v>
      </c>
      <c r="D3670" t="s">
        <v>8828</v>
      </c>
      <c r="E3670" s="79" t="s">
        <v>8757</v>
      </c>
      <c r="F3670" s="82" t="s">
        <v>799</v>
      </c>
      <c r="G3670" s="77" t="s">
        <v>18</v>
      </c>
      <c r="H3670" s="76" t="str">
        <f>IFERROR(VLOOKUP(Table2[[#This Row],[Ticket]],Okey!A:B,2,0),"")</f>
        <v>ok</v>
      </c>
      <c r="I3670" s="77" t="s">
        <v>8318</v>
      </c>
      <c r="J3670" t="str">
        <f>VLOOKUP(Table2[[#This Row],[Author]],People!A:B,2,0)</f>
        <v>MGF</v>
      </c>
      <c r="L3670" s="76"/>
      <c r="M3670" s="76" t="s">
        <v>8706</v>
      </c>
    </row>
    <row r="3671" spans="1:13" x14ac:dyDescent="0.25">
      <c r="A3671" s="76">
        <f t="shared" si="75"/>
        <v>3670</v>
      </c>
      <c r="B3671" s="77" t="s">
        <v>13</v>
      </c>
      <c r="C3671" s="77" t="s">
        <v>8705</v>
      </c>
      <c r="D3671" t="s">
        <v>8829</v>
      </c>
      <c r="E3671" s="80" t="s">
        <v>8758</v>
      </c>
      <c r="F3671" s="77" t="s">
        <v>8828</v>
      </c>
      <c r="G3671" s="77" t="s">
        <v>18</v>
      </c>
      <c r="H3671" s="76" t="str">
        <f>IFERROR(VLOOKUP(Table2[[#This Row],[Ticket]],Okey!A:B,2,0),"")</f>
        <v>ok</v>
      </c>
      <c r="I3671" s="77" t="s">
        <v>8318</v>
      </c>
      <c r="J3671" t="str">
        <f>VLOOKUP(Table2[[#This Row],[Author]],People!A:B,2,0)</f>
        <v>MGF</v>
      </c>
      <c r="L3671" s="76"/>
      <c r="M3671" s="76" t="s">
        <v>8706</v>
      </c>
    </row>
    <row r="3672" spans="1:13" x14ac:dyDescent="0.25">
      <c r="A3672" s="76">
        <f t="shared" si="75"/>
        <v>3671</v>
      </c>
      <c r="B3672" s="77" t="s">
        <v>13</v>
      </c>
      <c r="C3672" s="77" t="s">
        <v>8705</v>
      </c>
      <c r="D3672" t="s">
        <v>8830</v>
      </c>
      <c r="E3672" s="80" t="s">
        <v>8759</v>
      </c>
      <c r="F3672" s="77" t="s">
        <v>8828</v>
      </c>
      <c r="G3672" s="77" t="s">
        <v>18</v>
      </c>
      <c r="H3672" s="76" t="str">
        <f>IFERROR(VLOOKUP(Table2[[#This Row],[Ticket]],Okey!A:B,2,0),"")</f>
        <v>ok</v>
      </c>
      <c r="I3672" s="77" t="s">
        <v>8318</v>
      </c>
      <c r="J3672" t="str">
        <f>VLOOKUP(Table2[[#This Row],[Author]],People!A:B,2,0)</f>
        <v>MGF</v>
      </c>
      <c r="L3672" s="76"/>
      <c r="M3672" s="76" t="s">
        <v>8706</v>
      </c>
    </row>
    <row r="3673" spans="1:13" x14ac:dyDescent="0.25">
      <c r="A3673" s="76">
        <f t="shared" si="75"/>
        <v>3672</v>
      </c>
      <c r="B3673" s="77" t="s">
        <v>13</v>
      </c>
      <c r="C3673" s="77" t="s">
        <v>8705</v>
      </c>
      <c r="D3673" t="s">
        <v>8831</v>
      </c>
      <c r="E3673" s="81" t="s">
        <v>8760</v>
      </c>
      <c r="F3673" s="77" t="s">
        <v>8828</v>
      </c>
      <c r="G3673" s="77" t="s">
        <v>18</v>
      </c>
      <c r="H3673" s="76" t="str">
        <f>IFERROR(VLOOKUP(Table2[[#This Row],[Ticket]],Okey!A:B,2,0),"")</f>
        <v>ok</v>
      </c>
      <c r="I3673" s="77" t="s">
        <v>8318</v>
      </c>
      <c r="J3673" t="str">
        <f>VLOOKUP(Table2[[#This Row],[Author]],People!A:B,2,0)</f>
        <v>MGF</v>
      </c>
      <c r="L3673" s="76"/>
      <c r="M3673" s="76" t="s">
        <v>8706</v>
      </c>
    </row>
    <row r="3674" spans="1:13" x14ac:dyDescent="0.25">
      <c r="A3674" s="76">
        <f t="shared" si="75"/>
        <v>3673</v>
      </c>
      <c r="B3674" s="77" t="s">
        <v>13</v>
      </c>
      <c r="C3674" s="77" t="s">
        <v>8705</v>
      </c>
      <c r="D3674" t="s">
        <v>8832</v>
      </c>
      <c r="E3674" s="79" t="s">
        <v>8761</v>
      </c>
      <c r="F3674" s="82" t="s">
        <v>799</v>
      </c>
      <c r="G3674" s="77" t="s">
        <v>18</v>
      </c>
      <c r="H3674" s="76" t="str">
        <f>IFERROR(VLOOKUP(Table2[[#This Row],[Ticket]],Okey!A:B,2,0),"")</f>
        <v>ok</v>
      </c>
      <c r="I3674" s="77" t="s">
        <v>8318</v>
      </c>
      <c r="J3674" t="str">
        <f>VLOOKUP(Table2[[#This Row],[Author]],People!A:B,2,0)</f>
        <v>MGF</v>
      </c>
      <c r="L3674" s="76"/>
      <c r="M3674" s="76" t="s">
        <v>8706</v>
      </c>
    </row>
    <row r="3675" spans="1:13" x14ac:dyDescent="0.25">
      <c r="A3675" s="76">
        <f t="shared" si="75"/>
        <v>3674</v>
      </c>
      <c r="B3675" s="77" t="s">
        <v>13</v>
      </c>
      <c r="C3675" s="77" t="s">
        <v>8705</v>
      </c>
      <c r="D3675" t="s">
        <v>8833</v>
      </c>
      <c r="E3675" s="80" t="s">
        <v>8762</v>
      </c>
      <c r="F3675" s="77" t="s">
        <v>8832</v>
      </c>
      <c r="G3675" s="77" t="s">
        <v>18</v>
      </c>
      <c r="H3675" s="76" t="str">
        <f>IFERROR(VLOOKUP(Table2[[#This Row],[Ticket]],Okey!A:B,2,0),"")</f>
        <v>ok</v>
      </c>
      <c r="I3675" s="77" t="s">
        <v>8318</v>
      </c>
      <c r="J3675" t="str">
        <f>VLOOKUP(Table2[[#This Row],[Author]],People!A:B,2,0)</f>
        <v>MGF</v>
      </c>
      <c r="L3675" s="76"/>
      <c r="M3675" s="76" t="s">
        <v>8706</v>
      </c>
    </row>
    <row r="3676" spans="1:13" x14ac:dyDescent="0.25">
      <c r="A3676" s="76">
        <f t="shared" si="75"/>
        <v>3675</v>
      </c>
      <c r="B3676" s="77" t="s">
        <v>13</v>
      </c>
      <c r="C3676" s="77" t="s">
        <v>8705</v>
      </c>
      <c r="D3676" t="s">
        <v>8834</v>
      </c>
      <c r="E3676" s="80" t="s">
        <v>8763</v>
      </c>
      <c r="F3676" s="77" t="s">
        <v>8832</v>
      </c>
      <c r="G3676" s="77" t="s">
        <v>18</v>
      </c>
      <c r="H3676" s="76" t="str">
        <f>IFERROR(VLOOKUP(Table2[[#This Row],[Ticket]],Okey!A:B,2,0),"")</f>
        <v>ok</v>
      </c>
      <c r="I3676" s="77" t="s">
        <v>8318</v>
      </c>
      <c r="J3676" t="str">
        <f>VLOOKUP(Table2[[#This Row],[Author]],People!A:B,2,0)</f>
        <v>MGF</v>
      </c>
      <c r="L3676" s="76"/>
      <c r="M3676" s="76" t="s">
        <v>8706</v>
      </c>
    </row>
    <row r="3677" spans="1:13" x14ac:dyDescent="0.25">
      <c r="A3677" s="76">
        <f t="shared" si="75"/>
        <v>3676</v>
      </c>
      <c r="B3677" s="77" t="s">
        <v>13</v>
      </c>
      <c r="C3677" s="77" t="s">
        <v>8705</v>
      </c>
      <c r="D3677" t="s">
        <v>8835</v>
      </c>
      <c r="E3677" s="80" t="s">
        <v>8764</v>
      </c>
      <c r="F3677" s="77" t="s">
        <v>8832</v>
      </c>
      <c r="G3677" s="77" t="s">
        <v>18</v>
      </c>
      <c r="H3677" s="76" t="str">
        <f>IFERROR(VLOOKUP(Table2[[#This Row],[Ticket]],Okey!A:B,2,0),"")</f>
        <v>ok</v>
      </c>
      <c r="I3677" s="77" t="s">
        <v>8318</v>
      </c>
      <c r="J3677" t="str">
        <f>VLOOKUP(Table2[[#This Row],[Author]],People!A:B,2,0)</f>
        <v>MGF</v>
      </c>
      <c r="L3677" s="76"/>
      <c r="M3677" s="76" t="s">
        <v>8706</v>
      </c>
    </row>
    <row r="3678" spans="1:13" x14ac:dyDescent="0.25">
      <c r="A3678" s="76">
        <f t="shared" si="75"/>
        <v>3677</v>
      </c>
      <c r="B3678" s="77" t="s">
        <v>13</v>
      </c>
      <c r="C3678" s="77" t="s">
        <v>8705</v>
      </c>
      <c r="D3678" t="s">
        <v>8836</v>
      </c>
      <c r="E3678" s="80" t="s">
        <v>8765</v>
      </c>
      <c r="F3678" s="77" t="s">
        <v>8832</v>
      </c>
      <c r="G3678" s="77" t="s">
        <v>18</v>
      </c>
      <c r="H3678" s="76" t="str">
        <f>IFERROR(VLOOKUP(Table2[[#This Row],[Ticket]],Okey!A:B,2,0),"")</f>
        <v>ok</v>
      </c>
      <c r="I3678" s="77" t="s">
        <v>8318</v>
      </c>
      <c r="J3678" t="str">
        <f>VLOOKUP(Table2[[#This Row],[Author]],People!A:B,2,0)</f>
        <v>MGF</v>
      </c>
      <c r="L3678" s="76"/>
      <c r="M3678" s="76" t="s">
        <v>8706</v>
      </c>
    </row>
    <row r="3679" spans="1:13" x14ac:dyDescent="0.25">
      <c r="A3679" s="76">
        <f t="shared" si="75"/>
        <v>3678</v>
      </c>
      <c r="B3679" s="77" t="s">
        <v>13</v>
      </c>
      <c r="C3679" s="77" t="s">
        <v>8705</v>
      </c>
      <c r="D3679" t="s">
        <v>8837</v>
      </c>
      <c r="E3679" s="80" t="s">
        <v>8766</v>
      </c>
      <c r="F3679" s="77" t="s">
        <v>8832</v>
      </c>
      <c r="G3679" s="77" t="s">
        <v>18</v>
      </c>
      <c r="H3679" s="76" t="str">
        <f>IFERROR(VLOOKUP(Table2[[#This Row],[Ticket]],Okey!A:B,2,0),"")</f>
        <v>ok</v>
      </c>
      <c r="I3679" s="77" t="s">
        <v>8318</v>
      </c>
      <c r="J3679" t="str">
        <f>VLOOKUP(Table2[[#This Row],[Author]],People!A:B,2,0)</f>
        <v>MGF</v>
      </c>
      <c r="L3679" s="76"/>
      <c r="M3679" s="76" t="s">
        <v>8706</v>
      </c>
    </row>
    <row r="3680" spans="1:13" x14ac:dyDescent="0.25">
      <c r="A3680" s="76">
        <f t="shared" si="75"/>
        <v>3679</v>
      </c>
      <c r="B3680" s="77" t="s">
        <v>13</v>
      </c>
      <c r="C3680" s="77" t="s">
        <v>8705</v>
      </c>
      <c r="D3680" t="s">
        <v>8838</v>
      </c>
      <c r="E3680" s="80" t="s">
        <v>8767</v>
      </c>
      <c r="F3680" s="77" t="s">
        <v>8832</v>
      </c>
      <c r="G3680" s="77" t="s">
        <v>18</v>
      </c>
      <c r="H3680" s="76" t="str">
        <f>IFERROR(VLOOKUP(Table2[[#This Row],[Ticket]],Okey!A:B,2,0),"")</f>
        <v>ok</v>
      </c>
      <c r="I3680" s="77" t="s">
        <v>8318</v>
      </c>
      <c r="J3680" t="str">
        <f>VLOOKUP(Table2[[#This Row],[Author]],People!A:B,2,0)</f>
        <v>MGF</v>
      </c>
      <c r="L3680" s="76"/>
      <c r="M3680" s="76" t="s">
        <v>8706</v>
      </c>
    </row>
    <row r="3681" spans="1:13" x14ac:dyDescent="0.25">
      <c r="A3681" s="76">
        <f t="shared" si="75"/>
        <v>3680</v>
      </c>
      <c r="B3681" s="77" t="s">
        <v>13</v>
      </c>
      <c r="C3681" s="77" t="s">
        <v>8705</v>
      </c>
      <c r="D3681" t="s">
        <v>8839</v>
      </c>
      <c r="E3681" s="81" t="s">
        <v>8768</v>
      </c>
      <c r="F3681" s="77" t="s">
        <v>8832</v>
      </c>
      <c r="G3681" s="77" t="s">
        <v>18</v>
      </c>
      <c r="H3681" s="76" t="str">
        <f>IFERROR(VLOOKUP(Table2[[#This Row],[Ticket]],Okey!A:B,2,0),"")</f>
        <v>ok</v>
      </c>
      <c r="I3681" s="77" t="s">
        <v>8318</v>
      </c>
      <c r="J3681" t="str">
        <f>VLOOKUP(Table2[[#This Row],[Author]],People!A:B,2,0)</f>
        <v>MGF</v>
      </c>
      <c r="L3681" s="76"/>
      <c r="M3681" s="76" t="s">
        <v>8706</v>
      </c>
    </row>
    <row r="3682" spans="1:13" x14ac:dyDescent="0.25">
      <c r="A3682" s="76">
        <f t="shared" si="75"/>
        <v>3681</v>
      </c>
      <c r="B3682" s="77" t="s">
        <v>13</v>
      </c>
      <c r="C3682" s="77" t="s">
        <v>8705</v>
      </c>
      <c r="D3682" t="s">
        <v>8840</v>
      </c>
      <c r="E3682" s="79" t="s">
        <v>8769</v>
      </c>
      <c r="F3682" s="82" t="s">
        <v>799</v>
      </c>
      <c r="G3682" s="77" t="s">
        <v>18</v>
      </c>
      <c r="H3682" s="76" t="str">
        <f>IFERROR(VLOOKUP(Table2[[#This Row],[Ticket]],Okey!A:B,2,0),"")</f>
        <v>ok</v>
      </c>
      <c r="I3682" s="77" t="s">
        <v>8318</v>
      </c>
      <c r="J3682" t="str">
        <f>VLOOKUP(Table2[[#This Row],[Author]],People!A:B,2,0)</f>
        <v>MGF</v>
      </c>
      <c r="L3682" s="76"/>
      <c r="M3682" s="76" t="s">
        <v>8706</v>
      </c>
    </row>
    <row r="3683" spans="1:13" x14ac:dyDescent="0.25">
      <c r="A3683" s="76">
        <f t="shared" si="75"/>
        <v>3682</v>
      </c>
      <c r="B3683" s="77" t="s">
        <v>13</v>
      </c>
      <c r="C3683" s="77" t="s">
        <v>8705</v>
      </c>
      <c r="D3683" t="s">
        <v>8841</v>
      </c>
      <c r="E3683" s="80" t="s">
        <v>8770</v>
      </c>
      <c r="F3683" s="77" t="s">
        <v>8840</v>
      </c>
      <c r="G3683" s="77" t="s">
        <v>18</v>
      </c>
      <c r="H3683" s="76" t="str">
        <f>IFERROR(VLOOKUP(Table2[[#This Row],[Ticket]],Okey!A:B,2,0),"")</f>
        <v>ok</v>
      </c>
      <c r="I3683" s="77" t="s">
        <v>8318</v>
      </c>
      <c r="J3683" t="str">
        <f>VLOOKUP(Table2[[#This Row],[Author]],People!A:B,2,0)</f>
        <v>MGF</v>
      </c>
      <c r="L3683" s="76"/>
      <c r="M3683" s="76" t="s">
        <v>8706</v>
      </c>
    </row>
    <row r="3684" spans="1:13" x14ac:dyDescent="0.25">
      <c r="A3684" s="76">
        <f t="shared" si="75"/>
        <v>3683</v>
      </c>
      <c r="B3684" s="77" t="s">
        <v>13</v>
      </c>
      <c r="C3684" s="77" t="s">
        <v>8705</v>
      </c>
      <c r="D3684" t="s">
        <v>8842</v>
      </c>
      <c r="E3684" s="80" t="s">
        <v>8771</v>
      </c>
      <c r="F3684" s="77" t="s">
        <v>8840</v>
      </c>
      <c r="G3684" s="77" t="s">
        <v>18</v>
      </c>
      <c r="H3684" s="76" t="str">
        <f>IFERROR(VLOOKUP(Table2[[#This Row],[Ticket]],Okey!A:B,2,0),"")</f>
        <v>ok</v>
      </c>
      <c r="I3684" s="77" t="s">
        <v>8318</v>
      </c>
      <c r="J3684" t="str">
        <f>VLOOKUP(Table2[[#This Row],[Author]],People!A:B,2,0)</f>
        <v>MGF</v>
      </c>
      <c r="L3684" s="76"/>
      <c r="M3684" s="76" t="s">
        <v>8706</v>
      </c>
    </row>
    <row r="3685" spans="1:13" x14ac:dyDescent="0.25">
      <c r="A3685" s="76">
        <f t="shared" si="75"/>
        <v>3684</v>
      </c>
      <c r="B3685" s="77" t="s">
        <v>13</v>
      </c>
      <c r="C3685" s="77" t="s">
        <v>8705</v>
      </c>
      <c r="D3685" t="s">
        <v>8843</v>
      </c>
      <c r="E3685" s="80" t="s">
        <v>8772</v>
      </c>
      <c r="F3685" s="77" t="s">
        <v>8840</v>
      </c>
      <c r="G3685" s="77" t="s">
        <v>18</v>
      </c>
      <c r="H3685" s="76" t="str">
        <f>IFERROR(VLOOKUP(Table2[[#This Row],[Ticket]],Okey!A:B,2,0),"")</f>
        <v>ok</v>
      </c>
      <c r="I3685" s="77" t="s">
        <v>8318</v>
      </c>
      <c r="J3685" t="str">
        <f>VLOOKUP(Table2[[#This Row],[Author]],People!A:B,2,0)</f>
        <v>MGF</v>
      </c>
      <c r="L3685" s="76"/>
      <c r="M3685" s="76" t="s">
        <v>8706</v>
      </c>
    </row>
    <row r="3686" spans="1:13" x14ac:dyDescent="0.25">
      <c r="A3686" s="76">
        <f t="shared" si="75"/>
        <v>3685</v>
      </c>
      <c r="B3686" s="77" t="s">
        <v>13</v>
      </c>
      <c r="C3686" s="77" t="s">
        <v>8705</v>
      </c>
      <c r="D3686" t="s">
        <v>8844</v>
      </c>
      <c r="E3686" s="80" t="s">
        <v>8773</v>
      </c>
      <c r="F3686" s="77" t="s">
        <v>8840</v>
      </c>
      <c r="G3686" s="77" t="s">
        <v>18</v>
      </c>
      <c r="H3686" s="76" t="str">
        <f>IFERROR(VLOOKUP(Table2[[#This Row],[Ticket]],Okey!A:B,2,0),"")</f>
        <v>ok</v>
      </c>
      <c r="I3686" s="77" t="s">
        <v>8318</v>
      </c>
      <c r="J3686" t="str">
        <f>VLOOKUP(Table2[[#This Row],[Author]],People!A:B,2,0)</f>
        <v>MGF</v>
      </c>
      <c r="L3686" s="76"/>
      <c r="M3686" s="76" t="s">
        <v>8706</v>
      </c>
    </row>
    <row r="3687" spans="1:13" x14ac:dyDescent="0.25">
      <c r="A3687" s="76">
        <f t="shared" si="75"/>
        <v>3686</v>
      </c>
      <c r="B3687" s="77" t="s">
        <v>13</v>
      </c>
      <c r="C3687" s="77" t="s">
        <v>8705</v>
      </c>
      <c r="D3687" t="s">
        <v>8845</v>
      </c>
      <c r="E3687" s="80" t="s">
        <v>8774</v>
      </c>
      <c r="F3687" s="77" t="s">
        <v>8840</v>
      </c>
      <c r="G3687" s="77" t="s">
        <v>18</v>
      </c>
      <c r="H3687" s="76" t="str">
        <f>IFERROR(VLOOKUP(Table2[[#This Row],[Ticket]],Okey!A:B,2,0),"")</f>
        <v>ok</v>
      </c>
      <c r="I3687" s="77" t="s">
        <v>8318</v>
      </c>
      <c r="J3687" t="str">
        <f>VLOOKUP(Table2[[#This Row],[Author]],People!A:B,2,0)</f>
        <v>MGF</v>
      </c>
      <c r="L3687" s="76"/>
      <c r="M3687" s="76" t="s">
        <v>8706</v>
      </c>
    </row>
    <row r="3688" spans="1:13" x14ac:dyDescent="0.25">
      <c r="A3688" s="76">
        <f t="shared" si="75"/>
        <v>3687</v>
      </c>
      <c r="B3688" s="77" t="s">
        <v>13</v>
      </c>
      <c r="C3688" s="77" t="s">
        <v>8705</v>
      </c>
      <c r="D3688" t="s">
        <v>8846</v>
      </c>
      <c r="E3688" s="80" t="s">
        <v>8775</v>
      </c>
      <c r="F3688" s="77" t="s">
        <v>8840</v>
      </c>
      <c r="G3688" s="77" t="s">
        <v>18</v>
      </c>
      <c r="H3688" s="76" t="str">
        <f>IFERROR(VLOOKUP(Table2[[#This Row],[Ticket]],Okey!A:B,2,0),"")</f>
        <v>ok</v>
      </c>
      <c r="I3688" s="77" t="s">
        <v>8318</v>
      </c>
      <c r="J3688" t="str">
        <f>VLOOKUP(Table2[[#This Row],[Author]],People!A:B,2,0)</f>
        <v>MGF</v>
      </c>
      <c r="L3688" s="76"/>
      <c r="M3688" s="76" t="s">
        <v>8706</v>
      </c>
    </row>
    <row r="3689" spans="1:13" x14ac:dyDescent="0.25">
      <c r="A3689" s="76">
        <f t="shared" si="75"/>
        <v>3688</v>
      </c>
      <c r="B3689" s="77" t="s">
        <v>13</v>
      </c>
      <c r="C3689" s="77" t="s">
        <v>8705</v>
      </c>
      <c r="D3689" t="s">
        <v>8847</v>
      </c>
      <c r="E3689" s="81" t="s">
        <v>8776</v>
      </c>
      <c r="F3689" s="77" t="s">
        <v>8840</v>
      </c>
      <c r="G3689" s="77" t="s">
        <v>18</v>
      </c>
      <c r="H3689" s="76" t="str">
        <f>IFERROR(VLOOKUP(Table2[[#This Row],[Ticket]],Okey!A:B,2,0),"")</f>
        <v>ok</v>
      </c>
      <c r="I3689" s="77" t="s">
        <v>8318</v>
      </c>
      <c r="J3689" t="str">
        <f>VLOOKUP(Table2[[#This Row],[Author]],People!A:B,2,0)</f>
        <v>MGF</v>
      </c>
      <c r="L3689" s="76"/>
      <c r="M3689" s="76" t="s">
        <v>8706</v>
      </c>
    </row>
    <row r="3690" spans="1:13" x14ac:dyDescent="0.25">
      <c r="A3690" s="76">
        <f t="shared" ref="A3690:A3693" si="76">1+A3689</f>
        <v>3689</v>
      </c>
      <c r="B3690" s="77" t="s">
        <v>13</v>
      </c>
      <c r="C3690" t="s">
        <v>8848</v>
      </c>
      <c r="D3690" t="s">
        <v>8610</v>
      </c>
      <c r="E3690" t="s">
        <v>8849</v>
      </c>
      <c r="F3690" t="s">
        <v>8777</v>
      </c>
      <c r="G3690" t="s">
        <v>24</v>
      </c>
      <c r="H3690" s="76" t="str">
        <f>IFERROR(VLOOKUP(Table2[[#This Row],[Ticket]],Okey!A:B,2,0),"")</f>
        <v>ok</v>
      </c>
      <c r="I3690" s="77" t="s">
        <v>8318</v>
      </c>
      <c r="J3690" t="str">
        <f>VLOOKUP(Table2[[#This Row],[Author]],People!A:B,2,0)</f>
        <v>MGF</v>
      </c>
      <c r="L3690" s="76"/>
      <c r="M3690" s="76" t="s">
        <v>761</v>
      </c>
    </row>
    <row r="3691" spans="1:13" x14ac:dyDescent="0.25">
      <c r="A3691" s="76">
        <f t="shared" si="76"/>
        <v>3690</v>
      </c>
      <c r="B3691" s="77" t="s">
        <v>13</v>
      </c>
      <c r="C3691" s="77" t="s">
        <v>8848</v>
      </c>
      <c r="D3691" t="s">
        <v>8611</v>
      </c>
      <c r="E3691" t="s">
        <v>8850</v>
      </c>
      <c r="F3691" s="77" t="s">
        <v>8777</v>
      </c>
      <c r="G3691" s="77" t="s">
        <v>24</v>
      </c>
      <c r="H3691" s="76" t="str">
        <f>IFERROR(VLOOKUP(Table2[[#This Row],[Ticket]],Okey!A:B,2,0),"")</f>
        <v>ok</v>
      </c>
      <c r="I3691" s="77" t="s">
        <v>8318</v>
      </c>
      <c r="J3691" t="str">
        <f>VLOOKUP(Table2[[#This Row],[Author]],People!A:B,2,0)</f>
        <v>MGF</v>
      </c>
      <c r="L3691" s="76"/>
      <c r="M3691" s="76" t="s">
        <v>761</v>
      </c>
    </row>
    <row r="3692" spans="1:13" x14ac:dyDescent="0.25">
      <c r="A3692" s="76">
        <f t="shared" si="76"/>
        <v>3691</v>
      </c>
      <c r="B3692" s="77" t="s">
        <v>13</v>
      </c>
      <c r="C3692" s="77" t="s">
        <v>8848</v>
      </c>
      <c r="D3692" t="s">
        <v>8612</v>
      </c>
      <c r="E3692" t="s">
        <v>8851</v>
      </c>
      <c r="F3692" s="77" t="s">
        <v>8777</v>
      </c>
      <c r="G3692" s="77" t="s">
        <v>24</v>
      </c>
      <c r="H3692" s="76" t="str">
        <f>IFERROR(VLOOKUP(Table2[[#This Row],[Ticket]],Okey!A:B,2,0),"")</f>
        <v>ok</v>
      </c>
      <c r="I3692" s="77" t="s">
        <v>8318</v>
      </c>
      <c r="J3692" t="str">
        <f>VLOOKUP(Table2[[#This Row],[Author]],People!A:B,2,0)</f>
        <v>MGF</v>
      </c>
      <c r="L3692" s="76"/>
      <c r="M3692" s="76" t="s">
        <v>761</v>
      </c>
    </row>
    <row r="3693" spans="1:13" x14ac:dyDescent="0.25">
      <c r="A3693" s="76">
        <f t="shared" si="76"/>
        <v>3692</v>
      </c>
      <c r="B3693" s="77" t="s">
        <v>13</v>
      </c>
      <c r="C3693" s="77" t="s">
        <v>8848</v>
      </c>
      <c r="D3693" t="s">
        <v>8613</v>
      </c>
      <c r="E3693" t="s">
        <v>8852</v>
      </c>
      <c r="F3693" s="77" t="s">
        <v>8777</v>
      </c>
      <c r="G3693" s="77" t="s">
        <v>24</v>
      </c>
      <c r="H3693" s="76" t="str">
        <f>IFERROR(VLOOKUP(Table2[[#This Row],[Ticket]],Okey!A:B,2,0),"")</f>
        <v>ok</v>
      </c>
      <c r="I3693" s="77" t="s">
        <v>8318</v>
      </c>
      <c r="J3693" t="str">
        <f>VLOOKUP(Table2[[#This Row],[Author]],People!A:B,2,0)</f>
        <v>MGF</v>
      </c>
      <c r="L3693" s="76"/>
      <c r="M3693" s="76" t="s">
        <v>761</v>
      </c>
    </row>
    <row r="3694" spans="1:13" x14ac:dyDescent="0.25">
      <c r="A3694" s="76">
        <f t="shared" ref="A3694:A3695" si="77">1+A3693</f>
        <v>3693</v>
      </c>
      <c r="B3694" s="77" t="s">
        <v>13</v>
      </c>
      <c r="C3694" t="s">
        <v>8857</v>
      </c>
      <c r="D3694" t="s">
        <v>8859</v>
      </c>
      <c r="E3694" t="s">
        <v>8855</v>
      </c>
      <c r="F3694" t="s">
        <v>298</v>
      </c>
      <c r="G3694" t="s">
        <v>18</v>
      </c>
      <c r="H3694" s="76" t="str">
        <f>IFERROR(VLOOKUP(Table2[[#This Row],[Ticket]],Okey!A:B,2,0),"")</f>
        <v>ok</v>
      </c>
      <c r="I3694" t="s">
        <v>8318</v>
      </c>
      <c r="J3694" t="str">
        <f>VLOOKUP(Table2[[#This Row],[Author]],People!A:B,2,0)</f>
        <v>MGF</v>
      </c>
      <c r="L3694" s="76"/>
      <c r="M3694" s="76" t="s">
        <v>40</v>
      </c>
    </row>
    <row r="3695" spans="1:13" x14ac:dyDescent="0.25">
      <c r="A3695" s="76">
        <f t="shared" si="77"/>
        <v>3694</v>
      </c>
      <c r="B3695" s="77" t="s">
        <v>13</v>
      </c>
      <c r="C3695" t="s">
        <v>8857</v>
      </c>
      <c r="D3695" t="s">
        <v>8856</v>
      </c>
      <c r="E3695" t="s">
        <v>8855</v>
      </c>
      <c r="F3695" s="83" t="s">
        <v>8859</v>
      </c>
      <c r="G3695" s="77" t="s">
        <v>18</v>
      </c>
      <c r="H3695" s="76" t="str">
        <f>IFERROR(VLOOKUP(Table2[[#This Row],[Ticket]],Okey!A:B,2,0),"")</f>
        <v>ok</v>
      </c>
      <c r="I3695" s="83" t="s">
        <v>8318</v>
      </c>
      <c r="J3695" t="str">
        <f>VLOOKUP(Table2[[#This Row],[Author]],People!A:B,2,0)</f>
        <v>MGF</v>
      </c>
      <c r="L3695" s="76"/>
      <c r="M3695" s="76" t="s">
        <v>40</v>
      </c>
    </row>
    <row r="3696" spans="1:13" x14ac:dyDescent="0.25">
      <c r="A3696" s="76">
        <f>1+A3695</f>
        <v>3695</v>
      </c>
      <c r="B3696" s="83" t="s">
        <v>13</v>
      </c>
      <c r="C3696" t="s">
        <v>8858</v>
      </c>
      <c r="D3696" t="s">
        <v>8813</v>
      </c>
      <c r="E3696" s="83"/>
      <c r="F3696" s="83" t="s">
        <v>801</v>
      </c>
      <c r="G3696" s="83" t="s">
        <v>24</v>
      </c>
      <c r="H3696" s="76" t="str">
        <f>IFERROR(VLOOKUP(Table2[[#This Row],[Ticket]],Okey!A:B,2,0),"")</f>
        <v>ok</v>
      </c>
      <c r="I3696" s="83" t="s">
        <v>8318</v>
      </c>
      <c r="J3696" t="str">
        <f>VLOOKUP(Table2[[#This Row],[Author]],People!A:B,2,0)</f>
        <v>MGF</v>
      </c>
      <c r="L3696" s="76"/>
      <c r="M3696" s="76" t="s">
        <v>761</v>
      </c>
    </row>
    <row r="3697" spans="1:13" x14ac:dyDescent="0.25">
      <c r="A3697" s="76">
        <f t="shared" ref="A3697:A3700" si="78">1+A3696</f>
        <v>3696</v>
      </c>
      <c r="B3697" s="83" t="s">
        <v>13</v>
      </c>
      <c r="C3697" s="83" t="s">
        <v>8858</v>
      </c>
      <c r="D3697" t="s">
        <v>8825</v>
      </c>
      <c r="E3697" s="83"/>
      <c r="F3697" s="83" t="s">
        <v>801</v>
      </c>
      <c r="G3697" s="83" t="s">
        <v>24</v>
      </c>
      <c r="H3697" s="76" t="str">
        <f>IFERROR(VLOOKUP(Table2[[#This Row],[Ticket]],Okey!A:B,2,0),"")</f>
        <v>ok</v>
      </c>
      <c r="I3697" s="83" t="s">
        <v>8318</v>
      </c>
      <c r="J3697" t="str">
        <f>VLOOKUP(Table2[[#This Row],[Author]],People!A:B,2,0)</f>
        <v>MGF</v>
      </c>
      <c r="L3697" s="76"/>
      <c r="M3697" s="84" t="s">
        <v>761</v>
      </c>
    </row>
    <row r="3698" spans="1:13" x14ac:dyDescent="0.25">
      <c r="A3698" s="76">
        <f t="shared" si="78"/>
        <v>3697</v>
      </c>
      <c r="B3698" s="83" t="s">
        <v>13</v>
      </c>
      <c r="C3698" s="83" t="s">
        <v>8858</v>
      </c>
      <c r="D3698" t="s">
        <v>8828</v>
      </c>
      <c r="E3698" s="83"/>
      <c r="F3698" s="83" t="s">
        <v>801</v>
      </c>
      <c r="G3698" s="83" t="s">
        <v>24</v>
      </c>
      <c r="H3698" s="76" t="str">
        <f>IFERROR(VLOOKUP(Table2[[#This Row],[Ticket]],Okey!A:B,2,0),"")</f>
        <v>ok</v>
      </c>
      <c r="I3698" s="83" t="s">
        <v>8318</v>
      </c>
      <c r="J3698" t="str">
        <f>VLOOKUP(Table2[[#This Row],[Author]],People!A:B,2,0)</f>
        <v>MGF</v>
      </c>
      <c r="L3698" s="76"/>
      <c r="M3698" s="84" t="s">
        <v>761</v>
      </c>
    </row>
    <row r="3699" spans="1:13" x14ac:dyDescent="0.25">
      <c r="A3699" s="76">
        <f t="shared" si="78"/>
        <v>3698</v>
      </c>
      <c r="B3699" s="83" t="s">
        <v>13</v>
      </c>
      <c r="C3699" s="83" t="s">
        <v>8858</v>
      </c>
      <c r="D3699" t="s">
        <v>8832</v>
      </c>
      <c r="E3699" s="83"/>
      <c r="F3699" s="83" t="s">
        <v>801</v>
      </c>
      <c r="G3699" s="83" t="s">
        <v>24</v>
      </c>
      <c r="H3699" s="76" t="str">
        <f>IFERROR(VLOOKUP(Table2[[#This Row],[Ticket]],Okey!A:B,2,0),"")</f>
        <v>ok</v>
      </c>
      <c r="I3699" s="83" t="s">
        <v>8318</v>
      </c>
      <c r="J3699" t="str">
        <f>VLOOKUP(Table2[[#This Row],[Author]],People!A:B,2,0)</f>
        <v>MGF</v>
      </c>
      <c r="L3699" s="76"/>
      <c r="M3699" s="84" t="s">
        <v>761</v>
      </c>
    </row>
    <row r="3700" spans="1:13" x14ac:dyDescent="0.25">
      <c r="A3700" s="76">
        <f t="shared" si="78"/>
        <v>3699</v>
      </c>
      <c r="B3700" s="83" t="s">
        <v>13</v>
      </c>
      <c r="C3700" s="83" t="s">
        <v>8858</v>
      </c>
      <c r="D3700" t="s">
        <v>8840</v>
      </c>
      <c r="E3700" s="83"/>
      <c r="F3700" s="83" t="s">
        <v>801</v>
      </c>
      <c r="G3700" s="83" t="s">
        <v>24</v>
      </c>
      <c r="H3700" s="76" t="str">
        <f>IFERROR(VLOOKUP(Table2[[#This Row],[Ticket]],Okey!A:B,2,0),"")</f>
        <v>ok</v>
      </c>
      <c r="I3700" s="83" t="s">
        <v>8318</v>
      </c>
      <c r="J3700" t="str">
        <f>VLOOKUP(Table2[[#This Row],[Author]],People!A:B,2,0)</f>
        <v>MGF</v>
      </c>
      <c r="L3700" s="76"/>
      <c r="M3700" s="84" t="s">
        <v>761</v>
      </c>
    </row>
    <row r="3701" spans="1:13" x14ac:dyDescent="0.25">
      <c r="A3701" s="84">
        <f t="shared" ref="A3701:A3710" si="79">1+A3700</f>
        <v>3700</v>
      </c>
      <c r="B3701" s="83" t="s">
        <v>13</v>
      </c>
      <c r="C3701" t="s">
        <v>8861</v>
      </c>
      <c r="D3701" t="s">
        <v>120</v>
      </c>
      <c r="F3701" s="83" t="s">
        <v>242</v>
      </c>
      <c r="G3701" s="83" t="s">
        <v>24</v>
      </c>
      <c r="H3701" s="84" t="str">
        <f>IFERROR(VLOOKUP(Table2[[#This Row],[Ticket]],Okey!A:B,2,0),"")</f>
        <v>ok</v>
      </c>
      <c r="I3701" s="83" t="s">
        <v>8318</v>
      </c>
      <c r="J3701" t="str">
        <f>VLOOKUP(Table2[[#This Row],[Author]],People!A:B,2,0)</f>
        <v>MGF</v>
      </c>
      <c r="L3701" s="84"/>
      <c r="M3701" s="84" t="s">
        <v>40</v>
      </c>
    </row>
    <row r="3702" spans="1:13" x14ac:dyDescent="0.25">
      <c r="A3702" s="84">
        <f t="shared" si="79"/>
        <v>3701</v>
      </c>
      <c r="B3702" s="83" t="s">
        <v>13</v>
      </c>
      <c r="C3702" s="83" t="s">
        <v>8861</v>
      </c>
      <c r="D3702" t="s">
        <v>126</v>
      </c>
      <c r="F3702" s="83" t="s">
        <v>274</v>
      </c>
      <c r="G3702" s="83" t="s">
        <v>24</v>
      </c>
      <c r="H3702" s="84" t="str">
        <f>IFERROR(VLOOKUP(Table2[[#This Row],[Ticket]],Okey!A:B,2,0),"")</f>
        <v>ok</v>
      </c>
      <c r="I3702" s="83" t="s">
        <v>8318</v>
      </c>
      <c r="J3702" t="str">
        <f>VLOOKUP(Table2[[#This Row],[Author]],People!A:B,2,0)</f>
        <v>MGF</v>
      </c>
      <c r="L3702" s="84"/>
      <c r="M3702" s="84" t="s">
        <v>40</v>
      </c>
    </row>
    <row r="3703" spans="1:13" x14ac:dyDescent="0.25">
      <c r="A3703" s="84">
        <f t="shared" si="79"/>
        <v>3702</v>
      </c>
      <c r="B3703" s="83" t="s">
        <v>13</v>
      </c>
      <c r="C3703" s="83" t="s">
        <v>8861</v>
      </c>
      <c r="D3703" t="s">
        <v>128</v>
      </c>
      <c r="F3703" s="83" t="s">
        <v>275</v>
      </c>
      <c r="G3703" s="83" t="s">
        <v>24</v>
      </c>
      <c r="H3703" s="84" t="str">
        <f>IFERROR(VLOOKUP(Table2[[#This Row],[Ticket]],Okey!A:B,2,0),"")</f>
        <v>ok</v>
      </c>
      <c r="I3703" s="83" t="s">
        <v>8318</v>
      </c>
      <c r="J3703" t="str">
        <f>VLOOKUP(Table2[[#This Row],[Author]],People!A:B,2,0)</f>
        <v>MGF</v>
      </c>
      <c r="L3703" s="84"/>
      <c r="M3703" s="84" t="s">
        <v>40</v>
      </c>
    </row>
    <row r="3704" spans="1:13" x14ac:dyDescent="0.25">
      <c r="A3704" s="84">
        <f t="shared" si="79"/>
        <v>3703</v>
      </c>
      <c r="B3704" s="83" t="s">
        <v>13</v>
      </c>
      <c r="C3704" s="83" t="s">
        <v>8861</v>
      </c>
      <c r="D3704" t="s">
        <v>130</v>
      </c>
      <c r="F3704" s="83" t="s">
        <v>276</v>
      </c>
      <c r="G3704" s="83" t="s">
        <v>24</v>
      </c>
      <c r="H3704" s="84" t="str">
        <f>IFERROR(VLOOKUP(Table2[[#This Row],[Ticket]],Okey!A:B,2,0),"")</f>
        <v>ok</v>
      </c>
      <c r="I3704" s="83" t="s">
        <v>8318</v>
      </c>
      <c r="J3704" t="str">
        <f>VLOOKUP(Table2[[#This Row],[Author]],People!A:B,2,0)</f>
        <v>MGF</v>
      </c>
      <c r="L3704" s="84"/>
      <c r="M3704" s="84" t="s">
        <v>40</v>
      </c>
    </row>
    <row r="3705" spans="1:13" x14ac:dyDescent="0.25">
      <c r="A3705" s="84">
        <f t="shared" si="79"/>
        <v>3704</v>
      </c>
      <c r="B3705" s="83" t="s">
        <v>13</v>
      </c>
      <c r="C3705" s="83" t="s">
        <v>8861</v>
      </c>
      <c r="D3705" t="s">
        <v>134</v>
      </c>
      <c r="F3705" s="83" t="s">
        <v>278</v>
      </c>
      <c r="G3705" s="83" t="s">
        <v>24</v>
      </c>
      <c r="H3705" s="84" t="str">
        <f>IFERROR(VLOOKUP(Table2[[#This Row],[Ticket]],Okey!A:B,2,0),"")</f>
        <v>ok</v>
      </c>
      <c r="I3705" s="83" t="s">
        <v>8318</v>
      </c>
      <c r="J3705" t="str">
        <f>VLOOKUP(Table2[[#This Row],[Author]],People!A:B,2,0)</f>
        <v>MGF</v>
      </c>
      <c r="L3705" s="84"/>
      <c r="M3705" s="84" t="s">
        <v>40</v>
      </c>
    </row>
    <row r="3706" spans="1:13" x14ac:dyDescent="0.25">
      <c r="A3706" s="84">
        <f t="shared" si="79"/>
        <v>3705</v>
      </c>
      <c r="B3706" s="83" t="s">
        <v>13</v>
      </c>
      <c r="C3706" s="83" t="s">
        <v>8861</v>
      </c>
      <c r="D3706" t="s">
        <v>8236</v>
      </c>
      <c r="F3706" s="83" t="s">
        <v>8235</v>
      </c>
      <c r="G3706" s="83" t="s">
        <v>24</v>
      </c>
      <c r="H3706" s="84" t="str">
        <f>IFERROR(VLOOKUP(Table2[[#This Row],[Ticket]],Okey!A:B,2,0),"")</f>
        <v>ok</v>
      </c>
      <c r="I3706" s="83" t="s">
        <v>8318</v>
      </c>
      <c r="J3706" t="str">
        <f>VLOOKUP(Table2[[#This Row],[Author]],People!A:B,2,0)</f>
        <v>MGF</v>
      </c>
      <c r="L3706" s="84"/>
      <c r="M3706" s="84" t="s">
        <v>40</v>
      </c>
    </row>
    <row r="3707" spans="1:13" x14ac:dyDescent="0.25">
      <c r="A3707" s="84">
        <f t="shared" si="79"/>
        <v>3706</v>
      </c>
      <c r="B3707" s="83" t="s">
        <v>13</v>
      </c>
      <c r="C3707" s="83" t="s">
        <v>8861</v>
      </c>
      <c r="D3707" t="s">
        <v>124</v>
      </c>
      <c r="F3707" s="83" t="s">
        <v>273</v>
      </c>
      <c r="G3707" s="83" t="s">
        <v>24</v>
      </c>
      <c r="H3707" s="84" t="str">
        <f>IFERROR(VLOOKUP(Table2[[#This Row],[Ticket]],Okey!A:B,2,0),"")</f>
        <v>ok</v>
      </c>
      <c r="I3707" s="83" t="s">
        <v>8318</v>
      </c>
      <c r="J3707" t="str">
        <f>VLOOKUP(Table2[[#This Row],[Author]],People!A:B,2,0)</f>
        <v>MGF</v>
      </c>
      <c r="L3707" s="84"/>
      <c r="M3707" s="84" t="s">
        <v>40</v>
      </c>
    </row>
    <row r="3708" spans="1:13" x14ac:dyDescent="0.25">
      <c r="A3708" s="84">
        <f t="shared" si="79"/>
        <v>3707</v>
      </c>
      <c r="B3708" s="83" t="s">
        <v>13</v>
      </c>
      <c r="C3708" s="83" t="s">
        <v>8861</v>
      </c>
      <c r="D3708" t="s">
        <v>122</v>
      </c>
      <c r="F3708" s="83" t="s">
        <v>272</v>
      </c>
      <c r="G3708" s="83" t="s">
        <v>24</v>
      </c>
      <c r="H3708" s="84" t="str">
        <f>IFERROR(VLOOKUP(Table2[[#This Row],[Ticket]],Okey!A:B,2,0),"")</f>
        <v>ok</v>
      </c>
      <c r="I3708" s="83" t="s">
        <v>8318</v>
      </c>
      <c r="J3708" t="str">
        <f>VLOOKUP(Table2[[#This Row],[Author]],People!A:B,2,0)</f>
        <v>MGF</v>
      </c>
      <c r="L3708" s="84"/>
      <c r="M3708" s="84" t="s">
        <v>40</v>
      </c>
    </row>
    <row r="3709" spans="1:13" x14ac:dyDescent="0.25">
      <c r="A3709" s="84">
        <f t="shared" si="79"/>
        <v>3708</v>
      </c>
      <c r="B3709" s="83" t="s">
        <v>13</v>
      </c>
      <c r="C3709" s="83" t="s">
        <v>8861</v>
      </c>
      <c r="D3709" t="s">
        <v>132</v>
      </c>
      <c r="F3709" s="83" t="s">
        <v>277</v>
      </c>
      <c r="G3709" s="83" t="s">
        <v>24</v>
      </c>
      <c r="H3709" s="84" t="str">
        <f>IFERROR(VLOOKUP(Table2[[#This Row],[Ticket]],Okey!A:B,2,0),"")</f>
        <v>ok</v>
      </c>
      <c r="I3709" s="83" t="s">
        <v>8318</v>
      </c>
      <c r="J3709" t="str">
        <f>VLOOKUP(Table2[[#This Row],[Author]],People!A:B,2,0)</f>
        <v>MGF</v>
      </c>
      <c r="L3709" s="84"/>
      <c r="M3709" s="84" t="s">
        <v>40</v>
      </c>
    </row>
    <row r="3710" spans="1:13" x14ac:dyDescent="0.25">
      <c r="A3710" s="84">
        <f t="shared" si="79"/>
        <v>3709</v>
      </c>
      <c r="B3710" s="83" t="s">
        <v>13</v>
      </c>
      <c r="C3710" s="83" t="s">
        <v>8861</v>
      </c>
      <c r="D3710" t="s">
        <v>55</v>
      </c>
      <c r="F3710" s="83" t="s">
        <v>41</v>
      </c>
      <c r="G3710" s="83" t="s">
        <v>24</v>
      </c>
      <c r="H3710" s="84" t="str">
        <f>IFERROR(VLOOKUP(Table2[[#This Row],[Ticket]],Okey!A:B,2,0),"")</f>
        <v>ok</v>
      </c>
      <c r="I3710" s="83" t="s">
        <v>8318</v>
      </c>
      <c r="J3710" t="str">
        <f>VLOOKUP(Table2[[#This Row],[Author]],People!A:B,2,0)</f>
        <v>MGF</v>
      </c>
      <c r="L3710" s="84"/>
      <c r="M3710" s="84" t="s">
        <v>40</v>
      </c>
    </row>
    <row r="3711" spans="1:13" x14ac:dyDescent="0.25">
      <c r="A3711" s="84">
        <f>1+A3710</f>
        <v>3710</v>
      </c>
      <c r="B3711" s="83" t="s">
        <v>13</v>
      </c>
      <c r="C3711" t="s">
        <v>8862</v>
      </c>
      <c r="D3711" t="s">
        <v>3738</v>
      </c>
      <c r="E3711" s="41" t="s">
        <v>8863</v>
      </c>
      <c r="G3711" t="s">
        <v>63</v>
      </c>
      <c r="H3711" s="84" t="str">
        <f>IFERROR(VLOOKUP(Table2[[#This Row],[Ticket]],Okey!A:B,2,0),"")</f>
        <v>ok</v>
      </c>
      <c r="I3711" s="100" t="s">
        <v>8318</v>
      </c>
      <c r="J3711" t="str">
        <f>VLOOKUP(Table2[[#This Row],[Author]],People!A:B,2,0)</f>
        <v>MGF</v>
      </c>
      <c r="L3711" s="84"/>
      <c r="M3711" s="84" t="s">
        <v>7208</v>
      </c>
    </row>
    <row r="3712" spans="1:13" x14ac:dyDescent="0.25">
      <c r="A3712" s="84">
        <f>1+A3711</f>
        <v>3711</v>
      </c>
      <c r="B3712" t="s">
        <v>2330</v>
      </c>
      <c r="C3712" t="s">
        <v>8864</v>
      </c>
      <c r="D3712" t="s">
        <v>8865</v>
      </c>
      <c r="F3712" t="s">
        <v>563</v>
      </c>
      <c r="G3712" t="s">
        <v>24</v>
      </c>
      <c r="H3712" s="101" t="str">
        <f>IFERROR(VLOOKUP(Table2[[#This Row],[Ticket]],Okey!A:B,2,0),"")</f>
        <v>ok</v>
      </c>
      <c r="I3712" t="s">
        <v>8318</v>
      </c>
      <c r="J3712" t="str">
        <f>VLOOKUP(Table2[[#This Row],[Author]],People!A:B,2,0)</f>
        <v>MGF</v>
      </c>
      <c r="L3712" s="84"/>
      <c r="M3712" s="84" t="s">
        <v>7208</v>
      </c>
    </row>
    <row r="3713" spans="1:13" x14ac:dyDescent="0.25">
      <c r="A3713" s="84">
        <f t="shared" ref="A3713:A3714" si="80">1+A3712</f>
        <v>3712</v>
      </c>
      <c r="B3713" s="83" t="s">
        <v>2330</v>
      </c>
      <c r="C3713" s="83" t="s">
        <v>8864</v>
      </c>
      <c r="D3713" t="s">
        <v>8866</v>
      </c>
      <c r="F3713" t="s">
        <v>563</v>
      </c>
      <c r="G3713" s="83" t="s">
        <v>24</v>
      </c>
      <c r="H3713" s="101" t="str">
        <f>IFERROR(VLOOKUP(Table2[[#This Row],[Ticket]],Okey!A:B,2,0),"")</f>
        <v>ok</v>
      </c>
      <c r="I3713" s="105" t="s">
        <v>8318</v>
      </c>
      <c r="J3713" t="str">
        <f>VLOOKUP(Table2[[#This Row],[Author]],People!A:B,2,0)</f>
        <v>MGF</v>
      </c>
      <c r="K3713" s="105"/>
      <c r="L3713" s="101"/>
      <c r="M3713" s="84" t="s">
        <v>7208</v>
      </c>
    </row>
    <row r="3714" spans="1:13" x14ac:dyDescent="0.25">
      <c r="A3714" s="84">
        <f t="shared" si="80"/>
        <v>3713</v>
      </c>
      <c r="B3714" s="83" t="s">
        <v>2330</v>
      </c>
      <c r="C3714" s="83" t="s">
        <v>8864</v>
      </c>
      <c r="D3714" t="s">
        <v>8867</v>
      </c>
      <c r="F3714" t="s">
        <v>454</v>
      </c>
      <c r="G3714" s="83" t="s">
        <v>24</v>
      </c>
      <c r="H3714" s="101" t="str">
        <f>IFERROR(VLOOKUP(Table2[[#This Row],[Ticket]],Okey!A:B,2,0),"")</f>
        <v>ok</v>
      </c>
      <c r="I3714" s="105" t="s">
        <v>8318</v>
      </c>
      <c r="J3714" t="str">
        <f>VLOOKUP(Table2[[#This Row],[Author]],People!A:B,2,0)</f>
        <v>MGF</v>
      </c>
      <c r="K3714" s="105"/>
      <c r="L3714" s="101"/>
      <c r="M3714" s="84" t="s">
        <v>7208</v>
      </c>
    </row>
    <row r="3715" spans="1:13" x14ac:dyDescent="0.25">
      <c r="A3715" s="84">
        <f>1+A3714</f>
        <v>3714</v>
      </c>
      <c r="B3715" s="89" t="s">
        <v>2330</v>
      </c>
      <c r="C3715" t="s">
        <v>8871</v>
      </c>
      <c r="D3715" s="100" t="s">
        <v>9022</v>
      </c>
      <c r="E3715" s="86" t="s">
        <v>8868</v>
      </c>
      <c r="F3715" s="87" t="s">
        <v>803</v>
      </c>
      <c r="G3715" t="s">
        <v>18</v>
      </c>
      <c r="H3715" s="84" t="str">
        <f>IFERROR(VLOOKUP(Table2[[#This Row],[Ticket]],Okey!A:B,2,0),"")</f>
        <v>ok</v>
      </c>
      <c r="I3715" s="103" t="s">
        <v>8318</v>
      </c>
      <c r="J3715" t="str">
        <f>VLOOKUP(Table2[[#This Row],[Author]],People!A:B,2,0)</f>
        <v>MGF</v>
      </c>
      <c r="K3715" s="105"/>
      <c r="L3715" s="101"/>
      <c r="M3715" s="84" t="s">
        <v>8870</v>
      </c>
    </row>
    <row r="3716" spans="1:13" x14ac:dyDescent="0.25">
      <c r="A3716" s="84">
        <f>1+A3715</f>
        <v>3715</v>
      </c>
      <c r="B3716" s="89" t="s">
        <v>2330</v>
      </c>
      <c r="C3716" t="s">
        <v>8871</v>
      </c>
      <c r="D3716" s="88" t="s">
        <v>894</v>
      </c>
      <c r="E3716" s="89" t="s">
        <v>8869</v>
      </c>
      <c r="G3716" t="s">
        <v>63</v>
      </c>
      <c r="H3716" s="84" t="str">
        <f>IFERROR(VLOOKUP(Table2[[#This Row],[Ticket]],Okey!A:B,2,0),"")</f>
        <v>ok</v>
      </c>
      <c r="I3716" s="100" t="s">
        <v>8318</v>
      </c>
      <c r="J3716" t="str">
        <f>VLOOKUP(Table2[[#This Row],[Author]],People!A:B,2,0)</f>
        <v>MGF</v>
      </c>
      <c r="K3716" s="105"/>
      <c r="L3716" s="101"/>
      <c r="M3716" s="84" t="s">
        <v>8870</v>
      </c>
    </row>
    <row r="3717" spans="1:13" x14ac:dyDescent="0.25">
      <c r="A3717" s="84">
        <f>1+A3716</f>
        <v>3716</v>
      </c>
      <c r="B3717" s="89" t="s">
        <v>2330</v>
      </c>
      <c r="C3717" t="s">
        <v>8872</v>
      </c>
      <c r="D3717" t="s">
        <v>705</v>
      </c>
      <c r="F3717" t="s">
        <v>454</v>
      </c>
      <c r="G3717" s="89" t="s">
        <v>24</v>
      </c>
      <c r="H3717" s="101" t="str">
        <f>IFERROR(VLOOKUP(Table2[[#This Row],[Ticket]],Okey!A:B,2,0),"")</f>
        <v>ok</v>
      </c>
      <c r="I3717" s="105" t="s">
        <v>8318</v>
      </c>
      <c r="J3717" t="str">
        <f>VLOOKUP(Table2[[#This Row],[Author]],People!A:B,2,0)</f>
        <v>MGF</v>
      </c>
      <c r="K3717" s="105"/>
      <c r="L3717" s="101"/>
      <c r="M3717" s="84" t="s">
        <v>7208</v>
      </c>
    </row>
    <row r="3718" spans="1:13" x14ac:dyDescent="0.25">
      <c r="A3718" s="84">
        <f t="shared" ref="A3718:A3723" si="81">1+A3717</f>
        <v>3717</v>
      </c>
      <c r="B3718" s="89" t="s">
        <v>2330</v>
      </c>
      <c r="C3718" s="89" t="s">
        <v>8872</v>
      </c>
      <c r="D3718" t="s">
        <v>4726</v>
      </c>
      <c r="F3718" t="s">
        <v>454</v>
      </c>
      <c r="G3718" s="89" t="s">
        <v>24</v>
      </c>
      <c r="H3718" s="101" t="str">
        <f>IFERROR(VLOOKUP(Table2[[#This Row],[Ticket]],Okey!A:B,2,0),"")</f>
        <v>ok</v>
      </c>
      <c r="I3718" s="105" t="s">
        <v>8318</v>
      </c>
      <c r="J3718" t="str">
        <f>VLOOKUP(Table2[[#This Row],[Author]],People!A:B,2,0)</f>
        <v>MGF</v>
      </c>
      <c r="K3718" s="105"/>
      <c r="L3718" s="101"/>
      <c r="M3718" s="84" t="s">
        <v>7208</v>
      </c>
    </row>
    <row r="3719" spans="1:13" x14ac:dyDescent="0.25">
      <c r="A3719" s="84">
        <f t="shared" si="81"/>
        <v>3718</v>
      </c>
      <c r="B3719" s="89" t="s">
        <v>2330</v>
      </c>
      <c r="C3719" s="89" t="s">
        <v>8872</v>
      </c>
      <c r="D3719" t="s">
        <v>4728</v>
      </c>
      <c r="F3719" t="s">
        <v>454</v>
      </c>
      <c r="G3719" s="89" t="s">
        <v>24</v>
      </c>
      <c r="H3719" s="101" t="str">
        <f>IFERROR(VLOOKUP(Table2[[#This Row],[Ticket]],Okey!A:B,2,0),"")</f>
        <v>ok</v>
      </c>
      <c r="I3719" s="105" t="s">
        <v>8318</v>
      </c>
      <c r="J3719" t="str">
        <f>VLOOKUP(Table2[[#This Row],[Author]],People!A:B,2,0)</f>
        <v>MGF</v>
      </c>
      <c r="K3719" s="105"/>
      <c r="L3719" s="101"/>
      <c r="M3719" s="84" t="s">
        <v>7208</v>
      </c>
    </row>
    <row r="3720" spans="1:13" x14ac:dyDescent="0.25">
      <c r="A3720" s="84">
        <f t="shared" si="81"/>
        <v>3719</v>
      </c>
      <c r="B3720" s="89" t="s">
        <v>2330</v>
      </c>
      <c r="C3720" s="89" t="s">
        <v>8872</v>
      </c>
      <c r="D3720" t="s">
        <v>4730</v>
      </c>
      <c r="F3720" t="s">
        <v>454</v>
      </c>
      <c r="G3720" s="89" t="s">
        <v>24</v>
      </c>
      <c r="H3720" s="101" t="str">
        <f>IFERROR(VLOOKUP(Table2[[#This Row],[Ticket]],Okey!A:B,2,0),"")</f>
        <v>ok</v>
      </c>
      <c r="I3720" s="105" t="s">
        <v>8318</v>
      </c>
      <c r="J3720" t="str">
        <f>VLOOKUP(Table2[[#This Row],[Author]],People!A:B,2,0)</f>
        <v>MGF</v>
      </c>
      <c r="K3720" s="105"/>
      <c r="L3720" s="101"/>
      <c r="M3720" s="84" t="s">
        <v>7208</v>
      </c>
    </row>
    <row r="3721" spans="1:13" x14ac:dyDescent="0.25">
      <c r="A3721" s="84">
        <f t="shared" si="81"/>
        <v>3720</v>
      </c>
      <c r="B3721" s="89" t="s">
        <v>2330</v>
      </c>
      <c r="C3721" s="89" t="s">
        <v>8872</v>
      </c>
      <c r="D3721" t="s">
        <v>381</v>
      </c>
      <c r="F3721" t="s">
        <v>454</v>
      </c>
      <c r="G3721" s="89" t="s">
        <v>24</v>
      </c>
      <c r="H3721" s="101" t="str">
        <f>IFERROR(VLOOKUP(Table2[[#This Row],[Ticket]],Okey!A:B,2,0),"")</f>
        <v>ok</v>
      </c>
      <c r="I3721" s="105" t="s">
        <v>8318</v>
      </c>
      <c r="J3721" t="str">
        <f>VLOOKUP(Table2[[#This Row],[Author]],People!A:B,2,0)</f>
        <v>MGF</v>
      </c>
      <c r="K3721" s="105"/>
      <c r="L3721" s="101"/>
      <c r="M3721" s="84" t="s">
        <v>7208</v>
      </c>
    </row>
    <row r="3722" spans="1:13" x14ac:dyDescent="0.25">
      <c r="A3722" s="84">
        <f t="shared" si="81"/>
        <v>3721</v>
      </c>
      <c r="B3722" s="89" t="s">
        <v>2330</v>
      </c>
      <c r="C3722" s="89" t="s">
        <v>8872</v>
      </c>
      <c r="D3722" t="s">
        <v>380</v>
      </c>
      <c r="F3722" t="s">
        <v>454</v>
      </c>
      <c r="G3722" s="89" t="s">
        <v>24</v>
      </c>
      <c r="H3722" s="101" t="str">
        <f>IFERROR(VLOOKUP(Table2[[#This Row],[Ticket]],Okey!A:B,2,0),"")</f>
        <v>ok</v>
      </c>
      <c r="I3722" s="105" t="s">
        <v>8318</v>
      </c>
      <c r="J3722" t="str">
        <f>VLOOKUP(Table2[[#This Row],[Author]],People!A:B,2,0)</f>
        <v>MGF</v>
      </c>
      <c r="K3722" s="105"/>
      <c r="L3722" s="101"/>
      <c r="M3722" s="84" t="s">
        <v>7208</v>
      </c>
    </row>
    <row r="3723" spans="1:13" x14ac:dyDescent="0.25">
      <c r="A3723" s="84">
        <f t="shared" si="81"/>
        <v>3722</v>
      </c>
      <c r="B3723" s="89" t="s">
        <v>2330</v>
      </c>
      <c r="C3723" s="89" t="s">
        <v>8872</v>
      </c>
      <c r="D3723" t="s">
        <v>382</v>
      </c>
      <c r="F3723" t="s">
        <v>454</v>
      </c>
      <c r="G3723" s="89" t="s">
        <v>24</v>
      </c>
      <c r="H3723" s="101" t="str">
        <f>IFERROR(VLOOKUP(Table2[[#This Row],[Ticket]],Okey!A:B,2,0),"")</f>
        <v>ok</v>
      </c>
      <c r="I3723" s="105" t="s">
        <v>8318</v>
      </c>
      <c r="J3723" t="str">
        <f>VLOOKUP(Table2[[#This Row],[Author]],People!A:B,2,0)</f>
        <v>MGF</v>
      </c>
      <c r="K3723" s="105"/>
      <c r="L3723" s="101"/>
      <c r="M3723" s="84" t="s">
        <v>7208</v>
      </c>
    </row>
    <row r="3724" spans="1:13" x14ac:dyDescent="0.25">
      <c r="A3724" s="84">
        <f>1+A3723</f>
        <v>3723</v>
      </c>
      <c r="B3724" s="89" t="s">
        <v>2330</v>
      </c>
      <c r="C3724" s="89" t="s">
        <v>8873</v>
      </c>
      <c r="D3724" t="s">
        <v>472</v>
      </c>
      <c r="E3724" t="s">
        <v>9056</v>
      </c>
      <c r="G3724" t="s">
        <v>63</v>
      </c>
      <c r="H3724" s="84" t="str">
        <f>IFERROR(VLOOKUP(Table2[[#This Row],[Ticket]],Okey!A:B,2,0),"")</f>
        <v>ok</v>
      </c>
      <c r="I3724" s="105" t="s">
        <v>8318</v>
      </c>
      <c r="J3724" t="str">
        <f>VLOOKUP(Table2[[#This Row],[Author]],People!A:B,2,0)</f>
        <v>MGF</v>
      </c>
      <c r="K3724" s="105"/>
      <c r="L3724" s="101"/>
      <c r="M3724" s="84" t="s">
        <v>329</v>
      </c>
    </row>
    <row r="3725" spans="1:13" x14ac:dyDescent="0.25">
      <c r="A3725" s="84">
        <f t="shared" ref="A3725:A3728" si="82">1+A3724</f>
        <v>3724</v>
      </c>
      <c r="B3725" s="89" t="s">
        <v>2330</v>
      </c>
      <c r="C3725" s="89" t="s">
        <v>8873</v>
      </c>
      <c r="D3725" t="s">
        <v>458</v>
      </c>
      <c r="E3725" t="s">
        <v>8875</v>
      </c>
      <c r="G3725" s="89" t="s">
        <v>63</v>
      </c>
      <c r="H3725" s="84" t="str">
        <f>IFERROR(VLOOKUP(Table2[[#This Row],[Ticket]],Okey!A:B,2,0),"")</f>
        <v>ok</v>
      </c>
      <c r="I3725" s="105" t="s">
        <v>8318</v>
      </c>
      <c r="J3725" t="str">
        <f>VLOOKUP(Table2[[#This Row],[Author]],People!A:B,2,0)</f>
        <v>MGF</v>
      </c>
      <c r="K3725" s="105"/>
      <c r="L3725" s="101"/>
      <c r="M3725" s="84" t="s">
        <v>329</v>
      </c>
    </row>
    <row r="3726" spans="1:13" x14ac:dyDescent="0.25">
      <c r="A3726" s="84">
        <f t="shared" si="82"/>
        <v>3725</v>
      </c>
      <c r="B3726" s="89" t="s">
        <v>2330</v>
      </c>
      <c r="C3726" s="89" t="s">
        <v>8873</v>
      </c>
      <c r="D3726" t="s">
        <v>432</v>
      </c>
      <c r="E3726" t="s">
        <v>8876</v>
      </c>
      <c r="G3726" s="89" t="s">
        <v>63</v>
      </c>
      <c r="H3726" s="84" t="str">
        <f>IFERROR(VLOOKUP(Table2[[#This Row],[Ticket]],Okey!A:B,2,0),"")</f>
        <v>ok</v>
      </c>
      <c r="I3726" s="105" t="s">
        <v>8318</v>
      </c>
      <c r="J3726" t="str">
        <f>VLOOKUP(Table2[[#This Row],[Author]],People!A:B,2,0)</f>
        <v>MGF</v>
      </c>
      <c r="K3726" s="105"/>
      <c r="L3726" s="101"/>
      <c r="M3726" s="84" t="s">
        <v>329</v>
      </c>
    </row>
    <row r="3727" spans="1:13" x14ac:dyDescent="0.25">
      <c r="A3727" s="84">
        <f t="shared" si="82"/>
        <v>3726</v>
      </c>
      <c r="B3727" s="89" t="s">
        <v>2330</v>
      </c>
      <c r="C3727" s="89" t="s">
        <v>8873</v>
      </c>
      <c r="D3727" t="s">
        <v>434</v>
      </c>
      <c r="E3727" t="s">
        <v>8877</v>
      </c>
      <c r="G3727" s="89" t="s">
        <v>63</v>
      </c>
      <c r="H3727" s="84" t="str">
        <f>IFERROR(VLOOKUP(Table2[[#This Row],[Ticket]],Okey!A:B,2,0),"")</f>
        <v>ok</v>
      </c>
      <c r="I3727" s="105" t="s">
        <v>8318</v>
      </c>
      <c r="J3727" t="str">
        <f>VLOOKUP(Table2[[#This Row],[Author]],People!A:B,2,0)</f>
        <v>MGF</v>
      </c>
      <c r="K3727" s="105"/>
      <c r="L3727" s="101"/>
      <c r="M3727" s="84" t="s">
        <v>329</v>
      </c>
    </row>
    <row r="3728" spans="1:13" x14ac:dyDescent="0.25">
      <c r="A3728" s="84">
        <f t="shared" si="82"/>
        <v>3727</v>
      </c>
      <c r="B3728" s="89" t="s">
        <v>2330</v>
      </c>
      <c r="C3728" s="89" t="s">
        <v>8873</v>
      </c>
      <c r="D3728" t="s">
        <v>434</v>
      </c>
      <c r="E3728" t="s">
        <v>8878</v>
      </c>
      <c r="G3728" s="89" t="s">
        <v>63</v>
      </c>
      <c r="H3728" s="84" t="str">
        <f>IFERROR(VLOOKUP(Table2[[#This Row],[Ticket]],Okey!A:B,2,0),"")</f>
        <v>ok</v>
      </c>
      <c r="I3728" t="s">
        <v>8046</v>
      </c>
      <c r="J3728" t="str">
        <f>VLOOKUP(Table2[[#This Row],[Author]],People!A:B,2,0)</f>
        <v>MGF</v>
      </c>
      <c r="K3728" t="s">
        <v>9046</v>
      </c>
      <c r="L3728" s="101" t="s">
        <v>9045</v>
      </c>
      <c r="M3728" s="84" t="s">
        <v>329</v>
      </c>
    </row>
    <row r="3729" spans="1:13" x14ac:dyDescent="0.25">
      <c r="A3729" s="84">
        <f t="shared" ref="A3729:A3730" si="83">1+A3728</f>
        <v>3728</v>
      </c>
      <c r="B3729" s="89" t="s">
        <v>2330</v>
      </c>
      <c r="C3729" s="89" t="s">
        <v>8873</v>
      </c>
      <c r="D3729" t="s">
        <v>464</v>
      </c>
      <c r="E3729" t="s">
        <v>8879</v>
      </c>
      <c r="F3729" t="s">
        <v>458</v>
      </c>
      <c r="G3729" t="s">
        <v>496</v>
      </c>
      <c r="H3729" s="84" t="str">
        <f>IFERROR(VLOOKUP(Table2[[#This Row],[Ticket]],Okey!A:B,2,0),"")</f>
        <v>ok</v>
      </c>
      <c r="I3729" s="105" t="s">
        <v>8318</v>
      </c>
      <c r="J3729" t="str">
        <f>VLOOKUP(Table2[[#This Row],[Author]],People!A:B,2,0)</f>
        <v>MGF</v>
      </c>
      <c r="K3729" s="105"/>
      <c r="L3729" s="101"/>
      <c r="M3729" s="84" t="s">
        <v>329</v>
      </c>
    </row>
    <row r="3730" spans="1:13" x14ac:dyDescent="0.25">
      <c r="A3730" s="84">
        <f t="shared" si="83"/>
        <v>3729</v>
      </c>
      <c r="B3730" s="89" t="s">
        <v>2330</v>
      </c>
      <c r="C3730" s="89" t="s">
        <v>8873</v>
      </c>
      <c r="D3730" t="s">
        <v>470</v>
      </c>
      <c r="E3730" t="s">
        <v>8880</v>
      </c>
      <c r="F3730" t="s">
        <v>464</v>
      </c>
      <c r="G3730" s="89" t="s">
        <v>496</v>
      </c>
      <c r="H3730" s="84" t="str">
        <f>IFERROR(VLOOKUP(Table2[[#This Row],[Ticket]],Okey!A:B,2,0),"")</f>
        <v>ok</v>
      </c>
      <c r="I3730" s="105" t="s">
        <v>8318</v>
      </c>
      <c r="J3730" t="str">
        <f>VLOOKUP(Table2[[#This Row],[Author]],People!A:B,2,0)</f>
        <v>MGF</v>
      </c>
      <c r="K3730" s="105"/>
      <c r="L3730" s="101"/>
      <c r="M3730" s="84" t="s">
        <v>329</v>
      </c>
    </row>
    <row r="3731" spans="1:13" x14ac:dyDescent="0.25">
      <c r="A3731" s="84">
        <f>1+A3730</f>
        <v>3730</v>
      </c>
      <c r="B3731" s="90" t="s">
        <v>2330</v>
      </c>
      <c r="C3731" t="s">
        <v>8881</v>
      </c>
      <c r="D3731" t="s">
        <v>3154</v>
      </c>
      <c r="E3731" t="s">
        <v>8882</v>
      </c>
      <c r="G3731" t="s">
        <v>63</v>
      </c>
      <c r="H3731" s="84" t="str">
        <f>IFERROR(VLOOKUP(Table2[[#This Row],[Ticket]],Okey!A:B,2,0),"")</f>
        <v>ok</v>
      </c>
      <c r="I3731" s="105" t="s">
        <v>8318</v>
      </c>
      <c r="J3731" t="str">
        <f>VLOOKUP(Table2[[#This Row],[Author]],People!A:B,2,0)</f>
        <v>EL</v>
      </c>
      <c r="K3731" s="105"/>
      <c r="L3731" s="101"/>
      <c r="M3731" s="84" t="s">
        <v>9004</v>
      </c>
    </row>
    <row r="3732" spans="1:13" x14ac:dyDescent="0.25">
      <c r="A3732" s="84">
        <f t="shared" ref="A3732:A3733" si="84">1+A3731</f>
        <v>3731</v>
      </c>
      <c r="B3732" s="90" t="s">
        <v>2330</v>
      </c>
      <c r="C3732" s="90" t="s">
        <v>8881</v>
      </c>
      <c r="D3732" t="s">
        <v>3156</v>
      </c>
      <c r="E3732" t="s">
        <v>8883</v>
      </c>
      <c r="G3732" s="90" t="s">
        <v>63</v>
      </c>
      <c r="H3732" s="84" t="str">
        <f>IFERROR(VLOOKUP(Table2[[#This Row],[Ticket]],Okey!A:B,2,0),"")</f>
        <v>ok</v>
      </c>
      <c r="I3732" s="105" t="s">
        <v>8318</v>
      </c>
      <c r="J3732" t="str">
        <f>VLOOKUP(Table2[[#This Row],[Author]],People!A:B,2,0)</f>
        <v>EL</v>
      </c>
      <c r="K3732" s="105"/>
      <c r="L3732" s="101"/>
      <c r="M3732" s="97" t="s">
        <v>9004</v>
      </c>
    </row>
    <row r="3733" spans="1:13" x14ac:dyDescent="0.25">
      <c r="A3733" s="84">
        <f t="shared" si="84"/>
        <v>3732</v>
      </c>
      <c r="B3733" s="90" t="s">
        <v>2330</v>
      </c>
      <c r="C3733" s="90" t="s">
        <v>8881</v>
      </c>
      <c r="D3733" t="s">
        <v>3158</v>
      </c>
      <c r="E3733" t="s">
        <v>8884</v>
      </c>
      <c r="G3733" s="90" t="s">
        <v>63</v>
      </c>
      <c r="H3733" s="84" t="str">
        <f>IFERROR(VLOOKUP(Table2[[#This Row],[Ticket]],Okey!A:B,2,0),"")</f>
        <v>ok</v>
      </c>
      <c r="I3733" s="105" t="s">
        <v>8318</v>
      </c>
      <c r="J3733" t="str">
        <f>VLOOKUP(Table2[[#This Row],[Author]],People!A:B,2,0)</f>
        <v>EL</v>
      </c>
      <c r="K3733" s="105"/>
      <c r="L3733" s="101"/>
      <c r="M3733" s="97" t="s">
        <v>9004</v>
      </c>
    </row>
    <row r="3734" spans="1:13" x14ac:dyDescent="0.25">
      <c r="A3734" s="91">
        <f>1+A3733</f>
        <v>3733</v>
      </c>
      <c r="B3734" s="90" t="s">
        <v>2330</v>
      </c>
      <c r="C3734" t="s">
        <v>8885</v>
      </c>
      <c r="D3734" s="100" t="s">
        <v>9024</v>
      </c>
      <c r="E3734" t="s">
        <v>8886</v>
      </c>
      <c r="F3734" t="s">
        <v>4574</v>
      </c>
      <c r="G3734" t="s">
        <v>18</v>
      </c>
      <c r="H3734" s="91" t="str">
        <f>IFERROR(VLOOKUP(Table2[[#This Row],[Ticket]],Okey!A:B,2,0),"")</f>
        <v>ok</v>
      </c>
      <c r="I3734" s="100" t="s">
        <v>8318</v>
      </c>
      <c r="J3734" t="str">
        <f>VLOOKUP(Table2[[#This Row],[Author]],People!A:B,2,0)</f>
        <v>LS</v>
      </c>
      <c r="L3734" s="101"/>
      <c r="M3734" s="91" t="s">
        <v>8165</v>
      </c>
    </row>
    <row r="3735" spans="1:13" x14ac:dyDescent="0.25">
      <c r="A3735" s="91">
        <f t="shared" ref="A3735:A3740" si="85">1+A3734</f>
        <v>3734</v>
      </c>
      <c r="B3735" s="90" t="s">
        <v>2330</v>
      </c>
      <c r="C3735" s="90" t="s">
        <v>8885</v>
      </c>
      <c r="D3735" s="100" t="s">
        <v>9025</v>
      </c>
      <c r="E3735" t="s">
        <v>8887</v>
      </c>
      <c r="F3735" t="s">
        <v>4520</v>
      </c>
      <c r="G3735" s="90" t="s">
        <v>18</v>
      </c>
      <c r="H3735" s="91" t="str">
        <f>IFERROR(VLOOKUP(Table2[[#This Row],[Ticket]],Okey!A:B,2,0),"")</f>
        <v>ok</v>
      </c>
      <c r="I3735" s="105" t="s">
        <v>8318</v>
      </c>
      <c r="J3735" t="str">
        <f>VLOOKUP(Table2[[#This Row],[Author]],People!A:B,2,0)</f>
        <v>LS</v>
      </c>
      <c r="K3735" s="105"/>
      <c r="L3735" s="101"/>
      <c r="M3735" s="101" t="s">
        <v>8165</v>
      </c>
    </row>
    <row r="3736" spans="1:13" x14ac:dyDescent="0.25">
      <c r="A3736" s="91">
        <f t="shared" si="85"/>
        <v>3735</v>
      </c>
      <c r="B3736" s="90" t="s">
        <v>2330</v>
      </c>
      <c r="C3736" s="90" t="s">
        <v>8885</v>
      </c>
      <c r="D3736" s="100" t="s">
        <v>9026</v>
      </c>
      <c r="E3736" t="s">
        <v>8888</v>
      </c>
      <c r="F3736" t="s">
        <v>4645</v>
      </c>
      <c r="G3736" s="90" t="s">
        <v>18</v>
      </c>
      <c r="H3736" s="91" t="str">
        <f>IFERROR(VLOOKUP(Table2[[#This Row],[Ticket]],Okey!A:B,2,0),"")</f>
        <v>ok</v>
      </c>
      <c r="I3736" s="105" t="s">
        <v>8318</v>
      </c>
      <c r="J3736" t="str">
        <f>VLOOKUP(Table2[[#This Row],[Author]],People!A:B,2,0)</f>
        <v>LS</v>
      </c>
      <c r="K3736" s="105"/>
      <c r="L3736" s="101"/>
      <c r="M3736" s="101" t="s">
        <v>8165</v>
      </c>
    </row>
    <row r="3737" spans="1:13" x14ac:dyDescent="0.25">
      <c r="A3737" s="91">
        <f t="shared" si="85"/>
        <v>3736</v>
      </c>
      <c r="B3737" s="90" t="s">
        <v>2330</v>
      </c>
      <c r="C3737" s="90" t="s">
        <v>8885</v>
      </c>
      <c r="D3737" s="100" t="s">
        <v>9027</v>
      </c>
      <c r="E3737" t="s">
        <v>8889</v>
      </c>
      <c r="F3737" t="s">
        <v>4645</v>
      </c>
      <c r="G3737" s="90" t="s">
        <v>18</v>
      </c>
      <c r="H3737" s="91" t="str">
        <f>IFERROR(VLOOKUP(Table2[[#This Row],[Ticket]],Okey!A:B,2,0),"")</f>
        <v>ok</v>
      </c>
      <c r="I3737" s="105" t="s">
        <v>8318</v>
      </c>
      <c r="J3737" t="str">
        <f>VLOOKUP(Table2[[#This Row],[Author]],People!A:B,2,0)</f>
        <v>LS</v>
      </c>
      <c r="K3737" s="105"/>
      <c r="L3737" s="101"/>
      <c r="M3737" s="101" t="s">
        <v>8165</v>
      </c>
    </row>
    <row r="3738" spans="1:13" x14ac:dyDescent="0.25">
      <c r="A3738" s="91">
        <f t="shared" si="85"/>
        <v>3737</v>
      </c>
      <c r="B3738" s="90" t="s">
        <v>2330</v>
      </c>
      <c r="C3738" s="90" t="s">
        <v>8885</v>
      </c>
      <c r="D3738" s="100" t="s">
        <v>9028</v>
      </c>
      <c r="E3738" t="s">
        <v>8890</v>
      </c>
      <c r="F3738" t="s">
        <v>5093</v>
      </c>
      <c r="G3738" s="90" t="s">
        <v>18</v>
      </c>
      <c r="H3738" s="91" t="str">
        <f>IFERROR(VLOOKUP(Table2[[#This Row],[Ticket]],Okey!A:B,2,0),"")</f>
        <v>ok</v>
      </c>
      <c r="I3738" s="105" t="s">
        <v>8318</v>
      </c>
      <c r="J3738" t="str">
        <f>VLOOKUP(Table2[[#This Row],[Author]],People!A:B,2,0)</f>
        <v>LS</v>
      </c>
      <c r="K3738" s="105"/>
      <c r="L3738" s="101"/>
      <c r="M3738" s="101" t="s">
        <v>8165</v>
      </c>
    </row>
    <row r="3739" spans="1:13" x14ac:dyDescent="0.25">
      <c r="A3739" s="91">
        <f t="shared" si="85"/>
        <v>3738</v>
      </c>
      <c r="B3739" s="90" t="s">
        <v>2330</v>
      </c>
      <c r="C3739" s="90" t="s">
        <v>8885</v>
      </c>
      <c r="D3739" s="100" t="s">
        <v>9029</v>
      </c>
      <c r="E3739" t="s">
        <v>8891</v>
      </c>
      <c r="F3739" t="s">
        <v>5093</v>
      </c>
      <c r="G3739" s="90" t="s">
        <v>18</v>
      </c>
      <c r="H3739" s="91" t="str">
        <f>IFERROR(VLOOKUP(Table2[[#This Row],[Ticket]],Okey!A:B,2,0),"")</f>
        <v>ok</v>
      </c>
      <c r="I3739" s="105" t="s">
        <v>8318</v>
      </c>
      <c r="J3739" t="str">
        <f>VLOOKUP(Table2[[#This Row],[Author]],People!A:B,2,0)</f>
        <v>LS</v>
      </c>
      <c r="K3739" s="105"/>
      <c r="L3739" s="101"/>
      <c r="M3739" s="101" t="s">
        <v>8165</v>
      </c>
    </row>
    <row r="3740" spans="1:13" x14ac:dyDescent="0.25">
      <c r="A3740" s="91">
        <f t="shared" si="85"/>
        <v>3739</v>
      </c>
      <c r="B3740" s="90" t="s">
        <v>2330</v>
      </c>
      <c r="C3740" s="90" t="s">
        <v>8885</v>
      </c>
      <c r="D3740" s="100" t="s">
        <v>9030</v>
      </c>
      <c r="E3740" t="s">
        <v>8892</v>
      </c>
      <c r="F3740" t="s">
        <v>8297</v>
      </c>
      <c r="G3740" s="90" t="s">
        <v>18</v>
      </c>
      <c r="H3740" s="91" t="str">
        <f>IFERROR(VLOOKUP(Table2[[#This Row],[Ticket]],Okey!A:B,2,0),"")</f>
        <v>ok</v>
      </c>
      <c r="I3740" s="105" t="s">
        <v>8318</v>
      </c>
      <c r="J3740" t="str">
        <f>VLOOKUP(Table2[[#This Row],[Author]],People!A:B,2,0)</f>
        <v>LS</v>
      </c>
      <c r="K3740" s="105"/>
      <c r="L3740" s="101"/>
      <c r="M3740" s="101" t="s">
        <v>8165</v>
      </c>
    </row>
    <row r="3741" spans="1:13" x14ac:dyDescent="0.25">
      <c r="A3741" s="91">
        <f t="shared" ref="A3741:A3742" si="86">1+A3740</f>
        <v>3740</v>
      </c>
      <c r="B3741" s="90" t="s">
        <v>2330</v>
      </c>
      <c r="C3741" s="90" t="s">
        <v>8885</v>
      </c>
      <c r="D3741" t="s">
        <v>8172</v>
      </c>
      <c r="E3741" t="s">
        <v>8894</v>
      </c>
      <c r="G3741" s="90" t="s">
        <v>63</v>
      </c>
      <c r="H3741" s="91" t="str">
        <f>IFERROR(VLOOKUP(Table2[[#This Row],[Ticket]],Okey!A:B,2,0),"")</f>
        <v>ok</v>
      </c>
      <c r="I3741" s="105" t="s">
        <v>8318</v>
      </c>
      <c r="J3741" t="str">
        <f>VLOOKUP(Table2[[#This Row],[Author]],People!A:B,2,0)</f>
        <v>LS</v>
      </c>
      <c r="K3741" s="105"/>
      <c r="L3741" s="101"/>
      <c r="M3741" s="101" t="s">
        <v>8165</v>
      </c>
    </row>
    <row r="3742" spans="1:13" x14ac:dyDescent="0.25">
      <c r="A3742" s="91">
        <f t="shared" si="86"/>
        <v>3741</v>
      </c>
      <c r="B3742" s="90" t="s">
        <v>2330</v>
      </c>
      <c r="C3742" s="90" t="s">
        <v>8885</v>
      </c>
      <c r="D3742" t="s">
        <v>8214</v>
      </c>
      <c r="E3742" t="s">
        <v>8893</v>
      </c>
      <c r="G3742" s="90" t="s">
        <v>63</v>
      </c>
      <c r="H3742" s="91" t="str">
        <f>IFERROR(VLOOKUP(Table2[[#This Row],[Ticket]],Okey!A:B,2,0),"")</f>
        <v>ok</v>
      </c>
      <c r="I3742" s="105" t="s">
        <v>8318</v>
      </c>
      <c r="J3742" t="str">
        <f>VLOOKUP(Table2[[#This Row],[Author]],People!A:B,2,0)</f>
        <v>LS</v>
      </c>
      <c r="K3742" s="105"/>
      <c r="L3742" s="101"/>
      <c r="M3742" s="101" t="s">
        <v>8165</v>
      </c>
    </row>
    <row r="3743" spans="1:13" x14ac:dyDescent="0.25">
      <c r="A3743" s="91">
        <f t="shared" ref="A3743:A3757" si="87">1+A3742</f>
        <v>3742</v>
      </c>
      <c r="B3743" s="90" t="s">
        <v>2330</v>
      </c>
      <c r="C3743" s="90" t="s">
        <v>8885</v>
      </c>
      <c r="D3743" t="s">
        <v>2709</v>
      </c>
      <c r="E3743" t="s">
        <v>8896</v>
      </c>
      <c r="F3743" s="100" t="s">
        <v>9026</v>
      </c>
      <c r="G3743" t="s">
        <v>496</v>
      </c>
      <c r="H3743" s="91" t="str">
        <f>IFERROR(VLOOKUP(Table2[[#This Row],[Ticket]],Okey!A:B,2,0),"")</f>
        <v>ok</v>
      </c>
      <c r="I3743" s="105" t="s">
        <v>8318</v>
      </c>
      <c r="J3743" t="str">
        <f>VLOOKUP(Table2[[#This Row],[Author]],People!A:B,2,0)</f>
        <v>LS</v>
      </c>
      <c r="K3743" s="105"/>
      <c r="L3743" s="101"/>
      <c r="M3743" s="101" t="s">
        <v>8165</v>
      </c>
    </row>
    <row r="3744" spans="1:13" x14ac:dyDescent="0.25">
      <c r="A3744" s="91">
        <f t="shared" si="87"/>
        <v>3743</v>
      </c>
      <c r="B3744" s="90" t="s">
        <v>2330</v>
      </c>
      <c r="C3744" s="90" t="s">
        <v>8885</v>
      </c>
      <c r="D3744" t="s">
        <v>6754</v>
      </c>
      <c r="E3744" t="s">
        <v>8897</v>
      </c>
      <c r="F3744" s="100" t="s">
        <v>9026</v>
      </c>
      <c r="G3744" s="90" t="s">
        <v>496</v>
      </c>
      <c r="H3744" s="91" t="str">
        <f>IFERROR(VLOOKUP(Table2[[#This Row],[Ticket]],Okey!A:B,2,0),"")</f>
        <v>ok</v>
      </c>
      <c r="I3744" s="105" t="s">
        <v>8318</v>
      </c>
      <c r="J3744" t="str">
        <f>VLOOKUP(Table2[[#This Row],[Author]],People!A:B,2,0)</f>
        <v>LS</v>
      </c>
      <c r="K3744" s="105"/>
      <c r="L3744" s="101"/>
      <c r="M3744" s="101" t="s">
        <v>8165</v>
      </c>
    </row>
    <row r="3745" spans="1:13" x14ac:dyDescent="0.25">
      <c r="A3745" s="91">
        <f t="shared" si="87"/>
        <v>3744</v>
      </c>
      <c r="B3745" s="90" t="s">
        <v>2330</v>
      </c>
      <c r="C3745" s="90" t="s">
        <v>8885</v>
      </c>
      <c r="D3745" t="s">
        <v>6756</v>
      </c>
      <c r="E3745" t="s">
        <v>8898</v>
      </c>
      <c r="F3745" s="100" t="s">
        <v>9027</v>
      </c>
      <c r="G3745" s="90" t="s">
        <v>496</v>
      </c>
      <c r="H3745" s="91" t="str">
        <f>IFERROR(VLOOKUP(Table2[[#This Row],[Ticket]],Okey!A:B,2,0),"")</f>
        <v>ok</v>
      </c>
      <c r="I3745" s="105" t="s">
        <v>8318</v>
      </c>
      <c r="J3745" t="str">
        <f>VLOOKUP(Table2[[#This Row],[Author]],People!A:B,2,0)</f>
        <v>LS</v>
      </c>
      <c r="K3745" s="105"/>
      <c r="L3745" s="101"/>
      <c r="M3745" s="101" t="s">
        <v>8165</v>
      </c>
    </row>
    <row r="3746" spans="1:13" x14ac:dyDescent="0.25">
      <c r="A3746" s="91">
        <f t="shared" si="87"/>
        <v>3745</v>
      </c>
      <c r="B3746" s="90" t="s">
        <v>2330</v>
      </c>
      <c r="C3746" s="90" t="s">
        <v>8885</v>
      </c>
      <c r="D3746" t="s">
        <v>6760</v>
      </c>
      <c r="E3746" t="s">
        <v>8899</v>
      </c>
      <c r="F3746" s="100" t="s">
        <v>9027</v>
      </c>
      <c r="G3746" s="90" t="s">
        <v>496</v>
      </c>
      <c r="H3746" s="91" t="str">
        <f>IFERROR(VLOOKUP(Table2[[#This Row],[Ticket]],Okey!A:B,2,0),"")</f>
        <v>ok</v>
      </c>
      <c r="I3746" s="105" t="s">
        <v>8318</v>
      </c>
      <c r="J3746" t="str">
        <f>VLOOKUP(Table2[[#This Row],[Author]],People!A:B,2,0)</f>
        <v>LS</v>
      </c>
      <c r="K3746" s="105"/>
      <c r="L3746" s="101"/>
      <c r="M3746" s="101" t="s">
        <v>8165</v>
      </c>
    </row>
    <row r="3747" spans="1:13" x14ac:dyDescent="0.25">
      <c r="A3747" s="91">
        <f t="shared" si="87"/>
        <v>3746</v>
      </c>
      <c r="B3747" s="90" t="s">
        <v>2330</v>
      </c>
      <c r="C3747" s="90" t="s">
        <v>8885</v>
      </c>
      <c r="D3747" t="s">
        <v>8895</v>
      </c>
      <c r="E3747" t="s">
        <v>8900</v>
      </c>
      <c r="F3747" s="100" t="s">
        <v>9028</v>
      </c>
      <c r="G3747" s="90" t="s">
        <v>496</v>
      </c>
      <c r="H3747" s="91" t="str">
        <f>IFERROR(VLOOKUP(Table2[[#This Row],[Ticket]],Okey!A:B,2,0),"")</f>
        <v>ok</v>
      </c>
      <c r="I3747" s="105" t="s">
        <v>8318</v>
      </c>
      <c r="J3747" t="str">
        <f>VLOOKUP(Table2[[#This Row],[Author]],People!A:B,2,0)</f>
        <v>LS</v>
      </c>
      <c r="K3747" s="105"/>
      <c r="L3747" s="101"/>
      <c r="M3747" s="101" t="s">
        <v>8165</v>
      </c>
    </row>
    <row r="3748" spans="1:13" x14ac:dyDescent="0.25">
      <c r="A3748" s="91">
        <f t="shared" si="87"/>
        <v>3747</v>
      </c>
      <c r="B3748" s="90" t="s">
        <v>2330</v>
      </c>
      <c r="C3748" s="90" t="s">
        <v>8885</v>
      </c>
      <c r="D3748" t="s">
        <v>8217</v>
      </c>
      <c r="E3748" t="s">
        <v>8307</v>
      </c>
      <c r="F3748" t="s">
        <v>8301</v>
      </c>
      <c r="G3748" s="90" t="s">
        <v>496</v>
      </c>
      <c r="H3748" s="91" t="str">
        <f>IFERROR(VLOOKUP(Table2[[#This Row],[Ticket]],Okey!A:B,2,0),"")</f>
        <v>ok</v>
      </c>
      <c r="I3748" s="105" t="s">
        <v>8318</v>
      </c>
      <c r="J3748" t="str">
        <f>VLOOKUP(Table2[[#This Row],[Author]],People!A:B,2,0)</f>
        <v>LS</v>
      </c>
      <c r="K3748" s="105"/>
      <c r="L3748" s="101"/>
      <c r="M3748" s="101" t="s">
        <v>8165</v>
      </c>
    </row>
    <row r="3749" spans="1:13" x14ac:dyDescent="0.25">
      <c r="A3749" s="91">
        <f t="shared" si="87"/>
        <v>3748</v>
      </c>
      <c r="B3749" s="90" t="s">
        <v>2330</v>
      </c>
      <c r="C3749" s="90" t="s">
        <v>8885</v>
      </c>
      <c r="D3749" t="s">
        <v>2722</v>
      </c>
      <c r="E3749" t="s">
        <v>8309</v>
      </c>
      <c r="F3749" t="s">
        <v>2492</v>
      </c>
      <c r="G3749" s="90" t="s">
        <v>496</v>
      </c>
      <c r="H3749" s="91" t="str">
        <f>IFERROR(VLOOKUP(Table2[[#This Row],[Ticket]],Okey!A:B,2,0),"")</f>
        <v>ok</v>
      </c>
      <c r="I3749" s="105" t="s">
        <v>8318</v>
      </c>
      <c r="J3749" t="str">
        <f>VLOOKUP(Table2[[#This Row],[Author]],People!A:B,2,0)</f>
        <v>LS</v>
      </c>
      <c r="K3749" s="105"/>
      <c r="L3749" s="101"/>
      <c r="M3749" s="101" t="s">
        <v>8165</v>
      </c>
    </row>
    <row r="3750" spans="1:13" x14ac:dyDescent="0.25">
      <c r="A3750" s="91">
        <f t="shared" si="87"/>
        <v>3749</v>
      </c>
      <c r="B3750" s="90" t="s">
        <v>2330</v>
      </c>
      <c r="C3750" s="90" t="s">
        <v>8885</v>
      </c>
      <c r="D3750" t="s">
        <v>2324</v>
      </c>
      <c r="E3750" t="s">
        <v>8310</v>
      </c>
      <c r="F3750" t="s">
        <v>8301</v>
      </c>
      <c r="G3750" s="90" t="s">
        <v>496</v>
      </c>
      <c r="H3750" s="91" t="str">
        <f>IFERROR(VLOOKUP(Table2[[#This Row],[Ticket]],Okey!A:B,2,0),"")</f>
        <v>ok</v>
      </c>
      <c r="I3750" s="105" t="s">
        <v>8318</v>
      </c>
      <c r="J3750" t="str">
        <f>VLOOKUP(Table2[[#This Row],[Author]],People!A:B,2,0)</f>
        <v>LS</v>
      </c>
      <c r="K3750" s="105"/>
      <c r="L3750" s="101"/>
      <c r="M3750" s="101" t="s">
        <v>8165</v>
      </c>
    </row>
    <row r="3751" spans="1:13" x14ac:dyDescent="0.25">
      <c r="A3751" s="91">
        <f t="shared" si="87"/>
        <v>3750</v>
      </c>
      <c r="B3751" s="90" t="s">
        <v>2330</v>
      </c>
      <c r="C3751" s="90" t="s">
        <v>8885</v>
      </c>
      <c r="D3751" t="s">
        <v>8219</v>
      </c>
      <c r="E3751" t="s">
        <v>8311</v>
      </c>
      <c r="F3751" t="s">
        <v>8301</v>
      </c>
      <c r="G3751" s="90" t="s">
        <v>496</v>
      </c>
      <c r="H3751" s="91" t="str">
        <f>IFERROR(VLOOKUP(Table2[[#This Row],[Ticket]],Okey!A:B,2,0),"")</f>
        <v>ok</v>
      </c>
      <c r="I3751" s="105" t="s">
        <v>8318</v>
      </c>
      <c r="J3751" t="str">
        <f>VLOOKUP(Table2[[#This Row],[Author]],People!A:B,2,0)</f>
        <v>LS</v>
      </c>
      <c r="K3751" s="105"/>
      <c r="L3751" s="101"/>
      <c r="M3751" s="101" t="s">
        <v>8165</v>
      </c>
    </row>
    <row r="3752" spans="1:13" x14ac:dyDescent="0.25">
      <c r="A3752" s="91">
        <f t="shared" si="87"/>
        <v>3751</v>
      </c>
      <c r="B3752" s="90" t="s">
        <v>2330</v>
      </c>
      <c r="C3752" s="90" t="s">
        <v>8885</v>
      </c>
      <c r="D3752" t="s">
        <v>8220</v>
      </c>
      <c r="E3752" t="s">
        <v>8312</v>
      </c>
      <c r="F3752" t="s">
        <v>8169</v>
      </c>
      <c r="G3752" s="90" t="s">
        <v>496</v>
      </c>
      <c r="H3752" s="91" t="str">
        <f>IFERROR(VLOOKUP(Table2[[#This Row],[Ticket]],Okey!A:B,2,0),"")</f>
        <v>ok</v>
      </c>
      <c r="I3752" s="105" t="s">
        <v>8318</v>
      </c>
      <c r="J3752" t="str">
        <f>VLOOKUP(Table2[[#This Row],[Author]],People!A:B,2,0)</f>
        <v>LS</v>
      </c>
      <c r="K3752" s="105"/>
      <c r="L3752" s="101"/>
      <c r="M3752" s="101" t="s">
        <v>8165</v>
      </c>
    </row>
    <row r="3753" spans="1:13" x14ac:dyDescent="0.25">
      <c r="A3753" s="91">
        <f t="shared" si="87"/>
        <v>3752</v>
      </c>
      <c r="B3753" s="90" t="s">
        <v>2330</v>
      </c>
      <c r="C3753" s="90" t="s">
        <v>8885</v>
      </c>
      <c r="D3753" t="s">
        <v>8221</v>
      </c>
      <c r="E3753" t="s">
        <v>8313</v>
      </c>
      <c r="F3753" t="s">
        <v>2722</v>
      </c>
      <c r="G3753" s="90" t="s">
        <v>496</v>
      </c>
      <c r="H3753" s="91" t="str">
        <f>IFERROR(VLOOKUP(Table2[[#This Row],[Ticket]],Okey!A:B,2,0),"")</f>
        <v>ok</v>
      </c>
      <c r="I3753" s="105" t="s">
        <v>8318</v>
      </c>
      <c r="J3753" t="str">
        <f>VLOOKUP(Table2[[#This Row],[Author]],People!A:B,2,0)</f>
        <v>LS</v>
      </c>
      <c r="K3753" s="105"/>
      <c r="L3753" s="101"/>
      <c r="M3753" s="101" t="s">
        <v>8165</v>
      </c>
    </row>
    <row r="3754" spans="1:13" x14ac:dyDescent="0.25">
      <c r="A3754" s="91">
        <f t="shared" si="87"/>
        <v>3753</v>
      </c>
      <c r="B3754" s="90" t="s">
        <v>2330</v>
      </c>
      <c r="C3754" s="90" t="s">
        <v>8885</v>
      </c>
      <c r="D3754" t="s">
        <v>5089</v>
      </c>
      <c r="E3754" t="s">
        <v>8314</v>
      </c>
      <c r="F3754" t="s">
        <v>2722</v>
      </c>
      <c r="G3754" s="90" t="s">
        <v>496</v>
      </c>
      <c r="H3754" s="91" t="str">
        <f>IFERROR(VLOOKUP(Table2[[#This Row],[Ticket]],Okey!A:B,2,0),"")</f>
        <v>ok</v>
      </c>
      <c r="I3754" s="105" t="s">
        <v>8318</v>
      </c>
      <c r="J3754" t="str">
        <f>VLOOKUP(Table2[[#This Row],[Author]],People!A:B,2,0)</f>
        <v>LS</v>
      </c>
      <c r="K3754" s="105"/>
      <c r="L3754" s="101"/>
      <c r="M3754" s="101" t="s">
        <v>8165</v>
      </c>
    </row>
    <row r="3755" spans="1:13" x14ac:dyDescent="0.25">
      <c r="A3755" s="91">
        <f t="shared" si="87"/>
        <v>3754</v>
      </c>
      <c r="B3755" s="90" t="s">
        <v>2330</v>
      </c>
      <c r="C3755" s="90" t="s">
        <v>8885</v>
      </c>
      <c r="D3755" t="s">
        <v>5091</v>
      </c>
      <c r="E3755" t="s">
        <v>8315</v>
      </c>
      <c r="F3755" t="s">
        <v>2722</v>
      </c>
      <c r="G3755" s="90" t="s">
        <v>496</v>
      </c>
      <c r="H3755" s="91" t="str">
        <f>IFERROR(VLOOKUP(Table2[[#This Row],[Ticket]],Okey!A:B,2,0),"")</f>
        <v>ok</v>
      </c>
      <c r="I3755" s="105" t="s">
        <v>8318</v>
      </c>
      <c r="J3755" t="str">
        <f>VLOOKUP(Table2[[#This Row],[Author]],People!A:B,2,0)</f>
        <v>LS</v>
      </c>
      <c r="K3755" s="105"/>
      <c r="L3755" s="101"/>
      <c r="M3755" s="101" t="s">
        <v>8165</v>
      </c>
    </row>
    <row r="3756" spans="1:13" x14ac:dyDescent="0.25">
      <c r="A3756" s="91">
        <f t="shared" si="87"/>
        <v>3755</v>
      </c>
      <c r="B3756" s="90" t="s">
        <v>2330</v>
      </c>
      <c r="C3756" s="90" t="s">
        <v>8885</v>
      </c>
      <c r="D3756" t="s">
        <v>8222</v>
      </c>
      <c r="E3756" t="s">
        <v>8316</v>
      </c>
      <c r="F3756" t="s">
        <v>8301</v>
      </c>
      <c r="G3756" s="90" t="s">
        <v>496</v>
      </c>
      <c r="H3756" s="91" t="str">
        <f>IFERROR(VLOOKUP(Table2[[#This Row],[Ticket]],Okey!A:B,2,0),"")</f>
        <v>ok</v>
      </c>
      <c r="I3756" s="105" t="s">
        <v>8318</v>
      </c>
      <c r="J3756" t="str">
        <f>VLOOKUP(Table2[[#This Row],[Author]],People!A:B,2,0)</f>
        <v>LS</v>
      </c>
      <c r="K3756" s="105"/>
      <c r="L3756" s="101"/>
      <c r="M3756" s="101" t="s">
        <v>8165</v>
      </c>
    </row>
    <row r="3757" spans="1:13" x14ac:dyDescent="0.25">
      <c r="A3757" s="91">
        <f t="shared" si="87"/>
        <v>3756</v>
      </c>
      <c r="B3757" s="90" t="s">
        <v>2330</v>
      </c>
      <c r="C3757" s="90" t="s">
        <v>8885</v>
      </c>
      <c r="D3757" t="s">
        <v>3680</v>
      </c>
      <c r="E3757" t="s">
        <v>8317</v>
      </c>
      <c r="F3757" t="s">
        <v>2722</v>
      </c>
      <c r="G3757" s="90" t="s">
        <v>496</v>
      </c>
      <c r="H3757" s="91" t="str">
        <f>IFERROR(VLOOKUP(Table2[[#This Row],[Ticket]],Okey!A:B,2,0),"")</f>
        <v>ok</v>
      </c>
      <c r="I3757" s="105" t="s">
        <v>8318</v>
      </c>
      <c r="J3757" t="str">
        <f>VLOOKUP(Table2[[#This Row],[Author]],People!A:B,2,0)</f>
        <v>LS</v>
      </c>
      <c r="K3757" s="105"/>
      <c r="L3757" s="101"/>
      <c r="M3757" s="101" t="s">
        <v>8165</v>
      </c>
    </row>
    <row r="3758" spans="1:13" x14ac:dyDescent="0.25">
      <c r="A3758" s="91">
        <f t="shared" ref="A3758:A3774" si="88">1+A3757</f>
        <v>3757</v>
      </c>
      <c r="B3758" s="90" t="s">
        <v>2330</v>
      </c>
      <c r="C3758" s="90" t="s">
        <v>8885</v>
      </c>
      <c r="D3758" t="s">
        <v>1412</v>
      </c>
      <c r="F3758" s="100" t="s">
        <v>9024</v>
      </c>
      <c r="G3758" t="s">
        <v>24</v>
      </c>
      <c r="H3758" s="91" t="str">
        <f>IFERROR(VLOOKUP(Table2[[#This Row],[Ticket]],Okey!A:B,2,0),"")</f>
        <v>ok</v>
      </c>
      <c r="I3758" s="105" t="s">
        <v>8318</v>
      </c>
      <c r="J3758" t="str">
        <f>VLOOKUP(Table2[[#This Row],[Author]],People!A:B,2,0)</f>
        <v>LS</v>
      </c>
      <c r="K3758" s="105"/>
      <c r="L3758" s="101"/>
      <c r="M3758" s="101" t="s">
        <v>8165</v>
      </c>
    </row>
    <row r="3759" spans="1:13" x14ac:dyDescent="0.25">
      <c r="A3759" s="91">
        <f t="shared" si="88"/>
        <v>3758</v>
      </c>
      <c r="B3759" s="90" t="s">
        <v>2330</v>
      </c>
      <c r="C3759" s="90" t="s">
        <v>8885</v>
      </c>
      <c r="D3759" t="s">
        <v>8901</v>
      </c>
      <c r="F3759" t="s">
        <v>8291</v>
      </c>
      <c r="G3759" s="92" t="s">
        <v>24</v>
      </c>
      <c r="H3759" s="91" t="str">
        <f>IFERROR(VLOOKUP(Table2[[#This Row],[Ticket]],Okey!A:B,2,0),"")</f>
        <v>ok</v>
      </c>
      <c r="I3759" s="105" t="s">
        <v>8318</v>
      </c>
      <c r="J3759" t="str">
        <f>VLOOKUP(Table2[[#This Row],[Author]],People!A:B,2,0)</f>
        <v>LS</v>
      </c>
      <c r="K3759" s="105"/>
      <c r="L3759" s="101"/>
      <c r="M3759" s="101" t="s">
        <v>8165</v>
      </c>
    </row>
    <row r="3760" spans="1:13" x14ac:dyDescent="0.25">
      <c r="A3760" s="91">
        <f t="shared" si="88"/>
        <v>3759</v>
      </c>
      <c r="B3760" s="90" t="s">
        <v>2330</v>
      </c>
      <c r="C3760" s="90" t="s">
        <v>8885</v>
      </c>
      <c r="D3760" t="s">
        <v>8902</v>
      </c>
      <c r="F3760" s="100" t="s">
        <v>9028</v>
      </c>
      <c r="G3760" s="92" t="s">
        <v>24</v>
      </c>
      <c r="H3760" s="91" t="str">
        <f>IFERROR(VLOOKUP(Table2[[#This Row],[Ticket]],Okey!A:B,2,0),"")</f>
        <v>ok</v>
      </c>
      <c r="I3760" s="105" t="s">
        <v>8318</v>
      </c>
      <c r="J3760" t="str">
        <f>VLOOKUP(Table2[[#This Row],[Author]],People!A:B,2,0)</f>
        <v>LS</v>
      </c>
      <c r="K3760" s="105"/>
      <c r="L3760" s="101"/>
      <c r="M3760" s="101" t="s">
        <v>8165</v>
      </c>
    </row>
    <row r="3761" spans="1:13" x14ac:dyDescent="0.25">
      <c r="A3761" s="91">
        <f t="shared" si="88"/>
        <v>3760</v>
      </c>
      <c r="B3761" s="90" t="s">
        <v>2330</v>
      </c>
      <c r="C3761" s="90" t="s">
        <v>8885</v>
      </c>
      <c r="D3761" t="s">
        <v>5001</v>
      </c>
      <c r="F3761" s="100" t="s">
        <v>9028</v>
      </c>
      <c r="G3761" s="92" t="s">
        <v>24</v>
      </c>
      <c r="H3761" s="91" t="str">
        <f>IFERROR(VLOOKUP(Table2[[#This Row],[Ticket]],Okey!A:B,2,0),"")</f>
        <v>ok</v>
      </c>
      <c r="I3761" s="105" t="s">
        <v>8318</v>
      </c>
      <c r="J3761" t="str">
        <f>VLOOKUP(Table2[[#This Row],[Author]],People!A:B,2,0)</f>
        <v>LS</v>
      </c>
      <c r="K3761" s="105"/>
      <c r="L3761" s="101"/>
      <c r="M3761" s="101" t="s">
        <v>8165</v>
      </c>
    </row>
    <row r="3762" spans="1:13" x14ac:dyDescent="0.25">
      <c r="A3762" s="91">
        <f t="shared" si="88"/>
        <v>3761</v>
      </c>
      <c r="B3762" s="90" t="s">
        <v>2330</v>
      </c>
      <c r="C3762" s="90" t="s">
        <v>8885</v>
      </c>
      <c r="D3762" t="s">
        <v>8696</v>
      </c>
      <c r="F3762" t="s">
        <v>8287</v>
      </c>
      <c r="G3762" s="92" t="s">
        <v>24</v>
      </c>
      <c r="H3762" s="91" t="str">
        <f>IFERROR(VLOOKUP(Table2[[#This Row],[Ticket]],Okey!A:B,2,0),"")</f>
        <v>ok</v>
      </c>
      <c r="I3762" s="105" t="s">
        <v>8318</v>
      </c>
      <c r="J3762" t="str">
        <f>VLOOKUP(Table2[[#This Row],[Author]],People!A:B,2,0)</f>
        <v>LS</v>
      </c>
      <c r="K3762" s="105"/>
      <c r="L3762" s="101"/>
      <c r="M3762" s="101" t="s">
        <v>8165</v>
      </c>
    </row>
    <row r="3763" spans="1:13" x14ac:dyDescent="0.25">
      <c r="A3763" s="91">
        <f t="shared" si="88"/>
        <v>3762</v>
      </c>
      <c r="B3763" s="90" t="s">
        <v>2330</v>
      </c>
      <c r="C3763" s="90" t="s">
        <v>8885</v>
      </c>
      <c r="D3763" t="s">
        <v>2623</v>
      </c>
      <c r="F3763" t="s">
        <v>2556</v>
      </c>
      <c r="G3763" s="92" t="s">
        <v>24</v>
      </c>
      <c r="H3763" s="91" t="str">
        <f>IFERROR(VLOOKUP(Table2[[#This Row],[Ticket]],Okey!A:B,2,0),"")</f>
        <v>ok</v>
      </c>
      <c r="I3763" s="105" t="s">
        <v>8318</v>
      </c>
      <c r="J3763" t="str">
        <f>VLOOKUP(Table2[[#This Row],[Author]],People!A:B,2,0)</f>
        <v>LS</v>
      </c>
      <c r="K3763" s="105"/>
      <c r="L3763" s="101"/>
      <c r="M3763" s="101" t="s">
        <v>8165</v>
      </c>
    </row>
    <row r="3764" spans="1:13" x14ac:dyDescent="0.25">
      <c r="A3764" s="91">
        <f t="shared" si="88"/>
        <v>3763</v>
      </c>
      <c r="B3764" s="90" t="s">
        <v>2330</v>
      </c>
      <c r="C3764" s="90" t="s">
        <v>8885</v>
      </c>
      <c r="D3764" t="s">
        <v>8658</v>
      </c>
      <c r="F3764" t="s">
        <v>1313</v>
      </c>
      <c r="G3764" s="92" t="s">
        <v>24</v>
      </c>
      <c r="H3764" s="91" t="str">
        <f>IFERROR(VLOOKUP(Table2[[#This Row],[Ticket]],Okey!A:B,2,0),"")</f>
        <v>ok</v>
      </c>
      <c r="I3764" s="105" t="s">
        <v>8318</v>
      </c>
      <c r="J3764" t="str">
        <f>VLOOKUP(Table2[[#This Row],[Author]],People!A:B,2,0)</f>
        <v>LS</v>
      </c>
      <c r="K3764" s="105"/>
      <c r="L3764" s="101"/>
      <c r="M3764" s="101" t="s">
        <v>8165</v>
      </c>
    </row>
    <row r="3765" spans="1:13" x14ac:dyDescent="0.25">
      <c r="A3765" s="91">
        <f t="shared" si="88"/>
        <v>3764</v>
      </c>
      <c r="B3765" s="90" t="s">
        <v>2330</v>
      </c>
      <c r="C3765" s="90" t="s">
        <v>8885</v>
      </c>
      <c r="D3765" t="s">
        <v>6736</v>
      </c>
      <c r="F3765" t="s">
        <v>8298</v>
      </c>
      <c r="G3765" s="92" t="s">
        <v>24</v>
      </c>
      <c r="H3765" s="91" t="str">
        <f>IFERROR(VLOOKUP(Table2[[#This Row],[Ticket]],Okey!A:B,2,0),"")</f>
        <v>ok</v>
      </c>
      <c r="I3765" s="105" t="s">
        <v>8318</v>
      </c>
      <c r="J3765" t="str">
        <f>VLOOKUP(Table2[[#This Row],[Author]],People!A:B,2,0)</f>
        <v>LS</v>
      </c>
      <c r="K3765" s="105"/>
      <c r="L3765" s="101"/>
      <c r="M3765" s="101" t="s">
        <v>8165</v>
      </c>
    </row>
    <row r="3766" spans="1:13" x14ac:dyDescent="0.25">
      <c r="A3766" s="91">
        <f t="shared" si="88"/>
        <v>3765</v>
      </c>
      <c r="B3766" s="90" t="s">
        <v>2330</v>
      </c>
      <c r="C3766" s="90" t="s">
        <v>8885</v>
      </c>
      <c r="D3766" t="s">
        <v>4645</v>
      </c>
      <c r="F3766" t="s">
        <v>8297</v>
      </c>
      <c r="G3766" s="92" t="s">
        <v>24</v>
      </c>
      <c r="H3766" s="91" t="str">
        <f>IFERROR(VLOOKUP(Table2[[#This Row],[Ticket]],Okey!A:B,2,0),"")</f>
        <v>ok</v>
      </c>
      <c r="I3766" s="105" t="s">
        <v>8318</v>
      </c>
      <c r="J3766" t="str">
        <f>VLOOKUP(Table2[[#This Row],[Author]],People!A:B,2,0)</f>
        <v>LS</v>
      </c>
      <c r="K3766" s="105"/>
      <c r="L3766" s="101"/>
      <c r="M3766" s="101" t="s">
        <v>8165</v>
      </c>
    </row>
    <row r="3767" spans="1:13" x14ac:dyDescent="0.25">
      <c r="A3767" s="91">
        <f t="shared" si="88"/>
        <v>3766</v>
      </c>
      <c r="B3767" s="90" t="s">
        <v>2330</v>
      </c>
      <c r="C3767" s="90" t="s">
        <v>8885</v>
      </c>
      <c r="D3767" t="s">
        <v>8218</v>
      </c>
      <c r="F3767" t="s">
        <v>8169</v>
      </c>
      <c r="G3767" s="92" t="s">
        <v>24</v>
      </c>
      <c r="H3767" s="91" t="str">
        <f>IFERROR(VLOOKUP(Table2[[#This Row],[Ticket]],Okey!A:B,2,0),"")</f>
        <v>ok</v>
      </c>
      <c r="I3767" s="105" t="s">
        <v>8318</v>
      </c>
      <c r="J3767" t="str">
        <f>VLOOKUP(Table2[[#This Row],[Author]],People!A:B,2,0)</f>
        <v>LS</v>
      </c>
      <c r="K3767" s="105"/>
      <c r="L3767" s="101"/>
      <c r="M3767" s="101" t="s">
        <v>8165</v>
      </c>
    </row>
    <row r="3768" spans="1:13" x14ac:dyDescent="0.25">
      <c r="A3768" s="91">
        <f t="shared" si="88"/>
        <v>3767</v>
      </c>
      <c r="B3768" s="90" t="s">
        <v>2330</v>
      </c>
      <c r="C3768" s="90" t="s">
        <v>8885</v>
      </c>
      <c r="D3768" t="s">
        <v>6762</v>
      </c>
      <c r="F3768" t="s">
        <v>8296</v>
      </c>
      <c r="G3768" s="92" t="s">
        <v>24</v>
      </c>
      <c r="H3768" s="91" t="str">
        <f>IFERROR(VLOOKUP(Table2[[#This Row],[Ticket]],Okey!A:B,2,0),"")</f>
        <v>ok</v>
      </c>
      <c r="I3768" s="105" t="s">
        <v>8318</v>
      </c>
      <c r="J3768" t="str">
        <f>VLOOKUP(Table2[[#This Row],[Author]],People!A:B,2,0)</f>
        <v>LS</v>
      </c>
      <c r="K3768" s="105"/>
      <c r="L3768" s="101"/>
      <c r="M3768" s="101" t="s">
        <v>8165</v>
      </c>
    </row>
    <row r="3769" spans="1:13" x14ac:dyDescent="0.25">
      <c r="A3769" s="91">
        <f t="shared" si="88"/>
        <v>3768</v>
      </c>
      <c r="B3769" s="90" t="s">
        <v>2330</v>
      </c>
      <c r="C3769" s="90" t="s">
        <v>8885</v>
      </c>
      <c r="D3769" t="s">
        <v>6257</v>
      </c>
      <c r="F3769" t="s">
        <v>8295</v>
      </c>
      <c r="G3769" s="92" t="s">
        <v>24</v>
      </c>
      <c r="H3769" s="91" t="str">
        <f>IFERROR(VLOOKUP(Table2[[#This Row],[Ticket]],Okey!A:B,2,0),"")</f>
        <v>ok</v>
      </c>
      <c r="I3769" s="105" t="s">
        <v>8318</v>
      </c>
      <c r="J3769" t="str">
        <f>VLOOKUP(Table2[[#This Row],[Author]],People!A:B,2,0)</f>
        <v>LS</v>
      </c>
      <c r="K3769" s="105"/>
      <c r="L3769" s="101"/>
      <c r="M3769" s="101" t="s">
        <v>8165</v>
      </c>
    </row>
    <row r="3770" spans="1:13" x14ac:dyDescent="0.25">
      <c r="A3770" s="91">
        <f t="shared" si="88"/>
        <v>3769</v>
      </c>
      <c r="B3770" s="90" t="s">
        <v>2330</v>
      </c>
      <c r="C3770" s="90" t="s">
        <v>8885</v>
      </c>
      <c r="D3770" t="s">
        <v>2425</v>
      </c>
      <c r="F3770" t="s">
        <v>8299</v>
      </c>
      <c r="G3770" s="92" t="s">
        <v>24</v>
      </c>
      <c r="H3770" s="91" t="str">
        <f>IFERROR(VLOOKUP(Table2[[#This Row],[Ticket]],Okey!A:B,2,0),"")</f>
        <v>ok</v>
      </c>
      <c r="I3770" s="105" t="s">
        <v>8318</v>
      </c>
      <c r="J3770" t="str">
        <f>VLOOKUP(Table2[[#This Row],[Author]],People!A:B,2,0)</f>
        <v>LS</v>
      </c>
      <c r="K3770" s="105"/>
      <c r="L3770" s="101"/>
      <c r="M3770" s="101" t="s">
        <v>8165</v>
      </c>
    </row>
    <row r="3771" spans="1:13" x14ac:dyDescent="0.25">
      <c r="A3771" s="91">
        <f t="shared" si="88"/>
        <v>3770</v>
      </c>
      <c r="B3771" s="90" t="s">
        <v>2330</v>
      </c>
      <c r="C3771" s="90" t="s">
        <v>8885</v>
      </c>
      <c r="D3771" t="s">
        <v>5085</v>
      </c>
      <c r="F3771" t="s">
        <v>8298</v>
      </c>
      <c r="G3771" s="92" t="s">
        <v>24</v>
      </c>
      <c r="H3771" s="91" t="str">
        <f>IFERROR(VLOOKUP(Table2[[#This Row],[Ticket]],Okey!A:B,2,0),"")</f>
        <v>ok</v>
      </c>
      <c r="I3771" s="105" t="s">
        <v>8318</v>
      </c>
      <c r="J3771" t="str">
        <f>VLOOKUP(Table2[[#This Row],[Author]],People!A:B,2,0)</f>
        <v>LS</v>
      </c>
      <c r="K3771" s="105"/>
      <c r="L3771" s="101"/>
      <c r="M3771" s="101" t="s">
        <v>8165</v>
      </c>
    </row>
    <row r="3772" spans="1:13" x14ac:dyDescent="0.25">
      <c r="A3772" s="91">
        <f t="shared" si="88"/>
        <v>3771</v>
      </c>
      <c r="B3772" s="90" t="s">
        <v>2330</v>
      </c>
      <c r="C3772" s="90" t="s">
        <v>8885</v>
      </c>
      <c r="D3772" t="s">
        <v>5087</v>
      </c>
      <c r="F3772" t="s">
        <v>8299</v>
      </c>
      <c r="G3772" s="92" t="s">
        <v>24</v>
      </c>
      <c r="H3772" s="91" t="str">
        <f>IFERROR(VLOOKUP(Table2[[#This Row],[Ticket]],Okey!A:B,2,0),"")</f>
        <v>ok</v>
      </c>
      <c r="I3772" s="105" t="s">
        <v>8318</v>
      </c>
      <c r="J3772" t="str">
        <f>VLOOKUP(Table2[[#This Row],[Author]],People!A:B,2,0)</f>
        <v>LS</v>
      </c>
      <c r="K3772" s="105"/>
      <c r="L3772" s="101"/>
      <c r="M3772" s="101" t="s">
        <v>8165</v>
      </c>
    </row>
    <row r="3773" spans="1:13" x14ac:dyDescent="0.25">
      <c r="A3773" s="91">
        <f t="shared" si="88"/>
        <v>3772</v>
      </c>
      <c r="B3773" s="90" t="s">
        <v>2330</v>
      </c>
      <c r="C3773" s="90" t="s">
        <v>8885</v>
      </c>
      <c r="D3773" t="s">
        <v>5180</v>
      </c>
      <c r="F3773" t="s">
        <v>8296</v>
      </c>
      <c r="G3773" s="92" t="s">
        <v>24</v>
      </c>
      <c r="H3773" s="91" t="str">
        <f>IFERROR(VLOOKUP(Table2[[#This Row],[Ticket]],Okey!A:B,2,0),"")</f>
        <v>ok</v>
      </c>
      <c r="I3773" s="105" t="s">
        <v>8318</v>
      </c>
      <c r="J3773" t="str">
        <f>VLOOKUP(Table2[[#This Row],[Author]],People!A:B,2,0)</f>
        <v>LS</v>
      </c>
      <c r="K3773" s="105"/>
      <c r="L3773" s="101"/>
      <c r="M3773" s="101" t="s">
        <v>8165</v>
      </c>
    </row>
    <row r="3774" spans="1:13" x14ac:dyDescent="0.25">
      <c r="A3774" s="91">
        <f t="shared" si="88"/>
        <v>3773</v>
      </c>
      <c r="B3774" s="90" t="s">
        <v>2330</v>
      </c>
      <c r="C3774" s="90" t="s">
        <v>8885</v>
      </c>
      <c r="D3774" t="s">
        <v>5093</v>
      </c>
      <c r="F3774" t="s">
        <v>8297</v>
      </c>
      <c r="G3774" s="92" t="s">
        <v>24</v>
      </c>
      <c r="H3774" s="91" t="str">
        <f>IFERROR(VLOOKUP(Table2[[#This Row],[Ticket]],Okey!A:B,2,0),"")</f>
        <v>ok</v>
      </c>
      <c r="I3774" s="105" t="s">
        <v>8318</v>
      </c>
      <c r="J3774" t="str">
        <f>VLOOKUP(Table2[[#This Row],[Author]],People!A:B,2,0)</f>
        <v>LS</v>
      </c>
      <c r="K3774" s="105"/>
      <c r="L3774" s="101"/>
      <c r="M3774" s="101" t="s">
        <v>8165</v>
      </c>
    </row>
    <row r="3775" spans="1:13" x14ac:dyDescent="0.25">
      <c r="A3775" s="91">
        <f>1+A3774</f>
        <v>3774</v>
      </c>
      <c r="B3775" s="90" t="s">
        <v>2330</v>
      </c>
      <c r="C3775" s="90" t="s">
        <v>8885</v>
      </c>
      <c r="D3775" t="s">
        <v>2325</v>
      </c>
      <c r="F3775" t="s">
        <v>2493</v>
      </c>
      <c r="G3775" s="92" t="s">
        <v>24</v>
      </c>
      <c r="H3775" s="91" t="str">
        <f>IFERROR(VLOOKUP(Table2[[#This Row],[Ticket]],Okey!A:B,2,0),"")</f>
        <v>ok</v>
      </c>
      <c r="I3775" s="105" t="s">
        <v>8318</v>
      </c>
      <c r="J3775" t="str">
        <f>VLOOKUP(Table2[[#This Row],[Author]],People!A:B,2,0)</f>
        <v>LS</v>
      </c>
      <c r="K3775" s="105"/>
      <c r="L3775" s="101"/>
      <c r="M3775" s="101" t="s">
        <v>8165</v>
      </c>
    </row>
    <row r="3776" spans="1:13" x14ac:dyDescent="0.25">
      <c r="A3776" s="91">
        <f>1+A3775</f>
        <v>3775</v>
      </c>
      <c r="B3776" s="92" t="s">
        <v>2330</v>
      </c>
      <c r="C3776" t="s">
        <v>8903</v>
      </c>
      <c r="D3776" s="100" t="s">
        <v>9023</v>
      </c>
      <c r="E3776" s="92" t="s">
        <v>8904</v>
      </c>
      <c r="F3776" t="s">
        <v>797</v>
      </c>
      <c r="G3776" t="s">
        <v>18</v>
      </c>
      <c r="H3776" s="91" t="str">
        <f>IFERROR(VLOOKUP(Table2[[#This Row],[Ticket]],Okey!A:B,2,0),"")</f>
        <v>ok</v>
      </c>
      <c r="I3776" s="105" t="s">
        <v>8318</v>
      </c>
      <c r="J3776" t="str">
        <f>VLOOKUP(Table2[[#This Row],[Author]],People!A:B,2,0)</f>
        <v>MGF</v>
      </c>
      <c r="K3776" s="105"/>
      <c r="L3776" s="101"/>
      <c r="M3776" s="97" t="s">
        <v>761</v>
      </c>
    </row>
    <row r="3777" spans="1:13" x14ac:dyDescent="0.25">
      <c r="A3777" s="93">
        <f t="shared" ref="A3777:A3781" si="89">1+A3776</f>
        <v>3776</v>
      </c>
      <c r="B3777" s="96" t="s">
        <v>2330</v>
      </c>
      <c r="C3777" t="s">
        <v>9003</v>
      </c>
      <c r="D3777" s="100" t="s">
        <v>9031</v>
      </c>
      <c r="E3777" t="s">
        <v>8905</v>
      </c>
      <c r="F3777" t="s">
        <v>1751</v>
      </c>
      <c r="G3777" s="92" t="s">
        <v>18</v>
      </c>
      <c r="H3777" s="93" t="str">
        <f>IFERROR(VLOOKUP(Table2[[#This Row],[Ticket]],Okey!A:B,2,0),"")</f>
        <v>ok</v>
      </c>
      <c r="I3777" s="105" t="s">
        <v>8318</v>
      </c>
      <c r="J3777" t="str">
        <f>VLOOKUP(Table2[[#This Row],[Author]],People!A:B,2,0)</f>
        <v>EL</v>
      </c>
      <c r="K3777" s="105"/>
      <c r="L3777" s="101"/>
      <c r="M3777" s="97" t="s">
        <v>8497</v>
      </c>
    </row>
    <row r="3778" spans="1:13" x14ac:dyDescent="0.25">
      <c r="A3778" s="93">
        <f t="shared" si="89"/>
        <v>3777</v>
      </c>
      <c r="B3778" s="96" t="s">
        <v>2330</v>
      </c>
      <c r="C3778" s="96" t="s">
        <v>9003</v>
      </c>
      <c r="D3778" s="100" t="s">
        <v>9032</v>
      </c>
      <c r="E3778" t="s">
        <v>8906</v>
      </c>
      <c r="F3778" s="100" t="s">
        <v>9031</v>
      </c>
      <c r="G3778" s="92" t="s">
        <v>18</v>
      </c>
      <c r="H3778" s="93" t="str">
        <f>IFERROR(VLOOKUP(Table2[[#This Row],[Ticket]],Okey!A:B,2,0),"")</f>
        <v>ok</v>
      </c>
      <c r="I3778" s="105" t="s">
        <v>8318</v>
      </c>
      <c r="J3778" t="str">
        <f>VLOOKUP(Table2[[#This Row],[Author]],People!A:B,2,0)</f>
        <v>EL</v>
      </c>
      <c r="K3778" s="105"/>
      <c r="L3778" s="101"/>
      <c r="M3778" s="97" t="s">
        <v>8497</v>
      </c>
    </row>
    <row r="3779" spans="1:13" x14ac:dyDescent="0.25">
      <c r="A3779" s="93">
        <f t="shared" si="89"/>
        <v>3778</v>
      </c>
      <c r="B3779" s="96" t="s">
        <v>2330</v>
      </c>
      <c r="C3779" s="96" t="s">
        <v>9003</v>
      </c>
      <c r="D3779" s="100" t="s">
        <v>9033</v>
      </c>
      <c r="E3779" t="s">
        <v>8907</v>
      </c>
      <c r="F3779" s="100" t="s">
        <v>9031</v>
      </c>
      <c r="G3779" s="92" t="s">
        <v>18</v>
      </c>
      <c r="H3779" s="93" t="str">
        <f>IFERROR(VLOOKUP(Table2[[#This Row],[Ticket]],Okey!A:B,2,0),"")</f>
        <v>ok</v>
      </c>
      <c r="I3779" s="105" t="s">
        <v>8318</v>
      </c>
      <c r="J3779" t="str">
        <f>VLOOKUP(Table2[[#This Row],[Author]],People!A:B,2,0)</f>
        <v>EL</v>
      </c>
      <c r="K3779" s="105"/>
      <c r="L3779" s="101"/>
      <c r="M3779" s="97" t="s">
        <v>8497</v>
      </c>
    </row>
    <row r="3780" spans="1:13" x14ac:dyDescent="0.25">
      <c r="A3780" s="93">
        <f t="shared" si="89"/>
        <v>3779</v>
      </c>
      <c r="B3780" s="96" t="s">
        <v>2330</v>
      </c>
      <c r="C3780" s="96" t="s">
        <v>9003</v>
      </c>
      <c r="D3780" s="100" t="s">
        <v>9034</v>
      </c>
      <c r="E3780" t="s">
        <v>8908</v>
      </c>
      <c r="F3780" s="100" t="s">
        <v>9031</v>
      </c>
      <c r="G3780" s="92" t="s">
        <v>18</v>
      </c>
      <c r="H3780" s="93" t="str">
        <f>IFERROR(VLOOKUP(Table2[[#This Row],[Ticket]],Okey!A:B,2,0),"")</f>
        <v>ok</v>
      </c>
      <c r="I3780" s="105" t="s">
        <v>8318</v>
      </c>
      <c r="J3780" t="str">
        <f>VLOOKUP(Table2[[#This Row],[Author]],People!A:B,2,0)</f>
        <v>EL</v>
      </c>
      <c r="K3780" s="105"/>
      <c r="L3780" s="101"/>
      <c r="M3780" s="97" t="s">
        <v>8497</v>
      </c>
    </row>
    <row r="3781" spans="1:13" x14ac:dyDescent="0.25">
      <c r="A3781" s="93">
        <f t="shared" si="89"/>
        <v>3780</v>
      </c>
      <c r="B3781" s="96" t="s">
        <v>2330</v>
      </c>
      <c r="C3781" s="96" t="s">
        <v>9003</v>
      </c>
      <c r="D3781" s="100" t="s">
        <v>9035</v>
      </c>
      <c r="E3781" t="s">
        <v>8909</v>
      </c>
      <c r="F3781" s="100" t="s">
        <v>9031</v>
      </c>
      <c r="G3781" s="92" t="s">
        <v>18</v>
      </c>
      <c r="H3781" s="93" t="str">
        <f>IFERROR(VLOOKUP(Table2[[#This Row],[Ticket]],Okey!A:B,2,0),"")</f>
        <v>ok</v>
      </c>
      <c r="I3781" s="105" t="s">
        <v>8318</v>
      </c>
      <c r="J3781" t="str">
        <f>VLOOKUP(Table2[[#This Row],[Author]],People!A:B,2,0)</f>
        <v>EL</v>
      </c>
      <c r="K3781" s="105"/>
      <c r="L3781" s="101"/>
      <c r="M3781" s="97" t="s">
        <v>8497</v>
      </c>
    </row>
    <row r="3782" spans="1:13" x14ac:dyDescent="0.25">
      <c r="A3782" s="95">
        <f>1+A3781</f>
        <v>3781</v>
      </c>
      <c r="B3782" s="96" t="s">
        <v>2330</v>
      </c>
      <c r="C3782" s="96" t="s">
        <v>9003</v>
      </c>
      <c r="D3782" s="94" t="s">
        <v>8378</v>
      </c>
      <c r="F3782" s="96" t="s">
        <v>5747</v>
      </c>
      <c r="G3782" t="s">
        <v>24</v>
      </c>
      <c r="H3782" s="101" t="str">
        <f>IFERROR(VLOOKUP(Table2[[#This Row],[Ticket]],Okey!A:B,2,0),"")</f>
        <v>ok</v>
      </c>
      <c r="I3782" s="105" t="s">
        <v>8318</v>
      </c>
      <c r="J3782" t="str">
        <f>VLOOKUP(Table2[[#This Row],[Author]],People!A:B,2,0)</f>
        <v>EL</v>
      </c>
      <c r="K3782" s="105"/>
      <c r="L3782" s="101"/>
      <c r="M3782" s="97" t="s">
        <v>8497</v>
      </c>
    </row>
    <row r="3783" spans="1:13" x14ac:dyDescent="0.25">
      <c r="A3783" s="97">
        <f t="shared" ref="A3783:A3798" si="90">1+A3782</f>
        <v>3782</v>
      </c>
      <c r="B3783" s="96" t="s">
        <v>2330</v>
      </c>
      <c r="C3783" s="96" t="s">
        <v>9003</v>
      </c>
      <c r="D3783" t="s">
        <v>4823</v>
      </c>
      <c r="F3783" t="s">
        <v>327</v>
      </c>
      <c r="G3783" t="s">
        <v>328</v>
      </c>
      <c r="H3783" s="97" t="str">
        <f>IFERROR(VLOOKUP(Table2[[#This Row],[Ticket]],Okey!A:B,2,0),"")</f>
        <v>ok</v>
      </c>
      <c r="I3783" s="103" t="s">
        <v>8318</v>
      </c>
      <c r="J3783" t="str">
        <f>VLOOKUP(Table2[[#This Row],[Author]],People!A:B,2,0)</f>
        <v>EL</v>
      </c>
      <c r="L3783" s="101"/>
      <c r="M3783" s="97" t="s">
        <v>8497</v>
      </c>
    </row>
    <row r="3784" spans="1:13" x14ac:dyDescent="0.25">
      <c r="A3784" s="97">
        <f t="shared" si="90"/>
        <v>3783</v>
      </c>
      <c r="B3784" s="96" t="s">
        <v>2330</v>
      </c>
      <c r="C3784" s="96" t="s">
        <v>9003</v>
      </c>
      <c r="D3784" t="s">
        <v>4821</v>
      </c>
      <c r="F3784" s="103" t="s">
        <v>327</v>
      </c>
      <c r="G3784" s="96" t="s">
        <v>328</v>
      </c>
      <c r="H3784" s="97" t="str">
        <f>IFERROR(VLOOKUP(Table2[[#This Row],[Ticket]],Okey!A:B,2,0),"")</f>
        <v>ok</v>
      </c>
      <c r="I3784" s="105" t="s">
        <v>8318</v>
      </c>
      <c r="J3784" t="str">
        <f>VLOOKUP(Table2[[#This Row],[Author]],People!A:B,2,0)</f>
        <v>EL</v>
      </c>
      <c r="L3784" s="101"/>
      <c r="M3784" s="97" t="s">
        <v>8497</v>
      </c>
    </row>
    <row r="3785" spans="1:13" x14ac:dyDescent="0.25">
      <c r="A3785" s="97">
        <f t="shared" si="90"/>
        <v>3784</v>
      </c>
      <c r="B3785" s="96" t="s">
        <v>2330</v>
      </c>
      <c r="C3785" s="96" t="s">
        <v>9003</v>
      </c>
      <c r="D3785" t="s">
        <v>5219</v>
      </c>
      <c r="F3785" s="103" t="s">
        <v>327</v>
      </c>
      <c r="G3785" s="96" t="s">
        <v>328</v>
      </c>
      <c r="H3785" s="97" t="str">
        <f>IFERROR(VLOOKUP(Table2[[#This Row],[Ticket]],Okey!A:B,2,0),"")</f>
        <v>ok</v>
      </c>
      <c r="I3785" s="105" t="s">
        <v>8318</v>
      </c>
      <c r="J3785" t="str">
        <f>VLOOKUP(Table2[[#This Row],[Author]],People!A:B,2,0)</f>
        <v>EL</v>
      </c>
      <c r="L3785" s="101"/>
      <c r="M3785" s="97" t="s">
        <v>8497</v>
      </c>
    </row>
    <row r="3786" spans="1:13" x14ac:dyDescent="0.25">
      <c r="A3786" s="97">
        <f t="shared" si="90"/>
        <v>3785</v>
      </c>
      <c r="B3786" s="96" t="s">
        <v>2330</v>
      </c>
      <c r="C3786" s="96" t="s">
        <v>9003</v>
      </c>
      <c r="D3786" t="s">
        <v>5541</v>
      </c>
      <c r="F3786" s="103" t="s">
        <v>327</v>
      </c>
      <c r="G3786" s="96" t="s">
        <v>328</v>
      </c>
      <c r="H3786" s="97" t="str">
        <f>IFERROR(VLOOKUP(Table2[[#This Row],[Ticket]],Okey!A:B,2,0),"")</f>
        <v>ok</v>
      </c>
      <c r="I3786" s="105" t="s">
        <v>8318</v>
      </c>
      <c r="J3786" t="str">
        <f>VLOOKUP(Table2[[#This Row],[Author]],People!A:B,2,0)</f>
        <v>EL</v>
      </c>
      <c r="L3786" s="101"/>
      <c r="M3786" s="97" t="s">
        <v>8497</v>
      </c>
    </row>
    <row r="3787" spans="1:13" x14ac:dyDescent="0.25">
      <c r="A3787" s="97">
        <f t="shared" si="90"/>
        <v>3786</v>
      </c>
      <c r="B3787" s="96" t="s">
        <v>2330</v>
      </c>
      <c r="C3787" s="96" t="s">
        <v>9003</v>
      </c>
      <c r="D3787" t="s">
        <v>5217</v>
      </c>
      <c r="F3787" s="103" t="s">
        <v>327</v>
      </c>
      <c r="G3787" s="96" t="s">
        <v>328</v>
      </c>
      <c r="H3787" s="97" t="str">
        <f>IFERROR(VLOOKUP(Table2[[#This Row],[Ticket]],Okey!A:B,2,0),"")</f>
        <v>ok</v>
      </c>
      <c r="I3787" s="105" t="s">
        <v>8318</v>
      </c>
      <c r="J3787" t="str">
        <f>VLOOKUP(Table2[[#This Row],[Author]],People!A:B,2,0)</f>
        <v>EL</v>
      </c>
      <c r="L3787" s="101"/>
      <c r="M3787" s="97" t="s">
        <v>8497</v>
      </c>
    </row>
    <row r="3788" spans="1:13" x14ac:dyDescent="0.25">
      <c r="A3788" s="97">
        <f t="shared" si="90"/>
        <v>3787</v>
      </c>
      <c r="B3788" s="96" t="s">
        <v>2330</v>
      </c>
      <c r="C3788" s="96" t="s">
        <v>9003</v>
      </c>
      <c r="D3788" t="s">
        <v>5220</v>
      </c>
      <c r="F3788" s="103" t="s">
        <v>327</v>
      </c>
      <c r="G3788" s="96" t="s">
        <v>328</v>
      </c>
      <c r="H3788" s="97" t="str">
        <f>IFERROR(VLOOKUP(Table2[[#This Row],[Ticket]],Okey!A:B,2,0),"")</f>
        <v>ok</v>
      </c>
      <c r="I3788" s="105" t="s">
        <v>8318</v>
      </c>
      <c r="J3788" t="str">
        <f>VLOOKUP(Table2[[#This Row],[Author]],People!A:B,2,0)</f>
        <v>EL</v>
      </c>
      <c r="L3788" s="101"/>
      <c r="M3788" s="97" t="s">
        <v>8497</v>
      </c>
    </row>
    <row r="3789" spans="1:13" x14ac:dyDescent="0.25">
      <c r="A3789" s="97">
        <f t="shared" si="90"/>
        <v>3788</v>
      </c>
      <c r="B3789" s="96" t="s">
        <v>2330</v>
      </c>
      <c r="C3789" s="96" t="s">
        <v>9003</v>
      </c>
      <c r="D3789" t="s">
        <v>5379</v>
      </c>
      <c r="F3789" s="103" t="s">
        <v>327</v>
      </c>
      <c r="G3789" s="96" t="s">
        <v>328</v>
      </c>
      <c r="H3789" s="97" t="str">
        <f>IFERROR(VLOOKUP(Table2[[#This Row],[Ticket]],Okey!A:B,2,0),"")</f>
        <v>ok</v>
      </c>
      <c r="I3789" s="105" t="s">
        <v>8318</v>
      </c>
      <c r="J3789" t="str">
        <f>VLOOKUP(Table2[[#This Row],[Author]],People!A:B,2,0)</f>
        <v>EL</v>
      </c>
      <c r="L3789" s="101"/>
      <c r="M3789" s="97" t="s">
        <v>8497</v>
      </c>
    </row>
    <row r="3790" spans="1:13" x14ac:dyDescent="0.25">
      <c r="A3790" s="97">
        <f t="shared" si="90"/>
        <v>3789</v>
      </c>
      <c r="B3790" s="96" t="s">
        <v>2330</v>
      </c>
      <c r="C3790" s="96" t="s">
        <v>9003</v>
      </c>
      <c r="D3790" t="s">
        <v>2759</v>
      </c>
      <c r="F3790" s="103" t="s">
        <v>327</v>
      </c>
      <c r="G3790" s="96" t="s">
        <v>328</v>
      </c>
      <c r="H3790" s="97" t="str">
        <f>IFERROR(VLOOKUP(Table2[[#This Row],[Ticket]],Okey!A:B,2,0),"")</f>
        <v>ok</v>
      </c>
      <c r="I3790" s="105" t="s">
        <v>8318</v>
      </c>
      <c r="J3790" t="str">
        <f>VLOOKUP(Table2[[#This Row],[Author]],People!A:B,2,0)</f>
        <v>EL</v>
      </c>
      <c r="L3790" s="101"/>
      <c r="M3790" s="97" t="s">
        <v>8497</v>
      </c>
    </row>
    <row r="3791" spans="1:13" x14ac:dyDescent="0.25">
      <c r="A3791" s="97">
        <f t="shared" si="90"/>
        <v>3790</v>
      </c>
      <c r="B3791" s="96" t="s">
        <v>2330</v>
      </c>
      <c r="C3791" s="96" t="s">
        <v>9003</v>
      </c>
      <c r="D3791" t="s">
        <v>2761</v>
      </c>
      <c r="F3791" s="103" t="s">
        <v>327</v>
      </c>
      <c r="G3791" s="96" t="s">
        <v>328</v>
      </c>
      <c r="H3791" s="97" t="str">
        <f>IFERROR(VLOOKUP(Table2[[#This Row],[Ticket]],Okey!A:B,2,0),"")</f>
        <v>ok</v>
      </c>
      <c r="I3791" s="105" t="s">
        <v>8318</v>
      </c>
      <c r="J3791" t="str">
        <f>VLOOKUP(Table2[[#This Row],[Author]],People!A:B,2,0)</f>
        <v>EL</v>
      </c>
      <c r="L3791" s="101"/>
      <c r="M3791" s="97" t="s">
        <v>8497</v>
      </c>
    </row>
    <row r="3792" spans="1:13" x14ac:dyDescent="0.25">
      <c r="A3792" s="97">
        <f t="shared" si="90"/>
        <v>3791</v>
      </c>
      <c r="B3792" s="96" t="s">
        <v>2330</v>
      </c>
      <c r="C3792" s="96" t="s">
        <v>9003</v>
      </c>
      <c r="D3792" t="s">
        <v>2763</v>
      </c>
      <c r="F3792" s="103" t="s">
        <v>327</v>
      </c>
      <c r="G3792" s="96" t="s">
        <v>328</v>
      </c>
      <c r="H3792" s="97" t="str">
        <f>IFERROR(VLOOKUP(Table2[[#This Row],[Ticket]],Okey!A:B,2,0),"")</f>
        <v>ok</v>
      </c>
      <c r="I3792" s="105" t="s">
        <v>8318</v>
      </c>
      <c r="J3792" t="str">
        <f>VLOOKUP(Table2[[#This Row],[Author]],People!A:B,2,0)</f>
        <v>EL</v>
      </c>
      <c r="L3792" s="101"/>
      <c r="M3792" s="97" t="s">
        <v>8497</v>
      </c>
    </row>
    <row r="3793" spans="1:13" x14ac:dyDescent="0.25">
      <c r="A3793" s="97">
        <f t="shared" si="90"/>
        <v>3792</v>
      </c>
      <c r="B3793" s="96" t="s">
        <v>2330</v>
      </c>
      <c r="C3793" s="96" t="s">
        <v>9003</v>
      </c>
      <c r="D3793" t="s">
        <v>2765</v>
      </c>
      <c r="F3793" s="103" t="s">
        <v>327</v>
      </c>
      <c r="G3793" s="96" t="s">
        <v>328</v>
      </c>
      <c r="H3793" s="97" t="str">
        <f>IFERROR(VLOOKUP(Table2[[#This Row],[Ticket]],Okey!A:B,2,0),"")</f>
        <v>ok</v>
      </c>
      <c r="I3793" s="105" t="s">
        <v>8318</v>
      </c>
      <c r="J3793" t="str">
        <f>VLOOKUP(Table2[[#This Row],[Author]],People!A:B,2,0)</f>
        <v>EL</v>
      </c>
      <c r="L3793" s="101"/>
      <c r="M3793" s="97" t="s">
        <v>8497</v>
      </c>
    </row>
    <row r="3794" spans="1:13" x14ac:dyDescent="0.25">
      <c r="A3794" s="97">
        <f t="shared" si="90"/>
        <v>3793</v>
      </c>
      <c r="B3794" s="96" t="s">
        <v>2330</v>
      </c>
      <c r="C3794" s="96" t="s">
        <v>9003</v>
      </c>
      <c r="D3794" t="s">
        <v>2767</v>
      </c>
      <c r="F3794" s="103" t="s">
        <v>327</v>
      </c>
      <c r="G3794" s="96" t="s">
        <v>328</v>
      </c>
      <c r="H3794" s="97" t="str">
        <f>IFERROR(VLOOKUP(Table2[[#This Row],[Ticket]],Okey!A:B,2,0),"")</f>
        <v>ok</v>
      </c>
      <c r="I3794" s="105" t="s">
        <v>8318</v>
      </c>
      <c r="J3794" t="str">
        <f>VLOOKUP(Table2[[#This Row],[Author]],People!A:B,2,0)</f>
        <v>EL</v>
      </c>
      <c r="L3794" s="101"/>
      <c r="M3794" s="97" t="s">
        <v>8497</v>
      </c>
    </row>
    <row r="3795" spans="1:13" x14ac:dyDescent="0.25">
      <c r="A3795" s="97">
        <f t="shared" si="90"/>
        <v>3794</v>
      </c>
      <c r="B3795" s="96" t="s">
        <v>2330</v>
      </c>
      <c r="C3795" s="96" t="s">
        <v>9003</v>
      </c>
      <c r="D3795" t="s">
        <v>2769</v>
      </c>
      <c r="F3795" s="103" t="s">
        <v>327</v>
      </c>
      <c r="G3795" s="96" t="s">
        <v>328</v>
      </c>
      <c r="H3795" s="97" t="str">
        <f>IFERROR(VLOOKUP(Table2[[#This Row],[Ticket]],Okey!A:B,2,0),"")</f>
        <v>ok</v>
      </c>
      <c r="I3795" s="105" t="s">
        <v>8318</v>
      </c>
      <c r="J3795" t="str">
        <f>VLOOKUP(Table2[[#This Row],[Author]],People!A:B,2,0)</f>
        <v>EL</v>
      </c>
      <c r="L3795" s="101"/>
      <c r="M3795" s="97" t="s">
        <v>8497</v>
      </c>
    </row>
    <row r="3796" spans="1:13" x14ac:dyDescent="0.25">
      <c r="A3796" s="97">
        <f t="shared" si="90"/>
        <v>3795</v>
      </c>
      <c r="B3796" s="96" t="s">
        <v>2330</v>
      </c>
      <c r="C3796" s="96" t="s">
        <v>9003</v>
      </c>
      <c r="D3796" t="s">
        <v>2771</v>
      </c>
      <c r="F3796" s="103" t="s">
        <v>327</v>
      </c>
      <c r="G3796" s="96" t="s">
        <v>328</v>
      </c>
      <c r="H3796" s="97" t="str">
        <f>IFERROR(VLOOKUP(Table2[[#This Row],[Ticket]],Okey!A:B,2,0),"")</f>
        <v>ok</v>
      </c>
      <c r="I3796" s="105" t="s">
        <v>8318</v>
      </c>
      <c r="J3796" t="str">
        <f>VLOOKUP(Table2[[#This Row],[Author]],People!A:B,2,0)</f>
        <v>EL</v>
      </c>
      <c r="L3796" s="101"/>
      <c r="M3796" s="97" t="s">
        <v>8497</v>
      </c>
    </row>
    <row r="3797" spans="1:13" x14ac:dyDescent="0.25">
      <c r="A3797" s="97">
        <f t="shared" si="90"/>
        <v>3796</v>
      </c>
      <c r="B3797" s="96" t="s">
        <v>2330</v>
      </c>
      <c r="C3797" s="96" t="s">
        <v>9003</v>
      </c>
      <c r="D3797" t="s">
        <v>2753</v>
      </c>
      <c r="F3797" s="103" t="s">
        <v>327</v>
      </c>
      <c r="G3797" s="96" t="s">
        <v>328</v>
      </c>
      <c r="H3797" s="97" t="str">
        <f>IFERROR(VLOOKUP(Table2[[#This Row],[Ticket]],Okey!A:B,2,0),"")</f>
        <v>ok</v>
      </c>
      <c r="I3797" s="105" t="s">
        <v>8318</v>
      </c>
      <c r="J3797" t="str">
        <f>VLOOKUP(Table2[[#This Row],[Author]],People!A:B,2,0)</f>
        <v>EL</v>
      </c>
      <c r="L3797" s="101"/>
      <c r="M3797" s="97" t="s">
        <v>8497</v>
      </c>
    </row>
    <row r="3798" spans="1:13" x14ac:dyDescent="0.25">
      <c r="A3798" s="97">
        <f t="shared" si="90"/>
        <v>3797</v>
      </c>
      <c r="B3798" s="96" t="s">
        <v>2330</v>
      </c>
      <c r="C3798" s="96" t="s">
        <v>9003</v>
      </c>
      <c r="D3798" t="s">
        <v>2755</v>
      </c>
      <c r="F3798" s="103" t="s">
        <v>327</v>
      </c>
      <c r="G3798" s="96" t="s">
        <v>328</v>
      </c>
      <c r="H3798" s="97" t="str">
        <f>IFERROR(VLOOKUP(Table2[[#This Row],[Ticket]],Okey!A:B,2,0),"")</f>
        <v>ok</v>
      </c>
      <c r="I3798" s="105" t="s">
        <v>8318</v>
      </c>
      <c r="J3798" t="str">
        <f>VLOOKUP(Table2[[#This Row],[Author]],People!A:B,2,0)</f>
        <v>EL</v>
      </c>
      <c r="L3798" s="101"/>
      <c r="M3798" s="97" t="s">
        <v>8497</v>
      </c>
    </row>
    <row r="3799" spans="1:13" x14ac:dyDescent="0.25">
      <c r="A3799" s="97">
        <f t="shared" ref="A3799:A3830" si="91">1+A3798</f>
        <v>3798</v>
      </c>
      <c r="B3799" s="96" t="s">
        <v>2330</v>
      </c>
      <c r="C3799" s="96" t="s">
        <v>9003</v>
      </c>
      <c r="D3799" t="s">
        <v>1751</v>
      </c>
      <c r="E3799" t="s">
        <v>8910</v>
      </c>
      <c r="G3799" s="96" t="s">
        <v>63</v>
      </c>
      <c r="H3799" s="97" t="str">
        <f>IFERROR(VLOOKUP(Table2[[#This Row],[Ticket]],Okey!A:B,2,0),"")</f>
        <v>ok</v>
      </c>
      <c r="I3799" s="105" t="s">
        <v>8318</v>
      </c>
      <c r="J3799" t="str">
        <f>VLOOKUP(Table2[[#This Row],[Author]],People!A:B,2,0)</f>
        <v>EL</v>
      </c>
      <c r="K3799" s="105"/>
      <c r="L3799" s="101"/>
      <c r="M3799" s="97" t="s">
        <v>8497</v>
      </c>
    </row>
    <row r="3800" spans="1:13" x14ac:dyDescent="0.25">
      <c r="A3800" s="97">
        <f t="shared" si="91"/>
        <v>3799</v>
      </c>
      <c r="B3800" s="96" t="s">
        <v>2330</v>
      </c>
      <c r="C3800" s="96" t="s">
        <v>9003</v>
      </c>
      <c r="D3800" t="s">
        <v>6767</v>
      </c>
      <c r="E3800" t="s">
        <v>8911</v>
      </c>
      <c r="G3800" s="100" t="s">
        <v>63</v>
      </c>
      <c r="H3800" s="97" t="str">
        <f>IFERROR(VLOOKUP(Table2[[#This Row],[Ticket]],Okey!A:B,2,0),"")</f>
        <v>ok</v>
      </c>
      <c r="I3800" s="105" t="s">
        <v>8318</v>
      </c>
      <c r="J3800" t="str">
        <f>VLOOKUP(Table2[[#This Row],[Author]],People!A:B,2,0)</f>
        <v>EL</v>
      </c>
      <c r="K3800" s="105"/>
      <c r="L3800" s="101"/>
      <c r="M3800" s="97" t="s">
        <v>8497</v>
      </c>
    </row>
    <row r="3801" spans="1:13" x14ac:dyDescent="0.25">
      <c r="A3801" s="97">
        <f t="shared" si="91"/>
        <v>3800</v>
      </c>
      <c r="B3801" s="96" t="s">
        <v>2330</v>
      </c>
      <c r="C3801" s="96" t="s">
        <v>9003</v>
      </c>
      <c r="D3801" t="s">
        <v>6769</v>
      </c>
      <c r="E3801" t="s">
        <v>8912</v>
      </c>
      <c r="G3801" s="100" t="s">
        <v>63</v>
      </c>
      <c r="H3801" s="97" t="str">
        <f>IFERROR(VLOOKUP(Table2[[#This Row],[Ticket]],Okey!A:B,2,0),"")</f>
        <v>ok</v>
      </c>
      <c r="I3801" s="105" t="s">
        <v>8318</v>
      </c>
      <c r="J3801" t="str">
        <f>VLOOKUP(Table2[[#This Row],[Author]],People!A:B,2,0)</f>
        <v>EL</v>
      </c>
      <c r="K3801" s="105"/>
      <c r="L3801" s="101"/>
      <c r="M3801" s="97" t="s">
        <v>8497</v>
      </c>
    </row>
    <row r="3802" spans="1:13" x14ac:dyDescent="0.25">
      <c r="A3802" s="97">
        <f t="shared" si="91"/>
        <v>3801</v>
      </c>
      <c r="B3802" s="96" t="s">
        <v>2330</v>
      </c>
      <c r="C3802" s="96" t="s">
        <v>9003</v>
      </c>
      <c r="D3802" t="s">
        <v>6771</v>
      </c>
      <c r="E3802" t="s">
        <v>8913</v>
      </c>
      <c r="G3802" s="100" t="s">
        <v>63</v>
      </c>
      <c r="H3802" s="97" t="str">
        <f>IFERROR(VLOOKUP(Table2[[#This Row],[Ticket]],Okey!A:B,2,0),"")</f>
        <v>ok</v>
      </c>
      <c r="I3802" s="105" t="s">
        <v>8318</v>
      </c>
      <c r="J3802" t="str">
        <f>VLOOKUP(Table2[[#This Row],[Author]],People!A:B,2,0)</f>
        <v>EL</v>
      </c>
      <c r="K3802" s="105"/>
      <c r="L3802" s="101"/>
      <c r="M3802" s="97" t="s">
        <v>8497</v>
      </c>
    </row>
    <row r="3803" spans="1:13" x14ac:dyDescent="0.25">
      <c r="A3803" s="97">
        <f t="shared" si="91"/>
        <v>3802</v>
      </c>
      <c r="B3803" s="96" t="s">
        <v>2330</v>
      </c>
      <c r="C3803" s="96" t="s">
        <v>9003</v>
      </c>
      <c r="D3803" t="s">
        <v>6773</v>
      </c>
      <c r="E3803" t="s">
        <v>8914</v>
      </c>
      <c r="G3803" s="100" t="s">
        <v>63</v>
      </c>
      <c r="H3803" s="97" t="str">
        <f>IFERROR(VLOOKUP(Table2[[#This Row],[Ticket]],Okey!A:B,2,0),"")</f>
        <v>ok</v>
      </c>
      <c r="I3803" s="105" t="s">
        <v>8318</v>
      </c>
      <c r="J3803" t="str">
        <f>VLOOKUP(Table2[[#This Row],[Author]],People!A:B,2,0)</f>
        <v>EL</v>
      </c>
      <c r="K3803" s="105"/>
      <c r="L3803" s="101"/>
      <c r="M3803" s="97" t="s">
        <v>8497</v>
      </c>
    </row>
    <row r="3804" spans="1:13" x14ac:dyDescent="0.25">
      <c r="A3804" s="97">
        <f t="shared" si="91"/>
        <v>3803</v>
      </c>
      <c r="B3804" s="96" t="s">
        <v>2330</v>
      </c>
      <c r="C3804" s="96" t="s">
        <v>9003</v>
      </c>
      <c r="D3804" t="s">
        <v>6775</v>
      </c>
      <c r="E3804" t="s">
        <v>8915</v>
      </c>
      <c r="G3804" s="100" t="s">
        <v>63</v>
      </c>
      <c r="H3804" s="97" t="str">
        <f>IFERROR(VLOOKUP(Table2[[#This Row],[Ticket]],Okey!A:B,2,0),"")</f>
        <v>ok</v>
      </c>
      <c r="I3804" s="105" t="s">
        <v>8318</v>
      </c>
      <c r="J3804" t="str">
        <f>VLOOKUP(Table2[[#This Row],[Author]],People!A:B,2,0)</f>
        <v>EL</v>
      </c>
      <c r="K3804" s="105"/>
      <c r="L3804" s="101"/>
      <c r="M3804" s="97" t="s">
        <v>8497</v>
      </c>
    </row>
    <row r="3805" spans="1:13" x14ac:dyDescent="0.25">
      <c r="A3805" s="97">
        <f t="shared" si="91"/>
        <v>3804</v>
      </c>
      <c r="B3805" s="96" t="s">
        <v>2330</v>
      </c>
      <c r="C3805" s="96" t="s">
        <v>9003</v>
      </c>
      <c r="D3805" t="s">
        <v>2020</v>
      </c>
      <c r="E3805" t="s">
        <v>8916</v>
      </c>
      <c r="G3805" s="100" t="s">
        <v>63</v>
      </c>
      <c r="H3805" s="97" t="str">
        <f>IFERROR(VLOOKUP(Table2[[#This Row],[Ticket]],Okey!A:B,2,0),"")</f>
        <v>ok</v>
      </c>
      <c r="I3805" s="105" t="s">
        <v>8318</v>
      </c>
      <c r="J3805" t="str">
        <f>VLOOKUP(Table2[[#This Row],[Author]],People!A:B,2,0)</f>
        <v>EL</v>
      </c>
      <c r="K3805" s="105"/>
      <c r="L3805" s="101"/>
      <c r="M3805" s="97" t="s">
        <v>8497</v>
      </c>
    </row>
    <row r="3806" spans="1:13" x14ac:dyDescent="0.25">
      <c r="A3806" s="97">
        <f t="shared" si="91"/>
        <v>3805</v>
      </c>
      <c r="B3806" s="96" t="s">
        <v>2330</v>
      </c>
      <c r="C3806" s="96" t="s">
        <v>9003</v>
      </c>
      <c r="D3806" t="s">
        <v>3614</v>
      </c>
      <c r="E3806" t="s">
        <v>8917</v>
      </c>
      <c r="G3806" s="100" t="s">
        <v>63</v>
      </c>
      <c r="H3806" s="97" t="str">
        <f>IFERROR(VLOOKUP(Table2[[#This Row],[Ticket]],Okey!A:B,2,0),"")</f>
        <v>ok</v>
      </c>
      <c r="I3806" s="105" t="s">
        <v>8318</v>
      </c>
      <c r="J3806" t="str">
        <f>VLOOKUP(Table2[[#This Row],[Author]],People!A:B,2,0)</f>
        <v>EL</v>
      </c>
      <c r="K3806" s="105"/>
      <c r="L3806" s="101"/>
      <c r="M3806" s="97" t="s">
        <v>8497</v>
      </c>
    </row>
    <row r="3807" spans="1:13" x14ac:dyDescent="0.25">
      <c r="A3807" s="97">
        <f t="shared" si="91"/>
        <v>3806</v>
      </c>
      <c r="B3807" s="96" t="s">
        <v>2330</v>
      </c>
      <c r="C3807" s="96" t="s">
        <v>9003</v>
      </c>
      <c r="D3807" t="s">
        <v>5539</v>
      </c>
      <c r="E3807" t="s">
        <v>8918</v>
      </c>
      <c r="G3807" s="100" t="s">
        <v>63</v>
      </c>
      <c r="H3807" s="97" t="str">
        <f>IFERROR(VLOOKUP(Table2[[#This Row],[Ticket]],Okey!A:B,2,0),"")</f>
        <v>ok</v>
      </c>
      <c r="I3807" s="105" t="s">
        <v>8318</v>
      </c>
      <c r="J3807" t="str">
        <f>VLOOKUP(Table2[[#This Row],[Author]],People!A:B,2,0)</f>
        <v>EL</v>
      </c>
      <c r="K3807" s="105"/>
      <c r="L3807" s="101"/>
      <c r="M3807" s="97" t="s">
        <v>8497</v>
      </c>
    </row>
    <row r="3808" spans="1:13" x14ac:dyDescent="0.25">
      <c r="A3808" s="97">
        <f t="shared" si="91"/>
        <v>3807</v>
      </c>
      <c r="B3808" s="96" t="s">
        <v>2330</v>
      </c>
      <c r="C3808" s="96" t="s">
        <v>9003</v>
      </c>
      <c r="D3808" t="s">
        <v>1824</v>
      </c>
      <c r="E3808" t="s">
        <v>8919</v>
      </c>
      <c r="G3808" s="100" t="s">
        <v>63</v>
      </c>
      <c r="H3808" s="97" t="str">
        <f>IFERROR(VLOOKUP(Table2[[#This Row],[Ticket]],Okey!A:B,2,0),"")</f>
        <v>ok</v>
      </c>
      <c r="I3808" s="105" t="s">
        <v>8318</v>
      </c>
      <c r="J3808" t="str">
        <f>VLOOKUP(Table2[[#This Row],[Author]],People!A:B,2,0)</f>
        <v>EL</v>
      </c>
      <c r="K3808" s="105"/>
      <c r="L3808" s="101"/>
      <c r="M3808" s="97" t="s">
        <v>8497</v>
      </c>
    </row>
    <row r="3809" spans="1:13" x14ac:dyDescent="0.25">
      <c r="A3809" s="97">
        <f t="shared" si="91"/>
        <v>3808</v>
      </c>
      <c r="B3809" s="96" t="s">
        <v>2330</v>
      </c>
      <c r="C3809" s="96" t="s">
        <v>9003</v>
      </c>
      <c r="D3809" t="s">
        <v>7986</v>
      </c>
      <c r="E3809" t="s">
        <v>8920</v>
      </c>
      <c r="G3809" s="100" t="s">
        <v>63</v>
      </c>
      <c r="H3809" s="97" t="str">
        <f>IFERROR(VLOOKUP(Table2[[#This Row],[Ticket]],Okey!A:B,2,0),"")</f>
        <v>ok</v>
      </c>
      <c r="I3809" s="105" t="s">
        <v>8318</v>
      </c>
      <c r="J3809" t="str">
        <f>VLOOKUP(Table2[[#This Row],[Author]],People!A:B,2,0)</f>
        <v>EL</v>
      </c>
      <c r="K3809" s="105"/>
      <c r="L3809" s="101"/>
      <c r="M3809" s="97" t="s">
        <v>8497</v>
      </c>
    </row>
    <row r="3810" spans="1:13" x14ac:dyDescent="0.25">
      <c r="A3810" s="97">
        <f t="shared" si="91"/>
        <v>3809</v>
      </c>
      <c r="B3810" s="96" t="s">
        <v>2330</v>
      </c>
      <c r="C3810" s="96" t="s">
        <v>9003</v>
      </c>
      <c r="D3810" t="s">
        <v>1826</v>
      </c>
      <c r="E3810" t="s">
        <v>8921</v>
      </c>
      <c r="G3810" s="100" t="s">
        <v>63</v>
      </c>
      <c r="H3810" s="97" t="str">
        <f>IFERROR(VLOOKUP(Table2[[#This Row],[Ticket]],Okey!A:B,2,0),"")</f>
        <v>ok</v>
      </c>
      <c r="I3810" s="105" t="s">
        <v>8318</v>
      </c>
      <c r="J3810" t="str">
        <f>VLOOKUP(Table2[[#This Row],[Author]],People!A:B,2,0)</f>
        <v>EL</v>
      </c>
      <c r="K3810" s="105"/>
      <c r="L3810" s="101"/>
      <c r="M3810" s="97" t="s">
        <v>8497</v>
      </c>
    </row>
    <row r="3811" spans="1:13" x14ac:dyDescent="0.25">
      <c r="A3811" s="97">
        <f t="shared" si="91"/>
        <v>3810</v>
      </c>
      <c r="B3811" s="96" t="s">
        <v>2330</v>
      </c>
      <c r="C3811" s="96" t="s">
        <v>9003</v>
      </c>
      <c r="D3811" t="s">
        <v>1828</v>
      </c>
      <c r="E3811" t="s">
        <v>8922</v>
      </c>
      <c r="G3811" s="100" t="s">
        <v>63</v>
      </c>
      <c r="H3811" s="97" t="str">
        <f>IFERROR(VLOOKUP(Table2[[#This Row],[Ticket]],Okey!A:B,2,0),"")</f>
        <v>ok</v>
      </c>
      <c r="I3811" s="105" t="s">
        <v>8318</v>
      </c>
      <c r="J3811" t="str">
        <f>VLOOKUP(Table2[[#This Row],[Author]],People!A:B,2,0)</f>
        <v>EL</v>
      </c>
      <c r="K3811" s="105"/>
      <c r="L3811" s="101"/>
      <c r="M3811" s="97" t="s">
        <v>8497</v>
      </c>
    </row>
    <row r="3812" spans="1:13" x14ac:dyDescent="0.25">
      <c r="A3812" s="97">
        <f t="shared" si="91"/>
        <v>3811</v>
      </c>
      <c r="B3812" s="96" t="s">
        <v>2330</v>
      </c>
      <c r="C3812" s="96" t="s">
        <v>9003</v>
      </c>
      <c r="D3812" t="s">
        <v>1830</v>
      </c>
      <c r="E3812" t="s">
        <v>8923</v>
      </c>
      <c r="G3812" s="100" t="s">
        <v>63</v>
      </c>
      <c r="H3812" s="97" t="str">
        <f>IFERROR(VLOOKUP(Table2[[#This Row],[Ticket]],Okey!A:B,2,0),"")</f>
        <v>ok</v>
      </c>
      <c r="I3812" s="105" t="s">
        <v>8318</v>
      </c>
      <c r="J3812" t="str">
        <f>VLOOKUP(Table2[[#This Row],[Author]],People!A:B,2,0)</f>
        <v>EL</v>
      </c>
      <c r="K3812" s="105"/>
      <c r="L3812" s="101"/>
      <c r="M3812" s="97" t="s">
        <v>8497</v>
      </c>
    </row>
    <row r="3813" spans="1:13" x14ac:dyDescent="0.25">
      <c r="A3813" s="97">
        <f t="shared" si="91"/>
        <v>3812</v>
      </c>
      <c r="B3813" s="96" t="s">
        <v>2330</v>
      </c>
      <c r="C3813" s="96" t="s">
        <v>9003</v>
      </c>
      <c r="D3813" t="s">
        <v>1832</v>
      </c>
      <c r="E3813" t="s">
        <v>8924</v>
      </c>
      <c r="G3813" s="100" t="s">
        <v>63</v>
      </c>
      <c r="H3813" s="97" t="str">
        <f>IFERROR(VLOOKUP(Table2[[#This Row],[Ticket]],Okey!A:B,2,0),"")</f>
        <v>ok</v>
      </c>
      <c r="I3813" s="105" t="s">
        <v>8318</v>
      </c>
      <c r="J3813" t="str">
        <f>VLOOKUP(Table2[[#This Row],[Author]],People!A:B,2,0)</f>
        <v>EL</v>
      </c>
      <c r="K3813" s="105"/>
      <c r="L3813" s="101"/>
      <c r="M3813" s="97" t="s">
        <v>8497</v>
      </c>
    </row>
    <row r="3814" spans="1:13" x14ac:dyDescent="0.25">
      <c r="A3814" s="97">
        <f t="shared" si="91"/>
        <v>3813</v>
      </c>
      <c r="B3814" s="96" t="s">
        <v>2330</v>
      </c>
      <c r="C3814" s="96" t="s">
        <v>9003</v>
      </c>
      <c r="D3814" t="s">
        <v>1834</v>
      </c>
      <c r="E3814" t="s">
        <v>8925</v>
      </c>
      <c r="G3814" s="100" t="s">
        <v>63</v>
      </c>
      <c r="H3814" s="97" t="str">
        <f>IFERROR(VLOOKUP(Table2[[#This Row],[Ticket]],Okey!A:B,2,0),"")</f>
        <v>ok</v>
      </c>
      <c r="I3814" s="105" t="s">
        <v>8318</v>
      </c>
      <c r="J3814" t="str">
        <f>VLOOKUP(Table2[[#This Row],[Author]],People!A:B,2,0)</f>
        <v>EL</v>
      </c>
      <c r="K3814" s="105"/>
      <c r="L3814" s="101"/>
      <c r="M3814" s="97" t="s">
        <v>8497</v>
      </c>
    </row>
    <row r="3815" spans="1:13" x14ac:dyDescent="0.25">
      <c r="A3815" s="97">
        <f t="shared" si="91"/>
        <v>3814</v>
      </c>
      <c r="B3815" s="96" t="s">
        <v>2330</v>
      </c>
      <c r="C3815" s="96" t="s">
        <v>9003</v>
      </c>
      <c r="D3815" t="s">
        <v>1836</v>
      </c>
      <c r="E3815" t="s">
        <v>8926</v>
      </c>
      <c r="G3815" s="100" t="s">
        <v>63</v>
      </c>
      <c r="H3815" s="97" t="str">
        <f>IFERROR(VLOOKUP(Table2[[#This Row],[Ticket]],Okey!A:B,2,0),"")</f>
        <v>ok</v>
      </c>
      <c r="I3815" s="105" t="s">
        <v>8318</v>
      </c>
      <c r="J3815" t="str">
        <f>VLOOKUP(Table2[[#This Row],[Author]],People!A:B,2,0)</f>
        <v>EL</v>
      </c>
      <c r="K3815" s="105"/>
      <c r="L3815" s="101"/>
      <c r="M3815" s="97" t="s">
        <v>8497</v>
      </c>
    </row>
    <row r="3816" spans="1:13" x14ac:dyDescent="0.25">
      <c r="A3816" s="97">
        <f t="shared" si="91"/>
        <v>3815</v>
      </c>
      <c r="B3816" s="96" t="s">
        <v>2330</v>
      </c>
      <c r="C3816" s="96" t="s">
        <v>9003</v>
      </c>
      <c r="D3816" t="s">
        <v>6828</v>
      </c>
      <c r="E3816" t="s">
        <v>8927</v>
      </c>
      <c r="G3816" s="100" t="s">
        <v>63</v>
      </c>
      <c r="H3816" s="97" t="str">
        <f>IFERROR(VLOOKUP(Table2[[#This Row],[Ticket]],Okey!A:B,2,0),"")</f>
        <v>ok</v>
      </c>
      <c r="I3816" s="105" t="s">
        <v>8318</v>
      </c>
      <c r="J3816" t="str">
        <f>VLOOKUP(Table2[[#This Row],[Author]],People!A:B,2,0)</f>
        <v>EL</v>
      </c>
      <c r="K3816" s="105"/>
      <c r="L3816" s="101"/>
      <c r="M3816" s="97" t="s">
        <v>8497</v>
      </c>
    </row>
    <row r="3817" spans="1:13" x14ac:dyDescent="0.25">
      <c r="A3817" s="97">
        <f t="shared" si="91"/>
        <v>3816</v>
      </c>
      <c r="B3817" s="96" t="s">
        <v>2330</v>
      </c>
      <c r="C3817" s="96" t="s">
        <v>9003</v>
      </c>
      <c r="D3817" t="s">
        <v>6830</v>
      </c>
      <c r="E3817" t="s">
        <v>8928</v>
      </c>
      <c r="G3817" s="100" t="s">
        <v>63</v>
      </c>
      <c r="H3817" s="97" t="str">
        <f>IFERROR(VLOOKUP(Table2[[#This Row],[Ticket]],Okey!A:B,2,0),"")</f>
        <v>ok</v>
      </c>
      <c r="I3817" s="105" t="s">
        <v>8318</v>
      </c>
      <c r="J3817" t="str">
        <f>VLOOKUP(Table2[[#This Row],[Author]],People!A:B,2,0)</f>
        <v>EL</v>
      </c>
      <c r="K3817" s="105"/>
      <c r="L3817" s="101"/>
      <c r="M3817" s="97" t="s">
        <v>8497</v>
      </c>
    </row>
    <row r="3818" spans="1:13" x14ac:dyDescent="0.25">
      <c r="A3818" s="97">
        <f t="shared" si="91"/>
        <v>3817</v>
      </c>
      <c r="B3818" s="96" t="s">
        <v>2330</v>
      </c>
      <c r="C3818" s="96" t="s">
        <v>9003</v>
      </c>
      <c r="D3818" t="s">
        <v>3612</v>
      </c>
      <c r="E3818" t="s">
        <v>8929</v>
      </c>
      <c r="G3818" s="100" t="s">
        <v>63</v>
      </c>
      <c r="H3818" s="97" t="str">
        <f>IFERROR(VLOOKUP(Table2[[#This Row],[Ticket]],Okey!A:B,2,0),"")</f>
        <v>ok</v>
      </c>
      <c r="I3818" s="105" t="s">
        <v>8318</v>
      </c>
      <c r="J3818" t="str">
        <f>VLOOKUP(Table2[[#This Row],[Author]],People!A:B,2,0)</f>
        <v>EL</v>
      </c>
      <c r="K3818" s="105"/>
      <c r="L3818" s="101"/>
      <c r="M3818" s="97" t="s">
        <v>8497</v>
      </c>
    </row>
    <row r="3819" spans="1:13" x14ac:dyDescent="0.25">
      <c r="A3819" s="97">
        <f t="shared" si="91"/>
        <v>3818</v>
      </c>
      <c r="B3819" s="96" t="s">
        <v>2330</v>
      </c>
      <c r="C3819" s="96" t="s">
        <v>9003</v>
      </c>
      <c r="D3819" t="s">
        <v>3615</v>
      </c>
      <c r="E3819" t="s">
        <v>8930</v>
      </c>
      <c r="G3819" s="100" t="s">
        <v>63</v>
      </c>
      <c r="H3819" s="97" t="str">
        <f>IFERROR(VLOOKUP(Table2[[#This Row],[Ticket]],Okey!A:B,2,0),"")</f>
        <v>ok</v>
      </c>
      <c r="I3819" s="105" t="s">
        <v>8318</v>
      </c>
      <c r="J3819" t="str">
        <f>VLOOKUP(Table2[[#This Row],[Author]],People!A:B,2,0)</f>
        <v>EL</v>
      </c>
      <c r="K3819" s="105"/>
      <c r="L3819" s="101"/>
      <c r="M3819" s="97" t="s">
        <v>8497</v>
      </c>
    </row>
    <row r="3820" spans="1:13" x14ac:dyDescent="0.25">
      <c r="A3820" s="97">
        <f t="shared" si="91"/>
        <v>3819</v>
      </c>
      <c r="B3820" s="96" t="s">
        <v>2330</v>
      </c>
      <c r="C3820" s="96" t="s">
        <v>9003</v>
      </c>
      <c r="D3820" t="s">
        <v>1749</v>
      </c>
      <c r="E3820" t="s">
        <v>9057</v>
      </c>
      <c r="G3820" s="100" t="s">
        <v>63</v>
      </c>
      <c r="H3820" s="97" t="str">
        <f>IFERROR(VLOOKUP(Table2[[#This Row],[Ticket]],Okey!A:B,2,0),"")</f>
        <v>ok</v>
      </c>
      <c r="I3820" s="105" t="s">
        <v>8318</v>
      </c>
      <c r="J3820" t="str">
        <f>VLOOKUP(Table2[[#This Row],[Author]],People!A:B,2,0)</f>
        <v>EL</v>
      </c>
      <c r="K3820" s="105"/>
      <c r="L3820" s="101"/>
      <c r="M3820" s="97" t="s">
        <v>8497</v>
      </c>
    </row>
    <row r="3821" spans="1:13" x14ac:dyDescent="0.25">
      <c r="A3821" s="97">
        <f t="shared" si="91"/>
        <v>3820</v>
      </c>
      <c r="B3821" s="96" t="s">
        <v>2330</v>
      </c>
      <c r="C3821" s="96" t="s">
        <v>9003</v>
      </c>
      <c r="D3821" t="s">
        <v>1753</v>
      </c>
      <c r="E3821" t="s">
        <v>8932</v>
      </c>
      <c r="G3821" s="100" t="s">
        <v>63</v>
      </c>
      <c r="H3821" s="97" t="str">
        <f>IFERROR(VLOOKUP(Table2[[#This Row],[Ticket]],Okey!A:B,2,0),"")</f>
        <v>ok</v>
      </c>
      <c r="I3821" s="105" t="s">
        <v>8318</v>
      </c>
      <c r="J3821" t="str">
        <f>VLOOKUP(Table2[[#This Row],[Author]],People!A:B,2,0)</f>
        <v>EL</v>
      </c>
      <c r="K3821" s="105"/>
      <c r="L3821" s="101"/>
      <c r="M3821" s="97" t="s">
        <v>8497</v>
      </c>
    </row>
    <row r="3822" spans="1:13" x14ac:dyDescent="0.25">
      <c r="A3822" s="97">
        <f t="shared" si="91"/>
        <v>3821</v>
      </c>
      <c r="B3822" s="96" t="s">
        <v>2330</v>
      </c>
      <c r="C3822" s="96" t="s">
        <v>9003</v>
      </c>
      <c r="D3822" t="s">
        <v>1755</v>
      </c>
      <c r="E3822" t="s">
        <v>8933</v>
      </c>
      <c r="G3822" s="100" t="s">
        <v>63</v>
      </c>
      <c r="H3822" s="97" t="str">
        <f>IFERROR(VLOOKUP(Table2[[#This Row],[Ticket]],Okey!A:B,2,0),"")</f>
        <v>ok</v>
      </c>
      <c r="I3822" s="105" t="s">
        <v>8318</v>
      </c>
      <c r="J3822" t="str">
        <f>VLOOKUP(Table2[[#This Row],[Author]],People!A:B,2,0)</f>
        <v>EL</v>
      </c>
      <c r="K3822" s="105"/>
      <c r="L3822" s="101"/>
      <c r="M3822" s="97" t="s">
        <v>8497</v>
      </c>
    </row>
    <row r="3823" spans="1:13" x14ac:dyDescent="0.25">
      <c r="A3823" s="97">
        <f t="shared" si="91"/>
        <v>3822</v>
      </c>
      <c r="B3823" s="96" t="s">
        <v>2330</v>
      </c>
      <c r="C3823" s="96" t="s">
        <v>9003</v>
      </c>
      <c r="D3823" t="s">
        <v>1757</v>
      </c>
      <c r="E3823" t="s">
        <v>8934</v>
      </c>
      <c r="G3823" s="100" t="s">
        <v>63</v>
      </c>
      <c r="H3823" s="97" t="str">
        <f>IFERROR(VLOOKUP(Table2[[#This Row],[Ticket]],Okey!A:B,2,0),"")</f>
        <v>ok</v>
      </c>
      <c r="I3823" s="105" t="s">
        <v>8318</v>
      </c>
      <c r="J3823" t="str">
        <f>VLOOKUP(Table2[[#This Row],[Author]],People!A:B,2,0)</f>
        <v>EL</v>
      </c>
      <c r="K3823" s="105"/>
      <c r="L3823" s="101"/>
      <c r="M3823" s="97" t="s">
        <v>8497</v>
      </c>
    </row>
    <row r="3824" spans="1:13" x14ac:dyDescent="0.25">
      <c r="A3824" s="97">
        <f t="shared" si="91"/>
        <v>3823</v>
      </c>
      <c r="B3824" s="96" t="s">
        <v>2330</v>
      </c>
      <c r="C3824" s="96" t="s">
        <v>9003</v>
      </c>
      <c r="D3824" t="s">
        <v>1759</v>
      </c>
      <c r="E3824" t="s">
        <v>8935</v>
      </c>
      <c r="G3824" s="100" t="s">
        <v>63</v>
      </c>
      <c r="H3824" s="97" t="str">
        <f>IFERROR(VLOOKUP(Table2[[#This Row],[Ticket]],Okey!A:B,2,0),"")</f>
        <v>ok</v>
      </c>
      <c r="I3824" s="105" t="s">
        <v>8318</v>
      </c>
      <c r="J3824" t="str">
        <f>VLOOKUP(Table2[[#This Row],[Author]],People!A:B,2,0)</f>
        <v>EL</v>
      </c>
      <c r="K3824" s="105"/>
      <c r="L3824" s="101"/>
      <c r="M3824" s="97" t="s">
        <v>8497</v>
      </c>
    </row>
    <row r="3825" spans="1:13" x14ac:dyDescent="0.25">
      <c r="A3825" s="97">
        <f t="shared" si="91"/>
        <v>3824</v>
      </c>
      <c r="B3825" s="96" t="s">
        <v>2330</v>
      </c>
      <c r="C3825" s="96" t="s">
        <v>9003</v>
      </c>
      <c r="D3825" t="s">
        <v>1761</v>
      </c>
      <c r="E3825" t="s">
        <v>8936</v>
      </c>
      <c r="G3825" s="100" t="s">
        <v>63</v>
      </c>
      <c r="H3825" s="97" t="str">
        <f>IFERROR(VLOOKUP(Table2[[#This Row],[Ticket]],Okey!A:B,2,0),"")</f>
        <v>ok</v>
      </c>
      <c r="I3825" s="105" t="s">
        <v>8318</v>
      </c>
      <c r="J3825" t="str">
        <f>VLOOKUP(Table2[[#This Row],[Author]],People!A:B,2,0)</f>
        <v>EL</v>
      </c>
      <c r="K3825" s="105"/>
      <c r="L3825" s="101"/>
      <c r="M3825" s="97" t="s">
        <v>8497</v>
      </c>
    </row>
    <row r="3826" spans="1:13" x14ac:dyDescent="0.25">
      <c r="A3826" s="97">
        <f t="shared" si="91"/>
        <v>3825</v>
      </c>
      <c r="B3826" s="96" t="s">
        <v>2330</v>
      </c>
      <c r="C3826" s="96" t="s">
        <v>9003</v>
      </c>
      <c r="D3826" t="s">
        <v>1763</v>
      </c>
      <c r="E3826" t="s">
        <v>8937</v>
      </c>
      <c r="G3826" s="100" t="s">
        <v>63</v>
      </c>
      <c r="H3826" s="97" t="str">
        <f>IFERROR(VLOOKUP(Table2[[#This Row],[Ticket]],Okey!A:B,2,0),"")</f>
        <v>ok</v>
      </c>
      <c r="I3826" s="105" t="s">
        <v>8318</v>
      </c>
      <c r="J3826" t="str">
        <f>VLOOKUP(Table2[[#This Row],[Author]],People!A:B,2,0)</f>
        <v>EL</v>
      </c>
      <c r="K3826" s="105"/>
      <c r="L3826" s="101"/>
      <c r="M3826" s="97" t="s">
        <v>8497</v>
      </c>
    </row>
    <row r="3827" spans="1:13" x14ac:dyDescent="0.25">
      <c r="A3827" s="97">
        <f t="shared" si="91"/>
        <v>3826</v>
      </c>
      <c r="B3827" s="96" t="s">
        <v>2330</v>
      </c>
      <c r="C3827" s="96" t="s">
        <v>9003</v>
      </c>
      <c r="D3827" t="s">
        <v>1765</v>
      </c>
      <c r="E3827" t="s">
        <v>8938</v>
      </c>
      <c r="G3827" s="100" t="s">
        <v>63</v>
      </c>
      <c r="H3827" s="97" t="str">
        <f>IFERROR(VLOOKUP(Table2[[#This Row],[Ticket]],Okey!A:B,2,0),"")</f>
        <v>ok</v>
      </c>
      <c r="I3827" s="105" t="s">
        <v>8318</v>
      </c>
      <c r="J3827" t="str">
        <f>VLOOKUP(Table2[[#This Row],[Author]],People!A:B,2,0)</f>
        <v>EL</v>
      </c>
      <c r="K3827" s="105"/>
      <c r="L3827" s="101"/>
      <c r="M3827" s="97" t="s">
        <v>8497</v>
      </c>
    </row>
    <row r="3828" spans="1:13" x14ac:dyDescent="0.25">
      <c r="A3828" s="97">
        <f t="shared" si="91"/>
        <v>3827</v>
      </c>
      <c r="B3828" s="96" t="s">
        <v>2330</v>
      </c>
      <c r="C3828" s="96" t="s">
        <v>9003</v>
      </c>
      <c r="D3828" t="s">
        <v>1767</v>
      </c>
      <c r="E3828" t="s">
        <v>8939</v>
      </c>
      <c r="G3828" s="100" t="s">
        <v>63</v>
      </c>
      <c r="H3828" s="97" t="str">
        <f>IFERROR(VLOOKUP(Table2[[#This Row],[Ticket]],Okey!A:B,2,0),"")</f>
        <v>ok</v>
      </c>
      <c r="I3828" s="105" t="s">
        <v>8318</v>
      </c>
      <c r="J3828" t="str">
        <f>VLOOKUP(Table2[[#This Row],[Author]],People!A:B,2,0)</f>
        <v>EL</v>
      </c>
      <c r="K3828" s="105"/>
      <c r="L3828" s="101"/>
      <c r="M3828" s="97" t="s">
        <v>8497</v>
      </c>
    </row>
    <row r="3829" spans="1:13" x14ac:dyDescent="0.25">
      <c r="A3829" s="97">
        <f t="shared" si="91"/>
        <v>3828</v>
      </c>
      <c r="B3829" s="96" t="s">
        <v>2330</v>
      </c>
      <c r="C3829" s="96" t="s">
        <v>9003</v>
      </c>
      <c r="D3829" t="s">
        <v>8541</v>
      </c>
      <c r="E3829" t="s">
        <v>8940</v>
      </c>
      <c r="G3829" s="100" t="s">
        <v>63</v>
      </c>
      <c r="H3829" s="97" t="str">
        <f>IFERROR(VLOOKUP(Table2[[#This Row],[Ticket]],Okey!A:B,2,0),"")</f>
        <v>ok</v>
      </c>
      <c r="I3829" s="105" t="s">
        <v>8318</v>
      </c>
      <c r="J3829" t="str">
        <f>VLOOKUP(Table2[[#This Row],[Author]],People!A:B,2,0)</f>
        <v>EL</v>
      </c>
      <c r="K3829" s="105"/>
      <c r="L3829" s="101"/>
      <c r="M3829" s="97" t="s">
        <v>8497</v>
      </c>
    </row>
    <row r="3830" spans="1:13" x14ac:dyDescent="0.25">
      <c r="A3830" s="97">
        <f t="shared" si="91"/>
        <v>3829</v>
      </c>
      <c r="B3830" s="96" t="s">
        <v>2330</v>
      </c>
      <c r="C3830" s="96" t="s">
        <v>9003</v>
      </c>
      <c r="D3830" t="s">
        <v>1769</v>
      </c>
      <c r="E3830" t="s">
        <v>8941</v>
      </c>
      <c r="G3830" s="100" t="s">
        <v>63</v>
      </c>
      <c r="H3830" s="97" t="str">
        <f>IFERROR(VLOOKUP(Table2[[#This Row],[Ticket]],Okey!A:B,2,0),"")</f>
        <v>ok</v>
      </c>
      <c r="I3830" s="105" t="s">
        <v>8318</v>
      </c>
      <c r="J3830" t="str">
        <f>VLOOKUP(Table2[[#This Row],[Author]],People!A:B,2,0)</f>
        <v>EL</v>
      </c>
      <c r="K3830" s="105"/>
      <c r="L3830" s="101"/>
      <c r="M3830" s="97" t="s">
        <v>8497</v>
      </c>
    </row>
    <row r="3831" spans="1:13" x14ac:dyDescent="0.25">
      <c r="A3831" s="97">
        <f t="shared" ref="A3831:A3862" si="92">1+A3830</f>
        <v>3830</v>
      </c>
      <c r="B3831" s="96" t="s">
        <v>2330</v>
      </c>
      <c r="C3831" s="96" t="s">
        <v>9003</v>
      </c>
      <c r="D3831" t="s">
        <v>1771</v>
      </c>
      <c r="E3831" t="s">
        <v>8942</v>
      </c>
      <c r="G3831" s="100" t="s">
        <v>63</v>
      </c>
      <c r="H3831" s="97" t="str">
        <f>IFERROR(VLOOKUP(Table2[[#This Row],[Ticket]],Okey!A:B,2,0),"")</f>
        <v>ok</v>
      </c>
      <c r="I3831" s="105" t="s">
        <v>8318</v>
      </c>
      <c r="J3831" t="str">
        <f>VLOOKUP(Table2[[#This Row],[Author]],People!A:B,2,0)</f>
        <v>EL</v>
      </c>
      <c r="K3831" s="105"/>
      <c r="L3831" s="101"/>
      <c r="M3831" s="97" t="s">
        <v>8497</v>
      </c>
    </row>
    <row r="3832" spans="1:13" x14ac:dyDescent="0.25">
      <c r="A3832" s="97">
        <f t="shared" si="92"/>
        <v>3831</v>
      </c>
      <c r="B3832" s="96" t="s">
        <v>2330</v>
      </c>
      <c r="C3832" s="96" t="s">
        <v>9003</v>
      </c>
      <c r="D3832" t="s">
        <v>1773</v>
      </c>
      <c r="E3832" t="s">
        <v>8943</v>
      </c>
      <c r="G3832" s="100" t="s">
        <v>63</v>
      </c>
      <c r="H3832" s="97" t="str">
        <f>IFERROR(VLOOKUP(Table2[[#This Row],[Ticket]],Okey!A:B,2,0),"")</f>
        <v>ok</v>
      </c>
      <c r="I3832" s="105" t="s">
        <v>8318</v>
      </c>
      <c r="J3832" t="str">
        <f>VLOOKUP(Table2[[#This Row],[Author]],People!A:B,2,0)</f>
        <v>EL</v>
      </c>
      <c r="K3832" s="105"/>
      <c r="L3832" s="101"/>
      <c r="M3832" s="97" t="s">
        <v>8497</v>
      </c>
    </row>
    <row r="3833" spans="1:13" x14ac:dyDescent="0.25">
      <c r="A3833" s="97">
        <f t="shared" si="92"/>
        <v>3832</v>
      </c>
      <c r="B3833" s="96" t="s">
        <v>2330</v>
      </c>
      <c r="C3833" s="96" t="s">
        <v>9003</v>
      </c>
      <c r="D3833" t="s">
        <v>1775</v>
      </c>
      <c r="E3833" t="s">
        <v>8944</v>
      </c>
      <c r="G3833" s="100" t="s">
        <v>63</v>
      </c>
      <c r="H3833" s="97" t="str">
        <f>IFERROR(VLOOKUP(Table2[[#This Row],[Ticket]],Okey!A:B,2,0),"")</f>
        <v>ok</v>
      </c>
      <c r="I3833" s="105" t="s">
        <v>8318</v>
      </c>
      <c r="J3833" t="str">
        <f>VLOOKUP(Table2[[#This Row],[Author]],People!A:B,2,0)</f>
        <v>EL</v>
      </c>
      <c r="K3833" s="105"/>
      <c r="L3833" s="101"/>
      <c r="M3833" s="97" t="s">
        <v>8497</v>
      </c>
    </row>
    <row r="3834" spans="1:13" x14ac:dyDescent="0.25">
      <c r="A3834" s="97">
        <f t="shared" si="92"/>
        <v>3833</v>
      </c>
      <c r="B3834" s="96" t="s">
        <v>2330</v>
      </c>
      <c r="C3834" s="96" t="s">
        <v>9003</v>
      </c>
      <c r="D3834" t="s">
        <v>1990</v>
      </c>
      <c r="E3834" t="s">
        <v>8945</v>
      </c>
      <c r="G3834" s="100" t="s">
        <v>63</v>
      </c>
      <c r="H3834" s="97" t="str">
        <f>IFERROR(VLOOKUP(Table2[[#This Row],[Ticket]],Okey!A:B,2,0),"")</f>
        <v>ok</v>
      </c>
      <c r="I3834" s="105" t="s">
        <v>8318</v>
      </c>
      <c r="J3834" t="str">
        <f>VLOOKUP(Table2[[#This Row],[Author]],People!A:B,2,0)</f>
        <v>EL</v>
      </c>
      <c r="K3834" s="105"/>
      <c r="L3834" s="101"/>
      <c r="M3834" s="97" t="s">
        <v>8497</v>
      </c>
    </row>
    <row r="3835" spans="1:13" x14ac:dyDescent="0.25">
      <c r="A3835" s="97">
        <f t="shared" si="92"/>
        <v>3834</v>
      </c>
      <c r="B3835" s="96" t="s">
        <v>2330</v>
      </c>
      <c r="C3835" s="96" t="s">
        <v>9003</v>
      </c>
      <c r="D3835" t="s">
        <v>1777</v>
      </c>
      <c r="E3835" t="s">
        <v>8946</v>
      </c>
      <c r="G3835" s="100" t="s">
        <v>63</v>
      </c>
      <c r="H3835" s="97" t="str">
        <f>IFERROR(VLOOKUP(Table2[[#This Row],[Ticket]],Okey!A:B,2,0),"")</f>
        <v>ok</v>
      </c>
      <c r="I3835" s="105" t="s">
        <v>8318</v>
      </c>
      <c r="J3835" t="str">
        <f>VLOOKUP(Table2[[#This Row],[Author]],People!A:B,2,0)</f>
        <v>EL</v>
      </c>
      <c r="K3835" s="105"/>
      <c r="L3835" s="101"/>
      <c r="M3835" s="97" t="s">
        <v>8497</v>
      </c>
    </row>
    <row r="3836" spans="1:13" x14ac:dyDescent="0.25">
      <c r="A3836" s="97">
        <f t="shared" si="92"/>
        <v>3835</v>
      </c>
      <c r="B3836" s="96" t="s">
        <v>2330</v>
      </c>
      <c r="C3836" s="96" t="s">
        <v>9003</v>
      </c>
      <c r="D3836" t="s">
        <v>1779</v>
      </c>
      <c r="E3836" t="s">
        <v>8947</v>
      </c>
      <c r="G3836" s="100" t="s">
        <v>63</v>
      </c>
      <c r="H3836" s="97" t="str">
        <f>IFERROR(VLOOKUP(Table2[[#This Row],[Ticket]],Okey!A:B,2,0),"")</f>
        <v>ok</v>
      </c>
      <c r="I3836" s="105" t="s">
        <v>8318</v>
      </c>
      <c r="J3836" t="str">
        <f>VLOOKUP(Table2[[#This Row],[Author]],People!A:B,2,0)</f>
        <v>EL</v>
      </c>
      <c r="K3836" s="105"/>
      <c r="L3836" s="101"/>
      <c r="M3836" s="97" t="s">
        <v>8497</v>
      </c>
    </row>
    <row r="3837" spans="1:13" x14ac:dyDescent="0.25">
      <c r="A3837" s="97">
        <f t="shared" si="92"/>
        <v>3836</v>
      </c>
      <c r="B3837" s="96" t="s">
        <v>2330</v>
      </c>
      <c r="C3837" s="96" t="s">
        <v>9003</v>
      </c>
      <c r="D3837" t="s">
        <v>1781</v>
      </c>
      <c r="E3837" t="s">
        <v>8948</v>
      </c>
      <c r="G3837" s="100" t="s">
        <v>63</v>
      </c>
      <c r="H3837" s="97" t="str">
        <f>IFERROR(VLOOKUP(Table2[[#This Row],[Ticket]],Okey!A:B,2,0),"")</f>
        <v>ok</v>
      </c>
      <c r="I3837" s="105" t="s">
        <v>8318</v>
      </c>
      <c r="J3837" t="str">
        <f>VLOOKUP(Table2[[#This Row],[Author]],People!A:B,2,0)</f>
        <v>EL</v>
      </c>
      <c r="K3837" s="105"/>
      <c r="L3837" s="101"/>
      <c r="M3837" s="97" t="s">
        <v>8497</v>
      </c>
    </row>
    <row r="3838" spans="1:13" x14ac:dyDescent="0.25">
      <c r="A3838" s="97">
        <f t="shared" si="92"/>
        <v>3837</v>
      </c>
      <c r="B3838" s="96" t="s">
        <v>2330</v>
      </c>
      <c r="C3838" s="96" t="s">
        <v>9003</v>
      </c>
      <c r="D3838" t="s">
        <v>1783</v>
      </c>
      <c r="E3838" t="s">
        <v>8949</v>
      </c>
      <c r="G3838" s="100" t="s">
        <v>63</v>
      </c>
      <c r="H3838" s="97" t="str">
        <f>IFERROR(VLOOKUP(Table2[[#This Row],[Ticket]],Okey!A:B,2,0),"")</f>
        <v>ok</v>
      </c>
      <c r="I3838" s="105" t="s">
        <v>8318</v>
      </c>
      <c r="J3838" t="str">
        <f>VLOOKUP(Table2[[#This Row],[Author]],People!A:B,2,0)</f>
        <v>EL</v>
      </c>
      <c r="K3838" s="105"/>
      <c r="L3838" s="101"/>
      <c r="M3838" s="97" t="s">
        <v>8497</v>
      </c>
    </row>
    <row r="3839" spans="1:13" x14ac:dyDescent="0.25">
      <c r="A3839" s="97">
        <f t="shared" si="92"/>
        <v>3838</v>
      </c>
      <c r="B3839" s="96" t="s">
        <v>2330</v>
      </c>
      <c r="C3839" s="96" t="s">
        <v>9003</v>
      </c>
      <c r="D3839" t="s">
        <v>1785</v>
      </c>
      <c r="E3839" t="s">
        <v>8950</v>
      </c>
      <c r="G3839" s="100" t="s">
        <v>63</v>
      </c>
      <c r="H3839" s="97" t="str">
        <f>IFERROR(VLOOKUP(Table2[[#This Row],[Ticket]],Okey!A:B,2,0),"")</f>
        <v>ok</v>
      </c>
      <c r="I3839" s="105" t="s">
        <v>8318</v>
      </c>
      <c r="J3839" t="str">
        <f>VLOOKUP(Table2[[#This Row],[Author]],People!A:B,2,0)</f>
        <v>EL</v>
      </c>
      <c r="K3839" s="105"/>
      <c r="L3839" s="101"/>
      <c r="M3839" s="97" t="s">
        <v>8497</v>
      </c>
    </row>
    <row r="3840" spans="1:13" x14ac:dyDescent="0.25">
      <c r="A3840" s="97">
        <f t="shared" si="92"/>
        <v>3839</v>
      </c>
      <c r="B3840" s="96" t="s">
        <v>2330</v>
      </c>
      <c r="C3840" s="96" t="s">
        <v>9003</v>
      </c>
      <c r="D3840" t="s">
        <v>8553</v>
      </c>
      <c r="E3840" t="s">
        <v>8951</v>
      </c>
      <c r="G3840" s="100" t="s">
        <v>63</v>
      </c>
      <c r="H3840" s="97" t="str">
        <f>IFERROR(VLOOKUP(Table2[[#This Row],[Ticket]],Okey!A:B,2,0),"")</f>
        <v>ok</v>
      </c>
      <c r="I3840" s="105" t="s">
        <v>8318</v>
      </c>
      <c r="J3840" t="str">
        <f>VLOOKUP(Table2[[#This Row],[Author]],People!A:B,2,0)</f>
        <v>EL</v>
      </c>
      <c r="K3840" s="105"/>
      <c r="L3840" s="101"/>
      <c r="M3840" s="97" t="s">
        <v>8497</v>
      </c>
    </row>
    <row r="3841" spans="1:13" x14ac:dyDescent="0.25">
      <c r="A3841" s="97">
        <f t="shared" si="92"/>
        <v>3840</v>
      </c>
      <c r="B3841" s="96" t="s">
        <v>2330</v>
      </c>
      <c r="C3841" s="96" t="s">
        <v>9003</v>
      </c>
      <c r="D3841" t="s">
        <v>1787</v>
      </c>
      <c r="E3841" t="s">
        <v>8952</v>
      </c>
      <c r="G3841" s="100" t="s">
        <v>63</v>
      </c>
      <c r="H3841" s="97" t="str">
        <f>IFERROR(VLOOKUP(Table2[[#This Row],[Ticket]],Okey!A:B,2,0),"")</f>
        <v>ok</v>
      </c>
      <c r="I3841" s="105" t="s">
        <v>8318</v>
      </c>
      <c r="J3841" t="str">
        <f>VLOOKUP(Table2[[#This Row],[Author]],People!A:B,2,0)</f>
        <v>EL</v>
      </c>
      <c r="K3841" s="105"/>
      <c r="L3841" s="101"/>
      <c r="M3841" s="97" t="s">
        <v>8497</v>
      </c>
    </row>
    <row r="3842" spans="1:13" x14ac:dyDescent="0.25">
      <c r="A3842" s="97">
        <f t="shared" si="92"/>
        <v>3841</v>
      </c>
      <c r="B3842" s="96" t="s">
        <v>2330</v>
      </c>
      <c r="C3842" s="96" t="s">
        <v>9003</v>
      </c>
      <c r="D3842" t="s">
        <v>1789</v>
      </c>
      <c r="E3842" t="s">
        <v>8953</v>
      </c>
      <c r="G3842" s="100" t="s">
        <v>63</v>
      </c>
      <c r="H3842" s="97" t="str">
        <f>IFERROR(VLOOKUP(Table2[[#This Row],[Ticket]],Okey!A:B,2,0),"")</f>
        <v>ok</v>
      </c>
      <c r="I3842" s="105" t="s">
        <v>8318</v>
      </c>
      <c r="J3842" t="str">
        <f>VLOOKUP(Table2[[#This Row],[Author]],People!A:B,2,0)</f>
        <v>EL</v>
      </c>
      <c r="K3842" s="105"/>
      <c r="L3842" s="101"/>
      <c r="M3842" s="97" t="s">
        <v>8497</v>
      </c>
    </row>
    <row r="3843" spans="1:13" x14ac:dyDescent="0.25">
      <c r="A3843" s="97">
        <f t="shared" si="92"/>
        <v>3842</v>
      </c>
      <c r="B3843" s="96" t="s">
        <v>2330</v>
      </c>
      <c r="C3843" s="96" t="s">
        <v>9003</v>
      </c>
      <c r="D3843" t="s">
        <v>1791</v>
      </c>
      <c r="E3843" t="s">
        <v>8954</v>
      </c>
      <c r="G3843" s="100" t="s">
        <v>63</v>
      </c>
      <c r="H3843" s="97" t="str">
        <f>IFERROR(VLOOKUP(Table2[[#This Row],[Ticket]],Okey!A:B,2,0),"")</f>
        <v>ok</v>
      </c>
      <c r="I3843" s="105" t="s">
        <v>8318</v>
      </c>
      <c r="J3843" t="str">
        <f>VLOOKUP(Table2[[#This Row],[Author]],People!A:B,2,0)</f>
        <v>EL</v>
      </c>
      <c r="K3843" s="105"/>
      <c r="L3843" s="101"/>
      <c r="M3843" s="97" t="s">
        <v>8497</v>
      </c>
    </row>
    <row r="3844" spans="1:13" x14ac:dyDescent="0.25">
      <c r="A3844" s="97">
        <f t="shared" si="92"/>
        <v>3843</v>
      </c>
      <c r="B3844" s="96" t="s">
        <v>2330</v>
      </c>
      <c r="C3844" s="96" t="s">
        <v>9003</v>
      </c>
      <c r="D3844" t="s">
        <v>1793</v>
      </c>
      <c r="E3844" t="s">
        <v>8955</v>
      </c>
      <c r="G3844" s="100" t="s">
        <v>63</v>
      </c>
      <c r="H3844" s="97" t="str">
        <f>IFERROR(VLOOKUP(Table2[[#This Row],[Ticket]],Okey!A:B,2,0),"")</f>
        <v>ok</v>
      </c>
      <c r="I3844" s="105" t="s">
        <v>8318</v>
      </c>
      <c r="J3844" t="str">
        <f>VLOOKUP(Table2[[#This Row],[Author]],People!A:B,2,0)</f>
        <v>EL</v>
      </c>
      <c r="K3844" s="105"/>
      <c r="L3844" s="101"/>
      <c r="M3844" s="97" t="s">
        <v>8497</v>
      </c>
    </row>
    <row r="3845" spans="1:13" x14ac:dyDescent="0.25">
      <c r="A3845" s="97">
        <f t="shared" si="92"/>
        <v>3844</v>
      </c>
      <c r="B3845" s="96" t="s">
        <v>2330</v>
      </c>
      <c r="C3845" s="96" t="s">
        <v>9003</v>
      </c>
      <c r="D3845" t="s">
        <v>8366</v>
      </c>
      <c r="E3845" t="s">
        <v>8956</v>
      </c>
      <c r="G3845" s="100" t="s">
        <v>63</v>
      </c>
      <c r="H3845" s="97" t="str">
        <f>IFERROR(VLOOKUP(Table2[[#This Row],[Ticket]],Okey!A:B,2,0),"")</f>
        <v>ok</v>
      </c>
      <c r="I3845" s="105" t="s">
        <v>8318</v>
      </c>
      <c r="J3845" t="str">
        <f>VLOOKUP(Table2[[#This Row],[Author]],People!A:B,2,0)</f>
        <v>EL</v>
      </c>
      <c r="K3845" s="105"/>
      <c r="L3845" s="101"/>
      <c r="M3845" s="97" t="s">
        <v>8497</v>
      </c>
    </row>
    <row r="3846" spans="1:13" x14ac:dyDescent="0.25">
      <c r="A3846" s="97">
        <f t="shared" si="92"/>
        <v>3845</v>
      </c>
      <c r="B3846" s="96" t="s">
        <v>2330</v>
      </c>
      <c r="C3846" s="96" t="s">
        <v>9003</v>
      </c>
      <c r="D3846" t="s">
        <v>8583</v>
      </c>
      <c r="E3846" t="s">
        <v>8957</v>
      </c>
      <c r="G3846" s="100" t="s">
        <v>63</v>
      </c>
      <c r="H3846" s="97" t="str">
        <f>IFERROR(VLOOKUP(Table2[[#This Row],[Ticket]],Okey!A:B,2,0),"")</f>
        <v>ok</v>
      </c>
      <c r="I3846" s="105" t="s">
        <v>8318</v>
      </c>
      <c r="J3846" t="str">
        <f>VLOOKUP(Table2[[#This Row],[Author]],People!A:B,2,0)</f>
        <v>EL</v>
      </c>
      <c r="K3846" s="105"/>
      <c r="L3846" s="101"/>
      <c r="M3846" s="97" t="s">
        <v>8497</v>
      </c>
    </row>
    <row r="3847" spans="1:13" x14ac:dyDescent="0.25">
      <c r="A3847" s="97">
        <f t="shared" si="92"/>
        <v>3846</v>
      </c>
      <c r="B3847" s="96" t="s">
        <v>2330</v>
      </c>
      <c r="C3847" s="96" t="s">
        <v>9003</v>
      </c>
      <c r="D3847" t="s">
        <v>8584</v>
      </c>
      <c r="E3847" t="s">
        <v>8958</v>
      </c>
      <c r="G3847" s="100" t="s">
        <v>63</v>
      </c>
      <c r="H3847" s="97" t="str">
        <f>IFERROR(VLOOKUP(Table2[[#This Row],[Ticket]],Okey!A:B,2,0),"")</f>
        <v>ok</v>
      </c>
      <c r="I3847" s="105" t="s">
        <v>8318</v>
      </c>
      <c r="J3847" t="str">
        <f>VLOOKUP(Table2[[#This Row],[Author]],People!A:B,2,0)</f>
        <v>EL</v>
      </c>
      <c r="K3847" s="105"/>
      <c r="L3847" s="101"/>
      <c r="M3847" s="97" t="s">
        <v>8497</v>
      </c>
    </row>
    <row r="3848" spans="1:13" x14ac:dyDescent="0.25">
      <c r="A3848" s="97">
        <f t="shared" si="92"/>
        <v>3847</v>
      </c>
      <c r="B3848" s="96" t="s">
        <v>2330</v>
      </c>
      <c r="C3848" s="96" t="s">
        <v>9003</v>
      </c>
      <c r="D3848" t="s">
        <v>8575</v>
      </c>
      <c r="E3848" t="s">
        <v>8959</v>
      </c>
      <c r="G3848" s="100" t="s">
        <v>63</v>
      </c>
      <c r="H3848" s="97" t="str">
        <f>IFERROR(VLOOKUP(Table2[[#This Row],[Ticket]],Okey!A:B,2,0),"")</f>
        <v>ok</v>
      </c>
      <c r="I3848" s="105" t="s">
        <v>8318</v>
      </c>
      <c r="J3848" t="str">
        <f>VLOOKUP(Table2[[#This Row],[Author]],People!A:B,2,0)</f>
        <v>EL</v>
      </c>
      <c r="K3848" s="105"/>
      <c r="L3848" s="101"/>
      <c r="M3848" s="97" t="s">
        <v>8497</v>
      </c>
    </row>
    <row r="3849" spans="1:13" x14ac:dyDescent="0.25">
      <c r="A3849" s="97">
        <f t="shared" si="92"/>
        <v>3848</v>
      </c>
      <c r="B3849" s="96" t="s">
        <v>2330</v>
      </c>
      <c r="C3849" s="96" t="s">
        <v>9003</v>
      </c>
      <c r="D3849" t="s">
        <v>1795</v>
      </c>
      <c r="E3849" t="s">
        <v>8960</v>
      </c>
      <c r="G3849" s="100" t="s">
        <v>63</v>
      </c>
      <c r="H3849" s="97" t="str">
        <f>IFERROR(VLOOKUP(Table2[[#This Row],[Ticket]],Okey!A:B,2,0),"")</f>
        <v>ok</v>
      </c>
      <c r="I3849" s="105" t="s">
        <v>8318</v>
      </c>
      <c r="J3849" t="str">
        <f>VLOOKUP(Table2[[#This Row],[Author]],People!A:B,2,0)</f>
        <v>EL</v>
      </c>
      <c r="K3849" s="105"/>
      <c r="L3849" s="101"/>
      <c r="M3849" s="97" t="s">
        <v>8497</v>
      </c>
    </row>
    <row r="3850" spans="1:13" x14ac:dyDescent="0.25">
      <c r="A3850" s="97">
        <f t="shared" si="92"/>
        <v>3849</v>
      </c>
      <c r="B3850" s="96" t="s">
        <v>2330</v>
      </c>
      <c r="C3850" s="96" t="s">
        <v>9003</v>
      </c>
      <c r="D3850" t="s">
        <v>1797</v>
      </c>
      <c r="E3850" t="s">
        <v>8961</v>
      </c>
      <c r="G3850" s="100" t="s">
        <v>63</v>
      </c>
      <c r="H3850" s="97" t="str">
        <f>IFERROR(VLOOKUP(Table2[[#This Row],[Ticket]],Okey!A:B,2,0),"")</f>
        <v>ok</v>
      </c>
      <c r="I3850" s="105" t="s">
        <v>8318</v>
      </c>
      <c r="J3850" t="str">
        <f>VLOOKUP(Table2[[#This Row],[Author]],People!A:B,2,0)</f>
        <v>EL</v>
      </c>
      <c r="K3850" s="105"/>
      <c r="L3850" s="101"/>
      <c r="M3850" s="97" t="s">
        <v>8497</v>
      </c>
    </row>
    <row r="3851" spans="1:13" x14ac:dyDescent="0.25">
      <c r="A3851" s="97">
        <f t="shared" si="92"/>
        <v>3850</v>
      </c>
      <c r="B3851" s="96" t="s">
        <v>2330</v>
      </c>
      <c r="C3851" s="96" t="s">
        <v>9003</v>
      </c>
      <c r="D3851" t="s">
        <v>1799</v>
      </c>
      <c r="E3851" t="s">
        <v>8962</v>
      </c>
      <c r="G3851" s="100" t="s">
        <v>63</v>
      </c>
      <c r="H3851" s="97" t="str">
        <f>IFERROR(VLOOKUP(Table2[[#This Row],[Ticket]],Okey!A:B,2,0),"")</f>
        <v>ok</v>
      </c>
      <c r="I3851" s="105" t="s">
        <v>8318</v>
      </c>
      <c r="J3851" t="str">
        <f>VLOOKUP(Table2[[#This Row],[Author]],People!A:B,2,0)</f>
        <v>EL</v>
      </c>
      <c r="K3851" s="105"/>
      <c r="L3851" s="101"/>
      <c r="M3851" s="97" t="s">
        <v>8497</v>
      </c>
    </row>
    <row r="3852" spans="1:13" x14ac:dyDescent="0.25">
      <c r="A3852" s="97">
        <f t="shared" si="92"/>
        <v>3851</v>
      </c>
      <c r="B3852" s="96" t="s">
        <v>2330</v>
      </c>
      <c r="C3852" s="96" t="s">
        <v>9003</v>
      </c>
      <c r="D3852" t="s">
        <v>1801</v>
      </c>
      <c r="E3852" t="s">
        <v>8963</v>
      </c>
      <c r="G3852" s="100" t="s">
        <v>63</v>
      </c>
      <c r="H3852" s="97" t="str">
        <f>IFERROR(VLOOKUP(Table2[[#This Row],[Ticket]],Okey!A:B,2,0),"")</f>
        <v>ok</v>
      </c>
      <c r="I3852" s="105" t="s">
        <v>8318</v>
      </c>
      <c r="J3852" t="str">
        <f>VLOOKUP(Table2[[#This Row],[Author]],People!A:B,2,0)</f>
        <v>EL</v>
      </c>
      <c r="K3852" s="105"/>
      <c r="L3852" s="101"/>
      <c r="M3852" s="97" t="s">
        <v>8497</v>
      </c>
    </row>
    <row r="3853" spans="1:13" x14ac:dyDescent="0.25">
      <c r="A3853" s="97">
        <f t="shared" si="92"/>
        <v>3852</v>
      </c>
      <c r="B3853" s="96" t="s">
        <v>2330</v>
      </c>
      <c r="C3853" s="96" t="s">
        <v>9003</v>
      </c>
      <c r="D3853" t="s">
        <v>1803</v>
      </c>
      <c r="E3853" t="s">
        <v>8964</v>
      </c>
      <c r="G3853" s="100" t="s">
        <v>63</v>
      </c>
      <c r="H3853" s="97" t="str">
        <f>IFERROR(VLOOKUP(Table2[[#This Row],[Ticket]],Okey!A:B,2,0),"")</f>
        <v>ok</v>
      </c>
      <c r="I3853" s="105" t="s">
        <v>8318</v>
      </c>
      <c r="J3853" t="str">
        <f>VLOOKUP(Table2[[#This Row],[Author]],People!A:B,2,0)</f>
        <v>EL</v>
      </c>
      <c r="K3853" s="105"/>
      <c r="L3853" s="101"/>
      <c r="M3853" s="97" t="s">
        <v>8497</v>
      </c>
    </row>
    <row r="3854" spans="1:13" x14ac:dyDescent="0.25">
      <c r="A3854" s="97">
        <f t="shared" si="92"/>
        <v>3853</v>
      </c>
      <c r="B3854" s="96" t="s">
        <v>2330</v>
      </c>
      <c r="C3854" s="96" t="s">
        <v>9003</v>
      </c>
      <c r="D3854" t="s">
        <v>1805</v>
      </c>
      <c r="E3854" t="s">
        <v>8965</v>
      </c>
      <c r="G3854" s="100" t="s">
        <v>63</v>
      </c>
      <c r="H3854" s="97" t="str">
        <f>IFERROR(VLOOKUP(Table2[[#This Row],[Ticket]],Okey!A:B,2,0),"")</f>
        <v>ok</v>
      </c>
      <c r="I3854" s="105" t="s">
        <v>8318</v>
      </c>
      <c r="J3854" t="str">
        <f>VLOOKUP(Table2[[#This Row],[Author]],People!A:B,2,0)</f>
        <v>EL</v>
      </c>
      <c r="K3854" s="105"/>
      <c r="L3854" s="101"/>
      <c r="M3854" s="97" t="s">
        <v>8497</v>
      </c>
    </row>
    <row r="3855" spans="1:13" x14ac:dyDescent="0.25">
      <c r="A3855" s="97">
        <f t="shared" si="92"/>
        <v>3854</v>
      </c>
      <c r="B3855" s="96" t="s">
        <v>2330</v>
      </c>
      <c r="C3855" s="96" t="s">
        <v>9003</v>
      </c>
      <c r="D3855" t="s">
        <v>1807</v>
      </c>
      <c r="E3855" t="s">
        <v>8966</v>
      </c>
      <c r="G3855" s="100" t="s">
        <v>63</v>
      </c>
      <c r="H3855" s="97" t="str">
        <f>IFERROR(VLOOKUP(Table2[[#This Row],[Ticket]],Okey!A:B,2,0),"")</f>
        <v>ok</v>
      </c>
      <c r="I3855" s="105" t="s">
        <v>8318</v>
      </c>
      <c r="J3855" t="str">
        <f>VLOOKUP(Table2[[#This Row],[Author]],People!A:B,2,0)</f>
        <v>EL</v>
      </c>
      <c r="K3855" s="105"/>
      <c r="L3855" s="101"/>
      <c r="M3855" s="97" t="s">
        <v>8497</v>
      </c>
    </row>
    <row r="3856" spans="1:13" x14ac:dyDescent="0.25">
      <c r="A3856" s="97">
        <f t="shared" si="92"/>
        <v>3855</v>
      </c>
      <c r="B3856" s="96" t="s">
        <v>2330</v>
      </c>
      <c r="C3856" s="96" t="s">
        <v>9003</v>
      </c>
      <c r="D3856" t="s">
        <v>8967</v>
      </c>
      <c r="E3856" t="s">
        <v>8968</v>
      </c>
      <c r="G3856" s="100" t="s">
        <v>63</v>
      </c>
      <c r="H3856" s="97" t="str">
        <f>IFERROR(VLOOKUP(Table2[[#This Row],[Ticket]],Okey!A:B,2,0),"")</f>
        <v>ok</v>
      </c>
      <c r="I3856" s="105" t="s">
        <v>8318</v>
      </c>
      <c r="J3856" t="str">
        <f>VLOOKUP(Table2[[#This Row],[Author]],People!A:B,2,0)</f>
        <v>EL</v>
      </c>
      <c r="K3856" s="105"/>
      <c r="L3856" s="101"/>
      <c r="M3856" s="97" t="s">
        <v>8497</v>
      </c>
    </row>
    <row r="3857" spans="1:13" x14ac:dyDescent="0.25">
      <c r="A3857" s="97">
        <f t="shared" si="92"/>
        <v>3856</v>
      </c>
      <c r="B3857" s="96" t="s">
        <v>2330</v>
      </c>
      <c r="C3857" s="96" t="s">
        <v>9003</v>
      </c>
      <c r="D3857" t="s">
        <v>5598</v>
      </c>
      <c r="E3857" t="s">
        <v>8969</v>
      </c>
      <c r="G3857" s="100" t="s">
        <v>63</v>
      </c>
      <c r="H3857" s="97" t="str">
        <f>IFERROR(VLOOKUP(Table2[[#This Row],[Ticket]],Okey!A:B,2,0),"")</f>
        <v>ok</v>
      </c>
      <c r="I3857" s="105" t="s">
        <v>8318</v>
      </c>
      <c r="J3857" t="str">
        <f>VLOOKUP(Table2[[#This Row],[Author]],People!A:B,2,0)</f>
        <v>EL</v>
      </c>
      <c r="K3857" s="105"/>
      <c r="L3857" s="101"/>
      <c r="M3857" s="97" t="s">
        <v>8497</v>
      </c>
    </row>
    <row r="3858" spans="1:13" x14ac:dyDescent="0.25">
      <c r="A3858" s="97">
        <f t="shared" si="92"/>
        <v>3857</v>
      </c>
      <c r="B3858" s="96" t="s">
        <v>2330</v>
      </c>
      <c r="C3858" s="96" t="s">
        <v>9003</v>
      </c>
      <c r="D3858" t="s">
        <v>5600</v>
      </c>
      <c r="E3858" t="s">
        <v>8970</v>
      </c>
      <c r="G3858" s="100" t="s">
        <v>63</v>
      </c>
      <c r="H3858" s="97" t="str">
        <f>IFERROR(VLOOKUP(Table2[[#This Row],[Ticket]],Okey!A:B,2,0),"")</f>
        <v>ok</v>
      </c>
      <c r="I3858" s="105" t="s">
        <v>8318</v>
      </c>
      <c r="J3858" t="str">
        <f>VLOOKUP(Table2[[#This Row],[Author]],People!A:B,2,0)</f>
        <v>EL</v>
      </c>
      <c r="K3858" s="105"/>
      <c r="L3858" s="101"/>
      <c r="M3858" s="97" t="s">
        <v>8497</v>
      </c>
    </row>
    <row r="3859" spans="1:13" x14ac:dyDescent="0.25">
      <c r="A3859" s="97">
        <f t="shared" si="92"/>
        <v>3858</v>
      </c>
      <c r="B3859" s="96" t="s">
        <v>2330</v>
      </c>
      <c r="C3859" s="96" t="s">
        <v>9003</v>
      </c>
      <c r="D3859" t="s">
        <v>8971</v>
      </c>
      <c r="E3859" t="s">
        <v>8972</v>
      </c>
      <c r="G3859" s="100" t="s">
        <v>63</v>
      </c>
      <c r="H3859" s="97" t="str">
        <f>IFERROR(VLOOKUP(Table2[[#This Row],[Ticket]],Okey!A:B,2,0),"")</f>
        <v>ok</v>
      </c>
      <c r="I3859" s="105" t="s">
        <v>8318</v>
      </c>
      <c r="J3859" t="str">
        <f>VLOOKUP(Table2[[#This Row],[Author]],People!A:B,2,0)</f>
        <v>EL</v>
      </c>
      <c r="K3859" s="105"/>
      <c r="L3859" s="101"/>
      <c r="M3859" s="97" t="s">
        <v>8497</v>
      </c>
    </row>
    <row r="3860" spans="1:13" x14ac:dyDescent="0.25">
      <c r="A3860" s="97">
        <f t="shared" si="92"/>
        <v>3859</v>
      </c>
      <c r="B3860" s="96" t="s">
        <v>2330</v>
      </c>
      <c r="C3860" s="96" t="s">
        <v>9003</v>
      </c>
      <c r="D3860" t="s">
        <v>8973</v>
      </c>
      <c r="E3860" t="s">
        <v>8974</v>
      </c>
      <c r="G3860" s="100" t="s">
        <v>63</v>
      </c>
      <c r="H3860" s="97" t="str">
        <f>IFERROR(VLOOKUP(Table2[[#This Row],[Ticket]],Okey!A:B,2,0),"")</f>
        <v>ok</v>
      </c>
      <c r="I3860" s="105" t="s">
        <v>8318</v>
      </c>
      <c r="J3860" t="str">
        <f>VLOOKUP(Table2[[#This Row],[Author]],People!A:B,2,0)</f>
        <v>EL</v>
      </c>
      <c r="K3860" s="105"/>
      <c r="L3860" s="101"/>
      <c r="M3860" s="97" t="s">
        <v>8497</v>
      </c>
    </row>
    <row r="3861" spans="1:13" x14ac:dyDescent="0.25">
      <c r="A3861" s="97">
        <f t="shared" si="92"/>
        <v>3860</v>
      </c>
      <c r="B3861" s="96" t="s">
        <v>2330</v>
      </c>
      <c r="C3861" s="96" t="s">
        <v>9003</v>
      </c>
      <c r="D3861" t="s">
        <v>5602</v>
      </c>
      <c r="E3861" t="s">
        <v>7111</v>
      </c>
      <c r="G3861" s="100" t="s">
        <v>63</v>
      </c>
      <c r="H3861" s="97" t="str">
        <f>IFERROR(VLOOKUP(Table2[[#This Row],[Ticket]],Okey!A:B,2,0),"")</f>
        <v>ok</v>
      </c>
      <c r="I3861" s="105" t="s">
        <v>8318</v>
      </c>
      <c r="J3861" t="str">
        <f>VLOOKUP(Table2[[#This Row],[Author]],People!A:B,2,0)</f>
        <v>EL</v>
      </c>
      <c r="K3861" s="105"/>
      <c r="L3861" s="101"/>
      <c r="M3861" s="97" t="s">
        <v>8497</v>
      </c>
    </row>
    <row r="3862" spans="1:13" x14ac:dyDescent="0.25">
      <c r="A3862" s="97">
        <f t="shared" si="92"/>
        <v>3861</v>
      </c>
      <c r="B3862" s="96" t="s">
        <v>2330</v>
      </c>
      <c r="C3862" s="96" t="s">
        <v>9003</v>
      </c>
      <c r="D3862" t="s">
        <v>5606</v>
      </c>
      <c r="E3862" t="s">
        <v>8975</v>
      </c>
      <c r="G3862" s="100" t="s">
        <v>63</v>
      </c>
      <c r="H3862" s="97" t="str">
        <f>IFERROR(VLOOKUP(Table2[[#This Row],[Ticket]],Okey!A:B,2,0),"")</f>
        <v>ok</v>
      </c>
      <c r="I3862" s="105" t="s">
        <v>8318</v>
      </c>
      <c r="J3862" t="str">
        <f>VLOOKUP(Table2[[#This Row],[Author]],People!A:B,2,0)</f>
        <v>EL</v>
      </c>
      <c r="K3862" s="105"/>
      <c r="L3862" s="101"/>
      <c r="M3862" s="97" t="s">
        <v>8497</v>
      </c>
    </row>
    <row r="3863" spans="1:13" x14ac:dyDescent="0.25">
      <c r="A3863" s="97">
        <f t="shared" ref="A3863:A3886" si="93">1+A3862</f>
        <v>3862</v>
      </c>
      <c r="B3863" s="96" t="s">
        <v>2330</v>
      </c>
      <c r="C3863" s="96" t="s">
        <v>9003</v>
      </c>
      <c r="D3863" t="s">
        <v>5523</v>
      </c>
      <c r="E3863" t="s">
        <v>8976</v>
      </c>
      <c r="G3863" s="100" t="s">
        <v>63</v>
      </c>
      <c r="H3863" s="97" t="str">
        <f>IFERROR(VLOOKUP(Table2[[#This Row],[Ticket]],Okey!A:B,2,0),"")</f>
        <v>ok</v>
      </c>
      <c r="I3863" s="105" t="s">
        <v>8318</v>
      </c>
      <c r="J3863" t="str">
        <f>VLOOKUP(Table2[[#This Row],[Author]],People!A:B,2,0)</f>
        <v>EL</v>
      </c>
      <c r="K3863" s="105"/>
      <c r="L3863" s="101"/>
      <c r="M3863" s="97" t="s">
        <v>8497</v>
      </c>
    </row>
    <row r="3864" spans="1:13" x14ac:dyDescent="0.25">
      <c r="A3864" s="97">
        <f t="shared" si="93"/>
        <v>3863</v>
      </c>
      <c r="B3864" s="96" t="s">
        <v>2330</v>
      </c>
      <c r="C3864" s="96" t="s">
        <v>9003</v>
      </c>
      <c r="D3864" t="s">
        <v>5535</v>
      </c>
      <c r="E3864" t="s">
        <v>8977</v>
      </c>
      <c r="G3864" s="100" t="s">
        <v>63</v>
      </c>
      <c r="H3864" s="97" t="str">
        <f>IFERROR(VLOOKUP(Table2[[#This Row],[Ticket]],Okey!A:B,2,0),"")</f>
        <v>ok</v>
      </c>
      <c r="I3864" s="105" t="s">
        <v>8318</v>
      </c>
      <c r="J3864" t="str">
        <f>VLOOKUP(Table2[[#This Row],[Author]],People!A:B,2,0)</f>
        <v>EL</v>
      </c>
      <c r="K3864" s="105"/>
      <c r="L3864" s="101"/>
      <c r="M3864" s="97" t="s">
        <v>8497</v>
      </c>
    </row>
    <row r="3865" spans="1:13" x14ac:dyDescent="0.25">
      <c r="A3865" s="97">
        <f t="shared" si="93"/>
        <v>3864</v>
      </c>
      <c r="B3865" s="96" t="s">
        <v>2330</v>
      </c>
      <c r="C3865" s="96" t="s">
        <v>9003</v>
      </c>
      <c r="D3865" t="s">
        <v>2757</v>
      </c>
      <c r="E3865" t="s">
        <v>8978</v>
      </c>
      <c r="G3865" s="100" t="s">
        <v>63</v>
      </c>
      <c r="H3865" s="97" t="str">
        <f>IFERROR(VLOOKUP(Table2[[#This Row],[Ticket]],Okey!A:B,2,0),"")</f>
        <v>ok</v>
      </c>
      <c r="I3865" s="105" t="s">
        <v>8318</v>
      </c>
      <c r="J3865" t="str">
        <f>VLOOKUP(Table2[[#This Row],[Author]],People!A:B,2,0)</f>
        <v>EL</v>
      </c>
      <c r="K3865" s="105"/>
      <c r="L3865" s="101"/>
      <c r="M3865" s="97" t="s">
        <v>8497</v>
      </c>
    </row>
    <row r="3866" spans="1:13" x14ac:dyDescent="0.25">
      <c r="A3866" s="97">
        <f t="shared" si="93"/>
        <v>3865</v>
      </c>
      <c r="B3866" s="96" t="s">
        <v>2330</v>
      </c>
      <c r="C3866" s="96" t="s">
        <v>9003</v>
      </c>
      <c r="D3866" t="s">
        <v>7117</v>
      </c>
      <c r="E3866" t="s">
        <v>8979</v>
      </c>
      <c r="G3866" s="100" t="s">
        <v>63</v>
      </c>
      <c r="H3866" s="97" t="str">
        <f>IFERROR(VLOOKUP(Table2[[#This Row],[Ticket]],Okey!A:B,2,0),"")</f>
        <v>ok</v>
      </c>
      <c r="I3866" s="105" t="s">
        <v>8318</v>
      </c>
      <c r="J3866" t="str">
        <f>VLOOKUP(Table2[[#This Row],[Author]],People!A:B,2,0)</f>
        <v>EL</v>
      </c>
      <c r="K3866" s="105"/>
      <c r="L3866" s="101"/>
      <c r="M3866" s="97" t="s">
        <v>8497</v>
      </c>
    </row>
    <row r="3867" spans="1:13" x14ac:dyDescent="0.25">
      <c r="A3867" s="97">
        <f t="shared" si="93"/>
        <v>3866</v>
      </c>
      <c r="B3867" s="96" t="s">
        <v>2330</v>
      </c>
      <c r="C3867" s="96" t="s">
        <v>9003</v>
      </c>
      <c r="D3867" t="s">
        <v>4831</v>
      </c>
      <c r="E3867" t="s">
        <v>9058</v>
      </c>
      <c r="G3867" s="100" t="s">
        <v>63</v>
      </c>
      <c r="H3867" s="97" t="str">
        <f>IFERROR(VLOOKUP(Table2[[#This Row],[Ticket]],Okey!A:B,2,0),"")</f>
        <v>ok</v>
      </c>
      <c r="I3867" s="105" t="s">
        <v>8318</v>
      </c>
      <c r="J3867" t="str">
        <f>VLOOKUP(Table2[[#This Row],[Author]],People!A:B,2,0)</f>
        <v>EL</v>
      </c>
      <c r="K3867" s="105"/>
      <c r="L3867" s="101"/>
      <c r="M3867" s="97" t="s">
        <v>8497</v>
      </c>
    </row>
    <row r="3868" spans="1:13" x14ac:dyDescent="0.25">
      <c r="A3868" s="97">
        <f t="shared" si="93"/>
        <v>3867</v>
      </c>
      <c r="B3868" s="96" t="s">
        <v>2330</v>
      </c>
      <c r="C3868" s="96" t="s">
        <v>9003</v>
      </c>
      <c r="D3868" t="s">
        <v>8981</v>
      </c>
      <c r="E3868" t="s">
        <v>8982</v>
      </c>
      <c r="G3868" s="100" t="s">
        <v>63</v>
      </c>
      <c r="H3868" s="97" t="str">
        <f>IFERROR(VLOOKUP(Table2[[#This Row],[Ticket]],Okey!A:B,2,0),"")</f>
        <v>ok</v>
      </c>
      <c r="I3868" s="105" t="s">
        <v>8318</v>
      </c>
      <c r="J3868" t="str">
        <f>VLOOKUP(Table2[[#This Row],[Author]],People!A:B,2,0)</f>
        <v>EL</v>
      </c>
      <c r="K3868" s="105"/>
      <c r="L3868" s="101"/>
      <c r="M3868" s="97" t="s">
        <v>8497</v>
      </c>
    </row>
    <row r="3869" spans="1:13" x14ac:dyDescent="0.25">
      <c r="A3869" s="97">
        <f t="shared" si="93"/>
        <v>3868</v>
      </c>
      <c r="B3869" s="96" t="s">
        <v>2330</v>
      </c>
      <c r="C3869" s="96" t="s">
        <v>9003</v>
      </c>
      <c r="D3869" t="s">
        <v>8983</v>
      </c>
      <c r="E3869" t="s">
        <v>9059</v>
      </c>
      <c r="G3869" s="100" t="s">
        <v>63</v>
      </c>
      <c r="H3869" s="97" t="str">
        <f>IFERROR(VLOOKUP(Table2[[#This Row],[Ticket]],Okey!A:B,2,0),"")</f>
        <v>ok</v>
      </c>
      <c r="I3869" s="105" t="s">
        <v>8318</v>
      </c>
      <c r="J3869" t="str">
        <f>VLOOKUP(Table2[[#This Row],[Author]],People!A:B,2,0)</f>
        <v>EL</v>
      </c>
      <c r="K3869" s="105"/>
      <c r="L3869" s="101"/>
      <c r="M3869" s="97" t="s">
        <v>8497</v>
      </c>
    </row>
    <row r="3870" spans="1:13" x14ac:dyDescent="0.25">
      <c r="A3870" s="97">
        <f t="shared" si="93"/>
        <v>3869</v>
      </c>
      <c r="B3870" s="96" t="s">
        <v>2330</v>
      </c>
      <c r="C3870" s="96" t="s">
        <v>9003</v>
      </c>
      <c r="D3870" t="s">
        <v>8985</v>
      </c>
      <c r="E3870" t="s">
        <v>9060</v>
      </c>
      <c r="G3870" s="100" t="s">
        <v>63</v>
      </c>
      <c r="H3870" s="97" t="str">
        <f>IFERROR(VLOOKUP(Table2[[#This Row],[Ticket]],Okey!A:B,2,0),"")</f>
        <v>ok</v>
      </c>
      <c r="I3870" s="105" t="s">
        <v>8318</v>
      </c>
      <c r="J3870" t="str">
        <f>VLOOKUP(Table2[[#This Row],[Author]],People!A:B,2,0)</f>
        <v>EL</v>
      </c>
      <c r="K3870" s="105"/>
      <c r="L3870" s="101"/>
      <c r="M3870" s="97" t="s">
        <v>8497</v>
      </c>
    </row>
    <row r="3871" spans="1:13" x14ac:dyDescent="0.25">
      <c r="A3871" s="97">
        <f t="shared" si="93"/>
        <v>3870</v>
      </c>
      <c r="B3871" s="96" t="s">
        <v>2330</v>
      </c>
      <c r="C3871" s="96" t="s">
        <v>9003</v>
      </c>
      <c r="D3871" t="s">
        <v>7115</v>
      </c>
      <c r="E3871" t="s">
        <v>8987</v>
      </c>
      <c r="G3871" s="100" t="s">
        <v>63</v>
      </c>
      <c r="H3871" s="97" t="str">
        <f>IFERROR(VLOOKUP(Table2[[#This Row],[Ticket]],Okey!A:B,2,0),"")</f>
        <v>ok</v>
      </c>
      <c r="I3871" s="105" t="s">
        <v>8318</v>
      </c>
      <c r="J3871" t="str">
        <f>VLOOKUP(Table2[[#This Row],[Author]],People!A:B,2,0)</f>
        <v>EL</v>
      </c>
      <c r="K3871" s="105"/>
      <c r="L3871" s="101"/>
      <c r="M3871" s="97" t="s">
        <v>8497</v>
      </c>
    </row>
    <row r="3872" spans="1:13" x14ac:dyDescent="0.25">
      <c r="A3872" s="97">
        <f t="shared" si="93"/>
        <v>3871</v>
      </c>
      <c r="B3872" s="96" t="s">
        <v>2330</v>
      </c>
      <c r="C3872" s="96" t="s">
        <v>9003</v>
      </c>
      <c r="D3872" t="s">
        <v>7118</v>
      </c>
      <c r="E3872" t="s">
        <v>8988</v>
      </c>
      <c r="G3872" s="100" t="s">
        <v>63</v>
      </c>
      <c r="H3872" s="97" t="str">
        <f>IFERROR(VLOOKUP(Table2[[#This Row],[Ticket]],Okey!A:B,2,0),"")</f>
        <v>ok</v>
      </c>
      <c r="I3872" s="105" t="s">
        <v>8318</v>
      </c>
      <c r="J3872" t="str">
        <f>VLOOKUP(Table2[[#This Row],[Author]],People!A:B,2,0)</f>
        <v>EL</v>
      </c>
      <c r="K3872" s="105"/>
      <c r="L3872" s="101"/>
      <c r="M3872" s="97" t="s">
        <v>8497</v>
      </c>
    </row>
    <row r="3873" spans="1:13" x14ac:dyDescent="0.25">
      <c r="A3873" s="97">
        <f t="shared" si="93"/>
        <v>3872</v>
      </c>
      <c r="B3873" s="96" t="s">
        <v>2330</v>
      </c>
      <c r="C3873" s="96" t="s">
        <v>9003</v>
      </c>
      <c r="D3873" t="s">
        <v>5911</v>
      </c>
      <c r="E3873" t="s">
        <v>8989</v>
      </c>
      <c r="G3873" s="100" t="s">
        <v>63</v>
      </c>
      <c r="H3873" s="97" t="str">
        <f>IFERROR(VLOOKUP(Table2[[#This Row],[Ticket]],Okey!A:B,2,0),"")</f>
        <v>ok</v>
      </c>
      <c r="I3873" s="105" t="s">
        <v>8318</v>
      </c>
      <c r="J3873" t="str">
        <f>VLOOKUP(Table2[[#This Row],[Author]],People!A:B,2,0)</f>
        <v>EL</v>
      </c>
      <c r="K3873" s="105"/>
      <c r="L3873" s="101"/>
      <c r="M3873" s="97" t="s">
        <v>8497</v>
      </c>
    </row>
    <row r="3874" spans="1:13" x14ac:dyDescent="0.25">
      <c r="A3874" s="97">
        <f t="shared" si="93"/>
        <v>3873</v>
      </c>
      <c r="B3874" s="96" t="s">
        <v>2330</v>
      </c>
      <c r="C3874" s="96" t="s">
        <v>9003</v>
      </c>
      <c r="D3874" t="s">
        <v>5909</v>
      </c>
      <c r="E3874" t="s">
        <v>8990</v>
      </c>
      <c r="G3874" s="100" t="s">
        <v>63</v>
      </c>
      <c r="H3874" s="97" t="str">
        <f>IFERROR(VLOOKUP(Table2[[#This Row],[Ticket]],Okey!A:B,2,0),"")</f>
        <v>ok</v>
      </c>
      <c r="I3874" s="105" t="s">
        <v>8318</v>
      </c>
      <c r="J3874" t="str">
        <f>VLOOKUP(Table2[[#This Row],[Author]],People!A:B,2,0)</f>
        <v>EL</v>
      </c>
      <c r="K3874" s="105"/>
      <c r="L3874" s="101"/>
      <c r="M3874" s="97" t="s">
        <v>8497</v>
      </c>
    </row>
    <row r="3875" spans="1:13" x14ac:dyDescent="0.25">
      <c r="A3875" s="97">
        <f t="shared" si="93"/>
        <v>3874</v>
      </c>
      <c r="B3875" s="96" t="s">
        <v>2330</v>
      </c>
      <c r="C3875" s="96" t="s">
        <v>9003</v>
      </c>
      <c r="D3875" t="s">
        <v>5921</v>
      </c>
      <c r="E3875" t="s">
        <v>8991</v>
      </c>
      <c r="G3875" s="100" t="s">
        <v>63</v>
      </c>
      <c r="H3875" s="97" t="str">
        <f>IFERROR(VLOOKUP(Table2[[#This Row],[Ticket]],Okey!A:B,2,0),"")</f>
        <v>ok</v>
      </c>
      <c r="I3875" s="105" t="s">
        <v>8318</v>
      </c>
      <c r="J3875" t="str">
        <f>VLOOKUP(Table2[[#This Row],[Author]],People!A:B,2,0)</f>
        <v>EL</v>
      </c>
      <c r="K3875" s="105"/>
      <c r="L3875" s="101"/>
      <c r="M3875" s="97" t="s">
        <v>8497</v>
      </c>
    </row>
    <row r="3876" spans="1:13" x14ac:dyDescent="0.25">
      <c r="A3876" s="97">
        <f t="shared" si="93"/>
        <v>3875</v>
      </c>
      <c r="B3876" s="96" t="s">
        <v>2330</v>
      </c>
      <c r="C3876" s="96" t="s">
        <v>9003</v>
      </c>
      <c r="D3876" t="s">
        <v>7047</v>
      </c>
      <c r="E3876" t="s">
        <v>8992</v>
      </c>
      <c r="G3876" s="100" t="s">
        <v>63</v>
      </c>
      <c r="H3876" s="97" t="str">
        <f>IFERROR(VLOOKUP(Table2[[#This Row],[Ticket]],Okey!A:B,2,0),"")</f>
        <v>ok</v>
      </c>
      <c r="I3876" s="105" t="s">
        <v>8318</v>
      </c>
      <c r="J3876" t="str">
        <f>VLOOKUP(Table2[[#This Row],[Author]],People!A:B,2,0)</f>
        <v>EL</v>
      </c>
      <c r="K3876" s="105"/>
      <c r="L3876" s="101"/>
      <c r="M3876" s="97" t="s">
        <v>8497</v>
      </c>
    </row>
    <row r="3877" spans="1:13" x14ac:dyDescent="0.25">
      <c r="A3877" s="97">
        <f t="shared" si="93"/>
        <v>3876</v>
      </c>
      <c r="B3877" s="96" t="s">
        <v>2330</v>
      </c>
      <c r="C3877" s="96" t="s">
        <v>9003</v>
      </c>
      <c r="D3877" t="s">
        <v>7061</v>
      </c>
      <c r="E3877" t="s">
        <v>8993</v>
      </c>
      <c r="G3877" s="100" t="s">
        <v>63</v>
      </c>
      <c r="H3877" s="97" t="str">
        <f>IFERROR(VLOOKUP(Table2[[#This Row],[Ticket]],Okey!A:B,2,0),"")</f>
        <v>ok</v>
      </c>
      <c r="I3877" s="105" t="s">
        <v>8318</v>
      </c>
      <c r="J3877" t="str">
        <f>VLOOKUP(Table2[[#This Row],[Author]],People!A:B,2,0)</f>
        <v>EL</v>
      </c>
      <c r="K3877" s="105"/>
      <c r="L3877" s="101"/>
      <c r="M3877" s="97" t="s">
        <v>8497</v>
      </c>
    </row>
    <row r="3878" spans="1:13" x14ac:dyDescent="0.25">
      <c r="A3878" s="97">
        <f t="shared" si="93"/>
        <v>3877</v>
      </c>
      <c r="B3878" s="96" t="s">
        <v>2330</v>
      </c>
      <c r="C3878" s="96" t="s">
        <v>9003</v>
      </c>
      <c r="D3878" t="s">
        <v>7063</v>
      </c>
      <c r="E3878" t="s">
        <v>8994</v>
      </c>
      <c r="G3878" s="100" t="s">
        <v>63</v>
      </c>
      <c r="H3878" s="97" t="str">
        <f>IFERROR(VLOOKUP(Table2[[#This Row],[Ticket]],Okey!A:B,2,0),"")</f>
        <v>ok</v>
      </c>
      <c r="I3878" s="105" t="s">
        <v>8318</v>
      </c>
      <c r="J3878" t="str">
        <f>VLOOKUP(Table2[[#This Row],[Author]],People!A:B,2,0)</f>
        <v>EL</v>
      </c>
      <c r="K3878" s="105"/>
      <c r="L3878" s="101"/>
      <c r="M3878" s="97" t="s">
        <v>8497</v>
      </c>
    </row>
    <row r="3879" spans="1:13" x14ac:dyDescent="0.25">
      <c r="A3879" s="97">
        <f t="shared" si="93"/>
        <v>3878</v>
      </c>
      <c r="B3879" s="96" t="s">
        <v>2330</v>
      </c>
      <c r="C3879" s="96" t="s">
        <v>9003</v>
      </c>
      <c r="D3879" t="s">
        <v>7988</v>
      </c>
      <c r="E3879" t="s">
        <v>8995</v>
      </c>
      <c r="G3879" s="100" t="s">
        <v>63</v>
      </c>
      <c r="H3879" s="97" t="str">
        <f>IFERROR(VLOOKUP(Table2[[#This Row],[Ticket]],Okey!A:B,2,0),"")</f>
        <v>ok</v>
      </c>
      <c r="I3879" s="105" t="s">
        <v>8318</v>
      </c>
      <c r="J3879" t="str">
        <f>VLOOKUP(Table2[[#This Row],[Author]],People!A:B,2,0)</f>
        <v>EL</v>
      </c>
      <c r="K3879" s="105"/>
      <c r="L3879" s="101"/>
      <c r="M3879" s="97" t="s">
        <v>8497</v>
      </c>
    </row>
    <row r="3880" spans="1:13" x14ac:dyDescent="0.25">
      <c r="A3880" s="97">
        <f t="shared" si="93"/>
        <v>3879</v>
      </c>
      <c r="B3880" s="96" t="s">
        <v>2330</v>
      </c>
      <c r="C3880" s="96" t="s">
        <v>9003</v>
      </c>
      <c r="D3880" t="s">
        <v>7081</v>
      </c>
      <c r="E3880" t="s">
        <v>8996</v>
      </c>
      <c r="G3880" s="100" t="s">
        <v>63</v>
      </c>
      <c r="H3880" s="97" t="str">
        <f>IFERROR(VLOOKUP(Table2[[#This Row],[Ticket]],Okey!A:B,2,0),"")</f>
        <v>ok</v>
      </c>
      <c r="I3880" s="105" t="s">
        <v>8318</v>
      </c>
      <c r="J3880" t="str">
        <f>VLOOKUP(Table2[[#This Row],[Author]],People!A:B,2,0)</f>
        <v>EL</v>
      </c>
      <c r="K3880" s="105"/>
      <c r="L3880" s="101"/>
      <c r="M3880" s="97" t="s">
        <v>8497</v>
      </c>
    </row>
    <row r="3881" spans="1:13" x14ac:dyDescent="0.25">
      <c r="A3881" s="97">
        <f t="shared" si="93"/>
        <v>3880</v>
      </c>
      <c r="B3881" s="96" t="s">
        <v>2330</v>
      </c>
      <c r="C3881" s="96" t="s">
        <v>9003</v>
      </c>
      <c r="D3881" t="s">
        <v>7083</v>
      </c>
      <c r="E3881" t="s">
        <v>8997</v>
      </c>
      <c r="G3881" s="100" t="s">
        <v>63</v>
      </c>
      <c r="H3881" s="97" t="str">
        <f>IFERROR(VLOOKUP(Table2[[#This Row],[Ticket]],Okey!A:B,2,0),"")</f>
        <v>ok</v>
      </c>
      <c r="I3881" s="105" t="s">
        <v>8318</v>
      </c>
      <c r="J3881" t="str">
        <f>VLOOKUP(Table2[[#This Row],[Author]],People!A:B,2,0)</f>
        <v>EL</v>
      </c>
      <c r="K3881" s="105"/>
      <c r="L3881" s="101"/>
      <c r="M3881" s="97" t="s">
        <v>8497</v>
      </c>
    </row>
    <row r="3882" spans="1:13" x14ac:dyDescent="0.25">
      <c r="A3882" s="97">
        <f t="shared" si="93"/>
        <v>3881</v>
      </c>
      <c r="B3882" s="96" t="s">
        <v>2330</v>
      </c>
      <c r="C3882" s="96" t="s">
        <v>9003</v>
      </c>
      <c r="D3882" t="s">
        <v>5747</v>
      </c>
      <c r="E3882" t="s">
        <v>8998</v>
      </c>
      <c r="G3882" s="100" t="s">
        <v>63</v>
      </c>
      <c r="H3882" s="97" t="str">
        <f>IFERROR(VLOOKUP(Table2[[#This Row],[Ticket]],Okey!A:B,2,0),"")</f>
        <v>ok</v>
      </c>
      <c r="I3882" s="105" t="s">
        <v>8318</v>
      </c>
      <c r="J3882" t="str">
        <f>VLOOKUP(Table2[[#This Row],[Author]],People!A:B,2,0)</f>
        <v>EL</v>
      </c>
      <c r="K3882" s="105"/>
      <c r="L3882" s="101"/>
      <c r="M3882" s="97" t="s">
        <v>8497</v>
      </c>
    </row>
    <row r="3883" spans="1:13" x14ac:dyDescent="0.25">
      <c r="A3883" s="97">
        <f t="shared" si="93"/>
        <v>3882</v>
      </c>
      <c r="B3883" s="96" t="s">
        <v>2330</v>
      </c>
      <c r="C3883" s="96" t="s">
        <v>9003</v>
      </c>
      <c r="D3883" t="s">
        <v>8371</v>
      </c>
      <c r="E3883" t="s">
        <v>8999</v>
      </c>
      <c r="G3883" s="100" t="s">
        <v>63</v>
      </c>
      <c r="H3883" s="97" t="str">
        <f>IFERROR(VLOOKUP(Table2[[#This Row],[Ticket]],Okey!A:B,2,0),"")</f>
        <v>ok</v>
      </c>
      <c r="I3883" s="105" t="s">
        <v>8318</v>
      </c>
      <c r="J3883" t="str">
        <f>VLOOKUP(Table2[[#This Row],[Author]],People!A:B,2,0)</f>
        <v>EL</v>
      </c>
      <c r="K3883" s="105"/>
      <c r="L3883" s="101"/>
      <c r="M3883" s="97" t="s">
        <v>8497</v>
      </c>
    </row>
    <row r="3884" spans="1:13" x14ac:dyDescent="0.25">
      <c r="A3884" s="97">
        <f t="shared" si="93"/>
        <v>3883</v>
      </c>
      <c r="B3884" s="96" t="s">
        <v>2330</v>
      </c>
      <c r="C3884" s="96" t="s">
        <v>9003</v>
      </c>
      <c r="D3884" t="s">
        <v>8372</v>
      </c>
      <c r="E3884" t="s">
        <v>9000</v>
      </c>
      <c r="G3884" s="100" t="s">
        <v>63</v>
      </c>
      <c r="H3884" s="97" t="str">
        <f>IFERROR(VLOOKUP(Table2[[#This Row],[Ticket]],Okey!A:B,2,0),"")</f>
        <v>ok</v>
      </c>
      <c r="I3884" s="105" t="s">
        <v>8318</v>
      </c>
      <c r="J3884" t="str">
        <f>VLOOKUP(Table2[[#This Row],[Author]],People!A:B,2,0)</f>
        <v>EL</v>
      </c>
      <c r="K3884" s="105"/>
      <c r="L3884" s="101"/>
      <c r="M3884" s="97" t="s">
        <v>8497</v>
      </c>
    </row>
    <row r="3885" spans="1:13" x14ac:dyDescent="0.25">
      <c r="A3885" s="97">
        <f t="shared" si="93"/>
        <v>3884</v>
      </c>
      <c r="B3885" s="96" t="s">
        <v>2330</v>
      </c>
      <c r="C3885" s="96" t="s">
        <v>9003</v>
      </c>
      <c r="D3885" t="s">
        <v>8373</v>
      </c>
      <c r="E3885" t="s">
        <v>9001</v>
      </c>
      <c r="G3885" s="100" t="s">
        <v>63</v>
      </c>
      <c r="H3885" s="97" t="str">
        <f>IFERROR(VLOOKUP(Table2[[#This Row],[Ticket]],Okey!A:B,2,0),"")</f>
        <v>ok</v>
      </c>
      <c r="I3885" s="105" t="s">
        <v>8318</v>
      </c>
      <c r="J3885" t="str">
        <f>VLOOKUP(Table2[[#This Row],[Author]],People!A:B,2,0)</f>
        <v>EL</v>
      </c>
      <c r="K3885" s="105"/>
      <c r="L3885" s="101"/>
      <c r="M3885" s="97" t="s">
        <v>8497</v>
      </c>
    </row>
    <row r="3886" spans="1:13" x14ac:dyDescent="0.25">
      <c r="A3886" s="97">
        <f t="shared" si="93"/>
        <v>3885</v>
      </c>
      <c r="B3886" s="96" t="s">
        <v>2330</v>
      </c>
      <c r="C3886" s="96" t="s">
        <v>9003</v>
      </c>
      <c r="D3886" t="s">
        <v>8375</v>
      </c>
      <c r="E3886" t="s">
        <v>9002</v>
      </c>
      <c r="G3886" s="100" t="s">
        <v>63</v>
      </c>
      <c r="H3886" s="97" t="str">
        <f>IFERROR(VLOOKUP(Table2[[#This Row],[Ticket]],Okey!A:B,2,0),"")</f>
        <v>ok</v>
      </c>
      <c r="I3886" s="105" t="s">
        <v>8318</v>
      </c>
      <c r="J3886" t="str">
        <f>VLOOKUP(Table2[[#This Row],[Author]],People!A:B,2,0)</f>
        <v>EL</v>
      </c>
      <c r="K3886" s="105"/>
      <c r="L3886" s="101"/>
      <c r="M3886" s="97" t="s">
        <v>8497</v>
      </c>
    </row>
    <row r="3887" spans="1:13" x14ac:dyDescent="0.25">
      <c r="A3887" s="97">
        <f>1+A3886</f>
        <v>3886</v>
      </c>
      <c r="B3887" s="96" t="s">
        <v>2330</v>
      </c>
      <c r="C3887" t="s">
        <v>9005</v>
      </c>
      <c r="D3887" t="s">
        <v>9006</v>
      </c>
      <c r="F3887" t="s">
        <v>454</v>
      </c>
      <c r="G3887" t="s">
        <v>24</v>
      </c>
      <c r="H3887" s="101" t="str">
        <f>IFERROR(VLOOKUP(Table2[[#This Row],[Ticket]],Okey!A:B,2,0),"")</f>
        <v>ok</v>
      </c>
      <c r="I3887" s="105" t="s">
        <v>8318</v>
      </c>
      <c r="J3887" t="str">
        <f>VLOOKUP(Table2[[#This Row],[Author]],People!A:B,2,0)</f>
        <v>MGF</v>
      </c>
      <c r="K3887" s="105"/>
      <c r="L3887" s="101"/>
      <c r="M3887" s="97" t="s">
        <v>7208</v>
      </c>
    </row>
    <row r="3888" spans="1:13" x14ac:dyDescent="0.25">
      <c r="A3888" s="97">
        <f t="shared" ref="A3888:A3893" si="94">1+A3887</f>
        <v>3887</v>
      </c>
      <c r="B3888" s="96" t="s">
        <v>2330</v>
      </c>
      <c r="C3888" s="96" t="s">
        <v>9005</v>
      </c>
      <c r="D3888" t="s">
        <v>3955</v>
      </c>
      <c r="F3888" t="s">
        <v>454</v>
      </c>
      <c r="G3888" s="96" t="s">
        <v>24</v>
      </c>
      <c r="H3888" s="101" t="str">
        <f>IFERROR(VLOOKUP(Table2[[#This Row],[Ticket]],Okey!A:B,2,0),"")</f>
        <v>ok</v>
      </c>
      <c r="I3888" s="105" t="s">
        <v>8318</v>
      </c>
      <c r="J3888" t="str">
        <f>VLOOKUP(Table2[[#This Row],[Author]],People!A:B,2,0)</f>
        <v>MGF</v>
      </c>
      <c r="K3888" s="105"/>
      <c r="L3888" s="101"/>
      <c r="M3888" s="97" t="s">
        <v>7208</v>
      </c>
    </row>
    <row r="3889" spans="1:13" x14ac:dyDescent="0.25">
      <c r="A3889" s="97">
        <f t="shared" si="94"/>
        <v>3888</v>
      </c>
      <c r="B3889" s="96" t="s">
        <v>2330</v>
      </c>
      <c r="C3889" s="96" t="s">
        <v>9005</v>
      </c>
      <c r="D3889" t="s">
        <v>9007</v>
      </c>
      <c r="F3889" t="s">
        <v>454</v>
      </c>
      <c r="G3889" s="96" t="s">
        <v>24</v>
      </c>
      <c r="H3889" s="101" t="str">
        <f>IFERROR(VLOOKUP(Table2[[#This Row],[Ticket]],Okey!A:B,2,0),"")</f>
        <v>ok</v>
      </c>
      <c r="I3889" s="105" t="s">
        <v>8318</v>
      </c>
      <c r="J3889" t="str">
        <f>VLOOKUP(Table2[[#This Row],[Author]],People!A:B,2,0)</f>
        <v>MGF</v>
      </c>
      <c r="K3889" s="105"/>
      <c r="L3889" s="101"/>
      <c r="M3889" s="97" t="s">
        <v>7208</v>
      </c>
    </row>
    <row r="3890" spans="1:13" x14ac:dyDescent="0.25">
      <c r="A3890" s="97">
        <f t="shared" si="94"/>
        <v>3889</v>
      </c>
      <c r="B3890" s="96" t="s">
        <v>2330</v>
      </c>
      <c r="C3890" s="96" t="s">
        <v>9005</v>
      </c>
      <c r="D3890" t="s">
        <v>3830</v>
      </c>
      <c r="F3890" t="s">
        <v>454</v>
      </c>
      <c r="G3890" s="96" t="s">
        <v>24</v>
      </c>
      <c r="H3890" s="101" t="str">
        <f>IFERROR(VLOOKUP(Table2[[#This Row],[Ticket]],Okey!A:B,2,0),"")</f>
        <v>ok</v>
      </c>
      <c r="I3890" s="105" t="s">
        <v>8318</v>
      </c>
      <c r="J3890" t="str">
        <f>VLOOKUP(Table2[[#This Row],[Author]],People!A:B,2,0)</f>
        <v>MGF</v>
      </c>
      <c r="K3890" s="105"/>
      <c r="L3890" s="101"/>
      <c r="M3890" s="97" t="s">
        <v>7208</v>
      </c>
    </row>
    <row r="3891" spans="1:13" x14ac:dyDescent="0.25">
      <c r="A3891" s="97">
        <f t="shared" si="94"/>
        <v>3890</v>
      </c>
      <c r="B3891" s="96" t="s">
        <v>2330</v>
      </c>
      <c r="C3891" s="96" t="s">
        <v>9005</v>
      </c>
      <c r="D3891" t="s">
        <v>4899</v>
      </c>
      <c r="F3891" t="s">
        <v>454</v>
      </c>
      <c r="G3891" s="96" t="s">
        <v>24</v>
      </c>
      <c r="H3891" s="101" t="str">
        <f>IFERROR(VLOOKUP(Table2[[#This Row],[Ticket]],Okey!A:B,2,0),"")</f>
        <v>ok</v>
      </c>
      <c r="I3891" s="105" t="s">
        <v>8318</v>
      </c>
      <c r="J3891" t="str">
        <f>VLOOKUP(Table2[[#This Row],[Author]],People!A:B,2,0)</f>
        <v>MGF</v>
      </c>
      <c r="K3891" s="105"/>
      <c r="L3891" s="101"/>
      <c r="M3891" s="97" t="s">
        <v>7208</v>
      </c>
    </row>
    <row r="3892" spans="1:13" x14ac:dyDescent="0.25">
      <c r="A3892" s="97">
        <f t="shared" si="94"/>
        <v>3891</v>
      </c>
      <c r="B3892" s="96" t="s">
        <v>2330</v>
      </c>
      <c r="C3892" s="96" t="s">
        <v>9005</v>
      </c>
      <c r="D3892" t="s">
        <v>4900</v>
      </c>
      <c r="F3892" t="s">
        <v>454</v>
      </c>
      <c r="G3892" s="96" t="s">
        <v>24</v>
      </c>
      <c r="H3892" s="101" t="str">
        <f>IFERROR(VLOOKUP(Table2[[#This Row],[Ticket]],Okey!A:B,2,0),"")</f>
        <v>ok</v>
      </c>
      <c r="I3892" s="105" t="s">
        <v>8318</v>
      </c>
      <c r="J3892" t="str">
        <f>VLOOKUP(Table2[[#This Row],[Author]],People!A:B,2,0)</f>
        <v>MGF</v>
      </c>
      <c r="K3892" s="105"/>
      <c r="L3892" s="101"/>
      <c r="M3892" s="97" t="s">
        <v>7208</v>
      </c>
    </row>
    <row r="3893" spans="1:13" x14ac:dyDescent="0.25">
      <c r="A3893" s="97">
        <f t="shared" si="94"/>
        <v>3892</v>
      </c>
      <c r="B3893" s="96" t="s">
        <v>2330</v>
      </c>
      <c r="C3893" s="96" t="s">
        <v>9005</v>
      </c>
      <c r="D3893" t="s">
        <v>9008</v>
      </c>
      <c r="F3893" t="s">
        <v>386</v>
      </c>
      <c r="G3893" s="96" t="s">
        <v>24</v>
      </c>
      <c r="H3893" s="101" t="str">
        <f>IFERROR(VLOOKUP(Table2[[#This Row],[Ticket]],Okey!A:B,2,0),"")</f>
        <v>ok</v>
      </c>
      <c r="I3893" s="105" t="s">
        <v>8318</v>
      </c>
      <c r="J3893" t="str">
        <f>VLOOKUP(Table2[[#This Row],[Author]],People!A:B,2,0)</f>
        <v>MGF</v>
      </c>
      <c r="K3893" s="105"/>
      <c r="L3893" s="101"/>
      <c r="M3893" s="97" t="s">
        <v>7208</v>
      </c>
    </row>
    <row r="3894" spans="1:13" x14ac:dyDescent="0.25">
      <c r="A3894" s="97">
        <f>1+A3893</f>
        <v>3893</v>
      </c>
      <c r="B3894" s="96" t="s">
        <v>2330</v>
      </c>
      <c r="C3894" t="s">
        <v>9009</v>
      </c>
      <c r="D3894" s="100" t="s">
        <v>9036</v>
      </c>
      <c r="E3894" t="s">
        <v>9010</v>
      </c>
      <c r="F3894" t="s">
        <v>6837</v>
      </c>
      <c r="G3894" s="96" t="s">
        <v>18</v>
      </c>
      <c r="H3894" s="97" t="str">
        <f>IFERROR(VLOOKUP(Table2[[#This Row],[Ticket]],Okey!A:B,2,0),"")</f>
        <v>ok</v>
      </c>
      <c r="I3894" s="105" t="s">
        <v>8318</v>
      </c>
      <c r="J3894" t="str">
        <f>VLOOKUP(Table2[[#This Row],[Author]],People!A:B,2,0)</f>
        <v>EL</v>
      </c>
      <c r="K3894" s="105"/>
      <c r="L3894" s="101"/>
      <c r="M3894" s="97" t="s">
        <v>8497</v>
      </c>
    </row>
    <row r="3895" spans="1:13" x14ac:dyDescent="0.25">
      <c r="A3895" s="97">
        <f t="shared" ref="A3895:A3899" si="95">1+A3894</f>
        <v>3894</v>
      </c>
      <c r="B3895" s="96" t="s">
        <v>2330</v>
      </c>
      <c r="C3895" s="96" t="s">
        <v>9009</v>
      </c>
      <c r="D3895" s="100" t="s">
        <v>9037</v>
      </c>
      <c r="E3895" t="s">
        <v>9011</v>
      </c>
      <c r="F3895" s="100" t="s">
        <v>9036</v>
      </c>
      <c r="G3895" t="s">
        <v>18</v>
      </c>
      <c r="H3895" s="97" t="str">
        <f>IFERROR(VLOOKUP(Table2[[#This Row],[Ticket]],Okey!A:B,2,0),"")</f>
        <v>ok</v>
      </c>
      <c r="I3895" s="105" t="s">
        <v>8318</v>
      </c>
      <c r="J3895" t="str">
        <f>VLOOKUP(Table2[[#This Row],[Author]],People!A:B,2,0)</f>
        <v>EL</v>
      </c>
      <c r="K3895" s="105"/>
      <c r="L3895" s="101"/>
      <c r="M3895" s="97" t="s">
        <v>8497</v>
      </c>
    </row>
    <row r="3896" spans="1:13" x14ac:dyDescent="0.25">
      <c r="A3896" s="97">
        <f t="shared" si="95"/>
        <v>3895</v>
      </c>
      <c r="B3896" s="96" t="s">
        <v>2330</v>
      </c>
      <c r="C3896" s="96" t="s">
        <v>9009</v>
      </c>
      <c r="D3896" s="100" t="s">
        <v>9038</v>
      </c>
      <c r="E3896" t="s">
        <v>9012</v>
      </c>
      <c r="F3896" s="100" t="s">
        <v>9036</v>
      </c>
      <c r="G3896" s="96" t="s">
        <v>18</v>
      </c>
      <c r="H3896" s="97" t="str">
        <f>IFERROR(VLOOKUP(Table2[[#This Row],[Ticket]],Okey!A:B,2,0),"")</f>
        <v>ok</v>
      </c>
      <c r="I3896" s="105" t="s">
        <v>8318</v>
      </c>
      <c r="J3896" t="str">
        <f>VLOOKUP(Table2[[#This Row],[Author]],People!A:B,2,0)</f>
        <v>EL</v>
      </c>
      <c r="K3896" s="105"/>
      <c r="L3896" s="101"/>
      <c r="M3896" s="97" t="s">
        <v>8497</v>
      </c>
    </row>
    <row r="3897" spans="1:13" x14ac:dyDescent="0.25">
      <c r="A3897" s="97">
        <f t="shared" si="95"/>
        <v>3896</v>
      </c>
      <c r="B3897" s="96" t="s">
        <v>2330</v>
      </c>
      <c r="C3897" s="96" t="s">
        <v>9009</v>
      </c>
      <c r="D3897" s="100" t="s">
        <v>9039</v>
      </c>
      <c r="E3897" t="s">
        <v>9013</v>
      </c>
      <c r="F3897" s="100" t="s">
        <v>9036</v>
      </c>
      <c r="G3897" s="96" t="s">
        <v>18</v>
      </c>
      <c r="H3897" s="97" t="str">
        <f>IFERROR(VLOOKUP(Table2[[#This Row],[Ticket]],Okey!A:B,2,0),"")</f>
        <v>ok</v>
      </c>
      <c r="I3897" s="105" t="s">
        <v>8318</v>
      </c>
      <c r="J3897" t="str">
        <f>VLOOKUP(Table2[[#This Row],[Author]],People!A:B,2,0)</f>
        <v>EL</v>
      </c>
      <c r="K3897" s="105"/>
      <c r="L3897" s="101"/>
      <c r="M3897" s="97" t="s">
        <v>8497</v>
      </c>
    </row>
    <row r="3898" spans="1:13" x14ac:dyDescent="0.25">
      <c r="A3898" s="97">
        <f t="shared" si="95"/>
        <v>3897</v>
      </c>
      <c r="B3898" s="96" t="s">
        <v>2330</v>
      </c>
      <c r="C3898" s="96" t="s">
        <v>9009</v>
      </c>
      <c r="D3898" s="100" t="s">
        <v>9040</v>
      </c>
      <c r="E3898" t="s">
        <v>9014</v>
      </c>
      <c r="F3898" s="100" t="s">
        <v>9036</v>
      </c>
      <c r="G3898" s="96" t="s">
        <v>18</v>
      </c>
      <c r="H3898" s="97" t="str">
        <f>IFERROR(VLOOKUP(Table2[[#This Row],[Ticket]],Okey!A:B,2,0),"")</f>
        <v>ok</v>
      </c>
      <c r="I3898" s="105" t="s">
        <v>8318</v>
      </c>
      <c r="J3898" t="str">
        <f>VLOOKUP(Table2[[#This Row],[Author]],People!A:B,2,0)</f>
        <v>EL</v>
      </c>
      <c r="K3898" s="105"/>
      <c r="L3898" s="101"/>
      <c r="M3898" s="97" t="s">
        <v>8497</v>
      </c>
    </row>
    <row r="3899" spans="1:13" x14ac:dyDescent="0.25">
      <c r="A3899" s="97">
        <f t="shared" si="95"/>
        <v>3898</v>
      </c>
      <c r="B3899" s="96" t="s">
        <v>2330</v>
      </c>
      <c r="C3899" s="96" t="s">
        <v>9009</v>
      </c>
      <c r="D3899" s="100" t="s">
        <v>9041</v>
      </c>
      <c r="E3899" t="s">
        <v>9015</v>
      </c>
      <c r="F3899" s="100" t="s">
        <v>9036</v>
      </c>
      <c r="G3899" s="96" t="s">
        <v>18</v>
      </c>
      <c r="H3899" s="97" t="str">
        <f>IFERROR(VLOOKUP(Table2[[#This Row],[Ticket]],Okey!A:B,2,0),"")</f>
        <v>ok</v>
      </c>
      <c r="I3899" s="105" t="s">
        <v>8318</v>
      </c>
      <c r="J3899" t="str">
        <f>VLOOKUP(Table2[[#This Row],[Author]],People!A:B,2,0)</f>
        <v>EL</v>
      </c>
      <c r="K3899" s="105"/>
      <c r="L3899" s="101"/>
      <c r="M3899" s="97" t="s">
        <v>8497</v>
      </c>
    </row>
    <row r="3900" spans="1:13" x14ac:dyDescent="0.25">
      <c r="A3900" s="99">
        <f>1+A3899</f>
        <v>3899</v>
      </c>
      <c r="B3900" s="100" t="s">
        <v>2330</v>
      </c>
      <c r="C3900" s="100" t="s">
        <v>9009</v>
      </c>
      <c r="D3900" s="98" t="s">
        <v>6970</v>
      </c>
      <c r="E3900" s="100" t="s">
        <v>9061</v>
      </c>
      <c r="G3900" t="s">
        <v>63</v>
      </c>
      <c r="H3900" s="99" t="str">
        <f>IFERROR(VLOOKUP(Table2[[#This Row],[Ticket]],Okey!A:B,2,0),"")</f>
        <v>ok</v>
      </c>
      <c r="I3900" s="103" t="s">
        <v>8318</v>
      </c>
      <c r="J3900" t="str">
        <f>VLOOKUP(Table2[[#This Row],[Author]],People!A:B,2,0)</f>
        <v>EL</v>
      </c>
      <c r="K3900" s="105"/>
      <c r="L3900" s="101"/>
      <c r="M3900" s="101" t="s">
        <v>8497</v>
      </c>
    </row>
    <row r="3901" spans="1:13" x14ac:dyDescent="0.25">
      <c r="A3901" s="101">
        <f>1+A3900</f>
        <v>3900</v>
      </c>
      <c r="B3901" s="100" t="s">
        <v>2330</v>
      </c>
      <c r="C3901" t="s">
        <v>9017</v>
      </c>
      <c r="D3901" t="s">
        <v>626</v>
      </c>
      <c r="F3901" t="s">
        <v>454</v>
      </c>
      <c r="G3901" t="s">
        <v>24</v>
      </c>
      <c r="H3901" s="101" t="str">
        <f>IFERROR(VLOOKUP(Table2[[#This Row],[Ticket]],Okey!A:B,2,0),"")</f>
        <v>ok</v>
      </c>
      <c r="I3901" s="105" t="s">
        <v>8318</v>
      </c>
      <c r="J3901" t="str">
        <f>VLOOKUP(Table2[[#This Row],[Author]],People!A:B,2,0)</f>
        <v>MGF</v>
      </c>
      <c r="K3901" s="105"/>
      <c r="L3901" s="101"/>
      <c r="M3901" s="101" t="s">
        <v>7208</v>
      </c>
    </row>
    <row r="3902" spans="1:13" x14ac:dyDescent="0.25">
      <c r="A3902" s="101">
        <f t="shared" ref="A3902:A3913" si="96">1+A3901</f>
        <v>3901</v>
      </c>
      <c r="B3902" s="100" t="s">
        <v>2330</v>
      </c>
      <c r="C3902" s="100" t="s">
        <v>9017</v>
      </c>
      <c r="D3902" t="s">
        <v>628</v>
      </c>
      <c r="F3902" t="s">
        <v>454</v>
      </c>
      <c r="G3902" s="100" t="s">
        <v>24</v>
      </c>
      <c r="H3902" s="101" t="str">
        <f>IFERROR(VLOOKUP(Table2[[#This Row],[Ticket]],Okey!A:B,2,0),"")</f>
        <v>ok</v>
      </c>
      <c r="I3902" s="105" t="s">
        <v>8318</v>
      </c>
      <c r="J3902" t="str">
        <f>VLOOKUP(Table2[[#This Row],[Author]],People!A:B,2,0)</f>
        <v>MGF</v>
      </c>
      <c r="K3902" s="105"/>
      <c r="L3902" s="101"/>
      <c r="M3902" s="101" t="s">
        <v>7208</v>
      </c>
    </row>
    <row r="3903" spans="1:13" x14ac:dyDescent="0.25">
      <c r="A3903" s="101">
        <f t="shared" si="96"/>
        <v>3902</v>
      </c>
      <c r="B3903" s="100" t="s">
        <v>2330</v>
      </c>
      <c r="C3903" s="100" t="s">
        <v>9017</v>
      </c>
      <c r="D3903" t="s">
        <v>9018</v>
      </c>
      <c r="F3903" t="s">
        <v>454</v>
      </c>
      <c r="G3903" s="100" t="s">
        <v>24</v>
      </c>
      <c r="H3903" s="101" t="str">
        <f>IFERROR(VLOOKUP(Table2[[#This Row],[Ticket]],Okey!A:B,2,0),"")</f>
        <v>ok</v>
      </c>
      <c r="I3903" s="105" t="s">
        <v>8318</v>
      </c>
      <c r="J3903" t="str">
        <f>VLOOKUP(Table2[[#This Row],[Author]],People!A:B,2,0)</f>
        <v>MGF</v>
      </c>
      <c r="K3903" s="105"/>
      <c r="L3903" s="101"/>
      <c r="M3903" s="101" t="s">
        <v>7208</v>
      </c>
    </row>
    <row r="3904" spans="1:13" x14ac:dyDescent="0.25">
      <c r="A3904" s="101">
        <f t="shared" si="96"/>
        <v>3903</v>
      </c>
      <c r="B3904" s="100" t="s">
        <v>2330</v>
      </c>
      <c r="C3904" s="100" t="s">
        <v>9017</v>
      </c>
      <c r="D3904" t="s">
        <v>3955</v>
      </c>
      <c r="F3904" t="s">
        <v>454</v>
      </c>
      <c r="G3904" s="100" t="s">
        <v>24</v>
      </c>
      <c r="H3904" s="101" t="str">
        <f>IFERROR(VLOOKUP(Table2[[#This Row],[Ticket]],Okey!A:B,2,0),"")</f>
        <v>ok</v>
      </c>
      <c r="I3904" s="105" t="s">
        <v>8318</v>
      </c>
      <c r="J3904" t="str">
        <f>VLOOKUP(Table2[[#This Row],[Author]],People!A:B,2,0)</f>
        <v>MGF</v>
      </c>
      <c r="K3904" s="105"/>
      <c r="L3904" s="101"/>
      <c r="M3904" s="101" t="s">
        <v>7208</v>
      </c>
    </row>
    <row r="3905" spans="1:13" x14ac:dyDescent="0.25">
      <c r="A3905" s="101">
        <f t="shared" si="96"/>
        <v>3904</v>
      </c>
      <c r="B3905" s="100" t="s">
        <v>2330</v>
      </c>
      <c r="C3905" s="100" t="s">
        <v>9017</v>
      </c>
      <c r="D3905" t="s">
        <v>3953</v>
      </c>
      <c r="F3905" t="s">
        <v>454</v>
      </c>
      <c r="G3905" s="100" t="s">
        <v>24</v>
      </c>
      <c r="H3905" s="101" t="str">
        <f>IFERROR(VLOOKUP(Table2[[#This Row],[Ticket]],Okey!A:B,2,0),"")</f>
        <v>ok</v>
      </c>
      <c r="I3905" s="105" t="s">
        <v>8318</v>
      </c>
      <c r="J3905" t="str">
        <f>VLOOKUP(Table2[[#This Row],[Author]],People!A:B,2,0)</f>
        <v>MGF</v>
      </c>
      <c r="K3905" s="105"/>
      <c r="L3905" s="101"/>
      <c r="M3905" s="101" t="s">
        <v>7208</v>
      </c>
    </row>
    <row r="3906" spans="1:13" x14ac:dyDescent="0.25">
      <c r="A3906" s="101">
        <f t="shared" si="96"/>
        <v>3905</v>
      </c>
      <c r="B3906" s="100" t="s">
        <v>2330</v>
      </c>
      <c r="C3906" s="100" t="s">
        <v>9017</v>
      </c>
      <c r="D3906" t="s">
        <v>3830</v>
      </c>
      <c r="F3906" t="s">
        <v>454</v>
      </c>
      <c r="G3906" s="100" t="s">
        <v>24</v>
      </c>
      <c r="H3906" s="101" t="str">
        <f>IFERROR(VLOOKUP(Table2[[#This Row],[Ticket]],Okey!A:B,2,0),"")</f>
        <v>ok</v>
      </c>
      <c r="I3906" s="105" t="s">
        <v>8318</v>
      </c>
      <c r="J3906" t="str">
        <f>VLOOKUP(Table2[[#This Row],[Author]],People!A:B,2,0)</f>
        <v>MGF</v>
      </c>
      <c r="K3906" s="105"/>
      <c r="L3906" s="101"/>
      <c r="M3906" s="101" t="s">
        <v>7208</v>
      </c>
    </row>
    <row r="3907" spans="1:13" x14ac:dyDescent="0.25">
      <c r="A3907" s="101">
        <f t="shared" si="96"/>
        <v>3906</v>
      </c>
      <c r="B3907" s="100" t="s">
        <v>2330</v>
      </c>
      <c r="C3907" s="100" t="s">
        <v>9017</v>
      </c>
      <c r="D3907" t="s">
        <v>4899</v>
      </c>
      <c r="F3907" t="s">
        <v>454</v>
      </c>
      <c r="G3907" s="100" t="s">
        <v>24</v>
      </c>
      <c r="H3907" s="101" t="str">
        <f>IFERROR(VLOOKUP(Table2[[#This Row],[Ticket]],Okey!A:B,2,0),"")</f>
        <v>ok</v>
      </c>
      <c r="I3907" s="105" t="s">
        <v>8318</v>
      </c>
      <c r="J3907" t="str">
        <f>VLOOKUP(Table2[[#This Row],[Author]],People!A:B,2,0)</f>
        <v>MGF</v>
      </c>
      <c r="K3907" s="105"/>
      <c r="L3907" s="101"/>
      <c r="M3907" s="101" t="s">
        <v>7208</v>
      </c>
    </row>
    <row r="3908" spans="1:13" x14ac:dyDescent="0.25">
      <c r="A3908" s="101">
        <f t="shared" si="96"/>
        <v>3907</v>
      </c>
      <c r="B3908" s="100" t="s">
        <v>2330</v>
      </c>
      <c r="C3908" s="100" t="s">
        <v>9017</v>
      </c>
      <c r="D3908" t="s">
        <v>4900</v>
      </c>
      <c r="F3908" t="s">
        <v>454</v>
      </c>
      <c r="G3908" s="100" t="s">
        <v>24</v>
      </c>
      <c r="H3908" s="101" t="str">
        <f>IFERROR(VLOOKUP(Table2[[#This Row],[Ticket]],Okey!A:B,2,0),"")</f>
        <v>ok</v>
      </c>
      <c r="I3908" s="105" t="s">
        <v>8318</v>
      </c>
      <c r="J3908" t="str">
        <f>VLOOKUP(Table2[[#This Row],[Author]],People!A:B,2,0)</f>
        <v>MGF</v>
      </c>
      <c r="K3908" s="105"/>
      <c r="L3908" s="101"/>
      <c r="M3908" s="101" t="s">
        <v>7208</v>
      </c>
    </row>
    <row r="3909" spans="1:13" x14ac:dyDescent="0.25">
      <c r="A3909" s="101">
        <f t="shared" si="96"/>
        <v>3908</v>
      </c>
      <c r="B3909" s="100" t="s">
        <v>2330</v>
      </c>
      <c r="C3909" s="100" t="s">
        <v>9017</v>
      </c>
      <c r="D3909" t="s">
        <v>3805</v>
      </c>
      <c r="F3909" t="s">
        <v>454</v>
      </c>
      <c r="G3909" s="100" t="s">
        <v>24</v>
      </c>
      <c r="H3909" s="101" t="str">
        <f>IFERROR(VLOOKUP(Table2[[#This Row],[Ticket]],Okey!A:B,2,0),"")</f>
        <v>ok</v>
      </c>
      <c r="I3909" s="105" t="s">
        <v>8318</v>
      </c>
      <c r="J3909" t="str">
        <f>VLOOKUP(Table2[[#This Row],[Author]],People!A:B,2,0)</f>
        <v>MGF</v>
      </c>
      <c r="K3909" s="105"/>
      <c r="L3909" s="101"/>
      <c r="M3909" s="101" t="s">
        <v>7208</v>
      </c>
    </row>
    <row r="3910" spans="1:13" x14ac:dyDescent="0.25">
      <c r="A3910" s="101">
        <f t="shared" si="96"/>
        <v>3909</v>
      </c>
      <c r="B3910" s="100" t="s">
        <v>2330</v>
      </c>
      <c r="C3910" s="100" t="s">
        <v>9017</v>
      </c>
      <c r="D3910" t="s">
        <v>3752</v>
      </c>
      <c r="F3910" t="s">
        <v>454</v>
      </c>
      <c r="G3910" s="100" t="s">
        <v>24</v>
      </c>
      <c r="H3910" s="101" t="str">
        <f>IFERROR(VLOOKUP(Table2[[#This Row],[Ticket]],Okey!A:B,2,0),"")</f>
        <v>ok</v>
      </c>
      <c r="I3910" s="105" t="s">
        <v>8318</v>
      </c>
      <c r="J3910" t="str">
        <f>VLOOKUP(Table2[[#This Row],[Author]],People!A:B,2,0)</f>
        <v>MGF</v>
      </c>
      <c r="K3910" s="105"/>
      <c r="L3910" s="101"/>
      <c r="M3910" s="101" t="s">
        <v>7208</v>
      </c>
    </row>
    <row r="3911" spans="1:13" x14ac:dyDescent="0.25">
      <c r="A3911" s="101">
        <f t="shared" si="96"/>
        <v>3910</v>
      </c>
      <c r="B3911" s="100" t="s">
        <v>2330</v>
      </c>
      <c r="C3911" s="100" t="s">
        <v>9017</v>
      </c>
      <c r="D3911" t="s">
        <v>753</v>
      </c>
      <c r="F3911" t="s">
        <v>454</v>
      </c>
      <c r="G3911" s="100" t="s">
        <v>24</v>
      </c>
      <c r="H3911" s="101" t="str">
        <f>IFERROR(VLOOKUP(Table2[[#This Row],[Ticket]],Okey!A:B,2,0),"")</f>
        <v>ok</v>
      </c>
      <c r="I3911" s="105" t="s">
        <v>8318</v>
      </c>
      <c r="J3911" t="str">
        <f>VLOOKUP(Table2[[#This Row],[Author]],People!A:B,2,0)</f>
        <v>MGF</v>
      </c>
      <c r="K3911" s="105"/>
      <c r="L3911" s="101"/>
      <c r="M3911" s="101" t="s">
        <v>7208</v>
      </c>
    </row>
    <row r="3912" spans="1:13" x14ac:dyDescent="0.25">
      <c r="A3912" s="101">
        <f t="shared" si="96"/>
        <v>3911</v>
      </c>
      <c r="B3912" s="100" t="s">
        <v>2330</v>
      </c>
      <c r="C3912" s="100" t="s">
        <v>9017</v>
      </c>
      <c r="D3912" t="s">
        <v>3734</v>
      </c>
      <c r="F3912" t="s">
        <v>454</v>
      </c>
      <c r="G3912" s="100" t="s">
        <v>24</v>
      </c>
      <c r="H3912" s="101" t="str">
        <f>IFERROR(VLOOKUP(Table2[[#This Row],[Ticket]],Okey!A:B,2,0),"")</f>
        <v>ok</v>
      </c>
      <c r="I3912" s="105" t="s">
        <v>8318</v>
      </c>
      <c r="J3912" t="str">
        <f>VLOOKUP(Table2[[#This Row],[Author]],People!A:B,2,0)</f>
        <v>MGF</v>
      </c>
      <c r="K3912" s="105"/>
      <c r="L3912" s="101"/>
      <c r="M3912" s="101" t="s">
        <v>7208</v>
      </c>
    </row>
    <row r="3913" spans="1:13" x14ac:dyDescent="0.25">
      <c r="A3913" s="101">
        <f t="shared" si="96"/>
        <v>3912</v>
      </c>
      <c r="B3913" s="100" t="s">
        <v>2330</v>
      </c>
      <c r="C3913" s="100" t="s">
        <v>9017</v>
      </c>
      <c r="D3913" t="s">
        <v>507</v>
      </c>
      <c r="F3913" t="s">
        <v>454</v>
      </c>
      <c r="G3913" s="100" t="s">
        <v>24</v>
      </c>
      <c r="H3913" s="101" t="str">
        <f>IFERROR(VLOOKUP(Table2[[#This Row],[Ticket]],Okey!A:B,2,0),"")</f>
        <v>ok</v>
      </c>
      <c r="I3913" s="105" t="s">
        <v>8318</v>
      </c>
      <c r="J3913" t="str">
        <f>VLOOKUP(Table2[[#This Row],[Author]],People!A:B,2,0)</f>
        <v>MGF</v>
      </c>
      <c r="K3913" s="105"/>
      <c r="L3913" s="101"/>
      <c r="M3913" s="101" t="s">
        <v>7208</v>
      </c>
    </row>
    <row r="3914" spans="1:13" x14ac:dyDescent="0.25">
      <c r="A3914" s="101">
        <f t="shared" ref="A3914:A3916" si="97">1+A3913</f>
        <v>3913</v>
      </c>
      <c r="B3914" s="100" t="s">
        <v>2330</v>
      </c>
      <c r="C3914" t="s">
        <v>9021</v>
      </c>
      <c r="D3914" s="100" t="s">
        <v>9042</v>
      </c>
      <c r="E3914" s="100" t="s">
        <v>9019</v>
      </c>
      <c r="F3914" t="s">
        <v>8541</v>
      </c>
      <c r="G3914" t="s">
        <v>18</v>
      </c>
      <c r="H3914" s="101" t="str">
        <f>IFERROR(VLOOKUP(Table2[[#This Row],[Ticket]],Okey!A:B,2,0),"")</f>
        <v>ok</v>
      </c>
      <c r="I3914" s="105" t="s">
        <v>8318</v>
      </c>
      <c r="J3914" t="str">
        <f>VLOOKUP(Table2[[#This Row],[Author]],People!A:B,2,0)</f>
        <v>EL</v>
      </c>
      <c r="K3914" s="105"/>
      <c r="L3914" s="101"/>
      <c r="M3914" s="101" t="s">
        <v>8497</v>
      </c>
    </row>
    <row r="3915" spans="1:13" x14ac:dyDescent="0.25">
      <c r="A3915" s="101">
        <f t="shared" si="97"/>
        <v>3914</v>
      </c>
      <c r="B3915" s="100" t="s">
        <v>2330</v>
      </c>
      <c r="C3915" s="100" t="s">
        <v>9021</v>
      </c>
      <c r="D3915" s="100" t="s">
        <v>9043</v>
      </c>
      <c r="E3915" s="100" t="s">
        <v>9019</v>
      </c>
      <c r="F3915" t="s">
        <v>8575</v>
      </c>
      <c r="G3915" s="100" t="s">
        <v>18</v>
      </c>
      <c r="H3915" s="101" t="str">
        <f>IFERROR(VLOOKUP(Table2[[#This Row],[Ticket]],Okey!A:B,2,0),"")</f>
        <v>ok</v>
      </c>
      <c r="I3915" s="105" t="s">
        <v>8318</v>
      </c>
      <c r="J3915" t="str">
        <f>VLOOKUP(Table2[[#This Row],[Author]],People!A:B,2,0)</f>
        <v>EL</v>
      </c>
      <c r="K3915" s="105"/>
      <c r="L3915" s="101"/>
      <c r="M3915" s="101" t="s">
        <v>8497</v>
      </c>
    </row>
    <row r="3916" spans="1:13" x14ac:dyDescent="0.25">
      <c r="A3916" s="101">
        <f t="shared" si="97"/>
        <v>3915</v>
      </c>
      <c r="B3916" s="100" t="s">
        <v>2330</v>
      </c>
      <c r="C3916" s="100" t="s">
        <v>9021</v>
      </c>
      <c r="D3916" s="100" t="s">
        <v>9044</v>
      </c>
      <c r="E3916" s="100" t="s">
        <v>9020</v>
      </c>
      <c r="F3916" t="s">
        <v>8363</v>
      </c>
      <c r="G3916" s="100" t="s">
        <v>18</v>
      </c>
      <c r="H3916" s="101" t="str">
        <f>IFERROR(VLOOKUP(Table2[[#This Row],[Ticket]],Okey!A:B,2,0),"")</f>
        <v>ok</v>
      </c>
      <c r="I3916" s="105" t="s">
        <v>8318</v>
      </c>
      <c r="J3916" t="str">
        <f>VLOOKUP(Table2[[#This Row],[Author]],People!A:B,2,0)</f>
        <v>EL</v>
      </c>
      <c r="K3916" s="105"/>
      <c r="L3916" s="101"/>
      <c r="M3916" s="101" t="s">
        <v>8497</v>
      </c>
    </row>
    <row r="3917" spans="1:13" x14ac:dyDescent="0.25">
      <c r="A3917" s="101">
        <f t="shared" ref="A3917:A3918" si="98">1+A3916</f>
        <v>3916</v>
      </c>
      <c r="B3917" s="103" t="s">
        <v>2330</v>
      </c>
      <c r="C3917" t="s">
        <v>9050</v>
      </c>
      <c r="D3917" s="105" t="s">
        <v>9054</v>
      </c>
      <c r="E3917" s="102" t="s">
        <v>9047</v>
      </c>
      <c r="F3917" s="103" t="s">
        <v>2545</v>
      </c>
      <c r="G3917" s="103" t="s">
        <v>18</v>
      </c>
      <c r="H3917" s="101" t="str">
        <f>IFERROR(VLOOKUP(Table2[[#This Row],[Ticket]],Okey!A:B,2,0),"")</f>
        <v>ok</v>
      </c>
      <c r="I3917" s="105" t="s">
        <v>8318</v>
      </c>
      <c r="J3917" t="str">
        <f>VLOOKUP(Table2[[#This Row],[Author]],People!A:B,2,0)</f>
        <v>MGF</v>
      </c>
      <c r="K3917" s="105"/>
      <c r="L3917" s="101"/>
      <c r="M3917" s="101" t="s">
        <v>8342</v>
      </c>
    </row>
    <row r="3918" spans="1:13" x14ac:dyDescent="0.25">
      <c r="A3918" s="101">
        <f t="shared" si="98"/>
        <v>3917</v>
      </c>
      <c r="B3918" s="103" t="s">
        <v>2330</v>
      </c>
      <c r="C3918" t="s">
        <v>9050</v>
      </c>
      <c r="D3918" s="105" t="s">
        <v>9055</v>
      </c>
      <c r="E3918" s="102" t="s">
        <v>9048</v>
      </c>
      <c r="F3918" s="103" t="s">
        <v>2545</v>
      </c>
      <c r="G3918" s="103" t="s">
        <v>18</v>
      </c>
      <c r="H3918" s="101" t="str">
        <f>IFERROR(VLOOKUP(Table2[[#This Row],[Ticket]],Okey!A:B,2,0),"")</f>
        <v>ok</v>
      </c>
      <c r="I3918" s="105" t="s">
        <v>8318</v>
      </c>
      <c r="J3918" t="str">
        <f>VLOOKUP(Table2[[#This Row],[Author]],People!A:B,2,0)</f>
        <v>MGF</v>
      </c>
      <c r="K3918" s="105"/>
      <c r="L3918" s="101"/>
      <c r="M3918" s="101" t="s">
        <v>8342</v>
      </c>
    </row>
    <row r="3919" spans="1:13" x14ac:dyDescent="0.25">
      <c r="A3919" s="101">
        <f>1+A3918</f>
        <v>3918</v>
      </c>
      <c r="B3919" s="105" t="s">
        <v>2330</v>
      </c>
      <c r="C3919" t="s">
        <v>9052</v>
      </c>
      <c r="D3919" s="104" t="s">
        <v>3178</v>
      </c>
      <c r="E3919" s="105" t="s">
        <v>9053</v>
      </c>
      <c r="G3919" t="s">
        <v>63</v>
      </c>
      <c r="H3919" s="101" t="str">
        <f>IFERROR(VLOOKUP(Table2[[#This Row],[Ticket]],Okey!A:B,2,0),"")</f>
        <v>ok</v>
      </c>
      <c r="I3919" s="105" t="s">
        <v>8318</v>
      </c>
      <c r="J3919" t="str">
        <f>VLOOKUP(Table2[[#This Row],[Author]],People!A:B,2,0)</f>
        <v>EL</v>
      </c>
      <c r="K3919" s="105"/>
      <c r="L3919" s="101"/>
      <c r="M3919" s="101" t="s">
        <v>8497</v>
      </c>
    </row>
  </sheetData>
  <phoneticPr fontId="5" type="noConversion"/>
  <conditionalFormatting sqref="D1">
    <cfRule type="duplicateValues" dxfId="8" priority="14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31009-5085-417B-9240-C88F61E4C2A3}">
  <dimension ref="A1:B40"/>
  <sheetViews>
    <sheetView workbookViewId="0"/>
  </sheetViews>
  <sheetFormatPr defaultRowHeight="15" x14ac:dyDescent="0.25"/>
  <sheetData>
    <row r="1" spans="1:2" x14ac:dyDescent="0.25">
      <c r="A1" t="s">
        <v>9024</v>
      </c>
      <c r="B1" t="s">
        <v>4574</v>
      </c>
    </row>
    <row r="2" spans="1:2" x14ac:dyDescent="0.25">
      <c r="A2" t="s">
        <v>9025</v>
      </c>
      <c r="B2" t="s">
        <v>4520</v>
      </c>
    </row>
    <row r="3" spans="1:2" x14ac:dyDescent="0.25">
      <c r="A3" t="s">
        <v>9026</v>
      </c>
      <c r="B3" t="s">
        <v>4645</v>
      </c>
    </row>
    <row r="4" spans="1:2" x14ac:dyDescent="0.25">
      <c r="A4" t="s">
        <v>9027</v>
      </c>
      <c r="B4" t="s">
        <v>4645</v>
      </c>
    </row>
    <row r="5" spans="1:2" x14ac:dyDescent="0.25">
      <c r="A5" t="s">
        <v>9028</v>
      </c>
      <c r="B5" t="s">
        <v>5093</v>
      </c>
    </row>
    <row r="6" spans="1:2" x14ac:dyDescent="0.25">
      <c r="A6" t="s">
        <v>9029</v>
      </c>
      <c r="B6" t="s">
        <v>5093</v>
      </c>
    </row>
    <row r="7" spans="1:2" x14ac:dyDescent="0.25">
      <c r="A7" t="s">
        <v>9030</v>
      </c>
      <c r="B7" t="s">
        <v>8297</v>
      </c>
    </row>
    <row r="8" spans="1:2" x14ac:dyDescent="0.25">
      <c r="A8" t="s">
        <v>2709</v>
      </c>
      <c r="B8" t="s">
        <v>9026</v>
      </c>
    </row>
    <row r="9" spans="1:2" x14ac:dyDescent="0.25">
      <c r="A9" t="s">
        <v>6754</v>
      </c>
      <c r="B9" t="s">
        <v>9026</v>
      </c>
    </row>
    <row r="10" spans="1:2" x14ac:dyDescent="0.25">
      <c r="A10" t="s">
        <v>6756</v>
      </c>
      <c r="B10" t="s">
        <v>9027</v>
      </c>
    </row>
    <row r="11" spans="1:2" x14ac:dyDescent="0.25">
      <c r="A11" t="s">
        <v>6760</v>
      </c>
      <c r="B11" t="s">
        <v>9027</v>
      </c>
    </row>
    <row r="12" spans="1:2" x14ac:dyDescent="0.25">
      <c r="A12" t="s">
        <v>8895</v>
      </c>
      <c r="B12" t="s">
        <v>9028</v>
      </c>
    </row>
    <row r="13" spans="1:2" x14ac:dyDescent="0.25">
      <c r="A13" t="s">
        <v>8217</v>
      </c>
      <c r="B13" t="s">
        <v>8301</v>
      </c>
    </row>
    <row r="14" spans="1:2" x14ac:dyDescent="0.25">
      <c r="A14" t="s">
        <v>2722</v>
      </c>
      <c r="B14" t="s">
        <v>2492</v>
      </c>
    </row>
    <row r="15" spans="1:2" x14ac:dyDescent="0.25">
      <c r="A15" t="s">
        <v>2324</v>
      </c>
      <c r="B15" t="s">
        <v>8301</v>
      </c>
    </row>
    <row r="16" spans="1:2" x14ac:dyDescent="0.25">
      <c r="A16" t="s">
        <v>8219</v>
      </c>
      <c r="B16" t="s">
        <v>8301</v>
      </c>
    </row>
    <row r="17" spans="1:2" x14ac:dyDescent="0.25">
      <c r="A17" t="s">
        <v>8220</v>
      </c>
      <c r="B17" t="s">
        <v>8169</v>
      </c>
    </row>
    <row r="18" spans="1:2" x14ac:dyDescent="0.25">
      <c r="A18" t="s">
        <v>8221</v>
      </c>
      <c r="B18" t="s">
        <v>2722</v>
      </c>
    </row>
    <row r="19" spans="1:2" x14ac:dyDescent="0.25">
      <c r="A19" t="s">
        <v>5089</v>
      </c>
      <c r="B19" t="s">
        <v>2722</v>
      </c>
    </row>
    <row r="20" spans="1:2" x14ac:dyDescent="0.25">
      <c r="A20" t="s">
        <v>5091</v>
      </c>
      <c r="B20" t="s">
        <v>2722</v>
      </c>
    </row>
    <row r="21" spans="1:2" x14ac:dyDescent="0.25">
      <c r="A21" t="s">
        <v>8222</v>
      </c>
      <c r="B21" t="s">
        <v>8301</v>
      </c>
    </row>
    <row r="22" spans="1:2" x14ac:dyDescent="0.25">
      <c r="A22" t="s">
        <v>3680</v>
      </c>
      <c r="B22" t="s">
        <v>2722</v>
      </c>
    </row>
    <row r="23" spans="1:2" x14ac:dyDescent="0.25">
      <c r="A23" t="s">
        <v>1412</v>
      </c>
      <c r="B23" t="s">
        <v>9024</v>
      </c>
    </row>
    <row r="24" spans="1:2" x14ac:dyDescent="0.25">
      <c r="A24" t="s">
        <v>8901</v>
      </c>
      <c r="B24" t="s">
        <v>8291</v>
      </c>
    </row>
    <row r="25" spans="1:2" x14ac:dyDescent="0.25">
      <c r="A25" t="s">
        <v>8902</v>
      </c>
      <c r="B25" t="s">
        <v>9028</v>
      </c>
    </row>
    <row r="26" spans="1:2" x14ac:dyDescent="0.25">
      <c r="A26" t="s">
        <v>5001</v>
      </c>
      <c r="B26" t="s">
        <v>9028</v>
      </c>
    </row>
    <row r="27" spans="1:2" x14ac:dyDescent="0.25">
      <c r="A27" t="s">
        <v>8696</v>
      </c>
      <c r="B27" t="s">
        <v>8287</v>
      </c>
    </row>
    <row r="28" spans="1:2" x14ac:dyDescent="0.25">
      <c r="A28" t="s">
        <v>2623</v>
      </c>
      <c r="B28" t="s">
        <v>2556</v>
      </c>
    </row>
    <row r="29" spans="1:2" x14ac:dyDescent="0.25">
      <c r="A29" t="s">
        <v>8658</v>
      </c>
      <c r="B29" t="s">
        <v>1313</v>
      </c>
    </row>
    <row r="30" spans="1:2" x14ac:dyDescent="0.25">
      <c r="A30" t="s">
        <v>6736</v>
      </c>
      <c r="B30" t="s">
        <v>8298</v>
      </c>
    </row>
    <row r="31" spans="1:2" x14ac:dyDescent="0.25">
      <c r="A31" t="s">
        <v>4645</v>
      </c>
      <c r="B31" t="s">
        <v>8297</v>
      </c>
    </row>
    <row r="32" spans="1:2" x14ac:dyDescent="0.25">
      <c r="A32" t="s">
        <v>8218</v>
      </c>
      <c r="B32" t="s">
        <v>8169</v>
      </c>
    </row>
    <row r="33" spans="1:2" x14ac:dyDescent="0.25">
      <c r="A33" t="s">
        <v>6762</v>
      </c>
      <c r="B33" t="s">
        <v>8296</v>
      </c>
    </row>
    <row r="34" spans="1:2" x14ac:dyDescent="0.25">
      <c r="A34" t="s">
        <v>6257</v>
      </c>
      <c r="B34" t="s">
        <v>8295</v>
      </c>
    </row>
    <row r="35" spans="1:2" x14ac:dyDescent="0.25">
      <c r="A35" t="s">
        <v>2425</v>
      </c>
      <c r="B35" t="s">
        <v>8299</v>
      </c>
    </row>
    <row r="36" spans="1:2" x14ac:dyDescent="0.25">
      <c r="A36" t="s">
        <v>5085</v>
      </c>
      <c r="B36" t="s">
        <v>8298</v>
      </c>
    </row>
    <row r="37" spans="1:2" x14ac:dyDescent="0.25">
      <c r="A37" t="s">
        <v>5087</v>
      </c>
      <c r="B37" t="s">
        <v>8299</v>
      </c>
    </row>
    <row r="38" spans="1:2" x14ac:dyDescent="0.25">
      <c r="A38" t="s">
        <v>5180</v>
      </c>
      <c r="B38" t="s">
        <v>8296</v>
      </c>
    </row>
    <row r="39" spans="1:2" x14ac:dyDescent="0.25">
      <c r="A39" t="s">
        <v>5093</v>
      </c>
      <c r="B39" t="s">
        <v>8297</v>
      </c>
    </row>
    <row r="40" spans="1:2" x14ac:dyDescent="0.25">
      <c r="A40" t="s">
        <v>2325</v>
      </c>
      <c r="B40" t="s">
        <v>2493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C2126-E23F-4331-9742-5D2A5FF3C077}">
  <dimension ref="A1:B149"/>
  <sheetViews>
    <sheetView topLeftCell="A98" workbookViewId="0">
      <selection activeCell="A149" sqref="A149"/>
    </sheetView>
  </sheetViews>
  <sheetFormatPr defaultRowHeight="15" x14ac:dyDescent="0.25"/>
  <sheetData>
    <row r="1" spans="1:2" x14ac:dyDescent="0.25">
      <c r="A1" t="s">
        <v>894</v>
      </c>
      <c r="B1" t="s">
        <v>8869</v>
      </c>
    </row>
    <row r="2" spans="1:2" x14ac:dyDescent="0.25">
      <c r="A2" t="s">
        <v>472</v>
      </c>
      <c r="B2" t="s">
        <v>9056</v>
      </c>
    </row>
    <row r="3" spans="1:2" x14ac:dyDescent="0.25">
      <c r="A3" t="s">
        <v>458</v>
      </c>
      <c r="B3" t="s">
        <v>8875</v>
      </c>
    </row>
    <row r="4" spans="1:2" x14ac:dyDescent="0.25">
      <c r="A4" t="s">
        <v>432</v>
      </c>
      <c r="B4" t="s">
        <v>8876</v>
      </c>
    </row>
    <row r="5" spans="1:2" x14ac:dyDescent="0.25">
      <c r="A5" t="s">
        <v>434</v>
      </c>
      <c r="B5" t="s">
        <v>8877</v>
      </c>
    </row>
    <row r="6" spans="1:2" x14ac:dyDescent="0.25">
      <c r="A6" t="s">
        <v>3154</v>
      </c>
      <c r="B6" t="s">
        <v>8882</v>
      </c>
    </row>
    <row r="7" spans="1:2" x14ac:dyDescent="0.25">
      <c r="A7" t="s">
        <v>3156</v>
      </c>
      <c r="B7" t="s">
        <v>8883</v>
      </c>
    </row>
    <row r="8" spans="1:2" x14ac:dyDescent="0.25">
      <c r="A8" t="s">
        <v>3158</v>
      </c>
      <c r="B8" t="s">
        <v>8884</v>
      </c>
    </row>
    <row r="9" spans="1:2" x14ac:dyDescent="0.25">
      <c r="A9" t="s">
        <v>8172</v>
      </c>
      <c r="B9" t="s">
        <v>8894</v>
      </c>
    </row>
    <row r="10" spans="1:2" x14ac:dyDescent="0.25">
      <c r="A10" t="s">
        <v>8214</v>
      </c>
      <c r="B10" t="s">
        <v>8893</v>
      </c>
    </row>
    <row r="11" spans="1:2" x14ac:dyDescent="0.25">
      <c r="A11" t="s">
        <v>1751</v>
      </c>
      <c r="B11" t="s">
        <v>8910</v>
      </c>
    </row>
    <row r="12" spans="1:2" x14ac:dyDescent="0.25">
      <c r="A12" t="s">
        <v>6767</v>
      </c>
      <c r="B12" t="s">
        <v>8911</v>
      </c>
    </row>
    <row r="13" spans="1:2" x14ac:dyDescent="0.25">
      <c r="A13" t="s">
        <v>6769</v>
      </c>
      <c r="B13" t="s">
        <v>8912</v>
      </c>
    </row>
    <row r="14" spans="1:2" x14ac:dyDescent="0.25">
      <c r="A14" t="s">
        <v>6771</v>
      </c>
      <c r="B14" t="s">
        <v>8913</v>
      </c>
    </row>
    <row r="15" spans="1:2" x14ac:dyDescent="0.25">
      <c r="A15" t="s">
        <v>6773</v>
      </c>
      <c r="B15" t="s">
        <v>8914</v>
      </c>
    </row>
    <row r="16" spans="1:2" x14ac:dyDescent="0.25">
      <c r="A16" t="s">
        <v>6775</v>
      </c>
      <c r="B16" t="s">
        <v>8915</v>
      </c>
    </row>
    <row r="17" spans="1:2" x14ac:dyDescent="0.25">
      <c r="A17" t="s">
        <v>2020</v>
      </c>
      <c r="B17" t="s">
        <v>8916</v>
      </c>
    </row>
    <row r="18" spans="1:2" x14ac:dyDescent="0.25">
      <c r="A18" t="s">
        <v>3614</v>
      </c>
      <c r="B18" t="s">
        <v>8917</v>
      </c>
    </row>
    <row r="19" spans="1:2" x14ac:dyDescent="0.25">
      <c r="A19" t="s">
        <v>5539</v>
      </c>
      <c r="B19" t="s">
        <v>8918</v>
      </c>
    </row>
    <row r="20" spans="1:2" x14ac:dyDescent="0.25">
      <c r="A20" t="s">
        <v>1824</v>
      </c>
      <c r="B20" t="s">
        <v>8919</v>
      </c>
    </row>
    <row r="21" spans="1:2" x14ac:dyDescent="0.25">
      <c r="A21" t="s">
        <v>7986</v>
      </c>
      <c r="B21" t="s">
        <v>8920</v>
      </c>
    </row>
    <row r="22" spans="1:2" x14ac:dyDescent="0.25">
      <c r="A22" t="s">
        <v>1826</v>
      </c>
      <c r="B22" t="s">
        <v>8921</v>
      </c>
    </row>
    <row r="23" spans="1:2" x14ac:dyDescent="0.25">
      <c r="A23" t="s">
        <v>1828</v>
      </c>
      <c r="B23" t="s">
        <v>8922</v>
      </c>
    </row>
    <row r="24" spans="1:2" x14ac:dyDescent="0.25">
      <c r="A24" t="s">
        <v>1830</v>
      </c>
      <c r="B24" t="s">
        <v>8923</v>
      </c>
    </row>
    <row r="25" spans="1:2" x14ac:dyDescent="0.25">
      <c r="A25" t="s">
        <v>1832</v>
      </c>
      <c r="B25" t="s">
        <v>8924</v>
      </c>
    </row>
    <row r="26" spans="1:2" x14ac:dyDescent="0.25">
      <c r="A26" t="s">
        <v>1834</v>
      </c>
      <c r="B26" t="s">
        <v>8925</v>
      </c>
    </row>
    <row r="27" spans="1:2" x14ac:dyDescent="0.25">
      <c r="A27" t="s">
        <v>1836</v>
      </c>
      <c r="B27" t="s">
        <v>8926</v>
      </c>
    </row>
    <row r="28" spans="1:2" x14ac:dyDescent="0.25">
      <c r="A28" t="s">
        <v>6828</v>
      </c>
      <c r="B28" t="s">
        <v>8927</v>
      </c>
    </row>
    <row r="29" spans="1:2" x14ac:dyDescent="0.25">
      <c r="A29" t="s">
        <v>6830</v>
      </c>
      <c r="B29" t="s">
        <v>8928</v>
      </c>
    </row>
    <row r="30" spans="1:2" x14ac:dyDescent="0.25">
      <c r="A30" t="s">
        <v>3612</v>
      </c>
      <c r="B30" t="s">
        <v>8929</v>
      </c>
    </row>
    <row r="31" spans="1:2" x14ac:dyDescent="0.25">
      <c r="A31" t="s">
        <v>3615</v>
      </c>
      <c r="B31" t="s">
        <v>8930</v>
      </c>
    </row>
    <row r="32" spans="1:2" x14ac:dyDescent="0.25">
      <c r="A32" t="s">
        <v>1749</v>
      </c>
      <c r="B32" t="s">
        <v>9057</v>
      </c>
    </row>
    <row r="33" spans="1:2" x14ac:dyDescent="0.25">
      <c r="A33" t="s">
        <v>1753</v>
      </c>
      <c r="B33" t="s">
        <v>8932</v>
      </c>
    </row>
    <row r="34" spans="1:2" x14ac:dyDescent="0.25">
      <c r="A34" t="s">
        <v>1755</v>
      </c>
      <c r="B34" t="s">
        <v>8933</v>
      </c>
    </row>
    <row r="35" spans="1:2" x14ac:dyDescent="0.25">
      <c r="A35" t="s">
        <v>1757</v>
      </c>
      <c r="B35" t="s">
        <v>8934</v>
      </c>
    </row>
    <row r="36" spans="1:2" x14ac:dyDescent="0.25">
      <c r="A36" t="s">
        <v>1759</v>
      </c>
      <c r="B36" t="s">
        <v>8935</v>
      </c>
    </row>
    <row r="37" spans="1:2" x14ac:dyDescent="0.25">
      <c r="A37" t="s">
        <v>1761</v>
      </c>
      <c r="B37" t="s">
        <v>8936</v>
      </c>
    </row>
    <row r="38" spans="1:2" x14ac:dyDescent="0.25">
      <c r="A38" t="s">
        <v>1763</v>
      </c>
      <c r="B38" t="s">
        <v>8937</v>
      </c>
    </row>
    <row r="39" spans="1:2" x14ac:dyDescent="0.25">
      <c r="A39" t="s">
        <v>1765</v>
      </c>
      <c r="B39" t="s">
        <v>8938</v>
      </c>
    </row>
    <row r="40" spans="1:2" x14ac:dyDescent="0.25">
      <c r="A40" t="s">
        <v>1767</v>
      </c>
      <c r="B40" t="s">
        <v>8939</v>
      </c>
    </row>
    <row r="41" spans="1:2" x14ac:dyDescent="0.25">
      <c r="A41" t="s">
        <v>8541</v>
      </c>
      <c r="B41" t="s">
        <v>8940</v>
      </c>
    </row>
    <row r="42" spans="1:2" x14ac:dyDescent="0.25">
      <c r="A42" t="s">
        <v>1769</v>
      </c>
      <c r="B42" t="s">
        <v>8941</v>
      </c>
    </row>
    <row r="43" spans="1:2" x14ac:dyDescent="0.25">
      <c r="A43" t="s">
        <v>1771</v>
      </c>
      <c r="B43" t="s">
        <v>8942</v>
      </c>
    </row>
    <row r="44" spans="1:2" x14ac:dyDescent="0.25">
      <c r="A44" t="s">
        <v>1773</v>
      </c>
      <c r="B44" t="s">
        <v>8943</v>
      </c>
    </row>
    <row r="45" spans="1:2" x14ac:dyDescent="0.25">
      <c r="A45" t="s">
        <v>1775</v>
      </c>
      <c r="B45" t="s">
        <v>8944</v>
      </c>
    </row>
    <row r="46" spans="1:2" x14ac:dyDescent="0.25">
      <c r="A46" t="s">
        <v>1990</v>
      </c>
      <c r="B46" t="s">
        <v>8945</v>
      </c>
    </row>
    <row r="47" spans="1:2" x14ac:dyDescent="0.25">
      <c r="A47" t="s">
        <v>1777</v>
      </c>
      <c r="B47" t="s">
        <v>8946</v>
      </c>
    </row>
    <row r="48" spans="1:2" x14ac:dyDescent="0.25">
      <c r="A48" t="s">
        <v>1779</v>
      </c>
      <c r="B48" t="s">
        <v>8947</v>
      </c>
    </row>
    <row r="49" spans="1:2" x14ac:dyDescent="0.25">
      <c r="A49" t="s">
        <v>1781</v>
      </c>
      <c r="B49" t="s">
        <v>8948</v>
      </c>
    </row>
    <row r="50" spans="1:2" x14ac:dyDescent="0.25">
      <c r="A50" t="s">
        <v>1783</v>
      </c>
      <c r="B50" t="s">
        <v>8949</v>
      </c>
    </row>
    <row r="51" spans="1:2" x14ac:dyDescent="0.25">
      <c r="A51" t="s">
        <v>1785</v>
      </c>
      <c r="B51" t="s">
        <v>8950</v>
      </c>
    </row>
    <row r="52" spans="1:2" x14ac:dyDescent="0.25">
      <c r="A52" t="s">
        <v>8553</v>
      </c>
      <c r="B52" t="s">
        <v>8951</v>
      </c>
    </row>
    <row r="53" spans="1:2" x14ac:dyDescent="0.25">
      <c r="A53" t="s">
        <v>1787</v>
      </c>
      <c r="B53" t="s">
        <v>8952</v>
      </c>
    </row>
    <row r="54" spans="1:2" x14ac:dyDescent="0.25">
      <c r="A54" t="s">
        <v>1789</v>
      </c>
      <c r="B54" t="s">
        <v>8953</v>
      </c>
    </row>
    <row r="55" spans="1:2" x14ac:dyDescent="0.25">
      <c r="A55" t="s">
        <v>1791</v>
      </c>
      <c r="B55" t="s">
        <v>8954</v>
      </c>
    </row>
    <row r="56" spans="1:2" x14ac:dyDescent="0.25">
      <c r="A56" t="s">
        <v>1793</v>
      </c>
      <c r="B56" t="s">
        <v>8955</v>
      </c>
    </row>
    <row r="57" spans="1:2" x14ac:dyDescent="0.25">
      <c r="A57" t="s">
        <v>8366</v>
      </c>
      <c r="B57" t="s">
        <v>8956</v>
      </c>
    </row>
    <row r="58" spans="1:2" x14ac:dyDescent="0.25">
      <c r="A58" t="s">
        <v>8583</v>
      </c>
      <c r="B58" t="s">
        <v>8957</v>
      </c>
    </row>
    <row r="59" spans="1:2" x14ac:dyDescent="0.25">
      <c r="A59" t="s">
        <v>8584</v>
      </c>
      <c r="B59" t="s">
        <v>8958</v>
      </c>
    </row>
    <row r="60" spans="1:2" x14ac:dyDescent="0.25">
      <c r="A60" t="s">
        <v>8575</v>
      </c>
      <c r="B60" t="s">
        <v>8959</v>
      </c>
    </row>
    <row r="61" spans="1:2" x14ac:dyDescent="0.25">
      <c r="A61" t="s">
        <v>1795</v>
      </c>
      <c r="B61" t="s">
        <v>8960</v>
      </c>
    </row>
    <row r="62" spans="1:2" x14ac:dyDescent="0.25">
      <c r="A62" t="s">
        <v>1797</v>
      </c>
      <c r="B62" t="s">
        <v>8961</v>
      </c>
    </row>
    <row r="63" spans="1:2" x14ac:dyDescent="0.25">
      <c r="A63" t="s">
        <v>1799</v>
      </c>
      <c r="B63" t="s">
        <v>8962</v>
      </c>
    </row>
    <row r="64" spans="1:2" x14ac:dyDescent="0.25">
      <c r="A64" t="s">
        <v>1801</v>
      </c>
      <c r="B64" t="s">
        <v>8963</v>
      </c>
    </row>
    <row r="65" spans="1:2" x14ac:dyDescent="0.25">
      <c r="A65" t="s">
        <v>1803</v>
      </c>
      <c r="B65" t="s">
        <v>8964</v>
      </c>
    </row>
    <row r="66" spans="1:2" x14ac:dyDescent="0.25">
      <c r="A66" t="s">
        <v>1805</v>
      </c>
      <c r="B66" t="s">
        <v>8965</v>
      </c>
    </row>
    <row r="67" spans="1:2" x14ac:dyDescent="0.25">
      <c r="A67" t="s">
        <v>1807</v>
      </c>
      <c r="B67" t="s">
        <v>8966</v>
      </c>
    </row>
    <row r="68" spans="1:2" x14ac:dyDescent="0.25">
      <c r="A68" t="s">
        <v>8967</v>
      </c>
      <c r="B68" t="s">
        <v>8968</v>
      </c>
    </row>
    <row r="69" spans="1:2" x14ac:dyDescent="0.25">
      <c r="A69" t="s">
        <v>5598</v>
      </c>
      <c r="B69" t="s">
        <v>8969</v>
      </c>
    </row>
    <row r="70" spans="1:2" x14ac:dyDescent="0.25">
      <c r="A70" t="s">
        <v>5600</v>
      </c>
      <c r="B70" t="s">
        <v>8970</v>
      </c>
    </row>
    <row r="71" spans="1:2" x14ac:dyDescent="0.25">
      <c r="A71" t="s">
        <v>8971</v>
      </c>
      <c r="B71" t="s">
        <v>8972</v>
      </c>
    </row>
    <row r="72" spans="1:2" x14ac:dyDescent="0.25">
      <c r="A72" t="s">
        <v>8973</v>
      </c>
      <c r="B72" t="s">
        <v>8974</v>
      </c>
    </row>
    <row r="73" spans="1:2" x14ac:dyDescent="0.25">
      <c r="A73" t="s">
        <v>5602</v>
      </c>
      <c r="B73" t="s">
        <v>7111</v>
      </c>
    </row>
    <row r="74" spans="1:2" x14ac:dyDescent="0.25">
      <c r="A74" t="s">
        <v>5606</v>
      </c>
      <c r="B74" t="s">
        <v>8975</v>
      </c>
    </row>
    <row r="75" spans="1:2" x14ac:dyDescent="0.25">
      <c r="A75" t="s">
        <v>5523</v>
      </c>
      <c r="B75" t="s">
        <v>8976</v>
      </c>
    </row>
    <row r="76" spans="1:2" x14ac:dyDescent="0.25">
      <c r="A76" t="s">
        <v>5535</v>
      </c>
      <c r="B76" t="s">
        <v>8977</v>
      </c>
    </row>
    <row r="77" spans="1:2" x14ac:dyDescent="0.25">
      <c r="A77" t="s">
        <v>2757</v>
      </c>
      <c r="B77" t="s">
        <v>8978</v>
      </c>
    </row>
    <row r="78" spans="1:2" x14ac:dyDescent="0.25">
      <c r="A78" t="s">
        <v>7117</v>
      </c>
      <c r="B78" t="s">
        <v>8979</v>
      </c>
    </row>
    <row r="79" spans="1:2" x14ac:dyDescent="0.25">
      <c r="A79" t="s">
        <v>4831</v>
      </c>
      <c r="B79" t="s">
        <v>9058</v>
      </c>
    </row>
    <row r="80" spans="1:2" x14ac:dyDescent="0.25">
      <c r="A80" t="s">
        <v>8981</v>
      </c>
      <c r="B80" t="s">
        <v>8982</v>
      </c>
    </row>
    <row r="81" spans="1:2" x14ac:dyDescent="0.25">
      <c r="A81" t="s">
        <v>8983</v>
      </c>
      <c r="B81" t="s">
        <v>9059</v>
      </c>
    </row>
    <row r="82" spans="1:2" x14ac:dyDescent="0.25">
      <c r="A82" t="s">
        <v>8985</v>
      </c>
      <c r="B82" t="s">
        <v>9060</v>
      </c>
    </row>
    <row r="83" spans="1:2" x14ac:dyDescent="0.25">
      <c r="A83" t="s">
        <v>7115</v>
      </c>
      <c r="B83" t="s">
        <v>8987</v>
      </c>
    </row>
    <row r="84" spans="1:2" x14ac:dyDescent="0.25">
      <c r="A84" t="s">
        <v>7118</v>
      </c>
      <c r="B84" t="s">
        <v>8988</v>
      </c>
    </row>
    <row r="85" spans="1:2" x14ac:dyDescent="0.25">
      <c r="A85" t="s">
        <v>5911</v>
      </c>
      <c r="B85" t="s">
        <v>8989</v>
      </c>
    </row>
    <row r="86" spans="1:2" x14ac:dyDescent="0.25">
      <c r="A86" t="s">
        <v>5909</v>
      </c>
      <c r="B86" t="s">
        <v>8990</v>
      </c>
    </row>
    <row r="87" spans="1:2" x14ac:dyDescent="0.25">
      <c r="A87" t="s">
        <v>5921</v>
      </c>
      <c r="B87" t="s">
        <v>8991</v>
      </c>
    </row>
    <row r="88" spans="1:2" x14ac:dyDescent="0.25">
      <c r="A88" t="s">
        <v>7047</v>
      </c>
      <c r="B88" t="s">
        <v>8992</v>
      </c>
    </row>
    <row r="89" spans="1:2" x14ac:dyDescent="0.25">
      <c r="A89" t="s">
        <v>7061</v>
      </c>
      <c r="B89" t="s">
        <v>8993</v>
      </c>
    </row>
    <row r="90" spans="1:2" x14ac:dyDescent="0.25">
      <c r="A90" t="s">
        <v>7063</v>
      </c>
      <c r="B90" t="s">
        <v>8994</v>
      </c>
    </row>
    <row r="91" spans="1:2" x14ac:dyDescent="0.25">
      <c r="A91" t="s">
        <v>7988</v>
      </c>
      <c r="B91" t="s">
        <v>8995</v>
      </c>
    </row>
    <row r="92" spans="1:2" x14ac:dyDescent="0.25">
      <c r="A92" t="s">
        <v>7081</v>
      </c>
      <c r="B92" t="s">
        <v>8996</v>
      </c>
    </row>
    <row r="93" spans="1:2" x14ac:dyDescent="0.25">
      <c r="A93" t="s">
        <v>7083</v>
      </c>
      <c r="B93" t="s">
        <v>8997</v>
      </c>
    </row>
    <row r="94" spans="1:2" x14ac:dyDescent="0.25">
      <c r="A94" t="s">
        <v>5747</v>
      </c>
      <c r="B94" t="s">
        <v>8998</v>
      </c>
    </row>
    <row r="95" spans="1:2" x14ac:dyDescent="0.25">
      <c r="A95" t="s">
        <v>8371</v>
      </c>
      <c r="B95" t="s">
        <v>8999</v>
      </c>
    </row>
    <row r="96" spans="1:2" x14ac:dyDescent="0.25">
      <c r="A96" t="s">
        <v>8372</v>
      </c>
      <c r="B96" t="s">
        <v>9000</v>
      </c>
    </row>
    <row r="97" spans="1:2" x14ac:dyDescent="0.25">
      <c r="A97" t="s">
        <v>8373</v>
      </c>
      <c r="B97" t="s">
        <v>9001</v>
      </c>
    </row>
    <row r="98" spans="1:2" x14ac:dyDescent="0.25">
      <c r="A98" t="s">
        <v>8375</v>
      </c>
      <c r="B98" t="s">
        <v>9002</v>
      </c>
    </row>
    <row r="99" spans="1:2" x14ac:dyDescent="0.25">
      <c r="A99" t="s">
        <v>6970</v>
      </c>
      <c r="B99" t="s">
        <v>9061</v>
      </c>
    </row>
    <row r="100" spans="1:2" x14ac:dyDescent="0.25">
      <c r="A100" t="s">
        <v>3178</v>
      </c>
      <c r="B100" t="s">
        <v>9053</v>
      </c>
    </row>
    <row r="101" spans="1:2" x14ac:dyDescent="0.25">
      <c r="A101" t="s">
        <v>7115</v>
      </c>
      <c r="B101" t="s">
        <v>8987</v>
      </c>
    </row>
    <row r="102" spans="1:2" x14ac:dyDescent="0.25">
      <c r="A102" t="s">
        <v>7118</v>
      </c>
      <c r="B102" t="s">
        <v>8988</v>
      </c>
    </row>
    <row r="103" spans="1:2" x14ac:dyDescent="0.25">
      <c r="A103" t="s">
        <v>5911</v>
      </c>
      <c r="B103" t="s">
        <v>8989</v>
      </c>
    </row>
    <row r="104" spans="1:2" x14ac:dyDescent="0.25">
      <c r="A104" t="s">
        <v>5909</v>
      </c>
      <c r="B104" t="s">
        <v>8990</v>
      </c>
    </row>
    <row r="105" spans="1:2" x14ac:dyDescent="0.25">
      <c r="A105" t="s">
        <v>5921</v>
      </c>
      <c r="B105" t="s">
        <v>8991</v>
      </c>
    </row>
    <row r="106" spans="1:2" x14ac:dyDescent="0.25">
      <c r="A106" t="s">
        <v>7047</v>
      </c>
      <c r="B106" t="s">
        <v>8992</v>
      </c>
    </row>
    <row r="107" spans="1:2" x14ac:dyDescent="0.25">
      <c r="A107" t="s">
        <v>7061</v>
      </c>
      <c r="B107" t="s">
        <v>8993</v>
      </c>
    </row>
    <row r="108" spans="1:2" x14ac:dyDescent="0.25">
      <c r="A108" t="s">
        <v>7063</v>
      </c>
      <c r="B108" t="s">
        <v>8994</v>
      </c>
    </row>
    <row r="109" spans="1:2" x14ac:dyDescent="0.25">
      <c r="A109" t="s">
        <v>7988</v>
      </c>
      <c r="B109" t="s">
        <v>8995</v>
      </c>
    </row>
    <row r="110" spans="1:2" x14ac:dyDescent="0.25">
      <c r="A110" t="s">
        <v>7081</v>
      </c>
      <c r="B110" t="s">
        <v>8996</v>
      </c>
    </row>
    <row r="111" spans="1:2" x14ac:dyDescent="0.25">
      <c r="A111" t="s">
        <v>7083</v>
      </c>
      <c r="B111" t="s">
        <v>8997</v>
      </c>
    </row>
    <row r="112" spans="1:2" x14ac:dyDescent="0.25">
      <c r="A112" t="s">
        <v>5747</v>
      </c>
      <c r="B112" t="s">
        <v>8998</v>
      </c>
    </row>
    <row r="113" spans="1:2" x14ac:dyDescent="0.25">
      <c r="A113" t="s">
        <v>8371</v>
      </c>
      <c r="B113" t="s">
        <v>8999</v>
      </c>
    </row>
    <row r="114" spans="1:2" x14ac:dyDescent="0.25">
      <c r="A114" t="s">
        <v>8372</v>
      </c>
      <c r="B114" t="s">
        <v>9000</v>
      </c>
    </row>
    <row r="115" spans="1:2" x14ac:dyDescent="0.25">
      <c r="A115" t="s">
        <v>8373</v>
      </c>
      <c r="B115" t="s">
        <v>9001</v>
      </c>
    </row>
    <row r="116" spans="1:2" x14ac:dyDescent="0.25">
      <c r="A116" t="s">
        <v>8375</v>
      </c>
      <c r="B116" t="s">
        <v>9002</v>
      </c>
    </row>
    <row r="117" spans="1:2" x14ac:dyDescent="0.25">
      <c r="A117" t="s">
        <v>3953</v>
      </c>
      <c r="B117" t="s">
        <v>9062</v>
      </c>
    </row>
    <row r="118" spans="1:2" x14ac:dyDescent="0.25">
      <c r="A118" t="s">
        <v>3955</v>
      </c>
      <c r="B118" t="s">
        <v>9063</v>
      </c>
    </row>
    <row r="119" spans="1:2" x14ac:dyDescent="0.25">
      <c r="A119" t="s">
        <v>4897</v>
      </c>
      <c r="B119" t="s">
        <v>9064</v>
      </c>
    </row>
    <row r="120" spans="1:2" x14ac:dyDescent="0.25">
      <c r="A120" t="s">
        <v>3830</v>
      </c>
      <c r="B120" t="s">
        <v>9065</v>
      </c>
    </row>
    <row r="121" spans="1:2" x14ac:dyDescent="0.25">
      <c r="A121" t="s">
        <v>4899</v>
      </c>
      <c r="B121" t="s">
        <v>9066</v>
      </c>
    </row>
    <row r="122" spans="1:2" x14ac:dyDescent="0.25">
      <c r="A122" t="s">
        <v>4900</v>
      </c>
      <c r="B122" t="s">
        <v>9067</v>
      </c>
    </row>
    <row r="123" spans="1:2" x14ac:dyDescent="0.25">
      <c r="A123" t="s">
        <v>589</v>
      </c>
      <c r="B123" t="s">
        <v>590</v>
      </c>
    </row>
    <row r="124" spans="1:2" x14ac:dyDescent="0.25">
      <c r="A124" t="s">
        <v>9036</v>
      </c>
      <c r="B124" t="s">
        <v>9010</v>
      </c>
    </row>
    <row r="125" spans="1:2" x14ac:dyDescent="0.25">
      <c r="A125" t="s">
        <v>9037</v>
      </c>
      <c r="B125" t="s">
        <v>9011</v>
      </c>
    </row>
    <row r="126" spans="1:2" x14ac:dyDescent="0.25">
      <c r="A126" t="s">
        <v>9038</v>
      </c>
      <c r="B126" t="s">
        <v>9012</v>
      </c>
    </row>
    <row r="127" spans="1:2" x14ac:dyDescent="0.25">
      <c r="A127" t="s">
        <v>9039</v>
      </c>
      <c r="B127" t="s">
        <v>9013</v>
      </c>
    </row>
    <row r="128" spans="1:2" x14ac:dyDescent="0.25">
      <c r="A128" t="s">
        <v>9040</v>
      </c>
      <c r="B128" t="s">
        <v>9014</v>
      </c>
    </row>
    <row r="129" spans="1:2" x14ac:dyDescent="0.25">
      <c r="A129" t="s">
        <v>9041</v>
      </c>
      <c r="B129" t="s">
        <v>9015</v>
      </c>
    </row>
    <row r="130" spans="1:2" x14ac:dyDescent="0.25">
      <c r="A130" t="s">
        <v>6970</v>
      </c>
      <c r="B130" t="s">
        <v>9061</v>
      </c>
    </row>
    <row r="131" spans="1:2" x14ac:dyDescent="0.25">
      <c r="A131" t="s">
        <v>626</v>
      </c>
      <c r="B131" t="s">
        <v>627</v>
      </c>
    </row>
    <row r="132" spans="1:2" x14ac:dyDescent="0.25">
      <c r="A132" t="s">
        <v>628</v>
      </c>
      <c r="B132" t="s">
        <v>629</v>
      </c>
    </row>
    <row r="133" spans="1:2" x14ac:dyDescent="0.25">
      <c r="A133" t="s">
        <v>9018</v>
      </c>
      <c r="B133" t="s">
        <v>4002</v>
      </c>
    </row>
    <row r="134" spans="1:2" x14ac:dyDescent="0.25">
      <c r="A134" t="s">
        <v>3955</v>
      </c>
      <c r="B134" t="s">
        <v>9063</v>
      </c>
    </row>
    <row r="135" spans="1:2" x14ac:dyDescent="0.25">
      <c r="A135" t="s">
        <v>3953</v>
      </c>
      <c r="B135" t="s">
        <v>9062</v>
      </c>
    </row>
    <row r="136" spans="1:2" x14ac:dyDescent="0.25">
      <c r="A136" t="s">
        <v>3830</v>
      </c>
      <c r="B136" t="s">
        <v>9065</v>
      </c>
    </row>
    <row r="137" spans="1:2" x14ac:dyDescent="0.25">
      <c r="A137" t="s">
        <v>4899</v>
      </c>
      <c r="B137" t="s">
        <v>9066</v>
      </c>
    </row>
    <row r="138" spans="1:2" x14ac:dyDescent="0.25">
      <c r="A138" t="s">
        <v>4900</v>
      </c>
      <c r="B138" t="s">
        <v>9067</v>
      </c>
    </row>
    <row r="139" spans="1:2" x14ac:dyDescent="0.25">
      <c r="A139" t="s">
        <v>3805</v>
      </c>
      <c r="B139" t="s">
        <v>6371</v>
      </c>
    </row>
    <row r="140" spans="1:2" x14ac:dyDescent="0.25">
      <c r="A140" t="s">
        <v>3752</v>
      </c>
      <c r="B140" t="s">
        <v>3753</v>
      </c>
    </row>
    <row r="141" spans="1:2" x14ac:dyDescent="0.25">
      <c r="A141" t="s">
        <v>753</v>
      </c>
      <c r="B141" t="s">
        <v>708</v>
      </c>
    </row>
    <row r="142" spans="1:2" x14ac:dyDescent="0.25">
      <c r="A142" t="s">
        <v>3734</v>
      </c>
      <c r="B142" t="s">
        <v>3735</v>
      </c>
    </row>
    <row r="143" spans="1:2" x14ac:dyDescent="0.25">
      <c r="A143" t="s">
        <v>507</v>
      </c>
      <c r="B143" t="s">
        <v>508</v>
      </c>
    </row>
    <row r="144" spans="1:2" x14ac:dyDescent="0.25">
      <c r="A144" t="s">
        <v>9042</v>
      </c>
      <c r="B144" t="s">
        <v>9019</v>
      </c>
    </row>
    <row r="145" spans="1:2" x14ac:dyDescent="0.25">
      <c r="A145" t="s">
        <v>9043</v>
      </c>
      <c r="B145" t="s">
        <v>9019</v>
      </c>
    </row>
    <row r="146" spans="1:2" x14ac:dyDescent="0.25">
      <c r="A146" t="s">
        <v>9044</v>
      </c>
      <c r="B146" t="s">
        <v>9020</v>
      </c>
    </row>
    <row r="147" spans="1:2" x14ac:dyDescent="0.25">
      <c r="A147" t="s">
        <v>9054</v>
      </c>
      <c r="B147" t="s">
        <v>9047</v>
      </c>
    </row>
    <row r="148" spans="1:2" x14ac:dyDescent="0.25">
      <c r="A148" t="s">
        <v>9055</v>
      </c>
      <c r="B148" t="s">
        <v>9048</v>
      </c>
    </row>
    <row r="149" spans="1:2" x14ac:dyDescent="0.25">
      <c r="A149" t="s">
        <v>3178</v>
      </c>
      <c r="B149" t="s">
        <v>9053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CF56-4842-445B-B0AD-5830EAE8CC07}">
  <dimension ref="A1:B149"/>
  <sheetViews>
    <sheetView topLeftCell="A98" workbookViewId="0">
      <selection activeCell="G118" sqref="G118"/>
    </sheetView>
  </sheetViews>
  <sheetFormatPr defaultRowHeight="15" x14ac:dyDescent="0.25"/>
  <cols>
    <col min="1" max="1" width="11.7109375" bestFit="1" customWidth="1"/>
    <col min="2" max="2" width="11.28515625" bestFit="1" customWidth="1"/>
  </cols>
  <sheetData>
    <row r="1" spans="1:2" x14ac:dyDescent="0.25">
      <c r="A1" t="s">
        <v>8865</v>
      </c>
      <c r="B1" t="s">
        <v>563</v>
      </c>
    </row>
    <row r="2" spans="1:2" x14ac:dyDescent="0.25">
      <c r="A2" t="s">
        <v>8866</v>
      </c>
      <c r="B2" t="s">
        <v>563</v>
      </c>
    </row>
    <row r="3" spans="1:2" x14ac:dyDescent="0.25">
      <c r="A3" t="s">
        <v>8867</v>
      </c>
      <c r="B3" t="s">
        <v>454</v>
      </c>
    </row>
    <row r="4" spans="1:2" x14ac:dyDescent="0.25">
      <c r="A4" t="s">
        <v>9022</v>
      </c>
      <c r="B4" t="s">
        <v>803</v>
      </c>
    </row>
    <row r="5" spans="1:2" x14ac:dyDescent="0.25">
      <c r="A5" t="s">
        <v>894</v>
      </c>
      <c r="B5" t="s">
        <v>803</v>
      </c>
    </row>
    <row r="6" spans="1:2" x14ac:dyDescent="0.25">
      <c r="A6" t="s">
        <v>705</v>
      </c>
      <c r="B6" t="s">
        <v>454</v>
      </c>
    </row>
    <row r="7" spans="1:2" x14ac:dyDescent="0.25">
      <c r="A7" t="s">
        <v>4726</v>
      </c>
      <c r="B7" t="s">
        <v>454</v>
      </c>
    </row>
    <row r="8" spans="1:2" x14ac:dyDescent="0.25">
      <c r="A8" t="s">
        <v>4728</v>
      </c>
      <c r="B8" t="s">
        <v>454</v>
      </c>
    </row>
    <row r="9" spans="1:2" x14ac:dyDescent="0.25">
      <c r="A9" t="s">
        <v>4730</v>
      </c>
      <c r="B9" t="s">
        <v>454</v>
      </c>
    </row>
    <row r="10" spans="1:2" x14ac:dyDescent="0.25">
      <c r="A10" t="s">
        <v>381</v>
      </c>
      <c r="B10" t="s">
        <v>454</v>
      </c>
    </row>
    <row r="11" spans="1:2" x14ac:dyDescent="0.25">
      <c r="A11" t="s">
        <v>380</v>
      </c>
      <c r="B11" t="s">
        <v>454</v>
      </c>
    </row>
    <row r="12" spans="1:2" x14ac:dyDescent="0.25">
      <c r="A12" t="s">
        <v>382</v>
      </c>
      <c r="B12" t="s">
        <v>454</v>
      </c>
    </row>
    <row r="13" spans="1:2" x14ac:dyDescent="0.25">
      <c r="A13" t="s">
        <v>472</v>
      </c>
      <c r="B13" t="s">
        <v>458</v>
      </c>
    </row>
    <row r="14" spans="1:2" x14ac:dyDescent="0.25">
      <c r="A14" t="s">
        <v>458</v>
      </c>
      <c r="B14" t="s">
        <v>452</v>
      </c>
    </row>
    <row r="15" spans="1:2" x14ac:dyDescent="0.25">
      <c r="A15" t="s">
        <v>432</v>
      </c>
      <c r="B15" t="s">
        <v>458</v>
      </c>
    </row>
    <row r="16" spans="1:2" x14ac:dyDescent="0.25">
      <c r="A16" t="s">
        <v>434</v>
      </c>
      <c r="B16" t="s">
        <v>432</v>
      </c>
    </row>
    <row r="17" spans="1:2" x14ac:dyDescent="0.25">
      <c r="A17" t="s">
        <v>464</v>
      </c>
      <c r="B17" t="s">
        <v>458</v>
      </c>
    </row>
    <row r="18" spans="1:2" x14ac:dyDescent="0.25">
      <c r="A18" t="s">
        <v>470</v>
      </c>
      <c r="B18" t="s">
        <v>464</v>
      </c>
    </row>
    <row r="19" spans="1:2" x14ac:dyDescent="0.25">
      <c r="A19" t="s">
        <v>3154</v>
      </c>
      <c r="B19" t="s">
        <v>3152</v>
      </c>
    </row>
    <row r="20" spans="1:2" x14ac:dyDescent="0.25">
      <c r="A20" t="s">
        <v>3156</v>
      </c>
      <c r="B20" t="s">
        <v>3152</v>
      </c>
    </row>
    <row r="21" spans="1:2" x14ac:dyDescent="0.25">
      <c r="A21" t="s">
        <v>3158</v>
      </c>
      <c r="B21" t="s">
        <v>3152</v>
      </c>
    </row>
    <row r="22" spans="1:2" x14ac:dyDescent="0.25">
      <c r="A22" t="s">
        <v>9023</v>
      </c>
      <c r="B22" t="s">
        <v>797</v>
      </c>
    </row>
    <row r="23" spans="1:2" x14ac:dyDescent="0.25">
      <c r="A23" t="s">
        <v>9031</v>
      </c>
      <c r="B23" t="s">
        <v>1751</v>
      </c>
    </row>
    <row r="24" spans="1:2" x14ac:dyDescent="0.25">
      <c r="A24" t="s">
        <v>9032</v>
      </c>
      <c r="B24" t="s">
        <v>9031</v>
      </c>
    </row>
    <row r="25" spans="1:2" x14ac:dyDescent="0.25">
      <c r="A25" t="s">
        <v>9033</v>
      </c>
      <c r="B25" t="s">
        <v>9031</v>
      </c>
    </row>
    <row r="26" spans="1:2" x14ac:dyDescent="0.25">
      <c r="A26" t="s">
        <v>9034</v>
      </c>
      <c r="B26" t="s">
        <v>9031</v>
      </c>
    </row>
    <row r="27" spans="1:2" x14ac:dyDescent="0.25">
      <c r="A27" t="s">
        <v>9035</v>
      </c>
      <c r="B27" t="s">
        <v>9031</v>
      </c>
    </row>
    <row r="28" spans="1:2" x14ac:dyDescent="0.25">
      <c r="A28" t="s">
        <v>8378</v>
      </c>
      <c r="B28" t="s">
        <v>5747</v>
      </c>
    </row>
    <row r="29" spans="1:2" x14ac:dyDescent="0.25">
      <c r="A29" t="s">
        <v>1751</v>
      </c>
      <c r="B29" t="s">
        <v>2037</v>
      </c>
    </row>
    <row r="30" spans="1:2" x14ac:dyDescent="0.25">
      <c r="A30" t="s">
        <v>6767</v>
      </c>
      <c r="B30" t="s">
        <v>1751</v>
      </c>
    </row>
    <row r="31" spans="1:2" x14ac:dyDescent="0.25">
      <c r="A31" t="s">
        <v>6769</v>
      </c>
      <c r="B31" t="s">
        <v>6767</v>
      </c>
    </row>
    <row r="32" spans="1:2" x14ac:dyDescent="0.25">
      <c r="A32" t="s">
        <v>6771</v>
      </c>
      <c r="B32" t="s">
        <v>6767</v>
      </c>
    </row>
    <row r="33" spans="1:2" x14ac:dyDescent="0.25">
      <c r="A33" t="s">
        <v>6773</v>
      </c>
      <c r="B33" t="s">
        <v>6767</v>
      </c>
    </row>
    <row r="34" spans="1:2" x14ac:dyDescent="0.25">
      <c r="A34" t="s">
        <v>6775</v>
      </c>
      <c r="B34" t="s">
        <v>6767</v>
      </c>
    </row>
    <row r="35" spans="1:2" x14ac:dyDescent="0.25">
      <c r="A35" t="s">
        <v>2020</v>
      </c>
      <c r="B35" t="s">
        <v>1751</v>
      </c>
    </row>
    <row r="36" spans="1:2" x14ac:dyDescent="0.25">
      <c r="A36" t="s">
        <v>3614</v>
      </c>
      <c r="B36" t="s">
        <v>1751</v>
      </c>
    </row>
    <row r="37" spans="1:2" x14ac:dyDescent="0.25">
      <c r="A37" t="s">
        <v>5539</v>
      </c>
      <c r="B37" t="s">
        <v>3614</v>
      </c>
    </row>
    <row r="38" spans="1:2" x14ac:dyDescent="0.25">
      <c r="A38" t="s">
        <v>1824</v>
      </c>
      <c r="B38" t="s">
        <v>5539</v>
      </c>
    </row>
    <row r="39" spans="1:2" x14ac:dyDescent="0.25">
      <c r="A39" t="s">
        <v>7986</v>
      </c>
      <c r="B39" t="s">
        <v>2833</v>
      </c>
    </row>
    <row r="40" spans="1:2" x14ac:dyDescent="0.25">
      <c r="A40" t="s">
        <v>1826</v>
      </c>
      <c r="B40" t="s">
        <v>5539</v>
      </c>
    </row>
    <row r="41" spans="1:2" x14ac:dyDescent="0.25">
      <c r="A41" t="s">
        <v>1828</v>
      </c>
      <c r="B41" t="s">
        <v>5539</v>
      </c>
    </row>
    <row r="42" spans="1:2" x14ac:dyDescent="0.25">
      <c r="A42" t="s">
        <v>1830</v>
      </c>
      <c r="B42" t="s">
        <v>5539</v>
      </c>
    </row>
    <row r="43" spans="1:2" x14ac:dyDescent="0.25">
      <c r="A43" t="s">
        <v>1832</v>
      </c>
      <c r="B43" t="s">
        <v>5539</v>
      </c>
    </row>
    <row r="44" spans="1:2" x14ac:dyDescent="0.25">
      <c r="A44" t="s">
        <v>1834</v>
      </c>
      <c r="B44" t="s">
        <v>5539</v>
      </c>
    </row>
    <row r="45" spans="1:2" x14ac:dyDescent="0.25">
      <c r="A45" t="s">
        <v>1836</v>
      </c>
      <c r="B45" t="s">
        <v>5539</v>
      </c>
    </row>
    <row r="46" spans="1:2" x14ac:dyDescent="0.25">
      <c r="A46" t="s">
        <v>6828</v>
      </c>
      <c r="B46" t="s">
        <v>3614</v>
      </c>
    </row>
    <row r="47" spans="1:2" x14ac:dyDescent="0.25">
      <c r="A47" t="s">
        <v>6830</v>
      </c>
      <c r="B47" t="s">
        <v>3614</v>
      </c>
    </row>
    <row r="48" spans="1:2" x14ac:dyDescent="0.25">
      <c r="A48" t="s">
        <v>3612</v>
      </c>
      <c r="B48" t="s">
        <v>3614</v>
      </c>
    </row>
    <row r="49" spans="1:2" x14ac:dyDescent="0.25">
      <c r="A49" t="s">
        <v>3615</v>
      </c>
      <c r="B49" t="s">
        <v>3614</v>
      </c>
    </row>
    <row r="50" spans="1:2" x14ac:dyDescent="0.25">
      <c r="A50" t="s">
        <v>1749</v>
      </c>
      <c r="B50" t="s">
        <v>1751</v>
      </c>
    </row>
    <row r="51" spans="1:2" x14ac:dyDescent="0.25">
      <c r="A51" t="s">
        <v>1753</v>
      </c>
      <c r="B51" t="s">
        <v>1749</v>
      </c>
    </row>
    <row r="52" spans="1:2" x14ac:dyDescent="0.25">
      <c r="A52" t="s">
        <v>1755</v>
      </c>
      <c r="B52" t="s">
        <v>1749</v>
      </c>
    </row>
    <row r="53" spans="1:2" x14ac:dyDescent="0.25">
      <c r="A53" t="s">
        <v>1757</v>
      </c>
      <c r="B53" t="s">
        <v>1749</v>
      </c>
    </row>
    <row r="54" spans="1:2" x14ac:dyDescent="0.25">
      <c r="A54" t="s">
        <v>1759</v>
      </c>
      <c r="B54" t="s">
        <v>1757</v>
      </c>
    </row>
    <row r="55" spans="1:2" x14ac:dyDescent="0.25">
      <c r="A55" t="s">
        <v>1761</v>
      </c>
      <c r="B55" t="s">
        <v>1757</v>
      </c>
    </row>
    <row r="56" spans="1:2" x14ac:dyDescent="0.25">
      <c r="A56" t="s">
        <v>1763</v>
      </c>
      <c r="B56" t="s">
        <v>1757</v>
      </c>
    </row>
    <row r="57" spans="1:2" x14ac:dyDescent="0.25">
      <c r="A57" t="s">
        <v>1765</v>
      </c>
      <c r="B57" t="s">
        <v>1757</v>
      </c>
    </row>
    <row r="58" spans="1:2" x14ac:dyDescent="0.25">
      <c r="A58" t="s">
        <v>1767</v>
      </c>
      <c r="B58" t="s">
        <v>1749</v>
      </c>
    </row>
    <row r="59" spans="1:2" x14ac:dyDescent="0.25">
      <c r="A59" t="s">
        <v>8541</v>
      </c>
      <c r="B59" t="s">
        <v>1767</v>
      </c>
    </row>
    <row r="60" spans="1:2" x14ac:dyDescent="0.25">
      <c r="A60" t="s">
        <v>1769</v>
      </c>
      <c r="B60" t="s">
        <v>1751</v>
      </c>
    </row>
    <row r="61" spans="1:2" x14ac:dyDescent="0.25">
      <c r="A61" t="s">
        <v>1771</v>
      </c>
      <c r="B61" t="s">
        <v>1769</v>
      </c>
    </row>
    <row r="62" spans="1:2" x14ac:dyDescent="0.25">
      <c r="A62" t="s">
        <v>1773</v>
      </c>
      <c r="B62" t="s">
        <v>1769</v>
      </c>
    </row>
    <row r="63" spans="1:2" x14ac:dyDescent="0.25">
      <c r="A63" t="s">
        <v>1775</v>
      </c>
      <c r="B63" t="s">
        <v>1769</v>
      </c>
    </row>
    <row r="64" spans="1:2" x14ac:dyDescent="0.25">
      <c r="A64" t="s">
        <v>1990</v>
      </c>
      <c r="B64" t="s">
        <v>1775</v>
      </c>
    </row>
    <row r="65" spans="1:2" x14ac:dyDescent="0.25">
      <c r="A65" t="s">
        <v>1777</v>
      </c>
      <c r="B65" t="s">
        <v>1775</v>
      </c>
    </row>
    <row r="66" spans="1:2" x14ac:dyDescent="0.25">
      <c r="A66" t="s">
        <v>1779</v>
      </c>
      <c r="B66" t="s">
        <v>1775</v>
      </c>
    </row>
    <row r="67" spans="1:2" x14ac:dyDescent="0.25">
      <c r="A67" t="s">
        <v>1781</v>
      </c>
      <c r="B67" t="s">
        <v>1775</v>
      </c>
    </row>
    <row r="68" spans="1:2" x14ac:dyDescent="0.25">
      <c r="A68" t="s">
        <v>1783</v>
      </c>
      <c r="B68" t="s">
        <v>1775</v>
      </c>
    </row>
    <row r="69" spans="1:2" x14ac:dyDescent="0.25">
      <c r="A69" t="s">
        <v>1785</v>
      </c>
      <c r="B69" t="s">
        <v>1769</v>
      </c>
    </row>
    <row r="70" spans="1:2" x14ac:dyDescent="0.25">
      <c r="A70" t="s">
        <v>8553</v>
      </c>
      <c r="B70" t="s">
        <v>1785</v>
      </c>
    </row>
    <row r="71" spans="1:2" x14ac:dyDescent="0.25">
      <c r="A71" t="s">
        <v>1787</v>
      </c>
      <c r="B71" t="s">
        <v>1751</v>
      </c>
    </row>
    <row r="72" spans="1:2" x14ac:dyDescent="0.25">
      <c r="A72" t="s">
        <v>1789</v>
      </c>
      <c r="B72" t="s">
        <v>1787</v>
      </c>
    </row>
    <row r="73" spans="1:2" x14ac:dyDescent="0.25">
      <c r="A73" t="s">
        <v>1791</v>
      </c>
      <c r="B73" t="s">
        <v>1789</v>
      </c>
    </row>
    <row r="74" spans="1:2" x14ac:dyDescent="0.25">
      <c r="A74" t="s">
        <v>1793</v>
      </c>
      <c r="B74" t="s">
        <v>1789</v>
      </c>
    </row>
    <row r="75" spans="1:2" x14ac:dyDescent="0.25">
      <c r="A75" t="s">
        <v>8366</v>
      </c>
      <c r="B75" t="s">
        <v>1793</v>
      </c>
    </row>
    <row r="76" spans="1:2" x14ac:dyDescent="0.25">
      <c r="A76" t="s">
        <v>8583</v>
      </c>
      <c r="B76" t="s">
        <v>8366</v>
      </c>
    </row>
    <row r="77" spans="1:2" x14ac:dyDescent="0.25">
      <c r="A77" t="s">
        <v>8584</v>
      </c>
      <c r="B77" t="s">
        <v>8366</v>
      </c>
    </row>
    <row r="78" spans="1:2" x14ac:dyDescent="0.25">
      <c r="A78" t="s">
        <v>8575</v>
      </c>
      <c r="B78" t="s">
        <v>1793</v>
      </c>
    </row>
    <row r="79" spans="1:2" x14ac:dyDescent="0.25">
      <c r="A79" t="s">
        <v>1795</v>
      </c>
      <c r="B79" t="s">
        <v>1789</v>
      </c>
    </row>
    <row r="80" spans="1:2" x14ac:dyDescent="0.25">
      <c r="A80" t="s">
        <v>1797</v>
      </c>
      <c r="B80" t="s">
        <v>1789</v>
      </c>
    </row>
    <row r="81" spans="1:2" x14ac:dyDescent="0.25">
      <c r="A81" t="s">
        <v>1799</v>
      </c>
      <c r="B81" t="s">
        <v>1789</v>
      </c>
    </row>
    <row r="82" spans="1:2" x14ac:dyDescent="0.25">
      <c r="A82" t="s">
        <v>1801</v>
      </c>
      <c r="B82" t="s">
        <v>1787</v>
      </c>
    </row>
    <row r="83" spans="1:2" x14ac:dyDescent="0.25">
      <c r="A83" t="s">
        <v>1803</v>
      </c>
      <c r="B83" t="s">
        <v>1787</v>
      </c>
    </row>
    <row r="84" spans="1:2" x14ac:dyDescent="0.25">
      <c r="A84" t="s">
        <v>1805</v>
      </c>
      <c r="B84" t="s">
        <v>1787</v>
      </c>
    </row>
    <row r="85" spans="1:2" x14ac:dyDescent="0.25">
      <c r="A85" t="s">
        <v>1807</v>
      </c>
      <c r="B85" t="s">
        <v>1787</v>
      </c>
    </row>
    <row r="86" spans="1:2" x14ac:dyDescent="0.25">
      <c r="A86" t="s">
        <v>8967</v>
      </c>
      <c r="B86" t="s">
        <v>2750</v>
      </c>
    </row>
    <row r="87" spans="1:2" x14ac:dyDescent="0.25">
      <c r="A87" t="s">
        <v>5598</v>
      </c>
      <c r="B87" t="s">
        <v>2750</v>
      </c>
    </row>
    <row r="88" spans="1:2" x14ac:dyDescent="0.25">
      <c r="A88" t="s">
        <v>5600</v>
      </c>
      <c r="B88" t="s">
        <v>2750</v>
      </c>
    </row>
    <row r="89" spans="1:2" x14ac:dyDescent="0.25">
      <c r="A89" t="s">
        <v>8971</v>
      </c>
      <c r="B89" t="s">
        <v>2750</v>
      </c>
    </row>
    <row r="90" spans="1:2" x14ac:dyDescent="0.25">
      <c r="A90" t="s">
        <v>8973</v>
      </c>
      <c r="B90" t="s">
        <v>2750</v>
      </c>
    </row>
    <row r="91" spans="1:2" x14ac:dyDescent="0.25">
      <c r="A91" t="s">
        <v>5602</v>
      </c>
      <c r="B91" t="s">
        <v>2750</v>
      </c>
    </row>
    <row r="92" spans="1:2" x14ac:dyDescent="0.25">
      <c r="A92" t="s">
        <v>5606</v>
      </c>
      <c r="B92" t="s">
        <v>2750</v>
      </c>
    </row>
    <row r="93" spans="1:2" x14ac:dyDescent="0.25">
      <c r="A93" t="s">
        <v>5523</v>
      </c>
      <c r="B93" t="s">
        <v>2750</v>
      </c>
    </row>
    <row r="94" spans="1:2" x14ac:dyDescent="0.25">
      <c r="A94" t="s">
        <v>5535</v>
      </c>
      <c r="B94" t="s">
        <v>2750</v>
      </c>
    </row>
    <row r="95" spans="1:2" x14ac:dyDescent="0.25">
      <c r="A95" t="s">
        <v>2757</v>
      </c>
      <c r="B95" t="s">
        <v>2750</v>
      </c>
    </row>
    <row r="96" spans="1:2" x14ac:dyDescent="0.25">
      <c r="A96" t="s">
        <v>7117</v>
      </c>
      <c r="B96" t="s">
        <v>5857</v>
      </c>
    </row>
    <row r="97" spans="1:2" x14ac:dyDescent="0.25">
      <c r="A97" t="s">
        <v>4831</v>
      </c>
      <c r="B97" t="s">
        <v>7117</v>
      </c>
    </row>
    <row r="98" spans="1:2" x14ac:dyDescent="0.25">
      <c r="A98" t="s">
        <v>8981</v>
      </c>
      <c r="B98" t="s">
        <v>7117</v>
      </c>
    </row>
    <row r="99" spans="1:2" x14ac:dyDescent="0.25">
      <c r="A99" t="s">
        <v>8983</v>
      </c>
      <c r="B99" t="s">
        <v>7117</v>
      </c>
    </row>
    <row r="100" spans="1:2" x14ac:dyDescent="0.25">
      <c r="A100" t="s">
        <v>8985</v>
      </c>
      <c r="B100" t="s">
        <v>7117</v>
      </c>
    </row>
    <row r="101" spans="1:2" x14ac:dyDescent="0.25">
      <c r="A101" t="s">
        <v>7115</v>
      </c>
      <c r="B101" t="s">
        <v>7117</v>
      </c>
    </row>
    <row r="102" spans="1:2" x14ac:dyDescent="0.25">
      <c r="A102" t="s">
        <v>7118</v>
      </c>
      <c r="B102" t="s">
        <v>5857</v>
      </c>
    </row>
    <row r="103" spans="1:2" x14ac:dyDescent="0.25">
      <c r="A103" t="s">
        <v>5911</v>
      </c>
      <c r="B103" t="s">
        <v>5563</v>
      </c>
    </row>
    <row r="104" spans="1:2" x14ac:dyDescent="0.25">
      <c r="A104" t="s">
        <v>5909</v>
      </c>
      <c r="B104" t="s">
        <v>5563</v>
      </c>
    </row>
    <row r="105" spans="1:2" x14ac:dyDescent="0.25">
      <c r="A105" t="s">
        <v>5921</v>
      </c>
      <c r="B105" t="s">
        <v>5563</v>
      </c>
    </row>
    <row r="106" spans="1:2" x14ac:dyDescent="0.25">
      <c r="A106" t="s">
        <v>7047</v>
      </c>
      <c r="B106" t="s">
        <v>5565</v>
      </c>
    </row>
    <row r="107" spans="1:2" x14ac:dyDescent="0.25">
      <c r="A107" t="s">
        <v>7061</v>
      </c>
      <c r="B107" t="s">
        <v>7047</v>
      </c>
    </row>
    <row r="108" spans="1:2" x14ac:dyDescent="0.25">
      <c r="A108" t="s">
        <v>7063</v>
      </c>
      <c r="B108" t="s">
        <v>7047</v>
      </c>
    </row>
    <row r="109" spans="1:2" x14ac:dyDescent="0.25">
      <c r="A109" t="s">
        <v>7988</v>
      </c>
      <c r="B109" t="s">
        <v>7047</v>
      </c>
    </row>
    <row r="110" spans="1:2" x14ac:dyDescent="0.25">
      <c r="A110" t="s">
        <v>7081</v>
      </c>
      <c r="B110" t="s">
        <v>1978</v>
      </c>
    </row>
    <row r="111" spans="1:2" x14ac:dyDescent="0.25">
      <c r="A111" t="s">
        <v>7083</v>
      </c>
      <c r="B111" t="s">
        <v>1978</v>
      </c>
    </row>
    <row r="112" spans="1:2" x14ac:dyDescent="0.25">
      <c r="A112" t="s">
        <v>5747</v>
      </c>
      <c r="B112" t="s">
        <v>1811</v>
      </c>
    </row>
    <row r="113" spans="1:2" x14ac:dyDescent="0.25">
      <c r="A113" t="s">
        <v>8371</v>
      </c>
      <c r="B113" t="s">
        <v>5747</v>
      </c>
    </row>
    <row r="114" spans="1:2" x14ac:dyDescent="0.25">
      <c r="A114" t="s">
        <v>8372</v>
      </c>
      <c r="B114" t="s">
        <v>5747</v>
      </c>
    </row>
    <row r="115" spans="1:2" x14ac:dyDescent="0.25">
      <c r="A115" t="s">
        <v>8373</v>
      </c>
      <c r="B115" t="s">
        <v>5747</v>
      </c>
    </row>
    <row r="116" spans="1:2" x14ac:dyDescent="0.25">
      <c r="A116" t="s">
        <v>8375</v>
      </c>
      <c r="B116" t="s">
        <v>5747</v>
      </c>
    </row>
    <row r="117" spans="1:2" x14ac:dyDescent="0.25">
      <c r="A117" t="s">
        <v>9006</v>
      </c>
      <c r="B117" t="s">
        <v>454</v>
      </c>
    </row>
    <row r="118" spans="1:2" x14ac:dyDescent="0.25">
      <c r="A118" t="s">
        <v>3955</v>
      </c>
      <c r="B118" t="s">
        <v>454</v>
      </c>
    </row>
    <row r="119" spans="1:2" x14ac:dyDescent="0.25">
      <c r="A119" t="s">
        <v>9007</v>
      </c>
      <c r="B119" t="s">
        <v>454</v>
      </c>
    </row>
    <row r="120" spans="1:2" x14ac:dyDescent="0.25">
      <c r="A120" t="s">
        <v>3830</v>
      </c>
      <c r="B120" t="s">
        <v>454</v>
      </c>
    </row>
    <row r="121" spans="1:2" x14ac:dyDescent="0.25">
      <c r="A121" t="s">
        <v>4899</v>
      </c>
      <c r="B121" t="s">
        <v>454</v>
      </c>
    </row>
    <row r="122" spans="1:2" x14ac:dyDescent="0.25">
      <c r="A122" t="s">
        <v>4900</v>
      </c>
      <c r="B122" t="s">
        <v>454</v>
      </c>
    </row>
    <row r="123" spans="1:2" x14ac:dyDescent="0.25">
      <c r="A123" t="s">
        <v>9008</v>
      </c>
      <c r="B123" t="s">
        <v>386</v>
      </c>
    </row>
    <row r="124" spans="1:2" x14ac:dyDescent="0.25">
      <c r="A124" t="s">
        <v>9036</v>
      </c>
      <c r="B124" t="s">
        <v>6837</v>
      </c>
    </row>
    <row r="125" spans="1:2" x14ac:dyDescent="0.25">
      <c r="A125" t="s">
        <v>9037</v>
      </c>
      <c r="B125" t="s">
        <v>9036</v>
      </c>
    </row>
    <row r="126" spans="1:2" x14ac:dyDescent="0.25">
      <c r="A126" t="s">
        <v>9038</v>
      </c>
      <c r="B126" t="s">
        <v>9036</v>
      </c>
    </row>
    <row r="127" spans="1:2" x14ac:dyDescent="0.25">
      <c r="A127" t="s">
        <v>9039</v>
      </c>
      <c r="B127" t="s">
        <v>9036</v>
      </c>
    </row>
    <row r="128" spans="1:2" x14ac:dyDescent="0.25">
      <c r="A128" t="s">
        <v>9040</v>
      </c>
      <c r="B128" t="s">
        <v>9036</v>
      </c>
    </row>
    <row r="129" spans="1:2" x14ac:dyDescent="0.25">
      <c r="A129" t="s">
        <v>9041</v>
      </c>
      <c r="B129" t="s">
        <v>9036</v>
      </c>
    </row>
    <row r="130" spans="1:2" x14ac:dyDescent="0.25">
      <c r="A130" t="s">
        <v>6970</v>
      </c>
      <c r="B130" t="s">
        <v>5215</v>
      </c>
    </row>
    <row r="131" spans="1:2" x14ac:dyDescent="0.25">
      <c r="A131" t="s">
        <v>626</v>
      </c>
      <c r="B131" t="s">
        <v>454</v>
      </c>
    </row>
    <row r="132" spans="1:2" x14ac:dyDescent="0.25">
      <c r="A132" t="s">
        <v>628</v>
      </c>
      <c r="B132" t="s">
        <v>454</v>
      </c>
    </row>
    <row r="133" spans="1:2" x14ac:dyDescent="0.25">
      <c r="A133" t="s">
        <v>9018</v>
      </c>
      <c r="B133" t="s">
        <v>454</v>
      </c>
    </row>
    <row r="134" spans="1:2" x14ac:dyDescent="0.25">
      <c r="A134" t="s">
        <v>3955</v>
      </c>
      <c r="B134" t="s">
        <v>454</v>
      </c>
    </row>
    <row r="135" spans="1:2" x14ac:dyDescent="0.25">
      <c r="A135" t="s">
        <v>3953</v>
      </c>
      <c r="B135" t="s">
        <v>454</v>
      </c>
    </row>
    <row r="136" spans="1:2" x14ac:dyDescent="0.25">
      <c r="A136" t="s">
        <v>3830</v>
      </c>
      <c r="B136" t="s">
        <v>454</v>
      </c>
    </row>
    <row r="137" spans="1:2" x14ac:dyDescent="0.25">
      <c r="A137" t="s">
        <v>4899</v>
      </c>
      <c r="B137" t="s">
        <v>454</v>
      </c>
    </row>
    <row r="138" spans="1:2" x14ac:dyDescent="0.25">
      <c r="A138" t="s">
        <v>4900</v>
      </c>
      <c r="B138" t="s">
        <v>454</v>
      </c>
    </row>
    <row r="139" spans="1:2" x14ac:dyDescent="0.25">
      <c r="A139" t="s">
        <v>3805</v>
      </c>
      <c r="B139" t="s">
        <v>454</v>
      </c>
    </row>
    <row r="140" spans="1:2" x14ac:dyDescent="0.25">
      <c r="A140" t="s">
        <v>3752</v>
      </c>
      <c r="B140" t="s">
        <v>454</v>
      </c>
    </row>
    <row r="141" spans="1:2" x14ac:dyDescent="0.25">
      <c r="A141" t="s">
        <v>753</v>
      </c>
      <c r="B141" t="s">
        <v>454</v>
      </c>
    </row>
    <row r="142" spans="1:2" x14ac:dyDescent="0.25">
      <c r="A142" t="s">
        <v>3734</v>
      </c>
      <c r="B142" t="s">
        <v>454</v>
      </c>
    </row>
    <row r="143" spans="1:2" x14ac:dyDescent="0.25">
      <c r="A143" t="s">
        <v>507</v>
      </c>
      <c r="B143" t="s">
        <v>454</v>
      </c>
    </row>
    <row r="144" spans="1:2" x14ac:dyDescent="0.25">
      <c r="A144" t="s">
        <v>9042</v>
      </c>
      <c r="B144" t="s">
        <v>8541</v>
      </c>
    </row>
    <row r="145" spans="1:2" x14ac:dyDescent="0.25">
      <c r="A145" t="s">
        <v>9043</v>
      </c>
      <c r="B145" t="s">
        <v>8575</v>
      </c>
    </row>
    <row r="146" spans="1:2" x14ac:dyDescent="0.25">
      <c r="A146" t="s">
        <v>9044</v>
      </c>
      <c r="B146" t="s">
        <v>8363</v>
      </c>
    </row>
    <row r="147" spans="1:2" x14ac:dyDescent="0.25">
      <c r="A147" t="s">
        <v>9054</v>
      </c>
      <c r="B147" t="s">
        <v>2545</v>
      </c>
    </row>
    <row r="148" spans="1:2" x14ac:dyDescent="0.25">
      <c r="A148" t="s">
        <v>9055</v>
      </c>
      <c r="B148" t="s">
        <v>2545</v>
      </c>
    </row>
    <row r="149" spans="1:2" x14ac:dyDescent="0.25">
      <c r="A149" t="s">
        <v>3178</v>
      </c>
      <c r="B149" t="s">
        <v>3176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E274-B32D-4725-8B9D-4323606903CA}">
  <dimension ref="A1:O116"/>
  <sheetViews>
    <sheetView workbookViewId="0">
      <selection activeCell="O19" sqref="O19"/>
    </sheetView>
  </sheetViews>
  <sheetFormatPr defaultRowHeight="15" x14ac:dyDescent="0.25"/>
  <cols>
    <col min="1" max="1" width="11.28515625" bestFit="1" customWidth="1"/>
    <col min="2" max="2" width="40.85546875" bestFit="1" customWidth="1"/>
    <col min="9" max="9" width="11.28515625" bestFit="1" customWidth="1"/>
  </cols>
  <sheetData>
    <row r="1" spans="1:10" x14ac:dyDescent="0.25">
      <c r="A1" t="s">
        <v>8854</v>
      </c>
      <c r="I1" t="s">
        <v>8854</v>
      </c>
    </row>
    <row r="2" spans="1:10" x14ac:dyDescent="0.25">
      <c r="A2" t="s">
        <v>9022</v>
      </c>
      <c r="B2" t="s">
        <v>8868</v>
      </c>
      <c r="C2" t="s">
        <v>8853</v>
      </c>
      <c r="I2" t="s">
        <v>803</v>
      </c>
      <c r="J2" t="s">
        <v>9022</v>
      </c>
    </row>
    <row r="3" spans="1:10" x14ac:dyDescent="0.25">
      <c r="A3" t="s">
        <v>894</v>
      </c>
      <c r="B3" t="s">
        <v>8869</v>
      </c>
      <c r="C3" s="103" t="s">
        <v>8853</v>
      </c>
      <c r="I3" t="s">
        <v>797</v>
      </c>
      <c r="J3" t="s">
        <v>9023</v>
      </c>
    </row>
    <row r="4" spans="1:10" x14ac:dyDescent="0.25">
      <c r="A4" t="s">
        <v>472</v>
      </c>
      <c r="B4" t="s">
        <v>8874</v>
      </c>
      <c r="C4" s="103" t="s">
        <v>8853</v>
      </c>
      <c r="I4" t="s">
        <v>1751</v>
      </c>
      <c r="J4" t="s">
        <v>9031</v>
      </c>
    </row>
    <row r="5" spans="1:10" x14ac:dyDescent="0.25">
      <c r="A5" t="s">
        <v>458</v>
      </c>
      <c r="B5" t="s">
        <v>8875</v>
      </c>
      <c r="C5" s="103" t="s">
        <v>8853</v>
      </c>
      <c r="I5" t="s">
        <v>9031</v>
      </c>
      <c r="J5" t="s">
        <v>9032</v>
      </c>
    </row>
    <row r="6" spans="1:10" x14ac:dyDescent="0.25">
      <c r="A6" t="s">
        <v>432</v>
      </c>
      <c r="B6" t="s">
        <v>8876</v>
      </c>
      <c r="C6" s="103" t="s">
        <v>8853</v>
      </c>
      <c r="I6" t="s">
        <v>9031</v>
      </c>
      <c r="J6" t="s">
        <v>9033</v>
      </c>
    </row>
    <row r="7" spans="1:10" x14ac:dyDescent="0.25">
      <c r="A7" t="s">
        <v>434</v>
      </c>
      <c r="B7" t="s">
        <v>8877</v>
      </c>
      <c r="C7" s="103" t="s">
        <v>8853</v>
      </c>
      <c r="I7" t="s">
        <v>9031</v>
      </c>
      <c r="J7" t="s">
        <v>9034</v>
      </c>
    </row>
    <row r="8" spans="1:10" x14ac:dyDescent="0.25">
      <c r="A8" t="s">
        <v>464</v>
      </c>
      <c r="B8" t="s">
        <v>8879</v>
      </c>
      <c r="C8" s="103" t="s">
        <v>8853</v>
      </c>
      <c r="I8" t="s">
        <v>9031</v>
      </c>
      <c r="J8" t="s">
        <v>9035</v>
      </c>
    </row>
    <row r="9" spans="1:10" x14ac:dyDescent="0.25">
      <c r="A9" t="s">
        <v>470</v>
      </c>
      <c r="B9" t="s">
        <v>8880</v>
      </c>
      <c r="C9" s="103" t="s">
        <v>8853</v>
      </c>
      <c r="I9" t="s">
        <v>6837</v>
      </c>
      <c r="J9" t="s">
        <v>9036</v>
      </c>
    </row>
    <row r="10" spans="1:10" x14ac:dyDescent="0.25">
      <c r="A10" t="s">
        <v>3154</v>
      </c>
      <c r="B10" t="s">
        <v>8882</v>
      </c>
      <c r="C10" s="103" t="s">
        <v>8853</v>
      </c>
      <c r="I10" t="s">
        <v>9036</v>
      </c>
      <c r="J10" t="s">
        <v>9037</v>
      </c>
    </row>
    <row r="11" spans="1:10" x14ac:dyDescent="0.25">
      <c r="A11" t="s">
        <v>3156</v>
      </c>
      <c r="B11" t="s">
        <v>8883</v>
      </c>
      <c r="C11" s="103" t="s">
        <v>8853</v>
      </c>
      <c r="I11" t="s">
        <v>9036</v>
      </c>
      <c r="J11" t="s">
        <v>9038</v>
      </c>
    </row>
    <row r="12" spans="1:10" x14ac:dyDescent="0.25">
      <c r="A12" t="s">
        <v>3158</v>
      </c>
      <c r="B12" t="s">
        <v>8884</v>
      </c>
      <c r="C12" s="103" t="s">
        <v>8853</v>
      </c>
      <c r="I12" t="s">
        <v>9036</v>
      </c>
      <c r="J12" t="s">
        <v>9039</v>
      </c>
    </row>
    <row r="13" spans="1:10" x14ac:dyDescent="0.25">
      <c r="A13" t="s">
        <v>9023</v>
      </c>
      <c r="B13" t="s">
        <v>8904</v>
      </c>
      <c r="C13" s="103" t="s">
        <v>8853</v>
      </c>
      <c r="I13" t="s">
        <v>9036</v>
      </c>
      <c r="J13" t="s">
        <v>9040</v>
      </c>
    </row>
    <row r="14" spans="1:10" x14ac:dyDescent="0.25">
      <c r="A14" t="s">
        <v>9031</v>
      </c>
      <c r="B14" t="s">
        <v>8905</v>
      </c>
      <c r="C14" s="103" t="s">
        <v>8853</v>
      </c>
      <c r="I14" t="s">
        <v>9036</v>
      </c>
      <c r="J14" t="s">
        <v>9041</v>
      </c>
    </row>
    <row r="15" spans="1:10" x14ac:dyDescent="0.25">
      <c r="A15" t="s">
        <v>9032</v>
      </c>
      <c r="B15" t="s">
        <v>8906</v>
      </c>
      <c r="C15" s="103" t="s">
        <v>8853</v>
      </c>
      <c r="I15" t="s">
        <v>8541</v>
      </c>
      <c r="J15" t="s">
        <v>9042</v>
      </c>
    </row>
    <row r="16" spans="1:10" x14ac:dyDescent="0.25">
      <c r="A16" t="s">
        <v>9033</v>
      </c>
      <c r="B16" t="s">
        <v>8907</v>
      </c>
      <c r="C16" s="103" t="s">
        <v>8853</v>
      </c>
      <c r="I16" t="s">
        <v>8575</v>
      </c>
      <c r="J16" t="s">
        <v>9043</v>
      </c>
    </row>
    <row r="17" spans="1:15" x14ac:dyDescent="0.25">
      <c r="A17" t="s">
        <v>9034</v>
      </c>
      <c r="B17" t="s">
        <v>8908</v>
      </c>
      <c r="C17" s="103" t="s">
        <v>8853</v>
      </c>
      <c r="I17" t="s">
        <v>8363</v>
      </c>
      <c r="J17" t="s">
        <v>9044</v>
      </c>
    </row>
    <row r="18" spans="1:15" x14ac:dyDescent="0.25">
      <c r="A18" t="s">
        <v>9035</v>
      </c>
      <c r="B18" t="s">
        <v>8909</v>
      </c>
      <c r="C18" s="103" t="s">
        <v>8853</v>
      </c>
      <c r="O18" s="45" t="s">
        <v>9049</v>
      </c>
    </row>
    <row r="19" spans="1:15" x14ac:dyDescent="0.25">
      <c r="A19" t="s">
        <v>1751</v>
      </c>
      <c r="B19" t="s">
        <v>8910</v>
      </c>
      <c r="C19" s="103" t="s">
        <v>8853</v>
      </c>
      <c r="O19" s="46" t="s">
        <v>9049</v>
      </c>
    </row>
    <row r="20" spans="1:15" x14ac:dyDescent="0.25">
      <c r="A20" t="s">
        <v>6767</v>
      </c>
      <c r="B20" t="s">
        <v>8911</v>
      </c>
      <c r="C20" s="103" t="s">
        <v>8853</v>
      </c>
    </row>
    <row r="21" spans="1:15" x14ac:dyDescent="0.25">
      <c r="A21" t="s">
        <v>6769</v>
      </c>
      <c r="B21" t="s">
        <v>8912</v>
      </c>
      <c r="C21" s="103" t="s">
        <v>8853</v>
      </c>
    </row>
    <row r="22" spans="1:15" x14ac:dyDescent="0.25">
      <c r="A22" t="s">
        <v>6771</v>
      </c>
      <c r="B22" t="s">
        <v>8913</v>
      </c>
      <c r="C22" s="103" t="s">
        <v>8853</v>
      </c>
    </row>
    <row r="23" spans="1:15" x14ac:dyDescent="0.25">
      <c r="A23" t="s">
        <v>6773</v>
      </c>
      <c r="B23" t="s">
        <v>8914</v>
      </c>
      <c r="C23" s="103" t="s">
        <v>8853</v>
      </c>
    </row>
    <row r="24" spans="1:15" x14ac:dyDescent="0.25">
      <c r="A24" t="s">
        <v>6775</v>
      </c>
      <c r="B24" t="s">
        <v>8915</v>
      </c>
      <c r="C24" s="103" t="s">
        <v>8853</v>
      </c>
    </row>
    <row r="25" spans="1:15" x14ac:dyDescent="0.25">
      <c r="A25" t="s">
        <v>2020</v>
      </c>
      <c r="B25" t="s">
        <v>8916</v>
      </c>
      <c r="C25" s="103" t="s">
        <v>8853</v>
      </c>
    </row>
    <row r="26" spans="1:15" x14ac:dyDescent="0.25">
      <c r="A26" t="s">
        <v>3614</v>
      </c>
      <c r="B26" t="s">
        <v>8917</v>
      </c>
      <c r="C26" s="103" t="s">
        <v>8853</v>
      </c>
    </row>
    <row r="27" spans="1:15" x14ac:dyDescent="0.25">
      <c r="A27" t="s">
        <v>5539</v>
      </c>
      <c r="B27" t="s">
        <v>8918</v>
      </c>
      <c r="C27" s="103" t="s">
        <v>8853</v>
      </c>
    </row>
    <row r="28" spans="1:15" x14ac:dyDescent="0.25">
      <c r="A28" t="s">
        <v>1824</v>
      </c>
      <c r="B28" t="s">
        <v>8919</v>
      </c>
      <c r="C28" s="103" t="s">
        <v>8853</v>
      </c>
    </row>
    <row r="29" spans="1:15" x14ac:dyDescent="0.25">
      <c r="A29" t="s">
        <v>7986</v>
      </c>
      <c r="B29" t="s">
        <v>8920</v>
      </c>
      <c r="C29" s="103" t="s">
        <v>8853</v>
      </c>
    </row>
    <row r="30" spans="1:15" x14ac:dyDescent="0.25">
      <c r="A30" t="s">
        <v>1826</v>
      </c>
      <c r="B30" t="s">
        <v>8921</v>
      </c>
      <c r="C30" s="103" t="s">
        <v>8853</v>
      </c>
    </row>
    <row r="31" spans="1:15" x14ac:dyDescent="0.25">
      <c r="A31" t="s">
        <v>1828</v>
      </c>
      <c r="B31" t="s">
        <v>8922</v>
      </c>
      <c r="C31" s="103" t="s">
        <v>8853</v>
      </c>
    </row>
    <row r="32" spans="1:15" x14ac:dyDescent="0.25">
      <c r="A32" t="s">
        <v>1830</v>
      </c>
      <c r="B32" t="s">
        <v>8923</v>
      </c>
      <c r="C32" s="103" t="s">
        <v>8853</v>
      </c>
      <c r="H32">
        <v>1000</v>
      </c>
    </row>
    <row r="33" spans="1:14" x14ac:dyDescent="0.25">
      <c r="A33" t="s">
        <v>1832</v>
      </c>
      <c r="B33" t="s">
        <v>8924</v>
      </c>
      <c r="C33" s="103" t="s">
        <v>8853</v>
      </c>
      <c r="H33" t="s">
        <v>9054</v>
      </c>
      <c r="I33" t="s">
        <v>9047</v>
      </c>
      <c r="J33" t="s">
        <v>8853</v>
      </c>
      <c r="K33" s="105" t="s">
        <v>8853</v>
      </c>
      <c r="L33" s="105" t="s">
        <v>8853</v>
      </c>
      <c r="M33" s="105" t="s">
        <v>8853</v>
      </c>
      <c r="N33" s="105" t="s">
        <v>8853</v>
      </c>
    </row>
    <row r="34" spans="1:14" x14ac:dyDescent="0.25">
      <c r="A34" t="s">
        <v>1834</v>
      </c>
      <c r="B34" t="s">
        <v>8925</v>
      </c>
      <c r="C34" s="103" t="s">
        <v>8853</v>
      </c>
      <c r="H34" t="s">
        <v>9055</v>
      </c>
      <c r="I34" t="s">
        <v>9048</v>
      </c>
      <c r="J34" s="105" t="s">
        <v>8853</v>
      </c>
      <c r="K34" s="105" t="s">
        <v>8853</v>
      </c>
      <c r="L34" s="105" t="s">
        <v>8853</v>
      </c>
      <c r="M34" s="105" t="s">
        <v>8853</v>
      </c>
      <c r="N34" s="105" t="s">
        <v>8853</v>
      </c>
    </row>
    <row r="35" spans="1:14" x14ac:dyDescent="0.25">
      <c r="A35" t="s">
        <v>1836</v>
      </c>
      <c r="B35" t="s">
        <v>8926</v>
      </c>
      <c r="C35" s="103" t="s">
        <v>8853</v>
      </c>
      <c r="H35" t="s">
        <v>3178</v>
      </c>
      <c r="I35" t="s">
        <v>9053</v>
      </c>
      <c r="J35" s="105" t="s">
        <v>8853</v>
      </c>
      <c r="K35" s="105" t="s">
        <v>8853</v>
      </c>
      <c r="L35" s="105" t="s">
        <v>8853</v>
      </c>
      <c r="M35" s="105" t="s">
        <v>8853</v>
      </c>
      <c r="N35" s="105" t="s">
        <v>8853</v>
      </c>
    </row>
    <row r="36" spans="1:14" x14ac:dyDescent="0.25">
      <c r="A36" t="s">
        <v>6828</v>
      </c>
      <c r="B36" t="s">
        <v>8927</v>
      </c>
      <c r="C36" s="103" t="s">
        <v>8853</v>
      </c>
    </row>
    <row r="37" spans="1:14" x14ac:dyDescent="0.25">
      <c r="A37" t="s">
        <v>6830</v>
      </c>
      <c r="B37" t="s">
        <v>8928</v>
      </c>
      <c r="C37" s="103" t="s">
        <v>8853</v>
      </c>
    </row>
    <row r="38" spans="1:14" x14ac:dyDescent="0.25">
      <c r="A38" t="s">
        <v>3612</v>
      </c>
      <c r="B38" t="s">
        <v>8929</v>
      </c>
      <c r="C38" s="103" t="s">
        <v>8853</v>
      </c>
    </row>
    <row r="39" spans="1:14" x14ac:dyDescent="0.25">
      <c r="A39" t="s">
        <v>3615</v>
      </c>
      <c r="B39" t="s">
        <v>8930</v>
      </c>
      <c r="C39" s="103" t="s">
        <v>8853</v>
      </c>
    </row>
    <row r="40" spans="1:14" x14ac:dyDescent="0.25">
      <c r="A40" t="s">
        <v>1749</v>
      </c>
      <c r="B40" t="s">
        <v>8931</v>
      </c>
      <c r="C40" s="103" t="s">
        <v>8853</v>
      </c>
    </row>
    <row r="41" spans="1:14" x14ac:dyDescent="0.25">
      <c r="A41" t="s">
        <v>1753</v>
      </c>
      <c r="B41" t="s">
        <v>8932</v>
      </c>
      <c r="C41" s="103" t="s">
        <v>8853</v>
      </c>
    </row>
    <row r="42" spans="1:14" x14ac:dyDescent="0.25">
      <c r="A42" t="s">
        <v>1755</v>
      </c>
      <c r="B42" t="s">
        <v>8933</v>
      </c>
      <c r="C42" s="103" t="s">
        <v>8853</v>
      </c>
    </row>
    <row r="43" spans="1:14" x14ac:dyDescent="0.25">
      <c r="A43" t="s">
        <v>1757</v>
      </c>
      <c r="B43" t="s">
        <v>8934</v>
      </c>
      <c r="C43" s="103" t="s">
        <v>8853</v>
      </c>
    </row>
    <row r="44" spans="1:14" x14ac:dyDescent="0.25">
      <c r="A44" t="s">
        <v>1759</v>
      </c>
      <c r="B44" t="s">
        <v>8935</v>
      </c>
      <c r="C44" s="103" t="s">
        <v>8853</v>
      </c>
    </row>
    <row r="45" spans="1:14" x14ac:dyDescent="0.25">
      <c r="A45" t="s">
        <v>1761</v>
      </c>
      <c r="B45" t="s">
        <v>8936</v>
      </c>
      <c r="C45" s="103" t="s">
        <v>8853</v>
      </c>
    </row>
    <row r="46" spans="1:14" x14ac:dyDescent="0.25">
      <c r="A46" t="s">
        <v>1763</v>
      </c>
      <c r="B46" t="s">
        <v>8937</v>
      </c>
      <c r="C46" s="103" t="s">
        <v>8853</v>
      </c>
    </row>
    <row r="47" spans="1:14" x14ac:dyDescent="0.25">
      <c r="A47" t="s">
        <v>1765</v>
      </c>
      <c r="B47" t="s">
        <v>8938</v>
      </c>
      <c r="C47" s="103" t="s">
        <v>8853</v>
      </c>
    </row>
    <row r="48" spans="1:14" x14ac:dyDescent="0.25">
      <c r="A48" t="s">
        <v>1767</v>
      </c>
      <c r="B48" t="s">
        <v>8939</v>
      </c>
      <c r="C48" s="103" t="s">
        <v>8853</v>
      </c>
    </row>
    <row r="49" spans="1:3" x14ac:dyDescent="0.25">
      <c r="A49" t="s">
        <v>8541</v>
      </c>
      <c r="B49" t="s">
        <v>8940</v>
      </c>
      <c r="C49" s="103" t="s">
        <v>8853</v>
      </c>
    </row>
    <row r="50" spans="1:3" x14ac:dyDescent="0.25">
      <c r="A50" t="s">
        <v>1769</v>
      </c>
      <c r="B50" t="s">
        <v>8941</v>
      </c>
      <c r="C50" s="103" t="s">
        <v>8853</v>
      </c>
    </row>
    <row r="51" spans="1:3" x14ac:dyDescent="0.25">
      <c r="A51" t="s">
        <v>1771</v>
      </c>
      <c r="B51" t="s">
        <v>8942</v>
      </c>
      <c r="C51" s="103" t="s">
        <v>8853</v>
      </c>
    </row>
    <row r="52" spans="1:3" x14ac:dyDescent="0.25">
      <c r="A52" t="s">
        <v>1773</v>
      </c>
      <c r="B52" t="s">
        <v>8943</v>
      </c>
      <c r="C52" s="103" t="s">
        <v>8853</v>
      </c>
    </row>
    <row r="53" spans="1:3" x14ac:dyDescent="0.25">
      <c r="A53" t="s">
        <v>1775</v>
      </c>
      <c r="B53" t="s">
        <v>8944</v>
      </c>
      <c r="C53" s="103" t="s">
        <v>8853</v>
      </c>
    </row>
    <row r="54" spans="1:3" x14ac:dyDescent="0.25">
      <c r="A54" t="s">
        <v>1990</v>
      </c>
      <c r="B54" t="s">
        <v>8945</v>
      </c>
      <c r="C54" s="103" t="s">
        <v>8853</v>
      </c>
    </row>
    <row r="55" spans="1:3" x14ac:dyDescent="0.25">
      <c r="A55" t="s">
        <v>1777</v>
      </c>
      <c r="B55" t="s">
        <v>8946</v>
      </c>
      <c r="C55" s="103" t="s">
        <v>8853</v>
      </c>
    </row>
    <row r="56" spans="1:3" x14ac:dyDescent="0.25">
      <c r="A56" t="s">
        <v>1779</v>
      </c>
      <c r="B56" t="s">
        <v>8947</v>
      </c>
      <c r="C56" s="103" t="s">
        <v>8853</v>
      </c>
    </row>
    <row r="57" spans="1:3" x14ac:dyDescent="0.25">
      <c r="A57" t="s">
        <v>1781</v>
      </c>
      <c r="B57" t="s">
        <v>8948</v>
      </c>
      <c r="C57" s="103" t="s">
        <v>8853</v>
      </c>
    </row>
    <row r="58" spans="1:3" x14ac:dyDescent="0.25">
      <c r="A58" t="s">
        <v>1783</v>
      </c>
      <c r="B58" t="s">
        <v>8949</v>
      </c>
      <c r="C58" s="103" t="s">
        <v>8853</v>
      </c>
    </row>
    <row r="59" spans="1:3" x14ac:dyDescent="0.25">
      <c r="A59" t="s">
        <v>1785</v>
      </c>
      <c r="B59" t="s">
        <v>8950</v>
      </c>
      <c r="C59" s="103" t="s">
        <v>8853</v>
      </c>
    </row>
    <row r="60" spans="1:3" x14ac:dyDescent="0.25">
      <c r="A60" t="s">
        <v>8553</v>
      </c>
      <c r="B60" t="s">
        <v>8951</v>
      </c>
      <c r="C60" s="103" t="s">
        <v>8853</v>
      </c>
    </row>
    <row r="61" spans="1:3" x14ac:dyDescent="0.25">
      <c r="A61" t="s">
        <v>1787</v>
      </c>
      <c r="B61" t="s">
        <v>8952</v>
      </c>
      <c r="C61" s="103" t="s">
        <v>8853</v>
      </c>
    </row>
    <row r="62" spans="1:3" x14ac:dyDescent="0.25">
      <c r="A62" t="s">
        <v>1789</v>
      </c>
      <c r="B62" t="s">
        <v>8953</v>
      </c>
      <c r="C62" s="103" t="s">
        <v>8853</v>
      </c>
    </row>
    <row r="63" spans="1:3" x14ac:dyDescent="0.25">
      <c r="A63" t="s">
        <v>1791</v>
      </c>
      <c r="B63" t="s">
        <v>8954</v>
      </c>
      <c r="C63" s="103" t="s">
        <v>8853</v>
      </c>
    </row>
    <row r="64" spans="1:3" x14ac:dyDescent="0.25">
      <c r="A64" t="s">
        <v>1793</v>
      </c>
      <c r="B64" t="s">
        <v>8955</v>
      </c>
      <c r="C64" s="103" t="s">
        <v>8853</v>
      </c>
    </row>
    <row r="65" spans="1:3" x14ac:dyDescent="0.25">
      <c r="A65" t="s">
        <v>8366</v>
      </c>
      <c r="B65" t="s">
        <v>8956</v>
      </c>
      <c r="C65" s="103" t="s">
        <v>8853</v>
      </c>
    </row>
    <row r="66" spans="1:3" x14ac:dyDescent="0.25">
      <c r="A66" t="s">
        <v>8583</v>
      </c>
      <c r="B66" t="s">
        <v>8957</v>
      </c>
      <c r="C66" s="103" t="s">
        <v>8853</v>
      </c>
    </row>
    <row r="67" spans="1:3" x14ac:dyDescent="0.25">
      <c r="A67" t="s">
        <v>8584</v>
      </c>
      <c r="B67" t="s">
        <v>8958</v>
      </c>
      <c r="C67" s="103" t="s">
        <v>8853</v>
      </c>
    </row>
    <row r="68" spans="1:3" x14ac:dyDescent="0.25">
      <c r="A68" t="s">
        <v>8575</v>
      </c>
      <c r="B68" t="s">
        <v>8959</v>
      </c>
      <c r="C68" s="103" t="s">
        <v>8853</v>
      </c>
    </row>
    <row r="69" spans="1:3" x14ac:dyDescent="0.25">
      <c r="A69" t="s">
        <v>1795</v>
      </c>
      <c r="B69" t="s">
        <v>8960</v>
      </c>
      <c r="C69" s="103" t="s">
        <v>8853</v>
      </c>
    </row>
    <row r="70" spans="1:3" x14ac:dyDescent="0.25">
      <c r="A70" t="s">
        <v>1797</v>
      </c>
      <c r="B70" t="s">
        <v>8961</v>
      </c>
      <c r="C70" s="103" t="s">
        <v>8853</v>
      </c>
    </row>
    <row r="71" spans="1:3" x14ac:dyDescent="0.25">
      <c r="A71" t="s">
        <v>1799</v>
      </c>
      <c r="B71" t="s">
        <v>8962</v>
      </c>
      <c r="C71" s="103" t="s">
        <v>8853</v>
      </c>
    </row>
    <row r="72" spans="1:3" x14ac:dyDescent="0.25">
      <c r="A72" t="s">
        <v>1801</v>
      </c>
      <c r="B72" t="s">
        <v>8963</v>
      </c>
      <c r="C72" s="103" t="s">
        <v>8853</v>
      </c>
    </row>
    <row r="73" spans="1:3" x14ac:dyDescent="0.25">
      <c r="A73" t="s">
        <v>1803</v>
      </c>
      <c r="B73" t="s">
        <v>8964</v>
      </c>
      <c r="C73" s="103" t="s">
        <v>8853</v>
      </c>
    </row>
    <row r="74" spans="1:3" x14ac:dyDescent="0.25">
      <c r="A74" t="s">
        <v>1805</v>
      </c>
      <c r="B74" t="s">
        <v>8965</v>
      </c>
      <c r="C74" s="103" t="s">
        <v>8853</v>
      </c>
    </row>
    <row r="75" spans="1:3" x14ac:dyDescent="0.25">
      <c r="A75" t="s">
        <v>1807</v>
      </c>
      <c r="B75" t="s">
        <v>8966</v>
      </c>
      <c r="C75" s="103" t="s">
        <v>8853</v>
      </c>
    </row>
    <row r="76" spans="1:3" x14ac:dyDescent="0.25">
      <c r="A76" t="s">
        <v>8967</v>
      </c>
      <c r="B76" t="s">
        <v>8968</v>
      </c>
      <c r="C76" s="103" t="s">
        <v>8853</v>
      </c>
    </row>
    <row r="77" spans="1:3" x14ac:dyDescent="0.25">
      <c r="A77" t="s">
        <v>5598</v>
      </c>
      <c r="B77" t="s">
        <v>8969</v>
      </c>
      <c r="C77" s="103" t="s">
        <v>8853</v>
      </c>
    </row>
    <row r="78" spans="1:3" x14ac:dyDescent="0.25">
      <c r="A78" t="s">
        <v>5600</v>
      </c>
      <c r="B78" t="s">
        <v>8970</v>
      </c>
      <c r="C78" s="103" t="s">
        <v>8853</v>
      </c>
    </row>
    <row r="79" spans="1:3" x14ac:dyDescent="0.25">
      <c r="A79" t="s">
        <v>8971</v>
      </c>
      <c r="B79" t="s">
        <v>8972</v>
      </c>
      <c r="C79" s="103" t="s">
        <v>8853</v>
      </c>
    </row>
    <row r="80" spans="1:3" x14ac:dyDescent="0.25">
      <c r="A80" t="s">
        <v>8973</v>
      </c>
      <c r="B80" t="s">
        <v>8974</v>
      </c>
      <c r="C80" s="103" t="s">
        <v>8853</v>
      </c>
    </row>
    <row r="81" spans="1:3" x14ac:dyDescent="0.25">
      <c r="A81" t="s">
        <v>5602</v>
      </c>
      <c r="B81" t="s">
        <v>7111</v>
      </c>
      <c r="C81" s="103" t="s">
        <v>8853</v>
      </c>
    </row>
    <row r="82" spans="1:3" x14ac:dyDescent="0.25">
      <c r="A82" t="s">
        <v>5606</v>
      </c>
      <c r="B82" t="s">
        <v>8975</v>
      </c>
      <c r="C82" s="103" t="s">
        <v>8853</v>
      </c>
    </row>
    <row r="83" spans="1:3" x14ac:dyDescent="0.25">
      <c r="A83" t="s">
        <v>5523</v>
      </c>
      <c r="B83" t="s">
        <v>8976</v>
      </c>
      <c r="C83" s="103" t="s">
        <v>8853</v>
      </c>
    </row>
    <row r="84" spans="1:3" x14ac:dyDescent="0.25">
      <c r="A84" t="s">
        <v>5535</v>
      </c>
      <c r="B84" t="s">
        <v>8977</v>
      </c>
      <c r="C84" s="103" t="s">
        <v>8853</v>
      </c>
    </row>
    <row r="85" spans="1:3" x14ac:dyDescent="0.25">
      <c r="A85" t="s">
        <v>2757</v>
      </c>
      <c r="B85" t="s">
        <v>8978</v>
      </c>
      <c r="C85" s="103" t="s">
        <v>8853</v>
      </c>
    </row>
    <row r="86" spans="1:3" x14ac:dyDescent="0.25">
      <c r="A86" t="s">
        <v>7117</v>
      </c>
      <c r="B86" t="s">
        <v>8979</v>
      </c>
      <c r="C86" s="103" t="s">
        <v>8853</v>
      </c>
    </row>
    <row r="87" spans="1:3" x14ac:dyDescent="0.25">
      <c r="A87" t="s">
        <v>4831</v>
      </c>
      <c r="B87" t="s">
        <v>8980</v>
      </c>
      <c r="C87" s="103" t="s">
        <v>8853</v>
      </c>
    </row>
    <row r="88" spans="1:3" x14ac:dyDescent="0.25">
      <c r="A88" t="s">
        <v>8981</v>
      </c>
      <c r="B88" t="s">
        <v>8982</v>
      </c>
      <c r="C88" s="103" t="s">
        <v>8853</v>
      </c>
    </row>
    <row r="89" spans="1:3" x14ac:dyDescent="0.25">
      <c r="A89" t="s">
        <v>8983</v>
      </c>
      <c r="B89" t="s">
        <v>8984</v>
      </c>
      <c r="C89" s="103" t="s">
        <v>8853</v>
      </c>
    </row>
    <row r="90" spans="1:3" x14ac:dyDescent="0.25">
      <c r="A90" t="s">
        <v>8985</v>
      </c>
      <c r="B90" t="s">
        <v>8986</v>
      </c>
      <c r="C90" s="103" t="s">
        <v>8853</v>
      </c>
    </row>
    <row r="91" spans="1:3" x14ac:dyDescent="0.25">
      <c r="A91" t="s">
        <v>7115</v>
      </c>
      <c r="B91" t="s">
        <v>8987</v>
      </c>
      <c r="C91" s="103" t="s">
        <v>8853</v>
      </c>
    </row>
    <row r="92" spans="1:3" x14ac:dyDescent="0.25">
      <c r="A92" t="s">
        <v>7118</v>
      </c>
      <c r="B92" t="s">
        <v>8988</v>
      </c>
      <c r="C92" s="103" t="s">
        <v>8853</v>
      </c>
    </row>
    <row r="93" spans="1:3" x14ac:dyDescent="0.25">
      <c r="A93" t="s">
        <v>5911</v>
      </c>
      <c r="B93" t="s">
        <v>8989</v>
      </c>
      <c r="C93" s="103" t="s">
        <v>8853</v>
      </c>
    </row>
    <row r="94" spans="1:3" x14ac:dyDescent="0.25">
      <c r="A94" t="s">
        <v>5909</v>
      </c>
      <c r="B94" t="s">
        <v>8990</v>
      </c>
      <c r="C94" s="103" t="s">
        <v>8853</v>
      </c>
    </row>
    <row r="95" spans="1:3" x14ac:dyDescent="0.25">
      <c r="A95" t="s">
        <v>5921</v>
      </c>
      <c r="B95" t="s">
        <v>8991</v>
      </c>
      <c r="C95" s="103" t="s">
        <v>8853</v>
      </c>
    </row>
    <row r="96" spans="1:3" x14ac:dyDescent="0.25">
      <c r="A96" t="s">
        <v>7047</v>
      </c>
      <c r="B96" t="s">
        <v>8992</v>
      </c>
      <c r="C96" s="103" t="s">
        <v>8853</v>
      </c>
    </row>
    <row r="97" spans="1:3" x14ac:dyDescent="0.25">
      <c r="A97" t="s">
        <v>7061</v>
      </c>
      <c r="B97" t="s">
        <v>8993</v>
      </c>
      <c r="C97" s="103" t="s">
        <v>8853</v>
      </c>
    </row>
    <row r="98" spans="1:3" x14ac:dyDescent="0.25">
      <c r="A98" t="s">
        <v>7063</v>
      </c>
      <c r="B98" t="s">
        <v>8994</v>
      </c>
      <c r="C98" s="103" t="s">
        <v>8853</v>
      </c>
    </row>
    <row r="99" spans="1:3" x14ac:dyDescent="0.25">
      <c r="A99" t="s">
        <v>7988</v>
      </c>
      <c r="B99" t="s">
        <v>8995</v>
      </c>
      <c r="C99" s="103" t="s">
        <v>8853</v>
      </c>
    </row>
    <row r="100" spans="1:3" x14ac:dyDescent="0.25">
      <c r="A100" t="s">
        <v>7081</v>
      </c>
      <c r="B100" t="s">
        <v>8996</v>
      </c>
      <c r="C100" s="103" t="s">
        <v>8853</v>
      </c>
    </row>
    <row r="101" spans="1:3" x14ac:dyDescent="0.25">
      <c r="A101" t="s">
        <v>7083</v>
      </c>
      <c r="B101" t="s">
        <v>8997</v>
      </c>
      <c r="C101" s="103" t="s">
        <v>8853</v>
      </c>
    </row>
    <row r="102" spans="1:3" x14ac:dyDescent="0.25">
      <c r="A102" t="s">
        <v>5747</v>
      </c>
      <c r="B102" t="s">
        <v>8998</v>
      </c>
      <c r="C102" s="103" t="s">
        <v>8853</v>
      </c>
    </row>
    <row r="103" spans="1:3" x14ac:dyDescent="0.25">
      <c r="A103" t="s">
        <v>8371</v>
      </c>
      <c r="B103" t="s">
        <v>8999</v>
      </c>
      <c r="C103" s="103" t="s">
        <v>8853</v>
      </c>
    </row>
    <row r="104" spans="1:3" x14ac:dyDescent="0.25">
      <c r="A104" t="s">
        <v>8372</v>
      </c>
      <c r="B104" t="s">
        <v>9000</v>
      </c>
      <c r="C104" s="103" t="s">
        <v>8853</v>
      </c>
    </row>
    <row r="105" spans="1:3" x14ac:dyDescent="0.25">
      <c r="A105" t="s">
        <v>8373</v>
      </c>
      <c r="B105" t="s">
        <v>9001</v>
      </c>
      <c r="C105" s="103" t="s">
        <v>8853</v>
      </c>
    </row>
    <row r="106" spans="1:3" x14ac:dyDescent="0.25">
      <c r="A106" t="s">
        <v>8375</v>
      </c>
      <c r="B106" t="s">
        <v>9002</v>
      </c>
      <c r="C106" s="103" t="s">
        <v>8853</v>
      </c>
    </row>
    <row r="107" spans="1:3" x14ac:dyDescent="0.25">
      <c r="A107" t="s">
        <v>9036</v>
      </c>
      <c r="B107" t="s">
        <v>9010</v>
      </c>
      <c r="C107" s="103" t="s">
        <v>8853</v>
      </c>
    </row>
    <row r="108" spans="1:3" x14ac:dyDescent="0.25">
      <c r="A108" t="s">
        <v>9037</v>
      </c>
      <c r="B108" t="s">
        <v>9011</v>
      </c>
      <c r="C108" s="103" t="s">
        <v>8853</v>
      </c>
    </row>
    <row r="109" spans="1:3" x14ac:dyDescent="0.25">
      <c r="A109" t="s">
        <v>9038</v>
      </c>
      <c r="B109" t="s">
        <v>9012</v>
      </c>
      <c r="C109" s="103" t="s">
        <v>8853</v>
      </c>
    </row>
    <row r="110" spans="1:3" x14ac:dyDescent="0.25">
      <c r="A110" t="s">
        <v>9039</v>
      </c>
      <c r="B110" t="s">
        <v>9013</v>
      </c>
      <c r="C110" s="103" t="s">
        <v>8853</v>
      </c>
    </row>
    <row r="111" spans="1:3" x14ac:dyDescent="0.25">
      <c r="A111" t="s">
        <v>9040</v>
      </c>
      <c r="B111" t="s">
        <v>9014</v>
      </c>
      <c r="C111" s="103" t="s">
        <v>8853</v>
      </c>
    </row>
    <row r="112" spans="1:3" x14ac:dyDescent="0.25">
      <c r="A112" t="s">
        <v>9041</v>
      </c>
      <c r="B112" t="s">
        <v>9015</v>
      </c>
      <c r="C112" s="103" t="s">
        <v>8853</v>
      </c>
    </row>
    <row r="113" spans="1:3" x14ac:dyDescent="0.25">
      <c r="A113" t="s">
        <v>6970</v>
      </c>
      <c r="B113" t="s">
        <v>9016</v>
      </c>
      <c r="C113" s="103" t="s">
        <v>8853</v>
      </c>
    </row>
    <row r="114" spans="1:3" x14ac:dyDescent="0.25">
      <c r="A114" t="s">
        <v>9042</v>
      </c>
      <c r="B114" t="s">
        <v>9019</v>
      </c>
      <c r="C114" s="103" t="s">
        <v>8853</v>
      </c>
    </row>
    <row r="115" spans="1:3" x14ac:dyDescent="0.25">
      <c r="A115" t="s">
        <v>9043</v>
      </c>
      <c r="B115" t="s">
        <v>9019</v>
      </c>
      <c r="C115" s="103" t="s">
        <v>8853</v>
      </c>
    </row>
    <row r="116" spans="1:3" x14ac:dyDescent="0.25">
      <c r="A116" t="s">
        <v>9044</v>
      </c>
      <c r="B116" t="s">
        <v>9020</v>
      </c>
      <c r="C116" s="103" t="s">
        <v>8853</v>
      </c>
    </row>
  </sheetData>
  <autoFilter ref="A1:D1" xr:uid="{270FE274-B32D-4725-8B9D-4323606903C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2A65-9B02-4438-BA19-A791982261FD}">
  <dimension ref="A1:B24"/>
  <sheetViews>
    <sheetView workbookViewId="0">
      <selection activeCell="D4" sqref="D4"/>
    </sheetView>
  </sheetViews>
  <sheetFormatPr defaultRowHeight="15" x14ac:dyDescent="0.25"/>
  <cols>
    <col min="1" max="2" width="11.28515625" bestFit="1" customWidth="1"/>
  </cols>
  <sheetData>
    <row r="1" spans="1:2" x14ac:dyDescent="0.25">
      <c r="A1">
        <v>1000</v>
      </c>
    </row>
    <row r="2" spans="1:2" x14ac:dyDescent="0.25">
      <c r="A2" t="s">
        <v>803</v>
      </c>
      <c r="B2" t="s">
        <v>9022</v>
      </c>
    </row>
    <row r="3" spans="1:2" x14ac:dyDescent="0.25">
      <c r="A3" t="s">
        <v>4574</v>
      </c>
      <c r="B3" t="s">
        <v>9024</v>
      </c>
    </row>
    <row r="4" spans="1:2" x14ac:dyDescent="0.25">
      <c r="A4" t="s">
        <v>4520</v>
      </c>
      <c r="B4" t="s">
        <v>9025</v>
      </c>
    </row>
    <row r="5" spans="1:2" x14ac:dyDescent="0.25">
      <c r="A5" t="s">
        <v>4645</v>
      </c>
      <c r="B5" t="s">
        <v>9026</v>
      </c>
    </row>
    <row r="6" spans="1:2" x14ac:dyDescent="0.25">
      <c r="A6" t="s">
        <v>4645</v>
      </c>
      <c r="B6" t="s">
        <v>9027</v>
      </c>
    </row>
    <row r="7" spans="1:2" x14ac:dyDescent="0.25">
      <c r="A7" t="s">
        <v>5093</v>
      </c>
      <c r="B7" t="s">
        <v>9028</v>
      </c>
    </row>
    <row r="8" spans="1:2" x14ac:dyDescent="0.25">
      <c r="A8" t="s">
        <v>5093</v>
      </c>
      <c r="B8" t="s">
        <v>9029</v>
      </c>
    </row>
    <row r="9" spans="1:2" x14ac:dyDescent="0.25">
      <c r="A9" t="s">
        <v>8297</v>
      </c>
      <c r="B9" t="s">
        <v>9030</v>
      </c>
    </row>
    <row r="10" spans="1:2" x14ac:dyDescent="0.25">
      <c r="A10" t="s">
        <v>797</v>
      </c>
      <c r="B10" t="s">
        <v>9023</v>
      </c>
    </row>
    <row r="11" spans="1:2" x14ac:dyDescent="0.25">
      <c r="A11" t="s">
        <v>1751</v>
      </c>
      <c r="B11" t="s">
        <v>9031</v>
      </c>
    </row>
    <row r="12" spans="1:2" x14ac:dyDescent="0.25">
      <c r="A12" t="s">
        <v>9031</v>
      </c>
      <c r="B12" t="s">
        <v>9032</v>
      </c>
    </row>
    <row r="13" spans="1:2" x14ac:dyDescent="0.25">
      <c r="A13" t="s">
        <v>9031</v>
      </c>
      <c r="B13" t="s">
        <v>9033</v>
      </c>
    </row>
    <row r="14" spans="1:2" x14ac:dyDescent="0.25">
      <c r="A14" t="s">
        <v>9031</v>
      </c>
      <c r="B14" t="s">
        <v>9034</v>
      </c>
    </row>
    <row r="15" spans="1:2" x14ac:dyDescent="0.25">
      <c r="A15" t="s">
        <v>9031</v>
      </c>
      <c r="B15" t="s">
        <v>9035</v>
      </c>
    </row>
    <row r="16" spans="1:2" x14ac:dyDescent="0.25">
      <c r="A16" t="s">
        <v>6837</v>
      </c>
      <c r="B16" t="s">
        <v>9036</v>
      </c>
    </row>
    <row r="17" spans="1:2" x14ac:dyDescent="0.25">
      <c r="A17" t="s">
        <v>9036</v>
      </c>
      <c r="B17" t="s">
        <v>9037</v>
      </c>
    </row>
    <row r="18" spans="1:2" x14ac:dyDescent="0.25">
      <c r="A18" t="s">
        <v>9036</v>
      </c>
      <c r="B18" t="s">
        <v>9038</v>
      </c>
    </row>
    <row r="19" spans="1:2" x14ac:dyDescent="0.25">
      <c r="A19" t="s">
        <v>9036</v>
      </c>
      <c r="B19" t="s">
        <v>9039</v>
      </c>
    </row>
    <row r="20" spans="1:2" x14ac:dyDescent="0.25">
      <c r="A20" t="s">
        <v>9036</v>
      </c>
      <c r="B20" t="s">
        <v>9040</v>
      </c>
    </row>
    <row r="21" spans="1:2" x14ac:dyDescent="0.25">
      <c r="A21" t="s">
        <v>9036</v>
      </c>
      <c r="B21" t="s">
        <v>9041</v>
      </c>
    </row>
    <row r="22" spans="1:2" x14ac:dyDescent="0.25">
      <c r="A22" t="s">
        <v>8541</v>
      </c>
      <c r="B22" t="s">
        <v>9042</v>
      </c>
    </row>
    <row r="23" spans="1:2" x14ac:dyDescent="0.25">
      <c r="A23" t="s">
        <v>8575</v>
      </c>
      <c r="B23" t="s">
        <v>9043</v>
      </c>
    </row>
    <row r="24" spans="1:2" x14ac:dyDescent="0.25">
      <c r="A24" t="s">
        <v>8363</v>
      </c>
      <c r="B24" t="s">
        <v>9044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1B6EC-339D-49A8-A332-83293E7B2D6F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>
        <v>25014377</v>
      </c>
    </row>
    <row r="2" spans="1:1" x14ac:dyDescent="0.25">
      <c r="A2">
        <v>25014151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8FD98-B0C8-4260-8DE2-2D8E3ECCB37F}">
  <dimension ref="A1:G141"/>
  <sheetViews>
    <sheetView workbookViewId="0">
      <selection activeCell="A7" sqref="A7"/>
    </sheetView>
  </sheetViews>
  <sheetFormatPr defaultRowHeight="15" x14ac:dyDescent="0.25"/>
  <cols>
    <col min="1" max="1" width="11.28515625" bestFit="1" customWidth="1"/>
    <col min="2" max="2" width="40.85546875" bestFit="1" customWidth="1"/>
  </cols>
  <sheetData>
    <row r="1" spans="1:7" x14ac:dyDescent="0.25">
      <c r="A1">
        <v>1000</v>
      </c>
    </row>
    <row r="2" spans="1:7" x14ac:dyDescent="0.25">
      <c r="A2" t="s">
        <v>9022</v>
      </c>
      <c r="B2" t="s">
        <v>8868</v>
      </c>
      <c r="C2" t="s">
        <v>8853</v>
      </c>
      <c r="D2" s="100" t="s">
        <v>8853</v>
      </c>
      <c r="E2" s="100" t="s">
        <v>8853</v>
      </c>
      <c r="F2" s="100" t="s">
        <v>8853</v>
      </c>
      <c r="G2" s="100" t="s">
        <v>8853</v>
      </c>
    </row>
    <row r="3" spans="1:7" x14ac:dyDescent="0.25">
      <c r="A3" t="s">
        <v>894</v>
      </c>
      <c r="B3" t="s">
        <v>8869</v>
      </c>
      <c r="C3" s="100" t="s">
        <v>8853</v>
      </c>
      <c r="D3" s="100" t="s">
        <v>8853</v>
      </c>
      <c r="E3" s="100" t="s">
        <v>8853</v>
      </c>
      <c r="F3" s="100" t="s">
        <v>8853</v>
      </c>
      <c r="G3" s="100" t="s">
        <v>8853</v>
      </c>
    </row>
    <row r="4" spans="1:7" x14ac:dyDescent="0.25">
      <c r="A4" t="s">
        <v>472</v>
      </c>
      <c r="B4" t="s">
        <v>8874</v>
      </c>
      <c r="C4" s="100" t="s">
        <v>8853</v>
      </c>
      <c r="D4" s="100" t="s">
        <v>8853</v>
      </c>
      <c r="E4" s="100" t="s">
        <v>8853</v>
      </c>
      <c r="F4" s="100" t="s">
        <v>8853</v>
      </c>
      <c r="G4" s="100" t="s">
        <v>8853</v>
      </c>
    </row>
    <row r="5" spans="1:7" x14ac:dyDescent="0.25">
      <c r="A5" t="s">
        <v>458</v>
      </c>
      <c r="B5" t="s">
        <v>8875</v>
      </c>
      <c r="C5" s="100" t="s">
        <v>8853</v>
      </c>
      <c r="D5" s="100" t="s">
        <v>8853</v>
      </c>
      <c r="E5" s="100" t="s">
        <v>8853</v>
      </c>
      <c r="F5" s="100" t="s">
        <v>8853</v>
      </c>
      <c r="G5" s="100" t="s">
        <v>8853</v>
      </c>
    </row>
    <row r="6" spans="1:7" x14ac:dyDescent="0.25">
      <c r="A6" t="s">
        <v>432</v>
      </c>
      <c r="B6" t="s">
        <v>8876</v>
      </c>
      <c r="C6" s="100" t="s">
        <v>8853</v>
      </c>
      <c r="D6" s="100" t="s">
        <v>8853</v>
      </c>
      <c r="E6" s="100" t="s">
        <v>8853</v>
      </c>
      <c r="F6" s="100" t="s">
        <v>8853</v>
      </c>
      <c r="G6" s="100" t="s">
        <v>8853</v>
      </c>
    </row>
    <row r="7" spans="1:7" x14ac:dyDescent="0.25">
      <c r="A7" t="s">
        <v>434</v>
      </c>
      <c r="B7" t="s">
        <v>8877</v>
      </c>
      <c r="C7" s="100" t="s">
        <v>8853</v>
      </c>
      <c r="D7" s="100" t="s">
        <v>8853</v>
      </c>
      <c r="E7" s="100" t="s">
        <v>8853</v>
      </c>
      <c r="F7" s="100" t="s">
        <v>8853</v>
      </c>
      <c r="G7" s="100" t="s">
        <v>8853</v>
      </c>
    </row>
    <row r="8" spans="1:7" x14ac:dyDescent="0.25">
      <c r="A8" t="s">
        <v>434</v>
      </c>
      <c r="B8" t="s">
        <v>8878</v>
      </c>
      <c r="C8" s="100" t="s">
        <v>8853</v>
      </c>
      <c r="D8" s="100" t="s">
        <v>8853</v>
      </c>
      <c r="E8" s="100" t="s">
        <v>8853</v>
      </c>
      <c r="F8" s="100" t="s">
        <v>8853</v>
      </c>
      <c r="G8" s="100" t="s">
        <v>8853</v>
      </c>
    </row>
    <row r="9" spans="1:7" x14ac:dyDescent="0.25">
      <c r="A9" t="s">
        <v>464</v>
      </c>
      <c r="B9" t="s">
        <v>8879</v>
      </c>
      <c r="C9" s="100" t="s">
        <v>8853</v>
      </c>
      <c r="D9" s="100" t="s">
        <v>8853</v>
      </c>
      <c r="E9" s="100" t="s">
        <v>8853</v>
      </c>
      <c r="F9" s="100" t="s">
        <v>8853</v>
      </c>
      <c r="G9" s="100" t="s">
        <v>8853</v>
      </c>
    </row>
    <row r="10" spans="1:7" x14ac:dyDescent="0.25">
      <c r="A10" t="s">
        <v>470</v>
      </c>
      <c r="B10" t="s">
        <v>8880</v>
      </c>
      <c r="C10" s="100" t="s">
        <v>8853</v>
      </c>
      <c r="D10" s="100" t="s">
        <v>8853</v>
      </c>
      <c r="E10" s="100" t="s">
        <v>8853</v>
      </c>
      <c r="F10" s="100" t="s">
        <v>8853</v>
      </c>
      <c r="G10" s="100" t="s">
        <v>8853</v>
      </c>
    </row>
    <row r="11" spans="1:7" x14ac:dyDescent="0.25">
      <c r="A11" t="s">
        <v>3154</v>
      </c>
      <c r="B11" t="s">
        <v>8882</v>
      </c>
      <c r="C11" s="100" t="s">
        <v>8853</v>
      </c>
      <c r="D11" s="100" t="s">
        <v>8853</v>
      </c>
      <c r="E11" s="100" t="s">
        <v>8853</v>
      </c>
      <c r="F11" s="100" t="s">
        <v>8853</v>
      </c>
      <c r="G11" s="100" t="s">
        <v>8853</v>
      </c>
    </row>
    <row r="12" spans="1:7" x14ac:dyDescent="0.25">
      <c r="A12" t="s">
        <v>3156</v>
      </c>
      <c r="B12" t="s">
        <v>8883</v>
      </c>
      <c r="C12" s="100" t="s">
        <v>8853</v>
      </c>
      <c r="D12" s="100" t="s">
        <v>8853</v>
      </c>
      <c r="E12" s="100" t="s">
        <v>8853</v>
      </c>
      <c r="F12" s="100" t="s">
        <v>8853</v>
      </c>
      <c r="G12" s="100" t="s">
        <v>8853</v>
      </c>
    </row>
    <row r="13" spans="1:7" x14ac:dyDescent="0.25">
      <c r="A13" t="s">
        <v>3158</v>
      </c>
      <c r="B13" t="s">
        <v>8884</v>
      </c>
      <c r="C13" s="100" t="s">
        <v>8853</v>
      </c>
      <c r="D13" s="100" t="s">
        <v>8853</v>
      </c>
      <c r="E13" s="100" t="s">
        <v>8853</v>
      </c>
      <c r="F13" s="100" t="s">
        <v>8853</v>
      </c>
      <c r="G13" s="100" t="s">
        <v>8853</v>
      </c>
    </row>
    <row r="14" spans="1:7" x14ac:dyDescent="0.25">
      <c r="A14" t="s">
        <v>9024</v>
      </c>
      <c r="B14" t="s">
        <v>8886</v>
      </c>
      <c r="C14" s="100" t="s">
        <v>8853</v>
      </c>
      <c r="D14" s="100" t="s">
        <v>8853</v>
      </c>
      <c r="E14" s="100" t="s">
        <v>8853</v>
      </c>
      <c r="F14" s="100" t="s">
        <v>8853</v>
      </c>
      <c r="G14" s="100" t="s">
        <v>8853</v>
      </c>
    </row>
    <row r="15" spans="1:7" x14ac:dyDescent="0.25">
      <c r="A15" t="s">
        <v>9025</v>
      </c>
      <c r="B15" t="s">
        <v>8887</v>
      </c>
      <c r="C15" s="100" t="s">
        <v>8853</v>
      </c>
      <c r="D15" s="100" t="s">
        <v>8853</v>
      </c>
      <c r="E15" s="100" t="s">
        <v>8853</v>
      </c>
      <c r="F15" s="100" t="s">
        <v>8853</v>
      </c>
      <c r="G15" s="100" t="s">
        <v>8853</v>
      </c>
    </row>
    <row r="16" spans="1:7" x14ac:dyDescent="0.25">
      <c r="A16" t="s">
        <v>9026</v>
      </c>
      <c r="B16" t="s">
        <v>8888</v>
      </c>
      <c r="C16" s="100" t="s">
        <v>8853</v>
      </c>
      <c r="D16" s="100" t="s">
        <v>8853</v>
      </c>
      <c r="E16" s="100" t="s">
        <v>8853</v>
      </c>
      <c r="F16" s="100" t="s">
        <v>8853</v>
      </c>
      <c r="G16" s="100" t="s">
        <v>8853</v>
      </c>
    </row>
    <row r="17" spans="1:7" x14ac:dyDescent="0.25">
      <c r="A17" t="s">
        <v>9027</v>
      </c>
      <c r="B17" t="s">
        <v>8889</v>
      </c>
      <c r="C17" s="100" t="s">
        <v>8853</v>
      </c>
      <c r="D17" s="100" t="s">
        <v>8853</v>
      </c>
      <c r="E17" s="100" t="s">
        <v>8853</v>
      </c>
      <c r="F17" s="100" t="s">
        <v>8853</v>
      </c>
      <c r="G17" s="100" t="s">
        <v>8853</v>
      </c>
    </row>
    <row r="18" spans="1:7" x14ac:dyDescent="0.25">
      <c r="A18" t="s">
        <v>9028</v>
      </c>
      <c r="B18" t="s">
        <v>8890</v>
      </c>
      <c r="C18" s="100" t="s">
        <v>8853</v>
      </c>
      <c r="D18" s="100" t="s">
        <v>8853</v>
      </c>
      <c r="E18" s="100" t="s">
        <v>8853</v>
      </c>
      <c r="F18" s="100" t="s">
        <v>8853</v>
      </c>
      <c r="G18" s="100" t="s">
        <v>8853</v>
      </c>
    </row>
    <row r="19" spans="1:7" x14ac:dyDescent="0.25">
      <c r="A19" t="s">
        <v>9029</v>
      </c>
      <c r="B19" t="s">
        <v>8891</v>
      </c>
      <c r="C19" s="100" t="s">
        <v>8853</v>
      </c>
      <c r="D19" s="100" t="s">
        <v>8853</v>
      </c>
      <c r="E19" s="100" t="s">
        <v>8853</v>
      </c>
      <c r="F19" s="100" t="s">
        <v>8853</v>
      </c>
      <c r="G19" s="100" t="s">
        <v>8853</v>
      </c>
    </row>
    <row r="20" spans="1:7" x14ac:dyDescent="0.25">
      <c r="A20" t="s">
        <v>9030</v>
      </c>
      <c r="B20" t="s">
        <v>8892</v>
      </c>
      <c r="C20" s="100" t="s">
        <v>8853</v>
      </c>
      <c r="D20" s="100" t="s">
        <v>8853</v>
      </c>
      <c r="E20" s="100" t="s">
        <v>8853</v>
      </c>
      <c r="F20" s="100" t="s">
        <v>8853</v>
      </c>
      <c r="G20" s="100" t="s">
        <v>8853</v>
      </c>
    </row>
    <row r="21" spans="1:7" x14ac:dyDescent="0.25">
      <c r="A21" t="s">
        <v>8172</v>
      </c>
      <c r="B21" t="s">
        <v>8894</v>
      </c>
      <c r="C21" s="100" t="s">
        <v>8853</v>
      </c>
      <c r="D21" s="100" t="s">
        <v>8853</v>
      </c>
      <c r="E21" s="100" t="s">
        <v>8853</v>
      </c>
      <c r="F21" s="100" t="s">
        <v>8853</v>
      </c>
      <c r="G21" s="100" t="s">
        <v>8853</v>
      </c>
    </row>
    <row r="22" spans="1:7" x14ac:dyDescent="0.25">
      <c r="A22" t="s">
        <v>8214</v>
      </c>
      <c r="B22" t="s">
        <v>8893</v>
      </c>
      <c r="C22" s="100" t="s">
        <v>8853</v>
      </c>
      <c r="D22" s="100" t="s">
        <v>8853</v>
      </c>
      <c r="E22" s="100" t="s">
        <v>8853</v>
      </c>
      <c r="F22" s="100" t="s">
        <v>8853</v>
      </c>
      <c r="G22" s="100" t="s">
        <v>8853</v>
      </c>
    </row>
    <row r="23" spans="1:7" x14ac:dyDescent="0.25">
      <c r="A23" t="s">
        <v>2709</v>
      </c>
      <c r="B23" t="s">
        <v>8896</v>
      </c>
      <c r="C23" s="100" t="s">
        <v>8853</v>
      </c>
      <c r="D23" s="100" t="s">
        <v>8853</v>
      </c>
      <c r="E23" s="100" t="s">
        <v>8853</v>
      </c>
      <c r="F23" s="100" t="s">
        <v>8853</v>
      </c>
      <c r="G23" s="100" t="s">
        <v>8853</v>
      </c>
    </row>
    <row r="24" spans="1:7" x14ac:dyDescent="0.25">
      <c r="A24" t="s">
        <v>6754</v>
      </c>
      <c r="B24" t="s">
        <v>8897</v>
      </c>
      <c r="C24" s="100" t="s">
        <v>8853</v>
      </c>
      <c r="D24" s="100" t="s">
        <v>8853</v>
      </c>
      <c r="E24" s="100" t="s">
        <v>8853</v>
      </c>
      <c r="F24" s="100" t="s">
        <v>8853</v>
      </c>
      <c r="G24" s="100" t="s">
        <v>8853</v>
      </c>
    </row>
    <row r="25" spans="1:7" x14ac:dyDescent="0.25">
      <c r="A25" t="s">
        <v>6756</v>
      </c>
      <c r="B25" t="s">
        <v>8898</v>
      </c>
      <c r="C25" s="100" t="s">
        <v>8853</v>
      </c>
      <c r="D25" s="100" t="s">
        <v>8853</v>
      </c>
      <c r="E25" s="100" t="s">
        <v>8853</v>
      </c>
      <c r="F25" s="100" t="s">
        <v>8853</v>
      </c>
      <c r="G25" s="100" t="s">
        <v>8853</v>
      </c>
    </row>
    <row r="26" spans="1:7" x14ac:dyDescent="0.25">
      <c r="A26" t="s">
        <v>6760</v>
      </c>
      <c r="B26" t="s">
        <v>8899</v>
      </c>
      <c r="C26" s="100" t="s">
        <v>8853</v>
      </c>
      <c r="D26" s="100" t="s">
        <v>8853</v>
      </c>
      <c r="E26" s="100" t="s">
        <v>8853</v>
      </c>
      <c r="F26" s="100" t="s">
        <v>8853</v>
      </c>
      <c r="G26" s="100" t="s">
        <v>8853</v>
      </c>
    </row>
    <row r="27" spans="1:7" x14ac:dyDescent="0.25">
      <c r="A27" t="s">
        <v>8895</v>
      </c>
      <c r="B27" t="s">
        <v>8900</v>
      </c>
      <c r="C27" s="100" t="s">
        <v>8853</v>
      </c>
      <c r="D27" s="100" t="s">
        <v>8853</v>
      </c>
      <c r="E27" s="100" t="s">
        <v>8853</v>
      </c>
      <c r="F27" s="100" t="s">
        <v>8853</v>
      </c>
      <c r="G27" s="100" t="s">
        <v>8853</v>
      </c>
    </row>
    <row r="28" spans="1:7" x14ac:dyDescent="0.25">
      <c r="A28" t="s">
        <v>8217</v>
      </c>
      <c r="B28" t="s">
        <v>8307</v>
      </c>
      <c r="C28" s="100" t="s">
        <v>8853</v>
      </c>
      <c r="D28" s="100" t="s">
        <v>8853</v>
      </c>
      <c r="E28" s="100" t="s">
        <v>8853</v>
      </c>
      <c r="F28" s="100" t="s">
        <v>8853</v>
      </c>
      <c r="G28" s="100" t="s">
        <v>8853</v>
      </c>
    </row>
    <row r="29" spans="1:7" x14ac:dyDescent="0.25">
      <c r="A29" t="s">
        <v>2722</v>
      </c>
      <c r="B29" t="s">
        <v>8309</v>
      </c>
      <c r="C29" s="100" t="s">
        <v>8853</v>
      </c>
      <c r="D29" s="100" t="s">
        <v>8853</v>
      </c>
      <c r="E29" s="100" t="s">
        <v>8853</v>
      </c>
      <c r="F29" s="100" t="s">
        <v>8853</v>
      </c>
      <c r="G29" s="100" t="s">
        <v>8853</v>
      </c>
    </row>
    <row r="30" spans="1:7" x14ac:dyDescent="0.25">
      <c r="A30" t="s">
        <v>2324</v>
      </c>
      <c r="B30" t="s">
        <v>8310</v>
      </c>
      <c r="C30" s="100" t="s">
        <v>8853</v>
      </c>
      <c r="D30" s="100" t="s">
        <v>8853</v>
      </c>
      <c r="E30" s="100" t="s">
        <v>8853</v>
      </c>
      <c r="F30" s="100" t="s">
        <v>8853</v>
      </c>
      <c r="G30" s="100" t="s">
        <v>8853</v>
      </c>
    </row>
    <row r="31" spans="1:7" x14ac:dyDescent="0.25">
      <c r="A31" t="s">
        <v>8219</v>
      </c>
      <c r="B31" t="s">
        <v>8311</v>
      </c>
      <c r="C31" s="100" t="s">
        <v>8853</v>
      </c>
      <c r="D31" s="100" t="s">
        <v>8853</v>
      </c>
      <c r="E31" s="100" t="s">
        <v>8853</v>
      </c>
      <c r="F31" s="100" t="s">
        <v>8853</v>
      </c>
      <c r="G31" s="100" t="s">
        <v>8853</v>
      </c>
    </row>
    <row r="32" spans="1:7" x14ac:dyDescent="0.25">
      <c r="A32" t="s">
        <v>8220</v>
      </c>
      <c r="B32" t="s">
        <v>8312</v>
      </c>
      <c r="C32" s="100" t="s">
        <v>8853</v>
      </c>
      <c r="D32" s="100" t="s">
        <v>8853</v>
      </c>
      <c r="E32" s="100" t="s">
        <v>8853</v>
      </c>
      <c r="F32" s="100" t="s">
        <v>8853</v>
      </c>
      <c r="G32" s="100" t="s">
        <v>8853</v>
      </c>
    </row>
    <row r="33" spans="1:7" x14ac:dyDescent="0.25">
      <c r="A33" t="s">
        <v>8221</v>
      </c>
      <c r="B33" t="s">
        <v>8313</v>
      </c>
      <c r="C33" s="100" t="s">
        <v>8853</v>
      </c>
      <c r="D33" s="100" t="s">
        <v>8853</v>
      </c>
      <c r="E33" s="100" t="s">
        <v>8853</v>
      </c>
      <c r="F33" s="100" t="s">
        <v>8853</v>
      </c>
      <c r="G33" s="100" t="s">
        <v>8853</v>
      </c>
    </row>
    <row r="34" spans="1:7" x14ac:dyDescent="0.25">
      <c r="A34" t="s">
        <v>5089</v>
      </c>
      <c r="B34" t="s">
        <v>8314</v>
      </c>
      <c r="C34" s="100" t="s">
        <v>8853</v>
      </c>
      <c r="D34" s="100" t="s">
        <v>8853</v>
      </c>
      <c r="E34" s="100" t="s">
        <v>8853</v>
      </c>
      <c r="F34" s="100" t="s">
        <v>8853</v>
      </c>
      <c r="G34" s="100" t="s">
        <v>8853</v>
      </c>
    </row>
    <row r="35" spans="1:7" x14ac:dyDescent="0.25">
      <c r="A35" t="s">
        <v>5091</v>
      </c>
      <c r="B35" t="s">
        <v>8315</v>
      </c>
      <c r="C35" s="100" t="s">
        <v>8853</v>
      </c>
      <c r="D35" s="100" t="s">
        <v>8853</v>
      </c>
      <c r="E35" s="100" t="s">
        <v>8853</v>
      </c>
      <c r="F35" s="100" t="s">
        <v>8853</v>
      </c>
      <c r="G35" s="100" t="s">
        <v>8853</v>
      </c>
    </row>
    <row r="36" spans="1:7" x14ac:dyDescent="0.25">
      <c r="A36" t="s">
        <v>8222</v>
      </c>
      <c r="B36" t="s">
        <v>8316</v>
      </c>
      <c r="C36" s="100" t="s">
        <v>8853</v>
      </c>
      <c r="D36" s="100" t="s">
        <v>8853</v>
      </c>
      <c r="E36" s="100" t="s">
        <v>8853</v>
      </c>
      <c r="F36" s="100" t="s">
        <v>8853</v>
      </c>
      <c r="G36" s="100" t="s">
        <v>8853</v>
      </c>
    </row>
    <row r="37" spans="1:7" x14ac:dyDescent="0.25">
      <c r="A37" t="s">
        <v>3680</v>
      </c>
      <c r="B37" t="s">
        <v>8317</v>
      </c>
      <c r="C37" s="100" t="s">
        <v>8853</v>
      </c>
      <c r="D37" s="100" t="s">
        <v>8853</v>
      </c>
      <c r="E37" s="100" t="s">
        <v>8853</v>
      </c>
      <c r="F37" s="100" t="s">
        <v>8853</v>
      </c>
      <c r="G37" s="100" t="s">
        <v>8853</v>
      </c>
    </row>
    <row r="38" spans="1:7" x14ac:dyDescent="0.25">
      <c r="A38" t="s">
        <v>9023</v>
      </c>
      <c r="B38" t="s">
        <v>8904</v>
      </c>
      <c r="C38" s="100" t="s">
        <v>8853</v>
      </c>
      <c r="D38" s="100" t="s">
        <v>8853</v>
      </c>
      <c r="E38" s="100" t="s">
        <v>8853</v>
      </c>
      <c r="F38" s="100" t="s">
        <v>8853</v>
      </c>
      <c r="G38" s="100" t="s">
        <v>8853</v>
      </c>
    </row>
    <row r="39" spans="1:7" x14ac:dyDescent="0.25">
      <c r="A39" t="s">
        <v>9031</v>
      </c>
      <c r="B39" t="s">
        <v>8905</v>
      </c>
      <c r="C39" s="100" t="s">
        <v>8853</v>
      </c>
      <c r="D39" s="100" t="s">
        <v>8853</v>
      </c>
      <c r="E39" s="100" t="s">
        <v>8853</v>
      </c>
      <c r="F39" s="100" t="s">
        <v>8853</v>
      </c>
      <c r="G39" s="100" t="s">
        <v>8853</v>
      </c>
    </row>
    <row r="40" spans="1:7" x14ac:dyDescent="0.25">
      <c r="A40" t="s">
        <v>9032</v>
      </c>
      <c r="B40" t="s">
        <v>8906</v>
      </c>
      <c r="C40" s="100" t="s">
        <v>8853</v>
      </c>
      <c r="D40" s="100" t="s">
        <v>8853</v>
      </c>
      <c r="E40" s="100" t="s">
        <v>8853</v>
      </c>
      <c r="F40" s="100" t="s">
        <v>8853</v>
      </c>
      <c r="G40" s="100" t="s">
        <v>8853</v>
      </c>
    </row>
    <row r="41" spans="1:7" x14ac:dyDescent="0.25">
      <c r="A41" t="s">
        <v>9033</v>
      </c>
      <c r="B41" t="s">
        <v>8907</v>
      </c>
      <c r="C41" s="100" t="s">
        <v>8853</v>
      </c>
      <c r="D41" s="100" t="s">
        <v>8853</v>
      </c>
      <c r="E41" s="100" t="s">
        <v>8853</v>
      </c>
      <c r="F41" s="100" t="s">
        <v>8853</v>
      </c>
      <c r="G41" s="100" t="s">
        <v>8853</v>
      </c>
    </row>
    <row r="42" spans="1:7" x14ac:dyDescent="0.25">
      <c r="A42" t="s">
        <v>9034</v>
      </c>
      <c r="B42" t="s">
        <v>8908</v>
      </c>
      <c r="C42" s="100" t="s">
        <v>8853</v>
      </c>
      <c r="D42" s="100" t="s">
        <v>8853</v>
      </c>
      <c r="E42" s="100" t="s">
        <v>8853</v>
      </c>
      <c r="F42" s="100" t="s">
        <v>8853</v>
      </c>
      <c r="G42" s="100" t="s">
        <v>8853</v>
      </c>
    </row>
    <row r="43" spans="1:7" x14ac:dyDescent="0.25">
      <c r="A43" t="s">
        <v>9035</v>
      </c>
      <c r="B43" t="s">
        <v>8909</v>
      </c>
      <c r="C43" s="100" t="s">
        <v>8853</v>
      </c>
      <c r="D43" s="100" t="s">
        <v>8853</v>
      </c>
      <c r="E43" s="100" t="s">
        <v>8853</v>
      </c>
      <c r="F43" s="100" t="s">
        <v>8853</v>
      </c>
      <c r="G43" s="100" t="s">
        <v>8853</v>
      </c>
    </row>
    <row r="44" spans="1:7" x14ac:dyDescent="0.25">
      <c r="A44" t="s">
        <v>1751</v>
      </c>
      <c r="B44" t="s">
        <v>8910</v>
      </c>
      <c r="C44" s="100" t="s">
        <v>8853</v>
      </c>
      <c r="D44" s="100" t="s">
        <v>8853</v>
      </c>
      <c r="E44" s="100" t="s">
        <v>8853</v>
      </c>
      <c r="F44" s="100" t="s">
        <v>8853</v>
      </c>
      <c r="G44" s="100" t="s">
        <v>8853</v>
      </c>
    </row>
    <row r="45" spans="1:7" x14ac:dyDescent="0.25">
      <c r="A45" t="s">
        <v>6767</v>
      </c>
      <c r="B45" t="s">
        <v>8911</v>
      </c>
      <c r="C45" s="100" t="s">
        <v>8853</v>
      </c>
      <c r="D45" s="100" t="s">
        <v>8853</v>
      </c>
      <c r="E45" s="100" t="s">
        <v>8853</v>
      </c>
      <c r="F45" s="100" t="s">
        <v>8853</v>
      </c>
      <c r="G45" s="100" t="s">
        <v>8853</v>
      </c>
    </row>
    <row r="46" spans="1:7" x14ac:dyDescent="0.25">
      <c r="A46" t="s">
        <v>6769</v>
      </c>
      <c r="B46" t="s">
        <v>8912</v>
      </c>
      <c r="C46" s="100" t="s">
        <v>8853</v>
      </c>
      <c r="D46" s="100" t="s">
        <v>8853</v>
      </c>
      <c r="E46" s="100" t="s">
        <v>8853</v>
      </c>
      <c r="F46" s="100" t="s">
        <v>8853</v>
      </c>
      <c r="G46" s="100" t="s">
        <v>8853</v>
      </c>
    </row>
    <row r="47" spans="1:7" x14ac:dyDescent="0.25">
      <c r="A47" t="s">
        <v>6771</v>
      </c>
      <c r="B47" t="s">
        <v>8913</v>
      </c>
      <c r="C47" s="100" t="s">
        <v>8853</v>
      </c>
      <c r="D47" s="100" t="s">
        <v>8853</v>
      </c>
      <c r="E47" s="100" t="s">
        <v>8853</v>
      </c>
      <c r="F47" s="100" t="s">
        <v>8853</v>
      </c>
      <c r="G47" s="100" t="s">
        <v>8853</v>
      </c>
    </row>
    <row r="48" spans="1:7" x14ac:dyDescent="0.25">
      <c r="A48" t="s">
        <v>6773</v>
      </c>
      <c r="B48" t="s">
        <v>8914</v>
      </c>
      <c r="C48" s="100" t="s">
        <v>8853</v>
      </c>
      <c r="D48" s="100" t="s">
        <v>8853</v>
      </c>
      <c r="E48" s="100" t="s">
        <v>8853</v>
      </c>
      <c r="F48" s="100" t="s">
        <v>8853</v>
      </c>
      <c r="G48" s="100" t="s">
        <v>8853</v>
      </c>
    </row>
    <row r="49" spans="1:7" x14ac:dyDescent="0.25">
      <c r="A49" t="s">
        <v>6775</v>
      </c>
      <c r="B49" t="s">
        <v>8915</v>
      </c>
      <c r="C49" s="100" t="s">
        <v>8853</v>
      </c>
      <c r="D49" s="100" t="s">
        <v>8853</v>
      </c>
      <c r="E49" s="100" t="s">
        <v>8853</v>
      </c>
      <c r="F49" s="100" t="s">
        <v>8853</v>
      </c>
      <c r="G49" s="100" t="s">
        <v>8853</v>
      </c>
    </row>
    <row r="50" spans="1:7" x14ac:dyDescent="0.25">
      <c r="A50" t="s">
        <v>2020</v>
      </c>
      <c r="B50" t="s">
        <v>8916</v>
      </c>
      <c r="C50" s="100" t="s">
        <v>8853</v>
      </c>
      <c r="D50" s="100" t="s">
        <v>8853</v>
      </c>
      <c r="E50" s="100" t="s">
        <v>8853</v>
      </c>
      <c r="F50" s="100" t="s">
        <v>8853</v>
      </c>
      <c r="G50" s="100" t="s">
        <v>8853</v>
      </c>
    </row>
    <row r="51" spans="1:7" x14ac:dyDescent="0.25">
      <c r="A51" t="s">
        <v>3614</v>
      </c>
      <c r="B51" t="s">
        <v>8917</v>
      </c>
      <c r="C51" s="100" t="s">
        <v>8853</v>
      </c>
      <c r="D51" s="100" t="s">
        <v>8853</v>
      </c>
      <c r="E51" s="100" t="s">
        <v>8853</v>
      </c>
      <c r="F51" s="100" t="s">
        <v>8853</v>
      </c>
      <c r="G51" s="100" t="s">
        <v>8853</v>
      </c>
    </row>
    <row r="52" spans="1:7" x14ac:dyDescent="0.25">
      <c r="A52" t="s">
        <v>5539</v>
      </c>
      <c r="B52" t="s">
        <v>8918</v>
      </c>
      <c r="C52" s="100" t="s">
        <v>8853</v>
      </c>
      <c r="D52" s="100" t="s">
        <v>8853</v>
      </c>
      <c r="E52" s="100" t="s">
        <v>8853</v>
      </c>
      <c r="F52" s="100" t="s">
        <v>8853</v>
      </c>
      <c r="G52" s="100" t="s">
        <v>8853</v>
      </c>
    </row>
    <row r="53" spans="1:7" x14ac:dyDescent="0.25">
      <c r="A53" t="s">
        <v>1824</v>
      </c>
      <c r="B53" t="s">
        <v>8919</v>
      </c>
      <c r="C53" s="100" t="s">
        <v>8853</v>
      </c>
      <c r="D53" s="100" t="s">
        <v>8853</v>
      </c>
      <c r="E53" s="100" t="s">
        <v>8853</v>
      </c>
      <c r="F53" s="100" t="s">
        <v>8853</v>
      </c>
      <c r="G53" s="100" t="s">
        <v>8853</v>
      </c>
    </row>
    <row r="54" spans="1:7" x14ac:dyDescent="0.25">
      <c r="A54" t="s">
        <v>7986</v>
      </c>
      <c r="B54" t="s">
        <v>8920</v>
      </c>
      <c r="C54" s="100" t="s">
        <v>8853</v>
      </c>
      <c r="D54" s="100" t="s">
        <v>8853</v>
      </c>
      <c r="E54" s="100" t="s">
        <v>8853</v>
      </c>
      <c r="F54" s="100" t="s">
        <v>8853</v>
      </c>
      <c r="G54" s="100" t="s">
        <v>8853</v>
      </c>
    </row>
    <row r="55" spans="1:7" x14ac:dyDescent="0.25">
      <c r="A55" t="s">
        <v>1826</v>
      </c>
      <c r="B55" t="s">
        <v>8921</v>
      </c>
      <c r="C55" s="100" t="s">
        <v>8853</v>
      </c>
      <c r="D55" s="100" t="s">
        <v>8853</v>
      </c>
      <c r="E55" s="100" t="s">
        <v>8853</v>
      </c>
      <c r="F55" s="100" t="s">
        <v>8853</v>
      </c>
      <c r="G55" s="100" t="s">
        <v>8853</v>
      </c>
    </row>
    <row r="56" spans="1:7" x14ac:dyDescent="0.25">
      <c r="A56" t="s">
        <v>1828</v>
      </c>
      <c r="B56" t="s">
        <v>8922</v>
      </c>
      <c r="C56" s="100" t="s">
        <v>8853</v>
      </c>
      <c r="D56" s="100" t="s">
        <v>8853</v>
      </c>
      <c r="E56" s="100" t="s">
        <v>8853</v>
      </c>
      <c r="F56" s="100" t="s">
        <v>8853</v>
      </c>
      <c r="G56" s="100" t="s">
        <v>8853</v>
      </c>
    </row>
    <row r="57" spans="1:7" x14ac:dyDescent="0.25">
      <c r="A57" t="s">
        <v>1830</v>
      </c>
      <c r="B57" t="s">
        <v>8923</v>
      </c>
      <c r="C57" s="100" t="s">
        <v>8853</v>
      </c>
      <c r="D57" s="100" t="s">
        <v>8853</v>
      </c>
      <c r="E57" s="100" t="s">
        <v>8853</v>
      </c>
      <c r="F57" s="100" t="s">
        <v>8853</v>
      </c>
      <c r="G57" s="100" t="s">
        <v>8853</v>
      </c>
    </row>
    <row r="58" spans="1:7" x14ac:dyDescent="0.25">
      <c r="A58" t="s">
        <v>1832</v>
      </c>
      <c r="B58" t="s">
        <v>8924</v>
      </c>
      <c r="C58" s="100" t="s">
        <v>8853</v>
      </c>
      <c r="D58" s="100" t="s">
        <v>8853</v>
      </c>
      <c r="E58" s="100" t="s">
        <v>8853</v>
      </c>
      <c r="F58" s="100" t="s">
        <v>8853</v>
      </c>
      <c r="G58" s="100" t="s">
        <v>8853</v>
      </c>
    </row>
    <row r="59" spans="1:7" x14ac:dyDescent="0.25">
      <c r="A59" t="s">
        <v>1834</v>
      </c>
      <c r="B59" t="s">
        <v>8925</v>
      </c>
      <c r="C59" s="100" t="s">
        <v>8853</v>
      </c>
      <c r="D59" s="100" t="s">
        <v>8853</v>
      </c>
      <c r="E59" s="100" t="s">
        <v>8853</v>
      </c>
      <c r="F59" s="100" t="s">
        <v>8853</v>
      </c>
      <c r="G59" s="100" t="s">
        <v>8853</v>
      </c>
    </row>
    <row r="60" spans="1:7" x14ac:dyDescent="0.25">
      <c r="A60" t="s">
        <v>1836</v>
      </c>
      <c r="B60" t="s">
        <v>8926</v>
      </c>
      <c r="C60" s="100" t="s">
        <v>8853</v>
      </c>
      <c r="D60" s="100" t="s">
        <v>8853</v>
      </c>
      <c r="E60" s="100" t="s">
        <v>8853</v>
      </c>
      <c r="F60" s="100" t="s">
        <v>8853</v>
      </c>
      <c r="G60" s="100" t="s">
        <v>8853</v>
      </c>
    </row>
    <row r="61" spans="1:7" x14ac:dyDescent="0.25">
      <c r="A61" t="s">
        <v>6828</v>
      </c>
      <c r="B61" t="s">
        <v>8927</v>
      </c>
      <c r="C61" s="100" t="s">
        <v>8853</v>
      </c>
      <c r="D61" s="100" t="s">
        <v>8853</v>
      </c>
      <c r="E61" s="100" t="s">
        <v>8853</v>
      </c>
      <c r="F61" s="100" t="s">
        <v>8853</v>
      </c>
      <c r="G61" s="100" t="s">
        <v>8853</v>
      </c>
    </row>
    <row r="62" spans="1:7" x14ac:dyDescent="0.25">
      <c r="A62" t="s">
        <v>6830</v>
      </c>
      <c r="B62" t="s">
        <v>8928</v>
      </c>
      <c r="C62" s="100" t="s">
        <v>8853</v>
      </c>
      <c r="D62" s="100" t="s">
        <v>8853</v>
      </c>
      <c r="E62" s="100" t="s">
        <v>8853</v>
      </c>
      <c r="F62" s="100" t="s">
        <v>8853</v>
      </c>
      <c r="G62" s="100" t="s">
        <v>8853</v>
      </c>
    </row>
    <row r="63" spans="1:7" x14ac:dyDescent="0.25">
      <c r="A63" t="s">
        <v>3612</v>
      </c>
      <c r="B63" t="s">
        <v>8929</v>
      </c>
      <c r="C63" s="100" t="s">
        <v>8853</v>
      </c>
      <c r="D63" s="100" t="s">
        <v>8853</v>
      </c>
      <c r="E63" s="100" t="s">
        <v>8853</v>
      </c>
      <c r="F63" s="100" t="s">
        <v>8853</v>
      </c>
      <c r="G63" s="100" t="s">
        <v>8853</v>
      </c>
    </row>
    <row r="64" spans="1:7" x14ac:dyDescent="0.25">
      <c r="A64" t="s">
        <v>3615</v>
      </c>
      <c r="B64" t="s">
        <v>8930</v>
      </c>
      <c r="C64" s="100" t="s">
        <v>8853</v>
      </c>
      <c r="D64" s="100" t="s">
        <v>8853</v>
      </c>
      <c r="E64" s="100" t="s">
        <v>8853</v>
      </c>
      <c r="F64" s="100" t="s">
        <v>8853</v>
      </c>
      <c r="G64" s="100" t="s">
        <v>8853</v>
      </c>
    </row>
    <row r="65" spans="1:7" x14ac:dyDescent="0.25">
      <c r="A65" t="s">
        <v>1749</v>
      </c>
      <c r="B65" t="s">
        <v>8931</v>
      </c>
      <c r="C65" s="100" t="s">
        <v>8853</v>
      </c>
      <c r="D65" s="100" t="s">
        <v>8853</v>
      </c>
      <c r="E65" s="100" t="s">
        <v>8853</v>
      </c>
      <c r="F65" s="100" t="s">
        <v>8853</v>
      </c>
      <c r="G65" s="100" t="s">
        <v>8853</v>
      </c>
    </row>
    <row r="66" spans="1:7" x14ac:dyDescent="0.25">
      <c r="A66" t="s">
        <v>1753</v>
      </c>
      <c r="B66" t="s">
        <v>8932</v>
      </c>
      <c r="C66" s="100" t="s">
        <v>8853</v>
      </c>
      <c r="D66" s="100" t="s">
        <v>8853</v>
      </c>
      <c r="E66" s="100" t="s">
        <v>8853</v>
      </c>
      <c r="F66" s="100" t="s">
        <v>8853</v>
      </c>
      <c r="G66" s="100" t="s">
        <v>8853</v>
      </c>
    </row>
    <row r="67" spans="1:7" x14ac:dyDescent="0.25">
      <c r="A67" t="s">
        <v>1755</v>
      </c>
      <c r="B67" t="s">
        <v>8933</v>
      </c>
      <c r="C67" s="100" t="s">
        <v>8853</v>
      </c>
      <c r="D67" s="100" t="s">
        <v>8853</v>
      </c>
      <c r="E67" s="100" t="s">
        <v>8853</v>
      </c>
      <c r="F67" s="100" t="s">
        <v>8853</v>
      </c>
      <c r="G67" s="100" t="s">
        <v>8853</v>
      </c>
    </row>
    <row r="68" spans="1:7" x14ac:dyDescent="0.25">
      <c r="A68" t="s">
        <v>1757</v>
      </c>
      <c r="B68" t="s">
        <v>8934</v>
      </c>
      <c r="C68" s="100" t="s">
        <v>8853</v>
      </c>
      <c r="D68" s="100" t="s">
        <v>8853</v>
      </c>
      <c r="E68" s="100" t="s">
        <v>8853</v>
      </c>
      <c r="F68" s="100" t="s">
        <v>8853</v>
      </c>
      <c r="G68" s="100" t="s">
        <v>8853</v>
      </c>
    </row>
    <row r="69" spans="1:7" x14ac:dyDescent="0.25">
      <c r="A69" t="s">
        <v>1759</v>
      </c>
      <c r="B69" t="s">
        <v>8935</v>
      </c>
      <c r="C69" s="100" t="s">
        <v>8853</v>
      </c>
      <c r="D69" s="100" t="s">
        <v>8853</v>
      </c>
      <c r="E69" s="100" t="s">
        <v>8853</v>
      </c>
      <c r="F69" s="100" t="s">
        <v>8853</v>
      </c>
      <c r="G69" s="100" t="s">
        <v>8853</v>
      </c>
    </row>
    <row r="70" spans="1:7" x14ac:dyDescent="0.25">
      <c r="A70" t="s">
        <v>1761</v>
      </c>
      <c r="B70" t="s">
        <v>8936</v>
      </c>
      <c r="C70" s="100" t="s">
        <v>8853</v>
      </c>
      <c r="D70" s="100" t="s">
        <v>8853</v>
      </c>
      <c r="E70" s="100" t="s">
        <v>8853</v>
      </c>
      <c r="F70" s="100" t="s">
        <v>8853</v>
      </c>
      <c r="G70" s="100" t="s">
        <v>8853</v>
      </c>
    </row>
    <row r="71" spans="1:7" x14ac:dyDescent="0.25">
      <c r="A71" t="s">
        <v>1763</v>
      </c>
      <c r="B71" t="s">
        <v>8937</v>
      </c>
      <c r="C71" s="100" t="s">
        <v>8853</v>
      </c>
      <c r="D71" s="100" t="s">
        <v>8853</v>
      </c>
      <c r="E71" s="100" t="s">
        <v>8853</v>
      </c>
      <c r="F71" s="100" t="s">
        <v>8853</v>
      </c>
      <c r="G71" s="100" t="s">
        <v>8853</v>
      </c>
    </row>
    <row r="72" spans="1:7" x14ac:dyDescent="0.25">
      <c r="A72" t="s">
        <v>1765</v>
      </c>
      <c r="B72" t="s">
        <v>8938</v>
      </c>
      <c r="C72" s="100" t="s">
        <v>8853</v>
      </c>
      <c r="D72" s="100" t="s">
        <v>8853</v>
      </c>
      <c r="E72" s="100" t="s">
        <v>8853</v>
      </c>
      <c r="F72" s="100" t="s">
        <v>8853</v>
      </c>
      <c r="G72" s="100" t="s">
        <v>8853</v>
      </c>
    </row>
    <row r="73" spans="1:7" x14ac:dyDescent="0.25">
      <c r="A73" t="s">
        <v>1767</v>
      </c>
      <c r="B73" t="s">
        <v>8939</v>
      </c>
      <c r="C73" s="100" t="s">
        <v>8853</v>
      </c>
      <c r="D73" s="100" t="s">
        <v>8853</v>
      </c>
      <c r="E73" s="100" t="s">
        <v>8853</v>
      </c>
      <c r="F73" s="100" t="s">
        <v>8853</v>
      </c>
      <c r="G73" s="100" t="s">
        <v>8853</v>
      </c>
    </row>
    <row r="74" spans="1:7" x14ac:dyDescent="0.25">
      <c r="A74" t="s">
        <v>8541</v>
      </c>
      <c r="B74" t="s">
        <v>8940</v>
      </c>
      <c r="C74" s="100" t="s">
        <v>8853</v>
      </c>
      <c r="D74" s="100" t="s">
        <v>8853</v>
      </c>
      <c r="E74" s="100" t="s">
        <v>8853</v>
      </c>
      <c r="F74" s="100" t="s">
        <v>8853</v>
      </c>
      <c r="G74" s="100" t="s">
        <v>8853</v>
      </c>
    </row>
    <row r="75" spans="1:7" x14ac:dyDescent="0.25">
      <c r="A75" t="s">
        <v>1769</v>
      </c>
      <c r="B75" t="s">
        <v>8941</v>
      </c>
      <c r="C75" s="100" t="s">
        <v>8853</v>
      </c>
      <c r="D75" s="100" t="s">
        <v>8853</v>
      </c>
      <c r="E75" s="100" t="s">
        <v>8853</v>
      </c>
      <c r="F75" s="100" t="s">
        <v>8853</v>
      </c>
      <c r="G75" s="100" t="s">
        <v>8853</v>
      </c>
    </row>
    <row r="76" spans="1:7" x14ac:dyDescent="0.25">
      <c r="A76" t="s">
        <v>1771</v>
      </c>
      <c r="B76" t="s">
        <v>8942</v>
      </c>
      <c r="C76" s="100" t="s">
        <v>8853</v>
      </c>
      <c r="D76" s="100" t="s">
        <v>8853</v>
      </c>
      <c r="E76" s="100" t="s">
        <v>8853</v>
      </c>
      <c r="F76" s="100" t="s">
        <v>8853</v>
      </c>
      <c r="G76" s="100" t="s">
        <v>8853</v>
      </c>
    </row>
    <row r="77" spans="1:7" x14ac:dyDescent="0.25">
      <c r="A77" t="s">
        <v>1773</v>
      </c>
      <c r="B77" t="s">
        <v>8943</v>
      </c>
      <c r="C77" s="100" t="s">
        <v>8853</v>
      </c>
      <c r="D77" s="100" t="s">
        <v>8853</v>
      </c>
      <c r="E77" s="100" t="s">
        <v>8853</v>
      </c>
      <c r="F77" s="100" t="s">
        <v>8853</v>
      </c>
      <c r="G77" s="100" t="s">
        <v>8853</v>
      </c>
    </row>
    <row r="78" spans="1:7" x14ac:dyDescent="0.25">
      <c r="A78" t="s">
        <v>1775</v>
      </c>
      <c r="B78" t="s">
        <v>8944</v>
      </c>
      <c r="C78" s="100" t="s">
        <v>8853</v>
      </c>
      <c r="D78" s="100" t="s">
        <v>8853</v>
      </c>
      <c r="E78" s="100" t="s">
        <v>8853</v>
      </c>
      <c r="F78" s="100" t="s">
        <v>8853</v>
      </c>
      <c r="G78" s="100" t="s">
        <v>8853</v>
      </c>
    </row>
    <row r="79" spans="1:7" x14ac:dyDescent="0.25">
      <c r="A79" t="s">
        <v>1990</v>
      </c>
      <c r="B79" t="s">
        <v>8945</v>
      </c>
      <c r="C79" s="100" t="s">
        <v>8853</v>
      </c>
      <c r="D79" s="100" t="s">
        <v>8853</v>
      </c>
      <c r="E79" s="100" t="s">
        <v>8853</v>
      </c>
      <c r="F79" s="100" t="s">
        <v>8853</v>
      </c>
      <c r="G79" s="100" t="s">
        <v>8853</v>
      </c>
    </row>
    <row r="80" spans="1:7" x14ac:dyDescent="0.25">
      <c r="A80" t="s">
        <v>1777</v>
      </c>
      <c r="B80" t="s">
        <v>8946</v>
      </c>
      <c r="C80" s="100" t="s">
        <v>8853</v>
      </c>
      <c r="D80" s="100" t="s">
        <v>8853</v>
      </c>
      <c r="E80" s="100" t="s">
        <v>8853</v>
      </c>
      <c r="F80" s="100" t="s">
        <v>8853</v>
      </c>
      <c r="G80" s="100" t="s">
        <v>8853</v>
      </c>
    </row>
    <row r="81" spans="1:7" x14ac:dyDescent="0.25">
      <c r="A81" t="s">
        <v>1779</v>
      </c>
      <c r="B81" t="s">
        <v>8947</v>
      </c>
      <c r="C81" s="100" t="s">
        <v>8853</v>
      </c>
      <c r="D81" s="100" t="s">
        <v>8853</v>
      </c>
      <c r="E81" s="100" t="s">
        <v>8853</v>
      </c>
      <c r="F81" s="100" t="s">
        <v>8853</v>
      </c>
      <c r="G81" s="100" t="s">
        <v>8853</v>
      </c>
    </row>
    <row r="82" spans="1:7" x14ac:dyDescent="0.25">
      <c r="A82" t="s">
        <v>1781</v>
      </c>
      <c r="B82" t="s">
        <v>8948</v>
      </c>
      <c r="C82" s="100" t="s">
        <v>8853</v>
      </c>
      <c r="D82" s="100" t="s">
        <v>8853</v>
      </c>
      <c r="E82" s="100" t="s">
        <v>8853</v>
      </c>
      <c r="F82" s="100" t="s">
        <v>8853</v>
      </c>
      <c r="G82" s="100" t="s">
        <v>8853</v>
      </c>
    </row>
    <row r="83" spans="1:7" x14ac:dyDescent="0.25">
      <c r="A83" t="s">
        <v>1783</v>
      </c>
      <c r="B83" t="s">
        <v>8949</v>
      </c>
      <c r="C83" s="100" t="s">
        <v>8853</v>
      </c>
      <c r="D83" s="100" t="s">
        <v>8853</v>
      </c>
      <c r="E83" s="100" t="s">
        <v>8853</v>
      </c>
      <c r="F83" s="100" t="s">
        <v>8853</v>
      </c>
      <c r="G83" s="100" t="s">
        <v>8853</v>
      </c>
    </row>
    <row r="84" spans="1:7" x14ac:dyDescent="0.25">
      <c r="A84" t="s">
        <v>1785</v>
      </c>
      <c r="B84" t="s">
        <v>8950</v>
      </c>
      <c r="C84" s="100" t="s">
        <v>8853</v>
      </c>
      <c r="D84" s="100" t="s">
        <v>8853</v>
      </c>
      <c r="E84" s="100" t="s">
        <v>8853</v>
      </c>
      <c r="F84" s="100" t="s">
        <v>8853</v>
      </c>
      <c r="G84" s="100" t="s">
        <v>8853</v>
      </c>
    </row>
    <row r="85" spans="1:7" x14ac:dyDescent="0.25">
      <c r="A85" t="s">
        <v>8553</v>
      </c>
      <c r="B85" t="s">
        <v>8951</v>
      </c>
      <c r="C85" s="100" t="s">
        <v>8853</v>
      </c>
      <c r="D85" s="100" t="s">
        <v>8853</v>
      </c>
      <c r="E85" s="100" t="s">
        <v>8853</v>
      </c>
      <c r="F85" s="100" t="s">
        <v>8853</v>
      </c>
      <c r="G85" s="100" t="s">
        <v>8853</v>
      </c>
    </row>
    <row r="86" spans="1:7" x14ac:dyDescent="0.25">
      <c r="A86" t="s">
        <v>1787</v>
      </c>
      <c r="B86" t="s">
        <v>8952</v>
      </c>
      <c r="C86" s="100" t="s">
        <v>8853</v>
      </c>
      <c r="D86" s="100" t="s">
        <v>8853</v>
      </c>
      <c r="E86" s="100" t="s">
        <v>8853</v>
      </c>
      <c r="F86" s="100" t="s">
        <v>8853</v>
      </c>
      <c r="G86" s="100" t="s">
        <v>8853</v>
      </c>
    </row>
    <row r="87" spans="1:7" x14ac:dyDescent="0.25">
      <c r="A87" t="s">
        <v>1789</v>
      </c>
      <c r="B87" t="s">
        <v>8953</v>
      </c>
      <c r="C87" s="100" t="s">
        <v>8853</v>
      </c>
      <c r="D87" s="100" t="s">
        <v>8853</v>
      </c>
      <c r="E87" s="100" t="s">
        <v>8853</v>
      </c>
      <c r="F87" s="100" t="s">
        <v>8853</v>
      </c>
      <c r="G87" s="100" t="s">
        <v>8853</v>
      </c>
    </row>
    <row r="88" spans="1:7" x14ac:dyDescent="0.25">
      <c r="A88" t="s">
        <v>1791</v>
      </c>
      <c r="B88" t="s">
        <v>8954</v>
      </c>
      <c r="C88" s="100" t="s">
        <v>8853</v>
      </c>
      <c r="D88" s="100" t="s">
        <v>8853</v>
      </c>
      <c r="E88" s="100" t="s">
        <v>8853</v>
      </c>
      <c r="F88" s="100" t="s">
        <v>8853</v>
      </c>
      <c r="G88" s="100" t="s">
        <v>8853</v>
      </c>
    </row>
    <row r="89" spans="1:7" x14ac:dyDescent="0.25">
      <c r="A89" t="s">
        <v>1793</v>
      </c>
      <c r="B89" t="s">
        <v>8955</v>
      </c>
      <c r="C89" s="100" t="s">
        <v>8853</v>
      </c>
      <c r="D89" s="100" t="s">
        <v>8853</v>
      </c>
      <c r="E89" s="100" t="s">
        <v>8853</v>
      </c>
      <c r="F89" s="100" t="s">
        <v>8853</v>
      </c>
      <c r="G89" s="100" t="s">
        <v>8853</v>
      </c>
    </row>
    <row r="90" spans="1:7" x14ac:dyDescent="0.25">
      <c r="A90" t="s">
        <v>8366</v>
      </c>
      <c r="B90" t="s">
        <v>8956</v>
      </c>
      <c r="C90" s="100" t="s">
        <v>8853</v>
      </c>
      <c r="D90" s="100" t="s">
        <v>8853</v>
      </c>
      <c r="E90" s="100" t="s">
        <v>8853</v>
      </c>
      <c r="F90" s="100" t="s">
        <v>8853</v>
      </c>
      <c r="G90" s="100" t="s">
        <v>8853</v>
      </c>
    </row>
    <row r="91" spans="1:7" x14ac:dyDescent="0.25">
      <c r="A91" t="s">
        <v>8583</v>
      </c>
      <c r="B91" t="s">
        <v>8957</v>
      </c>
      <c r="C91" s="100" t="s">
        <v>8853</v>
      </c>
      <c r="D91" s="100" t="s">
        <v>8853</v>
      </c>
      <c r="E91" s="100" t="s">
        <v>8853</v>
      </c>
      <c r="F91" s="100" t="s">
        <v>8853</v>
      </c>
      <c r="G91" s="100" t="s">
        <v>8853</v>
      </c>
    </row>
    <row r="92" spans="1:7" x14ac:dyDescent="0.25">
      <c r="A92" t="s">
        <v>8584</v>
      </c>
      <c r="B92" t="s">
        <v>8958</v>
      </c>
      <c r="C92" s="100" t="s">
        <v>8853</v>
      </c>
      <c r="D92" s="100" t="s">
        <v>8853</v>
      </c>
      <c r="E92" s="100" t="s">
        <v>8853</v>
      </c>
      <c r="F92" s="100" t="s">
        <v>8853</v>
      </c>
      <c r="G92" s="100" t="s">
        <v>8853</v>
      </c>
    </row>
    <row r="93" spans="1:7" x14ac:dyDescent="0.25">
      <c r="A93" t="s">
        <v>8575</v>
      </c>
      <c r="B93" t="s">
        <v>8959</v>
      </c>
      <c r="C93" s="100" t="s">
        <v>8853</v>
      </c>
      <c r="D93" s="100" t="s">
        <v>8853</v>
      </c>
      <c r="E93" s="100" t="s">
        <v>8853</v>
      </c>
      <c r="F93" s="100" t="s">
        <v>8853</v>
      </c>
      <c r="G93" s="100" t="s">
        <v>8853</v>
      </c>
    </row>
    <row r="94" spans="1:7" x14ac:dyDescent="0.25">
      <c r="A94" t="s">
        <v>1795</v>
      </c>
      <c r="B94" t="s">
        <v>8960</v>
      </c>
      <c r="C94" s="100" t="s">
        <v>8853</v>
      </c>
      <c r="D94" s="100" t="s">
        <v>8853</v>
      </c>
      <c r="E94" s="100" t="s">
        <v>8853</v>
      </c>
      <c r="F94" s="100" t="s">
        <v>8853</v>
      </c>
      <c r="G94" s="100" t="s">
        <v>8853</v>
      </c>
    </row>
    <row r="95" spans="1:7" x14ac:dyDescent="0.25">
      <c r="A95" t="s">
        <v>1797</v>
      </c>
      <c r="B95" t="s">
        <v>8961</v>
      </c>
      <c r="C95" s="100" t="s">
        <v>8853</v>
      </c>
      <c r="D95" s="100" t="s">
        <v>8853</v>
      </c>
      <c r="E95" s="100" t="s">
        <v>8853</v>
      </c>
      <c r="F95" s="100" t="s">
        <v>8853</v>
      </c>
      <c r="G95" s="100" t="s">
        <v>8853</v>
      </c>
    </row>
    <row r="96" spans="1:7" x14ac:dyDescent="0.25">
      <c r="A96" t="s">
        <v>1799</v>
      </c>
      <c r="B96" t="s">
        <v>8962</v>
      </c>
      <c r="C96" s="100" t="s">
        <v>8853</v>
      </c>
      <c r="D96" s="100" t="s">
        <v>8853</v>
      </c>
      <c r="E96" s="100" t="s">
        <v>8853</v>
      </c>
      <c r="F96" s="100" t="s">
        <v>8853</v>
      </c>
      <c r="G96" s="100" t="s">
        <v>8853</v>
      </c>
    </row>
    <row r="97" spans="1:7" x14ac:dyDescent="0.25">
      <c r="A97" t="s">
        <v>1801</v>
      </c>
      <c r="B97" t="s">
        <v>8963</v>
      </c>
      <c r="C97" s="100" t="s">
        <v>8853</v>
      </c>
      <c r="D97" s="100" t="s">
        <v>8853</v>
      </c>
      <c r="E97" s="100" t="s">
        <v>8853</v>
      </c>
      <c r="F97" s="100" t="s">
        <v>8853</v>
      </c>
      <c r="G97" s="100" t="s">
        <v>8853</v>
      </c>
    </row>
    <row r="98" spans="1:7" x14ac:dyDescent="0.25">
      <c r="A98" t="s">
        <v>1803</v>
      </c>
      <c r="B98" t="s">
        <v>8964</v>
      </c>
      <c r="C98" s="100" t="s">
        <v>8853</v>
      </c>
      <c r="D98" s="100" t="s">
        <v>8853</v>
      </c>
      <c r="E98" s="100" t="s">
        <v>8853</v>
      </c>
      <c r="F98" s="100" t="s">
        <v>8853</v>
      </c>
      <c r="G98" s="100" t="s">
        <v>8853</v>
      </c>
    </row>
    <row r="99" spans="1:7" x14ac:dyDescent="0.25">
      <c r="A99" t="s">
        <v>1805</v>
      </c>
      <c r="B99" t="s">
        <v>8965</v>
      </c>
      <c r="C99" s="100" t="s">
        <v>8853</v>
      </c>
      <c r="D99" s="100" t="s">
        <v>8853</v>
      </c>
      <c r="E99" s="100" t="s">
        <v>8853</v>
      </c>
      <c r="F99" s="100" t="s">
        <v>8853</v>
      </c>
      <c r="G99" s="100" t="s">
        <v>8853</v>
      </c>
    </row>
    <row r="100" spans="1:7" x14ac:dyDescent="0.25">
      <c r="A100" t="s">
        <v>1807</v>
      </c>
      <c r="B100" t="s">
        <v>8966</v>
      </c>
      <c r="C100" s="100" t="s">
        <v>8853</v>
      </c>
      <c r="D100" s="100" t="s">
        <v>8853</v>
      </c>
      <c r="E100" s="100" t="s">
        <v>8853</v>
      </c>
      <c r="F100" s="100" t="s">
        <v>8853</v>
      </c>
      <c r="G100" s="100" t="s">
        <v>8853</v>
      </c>
    </row>
    <row r="101" spans="1:7" x14ac:dyDescent="0.25">
      <c r="A101" t="s">
        <v>8967</v>
      </c>
      <c r="B101" t="s">
        <v>8968</v>
      </c>
      <c r="C101" s="100" t="s">
        <v>8853</v>
      </c>
      <c r="D101" s="100" t="s">
        <v>8853</v>
      </c>
      <c r="E101" s="100" t="s">
        <v>8853</v>
      </c>
      <c r="F101" s="100" t="s">
        <v>8853</v>
      </c>
      <c r="G101" s="100" t="s">
        <v>8853</v>
      </c>
    </row>
    <row r="102" spans="1:7" x14ac:dyDescent="0.25">
      <c r="A102" t="s">
        <v>5598</v>
      </c>
      <c r="B102" t="s">
        <v>8969</v>
      </c>
      <c r="C102" s="100" t="s">
        <v>8853</v>
      </c>
      <c r="D102" s="100" t="s">
        <v>8853</v>
      </c>
      <c r="E102" s="100" t="s">
        <v>8853</v>
      </c>
      <c r="F102" s="100" t="s">
        <v>8853</v>
      </c>
      <c r="G102" s="100" t="s">
        <v>8853</v>
      </c>
    </row>
    <row r="103" spans="1:7" x14ac:dyDescent="0.25">
      <c r="A103" t="s">
        <v>5600</v>
      </c>
      <c r="B103" t="s">
        <v>8970</v>
      </c>
      <c r="C103" s="100" t="s">
        <v>8853</v>
      </c>
      <c r="D103" s="100" t="s">
        <v>8853</v>
      </c>
      <c r="E103" s="100" t="s">
        <v>8853</v>
      </c>
      <c r="F103" s="100" t="s">
        <v>8853</v>
      </c>
      <c r="G103" s="100" t="s">
        <v>8853</v>
      </c>
    </row>
    <row r="104" spans="1:7" x14ac:dyDescent="0.25">
      <c r="A104" t="s">
        <v>8971</v>
      </c>
      <c r="B104" t="s">
        <v>8972</v>
      </c>
      <c r="C104" s="100" t="s">
        <v>8853</v>
      </c>
      <c r="D104" s="100" t="s">
        <v>8853</v>
      </c>
      <c r="E104" s="100" t="s">
        <v>8853</v>
      </c>
      <c r="F104" s="100" t="s">
        <v>8853</v>
      </c>
      <c r="G104" s="100" t="s">
        <v>8853</v>
      </c>
    </row>
    <row r="105" spans="1:7" x14ac:dyDescent="0.25">
      <c r="A105" t="s">
        <v>8973</v>
      </c>
      <c r="B105" t="s">
        <v>8974</v>
      </c>
      <c r="C105" s="100" t="s">
        <v>8853</v>
      </c>
      <c r="D105" s="100" t="s">
        <v>8853</v>
      </c>
      <c r="E105" s="100" t="s">
        <v>8853</v>
      </c>
      <c r="F105" s="100" t="s">
        <v>8853</v>
      </c>
      <c r="G105" s="100" t="s">
        <v>8853</v>
      </c>
    </row>
    <row r="106" spans="1:7" x14ac:dyDescent="0.25">
      <c r="A106" t="s">
        <v>5602</v>
      </c>
      <c r="B106" t="s">
        <v>7111</v>
      </c>
      <c r="C106" s="100" t="s">
        <v>8853</v>
      </c>
      <c r="D106" s="100" t="s">
        <v>8853</v>
      </c>
      <c r="E106" s="100" t="s">
        <v>8853</v>
      </c>
      <c r="F106" s="100" t="s">
        <v>8853</v>
      </c>
      <c r="G106" s="100" t="s">
        <v>8853</v>
      </c>
    </row>
    <row r="107" spans="1:7" x14ac:dyDescent="0.25">
      <c r="A107" t="s">
        <v>5606</v>
      </c>
      <c r="B107" t="s">
        <v>8975</v>
      </c>
      <c r="C107" s="100" t="s">
        <v>8853</v>
      </c>
      <c r="D107" s="100" t="s">
        <v>8853</v>
      </c>
      <c r="E107" s="100" t="s">
        <v>8853</v>
      </c>
      <c r="F107" s="100" t="s">
        <v>8853</v>
      </c>
      <c r="G107" s="100" t="s">
        <v>8853</v>
      </c>
    </row>
    <row r="108" spans="1:7" x14ac:dyDescent="0.25">
      <c r="A108" t="s">
        <v>5523</v>
      </c>
      <c r="B108" t="s">
        <v>8976</v>
      </c>
      <c r="C108" s="100" t="s">
        <v>8853</v>
      </c>
      <c r="D108" s="100" t="s">
        <v>8853</v>
      </c>
      <c r="E108" s="100" t="s">
        <v>8853</v>
      </c>
      <c r="F108" s="100" t="s">
        <v>8853</v>
      </c>
      <c r="G108" s="100" t="s">
        <v>8853</v>
      </c>
    </row>
    <row r="109" spans="1:7" x14ac:dyDescent="0.25">
      <c r="A109" t="s">
        <v>5535</v>
      </c>
      <c r="B109" t="s">
        <v>8977</v>
      </c>
      <c r="C109" s="100" t="s">
        <v>8853</v>
      </c>
      <c r="D109" s="100" t="s">
        <v>8853</v>
      </c>
      <c r="E109" s="100" t="s">
        <v>8853</v>
      </c>
      <c r="F109" s="100" t="s">
        <v>8853</v>
      </c>
      <c r="G109" s="100" t="s">
        <v>8853</v>
      </c>
    </row>
    <row r="110" spans="1:7" x14ac:dyDescent="0.25">
      <c r="A110" t="s">
        <v>2757</v>
      </c>
      <c r="B110" t="s">
        <v>8978</v>
      </c>
      <c r="C110" s="100" t="s">
        <v>8853</v>
      </c>
      <c r="D110" s="100" t="s">
        <v>8853</v>
      </c>
      <c r="E110" s="100" t="s">
        <v>8853</v>
      </c>
      <c r="F110" s="100" t="s">
        <v>8853</v>
      </c>
      <c r="G110" s="100" t="s">
        <v>8853</v>
      </c>
    </row>
    <row r="111" spans="1:7" x14ac:dyDescent="0.25">
      <c r="A111" t="s">
        <v>7117</v>
      </c>
      <c r="B111" t="s">
        <v>8979</v>
      </c>
      <c r="C111" s="100" t="s">
        <v>8853</v>
      </c>
      <c r="D111" s="100" t="s">
        <v>8853</v>
      </c>
      <c r="E111" s="100" t="s">
        <v>8853</v>
      </c>
      <c r="F111" s="100" t="s">
        <v>8853</v>
      </c>
      <c r="G111" s="100" t="s">
        <v>8853</v>
      </c>
    </row>
    <row r="112" spans="1:7" x14ac:dyDescent="0.25">
      <c r="A112" t="s">
        <v>4831</v>
      </c>
      <c r="B112" t="s">
        <v>8980</v>
      </c>
      <c r="C112" s="100" t="s">
        <v>8853</v>
      </c>
      <c r="D112" s="100" t="s">
        <v>8853</v>
      </c>
      <c r="E112" s="100" t="s">
        <v>8853</v>
      </c>
      <c r="F112" s="100" t="s">
        <v>8853</v>
      </c>
      <c r="G112" s="100" t="s">
        <v>8853</v>
      </c>
    </row>
    <row r="113" spans="1:7" x14ac:dyDescent="0.25">
      <c r="A113" t="s">
        <v>8981</v>
      </c>
      <c r="B113" t="s">
        <v>8982</v>
      </c>
      <c r="C113" s="100" t="s">
        <v>8853</v>
      </c>
      <c r="D113" s="100" t="s">
        <v>8853</v>
      </c>
      <c r="E113" s="100" t="s">
        <v>8853</v>
      </c>
      <c r="F113" s="100" t="s">
        <v>8853</v>
      </c>
      <c r="G113" s="100" t="s">
        <v>8853</v>
      </c>
    </row>
    <row r="114" spans="1:7" x14ac:dyDescent="0.25">
      <c r="A114" t="s">
        <v>8983</v>
      </c>
      <c r="B114" t="s">
        <v>8984</v>
      </c>
      <c r="C114" s="100" t="s">
        <v>8853</v>
      </c>
      <c r="D114" s="100" t="s">
        <v>8853</v>
      </c>
      <c r="E114" s="100" t="s">
        <v>8853</v>
      </c>
      <c r="F114" s="100" t="s">
        <v>8853</v>
      </c>
      <c r="G114" s="100" t="s">
        <v>8853</v>
      </c>
    </row>
    <row r="115" spans="1:7" x14ac:dyDescent="0.25">
      <c r="A115" t="s">
        <v>8985</v>
      </c>
      <c r="B115" t="s">
        <v>8986</v>
      </c>
      <c r="C115" s="100" t="s">
        <v>8853</v>
      </c>
      <c r="D115" s="100" t="s">
        <v>8853</v>
      </c>
      <c r="E115" s="100" t="s">
        <v>8853</v>
      </c>
      <c r="F115" s="100" t="s">
        <v>8853</v>
      </c>
      <c r="G115" s="100" t="s">
        <v>8853</v>
      </c>
    </row>
    <row r="116" spans="1:7" x14ac:dyDescent="0.25">
      <c r="A116" t="s">
        <v>7115</v>
      </c>
      <c r="B116" t="s">
        <v>8987</v>
      </c>
      <c r="C116" s="100" t="s">
        <v>8853</v>
      </c>
      <c r="D116" s="100" t="s">
        <v>8853</v>
      </c>
      <c r="E116" s="100" t="s">
        <v>8853</v>
      </c>
      <c r="F116" s="100" t="s">
        <v>8853</v>
      </c>
      <c r="G116" s="100" t="s">
        <v>8853</v>
      </c>
    </row>
    <row r="117" spans="1:7" x14ac:dyDescent="0.25">
      <c r="A117" t="s">
        <v>7118</v>
      </c>
      <c r="B117" t="s">
        <v>8988</v>
      </c>
      <c r="C117" s="100" t="s">
        <v>8853</v>
      </c>
      <c r="D117" s="100" t="s">
        <v>8853</v>
      </c>
      <c r="E117" s="100" t="s">
        <v>8853</v>
      </c>
      <c r="F117" s="100" t="s">
        <v>8853</v>
      </c>
      <c r="G117" s="100" t="s">
        <v>8853</v>
      </c>
    </row>
    <row r="118" spans="1:7" x14ac:dyDescent="0.25">
      <c r="A118" t="s">
        <v>5911</v>
      </c>
      <c r="B118" t="s">
        <v>8989</v>
      </c>
      <c r="C118" s="100" t="s">
        <v>8853</v>
      </c>
      <c r="D118" s="100" t="s">
        <v>8853</v>
      </c>
      <c r="E118" s="100" t="s">
        <v>8853</v>
      </c>
      <c r="F118" s="100" t="s">
        <v>8853</v>
      </c>
      <c r="G118" s="100" t="s">
        <v>8853</v>
      </c>
    </row>
    <row r="119" spans="1:7" x14ac:dyDescent="0.25">
      <c r="A119" t="s">
        <v>5909</v>
      </c>
      <c r="B119" t="s">
        <v>8990</v>
      </c>
      <c r="C119" s="100" t="s">
        <v>8853</v>
      </c>
      <c r="D119" s="100" t="s">
        <v>8853</v>
      </c>
      <c r="E119" s="100" t="s">
        <v>8853</v>
      </c>
      <c r="F119" s="100" t="s">
        <v>8853</v>
      </c>
      <c r="G119" s="100" t="s">
        <v>8853</v>
      </c>
    </row>
    <row r="120" spans="1:7" x14ac:dyDescent="0.25">
      <c r="A120" t="s">
        <v>5921</v>
      </c>
      <c r="B120" t="s">
        <v>8991</v>
      </c>
      <c r="C120" s="100" t="s">
        <v>8853</v>
      </c>
      <c r="D120" s="100" t="s">
        <v>8853</v>
      </c>
      <c r="E120" s="100" t="s">
        <v>8853</v>
      </c>
      <c r="F120" s="100" t="s">
        <v>8853</v>
      </c>
      <c r="G120" s="100" t="s">
        <v>8853</v>
      </c>
    </row>
    <row r="121" spans="1:7" x14ac:dyDescent="0.25">
      <c r="A121" t="s">
        <v>7047</v>
      </c>
      <c r="B121" t="s">
        <v>8992</v>
      </c>
      <c r="C121" s="100" t="s">
        <v>8853</v>
      </c>
      <c r="D121" s="100" t="s">
        <v>8853</v>
      </c>
      <c r="E121" s="100" t="s">
        <v>8853</v>
      </c>
      <c r="F121" s="100" t="s">
        <v>8853</v>
      </c>
      <c r="G121" s="100" t="s">
        <v>8853</v>
      </c>
    </row>
    <row r="122" spans="1:7" x14ac:dyDescent="0.25">
      <c r="A122" t="s">
        <v>7061</v>
      </c>
      <c r="B122" t="s">
        <v>8993</v>
      </c>
      <c r="C122" s="100" t="s">
        <v>8853</v>
      </c>
      <c r="D122" s="100" t="s">
        <v>8853</v>
      </c>
      <c r="E122" s="100" t="s">
        <v>8853</v>
      </c>
      <c r="F122" s="100" t="s">
        <v>8853</v>
      </c>
      <c r="G122" s="100" t="s">
        <v>8853</v>
      </c>
    </row>
    <row r="123" spans="1:7" x14ac:dyDescent="0.25">
      <c r="A123" t="s">
        <v>7063</v>
      </c>
      <c r="B123" t="s">
        <v>8994</v>
      </c>
      <c r="C123" s="100" t="s">
        <v>8853</v>
      </c>
      <c r="D123" s="100" t="s">
        <v>8853</v>
      </c>
      <c r="E123" s="100" t="s">
        <v>8853</v>
      </c>
      <c r="F123" s="100" t="s">
        <v>8853</v>
      </c>
      <c r="G123" s="100" t="s">
        <v>8853</v>
      </c>
    </row>
    <row r="124" spans="1:7" x14ac:dyDescent="0.25">
      <c r="A124" t="s">
        <v>7988</v>
      </c>
      <c r="B124" t="s">
        <v>8995</v>
      </c>
      <c r="C124" s="100" t="s">
        <v>8853</v>
      </c>
      <c r="D124" s="100" t="s">
        <v>8853</v>
      </c>
      <c r="E124" s="100" t="s">
        <v>8853</v>
      </c>
      <c r="F124" s="100" t="s">
        <v>8853</v>
      </c>
      <c r="G124" s="100" t="s">
        <v>8853</v>
      </c>
    </row>
    <row r="125" spans="1:7" x14ac:dyDescent="0.25">
      <c r="A125" t="s">
        <v>7081</v>
      </c>
      <c r="B125" t="s">
        <v>8996</v>
      </c>
      <c r="C125" s="100" t="s">
        <v>8853</v>
      </c>
      <c r="D125" s="100" t="s">
        <v>8853</v>
      </c>
      <c r="E125" s="100" t="s">
        <v>8853</v>
      </c>
      <c r="F125" s="100" t="s">
        <v>8853</v>
      </c>
      <c r="G125" s="100" t="s">
        <v>8853</v>
      </c>
    </row>
    <row r="126" spans="1:7" x14ac:dyDescent="0.25">
      <c r="A126" t="s">
        <v>7083</v>
      </c>
      <c r="B126" t="s">
        <v>8997</v>
      </c>
      <c r="C126" s="100" t="s">
        <v>8853</v>
      </c>
      <c r="D126" s="100" t="s">
        <v>8853</v>
      </c>
      <c r="E126" s="100" t="s">
        <v>8853</v>
      </c>
      <c r="F126" s="100" t="s">
        <v>8853</v>
      </c>
      <c r="G126" s="100" t="s">
        <v>8853</v>
      </c>
    </row>
    <row r="127" spans="1:7" x14ac:dyDescent="0.25">
      <c r="A127" t="s">
        <v>5747</v>
      </c>
      <c r="B127" t="s">
        <v>8998</v>
      </c>
      <c r="C127" s="100" t="s">
        <v>8853</v>
      </c>
      <c r="D127" s="100" t="s">
        <v>8853</v>
      </c>
      <c r="E127" s="100" t="s">
        <v>8853</v>
      </c>
      <c r="F127" s="100" t="s">
        <v>8853</v>
      </c>
      <c r="G127" s="100" t="s">
        <v>8853</v>
      </c>
    </row>
    <row r="128" spans="1:7" x14ac:dyDescent="0.25">
      <c r="A128" t="s">
        <v>8371</v>
      </c>
      <c r="B128" t="s">
        <v>8999</v>
      </c>
      <c r="C128" s="100" t="s">
        <v>8853</v>
      </c>
      <c r="D128" s="100" t="s">
        <v>8853</v>
      </c>
      <c r="E128" s="100" t="s">
        <v>8853</v>
      </c>
      <c r="F128" s="100" t="s">
        <v>8853</v>
      </c>
      <c r="G128" s="100" t="s">
        <v>8853</v>
      </c>
    </row>
    <row r="129" spans="1:7" x14ac:dyDescent="0.25">
      <c r="A129" t="s">
        <v>8372</v>
      </c>
      <c r="B129" t="s">
        <v>9000</v>
      </c>
      <c r="C129" s="100" t="s">
        <v>8853</v>
      </c>
      <c r="D129" s="100" t="s">
        <v>8853</v>
      </c>
      <c r="E129" s="100" t="s">
        <v>8853</v>
      </c>
      <c r="F129" s="100" t="s">
        <v>8853</v>
      </c>
      <c r="G129" s="100" t="s">
        <v>8853</v>
      </c>
    </row>
    <row r="130" spans="1:7" x14ac:dyDescent="0.25">
      <c r="A130" t="s">
        <v>8373</v>
      </c>
      <c r="B130" t="s">
        <v>9001</v>
      </c>
      <c r="C130" s="100" t="s">
        <v>8853</v>
      </c>
      <c r="D130" s="100" t="s">
        <v>8853</v>
      </c>
      <c r="E130" s="100" t="s">
        <v>8853</v>
      </c>
      <c r="F130" s="100" t="s">
        <v>8853</v>
      </c>
      <c r="G130" s="100" t="s">
        <v>8853</v>
      </c>
    </row>
    <row r="131" spans="1:7" x14ac:dyDescent="0.25">
      <c r="A131" t="s">
        <v>8375</v>
      </c>
      <c r="B131" t="s">
        <v>9002</v>
      </c>
      <c r="C131" s="100" t="s">
        <v>8853</v>
      </c>
      <c r="D131" s="100" t="s">
        <v>8853</v>
      </c>
      <c r="E131" s="100" t="s">
        <v>8853</v>
      </c>
      <c r="F131" s="100" t="s">
        <v>8853</v>
      </c>
      <c r="G131" s="100" t="s">
        <v>8853</v>
      </c>
    </row>
    <row r="132" spans="1:7" x14ac:dyDescent="0.25">
      <c r="A132" t="s">
        <v>9036</v>
      </c>
      <c r="B132" t="s">
        <v>9010</v>
      </c>
      <c r="C132" s="100" t="s">
        <v>8853</v>
      </c>
      <c r="D132" s="100" t="s">
        <v>8853</v>
      </c>
      <c r="E132" s="100" t="s">
        <v>8853</v>
      </c>
      <c r="F132" s="100" t="s">
        <v>8853</v>
      </c>
      <c r="G132" s="100" t="s">
        <v>8853</v>
      </c>
    </row>
    <row r="133" spans="1:7" x14ac:dyDescent="0.25">
      <c r="A133" t="s">
        <v>9037</v>
      </c>
      <c r="B133" t="s">
        <v>9011</v>
      </c>
      <c r="C133" s="100" t="s">
        <v>8853</v>
      </c>
      <c r="D133" s="100" t="s">
        <v>8853</v>
      </c>
      <c r="E133" s="100" t="s">
        <v>8853</v>
      </c>
      <c r="F133" s="100" t="s">
        <v>8853</v>
      </c>
      <c r="G133" s="100" t="s">
        <v>8853</v>
      </c>
    </row>
    <row r="134" spans="1:7" x14ac:dyDescent="0.25">
      <c r="A134" t="s">
        <v>9038</v>
      </c>
      <c r="B134" t="s">
        <v>9012</v>
      </c>
      <c r="C134" s="100" t="s">
        <v>8853</v>
      </c>
      <c r="D134" s="100" t="s">
        <v>8853</v>
      </c>
      <c r="E134" s="100" t="s">
        <v>8853</v>
      </c>
      <c r="F134" s="100" t="s">
        <v>8853</v>
      </c>
      <c r="G134" s="100" t="s">
        <v>8853</v>
      </c>
    </row>
    <row r="135" spans="1:7" x14ac:dyDescent="0.25">
      <c r="A135" t="s">
        <v>9039</v>
      </c>
      <c r="B135" t="s">
        <v>9013</v>
      </c>
      <c r="C135" s="100" t="s">
        <v>8853</v>
      </c>
      <c r="D135" s="100" t="s">
        <v>8853</v>
      </c>
      <c r="E135" s="100" t="s">
        <v>8853</v>
      </c>
      <c r="F135" s="100" t="s">
        <v>8853</v>
      </c>
      <c r="G135" s="100" t="s">
        <v>8853</v>
      </c>
    </row>
    <row r="136" spans="1:7" x14ac:dyDescent="0.25">
      <c r="A136" t="s">
        <v>9040</v>
      </c>
      <c r="B136" t="s">
        <v>9014</v>
      </c>
      <c r="C136" s="100" t="s">
        <v>8853</v>
      </c>
      <c r="D136" s="100" t="s">
        <v>8853</v>
      </c>
      <c r="E136" s="100" t="s">
        <v>8853</v>
      </c>
      <c r="F136" s="100" t="s">
        <v>8853</v>
      </c>
      <c r="G136" s="100" t="s">
        <v>8853</v>
      </c>
    </row>
    <row r="137" spans="1:7" x14ac:dyDescent="0.25">
      <c r="A137" t="s">
        <v>9041</v>
      </c>
      <c r="B137" t="s">
        <v>9015</v>
      </c>
      <c r="C137" s="100" t="s">
        <v>8853</v>
      </c>
      <c r="D137" s="100" t="s">
        <v>8853</v>
      </c>
      <c r="E137" s="100" t="s">
        <v>8853</v>
      </c>
      <c r="F137" s="100" t="s">
        <v>8853</v>
      </c>
      <c r="G137" s="100" t="s">
        <v>8853</v>
      </c>
    </row>
    <row r="138" spans="1:7" x14ac:dyDescent="0.25">
      <c r="A138" t="s">
        <v>6970</v>
      </c>
      <c r="B138" t="s">
        <v>9016</v>
      </c>
      <c r="C138" s="100" t="s">
        <v>8853</v>
      </c>
      <c r="D138" s="100" t="s">
        <v>8853</v>
      </c>
      <c r="E138" s="100" t="s">
        <v>8853</v>
      </c>
      <c r="F138" s="100" t="s">
        <v>8853</v>
      </c>
      <c r="G138" s="100" t="s">
        <v>8853</v>
      </c>
    </row>
    <row r="139" spans="1:7" x14ac:dyDescent="0.25">
      <c r="A139" t="s">
        <v>9042</v>
      </c>
      <c r="B139" t="s">
        <v>9019</v>
      </c>
      <c r="C139" s="100" t="s">
        <v>8853</v>
      </c>
      <c r="D139" s="100" t="s">
        <v>8853</v>
      </c>
      <c r="E139" s="100" t="s">
        <v>8853</v>
      </c>
      <c r="F139" s="100" t="s">
        <v>8853</v>
      </c>
      <c r="G139" s="100" t="s">
        <v>8853</v>
      </c>
    </row>
    <row r="140" spans="1:7" x14ac:dyDescent="0.25">
      <c r="A140" t="s">
        <v>9043</v>
      </c>
      <c r="B140" t="s">
        <v>9019</v>
      </c>
      <c r="C140" s="100" t="s">
        <v>8853</v>
      </c>
      <c r="D140" s="100" t="s">
        <v>8853</v>
      </c>
      <c r="E140" s="100" t="s">
        <v>8853</v>
      </c>
      <c r="F140" s="100" t="s">
        <v>8853</v>
      </c>
      <c r="G140" s="100" t="s">
        <v>8853</v>
      </c>
    </row>
    <row r="141" spans="1:7" x14ac:dyDescent="0.25">
      <c r="A141" t="s">
        <v>9044</v>
      </c>
      <c r="B141" t="s">
        <v>9020</v>
      </c>
      <c r="C141" s="100" t="s">
        <v>8853</v>
      </c>
      <c r="D141" s="100" t="s">
        <v>8853</v>
      </c>
      <c r="E141" s="100" t="s">
        <v>8853</v>
      </c>
      <c r="F141" s="100" t="s">
        <v>8853</v>
      </c>
      <c r="G141" s="100" t="s">
        <v>8853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D56E-0562-42F5-9020-353C7B9D3255}">
  <dimension ref="B1:H5"/>
  <sheetViews>
    <sheetView workbookViewId="0">
      <selection activeCell="B4" sqref="B4:D5"/>
    </sheetView>
  </sheetViews>
  <sheetFormatPr defaultRowHeight="15" x14ac:dyDescent="0.25"/>
  <cols>
    <col min="2" max="2" width="11.28515625" bestFit="1" customWidth="1"/>
    <col min="3" max="3" width="38.5703125" bestFit="1" customWidth="1"/>
  </cols>
  <sheetData>
    <row r="1" spans="2:8" x14ac:dyDescent="0.25">
      <c r="B1">
        <v>1000</v>
      </c>
    </row>
    <row r="2" spans="2:8" x14ac:dyDescent="0.25">
      <c r="B2" s="45" t="s">
        <v>3738</v>
      </c>
      <c r="C2" s="85" t="s">
        <v>8863</v>
      </c>
      <c r="D2" t="s">
        <v>8853</v>
      </c>
      <c r="E2" s="83" t="s">
        <v>8853</v>
      </c>
      <c r="F2" s="83" t="s">
        <v>8853</v>
      </c>
      <c r="G2" s="83" t="s">
        <v>8853</v>
      </c>
      <c r="H2" s="83" t="s">
        <v>8853</v>
      </c>
    </row>
    <row r="4" spans="2:8" x14ac:dyDescent="0.25">
      <c r="B4" t="s">
        <v>8854</v>
      </c>
    </row>
    <row r="5" spans="2:8" x14ac:dyDescent="0.25">
      <c r="B5" s="45" t="s">
        <v>3738</v>
      </c>
      <c r="C5" s="85" t="s">
        <v>8863</v>
      </c>
      <c r="D5" s="83" t="s">
        <v>8853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7329-B077-4678-86B7-C868B656FF58}">
  <dimension ref="A1:G16"/>
  <sheetViews>
    <sheetView workbookViewId="0">
      <selection activeCell="B16" sqref="A14:B16"/>
    </sheetView>
  </sheetViews>
  <sheetFormatPr defaultRowHeight="15" x14ac:dyDescent="0.25"/>
  <cols>
    <col min="1" max="1" width="11.28515625" bestFit="1" customWidth="1"/>
  </cols>
  <sheetData>
    <row r="1" spans="1:7" x14ac:dyDescent="0.25">
      <c r="A1">
        <v>1000</v>
      </c>
    </row>
    <row r="2" spans="1:7" x14ac:dyDescent="0.25">
      <c r="A2" t="s">
        <v>8859</v>
      </c>
      <c r="B2" t="s">
        <v>8855</v>
      </c>
      <c r="C2" t="s">
        <v>8853</v>
      </c>
      <c r="D2" s="83" t="s">
        <v>8853</v>
      </c>
      <c r="E2" s="83" t="s">
        <v>8853</v>
      </c>
      <c r="F2" s="83" t="s">
        <v>8853</v>
      </c>
      <c r="G2" s="83" t="s">
        <v>8853</v>
      </c>
    </row>
    <row r="3" spans="1:7" x14ac:dyDescent="0.25">
      <c r="A3" t="s">
        <v>8856</v>
      </c>
      <c r="B3" t="s">
        <v>8855</v>
      </c>
      <c r="C3" s="83" t="s">
        <v>8853</v>
      </c>
      <c r="D3" s="83" t="s">
        <v>8853</v>
      </c>
      <c r="E3" s="83" t="s">
        <v>8853</v>
      </c>
      <c r="F3" s="83" t="s">
        <v>8853</v>
      </c>
      <c r="G3" s="83" t="s">
        <v>8853</v>
      </c>
    </row>
    <row r="5" spans="1:7" x14ac:dyDescent="0.25">
      <c r="A5" s="83" t="s">
        <v>8854</v>
      </c>
    </row>
    <row r="6" spans="1:7" x14ac:dyDescent="0.25">
      <c r="A6" s="83" t="s">
        <v>8859</v>
      </c>
      <c r="B6" s="83" t="s">
        <v>8855</v>
      </c>
      <c r="C6" t="s">
        <v>8853</v>
      </c>
    </row>
    <row r="7" spans="1:7" x14ac:dyDescent="0.25">
      <c r="A7" s="83" t="s">
        <v>8856</v>
      </c>
      <c r="B7" s="83" t="s">
        <v>8855</v>
      </c>
      <c r="C7" s="83" t="s">
        <v>8853</v>
      </c>
    </row>
    <row r="10" spans="1:7" x14ac:dyDescent="0.25">
      <c r="A10">
        <v>1000</v>
      </c>
    </row>
    <row r="11" spans="1:7" x14ac:dyDescent="0.25">
      <c r="A11" s="46" t="s">
        <v>298</v>
      </c>
      <c r="B11" s="83" t="s">
        <v>8859</v>
      </c>
    </row>
    <row r="12" spans="1:7" x14ac:dyDescent="0.25">
      <c r="A12" s="83" t="s">
        <v>8859</v>
      </c>
      <c r="B12" s="83" t="s">
        <v>8856</v>
      </c>
    </row>
    <row r="14" spans="1:7" x14ac:dyDescent="0.25">
      <c r="A14" t="s">
        <v>8860</v>
      </c>
    </row>
    <row r="15" spans="1:7" x14ac:dyDescent="0.25">
      <c r="A15" s="46" t="s">
        <v>298</v>
      </c>
      <c r="B15" s="83" t="s">
        <v>8859</v>
      </c>
    </row>
    <row r="16" spans="1:7" x14ac:dyDescent="0.25">
      <c r="A16" s="83" t="s">
        <v>8859</v>
      </c>
      <c r="B16" s="83" t="s">
        <v>8856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71DB8-6956-4F84-ABFB-7917C7CC3C0C}">
  <dimension ref="A1:G11"/>
  <sheetViews>
    <sheetView workbookViewId="0">
      <selection activeCell="A7" sqref="A7:C11"/>
    </sheetView>
  </sheetViews>
  <sheetFormatPr defaultRowHeight="15" x14ac:dyDescent="0.25"/>
  <sheetData>
    <row r="1" spans="1:7" x14ac:dyDescent="0.25">
      <c r="A1">
        <v>1000</v>
      </c>
    </row>
    <row r="2" spans="1:7" x14ac:dyDescent="0.25">
      <c r="A2" t="s">
        <v>8610</v>
      </c>
      <c r="B2" t="s">
        <v>8849</v>
      </c>
      <c r="C2" t="s">
        <v>8853</v>
      </c>
      <c r="D2" s="77" t="s">
        <v>8853</v>
      </c>
      <c r="E2" s="77" t="s">
        <v>8853</v>
      </c>
      <c r="F2" s="77" t="s">
        <v>8853</v>
      </c>
      <c r="G2" s="77" t="s">
        <v>8853</v>
      </c>
    </row>
    <row r="3" spans="1:7" x14ac:dyDescent="0.25">
      <c r="A3" t="s">
        <v>8611</v>
      </c>
      <c r="B3" t="s">
        <v>8850</v>
      </c>
      <c r="C3" s="77" t="s">
        <v>8853</v>
      </c>
      <c r="D3" s="77" t="s">
        <v>8853</v>
      </c>
      <c r="E3" s="77" t="s">
        <v>8853</v>
      </c>
      <c r="F3" s="77" t="s">
        <v>8853</v>
      </c>
      <c r="G3" s="77" t="s">
        <v>8853</v>
      </c>
    </row>
    <row r="4" spans="1:7" x14ac:dyDescent="0.25">
      <c r="A4" t="s">
        <v>8612</v>
      </c>
      <c r="B4" t="s">
        <v>8851</v>
      </c>
      <c r="C4" s="77" t="s">
        <v>8853</v>
      </c>
      <c r="D4" s="77" t="s">
        <v>8853</v>
      </c>
      <c r="E4" s="77" t="s">
        <v>8853</v>
      </c>
      <c r="F4" s="77" t="s">
        <v>8853</v>
      </c>
      <c r="G4" s="77" t="s">
        <v>8853</v>
      </c>
    </row>
    <row r="5" spans="1:7" x14ac:dyDescent="0.25">
      <c r="A5" t="s">
        <v>8613</v>
      </c>
      <c r="B5" t="s">
        <v>8852</v>
      </c>
      <c r="C5" s="77" t="s">
        <v>8853</v>
      </c>
      <c r="D5" s="77" t="s">
        <v>8853</v>
      </c>
      <c r="E5" s="77" t="s">
        <v>8853</v>
      </c>
      <c r="F5" s="77" t="s">
        <v>8853</v>
      </c>
      <c r="G5" s="77" t="s">
        <v>8853</v>
      </c>
    </row>
    <row r="7" spans="1:7" x14ac:dyDescent="0.25">
      <c r="A7" t="s">
        <v>8854</v>
      </c>
    </row>
    <row r="8" spans="1:7" x14ac:dyDescent="0.25">
      <c r="A8" s="77" t="s">
        <v>8610</v>
      </c>
      <c r="B8" s="77" t="s">
        <v>8849</v>
      </c>
      <c r="C8" s="77" t="s">
        <v>8853</v>
      </c>
    </row>
    <row r="9" spans="1:7" x14ac:dyDescent="0.25">
      <c r="A9" s="77" t="s">
        <v>8611</v>
      </c>
      <c r="B9" s="77" t="s">
        <v>8850</v>
      </c>
      <c r="C9" s="77" t="s">
        <v>8853</v>
      </c>
    </row>
    <row r="10" spans="1:7" x14ac:dyDescent="0.25">
      <c r="A10" s="77" t="s">
        <v>8612</v>
      </c>
      <c r="B10" s="77" t="s">
        <v>8851</v>
      </c>
      <c r="C10" s="77" t="s">
        <v>8853</v>
      </c>
    </row>
    <row r="11" spans="1:7" x14ac:dyDescent="0.25">
      <c r="A11" s="77" t="s">
        <v>8613</v>
      </c>
      <c r="B11" s="77" t="s">
        <v>8852</v>
      </c>
      <c r="C11" s="77" t="s">
        <v>8853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1DDAD-A85D-4353-B85E-550E63C93FDC}">
  <sheetPr codeName="Sheet5"/>
  <dimension ref="A1:B47"/>
  <sheetViews>
    <sheetView topLeftCell="A9" workbookViewId="0">
      <selection activeCell="A47" sqref="A47"/>
    </sheetView>
  </sheetViews>
  <sheetFormatPr defaultRowHeight="15" x14ac:dyDescent="0.25"/>
  <cols>
    <col min="1" max="1" width="51.85546875" customWidth="1"/>
  </cols>
  <sheetData>
    <row r="1" spans="1:2" x14ac:dyDescent="0.25">
      <c r="A1" s="12" t="s">
        <v>7170</v>
      </c>
      <c r="B1" t="s">
        <v>9</v>
      </c>
    </row>
    <row r="2" spans="1:2" x14ac:dyDescent="0.25">
      <c r="A2" t="s">
        <v>40</v>
      </c>
      <c r="B2" t="s">
        <v>7171</v>
      </c>
    </row>
    <row r="3" spans="1:2" x14ac:dyDescent="0.25">
      <c r="A3" t="s">
        <v>30</v>
      </c>
      <c r="B3" t="s">
        <v>7172</v>
      </c>
    </row>
    <row r="4" spans="1:2" x14ac:dyDescent="0.25">
      <c r="A4" t="s">
        <v>25</v>
      </c>
      <c r="B4" t="s">
        <v>7171</v>
      </c>
    </row>
    <row r="5" spans="1:2" x14ac:dyDescent="0.25">
      <c r="A5" t="s">
        <v>2804</v>
      </c>
      <c r="B5" t="s">
        <v>7172</v>
      </c>
    </row>
    <row r="6" spans="1:2" x14ac:dyDescent="0.25">
      <c r="A6" t="s">
        <v>1040</v>
      </c>
      <c r="B6" t="s">
        <v>635</v>
      </c>
    </row>
    <row r="7" spans="1:2" x14ac:dyDescent="0.25">
      <c r="A7" t="s">
        <v>4148</v>
      </c>
      <c r="B7" t="s">
        <v>7172</v>
      </c>
    </row>
    <row r="8" spans="1:2" x14ac:dyDescent="0.25">
      <c r="A8" t="s">
        <v>3984</v>
      </c>
      <c r="B8" t="s">
        <v>7171</v>
      </c>
    </row>
    <row r="9" spans="1:2" x14ac:dyDescent="0.25">
      <c r="A9" t="s">
        <v>4887</v>
      </c>
      <c r="B9" t="s">
        <v>7172</v>
      </c>
    </row>
    <row r="10" spans="1:2" x14ac:dyDescent="0.25">
      <c r="A10" t="s">
        <v>322</v>
      </c>
      <c r="B10" t="s">
        <v>7172</v>
      </c>
    </row>
    <row r="11" spans="1:2" x14ac:dyDescent="0.25">
      <c r="A11" t="s">
        <v>329</v>
      </c>
      <c r="B11" t="s">
        <v>7171</v>
      </c>
    </row>
    <row r="12" spans="1:2" x14ac:dyDescent="0.25">
      <c r="A12" t="s">
        <v>3963</v>
      </c>
      <c r="B12" t="s">
        <v>7171</v>
      </c>
    </row>
    <row r="13" spans="1:2" x14ac:dyDescent="0.25">
      <c r="A13" t="s">
        <v>5995</v>
      </c>
      <c r="B13" t="s">
        <v>7171</v>
      </c>
    </row>
    <row r="14" spans="1:2" x14ac:dyDescent="0.25">
      <c r="A14" t="s">
        <v>3967</v>
      </c>
      <c r="B14" t="s">
        <v>7172</v>
      </c>
    </row>
    <row r="15" spans="1:2" x14ac:dyDescent="0.25">
      <c r="A15" t="s">
        <v>5205</v>
      </c>
      <c r="B15" t="s">
        <v>7172</v>
      </c>
    </row>
    <row r="16" spans="1:2" x14ac:dyDescent="0.25">
      <c r="A16" t="s">
        <v>4216</v>
      </c>
      <c r="B16" t="s">
        <v>7172</v>
      </c>
    </row>
    <row r="17" spans="1:2" x14ac:dyDescent="0.25">
      <c r="A17" t="s">
        <v>2329</v>
      </c>
      <c r="B17" t="s">
        <v>7172</v>
      </c>
    </row>
    <row r="18" spans="1:2" x14ac:dyDescent="0.25">
      <c r="A18" t="s">
        <v>4905</v>
      </c>
      <c r="B18" t="s">
        <v>7172</v>
      </c>
    </row>
    <row r="19" spans="1:2" x14ac:dyDescent="0.25">
      <c r="A19" t="s">
        <v>4132</v>
      </c>
      <c r="B19" t="s">
        <v>7172</v>
      </c>
    </row>
    <row r="20" spans="1:2" x14ac:dyDescent="0.25">
      <c r="A20" t="s">
        <v>4256</v>
      </c>
      <c r="B20" t="s">
        <v>635</v>
      </c>
    </row>
    <row r="21" spans="1:2" x14ac:dyDescent="0.25">
      <c r="A21" t="s">
        <v>4230</v>
      </c>
      <c r="B21" t="s">
        <v>7172</v>
      </c>
    </row>
    <row r="22" spans="1:2" x14ac:dyDescent="0.25">
      <c r="A22" t="s">
        <v>1030</v>
      </c>
      <c r="B22" t="s">
        <v>7171</v>
      </c>
    </row>
    <row r="23" spans="1:2" x14ac:dyDescent="0.25">
      <c r="A23" t="s">
        <v>2363</v>
      </c>
      <c r="B23" t="s">
        <v>7171</v>
      </c>
    </row>
    <row r="24" spans="1:2" x14ac:dyDescent="0.25">
      <c r="A24" s="16" t="s">
        <v>642</v>
      </c>
      <c r="B24" t="s">
        <v>7172</v>
      </c>
    </row>
    <row r="25" spans="1:2" x14ac:dyDescent="0.25">
      <c r="A25" s="16" t="s">
        <v>670</v>
      </c>
      <c r="B25" t="s">
        <v>7172</v>
      </c>
    </row>
    <row r="26" spans="1:2" x14ac:dyDescent="0.25">
      <c r="A26" t="s">
        <v>20</v>
      </c>
      <c r="B26" t="s">
        <v>7171</v>
      </c>
    </row>
    <row r="27" spans="1:2" x14ac:dyDescent="0.25">
      <c r="A27" t="s">
        <v>685</v>
      </c>
      <c r="B27" t="s">
        <v>7171</v>
      </c>
    </row>
    <row r="28" spans="1:2" x14ac:dyDescent="0.25">
      <c r="A28" t="s">
        <v>761</v>
      </c>
      <c r="B28" t="s">
        <v>7171</v>
      </c>
    </row>
    <row r="29" spans="1:2" x14ac:dyDescent="0.25">
      <c r="A29" s="16" t="s">
        <v>1025</v>
      </c>
      <c r="B29" t="s">
        <v>635</v>
      </c>
    </row>
    <row r="30" spans="1:2" x14ac:dyDescent="0.25">
      <c r="A30" t="s">
        <v>1752</v>
      </c>
      <c r="B30" t="s">
        <v>7173</v>
      </c>
    </row>
    <row r="31" spans="1:2" x14ac:dyDescent="0.25">
      <c r="A31" t="s">
        <v>2202</v>
      </c>
      <c r="B31" t="s">
        <v>7173</v>
      </c>
    </row>
    <row r="32" spans="1:2" x14ac:dyDescent="0.25">
      <c r="A32" s="21" t="s">
        <v>2355</v>
      </c>
      <c r="B32" t="s">
        <v>7171</v>
      </c>
    </row>
    <row r="33" spans="1:2" x14ac:dyDescent="0.25">
      <c r="A33" s="42" t="s">
        <v>7195</v>
      </c>
      <c r="B33" t="s">
        <v>7172</v>
      </c>
    </row>
    <row r="34" spans="1:2" x14ac:dyDescent="0.25">
      <c r="A34" s="43" t="s">
        <v>7208</v>
      </c>
      <c r="B34" t="s">
        <v>7171</v>
      </c>
    </row>
    <row r="35" spans="1:2" x14ac:dyDescent="0.25">
      <c r="A35" s="42" t="s">
        <v>7225</v>
      </c>
      <c r="B35" t="s">
        <v>7172</v>
      </c>
    </row>
    <row r="36" spans="1:2" x14ac:dyDescent="0.25">
      <c r="A36" s="43" t="s">
        <v>7322</v>
      </c>
      <c r="B36" t="s">
        <v>7172</v>
      </c>
    </row>
    <row r="37" spans="1:2" x14ac:dyDescent="0.25">
      <c r="A37" s="42" t="s">
        <v>7954</v>
      </c>
      <c r="B37" t="s">
        <v>7172</v>
      </c>
    </row>
    <row r="38" spans="1:2" x14ac:dyDescent="0.25">
      <c r="A38" s="42" t="s">
        <v>8037</v>
      </c>
      <c r="B38" s="54" t="s">
        <v>7172</v>
      </c>
    </row>
    <row r="39" spans="1:2" x14ac:dyDescent="0.25">
      <c r="A39" s="42" t="s">
        <v>8045</v>
      </c>
      <c r="B39" s="75" t="s">
        <v>7172</v>
      </c>
    </row>
    <row r="40" spans="1:2" x14ac:dyDescent="0.25">
      <c r="A40" s="42" t="s">
        <v>8165</v>
      </c>
      <c r="B40" t="s">
        <v>635</v>
      </c>
    </row>
    <row r="41" spans="1:2" x14ac:dyDescent="0.25">
      <c r="A41" s="42" t="s">
        <v>8351</v>
      </c>
      <c r="B41" s="73" t="s">
        <v>7172</v>
      </c>
    </row>
    <row r="42" spans="1:2" x14ac:dyDescent="0.25">
      <c r="A42" s="43" t="s">
        <v>8342</v>
      </c>
      <c r="B42" t="s">
        <v>7171</v>
      </c>
    </row>
    <row r="43" spans="1:2" x14ac:dyDescent="0.25">
      <c r="A43" s="42" t="s">
        <v>8412</v>
      </c>
      <c r="B43" t="s">
        <v>7173</v>
      </c>
    </row>
    <row r="44" spans="1:2" x14ac:dyDescent="0.25">
      <c r="A44" s="43" t="s">
        <v>8497</v>
      </c>
      <c r="B44" s="75" t="s">
        <v>7173</v>
      </c>
    </row>
    <row r="45" spans="1:2" x14ac:dyDescent="0.25">
      <c r="A45" s="43" t="s">
        <v>8706</v>
      </c>
      <c r="B45" s="77" t="s">
        <v>7171</v>
      </c>
    </row>
    <row r="46" spans="1:2" x14ac:dyDescent="0.25">
      <c r="A46" s="43" t="s">
        <v>8870</v>
      </c>
      <c r="B46" s="89" t="s">
        <v>7171</v>
      </c>
    </row>
    <row r="47" spans="1:2" x14ac:dyDescent="0.25">
      <c r="A47" s="43" t="s">
        <v>9004</v>
      </c>
      <c r="B47" s="96" t="s">
        <v>7173</v>
      </c>
    </row>
  </sheetData>
  <autoFilter ref="A1:B23" xr:uid="{4C01DDAD-A85D-4353-B85E-550E63C93FDC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7745-1C02-458F-BD62-88C17F3808A1}">
  <sheetPr codeName="Sheet12"/>
  <dimension ref="A1:M2782"/>
  <sheetViews>
    <sheetView workbookViewId="0">
      <selection activeCell="E20" sqref="E20"/>
    </sheetView>
  </sheetViews>
  <sheetFormatPr defaultRowHeight="15" x14ac:dyDescent="0.25"/>
  <cols>
    <col min="3" max="3" width="10.42578125" bestFit="1" customWidth="1"/>
    <col min="4" max="4" width="50.5703125" bestFit="1" customWidth="1"/>
    <col min="5" max="5" width="55.140625" bestFit="1" customWidth="1"/>
    <col min="6" max="6" width="18.7109375" bestFit="1" customWidth="1"/>
  </cols>
  <sheetData>
    <row r="1" spans="1:13" x14ac:dyDescent="0.2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6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6" t="s">
        <v>12</v>
      </c>
    </row>
    <row r="2" spans="1:13" x14ac:dyDescent="0.25">
      <c r="A2" s="22">
        <v>1</v>
      </c>
      <c r="B2" s="6" t="s">
        <v>2330</v>
      </c>
      <c r="C2" s="6" t="s">
        <v>3677</v>
      </c>
      <c r="D2" s="6" t="s">
        <v>3678</v>
      </c>
      <c r="E2" s="6"/>
      <c r="F2" s="6" t="s">
        <v>327</v>
      </c>
      <c r="G2" s="6" t="s">
        <v>328</v>
      </c>
      <c r="H2" s="6" t="str">
        <f>IFERROR(VLOOKUP(Table2[[#This Row],[Ticket]],Okey!A:B,2,0),"")</f>
        <v>Ok</v>
      </c>
      <c r="I2" s="6" t="s">
        <v>3679</v>
      </c>
      <c r="J2" s="6" t="str">
        <f>VLOOKUP(Table2[[#This Row],[Author]],People!A:B,2,0)</f>
        <v>MGF</v>
      </c>
      <c r="K2" s="6"/>
      <c r="L2" s="6"/>
      <c r="M2" s="21" t="s">
        <v>1040</v>
      </c>
    </row>
    <row r="3" spans="1:13" x14ac:dyDescent="0.25">
      <c r="A3" s="23">
        <f t="shared" ref="A3:A66" si="0">1+A2</f>
        <v>2</v>
      </c>
      <c r="B3" s="7" t="s">
        <v>2330</v>
      </c>
      <c r="C3" s="7" t="s">
        <v>3677</v>
      </c>
      <c r="D3" s="7" t="s">
        <v>3680</v>
      </c>
      <c r="E3" s="7" t="s">
        <v>3681</v>
      </c>
      <c r="F3" s="7" t="s">
        <v>3682</v>
      </c>
      <c r="G3" s="7" t="s">
        <v>18</v>
      </c>
      <c r="H3" s="7" t="str">
        <f>IFERROR(VLOOKUP(Table2[[#This Row],[Ticket]],Okey!A:B,2,0),"")</f>
        <v>ok</v>
      </c>
      <c r="I3" s="7" t="s">
        <v>3679</v>
      </c>
      <c r="J3" s="7" t="str">
        <f>VLOOKUP(Table2[[#This Row],[Author]],People!A:B,2,0)</f>
        <v>MGF</v>
      </c>
      <c r="K3" s="7"/>
      <c r="L3" s="7"/>
      <c r="M3" s="16" t="s">
        <v>1040</v>
      </c>
    </row>
    <row r="4" spans="1:13" x14ac:dyDescent="0.25">
      <c r="A4" s="22">
        <f t="shared" si="0"/>
        <v>3</v>
      </c>
      <c r="B4" s="6" t="s">
        <v>2330</v>
      </c>
      <c r="C4" s="6" t="s">
        <v>3683</v>
      </c>
      <c r="D4" s="6" t="s">
        <v>3684</v>
      </c>
      <c r="E4" s="6"/>
      <c r="F4" s="6" t="s">
        <v>3685</v>
      </c>
      <c r="G4" s="6" t="s">
        <v>24</v>
      </c>
      <c r="H4" s="6" t="str">
        <f>IFERROR(VLOOKUP(Table2[[#This Row],[Ticket]],Okey!A:B,2,0),"")</f>
        <v>ok</v>
      </c>
      <c r="I4" s="6" t="s">
        <v>3679</v>
      </c>
      <c r="J4" s="6" t="str">
        <f>VLOOKUP(Table2[[#This Row],[Author]],People!A:B,2,0)</f>
        <v>HC</v>
      </c>
      <c r="K4" s="6"/>
      <c r="L4" s="6"/>
      <c r="M4" s="21" t="s">
        <v>2363</v>
      </c>
    </row>
    <row r="5" spans="1:13" x14ac:dyDescent="0.25">
      <c r="A5" s="23">
        <f t="shared" si="0"/>
        <v>4</v>
      </c>
      <c r="B5" s="7" t="s">
        <v>2330</v>
      </c>
      <c r="C5" s="7" t="s">
        <v>3683</v>
      </c>
      <c r="D5" s="7" t="s">
        <v>3686</v>
      </c>
      <c r="E5" s="7"/>
      <c r="F5" s="7" t="s">
        <v>3684</v>
      </c>
      <c r="G5" s="7" t="s">
        <v>24</v>
      </c>
      <c r="H5" s="7" t="str">
        <f>IFERROR(VLOOKUP(Table2[[#This Row],[Ticket]],Okey!A:B,2,0),"")</f>
        <v>ok</v>
      </c>
      <c r="I5" s="7" t="s">
        <v>3679</v>
      </c>
      <c r="J5" s="7" t="str">
        <f>VLOOKUP(Table2[[#This Row],[Author]],People!A:B,2,0)</f>
        <v>HC</v>
      </c>
      <c r="K5" s="7"/>
      <c r="L5" s="7"/>
      <c r="M5" s="16" t="s">
        <v>2363</v>
      </c>
    </row>
    <row r="6" spans="1:13" x14ac:dyDescent="0.25">
      <c r="A6" s="22">
        <f t="shared" si="0"/>
        <v>5</v>
      </c>
      <c r="B6" s="6" t="s">
        <v>2330</v>
      </c>
      <c r="C6" s="6" t="s">
        <v>3683</v>
      </c>
      <c r="D6" s="6" t="s">
        <v>3687</v>
      </c>
      <c r="E6" s="6"/>
      <c r="F6" s="6" t="s">
        <v>3684</v>
      </c>
      <c r="G6" s="6" t="s">
        <v>24</v>
      </c>
      <c r="H6" s="6" t="str">
        <f>IFERROR(VLOOKUP(Table2[[#This Row],[Ticket]],Okey!A:B,2,0),"")</f>
        <v>ok</v>
      </c>
      <c r="I6" s="6" t="s">
        <v>3679</v>
      </c>
      <c r="J6" s="6" t="str">
        <f>VLOOKUP(Table2[[#This Row],[Author]],People!A:B,2,0)</f>
        <v>HC</v>
      </c>
      <c r="K6" s="6"/>
      <c r="L6" s="6"/>
      <c r="M6" s="21" t="s">
        <v>2363</v>
      </c>
    </row>
    <row r="7" spans="1:13" x14ac:dyDescent="0.25">
      <c r="A7" s="23">
        <f t="shared" si="0"/>
        <v>6</v>
      </c>
      <c r="B7" s="7" t="s">
        <v>2330</v>
      </c>
      <c r="C7" s="7" t="s">
        <v>3683</v>
      </c>
      <c r="D7" s="7" t="s">
        <v>3688</v>
      </c>
      <c r="E7" s="7"/>
      <c r="F7" s="7" t="s">
        <v>3684</v>
      </c>
      <c r="G7" s="7" t="s">
        <v>24</v>
      </c>
      <c r="H7" s="7" t="str">
        <f>IFERROR(VLOOKUP(Table2[[#This Row],[Ticket]],Okey!A:B,2,0),"")</f>
        <v>ok</v>
      </c>
      <c r="I7" s="7" t="s">
        <v>3679</v>
      </c>
      <c r="J7" s="7" t="str">
        <f>VLOOKUP(Table2[[#This Row],[Author]],People!A:B,2,0)</f>
        <v>MGF</v>
      </c>
      <c r="K7" s="7"/>
      <c r="L7" s="7"/>
      <c r="M7" s="16" t="s">
        <v>2363</v>
      </c>
    </row>
    <row r="8" spans="1:13" x14ac:dyDescent="0.25">
      <c r="A8" s="22">
        <f t="shared" si="0"/>
        <v>7</v>
      </c>
      <c r="B8" s="6" t="s">
        <v>2330</v>
      </c>
      <c r="C8" s="6" t="s">
        <v>3683</v>
      </c>
      <c r="D8" s="6" t="s">
        <v>3689</v>
      </c>
      <c r="E8" s="6"/>
      <c r="F8" s="6" t="s">
        <v>3684</v>
      </c>
      <c r="G8" s="6" t="s">
        <v>24</v>
      </c>
      <c r="H8" s="6" t="str">
        <f>IFERROR(VLOOKUP(Table2[[#This Row],[Ticket]],Okey!A:B,2,0),"")</f>
        <v>ok</v>
      </c>
      <c r="I8" s="6" t="s">
        <v>3679</v>
      </c>
      <c r="J8" s="6" t="str">
        <f>VLOOKUP(Table2[[#This Row],[Author]],People!A:B,2,0)</f>
        <v>MGF</v>
      </c>
      <c r="K8" s="6"/>
      <c r="L8" s="6"/>
      <c r="M8" s="21" t="s">
        <v>2363</v>
      </c>
    </row>
    <row r="9" spans="1:13" x14ac:dyDescent="0.25">
      <c r="A9" s="23">
        <f t="shared" si="0"/>
        <v>8</v>
      </c>
      <c r="B9" s="7" t="s">
        <v>2330</v>
      </c>
      <c r="C9" s="7" t="s">
        <v>3683</v>
      </c>
      <c r="D9" s="7" t="s">
        <v>3690</v>
      </c>
      <c r="E9" s="7"/>
      <c r="F9" s="7" t="s">
        <v>3684</v>
      </c>
      <c r="G9" s="7" t="s">
        <v>24</v>
      </c>
      <c r="H9" s="7" t="str">
        <f>IFERROR(VLOOKUP(Table2[[#This Row],[Ticket]],Okey!A:B,2,0),"")</f>
        <v>ok</v>
      </c>
      <c r="I9" s="7" t="s">
        <v>3679</v>
      </c>
      <c r="J9" s="7" t="str">
        <f>VLOOKUP(Table2[[#This Row],[Author]],People!A:B,2,0)</f>
        <v>MGF</v>
      </c>
      <c r="K9" s="7"/>
      <c r="L9" s="7"/>
      <c r="M9" s="16" t="s">
        <v>2363</v>
      </c>
    </row>
    <row r="10" spans="1:13" x14ac:dyDescent="0.25">
      <c r="A10" s="22">
        <f t="shared" si="0"/>
        <v>9</v>
      </c>
      <c r="B10" s="6" t="s">
        <v>2330</v>
      </c>
      <c r="C10" s="6" t="s">
        <v>3683</v>
      </c>
      <c r="D10" s="6" t="s">
        <v>3691</v>
      </c>
      <c r="E10" s="6"/>
      <c r="F10" s="6" t="s">
        <v>3684</v>
      </c>
      <c r="G10" s="6" t="s">
        <v>24</v>
      </c>
      <c r="H10" s="6" t="str">
        <f>IFERROR(VLOOKUP(Table2[[#This Row],[Ticket]],Okey!A:B,2,0),"")</f>
        <v>ok</v>
      </c>
      <c r="I10" s="6" t="s">
        <v>3679</v>
      </c>
      <c r="J10" s="6" t="str">
        <f>VLOOKUP(Table2[[#This Row],[Author]],People!A:B,2,0)</f>
        <v>MGF</v>
      </c>
      <c r="K10" s="6"/>
      <c r="L10" s="6"/>
      <c r="M10" s="21" t="s">
        <v>2363</v>
      </c>
    </row>
    <row r="11" spans="1:13" x14ac:dyDescent="0.25">
      <c r="A11" s="23">
        <f t="shared" si="0"/>
        <v>10</v>
      </c>
      <c r="B11" s="7" t="s">
        <v>2330</v>
      </c>
      <c r="C11" s="7" t="s">
        <v>3683</v>
      </c>
      <c r="D11" s="7" t="s">
        <v>3692</v>
      </c>
      <c r="E11" s="7"/>
      <c r="F11" s="7" t="s">
        <v>3684</v>
      </c>
      <c r="G11" s="7" t="s">
        <v>24</v>
      </c>
      <c r="H11" s="7" t="str">
        <f>IFERROR(VLOOKUP(Table2[[#This Row],[Ticket]],Okey!A:B,2,0),"")</f>
        <v>ok</v>
      </c>
      <c r="I11" s="7" t="s">
        <v>3679</v>
      </c>
      <c r="J11" s="7" t="str">
        <f>VLOOKUP(Table2[[#This Row],[Author]],People!A:B,2,0)</f>
        <v>MGF</v>
      </c>
      <c r="K11" s="7"/>
      <c r="L11" s="7"/>
      <c r="M11" s="16" t="s">
        <v>2363</v>
      </c>
    </row>
    <row r="12" spans="1:13" x14ac:dyDescent="0.25">
      <c r="A12" s="22">
        <f t="shared" si="0"/>
        <v>11</v>
      </c>
      <c r="B12" s="6" t="s">
        <v>2330</v>
      </c>
      <c r="C12" s="6" t="s">
        <v>3683</v>
      </c>
      <c r="D12" s="6" t="s">
        <v>3693</v>
      </c>
      <c r="E12" s="6"/>
      <c r="F12" s="6" t="s">
        <v>3685</v>
      </c>
      <c r="G12" s="6" t="s">
        <v>24</v>
      </c>
      <c r="H12" s="6" t="str">
        <f>IFERROR(VLOOKUP(Table2[[#This Row],[Ticket]],Okey!A:B,2,0),"")</f>
        <v>ok</v>
      </c>
      <c r="I12" s="6" t="s">
        <v>3679</v>
      </c>
      <c r="J12" s="6" t="str">
        <f>VLOOKUP(Table2[[#This Row],[Author]],People!A:B,2,0)</f>
        <v>MGF</v>
      </c>
      <c r="K12" s="6"/>
      <c r="L12" s="6"/>
      <c r="M12" s="21" t="s">
        <v>2363</v>
      </c>
    </row>
    <row r="13" spans="1:13" x14ac:dyDescent="0.25">
      <c r="A13" s="23">
        <f t="shared" si="0"/>
        <v>12</v>
      </c>
      <c r="B13" s="7" t="s">
        <v>2330</v>
      </c>
      <c r="C13" s="7" t="s">
        <v>3683</v>
      </c>
      <c r="D13" s="7" t="s">
        <v>3694</v>
      </c>
      <c r="E13" s="7"/>
      <c r="F13" s="7" t="s">
        <v>3695</v>
      </c>
      <c r="G13" s="7" t="s">
        <v>24</v>
      </c>
      <c r="H13" s="7" t="str">
        <f>IFERROR(VLOOKUP(Table2[[#This Row],[Ticket]],Okey!A:B,2,0),"")</f>
        <v>ok</v>
      </c>
      <c r="I13" s="7" t="s">
        <v>3679</v>
      </c>
      <c r="J13" s="7" t="str">
        <f>VLOOKUP(Table2[[#This Row],[Author]],People!A:B,2,0)</f>
        <v>MGF</v>
      </c>
      <c r="K13" s="7"/>
      <c r="L13" s="7"/>
      <c r="M13" s="16" t="s">
        <v>2363</v>
      </c>
    </row>
    <row r="14" spans="1:13" x14ac:dyDescent="0.25">
      <c r="A14" s="22">
        <f t="shared" si="0"/>
        <v>13</v>
      </c>
      <c r="B14" s="6" t="s">
        <v>2330</v>
      </c>
      <c r="C14" s="6" t="s">
        <v>3683</v>
      </c>
      <c r="D14" s="6" t="s">
        <v>3696</v>
      </c>
      <c r="E14" s="6"/>
      <c r="F14" s="6" t="s">
        <v>3694</v>
      </c>
      <c r="G14" s="6" t="s">
        <v>24</v>
      </c>
      <c r="H14" s="6" t="str">
        <f>IFERROR(VLOOKUP(Table2[[#This Row],[Ticket]],Okey!A:B,2,0),"")</f>
        <v>ok</v>
      </c>
      <c r="I14" s="6" t="s">
        <v>3679</v>
      </c>
      <c r="J14" s="6" t="str">
        <f>VLOOKUP(Table2[[#This Row],[Author]],People!A:B,2,0)</f>
        <v>MGF</v>
      </c>
      <c r="K14" s="6"/>
      <c r="L14" s="6"/>
      <c r="M14" s="21" t="s">
        <v>2363</v>
      </c>
    </row>
    <row r="15" spans="1:13" x14ac:dyDescent="0.25">
      <c r="A15" s="23">
        <f t="shared" si="0"/>
        <v>14</v>
      </c>
      <c r="B15" s="7" t="s">
        <v>2330</v>
      </c>
      <c r="C15" s="7" t="s">
        <v>3683</v>
      </c>
      <c r="D15" s="7" t="s">
        <v>3697</v>
      </c>
      <c r="E15" s="7"/>
      <c r="F15" s="7" t="s">
        <v>3694</v>
      </c>
      <c r="G15" s="7" t="s">
        <v>24</v>
      </c>
      <c r="H15" s="7" t="str">
        <f>IFERROR(VLOOKUP(Table2[[#This Row],[Ticket]],Okey!A:B,2,0),"")</f>
        <v>ok</v>
      </c>
      <c r="I15" s="7" t="s">
        <v>3679</v>
      </c>
      <c r="J15" s="7" t="str">
        <f>VLOOKUP(Table2[[#This Row],[Author]],People!A:B,2,0)</f>
        <v>MGF</v>
      </c>
      <c r="K15" s="7"/>
      <c r="L15" s="7"/>
      <c r="M15" s="16" t="s">
        <v>2363</v>
      </c>
    </row>
    <row r="16" spans="1:13" x14ac:dyDescent="0.25">
      <c r="A16" s="22">
        <f t="shared" si="0"/>
        <v>15</v>
      </c>
      <c r="B16" s="6" t="s">
        <v>2330</v>
      </c>
      <c r="C16" s="6" t="s">
        <v>3683</v>
      </c>
      <c r="D16" s="6" t="s">
        <v>3698</v>
      </c>
      <c r="E16" s="6"/>
      <c r="F16" s="6" t="s">
        <v>3695</v>
      </c>
      <c r="G16" s="6" t="s">
        <v>24</v>
      </c>
      <c r="H16" s="6" t="str">
        <f>IFERROR(VLOOKUP(Table2[[#This Row],[Ticket]],Okey!A:B,2,0),"")</f>
        <v>ok</v>
      </c>
      <c r="I16" s="6" t="s">
        <v>3679</v>
      </c>
      <c r="J16" s="6" t="str">
        <f>VLOOKUP(Table2[[#This Row],[Author]],People!A:B,2,0)</f>
        <v>MGF</v>
      </c>
      <c r="K16" s="6"/>
      <c r="L16" s="6"/>
      <c r="M16" s="21" t="s">
        <v>2363</v>
      </c>
    </row>
    <row r="17" spans="1:13" x14ac:dyDescent="0.25">
      <c r="A17" s="23">
        <f t="shared" si="0"/>
        <v>16</v>
      </c>
      <c r="B17" s="7" t="s">
        <v>2330</v>
      </c>
      <c r="C17" s="7" t="s">
        <v>3683</v>
      </c>
      <c r="D17" s="7" t="s">
        <v>3699</v>
      </c>
      <c r="E17" s="7"/>
      <c r="F17" s="7" t="s">
        <v>3698</v>
      </c>
      <c r="G17" s="7" t="s">
        <v>24</v>
      </c>
      <c r="H17" s="7" t="str">
        <f>IFERROR(VLOOKUP(Table2[[#This Row],[Ticket]],Okey!A:B,2,0),"")</f>
        <v>ok</v>
      </c>
      <c r="I17" s="7" t="s">
        <v>3679</v>
      </c>
      <c r="J17" s="7" t="str">
        <f>VLOOKUP(Table2[[#This Row],[Author]],People!A:B,2,0)</f>
        <v>MGF</v>
      </c>
      <c r="K17" s="7"/>
      <c r="L17" s="7"/>
      <c r="M17" s="16" t="s">
        <v>2363</v>
      </c>
    </row>
    <row r="18" spans="1:13" x14ac:dyDescent="0.25">
      <c r="A18" s="22">
        <f t="shared" si="0"/>
        <v>17</v>
      </c>
      <c r="B18" s="6" t="s">
        <v>2330</v>
      </c>
      <c r="C18" s="6" t="s">
        <v>3683</v>
      </c>
      <c r="D18" s="6" t="s">
        <v>3700</v>
      </c>
      <c r="E18" s="6"/>
      <c r="F18" s="6" t="s">
        <v>3698</v>
      </c>
      <c r="G18" s="6" t="s">
        <v>24</v>
      </c>
      <c r="H18" s="6" t="str">
        <f>IFERROR(VLOOKUP(Table2[[#This Row],[Ticket]],Okey!A:B,2,0),"")</f>
        <v>ok</v>
      </c>
      <c r="I18" s="6" t="s">
        <v>3679</v>
      </c>
      <c r="J18" s="6" t="str">
        <f>VLOOKUP(Table2[[#This Row],[Author]],People!A:B,2,0)</f>
        <v>MGF</v>
      </c>
      <c r="K18" s="6"/>
      <c r="L18" s="6"/>
      <c r="M18" s="21" t="s">
        <v>2363</v>
      </c>
    </row>
    <row r="19" spans="1:13" x14ac:dyDescent="0.25">
      <c r="A19" s="23">
        <f t="shared" si="0"/>
        <v>18</v>
      </c>
      <c r="B19" s="7" t="s">
        <v>2330</v>
      </c>
      <c r="C19" s="7" t="s">
        <v>3683</v>
      </c>
      <c r="D19" s="7" t="s">
        <v>3701</v>
      </c>
      <c r="E19" s="7"/>
      <c r="F19" s="7" t="s">
        <v>3698</v>
      </c>
      <c r="G19" s="7" t="s">
        <v>24</v>
      </c>
      <c r="H19" s="7" t="str">
        <f>IFERROR(VLOOKUP(Table2[[#This Row],[Ticket]],Okey!A:B,2,0),"")</f>
        <v>ok</v>
      </c>
      <c r="I19" s="7" t="s">
        <v>3679</v>
      </c>
      <c r="J19" s="7" t="str">
        <f>VLOOKUP(Table2[[#This Row],[Author]],People!A:B,2,0)</f>
        <v>MGF</v>
      </c>
      <c r="K19" s="7"/>
      <c r="L19" s="7"/>
      <c r="M19" s="16" t="s">
        <v>2363</v>
      </c>
    </row>
    <row r="20" spans="1:13" x14ac:dyDescent="0.25">
      <c r="A20" s="22">
        <f t="shared" si="0"/>
        <v>19</v>
      </c>
      <c r="B20" s="6" t="s">
        <v>2330</v>
      </c>
      <c r="C20" s="6" t="s">
        <v>3683</v>
      </c>
      <c r="D20" s="6" t="s">
        <v>3702</v>
      </c>
      <c r="E20" s="6"/>
      <c r="F20" s="6" t="s">
        <v>3695</v>
      </c>
      <c r="G20" s="6" t="s">
        <v>24</v>
      </c>
      <c r="H20" s="6" t="str">
        <f>IFERROR(VLOOKUP(Table2[[#This Row],[Ticket]],Okey!A:B,2,0),"")</f>
        <v>ok</v>
      </c>
      <c r="I20" s="6" t="s">
        <v>3679</v>
      </c>
      <c r="J20" s="6" t="str">
        <f>VLOOKUP(Table2[[#This Row],[Author]],People!A:B,2,0)</f>
        <v>MGF</v>
      </c>
      <c r="K20" s="6"/>
      <c r="L20" s="6"/>
      <c r="M20" s="21" t="s">
        <v>2363</v>
      </c>
    </row>
    <row r="21" spans="1:13" x14ac:dyDescent="0.25">
      <c r="A21" s="23">
        <f t="shared" si="0"/>
        <v>20</v>
      </c>
      <c r="B21" s="7" t="s">
        <v>2330</v>
      </c>
      <c r="C21" s="7" t="s">
        <v>3683</v>
      </c>
      <c r="D21" s="7" t="s">
        <v>3703</v>
      </c>
      <c r="E21" s="7"/>
      <c r="F21" s="7" t="s">
        <v>3702</v>
      </c>
      <c r="G21" s="7" t="s">
        <v>24</v>
      </c>
      <c r="H21" s="7" t="str">
        <f>IFERROR(VLOOKUP(Table2[[#This Row],[Ticket]],Okey!A:B,2,0),"")</f>
        <v>ok</v>
      </c>
      <c r="I21" s="7" t="s">
        <v>3679</v>
      </c>
      <c r="J21" s="7" t="str">
        <f>VLOOKUP(Table2[[#This Row],[Author]],People!A:B,2,0)</f>
        <v>MGF</v>
      </c>
      <c r="K21" s="7"/>
      <c r="L21" s="7"/>
      <c r="M21" s="16" t="s">
        <v>2363</v>
      </c>
    </row>
    <row r="22" spans="1:13" x14ac:dyDescent="0.25">
      <c r="A22" s="22">
        <f t="shared" si="0"/>
        <v>21</v>
      </c>
      <c r="B22" s="6" t="s">
        <v>2330</v>
      </c>
      <c r="C22" s="6" t="s">
        <v>3683</v>
      </c>
      <c r="D22" s="6" t="s">
        <v>3704</v>
      </c>
      <c r="E22" s="6"/>
      <c r="F22" s="6" t="s">
        <v>3702</v>
      </c>
      <c r="G22" s="6" t="s">
        <v>24</v>
      </c>
      <c r="H22" s="6" t="str">
        <f>IFERROR(VLOOKUP(Table2[[#This Row],[Ticket]],Okey!A:B,2,0),"")</f>
        <v>ok</v>
      </c>
      <c r="I22" s="6" t="s">
        <v>3679</v>
      </c>
      <c r="J22" s="6" t="str">
        <f>VLOOKUP(Table2[[#This Row],[Author]],People!A:B,2,0)</f>
        <v>MGF</v>
      </c>
      <c r="K22" s="6"/>
      <c r="L22" s="6"/>
      <c r="M22" s="21" t="s">
        <v>2363</v>
      </c>
    </row>
    <row r="23" spans="1:13" x14ac:dyDescent="0.25">
      <c r="A23" s="23">
        <f t="shared" si="0"/>
        <v>22</v>
      </c>
      <c r="B23" s="7" t="s">
        <v>2330</v>
      </c>
      <c r="C23" s="7" t="s">
        <v>3683</v>
      </c>
      <c r="D23" s="7" t="s">
        <v>3705</v>
      </c>
      <c r="E23" s="7"/>
      <c r="F23" s="7" t="s">
        <v>3706</v>
      </c>
      <c r="G23" s="7" t="s">
        <v>24</v>
      </c>
      <c r="H23" s="7" t="str">
        <f>IFERROR(VLOOKUP(Table2[[#This Row],[Ticket]],Okey!A:B,2,0),"")</f>
        <v>ok</v>
      </c>
      <c r="I23" s="7" t="s">
        <v>3679</v>
      </c>
      <c r="J23" s="7" t="str">
        <f>VLOOKUP(Table2[[#This Row],[Author]],People!A:B,2,0)</f>
        <v>MGF</v>
      </c>
      <c r="K23" s="7"/>
      <c r="L23" s="7"/>
      <c r="M23" s="16" t="s">
        <v>2363</v>
      </c>
    </row>
    <row r="24" spans="1:13" x14ac:dyDescent="0.25">
      <c r="A24" s="22">
        <f t="shared" si="0"/>
        <v>23</v>
      </c>
      <c r="B24" s="6" t="s">
        <v>2330</v>
      </c>
      <c r="C24" s="6" t="s">
        <v>3683</v>
      </c>
      <c r="D24" s="6" t="s">
        <v>3707</v>
      </c>
      <c r="E24" s="6"/>
      <c r="F24" s="6" t="s">
        <v>3705</v>
      </c>
      <c r="G24" s="6" t="s">
        <v>24</v>
      </c>
      <c r="H24" s="6" t="str">
        <f>IFERROR(VLOOKUP(Table2[[#This Row],[Ticket]],Okey!A:B,2,0),"")</f>
        <v>ok</v>
      </c>
      <c r="I24" s="6" t="s">
        <v>3679</v>
      </c>
      <c r="J24" s="6" t="str">
        <f>VLOOKUP(Table2[[#This Row],[Author]],People!A:B,2,0)</f>
        <v>MGF</v>
      </c>
      <c r="K24" s="6"/>
      <c r="L24" s="6"/>
      <c r="M24" s="21" t="s">
        <v>2363</v>
      </c>
    </row>
    <row r="25" spans="1:13" x14ac:dyDescent="0.25">
      <c r="A25" s="23">
        <f t="shared" si="0"/>
        <v>24</v>
      </c>
      <c r="B25" s="7" t="s">
        <v>2330</v>
      </c>
      <c r="C25" s="7" t="s">
        <v>3683</v>
      </c>
      <c r="D25" s="7" t="s">
        <v>3708</v>
      </c>
      <c r="E25" s="7"/>
      <c r="F25" s="7" t="s">
        <v>3705</v>
      </c>
      <c r="G25" s="7" t="s">
        <v>24</v>
      </c>
      <c r="H25" s="7" t="str">
        <f>IFERROR(VLOOKUP(Table2[[#This Row],[Ticket]],Okey!A:B,2,0),"")</f>
        <v>ok</v>
      </c>
      <c r="I25" s="7" t="s">
        <v>3679</v>
      </c>
      <c r="J25" s="7" t="str">
        <f>VLOOKUP(Table2[[#This Row],[Author]],People!A:B,2,0)</f>
        <v>MGF</v>
      </c>
      <c r="K25" s="7"/>
      <c r="L25" s="7"/>
      <c r="M25" s="16" t="s">
        <v>2363</v>
      </c>
    </row>
    <row r="26" spans="1:13" x14ac:dyDescent="0.25">
      <c r="A26" s="22">
        <f t="shared" si="0"/>
        <v>25</v>
      </c>
      <c r="B26" s="6" t="s">
        <v>2330</v>
      </c>
      <c r="C26" s="6" t="s">
        <v>3683</v>
      </c>
      <c r="D26" s="6" t="s">
        <v>3709</v>
      </c>
      <c r="E26" s="6"/>
      <c r="F26" s="6" t="s">
        <v>3705</v>
      </c>
      <c r="G26" s="6" t="s">
        <v>24</v>
      </c>
      <c r="H26" s="6" t="str">
        <f>IFERROR(VLOOKUP(Table2[[#This Row],[Ticket]],Okey!A:B,2,0),"")</f>
        <v>ok</v>
      </c>
      <c r="I26" s="6" t="s">
        <v>3679</v>
      </c>
      <c r="J26" s="6" t="str">
        <f>VLOOKUP(Table2[[#This Row],[Author]],People!A:B,2,0)</f>
        <v>MGF</v>
      </c>
      <c r="K26" s="6"/>
      <c r="L26" s="6"/>
      <c r="M26" s="21" t="s">
        <v>2363</v>
      </c>
    </row>
    <row r="27" spans="1:13" x14ac:dyDescent="0.25">
      <c r="A27" s="23">
        <f t="shared" si="0"/>
        <v>26</v>
      </c>
      <c r="B27" s="7" t="s">
        <v>2330</v>
      </c>
      <c r="C27" s="7" t="s">
        <v>3683</v>
      </c>
      <c r="D27" s="7" t="s">
        <v>3710</v>
      </c>
      <c r="E27" s="7"/>
      <c r="F27" s="7" t="s">
        <v>3706</v>
      </c>
      <c r="G27" s="7" t="s">
        <v>24</v>
      </c>
      <c r="H27" s="7" t="str">
        <f>IFERROR(VLOOKUP(Table2[[#This Row],[Ticket]],Okey!A:B,2,0),"")</f>
        <v>ok</v>
      </c>
      <c r="I27" s="7" t="s">
        <v>3679</v>
      </c>
      <c r="J27" s="7" t="str">
        <f>VLOOKUP(Table2[[#This Row],[Author]],People!A:B,2,0)</f>
        <v>MGF</v>
      </c>
      <c r="K27" s="7"/>
      <c r="L27" s="7"/>
      <c r="M27" s="16" t="s">
        <v>2363</v>
      </c>
    </row>
    <row r="28" spans="1:13" x14ac:dyDescent="0.25">
      <c r="A28" s="22">
        <f t="shared" si="0"/>
        <v>27</v>
      </c>
      <c r="B28" s="6" t="s">
        <v>2330</v>
      </c>
      <c r="C28" s="6" t="s">
        <v>3683</v>
      </c>
      <c r="D28" s="6" t="s">
        <v>3711</v>
      </c>
      <c r="E28" s="6"/>
      <c r="F28" s="6" t="s">
        <v>3710</v>
      </c>
      <c r="G28" s="6" t="s">
        <v>24</v>
      </c>
      <c r="H28" s="6" t="str">
        <f>IFERROR(VLOOKUP(Table2[[#This Row],[Ticket]],Okey!A:B,2,0),"")</f>
        <v>ok</v>
      </c>
      <c r="I28" s="6" t="s">
        <v>3679</v>
      </c>
      <c r="J28" s="6" t="str">
        <f>VLOOKUP(Table2[[#This Row],[Author]],People!A:B,2,0)</f>
        <v>MGF</v>
      </c>
      <c r="K28" s="6"/>
      <c r="L28" s="6"/>
      <c r="M28" s="21" t="s">
        <v>2363</v>
      </c>
    </row>
    <row r="29" spans="1:13" x14ac:dyDescent="0.25">
      <c r="A29" s="23">
        <f t="shared" si="0"/>
        <v>28</v>
      </c>
      <c r="B29" s="7" t="s">
        <v>2330</v>
      </c>
      <c r="C29" s="7" t="s">
        <v>3683</v>
      </c>
      <c r="D29" s="7" t="s">
        <v>3712</v>
      </c>
      <c r="E29" s="7"/>
      <c r="F29" s="7" t="s">
        <v>3710</v>
      </c>
      <c r="G29" s="7" t="s">
        <v>24</v>
      </c>
      <c r="H29" s="7" t="str">
        <f>IFERROR(VLOOKUP(Table2[[#This Row],[Ticket]],Okey!A:B,2,0),"")</f>
        <v>ok</v>
      </c>
      <c r="I29" s="7" t="s">
        <v>3679</v>
      </c>
      <c r="J29" s="7" t="str">
        <f>VLOOKUP(Table2[[#This Row],[Author]],People!A:B,2,0)</f>
        <v>MGF</v>
      </c>
      <c r="K29" s="7"/>
      <c r="L29" s="7"/>
      <c r="M29" s="16" t="s">
        <v>2363</v>
      </c>
    </row>
    <row r="30" spans="1:13" x14ac:dyDescent="0.25">
      <c r="A30" s="22">
        <f t="shared" si="0"/>
        <v>29</v>
      </c>
      <c r="B30" s="6" t="s">
        <v>2330</v>
      </c>
      <c r="C30" s="6" t="s">
        <v>3683</v>
      </c>
      <c r="D30" s="6" t="s">
        <v>3713</v>
      </c>
      <c r="E30" s="6"/>
      <c r="F30" s="6" t="s">
        <v>3710</v>
      </c>
      <c r="G30" s="6" t="s">
        <v>24</v>
      </c>
      <c r="H30" s="6" t="str">
        <f>IFERROR(VLOOKUP(Table2[[#This Row],[Ticket]],Okey!A:B,2,0),"")</f>
        <v>ok</v>
      </c>
      <c r="I30" s="6" t="s">
        <v>3679</v>
      </c>
      <c r="J30" s="6" t="str">
        <f>VLOOKUP(Table2[[#This Row],[Author]],People!A:B,2,0)</f>
        <v>MGF</v>
      </c>
      <c r="K30" s="6"/>
      <c r="L30" s="6"/>
      <c r="M30" s="21" t="s">
        <v>2363</v>
      </c>
    </row>
    <row r="31" spans="1:13" x14ac:dyDescent="0.25">
      <c r="A31" s="23">
        <f t="shared" si="0"/>
        <v>30</v>
      </c>
      <c r="B31" s="7" t="s">
        <v>2330</v>
      </c>
      <c r="C31" s="7" t="s">
        <v>3683</v>
      </c>
      <c r="D31" s="7" t="s">
        <v>3714</v>
      </c>
      <c r="E31" s="7"/>
      <c r="F31" s="7" t="s">
        <v>3710</v>
      </c>
      <c r="G31" s="7" t="s">
        <v>24</v>
      </c>
      <c r="H31" s="7" t="str">
        <f>IFERROR(VLOOKUP(Table2[[#This Row],[Ticket]],Okey!A:B,2,0),"")</f>
        <v>ok</v>
      </c>
      <c r="I31" s="7" t="s">
        <v>3679</v>
      </c>
      <c r="J31" s="7" t="str">
        <f>VLOOKUP(Table2[[#This Row],[Author]],People!A:B,2,0)</f>
        <v>MGF</v>
      </c>
      <c r="K31" s="7"/>
      <c r="L31" s="7"/>
      <c r="M31" s="16" t="s">
        <v>2363</v>
      </c>
    </row>
    <row r="32" spans="1:13" x14ac:dyDescent="0.25">
      <c r="A32" s="22">
        <f t="shared" si="0"/>
        <v>31</v>
      </c>
      <c r="B32" s="6" t="s">
        <v>2330</v>
      </c>
      <c r="C32" s="6" t="s">
        <v>3683</v>
      </c>
      <c r="D32" s="6" t="s">
        <v>3715</v>
      </c>
      <c r="E32" s="6"/>
      <c r="F32" s="6" t="s">
        <v>3710</v>
      </c>
      <c r="G32" s="6" t="s">
        <v>24</v>
      </c>
      <c r="H32" s="6" t="str">
        <f>IFERROR(VLOOKUP(Table2[[#This Row],[Ticket]],Okey!A:B,2,0),"")</f>
        <v>ok</v>
      </c>
      <c r="I32" s="6" t="s">
        <v>3679</v>
      </c>
      <c r="J32" s="6" t="str">
        <f>VLOOKUP(Table2[[#This Row],[Author]],People!A:B,2,0)</f>
        <v>MGF</v>
      </c>
      <c r="K32" s="6"/>
      <c r="L32" s="6"/>
      <c r="M32" s="21" t="s">
        <v>2363</v>
      </c>
    </row>
    <row r="33" spans="1:13" x14ac:dyDescent="0.25">
      <c r="A33" s="23">
        <f t="shared" si="0"/>
        <v>32</v>
      </c>
      <c r="B33" s="7" t="s">
        <v>2330</v>
      </c>
      <c r="C33" s="7" t="s">
        <v>3683</v>
      </c>
      <c r="D33" s="7" t="s">
        <v>3716</v>
      </c>
      <c r="E33" s="7"/>
      <c r="F33" s="7" t="s">
        <v>3706</v>
      </c>
      <c r="G33" s="7" t="s">
        <v>24</v>
      </c>
      <c r="H33" s="7" t="str">
        <f>IFERROR(VLOOKUP(Table2[[#This Row],[Ticket]],Okey!A:B,2,0),"")</f>
        <v>ok</v>
      </c>
      <c r="I33" s="7" t="s">
        <v>3679</v>
      </c>
      <c r="J33" s="7" t="str">
        <f>VLOOKUP(Table2[[#This Row],[Author]],People!A:B,2,0)</f>
        <v>MGF</v>
      </c>
      <c r="K33" s="7"/>
      <c r="L33" s="7"/>
      <c r="M33" s="16" t="s">
        <v>2363</v>
      </c>
    </row>
    <row r="34" spans="1:13" x14ac:dyDescent="0.25">
      <c r="A34" s="22">
        <f t="shared" si="0"/>
        <v>33</v>
      </c>
      <c r="B34" s="6" t="s">
        <v>2330</v>
      </c>
      <c r="C34" s="6" t="s">
        <v>3683</v>
      </c>
      <c r="D34" s="6" t="s">
        <v>3717</v>
      </c>
      <c r="E34" s="6"/>
      <c r="F34" s="6" t="s">
        <v>3716</v>
      </c>
      <c r="G34" s="6" t="s">
        <v>24</v>
      </c>
      <c r="H34" s="6" t="str">
        <f>IFERROR(VLOOKUP(Table2[[#This Row],[Ticket]],Okey!A:B,2,0),"")</f>
        <v>ok</v>
      </c>
      <c r="I34" s="6" t="s">
        <v>3679</v>
      </c>
      <c r="J34" s="6" t="str">
        <f>VLOOKUP(Table2[[#This Row],[Author]],People!A:B,2,0)</f>
        <v>MGF</v>
      </c>
      <c r="K34" s="6"/>
      <c r="L34" s="6"/>
      <c r="M34" s="21" t="s">
        <v>2363</v>
      </c>
    </row>
    <row r="35" spans="1:13" x14ac:dyDescent="0.25">
      <c r="A35" s="23">
        <f t="shared" si="0"/>
        <v>34</v>
      </c>
      <c r="B35" s="7" t="s">
        <v>2330</v>
      </c>
      <c r="C35" s="7" t="s">
        <v>3683</v>
      </c>
      <c r="D35" s="7" t="s">
        <v>3718</v>
      </c>
      <c r="E35" s="7"/>
      <c r="F35" s="7" t="s">
        <v>3716</v>
      </c>
      <c r="G35" s="7" t="s">
        <v>24</v>
      </c>
      <c r="H35" s="7" t="str">
        <f>IFERROR(VLOOKUP(Table2[[#This Row],[Ticket]],Okey!A:B,2,0),"")</f>
        <v>ok</v>
      </c>
      <c r="I35" s="7" t="s">
        <v>3679</v>
      </c>
      <c r="J35" s="7" t="str">
        <f>VLOOKUP(Table2[[#This Row],[Author]],People!A:B,2,0)</f>
        <v>MGF</v>
      </c>
      <c r="K35" s="7"/>
      <c r="L35" s="7"/>
      <c r="M35" s="16" t="s">
        <v>2363</v>
      </c>
    </row>
    <row r="36" spans="1:13" x14ac:dyDescent="0.25">
      <c r="A36" s="22">
        <f t="shared" si="0"/>
        <v>35</v>
      </c>
      <c r="B36" s="6" t="s">
        <v>2330</v>
      </c>
      <c r="C36" s="6" t="s">
        <v>3683</v>
      </c>
      <c r="D36" s="6" t="s">
        <v>3719</v>
      </c>
      <c r="E36" s="6"/>
      <c r="F36" s="6" t="s">
        <v>3716</v>
      </c>
      <c r="G36" s="6" t="s">
        <v>24</v>
      </c>
      <c r="H36" s="6" t="str">
        <f>IFERROR(VLOOKUP(Table2[[#This Row],[Ticket]],Okey!A:B,2,0),"")</f>
        <v>ok</v>
      </c>
      <c r="I36" s="6" t="s">
        <v>3679</v>
      </c>
      <c r="J36" s="6" t="str">
        <f>VLOOKUP(Table2[[#This Row],[Author]],People!A:B,2,0)</f>
        <v>MGF</v>
      </c>
      <c r="K36" s="6"/>
      <c r="L36" s="6"/>
      <c r="M36" s="21" t="s">
        <v>2363</v>
      </c>
    </row>
    <row r="37" spans="1:13" x14ac:dyDescent="0.25">
      <c r="A37" s="23">
        <f t="shared" si="0"/>
        <v>36</v>
      </c>
      <c r="B37" s="7" t="s">
        <v>2330</v>
      </c>
      <c r="C37" s="7" t="s">
        <v>3683</v>
      </c>
      <c r="D37" s="7" t="s">
        <v>3720</v>
      </c>
      <c r="E37" s="7"/>
      <c r="F37" s="7" t="s">
        <v>563</v>
      </c>
      <c r="G37" s="7" t="s">
        <v>24</v>
      </c>
      <c r="H37" s="7" t="str">
        <f>IFERROR(VLOOKUP(Table2[[#This Row],[Ticket]],Okey!A:B,2,0),"")</f>
        <v>ok</v>
      </c>
      <c r="I37" s="7" t="s">
        <v>3679</v>
      </c>
      <c r="J37" s="7" t="str">
        <f>VLOOKUP(Table2[[#This Row],[Author]],People!A:B,2,0)</f>
        <v>MGF</v>
      </c>
      <c r="K37" s="7"/>
      <c r="L37" s="7"/>
      <c r="M37" s="16" t="s">
        <v>2363</v>
      </c>
    </row>
    <row r="38" spans="1:13" x14ac:dyDescent="0.25">
      <c r="A38" s="22">
        <f t="shared" si="0"/>
        <v>37</v>
      </c>
      <c r="B38" s="6" t="s">
        <v>2330</v>
      </c>
      <c r="C38" s="6" t="s">
        <v>3683</v>
      </c>
      <c r="D38" s="6" t="s">
        <v>3721</v>
      </c>
      <c r="E38" s="6"/>
      <c r="F38" s="6" t="s">
        <v>563</v>
      </c>
      <c r="G38" s="6" t="s">
        <v>24</v>
      </c>
      <c r="H38" s="6" t="str">
        <f>IFERROR(VLOOKUP(Table2[[#This Row],[Ticket]],Okey!A:B,2,0),"")</f>
        <v>ok</v>
      </c>
      <c r="I38" s="6" t="s">
        <v>3679</v>
      </c>
      <c r="J38" s="6" t="str">
        <f>VLOOKUP(Table2[[#This Row],[Author]],People!A:B,2,0)</f>
        <v>MGF</v>
      </c>
      <c r="K38" s="6"/>
      <c r="L38" s="6"/>
      <c r="M38" s="21" t="s">
        <v>2363</v>
      </c>
    </row>
    <row r="39" spans="1:13" x14ac:dyDescent="0.25">
      <c r="A39" s="23">
        <f t="shared" si="0"/>
        <v>38</v>
      </c>
      <c r="B39" s="7" t="s">
        <v>2330</v>
      </c>
      <c r="C39" s="7" t="s">
        <v>3683</v>
      </c>
      <c r="D39" s="7" t="s">
        <v>3722</v>
      </c>
      <c r="E39" s="7"/>
      <c r="F39" s="7" t="s">
        <v>563</v>
      </c>
      <c r="G39" s="7" t="s">
        <v>24</v>
      </c>
      <c r="H39" s="7" t="str">
        <f>IFERROR(VLOOKUP(Table2[[#This Row],[Ticket]],Okey!A:B,2,0),"")</f>
        <v>ok</v>
      </c>
      <c r="I39" s="7" t="s">
        <v>3679</v>
      </c>
      <c r="J39" s="7" t="str">
        <f>VLOOKUP(Table2[[#This Row],[Author]],People!A:B,2,0)</f>
        <v>MGF</v>
      </c>
      <c r="K39" s="7"/>
      <c r="L39" s="7"/>
      <c r="M39" s="16" t="s">
        <v>2363</v>
      </c>
    </row>
    <row r="40" spans="1:13" x14ac:dyDescent="0.25">
      <c r="A40" s="22">
        <f t="shared" si="0"/>
        <v>39</v>
      </c>
      <c r="B40" s="6" t="s">
        <v>2330</v>
      </c>
      <c r="C40" s="6" t="s">
        <v>3683</v>
      </c>
      <c r="D40" s="6" t="s">
        <v>3723</v>
      </c>
      <c r="E40" s="6"/>
      <c r="F40" s="6" t="s">
        <v>3722</v>
      </c>
      <c r="G40" s="6" t="s">
        <v>24</v>
      </c>
      <c r="H40" s="6" t="str">
        <f>IFERROR(VLOOKUP(Table2[[#This Row],[Ticket]],Okey!A:B,2,0),"")</f>
        <v>ok</v>
      </c>
      <c r="I40" s="6" t="s">
        <v>3679</v>
      </c>
      <c r="J40" s="6" t="str">
        <f>VLOOKUP(Table2[[#This Row],[Author]],People!A:B,2,0)</f>
        <v>MGF</v>
      </c>
      <c r="K40" s="6"/>
      <c r="L40" s="6"/>
      <c r="M40" s="21" t="s">
        <v>2363</v>
      </c>
    </row>
    <row r="41" spans="1:13" x14ac:dyDescent="0.25">
      <c r="A41" s="23">
        <f t="shared" si="0"/>
        <v>40</v>
      </c>
      <c r="B41" s="7" t="s">
        <v>2330</v>
      </c>
      <c r="C41" s="7" t="s">
        <v>3683</v>
      </c>
      <c r="D41" s="7" t="s">
        <v>3724</v>
      </c>
      <c r="E41" s="7"/>
      <c r="F41" s="7" t="s">
        <v>3722</v>
      </c>
      <c r="G41" s="7" t="s">
        <v>24</v>
      </c>
      <c r="H41" s="7" t="str">
        <f>IFERROR(VLOOKUP(Table2[[#This Row],[Ticket]],Okey!A:B,2,0),"")</f>
        <v>ok</v>
      </c>
      <c r="I41" s="7" t="s">
        <v>3679</v>
      </c>
      <c r="J41" s="7" t="str">
        <f>VLOOKUP(Table2[[#This Row],[Author]],People!A:B,2,0)</f>
        <v>MGF</v>
      </c>
      <c r="K41" s="7"/>
      <c r="L41" s="7"/>
      <c r="M41" s="16" t="s">
        <v>2363</v>
      </c>
    </row>
    <row r="42" spans="1:13" x14ac:dyDescent="0.25">
      <c r="A42" s="22">
        <f t="shared" si="0"/>
        <v>41</v>
      </c>
      <c r="B42" s="6" t="s">
        <v>2330</v>
      </c>
      <c r="C42" s="6" t="s">
        <v>3725</v>
      </c>
      <c r="D42" s="6" t="s">
        <v>399</v>
      </c>
      <c r="E42" s="6" t="s">
        <v>3726</v>
      </c>
      <c r="F42" s="6"/>
      <c r="G42" s="6" t="s">
        <v>63</v>
      </c>
      <c r="H42" s="6" t="str">
        <f>IFERROR(VLOOKUP(Table2[[#This Row],[Ticket]],Okey!A:B,2,0),"")</f>
        <v>ok</v>
      </c>
      <c r="I42" s="6" t="s">
        <v>3679</v>
      </c>
      <c r="J42" s="6" t="str">
        <f>VLOOKUP(Table2[[#This Row],[Author]],People!A:B,2,0)</f>
        <v>MGF</v>
      </c>
      <c r="K42" s="6"/>
      <c r="L42" s="6"/>
      <c r="M42" s="21" t="s">
        <v>1030</v>
      </c>
    </row>
    <row r="43" spans="1:13" x14ac:dyDescent="0.25">
      <c r="A43" s="23">
        <f t="shared" si="0"/>
        <v>42</v>
      </c>
      <c r="B43" s="7" t="s">
        <v>2330</v>
      </c>
      <c r="C43" s="7" t="s">
        <v>3725</v>
      </c>
      <c r="D43" s="7" t="s">
        <v>401</v>
      </c>
      <c r="E43" s="7" t="s">
        <v>3726</v>
      </c>
      <c r="F43" s="7"/>
      <c r="G43" s="7" t="s">
        <v>63</v>
      </c>
      <c r="H43" s="7" t="str">
        <f>IFERROR(VLOOKUP(Table2[[#This Row],[Ticket]],Okey!A:B,2,0),"")</f>
        <v>ok</v>
      </c>
      <c r="I43" s="7" t="s">
        <v>3679</v>
      </c>
      <c r="J43" s="7" t="str">
        <f>VLOOKUP(Table2[[#This Row],[Author]],People!A:B,2,0)</f>
        <v>MGF</v>
      </c>
      <c r="K43" s="7"/>
      <c r="L43" s="7"/>
      <c r="M43" s="16" t="s">
        <v>1030</v>
      </c>
    </row>
    <row r="44" spans="1:13" x14ac:dyDescent="0.25">
      <c r="A44" s="22">
        <f t="shared" si="0"/>
        <v>43</v>
      </c>
      <c r="B44" s="6" t="s">
        <v>2330</v>
      </c>
      <c r="C44" s="6" t="s">
        <v>3725</v>
      </c>
      <c r="D44" s="6" t="s">
        <v>402</v>
      </c>
      <c r="E44" s="6" t="s">
        <v>3727</v>
      </c>
      <c r="F44" s="6"/>
      <c r="G44" s="6" t="s">
        <v>63</v>
      </c>
      <c r="H44" s="6" t="str">
        <f>IFERROR(VLOOKUP(Table2[[#This Row],[Ticket]],Okey!A:B,2,0),"")</f>
        <v>ok</v>
      </c>
      <c r="I44" s="6" t="s">
        <v>3679</v>
      </c>
      <c r="J44" s="6" t="str">
        <f>VLOOKUP(Table2[[#This Row],[Author]],People!A:B,2,0)</f>
        <v>MGF</v>
      </c>
      <c r="K44" s="6"/>
      <c r="L44" s="6"/>
      <c r="M44" s="21" t="s">
        <v>1030</v>
      </c>
    </row>
    <row r="45" spans="1:13" x14ac:dyDescent="0.25">
      <c r="A45" s="23">
        <f t="shared" si="0"/>
        <v>44</v>
      </c>
      <c r="B45" s="7" t="s">
        <v>2330</v>
      </c>
      <c r="C45" s="7" t="s">
        <v>3725</v>
      </c>
      <c r="D45" s="7" t="s">
        <v>3728</v>
      </c>
      <c r="E45" s="7" t="s">
        <v>3729</v>
      </c>
      <c r="F45" s="7"/>
      <c r="G45" s="7" t="s">
        <v>63</v>
      </c>
      <c r="H45" s="7" t="str">
        <f>IFERROR(VLOOKUP(Table2[[#This Row],[Ticket]],Okey!A:B,2,0),"")</f>
        <v>ok</v>
      </c>
      <c r="I45" s="7" t="s">
        <v>3679</v>
      </c>
      <c r="J45" s="7" t="str">
        <f>VLOOKUP(Table2[[#This Row],[Author]],People!A:B,2,0)</f>
        <v>MGF</v>
      </c>
      <c r="K45" s="7"/>
      <c r="L45" s="7"/>
      <c r="M45" s="16" t="s">
        <v>1030</v>
      </c>
    </row>
    <row r="46" spans="1:13" x14ac:dyDescent="0.25">
      <c r="A46" s="22">
        <f t="shared" si="0"/>
        <v>45</v>
      </c>
      <c r="B46" s="6" t="s">
        <v>2330</v>
      </c>
      <c r="C46" s="6" t="s">
        <v>3725</v>
      </c>
      <c r="D46" s="6" t="s">
        <v>404</v>
      </c>
      <c r="E46" s="6" t="s">
        <v>3730</v>
      </c>
      <c r="F46" s="6"/>
      <c r="G46" s="6" t="s">
        <v>63</v>
      </c>
      <c r="H46" s="6" t="str">
        <f>IFERROR(VLOOKUP(Table2[[#This Row],[Ticket]],Okey!A:B,2,0),"")</f>
        <v>ok</v>
      </c>
      <c r="I46" s="6" t="s">
        <v>3679</v>
      </c>
      <c r="J46" s="6" t="str">
        <f>VLOOKUP(Table2[[#This Row],[Author]],People!A:B,2,0)</f>
        <v>MGF</v>
      </c>
      <c r="K46" s="6"/>
      <c r="L46" s="6"/>
      <c r="M46" s="21" t="s">
        <v>1030</v>
      </c>
    </row>
    <row r="47" spans="1:13" x14ac:dyDescent="0.25">
      <c r="A47" s="23">
        <f t="shared" si="0"/>
        <v>46</v>
      </c>
      <c r="B47" s="7" t="s">
        <v>2330</v>
      </c>
      <c r="C47" s="7" t="s">
        <v>3725</v>
      </c>
      <c r="D47" s="7" t="s">
        <v>406</v>
      </c>
      <c r="E47" s="7" t="s">
        <v>3731</v>
      </c>
      <c r="F47" s="7"/>
      <c r="G47" s="7" t="s">
        <v>63</v>
      </c>
      <c r="H47" s="7" t="str">
        <f>IFERROR(VLOOKUP(Table2[[#This Row],[Ticket]],Okey!A:B,2,0),"")</f>
        <v>ok</v>
      </c>
      <c r="I47" s="7" t="s">
        <v>3679</v>
      </c>
      <c r="J47" s="7" t="str">
        <f>VLOOKUP(Table2[[#This Row],[Author]],People!A:B,2,0)</f>
        <v>MGF</v>
      </c>
      <c r="K47" s="7"/>
      <c r="L47" s="7"/>
      <c r="M47" s="16" t="s">
        <v>1030</v>
      </c>
    </row>
    <row r="48" spans="1:13" x14ac:dyDescent="0.25">
      <c r="A48" s="22">
        <f t="shared" si="0"/>
        <v>47</v>
      </c>
      <c r="B48" s="6" t="s">
        <v>2330</v>
      </c>
      <c r="C48" s="6" t="s">
        <v>3725</v>
      </c>
      <c r="D48" s="6" t="s">
        <v>408</v>
      </c>
      <c r="E48" s="6" t="s">
        <v>3732</v>
      </c>
      <c r="F48" s="6"/>
      <c r="G48" s="6" t="s">
        <v>63</v>
      </c>
      <c r="H48" s="6" t="str">
        <f>IFERROR(VLOOKUP(Table2[[#This Row],[Ticket]],Okey!A:B,2,0),"")</f>
        <v>ok</v>
      </c>
      <c r="I48" s="6" t="s">
        <v>3679</v>
      </c>
      <c r="J48" s="6" t="str">
        <f>VLOOKUP(Table2[[#This Row],[Author]],People!A:B,2,0)</f>
        <v>MGF</v>
      </c>
      <c r="K48" s="6"/>
      <c r="L48" s="6"/>
      <c r="M48" s="21" t="s">
        <v>1030</v>
      </c>
    </row>
    <row r="49" spans="1:13" x14ac:dyDescent="0.25">
      <c r="A49" s="23">
        <f t="shared" si="0"/>
        <v>48</v>
      </c>
      <c r="B49" s="7" t="s">
        <v>2330</v>
      </c>
      <c r="C49" s="7" t="s">
        <v>3725</v>
      </c>
      <c r="D49" s="7" t="s">
        <v>410</v>
      </c>
      <c r="E49" s="7" t="s">
        <v>3733</v>
      </c>
      <c r="F49" s="7"/>
      <c r="G49" s="7" t="s">
        <v>63</v>
      </c>
      <c r="H49" s="7" t="str">
        <f>IFERROR(VLOOKUP(Table2[[#This Row],[Ticket]],Okey!A:B,2,0),"")</f>
        <v>ok</v>
      </c>
      <c r="I49" s="7" t="s">
        <v>3679</v>
      </c>
      <c r="J49" s="7" t="str">
        <f>VLOOKUP(Table2[[#This Row],[Author]],People!A:B,2,0)</f>
        <v>MGF</v>
      </c>
      <c r="K49" s="7"/>
      <c r="L49" s="7"/>
      <c r="M49" s="16" t="s">
        <v>1030</v>
      </c>
    </row>
    <row r="50" spans="1:13" x14ac:dyDescent="0.25">
      <c r="A50" s="22">
        <f t="shared" si="0"/>
        <v>49</v>
      </c>
      <c r="B50" s="6" t="s">
        <v>2330</v>
      </c>
      <c r="C50" s="6" t="s">
        <v>3725</v>
      </c>
      <c r="D50" s="6" t="s">
        <v>3734</v>
      </c>
      <c r="E50" s="6" t="s">
        <v>3735</v>
      </c>
      <c r="F50" s="6" t="s">
        <v>406</v>
      </c>
      <c r="G50" s="6" t="s">
        <v>496</v>
      </c>
      <c r="H50" s="6" t="str">
        <f>IFERROR(VLOOKUP(Table2[[#This Row],[Ticket]],Okey!A:B,2,0),"")</f>
        <v>ok</v>
      </c>
      <c r="I50" s="6" t="s">
        <v>3679</v>
      </c>
      <c r="J50" s="6" t="str">
        <f>VLOOKUP(Table2[[#This Row],[Author]],People!A:B,2,0)</f>
        <v>MGF</v>
      </c>
      <c r="K50" s="6"/>
      <c r="L50" s="6"/>
      <c r="M50" s="21" t="s">
        <v>1030</v>
      </c>
    </row>
    <row r="51" spans="1:13" x14ac:dyDescent="0.25">
      <c r="A51" s="23">
        <f t="shared" si="0"/>
        <v>50</v>
      </c>
      <c r="B51" s="7" t="s">
        <v>2330</v>
      </c>
      <c r="C51" s="7" t="s">
        <v>3736</v>
      </c>
      <c r="D51" s="7" t="s">
        <v>555</v>
      </c>
      <c r="E51" s="7" t="s">
        <v>3737</v>
      </c>
      <c r="F51" s="7"/>
      <c r="G51" s="7" t="s">
        <v>63</v>
      </c>
      <c r="H51" s="7" t="str">
        <f>IFERROR(VLOOKUP(Table2[[#This Row],[Ticket]],Okey!A:B,2,0),"")</f>
        <v>ok</v>
      </c>
      <c r="I51" s="7" t="s">
        <v>3679</v>
      </c>
      <c r="J51" s="7" t="str">
        <f>VLOOKUP(Table2[[#This Row],[Author]],People!A:B,2,0)</f>
        <v>MGF</v>
      </c>
      <c r="K51" s="7"/>
      <c r="L51" s="7"/>
      <c r="M51" s="16" t="s">
        <v>25</v>
      </c>
    </row>
    <row r="52" spans="1:13" x14ac:dyDescent="0.25">
      <c r="A52" s="22">
        <f t="shared" si="0"/>
        <v>51</v>
      </c>
      <c r="B52" s="6" t="s">
        <v>2330</v>
      </c>
      <c r="C52" s="6" t="s">
        <v>3736</v>
      </c>
      <c r="D52" s="6" t="s">
        <v>3738</v>
      </c>
      <c r="E52" s="6" t="s">
        <v>3739</v>
      </c>
      <c r="F52" s="6"/>
      <c r="G52" s="6" t="s">
        <v>63</v>
      </c>
      <c r="H52" s="6" t="str">
        <f>IFERROR(VLOOKUP(Table2[[#This Row],[Ticket]],Okey!A:B,2,0),"")</f>
        <v>ok</v>
      </c>
      <c r="I52" s="6" t="s">
        <v>3679</v>
      </c>
      <c r="J52" s="6" t="str">
        <f>VLOOKUP(Table2[[#This Row],[Author]],People!A:B,2,0)</f>
        <v>MGF</v>
      </c>
      <c r="K52" s="6"/>
      <c r="L52" s="6"/>
      <c r="M52" s="21" t="s">
        <v>25</v>
      </c>
    </row>
    <row r="53" spans="1:13" x14ac:dyDescent="0.25">
      <c r="A53" s="23">
        <f t="shared" si="0"/>
        <v>52</v>
      </c>
      <c r="B53" s="7" t="s">
        <v>2330</v>
      </c>
      <c r="C53" s="7" t="s">
        <v>3736</v>
      </c>
      <c r="D53" s="7" t="s">
        <v>390</v>
      </c>
      <c r="E53" s="7" t="s">
        <v>3740</v>
      </c>
      <c r="F53" s="7"/>
      <c r="G53" s="7" t="s">
        <v>63</v>
      </c>
      <c r="H53" s="7" t="str">
        <f>IFERROR(VLOOKUP(Table2[[#This Row],[Ticket]],Okey!A:B,2,0),"")</f>
        <v>ok</v>
      </c>
      <c r="I53" s="7" t="s">
        <v>3679</v>
      </c>
      <c r="J53" s="7" t="str">
        <f>VLOOKUP(Table2[[#This Row],[Author]],People!A:B,2,0)</f>
        <v>MGF</v>
      </c>
      <c r="K53" s="7"/>
      <c r="L53" s="7"/>
      <c r="M53" s="16" t="s">
        <v>25</v>
      </c>
    </row>
    <row r="54" spans="1:13" x14ac:dyDescent="0.25">
      <c r="A54" s="22">
        <f t="shared" si="0"/>
        <v>53</v>
      </c>
      <c r="B54" s="6" t="s">
        <v>2330</v>
      </c>
      <c r="C54" s="6" t="s">
        <v>3736</v>
      </c>
      <c r="D54" s="6" t="s">
        <v>450</v>
      </c>
      <c r="E54" s="6" t="s">
        <v>3741</v>
      </c>
      <c r="F54" s="6"/>
      <c r="G54" s="6" t="s">
        <v>63</v>
      </c>
      <c r="H54" s="6" t="str">
        <f>IFERROR(VLOOKUP(Table2[[#This Row],[Ticket]],Okey!A:B,2,0),"")</f>
        <v>ok</v>
      </c>
      <c r="I54" s="6" t="s">
        <v>3679</v>
      </c>
      <c r="J54" s="6" t="str">
        <f>VLOOKUP(Table2[[#This Row],[Author]],People!A:B,2,0)</f>
        <v>MGF</v>
      </c>
      <c r="K54" s="6"/>
      <c r="L54" s="6"/>
      <c r="M54" s="21" t="s">
        <v>25</v>
      </c>
    </row>
    <row r="55" spans="1:13" x14ac:dyDescent="0.25">
      <c r="A55" s="23">
        <f t="shared" si="0"/>
        <v>54</v>
      </c>
      <c r="B55" s="7" t="s">
        <v>2330</v>
      </c>
      <c r="C55" s="7" t="s">
        <v>3736</v>
      </c>
      <c r="D55" s="7" t="s">
        <v>414</v>
      </c>
      <c r="E55" s="7" t="s">
        <v>3742</v>
      </c>
      <c r="F55" s="7"/>
      <c r="G55" s="7" t="s">
        <v>63</v>
      </c>
      <c r="H55" s="7" t="str">
        <f>IFERROR(VLOOKUP(Table2[[#This Row],[Ticket]],Okey!A:B,2,0),"")</f>
        <v>ok</v>
      </c>
      <c r="I55" s="7" t="s">
        <v>3679</v>
      </c>
      <c r="J55" s="7" t="str">
        <f>VLOOKUP(Table2[[#This Row],[Author]],People!A:B,2,0)</f>
        <v>MGF</v>
      </c>
      <c r="K55" s="7"/>
      <c r="L55" s="7"/>
      <c r="M55" s="16" t="s">
        <v>25</v>
      </c>
    </row>
    <row r="56" spans="1:13" x14ac:dyDescent="0.25">
      <c r="A56" s="22">
        <f t="shared" si="0"/>
        <v>55</v>
      </c>
      <c r="B56" s="6" t="s">
        <v>2330</v>
      </c>
      <c r="C56" s="6" t="s">
        <v>3736</v>
      </c>
      <c r="D56" s="6" t="s">
        <v>704</v>
      </c>
      <c r="E56" s="6" t="s">
        <v>3743</v>
      </c>
      <c r="F56" s="6"/>
      <c r="G56" s="6" t="s">
        <v>63</v>
      </c>
      <c r="H56" s="6" t="str">
        <f>IFERROR(VLOOKUP(Table2[[#This Row],[Ticket]],Okey!A:B,2,0),"")</f>
        <v>ok</v>
      </c>
      <c r="I56" s="6" t="s">
        <v>3679</v>
      </c>
      <c r="J56" s="6" t="str">
        <f>VLOOKUP(Table2[[#This Row],[Author]],People!A:B,2,0)</f>
        <v>MGF</v>
      </c>
      <c r="K56" s="6"/>
      <c r="L56" s="6"/>
      <c r="M56" s="21" t="s">
        <v>25</v>
      </c>
    </row>
    <row r="57" spans="1:13" x14ac:dyDescent="0.25">
      <c r="A57" s="23">
        <f t="shared" si="0"/>
        <v>56</v>
      </c>
      <c r="B57" s="7" t="s">
        <v>2330</v>
      </c>
      <c r="C57" s="7" t="s">
        <v>3736</v>
      </c>
      <c r="D57" s="7" t="s">
        <v>3744</v>
      </c>
      <c r="E57" s="7" t="s">
        <v>3745</v>
      </c>
      <c r="F57" s="7"/>
      <c r="G57" s="7" t="s">
        <v>63</v>
      </c>
      <c r="H57" s="7" t="str">
        <f>IFERROR(VLOOKUP(Table2[[#This Row],[Ticket]],Okey!A:B,2,0),"")</f>
        <v>ok</v>
      </c>
      <c r="I57" s="7" t="s">
        <v>3679</v>
      </c>
      <c r="J57" s="7" t="str">
        <f>VLOOKUP(Table2[[#This Row],[Author]],People!A:B,2,0)</f>
        <v>MGF</v>
      </c>
      <c r="K57" s="7"/>
      <c r="L57" s="7"/>
      <c r="M57" s="16" t="s">
        <v>25</v>
      </c>
    </row>
    <row r="58" spans="1:13" x14ac:dyDescent="0.25">
      <c r="A58" s="22">
        <f t="shared" si="0"/>
        <v>57</v>
      </c>
      <c r="B58" s="6" t="s">
        <v>2330</v>
      </c>
      <c r="C58" s="6" t="s">
        <v>3736</v>
      </c>
      <c r="D58" s="6" t="s">
        <v>3746</v>
      </c>
      <c r="E58" s="6" t="s">
        <v>3747</v>
      </c>
      <c r="F58" s="6"/>
      <c r="G58" s="6" t="s">
        <v>63</v>
      </c>
      <c r="H58" s="6" t="str">
        <f>IFERROR(VLOOKUP(Table2[[#This Row],[Ticket]],Okey!A:B,2,0),"")</f>
        <v>ok</v>
      </c>
      <c r="I58" s="6" t="s">
        <v>3679</v>
      </c>
      <c r="J58" s="6" t="str">
        <f>VLOOKUP(Table2[[#This Row],[Author]],People!A:B,2,0)</f>
        <v>MGF</v>
      </c>
      <c r="K58" s="6"/>
      <c r="L58" s="6"/>
      <c r="M58" s="21" t="s">
        <v>25</v>
      </c>
    </row>
    <row r="59" spans="1:13" x14ac:dyDescent="0.25">
      <c r="A59" s="23">
        <f t="shared" si="0"/>
        <v>58</v>
      </c>
      <c r="B59" s="7" t="s">
        <v>2330</v>
      </c>
      <c r="C59" s="7" t="s">
        <v>3736</v>
      </c>
      <c r="D59" s="7" t="s">
        <v>3748</v>
      </c>
      <c r="E59" s="7" t="s">
        <v>3749</v>
      </c>
      <c r="F59" s="7"/>
      <c r="G59" s="7" t="s">
        <v>63</v>
      </c>
      <c r="H59" s="7" t="str">
        <f>IFERROR(VLOOKUP(Table2[[#This Row],[Ticket]],Okey!A:B,2,0),"")</f>
        <v>ok</v>
      </c>
      <c r="I59" s="7" t="s">
        <v>3679</v>
      </c>
      <c r="J59" s="7" t="str">
        <f>VLOOKUP(Table2[[#This Row],[Author]],People!A:B,2,0)</f>
        <v>MGF</v>
      </c>
      <c r="K59" s="7"/>
      <c r="L59" s="7"/>
      <c r="M59" s="16" t="s">
        <v>25</v>
      </c>
    </row>
    <row r="60" spans="1:13" x14ac:dyDescent="0.25">
      <c r="A60" s="22">
        <f t="shared" si="0"/>
        <v>59</v>
      </c>
      <c r="B60" s="6" t="s">
        <v>2330</v>
      </c>
      <c r="C60" s="6" t="s">
        <v>3736</v>
      </c>
      <c r="D60" s="6" t="s">
        <v>3750</v>
      </c>
      <c r="E60" s="6" t="s">
        <v>3751</v>
      </c>
      <c r="F60" s="6"/>
      <c r="G60" s="6" t="s">
        <v>63</v>
      </c>
      <c r="H60" s="6" t="str">
        <f>IFERROR(VLOOKUP(Table2[[#This Row],[Ticket]],Okey!A:B,2,0),"")</f>
        <v>ok</v>
      </c>
      <c r="I60" s="6" t="s">
        <v>3679</v>
      </c>
      <c r="J60" s="6" t="str">
        <f>VLOOKUP(Table2[[#This Row],[Author]],People!A:B,2,0)</f>
        <v>MGF</v>
      </c>
      <c r="K60" s="6"/>
      <c r="L60" s="6"/>
      <c r="M60" s="21" t="s">
        <v>25</v>
      </c>
    </row>
    <row r="61" spans="1:13" x14ac:dyDescent="0.25">
      <c r="A61" s="23">
        <f t="shared" si="0"/>
        <v>60</v>
      </c>
      <c r="B61" s="7" t="s">
        <v>2330</v>
      </c>
      <c r="C61" s="7" t="s">
        <v>3736</v>
      </c>
      <c r="D61" s="7" t="s">
        <v>3752</v>
      </c>
      <c r="E61" s="7" t="s">
        <v>3753</v>
      </c>
      <c r="F61" s="7"/>
      <c r="G61" s="7" t="s">
        <v>63</v>
      </c>
      <c r="H61" s="7" t="str">
        <f>IFERROR(VLOOKUP(Table2[[#This Row],[Ticket]],Okey!A:B,2,0),"")</f>
        <v>ok</v>
      </c>
      <c r="I61" s="7" t="s">
        <v>3679</v>
      </c>
      <c r="J61" s="7" t="str">
        <f>VLOOKUP(Table2[[#This Row],[Author]],People!A:B,2,0)</f>
        <v>MGF</v>
      </c>
      <c r="K61" s="7"/>
      <c r="L61" s="7"/>
      <c r="M61" s="16" t="s">
        <v>25</v>
      </c>
    </row>
    <row r="62" spans="1:13" x14ac:dyDescent="0.25">
      <c r="A62" s="22">
        <f t="shared" si="0"/>
        <v>61</v>
      </c>
      <c r="B62" s="6" t="s">
        <v>2330</v>
      </c>
      <c r="C62" s="6" t="s">
        <v>3736</v>
      </c>
      <c r="D62" s="6" t="s">
        <v>3754</v>
      </c>
      <c r="E62" s="6" t="s">
        <v>3755</v>
      </c>
      <c r="F62" s="6"/>
      <c r="G62" s="6" t="s">
        <v>63</v>
      </c>
      <c r="H62" s="6" t="str">
        <f>IFERROR(VLOOKUP(Table2[[#This Row],[Ticket]],Okey!A:B,2,0),"")</f>
        <v>ok</v>
      </c>
      <c r="I62" s="6" t="s">
        <v>3679</v>
      </c>
      <c r="J62" s="6" t="str">
        <f>VLOOKUP(Table2[[#This Row],[Author]],People!A:B,2,0)</f>
        <v>MGF</v>
      </c>
      <c r="K62" s="6"/>
      <c r="L62" s="6"/>
      <c r="M62" s="21" t="s">
        <v>25</v>
      </c>
    </row>
    <row r="63" spans="1:13" x14ac:dyDescent="0.25">
      <c r="A63" s="23">
        <f t="shared" si="0"/>
        <v>62</v>
      </c>
      <c r="B63" s="7" t="s">
        <v>2330</v>
      </c>
      <c r="C63" s="7" t="s">
        <v>3736</v>
      </c>
      <c r="D63" s="7" t="s">
        <v>392</v>
      </c>
      <c r="E63" s="7" t="s">
        <v>3756</v>
      </c>
      <c r="F63" s="7"/>
      <c r="G63" s="7" t="s">
        <v>63</v>
      </c>
      <c r="H63" s="7" t="str">
        <f>IFERROR(VLOOKUP(Table2[[#This Row],[Ticket]],Okey!A:B,2,0),"")</f>
        <v>ok</v>
      </c>
      <c r="I63" s="7" t="s">
        <v>3679</v>
      </c>
      <c r="J63" s="7" t="str">
        <f>VLOOKUP(Table2[[#This Row],[Author]],People!A:B,2,0)</f>
        <v>MGF</v>
      </c>
      <c r="K63" s="7"/>
      <c r="L63" s="7"/>
      <c r="M63" s="16" t="s">
        <v>25</v>
      </c>
    </row>
    <row r="64" spans="1:13" x14ac:dyDescent="0.25">
      <c r="A64" s="22">
        <f t="shared" si="0"/>
        <v>63</v>
      </c>
      <c r="B64" s="6" t="s">
        <v>2330</v>
      </c>
      <c r="C64" s="6" t="s">
        <v>3736</v>
      </c>
      <c r="D64" s="6" t="s">
        <v>326</v>
      </c>
      <c r="E64" s="6" t="s">
        <v>3757</v>
      </c>
      <c r="F64" s="6"/>
      <c r="G64" s="6" t="s">
        <v>63</v>
      </c>
      <c r="H64" s="6" t="str">
        <f>IFERROR(VLOOKUP(Table2[[#This Row],[Ticket]],Okey!A:B,2,0),"")</f>
        <v>ok</v>
      </c>
      <c r="I64" s="6" t="s">
        <v>3679</v>
      </c>
      <c r="J64" s="6" t="str">
        <f>VLOOKUP(Table2[[#This Row],[Author]],People!A:B,2,0)</f>
        <v>MGF</v>
      </c>
      <c r="K64" s="6"/>
      <c r="L64" s="6"/>
      <c r="M64" s="21" t="s">
        <v>25</v>
      </c>
    </row>
    <row r="65" spans="1:13" x14ac:dyDescent="0.25">
      <c r="A65" s="23">
        <f t="shared" si="0"/>
        <v>64</v>
      </c>
      <c r="B65" s="7" t="s">
        <v>2330</v>
      </c>
      <c r="C65" s="7" t="s">
        <v>3736</v>
      </c>
      <c r="D65" s="7" t="s">
        <v>3758</v>
      </c>
      <c r="E65" s="7" t="s">
        <v>3759</v>
      </c>
      <c r="F65" s="7"/>
      <c r="G65" s="7" t="s">
        <v>63</v>
      </c>
      <c r="H65" s="7" t="str">
        <f>IFERROR(VLOOKUP(Table2[[#This Row],[Ticket]],Okey!A:B,2,0),"")</f>
        <v>ok</v>
      </c>
      <c r="I65" s="7" t="s">
        <v>3679</v>
      </c>
      <c r="J65" s="7" t="str">
        <f>VLOOKUP(Table2[[#This Row],[Author]],People!A:B,2,0)</f>
        <v>MGF</v>
      </c>
      <c r="K65" s="7"/>
      <c r="L65" s="7"/>
      <c r="M65" s="16" t="s">
        <v>25</v>
      </c>
    </row>
    <row r="66" spans="1:13" x14ac:dyDescent="0.25">
      <c r="A66" s="22">
        <f t="shared" si="0"/>
        <v>65</v>
      </c>
      <c r="B66" s="6" t="s">
        <v>2330</v>
      </c>
      <c r="C66" s="6" t="s">
        <v>3736</v>
      </c>
      <c r="D66" s="6" t="s">
        <v>3760</v>
      </c>
      <c r="E66" s="6" t="s">
        <v>3761</v>
      </c>
      <c r="F66" s="6"/>
      <c r="G66" s="6" t="s">
        <v>63</v>
      </c>
      <c r="H66" s="6" t="str">
        <f>IFERROR(VLOOKUP(Table2[[#This Row],[Ticket]],Okey!A:B,2,0),"")</f>
        <v>ok</v>
      </c>
      <c r="I66" s="6" t="s">
        <v>3679</v>
      </c>
      <c r="J66" s="6" t="str">
        <f>VLOOKUP(Table2[[#This Row],[Author]],People!A:B,2,0)</f>
        <v>MGF</v>
      </c>
      <c r="K66" s="6"/>
      <c r="L66" s="6"/>
      <c r="M66" s="21" t="s">
        <v>25</v>
      </c>
    </row>
    <row r="67" spans="1:13" x14ac:dyDescent="0.25">
      <c r="A67" s="23">
        <f t="shared" ref="A67:A130" si="1">1+A66</f>
        <v>66</v>
      </c>
      <c r="B67" s="7" t="s">
        <v>2330</v>
      </c>
      <c r="C67" s="7" t="s">
        <v>3736</v>
      </c>
      <c r="D67" s="7" t="s">
        <v>452</v>
      </c>
      <c r="E67" s="7" t="s">
        <v>3762</v>
      </c>
      <c r="F67" s="7"/>
      <c r="G67" s="7" t="s">
        <v>63</v>
      </c>
      <c r="H67" s="7" t="str">
        <f>IFERROR(VLOOKUP(Table2[[#This Row],[Ticket]],Okey!A:B,2,0),"")</f>
        <v>ok</v>
      </c>
      <c r="I67" s="7" t="s">
        <v>3679</v>
      </c>
      <c r="J67" s="7" t="str">
        <f>VLOOKUP(Table2[[#This Row],[Author]],People!A:B,2,0)</f>
        <v>MGF</v>
      </c>
      <c r="K67" s="7"/>
      <c r="L67" s="7"/>
      <c r="M67" s="16" t="s">
        <v>25</v>
      </c>
    </row>
    <row r="68" spans="1:13" x14ac:dyDescent="0.25">
      <c r="A68" s="22">
        <f t="shared" si="1"/>
        <v>67</v>
      </c>
      <c r="B68" s="6" t="s">
        <v>2330</v>
      </c>
      <c r="C68" s="6" t="s">
        <v>3736</v>
      </c>
      <c r="D68" s="6" t="s">
        <v>2334</v>
      </c>
      <c r="E68" s="6" t="s">
        <v>3763</v>
      </c>
      <c r="F68" s="6"/>
      <c r="G68" s="6" t="s">
        <v>63</v>
      </c>
      <c r="H68" s="6" t="str">
        <f>IFERROR(VLOOKUP(Table2[[#This Row],[Ticket]],Okey!A:B,2,0),"")</f>
        <v>ok</v>
      </c>
      <c r="I68" s="6" t="s">
        <v>3679</v>
      </c>
      <c r="J68" s="6" t="str">
        <f>VLOOKUP(Table2[[#This Row],[Author]],People!A:B,2,0)</f>
        <v>MGF</v>
      </c>
      <c r="K68" s="6"/>
      <c r="L68" s="6"/>
      <c r="M68" s="21" t="s">
        <v>25</v>
      </c>
    </row>
    <row r="69" spans="1:13" x14ac:dyDescent="0.25">
      <c r="A69" s="23">
        <f t="shared" si="1"/>
        <v>68</v>
      </c>
      <c r="B69" s="7" t="s">
        <v>2330</v>
      </c>
      <c r="C69" s="7" t="s">
        <v>3736</v>
      </c>
      <c r="D69" s="7" t="s">
        <v>3764</v>
      </c>
      <c r="E69" s="7" t="s">
        <v>3765</v>
      </c>
      <c r="F69" s="7"/>
      <c r="G69" s="7" t="s">
        <v>63</v>
      </c>
      <c r="H69" s="7" t="str">
        <f>IFERROR(VLOOKUP(Table2[[#This Row],[Ticket]],Okey!A:B,2,0),"")</f>
        <v>ok</v>
      </c>
      <c r="I69" s="7" t="s">
        <v>3679</v>
      </c>
      <c r="J69" s="7" t="str">
        <f>VLOOKUP(Table2[[#This Row],[Author]],People!A:B,2,0)</f>
        <v>MGF</v>
      </c>
      <c r="K69" s="7"/>
      <c r="L69" s="7"/>
      <c r="M69" s="16" t="s">
        <v>25</v>
      </c>
    </row>
    <row r="70" spans="1:13" x14ac:dyDescent="0.25">
      <c r="A70" s="22">
        <f t="shared" si="1"/>
        <v>69</v>
      </c>
      <c r="B70" s="6" t="s">
        <v>2330</v>
      </c>
      <c r="C70" s="6" t="s">
        <v>3736</v>
      </c>
      <c r="D70" s="6" t="s">
        <v>3766</v>
      </c>
      <c r="E70" s="6" t="s">
        <v>3767</v>
      </c>
      <c r="F70" s="6"/>
      <c r="G70" s="6" t="s">
        <v>63</v>
      </c>
      <c r="H70" s="6" t="str">
        <f>IFERROR(VLOOKUP(Table2[[#This Row],[Ticket]],Okey!A:B,2,0),"")</f>
        <v>ok</v>
      </c>
      <c r="I70" s="6" t="s">
        <v>3679</v>
      </c>
      <c r="J70" s="6" t="str">
        <f>VLOOKUP(Table2[[#This Row],[Author]],People!A:B,2,0)</f>
        <v>MGF</v>
      </c>
      <c r="K70" s="6"/>
      <c r="L70" s="6"/>
      <c r="M70" s="21" t="s">
        <v>25</v>
      </c>
    </row>
    <row r="71" spans="1:13" x14ac:dyDescent="0.25">
      <c r="A71" s="23">
        <f t="shared" si="1"/>
        <v>70</v>
      </c>
      <c r="B71" s="7" t="s">
        <v>2330</v>
      </c>
      <c r="C71" s="7" t="s">
        <v>3736</v>
      </c>
      <c r="D71" s="7" t="s">
        <v>3768</v>
      </c>
      <c r="E71" s="7" t="s">
        <v>3769</v>
      </c>
      <c r="F71" s="7"/>
      <c r="G71" s="7" t="s">
        <v>63</v>
      </c>
      <c r="H71" s="7" t="str">
        <f>IFERROR(VLOOKUP(Table2[[#This Row],[Ticket]],Okey!A:B,2,0),"")</f>
        <v>ok</v>
      </c>
      <c r="I71" s="7" t="s">
        <v>3679</v>
      </c>
      <c r="J71" s="7" t="str">
        <f>VLOOKUP(Table2[[#This Row],[Author]],People!A:B,2,0)</f>
        <v>MGF</v>
      </c>
      <c r="K71" s="7"/>
      <c r="L71" s="7"/>
      <c r="M71" s="16" t="s">
        <v>25</v>
      </c>
    </row>
    <row r="72" spans="1:13" x14ac:dyDescent="0.25">
      <c r="A72" s="22">
        <f t="shared" si="1"/>
        <v>71</v>
      </c>
      <c r="B72" s="6" t="s">
        <v>2330</v>
      </c>
      <c r="C72" s="6" t="s">
        <v>3736</v>
      </c>
      <c r="D72" s="6" t="s">
        <v>3770</v>
      </c>
      <c r="E72" s="6" t="s">
        <v>3771</v>
      </c>
      <c r="F72" s="6"/>
      <c r="G72" s="6" t="s">
        <v>63</v>
      </c>
      <c r="H72" s="6" t="str">
        <f>IFERROR(VLOOKUP(Table2[[#This Row],[Ticket]],Okey!A:B,2,0),"")</f>
        <v>ok</v>
      </c>
      <c r="I72" s="6" t="s">
        <v>3679</v>
      </c>
      <c r="J72" s="6" t="str">
        <f>VLOOKUP(Table2[[#This Row],[Author]],People!A:B,2,0)</f>
        <v>MGF</v>
      </c>
      <c r="K72" s="6"/>
      <c r="L72" s="6"/>
      <c r="M72" s="21" t="s">
        <v>25</v>
      </c>
    </row>
    <row r="73" spans="1:13" x14ac:dyDescent="0.25">
      <c r="A73" s="23">
        <f t="shared" si="1"/>
        <v>72</v>
      </c>
      <c r="B73" s="7" t="s">
        <v>2330</v>
      </c>
      <c r="C73" s="7" t="s">
        <v>3736</v>
      </c>
      <c r="D73" s="7" t="s">
        <v>3772</v>
      </c>
      <c r="E73" s="7" t="s">
        <v>3773</v>
      </c>
      <c r="F73" s="7"/>
      <c r="G73" s="7" t="s">
        <v>63</v>
      </c>
      <c r="H73" s="7" t="str">
        <f>IFERROR(VLOOKUP(Table2[[#This Row],[Ticket]],Okey!A:B,2,0),"")</f>
        <v>ok</v>
      </c>
      <c r="I73" s="7" t="s">
        <v>3679</v>
      </c>
      <c r="J73" s="7" t="str">
        <f>VLOOKUP(Table2[[#This Row],[Author]],People!A:B,2,0)</f>
        <v>MGF</v>
      </c>
      <c r="K73" s="7"/>
      <c r="L73" s="7"/>
      <c r="M73" s="16" t="s">
        <v>25</v>
      </c>
    </row>
    <row r="74" spans="1:13" x14ac:dyDescent="0.25">
      <c r="A74" s="22">
        <f t="shared" si="1"/>
        <v>73</v>
      </c>
      <c r="B74" s="6" t="s">
        <v>2330</v>
      </c>
      <c r="C74" s="6" t="s">
        <v>3736</v>
      </c>
      <c r="D74" s="6" t="s">
        <v>3774</v>
      </c>
      <c r="E74" s="6" t="s">
        <v>3775</v>
      </c>
      <c r="F74" s="6"/>
      <c r="G74" s="6" t="s">
        <v>63</v>
      </c>
      <c r="H74" s="6" t="str">
        <f>IFERROR(VLOOKUP(Table2[[#This Row],[Ticket]],Okey!A:B,2,0),"")</f>
        <v>ok</v>
      </c>
      <c r="I74" s="6" t="s">
        <v>3679</v>
      </c>
      <c r="J74" s="6" t="str">
        <f>VLOOKUP(Table2[[#This Row],[Author]],People!A:B,2,0)</f>
        <v>MGF</v>
      </c>
      <c r="K74" s="6"/>
      <c r="L74" s="6"/>
      <c r="M74" s="21" t="s">
        <v>25</v>
      </c>
    </row>
    <row r="75" spans="1:13" x14ac:dyDescent="0.25">
      <c r="A75" s="23">
        <f t="shared" si="1"/>
        <v>74</v>
      </c>
      <c r="B75" s="7" t="s">
        <v>2330</v>
      </c>
      <c r="C75" s="7" t="s">
        <v>3736</v>
      </c>
      <c r="D75" s="7" t="s">
        <v>683</v>
      </c>
      <c r="E75" s="7" t="s">
        <v>3776</v>
      </c>
      <c r="F75" s="7"/>
      <c r="G75" s="7" t="s">
        <v>63</v>
      </c>
      <c r="H75" s="7" t="str">
        <f>IFERROR(VLOOKUP(Table2[[#This Row],[Ticket]],Okey!A:B,2,0),"")</f>
        <v>ok</v>
      </c>
      <c r="I75" s="7" t="s">
        <v>3679</v>
      </c>
      <c r="J75" s="7" t="str">
        <f>VLOOKUP(Table2[[#This Row],[Author]],People!A:B,2,0)</f>
        <v>MGF</v>
      </c>
      <c r="K75" s="7"/>
      <c r="L75" s="7"/>
      <c r="M75" s="16" t="s">
        <v>25</v>
      </c>
    </row>
    <row r="76" spans="1:13" x14ac:dyDescent="0.25">
      <c r="A76" s="22">
        <f t="shared" si="1"/>
        <v>75</v>
      </c>
      <c r="B76" s="6" t="s">
        <v>2330</v>
      </c>
      <c r="C76" s="6" t="s">
        <v>3736</v>
      </c>
      <c r="D76" s="6" t="s">
        <v>3777</v>
      </c>
      <c r="E76" s="6" t="s">
        <v>3778</v>
      </c>
      <c r="F76" s="6"/>
      <c r="G76" s="6" t="s">
        <v>63</v>
      </c>
      <c r="H76" s="6" t="str">
        <f>IFERROR(VLOOKUP(Table2[[#This Row],[Ticket]],Okey!A:B,2,0),"")</f>
        <v>ok</v>
      </c>
      <c r="I76" s="6" t="s">
        <v>3679</v>
      </c>
      <c r="J76" s="6" t="str">
        <f>VLOOKUP(Table2[[#This Row],[Author]],People!A:B,2,0)</f>
        <v>MGF</v>
      </c>
      <c r="K76" s="6"/>
      <c r="L76" s="6"/>
      <c r="M76" s="21" t="s">
        <v>25</v>
      </c>
    </row>
    <row r="77" spans="1:13" x14ac:dyDescent="0.25">
      <c r="A77" s="23">
        <f t="shared" si="1"/>
        <v>76</v>
      </c>
      <c r="B77" s="7" t="s">
        <v>2330</v>
      </c>
      <c r="C77" s="7" t="s">
        <v>3736</v>
      </c>
      <c r="D77" s="7" t="s">
        <v>3779</v>
      </c>
      <c r="E77" s="7" t="s">
        <v>3780</v>
      </c>
      <c r="F77" s="7"/>
      <c r="G77" s="7" t="s">
        <v>63</v>
      </c>
      <c r="H77" s="7" t="str">
        <f>IFERROR(VLOOKUP(Table2[[#This Row],[Ticket]],Okey!A:B,2,0),"")</f>
        <v>ok</v>
      </c>
      <c r="I77" s="7" t="s">
        <v>3679</v>
      </c>
      <c r="J77" s="7" t="str">
        <f>VLOOKUP(Table2[[#This Row],[Author]],People!A:B,2,0)</f>
        <v>MGF</v>
      </c>
      <c r="K77" s="7"/>
      <c r="L77" s="7"/>
      <c r="M77" s="16" t="s">
        <v>25</v>
      </c>
    </row>
    <row r="78" spans="1:13" x14ac:dyDescent="0.25">
      <c r="A78" s="22">
        <f t="shared" si="1"/>
        <v>77</v>
      </c>
      <c r="B78" s="6" t="s">
        <v>2330</v>
      </c>
      <c r="C78" s="6" t="s">
        <v>3736</v>
      </c>
      <c r="D78" s="6" t="s">
        <v>3781</v>
      </c>
      <c r="E78" s="6" t="s">
        <v>3782</v>
      </c>
      <c r="F78" s="6"/>
      <c r="G78" s="6" t="s">
        <v>63</v>
      </c>
      <c r="H78" s="6" t="str">
        <f>IFERROR(VLOOKUP(Table2[[#This Row],[Ticket]],Okey!A:B,2,0),"")</f>
        <v>ok</v>
      </c>
      <c r="I78" s="6" t="s">
        <v>3679</v>
      </c>
      <c r="J78" s="6" t="str">
        <f>VLOOKUP(Table2[[#This Row],[Author]],People!A:B,2,0)</f>
        <v>MGF</v>
      </c>
      <c r="K78" s="6"/>
      <c r="L78" s="6"/>
      <c r="M78" s="21" t="s">
        <v>25</v>
      </c>
    </row>
    <row r="79" spans="1:13" x14ac:dyDescent="0.25">
      <c r="A79" s="23">
        <f t="shared" si="1"/>
        <v>78</v>
      </c>
      <c r="B79" s="7" t="s">
        <v>2330</v>
      </c>
      <c r="C79" s="7" t="s">
        <v>3736</v>
      </c>
      <c r="D79" s="7" t="s">
        <v>3783</v>
      </c>
      <c r="E79" s="7" t="s">
        <v>3784</v>
      </c>
      <c r="F79" s="7"/>
      <c r="G79" s="7" t="s">
        <v>63</v>
      </c>
      <c r="H79" s="7" t="str">
        <f>IFERROR(VLOOKUP(Table2[[#This Row],[Ticket]],Okey!A:B,2,0),"")</f>
        <v>ok</v>
      </c>
      <c r="I79" s="7" t="s">
        <v>3679</v>
      </c>
      <c r="J79" s="7" t="str">
        <f>VLOOKUP(Table2[[#This Row],[Author]],People!A:B,2,0)</f>
        <v>MGF</v>
      </c>
      <c r="K79" s="7"/>
      <c r="L79" s="7"/>
      <c r="M79" s="16" t="s">
        <v>25</v>
      </c>
    </row>
    <row r="80" spans="1:13" x14ac:dyDescent="0.25">
      <c r="A80" s="22">
        <f t="shared" si="1"/>
        <v>79</v>
      </c>
      <c r="B80" s="6" t="s">
        <v>2330</v>
      </c>
      <c r="C80" s="6" t="s">
        <v>3736</v>
      </c>
      <c r="D80" s="6" t="s">
        <v>3785</v>
      </c>
      <c r="E80" s="6" t="s">
        <v>3786</v>
      </c>
      <c r="F80" s="6"/>
      <c r="G80" s="6" t="s">
        <v>63</v>
      </c>
      <c r="H80" s="6" t="str">
        <f>IFERROR(VLOOKUP(Table2[[#This Row],[Ticket]],Okey!A:B,2,0),"")</f>
        <v>ok</v>
      </c>
      <c r="I80" s="6" t="s">
        <v>3679</v>
      </c>
      <c r="J80" s="6" t="str">
        <f>VLOOKUP(Table2[[#This Row],[Author]],People!A:B,2,0)</f>
        <v>MGF</v>
      </c>
      <c r="K80" s="6"/>
      <c r="L80" s="6"/>
      <c r="M80" s="21" t="s">
        <v>25</v>
      </c>
    </row>
    <row r="81" spans="1:13" x14ac:dyDescent="0.25">
      <c r="A81" s="23">
        <f t="shared" si="1"/>
        <v>80</v>
      </c>
      <c r="B81" s="7" t="s">
        <v>2330</v>
      </c>
      <c r="C81" s="7" t="s">
        <v>3736</v>
      </c>
      <c r="D81" s="7" t="s">
        <v>3787</v>
      </c>
      <c r="E81" s="7" t="s">
        <v>3788</v>
      </c>
      <c r="F81" s="7"/>
      <c r="G81" s="7" t="s">
        <v>63</v>
      </c>
      <c r="H81" s="7" t="str">
        <f>IFERROR(VLOOKUP(Table2[[#This Row],[Ticket]],Okey!A:B,2,0),"")</f>
        <v>ok</v>
      </c>
      <c r="I81" s="7" t="s">
        <v>3679</v>
      </c>
      <c r="J81" s="7" t="str">
        <f>VLOOKUP(Table2[[#This Row],[Author]],People!A:B,2,0)</f>
        <v>MGF</v>
      </c>
      <c r="K81" s="7"/>
      <c r="L81" s="7"/>
      <c r="M81" s="16" t="s">
        <v>25</v>
      </c>
    </row>
    <row r="82" spans="1:13" x14ac:dyDescent="0.25">
      <c r="A82" s="22">
        <f t="shared" si="1"/>
        <v>81</v>
      </c>
      <c r="B82" s="6" t="s">
        <v>2330</v>
      </c>
      <c r="C82" s="6" t="s">
        <v>3736</v>
      </c>
      <c r="D82" s="6" t="s">
        <v>3789</v>
      </c>
      <c r="E82" s="6" t="s">
        <v>3790</v>
      </c>
      <c r="F82" s="6"/>
      <c r="G82" s="6" t="s">
        <v>63</v>
      </c>
      <c r="H82" s="6" t="str">
        <f>IFERROR(VLOOKUP(Table2[[#This Row],[Ticket]],Okey!A:B,2,0),"")</f>
        <v>ok</v>
      </c>
      <c r="I82" s="6" t="s">
        <v>3679</v>
      </c>
      <c r="J82" s="6" t="str">
        <f>VLOOKUP(Table2[[#This Row],[Author]],People!A:B,2,0)</f>
        <v>MGF</v>
      </c>
      <c r="K82" s="6"/>
      <c r="L82" s="6"/>
      <c r="M82" s="21" t="s">
        <v>25</v>
      </c>
    </row>
    <row r="83" spans="1:13" x14ac:dyDescent="0.25">
      <c r="A83" s="23">
        <f t="shared" si="1"/>
        <v>82</v>
      </c>
      <c r="B83" s="7" t="s">
        <v>2330</v>
      </c>
      <c r="C83" s="7" t="s">
        <v>3736</v>
      </c>
      <c r="D83" s="7" t="s">
        <v>3791</v>
      </c>
      <c r="E83" s="7" t="s">
        <v>3792</v>
      </c>
      <c r="F83" s="7"/>
      <c r="G83" s="7" t="s">
        <v>63</v>
      </c>
      <c r="H83" s="7" t="str">
        <f>IFERROR(VLOOKUP(Table2[[#This Row],[Ticket]],Okey!A:B,2,0),"")</f>
        <v>ok</v>
      </c>
      <c r="I83" s="7" t="s">
        <v>3679</v>
      </c>
      <c r="J83" s="7" t="str">
        <f>VLOOKUP(Table2[[#This Row],[Author]],People!A:B,2,0)</f>
        <v>MGF</v>
      </c>
      <c r="K83" s="7"/>
      <c r="L83" s="7"/>
      <c r="M83" s="16" t="s">
        <v>25</v>
      </c>
    </row>
    <row r="84" spans="1:13" x14ac:dyDescent="0.25">
      <c r="A84" s="22">
        <f t="shared" si="1"/>
        <v>83</v>
      </c>
      <c r="B84" s="6" t="s">
        <v>2330</v>
      </c>
      <c r="C84" s="6" t="s">
        <v>3736</v>
      </c>
      <c r="D84" s="6" t="s">
        <v>3793</v>
      </c>
      <c r="E84" s="6" t="s">
        <v>3794</v>
      </c>
      <c r="F84" s="6"/>
      <c r="G84" s="6" t="s">
        <v>63</v>
      </c>
      <c r="H84" s="6" t="str">
        <f>IFERROR(VLOOKUP(Table2[[#This Row],[Ticket]],Okey!A:B,2,0),"")</f>
        <v>ok</v>
      </c>
      <c r="I84" s="6" t="s">
        <v>3679</v>
      </c>
      <c r="J84" s="6" t="str">
        <f>VLOOKUP(Table2[[#This Row],[Author]],People!A:B,2,0)</f>
        <v>MGF</v>
      </c>
      <c r="K84" s="6"/>
      <c r="L84" s="6"/>
      <c r="M84" s="21" t="s">
        <v>25</v>
      </c>
    </row>
    <row r="85" spans="1:13" x14ac:dyDescent="0.25">
      <c r="A85" s="23">
        <f t="shared" si="1"/>
        <v>84</v>
      </c>
      <c r="B85" s="7" t="s">
        <v>2330</v>
      </c>
      <c r="C85" s="7" t="s">
        <v>3736</v>
      </c>
      <c r="D85" s="7" t="s">
        <v>3795</v>
      </c>
      <c r="E85" s="7" t="s">
        <v>3796</v>
      </c>
      <c r="F85" s="7"/>
      <c r="G85" s="7" t="s">
        <v>63</v>
      </c>
      <c r="H85" s="7" t="str">
        <f>IFERROR(VLOOKUP(Table2[[#This Row],[Ticket]],Okey!A:B,2,0),"")</f>
        <v>ok</v>
      </c>
      <c r="I85" s="7" t="s">
        <v>3679</v>
      </c>
      <c r="J85" s="7" t="str">
        <f>VLOOKUP(Table2[[#This Row],[Author]],People!A:B,2,0)</f>
        <v>MGF</v>
      </c>
      <c r="K85" s="7"/>
      <c r="L85" s="7"/>
      <c r="M85" s="16" t="s">
        <v>25</v>
      </c>
    </row>
    <row r="86" spans="1:13" x14ac:dyDescent="0.25">
      <c r="A86" s="22">
        <f t="shared" si="1"/>
        <v>85</v>
      </c>
      <c r="B86" s="6" t="s">
        <v>2330</v>
      </c>
      <c r="C86" s="6" t="s">
        <v>3736</v>
      </c>
      <c r="D86" s="6" t="s">
        <v>3797</v>
      </c>
      <c r="E86" s="6" t="s">
        <v>3798</v>
      </c>
      <c r="F86" s="6"/>
      <c r="G86" s="6" t="s">
        <v>63</v>
      </c>
      <c r="H86" s="6" t="str">
        <f>IFERROR(VLOOKUP(Table2[[#This Row],[Ticket]],Okey!A:B,2,0),"")</f>
        <v>ok</v>
      </c>
      <c r="I86" s="6" t="s">
        <v>3679</v>
      </c>
      <c r="J86" s="6" t="str">
        <f>VLOOKUP(Table2[[#This Row],[Author]],People!A:B,2,0)</f>
        <v>MGF</v>
      </c>
      <c r="K86" s="6"/>
      <c r="L86" s="6"/>
      <c r="M86" s="21" t="s">
        <v>25</v>
      </c>
    </row>
    <row r="87" spans="1:13" x14ac:dyDescent="0.25">
      <c r="A87" s="23">
        <f t="shared" si="1"/>
        <v>86</v>
      </c>
      <c r="B87" s="7" t="s">
        <v>2330</v>
      </c>
      <c r="C87" s="7" t="s">
        <v>3736</v>
      </c>
      <c r="D87" s="7" t="s">
        <v>3799</v>
      </c>
      <c r="E87" s="7" t="s">
        <v>3800</v>
      </c>
      <c r="F87" s="7"/>
      <c r="G87" s="7" t="s">
        <v>63</v>
      </c>
      <c r="H87" s="7" t="str">
        <f>IFERROR(VLOOKUP(Table2[[#This Row],[Ticket]],Okey!A:B,2,0),"")</f>
        <v>ok</v>
      </c>
      <c r="I87" s="7" t="s">
        <v>3679</v>
      </c>
      <c r="J87" s="7" t="str">
        <f>VLOOKUP(Table2[[#This Row],[Author]],People!A:B,2,0)</f>
        <v>MGF</v>
      </c>
      <c r="K87" s="7"/>
      <c r="L87" s="7"/>
      <c r="M87" s="16" t="s">
        <v>25</v>
      </c>
    </row>
    <row r="88" spans="1:13" x14ac:dyDescent="0.25">
      <c r="A88" s="22">
        <f t="shared" si="1"/>
        <v>87</v>
      </c>
      <c r="B88" s="6" t="s">
        <v>2330</v>
      </c>
      <c r="C88" s="6" t="s">
        <v>3736</v>
      </c>
      <c r="D88" s="6" t="s">
        <v>3801</v>
      </c>
      <c r="E88" s="6" t="s">
        <v>3802</v>
      </c>
      <c r="F88" s="6"/>
      <c r="G88" s="6" t="s">
        <v>63</v>
      </c>
      <c r="H88" s="6" t="str">
        <f>IFERROR(VLOOKUP(Table2[[#This Row],[Ticket]],Okey!A:B,2,0),"")</f>
        <v>ok</v>
      </c>
      <c r="I88" s="6" t="s">
        <v>3679</v>
      </c>
      <c r="J88" s="6" t="str">
        <f>VLOOKUP(Table2[[#This Row],[Author]],People!A:B,2,0)</f>
        <v>MGF</v>
      </c>
      <c r="K88" s="6"/>
      <c r="L88" s="6"/>
      <c r="M88" s="21" t="s">
        <v>25</v>
      </c>
    </row>
    <row r="89" spans="1:13" x14ac:dyDescent="0.25">
      <c r="A89" s="23">
        <f t="shared" si="1"/>
        <v>88</v>
      </c>
      <c r="B89" s="7" t="s">
        <v>2330</v>
      </c>
      <c r="C89" s="7" t="s">
        <v>3736</v>
      </c>
      <c r="D89" s="7" t="s">
        <v>3803</v>
      </c>
      <c r="E89" s="7" t="s">
        <v>3804</v>
      </c>
      <c r="F89" s="7"/>
      <c r="G89" s="7" t="s">
        <v>63</v>
      </c>
      <c r="H89" s="7" t="str">
        <f>IFERROR(VLOOKUP(Table2[[#This Row],[Ticket]],Okey!A:B,2,0),"")</f>
        <v>ok</v>
      </c>
      <c r="I89" s="7" t="s">
        <v>3679</v>
      </c>
      <c r="J89" s="7" t="str">
        <f>VLOOKUP(Table2[[#This Row],[Author]],People!A:B,2,0)</f>
        <v>MGF</v>
      </c>
      <c r="K89" s="7"/>
      <c r="L89" s="7"/>
      <c r="M89" s="16" t="s">
        <v>25</v>
      </c>
    </row>
    <row r="90" spans="1:13" x14ac:dyDescent="0.25">
      <c r="A90" s="22">
        <f t="shared" si="1"/>
        <v>89</v>
      </c>
      <c r="B90" s="6" t="s">
        <v>2330</v>
      </c>
      <c r="C90" s="6" t="s">
        <v>3736</v>
      </c>
      <c r="D90" s="6" t="s">
        <v>3805</v>
      </c>
      <c r="E90" s="6" t="s">
        <v>3806</v>
      </c>
      <c r="F90" s="6"/>
      <c r="G90" s="6" t="s">
        <v>63</v>
      </c>
      <c r="H90" s="6" t="str">
        <f>IFERROR(VLOOKUP(Table2[[#This Row],[Ticket]],Okey!A:B,2,0),"")</f>
        <v>ok</v>
      </c>
      <c r="I90" s="6" t="s">
        <v>3679</v>
      </c>
      <c r="J90" s="6" t="str">
        <f>VLOOKUP(Table2[[#This Row],[Author]],People!A:B,2,0)</f>
        <v>MGF</v>
      </c>
      <c r="K90" s="6"/>
      <c r="L90" s="6"/>
      <c r="M90" s="21" t="s">
        <v>25</v>
      </c>
    </row>
    <row r="91" spans="1:13" x14ac:dyDescent="0.25">
      <c r="A91" s="23">
        <f t="shared" si="1"/>
        <v>90</v>
      </c>
      <c r="B91" s="7" t="s">
        <v>2330</v>
      </c>
      <c r="C91" s="7" t="s">
        <v>3736</v>
      </c>
      <c r="D91" s="7" t="s">
        <v>3807</v>
      </c>
      <c r="E91" s="7" t="s">
        <v>3808</v>
      </c>
      <c r="F91" s="7"/>
      <c r="G91" s="7" t="s">
        <v>63</v>
      </c>
      <c r="H91" s="7" t="str">
        <f>IFERROR(VLOOKUP(Table2[[#This Row],[Ticket]],Okey!A:B,2,0),"")</f>
        <v>ok</v>
      </c>
      <c r="I91" s="7" t="s">
        <v>3679</v>
      </c>
      <c r="J91" s="7" t="str">
        <f>VLOOKUP(Table2[[#This Row],[Author]],People!A:B,2,0)</f>
        <v>MGF</v>
      </c>
      <c r="K91" s="7"/>
      <c r="L91" s="7"/>
      <c r="M91" s="16" t="s">
        <v>25</v>
      </c>
    </row>
    <row r="92" spans="1:13" x14ac:dyDescent="0.25">
      <c r="A92" s="22">
        <f t="shared" si="1"/>
        <v>91</v>
      </c>
      <c r="B92" s="6" t="s">
        <v>2330</v>
      </c>
      <c r="C92" s="6" t="s">
        <v>3736</v>
      </c>
      <c r="D92" s="6" t="s">
        <v>330</v>
      </c>
      <c r="E92" s="6" t="s">
        <v>3809</v>
      </c>
      <c r="F92" s="6"/>
      <c r="G92" s="6" t="s">
        <v>63</v>
      </c>
      <c r="H92" s="6" t="str">
        <f>IFERROR(VLOOKUP(Table2[[#This Row],[Ticket]],Okey!A:B,2,0),"")</f>
        <v>ok</v>
      </c>
      <c r="I92" s="6" t="s">
        <v>3679</v>
      </c>
      <c r="J92" s="6" t="str">
        <f>VLOOKUP(Table2[[#This Row],[Author]],People!A:B,2,0)</f>
        <v>MGF</v>
      </c>
      <c r="K92" s="6"/>
      <c r="L92" s="6"/>
      <c r="M92" s="21" t="s">
        <v>25</v>
      </c>
    </row>
    <row r="93" spans="1:13" x14ac:dyDescent="0.25">
      <c r="A93" s="23">
        <f t="shared" si="1"/>
        <v>92</v>
      </c>
      <c r="B93" s="7" t="s">
        <v>2330</v>
      </c>
      <c r="C93" s="7" t="s">
        <v>3736</v>
      </c>
      <c r="D93" s="7" t="s">
        <v>497</v>
      </c>
      <c r="E93" s="7" t="s">
        <v>3810</v>
      </c>
      <c r="F93" s="7"/>
      <c r="G93" s="7" t="s">
        <v>63</v>
      </c>
      <c r="H93" s="7" t="str">
        <f>IFERROR(VLOOKUP(Table2[[#This Row],[Ticket]],Okey!A:B,2,0),"")</f>
        <v>ok</v>
      </c>
      <c r="I93" s="7" t="s">
        <v>3679</v>
      </c>
      <c r="J93" s="7" t="str">
        <f>VLOOKUP(Table2[[#This Row],[Author]],People!A:B,2,0)</f>
        <v>MGF</v>
      </c>
      <c r="K93" s="7"/>
      <c r="L93" s="7"/>
      <c r="M93" s="16" t="s">
        <v>25</v>
      </c>
    </row>
    <row r="94" spans="1:13" x14ac:dyDescent="0.25">
      <c r="A94" s="22">
        <f t="shared" si="1"/>
        <v>93</v>
      </c>
      <c r="B94" s="6" t="s">
        <v>2330</v>
      </c>
      <c r="C94" s="6" t="s">
        <v>3736</v>
      </c>
      <c r="D94" s="6" t="s">
        <v>531</v>
      </c>
      <c r="E94" s="6" t="s">
        <v>3811</v>
      </c>
      <c r="F94" s="6"/>
      <c r="G94" s="6" t="s">
        <v>63</v>
      </c>
      <c r="H94" s="6" t="str">
        <f>IFERROR(VLOOKUP(Table2[[#This Row],[Ticket]],Okey!A:B,2,0),"")</f>
        <v>ok</v>
      </c>
      <c r="I94" s="6" t="s">
        <v>3679</v>
      </c>
      <c r="J94" s="6" t="str">
        <f>VLOOKUP(Table2[[#This Row],[Author]],People!A:B,2,0)</f>
        <v>MGF</v>
      </c>
      <c r="K94" s="6"/>
      <c r="L94" s="6"/>
      <c r="M94" s="21" t="s">
        <v>25</v>
      </c>
    </row>
    <row r="95" spans="1:13" x14ac:dyDescent="0.25">
      <c r="A95" s="23">
        <f t="shared" si="1"/>
        <v>94</v>
      </c>
      <c r="B95" s="7" t="s">
        <v>2330</v>
      </c>
      <c r="C95" s="7" t="s">
        <v>3736</v>
      </c>
      <c r="D95" s="7" t="s">
        <v>500</v>
      </c>
      <c r="E95" s="7" t="s">
        <v>3812</v>
      </c>
      <c r="F95" s="7"/>
      <c r="G95" s="7" t="s">
        <v>63</v>
      </c>
      <c r="H95" s="7" t="str">
        <f>IFERROR(VLOOKUP(Table2[[#This Row],[Ticket]],Okey!A:B,2,0),"")</f>
        <v>ok</v>
      </c>
      <c r="I95" s="7" t="s">
        <v>3679</v>
      </c>
      <c r="J95" s="7" t="str">
        <f>VLOOKUP(Table2[[#This Row],[Author]],People!A:B,2,0)</f>
        <v>MGF</v>
      </c>
      <c r="K95" s="7"/>
      <c r="L95" s="7"/>
      <c r="M95" s="16" t="s">
        <v>25</v>
      </c>
    </row>
    <row r="96" spans="1:13" x14ac:dyDescent="0.25">
      <c r="A96" s="22">
        <f t="shared" si="1"/>
        <v>95</v>
      </c>
      <c r="B96" s="6" t="s">
        <v>2330</v>
      </c>
      <c r="C96" s="6" t="s">
        <v>3736</v>
      </c>
      <c r="D96" s="6" t="s">
        <v>502</v>
      </c>
      <c r="E96" s="6" t="s">
        <v>3813</v>
      </c>
      <c r="F96" s="6"/>
      <c r="G96" s="6" t="s">
        <v>63</v>
      </c>
      <c r="H96" s="6" t="str">
        <f>IFERROR(VLOOKUP(Table2[[#This Row],[Ticket]],Okey!A:B,2,0),"")</f>
        <v>ok</v>
      </c>
      <c r="I96" s="6" t="s">
        <v>3679</v>
      </c>
      <c r="J96" s="6" t="str">
        <f>VLOOKUP(Table2[[#This Row],[Author]],People!A:B,2,0)</f>
        <v>MGF</v>
      </c>
      <c r="K96" s="6"/>
      <c r="L96" s="6"/>
      <c r="M96" s="21" t="s">
        <v>25</v>
      </c>
    </row>
    <row r="97" spans="1:13" x14ac:dyDescent="0.25">
      <c r="A97" s="23">
        <f t="shared" si="1"/>
        <v>96</v>
      </c>
      <c r="B97" s="7" t="s">
        <v>2330</v>
      </c>
      <c r="C97" s="7" t="s">
        <v>3736</v>
      </c>
      <c r="D97" s="7" t="s">
        <v>2333</v>
      </c>
      <c r="E97" s="7" t="s">
        <v>2340</v>
      </c>
      <c r="F97" s="7"/>
      <c r="G97" s="7" t="s">
        <v>63</v>
      </c>
      <c r="H97" s="7" t="str">
        <f>IFERROR(VLOOKUP(Table2[[#This Row],[Ticket]],Okey!A:B,2,0),"")</f>
        <v>ok</v>
      </c>
      <c r="I97" s="7" t="s">
        <v>3679</v>
      </c>
      <c r="J97" s="7" t="str">
        <f>VLOOKUP(Table2[[#This Row],[Author]],People!A:B,2,0)</f>
        <v>MGF</v>
      </c>
      <c r="K97" s="7"/>
      <c r="L97" s="7"/>
      <c r="M97" s="16" t="s">
        <v>25</v>
      </c>
    </row>
    <row r="98" spans="1:13" x14ac:dyDescent="0.25">
      <c r="A98" s="22">
        <f t="shared" si="1"/>
        <v>97</v>
      </c>
      <c r="B98" s="6" t="s">
        <v>2330</v>
      </c>
      <c r="C98" s="6" t="s">
        <v>3736</v>
      </c>
      <c r="D98" s="6" t="s">
        <v>511</v>
      </c>
      <c r="E98" s="6" t="s">
        <v>3814</v>
      </c>
      <c r="F98" s="6"/>
      <c r="G98" s="6" t="s">
        <v>63</v>
      </c>
      <c r="H98" s="6" t="str">
        <f>IFERROR(VLOOKUP(Table2[[#This Row],[Ticket]],Okey!A:B,2,0),"")</f>
        <v>ok</v>
      </c>
      <c r="I98" s="6" t="s">
        <v>3679</v>
      </c>
      <c r="J98" s="6" t="str">
        <f>VLOOKUP(Table2[[#This Row],[Author]],People!A:B,2,0)</f>
        <v>MGF</v>
      </c>
      <c r="K98" s="6"/>
      <c r="L98" s="6"/>
      <c r="M98" s="21" t="s">
        <v>25</v>
      </c>
    </row>
    <row r="99" spans="1:13" x14ac:dyDescent="0.25">
      <c r="A99" s="23">
        <f t="shared" si="1"/>
        <v>98</v>
      </c>
      <c r="B99" s="7" t="s">
        <v>2330</v>
      </c>
      <c r="C99" s="7" t="s">
        <v>3736</v>
      </c>
      <c r="D99" s="7" t="s">
        <v>499</v>
      </c>
      <c r="E99" s="7" t="s">
        <v>3815</v>
      </c>
      <c r="F99" s="7"/>
      <c r="G99" s="7" t="s">
        <v>63</v>
      </c>
      <c r="H99" s="7" t="str">
        <f>IFERROR(VLOOKUP(Table2[[#This Row],[Ticket]],Okey!A:B,2,0),"")</f>
        <v>ok</v>
      </c>
      <c r="I99" s="7" t="s">
        <v>3679</v>
      </c>
      <c r="J99" s="7" t="str">
        <f>VLOOKUP(Table2[[#This Row],[Author]],People!A:B,2,0)</f>
        <v>MGF</v>
      </c>
      <c r="K99" s="7"/>
      <c r="L99" s="7"/>
      <c r="M99" s="16" t="s">
        <v>25</v>
      </c>
    </row>
    <row r="100" spans="1:13" x14ac:dyDescent="0.25">
      <c r="A100" s="22">
        <f t="shared" si="1"/>
        <v>99</v>
      </c>
      <c r="B100" s="6" t="s">
        <v>2330</v>
      </c>
      <c r="C100" s="6" t="s">
        <v>3736</v>
      </c>
      <c r="D100" s="6" t="s">
        <v>456</v>
      </c>
      <c r="E100" s="6" t="s">
        <v>3816</v>
      </c>
      <c r="F100" s="6"/>
      <c r="G100" s="6" t="s">
        <v>63</v>
      </c>
      <c r="H100" s="6" t="str">
        <f>IFERROR(VLOOKUP(Table2[[#This Row],[Ticket]],Okey!A:B,2,0),"")</f>
        <v>ok</v>
      </c>
      <c r="I100" s="6" t="s">
        <v>3679</v>
      </c>
      <c r="J100" s="6" t="str">
        <f>VLOOKUP(Table2[[#This Row],[Author]],People!A:B,2,0)</f>
        <v>MGF</v>
      </c>
      <c r="K100" s="6"/>
      <c r="L100" s="6"/>
      <c r="M100" s="21" t="s">
        <v>25</v>
      </c>
    </row>
    <row r="101" spans="1:13" x14ac:dyDescent="0.25">
      <c r="A101" s="23">
        <f t="shared" si="1"/>
        <v>100</v>
      </c>
      <c r="B101" s="7" t="s">
        <v>2330</v>
      </c>
      <c r="C101" s="7" t="s">
        <v>3736</v>
      </c>
      <c r="D101" s="7" t="s">
        <v>458</v>
      </c>
      <c r="E101" s="7" t="s">
        <v>3817</v>
      </c>
      <c r="F101" s="7"/>
      <c r="G101" s="7" t="s">
        <v>63</v>
      </c>
      <c r="H101" s="7" t="str">
        <f>IFERROR(VLOOKUP(Table2[[#This Row],[Ticket]],Okey!A:B,2,0),"")</f>
        <v>ok</v>
      </c>
      <c r="I101" s="7" t="s">
        <v>3679</v>
      </c>
      <c r="J101" s="7" t="str">
        <f>VLOOKUP(Table2[[#This Row],[Author]],People!A:B,2,0)</f>
        <v>MGF</v>
      </c>
      <c r="K101" s="7"/>
      <c r="L101" s="7"/>
      <c r="M101" s="16" t="s">
        <v>25</v>
      </c>
    </row>
    <row r="102" spans="1:13" x14ac:dyDescent="0.25">
      <c r="A102" s="22">
        <f t="shared" si="1"/>
        <v>101</v>
      </c>
      <c r="B102" s="6" t="s">
        <v>2330</v>
      </c>
      <c r="C102" s="6" t="s">
        <v>3736</v>
      </c>
      <c r="D102" s="6" t="s">
        <v>460</v>
      </c>
      <c r="E102" s="6" t="s">
        <v>461</v>
      </c>
      <c r="F102" s="6"/>
      <c r="G102" s="6" t="s">
        <v>63</v>
      </c>
      <c r="H102" s="6" t="str">
        <f>IFERROR(VLOOKUP(Table2[[#This Row],[Ticket]],Okey!A:B,2,0),"")</f>
        <v>ok</v>
      </c>
      <c r="I102" s="6" t="s">
        <v>3679</v>
      </c>
      <c r="J102" s="6" t="str">
        <f>VLOOKUP(Table2[[#This Row],[Author]],People!A:B,2,0)</f>
        <v>MGF</v>
      </c>
      <c r="K102" s="6"/>
      <c r="L102" s="6"/>
      <c r="M102" s="21" t="s">
        <v>25</v>
      </c>
    </row>
    <row r="103" spans="1:13" x14ac:dyDescent="0.25">
      <c r="A103" s="23">
        <f t="shared" si="1"/>
        <v>102</v>
      </c>
      <c r="B103" s="7" t="s">
        <v>2330</v>
      </c>
      <c r="C103" s="7" t="s">
        <v>3736</v>
      </c>
      <c r="D103" s="7" t="s">
        <v>383</v>
      </c>
      <c r="E103" s="7" t="s">
        <v>3818</v>
      </c>
      <c r="F103" s="7"/>
      <c r="G103" s="7" t="s">
        <v>63</v>
      </c>
      <c r="H103" s="7" t="str">
        <f>IFERROR(VLOOKUP(Table2[[#This Row],[Ticket]],Okey!A:B,2,0),"")</f>
        <v>ok</v>
      </c>
      <c r="I103" s="7" t="s">
        <v>3679</v>
      </c>
      <c r="J103" s="7" t="str">
        <f>VLOOKUP(Table2[[#This Row],[Author]],People!A:B,2,0)</f>
        <v>MGF</v>
      </c>
      <c r="K103" s="7"/>
      <c r="L103" s="7"/>
      <c r="M103" s="16" t="s">
        <v>25</v>
      </c>
    </row>
    <row r="104" spans="1:13" x14ac:dyDescent="0.25">
      <c r="A104" s="22">
        <f t="shared" si="1"/>
        <v>103</v>
      </c>
      <c r="B104" s="6" t="s">
        <v>2330</v>
      </c>
      <c r="C104" s="6" t="s">
        <v>3736</v>
      </c>
      <c r="D104" s="6" t="s">
        <v>377</v>
      </c>
      <c r="E104" s="6" t="s">
        <v>3819</v>
      </c>
      <c r="F104" s="6"/>
      <c r="G104" s="6" t="s">
        <v>63</v>
      </c>
      <c r="H104" s="6" t="str">
        <f>IFERROR(VLOOKUP(Table2[[#This Row],[Ticket]],Okey!A:B,2,0),"")</f>
        <v>ok</v>
      </c>
      <c r="I104" s="6" t="s">
        <v>3679</v>
      </c>
      <c r="J104" s="6" t="str">
        <f>VLOOKUP(Table2[[#This Row],[Author]],People!A:B,2,0)</f>
        <v>MGF</v>
      </c>
      <c r="K104" s="6"/>
      <c r="L104" s="6"/>
      <c r="M104" s="21" t="s">
        <v>25</v>
      </c>
    </row>
    <row r="105" spans="1:13" x14ac:dyDescent="0.25">
      <c r="A105" s="23">
        <f t="shared" si="1"/>
        <v>104</v>
      </c>
      <c r="B105" s="7" t="s">
        <v>2330</v>
      </c>
      <c r="C105" s="7" t="s">
        <v>3736</v>
      </c>
      <c r="D105" s="7" t="s">
        <v>482</v>
      </c>
      <c r="E105" s="7" t="s">
        <v>3820</v>
      </c>
      <c r="F105" s="7"/>
      <c r="G105" s="7" t="s">
        <v>63</v>
      </c>
      <c r="H105" s="7" t="str">
        <f>IFERROR(VLOOKUP(Table2[[#This Row],[Ticket]],Okey!A:B,2,0),"")</f>
        <v>ok</v>
      </c>
      <c r="I105" s="7" t="s">
        <v>3679</v>
      </c>
      <c r="J105" s="7" t="str">
        <f>VLOOKUP(Table2[[#This Row],[Author]],People!A:B,2,0)</f>
        <v>MGF</v>
      </c>
      <c r="K105" s="7"/>
      <c r="L105" s="7"/>
      <c r="M105" s="16" t="s">
        <v>25</v>
      </c>
    </row>
    <row r="106" spans="1:13" x14ac:dyDescent="0.25">
      <c r="A106" s="22">
        <f t="shared" si="1"/>
        <v>105</v>
      </c>
      <c r="B106" s="6" t="s">
        <v>2330</v>
      </c>
      <c r="C106" s="6" t="s">
        <v>3736</v>
      </c>
      <c r="D106" s="6" t="s">
        <v>3821</v>
      </c>
      <c r="E106" s="6" t="s">
        <v>3822</v>
      </c>
      <c r="F106" s="6"/>
      <c r="G106" s="6" t="s">
        <v>63</v>
      </c>
      <c r="H106" s="6" t="str">
        <f>IFERROR(VLOOKUP(Table2[[#This Row],[Ticket]],Okey!A:B,2,0),"")</f>
        <v>ok</v>
      </c>
      <c r="I106" s="6" t="s">
        <v>3679</v>
      </c>
      <c r="J106" s="6" t="str">
        <f>VLOOKUP(Table2[[#This Row],[Author]],People!A:B,2,0)</f>
        <v>MGF</v>
      </c>
      <c r="K106" s="6"/>
      <c r="L106" s="6"/>
      <c r="M106" s="21" t="s">
        <v>25</v>
      </c>
    </row>
    <row r="107" spans="1:13" x14ac:dyDescent="0.25">
      <c r="A107" s="23">
        <f t="shared" si="1"/>
        <v>106</v>
      </c>
      <c r="B107" s="7" t="s">
        <v>2330</v>
      </c>
      <c r="C107" s="7" t="s">
        <v>3736</v>
      </c>
      <c r="D107" s="7" t="s">
        <v>3823</v>
      </c>
      <c r="E107" s="7" t="s">
        <v>3824</v>
      </c>
      <c r="F107" s="7"/>
      <c r="G107" s="7" t="s">
        <v>63</v>
      </c>
      <c r="H107" s="7" t="str">
        <f>IFERROR(VLOOKUP(Table2[[#This Row],[Ticket]],Okey!A:B,2,0),"")</f>
        <v>ok</v>
      </c>
      <c r="I107" s="7" t="s">
        <v>3679</v>
      </c>
      <c r="J107" s="7" t="str">
        <f>VLOOKUP(Table2[[#This Row],[Author]],People!A:B,2,0)</f>
        <v>MGF</v>
      </c>
      <c r="K107" s="7"/>
      <c r="L107" s="7"/>
      <c r="M107" s="16" t="s">
        <v>25</v>
      </c>
    </row>
    <row r="108" spans="1:13" x14ac:dyDescent="0.25">
      <c r="A108" s="22">
        <f t="shared" si="1"/>
        <v>107</v>
      </c>
      <c r="B108" s="6" t="s">
        <v>2330</v>
      </c>
      <c r="C108" s="6" t="s">
        <v>3736</v>
      </c>
      <c r="D108" s="6" t="s">
        <v>3825</v>
      </c>
      <c r="E108" s="6" t="s">
        <v>3826</v>
      </c>
      <c r="F108" s="6"/>
      <c r="G108" s="6" t="s">
        <v>63</v>
      </c>
      <c r="H108" s="6" t="str">
        <f>IFERROR(VLOOKUP(Table2[[#This Row],[Ticket]],Okey!A:B,2,0),"")</f>
        <v>ok</v>
      </c>
      <c r="I108" s="6" t="s">
        <v>3679</v>
      </c>
      <c r="J108" s="6" t="str">
        <f>VLOOKUP(Table2[[#This Row],[Author]],People!A:B,2,0)</f>
        <v>MGF</v>
      </c>
      <c r="K108" s="6"/>
      <c r="L108" s="6"/>
      <c r="M108" s="21" t="s">
        <v>25</v>
      </c>
    </row>
    <row r="109" spans="1:13" x14ac:dyDescent="0.25">
      <c r="A109" s="23">
        <f t="shared" si="1"/>
        <v>108</v>
      </c>
      <c r="B109" s="7" t="s">
        <v>2330</v>
      </c>
      <c r="C109" s="7" t="s">
        <v>3736</v>
      </c>
      <c r="D109" s="7" t="s">
        <v>3827</v>
      </c>
      <c r="E109" s="7" t="s">
        <v>3828</v>
      </c>
      <c r="F109" s="7"/>
      <c r="G109" s="7" t="s">
        <v>63</v>
      </c>
      <c r="H109" s="7" t="str">
        <f>IFERROR(VLOOKUP(Table2[[#This Row],[Ticket]],Okey!A:B,2,0),"")</f>
        <v>ok</v>
      </c>
      <c r="I109" s="7" t="s">
        <v>3679</v>
      </c>
      <c r="J109" s="7" t="str">
        <f>VLOOKUP(Table2[[#This Row],[Author]],People!A:B,2,0)</f>
        <v>MGF</v>
      </c>
      <c r="K109" s="7"/>
      <c r="L109" s="7"/>
      <c r="M109" s="16" t="s">
        <v>25</v>
      </c>
    </row>
    <row r="110" spans="1:13" x14ac:dyDescent="0.25">
      <c r="A110" s="22">
        <f t="shared" si="1"/>
        <v>109</v>
      </c>
      <c r="B110" s="6" t="s">
        <v>2330</v>
      </c>
      <c r="C110" s="6" t="s">
        <v>3736</v>
      </c>
      <c r="D110" s="6" t="s">
        <v>22</v>
      </c>
      <c r="E110" s="6" t="s">
        <v>3829</v>
      </c>
      <c r="F110" s="6"/>
      <c r="G110" s="6" t="s">
        <v>63</v>
      </c>
      <c r="H110" s="6" t="str">
        <f>IFERROR(VLOOKUP(Table2[[#This Row],[Ticket]],Okey!A:B,2,0),"")</f>
        <v>ok</v>
      </c>
      <c r="I110" s="6" t="s">
        <v>3679</v>
      </c>
      <c r="J110" s="6" t="str">
        <f>VLOOKUP(Table2[[#This Row],[Author]],People!A:B,2,0)</f>
        <v>MGF</v>
      </c>
      <c r="K110" s="6"/>
      <c r="L110" s="6"/>
      <c r="M110" s="21" t="s">
        <v>25</v>
      </c>
    </row>
    <row r="111" spans="1:13" x14ac:dyDescent="0.25">
      <c r="A111" s="23">
        <f t="shared" si="1"/>
        <v>110</v>
      </c>
      <c r="B111" s="7" t="s">
        <v>2330</v>
      </c>
      <c r="C111" s="7" t="s">
        <v>3736</v>
      </c>
      <c r="D111" s="7" t="s">
        <v>3830</v>
      </c>
      <c r="E111" s="7" t="s">
        <v>3831</v>
      </c>
      <c r="F111" s="7"/>
      <c r="G111" s="7" t="s">
        <v>63</v>
      </c>
      <c r="H111" s="7" t="str">
        <f>IFERROR(VLOOKUP(Table2[[#This Row],[Ticket]],Okey!A:B,2,0),"")</f>
        <v>ok</v>
      </c>
      <c r="I111" s="7" t="s">
        <v>3679</v>
      </c>
      <c r="J111" s="7" t="str">
        <f>VLOOKUP(Table2[[#This Row],[Author]],People!A:B,2,0)</f>
        <v>MGF</v>
      </c>
      <c r="K111" s="7"/>
      <c r="L111" s="7"/>
      <c r="M111" s="16" t="s">
        <v>25</v>
      </c>
    </row>
    <row r="112" spans="1:13" x14ac:dyDescent="0.25">
      <c r="A112" s="22">
        <f t="shared" si="1"/>
        <v>111</v>
      </c>
      <c r="B112" s="6" t="s">
        <v>2330</v>
      </c>
      <c r="C112" s="6" t="s">
        <v>3736</v>
      </c>
      <c r="D112" s="6" t="s">
        <v>3832</v>
      </c>
      <c r="E112" s="6" t="s">
        <v>3833</v>
      </c>
      <c r="F112" s="6"/>
      <c r="G112" s="6" t="s">
        <v>63</v>
      </c>
      <c r="H112" s="6" t="str">
        <f>IFERROR(VLOOKUP(Table2[[#This Row],[Ticket]],Okey!A:B,2,0),"")</f>
        <v>ok</v>
      </c>
      <c r="I112" s="6" t="s">
        <v>3679</v>
      </c>
      <c r="J112" s="6" t="str">
        <f>VLOOKUP(Table2[[#This Row],[Author]],People!A:B,2,0)</f>
        <v>MGF</v>
      </c>
      <c r="K112" s="6"/>
      <c r="L112" s="6"/>
      <c r="M112" s="21" t="s">
        <v>25</v>
      </c>
    </row>
    <row r="113" spans="1:13" x14ac:dyDescent="0.25">
      <c r="A113" s="23">
        <f t="shared" si="1"/>
        <v>112</v>
      </c>
      <c r="B113" s="7" t="s">
        <v>2330</v>
      </c>
      <c r="C113" s="7" t="s">
        <v>3736</v>
      </c>
      <c r="D113" s="7" t="s">
        <v>3834</v>
      </c>
      <c r="E113" s="7" t="s">
        <v>3835</v>
      </c>
      <c r="F113" s="7"/>
      <c r="G113" s="7" t="s">
        <v>63</v>
      </c>
      <c r="H113" s="7" t="str">
        <f>IFERROR(VLOOKUP(Table2[[#This Row],[Ticket]],Okey!A:B,2,0),"")</f>
        <v>ok</v>
      </c>
      <c r="I113" s="7" t="s">
        <v>3679</v>
      </c>
      <c r="J113" s="7" t="str">
        <f>VLOOKUP(Table2[[#This Row],[Author]],People!A:B,2,0)</f>
        <v>MGF</v>
      </c>
      <c r="K113" s="7"/>
      <c r="L113" s="7"/>
      <c r="M113" s="16" t="s">
        <v>25</v>
      </c>
    </row>
    <row r="114" spans="1:13" x14ac:dyDescent="0.25">
      <c r="A114" s="22">
        <f t="shared" si="1"/>
        <v>113</v>
      </c>
      <c r="B114" s="6" t="s">
        <v>2330</v>
      </c>
      <c r="C114" s="6" t="s">
        <v>3736</v>
      </c>
      <c r="D114" s="6" t="s">
        <v>3836</v>
      </c>
      <c r="E114" s="6" t="s">
        <v>3837</v>
      </c>
      <c r="F114" s="6"/>
      <c r="G114" s="6" t="s">
        <v>63</v>
      </c>
      <c r="H114" s="6" t="str">
        <f>IFERROR(VLOOKUP(Table2[[#This Row],[Ticket]],Okey!A:B,2,0),"")</f>
        <v>ok</v>
      </c>
      <c r="I114" s="6" t="s">
        <v>3679</v>
      </c>
      <c r="J114" s="6" t="str">
        <f>VLOOKUP(Table2[[#This Row],[Author]],People!A:B,2,0)</f>
        <v>MGF</v>
      </c>
      <c r="K114" s="6"/>
      <c r="L114" s="6"/>
      <c r="M114" s="21" t="s">
        <v>25</v>
      </c>
    </row>
    <row r="115" spans="1:13" x14ac:dyDescent="0.25">
      <c r="A115" s="23">
        <f t="shared" si="1"/>
        <v>114</v>
      </c>
      <c r="B115" s="7" t="s">
        <v>2330</v>
      </c>
      <c r="C115" s="7" t="s">
        <v>3736</v>
      </c>
      <c r="D115" s="7" t="s">
        <v>3838</v>
      </c>
      <c r="E115" s="7" t="s">
        <v>3839</v>
      </c>
      <c r="F115" s="7"/>
      <c r="G115" s="7" t="s">
        <v>63</v>
      </c>
      <c r="H115" s="7" t="str">
        <f>IFERROR(VLOOKUP(Table2[[#This Row],[Ticket]],Okey!A:B,2,0),"")</f>
        <v>ok</v>
      </c>
      <c r="I115" s="7" t="s">
        <v>3679</v>
      </c>
      <c r="J115" s="7" t="str">
        <f>VLOOKUP(Table2[[#This Row],[Author]],People!A:B,2,0)</f>
        <v>MGF</v>
      </c>
      <c r="K115" s="7"/>
      <c r="L115" s="7"/>
      <c r="M115" s="16" t="s">
        <v>25</v>
      </c>
    </row>
    <row r="116" spans="1:13" x14ac:dyDescent="0.25">
      <c r="A116" s="22">
        <f t="shared" si="1"/>
        <v>115</v>
      </c>
      <c r="B116" s="6" t="s">
        <v>2330</v>
      </c>
      <c r="C116" s="6" t="s">
        <v>3736</v>
      </c>
      <c r="D116" s="6" t="s">
        <v>3840</v>
      </c>
      <c r="E116" s="6" t="s">
        <v>3841</v>
      </c>
      <c r="F116" s="6"/>
      <c r="G116" s="6" t="s">
        <v>63</v>
      </c>
      <c r="H116" s="6" t="str">
        <f>IFERROR(VLOOKUP(Table2[[#This Row],[Ticket]],Okey!A:B,2,0),"")</f>
        <v>ok</v>
      </c>
      <c r="I116" s="6" t="s">
        <v>3679</v>
      </c>
      <c r="J116" s="6" t="str">
        <f>VLOOKUP(Table2[[#This Row],[Author]],People!A:B,2,0)</f>
        <v>MGF</v>
      </c>
      <c r="K116" s="6"/>
      <c r="L116" s="6"/>
      <c r="M116" s="21" t="s">
        <v>25</v>
      </c>
    </row>
    <row r="117" spans="1:13" x14ac:dyDescent="0.25">
      <c r="A117" s="23">
        <f t="shared" si="1"/>
        <v>116</v>
      </c>
      <c r="B117" s="7" t="s">
        <v>2330</v>
      </c>
      <c r="C117" s="7" t="s">
        <v>3736</v>
      </c>
      <c r="D117" s="7" t="s">
        <v>3842</v>
      </c>
      <c r="E117" s="7" t="s">
        <v>3843</v>
      </c>
      <c r="F117" s="7"/>
      <c r="G117" s="7" t="s">
        <v>63</v>
      </c>
      <c r="H117" s="7" t="str">
        <f>IFERROR(VLOOKUP(Table2[[#This Row],[Ticket]],Okey!A:B,2,0),"")</f>
        <v>ok</v>
      </c>
      <c r="I117" s="7" t="s">
        <v>3679</v>
      </c>
      <c r="J117" s="7" t="str">
        <f>VLOOKUP(Table2[[#This Row],[Author]],People!A:B,2,0)</f>
        <v>MGF</v>
      </c>
      <c r="K117" s="7"/>
      <c r="L117" s="7"/>
      <c r="M117" s="16" t="s">
        <v>25</v>
      </c>
    </row>
    <row r="118" spans="1:13" x14ac:dyDescent="0.25">
      <c r="A118" s="22">
        <f t="shared" si="1"/>
        <v>117</v>
      </c>
      <c r="B118" s="6" t="s">
        <v>2330</v>
      </c>
      <c r="C118" s="6" t="s">
        <v>3736</v>
      </c>
      <c r="D118" s="6" t="s">
        <v>509</v>
      </c>
      <c r="E118" s="6" t="s">
        <v>3844</v>
      </c>
      <c r="F118" s="6"/>
      <c r="G118" s="6" t="s">
        <v>63</v>
      </c>
      <c r="H118" s="6" t="str">
        <f>IFERROR(VLOOKUP(Table2[[#This Row],[Ticket]],Okey!A:B,2,0),"")</f>
        <v>ok</v>
      </c>
      <c r="I118" s="6" t="s">
        <v>3679</v>
      </c>
      <c r="J118" s="6" t="str">
        <f>VLOOKUP(Table2[[#This Row],[Author]],People!A:B,2,0)</f>
        <v>MGF</v>
      </c>
      <c r="K118" s="6"/>
      <c r="L118" s="6"/>
      <c r="M118" s="21" t="s">
        <v>25</v>
      </c>
    </row>
    <row r="119" spans="1:13" x14ac:dyDescent="0.25">
      <c r="A119" s="23">
        <f t="shared" si="1"/>
        <v>118</v>
      </c>
      <c r="B119" s="7" t="s">
        <v>2330</v>
      </c>
      <c r="C119" s="7" t="s">
        <v>3736</v>
      </c>
      <c r="D119" s="7" t="s">
        <v>513</v>
      </c>
      <c r="E119" s="7" t="s">
        <v>3845</v>
      </c>
      <c r="F119" s="7"/>
      <c r="G119" s="7" t="s">
        <v>63</v>
      </c>
      <c r="H119" s="7" t="str">
        <f>IFERROR(VLOOKUP(Table2[[#This Row],[Ticket]],Okey!A:B,2,0),"")</f>
        <v>ok</v>
      </c>
      <c r="I119" s="7" t="s">
        <v>3679</v>
      </c>
      <c r="J119" s="7" t="str">
        <f>VLOOKUP(Table2[[#This Row],[Author]],People!A:B,2,0)</f>
        <v>MGF</v>
      </c>
      <c r="K119" s="7"/>
      <c r="L119" s="7"/>
      <c r="M119" s="16" t="s">
        <v>25</v>
      </c>
    </row>
    <row r="120" spans="1:13" x14ac:dyDescent="0.25">
      <c r="A120" s="22">
        <f t="shared" si="1"/>
        <v>119</v>
      </c>
      <c r="B120" s="6" t="s">
        <v>2330</v>
      </c>
      <c r="C120" s="6" t="s">
        <v>3736</v>
      </c>
      <c r="D120" s="6" t="s">
        <v>3846</v>
      </c>
      <c r="E120" s="6" t="s">
        <v>3847</v>
      </c>
      <c r="F120" s="6"/>
      <c r="G120" s="6" t="s">
        <v>63</v>
      </c>
      <c r="H120" s="6" t="str">
        <f>IFERROR(VLOOKUP(Table2[[#This Row],[Ticket]],Okey!A:B,2,0),"")</f>
        <v>ok</v>
      </c>
      <c r="I120" s="6" t="s">
        <v>3679</v>
      </c>
      <c r="J120" s="6" t="str">
        <f>VLOOKUP(Table2[[#This Row],[Author]],People!A:B,2,0)</f>
        <v>MGF</v>
      </c>
      <c r="K120" s="6"/>
      <c r="L120" s="6"/>
      <c r="M120" s="21" t="s">
        <v>25</v>
      </c>
    </row>
    <row r="121" spans="1:13" x14ac:dyDescent="0.25">
      <c r="A121" s="23">
        <f t="shared" si="1"/>
        <v>120</v>
      </c>
      <c r="B121" s="7" t="s">
        <v>2330</v>
      </c>
      <c r="C121" s="7" t="s">
        <v>3736</v>
      </c>
      <c r="D121" s="7" t="s">
        <v>395</v>
      </c>
      <c r="E121" s="7" t="s">
        <v>3848</v>
      </c>
      <c r="F121" s="7"/>
      <c r="G121" s="7" t="s">
        <v>63</v>
      </c>
      <c r="H121" s="7" t="str">
        <f>IFERROR(VLOOKUP(Table2[[#This Row],[Ticket]],Okey!A:B,2,0),"")</f>
        <v>ok</v>
      </c>
      <c r="I121" s="7" t="s">
        <v>3679</v>
      </c>
      <c r="J121" s="7" t="str">
        <f>VLOOKUP(Table2[[#This Row],[Author]],People!A:B,2,0)</f>
        <v>MGF</v>
      </c>
      <c r="K121" s="7"/>
      <c r="L121" s="7"/>
      <c r="M121" s="16" t="s">
        <v>25</v>
      </c>
    </row>
    <row r="122" spans="1:13" x14ac:dyDescent="0.25">
      <c r="A122" s="22">
        <f t="shared" si="1"/>
        <v>121</v>
      </c>
      <c r="B122" s="6" t="s">
        <v>2330</v>
      </c>
      <c r="C122" s="6" t="s">
        <v>3736</v>
      </c>
      <c r="D122" s="6" t="s">
        <v>462</v>
      </c>
      <c r="E122" s="6" t="s">
        <v>3849</v>
      </c>
      <c r="F122" s="6"/>
      <c r="G122" s="6" t="s">
        <v>63</v>
      </c>
      <c r="H122" s="6" t="str">
        <f>IFERROR(VLOOKUP(Table2[[#This Row],[Ticket]],Okey!A:B,2,0),"")</f>
        <v>ok</v>
      </c>
      <c r="I122" s="6" t="s">
        <v>3679</v>
      </c>
      <c r="J122" s="6" t="str">
        <f>VLOOKUP(Table2[[#This Row],[Author]],People!A:B,2,0)</f>
        <v>MGF</v>
      </c>
      <c r="K122" s="6"/>
      <c r="L122" s="6"/>
      <c r="M122" s="21" t="s">
        <v>25</v>
      </c>
    </row>
    <row r="123" spans="1:13" x14ac:dyDescent="0.25">
      <c r="A123" s="23">
        <f t="shared" si="1"/>
        <v>122</v>
      </c>
      <c r="B123" s="7" t="s">
        <v>2330</v>
      </c>
      <c r="C123" s="7" t="s">
        <v>3736</v>
      </c>
      <c r="D123" s="7" t="s">
        <v>464</v>
      </c>
      <c r="E123" s="7" t="s">
        <v>3850</v>
      </c>
      <c r="F123" s="7"/>
      <c r="G123" s="7" t="s">
        <v>63</v>
      </c>
      <c r="H123" s="7" t="str">
        <f>IFERROR(VLOOKUP(Table2[[#This Row],[Ticket]],Okey!A:B,2,0),"")</f>
        <v>ok</v>
      </c>
      <c r="I123" s="7" t="s">
        <v>3679</v>
      </c>
      <c r="J123" s="7" t="str">
        <f>VLOOKUP(Table2[[#This Row],[Author]],People!A:B,2,0)</f>
        <v>MGF</v>
      </c>
      <c r="K123" s="7"/>
      <c r="L123" s="7"/>
      <c r="M123" s="16" t="s">
        <v>25</v>
      </c>
    </row>
    <row r="124" spans="1:13" x14ac:dyDescent="0.25">
      <c r="A124" s="22">
        <f t="shared" si="1"/>
        <v>123</v>
      </c>
      <c r="B124" s="6" t="s">
        <v>2330</v>
      </c>
      <c r="C124" s="6" t="s">
        <v>3736</v>
      </c>
      <c r="D124" s="6" t="s">
        <v>466</v>
      </c>
      <c r="E124" s="6" t="s">
        <v>3851</v>
      </c>
      <c r="F124" s="6"/>
      <c r="G124" s="6" t="s">
        <v>63</v>
      </c>
      <c r="H124" s="6" t="str">
        <f>IFERROR(VLOOKUP(Table2[[#This Row],[Ticket]],Okey!A:B,2,0),"")</f>
        <v>ok</v>
      </c>
      <c r="I124" s="6" t="s">
        <v>3679</v>
      </c>
      <c r="J124" s="6" t="str">
        <f>VLOOKUP(Table2[[#This Row],[Author]],People!A:B,2,0)</f>
        <v>MGF</v>
      </c>
      <c r="K124" s="6"/>
      <c r="L124" s="6"/>
      <c r="M124" s="21" t="s">
        <v>25</v>
      </c>
    </row>
    <row r="125" spans="1:13" x14ac:dyDescent="0.25">
      <c r="A125" s="23">
        <f t="shared" si="1"/>
        <v>124</v>
      </c>
      <c r="B125" s="7" t="s">
        <v>2330</v>
      </c>
      <c r="C125" s="7" t="s">
        <v>3736</v>
      </c>
      <c r="D125" s="7" t="s">
        <v>468</v>
      </c>
      <c r="E125" s="7" t="s">
        <v>469</v>
      </c>
      <c r="F125" s="7"/>
      <c r="G125" s="7" t="s">
        <v>63</v>
      </c>
      <c r="H125" s="7" t="str">
        <f>IFERROR(VLOOKUP(Table2[[#This Row],[Ticket]],Okey!A:B,2,0),"")</f>
        <v>ok</v>
      </c>
      <c r="I125" s="7" t="s">
        <v>3679</v>
      </c>
      <c r="J125" s="7" t="str">
        <f>VLOOKUP(Table2[[#This Row],[Author]],People!A:B,2,0)</f>
        <v>MGF</v>
      </c>
      <c r="K125" s="7"/>
      <c r="L125" s="7"/>
      <c r="M125" s="16" t="s">
        <v>25</v>
      </c>
    </row>
    <row r="126" spans="1:13" x14ac:dyDescent="0.25">
      <c r="A126" s="22">
        <f t="shared" si="1"/>
        <v>125</v>
      </c>
      <c r="B126" s="6" t="s">
        <v>2330</v>
      </c>
      <c r="C126" s="6" t="s">
        <v>3736</v>
      </c>
      <c r="D126" s="6" t="s">
        <v>470</v>
      </c>
      <c r="E126" s="6" t="s">
        <v>471</v>
      </c>
      <c r="F126" s="6"/>
      <c r="G126" s="6" t="s">
        <v>63</v>
      </c>
      <c r="H126" s="6" t="str">
        <f>IFERROR(VLOOKUP(Table2[[#This Row],[Ticket]],Okey!A:B,2,0),"")</f>
        <v>ok</v>
      </c>
      <c r="I126" s="6" t="s">
        <v>3679</v>
      </c>
      <c r="J126" s="6" t="str">
        <f>VLOOKUP(Table2[[#This Row],[Author]],People!A:B,2,0)</f>
        <v>MGF</v>
      </c>
      <c r="K126" s="6"/>
      <c r="L126" s="6"/>
      <c r="M126" s="21" t="s">
        <v>25</v>
      </c>
    </row>
    <row r="127" spans="1:13" x14ac:dyDescent="0.25">
      <c r="A127" s="23">
        <f t="shared" si="1"/>
        <v>126</v>
      </c>
      <c r="B127" s="7" t="s">
        <v>2330</v>
      </c>
      <c r="C127" s="7" t="s">
        <v>3736</v>
      </c>
      <c r="D127" s="7" t="s">
        <v>472</v>
      </c>
      <c r="E127" s="7" t="s">
        <v>473</v>
      </c>
      <c r="F127" s="7"/>
      <c r="G127" s="7" t="s">
        <v>63</v>
      </c>
      <c r="H127" s="7" t="str">
        <f>IFERROR(VLOOKUP(Table2[[#This Row],[Ticket]],Okey!A:B,2,0),"")</f>
        <v>ok</v>
      </c>
      <c r="I127" s="7" t="s">
        <v>3679</v>
      </c>
      <c r="J127" s="7" t="str">
        <f>VLOOKUP(Table2[[#This Row],[Author]],People!A:B,2,0)</f>
        <v>MGF</v>
      </c>
      <c r="K127" s="7"/>
      <c r="L127" s="7"/>
      <c r="M127" s="16" t="s">
        <v>25</v>
      </c>
    </row>
    <row r="128" spans="1:13" x14ac:dyDescent="0.25">
      <c r="A128" s="22">
        <f t="shared" si="1"/>
        <v>127</v>
      </c>
      <c r="B128" s="6" t="s">
        <v>2330</v>
      </c>
      <c r="C128" s="6" t="s">
        <v>3736</v>
      </c>
      <c r="D128" s="6" t="s">
        <v>687</v>
      </c>
      <c r="E128" s="6" t="s">
        <v>3852</v>
      </c>
      <c r="F128" s="6"/>
      <c r="G128" s="6" t="s">
        <v>63</v>
      </c>
      <c r="H128" s="6" t="str">
        <f>IFERROR(VLOOKUP(Table2[[#This Row],[Ticket]],Okey!A:B,2,0),"")</f>
        <v>ok</v>
      </c>
      <c r="I128" s="6" t="s">
        <v>3679</v>
      </c>
      <c r="J128" s="6" t="str">
        <f>VLOOKUP(Table2[[#This Row],[Author]],People!A:B,2,0)</f>
        <v>MGF</v>
      </c>
      <c r="K128" s="6"/>
      <c r="L128" s="6"/>
      <c r="M128" s="21" t="s">
        <v>25</v>
      </c>
    </row>
    <row r="129" spans="1:13" x14ac:dyDescent="0.25">
      <c r="A129" s="23">
        <f t="shared" si="1"/>
        <v>128</v>
      </c>
      <c r="B129" s="7" t="s">
        <v>2330</v>
      </c>
      <c r="C129" s="7" t="s">
        <v>3736</v>
      </c>
      <c r="D129" s="7" t="s">
        <v>689</v>
      </c>
      <c r="E129" s="7" t="s">
        <v>388</v>
      </c>
      <c r="F129" s="7"/>
      <c r="G129" s="7" t="s">
        <v>63</v>
      </c>
      <c r="H129" s="7" t="str">
        <f>IFERROR(VLOOKUP(Table2[[#This Row],[Ticket]],Okey!A:B,2,0),"")</f>
        <v>ok</v>
      </c>
      <c r="I129" s="7" t="s">
        <v>3679</v>
      </c>
      <c r="J129" s="7" t="str">
        <f>VLOOKUP(Table2[[#This Row],[Author]],People!A:B,2,0)</f>
        <v>MGF</v>
      </c>
      <c r="K129" s="7"/>
      <c r="L129" s="7"/>
      <c r="M129" s="16" t="s">
        <v>25</v>
      </c>
    </row>
    <row r="130" spans="1:13" x14ac:dyDescent="0.25">
      <c r="A130" s="22">
        <f t="shared" si="1"/>
        <v>129</v>
      </c>
      <c r="B130" s="6" t="s">
        <v>2330</v>
      </c>
      <c r="C130" s="6" t="s">
        <v>3736</v>
      </c>
      <c r="D130" s="6" t="s">
        <v>370</v>
      </c>
      <c r="E130" s="6" t="s">
        <v>3853</v>
      </c>
      <c r="F130" s="6"/>
      <c r="G130" s="6" t="s">
        <v>63</v>
      </c>
      <c r="H130" s="6" t="str">
        <f>IFERROR(VLOOKUP(Table2[[#This Row],[Ticket]],Okey!A:B,2,0),"")</f>
        <v>ok</v>
      </c>
      <c r="I130" s="6" t="s">
        <v>3679</v>
      </c>
      <c r="J130" s="6" t="str">
        <f>VLOOKUP(Table2[[#This Row],[Author]],People!A:B,2,0)</f>
        <v>MGF</v>
      </c>
      <c r="K130" s="6"/>
      <c r="L130" s="6"/>
      <c r="M130" s="21" t="s">
        <v>25</v>
      </c>
    </row>
    <row r="131" spans="1:13" x14ac:dyDescent="0.25">
      <c r="A131" s="23">
        <f t="shared" ref="A131:A194" si="2">1+A130</f>
        <v>130</v>
      </c>
      <c r="B131" s="7" t="s">
        <v>2330</v>
      </c>
      <c r="C131" s="7" t="s">
        <v>3736</v>
      </c>
      <c r="D131" s="7" t="s">
        <v>369</v>
      </c>
      <c r="E131" s="7" t="s">
        <v>3854</v>
      </c>
      <c r="F131" s="7"/>
      <c r="G131" s="7" t="s">
        <v>63</v>
      </c>
      <c r="H131" s="7" t="str">
        <f>IFERROR(VLOOKUP(Table2[[#This Row],[Ticket]],Okey!A:B,2,0),"")</f>
        <v>ok</v>
      </c>
      <c r="I131" s="7" t="s">
        <v>3679</v>
      </c>
      <c r="J131" s="7" t="str">
        <f>VLOOKUP(Table2[[#This Row],[Author]],People!A:B,2,0)</f>
        <v>MGF</v>
      </c>
      <c r="K131" s="7"/>
      <c r="L131" s="7"/>
      <c r="M131" s="16" t="s">
        <v>25</v>
      </c>
    </row>
    <row r="132" spans="1:13" x14ac:dyDescent="0.25">
      <c r="A132" s="22">
        <f t="shared" si="2"/>
        <v>131</v>
      </c>
      <c r="B132" s="6" t="s">
        <v>2330</v>
      </c>
      <c r="C132" s="6" t="s">
        <v>3736</v>
      </c>
      <c r="D132" s="6" t="s">
        <v>3855</v>
      </c>
      <c r="E132" s="6" t="s">
        <v>3856</v>
      </c>
      <c r="F132" s="6"/>
      <c r="G132" s="6" t="s">
        <v>63</v>
      </c>
      <c r="H132" s="6" t="str">
        <f>IFERROR(VLOOKUP(Table2[[#This Row],[Ticket]],Okey!A:B,2,0),"")</f>
        <v>ok</v>
      </c>
      <c r="I132" s="6" t="s">
        <v>3679</v>
      </c>
      <c r="J132" s="6" t="str">
        <f>VLOOKUP(Table2[[#This Row],[Author]],People!A:B,2,0)</f>
        <v>MGF</v>
      </c>
      <c r="K132" s="6"/>
      <c r="L132" s="6"/>
      <c r="M132" s="21" t="s">
        <v>25</v>
      </c>
    </row>
    <row r="133" spans="1:13" x14ac:dyDescent="0.25">
      <c r="A133" s="23">
        <f t="shared" si="2"/>
        <v>132</v>
      </c>
      <c r="B133" s="7" t="s">
        <v>2330</v>
      </c>
      <c r="C133" s="7" t="s">
        <v>3736</v>
      </c>
      <c r="D133" s="7" t="s">
        <v>360</v>
      </c>
      <c r="E133" s="7" t="s">
        <v>3857</v>
      </c>
      <c r="F133" s="7"/>
      <c r="G133" s="7" t="s">
        <v>63</v>
      </c>
      <c r="H133" s="7" t="str">
        <f>IFERROR(VLOOKUP(Table2[[#This Row],[Ticket]],Okey!A:B,2,0),"")</f>
        <v>ok</v>
      </c>
      <c r="I133" s="7" t="s">
        <v>3679</v>
      </c>
      <c r="J133" s="7" t="str">
        <f>VLOOKUP(Table2[[#This Row],[Author]],People!A:B,2,0)</f>
        <v>MGF</v>
      </c>
      <c r="K133" s="7"/>
      <c r="L133" s="7"/>
      <c r="M133" s="16" t="s">
        <v>25</v>
      </c>
    </row>
    <row r="134" spans="1:13" x14ac:dyDescent="0.25">
      <c r="A134" s="22">
        <f t="shared" si="2"/>
        <v>133</v>
      </c>
      <c r="B134" s="6" t="s">
        <v>2330</v>
      </c>
      <c r="C134" s="6" t="s">
        <v>3736</v>
      </c>
      <c r="D134" s="6" t="s">
        <v>361</v>
      </c>
      <c r="E134" s="6" t="s">
        <v>3858</v>
      </c>
      <c r="F134" s="6"/>
      <c r="G134" s="6" t="s">
        <v>63</v>
      </c>
      <c r="H134" s="6" t="str">
        <f>IFERROR(VLOOKUP(Table2[[#This Row],[Ticket]],Okey!A:B,2,0),"")</f>
        <v>ok</v>
      </c>
      <c r="I134" s="6" t="s">
        <v>3679</v>
      </c>
      <c r="J134" s="6" t="str">
        <f>VLOOKUP(Table2[[#This Row],[Author]],People!A:B,2,0)</f>
        <v>MGF</v>
      </c>
      <c r="K134" s="6"/>
      <c r="L134" s="6"/>
      <c r="M134" s="21" t="s">
        <v>25</v>
      </c>
    </row>
    <row r="135" spans="1:13" x14ac:dyDescent="0.25">
      <c r="A135" s="23">
        <f t="shared" si="2"/>
        <v>134</v>
      </c>
      <c r="B135" s="7" t="s">
        <v>2330</v>
      </c>
      <c r="C135" s="7" t="s">
        <v>3736</v>
      </c>
      <c r="D135" s="7" t="s">
        <v>484</v>
      </c>
      <c r="E135" s="7" t="s">
        <v>3859</v>
      </c>
      <c r="F135" s="7"/>
      <c r="G135" s="7" t="s">
        <v>63</v>
      </c>
      <c r="H135" s="7" t="str">
        <f>IFERROR(VLOOKUP(Table2[[#This Row],[Ticket]],Okey!A:B,2,0),"")</f>
        <v>ok</v>
      </c>
      <c r="I135" s="7" t="s">
        <v>3679</v>
      </c>
      <c r="J135" s="7" t="str">
        <f>VLOOKUP(Table2[[#This Row],[Author]],People!A:B,2,0)</f>
        <v>MGF</v>
      </c>
      <c r="K135" s="7"/>
      <c r="L135" s="7"/>
      <c r="M135" s="16" t="s">
        <v>25</v>
      </c>
    </row>
    <row r="136" spans="1:13" x14ac:dyDescent="0.25">
      <c r="A136" s="22">
        <f t="shared" si="2"/>
        <v>135</v>
      </c>
      <c r="B136" s="6" t="s">
        <v>2330</v>
      </c>
      <c r="C136" s="6" t="s">
        <v>3736</v>
      </c>
      <c r="D136" s="6" t="s">
        <v>3860</v>
      </c>
      <c r="E136" s="6" t="s">
        <v>3861</v>
      </c>
      <c r="F136" s="6"/>
      <c r="G136" s="6" t="s">
        <v>63</v>
      </c>
      <c r="H136" s="6" t="str">
        <f>IFERROR(VLOOKUP(Table2[[#This Row],[Ticket]],Okey!A:B,2,0),"")</f>
        <v>ok</v>
      </c>
      <c r="I136" s="6" t="s">
        <v>3679</v>
      </c>
      <c r="J136" s="6" t="str">
        <f>VLOOKUP(Table2[[#This Row],[Author]],People!A:B,2,0)</f>
        <v>MGF</v>
      </c>
      <c r="K136" s="6"/>
      <c r="L136" s="6"/>
      <c r="M136" s="21" t="s">
        <v>25</v>
      </c>
    </row>
    <row r="137" spans="1:13" x14ac:dyDescent="0.25">
      <c r="A137" s="23">
        <f t="shared" si="2"/>
        <v>136</v>
      </c>
      <c r="B137" s="7" t="s">
        <v>2330</v>
      </c>
      <c r="C137" s="7" t="s">
        <v>3736</v>
      </c>
      <c r="D137" s="7" t="s">
        <v>3862</v>
      </c>
      <c r="E137" s="7" t="s">
        <v>3863</v>
      </c>
      <c r="F137" s="7"/>
      <c r="G137" s="7" t="s">
        <v>63</v>
      </c>
      <c r="H137" s="7" t="str">
        <f>IFERROR(VLOOKUP(Table2[[#This Row],[Ticket]],Okey!A:B,2,0),"")</f>
        <v>ok</v>
      </c>
      <c r="I137" s="7" t="s">
        <v>3679</v>
      </c>
      <c r="J137" s="7" t="str">
        <f>VLOOKUP(Table2[[#This Row],[Author]],People!A:B,2,0)</f>
        <v>MGF</v>
      </c>
      <c r="K137" s="7"/>
      <c r="L137" s="7"/>
      <c r="M137" s="16" t="s">
        <v>25</v>
      </c>
    </row>
    <row r="138" spans="1:13" x14ac:dyDescent="0.25">
      <c r="A138" s="22">
        <f t="shared" si="2"/>
        <v>137</v>
      </c>
      <c r="B138" s="6" t="s">
        <v>2330</v>
      </c>
      <c r="C138" s="6" t="s">
        <v>3736</v>
      </c>
      <c r="D138" s="6" t="s">
        <v>3864</v>
      </c>
      <c r="E138" s="6" t="s">
        <v>3865</v>
      </c>
      <c r="F138" s="6"/>
      <c r="G138" s="6" t="s">
        <v>63</v>
      </c>
      <c r="H138" s="6" t="str">
        <f>IFERROR(VLOOKUP(Table2[[#This Row],[Ticket]],Okey!A:B,2,0),"")</f>
        <v>ok</v>
      </c>
      <c r="I138" s="6" t="s">
        <v>3679</v>
      </c>
      <c r="J138" s="6" t="str">
        <f>VLOOKUP(Table2[[#This Row],[Author]],People!A:B,2,0)</f>
        <v>MGF</v>
      </c>
      <c r="K138" s="6"/>
      <c r="L138" s="6"/>
      <c r="M138" s="21" t="s">
        <v>25</v>
      </c>
    </row>
    <row r="139" spans="1:13" x14ac:dyDescent="0.25">
      <c r="A139" s="23">
        <f t="shared" si="2"/>
        <v>138</v>
      </c>
      <c r="B139" s="7" t="s">
        <v>2330</v>
      </c>
      <c r="C139" s="7" t="s">
        <v>3736</v>
      </c>
      <c r="D139" s="7" t="s">
        <v>3866</v>
      </c>
      <c r="E139" s="7" t="s">
        <v>3867</v>
      </c>
      <c r="F139" s="7"/>
      <c r="G139" s="7" t="s">
        <v>63</v>
      </c>
      <c r="H139" s="7" t="str">
        <f>IFERROR(VLOOKUP(Table2[[#This Row],[Ticket]],Okey!A:B,2,0),"")</f>
        <v>ok</v>
      </c>
      <c r="I139" s="7" t="s">
        <v>3679</v>
      </c>
      <c r="J139" s="7" t="str">
        <f>VLOOKUP(Table2[[#This Row],[Author]],People!A:B,2,0)</f>
        <v>MGF</v>
      </c>
      <c r="K139" s="7"/>
      <c r="L139" s="7"/>
      <c r="M139" s="16" t="s">
        <v>25</v>
      </c>
    </row>
    <row r="140" spans="1:13" x14ac:dyDescent="0.25">
      <c r="A140" s="22">
        <f t="shared" si="2"/>
        <v>139</v>
      </c>
      <c r="B140" s="6" t="s">
        <v>2330</v>
      </c>
      <c r="C140" s="6" t="s">
        <v>3736</v>
      </c>
      <c r="D140" s="6" t="s">
        <v>3868</v>
      </c>
      <c r="E140" s="6" t="s">
        <v>3869</v>
      </c>
      <c r="F140" s="6"/>
      <c r="G140" s="6" t="s">
        <v>63</v>
      </c>
      <c r="H140" s="6" t="str">
        <f>IFERROR(VLOOKUP(Table2[[#This Row],[Ticket]],Okey!A:B,2,0),"")</f>
        <v>ok</v>
      </c>
      <c r="I140" s="6" t="s">
        <v>3679</v>
      </c>
      <c r="J140" s="6" t="str">
        <f>VLOOKUP(Table2[[#This Row],[Author]],People!A:B,2,0)</f>
        <v>MGF</v>
      </c>
      <c r="K140" s="6"/>
      <c r="L140" s="6"/>
      <c r="M140" s="21" t="s">
        <v>25</v>
      </c>
    </row>
    <row r="141" spans="1:13" x14ac:dyDescent="0.25">
      <c r="A141" s="23">
        <f t="shared" si="2"/>
        <v>140</v>
      </c>
      <c r="B141" s="7" t="s">
        <v>2330</v>
      </c>
      <c r="C141" s="7" t="s">
        <v>3736</v>
      </c>
      <c r="D141" s="7" t="s">
        <v>3870</v>
      </c>
      <c r="E141" s="7" t="s">
        <v>3871</v>
      </c>
      <c r="F141" s="7"/>
      <c r="G141" s="7" t="s">
        <v>63</v>
      </c>
      <c r="H141" s="7" t="str">
        <f>IFERROR(VLOOKUP(Table2[[#This Row],[Ticket]],Okey!A:B,2,0),"")</f>
        <v>ok</v>
      </c>
      <c r="I141" s="7" t="s">
        <v>3679</v>
      </c>
      <c r="J141" s="7" t="str">
        <f>VLOOKUP(Table2[[#This Row],[Author]],People!A:B,2,0)</f>
        <v>MGF</v>
      </c>
      <c r="K141" s="7"/>
      <c r="L141" s="7"/>
      <c r="M141" s="16" t="s">
        <v>25</v>
      </c>
    </row>
    <row r="142" spans="1:13" x14ac:dyDescent="0.25">
      <c r="A142" s="22">
        <f t="shared" si="2"/>
        <v>141</v>
      </c>
      <c r="B142" s="6" t="s">
        <v>2330</v>
      </c>
      <c r="C142" s="6" t="s">
        <v>3736</v>
      </c>
      <c r="D142" s="6" t="s">
        <v>3872</v>
      </c>
      <c r="E142" s="6" t="s">
        <v>3873</v>
      </c>
      <c r="F142" s="6"/>
      <c r="G142" s="6" t="s">
        <v>63</v>
      </c>
      <c r="H142" s="6" t="str">
        <f>IFERROR(VLOOKUP(Table2[[#This Row],[Ticket]],Okey!A:B,2,0),"")</f>
        <v>ok</v>
      </c>
      <c r="I142" s="6" t="s">
        <v>3679</v>
      </c>
      <c r="J142" s="6" t="str">
        <f>VLOOKUP(Table2[[#This Row],[Author]],People!A:B,2,0)</f>
        <v>MGF</v>
      </c>
      <c r="K142" s="6"/>
      <c r="L142" s="6"/>
      <c r="M142" s="21" t="s">
        <v>25</v>
      </c>
    </row>
    <row r="143" spans="1:13" x14ac:dyDescent="0.25">
      <c r="A143" s="23">
        <f t="shared" si="2"/>
        <v>142</v>
      </c>
      <c r="B143" s="7" t="s">
        <v>2330</v>
      </c>
      <c r="C143" s="7" t="s">
        <v>3736</v>
      </c>
      <c r="D143" s="7" t="s">
        <v>3874</v>
      </c>
      <c r="E143" s="7" t="s">
        <v>3875</v>
      </c>
      <c r="F143" s="7"/>
      <c r="G143" s="7" t="s">
        <v>63</v>
      </c>
      <c r="H143" s="7" t="str">
        <f>IFERROR(VLOOKUP(Table2[[#This Row],[Ticket]],Okey!A:B,2,0),"")</f>
        <v>ok</v>
      </c>
      <c r="I143" s="7" t="s">
        <v>3679</v>
      </c>
      <c r="J143" s="7" t="str">
        <f>VLOOKUP(Table2[[#This Row],[Author]],People!A:B,2,0)</f>
        <v>MGF</v>
      </c>
      <c r="K143" s="7"/>
      <c r="L143" s="7"/>
      <c r="M143" s="16" t="s">
        <v>25</v>
      </c>
    </row>
    <row r="144" spans="1:13" x14ac:dyDescent="0.25">
      <c r="A144" s="22">
        <f t="shared" si="2"/>
        <v>143</v>
      </c>
      <c r="B144" s="6" t="s">
        <v>2330</v>
      </c>
      <c r="C144" s="6" t="s">
        <v>3736</v>
      </c>
      <c r="D144" s="6" t="s">
        <v>3876</v>
      </c>
      <c r="E144" s="6" t="s">
        <v>3877</v>
      </c>
      <c r="F144" s="6"/>
      <c r="G144" s="6" t="s">
        <v>63</v>
      </c>
      <c r="H144" s="6" t="str">
        <f>IFERROR(VLOOKUP(Table2[[#This Row],[Ticket]],Okey!A:B,2,0),"")</f>
        <v>ok</v>
      </c>
      <c r="I144" s="6" t="s">
        <v>3679</v>
      </c>
      <c r="J144" s="6" t="str">
        <f>VLOOKUP(Table2[[#This Row],[Author]],People!A:B,2,0)</f>
        <v>MGF</v>
      </c>
      <c r="K144" s="6"/>
      <c r="L144" s="6"/>
      <c r="M144" s="21" t="s">
        <v>25</v>
      </c>
    </row>
    <row r="145" spans="1:13" x14ac:dyDescent="0.25">
      <c r="A145" s="23">
        <f t="shared" si="2"/>
        <v>144</v>
      </c>
      <c r="B145" s="7" t="s">
        <v>2330</v>
      </c>
      <c r="C145" s="7" t="s">
        <v>3736</v>
      </c>
      <c r="D145" s="7" t="s">
        <v>3878</v>
      </c>
      <c r="E145" s="7" t="s">
        <v>3879</v>
      </c>
      <c r="F145" s="7"/>
      <c r="G145" s="7" t="s">
        <v>63</v>
      </c>
      <c r="H145" s="7" t="str">
        <f>IFERROR(VLOOKUP(Table2[[#This Row],[Ticket]],Okey!A:B,2,0),"")</f>
        <v>ok</v>
      </c>
      <c r="I145" s="7" t="s">
        <v>3679</v>
      </c>
      <c r="J145" s="7" t="str">
        <f>VLOOKUP(Table2[[#This Row],[Author]],People!A:B,2,0)</f>
        <v>MGF</v>
      </c>
      <c r="K145" s="7"/>
      <c r="L145" s="7"/>
      <c r="M145" s="16" t="s">
        <v>25</v>
      </c>
    </row>
    <row r="146" spans="1:13" x14ac:dyDescent="0.25">
      <c r="A146" s="22">
        <f t="shared" si="2"/>
        <v>145</v>
      </c>
      <c r="B146" s="6" t="s">
        <v>2330</v>
      </c>
      <c r="C146" s="6" t="s">
        <v>3736</v>
      </c>
      <c r="D146" s="6" t="s">
        <v>3880</v>
      </c>
      <c r="E146" s="6" t="s">
        <v>3881</v>
      </c>
      <c r="F146" s="6"/>
      <c r="G146" s="6" t="s">
        <v>63</v>
      </c>
      <c r="H146" s="6" t="str">
        <f>IFERROR(VLOOKUP(Table2[[#This Row],[Ticket]],Okey!A:B,2,0),"")</f>
        <v>ok</v>
      </c>
      <c r="I146" s="6" t="s">
        <v>3679</v>
      </c>
      <c r="J146" s="6" t="str">
        <f>VLOOKUP(Table2[[#This Row],[Author]],People!A:B,2,0)</f>
        <v>MGF</v>
      </c>
      <c r="K146" s="6"/>
      <c r="L146" s="6"/>
      <c r="M146" s="21" t="s">
        <v>25</v>
      </c>
    </row>
    <row r="147" spans="1:13" x14ac:dyDescent="0.25">
      <c r="A147" s="23">
        <f t="shared" si="2"/>
        <v>146</v>
      </c>
      <c r="B147" s="7" t="s">
        <v>2330</v>
      </c>
      <c r="C147" s="7" t="s">
        <v>3736</v>
      </c>
      <c r="D147" s="7" t="s">
        <v>3882</v>
      </c>
      <c r="E147" s="7" t="s">
        <v>3883</v>
      </c>
      <c r="F147" s="7"/>
      <c r="G147" s="7" t="s">
        <v>63</v>
      </c>
      <c r="H147" s="7" t="str">
        <f>IFERROR(VLOOKUP(Table2[[#This Row],[Ticket]],Okey!A:B,2,0),"")</f>
        <v>ok</v>
      </c>
      <c r="I147" s="7" t="s">
        <v>3679</v>
      </c>
      <c r="J147" s="7" t="str">
        <f>VLOOKUP(Table2[[#This Row],[Author]],People!A:B,2,0)</f>
        <v>MGF</v>
      </c>
      <c r="K147" s="7"/>
      <c r="L147" s="7"/>
      <c r="M147" s="16" t="s">
        <v>25</v>
      </c>
    </row>
    <row r="148" spans="1:13" x14ac:dyDescent="0.25">
      <c r="A148" s="22">
        <f t="shared" si="2"/>
        <v>147</v>
      </c>
      <c r="B148" s="6" t="s">
        <v>2330</v>
      </c>
      <c r="C148" s="6" t="s">
        <v>3736</v>
      </c>
      <c r="D148" s="6" t="s">
        <v>534</v>
      </c>
      <c r="E148" s="6" t="s">
        <v>3884</v>
      </c>
      <c r="F148" s="6"/>
      <c r="G148" s="6" t="s">
        <v>63</v>
      </c>
      <c r="H148" s="6" t="str">
        <f>IFERROR(VLOOKUP(Table2[[#This Row],[Ticket]],Okey!A:B,2,0),"")</f>
        <v>ok</v>
      </c>
      <c r="I148" s="6" t="s">
        <v>3679</v>
      </c>
      <c r="J148" s="6" t="str">
        <f>VLOOKUP(Table2[[#This Row],[Author]],People!A:B,2,0)</f>
        <v>MGF</v>
      </c>
      <c r="K148" s="6"/>
      <c r="L148" s="6"/>
      <c r="M148" s="21" t="s">
        <v>25</v>
      </c>
    </row>
    <row r="149" spans="1:13" x14ac:dyDescent="0.25">
      <c r="A149" s="23">
        <f t="shared" si="2"/>
        <v>148</v>
      </c>
      <c r="B149" s="7" t="s">
        <v>2330</v>
      </c>
      <c r="C149" s="7" t="s">
        <v>3736</v>
      </c>
      <c r="D149" s="7" t="s">
        <v>416</v>
      </c>
      <c r="E149" s="7" t="s">
        <v>3885</v>
      </c>
      <c r="F149" s="7"/>
      <c r="G149" s="7" t="s">
        <v>63</v>
      </c>
      <c r="H149" s="7" t="str">
        <f>IFERROR(VLOOKUP(Table2[[#This Row],[Ticket]],Okey!A:B,2,0),"")</f>
        <v>ok</v>
      </c>
      <c r="I149" s="7" t="s">
        <v>3679</v>
      </c>
      <c r="J149" s="7" t="str">
        <f>VLOOKUP(Table2[[#This Row],[Author]],People!A:B,2,0)</f>
        <v>MGF</v>
      </c>
      <c r="K149" s="7"/>
      <c r="L149" s="7"/>
      <c r="M149" s="16" t="s">
        <v>25</v>
      </c>
    </row>
    <row r="150" spans="1:13" x14ac:dyDescent="0.25">
      <c r="A150" s="22">
        <f t="shared" si="2"/>
        <v>149</v>
      </c>
      <c r="B150" s="6" t="s">
        <v>2330</v>
      </c>
      <c r="C150" s="6" t="s">
        <v>3736</v>
      </c>
      <c r="D150" s="6" t="s">
        <v>331</v>
      </c>
      <c r="E150" s="6" t="s">
        <v>3886</v>
      </c>
      <c r="F150" s="6"/>
      <c r="G150" s="6" t="s">
        <v>63</v>
      </c>
      <c r="H150" s="6" t="str">
        <f>IFERROR(VLOOKUP(Table2[[#This Row],[Ticket]],Okey!A:B,2,0),"")</f>
        <v>ok</v>
      </c>
      <c r="I150" s="6" t="s">
        <v>3679</v>
      </c>
      <c r="J150" s="6" t="str">
        <f>VLOOKUP(Table2[[#This Row],[Author]],People!A:B,2,0)</f>
        <v>MGF</v>
      </c>
      <c r="K150" s="6"/>
      <c r="L150" s="6"/>
      <c r="M150" s="21" t="s">
        <v>25</v>
      </c>
    </row>
    <row r="151" spans="1:13" x14ac:dyDescent="0.25">
      <c r="A151" s="23">
        <f t="shared" si="2"/>
        <v>150</v>
      </c>
      <c r="B151" s="7" t="s">
        <v>2330</v>
      </c>
      <c r="C151" s="7" t="s">
        <v>3736</v>
      </c>
      <c r="D151" s="7" t="s">
        <v>528</v>
      </c>
      <c r="E151" s="7" t="s">
        <v>3887</v>
      </c>
      <c r="F151" s="7"/>
      <c r="G151" s="7" t="s">
        <v>63</v>
      </c>
      <c r="H151" s="7" t="str">
        <f>IFERROR(VLOOKUP(Table2[[#This Row],[Ticket]],Okey!A:B,2,0),"")</f>
        <v>ok</v>
      </c>
      <c r="I151" s="7" t="s">
        <v>3679</v>
      </c>
      <c r="J151" s="7" t="str">
        <f>VLOOKUP(Table2[[#This Row],[Author]],People!A:B,2,0)</f>
        <v>MGF</v>
      </c>
      <c r="K151" s="7"/>
      <c r="L151" s="7"/>
      <c r="M151" s="16" t="s">
        <v>25</v>
      </c>
    </row>
    <row r="152" spans="1:13" x14ac:dyDescent="0.25">
      <c r="A152" s="22">
        <f t="shared" si="2"/>
        <v>151</v>
      </c>
      <c r="B152" s="6" t="s">
        <v>2330</v>
      </c>
      <c r="C152" s="6" t="s">
        <v>3736</v>
      </c>
      <c r="D152" s="6" t="s">
        <v>332</v>
      </c>
      <c r="E152" s="6" t="s">
        <v>3888</v>
      </c>
      <c r="F152" s="6"/>
      <c r="G152" s="6" t="s">
        <v>63</v>
      </c>
      <c r="H152" s="6" t="str">
        <f>IFERROR(VLOOKUP(Table2[[#This Row],[Ticket]],Okey!A:B,2,0),"")</f>
        <v>ok</v>
      </c>
      <c r="I152" s="6" t="s">
        <v>3679</v>
      </c>
      <c r="J152" s="6" t="str">
        <f>VLOOKUP(Table2[[#This Row],[Author]],People!A:B,2,0)</f>
        <v>MGF</v>
      </c>
      <c r="K152" s="6"/>
      <c r="L152" s="6"/>
      <c r="M152" s="21" t="s">
        <v>25</v>
      </c>
    </row>
    <row r="153" spans="1:13" x14ac:dyDescent="0.25">
      <c r="A153" s="23">
        <f t="shared" si="2"/>
        <v>152</v>
      </c>
      <c r="B153" s="7" t="s">
        <v>2330</v>
      </c>
      <c r="C153" s="7" t="s">
        <v>3736</v>
      </c>
      <c r="D153" s="7" t="s">
        <v>333</v>
      </c>
      <c r="E153" s="7" t="s">
        <v>3889</v>
      </c>
      <c r="F153" s="7"/>
      <c r="G153" s="7" t="s">
        <v>63</v>
      </c>
      <c r="H153" s="7" t="str">
        <f>IFERROR(VLOOKUP(Table2[[#This Row],[Ticket]],Okey!A:B,2,0),"")</f>
        <v>ok</v>
      </c>
      <c r="I153" s="7" t="s">
        <v>3679</v>
      </c>
      <c r="J153" s="7" t="str">
        <f>VLOOKUP(Table2[[#This Row],[Author]],People!A:B,2,0)</f>
        <v>MGF</v>
      </c>
      <c r="K153" s="7"/>
      <c r="L153" s="7"/>
      <c r="M153" s="16" t="s">
        <v>25</v>
      </c>
    </row>
    <row r="154" spans="1:13" x14ac:dyDescent="0.25">
      <c r="A154" s="22">
        <f t="shared" si="2"/>
        <v>153</v>
      </c>
      <c r="B154" s="6" t="s">
        <v>2330</v>
      </c>
      <c r="C154" s="6" t="s">
        <v>3736</v>
      </c>
      <c r="D154" s="6" t="s">
        <v>334</v>
      </c>
      <c r="E154" s="6" t="s">
        <v>3890</v>
      </c>
      <c r="F154" s="6"/>
      <c r="G154" s="6" t="s">
        <v>63</v>
      </c>
      <c r="H154" s="6" t="str">
        <f>IFERROR(VLOOKUP(Table2[[#This Row],[Ticket]],Okey!A:B,2,0),"")</f>
        <v>ok</v>
      </c>
      <c r="I154" s="6" t="s">
        <v>3679</v>
      </c>
      <c r="J154" s="6" t="str">
        <f>VLOOKUP(Table2[[#This Row],[Author]],People!A:B,2,0)</f>
        <v>MGF</v>
      </c>
      <c r="K154" s="6"/>
      <c r="L154" s="6"/>
      <c r="M154" s="21" t="s">
        <v>25</v>
      </c>
    </row>
    <row r="155" spans="1:13" x14ac:dyDescent="0.25">
      <c r="A155" s="23">
        <f t="shared" si="2"/>
        <v>154</v>
      </c>
      <c r="B155" s="7" t="s">
        <v>2330</v>
      </c>
      <c r="C155" s="7" t="s">
        <v>3736</v>
      </c>
      <c r="D155" s="7" t="s">
        <v>335</v>
      </c>
      <c r="E155" s="7" t="s">
        <v>3891</v>
      </c>
      <c r="F155" s="7"/>
      <c r="G155" s="7" t="s">
        <v>63</v>
      </c>
      <c r="H155" s="7" t="str">
        <f>IFERROR(VLOOKUP(Table2[[#This Row],[Ticket]],Okey!A:B,2,0),"")</f>
        <v>ok</v>
      </c>
      <c r="I155" s="7" t="s">
        <v>3679</v>
      </c>
      <c r="J155" s="7" t="str">
        <f>VLOOKUP(Table2[[#This Row],[Author]],People!A:B,2,0)</f>
        <v>MGF</v>
      </c>
      <c r="K155" s="7"/>
      <c r="L155" s="7"/>
      <c r="M155" s="16" t="s">
        <v>25</v>
      </c>
    </row>
    <row r="156" spans="1:13" x14ac:dyDescent="0.25">
      <c r="A156" s="22">
        <f t="shared" si="2"/>
        <v>155</v>
      </c>
      <c r="B156" s="6" t="s">
        <v>2330</v>
      </c>
      <c r="C156" s="6" t="s">
        <v>3736</v>
      </c>
      <c r="D156" s="6" t="s">
        <v>336</v>
      </c>
      <c r="E156" s="6" t="s">
        <v>3892</v>
      </c>
      <c r="F156" s="6"/>
      <c r="G156" s="6" t="s">
        <v>63</v>
      </c>
      <c r="H156" s="6" t="str">
        <f>IFERROR(VLOOKUP(Table2[[#This Row],[Ticket]],Okey!A:B,2,0),"")</f>
        <v>ok</v>
      </c>
      <c r="I156" s="6" t="s">
        <v>3679</v>
      </c>
      <c r="J156" s="6" t="str">
        <f>VLOOKUP(Table2[[#This Row],[Author]],People!A:B,2,0)</f>
        <v>MGF</v>
      </c>
      <c r="K156" s="6"/>
      <c r="L156" s="6"/>
      <c r="M156" s="21" t="s">
        <v>25</v>
      </c>
    </row>
    <row r="157" spans="1:13" x14ac:dyDescent="0.25">
      <c r="A157" s="23">
        <f t="shared" si="2"/>
        <v>156</v>
      </c>
      <c r="B157" s="7" t="s">
        <v>2330</v>
      </c>
      <c r="C157" s="7" t="s">
        <v>3736</v>
      </c>
      <c r="D157" s="7" t="s">
        <v>522</v>
      </c>
      <c r="E157" s="7" t="s">
        <v>3893</v>
      </c>
      <c r="F157" s="7"/>
      <c r="G157" s="7" t="s">
        <v>63</v>
      </c>
      <c r="H157" s="7" t="str">
        <f>IFERROR(VLOOKUP(Table2[[#This Row],[Ticket]],Okey!A:B,2,0),"")</f>
        <v>ok</v>
      </c>
      <c r="I157" s="7" t="s">
        <v>3679</v>
      </c>
      <c r="J157" s="7" t="str">
        <f>VLOOKUP(Table2[[#This Row],[Author]],People!A:B,2,0)</f>
        <v>MGF</v>
      </c>
      <c r="K157" s="7"/>
      <c r="L157" s="7"/>
      <c r="M157" s="16" t="s">
        <v>25</v>
      </c>
    </row>
    <row r="158" spans="1:13" x14ac:dyDescent="0.25">
      <c r="A158" s="22">
        <f t="shared" si="2"/>
        <v>157</v>
      </c>
      <c r="B158" s="6" t="s">
        <v>2330</v>
      </c>
      <c r="C158" s="6" t="s">
        <v>3736</v>
      </c>
      <c r="D158" s="6" t="s">
        <v>338</v>
      </c>
      <c r="E158" s="6" t="s">
        <v>3894</v>
      </c>
      <c r="F158" s="6"/>
      <c r="G158" s="6" t="s">
        <v>63</v>
      </c>
      <c r="H158" s="6" t="str">
        <f>IFERROR(VLOOKUP(Table2[[#This Row],[Ticket]],Okey!A:B,2,0),"")</f>
        <v>ok</v>
      </c>
      <c r="I158" s="6" t="s">
        <v>3679</v>
      </c>
      <c r="J158" s="6" t="str">
        <f>VLOOKUP(Table2[[#This Row],[Author]],People!A:B,2,0)</f>
        <v>MGF</v>
      </c>
      <c r="K158" s="6"/>
      <c r="L158" s="6"/>
      <c r="M158" s="21" t="s">
        <v>25</v>
      </c>
    </row>
    <row r="159" spans="1:13" x14ac:dyDescent="0.25">
      <c r="A159" s="23">
        <f t="shared" si="2"/>
        <v>158</v>
      </c>
      <c r="B159" s="7" t="s">
        <v>2330</v>
      </c>
      <c r="C159" s="7" t="s">
        <v>3736</v>
      </c>
      <c r="D159" s="7" t="s">
        <v>339</v>
      </c>
      <c r="E159" s="7" t="s">
        <v>3895</v>
      </c>
      <c r="F159" s="7"/>
      <c r="G159" s="7" t="s">
        <v>63</v>
      </c>
      <c r="H159" s="7" t="str">
        <f>IFERROR(VLOOKUP(Table2[[#This Row],[Ticket]],Okey!A:B,2,0),"")</f>
        <v>ok</v>
      </c>
      <c r="I159" s="7" t="s">
        <v>3679</v>
      </c>
      <c r="J159" s="7" t="str">
        <f>VLOOKUP(Table2[[#This Row],[Author]],People!A:B,2,0)</f>
        <v>MGF</v>
      </c>
      <c r="K159" s="7"/>
      <c r="L159" s="7"/>
      <c r="M159" s="16" t="s">
        <v>25</v>
      </c>
    </row>
    <row r="160" spans="1:13" x14ac:dyDescent="0.25">
      <c r="A160" s="22">
        <f t="shared" si="2"/>
        <v>159</v>
      </c>
      <c r="B160" s="6" t="s">
        <v>2330</v>
      </c>
      <c r="C160" s="6" t="s">
        <v>3736</v>
      </c>
      <c r="D160" s="6" t="s">
        <v>340</v>
      </c>
      <c r="E160" s="6" t="s">
        <v>3896</v>
      </c>
      <c r="F160" s="6"/>
      <c r="G160" s="6" t="s">
        <v>63</v>
      </c>
      <c r="H160" s="6" t="str">
        <f>IFERROR(VLOOKUP(Table2[[#This Row],[Ticket]],Okey!A:B,2,0),"")</f>
        <v>ok</v>
      </c>
      <c r="I160" s="6" t="s">
        <v>3679</v>
      </c>
      <c r="J160" s="6" t="str">
        <f>VLOOKUP(Table2[[#This Row],[Author]],People!A:B,2,0)</f>
        <v>MGF</v>
      </c>
      <c r="K160" s="6"/>
      <c r="L160" s="6"/>
      <c r="M160" s="21" t="s">
        <v>25</v>
      </c>
    </row>
    <row r="161" spans="1:13" x14ac:dyDescent="0.25">
      <c r="A161" s="23">
        <f t="shared" si="2"/>
        <v>160</v>
      </c>
      <c r="B161" s="7" t="s">
        <v>2330</v>
      </c>
      <c r="C161" s="7" t="s">
        <v>3736</v>
      </c>
      <c r="D161" s="7" t="s">
        <v>341</v>
      </c>
      <c r="E161" s="7" t="s">
        <v>3897</v>
      </c>
      <c r="F161" s="7"/>
      <c r="G161" s="7" t="s">
        <v>63</v>
      </c>
      <c r="H161" s="7" t="str">
        <f>IFERROR(VLOOKUP(Table2[[#This Row],[Ticket]],Okey!A:B,2,0),"")</f>
        <v>ok</v>
      </c>
      <c r="I161" s="7" t="s">
        <v>3679</v>
      </c>
      <c r="J161" s="7" t="str">
        <f>VLOOKUP(Table2[[#This Row],[Author]],People!A:B,2,0)</f>
        <v>MGF</v>
      </c>
      <c r="K161" s="7"/>
      <c r="L161" s="7"/>
      <c r="M161" s="16" t="s">
        <v>25</v>
      </c>
    </row>
    <row r="162" spans="1:13" x14ac:dyDescent="0.25">
      <c r="A162" s="22">
        <f t="shared" si="2"/>
        <v>161</v>
      </c>
      <c r="B162" s="6" t="s">
        <v>2330</v>
      </c>
      <c r="C162" s="6" t="s">
        <v>3736</v>
      </c>
      <c r="D162" s="6" t="s">
        <v>342</v>
      </c>
      <c r="E162" s="6" t="s">
        <v>3898</v>
      </c>
      <c r="F162" s="6"/>
      <c r="G162" s="6" t="s">
        <v>63</v>
      </c>
      <c r="H162" s="6" t="str">
        <f>IFERROR(VLOOKUP(Table2[[#This Row],[Ticket]],Okey!A:B,2,0),"")</f>
        <v>ok</v>
      </c>
      <c r="I162" s="6" t="s">
        <v>3679</v>
      </c>
      <c r="J162" s="6" t="str">
        <f>VLOOKUP(Table2[[#This Row],[Author]],People!A:B,2,0)</f>
        <v>MGF</v>
      </c>
      <c r="K162" s="6"/>
      <c r="L162" s="6"/>
      <c r="M162" s="21" t="s">
        <v>25</v>
      </c>
    </row>
    <row r="163" spans="1:13" x14ac:dyDescent="0.25">
      <c r="A163" s="23">
        <f t="shared" si="2"/>
        <v>162</v>
      </c>
      <c r="B163" s="7" t="s">
        <v>2330</v>
      </c>
      <c r="C163" s="7" t="s">
        <v>3736</v>
      </c>
      <c r="D163" s="7" t="s">
        <v>343</v>
      </c>
      <c r="E163" s="7" t="s">
        <v>3899</v>
      </c>
      <c r="F163" s="7"/>
      <c r="G163" s="7" t="s">
        <v>63</v>
      </c>
      <c r="H163" s="7" t="str">
        <f>IFERROR(VLOOKUP(Table2[[#This Row],[Ticket]],Okey!A:B,2,0),"")</f>
        <v>ok</v>
      </c>
      <c r="I163" s="7" t="s">
        <v>3679</v>
      </c>
      <c r="J163" s="7" t="str">
        <f>VLOOKUP(Table2[[#This Row],[Author]],People!A:B,2,0)</f>
        <v>MGF</v>
      </c>
      <c r="K163" s="7"/>
      <c r="L163" s="7"/>
      <c r="M163" s="16" t="s">
        <v>25</v>
      </c>
    </row>
    <row r="164" spans="1:13" x14ac:dyDescent="0.25">
      <c r="A164" s="22">
        <f t="shared" si="2"/>
        <v>163</v>
      </c>
      <c r="B164" s="6" t="s">
        <v>2330</v>
      </c>
      <c r="C164" s="6" t="s">
        <v>3736</v>
      </c>
      <c r="D164" s="6" t="s">
        <v>344</v>
      </c>
      <c r="E164" s="6" t="s">
        <v>3900</v>
      </c>
      <c r="F164" s="6"/>
      <c r="G164" s="6" t="s">
        <v>63</v>
      </c>
      <c r="H164" s="6" t="str">
        <f>IFERROR(VLOOKUP(Table2[[#This Row],[Ticket]],Okey!A:B,2,0),"")</f>
        <v>ok</v>
      </c>
      <c r="I164" s="6" t="s">
        <v>3679</v>
      </c>
      <c r="J164" s="6" t="str">
        <f>VLOOKUP(Table2[[#This Row],[Author]],People!A:B,2,0)</f>
        <v>MGF</v>
      </c>
      <c r="K164" s="6"/>
      <c r="L164" s="6"/>
      <c r="M164" s="21" t="s">
        <v>25</v>
      </c>
    </row>
    <row r="165" spans="1:13" x14ac:dyDescent="0.25">
      <c r="A165" s="23">
        <f t="shared" si="2"/>
        <v>164</v>
      </c>
      <c r="B165" s="7" t="s">
        <v>2330</v>
      </c>
      <c r="C165" s="7" t="s">
        <v>3736</v>
      </c>
      <c r="D165" s="7" t="s">
        <v>345</v>
      </c>
      <c r="E165" s="7" t="s">
        <v>3901</v>
      </c>
      <c r="F165" s="7"/>
      <c r="G165" s="7" t="s">
        <v>63</v>
      </c>
      <c r="H165" s="7" t="str">
        <f>IFERROR(VLOOKUP(Table2[[#This Row],[Ticket]],Okey!A:B,2,0),"")</f>
        <v>ok</v>
      </c>
      <c r="I165" s="7" t="s">
        <v>3679</v>
      </c>
      <c r="J165" s="7" t="str">
        <f>VLOOKUP(Table2[[#This Row],[Author]],People!A:B,2,0)</f>
        <v>MGF</v>
      </c>
      <c r="K165" s="7"/>
      <c r="L165" s="7"/>
      <c r="M165" s="16" t="s">
        <v>25</v>
      </c>
    </row>
    <row r="166" spans="1:13" x14ac:dyDescent="0.25">
      <c r="A166" s="22">
        <f t="shared" si="2"/>
        <v>165</v>
      </c>
      <c r="B166" s="6" t="s">
        <v>2330</v>
      </c>
      <c r="C166" s="6" t="s">
        <v>3736</v>
      </c>
      <c r="D166" s="6" t="s">
        <v>346</v>
      </c>
      <c r="E166" s="6" t="s">
        <v>3902</v>
      </c>
      <c r="F166" s="6"/>
      <c r="G166" s="6" t="s">
        <v>63</v>
      </c>
      <c r="H166" s="6" t="str">
        <f>IFERROR(VLOOKUP(Table2[[#This Row],[Ticket]],Okey!A:B,2,0),"")</f>
        <v>ok</v>
      </c>
      <c r="I166" s="6" t="s">
        <v>3679</v>
      </c>
      <c r="J166" s="6" t="str">
        <f>VLOOKUP(Table2[[#This Row],[Author]],People!A:B,2,0)</f>
        <v>MGF</v>
      </c>
      <c r="K166" s="6"/>
      <c r="L166" s="6"/>
      <c r="M166" s="21" t="s">
        <v>25</v>
      </c>
    </row>
    <row r="167" spans="1:13" x14ac:dyDescent="0.25">
      <c r="A167" s="23">
        <f t="shared" si="2"/>
        <v>166</v>
      </c>
      <c r="B167" s="7" t="s">
        <v>2330</v>
      </c>
      <c r="C167" s="7" t="s">
        <v>3736</v>
      </c>
      <c r="D167" s="7" t="s">
        <v>347</v>
      </c>
      <c r="E167" s="7" t="s">
        <v>3903</v>
      </c>
      <c r="F167" s="7"/>
      <c r="G167" s="7" t="s">
        <v>63</v>
      </c>
      <c r="H167" s="7" t="str">
        <f>IFERROR(VLOOKUP(Table2[[#This Row],[Ticket]],Okey!A:B,2,0),"")</f>
        <v>ok</v>
      </c>
      <c r="I167" s="7" t="s">
        <v>3679</v>
      </c>
      <c r="J167" s="7" t="str">
        <f>VLOOKUP(Table2[[#This Row],[Author]],People!A:B,2,0)</f>
        <v>MGF</v>
      </c>
      <c r="K167" s="7"/>
      <c r="L167" s="7"/>
      <c r="M167" s="16" t="s">
        <v>25</v>
      </c>
    </row>
    <row r="168" spans="1:13" x14ac:dyDescent="0.25">
      <c r="A168" s="22">
        <f t="shared" si="2"/>
        <v>167</v>
      </c>
      <c r="B168" s="6" t="s">
        <v>2330</v>
      </c>
      <c r="C168" s="6" t="s">
        <v>3736</v>
      </c>
      <c r="D168" s="6" t="s">
        <v>541</v>
      </c>
      <c r="E168" s="6" t="s">
        <v>3904</v>
      </c>
      <c r="F168" s="6"/>
      <c r="G168" s="6" t="s">
        <v>63</v>
      </c>
      <c r="H168" s="6" t="str">
        <f>IFERROR(VLOOKUP(Table2[[#This Row],[Ticket]],Okey!A:B,2,0),"")</f>
        <v>ok</v>
      </c>
      <c r="I168" s="6" t="s">
        <v>3679</v>
      </c>
      <c r="J168" s="6" t="str">
        <f>VLOOKUP(Table2[[#This Row],[Author]],People!A:B,2,0)</f>
        <v>MGF</v>
      </c>
      <c r="K168" s="6"/>
      <c r="L168" s="6"/>
      <c r="M168" s="21" t="s">
        <v>25</v>
      </c>
    </row>
    <row r="169" spans="1:13" x14ac:dyDescent="0.25">
      <c r="A169" s="23">
        <f t="shared" si="2"/>
        <v>168</v>
      </c>
      <c r="B169" s="7" t="s">
        <v>2330</v>
      </c>
      <c r="C169" s="7" t="s">
        <v>3736</v>
      </c>
      <c r="D169" s="7" t="s">
        <v>533</v>
      </c>
      <c r="E169" s="7" t="s">
        <v>3905</v>
      </c>
      <c r="F169" s="7"/>
      <c r="G169" s="7" t="s">
        <v>63</v>
      </c>
      <c r="H169" s="7" t="str">
        <f>IFERROR(VLOOKUP(Table2[[#This Row],[Ticket]],Okey!A:B,2,0),"")</f>
        <v>ok</v>
      </c>
      <c r="I169" s="7" t="s">
        <v>3679</v>
      </c>
      <c r="J169" s="7" t="str">
        <f>VLOOKUP(Table2[[#This Row],[Author]],People!A:B,2,0)</f>
        <v>MGF</v>
      </c>
      <c r="K169" s="7"/>
      <c r="L169" s="7"/>
      <c r="M169" s="16" t="s">
        <v>25</v>
      </c>
    </row>
    <row r="170" spans="1:13" x14ac:dyDescent="0.25">
      <c r="A170" s="22">
        <f t="shared" si="2"/>
        <v>169</v>
      </c>
      <c r="B170" s="6" t="s">
        <v>2330</v>
      </c>
      <c r="C170" s="6" t="s">
        <v>3736</v>
      </c>
      <c r="D170" s="6" t="s">
        <v>418</v>
      </c>
      <c r="E170" s="6" t="s">
        <v>3906</v>
      </c>
      <c r="F170" s="6"/>
      <c r="G170" s="6" t="s">
        <v>63</v>
      </c>
      <c r="H170" s="6" t="str">
        <f>IFERROR(VLOOKUP(Table2[[#This Row],[Ticket]],Okey!A:B,2,0),"")</f>
        <v>ok</v>
      </c>
      <c r="I170" s="6" t="s">
        <v>3679</v>
      </c>
      <c r="J170" s="6" t="str">
        <f>VLOOKUP(Table2[[#This Row],[Author]],People!A:B,2,0)</f>
        <v>MGF</v>
      </c>
      <c r="K170" s="6"/>
      <c r="L170" s="6"/>
      <c r="M170" s="21" t="s">
        <v>25</v>
      </c>
    </row>
    <row r="171" spans="1:13" x14ac:dyDescent="0.25">
      <c r="A171" s="23">
        <f t="shared" si="2"/>
        <v>170</v>
      </c>
      <c r="B171" s="7" t="s">
        <v>2330</v>
      </c>
      <c r="C171" s="7" t="s">
        <v>3736</v>
      </c>
      <c r="D171" s="7" t="s">
        <v>3907</v>
      </c>
      <c r="E171" s="7" t="s">
        <v>3908</v>
      </c>
      <c r="F171" s="7"/>
      <c r="G171" s="7" t="s">
        <v>63</v>
      </c>
      <c r="H171" s="7" t="str">
        <f>IFERROR(VLOOKUP(Table2[[#This Row],[Ticket]],Okey!A:B,2,0),"")</f>
        <v>ok</v>
      </c>
      <c r="I171" s="7" t="s">
        <v>3679</v>
      </c>
      <c r="J171" s="7" t="str">
        <f>VLOOKUP(Table2[[#This Row],[Author]],People!A:B,2,0)</f>
        <v>MGF</v>
      </c>
      <c r="K171" s="7"/>
      <c r="L171" s="7"/>
      <c r="M171" s="16" t="s">
        <v>25</v>
      </c>
    </row>
    <row r="172" spans="1:13" x14ac:dyDescent="0.25">
      <c r="A172" s="22">
        <f t="shared" si="2"/>
        <v>171</v>
      </c>
      <c r="B172" s="6" t="s">
        <v>2330</v>
      </c>
      <c r="C172" s="6" t="s">
        <v>3736</v>
      </c>
      <c r="D172" s="6" t="s">
        <v>3909</v>
      </c>
      <c r="E172" s="6" t="s">
        <v>3910</v>
      </c>
      <c r="F172" s="6"/>
      <c r="G172" s="6" t="s">
        <v>63</v>
      </c>
      <c r="H172" s="6" t="str">
        <f>IFERROR(VLOOKUP(Table2[[#This Row],[Ticket]],Okey!A:B,2,0),"")</f>
        <v>ok</v>
      </c>
      <c r="I172" s="6" t="s">
        <v>3679</v>
      </c>
      <c r="J172" s="6" t="str">
        <f>VLOOKUP(Table2[[#This Row],[Author]],People!A:B,2,0)</f>
        <v>MGF</v>
      </c>
      <c r="K172" s="6"/>
      <c r="L172" s="6"/>
      <c r="M172" s="21" t="s">
        <v>25</v>
      </c>
    </row>
    <row r="173" spans="1:13" x14ac:dyDescent="0.25">
      <c r="A173" s="23">
        <f t="shared" si="2"/>
        <v>172</v>
      </c>
      <c r="B173" s="7" t="s">
        <v>2330</v>
      </c>
      <c r="C173" s="7" t="s">
        <v>3736</v>
      </c>
      <c r="D173" s="7" t="s">
        <v>3911</v>
      </c>
      <c r="E173" s="7" t="s">
        <v>3912</v>
      </c>
      <c r="F173" s="7"/>
      <c r="G173" s="7" t="s">
        <v>63</v>
      </c>
      <c r="H173" s="7" t="str">
        <f>IFERROR(VLOOKUP(Table2[[#This Row],[Ticket]],Okey!A:B,2,0),"")</f>
        <v>ok</v>
      </c>
      <c r="I173" s="7" t="s">
        <v>3679</v>
      </c>
      <c r="J173" s="7" t="str">
        <f>VLOOKUP(Table2[[#This Row],[Author]],People!A:B,2,0)</f>
        <v>MGF</v>
      </c>
      <c r="K173" s="7"/>
      <c r="L173" s="7"/>
      <c r="M173" s="16" t="s">
        <v>25</v>
      </c>
    </row>
    <row r="174" spans="1:13" x14ac:dyDescent="0.25">
      <c r="A174" s="22">
        <f t="shared" si="2"/>
        <v>173</v>
      </c>
      <c r="B174" s="6" t="s">
        <v>2330</v>
      </c>
      <c r="C174" s="6" t="s">
        <v>3736</v>
      </c>
      <c r="D174" s="6" t="s">
        <v>3913</v>
      </c>
      <c r="E174" s="6" t="s">
        <v>3914</v>
      </c>
      <c r="F174" s="6"/>
      <c r="G174" s="6" t="s">
        <v>63</v>
      </c>
      <c r="H174" s="6" t="str">
        <f>IFERROR(VLOOKUP(Table2[[#This Row],[Ticket]],Okey!A:B,2,0),"")</f>
        <v>ok</v>
      </c>
      <c r="I174" s="6" t="s">
        <v>3679</v>
      </c>
      <c r="J174" s="6" t="str">
        <f>VLOOKUP(Table2[[#This Row],[Author]],People!A:B,2,0)</f>
        <v>MGF</v>
      </c>
      <c r="K174" s="6"/>
      <c r="L174" s="6"/>
      <c r="M174" s="21" t="s">
        <v>25</v>
      </c>
    </row>
    <row r="175" spans="1:13" x14ac:dyDescent="0.25">
      <c r="A175" s="23">
        <f t="shared" si="2"/>
        <v>174</v>
      </c>
      <c r="B175" s="7" t="s">
        <v>2330</v>
      </c>
      <c r="C175" s="7" t="s">
        <v>3736</v>
      </c>
      <c r="D175" s="7" t="s">
        <v>3915</v>
      </c>
      <c r="E175" s="7" t="s">
        <v>3916</v>
      </c>
      <c r="F175" s="7"/>
      <c r="G175" s="7" t="s">
        <v>63</v>
      </c>
      <c r="H175" s="7" t="str">
        <f>IFERROR(VLOOKUP(Table2[[#This Row],[Ticket]],Okey!A:B,2,0),"")</f>
        <v>ok</v>
      </c>
      <c r="I175" s="7" t="s">
        <v>3679</v>
      </c>
      <c r="J175" s="7" t="str">
        <f>VLOOKUP(Table2[[#This Row],[Author]],People!A:B,2,0)</f>
        <v>MGF</v>
      </c>
      <c r="K175" s="7"/>
      <c r="L175" s="7"/>
      <c r="M175" s="16" t="s">
        <v>25</v>
      </c>
    </row>
    <row r="176" spans="1:13" x14ac:dyDescent="0.25">
      <c r="A176" s="22">
        <f t="shared" si="2"/>
        <v>175</v>
      </c>
      <c r="B176" s="6" t="s">
        <v>2330</v>
      </c>
      <c r="C176" s="6" t="s">
        <v>3736</v>
      </c>
      <c r="D176" s="6" t="s">
        <v>3917</v>
      </c>
      <c r="E176" s="6" t="s">
        <v>3918</v>
      </c>
      <c r="F176" s="6"/>
      <c r="G176" s="6" t="s">
        <v>63</v>
      </c>
      <c r="H176" s="6" t="str">
        <f>IFERROR(VLOOKUP(Table2[[#This Row],[Ticket]],Okey!A:B,2,0),"")</f>
        <v>ok</v>
      </c>
      <c r="I176" s="6" t="s">
        <v>3679</v>
      </c>
      <c r="J176" s="6" t="str">
        <f>VLOOKUP(Table2[[#This Row],[Author]],People!A:B,2,0)</f>
        <v>MGF</v>
      </c>
      <c r="K176" s="6"/>
      <c r="L176" s="6"/>
      <c r="M176" s="21" t="s">
        <v>25</v>
      </c>
    </row>
    <row r="177" spans="1:13" x14ac:dyDescent="0.25">
      <c r="A177" s="23">
        <f t="shared" si="2"/>
        <v>176</v>
      </c>
      <c r="B177" s="7" t="s">
        <v>2330</v>
      </c>
      <c r="C177" s="7" t="s">
        <v>3736</v>
      </c>
      <c r="D177" s="7" t="s">
        <v>3919</v>
      </c>
      <c r="E177" s="7" t="s">
        <v>3920</v>
      </c>
      <c r="F177" s="7"/>
      <c r="G177" s="7" t="s">
        <v>63</v>
      </c>
      <c r="H177" s="7" t="str">
        <f>IFERROR(VLOOKUP(Table2[[#This Row],[Ticket]],Okey!A:B,2,0),"")</f>
        <v>ok</v>
      </c>
      <c r="I177" s="7" t="s">
        <v>3679</v>
      </c>
      <c r="J177" s="7" t="str">
        <f>VLOOKUP(Table2[[#This Row],[Author]],People!A:B,2,0)</f>
        <v>MGF</v>
      </c>
      <c r="K177" s="7"/>
      <c r="L177" s="7"/>
      <c r="M177" s="16" t="s">
        <v>25</v>
      </c>
    </row>
    <row r="178" spans="1:13" x14ac:dyDescent="0.25">
      <c r="A178" s="22">
        <f t="shared" si="2"/>
        <v>177</v>
      </c>
      <c r="B178" s="6" t="s">
        <v>2330</v>
      </c>
      <c r="C178" s="6" t="s">
        <v>3736</v>
      </c>
      <c r="D178" s="6" t="s">
        <v>3921</v>
      </c>
      <c r="E178" s="6" t="s">
        <v>3922</v>
      </c>
      <c r="F178" s="6"/>
      <c r="G178" s="6" t="s">
        <v>63</v>
      </c>
      <c r="H178" s="6" t="str">
        <f>IFERROR(VLOOKUP(Table2[[#This Row],[Ticket]],Okey!A:B,2,0),"")</f>
        <v>ok</v>
      </c>
      <c r="I178" s="6" t="s">
        <v>3679</v>
      </c>
      <c r="J178" s="6" t="str">
        <f>VLOOKUP(Table2[[#This Row],[Author]],People!A:B,2,0)</f>
        <v>MGF</v>
      </c>
      <c r="K178" s="6"/>
      <c r="L178" s="6"/>
      <c r="M178" s="21" t="s">
        <v>25</v>
      </c>
    </row>
    <row r="179" spans="1:13" x14ac:dyDescent="0.25">
      <c r="A179" s="23">
        <f t="shared" si="2"/>
        <v>178</v>
      </c>
      <c r="B179" s="7" t="s">
        <v>2330</v>
      </c>
      <c r="C179" s="7" t="s">
        <v>3736</v>
      </c>
      <c r="D179" s="7" t="s">
        <v>3923</v>
      </c>
      <c r="E179" s="7" t="s">
        <v>3924</v>
      </c>
      <c r="F179" s="7"/>
      <c r="G179" s="7" t="s">
        <v>63</v>
      </c>
      <c r="H179" s="7" t="str">
        <f>IFERROR(VLOOKUP(Table2[[#This Row],[Ticket]],Okey!A:B,2,0),"")</f>
        <v>ok</v>
      </c>
      <c r="I179" s="7" t="s">
        <v>3679</v>
      </c>
      <c r="J179" s="7" t="str">
        <f>VLOOKUP(Table2[[#This Row],[Author]],People!A:B,2,0)</f>
        <v>MGF</v>
      </c>
      <c r="K179" s="7"/>
      <c r="L179" s="7"/>
      <c r="M179" s="16" t="s">
        <v>25</v>
      </c>
    </row>
    <row r="180" spans="1:13" x14ac:dyDescent="0.25">
      <c r="A180" s="22">
        <f t="shared" si="2"/>
        <v>179</v>
      </c>
      <c r="B180" s="6" t="s">
        <v>2330</v>
      </c>
      <c r="C180" s="6" t="s">
        <v>3736</v>
      </c>
      <c r="D180" s="6" t="s">
        <v>3925</v>
      </c>
      <c r="E180" s="6" t="s">
        <v>3926</v>
      </c>
      <c r="F180" s="6"/>
      <c r="G180" s="6" t="s">
        <v>63</v>
      </c>
      <c r="H180" s="6" t="str">
        <f>IFERROR(VLOOKUP(Table2[[#This Row],[Ticket]],Okey!A:B,2,0),"")</f>
        <v>ok</v>
      </c>
      <c r="I180" s="6" t="s">
        <v>3679</v>
      </c>
      <c r="J180" s="6" t="str">
        <f>VLOOKUP(Table2[[#This Row],[Author]],People!A:B,2,0)</f>
        <v>MGF</v>
      </c>
      <c r="K180" s="6"/>
      <c r="L180" s="6"/>
      <c r="M180" s="21" t="s">
        <v>25</v>
      </c>
    </row>
    <row r="181" spans="1:13" x14ac:dyDescent="0.25">
      <c r="A181" s="23">
        <f t="shared" si="2"/>
        <v>180</v>
      </c>
      <c r="B181" s="7" t="s">
        <v>2330</v>
      </c>
      <c r="C181" s="7" t="s">
        <v>3736</v>
      </c>
      <c r="D181" s="7" t="s">
        <v>3927</v>
      </c>
      <c r="E181" s="7" t="s">
        <v>3928</v>
      </c>
      <c r="F181" s="7"/>
      <c r="G181" s="7" t="s">
        <v>63</v>
      </c>
      <c r="H181" s="7" t="str">
        <f>IFERROR(VLOOKUP(Table2[[#This Row],[Ticket]],Okey!A:B,2,0),"")</f>
        <v>ok</v>
      </c>
      <c r="I181" s="7" t="s">
        <v>3679</v>
      </c>
      <c r="J181" s="7" t="str">
        <f>VLOOKUP(Table2[[#This Row],[Author]],People!A:B,2,0)</f>
        <v>MGF</v>
      </c>
      <c r="K181" s="7"/>
      <c r="L181" s="7"/>
      <c r="M181" s="16" t="s">
        <v>25</v>
      </c>
    </row>
    <row r="182" spans="1:13" x14ac:dyDescent="0.25">
      <c r="A182" s="22">
        <f t="shared" si="2"/>
        <v>181</v>
      </c>
      <c r="B182" s="6" t="s">
        <v>2330</v>
      </c>
      <c r="C182" s="6" t="s">
        <v>3736</v>
      </c>
      <c r="D182" s="6" t="s">
        <v>420</v>
      </c>
      <c r="E182" s="6" t="s">
        <v>3929</v>
      </c>
      <c r="F182" s="6"/>
      <c r="G182" s="6" t="s">
        <v>63</v>
      </c>
      <c r="H182" s="6" t="str">
        <f>IFERROR(VLOOKUP(Table2[[#This Row],[Ticket]],Okey!A:B,2,0),"")</f>
        <v>ok</v>
      </c>
      <c r="I182" s="6" t="s">
        <v>3679</v>
      </c>
      <c r="J182" s="6" t="str">
        <f>VLOOKUP(Table2[[#This Row],[Author]],People!A:B,2,0)</f>
        <v>MGF</v>
      </c>
      <c r="K182" s="6"/>
      <c r="L182" s="6"/>
      <c r="M182" s="21" t="s">
        <v>25</v>
      </c>
    </row>
    <row r="183" spans="1:13" x14ac:dyDescent="0.25">
      <c r="A183" s="23">
        <f t="shared" si="2"/>
        <v>182</v>
      </c>
      <c r="B183" s="7" t="s">
        <v>2330</v>
      </c>
      <c r="C183" s="7" t="s">
        <v>3736</v>
      </c>
      <c r="D183" s="7" t="s">
        <v>543</v>
      </c>
      <c r="E183" s="7" t="s">
        <v>3930</v>
      </c>
      <c r="F183" s="7"/>
      <c r="G183" s="7" t="s">
        <v>63</v>
      </c>
      <c r="H183" s="7" t="str">
        <f>IFERROR(VLOOKUP(Table2[[#This Row],[Ticket]],Okey!A:B,2,0),"")</f>
        <v>ok</v>
      </c>
      <c r="I183" s="7" t="s">
        <v>3679</v>
      </c>
      <c r="J183" s="7" t="str">
        <f>VLOOKUP(Table2[[#This Row],[Author]],People!A:B,2,0)</f>
        <v>MGF</v>
      </c>
      <c r="K183" s="7"/>
      <c r="L183" s="7"/>
      <c r="M183" s="16" t="s">
        <v>25</v>
      </c>
    </row>
    <row r="184" spans="1:13" x14ac:dyDescent="0.25">
      <c r="A184" s="22">
        <f t="shared" si="2"/>
        <v>183</v>
      </c>
      <c r="B184" s="6" t="s">
        <v>2330</v>
      </c>
      <c r="C184" s="6" t="s">
        <v>3736</v>
      </c>
      <c r="D184" s="6" t="s">
        <v>3931</v>
      </c>
      <c r="E184" s="6" t="s">
        <v>3932</v>
      </c>
      <c r="F184" s="6"/>
      <c r="G184" s="6" t="s">
        <v>63</v>
      </c>
      <c r="H184" s="6" t="str">
        <f>IFERROR(VLOOKUP(Table2[[#This Row],[Ticket]],Okey!A:B,2,0),"")</f>
        <v>ok</v>
      </c>
      <c r="I184" s="6" t="s">
        <v>3679</v>
      </c>
      <c r="J184" s="6" t="str">
        <f>VLOOKUP(Table2[[#This Row],[Author]],People!A:B,2,0)</f>
        <v>MGF</v>
      </c>
      <c r="K184" s="6"/>
      <c r="L184" s="6"/>
      <c r="M184" s="21" t="s">
        <v>25</v>
      </c>
    </row>
    <row r="185" spans="1:13" x14ac:dyDescent="0.25">
      <c r="A185" s="23">
        <f t="shared" si="2"/>
        <v>184</v>
      </c>
      <c r="B185" s="7" t="s">
        <v>2330</v>
      </c>
      <c r="C185" s="7" t="s">
        <v>3736</v>
      </c>
      <c r="D185" s="7" t="s">
        <v>3933</v>
      </c>
      <c r="E185" s="7" t="s">
        <v>3934</v>
      </c>
      <c r="F185" s="7"/>
      <c r="G185" s="7" t="s">
        <v>63</v>
      </c>
      <c r="H185" s="7" t="str">
        <f>IFERROR(VLOOKUP(Table2[[#This Row],[Ticket]],Okey!A:B,2,0),"")</f>
        <v>ok</v>
      </c>
      <c r="I185" s="7" t="s">
        <v>3679</v>
      </c>
      <c r="J185" s="7" t="str">
        <f>VLOOKUP(Table2[[#This Row],[Author]],People!A:B,2,0)</f>
        <v>MGF</v>
      </c>
      <c r="K185" s="7"/>
      <c r="L185" s="7"/>
      <c r="M185" s="16" t="s">
        <v>25</v>
      </c>
    </row>
    <row r="186" spans="1:13" x14ac:dyDescent="0.25">
      <c r="A186" s="22">
        <f t="shared" si="2"/>
        <v>185</v>
      </c>
      <c r="B186" s="6" t="s">
        <v>2330</v>
      </c>
      <c r="C186" s="6" t="s">
        <v>3736</v>
      </c>
      <c r="D186" s="6" t="s">
        <v>3935</v>
      </c>
      <c r="E186" s="6" t="s">
        <v>3936</v>
      </c>
      <c r="F186" s="6"/>
      <c r="G186" s="6" t="s">
        <v>63</v>
      </c>
      <c r="H186" s="6" t="str">
        <f>IFERROR(VLOOKUP(Table2[[#This Row],[Ticket]],Okey!A:B,2,0),"")</f>
        <v>ok</v>
      </c>
      <c r="I186" s="6" t="s">
        <v>3679</v>
      </c>
      <c r="J186" s="6" t="str">
        <f>VLOOKUP(Table2[[#This Row],[Author]],People!A:B,2,0)</f>
        <v>MGF</v>
      </c>
      <c r="K186" s="6"/>
      <c r="L186" s="6"/>
      <c r="M186" s="21" t="s">
        <v>25</v>
      </c>
    </row>
    <row r="187" spans="1:13" x14ac:dyDescent="0.25">
      <c r="A187" s="23">
        <f t="shared" si="2"/>
        <v>186</v>
      </c>
      <c r="B187" s="7" t="s">
        <v>2330</v>
      </c>
      <c r="C187" s="7" t="s">
        <v>3736</v>
      </c>
      <c r="D187" s="7" t="s">
        <v>546</v>
      </c>
      <c r="E187" s="7" t="s">
        <v>3937</v>
      </c>
      <c r="F187" s="7"/>
      <c r="G187" s="7" t="s">
        <v>63</v>
      </c>
      <c r="H187" s="7" t="str">
        <f>IFERROR(VLOOKUP(Table2[[#This Row],[Ticket]],Okey!A:B,2,0),"")</f>
        <v>ok</v>
      </c>
      <c r="I187" s="7" t="s">
        <v>3679</v>
      </c>
      <c r="J187" s="7" t="str">
        <f>VLOOKUP(Table2[[#This Row],[Author]],People!A:B,2,0)</f>
        <v>MGF</v>
      </c>
      <c r="K187" s="7"/>
      <c r="L187" s="7"/>
      <c r="M187" s="16" t="s">
        <v>25</v>
      </c>
    </row>
    <row r="188" spans="1:13" x14ac:dyDescent="0.25">
      <c r="A188" s="22">
        <f t="shared" si="2"/>
        <v>187</v>
      </c>
      <c r="B188" s="6" t="s">
        <v>2330</v>
      </c>
      <c r="C188" s="6" t="s">
        <v>3736</v>
      </c>
      <c r="D188" s="6" t="s">
        <v>422</v>
      </c>
      <c r="E188" s="6" t="s">
        <v>3938</v>
      </c>
      <c r="F188" s="6"/>
      <c r="G188" s="6" t="s">
        <v>63</v>
      </c>
      <c r="H188" s="6" t="str">
        <f>IFERROR(VLOOKUP(Table2[[#This Row],[Ticket]],Okey!A:B,2,0),"")</f>
        <v>ok</v>
      </c>
      <c r="I188" s="6" t="s">
        <v>3679</v>
      </c>
      <c r="J188" s="6" t="str">
        <f>VLOOKUP(Table2[[#This Row],[Author]],People!A:B,2,0)</f>
        <v>MGF</v>
      </c>
      <c r="K188" s="6"/>
      <c r="L188" s="6"/>
      <c r="M188" s="21" t="s">
        <v>25</v>
      </c>
    </row>
    <row r="189" spans="1:13" x14ac:dyDescent="0.25">
      <c r="A189" s="23">
        <f t="shared" si="2"/>
        <v>188</v>
      </c>
      <c r="B189" s="7" t="s">
        <v>2330</v>
      </c>
      <c r="C189" s="7" t="s">
        <v>3736</v>
      </c>
      <c r="D189" s="7" t="s">
        <v>424</v>
      </c>
      <c r="E189" s="7" t="s">
        <v>3939</v>
      </c>
      <c r="F189" s="7"/>
      <c r="G189" s="7" t="s">
        <v>63</v>
      </c>
      <c r="H189" s="7" t="str">
        <f>IFERROR(VLOOKUP(Table2[[#This Row],[Ticket]],Okey!A:B,2,0),"")</f>
        <v>ok</v>
      </c>
      <c r="I189" s="7" t="s">
        <v>3679</v>
      </c>
      <c r="J189" s="7" t="str">
        <f>VLOOKUP(Table2[[#This Row],[Author]],People!A:B,2,0)</f>
        <v>MGF</v>
      </c>
      <c r="K189" s="7"/>
      <c r="L189" s="7"/>
      <c r="M189" s="16" t="s">
        <v>25</v>
      </c>
    </row>
    <row r="190" spans="1:13" x14ac:dyDescent="0.25">
      <c r="A190" s="22">
        <f t="shared" si="2"/>
        <v>189</v>
      </c>
      <c r="B190" s="6" t="s">
        <v>2330</v>
      </c>
      <c r="C190" s="6" t="s">
        <v>3736</v>
      </c>
      <c r="D190" s="6" t="s">
        <v>426</v>
      </c>
      <c r="E190" s="6" t="s">
        <v>3940</v>
      </c>
      <c r="F190" s="6"/>
      <c r="G190" s="6" t="s">
        <v>63</v>
      </c>
      <c r="H190" s="6" t="str">
        <f>IFERROR(VLOOKUP(Table2[[#This Row],[Ticket]],Okey!A:B,2,0),"")</f>
        <v>ok</v>
      </c>
      <c r="I190" s="6" t="s">
        <v>3679</v>
      </c>
      <c r="J190" s="6" t="str">
        <f>VLOOKUP(Table2[[#This Row],[Author]],People!A:B,2,0)</f>
        <v>HC</v>
      </c>
      <c r="K190" s="6"/>
      <c r="L190" s="6"/>
      <c r="M190" s="21" t="s">
        <v>25</v>
      </c>
    </row>
    <row r="191" spans="1:13" x14ac:dyDescent="0.25">
      <c r="A191" s="23">
        <f t="shared" si="2"/>
        <v>190</v>
      </c>
      <c r="B191" s="7" t="s">
        <v>2330</v>
      </c>
      <c r="C191" s="7" t="s">
        <v>3736</v>
      </c>
      <c r="D191" s="7" t="s">
        <v>428</v>
      </c>
      <c r="E191" s="7" t="s">
        <v>3889</v>
      </c>
      <c r="F191" s="7"/>
      <c r="G191" s="7" t="s">
        <v>63</v>
      </c>
      <c r="H191" s="7" t="str">
        <f>IFERROR(VLOOKUP(Table2[[#This Row],[Ticket]],Okey!A:B,2,0),"")</f>
        <v>ok</v>
      </c>
      <c r="I191" s="7" t="s">
        <v>3679</v>
      </c>
      <c r="J191" s="7" t="str">
        <f>VLOOKUP(Table2[[#This Row],[Author]],People!A:B,2,0)</f>
        <v>HC</v>
      </c>
      <c r="K191" s="7"/>
      <c r="L191" s="7"/>
      <c r="M191" s="16" t="s">
        <v>25</v>
      </c>
    </row>
    <row r="192" spans="1:13" x14ac:dyDescent="0.25">
      <c r="A192" s="22">
        <f t="shared" si="2"/>
        <v>191</v>
      </c>
      <c r="B192" s="6" t="s">
        <v>2330</v>
      </c>
      <c r="C192" s="6" t="s">
        <v>3736</v>
      </c>
      <c r="D192" s="6" t="s">
        <v>430</v>
      </c>
      <c r="E192" s="6" t="s">
        <v>3941</v>
      </c>
      <c r="F192" s="6"/>
      <c r="G192" s="6" t="s">
        <v>63</v>
      </c>
      <c r="H192" s="6" t="str">
        <f>IFERROR(VLOOKUP(Table2[[#This Row],[Ticket]],Okey!A:B,2,0),"")</f>
        <v>ok</v>
      </c>
      <c r="I192" s="6" t="s">
        <v>3679</v>
      </c>
      <c r="J192" s="6" t="str">
        <f>VLOOKUP(Table2[[#This Row],[Author]],People!A:B,2,0)</f>
        <v>HC</v>
      </c>
      <c r="K192" s="6"/>
      <c r="L192" s="6"/>
      <c r="M192" s="21" t="s">
        <v>25</v>
      </c>
    </row>
    <row r="193" spans="1:13" x14ac:dyDescent="0.25">
      <c r="A193" s="23">
        <f t="shared" si="2"/>
        <v>192</v>
      </c>
      <c r="B193" s="7" t="s">
        <v>2330</v>
      </c>
      <c r="C193" s="7" t="s">
        <v>3736</v>
      </c>
      <c r="D193" s="7" t="s">
        <v>432</v>
      </c>
      <c r="E193" s="7" t="s">
        <v>3890</v>
      </c>
      <c r="F193" s="7"/>
      <c r="G193" s="7" t="s">
        <v>63</v>
      </c>
      <c r="H193" s="7" t="str">
        <f>IFERROR(VLOOKUP(Table2[[#This Row],[Ticket]],Okey!A:B,2,0),"")</f>
        <v>ok</v>
      </c>
      <c r="I193" s="7" t="s">
        <v>3679</v>
      </c>
      <c r="J193" s="7" t="str">
        <f>VLOOKUP(Table2[[#This Row],[Author]],People!A:B,2,0)</f>
        <v>MGF</v>
      </c>
      <c r="K193" s="7"/>
      <c r="L193" s="7"/>
      <c r="M193" s="16" t="s">
        <v>25</v>
      </c>
    </row>
    <row r="194" spans="1:13" x14ac:dyDescent="0.25">
      <c r="A194" s="22">
        <f t="shared" si="2"/>
        <v>193</v>
      </c>
      <c r="B194" s="6" t="s">
        <v>2330</v>
      </c>
      <c r="C194" s="6" t="s">
        <v>3736</v>
      </c>
      <c r="D194" s="6" t="s">
        <v>434</v>
      </c>
      <c r="E194" s="6" t="s">
        <v>3942</v>
      </c>
      <c r="F194" s="6"/>
      <c r="G194" s="6" t="s">
        <v>63</v>
      </c>
      <c r="H194" s="6" t="str">
        <f>IFERROR(VLOOKUP(Table2[[#This Row],[Ticket]],Okey!A:B,2,0),"")</f>
        <v>ok</v>
      </c>
      <c r="I194" s="6" t="s">
        <v>3679</v>
      </c>
      <c r="J194" s="6" t="str">
        <f>VLOOKUP(Table2[[#This Row],[Author]],People!A:B,2,0)</f>
        <v>MGF</v>
      </c>
      <c r="K194" s="6"/>
      <c r="L194" s="6"/>
      <c r="M194" s="21" t="s">
        <v>25</v>
      </c>
    </row>
    <row r="195" spans="1:13" x14ac:dyDescent="0.25">
      <c r="A195" s="23">
        <f t="shared" ref="A195:A258" si="3">1+A194</f>
        <v>194</v>
      </c>
      <c r="B195" s="7" t="s">
        <v>2330</v>
      </c>
      <c r="C195" s="7" t="s">
        <v>3736</v>
      </c>
      <c r="D195" s="7" t="s">
        <v>436</v>
      </c>
      <c r="E195" s="7" t="s">
        <v>3943</v>
      </c>
      <c r="F195" s="7"/>
      <c r="G195" s="7" t="s">
        <v>63</v>
      </c>
      <c r="H195" s="7" t="str">
        <f>IFERROR(VLOOKUP(Table2[[#This Row],[Ticket]],Okey!A:B,2,0),"")</f>
        <v>ok</v>
      </c>
      <c r="I195" s="7" t="s">
        <v>3679</v>
      </c>
      <c r="J195" s="7" t="str">
        <f>VLOOKUP(Table2[[#This Row],[Author]],People!A:B,2,0)</f>
        <v>MGF</v>
      </c>
      <c r="K195" s="7"/>
      <c r="L195" s="7"/>
      <c r="M195" s="16" t="s">
        <v>25</v>
      </c>
    </row>
    <row r="196" spans="1:13" x14ac:dyDescent="0.25">
      <c r="A196" s="22">
        <f t="shared" si="3"/>
        <v>195</v>
      </c>
      <c r="B196" s="6" t="s">
        <v>2330</v>
      </c>
      <c r="C196" s="6" t="s">
        <v>3736</v>
      </c>
      <c r="D196" s="6" t="s">
        <v>591</v>
      </c>
      <c r="E196" s="6" t="s">
        <v>3944</v>
      </c>
      <c r="F196" s="6"/>
      <c r="G196" s="6" t="s">
        <v>63</v>
      </c>
      <c r="H196" s="6" t="str">
        <f>IFERROR(VLOOKUP(Table2[[#This Row],[Ticket]],Okey!A:B,2,0),"")</f>
        <v>ok</v>
      </c>
      <c r="I196" s="6" t="s">
        <v>3679</v>
      </c>
      <c r="J196" s="6" t="str">
        <f>VLOOKUP(Table2[[#This Row],[Author]],People!A:B,2,0)</f>
        <v>MGF</v>
      </c>
      <c r="K196" s="6"/>
      <c r="L196" s="6"/>
      <c r="M196" s="21" t="s">
        <v>25</v>
      </c>
    </row>
    <row r="197" spans="1:13" x14ac:dyDescent="0.25">
      <c r="A197" s="23">
        <f t="shared" si="3"/>
        <v>196</v>
      </c>
      <c r="B197" s="7" t="s">
        <v>2330</v>
      </c>
      <c r="C197" s="7" t="s">
        <v>3736</v>
      </c>
      <c r="D197" s="7" t="s">
        <v>530</v>
      </c>
      <c r="E197" s="7" t="s">
        <v>3945</v>
      </c>
      <c r="F197" s="7"/>
      <c r="G197" s="7" t="s">
        <v>63</v>
      </c>
      <c r="H197" s="7" t="str">
        <f>IFERROR(VLOOKUP(Table2[[#This Row],[Ticket]],Okey!A:B,2,0),"")</f>
        <v>ok</v>
      </c>
      <c r="I197" s="7" t="s">
        <v>3679</v>
      </c>
      <c r="J197" s="7" t="str">
        <f>VLOOKUP(Table2[[#This Row],[Author]],People!A:B,2,0)</f>
        <v>MGF</v>
      </c>
      <c r="K197" s="7"/>
      <c r="L197" s="7"/>
      <c r="M197" s="16" t="s">
        <v>25</v>
      </c>
    </row>
    <row r="198" spans="1:13" x14ac:dyDescent="0.25">
      <c r="A198" s="22">
        <f t="shared" si="3"/>
        <v>197</v>
      </c>
      <c r="B198" s="6" t="s">
        <v>2330</v>
      </c>
      <c r="C198" s="6" t="s">
        <v>3736</v>
      </c>
      <c r="D198" s="6" t="s">
        <v>438</v>
      </c>
      <c r="E198" s="6" t="s">
        <v>3946</v>
      </c>
      <c r="F198" s="6"/>
      <c r="G198" s="6" t="s">
        <v>63</v>
      </c>
      <c r="H198" s="6" t="str">
        <f>IFERROR(VLOOKUP(Table2[[#This Row],[Ticket]],Okey!A:B,2,0),"")</f>
        <v>ok</v>
      </c>
      <c r="I198" s="6" t="s">
        <v>3679</v>
      </c>
      <c r="J198" s="6" t="str">
        <f>VLOOKUP(Table2[[#This Row],[Author]],People!A:B,2,0)</f>
        <v>MGF</v>
      </c>
      <c r="K198" s="6"/>
      <c r="L198" s="6"/>
      <c r="M198" s="21" t="s">
        <v>25</v>
      </c>
    </row>
    <row r="199" spans="1:13" x14ac:dyDescent="0.25">
      <c r="A199" s="23">
        <f t="shared" si="3"/>
        <v>198</v>
      </c>
      <c r="B199" s="7" t="s">
        <v>2330</v>
      </c>
      <c r="C199" s="7" t="s">
        <v>3736</v>
      </c>
      <c r="D199" s="7" t="s">
        <v>549</v>
      </c>
      <c r="E199" s="7" t="s">
        <v>3947</v>
      </c>
      <c r="F199" s="7"/>
      <c r="G199" s="7" t="s">
        <v>63</v>
      </c>
      <c r="H199" s="7" t="str">
        <f>IFERROR(VLOOKUP(Table2[[#This Row],[Ticket]],Okey!A:B,2,0),"")</f>
        <v>ok</v>
      </c>
      <c r="I199" s="7" t="s">
        <v>3679</v>
      </c>
      <c r="J199" s="7" t="str">
        <f>VLOOKUP(Table2[[#This Row],[Author]],People!A:B,2,0)</f>
        <v>MGF</v>
      </c>
      <c r="K199" s="7"/>
      <c r="L199" s="7"/>
      <c r="M199" s="16" t="s">
        <v>25</v>
      </c>
    </row>
    <row r="200" spans="1:13" x14ac:dyDescent="0.25">
      <c r="A200" s="22">
        <f t="shared" si="3"/>
        <v>199</v>
      </c>
      <c r="B200" s="6" t="s">
        <v>2330</v>
      </c>
      <c r="C200" s="6" t="s">
        <v>3736</v>
      </c>
      <c r="D200" s="6" t="s">
        <v>440</v>
      </c>
      <c r="E200" s="6" t="s">
        <v>3948</v>
      </c>
      <c r="F200" s="6"/>
      <c r="G200" s="6" t="s">
        <v>63</v>
      </c>
      <c r="H200" s="6" t="str">
        <f>IFERROR(VLOOKUP(Table2[[#This Row],[Ticket]],Okey!A:B,2,0),"")</f>
        <v>ok</v>
      </c>
      <c r="I200" s="6" t="s">
        <v>3679</v>
      </c>
      <c r="J200" s="6" t="str">
        <f>VLOOKUP(Table2[[#This Row],[Author]],People!A:B,2,0)</f>
        <v>MGF</v>
      </c>
      <c r="K200" s="6"/>
      <c r="L200" s="6"/>
      <c r="M200" s="21" t="s">
        <v>25</v>
      </c>
    </row>
    <row r="201" spans="1:13" x14ac:dyDescent="0.25">
      <c r="A201" s="23">
        <f t="shared" si="3"/>
        <v>200</v>
      </c>
      <c r="B201" s="7" t="s">
        <v>2330</v>
      </c>
      <c r="C201" s="7" t="s">
        <v>3736</v>
      </c>
      <c r="D201" s="7" t="s">
        <v>442</v>
      </c>
      <c r="E201" s="7" t="s">
        <v>3949</v>
      </c>
      <c r="F201" s="7"/>
      <c r="G201" s="7" t="s">
        <v>63</v>
      </c>
      <c r="H201" s="7" t="str">
        <f>IFERROR(VLOOKUP(Table2[[#This Row],[Ticket]],Okey!A:B,2,0),"")</f>
        <v>ok</v>
      </c>
      <c r="I201" s="7" t="s">
        <v>3679</v>
      </c>
      <c r="J201" s="7" t="str">
        <f>VLOOKUP(Table2[[#This Row],[Author]],People!A:B,2,0)</f>
        <v>MGF</v>
      </c>
      <c r="K201" s="7"/>
      <c r="L201" s="7"/>
      <c r="M201" s="16" t="s">
        <v>25</v>
      </c>
    </row>
    <row r="202" spans="1:13" x14ac:dyDescent="0.25">
      <c r="A202" s="22">
        <f t="shared" si="3"/>
        <v>201</v>
      </c>
      <c r="B202" s="6" t="s">
        <v>2330</v>
      </c>
      <c r="C202" s="6" t="s">
        <v>3736</v>
      </c>
      <c r="D202" s="6" t="s">
        <v>444</v>
      </c>
      <c r="E202" s="6" t="s">
        <v>3950</v>
      </c>
      <c r="F202" s="6"/>
      <c r="G202" s="6" t="s">
        <v>63</v>
      </c>
      <c r="H202" s="6" t="str">
        <f>IFERROR(VLOOKUP(Table2[[#This Row],[Ticket]],Okey!A:B,2,0),"")</f>
        <v>ok</v>
      </c>
      <c r="I202" s="6" t="s">
        <v>3679</v>
      </c>
      <c r="J202" s="6" t="str">
        <f>VLOOKUP(Table2[[#This Row],[Author]],People!A:B,2,0)</f>
        <v>MGF</v>
      </c>
      <c r="K202" s="6"/>
      <c r="L202" s="6"/>
      <c r="M202" s="21" t="s">
        <v>25</v>
      </c>
    </row>
    <row r="203" spans="1:13" x14ac:dyDescent="0.25">
      <c r="A203" s="23">
        <f t="shared" si="3"/>
        <v>202</v>
      </c>
      <c r="B203" s="7" t="s">
        <v>2330</v>
      </c>
      <c r="C203" s="7" t="s">
        <v>3736</v>
      </c>
      <c r="D203" s="7" t="s">
        <v>384</v>
      </c>
      <c r="E203" s="7" t="s">
        <v>3951</v>
      </c>
      <c r="F203" s="7"/>
      <c r="G203" s="7" t="s">
        <v>63</v>
      </c>
      <c r="H203" s="7" t="str">
        <f>IFERROR(VLOOKUP(Table2[[#This Row],[Ticket]],Okey!A:B,2,0),"")</f>
        <v>ok</v>
      </c>
      <c r="I203" s="7" t="s">
        <v>3679</v>
      </c>
      <c r="J203" s="7" t="str">
        <f>VLOOKUP(Table2[[#This Row],[Author]],People!A:B,2,0)</f>
        <v>MGF</v>
      </c>
      <c r="K203" s="7"/>
      <c r="L203" s="7"/>
      <c r="M203" s="16" t="s">
        <v>25</v>
      </c>
    </row>
    <row r="204" spans="1:13" x14ac:dyDescent="0.25">
      <c r="A204" s="22">
        <f t="shared" si="3"/>
        <v>203</v>
      </c>
      <c r="B204" s="6" t="s">
        <v>2330</v>
      </c>
      <c r="C204" s="6" t="s">
        <v>3736</v>
      </c>
      <c r="D204" s="6" t="s">
        <v>556</v>
      </c>
      <c r="E204" s="6" t="s">
        <v>3952</v>
      </c>
      <c r="F204" s="6"/>
      <c r="G204" s="6" t="s">
        <v>63</v>
      </c>
      <c r="H204" s="6" t="str">
        <f>IFERROR(VLOOKUP(Table2[[#This Row],[Ticket]],Okey!A:B,2,0),"")</f>
        <v>ok</v>
      </c>
      <c r="I204" s="6" t="s">
        <v>3679</v>
      </c>
      <c r="J204" s="6" t="str">
        <f>VLOOKUP(Table2[[#This Row],[Author]],People!A:B,2,0)</f>
        <v>MGF</v>
      </c>
      <c r="K204" s="6"/>
      <c r="L204" s="6"/>
      <c r="M204" s="21" t="s">
        <v>25</v>
      </c>
    </row>
    <row r="205" spans="1:13" x14ac:dyDescent="0.25">
      <c r="A205" s="23">
        <f t="shared" si="3"/>
        <v>204</v>
      </c>
      <c r="B205" s="7" t="s">
        <v>2330</v>
      </c>
      <c r="C205" s="7" t="s">
        <v>3736</v>
      </c>
      <c r="D205" s="7" t="s">
        <v>3953</v>
      </c>
      <c r="E205" s="7" t="s">
        <v>3954</v>
      </c>
      <c r="F205" s="7"/>
      <c r="G205" s="7" t="s">
        <v>63</v>
      </c>
      <c r="H205" s="7" t="str">
        <f>IFERROR(VLOOKUP(Table2[[#This Row],[Ticket]],Okey!A:B,2,0),"")</f>
        <v>ok</v>
      </c>
      <c r="I205" s="7" t="s">
        <v>3679</v>
      </c>
      <c r="J205" s="7" t="str">
        <f>VLOOKUP(Table2[[#This Row],[Author]],People!A:B,2,0)</f>
        <v>MGF</v>
      </c>
      <c r="K205" s="7"/>
      <c r="L205" s="7"/>
      <c r="M205" s="16" t="s">
        <v>25</v>
      </c>
    </row>
    <row r="206" spans="1:13" x14ac:dyDescent="0.25">
      <c r="A206" s="22">
        <f t="shared" si="3"/>
        <v>205</v>
      </c>
      <c r="B206" s="6" t="s">
        <v>2330</v>
      </c>
      <c r="C206" s="6" t="s">
        <v>3736</v>
      </c>
      <c r="D206" s="6" t="s">
        <v>3955</v>
      </c>
      <c r="E206" s="6" t="s">
        <v>3956</v>
      </c>
      <c r="F206" s="6"/>
      <c r="G206" s="6" t="s">
        <v>63</v>
      </c>
      <c r="H206" s="6" t="str">
        <f>IFERROR(VLOOKUP(Table2[[#This Row],[Ticket]],Okey!A:B,2,0),"")</f>
        <v>ok</v>
      </c>
      <c r="I206" s="6" t="s">
        <v>3679</v>
      </c>
      <c r="J206" s="6" t="str">
        <f>VLOOKUP(Table2[[#This Row],[Author]],People!A:B,2,0)</f>
        <v>MGF</v>
      </c>
      <c r="K206" s="6"/>
      <c r="L206" s="6"/>
      <c r="M206" s="21" t="s">
        <v>25</v>
      </c>
    </row>
    <row r="207" spans="1:13" x14ac:dyDescent="0.25">
      <c r="A207" s="23">
        <f t="shared" si="3"/>
        <v>206</v>
      </c>
      <c r="B207" s="7" t="s">
        <v>2330</v>
      </c>
      <c r="C207" s="7" t="s">
        <v>3736</v>
      </c>
      <c r="D207" s="7" t="s">
        <v>3957</v>
      </c>
      <c r="E207" s="7" t="s">
        <v>3958</v>
      </c>
      <c r="F207" s="7"/>
      <c r="G207" s="7" t="s">
        <v>63</v>
      </c>
      <c r="H207" s="7" t="str">
        <f>IFERROR(VLOOKUP(Table2[[#This Row],[Ticket]],Okey!A:B,2,0),"")</f>
        <v>ok</v>
      </c>
      <c r="I207" s="7" t="s">
        <v>3679</v>
      </c>
      <c r="J207" s="7" t="str">
        <f>VLOOKUP(Table2[[#This Row],[Author]],People!A:B,2,0)</f>
        <v>MGF</v>
      </c>
      <c r="K207" s="7"/>
      <c r="L207" s="7"/>
      <c r="M207" s="16" t="s">
        <v>25</v>
      </c>
    </row>
    <row r="208" spans="1:13" x14ac:dyDescent="0.25">
      <c r="A208" s="22">
        <f t="shared" si="3"/>
        <v>207</v>
      </c>
      <c r="B208" s="6" t="s">
        <v>2330</v>
      </c>
      <c r="C208" s="6" t="s">
        <v>3959</v>
      </c>
      <c r="D208" s="6" t="s">
        <v>3960</v>
      </c>
      <c r="E208" s="6" t="s">
        <v>3961</v>
      </c>
      <c r="F208" s="6" t="s">
        <v>3962</v>
      </c>
      <c r="G208" s="6" t="s">
        <v>18</v>
      </c>
      <c r="H208" s="6" t="str">
        <f>IFERROR(VLOOKUP(Table2[[#This Row],[Ticket]],Okey!A:B,2,0),"")</f>
        <v>ok</v>
      </c>
      <c r="I208" s="6" t="s">
        <v>3679</v>
      </c>
      <c r="J208" s="6" t="str">
        <f>VLOOKUP(Table2[[#This Row],[Author]],People!A:B,2,0)</f>
        <v>MGF</v>
      </c>
      <c r="K208" s="6"/>
      <c r="L208" s="6"/>
      <c r="M208" s="21" t="s">
        <v>3963</v>
      </c>
    </row>
    <row r="209" spans="1:13" x14ac:dyDescent="0.25">
      <c r="A209" s="23">
        <f t="shared" si="3"/>
        <v>208</v>
      </c>
      <c r="B209" s="7" t="s">
        <v>2330</v>
      </c>
      <c r="C209" s="7" t="s">
        <v>3964</v>
      </c>
      <c r="D209" s="7" t="s">
        <v>3965</v>
      </c>
      <c r="E209" s="7" t="s">
        <v>3966</v>
      </c>
      <c r="F209" s="7"/>
      <c r="G209" s="7" t="s">
        <v>63</v>
      </c>
      <c r="H209" s="7" t="str">
        <f>IFERROR(VLOOKUP(Table2[[#This Row],[Ticket]],Okey!A:B,2,0),"")</f>
        <v>ok</v>
      </c>
      <c r="I209" s="7" t="s">
        <v>3679</v>
      </c>
      <c r="J209" s="7" t="str">
        <f>VLOOKUP(Table2[[#This Row],[Author]],People!A:B,2,0)</f>
        <v>MGF</v>
      </c>
      <c r="K209" s="7"/>
      <c r="L209" s="7"/>
      <c r="M209" s="16" t="s">
        <v>3967</v>
      </c>
    </row>
    <row r="210" spans="1:13" x14ac:dyDescent="0.25">
      <c r="A210" s="22">
        <f t="shared" si="3"/>
        <v>209</v>
      </c>
      <c r="B210" s="6" t="s">
        <v>2330</v>
      </c>
      <c r="C210" s="6" t="s">
        <v>3964</v>
      </c>
      <c r="D210" s="6" t="s">
        <v>3968</v>
      </c>
      <c r="E210" s="6" t="s">
        <v>3969</v>
      </c>
      <c r="F210" s="6"/>
      <c r="G210" s="6" t="s">
        <v>63</v>
      </c>
      <c r="H210" s="6" t="str">
        <f>IFERROR(VLOOKUP(Table2[[#This Row],[Ticket]],Okey!A:B,2,0),"")</f>
        <v>ok</v>
      </c>
      <c r="I210" s="6" t="s">
        <v>3679</v>
      </c>
      <c r="J210" s="6" t="str">
        <f>VLOOKUP(Table2[[#This Row],[Author]],People!A:B,2,0)</f>
        <v>MGF</v>
      </c>
      <c r="K210" s="6"/>
      <c r="L210" s="6"/>
      <c r="M210" s="21" t="s">
        <v>3967</v>
      </c>
    </row>
    <row r="211" spans="1:13" x14ac:dyDescent="0.25">
      <c r="A211" s="23">
        <f t="shared" si="3"/>
        <v>210</v>
      </c>
      <c r="B211" s="7" t="s">
        <v>2330</v>
      </c>
      <c r="C211" s="7" t="s">
        <v>3964</v>
      </c>
      <c r="D211" s="7" t="s">
        <v>3970</v>
      </c>
      <c r="E211" s="7" t="s">
        <v>3971</v>
      </c>
      <c r="F211" s="7"/>
      <c r="G211" s="7" t="s">
        <v>63</v>
      </c>
      <c r="H211" s="7" t="str">
        <f>IFERROR(VLOOKUP(Table2[[#This Row],[Ticket]],Okey!A:B,2,0),"")</f>
        <v>ok</v>
      </c>
      <c r="I211" s="7" t="s">
        <v>3679</v>
      </c>
      <c r="J211" s="7" t="str">
        <f>VLOOKUP(Table2[[#This Row],[Author]],People!A:B,2,0)</f>
        <v>MGF</v>
      </c>
      <c r="K211" s="7"/>
      <c r="L211" s="7"/>
      <c r="M211" s="16" t="s">
        <v>3967</v>
      </c>
    </row>
    <row r="212" spans="1:13" x14ac:dyDescent="0.25">
      <c r="A212" s="22">
        <f t="shared" si="3"/>
        <v>211</v>
      </c>
      <c r="B212" s="6" t="s">
        <v>2330</v>
      </c>
      <c r="C212" s="6" t="s">
        <v>3964</v>
      </c>
      <c r="D212" s="6" t="s">
        <v>3972</v>
      </c>
      <c r="E212" s="6" t="s">
        <v>3973</v>
      </c>
      <c r="F212" s="6"/>
      <c r="G212" s="6" t="s">
        <v>63</v>
      </c>
      <c r="H212" s="6" t="str">
        <f>IFERROR(VLOOKUP(Table2[[#This Row],[Ticket]],Okey!A:B,2,0),"")</f>
        <v>ok</v>
      </c>
      <c r="I212" s="6" t="s">
        <v>3679</v>
      </c>
      <c r="J212" s="6" t="str">
        <f>VLOOKUP(Table2[[#This Row],[Author]],People!A:B,2,0)</f>
        <v>MGF</v>
      </c>
      <c r="K212" s="6"/>
      <c r="L212" s="6"/>
      <c r="M212" s="21" t="s">
        <v>3967</v>
      </c>
    </row>
    <row r="213" spans="1:13" x14ac:dyDescent="0.25">
      <c r="A213" s="23">
        <f t="shared" si="3"/>
        <v>212</v>
      </c>
      <c r="B213" s="7" t="s">
        <v>2330</v>
      </c>
      <c r="C213" s="7" t="s">
        <v>3964</v>
      </c>
      <c r="D213" s="7" t="s">
        <v>3974</v>
      </c>
      <c r="E213" s="7" t="s">
        <v>3975</v>
      </c>
      <c r="F213" s="7" t="s">
        <v>3976</v>
      </c>
      <c r="G213" s="7" t="s">
        <v>496</v>
      </c>
      <c r="H213" s="7" t="str">
        <f>IFERROR(VLOOKUP(Table2[[#This Row],[Ticket]],Okey!A:B,2,0),"")</f>
        <v>ok</v>
      </c>
      <c r="I213" s="7" t="s">
        <v>3679</v>
      </c>
      <c r="J213" s="7" t="str">
        <f>VLOOKUP(Table2[[#This Row],[Author]],People!A:B,2,0)</f>
        <v>MGF</v>
      </c>
      <c r="K213" s="7"/>
      <c r="L213" s="7"/>
      <c r="M213" s="16" t="s">
        <v>3967</v>
      </c>
    </row>
    <row r="214" spans="1:13" x14ac:dyDescent="0.25">
      <c r="A214" s="22">
        <f t="shared" si="3"/>
        <v>213</v>
      </c>
      <c r="B214" s="6" t="s">
        <v>2330</v>
      </c>
      <c r="C214" s="6" t="s">
        <v>3964</v>
      </c>
      <c r="D214" s="6" t="s">
        <v>3977</v>
      </c>
      <c r="E214" s="6"/>
      <c r="F214" s="6" t="s">
        <v>3976</v>
      </c>
      <c r="G214" s="6" t="s">
        <v>24</v>
      </c>
      <c r="H214" s="6" t="str">
        <f>IFERROR(VLOOKUP(Table2[[#This Row],[Ticket]],Okey!A:B,2,0),"")</f>
        <v>ok</v>
      </c>
      <c r="I214" s="6" t="s">
        <v>3679</v>
      </c>
      <c r="J214" s="6" t="str">
        <f>VLOOKUP(Table2[[#This Row],[Author]],People!A:B,2,0)</f>
        <v>MGF</v>
      </c>
      <c r="K214" s="6"/>
      <c r="L214" s="6"/>
      <c r="M214" s="21" t="s">
        <v>3967</v>
      </c>
    </row>
    <row r="215" spans="1:13" x14ac:dyDescent="0.25">
      <c r="A215" s="23">
        <f t="shared" si="3"/>
        <v>214</v>
      </c>
      <c r="B215" s="7" t="s">
        <v>2330</v>
      </c>
      <c r="C215" s="7" t="s">
        <v>3964</v>
      </c>
      <c r="D215" s="7" t="s">
        <v>3978</v>
      </c>
      <c r="E215" s="7" t="s">
        <v>3979</v>
      </c>
      <c r="F215" s="7" t="s">
        <v>3976</v>
      </c>
      <c r="G215" s="7" t="s">
        <v>496</v>
      </c>
      <c r="H215" s="7" t="str">
        <f>IFERROR(VLOOKUP(Table2[[#This Row],[Ticket]],Okey!A:B,2,0),"")</f>
        <v>ok</v>
      </c>
      <c r="I215" s="7" t="s">
        <v>3679</v>
      </c>
      <c r="J215" s="7" t="str">
        <f>VLOOKUP(Table2[[#This Row],[Author]],People!A:B,2,0)</f>
        <v>MGF</v>
      </c>
      <c r="K215" s="7"/>
      <c r="L215" s="7"/>
      <c r="M215" s="16" t="s">
        <v>3967</v>
      </c>
    </row>
    <row r="216" spans="1:13" x14ac:dyDescent="0.25">
      <c r="A216" s="22">
        <f t="shared" si="3"/>
        <v>215</v>
      </c>
      <c r="B216" s="6" t="s">
        <v>2330</v>
      </c>
      <c r="C216" s="6" t="s">
        <v>3964</v>
      </c>
      <c r="D216" s="6" t="s">
        <v>3980</v>
      </c>
      <c r="E216" s="6" t="s">
        <v>3966</v>
      </c>
      <c r="F216" s="6" t="s">
        <v>3976</v>
      </c>
      <c r="G216" s="6" t="s">
        <v>18</v>
      </c>
      <c r="H216" s="6" t="str">
        <f>IFERROR(VLOOKUP(Table2[[#This Row],[Ticket]],Okey!A:B,2,0),"")</f>
        <v>ok</v>
      </c>
      <c r="I216" s="6" t="s">
        <v>3679</v>
      </c>
      <c r="J216" s="6" t="str">
        <f>VLOOKUP(Table2[[#This Row],[Author]],People!A:B,2,0)</f>
        <v>MGF</v>
      </c>
      <c r="K216" s="6"/>
      <c r="L216" s="6"/>
      <c r="M216" s="21" t="s">
        <v>3967</v>
      </c>
    </row>
    <row r="217" spans="1:13" x14ac:dyDescent="0.25">
      <c r="A217" s="23">
        <f t="shared" si="3"/>
        <v>216</v>
      </c>
      <c r="B217" s="7" t="s">
        <v>2330</v>
      </c>
      <c r="C217" s="7" t="s">
        <v>3981</v>
      </c>
      <c r="D217" s="7" t="s">
        <v>3982</v>
      </c>
      <c r="E217" s="7" t="s">
        <v>3983</v>
      </c>
      <c r="F217" s="7" t="s">
        <v>3855</v>
      </c>
      <c r="G217" s="7" t="s">
        <v>18</v>
      </c>
      <c r="H217" s="7" t="str">
        <f>IFERROR(VLOOKUP(Table2[[#This Row],[Ticket]],Okey!A:B,2,0),"")</f>
        <v>ok</v>
      </c>
      <c r="I217" s="7" t="s">
        <v>3679</v>
      </c>
      <c r="J217" s="7" t="str">
        <f>VLOOKUP(Table2[[#This Row],[Author]],People!A:B,2,0)</f>
        <v>MGF</v>
      </c>
      <c r="K217" s="7"/>
      <c r="L217" s="7"/>
      <c r="M217" s="16" t="s">
        <v>3984</v>
      </c>
    </row>
    <row r="218" spans="1:13" x14ac:dyDescent="0.25">
      <c r="A218" s="22">
        <f t="shared" si="3"/>
        <v>217</v>
      </c>
      <c r="B218" s="6" t="s">
        <v>2330</v>
      </c>
      <c r="C218" s="6" t="s">
        <v>3981</v>
      </c>
      <c r="D218" s="6" t="s">
        <v>379</v>
      </c>
      <c r="E218" s="6" t="s">
        <v>3985</v>
      </c>
      <c r="F218" s="6" t="s">
        <v>3855</v>
      </c>
      <c r="G218" s="6" t="s">
        <v>18</v>
      </c>
      <c r="H218" s="6" t="str">
        <f>IFERROR(VLOOKUP(Table2[[#This Row],[Ticket]],Okey!A:B,2,0),"")</f>
        <v>ok</v>
      </c>
      <c r="I218" s="6" t="s">
        <v>3679</v>
      </c>
      <c r="J218" s="6" t="str">
        <f>VLOOKUP(Table2[[#This Row],[Author]],People!A:B,2,0)</f>
        <v>MGF</v>
      </c>
      <c r="K218" s="6"/>
      <c r="L218" s="6"/>
      <c r="M218" s="21" t="s">
        <v>3984</v>
      </c>
    </row>
    <row r="219" spans="1:13" x14ac:dyDescent="0.25">
      <c r="A219" s="23">
        <f t="shared" si="3"/>
        <v>218</v>
      </c>
      <c r="B219" s="7" t="s">
        <v>2330</v>
      </c>
      <c r="C219" s="7" t="s">
        <v>3981</v>
      </c>
      <c r="D219" s="7" t="s">
        <v>381</v>
      </c>
      <c r="E219" s="7" t="s">
        <v>3986</v>
      </c>
      <c r="F219" s="7" t="s">
        <v>3855</v>
      </c>
      <c r="G219" s="7" t="s">
        <v>18</v>
      </c>
      <c r="H219" s="7" t="str">
        <f>IFERROR(VLOOKUP(Table2[[#This Row],[Ticket]],Okey!A:B,2,0),"")</f>
        <v>ok</v>
      </c>
      <c r="I219" s="7" t="s">
        <v>3679</v>
      </c>
      <c r="J219" s="7" t="str">
        <f>VLOOKUP(Table2[[#This Row],[Author]],People!A:B,2,0)</f>
        <v>MGF</v>
      </c>
      <c r="K219" s="7"/>
      <c r="L219" s="7"/>
      <c r="M219" s="16" t="s">
        <v>3984</v>
      </c>
    </row>
    <row r="220" spans="1:13" x14ac:dyDescent="0.25">
      <c r="A220" s="22">
        <f t="shared" si="3"/>
        <v>219</v>
      </c>
      <c r="B220" s="6" t="s">
        <v>2330</v>
      </c>
      <c r="C220" s="6" t="s">
        <v>3981</v>
      </c>
      <c r="D220" s="6" t="s">
        <v>753</v>
      </c>
      <c r="E220" s="6" t="s">
        <v>3987</v>
      </c>
      <c r="F220" s="6" t="s">
        <v>3855</v>
      </c>
      <c r="G220" s="6" t="s">
        <v>18</v>
      </c>
      <c r="H220" s="6" t="str">
        <f>IFERROR(VLOOKUP(Table2[[#This Row],[Ticket]],Okey!A:B,2,0),"")</f>
        <v>ok</v>
      </c>
      <c r="I220" s="6" t="s">
        <v>3679</v>
      </c>
      <c r="J220" s="6" t="str">
        <f>VLOOKUP(Table2[[#This Row],[Author]],People!A:B,2,0)</f>
        <v>MGF</v>
      </c>
      <c r="K220" s="6"/>
      <c r="L220" s="6"/>
      <c r="M220" s="21" t="s">
        <v>3984</v>
      </c>
    </row>
    <row r="221" spans="1:13" x14ac:dyDescent="0.25">
      <c r="A221" s="23">
        <f t="shared" si="3"/>
        <v>220</v>
      </c>
      <c r="B221" s="7" t="s">
        <v>2330</v>
      </c>
      <c r="C221" s="7" t="s">
        <v>3981</v>
      </c>
      <c r="D221" s="7" t="s">
        <v>371</v>
      </c>
      <c r="E221" s="7" t="s">
        <v>3988</v>
      </c>
      <c r="F221" s="7" t="s">
        <v>3855</v>
      </c>
      <c r="G221" s="7" t="s">
        <v>18</v>
      </c>
      <c r="H221" s="7" t="str">
        <f>IFERROR(VLOOKUP(Table2[[#This Row],[Ticket]],Okey!A:B,2,0),"")</f>
        <v>ok</v>
      </c>
      <c r="I221" s="7" t="s">
        <v>3679</v>
      </c>
      <c r="J221" s="7" t="str">
        <f>VLOOKUP(Table2[[#This Row],[Author]],People!A:B,2,0)</f>
        <v>MGF</v>
      </c>
      <c r="K221" s="7"/>
      <c r="L221" s="7"/>
      <c r="M221" s="16" t="s">
        <v>3984</v>
      </c>
    </row>
    <row r="222" spans="1:13" x14ac:dyDescent="0.25">
      <c r="A222" s="22">
        <f t="shared" si="3"/>
        <v>221</v>
      </c>
      <c r="B222" s="6" t="s">
        <v>2330</v>
      </c>
      <c r="C222" s="6" t="s">
        <v>3981</v>
      </c>
      <c r="D222" s="6" t="s">
        <v>3989</v>
      </c>
      <c r="E222" s="6" t="s">
        <v>3990</v>
      </c>
      <c r="F222" s="6" t="s">
        <v>3855</v>
      </c>
      <c r="G222" s="6" t="s">
        <v>18</v>
      </c>
      <c r="H222" s="6" t="str">
        <f>IFERROR(VLOOKUP(Table2[[#This Row],[Ticket]],Okey!A:B,2,0),"")</f>
        <v>ok</v>
      </c>
      <c r="I222" s="6" t="s">
        <v>3679</v>
      </c>
      <c r="J222" s="6" t="str">
        <f>VLOOKUP(Table2[[#This Row],[Author]],People!A:B,2,0)</f>
        <v>MGF</v>
      </c>
      <c r="K222" s="6"/>
      <c r="L222" s="6"/>
      <c r="M222" s="21" t="s">
        <v>3984</v>
      </c>
    </row>
    <row r="223" spans="1:13" x14ac:dyDescent="0.25">
      <c r="A223" s="23">
        <f t="shared" si="3"/>
        <v>222</v>
      </c>
      <c r="B223" s="7" t="s">
        <v>2330</v>
      </c>
      <c r="C223" s="7" t="s">
        <v>3981</v>
      </c>
      <c r="D223" s="7" t="s">
        <v>526</v>
      </c>
      <c r="E223" s="7" t="s">
        <v>3991</v>
      </c>
      <c r="F223" s="7" t="s">
        <v>3855</v>
      </c>
      <c r="G223" s="7" t="s">
        <v>18</v>
      </c>
      <c r="H223" s="7" t="str">
        <f>IFERROR(VLOOKUP(Table2[[#This Row],[Ticket]],Okey!A:B,2,0),"")</f>
        <v>ok</v>
      </c>
      <c r="I223" s="7" t="s">
        <v>3679</v>
      </c>
      <c r="J223" s="7" t="str">
        <f>VLOOKUP(Table2[[#This Row],[Author]],People!A:B,2,0)</f>
        <v>MGF</v>
      </c>
      <c r="K223" s="7"/>
      <c r="L223" s="7"/>
      <c r="M223" s="16" t="s">
        <v>3984</v>
      </c>
    </row>
    <row r="224" spans="1:13" x14ac:dyDescent="0.25">
      <c r="A224" s="22">
        <f t="shared" si="3"/>
        <v>223</v>
      </c>
      <c r="B224" s="6" t="s">
        <v>2330</v>
      </c>
      <c r="C224" s="6" t="s">
        <v>3981</v>
      </c>
      <c r="D224" s="6" t="s">
        <v>372</v>
      </c>
      <c r="E224" s="6" t="s">
        <v>3992</v>
      </c>
      <c r="F224" s="6" t="s">
        <v>3855</v>
      </c>
      <c r="G224" s="6" t="s">
        <v>18</v>
      </c>
      <c r="H224" s="6" t="str">
        <f>IFERROR(VLOOKUP(Table2[[#This Row],[Ticket]],Okey!A:B,2,0),"")</f>
        <v>ok</v>
      </c>
      <c r="I224" s="6" t="s">
        <v>3679</v>
      </c>
      <c r="J224" s="6" t="str">
        <f>VLOOKUP(Table2[[#This Row],[Author]],People!A:B,2,0)</f>
        <v>MGF</v>
      </c>
      <c r="K224" s="6"/>
      <c r="L224" s="6"/>
      <c r="M224" s="21" t="s">
        <v>3984</v>
      </c>
    </row>
    <row r="225" spans="1:13" x14ac:dyDescent="0.25">
      <c r="A225" s="23">
        <f t="shared" si="3"/>
        <v>224</v>
      </c>
      <c r="B225" s="7" t="s">
        <v>2330</v>
      </c>
      <c r="C225" s="7" t="s">
        <v>3981</v>
      </c>
      <c r="D225" s="7" t="s">
        <v>625</v>
      </c>
      <c r="E225" s="7" t="s">
        <v>3993</v>
      </c>
      <c r="F225" s="7" t="s">
        <v>3855</v>
      </c>
      <c r="G225" s="7" t="s">
        <v>18</v>
      </c>
      <c r="H225" s="7" t="str">
        <f>IFERROR(VLOOKUP(Table2[[#This Row],[Ticket]],Okey!A:B,2,0),"")</f>
        <v>ok</v>
      </c>
      <c r="I225" s="7" t="s">
        <v>3679</v>
      </c>
      <c r="J225" s="7" t="str">
        <f>VLOOKUP(Table2[[#This Row],[Author]],People!A:B,2,0)</f>
        <v>MGF</v>
      </c>
      <c r="K225" s="7"/>
      <c r="L225" s="7"/>
      <c r="M225" s="16" t="s">
        <v>3984</v>
      </c>
    </row>
    <row r="226" spans="1:13" x14ac:dyDescent="0.25">
      <c r="A226" s="22">
        <f t="shared" si="3"/>
        <v>225</v>
      </c>
      <c r="B226" s="6" t="s">
        <v>2330</v>
      </c>
      <c r="C226" s="6" t="s">
        <v>3981</v>
      </c>
      <c r="D226" s="6" t="s">
        <v>373</v>
      </c>
      <c r="E226" s="6" t="s">
        <v>3994</v>
      </c>
      <c r="F226" s="6" t="s">
        <v>3855</v>
      </c>
      <c r="G226" s="6" t="s">
        <v>18</v>
      </c>
      <c r="H226" s="6" t="str">
        <f>IFERROR(VLOOKUP(Table2[[#This Row],[Ticket]],Okey!A:B,2,0),"")</f>
        <v>ok</v>
      </c>
      <c r="I226" s="6" t="s">
        <v>3679</v>
      </c>
      <c r="J226" s="6" t="str">
        <f>VLOOKUP(Table2[[#This Row],[Author]],People!A:B,2,0)</f>
        <v>MGF</v>
      </c>
      <c r="K226" s="6"/>
      <c r="L226" s="6"/>
      <c r="M226" s="21" t="s">
        <v>3984</v>
      </c>
    </row>
    <row r="227" spans="1:13" x14ac:dyDescent="0.25">
      <c r="A227" s="23">
        <f t="shared" si="3"/>
        <v>226</v>
      </c>
      <c r="B227" s="7" t="s">
        <v>2330</v>
      </c>
      <c r="C227" s="7" t="s">
        <v>3981</v>
      </c>
      <c r="D227" s="7" t="s">
        <v>618</v>
      </c>
      <c r="E227" s="7" t="s">
        <v>3995</v>
      </c>
      <c r="F227" s="7" t="s">
        <v>3855</v>
      </c>
      <c r="G227" s="7" t="s">
        <v>18</v>
      </c>
      <c r="H227" s="7" t="str">
        <f>IFERROR(VLOOKUP(Table2[[#This Row],[Ticket]],Okey!A:B,2,0),"")</f>
        <v>ok</v>
      </c>
      <c r="I227" s="7" t="s">
        <v>3679</v>
      </c>
      <c r="J227" s="7" t="str">
        <f>VLOOKUP(Table2[[#This Row],[Author]],People!A:B,2,0)</f>
        <v>MGF</v>
      </c>
      <c r="K227" s="7"/>
      <c r="L227" s="7"/>
      <c r="M227" s="16" t="s">
        <v>3984</v>
      </c>
    </row>
    <row r="228" spans="1:13" x14ac:dyDescent="0.25">
      <c r="A228" s="22">
        <f t="shared" si="3"/>
        <v>227</v>
      </c>
      <c r="B228" s="6" t="s">
        <v>2330</v>
      </c>
      <c r="C228" s="6" t="s">
        <v>3981</v>
      </c>
      <c r="D228" s="6" t="s">
        <v>619</v>
      </c>
      <c r="E228" s="6" t="s">
        <v>3996</v>
      </c>
      <c r="F228" s="6" t="s">
        <v>3855</v>
      </c>
      <c r="G228" s="6" t="s">
        <v>18</v>
      </c>
      <c r="H228" s="6" t="str">
        <f>IFERROR(VLOOKUP(Table2[[#This Row],[Ticket]],Okey!A:B,2,0),"")</f>
        <v>ok</v>
      </c>
      <c r="I228" s="6" t="s">
        <v>3679</v>
      </c>
      <c r="J228" s="6" t="str">
        <f>VLOOKUP(Table2[[#This Row],[Author]],People!A:B,2,0)</f>
        <v>MGF</v>
      </c>
      <c r="K228" s="6"/>
      <c r="L228" s="6"/>
      <c r="M228" s="21" t="s">
        <v>3984</v>
      </c>
    </row>
    <row r="229" spans="1:13" x14ac:dyDescent="0.25">
      <c r="A229" s="23">
        <f t="shared" si="3"/>
        <v>228</v>
      </c>
      <c r="B229" s="7" t="s">
        <v>2330</v>
      </c>
      <c r="C229" s="7" t="s">
        <v>3981</v>
      </c>
      <c r="D229" s="7" t="s">
        <v>620</v>
      </c>
      <c r="E229" s="7" t="s">
        <v>3997</v>
      </c>
      <c r="F229" s="7" t="s">
        <v>3855</v>
      </c>
      <c r="G229" s="7" t="s">
        <v>18</v>
      </c>
      <c r="H229" s="7" t="str">
        <f>IFERROR(VLOOKUP(Table2[[#This Row],[Ticket]],Okey!A:B,2,0),"")</f>
        <v>ok</v>
      </c>
      <c r="I229" s="7" t="s">
        <v>3679</v>
      </c>
      <c r="J229" s="7" t="str">
        <f>VLOOKUP(Table2[[#This Row],[Author]],People!A:B,2,0)</f>
        <v>MGF</v>
      </c>
      <c r="K229" s="7"/>
      <c r="L229" s="7"/>
      <c r="M229" s="16" t="s">
        <v>3984</v>
      </c>
    </row>
    <row r="230" spans="1:13" x14ac:dyDescent="0.25">
      <c r="A230" s="22">
        <f t="shared" si="3"/>
        <v>229</v>
      </c>
      <c r="B230" s="6" t="s">
        <v>2330</v>
      </c>
      <c r="C230" s="6" t="s">
        <v>3981</v>
      </c>
      <c r="D230" s="6" t="s">
        <v>621</v>
      </c>
      <c r="E230" s="6" t="s">
        <v>3998</v>
      </c>
      <c r="F230" s="6" t="s">
        <v>3855</v>
      </c>
      <c r="G230" s="6" t="s">
        <v>18</v>
      </c>
      <c r="H230" s="6" t="str">
        <f>IFERROR(VLOOKUP(Table2[[#This Row],[Ticket]],Okey!A:B,2,0),"")</f>
        <v>ok</v>
      </c>
      <c r="I230" s="6" t="s">
        <v>3679</v>
      </c>
      <c r="J230" s="6" t="str">
        <f>VLOOKUP(Table2[[#This Row],[Author]],People!A:B,2,0)</f>
        <v>MGF</v>
      </c>
      <c r="K230" s="6"/>
      <c r="L230" s="6"/>
      <c r="M230" s="21" t="s">
        <v>3984</v>
      </c>
    </row>
    <row r="231" spans="1:13" x14ac:dyDescent="0.25">
      <c r="A231" s="23">
        <f t="shared" si="3"/>
        <v>230</v>
      </c>
      <c r="B231" s="7" t="s">
        <v>2330</v>
      </c>
      <c r="C231" s="7" t="s">
        <v>3981</v>
      </c>
      <c r="D231" s="7" t="s">
        <v>367</v>
      </c>
      <c r="E231" s="7" t="s">
        <v>3999</v>
      </c>
      <c r="F231" s="7" t="s">
        <v>3855</v>
      </c>
      <c r="G231" s="7" t="s">
        <v>18</v>
      </c>
      <c r="H231" s="7" t="str">
        <f>IFERROR(VLOOKUP(Table2[[#This Row],[Ticket]],Okey!A:B,2,0),"")</f>
        <v>ok</v>
      </c>
      <c r="I231" s="7" t="s">
        <v>3679</v>
      </c>
      <c r="J231" s="7" t="str">
        <f>VLOOKUP(Table2[[#This Row],[Author]],People!A:B,2,0)</f>
        <v>MGF</v>
      </c>
      <c r="K231" s="7"/>
      <c r="L231" s="7"/>
      <c r="M231" s="16" t="s">
        <v>3984</v>
      </c>
    </row>
    <row r="232" spans="1:13" x14ac:dyDescent="0.25">
      <c r="A232" s="22">
        <f t="shared" si="3"/>
        <v>231</v>
      </c>
      <c r="B232" s="6" t="s">
        <v>2330</v>
      </c>
      <c r="C232" s="6" t="s">
        <v>3981</v>
      </c>
      <c r="D232" s="6" t="s">
        <v>622</v>
      </c>
      <c r="E232" s="6" t="s">
        <v>574</v>
      </c>
      <c r="F232" s="6" t="s">
        <v>3855</v>
      </c>
      <c r="G232" s="6" t="s">
        <v>18</v>
      </c>
      <c r="H232" s="6" t="str">
        <f>IFERROR(VLOOKUP(Table2[[#This Row],[Ticket]],Okey!A:B,2,0),"")</f>
        <v>ok</v>
      </c>
      <c r="I232" s="6" t="s">
        <v>3679</v>
      </c>
      <c r="J232" s="6" t="str">
        <f>VLOOKUP(Table2[[#This Row],[Author]],People!A:B,2,0)</f>
        <v>MGF</v>
      </c>
      <c r="K232" s="6"/>
      <c r="L232" s="6"/>
      <c r="M232" s="21" t="s">
        <v>3984</v>
      </c>
    </row>
    <row r="233" spans="1:13" x14ac:dyDescent="0.25">
      <c r="A233" s="23">
        <f t="shared" si="3"/>
        <v>232</v>
      </c>
      <c r="B233" s="7" t="s">
        <v>2330</v>
      </c>
      <c r="C233" s="7" t="s">
        <v>3981</v>
      </c>
      <c r="D233" s="7" t="s">
        <v>623</v>
      </c>
      <c r="E233" s="7" t="s">
        <v>576</v>
      </c>
      <c r="F233" s="7" t="s">
        <v>3855</v>
      </c>
      <c r="G233" s="7" t="s">
        <v>18</v>
      </c>
      <c r="H233" s="7" t="str">
        <f>IFERROR(VLOOKUP(Table2[[#This Row],[Ticket]],Okey!A:B,2,0),"")</f>
        <v>ok</v>
      </c>
      <c r="I233" s="7" t="s">
        <v>3679</v>
      </c>
      <c r="J233" s="7" t="str">
        <f>VLOOKUP(Table2[[#This Row],[Author]],People!A:B,2,0)</f>
        <v>MGF</v>
      </c>
      <c r="K233" s="7"/>
      <c r="L233" s="7"/>
      <c r="M233" s="16" t="s">
        <v>3984</v>
      </c>
    </row>
    <row r="234" spans="1:13" x14ac:dyDescent="0.25">
      <c r="A234" s="22">
        <f t="shared" si="3"/>
        <v>233</v>
      </c>
      <c r="B234" s="6" t="s">
        <v>2330</v>
      </c>
      <c r="C234" s="6" t="s">
        <v>3981</v>
      </c>
      <c r="D234" s="6" t="s">
        <v>624</v>
      </c>
      <c r="E234" s="6" t="s">
        <v>4000</v>
      </c>
      <c r="F234" s="6" t="s">
        <v>3855</v>
      </c>
      <c r="G234" s="6" t="s">
        <v>18</v>
      </c>
      <c r="H234" s="6" t="str">
        <f>IFERROR(VLOOKUP(Table2[[#This Row],[Ticket]],Okey!A:B,2,0),"")</f>
        <v>ok</v>
      </c>
      <c r="I234" s="6" t="s">
        <v>3679</v>
      </c>
      <c r="J234" s="6" t="str">
        <f>VLOOKUP(Table2[[#This Row],[Author]],People!A:B,2,0)</f>
        <v>MGF</v>
      </c>
      <c r="K234" s="6"/>
      <c r="L234" s="6"/>
      <c r="M234" s="21" t="s">
        <v>3984</v>
      </c>
    </row>
    <row r="235" spans="1:13" x14ac:dyDescent="0.25">
      <c r="A235" s="23">
        <f t="shared" si="3"/>
        <v>234</v>
      </c>
      <c r="B235" s="7" t="s">
        <v>2330</v>
      </c>
      <c r="C235" s="7" t="s">
        <v>3981</v>
      </c>
      <c r="D235" s="7" t="s">
        <v>626</v>
      </c>
      <c r="E235" s="7" t="s">
        <v>4001</v>
      </c>
      <c r="F235" s="7" t="s">
        <v>3855</v>
      </c>
      <c r="G235" s="7" t="s">
        <v>18</v>
      </c>
      <c r="H235" s="7" t="str">
        <f>IFERROR(VLOOKUP(Table2[[#This Row],[Ticket]],Okey!A:B,2,0),"")</f>
        <v>ok</v>
      </c>
      <c r="I235" s="7" t="s">
        <v>3679</v>
      </c>
      <c r="J235" s="7" t="str">
        <f>VLOOKUP(Table2[[#This Row],[Author]],People!A:B,2,0)</f>
        <v>MGF</v>
      </c>
      <c r="K235" s="7"/>
      <c r="L235" s="7"/>
      <c r="M235" s="16" t="s">
        <v>3984</v>
      </c>
    </row>
    <row r="236" spans="1:13" x14ac:dyDescent="0.25">
      <c r="A236" s="22">
        <f t="shared" si="3"/>
        <v>235</v>
      </c>
      <c r="B236" s="6" t="s">
        <v>2330</v>
      </c>
      <c r="C236" s="6" t="s">
        <v>3981</v>
      </c>
      <c r="D236" s="6" t="s">
        <v>628</v>
      </c>
      <c r="E236" s="6" t="s">
        <v>4002</v>
      </c>
      <c r="F236" s="6" t="s">
        <v>3855</v>
      </c>
      <c r="G236" s="6" t="s">
        <v>18</v>
      </c>
      <c r="H236" s="6" t="str">
        <f>IFERROR(VLOOKUP(Table2[[#This Row],[Ticket]],Okey!A:B,2,0),"")</f>
        <v>ok</v>
      </c>
      <c r="I236" s="6" t="s">
        <v>3679</v>
      </c>
      <c r="J236" s="6" t="str">
        <f>VLOOKUP(Table2[[#This Row],[Author]],People!A:B,2,0)</f>
        <v>MGF</v>
      </c>
      <c r="K236" s="6"/>
      <c r="L236" s="6"/>
      <c r="M236" s="21" t="s">
        <v>3984</v>
      </c>
    </row>
    <row r="237" spans="1:13" x14ac:dyDescent="0.25">
      <c r="A237" s="23">
        <f t="shared" si="3"/>
        <v>236</v>
      </c>
      <c r="B237" s="7" t="s">
        <v>2330</v>
      </c>
      <c r="C237" s="7" t="s">
        <v>3981</v>
      </c>
      <c r="D237" s="7" t="s">
        <v>630</v>
      </c>
      <c r="E237" s="7" t="s">
        <v>4003</v>
      </c>
      <c r="F237" s="7" t="s">
        <v>3855</v>
      </c>
      <c r="G237" s="7" t="s">
        <v>18</v>
      </c>
      <c r="H237" s="7" t="str">
        <f>IFERROR(VLOOKUP(Table2[[#This Row],[Ticket]],Okey!A:B,2,0),"")</f>
        <v>ok</v>
      </c>
      <c r="I237" s="7" t="s">
        <v>3679</v>
      </c>
      <c r="J237" s="7" t="str">
        <f>VLOOKUP(Table2[[#This Row],[Author]],People!A:B,2,0)</f>
        <v>MGF</v>
      </c>
      <c r="K237" s="7"/>
      <c r="L237" s="7"/>
      <c r="M237" s="16" t="s">
        <v>3984</v>
      </c>
    </row>
    <row r="238" spans="1:13" x14ac:dyDescent="0.25">
      <c r="A238" s="22">
        <f t="shared" si="3"/>
        <v>237</v>
      </c>
      <c r="B238" s="6" t="s">
        <v>2330</v>
      </c>
      <c r="C238" s="6" t="s">
        <v>3981</v>
      </c>
      <c r="D238" s="6" t="s">
        <v>538</v>
      </c>
      <c r="E238" s="6" t="s">
        <v>4004</v>
      </c>
      <c r="F238" s="6" t="s">
        <v>3855</v>
      </c>
      <c r="G238" s="6" t="s">
        <v>18</v>
      </c>
      <c r="H238" s="6" t="str">
        <f>IFERROR(VLOOKUP(Table2[[#This Row],[Ticket]],Okey!A:B,2,0),"")</f>
        <v>ok</v>
      </c>
      <c r="I238" s="6" t="s">
        <v>3679</v>
      </c>
      <c r="J238" s="6" t="str">
        <f>VLOOKUP(Table2[[#This Row],[Author]],People!A:B,2,0)</f>
        <v>MGF</v>
      </c>
      <c r="K238" s="6"/>
      <c r="L238" s="6"/>
      <c r="M238" s="21" t="s">
        <v>3984</v>
      </c>
    </row>
    <row r="239" spans="1:13" x14ac:dyDescent="0.25">
      <c r="A239" s="23">
        <f t="shared" si="3"/>
        <v>238</v>
      </c>
      <c r="B239" s="7" t="s">
        <v>2330</v>
      </c>
      <c r="C239" s="7" t="s">
        <v>3981</v>
      </c>
      <c r="D239" s="7" t="s">
        <v>374</v>
      </c>
      <c r="E239" s="7" t="s">
        <v>4005</v>
      </c>
      <c r="F239" s="7" t="s">
        <v>3855</v>
      </c>
      <c r="G239" s="7" t="s">
        <v>18</v>
      </c>
      <c r="H239" s="7" t="str">
        <f>IFERROR(VLOOKUP(Table2[[#This Row],[Ticket]],Okey!A:B,2,0),"")</f>
        <v>ok</v>
      </c>
      <c r="I239" s="7" t="s">
        <v>3679</v>
      </c>
      <c r="J239" s="7" t="str">
        <f>VLOOKUP(Table2[[#This Row],[Author]],People!A:B,2,0)</f>
        <v>MGF</v>
      </c>
      <c r="K239" s="7"/>
      <c r="L239" s="7"/>
      <c r="M239" s="16" t="s">
        <v>3984</v>
      </c>
    </row>
    <row r="240" spans="1:13" x14ac:dyDescent="0.25">
      <c r="A240" s="22">
        <f t="shared" si="3"/>
        <v>239</v>
      </c>
      <c r="B240" s="6" t="s">
        <v>2330</v>
      </c>
      <c r="C240" s="6" t="s">
        <v>3981</v>
      </c>
      <c r="D240" s="6" t="s">
        <v>4006</v>
      </c>
      <c r="E240" s="6" t="s">
        <v>4007</v>
      </c>
      <c r="F240" s="6" t="s">
        <v>3855</v>
      </c>
      <c r="G240" s="6" t="s">
        <v>18</v>
      </c>
      <c r="H240" s="6" t="str">
        <f>IFERROR(VLOOKUP(Table2[[#This Row],[Ticket]],Okey!A:B,2,0),"")</f>
        <v>ok</v>
      </c>
      <c r="I240" s="6" t="s">
        <v>3679</v>
      </c>
      <c r="J240" s="6" t="str">
        <f>VLOOKUP(Table2[[#This Row],[Author]],People!A:B,2,0)</f>
        <v>MGF</v>
      </c>
      <c r="K240" s="6"/>
      <c r="L240" s="6"/>
      <c r="M240" s="21" t="s">
        <v>3984</v>
      </c>
    </row>
    <row r="241" spans="1:13" x14ac:dyDescent="0.25">
      <c r="A241" s="23">
        <f t="shared" si="3"/>
        <v>240</v>
      </c>
      <c r="B241" s="7" t="s">
        <v>2330</v>
      </c>
      <c r="C241" s="7" t="s">
        <v>3981</v>
      </c>
      <c r="D241" s="7" t="s">
        <v>4008</v>
      </c>
      <c r="E241" s="7" t="s">
        <v>4009</v>
      </c>
      <c r="F241" s="7" t="s">
        <v>3855</v>
      </c>
      <c r="G241" s="7" t="s">
        <v>18</v>
      </c>
      <c r="H241" s="7" t="str">
        <f>IFERROR(VLOOKUP(Table2[[#This Row],[Ticket]],Okey!A:B,2,0),"")</f>
        <v>ok</v>
      </c>
      <c r="I241" s="7" t="s">
        <v>3679</v>
      </c>
      <c r="J241" s="7" t="str">
        <f>VLOOKUP(Table2[[#This Row],[Author]],People!A:B,2,0)</f>
        <v>MGF</v>
      </c>
      <c r="K241" s="7"/>
      <c r="L241" s="7"/>
      <c r="M241" s="16" t="s">
        <v>3984</v>
      </c>
    </row>
    <row r="242" spans="1:13" x14ac:dyDescent="0.25">
      <c r="A242" s="22">
        <f t="shared" si="3"/>
        <v>241</v>
      </c>
      <c r="B242" s="6" t="s">
        <v>2330</v>
      </c>
      <c r="C242" s="6" t="s">
        <v>3981</v>
      </c>
      <c r="D242" s="6" t="s">
        <v>4010</v>
      </c>
      <c r="E242" s="6" t="s">
        <v>4011</v>
      </c>
      <c r="F242" s="6" t="s">
        <v>3855</v>
      </c>
      <c r="G242" s="6" t="s">
        <v>18</v>
      </c>
      <c r="H242" s="6" t="str">
        <f>IFERROR(VLOOKUP(Table2[[#This Row],[Ticket]],Okey!A:B,2,0),"")</f>
        <v>ok</v>
      </c>
      <c r="I242" s="6" t="s">
        <v>3679</v>
      </c>
      <c r="J242" s="6" t="str">
        <f>VLOOKUP(Table2[[#This Row],[Author]],People!A:B,2,0)</f>
        <v>MGF</v>
      </c>
      <c r="K242" s="6"/>
      <c r="L242" s="6"/>
      <c r="M242" s="21" t="s">
        <v>3984</v>
      </c>
    </row>
    <row r="243" spans="1:13" x14ac:dyDescent="0.25">
      <c r="A243" s="23">
        <f t="shared" si="3"/>
        <v>242</v>
      </c>
      <c r="B243" s="7" t="s">
        <v>2330</v>
      </c>
      <c r="C243" s="7" t="s">
        <v>3981</v>
      </c>
      <c r="D243" s="7" t="s">
        <v>4012</v>
      </c>
      <c r="E243" s="7" t="s">
        <v>4013</v>
      </c>
      <c r="F243" s="7" t="s">
        <v>3855</v>
      </c>
      <c r="G243" s="7" t="s">
        <v>18</v>
      </c>
      <c r="H243" s="7" t="str">
        <f>IFERROR(VLOOKUP(Table2[[#This Row],[Ticket]],Okey!A:B,2,0),"")</f>
        <v>ok</v>
      </c>
      <c r="I243" s="7" t="s">
        <v>3679</v>
      </c>
      <c r="J243" s="7" t="str">
        <f>VLOOKUP(Table2[[#This Row],[Author]],People!A:B,2,0)</f>
        <v>MGF</v>
      </c>
      <c r="K243" s="7"/>
      <c r="L243" s="7"/>
      <c r="M243" s="16" t="s">
        <v>3984</v>
      </c>
    </row>
    <row r="244" spans="1:13" x14ac:dyDescent="0.25">
      <c r="A244" s="22">
        <f t="shared" si="3"/>
        <v>243</v>
      </c>
      <c r="B244" s="6" t="s">
        <v>2330</v>
      </c>
      <c r="C244" s="6" t="s">
        <v>3981</v>
      </c>
      <c r="D244" s="6" t="s">
        <v>378</v>
      </c>
      <c r="E244" s="6" t="s">
        <v>4014</v>
      </c>
      <c r="F244" s="6" t="s">
        <v>3855</v>
      </c>
      <c r="G244" s="6" t="s">
        <v>18</v>
      </c>
      <c r="H244" s="6" t="str">
        <f>IFERROR(VLOOKUP(Table2[[#This Row],[Ticket]],Okey!A:B,2,0),"")</f>
        <v>ok</v>
      </c>
      <c r="I244" s="6" t="s">
        <v>3679</v>
      </c>
      <c r="J244" s="6" t="str">
        <f>VLOOKUP(Table2[[#This Row],[Author]],People!A:B,2,0)</f>
        <v>MGF</v>
      </c>
      <c r="K244" s="6"/>
      <c r="L244" s="6"/>
      <c r="M244" s="21" t="s">
        <v>3984</v>
      </c>
    </row>
    <row r="245" spans="1:13" x14ac:dyDescent="0.25">
      <c r="A245" s="23">
        <f t="shared" si="3"/>
        <v>244</v>
      </c>
      <c r="B245" s="7" t="s">
        <v>2330</v>
      </c>
      <c r="C245" s="7" t="s">
        <v>3981</v>
      </c>
      <c r="D245" s="7" t="s">
        <v>4015</v>
      </c>
      <c r="E245" s="7" t="s">
        <v>4016</v>
      </c>
      <c r="F245" s="7" t="s">
        <v>3855</v>
      </c>
      <c r="G245" s="7" t="s">
        <v>18</v>
      </c>
      <c r="H245" s="7" t="str">
        <f>IFERROR(VLOOKUP(Table2[[#This Row],[Ticket]],Okey!A:B,2,0),"")</f>
        <v>ok</v>
      </c>
      <c r="I245" s="7" t="s">
        <v>3679</v>
      </c>
      <c r="J245" s="7" t="str">
        <f>VLOOKUP(Table2[[#This Row],[Author]],People!A:B,2,0)</f>
        <v>MGF</v>
      </c>
      <c r="K245" s="7"/>
      <c r="L245" s="7"/>
      <c r="M245" s="16" t="s">
        <v>3984</v>
      </c>
    </row>
    <row r="246" spans="1:13" x14ac:dyDescent="0.25">
      <c r="A246" s="22">
        <f t="shared" si="3"/>
        <v>245</v>
      </c>
      <c r="B246" s="6" t="s">
        <v>2330</v>
      </c>
      <c r="C246" s="6" t="s">
        <v>3981</v>
      </c>
      <c r="D246" s="6" t="s">
        <v>4017</v>
      </c>
      <c r="E246" s="6" t="s">
        <v>4018</v>
      </c>
      <c r="F246" s="6" t="s">
        <v>3855</v>
      </c>
      <c r="G246" s="6" t="s">
        <v>18</v>
      </c>
      <c r="H246" s="6" t="str">
        <f>IFERROR(VLOOKUP(Table2[[#This Row],[Ticket]],Okey!A:B,2,0),"")</f>
        <v>ok</v>
      </c>
      <c r="I246" s="6" t="s">
        <v>3679</v>
      </c>
      <c r="J246" s="6" t="str">
        <f>VLOOKUP(Table2[[#This Row],[Author]],People!A:B,2,0)</f>
        <v>MGF</v>
      </c>
      <c r="K246" s="6"/>
      <c r="L246" s="6"/>
      <c r="M246" s="21" t="s">
        <v>3984</v>
      </c>
    </row>
    <row r="247" spans="1:13" x14ac:dyDescent="0.25">
      <c r="A247" s="23">
        <f t="shared" si="3"/>
        <v>246</v>
      </c>
      <c r="B247" s="7" t="s">
        <v>2330</v>
      </c>
      <c r="C247" s="7" t="s">
        <v>3981</v>
      </c>
      <c r="D247" s="7" t="s">
        <v>4019</v>
      </c>
      <c r="E247" s="7" t="s">
        <v>4020</v>
      </c>
      <c r="F247" s="7" t="s">
        <v>3855</v>
      </c>
      <c r="G247" s="7" t="s">
        <v>18</v>
      </c>
      <c r="H247" s="7" t="str">
        <f>IFERROR(VLOOKUP(Table2[[#This Row],[Ticket]],Okey!A:B,2,0),"")</f>
        <v>ok</v>
      </c>
      <c r="I247" s="7" t="s">
        <v>3679</v>
      </c>
      <c r="J247" s="7" t="str">
        <f>VLOOKUP(Table2[[#This Row],[Author]],People!A:B,2,0)</f>
        <v>MGF</v>
      </c>
      <c r="K247" s="7"/>
      <c r="L247" s="7"/>
      <c r="M247" s="16" t="s">
        <v>3984</v>
      </c>
    </row>
    <row r="248" spans="1:13" x14ac:dyDescent="0.25">
      <c r="A248" s="22">
        <f t="shared" si="3"/>
        <v>247</v>
      </c>
      <c r="B248" s="6" t="s">
        <v>2330</v>
      </c>
      <c r="C248" s="6" t="s">
        <v>3981</v>
      </c>
      <c r="D248" s="6" t="s">
        <v>4021</v>
      </c>
      <c r="E248" s="6" t="s">
        <v>4022</v>
      </c>
      <c r="F248" s="6" t="s">
        <v>3855</v>
      </c>
      <c r="G248" s="6" t="s">
        <v>18</v>
      </c>
      <c r="H248" s="6" t="str">
        <f>IFERROR(VLOOKUP(Table2[[#This Row],[Ticket]],Okey!A:B,2,0),"")</f>
        <v>ok</v>
      </c>
      <c r="I248" s="6" t="s">
        <v>3679</v>
      </c>
      <c r="J248" s="6" t="str">
        <f>VLOOKUP(Table2[[#This Row],[Author]],People!A:B,2,0)</f>
        <v>MGF</v>
      </c>
      <c r="K248" s="6"/>
      <c r="L248" s="6"/>
      <c r="M248" s="21" t="s">
        <v>3984</v>
      </c>
    </row>
    <row r="249" spans="1:13" x14ac:dyDescent="0.25">
      <c r="A249" s="23">
        <f t="shared" si="3"/>
        <v>248</v>
      </c>
      <c r="B249" s="7" t="s">
        <v>2330</v>
      </c>
      <c r="C249" s="7" t="s">
        <v>3981</v>
      </c>
      <c r="D249" s="7" t="s">
        <v>4023</v>
      </c>
      <c r="E249" s="7" t="s">
        <v>4024</v>
      </c>
      <c r="F249" s="7" t="s">
        <v>3855</v>
      </c>
      <c r="G249" s="7" t="s">
        <v>18</v>
      </c>
      <c r="H249" s="7" t="str">
        <f>IFERROR(VLOOKUP(Table2[[#This Row],[Ticket]],Okey!A:B,2,0),"")</f>
        <v>ok</v>
      </c>
      <c r="I249" s="7" t="s">
        <v>3679</v>
      </c>
      <c r="J249" s="7" t="str">
        <f>VLOOKUP(Table2[[#This Row],[Author]],People!A:B,2,0)</f>
        <v>MGF</v>
      </c>
      <c r="K249" s="7"/>
      <c r="L249" s="7"/>
      <c r="M249" s="16" t="s">
        <v>3984</v>
      </c>
    </row>
    <row r="250" spans="1:13" x14ac:dyDescent="0.25">
      <c r="A250" s="22">
        <f t="shared" si="3"/>
        <v>249</v>
      </c>
      <c r="B250" s="6" t="s">
        <v>2330</v>
      </c>
      <c r="C250" s="6" t="s">
        <v>3981</v>
      </c>
      <c r="D250" s="6" t="s">
        <v>4025</v>
      </c>
      <c r="E250" s="6" t="s">
        <v>4026</v>
      </c>
      <c r="F250" s="6" t="s">
        <v>3855</v>
      </c>
      <c r="G250" s="6" t="s">
        <v>18</v>
      </c>
      <c r="H250" s="6" t="str">
        <f>IFERROR(VLOOKUP(Table2[[#This Row],[Ticket]],Okey!A:B,2,0),"")</f>
        <v>ok</v>
      </c>
      <c r="I250" s="6" t="s">
        <v>3679</v>
      </c>
      <c r="J250" s="6" t="str">
        <f>VLOOKUP(Table2[[#This Row],[Author]],People!A:B,2,0)</f>
        <v>MGF</v>
      </c>
      <c r="K250" s="6"/>
      <c r="L250" s="6"/>
      <c r="M250" s="21" t="s">
        <v>3984</v>
      </c>
    </row>
    <row r="251" spans="1:13" x14ac:dyDescent="0.25">
      <c r="A251" s="23">
        <f t="shared" si="3"/>
        <v>250</v>
      </c>
      <c r="B251" s="7" t="s">
        <v>2330</v>
      </c>
      <c r="C251" s="7" t="s">
        <v>3981</v>
      </c>
      <c r="D251" s="7" t="s">
        <v>4027</v>
      </c>
      <c r="E251" s="7" t="s">
        <v>4028</v>
      </c>
      <c r="F251" s="7" t="s">
        <v>3855</v>
      </c>
      <c r="G251" s="7" t="s">
        <v>18</v>
      </c>
      <c r="H251" s="7" t="str">
        <f>IFERROR(VLOOKUP(Table2[[#This Row],[Ticket]],Okey!A:B,2,0),"")</f>
        <v>ok</v>
      </c>
      <c r="I251" s="7" t="s">
        <v>3679</v>
      </c>
      <c r="J251" s="7" t="str">
        <f>VLOOKUP(Table2[[#This Row],[Author]],People!A:B,2,0)</f>
        <v>MGF</v>
      </c>
      <c r="K251" s="7"/>
      <c r="L251" s="7"/>
      <c r="M251" s="16" t="s">
        <v>3984</v>
      </c>
    </row>
    <row r="252" spans="1:13" x14ac:dyDescent="0.25">
      <c r="A252" s="22">
        <f t="shared" si="3"/>
        <v>251</v>
      </c>
      <c r="B252" s="6" t="s">
        <v>2330</v>
      </c>
      <c r="C252" s="6" t="s">
        <v>3981</v>
      </c>
      <c r="D252" s="6" t="s">
        <v>4029</v>
      </c>
      <c r="E252" s="6" t="s">
        <v>4030</v>
      </c>
      <c r="F252" s="6" t="s">
        <v>3855</v>
      </c>
      <c r="G252" s="6" t="s">
        <v>18</v>
      </c>
      <c r="H252" s="6" t="str">
        <f>IFERROR(VLOOKUP(Table2[[#This Row],[Ticket]],Okey!A:B,2,0),"")</f>
        <v>ok</v>
      </c>
      <c r="I252" s="6" t="s">
        <v>3679</v>
      </c>
      <c r="J252" s="6" t="str">
        <f>VLOOKUP(Table2[[#This Row],[Author]],People!A:B,2,0)</f>
        <v>MGF</v>
      </c>
      <c r="K252" s="6"/>
      <c r="L252" s="6"/>
      <c r="M252" s="21" t="s">
        <v>3984</v>
      </c>
    </row>
    <row r="253" spans="1:13" x14ac:dyDescent="0.25">
      <c r="A253" s="23">
        <f t="shared" si="3"/>
        <v>252</v>
      </c>
      <c r="B253" s="7" t="s">
        <v>2330</v>
      </c>
      <c r="C253" s="7" t="s">
        <v>3981</v>
      </c>
      <c r="D253" s="7" t="s">
        <v>4031</v>
      </c>
      <c r="E253" s="7" t="s">
        <v>4032</v>
      </c>
      <c r="F253" s="7" t="s">
        <v>3855</v>
      </c>
      <c r="G253" s="7" t="s">
        <v>18</v>
      </c>
      <c r="H253" s="7" t="str">
        <f>IFERROR(VLOOKUP(Table2[[#This Row],[Ticket]],Okey!A:B,2,0),"")</f>
        <v>ok</v>
      </c>
      <c r="I253" s="7" t="s">
        <v>3679</v>
      </c>
      <c r="J253" s="7" t="str">
        <f>VLOOKUP(Table2[[#This Row],[Author]],People!A:B,2,0)</f>
        <v>MGF</v>
      </c>
      <c r="K253" s="7"/>
      <c r="L253" s="7"/>
      <c r="M253" s="16" t="s">
        <v>3984</v>
      </c>
    </row>
    <row r="254" spans="1:13" x14ac:dyDescent="0.25">
      <c r="A254" s="22">
        <f t="shared" si="3"/>
        <v>253</v>
      </c>
      <c r="B254" s="6" t="s">
        <v>2330</v>
      </c>
      <c r="C254" s="6" t="s">
        <v>3981</v>
      </c>
      <c r="D254" s="6" t="s">
        <v>4033</v>
      </c>
      <c r="E254" s="6" t="s">
        <v>4034</v>
      </c>
      <c r="F254" s="6" t="s">
        <v>3855</v>
      </c>
      <c r="G254" s="6" t="s">
        <v>18</v>
      </c>
      <c r="H254" s="6" t="str">
        <f>IFERROR(VLOOKUP(Table2[[#This Row],[Ticket]],Okey!A:B,2,0),"")</f>
        <v>ok</v>
      </c>
      <c r="I254" s="6" t="s">
        <v>3679</v>
      </c>
      <c r="J254" s="6" t="str">
        <f>VLOOKUP(Table2[[#This Row],[Author]],People!A:B,2,0)</f>
        <v>MGF</v>
      </c>
      <c r="K254" s="6"/>
      <c r="L254" s="6"/>
      <c r="M254" s="21" t="s">
        <v>3984</v>
      </c>
    </row>
    <row r="255" spans="1:13" x14ac:dyDescent="0.25">
      <c r="A255" s="23">
        <f t="shared" si="3"/>
        <v>254</v>
      </c>
      <c r="B255" s="7" t="s">
        <v>2330</v>
      </c>
      <c r="C255" s="7" t="s">
        <v>3981</v>
      </c>
      <c r="D255" s="7" t="s">
        <v>4035</v>
      </c>
      <c r="E255" s="7" t="s">
        <v>4036</v>
      </c>
      <c r="F255" s="7" t="s">
        <v>3855</v>
      </c>
      <c r="G255" s="7" t="s">
        <v>18</v>
      </c>
      <c r="H255" s="7" t="str">
        <f>IFERROR(VLOOKUP(Table2[[#This Row],[Ticket]],Okey!A:B,2,0),"")</f>
        <v>ok</v>
      </c>
      <c r="I255" s="7" t="s">
        <v>3679</v>
      </c>
      <c r="J255" s="7" t="str">
        <f>VLOOKUP(Table2[[#This Row],[Author]],People!A:B,2,0)</f>
        <v>MGF</v>
      </c>
      <c r="K255" s="7"/>
      <c r="L255" s="7"/>
      <c r="M255" s="16" t="s">
        <v>3984</v>
      </c>
    </row>
    <row r="256" spans="1:13" x14ac:dyDescent="0.25">
      <c r="A256" s="22">
        <f t="shared" si="3"/>
        <v>255</v>
      </c>
      <c r="B256" s="6" t="s">
        <v>2330</v>
      </c>
      <c r="C256" s="6" t="s">
        <v>3981</v>
      </c>
      <c r="D256" s="6" t="s">
        <v>4037</v>
      </c>
      <c r="E256" s="6" t="s">
        <v>4038</v>
      </c>
      <c r="F256" s="6" t="s">
        <v>3855</v>
      </c>
      <c r="G256" s="6" t="s">
        <v>18</v>
      </c>
      <c r="H256" s="6" t="str">
        <f>IFERROR(VLOOKUP(Table2[[#This Row],[Ticket]],Okey!A:B,2,0),"")</f>
        <v>ok</v>
      </c>
      <c r="I256" s="6" t="s">
        <v>3679</v>
      </c>
      <c r="J256" s="6" t="str">
        <f>VLOOKUP(Table2[[#This Row],[Author]],People!A:B,2,0)</f>
        <v>MGF</v>
      </c>
      <c r="K256" s="6"/>
      <c r="L256" s="6"/>
      <c r="M256" s="21" t="s">
        <v>3984</v>
      </c>
    </row>
    <row r="257" spans="1:13" x14ac:dyDescent="0.25">
      <c r="A257" s="23">
        <f t="shared" si="3"/>
        <v>256</v>
      </c>
      <c r="B257" s="7" t="s">
        <v>2330</v>
      </c>
      <c r="C257" s="7" t="s">
        <v>3981</v>
      </c>
      <c r="D257" s="7" t="s">
        <v>4039</v>
      </c>
      <c r="E257" s="7" t="s">
        <v>4040</v>
      </c>
      <c r="F257" s="7" t="s">
        <v>3855</v>
      </c>
      <c r="G257" s="7" t="s">
        <v>18</v>
      </c>
      <c r="H257" s="7" t="str">
        <f>IFERROR(VLOOKUP(Table2[[#This Row],[Ticket]],Okey!A:B,2,0),"")</f>
        <v>ok</v>
      </c>
      <c r="I257" s="7" t="s">
        <v>3679</v>
      </c>
      <c r="J257" s="7" t="str">
        <f>VLOOKUP(Table2[[#This Row],[Author]],People!A:B,2,0)</f>
        <v>MGF</v>
      </c>
      <c r="K257" s="7"/>
      <c r="L257" s="7"/>
      <c r="M257" s="16" t="s">
        <v>3984</v>
      </c>
    </row>
    <row r="258" spans="1:13" x14ac:dyDescent="0.25">
      <c r="A258" s="22">
        <f t="shared" si="3"/>
        <v>257</v>
      </c>
      <c r="B258" s="6" t="s">
        <v>2330</v>
      </c>
      <c r="C258" s="6" t="s">
        <v>3981</v>
      </c>
      <c r="D258" s="6" t="s">
        <v>4041</v>
      </c>
      <c r="E258" s="6" t="s">
        <v>4042</v>
      </c>
      <c r="F258" s="6" t="s">
        <v>3855</v>
      </c>
      <c r="G258" s="6" t="s">
        <v>18</v>
      </c>
      <c r="H258" s="6" t="str">
        <f>IFERROR(VLOOKUP(Table2[[#This Row],[Ticket]],Okey!A:B,2,0),"")</f>
        <v>ok</v>
      </c>
      <c r="I258" s="6" t="s">
        <v>3679</v>
      </c>
      <c r="J258" s="6" t="str">
        <f>VLOOKUP(Table2[[#This Row],[Author]],People!A:B,2,0)</f>
        <v>MGF</v>
      </c>
      <c r="K258" s="6"/>
      <c r="L258" s="6"/>
      <c r="M258" s="21" t="s">
        <v>3984</v>
      </c>
    </row>
    <row r="259" spans="1:13" x14ac:dyDescent="0.25">
      <c r="A259" s="23">
        <f t="shared" ref="A259:A322" si="4">1+A258</f>
        <v>258</v>
      </c>
      <c r="B259" s="7" t="s">
        <v>2330</v>
      </c>
      <c r="C259" s="7" t="s">
        <v>3981</v>
      </c>
      <c r="D259" s="7" t="s">
        <v>4043</v>
      </c>
      <c r="E259" s="7" t="s">
        <v>4044</v>
      </c>
      <c r="F259" s="7" t="s">
        <v>3855</v>
      </c>
      <c r="G259" s="7" t="s">
        <v>18</v>
      </c>
      <c r="H259" s="7" t="str">
        <f>IFERROR(VLOOKUP(Table2[[#This Row],[Ticket]],Okey!A:B,2,0),"")</f>
        <v>ok</v>
      </c>
      <c r="I259" s="7" t="s">
        <v>3679</v>
      </c>
      <c r="J259" s="7" t="str">
        <f>VLOOKUP(Table2[[#This Row],[Author]],People!A:B,2,0)</f>
        <v>MGF</v>
      </c>
      <c r="K259" s="7"/>
      <c r="L259" s="7"/>
      <c r="M259" s="16" t="s">
        <v>3984</v>
      </c>
    </row>
    <row r="260" spans="1:13" x14ac:dyDescent="0.25">
      <c r="A260" s="22">
        <f t="shared" si="4"/>
        <v>259</v>
      </c>
      <c r="B260" s="6" t="s">
        <v>2330</v>
      </c>
      <c r="C260" s="6" t="s">
        <v>3981</v>
      </c>
      <c r="D260" s="6" t="s">
        <v>4045</v>
      </c>
      <c r="E260" s="6" t="s">
        <v>4046</v>
      </c>
      <c r="F260" s="6" t="s">
        <v>3855</v>
      </c>
      <c r="G260" s="6" t="s">
        <v>18</v>
      </c>
      <c r="H260" s="6" t="str">
        <f>IFERROR(VLOOKUP(Table2[[#This Row],[Ticket]],Okey!A:B,2,0),"")</f>
        <v>ok</v>
      </c>
      <c r="I260" s="6" t="s">
        <v>3679</v>
      </c>
      <c r="J260" s="6" t="str">
        <f>VLOOKUP(Table2[[#This Row],[Author]],People!A:B,2,0)</f>
        <v>MGF</v>
      </c>
      <c r="K260" s="6"/>
      <c r="L260" s="6"/>
      <c r="M260" s="21" t="s">
        <v>3984</v>
      </c>
    </row>
    <row r="261" spans="1:13" x14ac:dyDescent="0.25">
      <c r="A261" s="23">
        <f t="shared" si="4"/>
        <v>260</v>
      </c>
      <c r="B261" s="7" t="s">
        <v>2330</v>
      </c>
      <c r="C261" s="7" t="s">
        <v>3981</v>
      </c>
      <c r="D261" s="7" t="s">
        <v>4047</v>
      </c>
      <c r="E261" s="7" t="s">
        <v>4048</v>
      </c>
      <c r="F261" s="7" t="s">
        <v>3855</v>
      </c>
      <c r="G261" s="7" t="s">
        <v>18</v>
      </c>
      <c r="H261" s="7" t="str">
        <f>IFERROR(VLOOKUP(Table2[[#This Row],[Ticket]],Okey!A:B,2,0),"")</f>
        <v>ok</v>
      </c>
      <c r="I261" s="7" t="s">
        <v>3679</v>
      </c>
      <c r="J261" s="7" t="str">
        <f>VLOOKUP(Table2[[#This Row],[Author]],People!A:B,2,0)</f>
        <v>MGF</v>
      </c>
      <c r="K261" s="7"/>
      <c r="L261" s="7"/>
      <c r="M261" s="16" t="s">
        <v>3984</v>
      </c>
    </row>
    <row r="262" spans="1:13" x14ac:dyDescent="0.25">
      <c r="A262" s="22">
        <f t="shared" si="4"/>
        <v>261</v>
      </c>
      <c r="B262" s="6" t="s">
        <v>2330</v>
      </c>
      <c r="C262" s="6" t="s">
        <v>3981</v>
      </c>
      <c r="D262" s="6" t="s">
        <v>4049</v>
      </c>
      <c r="E262" s="6" t="s">
        <v>4050</v>
      </c>
      <c r="F262" s="6" t="s">
        <v>3855</v>
      </c>
      <c r="G262" s="6" t="s">
        <v>18</v>
      </c>
      <c r="H262" s="6" t="str">
        <f>IFERROR(VLOOKUP(Table2[[#This Row],[Ticket]],Okey!A:B,2,0),"")</f>
        <v>ok</v>
      </c>
      <c r="I262" s="6" t="s">
        <v>3679</v>
      </c>
      <c r="J262" s="6" t="str">
        <f>VLOOKUP(Table2[[#This Row],[Author]],People!A:B,2,0)</f>
        <v>MGF</v>
      </c>
      <c r="K262" s="6"/>
      <c r="L262" s="6"/>
      <c r="M262" s="21" t="s">
        <v>3984</v>
      </c>
    </row>
    <row r="263" spans="1:13" x14ac:dyDescent="0.25">
      <c r="A263" s="23">
        <f t="shared" si="4"/>
        <v>262</v>
      </c>
      <c r="B263" s="7" t="s">
        <v>2330</v>
      </c>
      <c r="C263" s="7" t="s">
        <v>3981</v>
      </c>
      <c r="D263" s="7" t="s">
        <v>4051</v>
      </c>
      <c r="E263" s="7" t="s">
        <v>4052</v>
      </c>
      <c r="F263" s="7" t="s">
        <v>3855</v>
      </c>
      <c r="G263" s="7" t="s">
        <v>18</v>
      </c>
      <c r="H263" s="7" t="str">
        <f>IFERROR(VLOOKUP(Table2[[#This Row],[Ticket]],Okey!A:B,2,0),"")</f>
        <v>ok</v>
      </c>
      <c r="I263" s="7" t="s">
        <v>3679</v>
      </c>
      <c r="J263" s="7" t="str">
        <f>VLOOKUP(Table2[[#This Row],[Author]],People!A:B,2,0)</f>
        <v>MGF</v>
      </c>
      <c r="K263" s="7"/>
      <c r="L263" s="7"/>
      <c r="M263" s="16" t="s">
        <v>3984</v>
      </c>
    </row>
    <row r="264" spans="1:13" x14ac:dyDescent="0.25">
      <c r="A264" s="22">
        <f t="shared" si="4"/>
        <v>263</v>
      </c>
      <c r="B264" s="6" t="s">
        <v>2330</v>
      </c>
      <c r="C264" s="6" t="s">
        <v>3981</v>
      </c>
      <c r="D264" s="6" t="s">
        <v>4053</v>
      </c>
      <c r="E264" s="6" t="s">
        <v>4054</v>
      </c>
      <c r="F264" s="6" t="s">
        <v>3855</v>
      </c>
      <c r="G264" s="6" t="s">
        <v>18</v>
      </c>
      <c r="H264" s="6" t="str">
        <f>IFERROR(VLOOKUP(Table2[[#This Row],[Ticket]],Okey!A:B,2,0),"")</f>
        <v>ok</v>
      </c>
      <c r="I264" s="6" t="s">
        <v>3679</v>
      </c>
      <c r="J264" s="6" t="str">
        <f>VLOOKUP(Table2[[#This Row],[Author]],People!A:B,2,0)</f>
        <v>MGF</v>
      </c>
      <c r="K264" s="6"/>
      <c r="L264" s="6"/>
      <c r="M264" s="21" t="s">
        <v>3984</v>
      </c>
    </row>
    <row r="265" spans="1:13" x14ac:dyDescent="0.25">
      <c r="A265" s="23">
        <f t="shared" si="4"/>
        <v>264</v>
      </c>
      <c r="B265" s="7" t="s">
        <v>2330</v>
      </c>
      <c r="C265" s="7" t="s">
        <v>3981</v>
      </c>
      <c r="D265" s="7" t="s">
        <v>4055</v>
      </c>
      <c r="E265" s="7" t="s">
        <v>4056</v>
      </c>
      <c r="F265" s="7" t="s">
        <v>3855</v>
      </c>
      <c r="G265" s="7" t="s">
        <v>18</v>
      </c>
      <c r="H265" s="7" t="str">
        <f>IFERROR(VLOOKUP(Table2[[#This Row],[Ticket]],Okey!A:B,2,0),"")</f>
        <v>ok</v>
      </c>
      <c r="I265" s="7" t="s">
        <v>3679</v>
      </c>
      <c r="J265" s="7" t="str">
        <f>VLOOKUP(Table2[[#This Row],[Author]],People!A:B,2,0)</f>
        <v>MGF</v>
      </c>
      <c r="K265" s="7"/>
      <c r="L265" s="7"/>
      <c r="M265" s="16" t="s">
        <v>3984</v>
      </c>
    </row>
    <row r="266" spans="1:13" x14ac:dyDescent="0.25">
      <c r="A266" s="22">
        <f t="shared" si="4"/>
        <v>265</v>
      </c>
      <c r="B266" s="6" t="s">
        <v>2330</v>
      </c>
      <c r="C266" s="6" t="s">
        <v>3981</v>
      </c>
      <c r="D266" s="6" t="s">
        <v>4057</v>
      </c>
      <c r="E266" s="6" t="s">
        <v>4058</v>
      </c>
      <c r="F266" s="6" t="s">
        <v>3855</v>
      </c>
      <c r="G266" s="6" t="s">
        <v>18</v>
      </c>
      <c r="H266" s="6" t="str">
        <f>IFERROR(VLOOKUP(Table2[[#This Row],[Ticket]],Okey!A:B,2,0),"")</f>
        <v>ok</v>
      </c>
      <c r="I266" s="6" t="s">
        <v>3679</v>
      </c>
      <c r="J266" s="6" t="str">
        <f>VLOOKUP(Table2[[#This Row],[Author]],People!A:B,2,0)</f>
        <v>MGF</v>
      </c>
      <c r="K266" s="6"/>
      <c r="L266" s="6"/>
      <c r="M266" s="21" t="s">
        <v>3984</v>
      </c>
    </row>
    <row r="267" spans="1:13" x14ac:dyDescent="0.25">
      <c r="A267" s="23">
        <f t="shared" si="4"/>
        <v>266</v>
      </c>
      <c r="B267" s="7" t="s">
        <v>2330</v>
      </c>
      <c r="C267" s="7" t="s">
        <v>3981</v>
      </c>
      <c r="D267" s="7" t="s">
        <v>4059</v>
      </c>
      <c r="E267" s="7" t="s">
        <v>4060</v>
      </c>
      <c r="F267" s="7" t="s">
        <v>3855</v>
      </c>
      <c r="G267" s="7" t="s">
        <v>18</v>
      </c>
      <c r="H267" s="7" t="str">
        <f>IFERROR(VLOOKUP(Table2[[#This Row],[Ticket]],Okey!A:B,2,0),"")</f>
        <v>ok</v>
      </c>
      <c r="I267" s="7" t="s">
        <v>3679</v>
      </c>
      <c r="J267" s="7" t="str">
        <f>VLOOKUP(Table2[[#This Row],[Author]],People!A:B,2,0)</f>
        <v>MGF</v>
      </c>
      <c r="K267" s="7"/>
      <c r="L267" s="7"/>
      <c r="M267" s="16" t="s">
        <v>3984</v>
      </c>
    </row>
    <row r="268" spans="1:13" x14ac:dyDescent="0.25">
      <c r="A268" s="22">
        <f t="shared" si="4"/>
        <v>267</v>
      </c>
      <c r="B268" s="6" t="s">
        <v>2330</v>
      </c>
      <c r="C268" s="6" t="s">
        <v>3981</v>
      </c>
      <c r="D268" s="6" t="s">
        <v>4061</v>
      </c>
      <c r="E268" s="6" t="s">
        <v>4062</v>
      </c>
      <c r="F268" s="6" t="s">
        <v>3855</v>
      </c>
      <c r="G268" s="6" t="s">
        <v>18</v>
      </c>
      <c r="H268" s="6" t="str">
        <f>IFERROR(VLOOKUP(Table2[[#This Row],[Ticket]],Okey!A:B,2,0),"")</f>
        <v>ok</v>
      </c>
      <c r="I268" s="6" t="s">
        <v>3679</v>
      </c>
      <c r="J268" s="6" t="str">
        <f>VLOOKUP(Table2[[#This Row],[Author]],People!A:B,2,0)</f>
        <v>MGF</v>
      </c>
      <c r="K268" s="6"/>
      <c r="L268" s="6"/>
      <c r="M268" s="21" t="s">
        <v>3984</v>
      </c>
    </row>
    <row r="269" spans="1:13" x14ac:dyDescent="0.25">
      <c r="A269" s="23">
        <f t="shared" si="4"/>
        <v>268</v>
      </c>
      <c r="B269" s="7" t="s">
        <v>2330</v>
      </c>
      <c r="C269" s="7" t="s">
        <v>3981</v>
      </c>
      <c r="D269" s="7" t="s">
        <v>4063</v>
      </c>
      <c r="E269" s="7" t="s">
        <v>4064</v>
      </c>
      <c r="F269" s="7" t="s">
        <v>3855</v>
      </c>
      <c r="G269" s="7" t="s">
        <v>18</v>
      </c>
      <c r="H269" s="7" t="str">
        <f>IFERROR(VLOOKUP(Table2[[#This Row],[Ticket]],Okey!A:B,2,0),"")</f>
        <v>ok</v>
      </c>
      <c r="I269" s="7" t="s">
        <v>3679</v>
      </c>
      <c r="J269" s="7" t="str">
        <f>VLOOKUP(Table2[[#This Row],[Author]],People!A:B,2,0)</f>
        <v>MGF</v>
      </c>
      <c r="K269" s="7"/>
      <c r="L269" s="7"/>
      <c r="M269" s="16" t="s">
        <v>3984</v>
      </c>
    </row>
    <row r="270" spans="1:13" x14ac:dyDescent="0.25">
      <c r="A270" s="22">
        <f t="shared" si="4"/>
        <v>269</v>
      </c>
      <c r="B270" s="6" t="s">
        <v>2330</v>
      </c>
      <c r="C270" s="6" t="s">
        <v>3981</v>
      </c>
      <c r="D270" s="6" t="s">
        <v>4065</v>
      </c>
      <c r="E270" s="6" t="s">
        <v>4066</v>
      </c>
      <c r="F270" s="6" t="s">
        <v>3855</v>
      </c>
      <c r="G270" s="6" t="s">
        <v>18</v>
      </c>
      <c r="H270" s="6" t="str">
        <f>IFERROR(VLOOKUP(Table2[[#This Row],[Ticket]],Okey!A:B,2,0),"")</f>
        <v>ok</v>
      </c>
      <c r="I270" s="6" t="s">
        <v>3679</v>
      </c>
      <c r="J270" s="6" t="str">
        <f>VLOOKUP(Table2[[#This Row],[Author]],People!A:B,2,0)</f>
        <v>MGF</v>
      </c>
      <c r="K270" s="6"/>
      <c r="L270" s="6"/>
      <c r="M270" s="21" t="s">
        <v>3984</v>
      </c>
    </row>
    <row r="271" spans="1:13" x14ac:dyDescent="0.25">
      <c r="A271" s="23">
        <f t="shared" si="4"/>
        <v>270</v>
      </c>
      <c r="B271" s="7" t="s">
        <v>2330</v>
      </c>
      <c r="C271" s="7" t="s">
        <v>3981</v>
      </c>
      <c r="D271" s="7" t="s">
        <v>4067</v>
      </c>
      <c r="E271" s="7" t="s">
        <v>4068</v>
      </c>
      <c r="F271" s="7" t="s">
        <v>3855</v>
      </c>
      <c r="G271" s="7" t="s">
        <v>18</v>
      </c>
      <c r="H271" s="7" t="str">
        <f>IFERROR(VLOOKUP(Table2[[#This Row],[Ticket]],Okey!A:B,2,0),"")</f>
        <v>ok</v>
      </c>
      <c r="I271" s="7" t="s">
        <v>3679</v>
      </c>
      <c r="J271" s="7" t="str">
        <f>VLOOKUP(Table2[[#This Row],[Author]],People!A:B,2,0)</f>
        <v>MGF</v>
      </c>
      <c r="K271" s="7"/>
      <c r="L271" s="7"/>
      <c r="M271" s="16" t="s">
        <v>3984</v>
      </c>
    </row>
    <row r="272" spans="1:13" x14ac:dyDescent="0.25">
      <c r="A272" s="22">
        <f t="shared" si="4"/>
        <v>271</v>
      </c>
      <c r="B272" s="6" t="s">
        <v>2330</v>
      </c>
      <c r="C272" s="6" t="s">
        <v>3981</v>
      </c>
      <c r="D272" s="6" t="s">
        <v>4069</v>
      </c>
      <c r="E272" s="6" t="s">
        <v>4070</v>
      </c>
      <c r="F272" s="6" t="s">
        <v>3855</v>
      </c>
      <c r="G272" s="6" t="s">
        <v>18</v>
      </c>
      <c r="H272" s="6" t="str">
        <f>IFERROR(VLOOKUP(Table2[[#This Row],[Ticket]],Okey!A:B,2,0),"")</f>
        <v>ok</v>
      </c>
      <c r="I272" s="6" t="s">
        <v>3679</v>
      </c>
      <c r="J272" s="6" t="str">
        <f>VLOOKUP(Table2[[#This Row],[Author]],People!A:B,2,0)</f>
        <v>MGF</v>
      </c>
      <c r="K272" s="6"/>
      <c r="L272" s="6"/>
      <c r="M272" s="21" t="s">
        <v>3984</v>
      </c>
    </row>
    <row r="273" spans="1:13" x14ac:dyDescent="0.25">
      <c r="A273" s="23">
        <f t="shared" si="4"/>
        <v>272</v>
      </c>
      <c r="B273" s="7" t="s">
        <v>2330</v>
      </c>
      <c r="C273" s="7" t="s">
        <v>3981</v>
      </c>
      <c r="D273" s="7" t="s">
        <v>4071</v>
      </c>
      <c r="E273" s="7" t="s">
        <v>4072</v>
      </c>
      <c r="F273" s="7" t="s">
        <v>3855</v>
      </c>
      <c r="G273" s="7" t="s">
        <v>18</v>
      </c>
      <c r="H273" s="7" t="str">
        <f>IFERROR(VLOOKUP(Table2[[#This Row],[Ticket]],Okey!A:B,2,0),"")</f>
        <v>ok</v>
      </c>
      <c r="I273" s="7" t="s">
        <v>3679</v>
      </c>
      <c r="J273" s="7" t="str">
        <f>VLOOKUP(Table2[[#This Row],[Author]],People!A:B,2,0)</f>
        <v>MGF</v>
      </c>
      <c r="K273" s="7"/>
      <c r="L273" s="7"/>
      <c r="M273" s="16" t="s">
        <v>3984</v>
      </c>
    </row>
    <row r="274" spans="1:13" x14ac:dyDescent="0.25">
      <c r="A274" s="22">
        <f t="shared" si="4"/>
        <v>273</v>
      </c>
      <c r="B274" s="6" t="s">
        <v>2330</v>
      </c>
      <c r="C274" s="6" t="s">
        <v>3981</v>
      </c>
      <c r="D274" s="6" t="s">
        <v>4073</v>
      </c>
      <c r="E274" s="6" t="s">
        <v>4074</v>
      </c>
      <c r="F274" s="6" t="s">
        <v>3855</v>
      </c>
      <c r="G274" s="6" t="s">
        <v>18</v>
      </c>
      <c r="H274" s="6" t="str">
        <f>IFERROR(VLOOKUP(Table2[[#This Row],[Ticket]],Okey!A:B,2,0),"")</f>
        <v>ok</v>
      </c>
      <c r="I274" s="6" t="s">
        <v>3679</v>
      </c>
      <c r="J274" s="6" t="str">
        <f>VLOOKUP(Table2[[#This Row],[Author]],People!A:B,2,0)</f>
        <v>MGF</v>
      </c>
      <c r="K274" s="6"/>
      <c r="L274" s="6"/>
      <c r="M274" s="21" t="s">
        <v>3984</v>
      </c>
    </row>
    <row r="275" spans="1:13" x14ac:dyDescent="0.25">
      <c r="A275" s="23">
        <f t="shared" si="4"/>
        <v>274</v>
      </c>
      <c r="B275" s="7" t="s">
        <v>2330</v>
      </c>
      <c r="C275" s="7" t="s">
        <v>3981</v>
      </c>
      <c r="D275" s="7" t="s">
        <v>4075</v>
      </c>
      <c r="E275" s="7" t="s">
        <v>4076</v>
      </c>
      <c r="F275" s="7" t="s">
        <v>3855</v>
      </c>
      <c r="G275" s="7" t="s">
        <v>18</v>
      </c>
      <c r="H275" s="7" t="str">
        <f>IFERROR(VLOOKUP(Table2[[#This Row],[Ticket]],Okey!A:B,2,0),"")</f>
        <v>ok</v>
      </c>
      <c r="I275" s="7" t="s">
        <v>3679</v>
      </c>
      <c r="J275" s="7" t="str">
        <f>VLOOKUP(Table2[[#This Row],[Author]],People!A:B,2,0)</f>
        <v>MGF</v>
      </c>
      <c r="K275" s="7"/>
      <c r="L275" s="7"/>
      <c r="M275" s="16" t="s">
        <v>3984</v>
      </c>
    </row>
    <row r="276" spans="1:13" x14ac:dyDescent="0.25">
      <c r="A276" s="22">
        <f t="shared" si="4"/>
        <v>275</v>
      </c>
      <c r="B276" s="6" t="s">
        <v>2330</v>
      </c>
      <c r="C276" s="6" t="s">
        <v>3981</v>
      </c>
      <c r="D276" s="6" t="s">
        <v>4077</v>
      </c>
      <c r="E276" s="6" t="s">
        <v>4078</v>
      </c>
      <c r="F276" s="6" t="s">
        <v>3855</v>
      </c>
      <c r="G276" s="6" t="s">
        <v>18</v>
      </c>
      <c r="H276" s="6" t="str">
        <f>IFERROR(VLOOKUP(Table2[[#This Row],[Ticket]],Okey!A:B,2,0),"")</f>
        <v>ok</v>
      </c>
      <c r="I276" s="6" t="s">
        <v>3679</v>
      </c>
      <c r="J276" s="6" t="str">
        <f>VLOOKUP(Table2[[#This Row],[Author]],People!A:B,2,0)</f>
        <v>MGF</v>
      </c>
      <c r="K276" s="6"/>
      <c r="L276" s="6"/>
      <c r="M276" s="21" t="s">
        <v>3984</v>
      </c>
    </row>
    <row r="277" spans="1:13" x14ac:dyDescent="0.25">
      <c r="A277" s="23">
        <f t="shared" si="4"/>
        <v>276</v>
      </c>
      <c r="B277" s="7" t="s">
        <v>2330</v>
      </c>
      <c r="C277" s="7" t="s">
        <v>3981</v>
      </c>
      <c r="D277" s="7" t="s">
        <v>380</v>
      </c>
      <c r="E277" s="7" t="s">
        <v>4079</v>
      </c>
      <c r="F277" s="7" t="s">
        <v>3855</v>
      </c>
      <c r="G277" s="7" t="s">
        <v>18</v>
      </c>
      <c r="H277" s="7" t="str">
        <f>IFERROR(VLOOKUP(Table2[[#This Row],[Ticket]],Okey!A:B,2,0),"")</f>
        <v>ok</v>
      </c>
      <c r="I277" s="7" t="s">
        <v>3679</v>
      </c>
      <c r="J277" s="7" t="str">
        <f>VLOOKUP(Table2[[#This Row],[Author]],People!A:B,2,0)</f>
        <v>MGF</v>
      </c>
      <c r="K277" s="7"/>
      <c r="L277" s="7"/>
      <c r="M277" s="16" t="s">
        <v>3984</v>
      </c>
    </row>
    <row r="278" spans="1:13" x14ac:dyDescent="0.25">
      <c r="A278" s="22">
        <f t="shared" si="4"/>
        <v>277</v>
      </c>
      <c r="B278" s="6" t="s">
        <v>2330</v>
      </c>
      <c r="C278" s="6" t="s">
        <v>3981</v>
      </c>
      <c r="D278" s="6" t="s">
        <v>382</v>
      </c>
      <c r="E278" s="6" t="s">
        <v>4080</v>
      </c>
      <c r="F278" s="6" t="s">
        <v>3855</v>
      </c>
      <c r="G278" s="6" t="s">
        <v>18</v>
      </c>
      <c r="H278" s="6" t="str">
        <f>IFERROR(VLOOKUP(Table2[[#This Row],[Ticket]],Okey!A:B,2,0),"")</f>
        <v>ok</v>
      </c>
      <c r="I278" s="6" t="s">
        <v>3679</v>
      </c>
      <c r="J278" s="6" t="str">
        <f>VLOOKUP(Table2[[#This Row],[Author]],People!A:B,2,0)</f>
        <v>MGF</v>
      </c>
      <c r="K278" s="6"/>
      <c r="L278" s="6"/>
      <c r="M278" s="21" t="s">
        <v>3984</v>
      </c>
    </row>
    <row r="279" spans="1:13" x14ac:dyDescent="0.25">
      <c r="A279" s="23">
        <f t="shared" si="4"/>
        <v>278</v>
      </c>
      <c r="B279" s="7" t="s">
        <v>2330</v>
      </c>
      <c r="C279" s="7" t="s">
        <v>3981</v>
      </c>
      <c r="D279" s="7" t="s">
        <v>754</v>
      </c>
      <c r="E279" s="7" t="s">
        <v>755</v>
      </c>
      <c r="F279" s="7" t="s">
        <v>370</v>
      </c>
      <c r="G279" s="7" t="s">
        <v>18</v>
      </c>
      <c r="H279" s="7" t="str">
        <f>IFERROR(VLOOKUP(Table2[[#This Row],[Ticket]],Okey!A:B,2,0),"")</f>
        <v>ok</v>
      </c>
      <c r="I279" s="7" t="s">
        <v>3679</v>
      </c>
      <c r="J279" s="7" t="str">
        <f>VLOOKUP(Table2[[#This Row],[Author]],People!A:B,2,0)</f>
        <v>MGF</v>
      </c>
      <c r="K279" s="7"/>
      <c r="L279" s="7"/>
      <c r="M279" s="16" t="s">
        <v>3984</v>
      </c>
    </row>
    <row r="280" spans="1:13" x14ac:dyDescent="0.25">
      <c r="A280" s="22">
        <f t="shared" si="4"/>
        <v>279</v>
      </c>
      <c r="B280" s="6" t="s">
        <v>2330</v>
      </c>
      <c r="C280" s="6" t="s">
        <v>3981</v>
      </c>
      <c r="D280" s="6" t="s">
        <v>756</v>
      </c>
      <c r="E280" s="6" t="s">
        <v>757</v>
      </c>
      <c r="F280" s="6" t="s">
        <v>370</v>
      </c>
      <c r="G280" s="6" t="s">
        <v>18</v>
      </c>
      <c r="H280" s="6" t="str">
        <f>IFERROR(VLOOKUP(Table2[[#This Row],[Ticket]],Okey!A:B,2,0),"")</f>
        <v>ok</v>
      </c>
      <c r="I280" s="6" t="s">
        <v>3679</v>
      </c>
      <c r="J280" s="6" t="str">
        <f>VLOOKUP(Table2[[#This Row],[Author]],People!A:B,2,0)</f>
        <v>MGF</v>
      </c>
      <c r="K280" s="6"/>
      <c r="L280" s="6"/>
      <c r="M280" s="21" t="s">
        <v>3984</v>
      </c>
    </row>
    <row r="281" spans="1:13" x14ac:dyDescent="0.25">
      <c r="A281" s="23">
        <f t="shared" si="4"/>
        <v>280</v>
      </c>
      <c r="B281" s="7" t="s">
        <v>2330</v>
      </c>
      <c r="C281" s="7" t="s">
        <v>3981</v>
      </c>
      <c r="D281" s="7" t="s">
        <v>376</v>
      </c>
      <c r="E281" s="7" t="s">
        <v>4081</v>
      </c>
      <c r="F281" s="7" t="s">
        <v>370</v>
      </c>
      <c r="G281" s="7" t="s">
        <v>18</v>
      </c>
      <c r="H281" s="7" t="str">
        <f>IFERROR(VLOOKUP(Table2[[#This Row],[Ticket]],Okey!A:B,2,0),"")</f>
        <v>ok</v>
      </c>
      <c r="I281" s="7" t="s">
        <v>3679</v>
      </c>
      <c r="J281" s="7" t="str">
        <f>VLOOKUP(Table2[[#This Row],[Author]],People!A:B,2,0)</f>
        <v>MGF</v>
      </c>
      <c r="K281" s="7"/>
      <c r="L281" s="7"/>
      <c r="M281" s="16" t="s">
        <v>3984</v>
      </c>
    </row>
    <row r="282" spans="1:13" x14ac:dyDescent="0.25">
      <c r="A282" s="22">
        <f t="shared" si="4"/>
        <v>281</v>
      </c>
      <c r="B282" s="6" t="s">
        <v>2330</v>
      </c>
      <c r="C282" s="6" t="s">
        <v>3981</v>
      </c>
      <c r="D282" s="6" t="s">
        <v>4082</v>
      </c>
      <c r="E282" s="6" t="s">
        <v>4083</v>
      </c>
      <c r="F282" s="6" t="s">
        <v>3855</v>
      </c>
      <c r="G282" s="6" t="s">
        <v>18</v>
      </c>
      <c r="H282" s="6" t="str">
        <f>IFERROR(VLOOKUP(Table2[[#This Row],[Ticket]],Okey!A:B,2,0),"")</f>
        <v>ok</v>
      </c>
      <c r="I282" s="6" t="s">
        <v>3679</v>
      </c>
      <c r="J282" s="6" t="str">
        <f>VLOOKUP(Table2[[#This Row],[Author]],People!A:B,2,0)</f>
        <v>MGF</v>
      </c>
      <c r="K282" s="6"/>
      <c r="L282" s="6"/>
      <c r="M282" s="21" t="s">
        <v>3984</v>
      </c>
    </row>
    <row r="283" spans="1:13" x14ac:dyDescent="0.25">
      <c r="A283" s="23">
        <f t="shared" si="4"/>
        <v>282</v>
      </c>
      <c r="B283" s="7" t="s">
        <v>2330</v>
      </c>
      <c r="C283" s="7" t="s">
        <v>3981</v>
      </c>
      <c r="D283" s="7" t="s">
        <v>4084</v>
      </c>
      <c r="E283" s="7" t="s">
        <v>4085</v>
      </c>
      <c r="F283" s="7" t="s">
        <v>3855</v>
      </c>
      <c r="G283" s="7" t="s">
        <v>18</v>
      </c>
      <c r="H283" s="7" t="str">
        <f>IFERROR(VLOOKUP(Table2[[#This Row],[Ticket]],Okey!A:B,2,0),"")</f>
        <v>ok</v>
      </c>
      <c r="I283" s="7" t="s">
        <v>3679</v>
      </c>
      <c r="J283" s="7" t="str">
        <f>VLOOKUP(Table2[[#This Row],[Author]],People!A:B,2,0)</f>
        <v>MGF</v>
      </c>
      <c r="K283" s="7"/>
      <c r="L283" s="7"/>
      <c r="M283" s="16" t="s">
        <v>3984</v>
      </c>
    </row>
    <row r="284" spans="1:13" x14ac:dyDescent="0.25">
      <c r="A284" s="22">
        <f t="shared" si="4"/>
        <v>283</v>
      </c>
      <c r="B284" s="6" t="s">
        <v>2330</v>
      </c>
      <c r="C284" s="6" t="s">
        <v>3981</v>
      </c>
      <c r="D284" s="6" t="s">
        <v>4086</v>
      </c>
      <c r="E284" s="6" t="s">
        <v>4087</v>
      </c>
      <c r="F284" s="6" t="s">
        <v>3855</v>
      </c>
      <c r="G284" s="6" t="s">
        <v>18</v>
      </c>
      <c r="H284" s="6" t="str">
        <f>IFERROR(VLOOKUP(Table2[[#This Row],[Ticket]],Okey!A:B,2,0),"")</f>
        <v>ok</v>
      </c>
      <c r="I284" s="6" t="s">
        <v>3679</v>
      </c>
      <c r="J284" s="6" t="str">
        <f>VLOOKUP(Table2[[#This Row],[Author]],People!A:B,2,0)</f>
        <v>MGF</v>
      </c>
      <c r="K284" s="6"/>
      <c r="L284" s="6"/>
      <c r="M284" s="21" t="s">
        <v>3984</v>
      </c>
    </row>
    <row r="285" spans="1:13" x14ac:dyDescent="0.25">
      <c r="A285" s="23">
        <f t="shared" si="4"/>
        <v>284</v>
      </c>
      <c r="B285" s="7" t="s">
        <v>2330</v>
      </c>
      <c r="C285" s="7" t="s">
        <v>3981</v>
      </c>
      <c r="D285" s="7" t="s">
        <v>4088</v>
      </c>
      <c r="E285" s="7" t="s">
        <v>4089</v>
      </c>
      <c r="F285" s="7" t="s">
        <v>3855</v>
      </c>
      <c r="G285" s="7" t="s">
        <v>18</v>
      </c>
      <c r="H285" s="7" t="str">
        <f>IFERROR(VLOOKUP(Table2[[#This Row],[Ticket]],Okey!A:B,2,0),"")</f>
        <v>ok</v>
      </c>
      <c r="I285" s="7" t="s">
        <v>3679</v>
      </c>
      <c r="J285" s="7" t="str">
        <f>VLOOKUP(Table2[[#This Row],[Author]],People!A:B,2,0)</f>
        <v>MGF</v>
      </c>
      <c r="K285" s="7"/>
      <c r="L285" s="7"/>
      <c r="M285" s="16" t="s">
        <v>3984</v>
      </c>
    </row>
    <row r="286" spans="1:13" x14ac:dyDescent="0.25">
      <c r="A286" s="22">
        <f t="shared" si="4"/>
        <v>285</v>
      </c>
      <c r="B286" s="6" t="s">
        <v>2330</v>
      </c>
      <c r="C286" s="6" t="s">
        <v>3981</v>
      </c>
      <c r="D286" s="6" t="s">
        <v>486</v>
      </c>
      <c r="E286" s="6" t="s">
        <v>4090</v>
      </c>
      <c r="F286" s="6" t="s">
        <v>484</v>
      </c>
      <c r="G286" s="6" t="s">
        <v>18</v>
      </c>
      <c r="H286" s="6" t="str">
        <f>IFERROR(VLOOKUP(Table2[[#This Row],[Ticket]],Okey!A:B,2,0),"")</f>
        <v>ok</v>
      </c>
      <c r="I286" s="6" t="s">
        <v>3679</v>
      </c>
      <c r="J286" s="6" t="str">
        <f>VLOOKUP(Table2[[#This Row],[Author]],People!A:B,2,0)</f>
        <v>MGF</v>
      </c>
      <c r="K286" s="6"/>
      <c r="L286" s="6"/>
      <c r="M286" s="21" t="s">
        <v>3984</v>
      </c>
    </row>
    <row r="287" spans="1:13" x14ac:dyDescent="0.25">
      <c r="A287" s="23">
        <f t="shared" si="4"/>
        <v>286</v>
      </c>
      <c r="B287" s="7" t="s">
        <v>2330</v>
      </c>
      <c r="C287" s="7" t="s">
        <v>3981</v>
      </c>
      <c r="D287" s="7" t="s">
        <v>488</v>
      </c>
      <c r="E287" s="7" t="s">
        <v>4091</v>
      </c>
      <c r="F287" s="7" t="s">
        <v>484</v>
      </c>
      <c r="G287" s="7" t="s">
        <v>18</v>
      </c>
      <c r="H287" s="7" t="str">
        <f>IFERROR(VLOOKUP(Table2[[#This Row],[Ticket]],Okey!A:B,2,0),"")</f>
        <v>ok</v>
      </c>
      <c r="I287" s="7" t="s">
        <v>3679</v>
      </c>
      <c r="J287" s="7" t="str">
        <f>VLOOKUP(Table2[[#This Row],[Author]],People!A:B,2,0)</f>
        <v>MGF</v>
      </c>
      <c r="K287" s="7"/>
      <c r="L287" s="7"/>
      <c r="M287" s="16" t="s">
        <v>3984</v>
      </c>
    </row>
    <row r="288" spans="1:13" x14ac:dyDescent="0.25">
      <c r="A288" s="22">
        <f t="shared" si="4"/>
        <v>287</v>
      </c>
      <c r="B288" s="6" t="s">
        <v>2330</v>
      </c>
      <c r="C288" s="6" t="s">
        <v>3981</v>
      </c>
      <c r="D288" s="6" t="s">
        <v>490</v>
      </c>
      <c r="E288" s="6" t="s">
        <v>4092</v>
      </c>
      <c r="F288" s="6" t="s">
        <v>484</v>
      </c>
      <c r="G288" s="6" t="s">
        <v>18</v>
      </c>
      <c r="H288" s="6" t="str">
        <f>IFERROR(VLOOKUP(Table2[[#This Row],[Ticket]],Okey!A:B,2,0),"")</f>
        <v>ok</v>
      </c>
      <c r="I288" s="6" t="s">
        <v>3679</v>
      </c>
      <c r="J288" s="6" t="str">
        <f>VLOOKUP(Table2[[#This Row],[Author]],People!A:B,2,0)</f>
        <v>MGF</v>
      </c>
      <c r="K288" s="6"/>
      <c r="L288" s="6"/>
      <c r="M288" s="21" t="s">
        <v>3984</v>
      </c>
    </row>
    <row r="289" spans="1:13" x14ac:dyDescent="0.25">
      <c r="A289" s="23">
        <f t="shared" si="4"/>
        <v>288</v>
      </c>
      <c r="B289" s="7" t="s">
        <v>2330</v>
      </c>
      <c r="C289" s="7" t="s">
        <v>3981</v>
      </c>
      <c r="D289" s="7" t="s">
        <v>365</v>
      </c>
      <c r="E289" s="7" t="s">
        <v>4093</v>
      </c>
      <c r="F289" s="7" t="s">
        <v>484</v>
      </c>
      <c r="G289" s="7" t="s">
        <v>18</v>
      </c>
      <c r="H289" s="7" t="str">
        <f>IFERROR(VLOOKUP(Table2[[#This Row],[Ticket]],Okey!A:B,2,0),"")</f>
        <v>ok</v>
      </c>
      <c r="I289" s="7" t="s">
        <v>3679</v>
      </c>
      <c r="J289" s="7" t="str">
        <f>VLOOKUP(Table2[[#This Row],[Author]],People!A:B,2,0)</f>
        <v>MGF</v>
      </c>
      <c r="K289" s="7"/>
      <c r="L289" s="7"/>
      <c r="M289" s="16" t="s">
        <v>3984</v>
      </c>
    </row>
    <row r="290" spans="1:13" x14ac:dyDescent="0.25">
      <c r="A290" s="22">
        <f t="shared" si="4"/>
        <v>289</v>
      </c>
      <c r="B290" s="6" t="s">
        <v>2330</v>
      </c>
      <c r="C290" s="6" t="s">
        <v>3981</v>
      </c>
      <c r="D290" s="6" t="s">
        <v>4094</v>
      </c>
      <c r="E290" s="6" t="s">
        <v>4095</v>
      </c>
      <c r="F290" s="6" t="s">
        <v>484</v>
      </c>
      <c r="G290" s="6" t="s">
        <v>18</v>
      </c>
      <c r="H290" s="6" t="str">
        <f>IFERROR(VLOOKUP(Table2[[#This Row],[Ticket]],Okey!A:B,2,0),"")</f>
        <v>ok</v>
      </c>
      <c r="I290" s="6" t="s">
        <v>3679</v>
      </c>
      <c r="J290" s="6" t="str">
        <f>VLOOKUP(Table2[[#This Row],[Author]],People!A:B,2,0)</f>
        <v>MGF</v>
      </c>
      <c r="K290" s="6"/>
      <c r="L290" s="6"/>
      <c r="M290" s="21" t="s">
        <v>3984</v>
      </c>
    </row>
    <row r="291" spans="1:13" x14ac:dyDescent="0.25">
      <c r="A291" s="23">
        <f t="shared" si="4"/>
        <v>290</v>
      </c>
      <c r="B291" s="7" t="s">
        <v>2330</v>
      </c>
      <c r="C291" s="7" t="s">
        <v>3981</v>
      </c>
      <c r="D291" s="7" t="s">
        <v>4096</v>
      </c>
      <c r="E291" s="7" t="s">
        <v>4097</v>
      </c>
      <c r="F291" s="7" t="s">
        <v>484</v>
      </c>
      <c r="G291" s="7" t="s">
        <v>18</v>
      </c>
      <c r="H291" s="7" t="str">
        <f>IFERROR(VLOOKUP(Table2[[#This Row],[Ticket]],Okey!A:B,2,0),"")</f>
        <v>ok</v>
      </c>
      <c r="I291" s="7" t="s">
        <v>3679</v>
      </c>
      <c r="J291" s="7" t="str">
        <f>VLOOKUP(Table2[[#This Row],[Author]],People!A:B,2,0)</f>
        <v>MGF</v>
      </c>
      <c r="K291" s="7"/>
      <c r="L291" s="7"/>
      <c r="M291" s="16" t="s">
        <v>3984</v>
      </c>
    </row>
    <row r="292" spans="1:13" x14ac:dyDescent="0.25">
      <c r="A292" s="22">
        <f t="shared" si="4"/>
        <v>291</v>
      </c>
      <c r="B292" s="6" t="s">
        <v>2330</v>
      </c>
      <c r="C292" s="6" t="s">
        <v>3981</v>
      </c>
      <c r="D292" s="6" t="s">
        <v>4098</v>
      </c>
      <c r="E292" s="6" t="s">
        <v>4099</v>
      </c>
      <c r="F292" s="6" t="s">
        <v>484</v>
      </c>
      <c r="G292" s="6" t="s">
        <v>18</v>
      </c>
      <c r="H292" s="6" t="str">
        <f>IFERROR(VLOOKUP(Table2[[#This Row],[Ticket]],Okey!A:B,2,0),"")</f>
        <v>ok</v>
      </c>
      <c r="I292" s="6" t="s">
        <v>3679</v>
      </c>
      <c r="J292" s="6" t="str">
        <f>VLOOKUP(Table2[[#This Row],[Author]],People!A:B,2,0)</f>
        <v>MGF</v>
      </c>
      <c r="K292" s="6"/>
      <c r="L292" s="6"/>
      <c r="M292" s="21" t="s">
        <v>3984</v>
      </c>
    </row>
    <row r="293" spans="1:13" x14ac:dyDescent="0.25">
      <c r="A293" s="23">
        <f t="shared" si="4"/>
        <v>292</v>
      </c>
      <c r="B293" s="7" t="s">
        <v>2330</v>
      </c>
      <c r="C293" s="7" t="s">
        <v>3981</v>
      </c>
      <c r="D293" s="7" t="s">
        <v>4100</v>
      </c>
      <c r="E293" s="7" t="s">
        <v>4101</v>
      </c>
      <c r="F293" s="7" t="s">
        <v>484</v>
      </c>
      <c r="G293" s="7" t="s">
        <v>18</v>
      </c>
      <c r="H293" s="7" t="str">
        <f>IFERROR(VLOOKUP(Table2[[#This Row],[Ticket]],Okey!A:B,2,0),"")</f>
        <v>ok</v>
      </c>
      <c r="I293" s="7" t="s">
        <v>3679</v>
      </c>
      <c r="J293" s="7" t="str">
        <f>VLOOKUP(Table2[[#This Row],[Author]],People!A:B,2,0)</f>
        <v>MGF</v>
      </c>
      <c r="K293" s="7"/>
      <c r="L293" s="7"/>
      <c r="M293" s="16" t="s">
        <v>3984</v>
      </c>
    </row>
    <row r="294" spans="1:13" x14ac:dyDescent="0.25">
      <c r="A294" s="22">
        <f t="shared" si="4"/>
        <v>293</v>
      </c>
      <c r="B294" s="6" t="s">
        <v>2330</v>
      </c>
      <c r="C294" s="6" t="s">
        <v>3981</v>
      </c>
      <c r="D294" s="6" t="s">
        <v>492</v>
      </c>
      <c r="E294" s="6" t="s">
        <v>4102</v>
      </c>
      <c r="F294" s="6" t="s">
        <v>484</v>
      </c>
      <c r="G294" s="6" t="s">
        <v>18</v>
      </c>
      <c r="H294" s="6" t="str">
        <f>IFERROR(VLOOKUP(Table2[[#This Row],[Ticket]],Okey!A:B,2,0),"")</f>
        <v>ok</v>
      </c>
      <c r="I294" s="6" t="s">
        <v>3679</v>
      </c>
      <c r="J294" s="6" t="str">
        <f>VLOOKUP(Table2[[#This Row],[Author]],People!A:B,2,0)</f>
        <v>MGF</v>
      </c>
      <c r="K294" s="6"/>
      <c r="L294" s="6"/>
      <c r="M294" s="21" t="s">
        <v>3984</v>
      </c>
    </row>
    <row r="295" spans="1:13" x14ac:dyDescent="0.25">
      <c r="A295" s="23">
        <f t="shared" si="4"/>
        <v>294</v>
      </c>
      <c r="B295" s="7" t="s">
        <v>2330</v>
      </c>
      <c r="C295" s="7" t="s">
        <v>3981</v>
      </c>
      <c r="D295" s="7" t="s">
        <v>4103</v>
      </c>
      <c r="E295" s="7" t="s">
        <v>4104</v>
      </c>
      <c r="F295" s="7" t="s">
        <v>484</v>
      </c>
      <c r="G295" s="7" t="s">
        <v>18</v>
      </c>
      <c r="H295" s="7" t="str">
        <f>IFERROR(VLOOKUP(Table2[[#This Row],[Ticket]],Okey!A:B,2,0),"")</f>
        <v>ok</v>
      </c>
      <c r="I295" s="7" t="s">
        <v>3679</v>
      </c>
      <c r="J295" s="7" t="str">
        <f>VLOOKUP(Table2[[#This Row],[Author]],People!A:B,2,0)</f>
        <v>MGF</v>
      </c>
      <c r="K295" s="7"/>
      <c r="L295" s="7"/>
      <c r="M295" s="16" t="s">
        <v>3984</v>
      </c>
    </row>
    <row r="296" spans="1:13" x14ac:dyDescent="0.25">
      <c r="A296" s="22">
        <f t="shared" si="4"/>
        <v>295</v>
      </c>
      <c r="B296" s="6" t="s">
        <v>2330</v>
      </c>
      <c r="C296" s="6" t="s">
        <v>3981</v>
      </c>
      <c r="D296" s="6" t="s">
        <v>4105</v>
      </c>
      <c r="E296" s="6" t="s">
        <v>4106</v>
      </c>
      <c r="F296" s="6" t="s">
        <v>484</v>
      </c>
      <c r="G296" s="6" t="s">
        <v>18</v>
      </c>
      <c r="H296" s="6" t="str">
        <f>IFERROR(VLOOKUP(Table2[[#This Row],[Ticket]],Okey!A:B,2,0),"")</f>
        <v>ok</v>
      </c>
      <c r="I296" s="6" t="s">
        <v>3679</v>
      </c>
      <c r="J296" s="6" t="str">
        <f>VLOOKUP(Table2[[#This Row],[Author]],People!A:B,2,0)</f>
        <v>MGF</v>
      </c>
      <c r="K296" s="6"/>
      <c r="L296" s="6"/>
      <c r="M296" s="21" t="s">
        <v>3984</v>
      </c>
    </row>
    <row r="297" spans="1:13" x14ac:dyDescent="0.25">
      <c r="A297" s="23">
        <f t="shared" si="4"/>
        <v>296</v>
      </c>
      <c r="B297" s="7" t="s">
        <v>2330</v>
      </c>
      <c r="C297" s="7" t="s">
        <v>3981</v>
      </c>
      <c r="D297" s="7" t="s">
        <v>4107</v>
      </c>
      <c r="E297" s="7" t="s">
        <v>4108</v>
      </c>
      <c r="F297" s="7" t="s">
        <v>484</v>
      </c>
      <c r="G297" s="7" t="s">
        <v>18</v>
      </c>
      <c r="H297" s="7" t="str">
        <f>IFERROR(VLOOKUP(Table2[[#This Row],[Ticket]],Okey!A:B,2,0),"")</f>
        <v>ok</v>
      </c>
      <c r="I297" s="7" t="s">
        <v>3679</v>
      </c>
      <c r="J297" s="7" t="str">
        <f>VLOOKUP(Table2[[#This Row],[Author]],People!A:B,2,0)</f>
        <v>MGF</v>
      </c>
      <c r="K297" s="7"/>
      <c r="L297" s="7"/>
      <c r="M297" s="16" t="s">
        <v>3984</v>
      </c>
    </row>
    <row r="298" spans="1:13" x14ac:dyDescent="0.25">
      <c r="A298" s="22">
        <f t="shared" si="4"/>
        <v>297</v>
      </c>
      <c r="B298" s="6" t="s">
        <v>2330</v>
      </c>
      <c r="C298" s="6" t="s">
        <v>3981</v>
      </c>
      <c r="D298" s="6" t="s">
        <v>617</v>
      </c>
      <c r="E298" s="6" t="s">
        <v>4109</v>
      </c>
      <c r="F298" s="6" t="s">
        <v>484</v>
      </c>
      <c r="G298" s="6" t="s">
        <v>18</v>
      </c>
      <c r="H298" s="6" t="str">
        <f>IFERROR(VLOOKUP(Table2[[#This Row],[Ticket]],Okey!A:B,2,0),"")</f>
        <v>ok</v>
      </c>
      <c r="I298" s="6" t="s">
        <v>3679</v>
      </c>
      <c r="J298" s="6" t="str">
        <f>VLOOKUP(Table2[[#This Row],[Author]],People!A:B,2,0)</f>
        <v>MGF</v>
      </c>
      <c r="K298" s="6"/>
      <c r="L298" s="6"/>
      <c r="M298" s="21" t="s">
        <v>3984</v>
      </c>
    </row>
    <row r="299" spans="1:13" x14ac:dyDescent="0.25">
      <c r="A299" s="23">
        <f t="shared" si="4"/>
        <v>298</v>
      </c>
      <c r="B299" s="7" t="s">
        <v>2330</v>
      </c>
      <c r="C299" s="7" t="s">
        <v>3981</v>
      </c>
      <c r="D299" s="7" t="s">
        <v>366</v>
      </c>
      <c r="E299" s="7" t="s">
        <v>4110</v>
      </c>
      <c r="F299" s="7" t="s">
        <v>484</v>
      </c>
      <c r="G299" s="7" t="s">
        <v>18</v>
      </c>
      <c r="H299" s="7" t="str">
        <f>IFERROR(VLOOKUP(Table2[[#This Row],[Ticket]],Okey!A:B,2,0),"")</f>
        <v>ok</v>
      </c>
      <c r="I299" s="7" t="s">
        <v>3679</v>
      </c>
      <c r="J299" s="7" t="str">
        <f>VLOOKUP(Table2[[#This Row],[Author]],People!A:B,2,0)</f>
        <v>MGF</v>
      </c>
      <c r="K299" s="7"/>
      <c r="L299" s="7"/>
      <c r="M299" s="16" t="s">
        <v>3984</v>
      </c>
    </row>
    <row r="300" spans="1:13" x14ac:dyDescent="0.25">
      <c r="A300" s="22">
        <f t="shared" si="4"/>
        <v>299</v>
      </c>
      <c r="B300" s="6" t="s">
        <v>2330</v>
      </c>
      <c r="C300" s="6" t="s">
        <v>3981</v>
      </c>
      <c r="D300" s="6" t="s">
        <v>364</v>
      </c>
      <c r="E300" s="6" t="s">
        <v>4111</v>
      </c>
      <c r="F300" s="6" t="s">
        <v>360</v>
      </c>
      <c r="G300" s="6" t="s">
        <v>18</v>
      </c>
      <c r="H300" s="6" t="str">
        <f>IFERROR(VLOOKUP(Table2[[#This Row],[Ticket]],Okey!A:B,2,0),"")</f>
        <v>ok</v>
      </c>
      <c r="I300" s="6" t="s">
        <v>3679</v>
      </c>
      <c r="J300" s="6" t="str">
        <f>VLOOKUP(Table2[[#This Row],[Author]],People!A:B,2,0)</f>
        <v>MGF</v>
      </c>
      <c r="K300" s="6"/>
      <c r="L300" s="6"/>
      <c r="M300" s="21" t="s">
        <v>3984</v>
      </c>
    </row>
    <row r="301" spans="1:13" x14ac:dyDescent="0.25">
      <c r="A301" s="23">
        <f t="shared" si="4"/>
        <v>300</v>
      </c>
      <c r="B301" s="7" t="s">
        <v>2330</v>
      </c>
      <c r="C301" s="7" t="s">
        <v>3981</v>
      </c>
      <c r="D301" s="7" t="s">
        <v>368</v>
      </c>
      <c r="E301" s="7" t="s">
        <v>4112</v>
      </c>
      <c r="F301" s="7" t="s">
        <v>370</v>
      </c>
      <c r="G301" s="7" t="s">
        <v>18</v>
      </c>
      <c r="H301" s="7" t="str">
        <f>IFERROR(VLOOKUP(Table2[[#This Row],[Ticket]],Okey!A:B,2,0),"")</f>
        <v>ok</v>
      </c>
      <c r="I301" s="7" t="s">
        <v>3679</v>
      </c>
      <c r="J301" s="7" t="str">
        <f>VLOOKUP(Table2[[#This Row],[Author]],People!A:B,2,0)</f>
        <v>MGF</v>
      </c>
      <c r="K301" s="7"/>
      <c r="L301" s="7"/>
      <c r="M301" s="16" t="s">
        <v>3984</v>
      </c>
    </row>
    <row r="302" spans="1:13" x14ac:dyDescent="0.25">
      <c r="A302" s="22">
        <f t="shared" si="4"/>
        <v>301</v>
      </c>
      <c r="B302" s="6" t="s">
        <v>2330</v>
      </c>
      <c r="C302" s="6" t="s">
        <v>3981</v>
      </c>
      <c r="D302" s="6" t="s">
        <v>615</v>
      </c>
      <c r="E302" s="6" t="s">
        <v>4113</v>
      </c>
      <c r="F302" s="6" t="s">
        <v>360</v>
      </c>
      <c r="G302" s="6" t="s">
        <v>18</v>
      </c>
      <c r="H302" s="6" t="str">
        <f>IFERROR(VLOOKUP(Table2[[#This Row],[Ticket]],Okey!A:B,2,0),"")</f>
        <v>ok</v>
      </c>
      <c r="I302" s="6" t="s">
        <v>3679</v>
      </c>
      <c r="J302" s="6" t="str">
        <f>VLOOKUP(Table2[[#This Row],[Author]],People!A:B,2,0)</f>
        <v>MGF</v>
      </c>
      <c r="K302" s="6"/>
      <c r="L302" s="6"/>
      <c r="M302" s="21" t="s">
        <v>3984</v>
      </c>
    </row>
    <row r="303" spans="1:13" x14ac:dyDescent="0.25">
      <c r="A303" s="23">
        <f t="shared" si="4"/>
        <v>302</v>
      </c>
      <c r="B303" s="7" t="s">
        <v>2330</v>
      </c>
      <c r="C303" s="7" t="s">
        <v>3981</v>
      </c>
      <c r="D303" s="7" t="s">
        <v>363</v>
      </c>
      <c r="E303" s="7" t="s">
        <v>4114</v>
      </c>
      <c r="F303" s="7" t="s">
        <v>360</v>
      </c>
      <c r="G303" s="7" t="s">
        <v>18</v>
      </c>
      <c r="H303" s="7" t="str">
        <f>IFERROR(VLOOKUP(Table2[[#This Row],[Ticket]],Okey!A:B,2,0),"")</f>
        <v>ok</v>
      </c>
      <c r="I303" s="7" t="s">
        <v>3679</v>
      </c>
      <c r="J303" s="7" t="str">
        <f>VLOOKUP(Table2[[#This Row],[Author]],People!A:B,2,0)</f>
        <v>MGF</v>
      </c>
      <c r="K303" s="7"/>
      <c r="L303" s="7"/>
      <c r="M303" s="16" t="s">
        <v>3984</v>
      </c>
    </row>
    <row r="304" spans="1:13" x14ac:dyDescent="0.25">
      <c r="A304" s="22">
        <f t="shared" si="4"/>
        <v>303</v>
      </c>
      <c r="B304" s="6" t="s">
        <v>2330</v>
      </c>
      <c r="C304" s="6" t="s">
        <v>3981</v>
      </c>
      <c r="D304" s="6" t="s">
        <v>351</v>
      </c>
      <c r="E304" s="6" t="s">
        <v>4115</v>
      </c>
      <c r="F304" s="6" t="s">
        <v>386</v>
      </c>
      <c r="G304" s="6" t="s">
        <v>18</v>
      </c>
      <c r="H304" s="6" t="str">
        <f>IFERROR(VLOOKUP(Table2[[#This Row],[Ticket]],Okey!A:B,2,0),"")</f>
        <v>ok</v>
      </c>
      <c r="I304" s="6" t="s">
        <v>3679</v>
      </c>
      <c r="J304" s="6" t="str">
        <f>VLOOKUP(Table2[[#This Row],[Author]],People!A:B,2,0)</f>
        <v>MGF</v>
      </c>
      <c r="K304" s="6"/>
      <c r="L304" s="6"/>
      <c r="M304" s="21" t="s">
        <v>3984</v>
      </c>
    </row>
    <row r="305" spans="1:13" x14ac:dyDescent="0.25">
      <c r="A305" s="23">
        <f t="shared" si="4"/>
        <v>304</v>
      </c>
      <c r="B305" s="7" t="s">
        <v>2330</v>
      </c>
      <c r="C305" s="7" t="s">
        <v>3981</v>
      </c>
      <c r="D305" s="7" t="s">
        <v>603</v>
      </c>
      <c r="E305" s="7" t="s">
        <v>4116</v>
      </c>
      <c r="F305" s="7" t="s">
        <v>474</v>
      </c>
      <c r="G305" s="7" t="s">
        <v>18</v>
      </c>
      <c r="H305" s="7" t="str">
        <f>IFERROR(VLOOKUP(Table2[[#This Row],[Ticket]],Okey!A:B,2,0),"")</f>
        <v>ok</v>
      </c>
      <c r="I305" s="7" t="s">
        <v>3679</v>
      </c>
      <c r="J305" s="7" t="str">
        <f>VLOOKUP(Table2[[#This Row],[Author]],People!A:B,2,0)</f>
        <v>MGF</v>
      </c>
      <c r="K305" s="7"/>
      <c r="L305" s="7"/>
      <c r="M305" s="16" t="s">
        <v>3984</v>
      </c>
    </row>
    <row r="306" spans="1:13" x14ac:dyDescent="0.25">
      <c r="A306" s="22">
        <f t="shared" si="4"/>
        <v>305</v>
      </c>
      <c r="B306" s="6" t="s">
        <v>2330</v>
      </c>
      <c r="C306" s="6" t="s">
        <v>3981</v>
      </c>
      <c r="D306" s="6" t="s">
        <v>700</v>
      </c>
      <c r="E306" s="6" t="s">
        <v>4117</v>
      </c>
      <c r="F306" s="6" t="s">
        <v>702</v>
      </c>
      <c r="G306" s="6" t="s">
        <v>18</v>
      </c>
      <c r="H306" s="6" t="str">
        <f>IFERROR(VLOOKUP(Table2[[#This Row],[Ticket]],Okey!A:B,2,0),"")</f>
        <v>ok</v>
      </c>
      <c r="I306" s="6" t="s">
        <v>3679</v>
      </c>
      <c r="J306" s="6" t="str">
        <f>VLOOKUP(Table2[[#This Row],[Author]],People!A:B,2,0)</f>
        <v>MGF</v>
      </c>
      <c r="K306" s="6"/>
      <c r="L306" s="6"/>
      <c r="M306" s="21" t="s">
        <v>3984</v>
      </c>
    </row>
    <row r="307" spans="1:13" x14ac:dyDescent="0.25">
      <c r="A307" s="23">
        <f t="shared" si="4"/>
        <v>306</v>
      </c>
      <c r="B307" s="7" t="s">
        <v>2330</v>
      </c>
      <c r="C307" s="7" t="s">
        <v>3981</v>
      </c>
      <c r="D307" s="7" t="s">
        <v>4118</v>
      </c>
      <c r="E307" s="7" t="s">
        <v>4119</v>
      </c>
      <c r="F307" s="7" t="s">
        <v>702</v>
      </c>
      <c r="G307" s="7" t="s">
        <v>18</v>
      </c>
      <c r="H307" s="7" t="str">
        <f>IFERROR(VLOOKUP(Table2[[#This Row],[Ticket]],Okey!A:B,2,0),"")</f>
        <v>ok</v>
      </c>
      <c r="I307" s="7" t="s">
        <v>3679</v>
      </c>
      <c r="J307" s="7" t="str">
        <f>VLOOKUP(Table2[[#This Row],[Author]],People!A:B,2,0)</f>
        <v>MGF</v>
      </c>
      <c r="K307" s="7"/>
      <c r="L307" s="7"/>
      <c r="M307" s="16" t="s">
        <v>3984</v>
      </c>
    </row>
    <row r="308" spans="1:13" x14ac:dyDescent="0.25">
      <c r="A308" s="22">
        <f t="shared" si="4"/>
        <v>307</v>
      </c>
      <c r="B308" s="6" t="s">
        <v>2330</v>
      </c>
      <c r="C308" s="6" t="s">
        <v>3981</v>
      </c>
      <c r="D308" s="6" t="s">
        <v>4120</v>
      </c>
      <c r="E308" s="6" t="s">
        <v>4121</v>
      </c>
      <c r="F308" s="6" t="s">
        <v>702</v>
      </c>
      <c r="G308" s="6" t="s">
        <v>18</v>
      </c>
      <c r="H308" s="6" t="str">
        <f>IFERROR(VLOOKUP(Table2[[#This Row],[Ticket]],Okey!A:B,2,0),"")</f>
        <v>ok</v>
      </c>
      <c r="I308" s="6" t="s">
        <v>3679</v>
      </c>
      <c r="J308" s="6" t="str">
        <f>VLOOKUP(Table2[[#This Row],[Author]],People!A:B,2,0)</f>
        <v>MGF</v>
      </c>
      <c r="K308" s="6"/>
      <c r="L308" s="6"/>
      <c r="M308" s="21" t="s">
        <v>3984</v>
      </c>
    </row>
    <row r="309" spans="1:13" x14ac:dyDescent="0.25">
      <c r="A309" s="23">
        <f t="shared" si="4"/>
        <v>308</v>
      </c>
      <c r="B309" s="7" t="s">
        <v>2330</v>
      </c>
      <c r="C309" s="7" t="s">
        <v>3981</v>
      </c>
      <c r="D309" s="7" t="s">
        <v>4122</v>
      </c>
      <c r="E309" s="7" t="s">
        <v>4123</v>
      </c>
      <c r="F309" s="7" t="s">
        <v>702</v>
      </c>
      <c r="G309" s="7" t="s">
        <v>18</v>
      </c>
      <c r="H309" s="7" t="str">
        <f>IFERROR(VLOOKUP(Table2[[#This Row],[Ticket]],Okey!A:B,2,0),"")</f>
        <v>ok</v>
      </c>
      <c r="I309" s="7" t="s">
        <v>3679</v>
      </c>
      <c r="J309" s="7" t="str">
        <f>VLOOKUP(Table2[[#This Row],[Author]],People!A:B,2,0)</f>
        <v>MGF</v>
      </c>
      <c r="K309" s="7"/>
      <c r="L309" s="7"/>
      <c r="M309" s="16" t="s">
        <v>3984</v>
      </c>
    </row>
    <row r="310" spans="1:13" x14ac:dyDescent="0.25">
      <c r="A310" s="22">
        <f t="shared" si="4"/>
        <v>309</v>
      </c>
      <c r="B310" s="6" t="s">
        <v>2330</v>
      </c>
      <c r="C310" s="6" t="s">
        <v>3981</v>
      </c>
      <c r="D310" s="6" t="s">
        <v>359</v>
      </c>
      <c r="E310" s="6" t="s">
        <v>4124</v>
      </c>
      <c r="F310" s="6" t="s">
        <v>386</v>
      </c>
      <c r="G310" s="6" t="s">
        <v>496</v>
      </c>
      <c r="H310" s="6" t="str">
        <f>IFERROR(VLOOKUP(Table2[[#This Row],[Ticket]],Okey!A:B,2,0),"")</f>
        <v>ok</v>
      </c>
      <c r="I310" s="6" t="s">
        <v>3679</v>
      </c>
      <c r="J310" s="6" t="str">
        <f>VLOOKUP(Table2[[#This Row],[Author]],People!A:B,2,0)</f>
        <v>MGF</v>
      </c>
      <c r="K310" s="6"/>
      <c r="L310" s="6"/>
      <c r="M310" s="21" t="s">
        <v>3984</v>
      </c>
    </row>
    <row r="311" spans="1:13" x14ac:dyDescent="0.25">
      <c r="A311" s="23">
        <f t="shared" si="4"/>
        <v>310</v>
      </c>
      <c r="B311" s="7" t="s">
        <v>2330</v>
      </c>
      <c r="C311" s="7" t="s">
        <v>3981</v>
      </c>
      <c r="D311" s="7" t="s">
        <v>357</v>
      </c>
      <c r="E311" s="7" t="s">
        <v>4125</v>
      </c>
      <c r="F311" s="7" t="s">
        <v>386</v>
      </c>
      <c r="G311" s="7" t="s">
        <v>496</v>
      </c>
      <c r="H311" s="7" t="str">
        <f>IFERROR(VLOOKUP(Table2[[#This Row],[Ticket]],Okey!A:B,2,0),"")</f>
        <v>ok</v>
      </c>
      <c r="I311" s="7" t="s">
        <v>3679</v>
      </c>
      <c r="J311" s="7" t="str">
        <f>VLOOKUP(Table2[[#This Row],[Author]],People!A:B,2,0)</f>
        <v>MGF</v>
      </c>
      <c r="K311" s="7"/>
      <c r="L311" s="7"/>
      <c r="M311" s="16" t="s">
        <v>3984</v>
      </c>
    </row>
    <row r="312" spans="1:13" x14ac:dyDescent="0.25">
      <c r="A312" s="22">
        <f t="shared" si="4"/>
        <v>311</v>
      </c>
      <c r="B312" s="6" t="s">
        <v>2330</v>
      </c>
      <c r="C312" s="6" t="s">
        <v>3981</v>
      </c>
      <c r="D312" s="6" t="s">
        <v>589</v>
      </c>
      <c r="E312" s="6" t="s">
        <v>4126</v>
      </c>
      <c r="F312" s="6" t="s">
        <v>386</v>
      </c>
      <c r="G312" s="6" t="s">
        <v>496</v>
      </c>
      <c r="H312" s="6" t="str">
        <f>IFERROR(VLOOKUP(Table2[[#This Row],[Ticket]],Okey!A:B,2,0),"")</f>
        <v>ok</v>
      </c>
      <c r="I312" s="6" t="s">
        <v>3679</v>
      </c>
      <c r="J312" s="6" t="str">
        <f>VLOOKUP(Table2[[#This Row],[Author]],People!A:B,2,0)</f>
        <v>MGF</v>
      </c>
      <c r="K312" s="6"/>
      <c r="L312" s="6"/>
      <c r="M312" s="21" t="s">
        <v>3984</v>
      </c>
    </row>
    <row r="313" spans="1:13" x14ac:dyDescent="0.25">
      <c r="A313" s="23">
        <f t="shared" si="4"/>
        <v>312</v>
      </c>
      <c r="B313" s="7" t="s">
        <v>2330</v>
      </c>
      <c r="C313" s="7" t="s">
        <v>3981</v>
      </c>
      <c r="D313" s="7" t="s">
        <v>480</v>
      </c>
      <c r="E313" s="7" t="s">
        <v>4127</v>
      </c>
      <c r="F313" s="7" t="s">
        <v>474</v>
      </c>
      <c r="G313" s="7" t="s">
        <v>496</v>
      </c>
      <c r="H313" s="7" t="str">
        <f>IFERROR(VLOOKUP(Table2[[#This Row],[Ticket]],Okey!A:B,2,0),"")</f>
        <v>ok</v>
      </c>
      <c r="I313" s="7" t="s">
        <v>3679</v>
      </c>
      <c r="J313" s="7" t="str">
        <f>VLOOKUP(Table2[[#This Row],[Author]],People!A:B,2,0)</f>
        <v>MGF</v>
      </c>
      <c r="K313" s="7"/>
      <c r="L313" s="7"/>
      <c r="M313" s="16" t="s">
        <v>3984</v>
      </c>
    </row>
    <row r="314" spans="1:13" x14ac:dyDescent="0.25">
      <c r="A314" s="22">
        <f t="shared" si="4"/>
        <v>313</v>
      </c>
      <c r="B314" s="6" t="s">
        <v>2330</v>
      </c>
      <c r="C314" s="6" t="s">
        <v>4128</v>
      </c>
      <c r="D314" s="6" t="s">
        <v>4129</v>
      </c>
      <c r="E314" s="6" t="s">
        <v>4130</v>
      </c>
      <c r="F314" s="6" t="s">
        <v>4131</v>
      </c>
      <c r="G314" s="6" t="s">
        <v>18</v>
      </c>
      <c r="H314" s="6" t="str">
        <f>IFERROR(VLOOKUP(Table2[[#This Row],[Ticket]],Okey!A:B,2,0),"")</f>
        <v>ok</v>
      </c>
      <c r="I314" s="6" t="s">
        <v>3679</v>
      </c>
      <c r="J314" s="6" t="str">
        <f>VLOOKUP(Table2[[#This Row],[Author]],People!A:B,2,0)</f>
        <v>MGF</v>
      </c>
      <c r="K314" s="6"/>
      <c r="L314" s="6"/>
      <c r="M314" s="21" t="s">
        <v>4132</v>
      </c>
    </row>
    <row r="315" spans="1:13" x14ac:dyDescent="0.25">
      <c r="A315" s="23">
        <f t="shared" si="4"/>
        <v>314</v>
      </c>
      <c r="B315" s="7" t="s">
        <v>2330</v>
      </c>
      <c r="C315" s="7" t="s">
        <v>4128</v>
      </c>
      <c r="D315" s="7" t="s">
        <v>4133</v>
      </c>
      <c r="E315" s="7" t="s">
        <v>4134</v>
      </c>
      <c r="F315" s="7" t="s">
        <v>640</v>
      </c>
      <c r="G315" s="7" t="s">
        <v>18</v>
      </c>
      <c r="H315" s="7" t="str">
        <f>IFERROR(VLOOKUP(Table2[[#This Row],[Ticket]],Okey!A:B,2,0),"")</f>
        <v>ok</v>
      </c>
      <c r="I315" s="7" t="s">
        <v>3679</v>
      </c>
      <c r="J315" s="7" t="str">
        <f>VLOOKUP(Table2[[#This Row],[Author]],People!A:B,2,0)</f>
        <v>MGF</v>
      </c>
      <c r="K315" s="7"/>
      <c r="L315" s="7"/>
      <c r="M315" s="16" t="s">
        <v>4132</v>
      </c>
    </row>
    <row r="316" spans="1:13" x14ac:dyDescent="0.25">
      <c r="A316" s="22">
        <f t="shared" si="4"/>
        <v>315</v>
      </c>
      <c r="B316" s="6" t="s">
        <v>2330</v>
      </c>
      <c r="C316" s="6" t="s">
        <v>4135</v>
      </c>
      <c r="D316" s="6" t="s">
        <v>4136</v>
      </c>
      <c r="E316" s="6" t="s">
        <v>4137</v>
      </c>
      <c r="F316" s="6"/>
      <c r="G316" s="6" t="s">
        <v>63</v>
      </c>
      <c r="H316" s="6" t="str">
        <f>IFERROR(VLOOKUP(Table2[[#This Row],[Ticket]],Okey!A:B,2,0),"")</f>
        <v>ok</v>
      </c>
      <c r="I316" s="6" t="s">
        <v>3679</v>
      </c>
      <c r="J316" s="6" t="str">
        <f>VLOOKUP(Table2[[#This Row],[Author]],People!A:B,2,0)</f>
        <v>MGF</v>
      </c>
      <c r="K316" s="6"/>
      <c r="L316" s="6"/>
      <c r="M316" s="21" t="s">
        <v>4132</v>
      </c>
    </row>
    <row r="317" spans="1:13" x14ac:dyDescent="0.25">
      <c r="A317" s="23">
        <f t="shared" si="4"/>
        <v>316</v>
      </c>
      <c r="B317" s="7" t="s">
        <v>2330</v>
      </c>
      <c r="C317" s="7" t="s">
        <v>4135</v>
      </c>
      <c r="D317" s="7" t="s">
        <v>4138</v>
      </c>
      <c r="E317" s="7" t="s">
        <v>4139</v>
      </c>
      <c r="F317" s="7"/>
      <c r="G317" s="7" t="s">
        <v>63</v>
      </c>
      <c r="H317" s="7" t="str">
        <f>IFERROR(VLOOKUP(Table2[[#This Row],[Ticket]],Okey!A:B,2,0),"")</f>
        <v>ok</v>
      </c>
      <c r="I317" s="7" t="s">
        <v>3679</v>
      </c>
      <c r="J317" s="7" t="str">
        <f>VLOOKUP(Table2[[#This Row],[Author]],People!A:B,2,0)</f>
        <v>MGF</v>
      </c>
      <c r="K317" s="7"/>
      <c r="L317" s="7"/>
      <c r="M317" s="16" t="s">
        <v>4132</v>
      </c>
    </row>
    <row r="318" spans="1:13" x14ac:dyDescent="0.25">
      <c r="A318" s="22">
        <f t="shared" si="4"/>
        <v>317</v>
      </c>
      <c r="B318" s="6" t="s">
        <v>2330</v>
      </c>
      <c r="C318" s="6" t="s">
        <v>4135</v>
      </c>
      <c r="D318" s="6" t="s">
        <v>4140</v>
      </c>
      <c r="E318" s="6" t="s">
        <v>2314</v>
      </c>
      <c r="F318" s="6"/>
      <c r="G318" s="6" t="s">
        <v>63</v>
      </c>
      <c r="H318" s="6" t="str">
        <f>IFERROR(VLOOKUP(Table2[[#This Row],[Ticket]],Okey!A:B,2,0),"")</f>
        <v>ok</v>
      </c>
      <c r="I318" s="6" t="s">
        <v>3679</v>
      </c>
      <c r="J318" s="6" t="str">
        <f>VLOOKUP(Table2[[#This Row],[Author]],People!A:B,2,0)</f>
        <v>MGF</v>
      </c>
      <c r="K318" s="6"/>
      <c r="L318" s="6"/>
      <c r="M318" s="21" t="s">
        <v>4132</v>
      </c>
    </row>
    <row r="319" spans="1:13" x14ac:dyDescent="0.25">
      <c r="A319" s="23">
        <f t="shared" si="4"/>
        <v>318</v>
      </c>
      <c r="B319" s="7" t="s">
        <v>2330</v>
      </c>
      <c r="C319" s="7" t="s">
        <v>4135</v>
      </c>
      <c r="D319" s="7" t="s">
        <v>4141</v>
      </c>
      <c r="E319" s="7" t="s">
        <v>4142</v>
      </c>
      <c r="F319" s="7"/>
      <c r="G319" s="7" t="s">
        <v>63</v>
      </c>
      <c r="H319" s="7" t="str">
        <f>IFERROR(VLOOKUP(Table2[[#This Row],[Ticket]],Okey!A:B,2,0),"")</f>
        <v>ok</v>
      </c>
      <c r="I319" s="7" t="s">
        <v>3679</v>
      </c>
      <c r="J319" s="7" t="str">
        <f>VLOOKUP(Table2[[#This Row],[Author]],People!A:B,2,0)</f>
        <v>MGF</v>
      </c>
      <c r="K319" s="7"/>
      <c r="L319" s="7"/>
      <c r="M319" s="16" t="s">
        <v>4132</v>
      </c>
    </row>
    <row r="320" spans="1:13" x14ac:dyDescent="0.25">
      <c r="A320" s="22">
        <f t="shared" si="4"/>
        <v>319</v>
      </c>
      <c r="B320" s="6" t="s">
        <v>2330</v>
      </c>
      <c r="C320" s="6" t="s">
        <v>4135</v>
      </c>
      <c r="D320" s="6" t="s">
        <v>4143</v>
      </c>
      <c r="E320" s="6" t="s">
        <v>4139</v>
      </c>
      <c r="F320" s="6"/>
      <c r="G320" s="6" t="s">
        <v>63</v>
      </c>
      <c r="H320" s="6" t="str">
        <f>IFERROR(VLOOKUP(Table2[[#This Row],[Ticket]],Okey!A:B,2,0),"")</f>
        <v>ok</v>
      </c>
      <c r="I320" s="6" t="s">
        <v>3679</v>
      </c>
      <c r="J320" s="6" t="str">
        <f>VLOOKUP(Table2[[#This Row],[Author]],People!A:B,2,0)</f>
        <v>MGF</v>
      </c>
      <c r="K320" s="6"/>
      <c r="L320" s="6"/>
      <c r="M320" s="21" t="s">
        <v>4132</v>
      </c>
    </row>
    <row r="321" spans="1:13" x14ac:dyDescent="0.25">
      <c r="A321" s="23">
        <f t="shared" si="4"/>
        <v>320</v>
      </c>
      <c r="B321" s="7" t="s">
        <v>2330</v>
      </c>
      <c r="C321" s="7" t="s">
        <v>4144</v>
      </c>
      <c r="D321" s="7" t="s">
        <v>4145</v>
      </c>
      <c r="E321" s="7" t="s">
        <v>4146</v>
      </c>
      <c r="F321" s="7" t="s">
        <v>4147</v>
      </c>
      <c r="G321" s="7" t="s">
        <v>496</v>
      </c>
      <c r="H321" s="7" t="str">
        <f>IFERROR(VLOOKUP(Table2[[#This Row],[Ticket]],Okey!A:B,2,0),"")</f>
        <v>ok</v>
      </c>
      <c r="I321" s="7" t="s">
        <v>3679</v>
      </c>
      <c r="J321" s="7" t="str">
        <f>VLOOKUP(Table2[[#This Row],[Author]],People!A:B,2,0)</f>
        <v>MGF</v>
      </c>
      <c r="K321" s="7"/>
      <c r="L321" s="7"/>
      <c r="M321" s="16" t="s">
        <v>4148</v>
      </c>
    </row>
    <row r="322" spans="1:13" x14ac:dyDescent="0.25">
      <c r="A322" s="22">
        <f t="shared" si="4"/>
        <v>321</v>
      </c>
      <c r="B322" s="6" t="s">
        <v>2330</v>
      </c>
      <c r="C322" s="6" t="s">
        <v>4144</v>
      </c>
      <c r="D322" s="6" t="s">
        <v>4149</v>
      </c>
      <c r="E322" s="6" t="s">
        <v>4150</v>
      </c>
      <c r="F322" s="6" t="s">
        <v>4151</v>
      </c>
      <c r="G322" s="6" t="s">
        <v>496</v>
      </c>
      <c r="H322" s="6" t="str">
        <f>IFERROR(VLOOKUP(Table2[[#This Row],[Ticket]],Okey!A:B,2,0),"")</f>
        <v>ok</v>
      </c>
      <c r="I322" s="6" t="s">
        <v>3679</v>
      </c>
      <c r="J322" s="6" t="str">
        <f>VLOOKUP(Table2[[#This Row],[Author]],People!A:B,2,0)</f>
        <v>MGF</v>
      </c>
      <c r="K322" s="6"/>
      <c r="L322" s="6"/>
      <c r="M322" s="21" t="s">
        <v>4148</v>
      </c>
    </row>
    <row r="323" spans="1:13" x14ac:dyDescent="0.25">
      <c r="A323" s="23">
        <f t="shared" ref="A323:A386" si="5">1+A322</f>
        <v>322</v>
      </c>
      <c r="B323" s="7" t="s">
        <v>2330</v>
      </c>
      <c r="C323" s="7" t="s">
        <v>4144</v>
      </c>
      <c r="D323" s="7" t="s">
        <v>4152</v>
      </c>
      <c r="E323" s="7" t="s">
        <v>4153</v>
      </c>
      <c r="F323" s="7" t="s">
        <v>4154</v>
      </c>
      <c r="G323" s="7" t="s">
        <v>496</v>
      </c>
      <c r="H323" s="7" t="str">
        <f>IFERROR(VLOOKUP(Table2[[#This Row],[Ticket]],Okey!A:B,2,0),"")</f>
        <v>ok</v>
      </c>
      <c r="I323" s="7" t="s">
        <v>3679</v>
      </c>
      <c r="J323" s="7" t="str">
        <f>VLOOKUP(Table2[[#This Row],[Author]],People!A:B,2,0)</f>
        <v>MGF</v>
      </c>
      <c r="K323" s="7"/>
      <c r="L323" s="7"/>
      <c r="M323" s="16" t="s">
        <v>4148</v>
      </c>
    </row>
    <row r="324" spans="1:13" x14ac:dyDescent="0.25">
      <c r="A324" s="22">
        <f t="shared" si="5"/>
        <v>323</v>
      </c>
      <c r="B324" s="6" t="s">
        <v>2330</v>
      </c>
      <c r="C324" s="6" t="s">
        <v>4144</v>
      </c>
      <c r="D324" s="6" t="s">
        <v>4155</v>
      </c>
      <c r="E324" s="6" t="s">
        <v>4156</v>
      </c>
      <c r="F324" s="6" t="s">
        <v>4157</v>
      </c>
      <c r="G324" s="6" t="s">
        <v>18</v>
      </c>
      <c r="H324" s="6" t="str">
        <f>IFERROR(VLOOKUP(Table2[[#This Row],[Ticket]],Okey!A:B,2,0),"")</f>
        <v>ok</v>
      </c>
      <c r="I324" s="6" t="s">
        <v>3679</v>
      </c>
      <c r="J324" s="6" t="str">
        <f>VLOOKUP(Table2[[#This Row],[Author]],People!A:B,2,0)</f>
        <v>MGF</v>
      </c>
      <c r="K324" s="6"/>
      <c r="L324" s="6"/>
      <c r="M324" s="21" t="s">
        <v>4148</v>
      </c>
    </row>
    <row r="325" spans="1:13" x14ac:dyDescent="0.25">
      <c r="A325" s="23">
        <f t="shared" si="5"/>
        <v>324</v>
      </c>
      <c r="B325" s="7" t="s">
        <v>2330</v>
      </c>
      <c r="C325" s="7" t="s">
        <v>4144</v>
      </c>
      <c r="D325" s="7" t="s">
        <v>4158</v>
      </c>
      <c r="E325" s="7" t="s">
        <v>4159</v>
      </c>
      <c r="F325" s="7" t="s">
        <v>4151</v>
      </c>
      <c r="G325" s="7" t="s">
        <v>18</v>
      </c>
      <c r="H325" s="7" t="str">
        <f>IFERROR(VLOOKUP(Table2[[#This Row],[Ticket]],Okey!A:B,2,0),"")</f>
        <v>ok</v>
      </c>
      <c r="I325" s="7" t="s">
        <v>3679</v>
      </c>
      <c r="J325" s="7" t="str">
        <f>VLOOKUP(Table2[[#This Row],[Author]],People!A:B,2,0)</f>
        <v>MGF</v>
      </c>
      <c r="K325" s="7"/>
      <c r="L325" s="7"/>
      <c r="M325" s="16" t="s">
        <v>4148</v>
      </c>
    </row>
    <row r="326" spans="1:13" x14ac:dyDescent="0.25">
      <c r="A326" s="22">
        <f t="shared" si="5"/>
        <v>325</v>
      </c>
      <c r="B326" s="6" t="s">
        <v>2330</v>
      </c>
      <c r="C326" s="6" t="s">
        <v>4144</v>
      </c>
      <c r="D326" s="6" t="s">
        <v>4160</v>
      </c>
      <c r="E326" s="6" t="s">
        <v>4161</v>
      </c>
      <c r="F326" s="6" t="s">
        <v>4151</v>
      </c>
      <c r="G326" s="6" t="s">
        <v>18</v>
      </c>
      <c r="H326" s="6" t="str">
        <f>IFERROR(VLOOKUP(Table2[[#This Row],[Ticket]],Okey!A:B,2,0),"")</f>
        <v>ok</v>
      </c>
      <c r="I326" s="6" t="s">
        <v>3679</v>
      </c>
      <c r="J326" s="6" t="str">
        <f>VLOOKUP(Table2[[#This Row],[Author]],People!A:B,2,0)</f>
        <v>MGF</v>
      </c>
      <c r="K326" s="6"/>
      <c r="L326" s="6"/>
      <c r="M326" s="21" t="s">
        <v>4148</v>
      </c>
    </row>
    <row r="327" spans="1:13" x14ac:dyDescent="0.25">
      <c r="A327" s="23">
        <f t="shared" si="5"/>
        <v>326</v>
      </c>
      <c r="B327" s="7" t="s">
        <v>2330</v>
      </c>
      <c r="C327" s="7" t="s">
        <v>4144</v>
      </c>
      <c r="D327" s="7" t="s">
        <v>4162</v>
      </c>
      <c r="E327" s="7" t="s">
        <v>4163</v>
      </c>
      <c r="F327" s="7" t="s">
        <v>4164</v>
      </c>
      <c r="G327" s="7" t="s">
        <v>18</v>
      </c>
      <c r="H327" s="7" t="str">
        <f>IFERROR(VLOOKUP(Table2[[#This Row],[Ticket]],Okey!A:B,2,0),"")</f>
        <v>ok</v>
      </c>
      <c r="I327" s="7" t="s">
        <v>3679</v>
      </c>
      <c r="J327" s="7" t="str">
        <f>VLOOKUP(Table2[[#This Row],[Author]],People!A:B,2,0)</f>
        <v>MGF</v>
      </c>
      <c r="K327" s="7"/>
      <c r="L327" s="7"/>
      <c r="M327" s="16" t="s">
        <v>4148</v>
      </c>
    </row>
    <row r="328" spans="1:13" x14ac:dyDescent="0.25">
      <c r="A328" s="22">
        <f t="shared" si="5"/>
        <v>327</v>
      </c>
      <c r="B328" s="6" t="s">
        <v>2330</v>
      </c>
      <c r="C328" s="6" t="s">
        <v>4144</v>
      </c>
      <c r="D328" s="6" t="s">
        <v>4165</v>
      </c>
      <c r="E328" s="6" t="s">
        <v>4166</v>
      </c>
      <c r="F328" s="6" t="s">
        <v>4167</v>
      </c>
      <c r="G328" s="6" t="s">
        <v>18</v>
      </c>
      <c r="H328" s="6" t="str">
        <f>IFERROR(VLOOKUP(Table2[[#This Row],[Ticket]],Okey!A:B,2,0),"")</f>
        <v>ok</v>
      </c>
      <c r="I328" s="6" t="s">
        <v>3679</v>
      </c>
      <c r="J328" s="6" t="str">
        <f>VLOOKUP(Table2[[#This Row],[Author]],People!A:B,2,0)</f>
        <v>MGF</v>
      </c>
      <c r="K328" s="6"/>
      <c r="L328" s="6"/>
      <c r="M328" s="21" t="s">
        <v>4148</v>
      </c>
    </row>
    <row r="329" spans="1:13" x14ac:dyDescent="0.25">
      <c r="A329" s="23">
        <f t="shared" si="5"/>
        <v>328</v>
      </c>
      <c r="B329" s="7" t="s">
        <v>2330</v>
      </c>
      <c r="C329" s="7" t="s">
        <v>4144</v>
      </c>
      <c r="D329" s="7" t="s">
        <v>4168</v>
      </c>
      <c r="E329" s="7" t="s">
        <v>4169</v>
      </c>
      <c r="F329" s="7" t="s">
        <v>4167</v>
      </c>
      <c r="G329" s="7" t="s">
        <v>18</v>
      </c>
      <c r="H329" s="7" t="str">
        <f>IFERROR(VLOOKUP(Table2[[#This Row],[Ticket]],Okey!A:B,2,0),"")</f>
        <v>ok</v>
      </c>
      <c r="I329" s="7" t="s">
        <v>3679</v>
      </c>
      <c r="J329" s="7" t="str">
        <f>VLOOKUP(Table2[[#This Row],[Author]],People!A:B,2,0)</f>
        <v>MGF</v>
      </c>
      <c r="K329" s="7"/>
      <c r="L329" s="7"/>
      <c r="M329" s="16" t="s">
        <v>4148</v>
      </c>
    </row>
    <row r="330" spans="1:13" x14ac:dyDescent="0.25">
      <c r="A330" s="22">
        <f t="shared" si="5"/>
        <v>329</v>
      </c>
      <c r="B330" s="6" t="s">
        <v>2330</v>
      </c>
      <c r="C330" s="6" t="s">
        <v>4144</v>
      </c>
      <c r="D330" s="6" t="s">
        <v>4157</v>
      </c>
      <c r="E330" s="6" t="s">
        <v>4170</v>
      </c>
      <c r="F330" s="6"/>
      <c r="G330" s="6" t="s">
        <v>63</v>
      </c>
      <c r="H330" s="6" t="str">
        <f>IFERROR(VLOOKUP(Table2[[#This Row],[Ticket]],Okey!A:B,2,0),"")</f>
        <v>ok</v>
      </c>
      <c r="I330" s="6" t="s">
        <v>3679</v>
      </c>
      <c r="J330" s="6" t="str">
        <f>VLOOKUP(Table2[[#This Row],[Author]],People!A:B,2,0)</f>
        <v>MGF</v>
      </c>
      <c r="K330" s="6"/>
      <c r="L330" s="6"/>
      <c r="M330" s="21" t="s">
        <v>4148</v>
      </c>
    </row>
    <row r="331" spans="1:13" x14ac:dyDescent="0.25">
      <c r="A331" s="23">
        <f t="shared" si="5"/>
        <v>330</v>
      </c>
      <c r="B331" s="7" t="s">
        <v>2330</v>
      </c>
      <c r="C331" s="7" t="s">
        <v>4144</v>
      </c>
      <c r="D331" s="7" t="s">
        <v>4171</v>
      </c>
      <c r="E331" s="7" t="s">
        <v>4172</v>
      </c>
      <c r="F331" s="7"/>
      <c r="G331" s="7" t="s">
        <v>63</v>
      </c>
      <c r="H331" s="7" t="str">
        <f>IFERROR(VLOOKUP(Table2[[#This Row],[Ticket]],Okey!A:B,2,0),"")</f>
        <v>ok</v>
      </c>
      <c r="I331" s="7" t="s">
        <v>3679</v>
      </c>
      <c r="J331" s="7" t="str">
        <f>VLOOKUP(Table2[[#This Row],[Author]],People!A:B,2,0)</f>
        <v>MGF</v>
      </c>
      <c r="K331" s="7"/>
      <c r="L331" s="7"/>
      <c r="M331" s="16" t="s">
        <v>4148</v>
      </c>
    </row>
    <row r="332" spans="1:13" x14ac:dyDescent="0.25">
      <c r="A332" s="22">
        <f t="shared" si="5"/>
        <v>331</v>
      </c>
      <c r="B332" s="6" t="s">
        <v>2330</v>
      </c>
      <c r="C332" s="6" t="s">
        <v>4144</v>
      </c>
      <c r="D332" s="6" t="s">
        <v>4173</v>
      </c>
      <c r="E332" s="6" t="s">
        <v>4174</v>
      </c>
      <c r="F332" s="6"/>
      <c r="G332" s="6" t="s">
        <v>63</v>
      </c>
      <c r="H332" s="6" t="str">
        <f>IFERROR(VLOOKUP(Table2[[#This Row],[Ticket]],Okey!A:B,2,0),"")</f>
        <v>ok</v>
      </c>
      <c r="I332" s="6" t="s">
        <v>3679</v>
      </c>
      <c r="J332" s="6" t="str">
        <f>VLOOKUP(Table2[[#This Row],[Author]],People!A:B,2,0)</f>
        <v>MGF</v>
      </c>
      <c r="K332" s="6"/>
      <c r="L332" s="6"/>
      <c r="M332" s="21" t="s">
        <v>4148</v>
      </c>
    </row>
    <row r="333" spans="1:13" x14ac:dyDescent="0.25">
      <c r="A333" s="23">
        <f t="shared" si="5"/>
        <v>332</v>
      </c>
      <c r="B333" s="7" t="s">
        <v>2330</v>
      </c>
      <c r="C333" s="7" t="s">
        <v>4144</v>
      </c>
      <c r="D333" s="7" t="s">
        <v>4175</v>
      </c>
      <c r="E333" s="7" t="s">
        <v>4176</v>
      </c>
      <c r="F333" s="7"/>
      <c r="G333" s="7" t="s">
        <v>63</v>
      </c>
      <c r="H333" s="7" t="str">
        <f>IFERROR(VLOOKUP(Table2[[#This Row],[Ticket]],Okey!A:B,2,0),"")</f>
        <v>ok</v>
      </c>
      <c r="I333" s="7" t="s">
        <v>3679</v>
      </c>
      <c r="J333" s="7" t="str">
        <f>VLOOKUP(Table2[[#This Row],[Author]],People!A:B,2,0)</f>
        <v>MGF</v>
      </c>
      <c r="K333" s="7"/>
      <c r="L333" s="7"/>
      <c r="M333" s="16" t="s">
        <v>4148</v>
      </c>
    </row>
    <row r="334" spans="1:13" x14ac:dyDescent="0.25">
      <c r="A334" s="22">
        <f t="shared" si="5"/>
        <v>333</v>
      </c>
      <c r="B334" s="6" t="s">
        <v>2330</v>
      </c>
      <c r="C334" s="6" t="s">
        <v>4144</v>
      </c>
      <c r="D334" s="6" t="s">
        <v>4177</v>
      </c>
      <c r="E334" s="6" t="s">
        <v>4178</v>
      </c>
      <c r="F334" s="6"/>
      <c r="G334" s="6" t="s">
        <v>63</v>
      </c>
      <c r="H334" s="6" t="str">
        <f>IFERROR(VLOOKUP(Table2[[#This Row],[Ticket]],Okey!A:B,2,0),"")</f>
        <v>ok</v>
      </c>
      <c r="I334" s="6" t="s">
        <v>3679</v>
      </c>
      <c r="J334" s="6" t="str">
        <f>VLOOKUP(Table2[[#This Row],[Author]],People!A:B,2,0)</f>
        <v>MGF</v>
      </c>
      <c r="K334" s="6"/>
      <c r="L334" s="6"/>
      <c r="M334" s="21" t="s">
        <v>4148</v>
      </c>
    </row>
    <row r="335" spans="1:13" x14ac:dyDescent="0.25">
      <c r="A335" s="23">
        <f t="shared" si="5"/>
        <v>334</v>
      </c>
      <c r="B335" s="7" t="s">
        <v>2330</v>
      </c>
      <c r="C335" s="7" t="s">
        <v>4144</v>
      </c>
      <c r="D335" s="7" t="s">
        <v>4179</v>
      </c>
      <c r="E335" s="7" t="s">
        <v>4180</v>
      </c>
      <c r="F335" s="7"/>
      <c r="G335" s="7" t="s">
        <v>63</v>
      </c>
      <c r="H335" s="7" t="str">
        <f>IFERROR(VLOOKUP(Table2[[#This Row],[Ticket]],Okey!A:B,2,0),"")</f>
        <v>ok</v>
      </c>
      <c r="I335" s="7" t="s">
        <v>3679</v>
      </c>
      <c r="J335" s="7" t="str">
        <f>VLOOKUP(Table2[[#This Row],[Author]],People!A:B,2,0)</f>
        <v>MGF</v>
      </c>
      <c r="K335" s="7"/>
      <c r="L335" s="7"/>
      <c r="M335" s="16" t="s">
        <v>4148</v>
      </c>
    </row>
    <row r="336" spans="1:13" x14ac:dyDescent="0.25">
      <c r="A336" s="22">
        <f t="shared" si="5"/>
        <v>335</v>
      </c>
      <c r="B336" s="6" t="s">
        <v>2330</v>
      </c>
      <c r="C336" s="6" t="s">
        <v>4144</v>
      </c>
      <c r="D336" s="6" t="s">
        <v>4181</v>
      </c>
      <c r="E336" s="6" t="s">
        <v>4182</v>
      </c>
      <c r="F336" s="6"/>
      <c r="G336" s="6" t="s">
        <v>63</v>
      </c>
      <c r="H336" s="6" t="str">
        <f>IFERROR(VLOOKUP(Table2[[#This Row],[Ticket]],Okey!A:B,2,0),"")</f>
        <v>ok</v>
      </c>
      <c r="I336" s="6" t="s">
        <v>3679</v>
      </c>
      <c r="J336" s="6" t="str">
        <f>VLOOKUP(Table2[[#This Row],[Author]],People!A:B,2,0)</f>
        <v>MGF</v>
      </c>
      <c r="K336" s="6"/>
      <c r="L336" s="6"/>
      <c r="M336" s="21" t="s">
        <v>4148</v>
      </c>
    </row>
    <row r="337" spans="1:13" x14ac:dyDescent="0.25">
      <c r="A337" s="23">
        <f t="shared" si="5"/>
        <v>336</v>
      </c>
      <c r="B337" s="7" t="s">
        <v>2330</v>
      </c>
      <c r="C337" s="7" t="s">
        <v>4144</v>
      </c>
      <c r="D337" s="7" t="s">
        <v>4183</v>
      </c>
      <c r="E337" s="7" t="s">
        <v>4184</v>
      </c>
      <c r="F337" s="7"/>
      <c r="G337" s="7" t="s">
        <v>63</v>
      </c>
      <c r="H337" s="7" t="str">
        <f>IFERROR(VLOOKUP(Table2[[#This Row],[Ticket]],Okey!A:B,2,0),"")</f>
        <v>ok</v>
      </c>
      <c r="I337" s="7" t="s">
        <v>3679</v>
      </c>
      <c r="J337" s="7" t="str">
        <f>VLOOKUP(Table2[[#This Row],[Author]],People!A:B,2,0)</f>
        <v>MGF</v>
      </c>
      <c r="K337" s="7"/>
      <c r="L337" s="7"/>
      <c r="M337" s="16" t="s">
        <v>4148</v>
      </c>
    </row>
    <row r="338" spans="1:13" x14ac:dyDescent="0.25">
      <c r="A338" s="22">
        <f t="shared" si="5"/>
        <v>337</v>
      </c>
      <c r="B338" s="6" t="s">
        <v>2330</v>
      </c>
      <c r="C338" s="6" t="s">
        <v>4144</v>
      </c>
      <c r="D338" s="6" t="s">
        <v>4185</v>
      </c>
      <c r="E338" s="6" t="s">
        <v>4186</v>
      </c>
      <c r="F338" s="6"/>
      <c r="G338" s="6" t="s">
        <v>63</v>
      </c>
      <c r="H338" s="6" t="str">
        <f>IFERROR(VLOOKUP(Table2[[#This Row],[Ticket]],Okey!A:B,2,0),"")</f>
        <v>ok</v>
      </c>
      <c r="I338" s="6" t="s">
        <v>3679</v>
      </c>
      <c r="J338" s="6" t="str">
        <f>VLOOKUP(Table2[[#This Row],[Author]],People!A:B,2,0)</f>
        <v>MGF</v>
      </c>
      <c r="K338" s="6"/>
      <c r="L338" s="6"/>
      <c r="M338" s="21" t="s">
        <v>4148</v>
      </c>
    </row>
    <row r="339" spans="1:13" x14ac:dyDescent="0.25">
      <c r="A339" s="23">
        <f t="shared" si="5"/>
        <v>338</v>
      </c>
      <c r="B339" s="7" t="s">
        <v>2330</v>
      </c>
      <c r="C339" s="7" t="s">
        <v>4144</v>
      </c>
      <c r="D339" s="7" t="s">
        <v>4151</v>
      </c>
      <c r="E339" s="7" t="s">
        <v>4187</v>
      </c>
      <c r="F339" s="7"/>
      <c r="G339" s="7" t="s">
        <v>63</v>
      </c>
      <c r="H339" s="7" t="str">
        <f>IFERROR(VLOOKUP(Table2[[#This Row],[Ticket]],Okey!A:B,2,0),"")</f>
        <v>ok</v>
      </c>
      <c r="I339" s="7" t="s">
        <v>3679</v>
      </c>
      <c r="J339" s="7" t="str">
        <f>VLOOKUP(Table2[[#This Row],[Author]],People!A:B,2,0)</f>
        <v>MGF</v>
      </c>
      <c r="K339" s="7"/>
      <c r="L339" s="7"/>
      <c r="M339" s="16" t="s">
        <v>4148</v>
      </c>
    </row>
    <row r="340" spans="1:13" x14ac:dyDescent="0.25">
      <c r="A340" s="22">
        <f t="shared" si="5"/>
        <v>339</v>
      </c>
      <c r="B340" s="6" t="s">
        <v>2330</v>
      </c>
      <c r="C340" s="6" t="s">
        <v>4144</v>
      </c>
      <c r="D340" s="6" t="s">
        <v>4164</v>
      </c>
      <c r="E340" s="6" t="s">
        <v>4188</v>
      </c>
      <c r="F340" s="6"/>
      <c r="G340" s="6" t="s">
        <v>63</v>
      </c>
      <c r="H340" s="6" t="str">
        <f>IFERROR(VLOOKUP(Table2[[#This Row],[Ticket]],Okey!A:B,2,0),"")</f>
        <v>ok</v>
      </c>
      <c r="I340" s="6" t="s">
        <v>3679</v>
      </c>
      <c r="J340" s="6" t="str">
        <f>VLOOKUP(Table2[[#This Row],[Author]],People!A:B,2,0)</f>
        <v>MGF</v>
      </c>
      <c r="K340" s="6"/>
      <c r="L340" s="6"/>
      <c r="M340" s="21" t="s">
        <v>4148</v>
      </c>
    </row>
    <row r="341" spans="1:13" x14ac:dyDescent="0.25">
      <c r="A341" s="23">
        <f t="shared" si="5"/>
        <v>340</v>
      </c>
      <c r="B341" s="7" t="s">
        <v>2330</v>
      </c>
      <c r="C341" s="7" t="s">
        <v>4144</v>
      </c>
      <c r="D341" s="7" t="s">
        <v>4189</v>
      </c>
      <c r="E341" s="7" t="s">
        <v>4190</v>
      </c>
      <c r="F341" s="7"/>
      <c r="G341" s="7" t="s">
        <v>63</v>
      </c>
      <c r="H341" s="7" t="str">
        <f>IFERROR(VLOOKUP(Table2[[#This Row],[Ticket]],Okey!A:B,2,0),"")</f>
        <v>ok</v>
      </c>
      <c r="I341" s="7" t="s">
        <v>3679</v>
      </c>
      <c r="J341" s="7" t="str">
        <f>VLOOKUP(Table2[[#This Row],[Author]],People!A:B,2,0)</f>
        <v>MGF</v>
      </c>
      <c r="K341" s="7"/>
      <c r="L341" s="7"/>
      <c r="M341" s="16" t="s">
        <v>4148</v>
      </c>
    </row>
    <row r="342" spans="1:13" x14ac:dyDescent="0.25">
      <c r="A342" s="22">
        <f t="shared" si="5"/>
        <v>341</v>
      </c>
      <c r="B342" s="6" t="s">
        <v>2330</v>
      </c>
      <c r="C342" s="6" t="s">
        <v>4144</v>
      </c>
      <c r="D342" s="6" t="s">
        <v>4191</v>
      </c>
      <c r="E342" s="6" t="s">
        <v>4192</v>
      </c>
      <c r="F342" s="6"/>
      <c r="G342" s="6" t="s">
        <v>63</v>
      </c>
      <c r="H342" s="6" t="str">
        <f>IFERROR(VLOOKUP(Table2[[#This Row],[Ticket]],Okey!A:B,2,0),"")</f>
        <v>ok</v>
      </c>
      <c r="I342" s="6" t="s">
        <v>3679</v>
      </c>
      <c r="J342" s="6" t="str">
        <f>VLOOKUP(Table2[[#This Row],[Author]],People!A:B,2,0)</f>
        <v>MGF</v>
      </c>
      <c r="K342" s="6"/>
      <c r="L342" s="6"/>
      <c r="M342" s="21" t="s">
        <v>4148</v>
      </c>
    </row>
    <row r="343" spans="1:13" x14ac:dyDescent="0.25">
      <c r="A343" s="23">
        <f t="shared" si="5"/>
        <v>342</v>
      </c>
      <c r="B343" s="7" t="s">
        <v>2330</v>
      </c>
      <c r="C343" s="7" t="s">
        <v>4144</v>
      </c>
      <c r="D343" s="7" t="s">
        <v>4193</v>
      </c>
      <c r="E343" s="7" t="s">
        <v>4194</v>
      </c>
      <c r="F343" s="7"/>
      <c r="G343" s="7" t="s">
        <v>63</v>
      </c>
      <c r="H343" s="7" t="str">
        <f>IFERROR(VLOOKUP(Table2[[#This Row],[Ticket]],Okey!A:B,2,0),"")</f>
        <v>ok</v>
      </c>
      <c r="I343" s="7" t="s">
        <v>3679</v>
      </c>
      <c r="J343" s="7" t="str">
        <f>VLOOKUP(Table2[[#This Row],[Author]],People!A:B,2,0)</f>
        <v>MGF</v>
      </c>
      <c r="K343" s="7"/>
      <c r="L343" s="7"/>
      <c r="M343" s="16" t="s">
        <v>4148</v>
      </c>
    </row>
    <row r="344" spans="1:13" x14ac:dyDescent="0.25">
      <c r="A344" s="22">
        <f t="shared" si="5"/>
        <v>343</v>
      </c>
      <c r="B344" s="6" t="s">
        <v>2330</v>
      </c>
      <c r="C344" s="6" t="s">
        <v>4144</v>
      </c>
      <c r="D344" s="6" t="s">
        <v>4195</v>
      </c>
      <c r="E344" s="6" t="s">
        <v>4196</v>
      </c>
      <c r="F344" s="6"/>
      <c r="G344" s="6" t="s">
        <v>63</v>
      </c>
      <c r="H344" s="6" t="str">
        <f>IFERROR(VLOOKUP(Table2[[#This Row],[Ticket]],Okey!A:B,2,0),"")</f>
        <v>ok</v>
      </c>
      <c r="I344" s="6" t="s">
        <v>3679</v>
      </c>
      <c r="J344" s="6" t="str">
        <f>VLOOKUP(Table2[[#This Row],[Author]],People!A:B,2,0)</f>
        <v>MGF</v>
      </c>
      <c r="K344" s="6"/>
      <c r="L344" s="6"/>
      <c r="M344" s="21" t="s">
        <v>4148</v>
      </c>
    </row>
    <row r="345" spans="1:13" x14ac:dyDescent="0.25">
      <c r="A345" s="23">
        <f t="shared" si="5"/>
        <v>344</v>
      </c>
      <c r="B345" s="7" t="s">
        <v>2330</v>
      </c>
      <c r="C345" s="7" t="s">
        <v>4144</v>
      </c>
      <c r="D345" s="7" t="s">
        <v>4197</v>
      </c>
      <c r="E345" s="7" t="s">
        <v>4198</v>
      </c>
      <c r="F345" s="7"/>
      <c r="G345" s="7" t="s">
        <v>63</v>
      </c>
      <c r="H345" s="7" t="str">
        <f>IFERROR(VLOOKUP(Table2[[#This Row],[Ticket]],Okey!A:B,2,0),"")</f>
        <v>ok</v>
      </c>
      <c r="I345" s="7" t="s">
        <v>3679</v>
      </c>
      <c r="J345" s="7" t="str">
        <f>VLOOKUP(Table2[[#This Row],[Author]],People!A:B,2,0)</f>
        <v>MGF</v>
      </c>
      <c r="K345" s="7"/>
      <c r="L345" s="7"/>
      <c r="M345" s="16" t="s">
        <v>4148</v>
      </c>
    </row>
    <row r="346" spans="1:13" x14ac:dyDescent="0.25">
      <c r="A346" s="22">
        <f t="shared" si="5"/>
        <v>345</v>
      </c>
      <c r="B346" s="6" t="s">
        <v>2330</v>
      </c>
      <c r="C346" s="6" t="s">
        <v>4144</v>
      </c>
      <c r="D346" s="6" t="s">
        <v>4199</v>
      </c>
      <c r="E346" s="6" t="s">
        <v>4200</v>
      </c>
      <c r="F346" s="6"/>
      <c r="G346" s="6" t="s">
        <v>63</v>
      </c>
      <c r="H346" s="6" t="str">
        <f>IFERROR(VLOOKUP(Table2[[#This Row],[Ticket]],Okey!A:B,2,0),"")</f>
        <v>ok</v>
      </c>
      <c r="I346" s="6" t="s">
        <v>3679</v>
      </c>
      <c r="J346" s="6" t="str">
        <f>VLOOKUP(Table2[[#This Row],[Author]],People!A:B,2,0)</f>
        <v>MGF</v>
      </c>
      <c r="K346" s="6"/>
      <c r="L346" s="6"/>
      <c r="M346" s="21" t="s">
        <v>4148</v>
      </c>
    </row>
    <row r="347" spans="1:13" x14ac:dyDescent="0.25">
      <c r="A347" s="23">
        <f t="shared" si="5"/>
        <v>346</v>
      </c>
      <c r="B347" s="7" t="s">
        <v>2330</v>
      </c>
      <c r="C347" s="7" t="s">
        <v>4144</v>
      </c>
      <c r="D347" s="7" t="s">
        <v>4167</v>
      </c>
      <c r="E347" s="7" t="s">
        <v>4201</v>
      </c>
      <c r="F347" s="7"/>
      <c r="G347" s="7" t="s">
        <v>63</v>
      </c>
      <c r="H347" s="7" t="str">
        <f>IFERROR(VLOOKUP(Table2[[#This Row],[Ticket]],Okey!A:B,2,0),"")</f>
        <v>ok</v>
      </c>
      <c r="I347" s="7" t="s">
        <v>3679</v>
      </c>
      <c r="J347" s="7" t="str">
        <f>VLOOKUP(Table2[[#This Row],[Author]],People!A:B,2,0)</f>
        <v>MGF</v>
      </c>
      <c r="K347" s="7"/>
      <c r="L347" s="7"/>
      <c r="M347" s="16" t="s">
        <v>4148</v>
      </c>
    </row>
    <row r="348" spans="1:13" x14ac:dyDescent="0.25">
      <c r="A348" s="22">
        <f t="shared" si="5"/>
        <v>347</v>
      </c>
      <c r="B348" s="6" t="s">
        <v>2330</v>
      </c>
      <c r="C348" s="6" t="s">
        <v>4144</v>
      </c>
      <c r="D348" s="6" t="s">
        <v>4202</v>
      </c>
      <c r="E348" s="6" t="s">
        <v>4203</v>
      </c>
      <c r="F348" s="6"/>
      <c r="G348" s="6" t="s">
        <v>63</v>
      </c>
      <c r="H348" s="6" t="str">
        <f>IFERROR(VLOOKUP(Table2[[#This Row],[Ticket]],Okey!A:B,2,0),"")</f>
        <v>ok</v>
      </c>
      <c r="I348" s="6" t="s">
        <v>3679</v>
      </c>
      <c r="J348" s="6" t="str">
        <f>VLOOKUP(Table2[[#This Row],[Author]],People!A:B,2,0)</f>
        <v>MGF</v>
      </c>
      <c r="K348" s="6"/>
      <c r="L348" s="6"/>
      <c r="M348" s="21" t="s">
        <v>4148</v>
      </c>
    </row>
    <row r="349" spans="1:13" x14ac:dyDescent="0.25">
      <c r="A349" s="23">
        <f t="shared" si="5"/>
        <v>348</v>
      </c>
      <c r="B349" s="7" t="s">
        <v>2330</v>
      </c>
      <c r="C349" s="7" t="s">
        <v>4204</v>
      </c>
      <c r="D349" s="7" t="s">
        <v>4205</v>
      </c>
      <c r="E349" s="7" t="s">
        <v>4206</v>
      </c>
      <c r="F349" s="7" t="s">
        <v>2503</v>
      </c>
      <c r="G349" s="7" t="s">
        <v>496</v>
      </c>
      <c r="H349" s="7" t="str">
        <f>IFERROR(VLOOKUP(Table2[[#This Row],[Ticket]],Okey!A:B,2,0),"")</f>
        <v>ok</v>
      </c>
      <c r="I349" s="7" t="s">
        <v>3679</v>
      </c>
      <c r="J349" s="7" t="str">
        <f>VLOOKUP(Table2[[#This Row],[Author]],People!A:B,2,0)</f>
        <v>MGF</v>
      </c>
      <c r="K349" s="7"/>
      <c r="L349" s="7"/>
      <c r="M349" s="16" t="s">
        <v>1040</v>
      </c>
    </row>
    <row r="350" spans="1:13" x14ac:dyDescent="0.25">
      <c r="A350" s="22">
        <f t="shared" si="5"/>
        <v>349</v>
      </c>
      <c r="B350" s="6" t="s">
        <v>2330</v>
      </c>
      <c r="C350" s="6" t="s">
        <v>4204</v>
      </c>
      <c r="D350" s="6" t="s">
        <v>4207</v>
      </c>
      <c r="E350" s="6" t="s">
        <v>4208</v>
      </c>
      <c r="F350" s="6" t="s">
        <v>1103</v>
      </c>
      <c r="G350" s="6" t="s">
        <v>496</v>
      </c>
      <c r="H350" s="6" t="str">
        <f>IFERROR(VLOOKUP(Table2[[#This Row],[Ticket]],Okey!A:B,2,0),"")</f>
        <v>ok</v>
      </c>
      <c r="I350" s="6" t="s">
        <v>3679</v>
      </c>
      <c r="J350" s="6" t="str">
        <f>VLOOKUP(Table2[[#This Row],[Author]],People!A:B,2,0)</f>
        <v>MGF</v>
      </c>
      <c r="K350" s="6"/>
      <c r="L350" s="6"/>
      <c r="M350" s="21" t="s">
        <v>1040</v>
      </c>
    </row>
    <row r="351" spans="1:13" x14ac:dyDescent="0.25">
      <c r="A351" s="23">
        <f t="shared" si="5"/>
        <v>350</v>
      </c>
      <c r="B351" s="7" t="s">
        <v>2330</v>
      </c>
      <c r="C351" s="7" t="s">
        <v>4204</v>
      </c>
      <c r="D351" s="7" t="s">
        <v>4209</v>
      </c>
      <c r="E351" s="7"/>
      <c r="F351" s="7" t="s">
        <v>1103</v>
      </c>
      <c r="G351" s="7" t="s">
        <v>24</v>
      </c>
      <c r="H351" s="7" t="str">
        <f>IFERROR(VLOOKUP(Table2[[#This Row],[Ticket]],Okey!A:B,2,0),"")</f>
        <v>ok</v>
      </c>
      <c r="I351" s="7" t="s">
        <v>3679</v>
      </c>
      <c r="J351" s="7" t="str">
        <f>VLOOKUP(Table2[[#This Row],[Author]],People!A:B,2,0)</f>
        <v>MGF</v>
      </c>
      <c r="K351" s="7"/>
      <c r="L351" s="7"/>
      <c r="M351" s="16" t="s">
        <v>1040</v>
      </c>
    </row>
    <row r="352" spans="1:13" x14ac:dyDescent="0.25">
      <c r="A352" s="22">
        <f t="shared" si="5"/>
        <v>351</v>
      </c>
      <c r="B352" s="6" t="s">
        <v>2330</v>
      </c>
      <c r="C352" s="6" t="s">
        <v>4204</v>
      </c>
      <c r="D352" s="6" t="s">
        <v>4210</v>
      </c>
      <c r="E352" s="6"/>
      <c r="F352" s="6" t="s">
        <v>1103</v>
      </c>
      <c r="G352" s="6" t="s">
        <v>24</v>
      </c>
      <c r="H352" s="6" t="str">
        <f>IFERROR(VLOOKUP(Table2[[#This Row],[Ticket]],Okey!A:B,2,0),"")</f>
        <v>ok</v>
      </c>
      <c r="I352" s="6" t="s">
        <v>3679</v>
      </c>
      <c r="J352" s="6" t="str">
        <f>VLOOKUP(Table2[[#This Row],[Author]],People!A:B,2,0)</f>
        <v>MGF</v>
      </c>
      <c r="K352" s="6"/>
      <c r="L352" s="6"/>
      <c r="M352" s="21" t="s">
        <v>1040</v>
      </c>
    </row>
    <row r="353" spans="1:13" x14ac:dyDescent="0.25">
      <c r="A353" s="23">
        <f t="shared" si="5"/>
        <v>352</v>
      </c>
      <c r="B353" s="7" t="s">
        <v>2330</v>
      </c>
      <c r="C353" s="7" t="s">
        <v>4204</v>
      </c>
      <c r="D353" s="7" t="s">
        <v>4211</v>
      </c>
      <c r="E353" s="7"/>
      <c r="F353" s="7" t="s">
        <v>1103</v>
      </c>
      <c r="G353" s="7" t="s">
        <v>24</v>
      </c>
      <c r="H353" s="7" t="str">
        <f>IFERROR(VLOOKUP(Table2[[#This Row],[Ticket]],Okey!A:B,2,0),"")</f>
        <v>ok</v>
      </c>
      <c r="I353" s="7" t="s">
        <v>3679</v>
      </c>
      <c r="J353" s="7" t="str">
        <f>VLOOKUP(Table2[[#This Row],[Author]],People!A:B,2,0)</f>
        <v>MGF</v>
      </c>
      <c r="K353" s="7"/>
      <c r="L353" s="7"/>
      <c r="M353" s="16" t="s">
        <v>1040</v>
      </c>
    </row>
    <row r="354" spans="1:13" x14ac:dyDescent="0.25">
      <c r="A354" s="22">
        <f t="shared" si="5"/>
        <v>353</v>
      </c>
      <c r="B354" s="6" t="s">
        <v>2330</v>
      </c>
      <c r="C354" s="6" t="s">
        <v>4212</v>
      </c>
      <c r="D354" s="6" t="s">
        <v>4213</v>
      </c>
      <c r="E354" s="6" t="s">
        <v>4214</v>
      </c>
      <c r="F354" s="6" t="s">
        <v>4215</v>
      </c>
      <c r="G354" s="6" t="s">
        <v>24</v>
      </c>
      <c r="H354" s="6" t="str">
        <f>IFERROR(VLOOKUP(Table2[[#This Row],[Ticket]],Okey!A:B,2,0),"")</f>
        <v>ok</v>
      </c>
      <c r="I354" s="6" t="s">
        <v>3679</v>
      </c>
      <c r="J354" s="6" t="str">
        <f>VLOOKUP(Table2[[#This Row],[Author]],People!A:B,2,0)</f>
        <v>MGF</v>
      </c>
      <c r="K354" s="6"/>
      <c r="L354" s="6"/>
      <c r="M354" s="21" t="s">
        <v>4216</v>
      </c>
    </row>
    <row r="355" spans="1:13" x14ac:dyDescent="0.25">
      <c r="A355" s="23">
        <f t="shared" si="5"/>
        <v>354</v>
      </c>
      <c r="B355" s="7" t="s">
        <v>2330</v>
      </c>
      <c r="C355" s="7" t="s">
        <v>4212</v>
      </c>
      <c r="D355" s="7" t="s">
        <v>4217</v>
      </c>
      <c r="E355" s="7" t="s">
        <v>4218</v>
      </c>
      <c r="F355" s="7" t="s">
        <v>4219</v>
      </c>
      <c r="G355" s="7" t="s">
        <v>18</v>
      </c>
      <c r="H355" s="7" t="str">
        <f>IFERROR(VLOOKUP(Table2[[#This Row],[Ticket]],Okey!A:B,2,0),"")</f>
        <v>ok</v>
      </c>
      <c r="I355" s="7" t="s">
        <v>3679</v>
      </c>
      <c r="J355" s="7" t="str">
        <f>VLOOKUP(Table2[[#This Row],[Author]],People!A:B,2,0)</f>
        <v>MGF</v>
      </c>
      <c r="K355" s="7"/>
      <c r="L355" s="7"/>
      <c r="M355" s="16" t="s">
        <v>4216</v>
      </c>
    </row>
    <row r="356" spans="1:13" x14ac:dyDescent="0.25">
      <c r="A356" s="22">
        <f t="shared" si="5"/>
        <v>355</v>
      </c>
      <c r="B356" s="6" t="s">
        <v>2330</v>
      </c>
      <c r="C356" s="6" t="s">
        <v>4212</v>
      </c>
      <c r="D356" s="6" t="s">
        <v>4220</v>
      </c>
      <c r="E356" s="6" t="s">
        <v>4221</v>
      </c>
      <c r="F356" s="6" t="s">
        <v>4222</v>
      </c>
      <c r="G356" s="6" t="s">
        <v>18</v>
      </c>
      <c r="H356" s="6" t="str">
        <f>IFERROR(VLOOKUP(Table2[[#This Row],[Ticket]],Okey!A:B,2,0),"")</f>
        <v>ok</v>
      </c>
      <c r="I356" s="6" t="s">
        <v>3679</v>
      </c>
      <c r="J356" s="6" t="str">
        <f>VLOOKUP(Table2[[#This Row],[Author]],People!A:B,2,0)</f>
        <v>MGF</v>
      </c>
      <c r="K356" s="6"/>
      <c r="L356" s="6"/>
      <c r="M356" s="21" t="s">
        <v>4216</v>
      </c>
    </row>
    <row r="357" spans="1:13" x14ac:dyDescent="0.25">
      <c r="A357" s="23">
        <f t="shared" si="5"/>
        <v>356</v>
      </c>
      <c r="B357" s="7" t="s">
        <v>2330</v>
      </c>
      <c r="C357" s="7" t="s">
        <v>4223</v>
      </c>
      <c r="D357" s="7" t="s">
        <v>4224</v>
      </c>
      <c r="E357" s="7" t="s">
        <v>4225</v>
      </c>
      <c r="F357" s="7" t="s">
        <v>4226</v>
      </c>
      <c r="G357" s="7" t="s">
        <v>18</v>
      </c>
      <c r="H357" s="7" t="str">
        <f>IFERROR(VLOOKUP(Table2[[#This Row],[Ticket]],Okey!A:B,2,0),"")</f>
        <v>ok</v>
      </c>
      <c r="I357" s="7" t="s">
        <v>3679</v>
      </c>
      <c r="J357" s="7" t="str">
        <f>VLOOKUP(Table2[[#This Row],[Author]],People!A:B,2,0)</f>
        <v>MGF</v>
      </c>
      <c r="K357" s="7"/>
      <c r="L357" s="7"/>
      <c r="M357" s="16" t="s">
        <v>4216</v>
      </c>
    </row>
    <row r="358" spans="1:13" x14ac:dyDescent="0.25">
      <c r="A358" s="22">
        <f t="shared" si="5"/>
        <v>357</v>
      </c>
      <c r="B358" s="6" t="s">
        <v>2330</v>
      </c>
      <c r="C358" s="6" t="s">
        <v>4227</v>
      </c>
      <c r="D358" s="6" t="s">
        <v>4228</v>
      </c>
      <c r="E358" s="6" t="s">
        <v>4229</v>
      </c>
      <c r="F358" s="6" t="s">
        <v>651</v>
      </c>
      <c r="G358" s="6" t="s">
        <v>18</v>
      </c>
      <c r="H358" s="6" t="str">
        <f>IFERROR(VLOOKUP(Table2[[#This Row],[Ticket]],Okey!A:B,2,0),"")</f>
        <v>ok</v>
      </c>
      <c r="I358" s="6" t="s">
        <v>3679</v>
      </c>
      <c r="J358" s="6" t="str">
        <f>VLOOKUP(Table2[[#This Row],[Author]],People!A:B,2,0)</f>
        <v>MGF</v>
      </c>
      <c r="K358" s="6"/>
      <c r="L358" s="6"/>
      <c r="M358" s="21" t="s">
        <v>4230</v>
      </c>
    </row>
    <row r="359" spans="1:13" x14ac:dyDescent="0.25">
      <c r="A359" s="23">
        <f t="shared" si="5"/>
        <v>358</v>
      </c>
      <c r="B359" s="7" t="s">
        <v>2330</v>
      </c>
      <c r="C359" s="7" t="s">
        <v>4227</v>
      </c>
      <c r="D359" s="7" t="s">
        <v>4231</v>
      </c>
      <c r="E359" s="7" t="s">
        <v>4232</v>
      </c>
      <c r="F359" s="7" t="s">
        <v>29</v>
      </c>
      <c r="G359" s="7" t="s">
        <v>18</v>
      </c>
      <c r="H359" s="7" t="str">
        <f>IFERROR(VLOOKUP(Table2[[#This Row],[Ticket]],Okey!A:B,2,0),"")</f>
        <v>ok</v>
      </c>
      <c r="I359" s="7" t="s">
        <v>3679</v>
      </c>
      <c r="J359" s="7" t="str">
        <f>VLOOKUP(Table2[[#This Row],[Author]],People!A:B,2,0)</f>
        <v>MGF</v>
      </c>
      <c r="K359" s="7"/>
      <c r="L359" s="7"/>
      <c r="M359" s="16" t="s">
        <v>4230</v>
      </c>
    </row>
    <row r="360" spans="1:13" x14ac:dyDescent="0.25">
      <c r="A360" s="22">
        <f t="shared" si="5"/>
        <v>359</v>
      </c>
      <c r="B360" s="6" t="s">
        <v>2330</v>
      </c>
      <c r="C360" s="6" t="s">
        <v>4227</v>
      </c>
      <c r="D360" s="6" t="s">
        <v>4233</v>
      </c>
      <c r="E360" s="6" t="s">
        <v>4234</v>
      </c>
      <c r="F360" s="6" t="s">
        <v>654</v>
      </c>
      <c r="G360" s="6" t="s">
        <v>18</v>
      </c>
      <c r="H360" s="6" t="str">
        <f>IFERROR(VLOOKUP(Table2[[#This Row],[Ticket]],Okey!A:B,2,0),"")</f>
        <v>ok</v>
      </c>
      <c r="I360" s="6" t="s">
        <v>3679</v>
      </c>
      <c r="J360" s="6" t="str">
        <f>VLOOKUP(Table2[[#This Row],[Author]],People!A:B,2,0)</f>
        <v>MGF</v>
      </c>
      <c r="K360" s="6"/>
      <c r="L360" s="6"/>
      <c r="M360" s="21" t="s">
        <v>4230</v>
      </c>
    </row>
    <row r="361" spans="1:13" x14ac:dyDescent="0.25">
      <c r="A361" s="23">
        <f t="shared" si="5"/>
        <v>360</v>
      </c>
      <c r="B361" s="7" t="s">
        <v>2330</v>
      </c>
      <c r="C361" s="7" t="s">
        <v>4227</v>
      </c>
      <c r="D361" s="7" t="s">
        <v>4235</v>
      </c>
      <c r="E361" s="7" t="s">
        <v>4236</v>
      </c>
      <c r="F361" s="7" t="s">
        <v>4237</v>
      </c>
      <c r="G361" s="7" t="s">
        <v>18</v>
      </c>
      <c r="H361" s="7" t="str">
        <f>IFERROR(VLOOKUP(Table2[[#This Row],[Ticket]],Okey!A:B,2,0),"")</f>
        <v>ok</v>
      </c>
      <c r="I361" s="7" t="s">
        <v>3679</v>
      </c>
      <c r="J361" s="7" t="str">
        <f>VLOOKUP(Table2[[#This Row],[Author]],People!A:B,2,0)</f>
        <v>MGF</v>
      </c>
      <c r="K361" s="7"/>
      <c r="L361" s="7"/>
      <c r="M361" s="16" t="s">
        <v>4230</v>
      </c>
    </row>
    <row r="362" spans="1:13" x14ac:dyDescent="0.25">
      <c r="A362" s="22">
        <f t="shared" si="5"/>
        <v>361</v>
      </c>
      <c r="B362" s="6" t="s">
        <v>2330</v>
      </c>
      <c r="C362" s="6" t="s">
        <v>4227</v>
      </c>
      <c r="D362" s="6" t="s">
        <v>4238</v>
      </c>
      <c r="E362" s="6" t="s">
        <v>4239</v>
      </c>
      <c r="F362" s="6" t="s">
        <v>4237</v>
      </c>
      <c r="G362" s="6" t="s">
        <v>18</v>
      </c>
      <c r="H362" s="6" t="str">
        <f>IFERROR(VLOOKUP(Table2[[#This Row],[Ticket]],Okey!A:B,2,0),"")</f>
        <v>ok</v>
      </c>
      <c r="I362" s="6" t="s">
        <v>3679</v>
      </c>
      <c r="J362" s="6" t="str">
        <f>VLOOKUP(Table2[[#This Row],[Author]],People!A:B,2,0)</f>
        <v>MGF</v>
      </c>
      <c r="K362" s="6"/>
      <c r="L362" s="6"/>
      <c r="M362" s="21" t="s">
        <v>4230</v>
      </c>
    </row>
    <row r="363" spans="1:13" x14ac:dyDescent="0.25">
      <c r="A363" s="23">
        <f t="shared" si="5"/>
        <v>362</v>
      </c>
      <c r="B363" s="7" t="s">
        <v>2330</v>
      </c>
      <c r="C363" s="7" t="s">
        <v>4240</v>
      </c>
      <c r="D363" s="7" t="s">
        <v>4241</v>
      </c>
      <c r="E363" s="7" t="s">
        <v>4242</v>
      </c>
      <c r="F363" s="7" t="s">
        <v>4243</v>
      </c>
      <c r="G363" s="7" t="s">
        <v>18</v>
      </c>
      <c r="H363" s="7" t="str">
        <f>IFERROR(VLOOKUP(Table2[[#This Row],[Ticket]],Okey!A:B,2,0),"")</f>
        <v>ok</v>
      </c>
      <c r="I363" s="7" t="s">
        <v>3679</v>
      </c>
      <c r="J363" s="7" t="str">
        <f>VLOOKUP(Table2[[#This Row],[Author]],People!A:B,2,0)</f>
        <v>MGF</v>
      </c>
      <c r="K363" s="7"/>
      <c r="L363" s="7"/>
      <c r="M363" s="16" t="s">
        <v>3967</v>
      </c>
    </row>
    <row r="364" spans="1:13" x14ac:dyDescent="0.25">
      <c r="A364" s="22">
        <f t="shared" si="5"/>
        <v>363</v>
      </c>
      <c r="B364" s="6" t="s">
        <v>2330</v>
      </c>
      <c r="C364" s="6" t="s">
        <v>4240</v>
      </c>
      <c r="D364" s="6" t="s">
        <v>4244</v>
      </c>
      <c r="E364" s="6" t="s">
        <v>4245</v>
      </c>
      <c r="F364" s="6" t="s">
        <v>4246</v>
      </c>
      <c r="G364" s="6" t="s">
        <v>496</v>
      </c>
      <c r="H364" s="6" t="str">
        <f>IFERROR(VLOOKUP(Table2[[#This Row],[Ticket]],Okey!A:B,2,0),"")</f>
        <v>ok</v>
      </c>
      <c r="I364" s="6" t="s">
        <v>3679</v>
      </c>
      <c r="J364" s="6" t="str">
        <f>VLOOKUP(Table2[[#This Row],[Author]],People!A:B,2,0)</f>
        <v>MGF</v>
      </c>
      <c r="K364" s="6"/>
      <c r="L364" s="6"/>
      <c r="M364" s="21" t="s">
        <v>3967</v>
      </c>
    </row>
    <row r="365" spans="1:13" x14ac:dyDescent="0.25">
      <c r="A365" s="23">
        <f t="shared" si="5"/>
        <v>364</v>
      </c>
      <c r="B365" s="7" t="s">
        <v>2330</v>
      </c>
      <c r="C365" s="7" t="s">
        <v>4240</v>
      </c>
      <c r="D365" s="7" t="s">
        <v>4247</v>
      </c>
      <c r="E365" s="7" t="s">
        <v>4248</v>
      </c>
      <c r="F365" s="7" t="s">
        <v>4249</v>
      </c>
      <c r="G365" s="7" t="s">
        <v>18</v>
      </c>
      <c r="H365" s="7" t="str">
        <f>IFERROR(VLOOKUP(Table2[[#This Row],[Ticket]],Okey!A:B,2,0),"")</f>
        <v>ok</v>
      </c>
      <c r="I365" s="7" t="s">
        <v>3679</v>
      </c>
      <c r="J365" s="7" t="str">
        <f>VLOOKUP(Table2[[#This Row],[Author]],People!A:B,2,0)</f>
        <v>MGF</v>
      </c>
      <c r="K365" s="7"/>
      <c r="L365" s="7"/>
      <c r="M365" s="16" t="s">
        <v>3967</v>
      </c>
    </row>
    <row r="366" spans="1:13" x14ac:dyDescent="0.25">
      <c r="A366" s="22">
        <f t="shared" si="5"/>
        <v>365</v>
      </c>
      <c r="B366" s="6" t="s">
        <v>2330</v>
      </c>
      <c r="C366" s="6" t="s">
        <v>4240</v>
      </c>
      <c r="D366" s="6" t="s">
        <v>4250</v>
      </c>
      <c r="E366" s="6" t="s">
        <v>4251</v>
      </c>
      <c r="F366" s="6" t="s">
        <v>4252</v>
      </c>
      <c r="G366" s="6" t="s">
        <v>18</v>
      </c>
      <c r="H366" s="6" t="str">
        <f>IFERROR(VLOOKUP(Table2[[#This Row],[Ticket]],Okey!A:B,2,0),"")</f>
        <v>ok</v>
      </c>
      <c r="I366" s="6" t="s">
        <v>3679</v>
      </c>
      <c r="J366" s="6" t="str">
        <f>VLOOKUP(Table2[[#This Row],[Author]],People!A:B,2,0)</f>
        <v>MGF</v>
      </c>
      <c r="K366" s="6"/>
      <c r="L366" s="6"/>
      <c r="M366" s="21" t="s">
        <v>3967</v>
      </c>
    </row>
    <row r="367" spans="1:13" x14ac:dyDescent="0.25">
      <c r="A367" s="23">
        <f t="shared" si="5"/>
        <v>366</v>
      </c>
      <c r="B367" s="7" t="s">
        <v>2330</v>
      </c>
      <c r="C367" s="7" t="s">
        <v>4253</v>
      </c>
      <c r="D367" s="7" t="s">
        <v>4254</v>
      </c>
      <c r="E367" s="7" t="s">
        <v>4255</v>
      </c>
      <c r="F367" s="7" t="s">
        <v>4219</v>
      </c>
      <c r="G367" s="7" t="s">
        <v>18</v>
      </c>
      <c r="H367" s="7" t="str">
        <f>IFERROR(VLOOKUP(Table2[[#This Row],[Ticket]],Okey!A:B,2,0),"")</f>
        <v>ok</v>
      </c>
      <c r="I367" s="7" t="s">
        <v>3679</v>
      </c>
      <c r="J367" s="7" t="str">
        <f>VLOOKUP(Table2[[#This Row],[Author]],People!A:B,2,0)</f>
        <v>MGF</v>
      </c>
      <c r="K367" s="7"/>
      <c r="L367" s="7"/>
      <c r="M367" s="16" t="s">
        <v>4256</v>
      </c>
    </row>
    <row r="368" spans="1:13" x14ac:dyDescent="0.25">
      <c r="A368" s="22">
        <f t="shared" si="5"/>
        <v>367</v>
      </c>
      <c r="B368" s="6" t="s">
        <v>2330</v>
      </c>
      <c r="C368" s="6" t="s">
        <v>4253</v>
      </c>
      <c r="D368" s="6" t="s">
        <v>4257</v>
      </c>
      <c r="E368" s="6" t="s">
        <v>4258</v>
      </c>
      <c r="F368" s="6" t="s">
        <v>4259</v>
      </c>
      <c r="G368" s="6" t="s">
        <v>18</v>
      </c>
      <c r="H368" s="6" t="str">
        <f>IFERROR(VLOOKUP(Table2[[#This Row],[Ticket]],Okey!A:B,2,0),"")</f>
        <v>ok</v>
      </c>
      <c r="I368" s="6" t="s">
        <v>3679</v>
      </c>
      <c r="J368" s="6" t="str">
        <f>VLOOKUP(Table2[[#This Row],[Author]],People!A:B,2,0)</f>
        <v>MGF</v>
      </c>
      <c r="K368" s="6"/>
      <c r="L368" s="6"/>
      <c r="M368" s="21" t="s">
        <v>4256</v>
      </c>
    </row>
    <row r="369" spans="1:13" x14ac:dyDescent="0.25">
      <c r="A369" s="23">
        <f t="shared" si="5"/>
        <v>368</v>
      </c>
      <c r="B369" s="7" t="s">
        <v>2330</v>
      </c>
      <c r="C369" s="7" t="s">
        <v>4260</v>
      </c>
      <c r="D369" s="7" t="s">
        <v>4261</v>
      </c>
      <c r="E369" s="7"/>
      <c r="F369" s="7" t="s">
        <v>4262</v>
      </c>
      <c r="G369" s="7" t="s">
        <v>24</v>
      </c>
      <c r="H369" s="7" t="str">
        <f>IFERROR(VLOOKUP(Table2[[#This Row],[Ticket]],Okey!A:B,2,0),"")</f>
        <v>ok</v>
      </c>
      <c r="I369" s="7" t="s">
        <v>3679</v>
      </c>
      <c r="J369" s="7" t="str">
        <f>VLOOKUP(Table2[[#This Row],[Author]],People!A:B,2,0)</f>
        <v>MGF</v>
      </c>
      <c r="K369" s="7"/>
      <c r="L369" s="7"/>
      <c r="M369" s="16" t="s">
        <v>2329</v>
      </c>
    </row>
    <row r="370" spans="1:13" x14ac:dyDescent="0.25">
      <c r="A370" s="22">
        <f t="shared" si="5"/>
        <v>369</v>
      </c>
      <c r="B370" s="6" t="s">
        <v>2330</v>
      </c>
      <c r="C370" s="6" t="s">
        <v>4260</v>
      </c>
      <c r="D370" s="6" t="s">
        <v>4263</v>
      </c>
      <c r="E370" s="6" t="s">
        <v>4264</v>
      </c>
      <c r="F370" s="6" t="s">
        <v>4262</v>
      </c>
      <c r="G370" s="6" t="s">
        <v>496</v>
      </c>
      <c r="H370" s="6" t="str">
        <f>IFERROR(VLOOKUP(Table2[[#This Row],[Ticket]],Okey!A:B,2,0),"")</f>
        <v>ok</v>
      </c>
      <c r="I370" s="6" t="s">
        <v>3679</v>
      </c>
      <c r="J370" s="6" t="str">
        <f>VLOOKUP(Table2[[#This Row],[Author]],People!A:B,2,0)</f>
        <v>MGF</v>
      </c>
      <c r="K370" s="6"/>
      <c r="L370" s="6"/>
      <c r="M370" s="21" t="s">
        <v>2329</v>
      </c>
    </row>
    <row r="371" spans="1:13" x14ac:dyDescent="0.25">
      <c r="A371" s="23">
        <f t="shared" si="5"/>
        <v>370</v>
      </c>
      <c r="B371" s="7" t="s">
        <v>2330</v>
      </c>
      <c r="C371" s="7" t="s">
        <v>4260</v>
      </c>
      <c r="D371" s="7" t="s">
        <v>4265</v>
      </c>
      <c r="E371" s="7"/>
      <c r="F371" s="7" t="s">
        <v>4261</v>
      </c>
      <c r="G371" s="7" t="s">
        <v>24</v>
      </c>
      <c r="H371" s="7" t="str">
        <f>IFERROR(VLOOKUP(Table2[[#This Row],[Ticket]],Okey!A:B,2,0),"")</f>
        <v>ok</v>
      </c>
      <c r="I371" s="7" t="s">
        <v>3679</v>
      </c>
      <c r="J371" s="7" t="str">
        <f>VLOOKUP(Table2[[#This Row],[Author]],People!A:B,2,0)</f>
        <v>MGF</v>
      </c>
      <c r="K371" s="7"/>
      <c r="L371" s="7"/>
      <c r="M371" s="16" t="s">
        <v>2329</v>
      </c>
    </row>
    <row r="372" spans="1:13" x14ac:dyDescent="0.25">
      <c r="A372" s="22">
        <f t="shared" si="5"/>
        <v>371</v>
      </c>
      <c r="B372" s="6" t="s">
        <v>2330</v>
      </c>
      <c r="C372" s="6" t="s">
        <v>4260</v>
      </c>
      <c r="D372" s="6" t="s">
        <v>4266</v>
      </c>
      <c r="E372" s="6"/>
      <c r="F372" s="6" t="s">
        <v>4262</v>
      </c>
      <c r="G372" s="6" t="s">
        <v>24</v>
      </c>
      <c r="H372" s="6" t="str">
        <f>IFERROR(VLOOKUP(Table2[[#This Row],[Ticket]],Okey!A:B,2,0),"")</f>
        <v>ok</v>
      </c>
      <c r="I372" s="6" t="s">
        <v>3679</v>
      </c>
      <c r="J372" s="6" t="str">
        <f>VLOOKUP(Table2[[#This Row],[Author]],People!A:B,2,0)</f>
        <v>MGF</v>
      </c>
      <c r="K372" s="6"/>
      <c r="L372" s="6"/>
      <c r="M372" s="21" t="s">
        <v>2329</v>
      </c>
    </row>
    <row r="373" spans="1:13" x14ac:dyDescent="0.25">
      <c r="A373" s="23">
        <f t="shared" si="5"/>
        <v>372</v>
      </c>
      <c r="B373" s="7" t="s">
        <v>2330</v>
      </c>
      <c r="C373" s="7" t="s">
        <v>4260</v>
      </c>
      <c r="D373" s="7" t="s">
        <v>4267</v>
      </c>
      <c r="E373" s="7" t="s">
        <v>4268</v>
      </c>
      <c r="F373" s="7" t="s">
        <v>4266</v>
      </c>
      <c r="G373" s="7" t="s">
        <v>18</v>
      </c>
      <c r="H373" s="7" t="str">
        <f>IFERROR(VLOOKUP(Table2[[#This Row],[Ticket]],Okey!A:B,2,0),"")</f>
        <v>ok</v>
      </c>
      <c r="I373" s="7" t="s">
        <v>3679</v>
      </c>
      <c r="J373" s="7" t="str">
        <f>VLOOKUP(Table2[[#This Row],[Author]],People!A:B,2,0)</f>
        <v>MGF</v>
      </c>
      <c r="K373" s="7"/>
      <c r="L373" s="7"/>
      <c r="M373" s="16" t="s">
        <v>2329</v>
      </c>
    </row>
    <row r="374" spans="1:13" x14ac:dyDescent="0.25">
      <c r="A374" s="22">
        <f t="shared" si="5"/>
        <v>373</v>
      </c>
      <c r="B374" s="6" t="s">
        <v>2330</v>
      </c>
      <c r="C374" s="6" t="s">
        <v>4260</v>
      </c>
      <c r="D374" s="6" t="s">
        <v>4269</v>
      </c>
      <c r="E374" s="6" t="s">
        <v>4270</v>
      </c>
      <c r="F374" s="6" t="s">
        <v>4266</v>
      </c>
      <c r="G374" s="6" t="s">
        <v>18</v>
      </c>
      <c r="H374" s="6" t="str">
        <f>IFERROR(VLOOKUP(Table2[[#This Row],[Ticket]],Okey!A:B,2,0),"")</f>
        <v>ok</v>
      </c>
      <c r="I374" s="6" t="s">
        <v>3679</v>
      </c>
      <c r="J374" s="6" t="str">
        <f>VLOOKUP(Table2[[#This Row],[Author]],People!A:B,2,0)</f>
        <v>MGF</v>
      </c>
      <c r="K374" s="6"/>
      <c r="L374" s="6"/>
      <c r="M374" s="21" t="s">
        <v>2329</v>
      </c>
    </row>
    <row r="375" spans="1:13" x14ac:dyDescent="0.25">
      <c r="A375" s="23">
        <f t="shared" si="5"/>
        <v>374</v>
      </c>
      <c r="B375" s="7" t="s">
        <v>2330</v>
      </c>
      <c r="C375" s="7" t="s">
        <v>4260</v>
      </c>
      <c r="D375" s="7" t="s">
        <v>4271</v>
      </c>
      <c r="E375" s="7" t="s">
        <v>4272</v>
      </c>
      <c r="F375" s="7" t="s">
        <v>4262</v>
      </c>
      <c r="G375" s="7" t="s">
        <v>496</v>
      </c>
      <c r="H375" s="7" t="str">
        <f>IFERROR(VLOOKUP(Table2[[#This Row],[Ticket]],Okey!A:B,2,0),"")</f>
        <v>ok</v>
      </c>
      <c r="I375" s="7" t="s">
        <v>3679</v>
      </c>
      <c r="J375" s="7" t="e">
        <f>VLOOKUP(Table2[[#This Row],[Author]],People!A:B,2,0)</f>
        <v>#N/A</v>
      </c>
      <c r="K375" s="7"/>
      <c r="L375" s="7"/>
      <c r="M375" s="16" t="s">
        <v>2329</v>
      </c>
    </row>
    <row r="376" spans="1:13" x14ac:dyDescent="0.25">
      <c r="A376" s="22">
        <f t="shared" si="5"/>
        <v>375</v>
      </c>
      <c r="B376" s="6" t="s">
        <v>2330</v>
      </c>
      <c r="C376" s="6" t="s">
        <v>4260</v>
      </c>
      <c r="D376" s="6" t="s">
        <v>4273</v>
      </c>
      <c r="E376" s="6" t="s">
        <v>4274</v>
      </c>
      <c r="F376" s="6" t="s">
        <v>4271</v>
      </c>
      <c r="G376" s="6" t="s">
        <v>18</v>
      </c>
      <c r="H376" s="6" t="str">
        <f>IFERROR(VLOOKUP(Table2[[#This Row],[Ticket]],Okey!A:B,2,0),"")</f>
        <v>ok</v>
      </c>
      <c r="I376" s="6" t="s">
        <v>3679</v>
      </c>
      <c r="J376" s="6" t="str">
        <f>VLOOKUP(Table2[[#This Row],[Author]],People!A:B,2,0)</f>
        <v>HC</v>
      </c>
      <c r="K376" s="6"/>
      <c r="L376" s="6"/>
      <c r="M376" s="21" t="s">
        <v>2329</v>
      </c>
    </row>
    <row r="377" spans="1:13" x14ac:dyDescent="0.25">
      <c r="A377" s="23">
        <f t="shared" si="5"/>
        <v>376</v>
      </c>
      <c r="B377" s="7" t="s">
        <v>2330</v>
      </c>
      <c r="C377" s="7" t="s">
        <v>4260</v>
      </c>
      <c r="D377" s="7" t="s">
        <v>4275</v>
      </c>
      <c r="E377" s="7" t="s">
        <v>4276</v>
      </c>
      <c r="F377" s="7" t="s">
        <v>4271</v>
      </c>
      <c r="G377" s="7" t="s">
        <v>18</v>
      </c>
      <c r="H377" s="7" t="str">
        <f>IFERROR(VLOOKUP(Table2[[#This Row],[Ticket]],Okey!A:B,2,0),"")</f>
        <v>ok</v>
      </c>
      <c r="I377" s="7" t="s">
        <v>3679</v>
      </c>
      <c r="J377" s="7" t="str">
        <f>VLOOKUP(Table2[[#This Row],[Author]],People!A:B,2,0)</f>
        <v>HC</v>
      </c>
      <c r="K377" s="7"/>
      <c r="L377" s="7"/>
      <c r="M377" s="16" t="s">
        <v>2329</v>
      </c>
    </row>
    <row r="378" spans="1:13" x14ac:dyDescent="0.25">
      <c r="A378" s="22">
        <f t="shared" si="5"/>
        <v>377</v>
      </c>
      <c r="B378" s="6" t="s">
        <v>2330</v>
      </c>
      <c r="C378" s="6" t="s">
        <v>4260</v>
      </c>
      <c r="D378" s="6" t="s">
        <v>4277</v>
      </c>
      <c r="E378" s="6" t="s">
        <v>4278</v>
      </c>
      <c r="F378" s="6" t="s">
        <v>4275</v>
      </c>
      <c r="G378" s="6" t="s">
        <v>18</v>
      </c>
      <c r="H378" s="6" t="str">
        <f>IFERROR(VLOOKUP(Table2[[#This Row],[Ticket]],Okey!A:B,2,0),"")</f>
        <v>ok</v>
      </c>
      <c r="I378" s="6" t="s">
        <v>3679</v>
      </c>
      <c r="J378" s="6" t="str">
        <f>VLOOKUP(Table2[[#This Row],[Author]],People!A:B,2,0)</f>
        <v>HC</v>
      </c>
      <c r="K378" s="6"/>
      <c r="L378" s="6"/>
      <c r="M378" s="21" t="s">
        <v>2329</v>
      </c>
    </row>
    <row r="379" spans="1:13" x14ac:dyDescent="0.25">
      <c r="A379" s="23">
        <f t="shared" si="5"/>
        <v>378</v>
      </c>
      <c r="B379" s="7" t="s">
        <v>2330</v>
      </c>
      <c r="C379" s="7" t="s">
        <v>4260</v>
      </c>
      <c r="D379" s="7" t="s">
        <v>4279</v>
      </c>
      <c r="E379" s="7" t="s">
        <v>4280</v>
      </c>
      <c r="F379" s="7" t="s">
        <v>4275</v>
      </c>
      <c r="G379" s="7" t="s">
        <v>18</v>
      </c>
      <c r="H379" s="7" t="str">
        <f>IFERROR(VLOOKUP(Table2[[#This Row],[Ticket]],Okey!A:B,2,0),"")</f>
        <v>ok</v>
      </c>
      <c r="I379" s="7" t="s">
        <v>3679</v>
      </c>
      <c r="J379" s="7" t="str">
        <f>VLOOKUP(Table2[[#This Row],[Author]],People!A:B,2,0)</f>
        <v>HC</v>
      </c>
      <c r="K379" s="7"/>
      <c r="L379" s="7"/>
      <c r="M379" s="16" t="s">
        <v>2329</v>
      </c>
    </row>
    <row r="380" spans="1:13" x14ac:dyDescent="0.25">
      <c r="A380" s="22">
        <f t="shared" si="5"/>
        <v>379</v>
      </c>
      <c r="B380" s="6" t="s">
        <v>2330</v>
      </c>
      <c r="C380" s="6" t="s">
        <v>4260</v>
      </c>
      <c r="D380" s="6" t="s">
        <v>4281</v>
      </c>
      <c r="E380" s="6" t="s">
        <v>4282</v>
      </c>
      <c r="F380" s="6" t="s">
        <v>4271</v>
      </c>
      <c r="G380" s="6" t="s">
        <v>18</v>
      </c>
      <c r="H380" s="6" t="str">
        <f>IFERROR(VLOOKUP(Table2[[#This Row],[Ticket]],Okey!A:B,2,0),"")</f>
        <v>ok</v>
      </c>
      <c r="I380" s="6" t="s">
        <v>3679</v>
      </c>
      <c r="J380" s="6" t="str">
        <f>VLOOKUP(Table2[[#This Row],[Author]],People!A:B,2,0)</f>
        <v>HC</v>
      </c>
      <c r="K380" s="6"/>
      <c r="L380" s="6"/>
      <c r="M380" s="21" t="s">
        <v>2329</v>
      </c>
    </row>
    <row r="381" spans="1:13" x14ac:dyDescent="0.25">
      <c r="A381" s="23">
        <f t="shared" si="5"/>
        <v>380</v>
      </c>
      <c r="B381" s="7" t="s">
        <v>2330</v>
      </c>
      <c r="C381" s="7" t="s">
        <v>4260</v>
      </c>
      <c r="D381" s="7" t="s">
        <v>4283</v>
      </c>
      <c r="E381" s="7" t="s">
        <v>4284</v>
      </c>
      <c r="F381" s="7" t="s">
        <v>4261</v>
      </c>
      <c r="G381" s="7" t="s">
        <v>496</v>
      </c>
      <c r="H381" s="7" t="str">
        <f>IFERROR(VLOOKUP(Table2[[#This Row],[Ticket]],Okey!A:B,2,0),"")</f>
        <v>ok</v>
      </c>
      <c r="I381" s="7" t="s">
        <v>3679</v>
      </c>
      <c r="J381" s="7" t="str">
        <f>VLOOKUP(Table2[[#This Row],[Author]],People!A:B,2,0)</f>
        <v>HC</v>
      </c>
      <c r="K381" s="7"/>
      <c r="L381" s="7"/>
      <c r="M381" s="16" t="s">
        <v>2329</v>
      </c>
    </row>
    <row r="382" spans="1:13" x14ac:dyDescent="0.25">
      <c r="A382" s="22">
        <f t="shared" si="5"/>
        <v>381</v>
      </c>
      <c r="B382" s="6" t="s">
        <v>2330</v>
      </c>
      <c r="C382" s="6" t="s">
        <v>4260</v>
      </c>
      <c r="D382" s="6" t="s">
        <v>4285</v>
      </c>
      <c r="E382" s="6" t="s">
        <v>4286</v>
      </c>
      <c r="F382" s="6" t="s">
        <v>4283</v>
      </c>
      <c r="G382" s="6" t="s">
        <v>18</v>
      </c>
      <c r="H382" s="6" t="str">
        <f>IFERROR(VLOOKUP(Table2[[#This Row],[Ticket]],Okey!A:B,2,0),"")</f>
        <v>ok</v>
      </c>
      <c r="I382" s="6" t="s">
        <v>3679</v>
      </c>
      <c r="J382" s="6" t="str">
        <f>VLOOKUP(Table2[[#This Row],[Author]],People!A:B,2,0)</f>
        <v>HC</v>
      </c>
      <c r="K382" s="6"/>
      <c r="L382" s="6"/>
      <c r="M382" s="21" t="s">
        <v>2329</v>
      </c>
    </row>
    <row r="383" spans="1:13" x14ac:dyDescent="0.25">
      <c r="A383" s="23">
        <f t="shared" si="5"/>
        <v>382</v>
      </c>
      <c r="B383" s="7" t="s">
        <v>2330</v>
      </c>
      <c r="C383" s="7" t="s">
        <v>4260</v>
      </c>
      <c r="D383" s="7" t="s">
        <v>4287</v>
      </c>
      <c r="E383" s="7" t="s">
        <v>4288</v>
      </c>
      <c r="F383" s="7" t="s">
        <v>4283</v>
      </c>
      <c r="G383" s="7" t="s">
        <v>18</v>
      </c>
      <c r="H383" s="7" t="str">
        <f>IFERROR(VLOOKUP(Table2[[#This Row],[Ticket]],Okey!A:B,2,0),"")</f>
        <v>ok</v>
      </c>
      <c r="I383" s="7" t="s">
        <v>3679</v>
      </c>
      <c r="J383" s="7" t="str">
        <f>VLOOKUP(Table2[[#This Row],[Author]],People!A:B,2,0)</f>
        <v>HC</v>
      </c>
      <c r="K383" s="7"/>
      <c r="L383" s="7"/>
      <c r="M383" s="16" t="s">
        <v>2329</v>
      </c>
    </row>
    <row r="384" spans="1:13" x14ac:dyDescent="0.25">
      <c r="A384" s="22">
        <f t="shared" si="5"/>
        <v>383</v>
      </c>
      <c r="B384" s="6" t="s">
        <v>2330</v>
      </c>
      <c r="C384" s="6" t="s">
        <v>4260</v>
      </c>
      <c r="D384" s="6" t="s">
        <v>4289</v>
      </c>
      <c r="E384" s="6" t="s">
        <v>4290</v>
      </c>
      <c r="F384" s="6" t="s">
        <v>4283</v>
      </c>
      <c r="G384" s="6" t="s">
        <v>18</v>
      </c>
      <c r="H384" s="6" t="str">
        <f>IFERROR(VLOOKUP(Table2[[#This Row],[Ticket]],Okey!A:B,2,0),"")</f>
        <v>ok</v>
      </c>
      <c r="I384" s="6" t="s">
        <v>3679</v>
      </c>
      <c r="J384" s="6" t="str">
        <f>VLOOKUP(Table2[[#This Row],[Author]],People!A:B,2,0)</f>
        <v>HC</v>
      </c>
      <c r="K384" s="6"/>
      <c r="L384" s="6"/>
      <c r="M384" s="21" t="s">
        <v>2329</v>
      </c>
    </row>
    <row r="385" spans="1:13" x14ac:dyDescent="0.25">
      <c r="A385" s="23">
        <f t="shared" si="5"/>
        <v>384</v>
      </c>
      <c r="B385" s="7" t="s">
        <v>2330</v>
      </c>
      <c r="C385" s="7" t="s">
        <v>4260</v>
      </c>
      <c r="D385" s="7" t="s">
        <v>4291</v>
      </c>
      <c r="E385" s="7" t="s">
        <v>4292</v>
      </c>
      <c r="F385" s="7" t="s">
        <v>4283</v>
      </c>
      <c r="G385" s="7" t="s">
        <v>18</v>
      </c>
      <c r="H385" s="7" t="str">
        <f>IFERROR(VLOOKUP(Table2[[#This Row],[Ticket]],Okey!A:B,2,0),"")</f>
        <v>ok</v>
      </c>
      <c r="I385" s="7" t="s">
        <v>3679</v>
      </c>
      <c r="J385" s="7" t="str">
        <f>VLOOKUP(Table2[[#This Row],[Author]],People!A:B,2,0)</f>
        <v>HC</v>
      </c>
      <c r="K385" s="7"/>
      <c r="L385" s="7"/>
      <c r="M385" s="16" t="s">
        <v>2329</v>
      </c>
    </row>
    <row r="386" spans="1:13" x14ac:dyDescent="0.25">
      <c r="A386" s="22">
        <f t="shared" si="5"/>
        <v>385</v>
      </c>
      <c r="B386" s="6" t="s">
        <v>2330</v>
      </c>
      <c r="C386" s="6" t="s">
        <v>4260</v>
      </c>
      <c r="D386" s="6" t="s">
        <v>4293</v>
      </c>
      <c r="E386" s="6" t="s">
        <v>4294</v>
      </c>
      <c r="F386" s="6" t="s">
        <v>4291</v>
      </c>
      <c r="G386" s="6" t="s">
        <v>18</v>
      </c>
      <c r="H386" s="6" t="str">
        <f>IFERROR(VLOOKUP(Table2[[#This Row],[Ticket]],Okey!A:B,2,0),"")</f>
        <v>ok</v>
      </c>
      <c r="I386" s="6" t="s">
        <v>3679</v>
      </c>
      <c r="J386" s="6" t="str">
        <f>VLOOKUP(Table2[[#This Row],[Author]],People!A:B,2,0)</f>
        <v>HC</v>
      </c>
      <c r="K386" s="6"/>
      <c r="L386" s="6"/>
      <c r="M386" s="21" t="s">
        <v>2329</v>
      </c>
    </row>
    <row r="387" spans="1:13" x14ac:dyDescent="0.25">
      <c r="A387" s="23">
        <f t="shared" ref="A387:A450" si="6">1+A386</f>
        <v>386</v>
      </c>
      <c r="B387" s="7" t="s">
        <v>2330</v>
      </c>
      <c r="C387" s="7" t="s">
        <v>4260</v>
      </c>
      <c r="D387" s="7" t="s">
        <v>4295</v>
      </c>
      <c r="E387" s="7" t="s">
        <v>4296</v>
      </c>
      <c r="F387" s="7" t="s">
        <v>4291</v>
      </c>
      <c r="G387" s="7" t="s">
        <v>18</v>
      </c>
      <c r="H387" s="7" t="str">
        <f>IFERROR(VLOOKUP(Table2[[#This Row],[Ticket]],Okey!A:B,2,0),"")</f>
        <v>ok</v>
      </c>
      <c r="I387" s="7" t="s">
        <v>3679</v>
      </c>
      <c r="J387" s="7" t="str">
        <f>VLOOKUP(Table2[[#This Row],[Author]],People!A:B,2,0)</f>
        <v>HC</v>
      </c>
      <c r="K387" s="7"/>
      <c r="L387" s="7"/>
      <c r="M387" s="16" t="s">
        <v>2329</v>
      </c>
    </row>
    <row r="388" spans="1:13" x14ac:dyDescent="0.25">
      <c r="A388" s="22">
        <f t="shared" si="6"/>
        <v>387</v>
      </c>
      <c r="B388" s="6" t="s">
        <v>2330</v>
      </c>
      <c r="C388" s="6" t="s">
        <v>4260</v>
      </c>
      <c r="D388" s="6" t="s">
        <v>4297</v>
      </c>
      <c r="E388" s="6" t="s">
        <v>4298</v>
      </c>
      <c r="F388" s="6" t="s">
        <v>4291</v>
      </c>
      <c r="G388" s="6" t="s">
        <v>18</v>
      </c>
      <c r="H388" s="6" t="str">
        <f>IFERROR(VLOOKUP(Table2[[#This Row],[Ticket]],Okey!A:B,2,0),"")</f>
        <v>ok</v>
      </c>
      <c r="I388" s="6" t="s">
        <v>3679</v>
      </c>
      <c r="J388" s="6" t="str">
        <f>VLOOKUP(Table2[[#This Row],[Author]],People!A:B,2,0)</f>
        <v>HC</v>
      </c>
      <c r="K388" s="6"/>
      <c r="L388" s="6"/>
      <c r="M388" s="21" t="s">
        <v>2329</v>
      </c>
    </row>
    <row r="389" spans="1:13" x14ac:dyDescent="0.25">
      <c r="A389" s="23">
        <f t="shared" si="6"/>
        <v>388</v>
      </c>
      <c r="B389" s="7" t="s">
        <v>2330</v>
      </c>
      <c r="C389" s="7" t="s">
        <v>4260</v>
      </c>
      <c r="D389" s="7" t="s">
        <v>4299</v>
      </c>
      <c r="E389" s="7" t="s">
        <v>4300</v>
      </c>
      <c r="F389" s="7" t="s">
        <v>4291</v>
      </c>
      <c r="G389" s="7" t="s">
        <v>18</v>
      </c>
      <c r="H389" s="7" t="str">
        <f>IFERROR(VLOOKUP(Table2[[#This Row],[Ticket]],Okey!A:B,2,0),"")</f>
        <v>ok</v>
      </c>
      <c r="I389" s="7" t="s">
        <v>3679</v>
      </c>
      <c r="J389" s="7" t="str">
        <f>VLOOKUP(Table2[[#This Row],[Author]],People!A:B,2,0)</f>
        <v>HC</v>
      </c>
      <c r="K389" s="7"/>
      <c r="L389" s="7"/>
      <c r="M389" s="16" t="s">
        <v>2329</v>
      </c>
    </row>
    <row r="390" spans="1:13" x14ac:dyDescent="0.25">
      <c r="A390" s="22">
        <f t="shared" si="6"/>
        <v>389</v>
      </c>
      <c r="B390" s="6" t="s">
        <v>2330</v>
      </c>
      <c r="C390" s="6" t="s">
        <v>4260</v>
      </c>
      <c r="D390" s="6" t="s">
        <v>4301</v>
      </c>
      <c r="E390" s="6" t="s">
        <v>4302</v>
      </c>
      <c r="F390" s="6" t="s">
        <v>4291</v>
      </c>
      <c r="G390" s="6" t="s">
        <v>18</v>
      </c>
      <c r="H390" s="6" t="str">
        <f>IFERROR(VLOOKUP(Table2[[#This Row],[Ticket]],Okey!A:B,2,0),"")</f>
        <v>ok</v>
      </c>
      <c r="I390" s="6" t="s">
        <v>3679</v>
      </c>
      <c r="J390" s="6" t="str">
        <f>VLOOKUP(Table2[[#This Row],[Author]],People!A:B,2,0)</f>
        <v>HC</v>
      </c>
      <c r="K390" s="6"/>
      <c r="L390" s="6"/>
      <c r="M390" s="21" t="s">
        <v>2329</v>
      </c>
    </row>
    <row r="391" spans="1:13" x14ac:dyDescent="0.25">
      <c r="A391" s="23">
        <f t="shared" si="6"/>
        <v>390</v>
      </c>
      <c r="B391" s="7" t="s">
        <v>2330</v>
      </c>
      <c r="C391" s="7" t="s">
        <v>4260</v>
      </c>
      <c r="D391" s="7" t="s">
        <v>4303</v>
      </c>
      <c r="E391" s="7" t="s">
        <v>4304</v>
      </c>
      <c r="F391" s="7" t="s">
        <v>4263</v>
      </c>
      <c r="G391" s="7" t="s">
        <v>496</v>
      </c>
      <c r="H391" s="7" t="str">
        <f>IFERROR(VLOOKUP(Table2[[#This Row],[Ticket]],Okey!A:B,2,0),"")</f>
        <v>ok</v>
      </c>
      <c r="I391" s="7" t="s">
        <v>3679</v>
      </c>
      <c r="J391" s="7" t="str">
        <f>VLOOKUP(Table2[[#This Row],[Author]],People!A:B,2,0)</f>
        <v>HC</v>
      </c>
      <c r="K391" s="7"/>
      <c r="L391" s="7"/>
      <c r="M391" s="16" t="s">
        <v>2329</v>
      </c>
    </row>
    <row r="392" spans="1:13" x14ac:dyDescent="0.25">
      <c r="A392" s="22">
        <f t="shared" si="6"/>
        <v>391</v>
      </c>
      <c r="B392" s="6" t="s">
        <v>2330</v>
      </c>
      <c r="C392" s="6" t="s">
        <v>4260</v>
      </c>
      <c r="D392" s="6" t="s">
        <v>4305</v>
      </c>
      <c r="E392" s="6" t="s">
        <v>4306</v>
      </c>
      <c r="F392" s="6" t="s">
        <v>4303</v>
      </c>
      <c r="G392" s="6" t="s">
        <v>18</v>
      </c>
      <c r="H392" s="6" t="str">
        <f>IFERROR(VLOOKUP(Table2[[#This Row],[Ticket]],Okey!A:B,2,0),"")</f>
        <v>ok</v>
      </c>
      <c r="I392" s="6" t="s">
        <v>3679</v>
      </c>
      <c r="J392" s="6" t="str">
        <f>VLOOKUP(Table2[[#This Row],[Author]],People!A:B,2,0)</f>
        <v>HC</v>
      </c>
      <c r="K392" s="6"/>
      <c r="L392" s="6"/>
      <c r="M392" s="21" t="s">
        <v>2329</v>
      </c>
    </row>
    <row r="393" spans="1:13" x14ac:dyDescent="0.25">
      <c r="A393" s="23">
        <f t="shared" si="6"/>
        <v>392</v>
      </c>
      <c r="B393" s="7" t="s">
        <v>2330</v>
      </c>
      <c r="C393" s="7" t="s">
        <v>4260</v>
      </c>
      <c r="D393" s="7" t="s">
        <v>4307</v>
      </c>
      <c r="E393" s="7" t="s">
        <v>4308</v>
      </c>
      <c r="F393" s="7" t="s">
        <v>4303</v>
      </c>
      <c r="G393" s="7" t="s">
        <v>18</v>
      </c>
      <c r="H393" s="7" t="str">
        <f>IFERROR(VLOOKUP(Table2[[#This Row],[Ticket]],Okey!A:B,2,0),"")</f>
        <v>ok</v>
      </c>
      <c r="I393" s="7" t="s">
        <v>3679</v>
      </c>
      <c r="J393" s="7" t="str">
        <f>VLOOKUP(Table2[[#This Row],[Author]],People!A:B,2,0)</f>
        <v>MGF</v>
      </c>
      <c r="K393" s="7"/>
      <c r="L393" s="7"/>
      <c r="M393" s="16" t="s">
        <v>2329</v>
      </c>
    </row>
    <row r="394" spans="1:13" x14ac:dyDescent="0.25">
      <c r="A394" s="22">
        <f t="shared" si="6"/>
        <v>393</v>
      </c>
      <c r="B394" s="6" t="s">
        <v>2330</v>
      </c>
      <c r="C394" s="6" t="s">
        <v>4260</v>
      </c>
      <c r="D394" s="6" t="s">
        <v>4309</v>
      </c>
      <c r="E394" s="6" t="s">
        <v>4310</v>
      </c>
      <c r="F394" s="6" t="s">
        <v>4305</v>
      </c>
      <c r="G394" s="6" t="s">
        <v>18</v>
      </c>
      <c r="H394" s="6" t="str">
        <f>IFERROR(VLOOKUP(Table2[[#This Row],[Ticket]],Okey!A:B,2,0),"")</f>
        <v>ok</v>
      </c>
      <c r="I394" s="6" t="s">
        <v>3679</v>
      </c>
      <c r="J394" s="6" t="str">
        <f>VLOOKUP(Table2[[#This Row],[Author]],People!A:B,2,0)</f>
        <v>MGF</v>
      </c>
      <c r="K394" s="6"/>
      <c r="L394" s="6"/>
      <c r="M394" s="21" t="s">
        <v>2329</v>
      </c>
    </row>
    <row r="395" spans="1:13" x14ac:dyDescent="0.25">
      <c r="A395" s="23">
        <f t="shared" si="6"/>
        <v>394</v>
      </c>
      <c r="B395" s="7" t="s">
        <v>2330</v>
      </c>
      <c r="C395" s="7" t="s">
        <v>4260</v>
      </c>
      <c r="D395" s="7" t="s">
        <v>4311</v>
      </c>
      <c r="E395" s="7" t="s">
        <v>4312</v>
      </c>
      <c r="F395" s="7" t="s">
        <v>4305</v>
      </c>
      <c r="G395" s="7" t="s">
        <v>18</v>
      </c>
      <c r="H395" s="7" t="str">
        <f>IFERROR(VLOOKUP(Table2[[#This Row],[Ticket]],Okey!A:B,2,0),"")</f>
        <v>ok</v>
      </c>
      <c r="I395" s="7" t="s">
        <v>3679</v>
      </c>
      <c r="J395" s="7" t="str">
        <f>VLOOKUP(Table2[[#This Row],[Author]],People!A:B,2,0)</f>
        <v>MGF</v>
      </c>
      <c r="K395" s="7"/>
      <c r="L395" s="7"/>
      <c r="M395" s="16" t="s">
        <v>2329</v>
      </c>
    </row>
    <row r="396" spans="1:13" x14ac:dyDescent="0.25">
      <c r="A396" s="22">
        <f t="shared" si="6"/>
        <v>395</v>
      </c>
      <c r="B396" s="6" t="s">
        <v>2330</v>
      </c>
      <c r="C396" s="6" t="s">
        <v>4260</v>
      </c>
      <c r="D396" s="6" t="s">
        <v>4313</v>
      </c>
      <c r="E396" s="6" t="s">
        <v>4314</v>
      </c>
      <c r="F396" s="6" t="s">
        <v>4305</v>
      </c>
      <c r="G396" s="6" t="s">
        <v>18</v>
      </c>
      <c r="H396" s="6" t="str">
        <f>IFERROR(VLOOKUP(Table2[[#This Row],[Ticket]],Okey!A:B,2,0),"")</f>
        <v>ok</v>
      </c>
      <c r="I396" s="6" t="s">
        <v>3679</v>
      </c>
      <c r="J396" s="6" t="str">
        <f>VLOOKUP(Table2[[#This Row],[Author]],People!A:B,2,0)</f>
        <v>MGF</v>
      </c>
      <c r="K396" s="6"/>
      <c r="L396" s="6"/>
      <c r="M396" s="21" t="s">
        <v>2329</v>
      </c>
    </row>
    <row r="397" spans="1:13" x14ac:dyDescent="0.25">
      <c r="A397" s="23">
        <f t="shared" si="6"/>
        <v>396</v>
      </c>
      <c r="B397" s="7" t="s">
        <v>2330</v>
      </c>
      <c r="C397" s="7" t="s">
        <v>4260</v>
      </c>
      <c r="D397" s="7" t="s">
        <v>4315</v>
      </c>
      <c r="E397" s="7" t="s">
        <v>4316</v>
      </c>
      <c r="F397" s="7" t="s">
        <v>4305</v>
      </c>
      <c r="G397" s="7" t="s">
        <v>18</v>
      </c>
      <c r="H397" s="7" t="str">
        <f>IFERROR(VLOOKUP(Table2[[#This Row],[Ticket]],Okey!A:B,2,0),"")</f>
        <v>ok</v>
      </c>
      <c r="I397" s="7" t="s">
        <v>3679</v>
      </c>
      <c r="J397" s="7" t="str">
        <f>VLOOKUP(Table2[[#This Row],[Author]],People!A:B,2,0)</f>
        <v>MGF</v>
      </c>
      <c r="K397" s="7"/>
      <c r="L397" s="7"/>
      <c r="M397" s="16" t="s">
        <v>2329</v>
      </c>
    </row>
    <row r="398" spans="1:13" x14ac:dyDescent="0.25">
      <c r="A398" s="22">
        <f t="shared" si="6"/>
        <v>397</v>
      </c>
      <c r="B398" s="6" t="s">
        <v>2330</v>
      </c>
      <c r="C398" s="6" t="s">
        <v>4260</v>
      </c>
      <c r="D398" s="6" t="s">
        <v>4317</v>
      </c>
      <c r="E398" s="6" t="s">
        <v>4318</v>
      </c>
      <c r="F398" s="6" t="s">
        <v>4305</v>
      </c>
      <c r="G398" s="6" t="s">
        <v>18</v>
      </c>
      <c r="H398" s="6" t="str">
        <f>IFERROR(VLOOKUP(Table2[[#This Row],[Ticket]],Okey!A:B,2,0),"")</f>
        <v>ok</v>
      </c>
      <c r="I398" s="6" t="s">
        <v>3679</v>
      </c>
      <c r="J398" s="6" t="str">
        <f>VLOOKUP(Table2[[#This Row],[Author]],People!A:B,2,0)</f>
        <v>MGF</v>
      </c>
      <c r="K398" s="6"/>
      <c r="L398" s="6"/>
      <c r="M398" s="21" t="s">
        <v>2329</v>
      </c>
    </row>
    <row r="399" spans="1:13" x14ac:dyDescent="0.25">
      <c r="A399" s="23">
        <f t="shared" si="6"/>
        <v>398</v>
      </c>
      <c r="B399" s="7" t="s">
        <v>2330</v>
      </c>
      <c r="C399" s="7" t="s">
        <v>4260</v>
      </c>
      <c r="D399" s="7" t="s">
        <v>4319</v>
      </c>
      <c r="E399" s="7" t="s">
        <v>4320</v>
      </c>
      <c r="F399" s="7" t="s">
        <v>4303</v>
      </c>
      <c r="G399" s="7" t="s">
        <v>18</v>
      </c>
      <c r="H399" s="7" t="str">
        <f>IFERROR(VLOOKUP(Table2[[#This Row],[Ticket]],Okey!A:B,2,0),"")</f>
        <v>ok</v>
      </c>
      <c r="I399" s="7" t="s">
        <v>3679</v>
      </c>
      <c r="J399" s="7" t="str">
        <f>VLOOKUP(Table2[[#This Row],[Author]],People!A:B,2,0)</f>
        <v>MGF</v>
      </c>
      <c r="K399" s="7"/>
      <c r="L399" s="7"/>
      <c r="M399" s="16" t="s">
        <v>2329</v>
      </c>
    </row>
    <row r="400" spans="1:13" x14ac:dyDescent="0.25">
      <c r="A400" s="22">
        <f t="shared" si="6"/>
        <v>399</v>
      </c>
      <c r="B400" s="6" t="s">
        <v>2330</v>
      </c>
      <c r="C400" s="6" t="s">
        <v>4260</v>
      </c>
      <c r="D400" s="6" t="s">
        <v>4321</v>
      </c>
      <c r="E400" s="6" t="s">
        <v>4318</v>
      </c>
      <c r="F400" s="6" t="s">
        <v>4303</v>
      </c>
      <c r="G400" s="6" t="s">
        <v>18</v>
      </c>
      <c r="H400" s="6" t="str">
        <f>IFERROR(VLOOKUP(Table2[[#This Row],[Ticket]],Okey!A:B,2,0),"")</f>
        <v>ok</v>
      </c>
      <c r="I400" s="6" t="s">
        <v>3679</v>
      </c>
      <c r="J400" s="6" t="str">
        <f>VLOOKUP(Table2[[#This Row],[Author]],People!A:B,2,0)</f>
        <v>MGF</v>
      </c>
      <c r="K400" s="6"/>
      <c r="L400" s="6"/>
      <c r="M400" s="21" t="s">
        <v>2329</v>
      </c>
    </row>
    <row r="401" spans="1:13" x14ac:dyDescent="0.25">
      <c r="A401" s="23">
        <f t="shared" si="6"/>
        <v>400</v>
      </c>
      <c r="B401" s="7" t="s">
        <v>2330</v>
      </c>
      <c r="C401" s="7" t="s">
        <v>4260</v>
      </c>
      <c r="D401" s="7" t="s">
        <v>4322</v>
      </c>
      <c r="E401" s="7" t="s">
        <v>4323</v>
      </c>
      <c r="F401" s="7" t="s">
        <v>4303</v>
      </c>
      <c r="G401" s="7" t="s">
        <v>18</v>
      </c>
      <c r="H401" s="7" t="str">
        <f>IFERROR(VLOOKUP(Table2[[#This Row],[Ticket]],Okey!A:B,2,0),"")</f>
        <v>ok</v>
      </c>
      <c r="I401" s="7" t="s">
        <v>3679</v>
      </c>
      <c r="J401" s="7" t="str">
        <f>VLOOKUP(Table2[[#This Row],[Author]],People!A:B,2,0)</f>
        <v>MGF</v>
      </c>
      <c r="K401" s="7"/>
      <c r="L401" s="7"/>
      <c r="M401" s="16" t="s">
        <v>2329</v>
      </c>
    </row>
    <row r="402" spans="1:13" x14ac:dyDescent="0.25">
      <c r="A402" s="22">
        <f t="shared" si="6"/>
        <v>401</v>
      </c>
      <c r="B402" s="6" t="s">
        <v>2330</v>
      </c>
      <c r="C402" s="6" t="s">
        <v>4260</v>
      </c>
      <c r="D402" s="6" t="s">
        <v>4324</v>
      </c>
      <c r="E402" s="6" t="s">
        <v>4325</v>
      </c>
      <c r="F402" s="6" t="s">
        <v>4322</v>
      </c>
      <c r="G402" s="6" t="s">
        <v>18</v>
      </c>
      <c r="H402" s="6" t="str">
        <f>IFERROR(VLOOKUP(Table2[[#This Row],[Ticket]],Okey!A:B,2,0),"")</f>
        <v>ok</v>
      </c>
      <c r="I402" s="6" t="s">
        <v>3679</v>
      </c>
      <c r="J402" s="6" t="str">
        <f>VLOOKUP(Table2[[#This Row],[Author]],People!A:B,2,0)</f>
        <v>MGF</v>
      </c>
      <c r="K402" s="6"/>
      <c r="L402" s="6"/>
      <c r="M402" s="21" t="s">
        <v>2329</v>
      </c>
    </row>
    <row r="403" spans="1:13" x14ac:dyDescent="0.25">
      <c r="A403" s="23">
        <f t="shared" si="6"/>
        <v>402</v>
      </c>
      <c r="B403" s="7" t="s">
        <v>2330</v>
      </c>
      <c r="C403" s="7" t="s">
        <v>4260</v>
      </c>
      <c r="D403" s="7" t="s">
        <v>4326</v>
      </c>
      <c r="E403" s="7" t="s">
        <v>4327</v>
      </c>
      <c r="F403" s="7" t="s">
        <v>4322</v>
      </c>
      <c r="G403" s="7" t="s">
        <v>18</v>
      </c>
      <c r="H403" s="7" t="str">
        <f>IFERROR(VLOOKUP(Table2[[#This Row],[Ticket]],Okey!A:B,2,0),"")</f>
        <v>ok</v>
      </c>
      <c r="I403" s="7" t="s">
        <v>3679</v>
      </c>
      <c r="J403" s="7" t="str">
        <f>VLOOKUP(Table2[[#This Row],[Author]],People!A:B,2,0)</f>
        <v>MGF</v>
      </c>
      <c r="K403" s="7"/>
      <c r="L403" s="7"/>
      <c r="M403" s="16" t="s">
        <v>2329</v>
      </c>
    </row>
    <row r="404" spans="1:13" x14ac:dyDescent="0.25">
      <c r="A404" s="22">
        <f t="shared" si="6"/>
        <v>403</v>
      </c>
      <c r="B404" s="6" t="s">
        <v>2330</v>
      </c>
      <c r="C404" s="6" t="s">
        <v>4260</v>
      </c>
      <c r="D404" s="6" t="s">
        <v>4328</v>
      </c>
      <c r="E404" s="6" t="s">
        <v>4329</v>
      </c>
      <c r="F404" s="6" t="s">
        <v>4266</v>
      </c>
      <c r="G404" s="6" t="s">
        <v>496</v>
      </c>
      <c r="H404" s="6" t="str">
        <f>IFERROR(VLOOKUP(Table2[[#This Row],[Ticket]],Okey!A:B,2,0),"")</f>
        <v>ok</v>
      </c>
      <c r="I404" s="6" t="s">
        <v>3679</v>
      </c>
      <c r="J404" s="6" t="str">
        <f>VLOOKUP(Table2[[#This Row],[Author]],People!A:B,2,0)</f>
        <v>MGF</v>
      </c>
      <c r="K404" s="6"/>
      <c r="L404" s="6"/>
      <c r="M404" s="21" t="s">
        <v>2329</v>
      </c>
    </row>
    <row r="405" spans="1:13" x14ac:dyDescent="0.25">
      <c r="A405" s="23">
        <f t="shared" si="6"/>
        <v>404</v>
      </c>
      <c r="B405" s="7" t="s">
        <v>2330</v>
      </c>
      <c r="C405" s="7" t="s">
        <v>4260</v>
      </c>
      <c r="D405" s="7" t="s">
        <v>4330</v>
      </c>
      <c r="E405" s="7"/>
      <c r="F405" s="7" t="s">
        <v>4262</v>
      </c>
      <c r="G405" s="7" t="s">
        <v>24</v>
      </c>
      <c r="H405" s="7" t="str">
        <f>IFERROR(VLOOKUP(Table2[[#This Row],[Ticket]],Okey!A:B,2,0),"")</f>
        <v>ok</v>
      </c>
      <c r="I405" s="7" t="s">
        <v>3679</v>
      </c>
      <c r="J405" s="7" t="str">
        <f>VLOOKUP(Table2[[#This Row],[Author]],People!A:B,2,0)</f>
        <v>MGF</v>
      </c>
      <c r="K405" s="7"/>
      <c r="L405" s="7"/>
      <c r="M405" s="16" t="s">
        <v>2329</v>
      </c>
    </row>
    <row r="406" spans="1:13" x14ac:dyDescent="0.25">
      <c r="A406" s="22">
        <f t="shared" si="6"/>
        <v>405</v>
      </c>
      <c r="B406" s="6" t="s">
        <v>2330</v>
      </c>
      <c r="C406" s="6" t="s">
        <v>4260</v>
      </c>
      <c r="D406" s="6" t="s">
        <v>4331</v>
      </c>
      <c r="E406" s="6" t="s">
        <v>4332</v>
      </c>
      <c r="F406" s="6" t="s">
        <v>4330</v>
      </c>
      <c r="G406" s="6" t="s">
        <v>18</v>
      </c>
      <c r="H406" s="6" t="str">
        <f>IFERROR(VLOOKUP(Table2[[#This Row],[Ticket]],Okey!A:B,2,0),"")</f>
        <v>ok</v>
      </c>
      <c r="I406" s="6" t="s">
        <v>3679</v>
      </c>
      <c r="J406" s="6" t="str">
        <f>VLOOKUP(Table2[[#This Row],[Author]],People!A:B,2,0)</f>
        <v>MGF</v>
      </c>
      <c r="K406" s="6"/>
      <c r="L406" s="6"/>
      <c r="M406" s="21" t="s">
        <v>2329</v>
      </c>
    </row>
    <row r="407" spans="1:13" x14ac:dyDescent="0.25">
      <c r="A407" s="23">
        <f t="shared" si="6"/>
        <v>406</v>
      </c>
      <c r="B407" s="7" t="s">
        <v>2330</v>
      </c>
      <c r="C407" s="7" t="s">
        <v>4260</v>
      </c>
      <c r="D407" s="7" t="s">
        <v>4333</v>
      </c>
      <c r="E407" s="7" t="s">
        <v>4334</v>
      </c>
      <c r="F407" s="7" t="s">
        <v>4330</v>
      </c>
      <c r="G407" s="7" t="s">
        <v>18</v>
      </c>
      <c r="H407" s="7" t="str">
        <f>IFERROR(VLOOKUP(Table2[[#This Row],[Ticket]],Okey!A:B,2,0),"")</f>
        <v>ok</v>
      </c>
      <c r="I407" s="7" t="s">
        <v>3679</v>
      </c>
      <c r="J407" s="7" t="str">
        <f>VLOOKUP(Table2[[#This Row],[Author]],People!A:B,2,0)</f>
        <v>MGF</v>
      </c>
      <c r="K407" s="7"/>
      <c r="L407" s="7"/>
      <c r="M407" s="16" t="s">
        <v>2329</v>
      </c>
    </row>
    <row r="408" spans="1:13" x14ac:dyDescent="0.25">
      <c r="A408" s="22">
        <f t="shared" si="6"/>
        <v>407</v>
      </c>
      <c r="B408" s="6" t="s">
        <v>2330</v>
      </c>
      <c r="C408" s="6" t="s">
        <v>4260</v>
      </c>
      <c r="D408" s="6" t="s">
        <v>4335</v>
      </c>
      <c r="E408" s="6" t="s">
        <v>4336</v>
      </c>
      <c r="F408" s="6" t="s">
        <v>4330</v>
      </c>
      <c r="G408" s="6" t="s">
        <v>18</v>
      </c>
      <c r="H408" s="6" t="str">
        <f>IFERROR(VLOOKUP(Table2[[#This Row],[Ticket]],Okey!A:B,2,0),"")</f>
        <v>ok</v>
      </c>
      <c r="I408" s="6" t="s">
        <v>3679</v>
      </c>
      <c r="J408" s="6" t="str">
        <f>VLOOKUP(Table2[[#This Row],[Author]],People!A:B,2,0)</f>
        <v>MGF</v>
      </c>
      <c r="K408" s="6"/>
      <c r="L408" s="6"/>
      <c r="M408" s="21" t="s">
        <v>2329</v>
      </c>
    </row>
    <row r="409" spans="1:13" x14ac:dyDescent="0.25">
      <c r="A409" s="23">
        <f t="shared" si="6"/>
        <v>408</v>
      </c>
      <c r="B409" s="7" t="s">
        <v>2330</v>
      </c>
      <c r="C409" s="7" t="s">
        <v>4260</v>
      </c>
      <c r="D409" s="7" t="s">
        <v>4337</v>
      </c>
      <c r="E409" s="7"/>
      <c r="F409" s="7" t="s">
        <v>4262</v>
      </c>
      <c r="G409" s="7" t="s">
        <v>24</v>
      </c>
      <c r="H409" s="7" t="str">
        <f>IFERROR(VLOOKUP(Table2[[#This Row],[Ticket]],Okey!A:B,2,0),"")</f>
        <v>ok</v>
      </c>
      <c r="I409" s="7" t="s">
        <v>3679</v>
      </c>
      <c r="J409" s="7" t="str">
        <f>VLOOKUP(Table2[[#This Row],[Author]],People!A:B,2,0)</f>
        <v>MGF</v>
      </c>
      <c r="K409" s="7"/>
      <c r="L409" s="7"/>
      <c r="M409" s="16" t="s">
        <v>2329</v>
      </c>
    </row>
    <row r="410" spans="1:13" x14ac:dyDescent="0.25">
      <c r="A410" s="22">
        <f t="shared" si="6"/>
        <v>409</v>
      </c>
      <c r="B410" s="6" t="s">
        <v>2330</v>
      </c>
      <c r="C410" s="6" t="s">
        <v>4260</v>
      </c>
      <c r="D410" s="6" t="s">
        <v>4338</v>
      </c>
      <c r="E410" s="6" t="s">
        <v>4339</v>
      </c>
      <c r="F410" s="6" t="s">
        <v>4337</v>
      </c>
      <c r="G410" s="6" t="s">
        <v>18</v>
      </c>
      <c r="H410" s="6" t="str">
        <f>IFERROR(VLOOKUP(Table2[[#This Row],[Ticket]],Okey!A:B,2,0),"")</f>
        <v>ok</v>
      </c>
      <c r="I410" s="6" t="s">
        <v>3679</v>
      </c>
      <c r="J410" s="6" t="str">
        <f>VLOOKUP(Table2[[#This Row],[Author]],People!A:B,2,0)</f>
        <v>MGF</v>
      </c>
      <c r="K410" s="6"/>
      <c r="L410" s="6"/>
      <c r="M410" s="21" t="s">
        <v>2329</v>
      </c>
    </row>
    <row r="411" spans="1:13" x14ac:dyDescent="0.25">
      <c r="A411" s="23">
        <f t="shared" si="6"/>
        <v>410</v>
      </c>
      <c r="B411" s="7" t="s">
        <v>2330</v>
      </c>
      <c r="C411" s="7" t="s">
        <v>4260</v>
      </c>
      <c r="D411" s="7" t="s">
        <v>4340</v>
      </c>
      <c r="E411" s="7" t="s">
        <v>4341</v>
      </c>
      <c r="F411" s="7" t="s">
        <v>4337</v>
      </c>
      <c r="G411" s="7" t="s">
        <v>18</v>
      </c>
      <c r="H411" s="7" t="str">
        <f>IFERROR(VLOOKUP(Table2[[#This Row],[Ticket]],Okey!A:B,2,0),"")</f>
        <v>ok</v>
      </c>
      <c r="I411" s="7" t="s">
        <v>3679</v>
      </c>
      <c r="J411" s="7" t="str">
        <f>VLOOKUP(Table2[[#This Row],[Author]],People!A:B,2,0)</f>
        <v>MGF</v>
      </c>
      <c r="K411" s="7"/>
      <c r="L411" s="7"/>
      <c r="M411" s="16" t="s">
        <v>2329</v>
      </c>
    </row>
    <row r="412" spans="1:13" x14ac:dyDescent="0.25">
      <c r="A412" s="22">
        <f t="shared" si="6"/>
        <v>411</v>
      </c>
      <c r="B412" s="6" t="s">
        <v>2330</v>
      </c>
      <c r="C412" s="6" t="s">
        <v>4260</v>
      </c>
      <c r="D412" s="6" t="s">
        <v>4342</v>
      </c>
      <c r="E412" s="6" t="s">
        <v>4343</v>
      </c>
      <c r="F412" s="6" t="s">
        <v>4337</v>
      </c>
      <c r="G412" s="6" t="s">
        <v>18</v>
      </c>
      <c r="H412" s="6" t="str">
        <f>IFERROR(VLOOKUP(Table2[[#This Row],[Ticket]],Okey!A:B,2,0),"")</f>
        <v>ok</v>
      </c>
      <c r="I412" s="6" t="s">
        <v>3679</v>
      </c>
      <c r="J412" s="6" t="str">
        <f>VLOOKUP(Table2[[#This Row],[Author]],People!A:B,2,0)</f>
        <v>MGF</v>
      </c>
      <c r="K412" s="6"/>
      <c r="L412" s="6"/>
      <c r="M412" s="21" t="s">
        <v>2329</v>
      </c>
    </row>
    <row r="413" spans="1:13" x14ac:dyDescent="0.25">
      <c r="A413" s="23">
        <f t="shared" si="6"/>
        <v>412</v>
      </c>
      <c r="B413" s="7" t="s">
        <v>2330</v>
      </c>
      <c r="C413" s="7" t="s">
        <v>4260</v>
      </c>
      <c r="D413" s="7" t="s">
        <v>4344</v>
      </c>
      <c r="E413" s="7"/>
      <c r="F413" s="7" t="s">
        <v>4262</v>
      </c>
      <c r="G413" s="7" t="s">
        <v>24</v>
      </c>
      <c r="H413" s="7" t="str">
        <f>IFERROR(VLOOKUP(Table2[[#This Row],[Ticket]],Okey!A:B,2,0),"")</f>
        <v>ok</v>
      </c>
      <c r="I413" s="7" t="s">
        <v>3679</v>
      </c>
      <c r="J413" s="7" t="str">
        <f>VLOOKUP(Table2[[#This Row],[Author]],People!A:B,2,0)</f>
        <v>MGF</v>
      </c>
      <c r="K413" s="7"/>
      <c r="L413" s="7"/>
      <c r="M413" s="16" t="s">
        <v>2329</v>
      </c>
    </row>
    <row r="414" spans="1:13" x14ac:dyDescent="0.25">
      <c r="A414" s="22">
        <f t="shared" si="6"/>
        <v>413</v>
      </c>
      <c r="B414" s="6" t="s">
        <v>2330</v>
      </c>
      <c r="C414" s="6" t="s">
        <v>4260</v>
      </c>
      <c r="D414" s="6" t="s">
        <v>4345</v>
      </c>
      <c r="E414" s="6" t="s">
        <v>4346</v>
      </c>
      <c r="F414" s="6" t="s">
        <v>4344</v>
      </c>
      <c r="G414" s="6" t="s">
        <v>18</v>
      </c>
      <c r="H414" s="6" t="str">
        <f>IFERROR(VLOOKUP(Table2[[#This Row],[Ticket]],Okey!A:B,2,0),"")</f>
        <v>ok</v>
      </c>
      <c r="I414" s="6" t="s">
        <v>3679</v>
      </c>
      <c r="J414" s="6" t="str">
        <f>VLOOKUP(Table2[[#This Row],[Author]],People!A:B,2,0)</f>
        <v>MGF</v>
      </c>
      <c r="K414" s="6"/>
      <c r="L414" s="6"/>
      <c r="M414" s="21" t="s">
        <v>2329</v>
      </c>
    </row>
    <row r="415" spans="1:13" x14ac:dyDescent="0.25">
      <c r="A415" s="23">
        <f t="shared" si="6"/>
        <v>414</v>
      </c>
      <c r="B415" s="7" t="s">
        <v>2330</v>
      </c>
      <c r="C415" s="7" t="s">
        <v>4260</v>
      </c>
      <c r="D415" s="7" t="s">
        <v>4347</v>
      </c>
      <c r="E415" s="7" t="s">
        <v>4348</v>
      </c>
      <c r="F415" s="7" t="s">
        <v>4344</v>
      </c>
      <c r="G415" s="7" t="s">
        <v>18</v>
      </c>
      <c r="H415" s="7" t="str">
        <f>IFERROR(VLOOKUP(Table2[[#This Row],[Ticket]],Okey!A:B,2,0),"")</f>
        <v>ok</v>
      </c>
      <c r="I415" s="7" t="s">
        <v>3679</v>
      </c>
      <c r="J415" s="7" t="str">
        <f>VLOOKUP(Table2[[#This Row],[Author]],People!A:B,2,0)</f>
        <v>MGF</v>
      </c>
      <c r="K415" s="7"/>
      <c r="L415" s="7"/>
      <c r="M415" s="16" t="s">
        <v>2329</v>
      </c>
    </row>
    <row r="416" spans="1:13" x14ac:dyDescent="0.25">
      <c r="A416" s="22">
        <f t="shared" si="6"/>
        <v>415</v>
      </c>
      <c r="B416" s="6" t="s">
        <v>2330</v>
      </c>
      <c r="C416" s="6" t="s">
        <v>4260</v>
      </c>
      <c r="D416" s="6" t="s">
        <v>4349</v>
      </c>
      <c r="E416" s="6" t="s">
        <v>4350</v>
      </c>
      <c r="F416" s="6" t="s">
        <v>4344</v>
      </c>
      <c r="G416" s="6" t="s">
        <v>18</v>
      </c>
      <c r="H416" s="6" t="str">
        <f>IFERROR(VLOOKUP(Table2[[#This Row],[Ticket]],Okey!A:B,2,0),"")</f>
        <v>ok</v>
      </c>
      <c r="I416" s="6" t="s">
        <v>3679</v>
      </c>
      <c r="J416" s="6" t="str">
        <f>VLOOKUP(Table2[[#This Row],[Author]],People!A:B,2,0)</f>
        <v>MGF</v>
      </c>
      <c r="K416" s="6"/>
      <c r="L416" s="6"/>
      <c r="M416" s="21" t="s">
        <v>2329</v>
      </c>
    </row>
    <row r="417" spans="1:13" x14ac:dyDescent="0.25">
      <c r="A417" s="23">
        <f t="shared" si="6"/>
        <v>416</v>
      </c>
      <c r="B417" s="7" t="s">
        <v>2330</v>
      </c>
      <c r="C417" s="7" t="s">
        <v>4260</v>
      </c>
      <c r="D417" s="7" t="s">
        <v>4351</v>
      </c>
      <c r="E417" s="7" t="s">
        <v>4352</v>
      </c>
      <c r="F417" s="7" t="s">
        <v>4262</v>
      </c>
      <c r="G417" s="7" t="s">
        <v>496</v>
      </c>
      <c r="H417" s="7" t="str">
        <f>IFERROR(VLOOKUP(Table2[[#This Row],[Ticket]],Okey!A:B,2,0),"")</f>
        <v>ok</v>
      </c>
      <c r="I417" s="7" t="s">
        <v>3679</v>
      </c>
      <c r="J417" s="7" t="str">
        <f>VLOOKUP(Table2[[#This Row],[Author]],People!A:B,2,0)</f>
        <v>MGF</v>
      </c>
      <c r="K417" s="7"/>
      <c r="L417" s="7"/>
      <c r="M417" s="16" t="s">
        <v>2329</v>
      </c>
    </row>
    <row r="418" spans="1:13" x14ac:dyDescent="0.25">
      <c r="A418" s="22">
        <f t="shared" si="6"/>
        <v>417</v>
      </c>
      <c r="B418" s="6" t="s">
        <v>2330</v>
      </c>
      <c r="C418" s="6" t="s">
        <v>4260</v>
      </c>
      <c r="D418" s="6" t="s">
        <v>4353</v>
      </c>
      <c r="E418" s="6"/>
      <c r="F418" s="6" t="s">
        <v>4262</v>
      </c>
      <c r="G418" s="6" t="s">
        <v>24</v>
      </c>
      <c r="H418" s="6" t="str">
        <f>IFERROR(VLOOKUP(Table2[[#This Row],[Ticket]],Okey!A:B,2,0),"")</f>
        <v>ok</v>
      </c>
      <c r="I418" s="6" t="s">
        <v>3679</v>
      </c>
      <c r="J418" s="6" t="str">
        <f>VLOOKUP(Table2[[#This Row],[Author]],People!A:B,2,0)</f>
        <v>MGF</v>
      </c>
      <c r="K418" s="6"/>
      <c r="L418" s="6"/>
      <c r="M418" s="21" t="s">
        <v>2329</v>
      </c>
    </row>
    <row r="419" spans="1:13" x14ac:dyDescent="0.25">
      <c r="A419" s="23">
        <f t="shared" si="6"/>
        <v>418</v>
      </c>
      <c r="B419" s="7" t="s">
        <v>2330</v>
      </c>
      <c r="C419" s="7" t="s">
        <v>4260</v>
      </c>
      <c r="D419" s="7" t="s">
        <v>4354</v>
      </c>
      <c r="E419" s="7" t="s">
        <v>4355</v>
      </c>
      <c r="F419" s="7" t="s">
        <v>4353</v>
      </c>
      <c r="G419" s="7" t="s">
        <v>18</v>
      </c>
      <c r="H419" s="7" t="str">
        <f>IFERROR(VLOOKUP(Table2[[#This Row],[Ticket]],Okey!A:B,2,0),"")</f>
        <v>ok</v>
      </c>
      <c r="I419" s="7" t="s">
        <v>3679</v>
      </c>
      <c r="J419" s="7" t="str">
        <f>VLOOKUP(Table2[[#This Row],[Author]],People!A:B,2,0)</f>
        <v>MGF</v>
      </c>
      <c r="K419" s="7"/>
      <c r="L419" s="7"/>
      <c r="M419" s="16" t="s">
        <v>2329</v>
      </c>
    </row>
    <row r="420" spans="1:13" x14ac:dyDescent="0.25">
      <c r="A420" s="22">
        <f t="shared" si="6"/>
        <v>419</v>
      </c>
      <c r="B420" s="6" t="s">
        <v>2330</v>
      </c>
      <c r="C420" s="6" t="s">
        <v>4260</v>
      </c>
      <c r="D420" s="6" t="s">
        <v>4356</v>
      </c>
      <c r="E420" s="6" t="s">
        <v>4357</v>
      </c>
      <c r="F420" s="6" t="s">
        <v>4353</v>
      </c>
      <c r="G420" s="6" t="s">
        <v>18</v>
      </c>
      <c r="H420" s="6" t="str">
        <f>IFERROR(VLOOKUP(Table2[[#This Row],[Ticket]],Okey!A:B,2,0),"")</f>
        <v>ok</v>
      </c>
      <c r="I420" s="6" t="s">
        <v>3679</v>
      </c>
      <c r="J420" s="6" t="str">
        <f>VLOOKUP(Table2[[#This Row],[Author]],People!A:B,2,0)</f>
        <v>MGF</v>
      </c>
      <c r="K420" s="6"/>
      <c r="L420" s="6"/>
      <c r="M420" s="21" t="s">
        <v>2329</v>
      </c>
    </row>
    <row r="421" spans="1:13" x14ac:dyDescent="0.25">
      <c r="A421" s="23">
        <f t="shared" si="6"/>
        <v>420</v>
      </c>
      <c r="B421" s="7" t="s">
        <v>2330</v>
      </c>
      <c r="C421" s="7" t="s">
        <v>4260</v>
      </c>
      <c r="D421" s="7" t="s">
        <v>4358</v>
      </c>
      <c r="E421" s="7" t="s">
        <v>4359</v>
      </c>
      <c r="F421" s="7" t="s">
        <v>4356</v>
      </c>
      <c r="G421" s="7" t="s">
        <v>18</v>
      </c>
      <c r="H421" s="7" t="str">
        <f>IFERROR(VLOOKUP(Table2[[#This Row],[Ticket]],Okey!A:B,2,0),"")</f>
        <v>ok</v>
      </c>
      <c r="I421" s="7" t="s">
        <v>3679</v>
      </c>
      <c r="J421" s="7" t="str">
        <f>VLOOKUP(Table2[[#This Row],[Author]],People!A:B,2,0)</f>
        <v>MGF</v>
      </c>
      <c r="K421" s="7"/>
      <c r="L421" s="7"/>
      <c r="M421" s="16" t="s">
        <v>2329</v>
      </c>
    </row>
    <row r="422" spans="1:13" x14ac:dyDescent="0.25">
      <c r="A422" s="22">
        <f t="shared" si="6"/>
        <v>421</v>
      </c>
      <c r="B422" s="6" t="s">
        <v>2330</v>
      </c>
      <c r="C422" s="6" t="s">
        <v>4260</v>
      </c>
      <c r="D422" s="6" t="s">
        <v>4360</v>
      </c>
      <c r="E422" s="6" t="s">
        <v>4361</v>
      </c>
      <c r="F422" s="6" t="s">
        <v>4356</v>
      </c>
      <c r="G422" s="6" t="s">
        <v>18</v>
      </c>
      <c r="H422" s="6" t="str">
        <f>IFERROR(VLOOKUP(Table2[[#This Row],[Ticket]],Okey!A:B,2,0),"")</f>
        <v>ok</v>
      </c>
      <c r="I422" s="6" t="s">
        <v>3679</v>
      </c>
      <c r="J422" s="6" t="str">
        <f>VLOOKUP(Table2[[#This Row],[Author]],People!A:B,2,0)</f>
        <v>MGF</v>
      </c>
      <c r="K422" s="6"/>
      <c r="L422" s="6"/>
      <c r="M422" s="21" t="s">
        <v>2329</v>
      </c>
    </row>
    <row r="423" spans="1:13" x14ac:dyDescent="0.25">
      <c r="A423" s="23">
        <f t="shared" si="6"/>
        <v>422</v>
      </c>
      <c r="B423" s="7" t="s">
        <v>2330</v>
      </c>
      <c r="C423" s="7" t="s">
        <v>4260</v>
      </c>
      <c r="D423" s="7" t="s">
        <v>4362</v>
      </c>
      <c r="E423" s="7" t="s">
        <v>4363</v>
      </c>
      <c r="F423" s="7" t="s">
        <v>4356</v>
      </c>
      <c r="G423" s="7" t="s">
        <v>18</v>
      </c>
      <c r="H423" s="7" t="str">
        <f>IFERROR(VLOOKUP(Table2[[#This Row],[Ticket]],Okey!A:B,2,0),"")</f>
        <v>ok</v>
      </c>
      <c r="I423" s="7" t="s">
        <v>3679</v>
      </c>
      <c r="J423" s="7" t="str">
        <f>VLOOKUP(Table2[[#This Row],[Author]],People!A:B,2,0)</f>
        <v>MGF</v>
      </c>
      <c r="K423" s="7"/>
      <c r="L423" s="7"/>
      <c r="M423" s="16" t="s">
        <v>2329</v>
      </c>
    </row>
    <row r="424" spans="1:13" x14ac:dyDescent="0.25">
      <c r="A424" s="22">
        <f t="shared" si="6"/>
        <v>423</v>
      </c>
      <c r="B424" s="6" t="s">
        <v>2330</v>
      </c>
      <c r="C424" s="6" t="s">
        <v>4260</v>
      </c>
      <c r="D424" s="6" t="s">
        <v>4364</v>
      </c>
      <c r="E424" s="6" t="s">
        <v>4365</v>
      </c>
      <c r="F424" s="6" t="s">
        <v>4353</v>
      </c>
      <c r="G424" s="6" t="s">
        <v>18</v>
      </c>
      <c r="H424" s="6" t="str">
        <f>IFERROR(VLOOKUP(Table2[[#This Row],[Ticket]],Okey!A:B,2,0),"")</f>
        <v>ok</v>
      </c>
      <c r="I424" s="6" t="s">
        <v>3679</v>
      </c>
      <c r="J424" s="6" t="str">
        <f>VLOOKUP(Table2[[#This Row],[Author]],People!A:B,2,0)</f>
        <v>MGF</v>
      </c>
      <c r="K424" s="6"/>
      <c r="L424" s="6"/>
      <c r="M424" s="21" t="s">
        <v>2329</v>
      </c>
    </row>
    <row r="425" spans="1:13" x14ac:dyDescent="0.25">
      <c r="A425" s="23">
        <f t="shared" si="6"/>
        <v>424</v>
      </c>
      <c r="B425" s="7" t="s">
        <v>2330</v>
      </c>
      <c r="C425" s="7" t="s">
        <v>4260</v>
      </c>
      <c r="D425" s="7" t="s">
        <v>4366</v>
      </c>
      <c r="E425" s="7" t="s">
        <v>4367</v>
      </c>
      <c r="F425" s="7" t="s">
        <v>4364</v>
      </c>
      <c r="G425" s="7" t="s">
        <v>18</v>
      </c>
      <c r="H425" s="7" t="str">
        <f>IFERROR(VLOOKUP(Table2[[#This Row],[Ticket]],Okey!A:B,2,0),"")</f>
        <v>ok</v>
      </c>
      <c r="I425" s="7" t="s">
        <v>3679</v>
      </c>
      <c r="J425" s="7" t="str">
        <f>VLOOKUP(Table2[[#This Row],[Author]],People!A:B,2,0)</f>
        <v>MGF</v>
      </c>
      <c r="K425" s="7"/>
      <c r="L425" s="7"/>
      <c r="M425" s="16" t="s">
        <v>2329</v>
      </c>
    </row>
    <row r="426" spans="1:13" x14ac:dyDescent="0.25">
      <c r="A426" s="22">
        <f t="shared" si="6"/>
        <v>425</v>
      </c>
      <c r="B426" s="6" t="s">
        <v>2330</v>
      </c>
      <c r="C426" s="6" t="s">
        <v>4260</v>
      </c>
      <c r="D426" s="6" t="s">
        <v>4368</v>
      </c>
      <c r="E426" s="6" t="s">
        <v>4369</v>
      </c>
      <c r="F426" s="6" t="s">
        <v>4364</v>
      </c>
      <c r="G426" s="6" t="s">
        <v>18</v>
      </c>
      <c r="H426" s="6" t="str">
        <f>IFERROR(VLOOKUP(Table2[[#This Row],[Ticket]],Okey!A:B,2,0),"")</f>
        <v>ok</v>
      </c>
      <c r="I426" s="6" t="s">
        <v>3679</v>
      </c>
      <c r="J426" s="6" t="str">
        <f>VLOOKUP(Table2[[#This Row],[Author]],People!A:B,2,0)</f>
        <v>MGF</v>
      </c>
      <c r="K426" s="6"/>
      <c r="L426" s="6"/>
      <c r="M426" s="21" t="s">
        <v>2329</v>
      </c>
    </row>
    <row r="427" spans="1:13" x14ac:dyDescent="0.25">
      <c r="A427" s="23">
        <f t="shared" si="6"/>
        <v>426</v>
      </c>
      <c r="B427" s="7" t="s">
        <v>2330</v>
      </c>
      <c r="C427" s="7" t="s">
        <v>4260</v>
      </c>
      <c r="D427" s="7" t="s">
        <v>4370</v>
      </c>
      <c r="E427" s="7" t="s">
        <v>4371</v>
      </c>
      <c r="F427" s="7"/>
      <c r="G427" s="7" t="s">
        <v>63</v>
      </c>
      <c r="H427" s="7" t="str">
        <f>IFERROR(VLOOKUP(Table2[[#This Row],[Ticket]],Okey!A:B,2,0),"")</f>
        <v>ok</v>
      </c>
      <c r="I427" s="7" t="s">
        <v>3679</v>
      </c>
      <c r="J427" s="7" t="str">
        <f>VLOOKUP(Table2[[#This Row],[Author]],People!A:B,2,0)</f>
        <v>MGF</v>
      </c>
      <c r="K427" s="7"/>
      <c r="L427" s="7"/>
      <c r="M427" s="16" t="s">
        <v>2329</v>
      </c>
    </row>
    <row r="428" spans="1:13" x14ac:dyDescent="0.25">
      <c r="A428" s="22">
        <f t="shared" si="6"/>
        <v>427</v>
      </c>
      <c r="B428" s="6" t="s">
        <v>2330</v>
      </c>
      <c r="C428" s="6" t="s">
        <v>4260</v>
      </c>
      <c r="D428" s="6" t="s">
        <v>4372</v>
      </c>
      <c r="E428" s="6" t="s">
        <v>4373</v>
      </c>
      <c r="F428" s="6"/>
      <c r="G428" s="6" t="s">
        <v>63</v>
      </c>
      <c r="H428" s="6" t="str">
        <f>IFERROR(VLOOKUP(Table2[[#This Row],[Ticket]],Okey!A:B,2,0),"")</f>
        <v>ok</v>
      </c>
      <c r="I428" s="6" t="s">
        <v>3679</v>
      </c>
      <c r="J428" s="6" t="str">
        <f>VLOOKUP(Table2[[#This Row],[Author]],People!A:B,2,0)</f>
        <v>MGF</v>
      </c>
      <c r="K428" s="6"/>
      <c r="L428" s="6"/>
      <c r="M428" s="21" t="s">
        <v>2329</v>
      </c>
    </row>
    <row r="429" spans="1:13" x14ac:dyDescent="0.25">
      <c r="A429" s="23">
        <f t="shared" si="6"/>
        <v>428</v>
      </c>
      <c r="B429" s="7" t="s">
        <v>2330</v>
      </c>
      <c r="C429" s="7" t="s">
        <v>4260</v>
      </c>
      <c r="D429" s="7" t="s">
        <v>4374</v>
      </c>
      <c r="E429" s="7" t="s">
        <v>4375</v>
      </c>
      <c r="F429" s="7" t="s">
        <v>4376</v>
      </c>
      <c r="G429" s="7" t="s">
        <v>18</v>
      </c>
      <c r="H429" s="7" t="str">
        <f>IFERROR(VLOOKUP(Table2[[#This Row],[Ticket]],Okey!A:B,2,0),"")</f>
        <v>ok</v>
      </c>
      <c r="I429" s="7" t="s">
        <v>3679</v>
      </c>
      <c r="J429" s="7" t="str">
        <f>VLOOKUP(Table2[[#This Row],[Author]],People!A:B,2,0)</f>
        <v>MGF</v>
      </c>
      <c r="K429" s="7"/>
      <c r="L429" s="7"/>
      <c r="M429" s="16" t="s">
        <v>2329</v>
      </c>
    </row>
    <row r="430" spans="1:13" x14ac:dyDescent="0.25">
      <c r="A430" s="22">
        <f t="shared" si="6"/>
        <v>429</v>
      </c>
      <c r="B430" s="6" t="s">
        <v>2330</v>
      </c>
      <c r="C430" s="6" t="s">
        <v>4260</v>
      </c>
      <c r="D430" s="6" t="s">
        <v>4377</v>
      </c>
      <c r="E430" s="6" t="s">
        <v>4378</v>
      </c>
      <c r="F430" s="6" t="s">
        <v>4376</v>
      </c>
      <c r="G430" s="6" t="s">
        <v>18</v>
      </c>
      <c r="H430" s="6" t="str">
        <f>IFERROR(VLOOKUP(Table2[[#This Row],[Ticket]],Okey!A:B,2,0),"")</f>
        <v>ok</v>
      </c>
      <c r="I430" s="6" t="s">
        <v>3679</v>
      </c>
      <c r="J430" s="6" t="str">
        <f>VLOOKUP(Table2[[#This Row],[Author]],People!A:B,2,0)</f>
        <v>MGF</v>
      </c>
      <c r="K430" s="6"/>
      <c r="L430" s="6"/>
      <c r="M430" s="21" t="s">
        <v>2329</v>
      </c>
    </row>
    <row r="431" spans="1:13" x14ac:dyDescent="0.25">
      <c r="A431" s="23">
        <f t="shared" si="6"/>
        <v>430</v>
      </c>
      <c r="B431" s="7" t="s">
        <v>2330</v>
      </c>
      <c r="C431" s="7" t="s">
        <v>4260</v>
      </c>
      <c r="D431" s="7" t="s">
        <v>4379</v>
      </c>
      <c r="E431" s="7"/>
      <c r="F431" s="7" t="s">
        <v>4380</v>
      </c>
      <c r="G431" s="7" t="s">
        <v>24</v>
      </c>
      <c r="H431" s="7" t="str">
        <f>IFERROR(VLOOKUP(Table2[[#This Row],[Ticket]],Okey!A:B,2,0),"")</f>
        <v>ok</v>
      </c>
      <c r="I431" s="7" t="s">
        <v>3679</v>
      </c>
      <c r="J431" s="7" t="str">
        <f>VLOOKUP(Table2[[#This Row],[Author]],People!A:B,2,0)</f>
        <v>MGF</v>
      </c>
      <c r="K431" s="7"/>
      <c r="L431" s="7"/>
      <c r="M431" s="16" t="s">
        <v>2329</v>
      </c>
    </row>
    <row r="432" spans="1:13" x14ac:dyDescent="0.25">
      <c r="A432" s="22">
        <f t="shared" si="6"/>
        <v>431</v>
      </c>
      <c r="B432" s="6" t="s">
        <v>2330</v>
      </c>
      <c r="C432" s="6" t="s">
        <v>4260</v>
      </c>
      <c r="D432" s="6" t="s">
        <v>4381</v>
      </c>
      <c r="E432" s="6"/>
      <c r="F432" s="6" t="s">
        <v>4382</v>
      </c>
      <c r="G432" s="6" t="s">
        <v>24</v>
      </c>
      <c r="H432" s="6" t="str">
        <f>IFERROR(VLOOKUP(Table2[[#This Row],[Ticket]],Okey!A:B,2,0),"")</f>
        <v>ok</v>
      </c>
      <c r="I432" s="6" t="s">
        <v>3679</v>
      </c>
      <c r="J432" s="6" t="str">
        <f>VLOOKUP(Table2[[#This Row],[Author]],People!A:B,2,0)</f>
        <v>MGF</v>
      </c>
      <c r="K432" s="6"/>
      <c r="L432" s="6"/>
      <c r="M432" s="21" t="s">
        <v>2329</v>
      </c>
    </row>
    <row r="433" spans="1:13" x14ac:dyDescent="0.25">
      <c r="A433" s="23">
        <f t="shared" si="6"/>
        <v>432</v>
      </c>
      <c r="B433" s="7" t="s">
        <v>2330</v>
      </c>
      <c r="C433" s="7" t="s">
        <v>4260</v>
      </c>
      <c r="D433" s="7" t="s">
        <v>4383</v>
      </c>
      <c r="E433" s="7"/>
      <c r="F433" s="7" t="s">
        <v>4384</v>
      </c>
      <c r="G433" s="7" t="s">
        <v>24</v>
      </c>
      <c r="H433" s="7" t="str">
        <f>IFERROR(VLOOKUP(Table2[[#This Row],[Ticket]],Okey!A:B,2,0),"")</f>
        <v>ok</v>
      </c>
      <c r="I433" s="7" t="s">
        <v>3679</v>
      </c>
      <c r="J433" s="7" t="str">
        <f>VLOOKUP(Table2[[#This Row],[Author]],People!A:B,2,0)</f>
        <v>MGF</v>
      </c>
      <c r="K433" s="7"/>
      <c r="L433" s="7"/>
      <c r="M433" s="16" t="s">
        <v>2329</v>
      </c>
    </row>
    <row r="434" spans="1:13" x14ac:dyDescent="0.25">
      <c r="A434" s="22">
        <f t="shared" si="6"/>
        <v>433</v>
      </c>
      <c r="B434" s="6" t="s">
        <v>2330</v>
      </c>
      <c r="C434" s="6" t="s">
        <v>4260</v>
      </c>
      <c r="D434" s="6" t="s">
        <v>4385</v>
      </c>
      <c r="E434" s="6"/>
      <c r="F434" s="6" t="s">
        <v>4386</v>
      </c>
      <c r="G434" s="6" t="s">
        <v>24</v>
      </c>
      <c r="H434" s="6" t="str">
        <f>IFERROR(VLOOKUP(Table2[[#This Row],[Ticket]],Okey!A:B,2,0),"")</f>
        <v>ok</v>
      </c>
      <c r="I434" s="6" t="s">
        <v>3679</v>
      </c>
      <c r="J434" s="6" t="str">
        <f>VLOOKUP(Table2[[#This Row],[Author]],People!A:B,2,0)</f>
        <v>MGF</v>
      </c>
      <c r="K434" s="6"/>
      <c r="L434" s="6"/>
      <c r="M434" s="21" t="s">
        <v>2329</v>
      </c>
    </row>
    <row r="435" spans="1:13" x14ac:dyDescent="0.25">
      <c r="A435" s="23">
        <f t="shared" si="6"/>
        <v>434</v>
      </c>
      <c r="B435" s="7" t="s">
        <v>2330</v>
      </c>
      <c r="C435" s="7" t="s">
        <v>4260</v>
      </c>
      <c r="D435" s="7" t="s">
        <v>4387</v>
      </c>
      <c r="E435" s="7"/>
      <c r="F435" s="7" t="s">
        <v>4388</v>
      </c>
      <c r="G435" s="7" t="s">
        <v>24</v>
      </c>
      <c r="H435" s="7" t="str">
        <f>IFERROR(VLOOKUP(Table2[[#This Row],[Ticket]],Okey!A:B,2,0),"")</f>
        <v>ok</v>
      </c>
      <c r="I435" s="7" t="s">
        <v>3679</v>
      </c>
      <c r="J435" s="7" t="str">
        <f>VLOOKUP(Table2[[#This Row],[Author]],People!A:B,2,0)</f>
        <v>MGF</v>
      </c>
      <c r="K435" s="7"/>
      <c r="L435" s="7"/>
      <c r="M435" s="16" t="s">
        <v>2329</v>
      </c>
    </row>
    <row r="436" spans="1:13" x14ac:dyDescent="0.25">
      <c r="A436" s="22">
        <f t="shared" si="6"/>
        <v>435</v>
      </c>
      <c r="B436" s="6" t="s">
        <v>2330</v>
      </c>
      <c r="C436" s="6" t="s">
        <v>4260</v>
      </c>
      <c r="D436" s="6" t="s">
        <v>4389</v>
      </c>
      <c r="E436" s="6"/>
      <c r="F436" s="6" t="s">
        <v>4390</v>
      </c>
      <c r="G436" s="6" t="s">
        <v>24</v>
      </c>
      <c r="H436" s="6" t="str">
        <f>IFERROR(VLOOKUP(Table2[[#This Row],[Ticket]],Okey!A:B,2,0),"")</f>
        <v>ok</v>
      </c>
      <c r="I436" s="6" t="s">
        <v>3679</v>
      </c>
      <c r="J436" s="6" t="str">
        <f>VLOOKUP(Table2[[#This Row],[Author]],People!A:B,2,0)</f>
        <v>MGF</v>
      </c>
      <c r="K436" s="6"/>
      <c r="L436" s="6"/>
      <c r="M436" s="21" t="s">
        <v>2329</v>
      </c>
    </row>
    <row r="437" spans="1:13" x14ac:dyDescent="0.25">
      <c r="A437" s="23">
        <f t="shared" si="6"/>
        <v>436</v>
      </c>
      <c r="B437" s="7" t="s">
        <v>2330</v>
      </c>
      <c r="C437" s="7" t="s">
        <v>4260</v>
      </c>
      <c r="D437" s="7" t="s">
        <v>4391</v>
      </c>
      <c r="E437" s="7"/>
      <c r="F437" s="7" t="s">
        <v>4392</v>
      </c>
      <c r="G437" s="7" t="s">
        <v>24</v>
      </c>
      <c r="H437" s="7" t="str">
        <f>IFERROR(VLOOKUP(Table2[[#This Row],[Ticket]],Okey!A:B,2,0),"")</f>
        <v>ok</v>
      </c>
      <c r="I437" s="7" t="s">
        <v>3679</v>
      </c>
      <c r="J437" s="7" t="str">
        <f>VLOOKUP(Table2[[#This Row],[Author]],People!A:B,2,0)</f>
        <v>MGF</v>
      </c>
      <c r="K437" s="7"/>
      <c r="L437" s="7"/>
      <c r="M437" s="16" t="s">
        <v>2329</v>
      </c>
    </row>
    <row r="438" spans="1:13" x14ac:dyDescent="0.25">
      <c r="A438" s="22">
        <f t="shared" si="6"/>
        <v>437</v>
      </c>
      <c r="B438" s="6" t="s">
        <v>2330</v>
      </c>
      <c r="C438" s="6" t="s">
        <v>4260</v>
      </c>
      <c r="D438" s="6" t="s">
        <v>4393</v>
      </c>
      <c r="E438" s="6"/>
      <c r="F438" s="6" t="s">
        <v>681</v>
      </c>
      <c r="G438" s="6" t="s">
        <v>24</v>
      </c>
      <c r="H438" s="6" t="str">
        <f>IFERROR(VLOOKUP(Table2[[#This Row],[Ticket]],Okey!A:B,2,0),"")</f>
        <v>ok</v>
      </c>
      <c r="I438" s="6" t="s">
        <v>3679</v>
      </c>
      <c r="J438" s="6" t="str">
        <f>VLOOKUP(Table2[[#This Row],[Author]],People!A:B,2,0)</f>
        <v>MGF</v>
      </c>
      <c r="K438" s="6"/>
      <c r="L438" s="6"/>
      <c r="M438" s="21" t="s">
        <v>2329</v>
      </c>
    </row>
    <row r="439" spans="1:13" x14ac:dyDescent="0.25">
      <c r="A439" s="23">
        <f t="shared" si="6"/>
        <v>438</v>
      </c>
      <c r="B439" s="7" t="s">
        <v>2330</v>
      </c>
      <c r="C439" s="7" t="s">
        <v>4260</v>
      </c>
      <c r="D439" s="7" t="s">
        <v>4394</v>
      </c>
      <c r="E439" s="7"/>
      <c r="F439" s="7" t="s">
        <v>4395</v>
      </c>
      <c r="G439" s="7" t="s">
        <v>24</v>
      </c>
      <c r="H439" s="7" t="str">
        <f>IFERROR(VLOOKUP(Table2[[#This Row],[Ticket]],Okey!A:B,2,0),"")</f>
        <v>ok</v>
      </c>
      <c r="I439" s="7" t="s">
        <v>3679</v>
      </c>
      <c r="J439" s="7" t="str">
        <f>VLOOKUP(Table2[[#This Row],[Author]],People!A:B,2,0)</f>
        <v>MGF</v>
      </c>
      <c r="K439" s="7"/>
      <c r="L439" s="7"/>
      <c r="M439" s="16" t="s">
        <v>2329</v>
      </c>
    </row>
    <row r="440" spans="1:13" x14ac:dyDescent="0.25">
      <c r="A440" s="22">
        <f t="shared" si="6"/>
        <v>439</v>
      </c>
      <c r="B440" s="6" t="s">
        <v>2330</v>
      </c>
      <c r="C440" s="6" t="s">
        <v>4260</v>
      </c>
      <c r="D440" s="6" t="s">
        <v>4396</v>
      </c>
      <c r="E440" s="6"/>
      <c r="F440" s="6" t="s">
        <v>4397</v>
      </c>
      <c r="G440" s="6" t="s">
        <v>24</v>
      </c>
      <c r="H440" s="6" t="str">
        <f>IFERROR(VLOOKUP(Table2[[#This Row],[Ticket]],Okey!A:B,2,0),"")</f>
        <v>ok</v>
      </c>
      <c r="I440" s="6" t="s">
        <v>3679</v>
      </c>
      <c r="J440" s="6" t="str">
        <f>VLOOKUP(Table2[[#This Row],[Author]],People!A:B,2,0)</f>
        <v>MGF</v>
      </c>
      <c r="K440" s="6"/>
      <c r="L440" s="6"/>
      <c r="M440" s="21" t="s">
        <v>2329</v>
      </c>
    </row>
    <row r="441" spans="1:13" x14ac:dyDescent="0.25">
      <c r="A441" s="23">
        <f t="shared" si="6"/>
        <v>440</v>
      </c>
      <c r="B441" s="7" t="s">
        <v>2330</v>
      </c>
      <c r="C441" s="7" t="s">
        <v>4260</v>
      </c>
      <c r="D441" s="7" t="s">
        <v>4398</v>
      </c>
      <c r="E441" s="7"/>
      <c r="F441" s="7" t="s">
        <v>4399</v>
      </c>
      <c r="G441" s="7" t="s">
        <v>24</v>
      </c>
      <c r="H441" s="7" t="str">
        <f>IFERROR(VLOOKUP(Table2[[#This Row],[Ticket]],Okey!A:B,2,0),"")</f>
        <v>ok</v>
      </c>
      <c r="I441" s="7" t="s">
        <v>3679</v>
      </c>
      <c r="J441" s="7" t="str">
        <f>VLOOKUP(Table2[[#This Row],[Author]],People!A:B,2,0)</f>
        <v>MGF</v>
      </c>
      <c r="K441" s="7"/>
      <c r="L441" s="7"/>
      <c r="M441" s="16" t="s">
        <v>2329</v>
      </c>
    </row>
    <row r="442" spans="1:13" x14ac:dyDescent="0.25">
      <c r="A442" s="22">
        <f t="shared" si="6"/>
        <v>441</v>
      </c>
      <c r="B442" s="6" t="s">
        <v>2330</v>
      </c>
      <c r="C442" s="6" t="s">
        <v>4260</v>
      </c>
      <c r="D442" s="6" t="s">
        <v>4400</v>
      </c>
      <c r="E442" s="6"/>
      <c r="F442" s="6" t="s">
        <v>4401</v>
      </c>
      <c r="G442" s="6" t="s">
        <v>24</v>
      </c>
      <c r="H442" s="6" t="str">
        <f>IFERROR(VLOOKUP(Table2[[#This Row],[Ticket]],Okey!A:B,2,0),"")</f>
        <v>ok</v>
      </c>
      <c r="I442" s="6" t="s">
        <v>3679</v>
      </c>
      <c r="J442" s="6" t="str">
        <f>VLOOKUP(Table2[[#This Row],[Author]],People!A:B,2,0)</f>
        <v>MGF</v>
      </c>
      <c r="K442" s="6"/>
      <c r="L442" s="6"/>
      <c r="M442" s="21" t="s">
        <v>2329</v>
      </c>
    </row>
    <row r="443" spans="1:13" x14ac:dyDescent="0.25">
      <c r="A443" s="23">
        <f t="shared" si="6"/>
        <v>442</v>
      </c>
      <c r="B443" s="7" t="s">
        <v>2330</v>
      </c>
      <c r="C443" s="7" t="s">
        <v>4260</v>
      </c>
      <c r="D443" s="7" t="s">
        <v>4402</v>
      </c>
      <c r="E443" s="7"/>
      <c r="F443" s="7" t="s">
        <v>4403</v>
      </c>
      <c r="G443" s="7" t="s">
        <v>24</v>
      </c>
      <c r="H443" s="7" t="str">
        <f>IFERROR(VLOOKUP(Table2[[#This Row],[Ticket]],Okey!A:B,2,0),"")</f>
        <v>ok</v>
      </c>
      <c r="I443" s="7" t="s">
        <v>3679</v>
      </c>
      <c r="J443" s="7" t="str">
        <f>VLOOKUP(Table2[[#This Row],[Author]],People!A:B,2,0)</f>
        <v>MGF</v>
      </c>
      <c r="K443" s="7"/>
      <c r="L443" s="7"/>
      <c r="M443" s="16" t="s">
        <v>2329</v>
      </c>
    </row>
    <row r="444" spans="1:13" x14ac:dyDescent="0.25">
      <c r="A444" s="22">
        <f t="shared" si="6"/>
        <v>443</v>
      </c>
      <c r="B444" s="6" t="s">
        <v>2330</v>
      </c>
      <c r="C444" s="6" t="s">
        <v>4260</v>
      </c>
      <c r="D444" s="6" t="s">
        <v>4404</v>
      </c>
      <c r="E444" s="6"/>
      <c r="F444" s="6" t="s">
        <v>4405</v>
      </c>
      <c r="G444" s="6" t="s">
        <v>24</v>
      </c>
      <c r="H444" s="6" t="str">
        <f>IFERROR(VLOOKUP(Table2[[#This Row],[Ticket]],Okey!A:B,2,0),"")</f>
        <v>ok</v>
      </c>
      <c r="I444" s="6" t="s">
        <v>3679</v>
      </c>
      <c r="J444" s="6" t="str">
        <f>VLOOKUP(Table2[[#This Row],[Author]],People!A:B,2,0)</f>
        <v>MGF</v>
      </c>
      <c r="K444" s="6"/>
      <c r="L444" s="6"/>
      <c r="M444" s="21" t="s">
        <v>2329</v>
      </c>
    </row>
    <row r="445" spans="1:13" x14ac:dyDescent="0.25">
      <c r="A445" s="23">
        <f t="shared" si="6"/>
        <v>444</v>
      </c>
      <c r="B445" s="7" t="s">
        <v>2330</v>
      </c>
      <c r="C445" s="7" t="s">
        <v>4260</v>
      </c>
      <c r="D445" s="7" t="s">
        <v>4406</v>
      </c>
      <c r="E445" s="7"/>
      <c r="F445" s="7" t="s">
        <v>4407</v>
      </c>
      <c r="G445" s="7" t="s">
        <v>24</v>
      </c>
      <c r="H445" s="7" t="str">
        <f>IFERROR(VLOOKUP(Table2[[#This Row],[Ticket]],Okey!A:B,2,0),"")</f>
        <v>ok</v>
      </c>
      <c r="I445" s="7" t="s">
        <v>3679</v>
      </c>
      <c r="J445" s="7" t="str">
        <f>VLOOKUP(Table2[[#This Row],[Author]],People!A:B,2,0)</f>
        <v>MGF</v>
      </c>
      <c r="K445" s="7"/>
      <c r="L445" s="7"/>
      <c r="M445" s="16" t="s">
        <v>2329</v>
      </c>
    </row>
    <row r="446" spans="1:13" x14ac:dyDescent="0.25">
      <c r="A446" s="22">
        <f t="shared" si="6"/>
        <v>445</v>
      </c>
      <c r="B446" s="6" t="s">
        <v>2330</v>
      </c>
      <c r="C446" s="6" t="s">
        <v>4260</v>
      </c>
      <c r="D446" s="6" t="s">
        <v>4408</v>
      </c>
      <c r="E446" s="6"/>
      <c r="F446" s="6" t="s">
        <v>4265</v>
      </c>
      <c r="G446" s="6" t="s">
        <v>24</v>
      </c>
      <c r="H446" s="6" t="str">
        <f>IFERROR(VLOOKUP(Table2[[#This Row],[Ticket]],Okey!A:B,2,0),"")</f>
        <v>ok</v>
      </c>
      <c r="I446" s="6" t="s">
        <v>3679</v>
      </c>
      <c r="J446" s="6" t="str">
        <f>VLOOKUP(Table2[[#This Row],[Author]],People!A:B,2,0)</f>
        <v>MGF</v>
      </c>
      <c r="K446" s="6"/>
      <c r="L446" s="6"/>
      <c r="M446" s="21" t="s">
        <v>2329</v>
      </c>
    </row>
    <row r="447" spans="1:13" x14ac:dyDescent="0.25">
      <c r="A447" s="23">
        <f t="shared" si="6"/>
        <v>446</v>
      </c>
      <c r="B447" s="7" t="s">
        <v>2330</v>
      </c>
      <c r="C447" s="7" t="s">
        <v>4260</v>
      </c>
      <c r="D447" s="7" t="s">
        <v>4409</v>
      </c>
      <c r="E447" s="7"/>
      <c r="F447" s="7" t="s">
        <v>4410</v>
      </c>
      <c r="G447" s="7" t="s">
        <v>24</v>
      </c>
      <c r="H447" s="7" t="str">
        <f>IFERROR(VLOOKUP(Table2[[#This Row],[Ticket]],Okey!A:B,2,0),"")</f>
        <v>ok</v>
      </c>
      <c r="I447" s="7" t="s">
        <v>3679</v>
      </c>
      <c r="J447" s="7" t="str">
        <f>VLOOKUP(Table2[[#This Row],[Author]],People!A:B,2,0)</f>
        <v>MGF</v>
      </c>
      <c r="K447" s="7"/>
      <c r="L447" s="7"/>
      <c r="M447" s="16" t="s">
        <v>2329</v>
      </c>
    </row>
    <row r="448" spans="1:13" x14ac:dyDescent="0.25">
      <c r="A448" s="22">
        <f t="shared" si="6"/>
        <v>447</v>
      </c>
      <c r="B448" s="6" t="s">
        <v>2330</v>
      </c>
      <c r="C448" s="6" t="s">
        <v>4260</v>
      </c>
      <c r="D448" s="6" t="s">
        <v>4411</v>
      </c>
      <c r="E448" s="6"/>
      <c r="F448" s="6" t="s">
        <v>4412</v>
      </c>
      <c r="G448" s="6" t="s">
        <v>24</v>
      </c>
      <c r="H448" s="6" t="str">
        <f>IFERROR(VLOOKUP(Table2[[#This Row],[Ticket]],Okey!A:B,2,0),"")</f>
        <v>ok</v>
      </c>
      <c r="I448" s="6" t="s">
        <v>3679</v>
      </c>
      <c r="J448" s="6" t="str">
        <f>VLOOKUP(Table2[[#This Row],[Author]],People!A:B,2,0)</f>
        <v>MGF</v>
      </c>
      <c r="K448" s="6"/>
      <c r="L448" s="6"/>
      <c r="M448" s="21" t="s">
        <v>2329</v>
      </c>
    </row>
    <row r="449" spans="1:13" x14ac:dyDescent="0.25">
      <c r="A449" s="23">
        <f t="shared" si="6"/>
        <v>448</v>
      </c>
      <c r="B449" s="7" t="s">
        <v>2330</v>
      </c>
      <c r="C449" s="7" t="s">
        <v>4260</v>
      </c>
      <c r="D449" s="7" t="s">
        <v>4413</v>
      </c>
      <c r="E449" s="7"/>
      <c r="F449" s="7" t="s">
        <v>4414</v>
      </c>
      <c r="G449" s="7" t="s">
        <v>24</v>
      </c>
      <c r="H449" s="7" t="str">
        <f>IFERROR(VLOOKUP(Table2[[#This Row],[Ticket]],Okey!A:B,2,0),"")</f>
        <v>ok</v>
      </c>
      <c r="I449" s="7" t="s">
        <v>3679</v>
      </c>
      <c r="J449" s="7" t="str">
        <f>VLOOKUP(Table2[[#This Row],[Author]],People!A:B,2,0)</f>
        <v>MGF</v>
      </c>
      <c r="K449" s="7"/>
      <c r="L449" s="7"/>
      <c r="M449" s="16" t="s">
        <v>2329</v>
      </c>
    </row>
    <row r="450" spans="1:13" x14ac:dyDescent="0.25">
      <c r="A450" s="22">
        <f t="shared" si="6"/>
        <v>449</v>
      </c>
      <c r="B450" s="6" t="s">
        <v>2330</v>
      </c>
      <c r="C450" s="6" t="s">
        <v>4260</v>
      </c>
      <c r="D450" s="6" t="s">
        <v>4415</v>
      </c>
      <c r="E450" s="6" t="s">
        <v>4416</v>
      </c>
      <c r="F450" s="6"/>
      <c r="G450" s="6" t="s">
        <v>63</v>
      </c>
      <c r="H450" s="6" t="str">
        <f>IFERROR(VLOOKUP(Table2[[#This Row],[Ticket]],Okey!A:B,2,0),"")</f>
        <v>ok</v>
      </c>
      <c r="I450" s="6" t="s">
        <v>3679</v>
      </c>
      <c r="J450" s="6" t="str">
        <f>VLOOKUP(Table2[[#This Row],[Author]],People!A:B,2,0)</f>
        <v>MGF</v>
      </c>
      <c r="K450" s="6"/>
      <c r="L450" s="6"/>
      <c r="M450" s="21" t="s">
        <v>2329</v>
      </c>
    </row>
    <row r="451" spans="1:13" x14ac:dyDescent="0.25">
      <c r="A451" s="23">
        <f t="shared" ref="A451:A514" si="7">1+A450</f>
        <v>450</v>
      </c>
      <c r="B451" s="7" t="s">
        <v>2330</v>
      </c>
      <c r="C451" s="7" t="s">
        <v>4260</v>
      </c>
      <c r="D451" s="7" t="s">
        <v>4417</v>
      </c>
      <c r="E451" s="7" t="s">
        <v>4418</v>
      </c>
      <c r="F451" s="7" t="s">
        <v>4419</v>
      </c>
      <c r="G451" s="7" t="s">
        <v>18</v>
      </c>
      <c r="H451" s="7" t="str">
        <f>IFERROR(VLOOKUP(Table2[[#This Row],[Ticket]],Okey!A:B,2,0),"")</f>
        <v>ok</v>
      </c>
      <c r="I451" s="7" t="s">
        <v>3679</v>
      </c>
      <c r="J451" s="7" t="str">
        <f>VLOOKUP(Table2[[#This Row],[Author]],People!A:B,2,0)</f>
        <v>MGF</v>
      </c>
      <c r="K451" s="7"/>
      <c r="L451" s="7"/>
      <c r="M451" s="16" t="s">
        <v>2329</v>
      </c>
    </row>
    <row r="452" spans="1:13" x14ac:dyDescent="0.25">
      <c r="A452" s="22">
        <f t="shared" si="7"/>
        <v>451</v>
      </c>
      <c r="B452" s="6" t="s">
        <v>2330</v>
      </c>
      <c r="C452" s="6" t="s">
        <v>4260</v>
      </c>
      <c r="D452" s="6" t="s">
        <v>4420</v>
      </c>
      <c r="E452" s="6" t="s">
        <v>4421</v>
      </c>
      <c r="F452" s="6" t="s">
        <v>4419</v>
      </c>
      <c r="G452" s="6" t="s">
        <v>18</v>
      </c>
      <c r="H452" s="6" t="str">
        <f>IFERROR(VLOOKUP(Table2[[#This Row],[Ticket]],Okey!A:B,2,0),"")</f>
        <v>ok</v>
      </c>
      <c r="I452" s="6" t="s">
        <v>3679</v>
      </c>
      <c r="J452" s="6" t="str">
        <f>VLOOKUP(Table2[[#This Row],[Author]],People!A:B,2,0)</f>
        <v>MGF</v>
      </c>
      <c r="K452" s="6"/>
      <c r="L452" s="6"/>
      <c r="M452" s="21" t="s">
        <v>2329</v>
      </c>
    </row>
    <row r="453" spans="1:13" x14ac:dyDescent="0.25">
      <c r="A453" s="23">
        <f t="shared" si="7"/>
        <v>452</v>
      </c>
      <c r="B453" s="7" t="s">
        <v>2330</v>
      </c>
      <c r="C453" s="7" t="s">
        <v>4260</v>
      </c>
      <c r="D453" s="7" t="s">
        <v>4422</v>
      </c>
      <c r="E453" s="7" t="s">
        <v>4423</v>
      </c>
      <c r="F453" s="7" t="s">
        <v>4419</v>
      </c>
      <c r="G453" s="7" t="s">
        <v>18</v>
      </c>
      <c r="H453" s="7" t="str">
        <f>IFERROR(VLOOKUP(Table2[[#This Row],[Ticket]],Okey!A:B,2,0),"")</f>
        <v>ok</v>
      </c>
      <c r="I453" s="7" t="s">
        <v>3679</v>
      </c>
      <c r="J453" s="7" t="str">
        <f>VLOOKUP(Table2[[#This Row],[Author]],People!A:B,2,0)</f>
        <v>MGF</v>
      </c>
      <c r="K453" s="7"/>
      <c r="L453" s="7"/>
      <c r="M453" s="16" t="s">
        <v>2329</v>
      </c>
    </row>
    <row r="454" spans="1:13" x14ac:dyDescent="0.25">
      <c r="A454" s="22">
        <f t="shared" si="7"/>
        <v>453</v>
      </c>
      <c r="B454" s="6" t="s">
        <v>2330</v>
      </c>
      <c r="C454" s="6" t="s">
        <v>4260</v>
      </c>
      <c r="D454" s="6" t="s">
        <v>4424</v>
      </c>
      <c r="E454" s="6" t="s">
        <v>4425</v>
      </c>
      <c r="F454" s="6" t="s">
        <v>4419</v>
      </c>
      <c r="G454" s="6" t="s">
        <v>18</v>
      </c>
      <c r="H454" s="6" t="str">
        <f>IFERROR(VLOOKUP(Table2[[#This Row],[Ticket]],Okey!A:B,2,0),"")</f>
        <v>ok</v>
      </c>
      <c r="I454" s="6" t="s">
        <v>3679</v>
      </c>
      <c r="J454" s="6" t="str">
        <f>VLOOKUP(Table2[[#This Row],[Author]],People!A:B,2,0)</f>
        <v>MGF</v>
      </c>
      <c r="K454" s="6"/>
      <c r="L454" s="6"/>
      <c r="M454" s="21" t="s">
        <v>2329</v>
      </c>
    </row>
    <row r="455" spans="1:13" x14ac:dyDescent="0.25">
      <c r="A455" s="23">
        <f t="shared" si="7"/>
        <v>454</v>
      </c>
      <c r="B455" s="7" t="s">
        <v>2330</v>
      </c>
      <c r="C455" s="7" t="s">
        <v>4260</v>
      </c>
      <c r="D455" s="7" t="s">
        <v>4426</v>
      </c>
      <c r="E455" s="7" t="s">
        <v>4427</v>
      </c>
      <c r="F455" s="7"/>
      <c r="G455" s="7" t="s">
        <v>63</v>
      </c>
      <c r="H455" s="7" t="str">
        <f>IFERROR(VLOOKUP(Table2[[#This Row],[Ticket]],Okey!A:B,2,0),"")</f>
        <v>ok</v>
      </c>
      <c r="I455" s="7" t="s">
        <v>3679</v>
      </c>
      <c r="J455" s="7" t="str">
        <f>VLOOKUP(Table2[[#This Row],[Author]],People!A:B,2,0)</f>
        <v>MGF</v>
      </c>
      <c r="K455" s="7"/>
      <c r="L455" s="7"/>
      <c r="M455" s="16" t="s">
        <v>2329</v>
      </c>
    </row>
    <row r="456" spans="1:13" x14ac:dyDescent="0.25">
      <c r="A456" s="22">
        <f t="shared" si="7"/>
        <v>455</v>
      </c>
      <c r="B456" s="6" t="s">
        <v>2330</v>
      </c>
      <c r="C456" s="6" t="s">
        <v>4260</v>
      </c>
      <c r="D456" s="6" t="s">
        <v>4428</v>
      </c>
      <c r="E456" s="6" t="s">
        <v>4429</v>
      </c>
      <c r="F456" s="6" t="s">
        <v>4430</v>
      </c>
      <c r="G456" s="6" t="s">
        <v>18</v>
      </c>
      <c r="H456" s="6" t="str">
        <f>IFERROR(VLOOKUP(Table2[[#This Row],[Ticket]],Okey!A:B,2,0),"")</f>
        <v>ok</v>
      </c>
      <c r="I456" s="6" t="s">
        <v>3679</v>
      </c>
      <c r="J456" s="6" t="str">
        <f>VLOOKUP(Table2[[#This Row],[Author]],People!A:B,2,0)</f>
        <v>MGF</v>
      </c>
      <c r="K456" s="6"/>
      <c r="L456" s="6"/>
      <c r="M456" s="21" t="s">
        <v>2329</v>
      </c>
    </row>
    <row r="457" spans="1:13" x14ac:dyDescent="0.25">
      <c r="A457" s="23">
        <f t="shared" si="7"/>
        <v>456</v>
      </c>
      <c r="B457" s="7" t="s">
        <v>2330</v>
      </c>
      <c r="C457" s="7" t="s">
        <v>4260</v>
      </c>
      <c r="D457" s="7" t="s">
        <v>4431</v>
      </c>
      <c r="E457" s="7" t="s">
        <v>4432</v>
      </c>
      <c r="F457" s="7" t="s">
        <v>4430</v>
      </c>
      <c r="G457" s="7" t="s">
        <v>18</v>
      </c>
      <c r="H457" s="7" t="str">
        <f>IFERROR(VLOOKUP(Table2[[#This Row],[Ticket]],Okey!A:B,2,0),"")</f>
        <v>ok</v>
      </c>
      <c r="I457" s="7" t="s">
        <v>3679</v>
      </c>
      <c r="J457" s="7" t="str">
        <f>VLOOKUP(Table2[[#This Row],[Author]],People!A:B,2,0)</f>
        <v>MGF</v>
      </c>
      <c r="K457" s="7"/>
      <c r="L457" s="7"/>
      <c r="M457" s="16" t="s">
        <v>2329</v>
      </c>
    </row>
    <row r="458" spans="1:13" x14ac:dyDescent="0.25">
      <c r="A458" s="22">
        <f t="shared" si="7"/>
        <v>457</v>
      </c>
      <c r="B458" s="6" t="s">
        <v>2330</v>
      </c>
      <c r="C458" s="6" t="s">
        <v>4260</v>
      </c>
      <c r="D458" s="6" t="s">
        <v>4433</v>
      </c>
      <c r="E458" s="6" t="s">
        <v>4434</v>
      </c>
      <c r="F458" s="6" t="s">
        <v>4435</v>
      </c>
      <c r="G458" s="6" t="s">
        <v>18</v>
      </c>
      <c r="H458" s="6" t="str">
        <f>IFERROR(VLOOKUP(Table2[[#This Row],[Ticket]],Okey!A:B,2,0),"")</f>
        <v>ok</v>
      </c>
      <c r="I458" s="6" t="s">
        <v>3679</v>
      </c>
      <c r="J458" s="6" t="str">
        <f>VLOOKUP(Table2[[#This Row],[Author]],People!A:B,2,0)</f>
        <v>MGF</v>
      </c>
      <c r="K458" s="6"/>
      <c r="L458" s="6"/>
      <c r="M458" s="21" t="s">
        <v>2329</v>
      </c>
    </row>
    <row r="459" spans="1:13" x14ac:dyDescent="0.25">
      <c r="A459" s="23">
        <f t="shared" si="7"/>
        <v>458</v>
      </c>
      <c r="B459" s="7" t="s">
        <v>2330</v>
      </c>
      <c r="C459" s="7" t="s">
        <v>4260</v>
      </c>
      <c r="D459" s="7" t="s">
        <v>4436</v>
      </c>
      <c r="E459" s="7" t="s">
        <v>4437</v>
      </c>
      <c r="F459" s="7" t="s">
        <v>4435</v>
      </c>
      <c r="G459" s="7" t="s">
        <v>18</v>
      </c>
      <c r="H459" s="7" t="str">
        <f>IFERROR(VLOOKUP(Table2[[#This Row],[Ticket]],Okey!A:B,2,0),"")</f>
        <v>ok</v>
      </c>
      <c r="I459" s="7" t="s">
        <v>3679</v>
      </c>
      <c r="J459" s="7" t="str">
        <f>VLOOKUP(Table2[[#This Row],[Author]],People!A:B,2,0)</f>
        <v>MGF</v>
      </c>
      <c r="K459" s="7"/>
      <c r="L459" s="7"/>
      <c r="M459" s="16" t="s">
        <v>2329</v>
      </c>
    </row>
    <row r="460" spans="1:13" x14ac:dyDescent="0.25">
      <c r="A460" s="22">
        <f t="shared" si="7"/>
        <v>459</v>
      </c>
      <c r="B460" s="6" t="s">
        <v>2330</v>
      </c>
      <c r="C460" s="6" t="s">
        <v>4438</v>
      </c>
      <c r="D460" s="6" t="s">
        <v>4439</v>
      </c>
      <c r="E460" s="6"/>
      <c r="F460" s="6" t="s">
        <v>327</v>
      </c>
      <c r="G460" s="6" t="s">
        <v>328</v>
      </c>
      <c r="H460" s="6" t="str">
        <f>IFERROR(VLOOKUP(Table2[[#This Row],[Ticket]],Okey!A:B,2,0),"")</f>
        <v>ok</v>
      </c>
      <c r="I460" s="6" t="s">
        <v>3679</v>
      </c>
      <c r="J460" s="6" t="str">
        <f>VLOOKUP(Table2[[#This Row],[Author]],People!A:B,2,0)</f>
        <v>MGF</v>
      </c>
      <c r="K460" s="6"/>
      <c r="L460" s="6"/>
      <c r="M460" s="21" t="s">
        <v>3967</v>
      </c>
    </row>
    <row r="461" spans="1:13" x14ac:dyDescent="0.25">
      <c r="A461" s="23">
        <f t="shared" si="7"/>
        <v>460</v>
      </c>
      <c r="B461" s="7" t="s">
        <v>2330</v>
      </c>
      <c r="C461" s="7" t="s">
        <v>4438</v>
      </c>
      <c r="D461" s="7" t="s">
        <v>4440</v>
      </c>
      <c r="E461" s="7"/>
      <c r="F461" s="7" t="s">
        <v>327</v>
      </c>
      <c r="G461" s="7" t="s">
        <v>328</v>
      </c>
      <c r="H461" s="7" t="str">
        <f>IFERROR(VLOOKUP(Table2[[#This Row],[Ticket]],Okey!A:B,2,0),"")</f>
        <v>ok</v>
      </c>
      <c r="I461" s="7" t="s">
        <v>3679</v>
      </c>
      <c r="J461" s="7" t="str">
        <f>VLOOKUP(Table2[[#This Row],[Author]],People!A:B,2,0)</f>
        <v>MGF</v>
      </c>
      <c r="K461" s="7"/>
      <c r="L461" s="7"/>
      <c r="M461" s="16" t="s">
        <v>3967</v>
      </c>
    </row>
    <row r="462" spans="1:13" x14ac:dyDescent="0.25">
      <c r="A462" s="22">
        <f t="shared" si="7"/>
        <v>461</v>
      </c>
      <c r="B462" s="6" t="s">
        <v>2330</v>
      </c>
      <c r="C462" s="6" t="s">
        <v>4438</v>
      </c>
      <c r="D462" s="6" t="s">
        <v>4441</v>
      </c>
      <c r="E462" s="6"/>
      <c r="F462" s="6" t="s">
        <v>327</v>
      </c>
      <c r="G462" s="6" t="s">
        <v>328</v>
      </c>
      <c r="H462" s="6" t="str">
        <f>IFERROR(VLOOKUP(Table2[[#This Row],[Ticket]],Okey!A:B,2,0),"")</f>
        <v>ok</v>
      </c>
      <c r="I462" s="6" t="s">
        <v>3679</v>
      </c>
      <c r="J462" s="6" t="str">
        <f>VLOOKUP(Table2[[#This Row],[Author]],People!A:B,2,0)</f>
        <v>MGF</v>
      </c>
      <c r="K462" s="6"/>
      <c r="L462" s="6"/>
      <c r="M462" s="21" t="s">
        <v>3967</v>
      </c>
    </row>
    <row r="463" spans="1:13" ht="60" x14ac:dyDescent="0.25">
      <c r="A463" s="23">
        <f t="shared" si="7"/>
        <v>462</v>
      </c>
      <c r="B463" s="7" t="s">
        <v>2330</v>
      </c>
      <c r="C463" s="7" t="s">
        <v>14</v>
      </c>
      <c r="D463" s="7" t="s">
        <v>4442</v>
      </c>
      <c r="E463" s="7"/>
      <c r="F463" s="7" t="s">
        <v>2328</v>
      </c>
      <c r="G463" s="7" t="s">
        <v>24</v>
      </c>
      <c r="H463" s="7" t="str">
        <f>IFERROR(VLOOKUP(Table2[[#This Row],[Ticket]],Okey!A:B,2,0),"")</f>
        <v>ok</v>
      </c>
      <c r="I463" s="7" t="s">
        <v>3679</v>
      </c>
      <c r="J463" s="7" t="str">
        <f>VLOOKUP(Table2[[#This Row],[Author]],People!A:B,2,0)</f>
        <v>MGF</v>
      </c>
      <c r="K463" s="7"/>
      <c r="L463" s="7"/>
      <c r="M463" s="27" t="s">
        <v>2329</v>
      </c>
    </row>
    <row r="464" spans="1:13" x14ac:dyDescent="0.25">
      <c r="A464" s="22">
        <f t="shared" si="7"/>
        <v>463</v>
      </c>
      <c r="B464" s="6" t="s">
        <v>2330</v>
      </c>
      <c r="C464" s="6" t="s">
        <v>4443</v>
      </c>
      <c r="D464" s="6" t="s">
        <v>561</v>
      </c>
      <c r="E464" s="6" t="s">
        <v>4091</v>
      </c>
      <c r="F464" s="6" t="s">
        <v>351</v>
      </c>
      <c r="G464" s="6" t="s">
        <v>496</v>
      </c>
      <c r="H464" s="6" t="str">
        <f>IFERROR(VLOOKUP(Table2[[#This Row],[Ticket]],Okey!A:B,2,0),"")</f>
        <v>ok</v>
      </c>
      <c r="I464" s="6" t="s">
        <v>3679</v>
      </c>
      <c r="J464" s="6" t="str">
        <f>VLOOKUP(Table2[[#This Row],[Author]],People!A:B,2,0)</f>
        <v>MGF</v>
      </c>
      <c r="K464" s="6"/>
      <c r="L464" s="6"/>
      <c r="M464" s="21" t="s">
        <v>3984</v>
      </c>
    </row>
    <row r="465" spans="1:13" x14ac:dyDescent="0.25">
      <c r="A465" s="23">
        <f t="shared" si="7"/>
        <v>464</v>
      </c>
      <c r="B465" s="7" t="s">
        <v>2330</v>
      </c>
      <c r="C465" s="7" t="s">
        <v>4443</v>
      </c>
      <c r="D465" s="7" t="s">
        <v>563</v>
      </c>
      <c r="E465" s="7" t="s">
        <v>4444</v>
      </c>
      <c r="F465" s="7" t="s">
        <v>351</v>
      </c>
      <c r="G465" s="7" t="s">
        <v>496</v>
      </c>
      <c r="H465" s="7" t="str">
        <f>IFERROR(VLOOKUP(Table2[[#This Row],[Ticket]],Okey!A:B,2,0),"")</f>
        <v>ok</v>
      </c>
      <c r="I465" s="7" t="s">
        <v>3679</v>
      </c>
      <c r="J465" s="7" t="str">
        <f>VLOOKUP(Table2[[#This Row],[Author]],People!A:B,2,0)</f>
        <v>MGF</v>
      </c>
      <c r="K465" s="7"/>
      <c r="L465" s="7"/>
      <c r="M465" s="16" t="s">
        <v>3984</v>
      </c>
    </row>
    <row r="466" spans="1:13" x14ac:dyDescent="0.25">
      <c r="A466" s="22">
        <f t="shared" si="7"/>
        <v>465</v>
      </c>
      <c r="B466" s="6" t="s">
        <v>2330</v>
      </c>
      <c r="C466" s="6" t="s">
        <v>4443</v>
      </c>
      <c r="D466" s="6" t="s">
        <v>354</v>
      </c>
      <c r="E466" s="6" t="s">
        <v>4093</v>
      </c>
      <c r="F466" s="6" t="s">
        <v>351</v>
      </c>
      <c r="G466" s="6" t="s">
        <v>496</v>
      </c>
      <c r="H466" s="6" t="str">
        <f>IFERROR(VLOOKUP(Table2[[#This Row],[Ticket]],Okey!A:B,2,0),"")</f>
        <v>ok</v>
      </c>
      <c r="I466" s="6" t="s">
        <v>3679</v>
      </c>
      <c r="J466" s="6" t="str">
        <f>VLOOKUP(Table2[[#This Row],[Author]],People!A:B,2,0)</f>
        <v>MGF</v>
      </c>
      <c r="K466" s="6"/>
      <c r="L466" s="6"/>
      <c r="M466" s="21" t="s">
        <v>3984</v>
      </c>
    </row>
    <row r="467" spans="1:13" x14ac:dyDescent="0.25">
      <c r="A467" s="23">
        <f t="shared" si="7"/>
        <v>466</v>
      </c>
      <c r="B467" s="7" t="s">
        <v>2330</v>
      </c>
      <c r="C467" s="7" t="s">
        <v>4443</v>
      </c>
      <c r="D467" s="7" t="s">
        <v>357</v>
      </c>
      <c r="E467" s="7" t="s">
        <v>4445</v>
      </c>
      <c r="F467" s="7" t="s">
        <v>351</v>
      </c>
      <c r="G467" s="7" t="s">
        <v>496</v>
      </c>
      <c r="H467" s="7" t="str">
        <f>IFERROR(VLOOKUP(Table2[[#This Row],[Ticket]],Okey!A:B,2,0),"")</f>
        <v>ok</v>
      </c>
      <c r="I467" s="7" t="s">
        <v>3679</v>
      </c>
      <c r="J467" s="7" t="str">
        <f>VLOOKUP(Table2[[#This Row],[Author]],People!A:B,2,0)</f>
        <v>MGF</v>
      </c>
      <c r="K467" s="7"/>
      <c r="L467" s="7"/>
      <c r="M467" s="16" t="s">
        <v>3984</v>
      </c>
    </row>
    <row r="468" spans="1:13" x14ac:dyDescent="0.25">
      <c r="A468" s="22">
        <f t="shared" si="7"/>
        <v>467</v>
      </c>
      <c r="B468" s="6" t="s">
        <v>2330</v>
      </c>
      <c r="C468" s="6" t="s">
        <v>4443</v>
      </c>
      <c r="D468" s="6" t="s">
        <v>589</v>
      </c>
      <c r="E468" s="6" t="s">
        <v>4446</v>
      </c>
      <c r="F468" s="6" t="s">
        <v>386</v>
      </c>
      <c r="G468" s="6" t="s">
        <v>496</v>
      </c>
      <c r="H468" s="6" t="str">
        <f>IFERROR(VLOOKUP(Table2[[#This Row],[Ticket]],Okey!A:B,2,0),"")</f>
        <v>ok</v>
      </c>
      <c r="I468" s="6" t="s">
        <v>3679</v>
      </c>
      <c r="J468" s="6" t="str">
        <f>VLOOKUP(Table2[[#This Row],[Author]],People!A:B,2,0)</f>
        <v>MGF</v>
      </c>
      <c r="K468" s="6"/>
      <c r="L468" s="6"/>
      <c r="M468" s="21" t="s">
        <v>3984</v>
      </c>
    </row>
    <row r="469" spans="1:13" x14ac:dyDescent="0.25">
      <c r="A469" s="23">
        <f t="shared" si="7"/>
        <v>468</v>
      </c>
      <c r="B469" s="7" t="s">
        <v>2330</v>
      </c>
      <c r="C469" s="7" t="s">
        <v>4443</v>
      </c>
      <c r="D469" s="7" t="s">
        <v>358</v>
      </c>
      <c r="E469" s="7" t="s">
        <v>4447</v>
      </c>
      <c r="F469" s="7" t="s">
        <v>386</v>
      </c>
      <c r="G469" s="7" t="s">
        <v>496</v>
      </c>
      <c r="H469" s="7" t="str">
        <f>IFERROR(VLOOKUP(Table2[[#This Row],[Ticket]],Okey!A:B,2,0),"")</f>
        <v>ok</v>
      </c>
      <c r="I469" s="7" t="s">
        <v>3679</v>
      </c>
      <c r="J469" s="7" t="str">
        <f>VLOOKUP(Table2[[#This Row],[Author]],People!A:B,2,0)</f>
        <v>MGF</v>
      </c>
      <c r="K469" s="7"/>
      <c r="L469" s="7"/>
      <c r="M469" s="16" t="s">
        <v>3984</v>
      </c>
    </row>
    <row r="470" spans="1:13" x14ac:dyDescent="0.25">
      <c r="A470" s="22">
        <f t="shared" si="7"/>
        <v>469</v>
      </c>
      <c r="B470" s="6" t="s">
        <v>2330</v>
      </c>
      <c r="C470" s="6" t="s">
        <v>4443</v>
      </c>
      <c r="D470" s="6" t="s">
        <v>359</v>
      </c>
      <c r="E470" s="6" t="s">
        <v>4448</v>
      </c>
      <c r="F470" s="6" t="s">
        <v>386</v>
      </c>
      <c r="G470" s="6" t="s">
        <v>496</v>
      </c>
      <c r="H470" s="6" t="str">
        <f>IFERROR(VLOOKUP(Table2[[#This Row],[Ticket]],Okey!A:B,2,0),"")</f>
        <v>ok</v>
      </c>
      <c r="I470" s="6" t="s">
        <v>3679</v>
      </c>
      <c r="J470" s="6" t="str">
        <f>VLOOKUP(Table2[[#This Row],[Author]],People!A:B,2,0)</f>
        <v>MGF</v>
      </c>
      <c r="K470" s="6"/>
      <c r="L470" s="6"/>
      <c r="M470" s="21" t="s">
        <v>3984</v>
      </c>
    </row>
    <row r="471" spans="1:13" x14ac:dyDescent="0.25">
      <c r="A471" s="23">
        <f t="shared" si="7"/>
        <v>470</v>
      </c>
      <c r="B471" s="7" t="s">
        <v>2330</v>
      </c>
      <c r="C471" s="7" t="s">
        <v>4443</v>
      </c>
      <c r="D471" s="7" t="s">
        <v>386</v>
      </c>
      <c r="E471" s="7" t="s">
        <v>4090</v>
      </c>
      <c r="F471" s="7" t="s">
        <v>350</v>
      </c>
      <c r="G471" s="7" t="s">
        <v>496</v>
      </c>
      <c r="H471" s="7" t="str">
        <f>IFERROR(VLOOKUP(Table2[[#This Row],[Ticket]],Okey!A:B,2,0),"")</f>
        <v>ok</v>
      </c>
      <c r="I471" s="7" t="s">
        <v>3679</v>
      </c>
      <c r="J471" s="7" t="str">
        <f>VLOOKUP(Table2[[#This Row],[Author]],People!A:B,2,0)</f>
        <v>MGF</v>
      </c>
      <c r="K471" s="7"/>
      <c r="L471" s="7"/>
      <c r="M471" s="16" t="s">
        <v>3984</v>
      </c>
    </row>
    <row r="472" spans="1:13" x14ac:dyDescent="0.25">
      <c r="A472" s="22">
        <f t="shared" si="7"/>
        <v>471</v>
      </c>
      <c r="B472" s="6" t="s">
        <v>2330</v>
      </c>
      <c r="C472" s="6" t="s">
        <v>4443</v>
      </c>
      <c r="D472" s="6" t="s">
        <v>349</v>
      </c>
      <c r="E472" s="6" t="s">
        <v>4449</v>
      </c>
      <c r="F472" s="6" t="s">
        <v>350</v>
      </c>
      <c r="G472" s="6" t="s">
        <v>496</v>
      </c>
      <c r="H472" s="6" t="str">
        <f>IFERROR(VLOOKUP(Table2[[#This Row],[Ticket]],Okey!A:B,2,0),"")</f>
        <v>ok</v>
      </c>
      <c r="I472" s="6" t="s">
        <v>3679</v>
      </c>
      <c r="J472" s="6" t="str">
        <f>VLOOKUP(Table2[[#This Row],[Author]],People!A:B,2,0)</f>
        <v>MGF</v>
      </c>
      <c r="K472" s="6"/>
      <c r="L472" s="6"/>
      <c r="M472" s="21" t="s">
        <v>3984</v>
      </c>
    </row>
    <row r="473" spans="1:13" x14ac:dyDescent="0.25">
      <c r="A473" s="23">
        <f t="shared" si="7"/>
        <v>472</v>
      </c>
      <c r="B473" s="7" t="s">
        <v>2330</v>
      </c>
      <c r="C473" s="7" t="s">
        <v>4443</v>
      </c>
      <c r="D473" s="7" t="s">
        <v>579</v>
      </c>
      <c r="E473" s="7" t="s">
        <v>4450</v>
      </c>
      <c r="F473" s="7" t="s">
        <v>350</v>
      </c>
      <c r="G473" s="7" t="s">
        <v>496</v>
      </c>
      <c r="H473" s="7" t="str">
        <f>IFERROR(VLOOKUP(Table2[[#This Row],[Ticket]],Okey!A:B,2,0),"")</f>
        <v>ok</v>
      </c>
      <c r="I473" s="7" t="s">
        <v>3679</v>
      </c>
      <c r="J473" s="7" t="str">
        <f>VLOOKUP(Table2[[#This Row],[Author]],People!A:B,2,0)</f>
        <v>MGF</v>
      </c>
      <c r="K473" s="7"/>
      <c r="L473" s="7"/>
      <c r="M473" s="16" t="s">
        <v>3984</v>
      </c>
    </row>
    <row r="474" spans="1:13" x14ac:dyDescent="0.25">
      <c r="A474" s="22">
        <f t="shared" si="7"/>
        <v>473</v>
      </c>
      <c r="B474" s="6" t="s">
        <v>2330</v>
      </c>
      <c r="C474" s="6" t="s">
        <v>4443</v>
      </c>
      <c r="D474" s="6" t="s">
        <v>587</v>
      </c>
      <c r="E474" s="6" t="s">
        <v>4451</v>
      </c>
      <c r="F474" s="6" t="s">
        <v>350</v>
      </c>
      <c r="G474" s="6" t="s">
        <v>496</v>
      </c>
      <c r="H474" s="6" t="str">
        <f>IFERROR(VLOOKUP(Table2[[#This Row],[Ticket]],Okey!A:B,2,0),"")</f>
        <v>ok</v>
      </c>
      <c r="I474" s="6" t="s">
        <v>3679</v>
      </c>
      <c r="J474" s="6" t="str">
        <f>VLOOKUP(Table2[[#This Row],[Author]],People!A:B,2,0)</f>
        <v>MGF</v>
      </c>
      <c r="K474" s="6"/>
      <c r="L474" s="6"/>
      <c r="M474" s="21" t="s">
        <v>3984</v>
      </c>
    </row>
    <row r="475" spans="1:13" x14ac:dyDescent="0.25">
      <c r="A475" s="23">
        <f t="shared" si="7"/>
        <v>474</v>
      </c>
      <c r="B475" s="7" t="s">
        <v>2330</v>
      </c>
      <c r="C475" s="7" t="s">
        <v>4443</v>
      </c>
      <c r="D475" s="7" t="s">
        <v>581</v>
      </c>
      <c r="E475" s="7" t="s">
        <v>4452</v>
      </c>
      <c r="F475" s="7" t="s">
        <v>350</v>
      </c>
      <c r="G475" s="7" t="s">
        <v>496</v>
      </c>
      <c r="H475" s="7" t="str">
        <f>IFERROR(VLOOKUP(Table2[[#This Row],[Ticket]],Okey!A:B,2,0),"")</f>
        <v>ok</v>
      </c>
      <c r="I475" s="7" t="s">
        <v>3679</v>
      </c>
      <c r="J475" s="7" t="str">
        <f>VLOOKUP(Table2[[#This Row],[Author]],People!A:B,2,0)</f>
        <v>MGF</v>
      </c>
      <c r="K475" s="7"/>
      <c r="L475" s="7"/>
      <c r="M475" s="16" t="s">
        <v>3984</v>
      </c>
    </row>
    <row r="476" spans="1:13" x14ac:dyDescent="0.25">
      <c r="A476" s="22">
        <f t="shared" si="7"/>
        <v>475</v>
      </c>
      <c r="B476" s="6" t="s">
        <v>2330</v>
      </c>
      <c r="C476" s="6" t="s">
        <v>4443</v>
      </c>
      <c r="D476" s="6" t="s">
        <v>476</v>
      </c>
      <c r="E476" s="6" t="s">
        <v>4453</v>
      </c>
      <c r="F476" s="6" t="s">
        <v>474</v>
      </c>
      <c r="G476" s="6" t="s">
        <v>496</v>
      </c>
      <c r="H476" s="6" t="str">
        <f>IFERROR(VLOOKUP(Table2[[#This Row],[Ticket]],Okey!A:B,2,0),"")</f>
        <v>ok</v>
      </c>
      <c r="I476" s="6" t="s">
        <v>3679</v>
      </c>
      <c r="J476" s="6" t="str">
        <f>VLOOKUP(Table2[[#This Row],[Author]],People!A:B,2,0)</f>
        <v>MGF</v>
      </c>
      <c r="K476" s="6"/>
      <c r="L476" s="6"/>
      <c r="M476" s="21" t="s">
        <v>3984</v>
      </c>
    </row>
    <row r="477" spans="1:13" x14ac:dyDescent="0.25">
      <c r="A477" s="23">
        <f t="shared" si="7"/>
        <v>476</v>
      </c>
      <c r="B477" s="7" t="s">
        <v>2330</v>
      </c>
      <c r="C477" s="7" t="s">
        <v>4443</v>
      </c>
      <c r="D477" s="7" t="s">
        <v>478</v>
      </c>
      <c r="E477" s="7" t="s">
        <v>4454</v>
      </c>
      <c r="F477" s="7" t="s">
        <v>474</v>
      </c>
      <c r="G477" s="7" t="s">
        <v>496</v>
      </c>
      <c r="H477" s="7" t="str">
        <f>IFERROR(VLOOKUP(Table2[[#This Row],[Ticket]],Okey!A:B,2,0),"")</f>
        <v>ok</v>
      </c>
      <c r="I477" s="7" t="s">
        <v>3679</v>
      </c>
      <c r="J477" s="7" t="str">
        <f>VLOOKUP(Table2[[#This Row],[Author]],People!A:B,2,0)</f>
        <v>MGF</v>
      </c>
      <c r="K477" s="7"/>
      <c r="L477" s="7"/>
      <c r="M477" s="16" t="s">
        <v>3984</v>
      </c>
    </row>
    <row r="478" spans="1:13" x14ac:dyDescent="0.25">
      <c r="A478" s="22">
        <f t="shared" si="7"/>
        <v>477</v>
      </c>
      <c r="B478" s="6" t="s">
        <v>2330</v>
      </c>
      <c r="C478" s="6" t="s">
        <v>4443</v>
      </c>
      <c r="D478" s="6" t="s">
        <v>480</v>
      </c>
      <c r="E478" s="6" t="s">
        <v>4455</v>
      </c>
      <c r="F478" s="6" t="s">
        <v>474</v>
      </c>
      <c r="G478" s="6" t="s">
        <v>496</v>
      </c>
      <c r="H478" s="6" t="str">
        <f>IFERROR(VLOOKUP(Table2[[#This Row],[Ticket]],Okey!A:B,2,0),"")</f>
        <v>ok</v>
      </c>
      <c r="I478" s="6" t="s">
        <v>3679</v>
      </c>
      <c r="J478" s="6" t="str">
        <f>VLOOKUP(Table2[[#This Row],[Author]],People!A:B,2,0)</f>
        <v>MGF</v>
      </c>
      <c r="K478" s="6"/>
      <c r="L478" s="6"/>
      <c r="M478" s="21" t="s">
        <v>3984</v>
      </c>
    </row>
    <row r="479" spans="1:13" x14ac:dyDescent="0.25">
      <c r="A479" s="23">
        <f t="shared" si="7"/>
        <v>478</v>
      </c>
      <c r="B479" s="7" t="s">
        <v>2330</v>
      </c>
      <c r="C479" s="7" t="s">
        <v>4443</v>
      </c>
      <c r="D479" s="7" t="s">
        <v>4456</v>
      </c>
      <c r="E479" s="7" t="s">
        <v>4457</v>
      </c>
      <c r="F479" s="7" t="s">
        <v>561</v>
      </c>
      <c r="G479" s="7" t="s">
        <v>496</v>
      </c>
      <c r="H479" s="7" t="str">
        <f>IFERROR(VLOOKUP(Table2[[#This Row],[Ticket]],Okey!A:B,2,0),"")</f>
        <v>ok</v>
      </c>
      <c r="I479" s="7" t="s">
        <v>3679</v>
      </c>
      <c r="J479" s="7" t="str">
        <f>VLOOKUP(Table2[[#This Row],[Author]],People!A:B,2,0)</f>
        <v>MGF</v>
      </c>
      <c r="K479" s="7"/>
      <c r="L479" s="7"/>
      <c r="M479" s="16" t="s">
        <v>3984</v>
      </c>
    </row>
    <row r="480" spans="1:13" x14ac:dyDescent="0.25">
      <c r="A480" s="22">
        <f t="shared" si="7"/>
        <v>479</v>
      </c>
      <c r="B480" s="6" t="s">
        <v>2330</v>
      </c>
      <c r="C480" s="6" t="s">
        <v>4443</v>
      </c>
      <c r="D480" s="6" t="s">
        <v>4458</v>
      </c>
      <c r="E480" s="6" t="s">
        <v>4459</v>
      </c>
      <c r="F480" s="6" t="s">
        <v>561</v>
      </c>
      <c r="G480" s="6" t="s">
        <v>496</v>
      </c>
      <c r="H480" s="6" t="str">
        <f>IFERROR(VLOOKUP(Table2[[#This Row],[Ticket]],Okey!A:B,2,0),"")</f>
        <v>ok</v>
      </c>
      <c r="I480" s="6" t="s">
        <v>3679</v>
      </c>
      <c r="J480" s="6" t="str">
        <f>VLOOKUP(Table2[[#This Row],[Author]],People!A:B,2,0)</f>
        <v>MGF</v>
      </c>
      <c r="K480" s="6"/>
      <c r="L480" s="6"/>
      <c r="M480" s="21" t="s">
        <v>3984</v>
      </c>
    </row>
    <row r="481" spans="1:13" x14ac:dyDescent="0.25">
      <c r="A481" s="23">
        <f t="shared" si="7"/>
        <v>480</v>
      </c>
      <c r="B481" s="7" t="s">
        <v>2330</v>
      </c>
      <c r="C481" s="7" t="s">
        <v>4443</v>
      </c>
      <c r="D481" s="7" t="s">
        <v>4460</v>
      </c>
      <c r="E481" s="7" t="s">
        <v>4461</v>
      </c>
      <c r="F481" s="7" t="s">
        <v>561</v>
      </c>
      <c r="G481" s="7" t="s">
        <v>496</v>
      </c>
      <c r="H481" s="7" t="str">
        <f>IFERROR(VLOOKUP(Table2[[#This Row],[Ticket]],Okey!A:B,2,0),"")</f>
        <v>ok</v>
      </c>
      <c r="I481" s="7" t="s">
        <v>3679</v>
      </c>
      <c r="J481" s="7" t="str">
        <f>VLOOKUP(Table2[[#This Row],[Author]],People!A:B,2,0)</f>
        <v>MGF</v>
      </c>
      <c r="K481" s="7"/>
      <c r="L481" s="7"/>
      <c r="M481" s="16" t="s">
        <v>3984</v>
      </c>
    </row>
    <row r="482" spans="1:13" x14ac:dyDescent="0.25">
      <c r="A482" s="22">
        <f t="shared" si="7"/>
        <v>481</v>
      </c>
      <c r="B482" s="6" t="s">
        <v>2330</v>
      </c>
      <c r="C482" s="6" t="s">
        <v>4443</v>
      </c>
      <c r="D482" s="6" t="s">
        <v>4462</v>
      </c>
      <c r="E482" s="6" t="s">
        <v>4463</v>
      </c>
      <c r="F482" s="6" t="s">
        <v>563</v>
      </c>
      <c r="G482" s="6" t="s">
        <v>496</v>
      </c>
      <c r="H482" s="6" t="str">
        <f>IFERROR(VLOOKUP(Table2[[#This Row],[Ticket]],Okey!A:B,2,0),"")</f>
        <v>ok</v>
      </c>
      <c r="I482" s="6" t="s">
        <v>3679</v>
      </c>
      <c r="J482" s="6" t="str">
        <f>VLOOKUP(Table2[[#This Row],[Author]],People!A:B,2,0)</f>
        <v>MGF</v>
      </c>
      <c r="K482" s="6"/>
      <c r="L482" s="6"/>
      <c r="M482" s="21" t="s">
        <v>3984</v>
      </c>
    </row>
    <row r="483" spans="1:13" x14ac:dyDescent="0.25">
      <c r="A483" s="23">
        <f t="shared" si="7"/>
        <v>482</v>
      </c>
      <c r="B483" s="7" t="s">
        <v>2330</v>
      </c>
      <c r="C483" s="7" t="s">
        <v>4443</v>
      </c>
      <c r="D483" s="7" t="s">
        <v>356</v>
      </c>
      <c r="E483" s="7" t="s">
        <v>4464</v>
      </c>
      <c r="F483" s="7" t="s">
        <v>354</v>
      </c>
      <c r="G483" s="7" t="s">
        <v>496</v>
      </c>
      <c r="H483" s="7" t="str">
        <f>IFERROR(VLOOKUP(Table2[[#This Row],[Ticket]],Okey!A:B,2,0),"")</f>
        <v>ok</v>
      </c>
      <c r="I483" s="7" t="s">
        <v>3679</v>
      </c>
      <c r="J483" s="7" t="str">
        <f>VLOOKUP(Table2[[#This Row],[Author]],People!A:B,2,0)</f>
        <v>MGF</v>
      </c>
      <c r="K483" s="7"/>
      <c r="L483" s="7"/>
      <c r="M483" s="16" t="s">
        <v>3984</v>
      </c>
    </row>
    <row r="484" spans="1:13" x14ac:dyDescent="0.25">
      <c r="A484" s="22">
        <f t="shared" si="7"/>
        <v>483</v>
      </c>
      <c r="B484" s="6" t="s">
        <v>2330</v>
      </c>
      <c r="C484" s="6" t="s">
        <v>4443</v>
      </c>
      <c r="D484" s="6" t="s">
        <v>4465</v>
      </c>
      <c r="E484" s="6" t="s">
        <v>4466</v>
      </c>
      <c r="F484" s="6" t="s">
        <v>581</v>
      </c>
      <c r="G484" s="6" t="s">
        <v>496</v>
      </c>
      <c r="H484" s="6" t="str">
        <f>IFERROR(VLOOKUP(Table2[[#This Row],[Ticket]],Okey!A:B,2,0),"")</f>
        <v>ok</v>
      </c>
      <c r="I484" s="6" t="s">
        <v>3679</v>
      </c>
      <c r="J484" s="6" t="str">
        <f>VLOOKUP(Table2[[#This Row],[Author]],People!A:B,2,0)</f>
        <v>MGF</v>
      </c>
      <c r="K484" s="6"/>
      <c r="L484" s="6"/>
      <c r="M484" s="21" t="s">
        <v>3984</v>
      </c>
    </row>
    <row r="485" spans="1:13" x14ac:dyDescent="0.25">
      <c r="A485" s="23">
        <f t="shared" si="7"/>
        <v>484</v>
      </c>
      <c r="B485" s="7" t="s">
        <v>2330</v>
      </c>
      <c r="C485" s="7" t="s">
        <v>4443</v>
      </c>
      <c r="D485" s="7" t="s">
        <v>595</v>
      </c>
      <c r="E485" s="7" t="s">
        <v>4467</v>
      </c>
      <c r="F485" s="7" t="s">
        <v>581</v>
      </c>
      <c r="G485" s="7" t="s">
        <v>496</v>
      </c>
      <c r="H485" s="7" t="str">
        <f>IFERROR(VLOOKUP(Table2[[#This Row],[Ticket]],Okey!A:B,2,0),"")</f>
        <v>ok</v>
      </c>
      <c r="I485" s="7" t="s">
        <v>3679</v>
      </c>
      <c r="J485" s="7" t="str">
        <f>VLOOKUP(Table2[[#This Row],[Author]],People!A:B,2,0)</f>
        <v>MGF</v>
      </c>
      <c r="K485" s="7"/>
      <c r="L485" s="7"/>
      <c r="M485" s="16" t="s">
        <v>3984</v>
      </c>
    </row>
    <row r="486" spans="1:13" x14ac:dyDescent="0.25">
      <c r="A486" s="22">
        <f t="shared" si="7"/>
        <v>485</v>
      </c>
      <c r="B486" s="6" t="s">
        <v>2330</v>
      </c>
      <c r="C486" s="6" t="s">
        <v>4443</v>
      </c>
      <c r="D486" s="6" t="s">
        <v>597</v>
      </c>
      <c r="E486" s="6" t="s">
        <v>4468</v>
      </c>
      <c r="F486" s="6" t="s">
        <v>581</v>
      </c>
      <c r="G486" s="6" t="s">
        <v>496</v>
      </c>
      <c r="H486" s="6" t="str">
        <f>IFERROR(VLOOKUP(Table2[[#This Row],[Ticket]],Okey!A:B,2,0),"")</f>
        <v>ok</v>
      </c>
      <c r="I486" s="6" t="s">
        <v>3679</v>
      </c>
      <c r="J486" s="6" t="str">
        <f>VLOOKUP(Table2[[#This Row],[Author]],People!A:B,2,0)</f>
        <v>MGF</v>
      </c>
      <c r="K486" s="6"/>
      <c r="L486" s="6"/>
      <c r="M486" s="21" t="s">
        <v>3984</v>
      </c>
    </row>
    <row r="487" spans="1:13" x14ac:dyDescent="0.25">
      <c r="A487" s="23">
        <f t="shared" si="7"/>
        <v>486</v>
      </c>
      <c r="B487" s="7" t="s">
        <v>2330</v>
      </c>
      <c r="C487" s="7" t="s">
        <v>4443</v>
      </c>
      <c r="D487" s="7" t="s">
        <v>599</v>
      </c>
      <c r="E487" s="7" t="s">
        <v>4469</v>
      </c>
      <c r="F487" s="7" t="s">
        <v>581</v>
      </c>
      <c r="G487" s="7" t="s">
        <v>496</v>
      </c>
      <c r="H487" s="7" t="str">
        <f>IFERROR(VLOOKUP(Table2[[#This Row],[Ticket]],Okey!A:B,2,0),"")</f>
        <v>ok</v>
      </c>
      <c r="I487" s="7" t="s">
        <v>3679</v>
      </c>
      <c r="J487" s="7" t="str">
        <f>VLOOKUP(Table2[[#This Row],[Author]],People!A:B,2,0)</f>
        <v>MGF</v>
      </c>
      <c r="K487" s="7"/>
      <c r="L487" s="7"/>
      <c r="M487" s="16" t="s">
        <v>3984</v>
      </c>
    </row>
    <row r="488" spans="1:13" x14ac:dyDescent="0.25">
      <c r="A488" s="22">
        <f t="shared" si="7"/>
        <v>487</v>
      </c>
      <c r="B488" s="6" t="s">
        <v>2330</v>
      </c>
      <c r="C488" s="6" t="s">
        <v>4443</v>
      </c>
      <c r="D488" s="6" t="s">
        <v>4470</v>
      </c>
      <c r="E488" s="6" t="s">
        <v>4471</v>
      </c>
      <c r="F488" s="6" t="s">
        <v>581</v>
      </c>
      <c r="G488" s="6" t="s">
        <v>496</v>
      </c>
      <c r="H488" s="6" t="str">
        <f>IFERROR(VLOOKUP(Table2[[#This Row],[Ticket]],Okey!A:B,2,0),"")</f>
        <v>ok</v>
      </c>
      <c r="I488" s="6" t="s">
        <v>3679</v>
      </c>
      <c r="J488" s="6" t="str">
        <f>VLOOKUP(Table2[[#This Row],[Author]],People!A:B,2,0)</f>
        <v>MGF</v>
      </c>
      <c r="K488" s="6"/>
      <c r="L488" s="6"/>
      <c r="M488" s="21" t="s">
        <v>3984</v>
      </c>
    </row>
    <row r="489" spans="1:13" x14ac:dyDescent="0.25">
      <c r="A489" s="23">
        <f t="shared" si="7"/>
        <v>488</v>
      </c>
      <c r="B489" s="7" t="s">
        <v>2330</v>
      </c>
      <c r="C489" s="7" t="s">
        <v>4472</v>
      </c>
      <c r="D489" s="7" t="s">
        <v>4473</v>
      </c>
      <c r="E489" s="7"/>
      <c r="F489" s="7" t="s">
        <v>327</v>
      </c>
      <c r="G489" s="7" t="s">
        <v>328</v>
      </c>
      <c r="H489" s="7" t="str">
        <f>IFERROR(VLOOKUP(Table2[[#This Row],[Ticket]],Okey!A:B,2,0),"")</f>
        <v>ok</v>
      </c>
      <c r="I489" s="7" t="s">
        <v>3679</v>
      </c>
      <c r="J489" s="7" t="str">
        <f>VLOOKUP(Table2[[#This Row],[Author]],People!A:B,2,0)</f>
        <v>MGF</v>
      </c>
      <c r="K489" s="7"/>
      <c r="L489" s="7"/>
      <c r="M489" s="16" t="s">
        <v>40</v>
      </c>
    </row>
    <row r="490" spans="1:13" x14ac:dyDescent="0.25">
      <c r="A490" s="22">
        <f t="shared" si="7"/>
        <v>489</v>
      </c>
      <c r="B490" s="6" t="s">
        <v>2330</v>
      </c>
      <c r="C490" s="6" t="s">
        <v>4472</v>
      </c>
      <c r="D490" s="6" t="s">
        <v>4474</v>
      </c>
      <c r="E490" s="6"/>
      <c r="F490" s="6" t="s">
        <v>327</v>
      </c>
      <c r="G490" s="6" t="s">
        <v>328</v>
      </c>
      <c r="H490" s="6" t="str">
        <f>IFERROR(VLOOKUP(Table2[[#This Row],[Ticket]],Okey!A:B,2,0),"")</f>
        <v>ok</v>
      </c>
      <c r="I490" s="6" t="s">
        <v>3679</v>
      </c>
      <c r="J490" s="6" t="str">
        <f>VLOOKUP(Table2[[#This Row],[Author]],People!A:B,2,0)</f>
        <v>MGF</v>
      </c>
      <c r="K490" s="6"/>
      <c r="L490" s="6"/>
      <c r="M490" s="21" t="s">
        <v>40</v>
      </c>
    </row>
    <row r="491" spans="1:13" x14ac:dyDescent="0.25">
      <c r="A491" s="23">
        <f t="shared" si="7"/>
        <v>490</v>
      </c>
      <c r="B491" s="7" t="s">
        <v>2330</v>
      </c>
      <c r="C491" s="7" t="s">
        <v>4472</v>
      </c>
      <c r="D491" s="7" t="s">
        <v>255</v>
      </c>
      <c r="E491" s="7"/>
      <c r="F491" s="7" t="s">
        <v>327</v>
      </c>
      <c r="G491" s="7" t="s">
        <v>328</v>
      </c>
      <c r="H491" s="7" t="str">
        <f>IFERROR(VLOOKUP(Table2[[#This Row],[Ticket]],Okey!A:B,2,0),"")</f>
        <v>ok</v>
      </c>
      <c r="I491" s="7" t="s">
        <v>3679</v>
      </c>
      <c r="J491" s="7" t="str">
        <f>VLOOKUP(Table2[[#This Row],[Author]],People!A:B,2,0)</f>
        <v>MGF</v>
      </c>
      <c r="K491" s="7"/>
      <c r="L491" s="7"/>
      <c r="M491" s="16" t="s">
        <v>40</v>
      </c>
    </row>
    <row r="492" spans="1:13" x14ac:dyDescent="0.25">
      <c r="A492" s="22">
        <f t="shared" si="7"/>
        <v>491</v>
      </c>
      <c r="B492" s="6" t="s">
        <v>2330</v>
      </c>
      <c r="C492" s="6" t="s">
        <v>4472</v>
      </c>
      <c r="D492" s="6" t="s">
        <v>4475</v>
      </c>
      <c r="E492" s="6"/>
      <c r="F492" s="6" t="s">
        <v>327</v>
      </c>
      <c r="G492" s="6" t="s">
        <v>328</v>
      </c>
      <c r="H492" s="6" t="str">
        <f>IFERROR(VLOOKUP(Table2[[#This Row],[Ticket]],Okey!A:B,2,0),"")</f>
        <v>ok</v>
      </c>
      <c r="I492" s="6" t="s">
        <v>3679</v>
      </c>
      <c r="J492" s="6" t="str">
        <f>VLOOKUP(Table2[[#This Row],[Author]],People!A:B,2,0)</f>
        <v>MGF</v>
      </c>
      <c r="K492" s="6"/>
      <c r="L492" s="6"/>
      <c r="M492" s="21" t="s">
        <v>40</v>
      </c>
    </row>
    <row r="493" spans="1:13" x14ac:dyDescent="0.25">
      <c r="A493" s="23">
        <f t="shared" si="7"/>
        <v>492</v>
      </c>
      <c r="B493" s="7" t="s">
        <v>2330</v>
      </c>
      <c r="C493" s="7" t="s">
        <v>4472</v>
      </c>
      <c r="D493" s="7" t="s">
        <v>4476</v>
      </c>
      <c r="E493" s="7"/>
      <c r="F493" s="7" t="s">
        <v>327</v>
      </c>
      <c r="G493" s="7" t="s">
        <v>328</v>
      </c>
      <c r="H493" s="7" t="str">
        <f>IFERROR(VLOOKUP(Table2[[#This Row],[Ticket]],Okey!A:B,2,0),"")</f>
        <v>ok</v>
      </c>
      <c r="I493" s="7" t="s">
        <v>3679</v>
      </c>
      <c r="J493" s="7" t="str">
        <f>VLOOKUP(Table2[[#This Row],[Author]],People!A:B,2,0)</f>
        <v>MGF</v>
      </c>
      <c r="K493" s="7"/>
      <c r="L493" s="7"/>
      <c r="M493" s="16" t="s">
        <v>40</v>
      </c>
    </row>
    <row r="494" spans="1:13" x14ac:dyDescent="0.25">
      <c r="A494" s="22">
        <f t="shared" si="7"/>
        <v>493</v>
      </c>
      <c r="B494" s="6" t="s">
        <v>2330</v>
      </c>
      <c r="C494" s="6" t="s">
        <v>4472</v>
      </c>
      <c r="D494" s="6" t="s">
        <v>4477</v>
      </c>
      <c r="E494" s="6"/>
      <c r="F494" s="6" t="s">
        <v>327</v>
      </c>
      <c r="G494" s="6" t="s">
        <v>328</v>
      </c>
      <c r="H494" s="6" t="str">
        <f>IFERROR(VLOOKUP(Table2[[#This Row],[Ticket]],Okey!A:B,2,0),"")</f>
        <v>ok</v>
      </c>
      <c r="I494" s="6" t="s">
        <v>3679</v>
      </c>
      <c r="J494" s="6" t="str">
        <f>VLOOKUP(Table2[[#This Row],[Author]],People!A:B,2,0)</f>
        <v>MGF</v>
      </c>
      <c r="K494" s="6"/>
      <c r="L494" s="6"/>
      <c r="M494" s="21" t="s">
        <v>40</v>
      </c>
    </row>
    <row r="495" spans="1:13" x14ac:dyDescent="0.25">
      <c r="A495" s="23">
        <f t="shared" si="7"/>
        <v>494</v>
      </c>
      <c r="B495" s="7" t="s">
        <v>2330</v>
      </c>
      <c r="C495" s="7" t="s">
        <v>4472</v>
      </c>
      <c r="D495" s="7" t="s">
        <v>4478</v>
      </c>
      <c r="E495" s="7"/>
      <c r="F495" s="7" t="s">
        <v>327</v>
      </c>
      <c r="G495" s="7" t="s">
        <v>328</v>
      </c>
      <c r="H495" s="7" t="str">
        <f>IFERROR(VLOOKUP(Table2[[#This Row],[Ticket]],Okey!A:B,2,0),"")</f>
        <v>ok</v>
      </c>
      <c r="I495" s="7" t="s">
        <v>3679</v>
      </c>
      <c r="J495" s="7" t="str">
        <f>VLOOKUP(Table2[[#This Row],[Author]],People!A:B,2,0)</f>
        <v>MGF</v>
      </c>
      <c r="K495" s="7"/>
      <c r="L495" s="7"/>
      <c r="M495" s="16" t="s">
        <v>40</v>
      </c>
    </row>
    <row r="496" spans="1:13" x14ac:dyDescent="0.25">
      <c r="A496" s="22">
        <f t="shared" si="7"/>
        <v>495</v>
      </c>
      <c r="B496" s="6" t="s">
        <v>2330</v>
      </c>
      <c r="C496" s="6" t="s">
        <v>4472</v>
      </c>
      <c r="D496" s="6" t="s">
        <v>4479</v>
      </c>
      <c r="E496" s="6"/>
      <c r="F496" s="6" t="s">
        <v>327</v>
      </c>
      <c r="G496" s="6" t="s">
        <v>328</v>
      </c>
      <c r="H496" s="6" t="str">
        <f>IFERROR(VLOOKUP(Table2[[#This Row],[Ticket]],Okey!A:B,2,0),"")</f>
        <v>ok</v>
      </c>
      <c r="I496" s="6" t="s">
        <v>3679</v>
      </c>
      <c r="J496" s="6" t="str">
        <f>VLOOKUP(Table2[[#This Row],[Author]],People!A:B,2,0)</f>
        <v>MGF</v>
      </c>
      <c r="K496" s="6"/>
      <c r="L496" s="6"/>
      <c r="M496" s="21" t="s">
        <v>40</v>
      </c>
    </row>
    <row r="497" spans="1:13" x14ac:dyDescent="0.25">
      <c r="A497" s="23">
        <f t="shared" si="7"/>
        <v>496</v>
      </c>
      <c r="B497" s="7" t="s">
        <v>2330</v>
      </c>
      <c r="C497" s="7" t="s">
        <v>4472</v>
      </c>
      <c r="D497" s="7" t="s">
        <v>305</v>
      </c>
      <c r="E497" s="7"/>
      <c r="F497" s="7" t="s">
        <v>327</v>
      </c>
      <c r="G497" s="7" t="s">
        <v>328</v>
      </c>
      <c r="H497" s="7" t="str">
        <f>IFERROR(VLOOKUP(Table2[[#This Row],[Ticket]],Okey!A:B,2,0),"")</f>
        <v>ok</v>
      </c>
      <c r="I497" s="7" t="s">
        <v>3679</v>
      </c>
      <c r="J497" s="7" t="str">
        <f>VLOOKUP(Table2[[#This Row],[Author]],People!A:B,2,0)</f>
        <v>MGF</v>
      </c>
      <c r="K497" s="7"/>
      <c r="L497" s="7"/>
      <c r="M497" s="16" t="s">
        <v>40</v>
      </c>
    </row>
    <row r="498" spans="1:13" x14ac:dyDescent="0.25">
      <c r="A498" s="22">
        <f t="shared" si="7"/>
        <v>497</v>
      </c>
      <c r="B498" s="6" t="s">
        <v>2330</v>
      </c>
      <c r="C498" s="6" t="s">
        <v>4480</v>
      </c>
      <c r="D498" s="6" t="s">
        <v>4481</v>
      </c>
      <c r="E498" s="6" t="s">
        <v>4482</v>
      </c>
      <c r="F498" s="6" t="s">
        <v>1246</v>
      </c>
      <c r="G498" s="6" t="s">
        <v>18</v>
      </c>
      <c r="H498" s="6" t="str">
        <f>IFERROR(VLOOKUP(Table2[[#This Row],[Ticket]],Okey!A:B,2,0),"")</f>
        <v>ok</v>
      </c>
      <c r="I498" s="6" t="s">
        <v>3679</v>
      </c>
      <c r="J498" s="6" t="str">
        <f>VLOOKUP(Table2[[#This Row],[Author]],People!A:B,2,0)</f>
        <v>MGF</v>
      </c>
      <c r="K498" s="6"/>
      <c r="L498" s="6"/>
      <c r="M498" s="21" t="s">
        <v>1040</v>
      </c>
    </row>
    <row r="499" spans="1:13" x14ac:dyDescent="0.25">
      <c r="A499" s="23">
        <f t="shared" si="7"/>
        <v>498</v>
      </c>
      <c r="B499" s="7" t="s">
        <v>2330</v>
      </c>
      <c r="C499" s="7" t="s">
        <v>4480</v>
      </c>
      <c r="D499" s="7" t="s">
        <v>4483</v>
      </c>
      <c r="E499" s="7" t="s">
        <v>4484</v>
      </c>
      <c r="F499" s="7" t="s">
        <v>1246</v>
      </c>
      <c r="G499" s="7" t="s">
        <v>18</v>
      </c>
      <c r="H499" s="7" t="str">
        <f>IFERROR(VLOOKUP(Table2[[#This Row],[Ticket]],Okey!A:B,2,0),"")</f>
        <v>ok</v>
      </c>
      <c r="I499" s="7" t="s">
        <v>3679</v>
      </c>
      <c r="J499" s="7" t="str">
        <f>VLOOKUP(Table2[[#This Row],[Author]],People!A:B,2,0)</f>
        <v>MGF</v>
      </c>
      <c r="K499" s="7"/>
      <c r="L499" s="7"/>
      <c r="M499" s="16" t="s">
        <v>1040</v>
      </c>
    </row>
    <row r="500" spans="1:13" x14ac:dyDescent="0.25">
      <c r="A500" s="22">
        <f t="shared" si="7"/>
        <v>499</v>
      </c>
      <c r="B500" s="6" t="s">
        <v>2330</v>
      </c>
      <c r="C500" s="6" t="s">
        <v>4480</v>
      </c>
      <c r="D500" s="6" t="s">
        <v>4485</v>
      </c>
      <c r="E500" s="6" t="s">
        <v>4486</v>
      </c>
      <c r="F500" s="6" t="s">
        <v>1246</v>
      </c>
      <c r="G500" s="6" t="s">
        <v>18</v>
      </c>
      <c r="H500" s="6" t="str">
        <f>IFERROR(VLOOKUP(Table2[[#This Row],[Ticket]],Okey!A:B,2,0),"")</f>
        <v>ok</v>
      </c>
      <c r="I500" s="6" t="s">
        <v>3679</v>
      </c>
      <c r="J500" s="6" t="str">
        <f>VLOOKUP(Table2[[#This Row],[Author]],People!A:B,2,0)</f>
        <v>MGF</v>
      </c>
      <c r="K500" s="6"/>
      <c r="L500" s="6"/>
      <c r="M500" s="21" t="s">
        <v>1040</v>
      </c>
    </row>
    <row r="501" spans="1:13" x14ac:dyDescent="0.25">
      <c r="A501" s="23">
        <f t="shared" si="7"/>
        <v>500</v>
      </c>
      <c r="B501" s="7" t="s">
        <v>2330</v>
      </c>
      <c r="C501" s="7" t="s">
        <v>4480</v>
      </c>
      <c r="D501" s="7" t="s">
        <v>4487</v>
      </c>
      <c r="E501" s="7" t="s">
        <v>4488</v>
      </c>
      <c r="F501" s="7" t="s">
        <v>4489</v>
      </c>
      <c r="G501" s="7" t="s">
        <v>18</v>
      </c>
      <c r="H501" s="7" t="str">
        <f>IFERROR(VLOOKUP(Table2[[#This Row],[Ticket]],Okey!A:B,2,0),"")</f>
        <v>ok</v>
      </c>
      <c r="I501" s="7" t="s">
        <v>3679</v>
      </c>
      <c r="J501" s="7" t="str">
        <f>VLOOKUP(Table2[[#This Row],[Author]],People!A:B,2,0)</f>
        <v>MGF</v>
      </c>
      <c r="K501" s="7"/>
      <c r="L501" s="7"/>
      <c r="M501" s="16" t="s">
        <v>1040</v>
      </c>
    </row>
    <row r="502" spans="1:13" x14ac:dyDescent="0.25">
      <c r="A502" s="22">
        <f t="shared" si="7"/>
        <v>501</v>
      </c>
      <c r="B502" s="6" t="s">
        <v>2330</v>
      </c>
      <c r="C502" s="6" t="s">
        <v>4480</v>
      </c>
      <c r="D502" s="6" t="s">
        <v>4490</v>
      </c>
      <c r="E502" s="6" t="s">
        <v>4491</v>
      </c>
      <c r="F502" s="6" t="s">
        <v>4492</v>
      </c>
      <c r="G502" s="6" t="s">
        <v>18</v>
      </c>
      <c r="H502" s="6" t="str">
        <f>IFERROR(VLOOKUP(Table2[[#This Row],[Ticket]],Okey!A:B,2,0),"")</f>
        <v>ok</v>
      </c>
      <c r="I502" s="6" t="s">
        <v>3679</v>
      </c>
      <c r="J502" s="6" t="str">
        <f>VLOOKUP(Table2[[#This Row],[Author]],People!A:B,2,0)</f>
        <v>MGF</v>
      </c>
      <c r="K502" s="6"/>
      <c r="L502" s="6"/>
      <c r="M502" s="21" t="s">
        <v>1040</v>
      </c>
    </row>
    <row r="503" spans="1:13" x14ac:dyDescent="0.25">
      <c r="A503" s="23">
        <f t="shared" si="7"/>
        <v>502</v>
      </c>
      <c r="B503" s="7" t="s">
        <v>2330</v>
      </c>
      <c r="C503" s="7" t="s">
        <v>4480</v>
      </c>
      <c r="D503" s="7" t="s">
        <v>4493</v>
      </c>
      <c r="E503" s="7" t="s">
        <v>4494</v>
      </c>
      <c r="F503" s="7" t="s">
        <v>4492</v>
      </c>
      <c r="G503" s="7" t="s">
        <v>18</v>
      </c>
      <c r="H503" s="7" t="str">
        <f>IFERROR(VLOOKUP(Table2[[#This Row],[Ticket]],Okey!A:B,2,0),"")</f>
        <v>ok</v>
      </c>
      <c r="I503" s="7" t="s">
        <v>3679</v>
      </c>
      <c r="J503" s="7" t="str">
        <f>VLOOKUP(Table2[[#This Row],[Author]],People!A:B,2,0)</f>
        <v>MGF</v>
      </c>
      <c r="K503" s="7"/>
      <c r="L503" s="7"/>
      <c r="M503" s="16" t="s">
        <v>1040</v>
      </c>
    </row>
    <row r="504" spans="1:13" x14ac:dyDescent="0.25">
      <c r="A504" s="22">
        <f t="shared" si="7"/>
        <v>503</v>
      </c>
      <c r="B504" s="6" t="s">
        <v>2330</v>
      </c>
      <c r="C504" s="6" t="s">
        <v>4480</v>
      </c>
      <c r="D504" s="6" t="s">
        <v>4495</v>
      </c>
      <c r="E504" s="6" t="s">
        <v>4496</v>
      </c>
      <c r="F504" s="6" t="s">
        <v>4492</v>
      </c>
      <c r="G504" s="6" t="s">
        <v>18</v>
      </c>
      <c r="H504" s="6" t="str">
        <f>IFERROR(VLOOKUP(Table2[[#This Row],[Ticket]],Okey!A:B,2,0),"")</f>
        <v>ok</v>
      </c>
      <c r="I504" s="6" t="s">
        <v>3679</v>
      </c>
      <c r="J504" s="6" t="str">
        <f>VLOOKUP(Table2[[#This Row],[Author]],People!A:B,2,0)</f>
        <v>MGF</v>
      </c>
      <c r="K504" s="6"/>
      <c r="L504" s="6"/>
      <c r="M504" s="21" t="s">
        <v>1040</v>
      </c>
    </row>
    <row r="505" spans="1:13" x14ac:dyDescent="0.25">
      <c r="A505" s="23">
        <f t="shared" si="7"/>
        <v>504</v>
      </c>
      <c r="B505" s="7" t="s">
        <v>2330</v>
      </c>
      <c r="C505" s="7" t="s">
        <v>4480</v>
      </c>
      <c r="D505" s="7" t="s">
        <v>4497</v>
      </c>
      <c r="E505" s="7" t="s">
        <v>4498</v>
      </c>
      <c r="F505" s="7" t="s">
        <v>4492</v>
      </c>
      <c r="G505" s="7" t="s">
        <v>18</v>
      </c>
      <c r="H505" s="7" t="str">
        <f>IFERROR(VLOOKUP(Table2[[#This Row],[Ticket]],Okey!A:B,2,0),"")</f>
        <v>ok</v>
      </c>
      <c r="I505" s="7" t="s">
        <v>3679</v>
      </c>
      <c r="J505" s="7" t="str">
        <f>VLOOKUP(Table2[[#This Row],[Author]],People!A:B,2,0)</f>
        <v>MGF</v>
      </c>
      <c r="K505" s="7"/>
      <c r="L505" s="7"/>
      <c r="M505" s="16" t="s">
        <v>1040</v>
      </c>
    </row>
    <row r="506" spans="1:13" x14ac:dyDescent="0.25">
      <c r="A506" s="22">
        <f t="shared" si="7"/>
        <v>505</v>
      </c>
      <c r="B506" s="6" t="s">
        <v>2330</v>
      </c>
      <c r="C506" s="6" t="s">
        <v>4480</v>
      </c>
      <c r="D506" s="6" t="s">
        <v>4499</v>
      </c>
      <c r="E506" s="6" t="s">
        <v>4500</v>
      </c>
      <c r="F506" s="6" t="s">
        <v>4492</v>
      </c>
      <c r="G506" s="6" t="s">
        <v>18</v>
      </c>
      <c r="H506" s="6" t="str">
        <f>IFERROR(VLOOKUP(Table2[[#This Row],[Ticket]],Okey!A:B,2,0),"")</f>
        <v>ok</v>
      </c>
      <c r="I506" s="6" t="s">
        <v>3679</v>
      </c>
      <c r="J506" s="6" t="str">
        <f>VLOOKUP(Table2[[#This Row],[Author]],People!A:B,2,0)</f>
        <v>MGF</v>
      </c>
      <c r="K506" s="6"/>
      <c r="L506" s="6"/>
      <c r="M506" s="21" t="s">
        <v>1040</v>
      </c>
    </row>
    <row r="507" spans="1:13" x14ac:dyDescent="0.25">
      <c r="A507" s="23">
        <f t="shared" si="7"/>
        <v>506</v>
      </c>
      <c r="B507" s="7" t="s">
        <v>2330</v>
      </c>
      <c r="C507" s="7" t="s">
        <v>4480</v>
      </c>
      <c r="D507" s="7" t="s">
        <v>4501</v>
      </c>
      <c r="E507" s="7" t="s">
        <v>4502</v>
      </c>
      <c r="F507" s="7" t="s">
        <v>4492</v>
      </c>
      <c r="G507" s="7" t="s">
        <v>18</v>
      </c>
      <c r="H507" s="7" t="str">
        <f>IFERROR(VLOOKUP(Table2[[#This Row],[Ticket]],Okey!A:B,2,0),"")</f>
        <v>ok</v>
      </c>
      <c r="I507" s="7" t="s">
        <v>3679</v>
      </c>
      <c r="J507" s="7" t="str">
        <f>VLOOKUP(Table2[[#This Row],[Author]],People!A:B,2,0)</f>
        <v>MGF</v>
      </c>
      <c r="K507" s="7"/>
      <c r="L507" s="7"/>
      <c r="M507" s="16" t="s">
        <v>1040</v>
      </c>
    </row>
    <row r="508" spans="1:13" x14ac:dyDescent="0.25">
      <c r="A508" s="22">
        <f t="shared" si="7"/>
        <v>507</v>
      </c>
      <c r="B508" s="6" t="s">
        <v>2330</v>
      </c>
      <c r="C508" s="6" t="s">
        <v>4480</v>
      </c>
      <c r="D508" s="6" t="s">
        <v>4503</v>
      </c>
      <c r="E508" s="6" t="s">
        <v>4504</v>
      </c>
      <c r="F508" s="6" t="s">
        <v>4492</v>
      </c>
      <c r="G508" s="6" t="s">
        <v>18</v>
      </c>
      <c r="H508" s="6" t="str">
        <f>IFERROR(VLOOKUP(Table2[[#This Row],[Ticket]],Okey!A:B,2,0),"")</f>
        <v>ok</v>
      </c>
      <c r="I508" s="6" t="s">
        <v>3679</v>
      </c>
      <c r="J508" s="6" t="str">
        <f>VLOOKUP(Table2[[#This Row],[Author]],People!A:B,2,0)</f>
        <v>MGF</v>
      </c>
      <c r="K508" s="6"/>
      <c r="L508" s="6"/>
      <c r="M508" s="21" t="s">
        <v>1040</v>
      </c>
    </row>
    <row r="509" spans="1:13" x14ac:dyDescent="0.25">
      <c r="A509" s="23">
        <f t="shared" si="7"/>
        <v>508</v>
      </c>
      <c r="B509" s="7" t="s">
        <v>2330</v>
      </c>
      <c r="C509" s="7" t="s">
        <v>4480</v>
      </c>
      <c r="D509" s="7" t="s">
        <v>4505</v>
      </c>
      <c r="E509" s="7" t="s">
        <v>4506</v>
      </c>
      <c r="F509" s="7" t="s">
        <v>4492</v>
      </c>
      <c r="G509" s="7" t="s">
        <v>18</v>
      </c>
      <c r="H509" s="7" t="str">
        <f>IFERROR(VLOOKUP(Table2[[#This Row],[Ticket]],Okey!A:B,2,0),"")</f>
        <v>ok</v>
      </c>
      <c r="I509" s="7" t="s">
        <v>3679</v>
      </c>
      <c r="J509" s="7" t="str">
        <f>VLOOKUP(Table2[[#This Row],[Author]],People!A:B,2,0)</f>
        <v>MGF</v>
      </c>
      <c r="K509" s="7"/>
      <c r="L509" s="7"/>
      <c r="M509" s="16" t="s">
        <v>1040</v>
      </c>
    </row>
    <row r="510" spans="1:13" x14ac:dyDescent="0.25">
      <c r="A510" s="22">
        <f t="shared" si="7"/>
        <v>509</v>
      </c>
      <c r="B510" s="6" t="s">
        <v>2330</v>
      </c>
      <c r="C510" s="6" t="s">
        <v>4480</v>
      </c>
      <c r="D510" s="6" t="s">
        <v>4507</v>
      </c>
      <c r="E510" s="6" t="s">
        <v>4508</v>
      </c>
      <c r="F510" s="6" t="s">
        <v>4492</v>
      </c>
      <c r="G510" s="6" t="s">
        <v>18</v>
      </c>
      <c r="H510" s="6" t="str">
        <f>IFERROR(VLOOKUP(Table2[[#This Row],[Ticket]],Okey!A:B,2,0),"")</f>
        <v>ok</v>
      </c>
      <c r="I510" s="6" t="s">
        <v>3679</v>
      </c>
      <c r="J510" s="6" t="str">
        <f>VLOOKUP(Table2[[#This Row],[Author]],People!A:B,2,0)</f>
        <v>MGF</v>
      </c>
      <c r="K510" s="6"/>
      <c r="L510" s="6"/>
      <c r="M510" s="21" t="s">
        <v>1040</v>
      </c>
    </row>
    <row r="511" spans="1:13" x14ac:dyDescent="0.25">
      <c r="A511" s="23">
        <f t="shared" si="7"/>
        <v>510</v>
      </c>
      <c r="B511" s="7" t="s">
        <v>2330</v>
      </c>
      <c r="C511" s="7" t="s">
        <v>4480</v>
      </c>
      <c r="D511" s="7" t="s">
        <v>4509</v>
      </c>
      <c r="E511" s="7" t="s">
        <v>4510</v>
      </c>
      <c r="F511" s="7" t="s">
        <v>4492</v>
      </c>
      <c r="G511" s="7" t="s">
        <v>18</v>
      </c>
      <c r="H511" s="7" t="str">
        <f>IFERROR(VLOOKUP(Table2[[#This Row],[Ticket]],Okey!A:B,2,0),"")</f>
        <v>ok</v>
      </c>
      <c r="I511" s="7" t="s">
        <v>3679</v>
      </c>
      <c r="J511" s="7" t="str">
        <f>VLOOKUP(Table2[[#This Row],[Author]],People!A:B,2,0)</f>
        <v>MGF</v>
      </c>
      <c r="K511" s="7"/>
      <c r="L511" s="7"/>
      <c r="M511" s="16" t="s">
        <v>1040</v>
      </c>
    </row>
    <row r="512" spans="1:13" x14ac:dyDescent="0.25">
      <c r="A512" s="22">
        <f t="shared" si="7"/>
        <v>511</v>
      </c>
      <c r="B512" s="6" t="s">
        <v>2330</v>
      </c>
      <c r="C512" s="6" t="s">
        <v>4480</v>
      </c>
      <c r="D512" s="6" t="s">
        <v>4511</v>
      </c>
      <c r="E512" s="6" t="s">
        <v>4512</v>
      </c>
      <c r="F512" s="6" t="s">
        <v>4492</v>
      </c>
      <c r="G512" s="6" t="s">
        <v>18</v>
      </c>
      <c r="H512" s="6" t="str">
        <f>IFERROR(VLOOKUP(Table2[[#This Row],[Ticket]],Okey!A:B,2,0),"")</f>
        <v>ok</v>
      </c>
      <c r="I512" s="6" t="s">
        <v>3679</v>
      </c>
      <c r="J512" s="6" t="str">
        <f>VLOOKUP(Table2[[#This Row],[Author]],People!A:B,2,0)</f>
        <v>MGF</v>
      </c>
      <c r="K512" s="6"/>
      <c r="L512" s="6"/>
      <c r="M512" s="21" t="s">
        <v>1040</v>
      </c>
    </row>
    <row r="513" spans="1:13" x14ac:dyDescent="0.25">
      <c r="A513" s="23">
        <f t="shared" si="7"/>
        <v>512</v>
      </c>
      <c r="B513" s="7" t="s">
        <v>2330</v>
      </c>
      <c r="C513" s="7" t="s">
        <v>4480</v>
      </c>
      <c r="D513" s="7" t="s">
        <v>4513</v>
      </c>
      <c r="E513" s="7" t="s">
        <v>4514</v>
      </c>
      <c r="F513" s="7" t="s">
        <v>4515</v>
      </c>
      <c r="G513" s="7" t="s">
        <v>18</v>
      </c>
      <c r="H513" s="7" t="str">
        <f>IFERROR(VLOOKUP(Table2[[#This Row],[Ticket]],Okey!A:B,2,0),"")</f>
        <v>ok</v>
      </c>
      <c r="I513" s="7" t="s">
        <v>3679</v>
      </c>
      <c r="J513" s="7" t="str">
        <f>VLOOKUP(Table2[[#This Row],[Author]],People!A:B,2,0)</f>
        <v>MGF</v>
      </c>
      <c r="K513" s="7"/>
      <c r="L513" s="7"/>
      <c r="M513" s="16" t="s">
        <v>1040</v>
      </c>
    </row>
    <row r="514" spans="1:13" x14ac:dyDescent="0.25">
      <c r="A514" s="22">
        <f t="shared" si="7"/>
        <v>513</v>
      </c>
      <c r="B514" s="6" t="s">
        <v>2330</v>
      </c>
      <c r="C514" s="6" t="s">
        <v>4480</v>
      </c>
      <c r="D514" s="6" t="s">
        <v>4516</v>
      </c>
      <c r="E514" s="6" t="s">
        <v>4517</v>
      </c>
      <c r="F514" s="6" t="s">
        <v>2492</v>
      </c>
      <c r="G514" s="6" t="s">
        <v>18</v>
      </c>
      <c r="H514" s="6" t="str">
        <f>IFERROR(VLOOKUP(Table2[[#This Row],[Ticket]],Okey!A:B,2,0),"")</f>
        <v>ok</v>
      </c>
      <c r="I514" s="6" t="s">
        <v>3679</v>
      </c>
      <c r="J514" s="6" t="str">
        <f>VLOOKUP(Table2[[#This Row],[Author]],People!A:B,2,0)</f>
        <v>MGF</v>
      </c>
      <c r="K514" s="6"/>
      <c r="L514" s="6"/>
      <c r="M514" s="21" t="s">
        <v>1040</v>
      </c>
    </row>
    <row r="515" spans="1:13" x14ac:dyDescent="0.25">
      <c r="A515" s="23">
        <f t="shared" ref="A515:A578" si="8">1+A514</f>
        <v>514</v>
      </c>
      <c r="B515" s="7" t="s">
        <v>2330</v>
      </c>
      <c r="C515" s="7" t="s">
        <v>4480</v>
      </c>
      <c r="D515" s="7" t="s">
        <v>4518</v>
      </c>
      <c r="E515" s="7" t="s">
        <v>4519</v>
      </c>
      <c r="F515" s="7" t="s">
        <v>4516</v>
      </c>
      <c r="G515" s="7" t="s">
        <v>18</v>
      </c>
      <c r="H515" s="7" t="str">
        <f>IFERROR(VLOOKUP(Table2[[#This Row],[Ticket]],Okey!A:B,2,0),"")</f>
        <v>ok</v>
      </c>
      <c r="I515" s="7" t="s">
        <v>3679</v>
      </c>
      <c r="J515" s="7" t="str">
        <f>VLOOKUP(Table2[[#This Row],[Author]],People!A:B,2,0)</f>
        <v>MGF</v>
      </c>
      <c r="K515" s="7"/>
      <c r="L515" s="7"/>
      <c r="M515" s="16" t="s">
        <v>1040</v>
      </c>
    </row>
    <row r="516" spans="1:13" x14ac:dyDescent="0.25">
      <c r="A516" s="22">
        <f t="shared" si="8"/>
        <v>515</v>
      </c>
      <c r="B516" s="6" t="s">
        <v>2330</v>
      </c>
      <c r="C516" s="6" t="s">
        <v>4480</v>
      </c>
      <c r="D516" s="6" t="s">
        <v>4520</v>
      </c>
      <c r="E516" s="6" t="s">
        <v>4521</v>
      </c>
      <c r="F516" s="6" t="s">
        <v>4516</v>
      </c>
      <c r="G516" s="6" t="s">
        <v>18</v>
      </c>
      <c r="H516" s="6" t="str">
        <f>IFERROR(VLOOKUP(Table2[[#This Row],[Ticket]],Okey!A:B,2,0),"")</f>
        <v>ok</v>
      </c>
      <c r="I516" s="6" t="s">
        <v>3679</v>
      </c>
      <c r="J516" s="6" t="str">
        <f>VLOOKUP(Table2[[#This Row],[Author]],People!A:B,2,0)</f>
        <v>MGF</v>
      </c>
      <c r="K516" s="6"/>
      <c r="L516" s="6"/>
      <c r="M516" s="21" t="s">
        <v>1040</v>
      </c>
    </row>
    <row r="517" spans="1:13" x14ac:dyDescent="0.25">
      <c r="A517" s="23">
        <f t="shared" si="8"/>
        <v>516</v>
      </c>
      <c r="B517" s="7" t="s">
        <v>2330</v>
      </c>
      <c r="C517" s="7" t="s">
        <v>4480</v>
      </c>
      <c r="D517" s="7" t="s">
        <v>4522</v>
      </c>
      <c r="E517" s="7" t="s">
        <v>4523</v>
      </c>
      <c r="F517" s="7" t="s">
        <v>4516</v>
      </c>
      <c r="G517" s="7" t="s">
        <v>18</v>
      </c>
      <c r="H517" s="7" t="str">
        <f>IFERROR(VLOOKUP(Table2[[#This Row],[Ticket]],Okey!A:B,2,0),"")</f>
        <v>ok</v>
      </c>
      <c r="I517" s="7" t="s">
        <v>3679</v>
      </c>
      <c r="J517" s="7" t="str">
        <f>VLOOKUP(Table2[[#This Row],[Author]],People!A:B,2,0)</f>
        <v>MGF</v>
      </c>
      <c r="K517" s="7"/>
      <c r="L517" s="7"/>
      <c r="M517" s="16" t="s">
        <v>1040</v>
      </c>
    </row>
    <row r="518" spans="1:13" x14ac:dyDescent="0.25">
      <c r="A518" s="22">
        <f t="shared" si="8"/>
        <v>517</v>
      </c>
      <c r="B518" s="6" t="s">
        <v>2330</v>
      </c>
      <c r="C518" s="6" t="s">
        <v>4480</v>
      </c>
      <c r="D518" s="6" t="s">
        <v>4524</v>
      </c>
      <c r="E518" s="6" t="s">
        <v>4525</v>
      </c>
      <c r="F518" s="6" t="s">
        <v>4516</v>
      </c>
      <c r="G518" s="6" t="s">
        <v>18</v>
      </c>
      <c r="H518" s="6" t="str">
        <f>IFERROR(VLOOKUP(Table2[[#This Row],[Ticket]],Okey!A:B,2,0),"")</f>
        <v>ok</v>
      </c>
      <c r="I518" s="6" t="s">
        <v>3679</v>
      </c>
      <c r="J518" s="6" t="str">
        <f>VLOOKUP(Table2[[#This Row],[Author]],People!A:B,2,0)</f>
        <v>MGF</v>
      </c>
      <c r="K518" s="6"/>
      <c r="L518" s="6"/>
      <c r="M518" s="21" t="s">
        <v>1040</v>
      </c>
    </row>
    <row r="519" spans="1:13" x14ac:dyDescent="0.25">
      <c r="A519" s="23">
        <f t="shared" si="8"/>
        <v>518</v>
      </c>
      <c r="B519" s="7" t="s">
        <v>2330</v>
      </c>
      <c r="C519" s="7" t="s">
        <v>4480</v>
      </c>
      <c r="D519" s="7" t="s">
        <v>4526</v>
      </c>
      <c r="E519" s="7" t="s">
        <v>4527</v>
      </c>
      <c r="F519" s="7" t="s">
        <v>4516</v>
      </c>
      <c r="G519" s="7" t="s">
        <v>18</v>
      </c>
      <c r="H519" s="7" t="str">
        <f>IFERROR(VLOOKUP(Table2[[#This Row],[Ticket]],Okey!A:B,2,0),"")</f>
        <v>ok</v>
      </c>
      <c r="I519" s="7" t="s">
        <v>3679</v>
      </c>
      <c r="J519" s="7" t="str">
        <f>VLOOKUP(Table2[[#This Row],[Author]],People!A:B,2,0)</f>
        <v>MGF</v>
      </c>
      <c r="K519" s="7"/>
      <c r="L519" s="7"/>
      <c r="M519" s="16" t="s">
        <v>1040</v>
      </c>
    </row>
    <row r="520" spans="1:13" x14ac:dyDescent="0.25">
      <c r="A520" s="22">
        <f t="shared" si="8"/>
        <v>519</v>
      </c>
      <c r="B520" s="6" t="s">
        <v>2330</v>
      </c>
      <c r="C520" s="6" t="s">
        <v>4480</v>
      </c>
      <c r="D520" s="6" t="s">
        <v>4528</v>
      </c>
      <c r="E520" s="6" t="s">
        <v>4529</v>
      </c>
      <c r="F520" s="6" t="s">
        <v>4516</v>
      </c>
      <c r="G520" s="6" t="s">
        <v>18</v>
      </c>
      <c r="H520" s="6" t="str">
        <f>IFERROR(VLOOKUP(Table2[[#This Row],[Ticket]],Okey!A:B,2,0),"")</f>
        <v>ok</v>
      </c>
      <c r="I520" s="6" t="s">
        <v>3679</v>
      </c>
      <c r="J520" s="6" t="str">
        <f>VLOOKUP(Table2[[#This Row],[Author]],People!A:B,2,0)</f>
        <v>MGF</v>
      </c>
      <c r="K520" s="6"/>
      <c r="L520" s="6"/>
      <c r="M520" s="21" t="s">
        <v>1040</v>
      </c>
    </row>
    <row r="521" spans="1:13" x14ac:dyDescent="0.25">
      <c r="A521" s="23">
        <f t="shared" si="8"/>
        <v>520</v>
      </c>
      <c r="B521" s="7" t="s">
        <v>2330</v>
      </c>
      <c r="C521" s="7" t="s">
        <v>4480</v>
      </c>
      <c r="D521" s="7" t="s">
        <v>4530</v>
      </c>
      <c r="E521" s="7" t="s">
        <v>4531</v>
      </c>
      <c r="F521" s="7" t="s">
        <v>2492</v>
      </c>
      <c r="G521" s="7" t="s">
        <v>18</v>
      </c>
      <c r="H521" s="7" t="str">
        <f>IFERROR(VLOOKUP(Table2[[#This Row],[Ticket]],Okey!A:B,2,0),"")</f>
        <v>ok</v>
      </c>
      <c r="I521" s="7" t="s">
        <v>3679</v>
      </c>
      <c r="J521" s="7" t="str">
        <f>VLOOKUP(Table2[[#This Row],[Author]],People!A:B,2,0)</f>
        <v>MGF</v>
      </c>
      <c r="K521" s="7"/>
      <c r="L521" s="7"/>
      <c r="M521" s="16" t="s">
        <v>1040</v>
      </c>
    </row>
    <row r="522" spans="1:13" x14ac:dyDescent="0.25">
      <c r="A522" s="22">
        <f t="shared" si="8"/>
        <v>521</v>
      </c>
      <c r="B522" s="6" t="s">
        <v>2330</v>
      </c>
      <c r="C522" s="6" t="s">
        <v>4480</v>
      </c>
      <c r="D522" s="6" t="s">
        <v>4532</v>
      </c>
      <c r="E522" s="6" t="s">
        <v>4533</v>
      </c>
      <c r="F522" s="6" t="s">
        <v>4518</v>
      </c>
      <c r="G522" s="6" t="s">
        <v>18</v>
      </c>
      <c r="H522" s="6" t="str">
        <f>IFERROR(VLOOKUP(Table2[[#This Row],[Ticket]],Okey!A:B,2,0),"")</f>
        <v>ok</v>
      </c>
      <c r="I522" s="6" t="s">
        <v>3679</v>
      </c>
      <c r="J522" s="6" t="str">
        <f>VLOOKUP(Table2[[#This Row],[Author]],People!A:B,2,0)</f>
        <v>MGF</v>
      </c>
      <c r="K522" s="6"/>
      <c r="L522" s="6"/>
      <c r="M522" s="21" t="s">
        <v>1040</v>
      </c>
    </row>
    <row r="523" spans="1:13" x14ac:dyDescent="0.25">
      <c r="A523" s="23">
        <f t="shared" si="8"/>
        <v>522</v>
      </c>
      <c r="B523" s="7" t="s">
        <v>2330</v>
      </c>
      <c r="C523" s="7" t="s">
        <v>4480</v>
      </c>
      <c r="D523" s="7" t="s">
        <v>4534</v>
      </c>
      <c r="E523" s="7" t="s">
        <v>4535</v>
      </c>
      <c r="F523" s="7" t="s">
        <v>4518</v>
      </c>
      <c r="G523" s="7" t="s">
        <v>18</v>
      </c>
      <c r="H523" s="7" t="str">
        <f>IFERROR(VLOOKUP(Table2[[#This Row],[Ticket]],Okey!A:B,2,0),"")</f>
        <v>ok</v>
      </c>
      <c r="I523" s="7" t="s">
        <v>3679</v>
      </c>
      <c r="J523" s="7" t="str">
        <f>VLOOKUP(Table2[[#This Row],[Author]],People!A:B,2,0)</f>
        <v>MGF</v>
      </c>
      <c r="K523" s="7"/>
      <c r="L523" s="7"/>
      <c r="M523" s="16" t="s">
        <v>1040</v>
      </c>
    </row>
    <row r="524" spans="1:13" x14ac:dyDescent="0.25">
      <c r="A524" s="22">
        <f t="shared" si="8"/>
        <v>523</v>
      </c>
      <c r="B524" s="6" t="s">
        <v>2330</v>
      </c>
      <c r="C524" s="6" t="s">
        <v>4480</v>
      </c>
      <c r="D524" s="6" t="s">
        <v>4536</v>
      </c>
      <c r="E524" s="6" t="s">
        <v>4537</v>
      </c>
      <c r="F524" s="6" t="s">
        <v>4526</v>
      </c>
      <c r="G524" s="6" t="s">
        <v>18</v>
      </c>
      <c r="H524" s="6" t="str">
        <f>IFERROR(VLOOKUP(Table2[[#This Row],[Ticket]],Okey!A:B,2,0),"")</f>
        <v>ok</v>
      </c>
      <c r="I524" s="6" t="s">
        <v>3679</v>
      </c>
      <c r="J524" s="6" t="str">
        <f>VLOOKUP(Table2[[#This Row],[Author]],People!A:B,2,0)</f>
        <v>MGF</v>
      </c>
      <c r="K524" s="6"/>
      <c r="L524" s="6"/>
      <c r="M524" s="21" t="s">
        <v>1040</v>
      </c>
    </row>
    <row r="525" spans="1:13" x14ac:dyDescent="0.25">
      <c r="A525" s="23">
        <f t="shared" si="8"/>
        <v>524</v>
      </c>
      <c r="B525" s="7" t="s">
        <v>2330</v>
      </c>
      <c r="C525" s="7" t="s">
        <v>4480</v>
      </c>
      <c r="D525" s="7" t="s">
        <v>2734</v>
      </c>
      <c r="E525" s="7" t="s">
        <v>4538</v>
      </c>
      <c r="F525" s="7" t="s">
        <v>2549</v>
      </c>
      <c r="G525" s="7" t="s">
        <v>18</v>
      </c>
      <c r="H525" s="7" t="str">
        <f>IFERROR(VLOOKUP(Table2[[#This Row],[Ticket]],Okey!A:B,2,0),"")</f>
        <v>ok</v>
      </c>
      <c r="I525" s="7" t="s">
        <v>3679</v>
      </c>
      <c r="J525" s="7" t="str">
        <f>VLOOKUP(Table2[[#This Row],[Author]],People!A:B,2,0)</f>
        <v>MGF</v>
      </c>
      <c r="K525" s="7"/>
      <c r="L525" s="7"/>
      <c r="M525" s="16" t="s">
        <v>1040</v>
      </c>
    </row>
    <row r="526" spans="1:13" x14ac:dyDescent="0.25">
      <c r="A526" s="22">
        <f t="shared" si="8"/>
        <v>525</v>
      </c>
      <c r="B526" s="6" t="s">
        <v>2330</v>
      </c>
      <c r="C526" s="6" t="s">
        <v>4480</v>
      </c>
      <c r="D526" s="6" t="s">
        <v>2735</v>
      </c>
      <c r="E526" s="6" t="s">
        <v>4539</v>
      </c>
      <c r="F526" s="6" t="s">
        <v>2549</v>
      </c>
      <c r="G526" s="6" t="s">
        <v>18</v>
      </c>
      <c r="H526" s="6" t="str">
        <f>IFERROR(VLOOKUP(Table2[[#This Row],[Ticket]],Okey!A:B,2,0),"")</f>
        <v>ok</v>
      </c>
      <c r="I526" s="6" t="s">
        <v>3679</v>
      </c>
      <c r="J526" s="6" t="str">
        <f>VLOOKUP(Table2[[#This Row],[Author]],People!A:B,2,0)</f>
        <v>MGF</v>
      </c>
      <c r="K526" s="6"/>
      <c r="L526" s="6"/>
      <c r="M526" s="21" t="s">
        <v>1040</v>
      </c>
    </row>
    <row r="527" spans="1:13" x14ac:dyDescent="0.25">
      <c r="A527" s="23">
        <f t="shared" si="8"/>
        <v>526</v>
      </c>
      <c r="B527" s="7" t="s">
        <v>2330</v>
      </c>
      <c r="C527" s="7" t="s">
        <v>4480</v>
      </c>
      <c r="D527" s="7" t="s">
        <v>2736</v>
      </c>
      <c r="E527" s="7" t="s">
        <v>4540</v>
      </c>
      <c r="F527" s="7" t="s">
        <v>2549</v>
      </c>
      <c r="G527" s="7" t="s">
        <v>18</v>
      </c>
      <c r="H527" s="7" t="str">
        <f>IFERROR(VLOOKUP(Table2[[#This Row],[Ticket]],Okey!A:B,2,0),"")</f>
        <v>ok</v>
      </c>
      <c r="I527" s="7" t="s">
        <v>3679</v>
      </c>
      <c r="J527" s="7" t="str">
        <f>VLOOKUP(Table2[[#This Row],[Author]],People!A:B,2,0)</f>
        <v>MGF</v>
      </c>
      <c r="K527" s="7"/>
      <c r="L527" s="7"/>
      <c r="M527" s="16" t="s">
        <v>1040</v>
      </c>
    </row>
    <row r="528" spans="1:13" x14ac:dyDescent="0.25">
      <c r="A528" s="22">
        <f t="shared" si="8"/>
        <v>527</v>
      </c>
      <c r="B528" s="6" t="s">
        <v>2330</v>
      </c>
      <c r="C528" s="6" t="s">
        <v>4480</v>
      </c>
      <c r="D528" s="6" t="s">
        <v>2551</v>
      </c>
      <c r="E528" s="6" t="s">
        <v>4541</v>
      </c>
      <c r="F528" s="6" t="s">
        <v>2549</v>
      </c>
      <c r="G528" s="6" t="s">
        <v>18</v>
      </c>
      <c r="H528" s="6" t="str">
        <f>IFERROR(VLOOKUP(Table2[[#This Row],[Ticket]],Okey!A:B,2,0),"")</f>
        <v>ok</v>
      </c>
      <c r="I528" s="6" t="s">
        <v>3679</v>
      </c>
      <c r="J528" s="6" t="str">
        <f>VLOOKUP(Table2[[#This Row],[Author]],People!A:B,2,0)</f>
        <v>MGF</v>
      </c>
      <c r="K528" s="6"/>
      <c r="L528" s="6"/>
      <c r="M528" s="21" t="s">
        <v>1040</v>
      </c>
    </row>
    <row r="529" spans="1:13" x14ac:dyDescent="0.25">
      <c r="A529" s="23">
        <f t="shared" si="8"/>
        <v>528</v>
      </c>
      <c r="B529" s="7" t="s">
        <v>2330</v>
      </c>
      <c r="C529" s="7" t="s">
        <v>4480</v>
      </c>
      <c r="D529" s="7" t="s">
        <v>4542</v>
      </c>
      <c r="E529" s="7" t="s">
        <v>4543</v>
      </c>
      <c r="F529" s="7" t="s">
        <v>4544</v>
      </c>
      <c r="G529" s="7" t="s">
        <v>18</v>
      </c>
      <c r="H529" s="7" t="str">
        <f>IFERROR(VLOOKUP(Table2[[#This Row],[Ticket]],Okey!A:B,2,0),"")</f>
        <v>ok</v>
      </c>
      <c r="I529" s="7" t="s">
        <v>3679</v>
      </c>
      <c r="J529" s="7" t="str">
        <f>VLOOKUP(Table2[[#This Row],[Author]],People!A:B,2,0)</f>
        <v>MGF</v>
      </c>
      <c r="K529" s="7"/>
      <c r="L529" s="7"/>
      <c r="M529" s="16" t="s">
        <v>1040</v>
      </c>
    </row>
    <row r="530" spans="1:13" x14ac:dyDescent="0.25">
      <c r="A530" s="22">
        <f t="shared" si="8"/>
        <v>529</v>
      </c>
      <c r="B530" s="6" t="s">
        <v>2330</v>
      </c>
      <c r="C530" s="6" t="s">
        <v>4480</v>
      </c>
      <c r="D530" s="6" t="s">
        <v>4545</v>
      </c>
      <c r="E530" s="6" t="s">
        <v>4546</v>
      </c>
      <c r="F530" s="6" t="s">
        <v>4547</v>
      </c>
      <c r="G530" s="6" t="s">
        <v>18</v>
      </c>
      <c r="H530" s="6" t="str">
        <f>IFERROR(VLOOKUP(Table2[[#This Row],[Ticket]],Okey!A:B,2,0),"")</f>
        <v>ok</v>
      </c>
      <c r="I530" s="6" t="s">
        <v>3679</v>
      </c>
      <c r="J530" s="6" t="str">
        <f>VLOOKUP(Table2[[#This Row],[Author]],People!A:B,2,0)</f>
        <v>MGF</v>
      </c>
      <c r="K530" s="6"/>
      <c r="L530" s="6"/>
      <c r="M530" s="21" t="s">
        <v>1040</v>
      </c>
    </row>
    <row r="531" spans="1:13" x14ac:dyDescent="0.25">
      <c r="A531" s="23">
        <f t="shared" si="8"/>
        <v>530</v>
      </c>
      <c r="B531" s="7" t="s">
        <v>2330</v>
      </c>
      <c r="C531" s="7" t="s">
        <v>4480</v>
      </c>
      <c r="D531" s="7" t="s">
        <v>4548</v>
      </c>
      <c r="E531" s="7" t="s">
        <v>4549</v>
      </c>
      <c r="F531" s="7" t="s">
        <v>4547</v>
      </c>
      <c r="G531" s="7" t="s">
        <v>18</v>
      </c>
      <c r="H531" s="7" t="str">
        <f>IFERROR(VLOOKUP(Table2[[#This Row],[Ticket]],Okey!A:B,2,0),"")</f>
        <v>ok</v>
      </c>
      <c r="I531" s="7" t="s">
        <v>3679</v>
      </c>
      <c r="J531" s="7" t="str">
        <f>VLOOKUP(Table2[[#This Row],[Author]],People!A:B,2,0)</f>
        <v>MGF</v>
      </c>
      <c r="K531" s="7"/>
      <c r="L531" s="7"/>
      <c r="M531" s="16" t="s">
        <v>1040</v>
      </c>
    </row>
    <row r="532" spans="1:13" x14ac:dyDescent="0.25">
      <c r="A532" s="22">
        <f t="shared" si="8"/>
        <v>531</v>
      </c>
      <c r="B532" s="6" t="s">
        <v>2330</v>
      </c>
      <c r="C532" s="6" t="s">
        <v>4480</v>
      </c>
      <c r="D532" s="6" t="s">
        <v>4550</v>
      </c>
      <c r="E532" s="6" t="s">
        <v>4551</v>
      </c>
      <c r="F532" s="6" t="s">
        <v>4544</v>
      </c>
      <c r="G532" s="6" t="s">
        <v>18</v>
      </c>
      <c r="H532" s="6" t="str">
        <f>IFERROR(VLOOKUP(Table2[[#This Row],[Ticket]],Okey!A:B,2,0),"")</f>
        <v>ok</v>
      </c>
      <c r="I532" s="6" t="s">
        <v>3679</v>
      </c>
      <c r="J532" s="6" t="str">
        <f>VLOOKUP(Table2[[#This Row],[Author]],People!A:B,2,0)</f>
        <v>MGF</v>
      </c>
      <c r="K532" s="6"/>
      <c r="L532" s="6"/>
      <c r="M532" s="21" t="s">
        <v>1040</v>
      </c>
    </row>
    <row r="533" spans="1:13" x14ac:dyDescent="0.25">
      <c r="A533" s="23">
        <f t="shared" si="8"/>
        <v>532</v>
      </c>
      <c r="B533" s="7" t="s">
        <v>2330</v>
      </c>
      <c r="C533" s="7" t="s">
        <v>4480</v>
      </c>
      <c r="D533" s="7" t="s">
        <v>4552</v>
      </c>
      <c r="E533" s="7" t="s">
        <v>4553</v>
      </c>
      <c r="F533" s="7" t="s">
        <v>4550</v>
      </c>
      <c r="G533" s="7" t="s">
        <v>18</v>
      </c>
      <c r="H533" s="7" t="str">
        <f>IFERROR(VLOOKUP(Table2[[#This Row],[Ticket]],Okey!A:B,2,0),"")</f>
        <v>ok</v>
      </c>
      <c r="I533" s="7" t="s">
        <v>3679</v>
      </c>
      <c r="J533" s="7" t="str">
        <f>VLOOKUP(Table2[[#This Row],[Author]],People!A:B,2,0)</f>
        <v>MGF</v>
      </c>
      <c r="K533" s="7"/>
      <c r="L533" s="7"/>
      <c r="M533" s="16" t="s">
        <v>1040</v>
      </c>
    </row>
    <row r="534" spans="1:13" x14ac:dyDescent="0.25">
      <c r="A534" s="22">
        <f t="shared" si="8"/>
        <v>533</v>
      </c>
      <c r="B534" s="6" t="s">
        <v>2330</v>
      </c>
      <c r="C534" s="6" t="s">
        <v>4480</v>
      </c>
      <c r="D534" s="6" t="s">
        <v>4554</v>
      </c>
      <c r="E534" s="6" t="s">
        <v>4555</v>
      </c>
      <c r="F534" s="6" t="s">
        <v>4552</v>
      </c>
      <c r="G534" s="6" t="s">
        <v>18</v>
      </c>
      <c r="H534" s="6" t="str">
        <f>IFERROR(VLOOKUP(Table2[[#This Row],[Ticket]],Okey!A:B,2,0),"")</f>
        <v>ok</v>
      </c>
      <c r="I534" s="6" t="s">
        <v>3679</v>
      </c>
      <c r="J534" s="6" t="str">
        <f>VLOOKUP(Table2[[#This Row],[Author]],People!A:B,2,0)</f>
        <v>MGF</v>
      </c>
      <c r="K534" s="6"/>
      <c r="L534" s="6"/>
      <c r="M534" s="21" t="s">
        <v>1040</v>
      </c>
    </row>
    <row r="535" spans="1:13" x14ac:dyDescent="0.25">
      <c r="A535" s="23">
        <f t="shared" si="8"/>
        <v>534</v>
      </c>
      <c r="B535" s="7" t="s">
        <v>2330</v>
      </c>
      <c r="C535" s="7" t="s">
        <v>4480</v>
      </c>
      <c r="D535" s="7" t="s">
        <v>4556</v>
      </c>
      <c r="E535" s="7" t="s">
        <v>4557</v>
      </c>
      <c r="F535" s="7" t="s">
        <v>4544</v>
      </c>
      <c r="G535" s="7" t="s">
        <v>18</v>
      </c>
      <c r="H535" s="7" t="str">
        <f>IFERROR(VLOOKUP(Table2[[#This Row],[Ticket]],Okey!A:B,2,0),"")</f>
        <v>ok</v>
      </c>
      <c r="I535" s="7" t="s">
        <v>3679</v>
      </c>
      <c r="J535" s="7" t="str">
        <f>VLOOKUP(Table2[[#This Row],[Author]],People!A:B,2,0)</f>
        <v>MGF</v>
      </c>
      <c r="K535" s="7"/>
      <c r="L535" s="7"/>
      <c r="M535" s="16" t="s">
        <v>1040</v>
      </c>
    </row>
    <row r="536" spans="1:13" x14ac:dyDescent="0.25">
      <c r="A536" s="22">
        <f t="shared" si="8"/>
        <v>535</v>
      </c>
      <c r="B536" s="6" t="s">
        <v>2330</v>
      </c>
      <c r="C536" s="6" t="s">
        <v>4480</v>
      </c>
      <c r="D536" s="6" t="s">
        <v>4558</v>
      </c>
      <c r="E536" s="6" t="s">
        <v>4559</v>
      </c>
      <c r="F536" s="6" t="s">
        <v>4560</v>
      </c>
      <c r="G536" s="6" t="s">
        <v>18</v>
      </c>
      <c r="H536" s="6" t="str">
        <f>IFERROR(VLOOKUP(Table2[[#This Row],[Ticket]],Okey!A:B,2,0),"")</f>
        <v>ok</v>
      </c>
      <c r="I536" s="6" t="s">
        <v>3679</v>
      </c>
      <c r="J536" s="6" t="str">
        <f>VLOOKUP(Table2[[#This Row],[Author]],People!A:B,2,0)</f>
        <v>MGF</v>
      </c>
      <c r="K536" s="6"/>
      <c r="L536" s="6"/>
      <c r="M536" s="21" t="s">
        <v>1040</v>
      </c>
    </row>
    <row r="537" spans="1:13" x14ac:dyDescent="0.25">
      <c r="A537" s="23">
        <f t="shared" si="8"/>
        <v>536</v>
      </c>
      <c r="B537" s="7" t="s">
        <v>2330</v>
      </c>
      <c r="C537" s="7" t="s">
        <v>4480</v>
      </c>
      <c r="D537" s="7" t="s">
        <v>4561</v>
      </c>
      <c r="E537" s="7" t="s">
        <v>4562</v>
      </c>
      <c r="F537" s="7" t="s">
        <v>4560</v>
      </c>
      <c r="G537" s="7" t="s">
        <v>18</v>
      </c>
      <c r="H537" s="7" t="str">
        <f>IFERROR(VLOOKUP(Table2[[#This Row],[Ticket]],Okey!A:B,2,0),"")</f>
        <v>ok</v>
      </c>
      <c r="I537" s="7" t="s">
        <v>3679</v>
      </c>
      <c r="J537" s="7" t="str">
        <f>VLOOKUP(Table2[[#This Row],[Author]],People!A:B,2,0)</f>
        <v>MGF</v>
      </c>
      <c r="K537" s="7"/>
      <c r="L537" s="7"/>
      <c r="M537" s="16" t="s">
        <v>1040</v>
      </c>
    </row>
    <row r="538" spans="1:13" x14ac:dyDescent="0.25">
      <c r="A538" s="22">
        <f t="shared" si="8"/>
        <v>537</v>
      </c>
      <c r="B538" s="6" t="s">
        <v>2330</v>
      </c>
      <c r="C538" s="6" t="s">
        <v>4480</v>
      </c>
      <c r="D538" s="6" t="s">
        <v>4563</v>
      </c>
      <c r="E538" s="6" t="s">
        <v>4564</v>
      </c>
      <c r="F538" s="6" t="s">
        <v>4544</v>
      </c>
      <c r="G538" s="6" t="s">
        <v>18</v>
      </c>
      <c r="H538" s="6" t="str">
        <f>IFERROR(VLOOKUP(Table2[[#This Row],[Ticket]],Okey!A:B,2,0),"")</f>
        <v>ok</v>
      </c>
      <c r="I538" s="6" t="s">
        <v>3679</v>
      </c>
      <c r="J538" s="6" t="str">
        <f>VLOOKUP(Table2[[#This Row],[Author]],People!A:B,2,0)</f>
        <v>MGF</v>
      </c>
      <c r="K538" s="6"/>
      <c r="L538" s="6"/>
      <c r="M538" s="21" t="s">
        <v>1040</v>
      </c>
    </row>
    <row r="539" spans="1:13" x14ac:dyDescent="0.25">
      <c r="A539" s="23">
        <f t="shared" si="8"/>
        <v>538</v>
      </c>
      <c r="B539" s="7" t="s">
        <v>2330</v>
      </c>
      <c r="C539" s="7" t="s">
        <v>4480</v>
      </c>
      <c r="D539" s="7" t="s">
        <v>2344</v>
      </c>
      <c r="E539" s="7" t="s">
        <v>4565</v>
      </c>
      <c r="F539" s="7" t="s">
        <v>4563</v>
      </c>
      <c r="G539" s="7" t="s">
        <v>18</v>
      </c>
      <c r="H539" s="7" t="str">
        <f>IFERROR(VLOOKUP(Table2[[#This Row],[Ticket]],Okey!A:B,2,0),"")</f>
        <v>ok</v>
      </c>
      <c r="I539" s="7" t="s">
        <v>3679</v>
      </c>
      <c r="J539" s="7" t="str">
        <f>VLOOKUP(Table2[[#This Row],[Author]],People!A:B,2,0)</f>
        <v>MGF</v>
      </c>
      <c r="K539" s="7"/>
      <c r="L539" s="7"/>
      <c r="M539" s="16" t="s">
        <v>1040</v>
      </c>
    </row>
    <row r="540" spans="1:13" x14ac:dyDescent="0.25">
      <c r="A540" s="22">
        <f t="shared" si="8"/>
        <v>539</v>
      </c>
      <c r="B540" s="6" t="s">
        <v>2330</v>
      </c>
      <c r="C540" s="6" t="s">
        <v>4480</v>
      </c>
      <c r="D540" s="6" t="s">
        <v>4566</v>
      </c>
      <c r="E540" s="6" t="s">
        <v>4567</v>
      </c>
      <c r="F540" s="6" t="s">
        <v>4563</v>
      </c>
      <c r="G540" s="6" t="s">
        <v>18</v>
      </c>
      <c r="H540" s="6" t="str">
        <f>IFERROR(VLOOKUP(Table2[[#This Row],[Ticket]],Okey!A:B,2,0),"")</f>
        <v>ok</v>
      </c>
      <c r="I540" s="6" t="s">
        <v>3679</v>
      </c>
      <c r="J540" s="6" t="str">
        <f>VLOOKUP(Table2[[#This Row],[Author]],People!A:B,2,0)</f>
        <v>MGF</v>
      </c>
      <c r="K540" s="6"/>
      <c r="L540" s="6"/>
      <c r="M540" s="21" t="s">
        <v>1040</v>
      </c>
    </row>
    <row r="541" spans="1:13" x14ac:dyDescent="0.25">
      <c r="A541" s="23">
        <f t="shared" si="8"/>
        <v>540</v>
      </c>
      <c r="B541" s="7" t="s">
        <v>2330</v>
      </c>
      <c r="C541" s="7" t="s">
        <v>4480</v>
      </c>
      <c r="D541" s="7" t="s">
        <v>4568</v>
      </c>
      <c r="E541" s="7" t="s">
        <v>4569</v>
      </c>
      <c r="F541" s="7" t="s">
        <v>4563</v>
      </c>
      <c r="G541" s="7" t="s">
        <v>18</v>
      </c>
      <c r="H541" s="7" t="str">
        <f>IFERROR(VLOOKUP(Table2[[#This Row],[Ticket]],Okey!A:B,2,0),"")</f>
        <v>ok</v>
      </c>
      <c r="I541" s="7" t="s">
        <v>3679</v>
      </c>
      <c r="J541" s="7" t="str">
        <f>VLOOKUP(Table2[[#This Row],[Author]],People!A:B,2,0)</f>
        <v>MGF</v>
      </c>
      <c r="K541" s="7"/>
      <c r="L541" s="7"/>
      <c r="M541" s="16" t="s">
        <v>1040</v>
      </c>
    </row>
    <row r="542" spans="1:13" x14ac:dyDescent="0.25">
      <c r="A542" s="22">
        <f t="shared" si="8"/>
        <v>541</v>
      </c>
      <c r="B542" s="6" t="s">
        <v>2330</v>
      </c>
      <c r="C542" s="6" t="s">
        <v>4480</v>
      </c>
      <c r="D542" s="6" t="s">
        <v>4570</v>
      </c>
      <c r="E542" s="6" t="s">
        <v>4571</v>
      </c>
      <c r="F542" s="6" t="s">
        <v>4563</v>
      </c>
      <c r="G542" s="6" t="s">
        <v>18</v>
      </c>
      <c r="H542" s="6" t="str">
        <f>IFERROR(VLOOKUP(Table2[[#This Row],[Ticket]],Okey!A:B,2,0),"")</f>
        <v>ok</v>
      </c>
      <c r="I542" s="6" t="s">
        <v>3679</v>
      </c>
      <c r="J542" s="6" t="str">
        <f>VLOOKUP(Table2[[#This Row],[Author]],People!A:B,2,0)</f>
        <v>MGF</v>
      </c>
      <c r="K542" s="6"/>
      <c r="L542" s="6"/>
      <c r="M542" s="21" t="s">
        <v>1040</v>
      </c>
    </row>
    <row r="543" spans="1:13" x14ac:dyDescent="0.25">
      <c r="A543" s="23">
        <f t="shared" si="8"/>
        <v>542</v>
      </c>
      <c r="B543" s="7" t="s">
        <v>2330</v>
      </c>
      <c r="C543" s="7" t="s">
        <v>4480</v>
      </c>
      <c r="D543" s="7" t="s">
        <v>4572</v>
      </c>
      <c r="E543" s="7" t="s">
        <v>4573</v>
      </c>
      <c r="F543" s="7" t="s">
        <v>4563</v>
      </c>
      <c r="G543" s="7" t="s">
        <v>18</v>
      </c>
      <c r="H543" s="7" t="str">
        <f>IFERROR(VLOOKUP(Table2[[#This Row],[Ticket]],Okey!A:B,2,0),"")</f>
        <v>ok</v>
      </c>
      <c r="I543" s="7" t="s">
        <v>3679</v>
      </c>
      <c r="J543" s="7" t="str">
        <f>VLOOKUP(Table2[[#This Row],[Author]],People!A:B,2,0)</f>
        <v>MGF</v>
      </c>
      <c r="K543" s="7"/>
      <c r="L543" s="7"/>
      <c r="M543" s="16" t="s">
        <v>1040</v>
      </c>
    </row>
    <row r="544" spans="1:13" x14ac:dyDescent="0.25">
      <c r="A544" s="22">
        <f t="shared" si="8"/>
        <v>543</v>
      </c>
      <c r="B544" s="6" t="s">
        <v>2330</v>
      </c>
      <c r="C544" s="6" t="s">
        <v>4480</v>
      </c>
      <c r="D544" s="6" t="s">
        <v>4574</v>
      </c>
      <c r="E544" s="6" t="s">
        <v>4575</v>
      </c>
      <c r="F544" s="6" t="s">
        <v>2492</v>
      </c>
      <c r="G544" s="6" t="s">
        <v>18</v>
      </c>
      <c r="H544" s="6" t="str">
        <f>IFERROR(VLOOKUP(Table2[[#This Row],[Ticket]],Okey!A:B,2,0),"")</f>
        <v>ok</v>
      </c>
      <c r="I544" s="6" t="s">
        <v>3679</v>
      </c>
      <c r="J544" s="6" t="str">
        <f>VLOOKUP(Table2[[#This Row],[Author]],People!A:B,2,0)</f>
        <v>MGF</v>
      </c>
      <c r="K544" s="6"/>
      <c r="L544" s="6"/>
      <c r="M544" s="21" t="s">
        <v>1040</v>
      </c>
    </row>
    <row r="545" spans="1:13" x14ac:dyDescent="0.25">
      <c r="A545" s="23">
        <f t="shared" si="8"/>
        <v>544</v>
      </c>
      <c r="B545" s="7" t="s">
        <v>2330</v>
      </c>
      <c r="C545" s="7" t="s">
        <v>4480</v>
      </c>
      <c r="D545" s="7" t="s">
        <v>4576</v>
      </c>
      <c r="E545" s="7" t="s">
        <v>4577</v>
      </c>
      <c r="F545" s="7" t="s">
        <v>4574</v>
      </c>
      <c r="G545" s="7" t="s">
        <v>18</v>
      </c>
      <c r="H545" s="7" t="str">
        <f>IFERROR(VLOOKUP(Table2[[#This Row],[Ticket]],Okey!A:B,2,0),"")</f>
        <v>ok</v>
      </c>
      <c r="I545" s="7" t="s">
        <v>3679</v>
      </c>
      <c r="J545" s="7" t="str">
        <f>VLOOKUP(Table2[[#This Row],[Author]],People!A:B,2,0)</f>
        <v>MGF</v>
      </c>
      <c r="K545" s="7"/>
      <c r="L545" s="7"/>
      <c r="M545" s="16" t="s">
        <v>1040</v>
      </c>
    </row>
    <row r="546" spans="1:13" x14ac:dyDescent="0.25">
      <c r="A546" s="22">
        <f t="shared" si="8"/>
        <v>545</v>
      </c>
      <c r="B546" s="6" t="s">
        <v>2330</v>
      </c>
      <c r="C546" s="6" t="s">
        <v>4480</v>
      </c>
      <c r="D546" s="6" t="s">
        <v>634</v>
      </c>
      <c r="E546" s="6" t="s">
        <v>4578</v>
      </c>
      <c r="F546" s="6" t="s">
        <v>4574</v>
      </c>
      <c r="G546" s="6" t="s">
        <v>18</v>
      </c>
      <c r="H546" s="6" t="str">
        <f>IFERROR(VLOOKUP(Table2[[#This Row],[Ticket]],Okey!A:B,2,0),"")</f>
        <v>ok</v>
      </c>
      <c r="I546" s="6" t="s">
        <v>3679</v>
      </c>
      <c r="J546" s="6" t="str">
        <f>VLOOKUP(Table2[[#This Row],[Author]],People!A:B,2,0)</f>
        <v>MGF</v>
      </c>
      <c r="K546" s="6"/>
      <c r="L546" s="6"/>
      <c r="M546" s="21" t="s">
        <v>1040</v>
      </c>
    </row>
    <row r="547" spans="1:13" x14ac:dyDescent="0.25">
      <c r="A547" s="23">
        <f t="shared" si="8"/>
        <v>546</v>
      </c>
      <c r="B547" s="7" t="s">
        <v>2330</v>
      </c>
      <c r="C547" s="7" t="s">
        <v>4480</v>
      </c>
      <c r="D547" s="7" t="s">
        <v>4579</v>
      </c>
      <c r="E547" s="7" t="s">
        <v>4580</v>
      </c>
      <c r="F547" s="7" t="s">
        <v>4574</v>
      </c>
      <c r="G547" s="7" t="s">
        <v>18</v>
      </c>
      <c r="H547" s="7" t="str">
        <f>IFERROR(VLOOKUP(Table2[[#This Row],[Ticket]],Okey!A:B,2,0),"")</f>
        <v>ok</v>
      </c>
      <c r="I547" s="7" t="s">
        <v>3679</v>
      </c>
      <c r="J547" s="7" t="str">
        <f>VLOOKUP(Table2[[#This Row],[Author]],People!A:B,2,0)</f>
        <v>MGF</v>
      </c>
      <c r="K547" s="7"/>
      <c r="L547" s="7"/>
      <c r="M547" s="16" t="s">
        <v>1040</v>
      </c>
    </row>
    <row r="548" spans="1:13" x14ac:dyDescent="0.25">
      <c r="A548" s="22">
        <f t="shared" si="8"/>
        <v>547</v>
      </c>
      <c r="B548" s="6" t="s">
        <v>2330</v>
      </c>
      <c r="C548" s="6" t="s">
        <v>4480</v>
      </c>
      <c r="D548" s="6" t="s">
        <v>4581</v>
      </c>
      <c r="E548" s="6" t="s">
        <v>4582</v>
      </c>
      <c r="F548" s="6" t="s">
        <v>2492</v>
      </c>
      <c r="G548" s="6" t="s">
        <v>18</v>
      </c>
      <c r="H548" s="6" t="str">
        <f>IFERROR(VLOOKUP(Table2[[#This Row],[Ticket]],Okey!A:B,2,0),"")</f>
        <v>ok</v>
      </c>
      <c r="I548" s="6" t="s">
        <v>3679</v>
      </c>
      <c r="J548" s="6" t="str">
        <f>VLOOKUP(Table2[[#This Row],[Author]],People!A:B,2,0)</f>
        <v>MGF</v>
      </c>
      <c r="K548" s="6"/>
      <c r="L548" s="6"/>
      <c r="M548" s="21" t="s">
        <v>1040</v>
      </c>
    </row>
    <row r="549" spans="1:13" x14ac:dyDescent="0.25">
      <c r="A549" s="23">
        <f t="shared" si="8"/>
        <v>548</v>
      </c>
      <c r="B549" s="7" t="s">
        <v>2330</v>
      </c>
      <c r="C549" s="7" t="s">
        <v>4480</v>
      </c>
      <c r="D549" s="7" t="s">
        <v>2323</v>
      </c>
      <c r="E549" s="7" t="s">
        <v>4583</v>
      </c>
      <c r="F549" s="7" t="s">
        <v>4581</v>
      </c>
      <c r="G549" s="7" t="s">
        <v>18</v>
      </c>
      <c r="H549" s="7" t="str">
        <f>IFERROR(VLOOKUP(Table2[[#This Row],[Ticket]],Okey!A:B,2,0),"")</f>
        <v>ok</v>
      </c>
      <c r="I549" s="7" t="s">
        <v>3679</v>
      </c>
      <c r="J549" s="7" t="str">
        <f>VLOOKUP(Table2[[#This Row],[Author]],People!A:B,2,0)</f>
        <v>MGF</v>
      </c>
      <c r="K549" s="7"/>
      <c r="L549" s="7"/>
      <c r="M549" s="16" t="s">
        <v>1040</v>
      </c>
    </row>
    <row r="550" spans="1:13" x14ac:dyDescent="0.25">
      <c r="A550" s="22">
        <f t="shared" si="8"/>
        <v>549</v>
      </c>
      <c r="B550" s="6" t="s">
        <v>2330</v>
      </c>
      <c r="C550" s="6" t="s">
        <v>4480</v>
      </c>
      <c r="D550" s="6" t="s">
        <v>4584</v>
      </c>
      <c r="E550" s="6" t="s">
        <v>4585</v>
      </c>
      <c r="F550" s="6" t="s">
        <v>4581</v>
      </c>
      <c r="G550" s="6" t="s">
        <v>18</v>
      </c>
      <c r="H550" s="6" t="str">
        <f>IFERROR(VLOOKUP(Table2[[#This Row],[Ticket]],Okey!A:B,2,0),"")</f>
        <v>ok</v>
      </c>
      <c r="I550" s="6" t="s">
        <v>3679</v>
      </c>
      <c r="J550" s="6" t="str">
        <f>VLOOKUP(Table2[[#This Row],[Author]],People!A:B,2,0)</f>
        <v>MGF</v>
      </c>
      <c r="K550" s="6"/>
      <c r="L550" s="6"/>
      <c r="M550" s="21" t="s">
        <v>1040</v>
      </c>
    </row>
    <row r="551" spans="1:13" x14ac:dyDescent="0.25">
      <c r="A551" s="23">
        <f t="shared" si="8"/>
        <v>550</v>
      </c>
      <c r="B551" s="7" t="s">
        <v>2330</v>
      </c>
      <c r="C551" s="7" t="s">
        <v>4480</v>
      </c>
      <c r="D551" s="7" t="s">
        <v>4586</v>
      </c>
      <c r="E551" s="7" t="s">
        <v>4587</v>
      </c>
      <c r="F551" s="7" t="s">
        <v>2492</v>
      </c>
      <c r="G551" s="7" t="s">
        <v>18</v>
      </c>
      <c r="H551" s="7" t="str">
        <f>IFERROR(VLOOKUP(Table2[[#This Row],[Ticket]],Okey!A:B,2,0),"")</f>
        <v>ok</v>
      </c>
      <c r="I551" s="7" t="s">
        <v>3679</v>
      </c>
      <c r="J551" s="7" t="str">
        <f>VLOOKUP(Table2[[#This Row],[Author]],People!A:B,2,0)</f>
        <v>MGF</v>
      </c>
      <c r="K551" s="7"/>
      <c r="L551" s="7"/>
      <c r="M551" s="16" t="s">
        <v>1040</v>
      </c>
    </row>
    <row r="552" spans="1:13" x14ac:dyDescent="0.25">
      <c r="A552" s="22">
        <f t="shared" si="8"/>
        <v>551</v>
      </c>
      <c r="B552" s="6" t="s">
        <v>2330</v>
      </c>
      <c r="C552" s="6" t="s">
        <v>4480</v>
      </c>
      <c r="D552" s="6" t="s">
        <v>4588</v>
      </c>
      <c r="E552" s="6" t="s">
        <v>4589</v>
      </c>
      <c r="F552" s="6" t="s">
        <v>4586</v>
      </c>
      <c r="G552" s="6" t="s">
        <v>18</v>
      </c>
      <c r="H552" s="6" t="str">
        <f>IFERROR(VLOOKUP(Table2[[#This Row],[Ticket]],Okey!A:B,2,0),"")</f>
        <v>ok</v>
      </c>
      <c r="I552" s="6" t="s">
        <v>3679</v>
      </c>
      <c r="J552" s="6" t="str">
        <f>VLOOKUP(Table2[[#This Row],[Author]],People!A:B,2,0)</f>
        <v>MGF</v>
      </c>
      <c r="K552" s="6"/>
      <c r="L552" s="6"/>
      <c r="M552" s="21" t="s">
        <v>1040</v>
      </c>
    </row>
    <row r="553" spans="1:13" x14ac:dyDescent="0.25">
      <c r="A553" s="23">
        <f t="shared" si="8"/>
        <v>552</v>
      </c>
      <c r="B553" s="7" t="s">
        <v>2330</v>
      </c>
      <c r="C553" s="7" t="s">
        <v>4480</v>
      </c>
      <c r="D553" s="7" t="s">
        <v>4590</v>
      </c>
      <c r="E553" s="7" t="s">
        <v>4591</v>
      </c>
      <c r="F553" s="7" t="s">
        <v>4586</v>
      </c>
      <c r="G553" s="7" t="s">
        <v>18</v>
      </c>
      <c r="H553" s="7" t="str">
        <f>IFERROR(VLOOKUP(Table2[[#This Row],[Ticket]],Okey!A:B,2,0),"")</f>
        <v>ok</v>
      </c>
      <c r="I553" s="7" t="s">
        <v>3679</v>
      </c>
      <c r="J553" s="7" t="str">
        <f>VLOOKUP(Table2[[#This Row],[Author]],People!A:B,2,0)</f>
        <v>MGF</v>
      </c>
      <c r="K553" s="7"/>
      <c r="L553" s="7"/>
      <c r="M553" s="16" t="s">
        <v>1040</v>
      </c>
    </row>
    <row r="554" spans="1:13" x14ac:dyDescent="0.25">
      <c r="A554" s="22">
        <f t="shared" si="8"/>
        <v>553</v>
      </c>
      <c r="B554" s="6" t="s">
        <v>2330</v>
      </c>
      <c r="C554" s="6" t="s">
        <v>4480</v>
      </c>
      <c r="D554" s="6" t="s">
        <v>4592</v>
      </c>
      <c r="E554" s="6" t="s">
        <v>4593</v>
      </c>
      <c r="F554" s="6" t="s">
        <v>4586</v>
      </c>
      <c r="G554" s="6" t="s">
        <v>18</v>
      </c>
      <c r="H554" s="6" t="str">
        <f>IFERROR(VLOOKUP(Table2[[#This Row],[Ticket]],Okey!A:B,2,0),"")</f>
        <v>ok</v>
      </c>
      <c r="I554" s="6" t="s">
        <v>3679</v>
      </c>
      <c r="J554" s="6" t="str">
        <f>VLOOKUP(Table2[[#This Row],[Author]],People!A:B,2,0)</f>
        <v>MGF</v>
      </c>
      <c r="K554" s="6"/>
      <c r="L554" s="6"/>
      <c r="M554" s="21" t="s">
        <v>1040</v>
      </c>
    </row>
    <row r="555" spans="1:13" x14ac:dyDescent="0.25">
      <c r="A555" s="23">
        <f t="shared" si="8"/>
        <v>554</v>
      </c>
      <c r="B555" s="7" t="s">
        <v>2330</v>
      </c>
      <c r="C555" s="7" t="s">
        <v>4480</v>
      </c>
      <c r="D555" s="7" t="s">
        <v>4594</v>
      </c>
      <c r="E555" s="7" t="s">
        <v>4595</v>
      </c>
      <c r="F555" s="7" t="s">
        <v>4586</v>
      </c>
      <c r="G555" s="7" t="s">
        <v>18</v>
      </c>
      <c r="H555" s="7" t="str">
        <f>IFERROR(VLOOKUP(Table2[[#This Row],[Ticket]],Okey!A:B,2,0),"")</f>
        <v>ok</v>
      </c>
      <c r="I555" s="7" t="s">
        <v>3679</v>
      </c>
      <c r="J555" s="7" t="str">
        <f>VLOOKUP(Table2[[#This Row],[Author]],People!A:B,2,0)</f>
        <v>MGF</v>
      </c>
      <c r="K555" s="7"/>
      <c r="L555" s="7"/>
      <c r="M555" s="16" t="s">
        <v>1040</v>
      </c>
    </row>
    <row r="556" spans="1:13" x14ac:dyDescent="0.25">
      <c r="A556" s="22">
        <f t="shared" si="8"/>
        <v>555</v>
      </c>
      <c r="B556" s="6" t="s">
        <v>2330</v>
      </c>
      <c r="C556" s="6" t="s">
        <v>4480</v>
      </c>
      <c r="D556" s="6" t="s">
        <v>4596</v>
      </c>
      <c r="E556" s="6" t="s">
        <v>4597</v>
      </c>
      <c r="F556" s="6" t="s">
        <v>4586</v>
      </c>
      <c r="G556" s="6" t="s">
        <v>18</v>
      </c>
      <c r="H556" s="6" t="str">
        <f>IFERROR(VLOOKUP(Table2[[#This Row],[Ticket]],Okey!A:B,2,0),"")</f>
        <v>ok</v>
      </c>
      <c r="I556" s="6" t="s">
        <v>3679</v>
      </c>
      <c r="J556" s="6" t="str">
        <f>VLOOKUP(Table2[[#This Row],[Author]],People!A:B,2,0)</f>
        <v>MGF</v>
      </c>
      <c r="K556" s="6"/>
      <c r="L556" s="6"/>
      <c r="M556" s="21" t="s">
        <v>1040</v>
      </c>
    </row>
    <row r="557" spans="1:13" x14ac:dyDescent="0.25">
      <c r="A557" s="23">
        <f t="shared" si="8"/>
        <v>556</v>
      </c>
      <c r="B557" s="7" t="s">
        <v>2330</v>
      </c>
      <c r="C557" s="7" t="s">
        <v>4480</v>
      </c>
      <c r="D557" s="7" t="s">
        <v>4598</v>
      </c>
      <c r="E557" s="7" t="s">
        <v>4599</v>
      </c>
      <c r="F557" s="7" t="s">
        <v>4586</v>
      </c>
      <c r="G557" s="7" t="s">
        <v>18</v>
      </c>
      <c r="H557" s="7" t="str">
        <f>IFERROR(VLOOKUP(Table2[[#This Row],[Ticket]],Okey!A:B,2,0),"")</f>
        <v>ok</v>
      </c>
      <c r="I557" s="7" t="s">
        <v>3679</v>
      </c>
      <c r="J557" s="7" t="str">
        <f>VLOOKUP(Table2[[#This Row],[Author]],People!A:B,2,0)</f>
        <v>MGF</v>
      </c>
      <c r="K557" s="7"/>
      <c r="L557" s="7"/>
      <c r="M557" s="16" t="s">
        <v>1040</v>
      </c>
    </row>
    <row r="558" spans="1:13" x14ac:dyDescent="0.25">
      <c r="A558" s="22">
        <f t="shared" si="8"/>
        <v>557</v>
      </c>
      <c r="B558" s="6" t="s">
        <v>2330</v>
      </c>
      <c r="C558" s="6" t="s">
        <v>4480</v>
      </c>
      <c r="D558" s="6" t="s">
        <v>4600</v>
      </c>
      <c r="E558" s="6" t="s">
        <v>4601</v>
      </c>
      <c r="F558" s="6" t="s">
        <v>4586</v>
      </c>
      <c r="G558" s="6" t="s">
        <v>18</v>
      </c>
      <c r="H558" s="6" t="str">
        <f>IFERROR(VLOOKUP(Table2[[#This Row],[Ticket]],Okey!A:B,2,0),"")</f>
        <v>ok</v>
      </c>
      <c r="I558" s="6" t="s">
        <v>3679</v>
      </c>
      <c r="J558" s="6" t="str">
        <f>VLOOKUP(Table2[[#This Row],[Author]],People!A:B,2,0)</f>
        <v>MGF</v>
      </c>
      <c r="K558" s="6"/>
      <c r="L558" s="6"/>
      <c r="M558" s="21" t="s">
        <v>1040</v>
      </c>
    </row>
    <row r="559" spans="1:13" x14ac:dyDescent="0.25">
      <c r="A559" s="23">
        <f t="shared" si="8"/>
        <v>558</v>
      </c>
      <c r="B559" s="7" t="s">
        <v>2330</v>
      </c>
      <c r="C559" s="7" t="s">
        <v>4480</v>
      </c>
      <c r="D559" s="7" t="s">
        <v>4602</v>
      </c>
      <c r="E559" s="7" t="s">
        <v>4603</v>
      </c>
      <c r="F559" s="7" t="s">
        <v>4586</v>
      </c>
      <c r="G559" s="7" t="s">
        <v>18</v>
      </c>
      <c r="H559" s="7" t="str">
        <f>IFERROR(VLOOKUP(Table2[[#This Row],[Ticket]],Okey!A:B,2,0),"")</f>
        <v>ok</v>
      </c>
      <c r="I559" s="7" t="s">
        <v>3679</v>
      </c>
      <c r="J559" s="7" t="str">
        <f>VLOOKUP(Table2[[#This Row],[Author]],People!A:B,2,0)</f>
        <v>MGF</v>
      </c>
      <c r="K559" s="7"/>
      <c r="L559" s="7"/>
      <c r="M559" s="16" t="s">
        <v>1040</v>
      </c>
    </row>
    <row r="560" spans="1:13" x14ac:dyDescent="0.25">
      <c r="A560" s="22">
        <f t="shared" si="8"/>
        <v>559</v>
      </c>
      <c r="B560" s="6" t="s">
        <v>2330</v>
      </c>
      <c r="C560" s="6" t="s">
        <v>4480</v>
      </c>
      <c r="D560" s="6" t="s">
        <v>4604</v>
      </c>
      <c r="E560" s="6" t="s">
        <v>4605</v>
      </c>
      <c r="F560" s="6" t="s">
        <v>4606</v>
      </c>
      <c r="G560" s="6" t="s">
        <v>18</v>
      </c>
      <c r="H560" s="6" t="str">
        <f>IFERROR(VLOOKUP(Table2[[#This Row],[Ticket]],Okey!A:B,2,0),"")</f>
        <v>ok</v>
      </c>
      <c r="I560" s="6" t="s">
        <v>3679</v>
      </c>
      <c r="J560" s="6" t="str">
        <f>VLOOKUP(Table2[[#This Row],[Author]],People!A:B,2,0)</f>
        <v>MGF</v>
      </c>
      <c r="K560" s="6"/>
      <c r="L560" s="6"/>
      <c r="M560" s="21" t="s">
        <v>1040</v>
      </c>
    </row>
    <row r="561" spans="1:13" x14ac:dyDescent="0.25">
      <c r="A561" s="23">
        <f t="shared" si="8"/>
        <v>560</v>
      </c>
      <c r="B561" s="7" t="s">
        <v>2330</v>
      </c>
      <c r="C561" s="7" t="s">
        <v>4480</v>
      </c>
      <c r="D561" s="7" t="s">
        <v>1099</v>
      </c>
      <c r="E561" s="7" t="s">
        <v>4607</v>
      </c>
      <c r="F561" s="7" t="s">
        <v>4608</v>
      </c>
      <c r="G561" s="7" t="s">
        <v>18</v>
      </c>
      <c r="H561" s="7" t="str">
        <f>IFERROR(VLOOKUP(Table2[[#This Row],[Ticket]],Okey!A:B,2,0),"")</f>
        <v>ok</v>
      </c>
      <c r="I561" s="7" t="s">
        <v>3679</v>
      </c>
      <c r="J561" s="7" t="str">
        <f>VLOOKUP(Table2[[#This Row],[Author]],People!A:B,2,0)</f>
        <v>MGF</v>
      </c>
      <c r="K561" s="7"/>
      <c r="L561" s="7"/>
      <c r="M561" s="16" t="s">
        <v>1040</v>
      </c>
    </row>
    <row r="562" spans="1:13" x14ac:dyDescent="0.25">
      <c r="A562" s="22">
        <f t="shared" si="8"/>
        <v>561</v>
      </c>
      <c r="B562" s="6" t="s">
        <v>2330</v>
      </c>
      <c r="C562" s="6" t="s">
        <v>4480</v>
      </c>
      <c r="D562" s="6" t="s">
        <v>4609</v>
      </c>
      <c r="E562" s="6" t="s">
        <v>4610</v>
      </c>
      <c r="F562" s="6" t="s">
        <v>1102</v>
      </c>
      <c r="G562" s="6" t="s">
        <v>18</v>
      </c>
      <c r="H562" s="6" t="str">
        <f>IFERROR(VLOOKUP(Table2[[#This Row],[Ticket]],Okey!A:B,2,0),"")</f>
        <v>ok</v>
      </c>
      <c r="I562" s="6" t="s">
        <v>3679</v>
      </c>
      <c r="J562" s="6" t="str">
        <f>VLOOKUP(Table2[[#This Row],[Author]],People!A:B,2,0)</f>
        <v>MGF</v>
      </c>
      <c r="K562" s="6"/>
      <c r="L562" s="6"/>
      <c r="M562" s="21" t="s">
        <v>1040</v>
      </c>
    </row>
    <row r="563" spans="1:13" x14ac:dyDescent="0.25">
      <c r="A563" s="23">
        <f t="shared" si="8"/>
        <v>562</v>
      </c>
      <c r="B563" s="7" t="s">
        <v>2330</v>
      </c>
      <c r="C563" s="7" t="s">
        <v>4480</v>
      </c>
      <c r="D563" s="7" t="s">
        <v>4611</v>
      </c>
      <c r="E563" s="7" t="s">
        <v>4612</v>
      </c>
      <c r="F563" s="7" t="s">
        <v>1103</v>
      </c>
      <c r="G563" s="7" t="s">
        <v>18</v>
      </c>
      <c r="H563" s="7" t="str">
        <f>IFERROR(VLOOKUP(Table2[[#This Row],[Ticket]],Okey!A:B,2,0),"")</f>
        <v>ok</v>
      </c>
      <c r="I563" s="7" t="s">
        <v>3679</v>
      </c>
      <c r="J563" s="7" t="str">
        <f>VLOOKUP(Table2[[#This Row],[Author]],People!A:B,2,0)</f>
        <v>MGF</v>
      </c>
      <c r="K563" s="7"/>
      <c r="L563" s="7"/>
      <c r="M563" s="16" t="s">
        <v>1040</v>
      </c>
    </row>
    <row r="564" spans="1:13" x14ac:dyDescent="0.25">
      <c r="A564" s="22">
        <f t="shared" si="8"/>
        <v>563</v>
      </c>
      <c r="B564" s="6" t="s">
        <v>2330</v>
      </c>
      <c r="C564" s="6" t="s">
        <v>4480</v>
      </c>
      <c r="D564" s="6" t="s">
        <v>1648</v>
      </c>
      <c r="E564" s="6" t="s">
        <v>4613</v>
      </c>
      <c r="F564" s="6" t="s">
        <v>1103</v>
      </c>
      <c r="G564" s="6" t="s">
        <v>18</v>
      </c>
      <c r="H564" s="6" t="str">
        <f>IFERROR(VLOOKUP(Table2[[#This Row],[Ticket]],Okey!A:B,2,0),"")</f>
        <v>ok</v>
      </c>
      <c r="I564" s="6" t="s">
        <v>3679</v>
      </c>
      <c r="J564" s="6" t="str">
        <f>VLOOKUP(Table2[[#This Row],[Author]],People!A:B,2,0)</f>
        <v>MGF</v>
      </c>
      <c r="K564" s="6"/>
      <c r="L564" s="6"/>
      <c r="M564" s="21" t="s">
        <v>1040</v>
      </c>
    </row>
    <row r="565" spans="1:13" x14ac:dyDescent="0.25">
      <c r="A565" s="23">
        <f t="shared" si="8"/>
        <v>564</v>
      </c>
      <c r="B565" s="7" t="s">
        <v>2330</v>
      </c>
      <c r="C565" s="7" t="s">
        <v>4480</v>
      </c>
      <c r="D565" s="7" t="s">
        <v>4614</v>
      </c>
      <c r="E565" s="7" t="s">
        <v>4615</v>
      </c>
      <c r="F565" s="7" t="s">
        <v>1103</v>
      </c>
      <c r="G565" s="7" t="s">
        <v>18</v>
      </c>
      <c r="H565" s="7" t="str">
        <f>IFERROR(VLOOKUP(Table2[[#This Row],[Ticket]],Okey!A:B,2,0),"")</f>
        <v>ok</v>
      </c>
      <c r="I565" s="7" t="s">
        <v>3679</v>
      </c>
      <c r="J565" s="7" t="str">
        <f>VLOOKUP(Table2[[#This Row],[Author]],People!A:B,2,0)</f>
        <v>MGF</v>
      </c>
      <c r="K565" s="7"/>
      <c r="L565" s="7"/>
      <c r="M565" s="16" t="s">
        <v>1040</v>
      </c>
    </row>
    <row r="566" spans="1:13" x14ac:dyDescent="0.25">
      <c r="A566" s="22">
        <f t="shared" si="8"/>
        <v>565</v>
      </c>
      <c r="B566" s="6" t="s">
        <v>2330</v>
      </c>
      <c r="C566" s="6" t="s">
        <v>4480</v>
      </c>
      <c r="D566" s="6" t="s">
        <v>4616</v>
      </c>
      <c r="E566" s="6" t="s">
        <v>4617</v>
      </c>
      <c r="F566" s="6" t="s">
        <v>4614</v>
      </c>
      <c r="G566" s="6" t="s">
        <v>18</v>
      </c>
      <c r="H566" s="6" t="str">
        <f>IFERROR(VLOOKUP(Table2[[#This Row],[Ticket]],Okey!A:B,2,0),"")</f>
        <v>ok</v>
      </c>
      <c r="I566" s="6" t="s">
        <v>3679</v>
      </c>
      <c r="J566" s="6" t="str">
        <f>VLOOKUP(Table2[[#This Row],[Author]],People!A:B,2,0)</f>
        <v>MGF</v>
      </c>
      <c r="K566" s="6"/>
      <c r="L566" s="6"/>
      <c r="M566" s="21" t="s">
        <v>1040</v>
      </c>
    </row>
    <row r="567" spans="1:13" x14ac:dyDescent="0.25">
      <c r="A567" s="23">
        <f t="shared" si="8"/>
        <v>566</v>
      </c>
      <c r="B567" s="7" t="s">
        <v>2330</v>
      </c>
      <c r="C567" s="7" t="s">
        <v>4480</v>
      </c>
      <c r="D567" s="7" t="s">
        <v>4618</v>
      </c>
      <c r="E567" s="7" t="s">
        <v>4619</v>
      </c>
      <c r="F567" s="7" t="s">
        <v>4614</v>
      </c>
      <c r="G567" s="7" t="s">
        <v>18</v>
      </c>
      <c r="H567" s="7" t="str">
        <f>IFERROR(VLOOKUP(Table2[[#This Row],[Ticket]],Okey!A:B,2,0),"")</f>
        <v>ok</v>
      </c>
      <c r="I567" s="7" t="s">
        <v>3679</v>
      </c>
      <c r="J567" s="7" t="str">
        <f>VLOOKUP(Table2[[#This Row],[Author]],People!A:B,2,0)</f>
        <v>LS</v>
      </c>
      <c r="K567" s="7"/>
      <c r="L567" s="7"/>
      <c r="M567" s="16" t="s">
        <v>1040</v>
      </c>
    </row>
    <row r="568" spans="1:13" x14ac:dyDescent="0.25">
      <c r="A568" s="22">
        <f t="shared" si="8"/>
        <v>567</v>
      </c>
      <c r="B568" s="6" t="s">
        <v>2330</v>
      </c>
      <c r="C568" s="6" t="s">
        <v>4480</v>
      </c>
      <c r="D568" s="6" t="s">
        <v>1354</v>
      </c>
      <c r="E568" s="6" t="s">
        <v>4620</v>
      </c>
      <c r="F568" s="6" t="s">
        <v>4614</v>
      </c>
      <c r="G568" s="6" t="s">
        <v>18</v>
      </c>
      <c r="H568" s="6" t="str">
        <f>IFERROR(VLOOKUP(Table2[[#This Row],[Ticket]],Okey!A:B,2,0),"")</f>
        <v>ok</v>
      </c>
      <c r="I568" s="6" t="s">
        <v>3679</v>
      </c>
      <c r="J568" s="6" t="str">
        <f>VLOOKUP(Table2[[#This Row],[Author]],People!A:B,2,0)</f>
        <v>LS</v>
      </c>
      <c r="K568" s="6"/>
      <c r="L568" s="6"/>
      <c r="M568" s="21" t="s">
        <v>1040</v>
      </c>
    </row>
    <row r="569" spans="1:13" x14ac:dyDescent="0.25">
      <c r="A569" s="23">
        <f t="shared" si="8"/>
        <v>568</v>
      </c>
      <c r="B569" s="7" t="s">
        <v>2330</v>
      </c>
      <c r="C569" s="7" t="s">
        <v>4480</v>
      </c>
      <c r="D569" s="7" t="s">
        <v>4621</v>
      </c>
      <c r="E569" s="7" t="s">
        <v>4622</v>
      </c>
      <c r="F569" s="7" t="s">
        <v>4614</v>
      </c>
      <c r="G569" s="7" t="s">
        <v>18</v>
      </c>
      <c r="H569" s="7" t="str">
        <f>IFERROR(VLOOKUP(Table2[[#This Row],[Ticket]],Okey!A:B,2,0),"")</f>
        <v>ok</v>
      </c>
      <c r="I569" s="7" t="s">
        <v>3679</v>
      </c>
      <c r="J569" s="7" t="str">
        <f>VLOOKUP(Table2[[#This Row],[Author]],People!A:B,2,0)</f>
        <v>MGF</v>
      </c>
      <c r="K569" s="7"/>
      <c r="L569" s="7"/>
      <c r="M569" s="16" t="s">
        <v>1040</v>
      </c>
    </row>
    <row r="570" spans="1:13" x14ac:dyDescent="0.25">
      <c r="A570" s="22">
        <f t="shared" si="8"/>
        <v>569</v>
      </c>
      <c r="B570" s="6" t="s">
        <v>2330</v>
      </c>
      <c r="C570" s="6" t="s">
        <v>4480</v>
      </c>
      <c r="D570" s="6" t="s">
        <v>1088</v>
      </c>
      <c r="E570" s="6" t="s">
        <v>4623</v>
      </c>
      <c r="F570" s="6"/>
      <c r="G570" s="6" t="s">
        <v>63</v>
      </c>
      <c r="H570" s="6" t="str">
        <f>IFERROR(VLOOKUP(Table2[[#This Row],[Ticket]],Okey!A:B,2,0),"")</f>
        <v>ok</v>
      </c>
      <c r="I570" s="6" t="s">
        <v>3679</v>
      </c>
      <c r="J570" s="6" t="str">
        <f>VLOOKUP(Table2[[#This Row],[Author]],People!A:B,2,0)</f>
        <v>MGF</v>
      </c>
      <c r="K570" s="6"/>
      <c r="L570" s="6"/>
      <c r="M570" s="21" t="s">
        <v>1040</v>
      </c>
    </row>
    <row r="571" spans="1:13" x14ac:dyDescent="0.25">
      <c r="A571" s="23">
        <f t="shared" si="8"/>
        <v>570</v>
      </c>
      <c r="B571" s="7" t="s">
        <v>2330</v>
      </c>
      <c r="C571" s="7" t="s">
        <v>4480</v>
      </c>
      <c r="D571" s="7" t="s">
        <v>4624</v>
      </c>
      <c r="E571" s="7" t="s">
        <v>4625</v>
      </c>
      <c r="F571" s="7"/>
      <c r="G571" s="7" t="s">
        <v>63</v>
      </c>
      <c r="H571" s="7" t="str">
        <f>IFERROR(VLOOKUP(Table2[[#This Row],[Ticket]],Okey!A:B,2,0),"")</f>
        <v>ok</v>
      </c>
      <c r="I571" s="7" t="s">
        <v>3679</v>
      </c>
      <c r="J571" s="7" t="str">
        <f>VLOOKUP(Table2[[#This Row],[Author]],People!A:B,2,0)</f>
        <v>MGF</v>
      </c>
      <c r="K571" s="7"/>
      <c r="L571" s="7"/>
      <c r="M571" s="16" t="s">
        <v>1040</v>
      </c>
    </row>
    <row r="572" spans="1:13" x14ac:dyDescent="0.25">
      <c r="A572" s="22">
        <f t="shared" si="8"/>
        <v>571</v>
      </c>
      <c r="B572" s="6" t="s">
        <v>2330</v>
      </c>
      <c r="C572" s="6" t="s">
        <v>4480</v>
      </c>
      <c r="D572" s="6" t="s">
        <v>1645</v>
      </c>
      <c r="E572" s="6" t="s">
        <v>4626</v>
      </c>
      <c r="F572" s="6"/>
      <c r="G572" s="6" t="s">
        <v>63</v>
      </c>
      <c r="H572" s="6" t="str">
        <f>IFERROR(VLOOKUP(Table2[[#This Row],[Ticket]],Okey!A:B,2,0),"")</f>
        <v>ok</v>
      </c>
      <c r="I572" s="6" t="s">
        <v>3679</v>
      </c>
      <c r="J572" s="6" t="str">
        <f>VLOOKUP(Table2[[#This Row],[Author]],People!A:B,2,0)</f>
        <v>MGF</v>
      </c>
      <c r="K572" s="6"/>
      <c r="L572" s="6"/>
      <c r="M572" s="21" t="s">
        <v>1040</v>
      </c>
    </row>
    <row r="573" spans="1:13" x14ac:dyDescent="0.25">
      <c r="A573" s="23">
        <f t="shared" si="8"/>
        <v>572</v>
      </c>
      <c r="B573" s="7" t="s">
        <v>2330</v>
      </c>
      <c r="C573" s="7" t="s">
        <v>4480</v>
      </c>
      <c r="D573" s="7" t="s">
        <v>4627</v>
      </c>
      <c r="E573" s="7" t="s">
        <v>4628</v>
      </c>
      <c r="F573" s="7"/>
      <c r="G573" s="7" t="s">
        <v>63</v>
      </c>
      <c r="H573" s="7" t="str">
        <f>IFERROR(VLOOKUP(Table2[[#This Row],[Ticket]],Okey!A:B,2,0),"")</f>
        <v>ok</v>
      </c>
      <c r="I573" s="7" t="s">
        <v>3679</v>
      </c>
      <c r="J573" s="7" t="str">
        <f>VLOOKUP(Table2[[#This Row],[Author]],People!A:B,2,0)</f>
        <v>LS</v>
      </c>
      <c r="K573" s="7"/>
      <c r="L573" s="7"/>
      <c r="M573" s="16" t="s">
        <v>1040</v>
      </c>
    </row>
    <row r="574" spans="1:13" x14ac:dyDescent="0.25">
      <c r="A574" s="22">
        <f t="shared" si="8"/>
        <v>573</v>
      </c>
      <c r="B574" s="6" t="s">
        <v>2330</v>
      </c>
      <c r="C574" s="6" t="s">
        <v>4480</v>
      </c>
      <c r="D574" s="6" t="s">
        <v>4629</v>
      </c>
      <c r="E574" s="6" t="s">
        <v>4630</v>
      </c>
      <c r="F574" s="6"/>
      <c r="G574" s="6" t="s">
        <v>63</v>
      </c>
      <c r="H574" s="6" t="str">
        <f>IFERROR(VLOOKUP(Table2[[#This Row],[Ticket]],Okey!A:B,2,0),"")</f>
        <v>ok</v>
      </c>
      <c r="I574" s="6" t="s">
        <v>3679</v>
      </c>
      <c r="J574" s="6" t="str">
        <f>VLOOKUP(Table2[[#This Row],[Author]],People!A:B,2,0)</f>
        <v>LS</v>
      </c>
      <c r="K574" s="6"/>
      <c r="L574" s="6"/>
      <c r="M574" s="21" t="s">
        <v>1040</v>
      </c>
    </row>
    <row r="575" spans="1:13" x14ac:dyDescent="0.25">
      <c r="A575" s="23">
        <f t="shared" si="8"/>
        <v>574</v>
      </c>
      <c r="B575" s="7" t="s">
        <v>2330</v>
      </c>
      <c r="C575" s="7" t="s">
        <v>4480</v>
      </c>
      <c r="D575" s="7" t="s">
        <v>4631</v>
      </c>
      <c r="E575" s="7" t="s">
        <v>4632</v>
      </c>
      <c r="F575" s="7"/>
      <c r="G575" s="7" t="s">
        <v>63</v>
      </c>
      <c r="H575" s="7" t="str">
        <f>IFERROR(VLOOKUP(Table2[[#This Row],[Ticket]],Okey!A:B,2,0),"")</f>
        <v>ok</v>
      </c>
      <c r="I575" s="7" t="s">
        <v>3679</v>
      </c>
      <c r="J575" s="7" t="str">
        <f>VLOOKUP(Table2[[#This Row],[Author]],People!A:B,2,0)</f>
        <v>LS</v>
      </c>
      <c r="K575" s="7"/>
      <c r="L575" s="7"/>
      <c r="M575" s="16" t="s">
        <v>1040</v>
      </c>
    </row>
    <row r="576" spans="1:13" x14ac:dyDescent="0.25">
      <c r="A576" s="22">
        <f t="shared" si="8"/>
        <v>575</v>
      </c>
      <c r="B576" s="6" t="s">
        <v>2330</v>
      </c>
      <c r="C576" s="6" t="s">
        <v>4480</v>
      </c>
      <c r="D576" s="6" t="s">
        <v>1654</v>
      </c>
      <c r="E576" s="6" t="s">
        <v>4633</v>
      </c>
      <c r="F576" s="6"/>
      <c r="G576" s="6" t="s">
        <v>63</v>
      </c>
      <c r="H576" s="6" t="str">
        <f>IFERROR(VLOOKUP(Table2[[#This Row],[Ticket]],Okey!A:B,2,0),"")</f>
        <v>ok</v>
      </c>
      <c r="I576" s="6" t="s">
        <v>3679</v>
      </c>
      <c r="J576" s="6" t="str">
        <f>VLOOKUP(Table2[[#This Row],[Author]],People!A:B,2,0)</f>
        <v>LS</v>
      </c>
      <c r="K576" s="6"/>
      <c r="L576" s="6"/>
      <c r="M576" s="21" t="s">
        <v>1040</v>
      </c>
    </row>
    <row r="577" spans="1:13" x14ac:dyDescent="0.25">
      <c r="A577" s="23">
        <f t="shared" si="8"/>
        <v>576</v>
      </c>
      <c r="B577" s="7" t="s">
        <v>2330</v>
      </c>
      <c r="C577" s="7" t="s">
        <v>4480</v>
      </c>
      <c r="D577" s="7" t="s">
        <v>4634</v>
      </c>
      <c r="E577" s="7" t="s">
        <v>4635</v>
      </c>
      <c r="F577" s="7"/>
      <c r="G577" s="7" t="s">
        <v>63</v>
      </c>
      <c r="H577" s="7" t="str">
        <f>IFERROR(VLOOKUP(Table2[[#This Row],[Ticket]],Okey!A:B,2,0),"")</f>
        <v>ok</v>
      </c>
      <c r="I577" s="7" t="s">
        <v>3679</v>
      </c>
      <c r="J577" s="7" t="str">
        <f>VLOOKUP(Table2[[#This Row],[Author]],People!A:B,2,0)</f>
        <v>LS</v>
      </c>
      <c r="K577" s="7"/>
      <c r="L577" s="7"/>
      <c r="M577" s="16" t="s">
        <v>1040</v>
      </c>
    </row>
    <row r="578" spans="1:13" x14ac:dyDescent="0.25">
      <c r="A578" s="22">
        <f t="shared" si="8"/>
        <v>577</v>
      </c>
      <c r="B578" s="6" t="s">
        <v>2330</v>
      </c>
      <c r="C578" s="6" t="s">
        <v>4480</v>
      </c>
      <c r="D578" s="6" t="s">
        <v>4636</v>
      </c>
      <c r="E578" s="6" t="s">
        <v>4637</v>
      </c>
      <c r="F578" s="6"/>
      <c r="G578" s="6" t="s">
        <v>63</v>
      </c>
      <c r="H578" s="6" t="str">
        <f>IFERROR(VLOOKUP(Table2[[#This Row],[Ticket]],Okey!A:B,2,0),"")</f>
        <v>ok</v>
      </c>
      <c r="I578" s="6" t="s">
        <v>3679</v>
      </c>
      <c r="J578" s="6" t="str">
        <f>VLOOKUP(Table2[[#This Row],[Author]],People!A:B,2,0)</f>
        <v>LS</v>
      </c>
      <c r="K578" s="6"/>
      <c r="L578" s="6"/>
      <c r="M578" s="21" t="s">
        <v>1040</v>
      </c>
    </row>
    <row r="579" spans="1:13" x14ac:dyDescent="0.25">
      <c r="A579" s="23">
        <f t="shared" ref="A579:A642" si="9">1+A578</f>
        <v>578</v>
      </c>
      <c r="B579" s="7" t="s">
        <v>2330</v>
      </c>
      <c r="C579" s="7" t="s">
        <v>4480</v>
      </c>
      <c r="D579" s="7" t="s">
        <v>4638</v>
      </c>
      <c r="E579" s="7" t="s">
        <v>4639</v>
      </c>
      <c r="F579" s="7"/>
      <c r="G579" s="7" t="s">
        <v>63</v>
      </c>
      <c r="H579" s="7" t="str">
        <f>IFERROR(VLOOKUP(Table2[[#This Row],[Ticket]],Okey!A:B,2,0),"")</f>
        <v>ok</v>
      </c>
      <c r="I579" s="7" t="s">
        <v>3679</v>
      </c>
      <c r="J579" s="7" t="str">
        <f>VLOOKUP(Table2[[#This Row],[Author]],People!A:B,2,0)</f>
        <v>LS</v>
      </c>
      <c r="K579" s="7"/>
      <c r="L579" s="7"/>
      <c r="M579" s="16" t="s">
        <v>1040</v>
      </c>
    </row>
    <row r="580" spans="1:13" x14ac:dyDescent="0.25">
      <c r="A580" s="22">
        <f t="shared" si="9"/>
        <v>579</v>
      </c>
      <c r="B580" s="6" t="s">
        <v>2330</v>
      </c>
      <c r="C580" s="6" t="s">
        <v>4480</v>
      </c>
      <c r="D580" s="6" t="s">
        <v>4640</v>
      </c>
      <c r="E580" s="6" t="s">
        <v>4641</v>
      </c>
      <c r="F580" s="6"/>
      <c r="G580" s="6" t="s">
        <v>63</v>
      </c>
      <c r="H580" s="6" t="str">
        <f>IFERROR(VLOOKUP(Table2[[#This Row],[Ticket]],Okey!A:B,2,0),"")</f>
        <v>ok</v>
      </c>
      <c r="I580" s="6" t="s">
        <v>3679</v>
      </c>
      <c r="J580" s="6" t="str">
        <f>VLOOKUP(Table2[[#This Row],[Author]],People!A:B,2,0)</f>
        <v>LS</v>
      </c>
      <c r="K580" s="6"/>
      <c r="L580" s="6"/>
      <c r="M580" s="21" t="s">
        <v>1040</v>
      </c>
    </row>
    <row r="581" spans="1:13" x14ac:dyDescent="0.25">
      <c r="A581" s="23">
        <f t="shared" si="9"/>
        <v>580</v>
      </c>
      <c r="B581" s="7" t="s">
        <v>2330</v>
      </c>
      <c r="C581" s="7" t="s">
        <v>4480</v>
      </c>
      <c r="D581" s="7" t="s">
        <v>4207</v>
      </c>
      <c r="E581" s="7" t="s">
        <v>4642</v>
      </c>
      <c r="F581" s="7"/>
      <c r="G581" s="7" t="s">
        <v>63</v>
      </c>
      <c r="H581" s="7" t="str">
        <f>IFERROR(VLOOKUP(Table2[[#This Row],[Ticket]],Okey!A:B,2,0),"")</f>
        <v>ok</v>
      </c>
      <c r="I581" s="7" t="s">
        <v>3679</v>
      </c>
      <c r="J581" s="7" t="str">
        <f>VLOOKUP(Table2[[#This Row],[Author]],People!A:B,2,0)</f>
        <v>LS</v>
      </c>
      <c r="K581" s="7"/>
      <c r="L581" s="7"/>
      <c r="M581" s="16" t="s">
        <v>1040</v>
      </c>
    </row>
    <row r="582" spans="1:13" x14ac:dyDescent="0.25">
      <c r="A582" s="22">
        <f t="shared" si="9"/>
        <v>581</v>
      </c>
      <c r="B582" s="6" t="s">
        <v>2330</v>
      </c>
      <c r="C582" s="6" t="s">
        <v>4480</v>
      </c>
      <c r="D582" s="6" t="s">
        <v>1087</v>
      </c>
      <c r="E582" s="6" t="s">
        <v>4643</v>
      </c>
      <c r="F582" s="6" t="s">
        <v>1088</v>
      </c>
      <c r="G582" s="6" t="s">
        <v>496</v>
      </c>
      <c r="H582" s="6" t="str">
        <f>IFERROR(VLOOKUP(Table2[[#This Row],[Ticket]],Okey!A:B,2,0),"")</f>
        <v>ok</v>
      </c>
      <c r="I582" s="6" t="s">
        <v>3679</v>
      </c>
      <c r="J582" s="6" t="str">
        <f>VLOOKUP(Table2[[#This Row],[Author]],People!A:B,2,0)</f>
        <v>LS</v>
      </c>
      <c r="K582" s="6"/>
      <c r="L582" s="6"/>
      <c r="M582" s="21" t="s">
        <v>1040</v>
      </c>
    </row>
    <row r="583" spans="1:13" x14ac:dyDescent="0.25">
      <c r="A583" s="23">
        <f t="shared" si="9"/>
        <v>582</v>
      </c>
      <c r="B583" s="7" t="s">
        <v>2330</v>
      </c>
      <c r="C583" s="7" t="s">
        <v>4480</v>
      </c>
      <c r="D583" s="7" t="s">
        <v>2549</v>
      </c>
      <c r="E583" s="7" t="s">
        <v>4644</v>
      </c>
      <c r="F583" s="7" t="s">
        <v>4645</v>
      </c>
      <c r="G583" s="7" t="s">
        <v>496</v>
      </c>
      <c r="H583" s="7" t="str">
        <f>IFERROR(VLOOKUP(Table2[[#This Row],[Ticket]],Okey!A:B,2,0),"")</f>
        <v>ok</v>
      </c>
      <c r="I583" s="7" t="s">
        <v>3679</v>
      </c>
      <c r="J583" s="7" t="str">
        <f>VLOOKUP(Table2[[#This Row],[Author]],People!A:B,2,0)</f>
        <v>LS</v>
      </c>
      <c r="K583" s="7"/>
      <c r="L583" s="7"/>
      <c r="M583" s="16" t="s">
        <v>1040</v>
      </c>
    </row>
    <row r="584" spans="1:13" x14ac:dyDescent="0.25">
      <c r="A584" s="22">
        <f t="shared" si="9"/>
        <v>583</v>
      </c>
      <c r="B584" s="6" t="s">
        <v>2330</v>
      </c>
      <c r="C584" s="6" t="s">
        <v>4480</v>
      </c>
      <c r="D584" s="6" t="s">
        <v>4646</v>
      </c>
      <c r="E584" s="6" t="s">
        <v>4647</v>
      </c>
      <c r="F584" s="6" t="s">
        <v>4544</v>
      </c>
      <c r="G584" s="6" t="s">
        <v>496</v>
      </c>
      <c r="H584" s="6" t="str">
        <f>IFERROR(VLOOKUP(Table2[[#This Row],[Ticket]],Okey!A:B,2,0),"")</f>
        <v>ok</v>
      </c>
      <c r="I584" s="6" t="s">
        <v>3679</v>
      </c>
      <c r="J584" s="6" t="str">
        <f>VLOOKUP(Table2[[#This Row],[Author]],People!A:B,2,0)</f>
        <v>LS</v>
      </c>
      <c r="K584" s="6"/>
      <c r="L584" s="6"/>
      <c r="M584" s="21" t="s">
        <v>1040</v>
      </c>
    </row>
    <row r="585" spans="1:13" x14ac:dyDescent="0.25">
      <c r="A585" s="23">
        <f t="shared" si="9"/>
        <v>584</v>
      </c>
      <c r="B585" s="7" t="s">
        <v>2330</v>
      </c>
      <c r="C585" s="7" t="s">
        <v>4480</v>
      </c>
      <c r="D585" s="7" t="s">
        <v>4648</v>
      </c>
      <c r="E585" s="7" t="s">
        <v>4649</v>
      </c>
      <c r="F585" s="7" t="s">
        <v>4544</v>
      </c>
      <c r="G585" s="7" t="s">
        <v>496</v>
      </c>
      <c r="H585" s="7" t="str">
        <f>IFERROR(VLOOKUP(Table2[[#This Row],[Ticket]],Okey!A:B,2,0),"")</f>
        <v>ok</v>
      </c>
      <c r="I585" s="7" t="s">
        <v>3679</v>
      </c>
      <c r="J585" s="7" t="str">
        <f>VLOOKUP(Table2[[#This Row],[Author]],People!A:B,2,0)</f>
        <v>LS</v>
      </c>
      <c r="K585" s="7"/>
      <c r="L585" s="7"/>
      <c r="M585" s="16" t="s">
        <v>1040</v>
      </c>
    </row>
    <row r="586" spans="1:13" x14ac:dyDescent="0.25">
      <c r="A586" s="22">
        <f t="shared" si="9"/>
        <v>585</v>
      </c>
      <c r="B586" s="6" t="s">
        <v>2330</v>
      </c>
      <c r="C586" s="6" t="s">
        <v>4480</v>
      </c>
      <c r="D586" s="6" t="s">
        <v>1097</v>
      </c>
      <c r="E586" s="6" t="s">
        <v>4650</v>
      </c>
      <c r="F586" s="6" t="s">
        <v>4608</v>
      </c>
      <c r="G586" s="6" t="s">
        <v>496</v>
      </c>
      <c r="H586" s="6" t="str">
        <f>IFERROR(VLOOKUP(Table2[[#This Row],[Ticket]],Okey!A:B,2,0),"")</f>
        <v>ok</v>
      </c>
      <c r="I586" s="6" t="s">
        <v>3679</v>
      </c>
      <c r="J586" s="6" t="str">
        <f>VLOOKUP(Table2[[#This Row],[Author]],People!A:B,2,0)</f>
        <v>LS</v>
      </c>
      <c r="K586" s="6"/>
      <c r="L586" s="6"/>
      <c r="M586" s="21" t="s">
        <v>1040</v>
      </c>
    </row>
    <row r="587" spans="1:13" x14ac:dyDescent="0.25">
      <c r="A587" s="23">
        <f t="shared" si="9"/>
        <v>586</v>
      </c>
      <c r="B587" s="7" t="s">
        <v>2330</v>
      </c>
      <c r="C587" s="7" t="s">
        <v>4480</v>
      </c>
      <c r="D587" s="7" t="s">
        <v>4651</v>
      </c>
      <c r="E587" s="7" t="s">
        <v>4652</v>
      </c>
      <c r="F587" s="7" t="s">
        <v>1103</v>
      </c>
      <c r="G587" s="7" t="s">
        <v>496</v>
      </c>
      <c r="H587" s="7" t="str">
        <f>IFERROR(VLOOKUP(Table2[[#This Row],[Ticket]],Okey!A:B,2,0),"")</f>
        <v>ok</v>
      </c>
      <c r="I587" s="7" t="s">
        <v>3679</v>
      </c>
      <c r="J587" s="7" t="str">
        <f>VLOOKUP(Table2[[#This Row],[Author]],People!A:B,2,0)</f>
        <v>LS</v>
      </c>
      <c r="K587" s="7"/>
      <c r="L587" s="7"/>
      <c r="M587" s="16" t="s">
        <v>1040</v>
      </c>
    </row>
    <row r="588" spans="1:13" x14ac:dyDescent="0.25">
      <c r="A588" s="22">
        <f t="shared" si="9"/>
        <v>587</v>
      </c>
      <c r="B588" s="6" t="s">
        <v>2330</v>
      </c>
      <c r="C588" s="6" t="s">
        <v>4480</v>
      </c>
      <c r="D588" s="6" t="s">
        <v>4653</v>
      </c>
      <c r="E588" s="6"/>
      <c r="F588" s="6" t="s">
        <v>1310</v>
      </c>
      <c r="G588" s="6" t="s">
        <v>24</v>
      </c>
      <c r="H588" s="6" t="str">
        <f>IFERROR(VLOOKUP(Table2[[#This Row],[Ticket]],Okey!A:B,2,0),"")</f>
        <v>ok</v>
      </c>
      <c r="I588" s="6" t="s">
        <v>3679</v>
      </c>
      <c r="J588" s="6" t="str">
        <f>VLOOKUP(Table2[[#This Row],[Author]],People!A:B,2,0)</f>
        <v>LS</v>
      </c>
      <c r="K588" s="6"/>
      <c r="L588" s="6"/>
      <c r="M588" s="21" t="s">
        <v>1040</v>
      </c>
    </row>
    <row r="589" spans="1:13" x14ac:dyDescent="0.25">
      <c r="A589" s="23">
        <f t="shared" si="9"/>
        <v>588</v>
      </c>
      <c r="B589" s="7" t="s">
        <v>2330</v>
      </c>
      <c r="C589" s="7" t="s">
        <v>4480</v>
      </c>
      <c r="D589" s="7" t="s">
        <v>2538</v>
      </c>
      <c r="E589" s="7"/>
      <c r="F589" s="7" t="s">
        <v>2517</v>
      </c>
      <c r="G589" s="7" t="s">
        <v>24</v>
      </c>
      <c r="H589" s="7" t="str">
        <f>IFERROR(VLOOKUP(Table2[[#This Row],[Ticket]],Okey!A:B,2,0),"")</f>
        <v>ok</v>
      </c>
      <c r="I589" s="7" t="s">
        <v>3679</v>
      </c>
      <c r="J589" s="7" t="str">
        <f>VLOOKUP(Table2[[#This Row],[Author]],People!A:B,2,0)</f>
        <v>LS</v>
      </c>
      <c r="K589" s="7"/>
      <c r="L589" s="7"/>
      <c r="M589" s="16" t="s">
        <v>1040</v>
      </c>
    </row>
    <row r="590" spans="1:13" x14ac:dyDescent="0.25">
      <c r="A590" s="22">
        <f t="shared" si="9"/>
        <v>589</v>
      </c>
      <c r="B590" s="6" t="s">
        <v>2330</v>
      </c>
      <c r="C590" s="6" t="s">
        <v>4480</v>
      </c>
      <c r="D590" s="6" t="s">
        <v>4654</v>
      </c>
      <c r="E590" s="6"/>
      <c r="F590" s="6" t="s">
        <v>4655</v>
      </c>
      <c r="G590" s="6" t="s">
        <v>24</v>
      </c>
      <c r="H590" s="6" t="str">
        <f>IFERROR(VLOOKUP(Table2[[#This Row],[Ticket]],Okey!A:B,2,0),"")</f>
        <v>ok</v>
      </c>
      <c r="I590" s="6" t="s">
        <v>3679</v>
      </c>
      <c r="J590" s="6" t="str">
        <f>VLOOKUP(Table2[[#This Row],[Author]],People!A:B,2,0)</f>
        <v>LS</v>
      </c>
      <c r="K590" s="6"/>
      <c r="L590" s="6"/>
      <c r="M590" s="21" t="s">
        <v>1040</v>
      </c>
    </row>
    <row r="591" spans="1:13" x14ac:dyDescent="0.25">
      <c r="A591" s="23">
        <f t="shared" si="9"/>
        <v>590</v>
      </c>
      <c r="B591" s="7" t="s">
        <v>2330</v>
      </c>
      <c r="C591" s="7" t="s">
        <v>4480</v>
      </c>
      <c r="D591" s="7" t="s">
        <v>4656</v>
      </c>
      <c r="E591" s="7"/>
      <c r="F591" s="7" t="s">
        <v>2479</v>
      </c>
      <c r="G591" s="7" t="s">
        <v>24</v>
      </c>
      <c r="H591" s="7" t="str">
        <f>IFERROR(VLOOKUP(Table2[[#This Row],[Ticket]],Okey!A:B,2,0),"")</f>
        <v>ok</v>
      </c>
      <c r="I591" s="7" t="s">
        <v>3679</v>
      </c>
      <c r="J591" s="7" t="str">
        <f>VLOOKUP(Table2[[#This Row],[Author]],People!A:B,2,0)</f>
        <v>LS</v>
      </c>
      <c r="K591" s="7"/>
      <c r="L591" s="7"/>
      <c r="M591" s="16" t="s">
        <v>1040</v>
      </c>
    </row>
    <row r="592" spans="1:13" x14ac:dyDescent="0.25">
      <c r="A592" s="22">
        <f t="shared" si="9"/>
        <v>591</v>
      </c>
      <c r="B592" s="6" t="s">
        <v>2330</v>
      </c>
      <c r="C592" s="6" t="s">
        <v>4480</v>
      </c>
      <c r="D592" s="6" t="s">
        <v>4657</v>
      </c>
      <c r="E592" s="6"/>
      <c r="F592" s="6" t="s">
        <v>4528</v>
      </c>
      <c r="G592" s="6" t="s">
        <v>24</v>
      </c>
      <c r="H592" s="6" t="str">
        <f>IFERROR(VLOOKUP(Table2[[#This Row],[Ticket]],Okey!A:B,2,0),"")</f>
        <v>ok</v>
      </c>
      <c r="I592" s="6" t="s">
        <v>3679</v>
      </c>
      <c r="J592" s="6" t="str">
        <f>VLOOKUP(Table2[[#This Row],[Author]],People!A:B,2,0)</f>
        <v>LS</v>
      </c>
      <c r="K592" s="6"/>
      <c r="L592" s="6"/>
      <c r="M592" s="21" t="s">
        <v>1040</v>
      </c>
    </row>
    <row r="593" spans="1:13" x14ac:dyDescent="0.25">
      <c r="A593" s="23">
        <f t="shared" si="9"/>
        <v>592</v>
      </c>
      <c r="B593" s="7" t="s">
        <v>2330</v>
      </c>
      <c r="C593" s="7" t="s">
        <v>4480</v>
      </c>
      <c r="D593" s="7" t="s">
        <v>4658</v>
      </c>
      <c r="E593" s="7"/>
      <c r="F593" s="7" t="s">
        <v>4528</v>
      </c>
      <c r="G593" s="7" t="s">
        <v>24</v>
      </c>
      <c r="H593" s="7" t="str">
        <f>IFERROR(VLOOKUP(Table2[[#This Row],[Ticket]],Okey!A:B,2,0),"")</f>
        <v>ok</v>
      </c>
      <c r="I593" s="7" t="s">
        <v>3679</v>
      </c>
      <c r="J593" s="7" t="str">
        <f>VLOOKUP(Table2[[#This Row],[Author]],People!A:B,2,0)</f>
        <v>LS</v>
      </c>
      <c r="K593" s="7"/>
      <c r="L593" s="7"/>
      <c r="M593" s="16" t="s">
        <v>1040</v>
      </c>
    </row>
    <row r="594" spans="1:13" x14ac:dyDescent="0.25">
      <c r="A594" s="22">
        <f t="shared" si="9"/>
        <v>593</v>
      </c>
      <c r="B594" s="6" t="s">
        <v>2330</v>
      </c>
      <c r="C594" s="6" t="s">
        <v>4480</v>
      </c>
      <c r="D594" s="6" t="s">
        <v>1039</v>
      </c>
      <c r="E594" s="6"/>
      <c r="F594" s="6" t="s">
        <v>4584</v>
      </c>
      <c r="G594" s="6" t="s">
        <v>24</v>
      </c>
      <c r="H594" s="6" t="str">
        <f>IFERROR(VLOOKUP(Table2[[#This Row],[Ticket]],Okey!A:B,2,0),"")</f>
        <v>ok</v>
      </c>
      <c r="I594" s="6" t="s">
        <v>3679</v>
      </c>
      <c r="J594" s="6" t="str">
        <f>VLOOKUP(Table2[[#This Row],[Author]],People!A:B,2,0)</f>
        <v>LS</v>
      </c>
      <c r="K594" s="6"/>
      <c r="L594" s="6"/>
      <c r="M594" s="21" t="s">
        <v>1040</v>
      </c>
    </row>
    <row r="595" spans="1:13" x14ac:dyDescent="0.25">
      <c r="A595" s="23">
        <f t="shared" si="9"/>
        <v>594</v>
      </c>
      <c r="B595" s="7" t="s">
        <v>2330</v>
      </c>
      <c r="C595" s="7" t="s">
        <v>4480</v>
      </c>
      <c r="D595" s="7" t="s">
        <v>2319</v>
      </c>
      <c r="E595" s="7"/>
      <c r="F595" s="7" t="s">
        <v>4584</v>
      </c>
      <c r="G595" s="7" t="s">
        <v>24</v>
      </c>
      <c r="H595" s="7" t="str">
        <f>IFERROR(VLOOKUP(Table2[[#This Row],[Ticket]],Okey!A:B,2,0),"")</f>
        <v>ok</v>
      </c>
      <c r="I595" s="7" t="s">
        <v>3679</v>
      </c>
      <c r="J595" s="7" t="str">
        <f>VLOOKUP(Table2[[#This Row],[Author]],People!A:B,2,0)</f>
        <v>LS</v>
      </c>
      <c r="K595" s="7"/>
      <c r="L595" s="7"/>
      <c r="M595" s="16" t="s">
        <v>1040</v>
      </c>
    </row>
    <row r="596" spans="1:13" x14ac:dyDescent="0.25">
      <c r="A596" s="22">
        <f t="shared" si="9"/>
        <v>595</v>
      </c>
      <c r="B596" s="6" t="s">
        <v>2330</v>
      </c>
      <c r="C596" s="6" t="s">
        <v>4480</v>
      </c>
      <c r="D596" s="6" t="s">
        <v>4659</v>
      </c>
      <c r="E596" s="6"/>
      <c r="F596" s="6" t="s">
        <v>4584</v>
      </c>
      <c r="G596" s="6" t="s">
        <v>24</v>
      </c>
      <c r="H596" s="6" t="str">
        <f>IFERROR(VLOOKUP(Table2[[#This Row],[Ticket]],Okey!A:B,2,0),"")</f>
        <v>ok</v>
      </c>
      <c r="I596" s="6" t="s">
        <v>3679</v>
      </c>
      <c r="J596" s="6" t="str">
        <f>VLOOKUP(Table2[[#This Row],[Author]],People!A:B,2,0)</f>
        <v>LS</v>
      </c>
      <c r="K596" s="6"/>
      <c r="L596" s="6"/>
      <c r="M596" s="21" t="s">
        <v>1040</v>
      </c>
    </row>
    <row r="597" spans="1:13" x14ac:dyDescent="0.25">
      <c r="A597" s="23">
        <f t="shared" si="9"/>
        <v>596</v>
      </c>
      <c r="B597" s="7" t="s">
        <v>2330</v>
      </c>
      <c r="C597" s="7" t="s">
        <v>4480</v>
      </c>
      <c r="D597" s="7" t="s">
        <v>1244</v>
      </c>
      <c r="E597" s="7"/>
      <c r="F597" s="7" t="s">
        <v>634</v>
      </c>
      <c r="G597" s="7" t="s">
        <v>24</v>
      </c>
      <c r="H597" s="7" t="str">
        <f>IFERROR(VLOOKUP(Table2[[#This Row],[Ticket]],Okey!A:B,2,0),"")</f>
        <v>ok</v>
      </c>
      <c r="I597" s="7" t="s">
        <v>3679</v>
      </c>
      <c r="J597" s="7" t="str">
        <f>VLOOKUP(Table2[[#This Row],[Author]],People!A:B,2,0)</f>
        <v>LS</v>
      </c>
      <c r="K597" s="7"/>
      <c r="L597" s="7"/>
      <c r="M597" s="16" t="s">
        <v>1040</v>
      </c>
    </row>
    <row r="598" spans="1:13" x14ac:dyDescent="0.25">
      <c r="A598" s="22">
        <f t="shared" si="9"/>
        <v>597</v>
      </c>
      <c r="B598" s="6" t="s">
        <v>2330</v>
      </c>
      <c r="C598" s="6" t="s">
        <v>4480</v>
      </c>
      <c r="D598" s="6" t="s">
        <v>4660</v>
      </c>
      <c r="E598" s="6"/>
      <c r="F598" s="6" t="s">
        <v>2323</v>
      </c>
      <c r="G598" s="6" t="s">
        <v>24</v>
      </c>
      <c r="H598" s="6" t="str">
        <f>IFERROR(VLOOKUP(Table2[[#This Row],[Ticket]],Okey!A:B,2,0),"")</f>
        <v>ok</v>
      </c>
      <c r="I598" s="6" t="s">
        <v>3679</v>
      </c>
      <c r="J598" s="6" t="str">
        <f>VLOOKUP(Table2[[#This Row],[Author]],People!A:B,2,0)</f>
        <v>LS</v>
      </c>
      <c r="K598" s="6"/>
      <c r="L598" s="6"/>
      <c r="M598" s="21" t="s">
        <v>1040</v>
      </c>
    </row>
    <row r="599" spans="1:13" x14ac:dyDescent="0.25">
      <c r="A599" s="23">
        <f t="shared" si="9"/>
        <v>598</v>
      </c>
      <c r="B599" s="7" t="s">
        <v>2330</v>
      </c>
      <c r="C599" s="7" t="s">
        <v>4480</v>
      </c>
      <c r="D599" s="7" t="s">
        <v>4661</v>
      </c>
      <c r="E599" s="7"/>
      <c r="F599" s="7" t="s">
        <v>634</v>
      </c>
      <c r="G599" s="7" t="s">
        <v>24</v>
      </c>
      <c r="H599" s="7" t="str">
        <f>IFERROR(VLOOKUP(Table2[[#This Row],[Ticket]],Okey!A:B,2,0),"")</f>
        <v>ok</v>
      </c>
      <c r="I599" s="7" t="s">
        <v>3679</v>
      </c>
      <c r="J599" s="7" t="str">
        <f>VLOOKUP(Table2[[#This Row],[Author]],People!A:B,2,0)</f>
        <v>LS</v>
      </c>
      <c r="K599" s="7"/>
      <c r="L599" s="7"/>
      <c r="M599" s="16" t="s">
        <v>1040</v>
      </c>
    </row>
    <row r="600" spans="1:13" x14ac:dyDescent="0.25">
      <c r="A600" s="22">
        <f t="shared" si="9"/>
        <v>599</v>
      </c>
      <c r="B600" s="6" t="s">
        <v>2330</v>
      </c>
      <c r="C600" s="6" t="s">
        <v>4480</v>
      </c>
      <c r="D600" s="6" t="s">
        <v>4662</v>
      </c>
      <c r="E600" s="6"/>
      <c r="F600" s="6" t="s">
        <v>2323</v>
      </c>
      <c r="G600" s="6" t="s">
        <v>24</v>
      </c>
      <c r="H600" s="6" t="str">
        <f>IFERROR(VLOOKUP(Table2[[#This Row],[Ticket]],Okey!A:B,2,0),"")</f>
        <v>ok</v>
      </c>
      <c r="I600" s="6" t="s">
        <v>3679</v>
      </c>
      <c r="J600" s="6" t="str">
        <f>VLOOKUP(Table2[[#This Row],[Author]],People!A:B,2,0)</f>
        <v>LS</v>
      </c>
      <c r="K600" s="6"/>
      <c r="L600" s="6"/>
      <c r="M600" s="21" t="s">
        <v>1040</v>
      </c>
    </row>
    <row r="601" spans="1:13" x14ac:dyDescent="0.25">
      <c r="A601" s="23">
        <f t="shared" si="9"/>
        <v>600</v>
      </c>
      <c r="B601" s="7" t="s">
        <v>2330</v>
      </c>
      <c r="C601" s="7" t="s">
        <v>4480</v>
      </c>
      <c r="D601" s="7" t="s">
        <v>1246</v>
      </c>
      <c r="E601" s="7"/>
      <c r="F601" s="7" t="s">
        <v>634</v>
      </c>
      <c r="G601" s="7" t="s">
        <v>24</v>
      </c>
      <c r="H601" s="7" t="str">
        <f>IFERROR(VLOOKUP(Table2[[#This Row],[Ticket]],Okey!A:B,2,0),"")</f>
        <v>ok</v>
      </c>
      <c r="I601" s="7" t="s">
        <v>3679</v>
      </c>
      <c r="J601" s="7" t="str">
        <f>VLOOKUP(Table2[[#This Row],[Author]],People!A:B,2,0)</f>
        <v>LS</v>
      </c>
      <c r="K601" s="7"/>
      <c r="L601" s="7"/>
      <c r="M601" s="16" t="s">
        <v>1040</v>
      </c>
    </row>
    <row r="602" spans="1:13" x14ac:dyDescent="0.25">
      <c r="A602" s="22">
        <f t="shared" si="9"/>
        <v>601</v>
      </c>
      <c r="B602" s="6" t="s">
        <v>2330</v>
      </c>
      <c r="C602" s="6" t="s">
        <v>4480</v>
      </c>
      <c r="D602" s="6" t="s">
        <v>4663</v>
      </c>
      <c r="E602" s="6"/>
      <c r="F602" s="6" t="s">
        <v>634</v>
      </c>
      <c r="G602" s="6" t="s">
        <v>24</v>
      </c>
      <c r="H602" s="6" t="str">
        <f>IFERROR(VLOOKUP(Table2[[#This Row],[Ticket]],Okey!A:B,2,0),"")</f>
        <v>ok</v>
      </c>
      <c r="I602" s="6" t="s">
        <v>3679</v>
      </c>
      <c r="J602" s="6" t="str">
        <f>VLOOKUP(Table2[[#This Row],[Author]],People!A:B,2,0)</f>
        <v>LS</v>
      </c>
      <c r="K602" s="6"/>
      <c r="L602" s="6"/>
      <c r="M602" s="21" t="s">
        <v>1040</v>
      </c>
    </row>
    <row r="603" spans="1:13" x14ac:dyDescent="0.25">
      <c r="A603" s="23">
        <f t="shared" si="9"/>
        <v>602</v>
      </c>
      <c r="B603" s="7" t="s">
        <v>2330</v>
      </c>
      <c r="C603" s="7" t="s">
        <v>4480</v>
      </c>
      <c r="D603" s="7" t="s">
        <v>4664</v>
      </c>
      <c r="E603" s="7"/>
      <c r="F603" s="7" t="s">
        <v>2323</v>
      </c>
      <c r="G603" s="7" t="s">
        <v>24</v>
      </c>
      <c r="H603" s="7" t="str">
        <f>IFERROR(VLOOKUP(Table2[[#This Row],[Ticket]],Okey!A:B,2,0),"")</f>
        <v>ok</v>
      </c>
      <c r="I603" s="7" t="s">
        <v>3679</v>
      </c>
      <c r="J603" s="7" t="str">
        <f>VLOOKUP(Table2[[#This Row],[Author]],People!A:B,2,0)</f>
        <v>LS</v>
      </c>
      <c r="K603" s="7"/>
      <c r="L603" s="7"/>
      <c r="M603" s="16" t="s">
        <v>1040</v>
      </c>
    </row>
    <row r="604" spans="1:13" x14ac:dyDescent="0.25">
      <c r="A604" s="22">
        <f t="shared" si="9"/>
        <v>603</v>
      </c>
      <c r="B604" s="6" t="s">
        <v>2330</v>
      </c>
      <c r="C604" s="6" t="s">
        <v>4480</v>
      </c>
      <c r="D604" s="6" t="s">
        <v>1247</v>
      </c>
      <c r="E604" s="6"/>
      <c r="F604" s="6" t="s">
        <v>634</v>
      </c>
      <c r="G604" s="6" t="s">
        <v>24</v>
      </c>
      <c r="H604" s="6" t="str">
        <f>IFERROR(VLOOKUP(Table2[[#This Row],[Ticket]],Okey!A:B,2,0),"")</f>
        <v>ok</v>
      </c>
      <c r="I604" s="6" t="s">
        <v>3679</v>
      </c>
      <c r="J604" s="6" t="str">
        <f>VLOOKUP(Table2[[#This Row],[Author]],People!A:B,2,0)</f>
        <v>LS</v>
      </c>
      <c r="K604" s="6"/>
      <c r="L604" s="6"/>
      <c r="M604" s="21" t="s">
        <v>1040</v>
      </c>
    </row>
    <row r="605" spans="1:13" x14ac:dyDescent="0.25">
      <c r="A605" s="23">
        <f t="shared" si="9"/>
        <v>604</v>
      </c>
      <c r="B605" s="7" t="s">
        <v>2330</v>
      </c>
      <c r="C605" s="7" t="s">
        <v>4480</v>
      </c>
      <c r="D605" s="7" t="s">
        <v>1248</v>
      </c>
      <c r="E605" s="7"/>
      <c r="F605" s="7" t="s">
        <v>634</v>
      </c>
      <c r="G605" s="7" t="s">
        <v>24</v>
      </c>
      <c r="H605" s="7" t="str">
        <f>IFERROR(VLOOKUP(Table2[[#This Row],[Ticket]],Okey!A:B,2,0),"")</f>
        <v>ok</v>
      </c>
      <c r="I605" s="7" t="s">
        <v>3679</v>
      </c>
      <c r="J605" s="7" t="str">
        <f>VLOOKUP(Table2[[#This Row],[Author]],People!A:B,2,0)</f>
        <v>LS</v>
      </c>
      <c r="K605" s="7"/>
      <c r="L605" s="7"/>
      <c r="M605" s="16" t="s">
        <v>1040</v>
      </c>
    </row>
    <row r="606" spans="1:13" x14ac:dyDescent="0.25">
      <c r="A606" s="22">
        <f t="shared" si="9"/>
        <v>605</v>
      </c>
      <c r="B606" s="6" t="s">
        <v>2330</v>
      </c>
      <c r="C606" s="6" t="s">
        <v>4480</v>
      </c>
      <c r="D606" s="6" t="s">
        <v>4665</v>
      </c>
      <c r="E606" s="6"/>
      <c r="F606" s="6" t="s">
        <v>634</v>
      </c>
      <c r="G606" s="6" t="s">
        <v>24</v>
      </c>
      <c r="H606" s="6" t="str">
        <f>IFERROR(VLOOKUP(Table2[[#This Row],[Ticket]],Okey!A:B,2,0),"")</f>
        <v>ok</v>
      </c>
      <c r="I606" s="6" t="s">
        <v>3679</v>
      </c>
      <c r="J606" s="6" t="str">
        <f>VLOOKUP(Table2[[#This Row],[Author]],People!A:B,2,0)</f>
        <v>LS</v>
      </c>
      <c r="K606" s="6"/>
      <c r="L606" s="6"/>
      <c r="M606" s="21" t="s">
        <v>1040</v>
      </c>
    </row>
    <row r="607" spans="1:13" x14ac:dyDescent="0.25">
      <c r="A607" s="23">
        <f t="shared" si="9"/>
        <v>606</v>
      </c>
      <c r="B607" s="7" t="s">
        <v>2330</v>
      </c>
      <c r="C607" s="7" t="s">
        <v>4480</v>
      </c>
      <c r="D607" s="7" t="s">
        <v>1249</v>
      </c>
      <c r="E607" s="7"/>
      <c r="F607" s="7" t="s">
        <v>634</v>
      </c>
      <c r="G607" s="7" t="s">
        <v>24</v>
      </c>
      <c r="H607" s="7" t="str">
        <f>IFERROR(VLOOKUP(Table2[[#This Row],[Ticket]],Okey!A:B,2,0),"")</f>
        <v>ok</v>
      </c>
      <c r="I607" s="7" t="s">
        <v>3679</v>
      </c>
      <c r="J607" s="7" t="str">
        <f>VLOOKUP(Table2[[#This Row],[Author]],People!A:B,2,0)</f>
        <v>LS</v>
      </c>
      <c r="K607" s="7"/>
      <c r="L607" s="7"/>
      <c r="M607" s="16" t="s">
        <v>1040</v>
      </c>
    </row>
    <row r="608" spans="1:13" x14ac:dyDescent="0.25">
      <c r="A608" s="22">
        <f t="shared" si="9"/>
        <v>607</v>
      </c>
      <c r="B608" s="6" t="s">
        <v>2330</v>
      </c>
      <c r="C608" s="6" t="s">
        <v>4480</v>
      </c>
      <c r="D608" s="6" t="s">
        <v>1250</v>
      </c>
      <c r="E608" s="6"/>
      <c r="F608" s="6" t="s">
        <v>634</v>
      </c>
      <c r="G608" s="6" t="s">
        <v>24</v>
      </c>
      <c r="H608" s="6" t="str">
        <f>IFERROR(VLOOKUP(Table2[[#This Row],[Ticket]],Okey!A:B,2,0),"")</f>
        <v>ok</v>
      </c>
      <c r="I608" s="6" t="s">
        <v>3679</v>
      </c>
      <c r="J608" s="6" t="str">
        <f>VLOOKUP(Table2[[#This Row],[Author]],People!A:B,2,0)</f>
        <v>LS</v>
      </c>
      <c r="K608" s="6"/>
      <c r="L608" s="6"/>
      <c r="M608" s="21" t="s">
        <v>1040</v>
      </c>
    </row>
    <row r="609" spans="1:13" x14ac:dyDescent="0.25">
      <c r="A609" s="23">
        <f t="shared" si="9"/>
        <v>608</v>
      </c>
      <c r="B609" s="7" t="s">
        <v>2330</v>
      </c>
      <c r="C609" s="7" t="s">
        <v>4480</v>
      </c>
      <c r="D609" s="7" t="s">
        <v>1251</v>
      </c>
      <c r="E609" s="7"/>
      <c r="F609" s="7" t="s">
        <v>634</v>
      </c>
      <c r="G609" s="7" t="s">
        <v>24</v>
      </c>
      <c r="H609" s="7" t="str">
        <f>IFERROR(VLOOKUP(Table2[[#This Row],[Ticket]],Okey!A:B,2,0),"")</f>
        <v>ok</v>
      </c>
      <c r="I609" s="7" t="s">
        <v>3679</v>
      </c>
      <c r="J609" s="7" t="str">
        <f>VLOOKUP(Table2[[#This Row],[Author]],People!A:B,2,0)</f>
        <v>LS</v>
      </c>
      <c r="K609" s="7"/>
      <c r="L609" s="7"/>
      <c r="M609" s="16" t="s">
        <v>1040</v>
      </c>
    </row>
    <row r="610" spans="1:13" x14ac:dyDescent="0.25">
      <c r="A610" s="22">
        <f t="shared" si="9"/>
        <v>609</v>
      </c>
      <c r="B610" s="6" t="s">
        <v>2330</v>
      </c>
      <c r="C610" s="6" t="s">
        <v>4480</v>
      </c>
      <c r="D610" s="6" t="s">
        <v>4666</v>
      </c>
      <c r="E610" s="6"/>
      <c r="F610" s="6" t="s">
        <v>4579</v>
      </c>
      <c r="G610" s="6" t="s">
        <v>24</v>
      </c>
      <c r="H610" s="6" t="str">
        <f>IFERROR(VLOOKUP(Table2[[#This Row],[Ticket]],Okey!A:B,2,0),"")</f>
        <v>ok</v>
      </c>
      <c r="I610" s="6" t="s">
        <v>3679</v>
      </c>
      <c r="J610" s="6" t="str">
        <f>VLOOKUP(Table2[[#This Row],[Author]],People!A:B,2,0)</f>
        <v>LS</v>
      </c>
      <c r="K610" s="6"/>
      <c r="L610" s="6"/>
      <c r="M610" s="21" t="s">
        <v>1040</v>
      </c>
    </row>
    <row r="611" spans="1:13" x14ac:dyDescent="0.25">
      <c r="A611" s="23">
        <f t="shared" si="9"/>
        <v>610</v>
      </c>
      <c r="B611" s="7" t="s">
        <v>2330</v>
      </c>
      <c r="C611" s="7" t="s">
        <v>4480</v>
      </c>
      <c r="D611" s="7" t="s">
        <v>4667</v>
      </c>
      <c r="E611" s="7"/>
      <c r="F611" s="7" t="s">
        <v>4576</v>
      </c>
      <c r="G611" s="7" t="s">
        <v>24</v>
      </c>
      <c r="H611" s="7" t="str">
        <f>IFERROR(VLOOKUP(Table2[[#This Row],[Ticket]],Okey!A:B,2,0),"")</f>
        <v>ok</v>
      </c>
      <c r="I611" s="7" t="s">
        <v>3679</v>
      </c>
      <c r="J611" s="7" t="str">
        <f>VLOOKUP(Table2[[#This Row],[Author]],People!A:B,2,0)</f>
        <v>LS</v>
      </c>
      <c r="K611" s="7"/>
      <c r="L611" s="7"/>
      <c r="M611" s="16" t="s">
        <v>1040</v>
      </c>
    </row>
    <row r="612" spans="1:13" x14ac:dyDescent="0.25">
      <c r="A612" s="22">
        <f t="shared" si="9"/>
        <v>611</v>
      </c>
      <c r="B612" s="6" t="s">
        <v>2330</v>
      </c>
      <c r="C612" s="6" t="s">
        <v>4480</v>
      </c>
      <c r="D612" s="6" t="s">
        <v>4668</v>
      </c>
      <c r="E612" s="6"/>
      <c r="F612" s="6" t="s">
        <v>4579</v>
      </c>
      <c r="G612" s="6" t="s">
        <v>24</v>
      </c>
      <c r="H612" s="6" t="str">
        <f>IFERROR(VLOOKUP(Table2[[#This Row],[Ticket]],Okey!A:B,2,0),"")</f>
        <v>ok</v>
      </c>
      <c r="I612" s="6" t="s">
        <v>3679</v>
      </c>
      <c r="J612" s="6" t="str">
        <f>VLOOKUP(Table2[[#This Row],[Author]],People!A:B,2,0)</f>
        <v>LS</v>
      </c>
      <c r="K612" s="6"/>
      <c r="L612" s="6"/>
      <c r="M612" s="21" t="s">
        <v>1040</v>
      </c>
    </row>
    <row r="613" spans="1:13" x14ac:dyDescent="0.25">
      <c r="A613" s="23">
        <f t="shared" si="9"/>
        <v>612</v>
      </c>
      <c r="B613" s="7" t="s">
        <v>2330</v>
      </c>
      <c r="C613" s="7" t="s">
        <v>4480</v>
      </c>
      <c r="D613" s="7" t="s">
        <v>2487</v>
      </c>
      <c r="E613" s="7"/>
      <c r="F613" s="7" t="s">
        <v>2323</v>
      </c>
      <c r="G613" s="7" t="s">
        <v>24</v>
      </c>
      <c r="H613" s="7" t="str">
        <f>IFERROR(VLOOKUP(Table2[[#This Row],[Ticket]],Okey!A:B,2,0),"")</f>
        <v>ok</v>
      </c>
      <c r="I613" s="7" t="s">
        <v>3679</v>
      </c>
      <c r="J613" s="7" t="str">
        <f>VLOOKUP(Table2[[#This Row],[Author]],People!A:B,2,0)</f>
        <v>LS</v>
      </c>
      <c r="K613" s="7"/>
      <c r="L613" s="7"/>
      <c r="M613" s="16" t="s">
        <v>1040</v>
      </c>
    </row>
    <row r="614" spans="1:13" x14ac:dyDescent="0.25">
      <c r="A614" s="22">
        <f t="shared" si="9"/>
        <v>613</v>
      </c>
      <c r="B614" s="6" t="s">
        <v>2330</v>
      </c>
      <c r="C614" s="6" t="s">
        <v>4480</v>
      </c>
      <c r="D614" s="6" t="s">
        <v>4669</v>
      </c>
      <c r="E614" s="6"/>
      <c r="F614" s="6" t="s">
        <v>4579</v>
      </c>
      <c r="G614" s="6" t="s">
        <v>24</v>
      </c>
      <c r="H614" s="6" t="str">
        <f>IFERROR(VLOOKUP(Table2[[#This Row],[Ticket]],Okey!A:B,2,0),"")</f>
        <v>ok</v>
      </c>
      <c r="I614" s="6" t="s">
        <v>3679</v>
      </c>
      <c r="J614" s="6" t="str">
        <f>VLOOKUP(Table2[[#This Row],[Author]],People!A:B,2,0)</f>
        <v>LS</v>
      </c>
      <c r="K614" s="6"/>
      <c r="L614" s="6"/>
      <c r="M614" s="21" t="s">
        <v>1040</v>
      </c>
    </row>
    <row r="615" spans="1:13" x14ac:dyDescent="0.25">
      <c r="A615" s="23">
        <f t="shared" si="9"/>
        <v>614</v>
      </c>
      <c r="B615" s="7" t="s">
        <v>2330</v>
      </c>
      <c r="C615" s="7" t="s">
        <v>4480</v>
      </c>
      <c r="D615" s="7" t="s">
        <v>4670</v>
      </c>
      <c r="E615" s="7"/>
      <c r="F615" s="7" t="s">
        <v>4579</v>
      </c>
      <c r="G615" s="7" t="s">
        <v>24</v>
      </c>
      <c r="H615" s="7" t="str">
        <f>IFERROR(VLOOKUP(Table2[[#This Row],[Ticket]],Okey!A:B,2,0),"")</f>
        <v>ok</v>
      </c>
      <c r="I615" s="7" t="s">
        <v>3679</v>
      </c>
      <c r="J615" s="7" t="str">
        <f>VLOOKUP(Table2[[#This Row],[Author]],People!A:B,2,0)</f>
        <v>LS</v>
      </c>
      <c r="K615" s="7"/>
      <c r="L615" s="7"/>
      <c r="M615" s="16" t="s">
        <v>1040</v>
      </c>
    </row>
    <row r="616" spans="1:13" x14ac:dyDescent="0.25">
      <c r="A616" s="22">
        <f t="shared" si="9"/>
        <v>615</v>
      </c>
      <c r="B616" s="6" t="s">
        <v>2330</v>
      </c>
      <c r="C616" s="6" t="s">
        <v>4480</v>
      </c>
      <c r="D616" s="6" t="s">
        <v>4671</v>
      </c>
      <c r="E616" s="6"/>
      <c r="F616" s="6" t="s">
        <v>4579</v>
      </c>
      <c r="G616" s="6" t="s">
        <v>24</v>
      </c>
      <c r="H616" s="6" t="str">
        <f>IFERROR(VLOOKUP(Table2[[#This Row],[Ticket]],Okey!A:B,2,0),"")</f>
        <v>ok</v>
      </c>
      <c r="I616" s="6" t="s">
        <v>3679</v>
      </c>
      <c r="J616" s="6" t="str">
        <f>VLOOKUP(Table2[[#This Row],[Author]],People!A:B,2,0)</f>
        <v>LS</v>
      </c>
      <c r="K616" s="6"/>
      <c r="L616" s="6"/>
      <c r="M616" s="21" t="s">
        <v>1040</v>
      </c>
    </row>
    <row r="617" spans="1:13" x14ac:dyDescent="0.25">
      <c r="A617" s="23">
        <f t="shared" si="9"/>
        <v>616</v>
      </c>
      <c r="B617" s="7" t="s">
        <v>2330</v>
      </c>
      <c r="C617" s="7" t="s">
        <v>4480</v>
      </c>
      <c r="D617" s="7" t="s">
        <v>4672</v>
      </c>
      <c r="E617" s="7"/>
      <c r="F617" s="7" t="s">
        <v>4579</v>
      </c>
      <c r="G617" s="7" t="s">
        <v>24</v>
      </c>
      <c r="H617" s="7" t="str">
        <f>IFERROR(VLOOKUP(Table2[[#This Row],[Ticket]],Okey!A:B,2,0),"")</f>
        <v>ok</v>
      </c>
      <c r="I617" s="7" t="s">
        <v>3679</v>
      </c>
      <c r="J617" s="7" t="str">
        <f>VLOOKUP(Table2[[#This Row],[Author]],People!A:B,2,0)</f>
        <v>LS</v>
      </c>
      <c r="K617" s="7"/>
      <c r="L617" s="7"/>
      <c r="M617" s="16" t="s">
        <v>1040</v>
      </c>
    </row>
    <row r="618" spans="1:13" x14ac:dyDescent="0.25">
      <c r="A618" s="22">
        <f t="shared" si="9"/>
        <v>617</v>
      </c>
      <c r="B618" s="6" t="s">
        <v>2330</v>
      </c>
      <c r="C618" s="6" t="s">
        <v>4480</v>
      </c>
      <c r="D618" s="6" t="s">
        <v>4673</v>
      </c>
      <c r="E618" s="6"/>
      <c r="F618" s="6" t="s">
        <v>2323</v>
      </c>
      <c r="G618" s="6" t="s">
        <v>24</v>
      </c>
      <c r="H618" s="6" t="str">
        <f>IFERROR(VLOOKUP(Table2[[#This Row],[Ticket]],Okey!A:B,2,0),"")</f>
        <v>ok</v>
      </c>
      <c r="I618" s="6" t="s">
        <v>3679</v>
      </c>
      <c r="J618" s="6" t="str">
        <f>VLOOKUP(Table2[[#This Row],[Author]],People!A:B,2,0)</f>
        <v>LS</v>
      </c>
      <c r="K618" s="6"/>
      <c r="L618" s="6"/>
      <c r="M618" s="21" t="s">
        <v>1040</v>
      </c>
    </row>
    <row r="619" spans="1:13" x14ac:dyDescent="0.25">
      <c r="A619" s="23">
        <f t="shared" si="9"/>
        <v>618</v>
      </c>
      <c r="B619" s="7" t="s">
        <v>2330</v>
      </c>
      <c r="C619" s="7" t="s">
        <v>4480</v>
      </c>
      <c r="D619" s="7" t="s">
        <v>4674</v>
      </c>
      <c r="E619" s="7"/>
      <c r="F619" s="7" t="s">
        <v>4576</v>
      </c>
      <c r="G619" s="7" t="s">
        <v>24</v>
      </c>
      <c r="H619" s="7" t="str">
        <f>IFERROR(VLOOKUP(Table2[[#This Row],[Ticket]],Okey!A:B,2,0),"")</f>
        <v>ok</v>
      </c>
      <c r="I619" s="7" t="s">
        <v>3679</v>
      </c>
      <c r="J619" s="7" t="str">
        <f>VLOOKUP(Table2[[#This Row],[Author]],People!A:B,2,0)</f>
        <v>LS</v>
      </c>
      <c r="K619" s="7"/>
      <c r="L619" s="7"/>
      <c r="M619" s="16" t="s">
        <v>1040</v>
      </c>
    </row>
    <row r="620" spans="1:13" x14ac:dyDescent="0.25">
      <c r="A620" s="22">
        <f t="shared" si="9"/>
        <v>619</v>
      </c>
      <c r="B620" s="6" t="s">
        <v>2330</v>
      </c>
      <c r="C620" s="6" t="s">
        <v>4480</v>
      </c>
      <c r="D620" s="6" t="s">
        <v>4675</v>
      </c>
      <c r="E620" s="6"/>
      <c r="F620" s="6" t="s">
        <v>4579</v>
      </c>
      <c r="G620" s="6" t="s">
        <v>24</v>
      </c>
      <c r="H620" s="6" t="str">
        <f>IFERROR(VLOOKUP(Table2[[#This Row],[Ticket]],Okey!A:B,2,0),"")</f>
        <v>ok</v>
      </c>
      <c r="I620" s="6" t="s">
        <v>3679</v>
      </c>
      <c r="J620" s="6" t="str">
        <f>VLOOKUP(Table2[[#This Row],[Author]],People!A:B,2,0)</f>
        <v>LS</v>
      </c>
      <c r="K620" s="6"/>
      <c r="L620" s="6"/>
      <c r="M620" s="21" t="s">
        <v>1040</v>
      </c>
    </row>
    <row r="621" spans="1:13" x14ac:dyDescent="0.25">
      <c r="A621" s="23">
        <f t="shared" si="9"/>
        <v>620</v>
      </c>
      <c r="B621" s="7" t="s">
        <v>2330</v>
      </c>
      <c r="C621" s="7" t="s">
        <v>4480</v>
      </c>
      <c r="D621" s="7" t="s">
        <v>4676</v>
      </c>
      <c r="E621" s="7"/>
      <c r="F621" s="7" t="s">
        <v>2323</v>
      </c>
      <c r="G621" s="7" t="s">
        <v>24</v>
      </c>
      <c r="H621" s="7" t="str">
        <f>IFERROR(VLOOKUP(Table2[[#This Row],[Ticket]],Okey!A:B,2,0),"")</f>
        <v>ok</v>
      </c>
      <c r="I621" s="7" t="s">
        <v>3679</v>
      </c>
      <c r="J621" s="7" t="str">
        <f>VLOOKUP(Table2[[#This Row],[Author]],People!A:B,2,0)</f>
        <v>LS</v>
      </c>
      <c r="K621" s="7"/>
      <c r="L621" s="7"/>
      <c r="M621" s="16" t="s">
        <v>1040</v>
      </c>
    </row>
    <row r="622" spans="1:13" x14ac:dyDescent="0.25">
      <c r="A622" s="22">
        <f t="shared" si="9"/>
        <v>621</v>
      </c>
      <c r="B622" s="6" t="s">
        <v>2330</v>
      </c>
      <c r="C622" s="6" t="s">
        <v>4480</v>
      </c>
      <c r="D622" s="6" t="s">
        <v>4677</v>
      </c>
      <c r="E622" s="6"/>
      <c r="F622" s="6" t="s">
        <v>4576</v>
      </c>
      <c r="G622" s="6" t="s">
        <v>24</v>
      </c>
      <c r="H622" s="6" t="str">
        <f>IFERROR(VLOOKUP(Table2[[#This Row],[Ticket]],Okey!A:B,2,0),"")</f>
        <v>ok</v>
      </c>
      <c r="I622" s="6" t="s">
        <v>3679</v>
      </c>
      <c r="J622" s="6" t="str">
        <f>VLOOKUP(Table2[[#This Row],[Author]],People!A:B,2,0)</f>
        <v>LS</v>
      </c>
      <c r="K622" s="6"/>
      <c r="L622" s="6"/>
      <c r="M622" s="21" t="s">
        <v>1040</v>
      </c>
    </row>
    <row r="623" spans="1:13" x14ac:dyDescent="0.25">
      <c r="A623" s="23">
        <f t="shared" si="9"/>
        <v>622</v>
      </c>
      <c r="B623" s="7" t="s">
        <v>2330</v>
      </c>
      <c r="C623" s="7" t="s">
        <v>4480</v>
      </c>
      <c r="D623" s="7" t="s">
        <v>4678</v>
      </c>
      <c r="E623" s="7"/>
      <c r="F623" s="7" t="s">
        <v>4584</v>
      </c>
      <c r="G623" s="7" t="s">
        <v>24</v>
      </c>
      <c r="H623" s="7" t="str">
        <f>IFERROR(VLOOKUP(Table2[[#This Row],[Ticket]],Okey!A:B,2,0),"")</f>
        <v>ok</v>
      </c>
      <c r="I623" s="7" t="s">
        <v>3679</v>
      </c>
      <c r="J623" s="7" t="str">
        <f>VLOOKUP(Table2[[#This Row],[Author]],People!A:B,2,0)</f>
        <v>LS</v>
      </c>
      <c r="K623" s="7"/>
      <c r="L623" s="7"/>
      <c r="M623" s="16" t="s">
        <v>1040</v>
      </c>
    </row>
    <row r="624" spans="1:13" x14ac:dyDescent="0.25">
      <c r="A624" s="22">
        <f t="shared" si="9"/>
        <v>623</v>
      </c>
      <c r="B624" s="6" t="s">
        <v>2330</v>
      </c>
      <c r="C624" s="6" t="s">
        <v>4480</v>
      </c>
      <c r="D624" s="6" t="s">
        <v>4679</v>
      </c>
      <c r="E624" s="6"/>
      <c r="F624" s="6" t="s">
        <v>4576</v>
      </c>
      <c r="G624" s="6" t="s">
        <v>24</v>
      </c>
      <c r="H624" s="6" t="str">
        <f>IFERROR(VLOOKUP(Table2[[#This Row],[Ticket]],Okey!A:B,2,0),"")</f>
        <v>ok</v>
      </c>
      <c r="I624" s="6" t="s">
        <v>3679</v>
      </c>
      <c r="J624" s="6" t="str">
        <f>VLOOKUP(Table2[[#This Row],[Author]],People!A:B,2,0)</f>
        <v>LS</v>
      </c>
      <c r="K624" s="6"/>
      <c r="L624" s="6"/>
      <c r="M624" s="21" t="s">
        <v>1040</v>
      </c>
    </row>
    <row r="625" spans="1:13" x14ac:dyDescent="0.25">
      <c r="A625" s="23">
        <f t="shared" si="9"/>
        <v>624</v>
      </c>
      <c r="B625" s="7" t="s">
        <v>2330</v>
      </c>
      <c r="C625" s="7" t="s">
        <v>4480</v>
      </c>
      <c r="D625" s="7" t="s">
        <v>2523</v>
      </c>
      <c r="E625" s="7"/>
      <c r="F625" s="7" t="s">
        <v>2323</v>
      </c>
      <c r="G625" s="7" t="s">
        <v>24</v>
      </c>
      <c r="H625" s="7" t="str">
        <f>IFERROR(VLOOKUP(Table2[[#This Row],[Ticket]],Okey!A:B,2,0),"")</f>
        <v>ok</v>
      </c>
      <c r="I625" s="7" t="s">
        <v>3679</v>
      </c>
      <c r="J625" s="7" t="str">
        <f>VLOOKUP(Table2[[#This Row],[Author]],People!A:B,2,0)</f>
        <v>LS</v>
      </c>
      <c r="K625" s="7"/>
      <c r="L625" s="7"/>
      <c r="M625" s="16" t="s">
        <v>1040</v>
      </c>
    </row>
    <row r="626" spans="1:13" x14ac:dyDescent="0.25">
      <c r="A626" s="22">
        <f t="shared" si="9"/>
        <v>625</v>
      </c>
      <c r="B626" s="6" t="s">
        <v>2330</v>
      </c>
      <c r="C626" s="6" t="s">
        <v>4480</v>
      </c>
      <c r="D626" s="6" t="s">
        <v>4680</v>
      </c>
      <c r="E626" s="6"/>
      <c r="F626" s="6" t="s">
        <v>4602</v>
      </c>
      <c r="G626" s="6" t="s">
        <v>24</v>
      </c>
      <c r="H626" s="6" t="str">
        <f>IFERROR(VLOOKUP(Table2[[#This Row],[Ticket]],Okey!A:B,2,0),"")</f>
        <v>ok</v>
      </c>
      <c r="I626" s="6" t="s">
        <v>3679</v>
      </c>
      <c r="J626" s="6" t="str">
        <f>VLOOKUP(Table2[[#This Row],[Author]],People!A:B,2,0)</f>
        <v>LS</v>
      </c>
      <c r="K626" s="6"/>
      <c r="L626" s="6"/>
      <c r="M626" s="21" t="s">
        <v>1040</v>
      </c>
    </row>
    <row r="627" spans="1:13" x14ac:dyDescent="0.25">
      <c r="A627" s="23">
        <f t="shared" si="9"/>
        <v>626</v>
      </c>
      <c r="B627" s="7" t="s">
        <v>2330</v>
      </c>
      <c r="C627" s="7" t="s">
        <v>4480</v>
      </c>
      <c r="D627" s="7" t="s">
        <v>2322</v>
      </c>
      <c r="E627" s="7"/>
      <c r="F627" s="7" t="s">
        <v>2323</v>
      </c>
      <c r="G627" s="7" t="s">
        <v>24</v>
      </c>
      <c r="H627" s="7" t="str">
        <f>IFERROR(VLOOKUP(Table2[[#This Row],[Ticket]],Okey!A:B,2,0),"")</f>
        <v>ok</v>
      </c>
      <c r="I627" s="7" t="s">
        <v>3679</v>
      </c>
      <c r="J627" s="7" t="str">
        <f>VLOOKUP(Table2[[#This Row],[Author]],People!A:B,2,0)</f>
        <v>LS</v>
      </c>
      <c r="K627" s="7"/>
      <c r="L627" s="7"/>
      <c r="M627" s="16" t="s">
        <v>1040</v>
      </c>
    </row>
    <row r="628" spans="1:13" x14ac:dyDescent="0.25">
      <c r="A628" s="22">
        <f t="shared" si="9"/>
        <v>627</v>
      </c>
      <c r="B628" s="6" t="s">
        <v>2330</v>
      </c>
      <c r="C628" s="6" t="s">
        <v>4480</v>
      </c>
      <c r="D628" s="6" t="s">
        <v>4681</v>
      </c>
      <c r="E628" s="6"/>
      <c r="F628" s="6" t="s">
        <v>4682</v>
      </c>
      <c r="G628" s="6" t="s">
        <v>24</v>
      </c>
      <c r="H628" s="6" t="str">
        <f>IFERROR(VLOOKUP(Table2[[#This Row],[Ticket]],Okey!A:B,2,0),"")</f>
        <v>ok</v>
      </c>
      <c r="I628" s="6" t="s">
        <v>3679</v>
      </c>
      <c r="J628" s="6" t="str">
        <f>VLOOKUP(Table2[[#This Row],[Author]],People!A:B,2,0)</f>
        <v>LS</v>
      </c>
      <c r="K628" s="6"/>
      <c r="L628" s="6"/>
      <c r="M628" s="21" t="s">
        <v>1040</v>
      </c>
    </row>
    <row r="629" spans="1:13" x14ac:dyDescent="0.25">
      <c r="A629" s="23">
        <f t="shared" si="9"/>
        <v>628</v>
      </c>
      <c r="B629" s="7" t="s">
        <v>2330</v>
      </c>
      <c r="C629" s="7" t="s">
        <v>4480</v>
      </c>
      <c r="D629" s="7" t="s">
        <v>4683</v>
      </c>
      <c r="E629" s="7"/>
      <c r="F629" s="7" t="s">
        <v>4682</v>
      </c>
      <c r="G629" s="7" t="s">
        <v>24</v>
      </c>
      <c r="H629" s="7" t="str">
        <f>IFERROR(VLOOKUP(Table2[[#This Row],[Ticket]],Okey!A:B,2,0),"")</f>
        <v>ok</v>
      </c>
      <c r="I629" s="7" t="s">
        <v>3679</v>
      </c>
      <c r="J629" s="7" t="str">
        <f>VLOOKUP(Table2[[#This Row],[Author]],People!A:B,2,0)</f>
        <v>LS</v>
      </c>
      <c r="K629" s="7"/>
      <c r="L629" s="7"/>
      <c r="M629" s="16" t="s">
        <v>1040</v>
      </c>
    </row>
    <row r="630" spans="1:13" x14ac:dyDescent="0.25">
      <c r="A630" s="22">
        <f t="shared" si="9"/>
        <v>629</v>
      </c>
      <c r="B630" s="6" t="s">
        <v>2330</v>
      </c>
      <c r="C630" s="6" t="s">
        <v>4480</v>
      </c>
      <c r="D630" s="6" t="s">
        <v>4684</v>
      </c>
      <c r="E630" s="6"/>
      <c r="F630" s="6" t="s">
        <v>1103</v>
      </c>
      <c r="G630" s="6" t="s">
        <v>24</v>
      </c>
      <c r="H630" s="6" t="str">
        <f>IFERROR(VLOOKUP(Table2[[#This Row],[Ticket]],Okey!A:B,2,0),"")</f>
        <v>ok</v>
      </c>
      <c r="I630" s="6" t="s">
        <v>3679</v>
      </c>
      <c r="J630" s="6" t="str">
        <f>VLOOKUP(Table2[[#This Row],[Author]],People!A:B,2,0)</f>
        <v>LS</v>
      </c>
      <c r="K630" s="6"/>
      <c r="L630" s="6"/>
      <c r="M630" s="21" t="s">
        <v>1040</v>
      </c>
    </row>
    <row r="631" spans="1:13" x14ac:dyDescent="0.25">
      <c r="A631" s="23">
        <f t="shared" si="9"/>
        <v>630</v>
      </c>
      <c r="B631" s="7" t="s">
        <v>2330</v>
      </c>
      <c r="C631" s="7" t="s">
        <v>4480</v>
      </c>
      <c r="D631" s="7" t="s">
        <v>4685</v>
      </c>
      <c r="E631" s="7"/>
      <c r="F631" s="7" t="s">
        <v>4686</v>
      </c>
      <c r="G631" s="7" t="s">
        <v>24</v>
      </c>
      <c r="H631" s="7" t="str">
        <f>IFERROR(VLOOKUP(Table2[[#This Row],[Ticket]],Okey!A:B,2,0),"")</f>
        <v>ok</v>
      </c>
      <c r="I631" s="7" t="s">
        <v>3679</v>
      </c>
      <c r="J631" s="7" t="str">
        <f>VLOOKUP(Table2[[#This Row],[Author]],People!A:B,2,0)</f>
        <v>LS</v>
      </c>
      <c r="K631" s="7"/>
      <c r="L631" s="7"/>
      <c r="M631" s="16" t="s">
        <v>1040</v>
      </c>
    </row>
    <row r="632" spans="1:13" x14ac:dyDescent="0.25">
      <c r="A632" s="22">
        <f t="shared" si="9"/>
        <v>631</v>
      </c>
      <c r="B632" s="6" t="s">
        <v>2330</v>
      </c>
      <c r="C632" s="6" t="s">
        <v>4480</v>
      </c>
      <c r="D632" s="6" t="s">
        <v>4687</v>
      </c>
      <c r="E632" s="6"/>
      <c r="F632" s="6" t="s">
        <v>4686</v>
      </c>
      <c r="G632" s="6" t="s">
        <v>24</v>
      </c>
      <c r="H632" s="6" t="str">
        <f>IFERROR(VLOOKUP(Table2[[#This Row],[Ticket]],Okey!A:B,2,0),"")</f>
        <v>ok</v>
      </c>
      <c r="I632" s="6" t="s">
        <v>3679</v>
      </c>
      <c r="J632" s="6" t="str">
        <f>VLOOKUP(Table2[[#This Row],[Author]],People!A:B,2,0)</f>
        <v>LS</v>
      </c>
      <c r="K632" s="6"/>
      <c r="L632" s="6"/>
      <c r="M632" s="21" t="s">
        <v>1040</v>
      </c>
    </row>
    <row r="633" spans="1:13" x14ac:dyDescent="0.25">
      <c r="A633" s="23">
        <f t="shared" si="9"/>
        <v>632</v>
      </c>
      <c r="B633" s="7" t="s">
        <v>2330</v>
      </c>
      <c r="C633" s="7" t="s">
        <v>4480</v>
      </c>
      <c r="D633" s="7" t="s">
        <v>4688</v>
      </c>
      <c r="E633" s="7"/>
      <c r="F633" s="7" t="s">
        <v>4686</v>
      </c>
      <c r="G633" s="7" t="s">
        <v>24</v>
      </c>
      <c r="H633" s="7" t="str">
        <f>IFERROR(VLOOKUP(Table2[[#This Row],[Ticket]],Okey!A:B,2,0),"")</f>
        <v>ok</v>
      </c>
      <c r="I633" s="7" t="s">
        <v>3679</v>
      </c>
      <c r="J633" s="7" t="str">
        <f>VLOOKUP(Table2[[#This Row],[Author]],People!A:B,2,0)</f>
        <v>LS</v>
      </c>
      <c r="K633" s="7"/>
      <c r="L633" s="7"/>
      <c r="M633" s="16" t="s">
        <v>1040</v>
      </c>
    </row>
    <row r="634" spans="1:13" x14ac:dyDescent="0.25">
      <c r="A634" s="22">
        <f t="shared" si="9"/>
        <v>633</v>
      </c>
      <c r="B634" s="6" t="s">
        <v>2330</v>
      </c>
      <c r="C634" s="6" t="s">
        <v>4480</v>
      </c>
      <c r="D634" s="6" t="s">
        <v>4689</v>
      </c>
      <c r="E634" s="6"/>
      <c r="F634" s="6" t="s">
        <v>4686</v>
      </c>
      <c r="G634" s="6" t="s">
        <v>24</v>
      </c>
      <c r="H634" s="6" t="str">
        <f>IFERROR(VLOOKUP(Table2[[#This Row],[Ticket]],Okey!A:B,2,0),"")</f>
        <v>ok</v>
      </c>
      <c r="I634" s="6" t="s">
        <v>3679</v>
      </c>
      <c r="J634" s="6" t="str">
        <f>VLOOKUP(Table2[[#This Row],[Author]],People!A:B,2,0)</f>
        <v>LS</v>
      </c>
      <c r="K634" s="6"/>
      <c r="L634" s="6"/>
      <c r="M634" s="21" t="s">
        <v>1040</v>
      </c>
    </row>
    <row r="635" spans="1:13" x14ac:dyDescent="0.25">
      <c r="A635" s="23">
        <f t="shared" si="9"/>
        <v>634</v>
      </c>
      <c r="B635" s="7" t="s">
        <v>2330</v>
      </c>
      <c r="C635" s="7" t="s">
        <v>4480</v>
      </c>
      <c r="D635" s="7" t="s">
        <v>4690</v>
      </c>
      <c r="E635" s="7"/>
      <c r="F635" s="7" t="s">
        <v>4686</v>
      </c>
      <c r="G635" s="7" t="s">
        <v>24</v>
      </c>
      <c r="H635" s="7" t="str">
        <f>IFERROR(VLOOKUP(Table2[[#This Row],[Ticket]],Okey!A:B,2,0),"")</f>
        <v>ok</v>
      </c>
      <c r="I635" s="7" t="s">
        <v>3679</v>
      </c>
      <c r="J635" s="7" t="str">
        <f>VLOOKUP(Table2[[#This Row],[Author]],People!A:B,2,0)</f>
        <v>LS</v>
      </c>
      <c r="K635" s="7"/>
      <c r="L635" s="7"/>
      <c r="M635" s="16" t="s">
        <v>1040</v>
      </c>
    </row>
    <row r="636" spans="1:13" x14ac:dyDescent="0.25">
      <c r="A636" s="22">
        <f t="shared" si="9"/>
        <v>635</v>
      </c>
      <c r="B636" s="6" t="s">
        <v>2330</v>
      </c>
      <c r="C636" s="6" t="s">
        <v>4480</v>
      </c>
      <c r="D636" s="6" t="s">
        <v>4691</v>
      </c>
      <c r="E636" s="6"/>
      <c r="F636" s="6" t="s">
        <v>4686</v>
      </c>
      <c r="G636" s="6" t="s">
        <v>24</v>
      </c>
      <c r="H636" s="6" t="str">
        <f>IFERROR(VLOOKUP(Table2[[#This Row],[Ticket]],Okey!A:B,2,0),"")</f>
        <v>ok</v>
      </c>
      <c r="I636" s="6" t="s">
        <v>3679</v>
      </c>
      <c r="J636" s="6" t="str">
        <f>VLOOKUP(Table2[[#This Row],[Author]],People!A:B,2,0)</f>
        <v>LS</v>
      </c>
      <c r="K636" s="6"/>
      <c r="L636" s="6"/>
      <c r="M636" s="21" t="s">
        <v>1040</v>
      </c>
    </row>
    <row r="637" spans="1:13" x14ac:dyDescent="0.25">
      <c r="A637" s="23">
        <f t="shared" si="9"/>
        <v>636</v>
      </c>
      <c r="B637" s="7" t="s">
        <v>2330</v>
      </c>
      <c r="C637" s="7" t="s">
        <v>4692</v>
      </c>
      <c r="D637" s="7" t="s">
        <v>4693</v>
      </c>
      <c r="E637" s="7" t="s">
        <v>4694</v>
      </c>
      <c r="F637" s="7" t="s">
        <v>452</v>
      </c>
      <c r="G637" s="7" t="s">
        <v>496</v>
      </c>
      <c r="H637" s="7" t="str">
        <f>IFERROR(VLOOKUP(Table2[[#This Row],[Ticket]],Okey!A:B,2,0),"")</f>
        <v>ok</v>
      </c>
      <c r="I637" s="7" t="s">
        <v>3679</v>
      </c>
      <c r="J637" s="7" t="str">
        <f>VLOOKUP(Table2[[#This Row],[Author]],People!A:B,2,0)</f>
        <v>LS</v>
      </c>
      <c r="K637" s="7"/>
      <c r="L637" s="7"/>
      <c r="M637" s="16" t="s">
        <v>3984</v>
      </c>
    </row>
    <row r="638" spans="1:13" x14ac:dyDescent="0.25">
      <c r="A638" s="22">
        <f t="shared" si="9"/>
        <v>637</v>
      </c>
      <c r="B638" s="6" t="s">
        <v>2330</v>
      </c>
      <c r="C638" s="6" t="s">
        <v>4692</v>
      </c>
      <c r="D638" s="6" t="s">
        <v>474</v>
      </c>
      <c r="E638" s="6" t="s">
        <v>4695</v>
      </c>
      <c r="F638" s="6" t="s">
        <v>452</v>
      </c>
      <c r="G638" s="6" t="s">
        <v>496</v>
      </c>
      <c r="H638" s="6" t="str">
        <f>IFERROR(VLOOKUP(Table2[[#This Row],[Ticket]],Okey!A:B,2,0),"")</f>
        <v>ok</v>
      </c>
      <c r="I638" s="6" t="s">
        <v>3679</v>
      </c>
      <c r="J638" s="6" t="str">
        <f>VLOOKUP(Table2[[#This Row],[Author]],People!A:B,2,0)</f>
        <v>LS</v>
      </c>
      <c r="K638" s="6"/>
      <c r="L638" s="6"/>
      <c r="M638" s="21" t="s">
        <v>3984</v>
      </c>
    </row>
    <row r="639" spans="1:13" x14ac:dyDescent="0.25">
      <c r="A639" s="23">
        <f t="shared" si="9"/>
        <v>638</v>
      </c>
      <c r="B639" s="7" t="s">
        <v>2330</v>
      </c>
      <c r="C639" s="7" t="s">
        <v>4692</v>
      </c>
      <c r="D639" s="7" t="s">
        <v>4696</v>
      </c>
      <c r="E639" s="7" t="s">
        <v>4697</v>
      </c>
      <c r="F639" s="7" t="s">
        <v>4693</v>
      </c>
      <c r="G639" s="7" t="s">
        <v>496</v>
      </c>
      <c r="H639" s="7" t="str">
        <f>IFERROR(VLOOKUP(Table2[[#This Row],[Ticket]],Okey!A:B,2,0),"")</f>
        <v>ok</v>
      </c>
      <c r="I639" s="7" t="s">
        <v>3679</v>
      </c>
      <c r="J639" s="7" t="str">
        <f>VLOOKUP(Table2[[#This Row],[Author]],People!A:B,2,0)</f>
        <v>LS</v>
      </c>
      <c r="K639" s="7"/>
      <c r="L639" s="7"/>
      <c r="M639" s="16" t="s">
        <v>3984</v>
      </c>
    </row>
    <row r="640" spans="1:13" x14ac:dyDescent="0.25">
      <c r="A640" s="22">
        <f t="shared" si="9"/>
        <v>639</v>
      </c>
      <c r="B640" s="6" t="s">
        <v>2330</v>
      </c>
      <c r="C640" s="6" t="s">
        <v>4692</v>
      </c>
      <c r="D640" s="6" t="s">
        <v>4698</v>
      </c>
      <c r="E640" s="6" t="s">
        <v>4699</v>
      </c>
      <c r="F640" s="6" t="s">
        <v>4693</v>
      </c>
      <c r="G640" s="6" t="s">
        <v>496</v>
      </c>
      <c r="H640" s="6" t="str">
        <f>IFERROR(VLOOKUP(Table2[[#This Row],[Ticket]],Okey!A:B,2,0),"")</f>
        <v>ok</v>
      </c>
      <c r="I640" s="6" t="s">
        <v>3679</v>
      </c>
      <c r="J640" s="6" t="str">
        <f>VLOOKUP(Table2[[#This Row],[Author]],People!A:B,2,0)</f>
        <v>LS</v>
      </c>
      <c r="K640" s="6"/>
      <c r="L640" s="6"/>
      <c r="M640" s="21" t="s">
        <v>3984</v>
      </c>
    </row>
    <row r="641" spans="1:13" x14ac:dyDescent="0.25">
      <c r="A641" s="23">
        <f t="shared" si="9"/>
        <v>640</v>
      </c>
      <c r="B641" s="7" t="s">
        <v>2330</v>
      </c>
      <c r="C641" s="7" t="s">
        <v>4692</v>
      </c>
      <c r="D641" s="7" t="s">
        <v>4700</v>
      </c>
      <c r="E641" s="7" t="s">
        <v>4701</v>
      </c>
      <c r="F641" s="7" t="s">
        <v>4693</v>
      </c>
      <c r="G641" s="7" t="s">
        <v>496</v>
      </c>
      <c r="H641" s="7" t="str">
        <f>IFERROR(VLOOKUP(Table2[[#This Row],[Ticket]],Okey!A:B,2,0),"")</f>
        <v>ok</v>
      </c>
      <c r="I641" s="7" t="s">
        <v>3679</v>
      </c>
      <c r="J641" s="7" t="str">
        <f>VLOOKUP(Table2[[#This Row],[Author]],People!A:B,2,0)</f>
        <v>LS</v>
      </c>
      <c r="K641" s="7"/>
      <c r="L641" s="7"/>
      <c r="M641" s="16" t="s">
        <v>3984</v>
      </c>
    </row>
    <row r="642" spans="1:13" x14ac:dyDescent="0.25">
      <c r="A642" s="22">
        <f t="shared" si="9"/>
        <v>641</v>
      </c>
      <c r="B642" s="6" t="s">
        <v>2330</v>
      </c>
      <c r="C642" s="6" t="s">
        <v>4692</v>
      </c>
      <c r="D642" s="6" t="s">
        <v>4702</v>
      </c>
      <c r="E642" s="6" t="s">
        <v>4703</v>
      </c>
      <c r="F642" s="6" t="s">
        <v>4698</v>
      </c>
      <c r="G642" s="6" t="s">
        <v>496</v>
      </c>
      <c r="H642" s="6" t="str">
        <f>IFERROR(VLOOKUP(Table2[[#This Row],[Ticket]],Okey!A:B,2,0),"")</f>
        <v>ok</v>
      </c>
      <c r="I642" s="6" t="s">
        <v>3679</v>
      </c>
      <c r="J642" s="6" t="str">
        <f>VLOOKUP(Table2[[#This Row],[Author]],People!A:B,2,0)</f>
        <v>LS</v>
      </c>
      <c r="K642" s="6"/>
      <c r="L642" s="6"/>
      <c r="M642" s="21" t="s">
        <v>3984</v>
      </c>
    </row>
    <row r="643" spans="1:13" x14ac:dyDescent="0.25">
      <c r="A643" s="23">
        <f t="shared" ref="A643:A706" si="10">1+A642</f>
        <v>642</v>
      </c>
      <c r="B643" s="7" t="s">
        <v>2330</v>
      </c>
      <c r="C643" s="7" t="s">
        <v>4692</v>
      </c>
      <c r="D643" s="7" t="s">
        <v>520</v>
      </c>
      <c r="E643" s="7" t="s">
        <v>4704</v>
      </c>
      <c r="F643" s="7" t="s">
        <v>4698</v>
      </c>
      <c r="G643" s="7" t="s">
        <v>496</v>
      </c>
      <c r="H643" s="7" t="str">
        <f>IFERROR(VLOOKUP(Table2[[#This Row],[Ticket]],Okey!A:B,2,0),"")</f>
        <v>ok</v>
      </c>
      <c r="I643" s="7" t="s">
        <v>3679</v>
      </c>
      <c r="J643" s="7" t="str">
        <f>VLOOKUP(Table2[[#This Row],[Author]],People!A:B,2,0)</f>
        <v>LS</v>
      </c>
      <c r="K643" s="7"/>
      <c r="L643" s="7"/>
      <c r="M643" s="16" t="s">
        <v>3984</v>
      </c>
    </row>
    <row r="644" spans="1:13" x14ac:dyDescent="0.25">
      <c r="A644" s="22">
        <f t="shared" si="10"/>
        <v>643</v>
      </c>
      <c r="B644" s="6" t="s">
        <v>2330</v>
      </c>
      <c r="C644" s="6" t="s">
        <v>4692</v>
      </c>
      <c r="D644" s="6" t="s">
        <v>4705</v>
      </c>
      <c r="E644" s="6" t="s">
        <v>4706</v>
      </c>
      <c r="F644" s="6" t="s">
        <v>4700</v>
      </c>
      <c r="G644" s="6" t="s">
        <v>496</v>
      </c>
      <c r="H644" s="6" t="str">
        <f>IFERROR(VLOOKUP(Table2[[#This Row],[Ticket]],Okey!A:B,2,0),"")</f>
        <v>ok</v>
      </c>
      <c r="I644" s="6" t="s">
        <v>3679</v>
      </c>
      <c r="J644" s="6" t="str">
        <f>VLOOKUP(Table2[[#This Row],[Author]],People!A:B,2,0)</f>
        <v>LS</v>
      </c>
      <c r="K644" s="6"/>
      <c r="L644" s="6"/>
      <c r="M644" s="21" t="s">
        <v>3984</v>
      </c>
    </row>
    <row r="645" spans="1:13" x14ac:dyDescent="0.25">
      <c r="A645" s="23">
        <f t="shared" si="10"/>
        <v>644</v>
      </c>
      <c r="B645" s="7" t="s">
        <v>2330</v>
      </c>
      <c r="C645" s="7" t="s">
        <v>4692</v>
      </c>
      <c r="D645" s="7" t="s">
        <v>517</v>
      </c>
      <c r="E645" s="7" t="s">
        <v>4707</v>
      </c>
      <c r="F645" s="7" t="s">
        <v>4700</v>
      </c>
      <c r="G645" s="7" t="s">
        <v>496</v>
      </c>
      <c r="H645" s="7" t="str">
        <f>IFERROR(VLOOKUP(Table2[[#This Row],[Ticket]],Okey!A:B,2,0),"")</f>
        <v>ok</v>
      </c>
      <c r="I645" s="7" t="s">
        <v>3679</v>
      </c>
      <c r="J645" s="7" t="str">
        <f>VLOOKUP(Table2[[#This Row],[Author]],People!A:B,2,0)</f>
        <v>LS</v>
      </c>
      <c r="K645" s="7"/>
      <c r="L645" s="7"/>
      <c r="M645" s="16" t="s">
        <v>3984</v>
      </c>
    </row>
    <row r="646" spans="1:13" x14ac:dyDescent="0.25">
      <c r="A646" s="22">
        <f t="shared" si="10"/>
        <v>645</v>
      </c>
      <c r="B646" s="6" t="s">
        <v>2330</v>
      </c>
      <c r="C646" s="6" t="s">
        <v>4692</v>
      </c>
      <c r="D646" s="6" t="s">
        <v>705</v>
      </c>
      <c r="E646" s="6" t="s">
        <v>706</v>
      </c>
      <c r="F646" s="6" t="s">
        <v>4700</v>
      </c>
      <c r="G646" s="6" t="s">
        <v>496</v>
      </c>
      <c r="H646" s="6" t="str">
        <f>IFERROR(VLOOKUP(Table2[[#This Row],[Ticket]],Okey!A:B,2,0),"")</f>
        <v>ok</v>
      </c>
      <c r="I646" s="6" t="s">
        <v>3679</v>
      </c>
      <c r="J646" s="6" t="str">
        <f>VLOOKUP(Table2[[#This Row],[Author]],People!A:B,2,0)</f>
        <v>LS</v>
      </c>
      <c r="K646" s="6"/>
      <c r="L646" s="6"/>
      <c r="M646" s="21" t="s">
        <v>3984</v>
      </c>
    </row>
    <row r="647" spans="1:13" x14ac:dyDescent="0.25">
      <c r="A647" s="23">
        <f t="shared" si="10"/>
        <v>646</v>
      </c>
      <c r="B647" s="7" t="s">
        <v>2330</v>
      </c>
      <c r="C647" s="7" t="s">
        <v>4692</v>
      </c>
      <c r="D647" s="7" t="s">
        <v>707</v>
      </c>
      <c r="E647" s="7" t="s">
        <v>4708</v>
      </c>
      <c r="F647" s="7" t="s">
        <v>4700</v>
      </c>
      <c r="G647" s="7" t="s">
        <v>496</v>
      </c>
      <c r="H647" s="7" t="str">
        <f>IFERROR(VLOOKUP(Table2[[#This Row],[Ticket]],Okey!A:B,2,0),"")</f>
        <v>ok</v>
      </c>
      <c r="I647" s="7" t="s">
        <v>3679</v>
      </c>
      <c r="J647" s="7" t="str">
        <f>VLOOKUP(Table2[[#This Row],[Author]],People!A:B,2,0)</f>
        <v>LS</v>
      </c>
      <c r="K647" s="7"/>
      <c r="L647" s="7"/>
      <c r="M647" s="16" t="s">
        <v>3984</v>
      </c>
    </row>
    <row r="648" spans="1:13" x14ac:dyDescent="0.25">
      <c r="A648" s="22">
        <f t="shared" si="10"/>
        <v>647</v>
      </c>
      <c r="B648" s="6" t="s">
        <v>2330</v>
      </c>
      <c r="C648" s="6" t="s">
        <v>4692</v>
      </c>
      <c r="D648" s="6" t="s">
        <v>4709</v>
      </c>
      <c r="E648" s="6" t="s">
        <v>4710</v>
      </c>
      <c r="F648" s="6" t="s">
        <v>4705</v>
      </c>
      <c r="G648" s="6" t="s">
        <v>496</v>
      </c>
      <c r="H648" s="6" t="str">
        <f>IFERROR(VLOOKUP(Table2[[#This Row],[Ticket]],Okey!A:B,2,0),"")</f>
        <v>ok</v>
      </c>
      <c r="I648" s="6" t="s">
        <v>3679</v>
      </c>
      <c r="J648" s="6" t="str">
        <f>VLOOKUP(Table2[[#This Row],[Author]],People!A:B,2,0)</f>
        <v>LS</v>
      </c>
      <c r="K648" s="6"/>
      <c r="L648" s="6"/>
      <c r="M648" s="21" t="s">
        <v>3984</v>
      </c>
    </row>
    <row r="649" spans="1:13" x14ac:dyDescent="0.25">
      <c r="A649" s="23">
        <f t="shared" si="10"/>
        <v>648</v>
      </c>
      <c r="B649" s="7" t="s">
        <v>2330</v>
      </c>
      <c r="C649" s="7" t="s">
        <v>4692</v>
      </c>
      <c r="D649" s="7" t="s">
        <v>375</v>
      </c>
      <c r="E649" s="7" t="s">
        <v>4711</v>
      </c>
      <c r="F649" s="7" t="s">
        <v>4705</v>
      </c>
      <c r="G649" s="7" t="s">
        <v>496</v>
      </c>
      <c r="H649" s="7" t="str">
        <f>IFERROR(VLOOKUP(Table2[[#This Row],[Ticket]],Okey!A:B,2,0),"")</f>
        <v>ok</v>
      </c>
      <c r="I649" s="7" t="s">
        <v>3679</v>
      </c>
      <c r="J649" s="7" t="str">
        <f>VLOOKUP(Table2[[#This Row],[Author]],People!A:B,2,0)</f>
        <v>LS</v>
      </c>
      <c r="K649" s="7"/>
      <c r="L649" s="7"/>
      <c r="M649" s="16" t="s">
        <v>3984</v>
      </c>
    </row>
    <row r="650" spans="1:13" x14ac:dyDescent="0.25">
      <c r="A650" s="22">
        <f t="shared" si="10"/>
        <v>649</v>
      </c>
      <c r="B650" s="6" t="s">
        <v>2330</v>
      </c>
      <c r="C650" s="6" t="s">
        <v>4692</v>
      </c>
      <c r="D650" s="6" t="s">
        <v>709</v>
      </c>
      <c r="E650" s="6" t="s">
        <v>4712</v>
      </c>
      <c r="F650" s="6" t="s">
        <v>4705</v>
      </c>
      <c r="G650" s="6" t="s">
        <v>496</v>
      </c>
      <c r="H650" s="6" t="str">
        <f>IFERROR(VLOOKUP(Table2[[#This Row],[Ticket]],Okey!A:B,2,0),"")</f>
        <v>ok</v>
      </c>
      <c r="I650" s="6" t="s">
        <v>3679</v>
      </c>
      <c r="J650" s="6" t="str">
        <f>VLOOKUP(Table2[[#This Row],[Author]],People!A:B,2,0)</f>
        <v>LS</v>
      </c>
      <c r="K650" s="6"/>
      <c r="L650" s="6"/>
      <c r="M650" s="21" t="s">
        <v>3984</v>
      </c>
    </row>
    <row r="651" spans="1:13" x14ac:dyDescent="0.25">
      <c r="A651" s="23">
        <f t="shared" si="10"/>
        <v>650</v>
      </c>
      <c r="B651" s="7" t="s">
        <v>2330</v>
      </c>
      <c r="C651" s="7" t="s">
        <v>4692</v>
      </c>
      <c r="D651" s="7" t="s">
        <v>524</v>
      </c>
      <c r="E651" s="7" t="s">
        <v>4713</v>
      </c>
      <c r="F651" s="7" t="s">
        <v>4705</v>
      </c>
      <c r="G651" s="7" t="s">
        <v>496</v>
      </c>
      <c r="H651" s="7" t="str">
        <f>IFERROR(VLOOKUP(Table2[[#This Row],[Ticket]],Okey!A:B,2,0),"")</f>
        <v>ok</v>
      </c>
      <c r="I651" s="7" t="s">
        <v>3679</v>
      </c>
      <c r="J651" s="7" t="str">
        <f>VLOOKUP(Table2[[#This Row],[Author]],People!A:B,2,0)</f>
        <v>LS</v>
      </c>
      <c r="K651" s="7"/>
      <c r="L651" s="7"/>
      <c r="M651" s="16" t="s">
        <v>3984</v>
      </c>
    </row>
    <row r="652" spans="1:13" x14ac:dyDescent="0.25">
      <c r="A652" s="22">
        <f t="shared" si="10"/>
        <v>651</v>
      </c>
      <c r="B652" s="6" t="s">
        <v>2330</v>
      </c>
      <c r="C652" s="6" t="s">
        <v>4692</v>
      </c>
      <c r="D652" s="6" t="s">
        <v>693</v>
      </c>
      <c r="E652" s="6" t="s">
        <v>4714</v>
      </c>
      <c r="F652" s="6" t="s">
        <v>524</v>
      </c>
      <c r="G652" s="6" t="s">
        <v>496</v>
      </c>
      <c r="H652" s="6" t="str">
        <f>IFERROR(VLOOKUP(Table2[[#This Row],[Ticket]],Okey!A:B,2,0),"")</f>
        <v>ok</v>
      </c>
      <c r="I652" s="6" t="s">
        <v>3679</v>
      </c>
      <c r="J652" s="6" t="str">
        <f>VLOOKUP(Table2[[#This Row],[Author]],People!A:B,2,0)</f>
        <v>LS</v>
      </c>
      <c r="K652" s="6"/>
      <c r="L652" s="6"/>
      <c r="M652" s="21" t="s">
        <v>3984</v>
      </c>
    </row>
    <row r="653" spans="1:13" x14ac:dyDescent="0.25">
      <c r="A653" s="23">
        <f t="shared" si="10"/>
        <v>652</v>
      </c>
      <c r="B653" s="7" t="s">
        <v>2330</v>
      </c>
      <c r="C653" s="7" t="s">
        <v>4692</v>
      </c>
      <c r="D653" s="7" t="s">
        <v>695</v>
      </c>
      <c r="E653" s="7" t="s">
        <v>4715</v>
      </c>
      <c r="F653" s="7" t="s">
        <v>524</v>
      </c>
      <c r="G653" s="7" t="s">
        <v>496</v>
      </c>
      <c r="H653" s="7" t="str">
        <f>IFERROR(VLOOKUP(Table2[[#This Row],[Ticket]],Okey!A:B,2,0),"")</f>
        <v>ok</v>
      </c>
      <c r="I653" s="7" t="s">
        <v>3679</v>
      </c>
      <c r="J653" s="7" t="str">
        <f>VLOOKUP(Table2[[#This Row],[Author]],People!A:B,2,0)</f>
        <v>LS</v>
      </c>
      <c r="K653" s="7"/>
      <c r="L653" s="7"/>
      <c r="M653" s="16" t="s">
        <v>3984</v>
      </c>
    </row>
    <row r="654" spans="1:13" x14ac:dyDescent="0.25">
      <c r="A654" s="22">
        <f t="shared" si="10"/>
        <v>653</v>
      </c>
      <c r="B654" s="6" t="s">
        <v>2330</v>
      </c>
      <c r="C654" s="6" t="s">
        <v>4692</v>
      </c>
      <c r="D654" s="6" t="s">
        <v>4716</v>
      </c>
      <c r="E654" s="6" t="s">
        <v>4717</v>
      </c>
      <c r="F654" s="6" t="s">
        <v>517</v>
      </c>
      <c r="G654" s="6" t="s">
        <v>496</v>
      </c>
      <c r="H654" s="6" t="str">
        <f>IFERROR(VLOOKUP(Table2[[#This Row],[Ticket]],Okey!A:B,2,0),"")</f>
        <v>ok</v>
      </c>
      <c r="I654" s="6" t="s">
        <v>3679</v>
      </c>
      <c r="J654" s="6" t="str">
        <f>VLOOKUP(Table2[[#This Row],[Author]],People!A:B,2,0)</f>
        <v>LS</v>
      </c>
      <c r="K654" s="6"/>
      <c r="L654" s="6"/>
      <c r="M654" s="21" t="s">
        <v>3984</v>
      </c>
    </row>
    <row r="655" spans="1:13" x14ac:dyDescent="0.25">
      <c r="A655" s="23">
        <f t="shared" si="10"/>
        <v>654</v>
      </c>
      <c r="B655" s="7" t="s">
        <v>2330</v>
      </c>
      <c r="C655" s="7" t="s">
        <v>4692</v>
      </c>
      <c r="D655" s="7" t="s">
        <v>4718</v>
      </c>
      <c r="E655" s="7" t="s">
        <v>4719</v>
      </c>
      <c r="F655" s="7" t="s">
        <v>517</v>
      </c>
      <c r="G655" s="7" t="s">
        <v>496</v>
      </c>
      <c r="H655" s="7" t="str">
        <f>IFERROR(VLOOKUP(Table2[[#This Row],[Ticket]],Okey!A:B,2,0),"")</f>
        <v>ok</v>
      </c>
      <c r="I655" s="7" t="s">
        <v>3679</v>
      </c>
      <c r="J655" s="7" t="str">
        <f>VLOOKUP(Table2[[#This Row],[Author]],People!A:B,2,0)</f>
        <v>LS</v>
      </c>
      <c r="K655" s="7"/>
      <c r="L655" s="7"/>
      <c r="M655" s="16" t="s">
        <v>3984</v>
      </c>
    </row>
    <row r="656" spans="1:13" x14ac:dyDescent="0.25">
      <c r="A656" s="22">
        <f t="shared" si="10"/>
        <v>655</v>
      </c>
      <c r="B656" s="6" t="s">
        <v>2330</v>
      </c>
      <c r="C656" s="6" t="s">
        <v>4692</v>
      </c>
      <c r="D656" s="6" t="s">
        <v>4720</v>
      </c>
      <c r="E656" s="6" t="s">
        <v>4721</v>
      </c>
      <c r="F656" s="6" t="s">
        <v>517</v>
      </c>
      <c r="G656" s="6" t="s">
        <v>496</v>
      </c>
      <c r="H656" s="6" t="str">
        <f>IFERROR(VLOOKUP(Table2[[#This Row],[Ticket]],Okey!A:B,2,0),"")</f>
        <v>ok</v>
      </c>
      <c r="I656" s="6" t="s">
        <v>3679</v>
      </c>
      <c r="J656" s="6" t="str">
        <f>VLOOKUP(Table2[[#This Row],[Author]],People!A:B,2,0)</f>
        <v>LS</v>
      </c>
      <c r="K656" s="6"/>
      <c r="L656" s="6"/>
      <c r="M656" s="21" t="s">
        <v>3984</v>
      </c>
    </row>
    <row r="657" spans="1:13" x14ac:dyDescent="0.25">
      <c r="A657" s="23">
        <f t="shared" si="10"/>
        <v>656</v>
      </c>
      <c r="B657" s="7" t="s">
        <v>2330</v>
      </c>
      <c r="C657" s="7" t="s">
        <v>4692</v>
      </c>
      <c r="D657" s="7" t="s">
        <v>4722</v>
      </c>
      <c r="E657" s="7" t="s">
        <v>4723</v>
      </c>
      <c r="F657" s="7" t="s">
        <v>517</v>
      </c>
      <c r="G657" s="7" t="s">
        <v>496</v>
      </c>
      <c r="H657" s="7" t="str">
        <f>IFERROR(VLOOKUP(Table2[[#This Row],[Ticket]],Okey!A:B,2,0),"")</f>
        <v>ok</v>
      </c>
      <c r="I657" s="7" t="s">
        <v>3679</v>
      </c>
      <c r="J657" s="7" t="str">
        <f>VLOOKUP(Table2[[#This Row],[Author]],People!A:B,2,0)</f>
        <v>LS</v>
      </c>
      <c r="K657" s="7"/>
      <c r="L657" s="7"/>
      <c r="M657" s="16" t="s">
        <v>3984</v>
      </c>
    </row>
    <row r="658" spans="1:13" x14ac:dyDescent="0.25">
      <c r="A658" s="22">
        <f t="shared" si="10"/>
        <v>657</v>
      </c>
      <c r="B658" s="6" t="s">
        <v>2330</v>
      </c>
      <c r="C658" s="6" t="s">
        <v>4692</v>
      </c>
      <c r="D658" s="6" t="s">
        <v>4724</v>
      </c>
      <c r="E658" s="6" t="s">
        <v>4725</v>
      </c>
      <c r="F658" s="6" t="s">
        <v>517</v>
      </c>
      <c r="G658" s="6" t="s">
        <v>496</v>
      </c>
      <c r="H658" s="6" t="str">
        <f>IFERROR(VLOOKUP(Table2[[#This Row],[Ticket]],Okey!A:B,2,0),"")</f>
        <v>ok</v>
      </c>
      <c r="I658" s="6" t="s">
        <v>3679</v>
      </c>
      <c r="J658" s="6" t="str">
        <f>VLOOKUP(Table2[[#This Row],[Author]],People!A:B,2,0)</f>
        <v>LS</v>
      </c>
      <c r="K658" s="6"/>
      <c r="L658" s="6"/>
      <c r="M658" s="21" t="s">
        <v>3984</v>
      </c>
    </row>
    <row r="659" spans="1:13" x14ac:dyDescent="0.25">
      <c r="A659" s="23">
        <f t="shared" si="10"/>
        <v>658</v>
      </c>
      <c r="B659" s="7" t="s">
        <v>2330</v>
      </c>
      <c r="C659" s="7" t="s">
        <v>4692</v>
      </c>
      <c r="D659" s="7" t="s">
        <v>4726</v>
      </c>
      <c r="E659" s="7" t="s">
        <v>4727</v>
      </c>
      <c r="F659" s="7" t="s">
        <v>705</v>
      </c>
      <c r="G659" s="7" t="s">
        <v>496</v>
      </c>
      <c r="H659" s="7" t="str">
        <f>IFERROR(VLOOKUP(Table2[[#This Row],[Ticket]],Okey!A:B,2,0),"")</f>
        <v>ok</v>
      </c>
      <c r="I659" s="7" t="s">
        <v>3679</v>
      </c>
      <c r="J659" s="7" t="str">
        <f>VLOOKUP(Table2[[#This Row],[Author]],People!A:B,2,0)</f>
        <v>LS</v>
      </c>
      <c r="K659" s="7"/>
      <c r="L659" s="7"/>
      <c r="M659" s="16" t="s">
        <v>3984</v>
      </c>
    </row>
    <row r="660" spans="1:13" x14ac:dyDescent="0.25">
      <c r="A660" s="22">
        <f t="shared" si="10"/>
        <v>659</v>
      </c>
      <c r="B660" s="6" t="s">
        <v>2330</v>
      </c>
      <c r="C660" s="6" t="s">
        <v>4692</v>
      </c>
      <c r="D660" s="6" t="s">
        <v>4728</v>
      </c>
      <c r="E660" s="6" t="s">
        <v>4729</v>
      </c>
      <c r="F660" s="6" t="s">
        <v>705</v>
      </c>
      <c r="G660" s="6" t="s">
        <v>496</v>
      </c>
      <c r="H660" s="6" t="str">
        <f>IFERROR(VLOOKUP(Table2[[#This Row],[Ticket]],Okey!A:B,2,0),"")</f>
        <v>ok</v>
      </c>
      <c r="I660" s="6" t="s">
        <v>3679</v>
      </c>
      <c r="J660" s="6" t="str">
        <f>VLOOKUP(Table2[[#This Row],[Author]],People!A:B,2,0)</f>
        <v>LS</v>
      </c>
      <c r="K660" s="6"/>
      <c r="L660" s="6"/>
      <c r="M660" s="21" t="s">
        <v>3984</v>
      </c>
    </row>
    <row r="661" spans="1:13" x14ac:dyDescent="0.25">
      <c r="A661" s="23">
        <f t="shared" si="10"/>
        <v>660</v>
      </c>
      <c r="B661" s="7" t="s">
        <v>2330</v>
      </c>
      <c r="C661" s="7" t="s">
        <v>4692</v>
      </c>
      <c r="D661" s="7" t="s">
        <v>4730</v>
      </c>
      <c r="E661" s="7" t="s">
        <v>4731</v>
      </c>
      <c r="F661" s="7" t="s">
        <v>705</v>
      </c>
      <c r="G661" s="7" t="s">
        <v>496</v>
      </c>
      <c r="H661" s="7" t="str">
        <f>IFERROR(VLOOKUP(Table2[[#This Row],[Ticket]],Okey!A:B,2,0),"")</f>
        <v>ok</v>
      </c>
      <c r="I661" s="7" t="s">
        <v>3679</v>
      </c>
      <c r="J661" s="7" t="str">
        <f>VLOOKUP(Table2[[#This Row],[Author]],People!A:B,2,0)</f>
        <v>LS</v>
      </c>
      <c r="K661" s="7"/>
      <c r="L661" s="7"/>
      <c r="M661" s="16" t="s">
        <v>3984</v>
      </c>
    </row>
    <row r="662" spans="1:13" x14ac:dyDescent="0.25">
      <c r="A662" s="22">
        <f t="shared" si="10"/>
        <v>661</v>
      </c>
      <c r="B662" s="6" t="s">
        <v>2330</v>
      </c>
      <c r="C662" s="6" t="s">
        <v>4732</v>
      </c>
      <c r="D662" s="6" t="s">
        <v>4733</v>
      </c>
      <c r="E662" s="6"/>
      <c r="F662" s="6" t="s">
        <v>226</v>
      </c>
      <c r="G662" s="6" t="s">
        <v>24</v>
      </c>
      <c r="H662" s="6" t="str">
        <f>IFERROR(VLOOKUP(Table2[[#This Row],[Ticket]],Okey!A:B,2,0),"")</f>
        <v>ok</v>
      </c>
      <c r="I662" s="6" t="s">
        <v>3679</v>
      </c>
      <c r="J662" s="6" t="str">
        <f>VLOOKUP(Table2[[#This Row],[Author]],People!A:B,2,0)</f>
        <v>LS</v>
      </c>
      <c r="K662" s="6"/>
      <c r="L662" s="6"/>
      <c r="M662" s="21" t="s">
        <v>40</v>
      </c>
    </row>
    <row r="663" spans="1:13" x14ac:dyDescent="0.25">
      <c r="A663" s="23">
        <f t="shared" si="10"/>
        <v>662</v>
      </c>
      <c r="B663" s="7" t="s">
        <v>2330</v>
      </c>
      <c r="C663" s="7" t="s">
        <v>4734</v>
      </c>
      <c r="D663" s="7" t="s">
        <v>4735</v>
      </c>
      <c r="E663" s="7" t="s">
        <v>4736</v>
      </c>
      <c r="F663" s="7" t="s">
        <v>4737</v>
      </c>
      <c r="G663" s="7" t="s">
        <v>18</v>
      </c>
      <c r="H663" s="7" t="str">
        <f>IFERROR(VLOOKUP(Table2[[#This Row],[Ticket]],Okey!A:B,2,0),"")</f>
        <v>ok</v>
      </c>
      <c r="I663" s="7" t="s">
        <v>3679</v>
      </c>
      <c r="J663" s="7" t="str">
        <f>VLOOKUP(Table2[[#This Row],[Author]],People!A:B,2,0)</f>
        <v>LS</v>
      </c>
      <c r="K663" s="7"/>
      <c r="L663" s="7"/>
      <c r="M663" s="16" t="s">
        <v>4132</v>
      </c>
    </row>
    <row r="664" spans="1:13" x14ac:dyDescent="0.25">
      <c r="A664" s="22">
        <f t="shared" si="10"/>
        <v>663</v>
      </c>
      <c r="B664" s="6" t="s">
        <v>2330</v>
      </c>
      <c r="C664" s="6" t="s">
        <v>4734</v>
      </c>
      <c r="D664" s="6" t="s">
        <v>4738</v>
      </c>
      <c r="E664" s="6" t="s">
        <v>4739</v>
      </c>
      <c r="F664" s="6" t="s">
        <v>4737</v>
      </c>
      <c r="G664" s="6" t="s">
        <v>18</v>
      </c>
      <c r="H664" s="6" t="str">
        <f>IFERROR(VLOOKUP(Table2[[#This Row],[Ticket]],Okey!A:B,2,0),"")</f>
        <v>ok</v>
      </c>
      <c r="I664" s="6" t="s">
        <v>3679</v>
      </c>
      <c r="J664" s="6" t="str">
        <f>VLOOKUP(Table2[[#This Row],[Author]],People!A:B,2,0)</f>
        <v>LS</v>
      </c>
      <c r="K664" s="6"/>
      <c r="L664" s="6"/>
      <c r="M664" s="21" t="s">
        <v>4132</v>
      </c>
    </row>
    <row r="665" spans="1:13" x14ac:dyDescent="0.25">
      <c r="A665" s="23">
        <f t="shared" si="10"/>
        <v>664</v>
      </c>
      <c r="B665" s="7" t="s">
        <v>2330</v>
      </c>
      <c r="C665" s="7" t="s">
        <v>4734</v>
      </c>
      <c r="D665" s="7" t="s">
        <v>4740</v>
      </c>
      <c r="E665" s="7" t="s">
        <v>4741</v>
      </c>
      <c r="F665" s="7" t="s">
        <v>4737</v>
      </c>
      <c r="G665" s="7" t="s">
        <v>18</v>
      </c>
      <c r="H665" s="7" t="str">
        <f>IFERROR(VLOOKUP(Table2[[#This Row],[Ticket]],Okey!A:B,2,0),"")</f>
        <v>ok</v>
      </c>
      <c r="I665" s="7" t="s">
        <v>3679</v>
      </c>
      <c r="J665" s="7" t="str">
        <f>VLOOKUP(Table2[[#This Row],[Author]],People!A:B,2,0)</f>
        <v>LS</v>
      </c>
      <c r="K665" s="7"/>
      <c r="L665" s="7"/>
      <c r="M665" s="16" t="s">
        <v>4132</v>
      </c>
    </row>
    <row r="666" spans="1:13" x14ac:dyDescent="0.25">
      <c r="A666" s="22">
        <f t="shared" si="10"/>
        <v>665</v>
      </c>
      <c r="B666" s="6" t="s">
        <v>2330</v>
      </c>
      <c r="C666" s="6" t="s">
        <v>4734</v>
      </c>
      <c r="D666" s="6" t="s">
        <v>4742</v>
      </c>
      <c r="E666" s="6" t="s">
        <v>4743</v>
      </c>
      <c r="F666" s="6" t="s">
        <v>4737</v>
      </c>
      <c r="G666" s="6" t="s">
        <v>18</v>
      </c>
      <c r="H666" s="6" t="str">
        <f>IFERROR(VLOOKUP(Table2[[#This Row],[Ticket]],Okey!A:B,2,0),"")</f>
        <v>ok</v>
      </c>
      <c r="I666" s="6" t="s">
        <v>3679</v>
      </c>
      <c r="J666" s="6" t="str">
        <f>VLOOKUP(Table2[[#This Row],[Author]],People!A:B,2,0)</f>
        <v>LS</v>
      </c>
      <c r="K666" s="6"/>
      <c r="L666" s="6"/>
      <c r="M666" s="21" t="s">
        <v>4132</v>
      </c>
    </row>
    <row r="667" spans="1:13" x14ac:dyDescent="0.25">
      <c r="A667" s="23">
        <f t="shared" si="10"/>
        <v>666</v>
      </c>
      <c r="B667" s="7" t="s">
        <v>2330</v>
      </c>
      <c r="C667" s="7" t="s">
        <v>4734</v>
      </c>
      <c r="D667" s="7" t="s">
        <v>4744</v>
      </c>
      <c r="E667" s="7" t="s">
        <v>4745</v>
      </c>
      <c r="F667" s="7" t="s">
        <v>4746</v>
      </c>
      <c r="G667" s="7" t="s">
        <v>18</v>
      </c>
      <c r="H667" s="7" t="str">
        <f>IFERROR(VLOOKUP(Table2[[#This Row],[Ticket]],Okey!A:B,2,0),"")</f>
        <v>ok</v>
      </c>
      <c r="I667" s="7" t="s">
        <v>3679</v>
      </c>
      <c r="J667" s="7" t="str">
        <f>VLOOKUP(Table2[[#This Row],[Author]],People!A:B,2,0)</f>
        <v>LS</v>
      </c>
      <c r="K667" s="7"/>
      <c r="L667" s="7"/>
      <c r="M667" s="16" t="s">
        <v>4132</v>
      </c>
    </row>
    <row r="668" spans="1:13" x14ac:dyDescent="0.25">
      <c r="A668" s="22">
        <f t="shared" si="10"/>
        <v>667</v>
      </c>
      <c r="B668" s="6" t="s">
        <v>2330</v>
      </c>
      <c r="C668" s="6" t="s">
        <v>4734</v>
      </c>
      <c r="D668" s="6" t="s">
        <v>4747</v>
      </c>
      <c r="E668" s="6" t="s">
        <v>4748</v>
      </c>
      <c r="F668" s="6" t="s">
        <v>4746</v>
      </c>
      <c r="G668" s="6" t="s">
        <v>18</v>
      </c>
      <c r="H668" s="6" t="str">
        <f>IFERROR(VLOOKUP(Table2[[#This Row],[Ticket]],Okey!A:B,2,0),"")</f>
        <v>ok</v>
      </c>
      <c r="I668" s="6" t="s">
        <v>3679</v>
      </c>
      <c r="J668" s="6" t="str">
        <f>VLOOKUP(Table2[[#This Row],[Author]],People!A:B,2,0)</f>
        <v>LS</v>
      </c>
      <c r="K668" s="6"/>
      <c r="L668" s="6"/>
      <c r="M668" s="21" t="s">
        <v>4132</v>
      </c>
    </row>
    <row r="669" spans="1:13" x14ac:dyDescent="0.25">
      <c r="A669" s="23">
        <f t="shared" si="10"/>
        <v>668</v>
      </c>
      <c r="B669" s="7" t="s">
        <v>2330</v>
      </c>
      <c r="C669" s="7" t="s">
        <v>4734</v>
      </c>
      <c r="D669" s="7" t="s">
        <v>4749</v>
      </c>
      <c r="E669" s="7" t="s">
        <v>4750</v>
      </c>
      <c r="F669" s="7" t="s">
        <v>4746</v>
      </c>
      <c r="G669" s="7" t="s">
        <v>18</v>
      </c>
      <c r="H669" s="7" t="str">
        <f>IFERROR(VLOOKUP(Table2[[#This Row],[Ticket]],Okey!A:B,2,0),"")</f>
        <v>ok</v>
      </c>
      <c r="I669" s="7" t="s">
        <v>3679</v>
      </c>
      <c r="J669" s="7" t="str">
        <f>VLOOKUP(Table2[[#This Row],[Author]],People!A:B,2,0)</f>
        <v>LS</v>
      </c>
      <c r="K669" s="7"/>
      <c r="L669" s="7"/>
      <c r="M669" s="16" t="s">
        <v>4132</v>
      </c>
    </row>
    <row r="670" spans="1:13" x14ac:dyDescent="0.25">
      <c r="A670" s="22">
        <f t="shared" si="10"/>
        <v>669</v>
      </c>
      <c r="B670" s="6" t="s">
        <v>2330</v>
      </c>
      <c r="C670" s="6" t="s">
        <v>4734</v>
      </c>
      <c r="D670" s="6" t="s">
        <v>4751</v>
      </c>
      <c r="E670" s="6" t="s">
        <v>4752</v>
      </c>
      <c r="F670" s="6" t="s">
        <v>4753</v>
      </c>
      <c r="G670" s="6" t="s">
        <v>18</v>
      </c>
      <c r="H670" s="6" t="str">
        <f>IFERROR(VLOOKUP(Table2[[#This Row],[Ticket]],Okey!A:B,2,0),"")</f>
        <v>ok</v>
      </c>
      <c r="I670" s="6" t="s">
        <v>3679</v>
      </c>
      <c r="J670" s="6" t="str">
        <f>VLOOKUP(Table2[[#This Row],[Author]],People!A:B,2,0)</f>
        <v>LS</v>
      </c>
      <c r="K670" s="6"/>
      <c r="L670" s="6"/>
      <c r="M670" s="21" t="s">
        <v>4132</v>
      </c>
    </row>
    <row r="671" spans="1:13" x14ac:dyDescent="0.25">
      <c r="A671" s="23">
        <f t="shared" si="10"/>
        <v>670</v>
      </c>
      <c r="B671" s="7" t="s">
        <v>2330</v>
      </c>
      <c r="C671" s="7" t="s">
        <v>4734</v>
      </c>
      <c r="D671" s="7" t="s">
        <v>4754</v>
      </c>
      <c r="E671" s="7" t="s">
        <v>4755</v>
      </c>
      <c r="F671" s="7" t="s">
        <v>4753</v>
      </c>
      <c r="G671" s="7" t="s">
        <v>18</v>
      </c>
      <c r="H671" s="7" t="str">
        <f>IFERROR(VLOOKUP(Table2[[#This Row],[Ticket]],Okey!A:B,2,0),"")</f>
        <v>ok</v>
      </c>
      <c r="I671" s="7" t="s">
        <v>3679</v>
      </c>
      <c r="J671" s="7" t="str">
        <f>VLOOKUP(Table2[[#This Row],[Author]],People!A:B,2,0)</f>
        <v>LS</v>
      </c>
      <c r="K671" s="7"/>
      <c r="L671" s="7"/>
      <c r="M671" s="16" t="s">
        <v>4132</v>
      </c>
    </row>
    <row r="672" spans="1:13" x14ac:dyDescent="0.25">
      <c r="A672" s="22">
        <f t="shared" si="10"/>
        <v>671</v>
      </c>
      <c r="B672" s="6" t="s">
        <v>2330</v>
      </c>
      <c r="C672" s="6" t="s">
        <v>4734</v>
      </c>
      <c r="D672" s="6" t="s">
        <v>4756</v>
      </c>
      <c r="E672" s="6" t="s">
        <v>4757</v>
      </c>
      <c r="F672" s="6" t="s">
        <v>4753</v>
      </c>
      <c r="G672" s="6" t="s">
        <v>18</v>
      </c>
      <c r="H672" s="6" t="str">
        <f>IFERROR(VLOOKUP(Table2[[#This Row],[Ticket]],Okey!A:B,2,0),"")</f>
        <v>ok</v>
      </c>
      <c r="I672" s="6" t="s">
        <v>3679</v>
      </c>
      <c r="J672" s="6" t="str">
        <f>VLOOKUP(Table2[[#This Row],[Author]],People!A:B,2,0)</f>
        <v>LS</v>
      </c>
      <c r="K672" s="6"/>
      <c r="L672" s="6"/>
      <c r="M672" s="21" t="s">
        <v>4132</v>
      </c>
    </row>
    <row r="673" spans="1:13" x14ac:dyDescent="0.25">
      <c r="A673" s="23">
        <f t="shared" si="10"/>
        <v>672</v>
      </c>
      <c r="B673" s="7" t="s">
        <v>2330</v>
      </c>
      <c r="C673" s="7" t="s">
        <v>4734</v>
      </c>
      <c r="D673" s="7" t="s">
        <v>4758</v>
      </c>
      <c r="E673" s="7" t="s">
        <v>4759</v>
      </c>
      <c r="F673" s="7" t="s">
        <v>4760</v>
      </c>
      <c r="G673" s="7" t="s">
        <v>18</v>
      </c>
      <c r="H673" s="7" t="str">
        <f>IFERROR(VLOOKUP(Table2[[#This Row],[Ticket]],Okey!A:B,2,0),"")</f>
        <v>ok</v>
      </c>
      <c r="I673" s="7" t="s">
        <v>3679</v>
      </c>
      <c r="J673" s="7" t="str">
        <f>VLOOKUP(Table2[[#This Row],[Author]],People!A:B,2,0)</f>
        <v>LS</v>
      </c>
      <c r="K673" s="7"/>
      <c r="L673" s="7"/>
      <c r="M673" s="16" t="s">
        <v>4132</v>
      </c>
    </row>
    <row r="674" spans="1:13" x14ac:dyDescent="0.25">
      <c r="A674" s="22">
        <f t="shared" si="10"/>
        <v>673</v>
      </c>
      <c r="B674" s="6" t="s">
        <v>2330</v>
      </c>
      <c r="C674" s="6" t="s">
        <v>4734</v>
      </c>
      <c r="D674" s="6" t="s">
        <v>4761</v>
      </c>
      <c r="E674" s="6" t="s">
        <v>4762</v>
      </c>
      <c r="F674" s="6" t="s">
        <v>4760</v>
      </c>
      <c r="G674" s="6" t="s">
        <v>18</v>
      </c>
      <c r="H674" s="6" t="str">
        <f>IFERROR(VLOOKUP(Table2[[#This Row],[Ticket]],Okey!A:B,2,0),"")</f>
        <v>ok</v>
      </c>
      <c r="I674" s="6" t="s">
        <v>3679</v>
      </c>
      <c r="J674" s="6" t="str">
        <f>VLOOKUP(Table2[[#This Row],[Author]],People!A:B,2,0)</f>
        <v>LS</v>
      </c>
      <c r="K674" s="6"/>
      <c r="L674" s="6"/>
      <c r="M674" s="21" t="s">
        <v>4132</v>
      </c>
    </row>
    <row r="675" spans="1:13" x14ac:dyDescent="0.25">
      <c r="A675" s="23">
        <f t="shared" si="10"/>
        <v>674</v>
      </c>
      <c r="B675" s="7" t="s">
        <v>2330</v>
      </c>
      <c r="C675" s="7" t="s">
        <v>4734</v>
      </c>
      <c r="D675" s="7" t="s">
        <v>4763</v>
      </c>
      <c r="E675" s="7" t="s">
        <v>4764</v>
      </c>
      <c r="F675" s="7" t="s">
        <v>4760</v>
      </c>
      <c r="G675" s="7" t="s">
        <v>18</v>
      </c>
      <c r="H675" s="7" t="str">
        <f>IFERROR(VLOOKUP(Table2[[#This Row],[Ticket]],Okey!A:B,2,0),"")</f>
        <v>ok</v>
      </c>
      <c r="I675" s="7" t="s">
        <v>3679</v>
      </c>
      <c r="J675" s="7" t="str">
        <f>VLOOKUP(Table2[[#This Row],[Author]],People!A:B,2,0)</f>
        <v>LS</v>
      </c>
      <c r="K675" s="7"/>
      <c r="L675" s="7"/>
      <c r="M675" s="16" t="s">
        <v>4132</v>
      </c>
    </row>
    <row r="676" spans="1:13" x14ac:dyDescent="0.25">
      <c r="A676" s="22">
        <f t="shared" si="10"/>
        <v>675</v>
      </c>
      <c r="B676" s="6" t="s">
        <v>2330</v>
      </c>
      <c r="C676" s="6" t="s">
        <v>4734</v>
      </c>
      <c r="D676" s="6" t="s">
        <v>4765</v>
      </c>
      <c r="E676" s="6" t="s">
        <v>4766</v>
      </c>
      <c r="F676" s="6" t="s">
        <v>4760</v>
      </c>
      <c r="G676" s="6" t="s">
        <v>18</v>
      </c>
      <c r="H676" s="6" t="str">
        <f>IFERROR(VLOOKUP(Table2[[#This Row],[Ticket]],Okey!A:B,2,0),"")</f>
        <v>ok</v>
      </c>
      <c r="I676" s="6" t="s">
        <v>3679</v>
      </c>
      <c r="J676" s="6" t="str">
        <f>VLOOKUP(Table2[[#This Row],[Author]],People!A:B,2,0)</f>
        <v>LS</v>
      </c>
      <c r="K676" s="6"/>
      <c r="L676" s="6"/>
      <c r="M676" s="21" t="s">
        <v>4132</v>
      </c>
    </row>
    <row r="677" spans="1:13" x14ac:dyDescent="0.25">
      <c r="A677" s="23">
        <f t="shared" si="10"/>
        <v>676</v>
      </c>
      <c r="B677" s="7" t="s">
        <v>2330</v>
      </c>
      <c r="C677" s="7" t="s">
        <v>4734</v>
      </c>
      <c r="D677" s="7" t="s">
        <v>4767</v>
      </c>
      <c r="E677" s="7" t="s">
        <v>4768</v>
      </c>
      <c r="F677" s="7" t="s">
        <v>4769</v>
      </c>
      <c r="G677" s="7" t="s">
        <v>18</v>
      </c>
      <c r="H677" s="7" t="str">
        <f>IFERROR(VLOOKUP(Table2[[#This Row],[Ticket]],Okey!A:B,2,0),"")</f>
        <v>ok</v>
      </c>
      <c r="I677" s="7" t="s">
        <v>3679</v>
      </c>
      <c r="J677" s="7" t="str">
        <f>VLOOKUP(Table2[[#This Row],[Author]],People!A:B,2,0)</f>
        <v>LS</v>
      </c>
      <c r="K677" s="7"/>
      <c r="L677" s="7"/>
      <c r="M677" s="16" t="s">
        <v>4132</v>
      </c>
    </row>
    <row r="678" spans="1:13" x14ac:dyDescent="0.25">
      <c r="A678" s="22">
        <f t="shared" si="10"/>
        <v>677</v>
      </c>
      <c r="B678" s="6" t="s">
        <v>2330</v>
      </c>
      <c r="C678" s="6" t="s">
        <v>4734</v>
      </c>
      <c r="D678" s="6" t="s">
        <v>4770</v>
      </c>
      <c r="E678" s="6" t="s">
        <v>4771</v>
      </c>
      <c r="F678" s="6" t="s">
        <v>4769</v>
      </c>
      <c r="G678" s="6" t="s">
        <v>18</v>
      </c>
      <c r="H678" s="6" t="str">
        <f>IFERROR(VLOOKUP(Table2[[#This Row],[Ticket]],Okey!A:B,2,0),"")</f>
        <v>ok</v>
      </c>
      <c r="I678" s="6" t="s">
        <v>3679</v>
      </c>
      <c r="J678" s="6" t="str">
        <f>VLOOKUP(Table2[[#This Row],[Author]],People!A:B,2,0)</f>
        <v>LS</v>
      </c>
      <c r="K678" s="6"/>
      <c r="L678" s="6"/>
      <c r="M678" s="21" t="s">
        <v>4132</v>
      </c>
    </row>
    <row r="679" spans="1:13" x14ac:dyDescent="0.25">
      <c r="A679" s="23">
        <f t="shared" si="10"/>
        <v>678</v>
      </c>
      <c r="B679" s="7" t="s">
        <v>2330</v>
      </c>
      <c r="C679" s="7" t="s">
        <v>4734</v>
      </c>
      <c r="D679" s="7" t="s">
        <v>4772</v>
      </c>
      <c r="E679" s="7" t="s">
        <v>4773</v>
      </c>
      <c r="F679" s="7" t="s">
        <v>4769</v>
      </c>
      <c r="G679" s="7" t="s">
        <v>18</v>
      </c>
      <c r="H679" s="7" t="str">
        <f>IFERROR(VLOOKUP(Table2[[#This Row],[Ticket]],Okey!A:B,2,0),"")</f>
        <v>ok</v>
      </c>
      <c r="I679" s="7" t="s">
        <v>3679</v>
      </c>
      <c r="J679" s="7" t="str">
        <f>VLOOKUP(Table2[[#This Row],[Author]],People!A:B,2,0)</f>
        <v>LS</v>
      </c>
      <c r="K679" s="7"/>
      <c r="L679" s="7"/>
      <c r="M679" s="16" t="s">
        <v>4132</v>
      </c>
    </row>
    <row r="680" spans="1:13" x14ac:dyDescent="0.25">
      <c r="A680" s="22">
        <f t="shared" si="10"/>
        <v>679</v>
      </c>
      <c r="B680" s="6" t="s">
        <v>2330</v>
      </c>
      <c r="C680" s="6" t="s">
        <v>4734</v>
      </c>
      <c r="D680" s="6" t="s">
        <v>4774</v>
      </c>
      <c r="E680" s="6" t="s">
        <v>4775</v>
      </c>
      <c r="F680" s="6" t="s">
        <v>4769</v>
      </c>
      <c r="G680" s="6" t="s">
        <v>18</v>
      </c>
      <c r="H680" s="6" t="str">
        <f>IFERROR(VLOOKUP(Table2[[#This Row],[Ticket]],Okey!A:B,2,0),"")</f>
        <v>ok</v>
      </c>
      <c r="I680" s="6" t="s">
        <v>3679</v>
      </c>
      <c r="J680" s="6" t="str">
        <f>VLOOKUP(Table2[[#This Row],[Author]],People!A:B,2,0)</f>
        <v>LS</v>
      </c>
      <c r="K680" s="6"/>
      <c r="L680" s="6"/>
      <c r="M680" s="21" t="s">
        <v>4132</v>
      </c>
    </row>
    <row r="681" spans="1:13" x14ac:dyDescent="0.25">
      <c r="A681" s="23">
        <f t="shared" si="10"/>
        <v>680</v>
      </c>
      <c r="B681" s="7" t="s">
        <v>2330</v>
      </c>
      <c r="C681" s="7" t="s">
        <v>4734</v>
      </c>
      <c r="D681" s="7" t="s">
        <v>4776</v>
      </c>
      <c r="E681" s="7" t="s">
        <v>4777</v>
      </c>
      <c r="F681" s="7" t="s">
        <v>4778</v>
      </c>
      <c r="G681" s="7" t="s">
        <v>18</v>
      </c>
      <c r="H681" s="7" t="str">
        <f>IFERROR(VLOOKUP(Table2[[#This Row],[Ticket]],Okey!A:B,2,0),"")</f>
        <v>ok</v>
      </c>
      <c r="I681" s="7" t="s">
        <v>3679</v>
      </c>
      <c r="J681" s="7" t="str">
        <f>VLOOKUP(Table2[[#This Row],[Author]],People!A:B,2,0)</f>
        <v>LS</v>
      </c>
      <c r="K681" s="7"/>
      <c r="L681" s="7"/>
      <c r="M681" s="16" t="s">
        <v>4132</v>
      </c>
    </row>
    <row r="682" spans="1:13" x14ac:dyDescent="0.25">
      <c r="A682" s="22">
        <f t="shared" si="10"/>
        <v>681</v>
      </c>
      <c r="B682" s="6" t="s">
        <v>2330</v>
      </c>
      <c r="C682" s="6" t="s">
        <v>4734</v>
      </c>
      <c r="D682" s="6" t="s">
        <v>4779</v>
      </c>
      <c r="E682" s="6" t="s">
        <v>4780</v>
      </c>
      <c r="F682" s="6" t="s">
        <v>4778</v>
      </c>
      <c r="G682" s="6" t="s">
        <v>18</v>
      </c>
      <c r="H682" s="6" t="str">
        <f>IFERROR(VLOOKUP(Table2[[#This Row],[Ticket]],Okey!A:B,2,0),"")</f>
        <v>ok</v>
      </c>
      <c r="I682" s="6" t="s">
        <v>3679</v>
      </c>
      <c r="J682" s="6" t="str">
        <f>VLOOKUP(Table2[[#This Row],[Author]],People!A:B,2,0)</f>
        <v>LS</v>
      </c>
      <c r="K682" s="6"/>
      <c r="L682" s="6"/>
      <c r="M682" s="21" t="s">
        <v>4132</v>
      </c>
    </row>
    <row r="683" spans="1:13" x14ac:dyDescent="0.25">
      <c r="A683" s="23">
        <f t="shared" si="10"/>
        <v>682</v>
      </c>
      <c r="B683" s="7" t="s">
        <v>2330</v>
      </c>
      <c r="C683" s="7" t="s">
        <v>4734</v>
      </c>
      <c r="D683" s="7" t="s">
        <v>4781</v>
      </c>
      <c r="E683" s="7" t="s">
        <v>4782</v>
      </c>
      <c r="F683" s="7" t="s">
        <v>4778</v>
      </c>
      <c r="G683" s="7" t="s">
        <v>18</v>
      </c>
      <c r="H683" s="7" t="str">
        <f>IFERROR(VLOOKUP(Table2[[#This Row],[Ticket]],Okey!A:B,2,0),"")</f>
        <v>ok</v>
      </c>
      <c r="I683" s="7" t="s">
        <v>3679</v>
      </c>
      <c r="J683" s="7" t="str">
        <f>VLOOKUP(Table2[[#This Row],[Author]],People!A:B,2,0)</f>
        <v>LS</v>
      </c>
      <c r="K683" s="7"/>
      <c r="L683" s="7"/>
      <c r="M683" s="16" t="s">
        <v>4132</v>
      </c>
    </row>
    <row r="684" spans="1:13" x14ac:dyDescent="0.25">
      <c r="A684" s="22">
        <f t="shared" si="10"/>
        <v>683</v>
      </c>
      <c r="B684" s="6" t="s">
        <v>2330</v>
      </c>
      <c r="C684" s="6" t="s">
        <v>4734</v>
      </c>
      <c r="D684" s="6" t="s">
        <v>4783</v>
      </c>
      <c r="E684" s="6" t="s">
        <v>4784</v>
      </c>
      <c r="F684" s="6" t="s">
        <v>4785</v>
      </c>
      <c r="G684" s="6" t="s">
        <v>18</v>
      </c>
      <c r="H684" s="6" t="str">
        <f>IFERROR(VLOOKUP(Table2[[#This Row],[Ticket]],Okey!A:B,2,0),"")</f>
        <v>ok</v>
      </c>
      <c r="I684" s="6" t="s">
        <v>3679</v>
      </c>
      <c r="J684" s="6" t="str">
        <f>VLOOKUP(Table2[[#This Row],[Author]],People!A:B,2,0)</f>
        <v>LS</v>
      </c>
      <c r="K684" s="6"/>
      <c r="L684" s="6"/>
      <c r="M684" s="21" t="s">
        <v>4132</v>
      </c>
    </row>
    <row r="685" spans="1:13" x14ac:dyDescent="0.25">
      <c r="A685" s="23">
        <f t="shared" si="10"/>
        <v>684</v>
      </c>
      <c r="B685" s="7" t="s">
        <v>2330</v>
      </c>
      <c r="C685" s="7" t="s">
        <v>4734</v>
      </c>
      <c r="D685" s="7" t="s">
        <v>4786</v>
      </c>
      <c r="E685" s="7" t="s">
        <v>4787</v>
      </c>
      <c r="F685" s="7" t="s">
        <v>4785</v>
      </c>
      <c r="G685" s="7" t="s">
        <v>18</v>
      </c>
      <c r="H685" s="7" t="str">
        <f>IFERROR(VLOOKUP(Table2[[#This Row],[Ticket]],Okey!A:B,2,0),"")</f>
        <v>ok</v>
      </c>
      <c r="I685" s="7" t="s">
        <v>3679</v>
      </c>
      <c r="J685" s="7" t="str">
        <f>VLOOKUP(Table2[[#This Row],[Author]],People!A:B,2,0)</f>
        <v>LS</v>
      </c>
      <c r="K685" s="7"/>
      <c r="L685" s="7"/>
      <c r="M685" s="16" t="s">
        <v>4132</v>
      </c>
    </row>
    <row r="686" spans="1:13" x14ac:dyDescent="0.25">
      <c r="A686" s="22">
        <f t="shared" si="10"/>
        <v>685</v>
      </c>
      <c r="B686" s="6" t="s">
        <v>2330</v>
      </c>
      <c r="C686" s="6" t="s">
        <v>4734</v>
      </c>
      <c r="D686" s="6" t="s">
        <v>4788</v>
      </c>
      <c r="E686" s="6" t="s">
        <v>4789</v>
      </c>
      <c r="F686" s="6" t="s">
        <v>4785</v>
      </c>
      <c r="G686" s="6" t="s">
        <v>18</v>
      </c>
      <c r="H686" s="6" t="str">
        <f>IFERROR(VLOOKUP(Table2[[#This Row],[Ticket]],Okey!A:B,2,0),"")</f>
        <v>ok</v>
      </c>
      <c r="I686" s="6" t="s">
        <v>3679</v>
      </c>
      <c r="J686" s="6" t="str">
        <f>VLOOKUP(Table2[[#This Row],[Author]],People!A:B,2,0)</f>
        <v>LS</v>
      </c>
      <c r="K686" s="6"/>
      <c r="L686" s="6"/>
      <c r="M686" s="21" t="s">
        <v>4132</v>
      </c>
    </row>
    <row r="687" spans="1:13" x14ac:dyDescent="0.25">
      <c r="A687" s="23">
        <f t="shared" si="10"/>
        <v>686</v>
      </c>
      <c r="B687" s="7" t="s">
        <v>2330</v>
      </c>
      <c r="C687" s="7" t="s">
        <v>4734</v>
      </c>
      <c r="D687" s="7" t="s">
        <v>4790</v>
      </c>
      <c r="E687" s="7" t="s">
        <v>4791</v>
      </c>
      <c r="F687" s="7" t="s">
        <v>4792</v>
      </c>
      <c r="G687" s="7" t="s">
        <v>18</v>
      </c>
      <c r="H687" s="7" t="str">
        <f>IFERROR(VLOOKUP(Table2[[#This Row],[Ticket]],Okey!A:B,2,0),"")</f>
        <v>ok</v>
      </c>
      <c r="I687" s="7" t="s">
        <v>3679</v>
      </c>
      <c r="J687" s="7" t="str">
        <f>VLOOKUP(Table2[[#This Row],[Author]],People!A:B,2,0)</f>
        <v>LS</v>
      </c>
      <c r="K687" s="7"/>
      <c r="L687" s="7"/>
      <c r="M687" s="16" t="s">
        <v>4132</v>
      </c>
    </row>
    <row r="688" spans="1:13" x14ac:dyDescent="0.25">
      <c r="A688" s="22">
        <f t="shared" si="10"/>
        <v>687</v>
      </c>
      <c r="B688" s="6" t="s">
        <v>2330</v>
      </c>
      <c r="C688" s="6" t="s">
        <v>4734</v>
      </c>
      <c r="D688" s="6" t="s">
        <v>4793</v>
      </c>
      <c r="E688" s="6" t="s">
        <v>4794</v>
      </c>
      <c r="F688" s="6" t="s">
        <v>4792</v>
      </c>
      <c r="G688" s="6" t="s">
        <v>18</v>
      </c>
      <c r="H688" s="6" t="str">
        <f>IFERROR(VLOOKUP(Table2[[#This Row],[Ticket]],Okey!A:B,2,0),"")</f>
        <v>ok</v>
      </c>
      <c r="I688" s="6" t="s">
        <v>3679</v>
      </c>
      <c r="J688" s="6" t="str">
        <f>VLOOKUP(Table2[[#This Row],[Author]],People!A:B,2,0)</f>
        <v>LS</v>
      </c>
      <c r="K688" s="6"/>
      <c r="L688" s="6"/>
      <c r="M688" s="21" t="s">
        <v>4132</v>
      </c>
    </row>
    <row r="689" spans="1:13" x14ac:dyDescent="0.25">
      <c r="A689" s="23">
        <f t="shared" si="10"/>
        <v>688</v>
      </c>
      <c r="B689" s="7" t="s">
        <v>2330</v>
      </c>
      <c r="C689" s="7" t="s">
        <v>4734</v>
      </c>
      <c r="D689" s="7" t="s">
        <v>4795</v>
      </c>
      <c r="E689" s="7" t="s">
        <v>4796</v>
      </c>
      <c r="F689" s="7" t="s">
        <v>4792</v>
      </c>
      <c r="G689" s="7" t="s">
        <v>18</v>
      </c>
      <c r="H689" s="7" t="str">
        <f>IFERROR(VLOOKUP(Table2[[#This Row],[Ticket]],Okey!A:B,2,0),"")</f>
        <v>ok</v>
      </c>
      <c r="I689" s="7" t="s">
        <v>3679</v>
      </c>
      <c r="J689" s="7" t="str">
        <f>VLOOKUP(Table2[[#This Row],[Author]],People!A:B,2,0)</f>
        <v>LS</v>
      </c>
      <c r="K689" s="7"/>
      <c r="L689" s="7"/>
      <c r="M689" s="16" t="s">
        <v>4132</v>
      </c>
    </row>
    <row r="690" spans="1:13" x14ac:dyDescent="0.25">
      <c r="A690" s="22">
        <f t="shared" si="10"/>
        <v>689</v>
      </c>
      <c r="B690" s="6" t="s">
        <v>2330</v>
      </c>
      <c r="C690" s="6" t="s">
        <v>4734</v>
      </c>
      <c r="D690" s="6" t="s">
        <v>4797</v>
      </c>
      <c r="E690" s="6" t="s">
        <v>4798</v>
      </c>
      <c r="F690" s="6" t="s">
        <v>4799</v>
      </c>
      <c r="G690" s="6" t="s">
        <v>18</v>
      </c>
      <c r="H690" s="6" t="str">
        <f>IFERROR(VLOOKUP(Table2[[#This Row],[Ticket]],Okey!A:B,2,0),"")</f>
        <v>ok</v>
      </c>
      <c r="I690" s="6" t="s">
        <v>3679</v>
      </c>
      <c r="J690" s="6" t="str">
        <f>VLOOKUP(Table2[[#This Row],[Author]],People!A:B,2,0)</f>
        <v>LS</v>
      </c>
      <c r="K690" s="6"/>
      <c r="L690" s="6"/>
      <c r="M690" s="21" t="s">
        <v>4132</v>
      </c>
    </row>
    <row r="691" spans="1:13" x14ac:dyDescent="0.25">
      <c r="A691" s="23">
        <f t="shared" si="10"/>
        <v>690</v>
      </c>
      <c r="B691" s="7" t="s">
        <v>2330</v>
      </c>
      <c r="C691" s="7" t="s">
        <v>4734</v>
      </c>
      <c r="D691" s="7" t="s">
        <v>4800</v>
      </c>
      <c r="E691" s="7" t="s">
        <v>4801</v>
      </c>
      <c r="F691" s="7" t="s">
        <v>4799</v>
      </c>
      <c r="G691" s="7" t="s">
        <v>18</v>
      </c>
      <c r="H691" s="7" t="str">
        <f>IFERROR(VLOOKUP(Table2[[#This Row],[Ticket]],Okey!A:B,2,0),"")</f>
        <v>ok</v>
      </c>
      <c r="I691" s="7" t="s">
        <v>3679</v>
      </c>
      <c r="J691" s="7" t="str">
        <f>VLOOKUP(Table2[[#This Row],[Author]],People!A:B,2,0)</f>
        <v>LS</v>
      </c>
      <c r="K691" s="7"/>
      <c r="L691" s="7"/>
      <c r="M691" s="16" t="s">
        <v>4132</v>
      </c>
    </row>
    <row r="692" spans="1:13" x14ac:dyDescent="0.25">
      <c r="A692" s="22">
        <f t="shared" si="10"/>
        <v>691</v>
      </c>
      <c r="B692" s="6" t="s">
        <v>2330</v>
      </c>
      <c r="C692" s="6" t="s">
        <v>4734</v>
      </c>
      <c r="D692" s="6" t="s">
        <v>4802</v>
      </c>
      <c r="E692" s="6" t="s">
        <v>4803</v>
      </c>
      <c r="F692" s="6" t="s">
        <v>4799</v>
      </c>
      <c r="G692" s="6" t="s">
        <v>18</v>
      </c>
      <c r="H692" s="6" t="str">
        <f>IFERROR(VLOOKUP(Table2[[#This Row],[Ticket]],Okey!A:B,2,0),"")</f>
        <v>ok</v>
      </c>
      <c r="I692" s="6" t="s">
        <v>3679</v>
      </c>
      <c r="J692" s="6" t="str">
        <f>VLOOKUP(Table2[[#This Row],[Author]],People!A:B,2,0)</f>
        <v>LS</v>
      </c>
      <c r="K692" s="6"/>
      <c r="L692" s="6"/>
      <c r="M692" s="21" t="s">
        <v>4132</v>
      </c>
    </row>
    <row r="693" spans="1:13" x14ac:dyDescent="0.25">
      <c r="A693" s="23">
        <f t="shared" si="10"/>
        <v>692</v>
      </c>
      <c r="B693" s="7" t="s">
        <v>2330</v>
      </c>
      <c r="C693" s="7" t="s">
        <v>4734</v>
      </c>
      <c r="D693" s="7" t="s">
        <v>4804</v>
      </c>
      <c r="E693" s="7"/>
      <c r="F693" s="7" t="s">
        <v>327</v>
      </c>
      <c r="G693" s="7" t="s">
        <v>328</v>
      </c>
      <c r="H693" s="7" t="str">
        <f>IFERROR(VLOOKUP(Table2[[#This Row],[Ticket]],Okey!A:B,2,0),"")</f>
        <v>ok</v>
      </c>
      <c r="I693" s="7" t="s">
        <v>3679</v>
      </c>
      <c r="J693" s="7" t="str">
        <f>VLOOKUP(Table2[[#This Row],[Author]],People!A:B,2,0)</f>
        <v>LS</v>
      </c>
      <c r="K693" s="7"/>
      <c r="L693" s="7"/>
      <c r="M693" s="16" t="s">
        <v>4132</v>
      </c>
    </row>
    <row r="694" spans="1:13" x14ac:dyDescent="0.25">
      <c r="A694" s="22">
        <f t="shared" si="10"/>
        <v>693</v>
      </c>
      <c r="B694" s="6" t="s">
        <v>2330</v>
      </c>
      <c r="C694" s="6" t="s">
        <v>4734</v>
      </c>
      <c r="D694" s="6" t="s">
        <v>4805</v>
      </c>
      <c r="E694" s="6"/>
      <c r="F694" s="6" t="s">
        <v>327</v>
      </c>
      <c r="G694" s="6" t="s">
        <v>328</v>
      </c>
      <c r="H694" s="6" t="str">
        <f>IFERROR(VLOOKUP(Table2[[#This Row],[Ticket]],Okey!A:B,2,0),"")</f>
        <v>ok</v>
      </c>
      <c r="I694" s="6" t="s">
        <v>3679</v>
      </c>
      <c r="J694" s="6" t="str">
        <f>VLOOKUP(Table2[[#This Row],[Author]],People!A:B,2,0)</f>
        <v>LS</v>
      </c>
      <c r="K694" s="6"/>
      <c r="L694" s="6"/>
      <c r="M694" s="21" t="s">
        <v>4132</v>
      </c>
    </row>
    <row r="695" spans="1:13" x14ac:dyDescent="0.25">
      <c r="A695" s="23">
        <f t="shared" si="10"/>
        <v>694</v>
      </c>
      <c r="B695" s="7" t="s">
        <v>2330</v>
      </c>
      <c r="C695" s="7" t="s">
        <v>4734</v>
      </c>
      <c r="D695" s="7" t="s">
        <v>4806</v>
      </c>
      <c r="E695" s="7"/>
      <c r="F695" s="7" t="s">
        <v>327</v>
      </c>
      <c r="G695" s="7" t="s">
        <v>328</v>
      </c>
      <c r="H695" s="7" t="str">
        <f>IFERROR(VLOOKUP(Table2[[#This Row],[Ticket]],Okey!A:B,2,0),"")</f>
        <v>ok</v>
      </c>
      <c r="I695" s="7" t="s">
        <v>3679</v>
      </c>
      <c r="J695" s="7" t="str">
        <f>VLOOKUP(Table2[[#This Row],[Author]],People!A:B,2,0)</f>
        <v>LS</v>
      </c>
      <c r="K695" s="7"/>
      <c r="L695" s="7"/>
      <c r="M695" s="16" t="s">
        <v>4132</v>
      </c>
    </row>
    <row r="696" spans="1:13" x14ac:dyDescent="0.25">
      <c r="A696" s="22">
        <f t="shared" si="10"/>
        <v>695</v>
      </c>
      <c r="B696" s="6" t="s">
        <v>2330</v>
      </c>
      <c r="C696" s="6" t="s">
        <v>4734</v>
      </c>
      <c r="D696" s="6" t="s">
        <v>4807</v>
      </c>
      <c r="E696" s="6"/>
      <c r="F696" s="6" t="s">
        <v>327</v>
      </c>
      <c r="G696" s="6" t="s">
        <v>328</v>
      </c>
      <c r="H696" s="6" t="str">
        <f>IFERROR(VLOOKUP(Table2[[#This Row],[Ticket]],Okey!A:B,2,0),"")</f>
        <v>ok</v>
      </c>
      <c r="I696" s="6" t="s">
        <v>3679</v>
      </c>
      <c r="J696" s="6" t="str">
        <f>VLOOKUP(Table2[[#This Row],[Author]],People!A:B,2,0)</f>
        <v>LS</v>
      </c>
      <c r="K696" s="6"/>
      <c r="L696" s="6"/>
      <c r="M696" s="21" t="s">
        <v>4132</v>
      </c>
    </row>
    <row r="697" spans="1:13" x14ac:dyDescent="0.25">
      <c r="A697" s="23">
        <f t="shared" si="10"/>
        <v>696</v>
      </c>
      <c r="B697" s="7" t="s">
        <v>2330</v>
      </c>
      <c r="C697" s="7" t="s">
        <v>4734</v>
      </c>
      <c r="D697" s="7" t="s">
        <v>4808</v>
      </c>
      <c r="E697" s="7"/>
      <c r="F697" s="7" t="s">
        <v>327</v>
      </c>
      <c r="G697" s="7" t="s">
        <v>328</v>
      </c>
      <c r="H697" s="7" t="str">
        <f>IFERROR(VLOOKUP(Table2[[#This Row],[Ticket]],Okey!A:B,2,0),"")</f>
        <v>ok</v>
      </c>
      <c r="I697" s="7" t="s">
        <v>3679</v>
      </c>
      <c r="J697" s="7" t="str">
        <f>VLOOKUP(Table2[[#This Row],[Author]],People!A:B,2,0)</f>
        <v>LS</v>
      </c>
      <c r="K697" s="7"/>
      <c r="L697" s="7"/>
      <c r="M697" s="16" t="s">
        <v>4132</v>
      </c>
    </row>
    <row r="698" spans="1:13" x14ac:dyDescent="0.25">
      <c r="A698" s="22">
        <f t="shared" si="10"/>
        <v>697</v>
      </c>
      <c r="B698" s="6" t="s">
        <v>2330</v>
      </c>
      <c r="C698" s="6" t="s">
        <v>4734</v>
      </c>
      <c r="D698" s="6" t="s">
        <v>4809</v>
      </c>
      <c r="E698" s="6"/>
      <c r="F698" s="6" t="s">
        <v>327</v>
      </c>
      <c r="G698" s="6" t="s">
        <v>328</v>
      </c>
      <c r="H698" s="6" t="str">
        <f>IFERROR(VLOOKUP(Table2[[#This Row],[Ticket]],Okey!A:B,2,0),"")</f>
        <v>ok</v>
      </c>
      <c r="I698" s="6" t="s">
        <v>3679</v>
      </c>
      <c r="J698" s="6" t="str">
        <f>VLOOKUP(Table2[[#This Row],[Author]],People!A:B,2,0)</f>
        <v>LS</v>
      </c>
      <c r="K698" s="6"/>
      <c r="L698" s="6"/>
      <c r="M698" s="21" t="s">
        <v>4132</v>
      </c>
    </row>
    <row r="699" spans="1:13" x14ac:dyDescent="0.25">
      <c r="A699" s="23">
        <f t="shared" si="10"/>
        <v>698</v>
      </c>
      <c r="B699" s="7" t="s">
        <v>2330</v>
      </c>
      <c r="C699" s="7" t="s">
        <v>4810</v>
      </c>
      <c r="D699" s="7" t="s">
        <v>4811</v>
      </c>
      <c r="E699" s="7" t="s">
        <v>4812</v>
      </c>
      <c r="F699" s="7" t="s">
        <v>4813</v>
      </c>
      <c r="G699" s="7" t="s">
        <v>18</v>
      </c>
      <c r="H699" s="7" t="str">
        <f>IFERROR(VLOOKUP(Table2[[#This Row],[Ticket]],Okey!A:B,2,0),"")</f>
        <v>ok</v>
      </c>
      <c r="I699" s="7" t="s">
        <v>3679</v>
      </c>
      <c r="J699" s="7" t="str">
        <f>VLOOKUP(Table2[[#This Row],[Author]],People!A:B,2,0)</f>
        <v>LS</v>
      </c>
      <c r="K699" s="7"/>
      <c r="L699" s="7"/>
      <c r="M699" s="16" t="s">
        <v>2804</v>
      </c>
    </row>
    <row r="700" spans="1:13" x14ac:dyDescent="0.25">
      <c r="A700" s="22">
        <f t="shared" si="10"/>
        <v>699</v>
      </c>
      <c r="B700" s="6" t="s">
        <v>2330</v>
      </c>
      <c r="C700" s="6" t="s">
        <v>4810</v>
      </c>
      <c r="D700" s="6" t="s">
        <v>4814</v>
      </c>
      <c r="E700" s="6" t="s">
        <v>4815</v>
      </c>
      <c r="F700" s="6" t="s">
        <v>4816</v>
      </c>
      <c r="G700" s="6" t="s">
        <v>18</v>
      </c>
      <c r="H700" s="6" t="str">
        <f>IFERROR(VLOOKUP(Table2[[#This Row],[Ticket]],Okey!A:B,2,0),"")</f>
        <v>ok</v>
      </c>
      <c r="I700" s="6" t="s">
        <v>3679</v>
      </c>
      <c r="J700" s="6" t="str">
        <f>VLOOKUP(Table2[[#This Row],[Author]],People!A:B,2,0)</f>
        <v>LS</v>
      </c>
      <c r="K700" s="6"/>
      <c r="L700" s="6"/>
      <c r="M700" s="21" t="s">
        <v>2804</v>
      </c>
    </row>
    <row r="701" spans="1:13" x14ac:dyDescent="0.25">
      <c r="A701" s="23">
        <f t="shared" si="10"/>
        <v>700</v>
      </c>
      <c r="B701" s="7" t="s">
        <v>2330</v>
      </c>
      <c r="C701" s="7" t="s">
        <v>4810</v>
      </c>
      <c r="D701" s="7" t="s">
        <v>4817</v>
      </c>
      <c r="E701" s="7" t="s">
        <v>4818</v>
      </c>
      <c r="F701" s="7" t="s">
        <v>4816</v>
      </c>
      <c r="G701" s="7" t="s">
        <v>18</v>
      </c>
      <c r="H701" s="7" t="str">
        <f>IFERROR(VLOOKUP(Table2[[#This Row],[Ticket]],Okey!A:B,2,0),"")</f>
        <v>ok</v>
      </c>
      <c r="I701" s="7" t="s">
        <v>3679</v>
      </c>
      <c r="J701" s="7" t="str">
        <f>VLOOKUP(Table2[[#This Row],[Author]],People!A:B,2,0)</f>
        <v>LS</v>
      </c>
      <c r="K701" s="7"/>
      <c r="L701" s="7"/>
      <c r="M701" s="16" t="s">
        <v>2804</v>
      </c>
    </row>
    <row r="702" spans="1:13" x14ac:dyDescent="0.25">
      <c r="A702" s="22">
        <f t="shared" si="10"/>
        <v>701</v>
      </c>
      <c r="B702" s="6" t="s">
        <v>2330</v>
      </c>
      <c r="C702" s="6" t="s">
        <v>4810</v>
      </c>
      <c r="D702" s="6" t="s">
        <v>4819</v>
      </c>
      <c r="E702" s="6" t="s">
        <v>4820</v>
      </c>
      <c r="F702" s="6" t="s">
        <v>2239</v>
      </c>
      <c r="G702" s="6" t="s">
        <v>18</v>
      </c>
      <c r="H702" s="6" t="str">
        <f>IFERROR(VLOOKUP(Table2[[#This Row],[Ticket]],Okey!A:B,2,0),"")</f>
        <v>ok</v>
      </c>
      <c r="I702" s="6" t="s">
        <v>3679</v>
      </c>
      <c r="J702" s="6" t="str">
        <f>VLOOKUP(Table2[[#This Row],[Author]],People!A:B,2,0)</f>
        <v>LS</v>
      </c>
      <c r="K702" s="6"/>
      <c r="L702" s="6"/>
      <c r="M702" s="21" t="s">
        <v>2804</v>
      </c>
    </row>
    <row r="703" spans="1:13" x14ac:dyDescent="0.25">
      <c r="A703" s="23">
        <f t="shared" si="10"/>
        <v>702</v>
      </c>
      <c r="B703" s="7" t="s">
        <v>2330</v>
      </c>
      <c r="C703" s="7" t="s">
        <v>4810</v>
      </c>
      <c r="D703" s="7" t="s">
        <v>4821</v>
      </c>
      <c r="E703" s="7" t="s">
        <v>4822</v>
      </c>
      <c r="F703" s="7" t="s">
        <v>4823</v>
      </c>
      <c r="G703" s="7" t="s">
        <v>18</v>
      </c>
      <c r="H703" s="7" t="str">
        <f>IFERROR(VLOOKUP(Table2[[#This Row],[Ticket]],Okey!A:B,2,0),"")</f>
        <v>ok</v>
      </c>
      <c r="I703" s="7" t="s">
        <v>3679</v>
      </c>
      <c r="J703" s="7" t="str">
        <f>VLOOKUP(Table2[[#This Row],[Author]],People!A:B,2,0)</f>
        <v>LS</v>
      </c>
      <c r="K703" s="7"/>
      <c r="L703" s="7"/>
      <c r="M703" s="16" t="s">
        <v>2804</v>
      </c>
    </row>
    <row r="704" spans="1:13" x14ac:dyDescent="0.25">
      <c r="A704" s="22">
        <f t="shared" si="10"/>
        <v>703</v>
      </c>
      <c r="B704" s="6" t="s">
        <v>2330</v>
      </c>
      <c r="C704" s="6" t="s">
        <v>4810</v>
      </c>
      <c r="D704" s="6" t="s">
        <v>4824</v>
      </c>
      <c r="E704" s="6" t="s">
        <v>4825</v>
      </c>
      <c r="F704" s="6"/>
      <c r="G704" s="6" t="s">
        <v>63</v>
      </c>
      <c r="H704" s="6" t="str">
        <f>IFERROR(VLOOKUP(Table2[[#This Row],[Ticket]],Okey!A:B,2,0),"")</f>
        <v>ok</v>
      </c>
      <c r="I704" s="6" t="s">
        <v>3679</v>
      </c>
      <c r="J704" s="6" t="str">
        <f>VLOOKUP(Table2[[#This Row],[Author]],People!A:B,2,0)</f>
        <v>LS</v>
      </c>
      <c r="K704" s="6"/>
      <c r="L704" s="6"/>
      <c r="M704" s="21" t="s">
        <v>2804</v>
      </c>
    </row>
    <row r="705" spans="1:13" x14ac:dyDescent="0.25">
      <c r="A705" s="23">
        <f t="shared" si="10"/>
        <v>704</v>
      </c>
      <c r="B705" s="7" t="s">
        <v>2330</v>
      </c>
      <c r="C705" s="7" t="s">
        <v>4810</v>
      </c>
      <c r="D705" s="7" t="s">
        <v>4826</v>
      </c>
      <c r="E705" s="7" t="s">
        <v>4827</v>
      </c>
      <c r="F705" s="7"/>
      <c r="G705" s="7" t="s">
        <v>63</v>
      </c>
      <c r="H705" s="7" t="str">
        <f>IFERROR(VLOOKUP(Table2[[#This Row],[Ticket]],Okey!A:B,2,0),"")</f>
        <v>ok</v>
      </c>
      <c r="I705" s="7" t="s">
        <v>3679</v>
      </c>
      <c r="J705" s="7" t="str">
        <f>VLOOKUP(Table2[[#This Row],[Author]],People!A:B,2,0)</f>
        <v>LS</v>
      </c>
      <c r="K705" s="7"/>
      <c r="L705" s="7"/>
      <c r="M705" s="16" t="s">
        <v>2804</v>
      </c>
    </row>
    <row r="706" spans="1:13" x14ac:dyDescent="0.25">
      <c r="A706" s="22">
        <f t="shared" si="10"/>
        <v>705</v>
      </c>
      <c r="B706" s="6" t="s">
        <v>2330</v>
      </c>
      <c r="C706" s="6" t="s">
        <v>4810</v>
      </c>
      <c r="D706" s="6" t="s">
        <v>4828</v>
      </c>
      <c r="E706" s="6" t="s">
        <v>4829</v>
      </c>
      <c r="F706" s="6"/>
      <c r="G706" s="6" t="s">
        <v>63</v>
      </c>
      <c r="H706" s="6" t="str">
        <f>IFERROR(VLOOKUP(Table2[[#This Row],[Ticket]],Okey!A:B,2,0),"")</f>
        <v>ok</v>
      </c>
      <c r="I706" s="6" t="s">
        <v>3679</v>
      </c>
      <c r="J706" s="6" t="str">
        <f>VLOOKUP(Table2[[#This Row],[Author]],People!A:B,2,0)</f>
        <v>LS</v>
      </c>
      <c r="K706" s="6"/>
      <c r="L706" s="6"/>
      <c r="M706" s="21" t="s">
        <v>2804</v>
      </c>
    </row>
    <row r="707" spans="1:13" x14ac:dyDescent="0.25">
      <c r="A707" s="23">
        <f t="shared" ref="A707:A770" si="11">1+A706</f>
        <v>706</v>
      </c>
      <c r="B707" s="7" t="s">
        <v>2330</v>
      </c>
      <c r="C707" s="7" t="s">
        <v>4810</v>
      </c>
      <c r="D707" s="7" t="s">
        <v>2203</v>
      </c>
      <c r="E707" s="7" t="s">
        <v>4830</v>
      </c>
      <c r="F707" s="7"/>
      <c r="G707" s="7" t="s">
        <v>63</v>
      </c>
      <c r="H707" s="7" t="str">
        <f>IFERROR(VLOOKUP(Table2[[#This Row],[Ticket]],Okey!A:B,2,0),"")</f>
        <v>ok</v>
      </c>
      <c r="I707" s="7" t="s">
        <v>3679</v>
      </c>
      <c r="J707" s="7" t="str">
        <f>VLOOKUP(Table2[[#This Row],[Author]],People!A:B,2,0)</f>
        <v>LS</v>
      </c>
      <c r="K707" s="7"/>
      <c r="L707" s="7"/>
      <c r="M707" s="16" t="s">
        <v>2804</v>
      </c>
    </row>
    <row r="708" spans="1:13" x14ac:dyDescent="0.25">
      <c r="A708" s="22">
        <f t="shared" si="11"/>
        <v>707</v>
      </c>
      <c r="B708" s="6" t="s">
        <v>2330</v>
      </c>
      <c r="C708" s="6" t="s">
        <v>4810</v>
      </c>
      <c r="D708" s="6" t="s">
        <v>4831</v>
      </c>
      <c r="E708" s="6" t="s">
        <v>4832</v>
      </c>
      <c r="F708" s="6"/>
      <c r="G708" s="6" t="s">
        <v>63</v>
      </c>
      <c r="H708" s="6" t="str">
        <f>IFERROR(VLOOKUP(Table2[[#This Row],[Ticket]],Okey!A:B,2,0),"")</f>
        <v>ok</v>
      </c>
      <c r="I708" s="6" t="s">
        <v>3679</v>
      </c>
      <c r="J708" s="6" t="str">
        <f>VLOOKUP(Table2[[#This Row],[Author]],People!A:B,2,0)</f>
        <v>LS</v>
      </c>
      <c r="K708" s="6"/>
      <c r="L708" s="6"/>
      <c r="M708" s="21" t="s">
        <v>2804</v>
      </c>
    </row>
    <row r="709" spans="1:13" x14ac:dyDescent="0.25">
      <c r="A709" s="23">
        <f t="shared" si="11"/>
        <v>708</v>
      </c>
      <c r="B709" s="7" t="s">
        <v>2330</v>
      </c>
      <c r="C709" s="7" t="s">
        <v>4810</v>
      </c>
      <c r="D709" s="7" t="s">
        <v>4833</v>
      </c>
      <c r="E709" s="7"/>
      <c r="F709" s="7" t="s">
        <v>4824</v>
      </c>
      <c r="G709" s="7" t="s">
        <v>24</v>
      </c>
      <c r="H709" s="7" t="str">
        <f>IFERROR(VLOOKUP(Table2[[#This Row],[Ticket]],Okey!A:B,2,0),"")</f>
        <v>ok</v>
      </c>
      <c r="I709" s="7" t="s">
        <v>3679</v>
      </c>
      <c r="J709" s="7" t="str">
        <f>VLOOKUP(Table2[[#This Row],[Author]],People!A:B,2,0)</f>
        <v>LS</v>
      </c>
      <c r="K709" s="7"/>
      <c r="L709" s="7"/>
      <c r="M709" s="16" t="s">
        <v>2804</v>
      </c>
    </row>
    <row r="710" spans="1:13" x14ac:dyDescent="0.25">
      <c r="A710" s="22">
        <f t="shared" si="11"/>
        <v>709</v>
      </c>
      <c r="B710" s="6" t="s">
        <v>2330</v>
      </c>
      <c r="C710" s="6" t="s">
        <v>4810</v>
      </c>
      <c r="D710" s="6" t="s">
        <v>4834</v>
      </c>
      <c r="E710" s="6"/>
      <c r="F710" s="6" t="s">
        <v>4824</v>
      </c>
      <c r="G710" s="6" t="s">
        <v>24</v>
      </c>
      <c r="H710" s="6" t="str">
        <f>IFERROR(VLOOKUP(Table2[[#This Row],[Ticket]],Okey!A:B,2,0),"")</f>
        <v>ok</v>
      </c>
      <c r="I710" s="6" t="s">
        <v>3679</v>
      </c>
      <c r="J710" s="6" t="str">
        <f>VLOOKUP(Table2[[#This Row],[Author]],People!A:B,2,0)</f>
        <v>LS</v>
      </c>
      <c r="K710" s="6"/>
      <c r="L710" s="6"/>
      <c r="M710" s="21" t="s">
        <v>2804</v>
      </c>
    </row>
    <row r="711" spans="1:13" x14ac:dyDescent="0.25">
      <c r="A711" s="23">
        <f t="shared" si="11"/>
        <v>710</v>
      </c>
      <c r="B711" s="7" t="s">
        <v>2330</v>
      </c>
      <c r="C711" s="7" t="s">
        <v>4810</v>
      </c>
      <c r="D711" s="7" t="s">
        <v>4835</v>
      </c>
      <c r="E711" s="7"/>
      <c r="F711" s="7" t="s">
        <v>4811</v>
      </c>
      <c r="G711" s="7" t="s">
        <v>24</v>
      </c>
      <c r="H711" s="7" t="str">
        <f>IFERROR(VLOOKUP(Table2[[#This Row],[Ticket]],Okey!A:B,2,0),"")</f>
        <v>ok</v>
      </c>
      <c r="I711" s="7" t="s">
        <v>3679</v>
      </c>
      <c r="J711" s="7" t="str">
        <f>VLOOKUP(Table2[[#This Row],[Author]],People!A:B,2,0)</f>
        <v>LS</v>
      </c>
      <c r="K711" s="7"/>
      <c r="L711" s="7"/>
      <c r="M711" s="16" t="s">
        <v>2804</v>
      </c>
    </row>
    <row r="712" spans="1:13" x14ac:dyDescent="0.25">
      <c r="A712" s="22">
        <f t="shared" si="11"/>
        <v>711</v>
      </c>
      <c r="B712" s="6" t="s">
        <v>2330</v>
      </c>
      <c r="C712" s="6" t="s">
        <v>4810</v>
      </c>
      <c r="D712" s="6" t="s">
        <v>4836</v>
      </c>
      <c r="E712" s="6"/>
      <c r="F712" s="6" t="s">
        <v>4811</v>
      </c>
      <c r="G712" s="6" t="s">
        <v>24</v>
      </c>
      <c r="H712" s="6" t="str">
        <f>IFERROR(VLOOKUP(Table2[[#This Row],[Ticket]],Okey!A:B,2,0),"")</f>
        <v>ok</v>
      </c>
      <c r="I712" s="6" t="s">
        <v>3679</v>
      </c>
      <c r="J712" s="6" t="str">
        <f>VLOOKUP(Table2[[#This Row],[Author]],People!A:B,2,0)</f>
        <v>LS</v>
      </c>
      <c r="K712" s="6"/>
      <c r="L712" s="6"/>
      <c r="M712" s="21" t="s">
        <v>2804</v>
      </c>
    </row>
    <row r="713" spans="1:13" x14ac:dyDescent="0.25">
      <c r="A713" s="23">
        <f t="shared" si="11"/>
        <v>712</v>
      </c>
      <c r="B713" s="7" t="s">
        <v>2330</v>
      </c>
      <c r="C713" s="7" t="s">
        <v>4810</v>
      </c>
      <c r="D713" s="7" t="s">
        <v>2295</v>
      </c>
      <c r="E713" s="7"/>
      <c r="F713" s="7" t="s">
        <v>4821</v>
      </c>
      <c r="G713" s="7" t="s">
        <v>24</v>
      </c>
      <c r="H713" s="7" t="str">
        <f>IFERROR(VLOOKUP(Table2[[#This Row],[Ticket]],Okey!A:B,2,0),"")</f>
        <v>ok</v>
      </c>
      <c r="I713" s="7" t="s">
        <v>3679</v>
      </c>
      <c r="J713" s="7" t="str">
        <f>VLOOKUP(Table2[[#This Row],[Author]],People!A:B,2,0)</f>
        <v>LS</v>
      </c>
      <c r="K713" s="7"/>
      <c r="L713" s="7"/>
      <c r="M713" s="16" t="s">
        <v>2804</v>
      </c>
    </row>
    <row r="714" spans="1:13" x14ac:dyDescent="0.25">
      <c r="A714" s="22">
        <f t="shared" si="11"/>
        <v>713</v>
      </c>
      <c r="B714" s="6" t="s">
        <v>2330</v>
      </c>
      <c r="C714" s="6" t="s">
        <v>4810</v>
      </c>
      <c r="D714" s="6" t="s">
        <v>4837</v>
      </c>
      <c r="E714" s="6"/>
      <c r="F714" s="6" t="s">
        <v>327</v>
      </c>
      <c r="G714" s="6" t="s">
        <v>328</v>
      </c>
      <c r="H714" s="6" t="str">
        <f>IFERROR(VLOOKUP(Table2[[#This Row],[Ticket]],Okey!A:B,2,0),"")</f>
        <v>ok</v>
      </c>
      <c r="I714" s="6" t="s">
        <v>3679</v>
      </c>
      <c r="J714" s="6" t="str">
        <f>VLOOKUP(Table2[[#This Row],[Author]],People!A:B,2,0)</f>
        <v>LS</v>
      </c>
      <c r="K714" s="6"/>
      <c r="L714" s="6"/>
      <c r="M714" s="21" t="s">
        <v>2804</v>
      </c>
    </row>
    <row r="715" spans="1:13" x14ac:dyDescent="0.25">
      <c r="A715" s="23">
        <f t="shared" si="11"/>
        <v>714</v>
      </c>
      <c r="B715" s="7" t="s">
        <v>2330</v>
      </c>
      <c r="C715" s="7" t="s">
        <v>4810</v>
      </c>
      <c r="D715" s="7" t="s">
        <v>4838</v>
      </c>
      <c r="E715" s="7"/>
      <c r="F715" s="7" t="s">
        <v>327</v>
      </c>
      <c r="G715" s="7" t="s">
        <v>328</v>
      </c>
      <c r="H715" s="7" t="str">
        <f>IFERROR(VLOOKUP(Table2[[#This Row],[Ticket]],Okey!A:B,2,0),"")</f>
        <v>ok</v>
      </c>
      <c r="I715" s="7" t="s">
        <v>3679</v>
      </c>
      <c r="J715" s="7" t="str">
        <f>VLOOKUP(Table2[[#This Row],[Author]],People!A:B,2,0)</f>
        <v>LS</v>
      </c>
      <c r="K715" s="7"/>
      <c r="L715" s="7"/>
      <c r="M715" s="16" t="s">
        <v>2804</v>
      </c>
    </row>
    <row r="716" spans="1:13" x14ac:dyDescent="0.25">
      <c r="A716" s="22">
        <f t="shared" si="11"/>
        <v>715</v>
      </c>
      <c r="B716" s="6" t="s">
        <v>2330</v>
      </c>
      <c r="C716" s="6" t="s">
        <v>4810</v>
      </c>
      <c r="D716" s="6" t="s">
        <v>4839</v>
      </c>
      <c r="E716" s="6"/>
      <c r="F716" s="6" t="s">
        <v>327</v>
      </c>
      <c r="G716" s="6" t="s">
        <v>328</v>
      </c>
      <c r="H716" s="6" t="str">
        <f>IFERROR(VLOOKUP(Table2[[#This Row],[Ticket]],Okey!A:B,2,0),"")</f>
        <v>ok</v>
      </c>
      <c r="I716" s="6" t="s">
        <v>3679</v>
      </c>
      <c r="J716" s="6" t="str">
        <f>VLOOKUP(Table2[[#This Row],[Author]],People!A:B,2,0)</f>
        <v>LS</v>
      </c>
      <c r="K716" s="6"/>
      <c r="L716" s="6"/>
      <c r="M716" s="21" t="s">
        <v>2804</v>
      </c>
    </row>
    <row r="717" spans="1:13" ht="60" x14ac:dyDescent="0.25">
      <c r="A717" s="23">
        <f t="shared" si="11"/>
        <v>716</v>
      </c>
      <c r="B717" s="7" t="s">
        <v>2330</v>
      </c>
      <c r="C717" s="7" t="s">
        <v>14</v>
      </c>
      <c r="D717" s="7" t="s">
        <v>4840</v>
      </c>
      <c r="E717" s="7" t="s">
        <v>4841</v>
      </c>
      <c r="F717" s="7" t="s">
        <v>4842</v>
      </c>
      <c r="G717" s="7" t="s">
        <v>18</v>
      </c>
      <c r="H717" s="7" t="str">
        <f>IFERROR(VLOOKUP(Table2[[#This Row],[Ticket]],Okey!A:B,2,0),"")</f>
        <v>ok</v>
      </c>
      <c r="I717" s="7" t="s">
        <v>3679</v>
      </c>
      <c r="J717" s="7" t="str">
        <f>VLOOKUP(Table2[[#This Row],[Author]],People!A:B,2,0)</f>
        <v>LS</v>
      </c>
      <c r="K717" s="7"/>
      <c r="L717" s="7"/>
      <c r="M717" s="27" t="s">
        <v>2329</v>
      </c>
    </row>
    <row r="718" spans="1:13" ht="60" x14ac:dyDescent="0.25">
      <c r="A718" s="22">
        <f t="shared" si="11"/>
        <v>717</v>
      </c>
      <c r="B718" s="6" t="s">
        <v>2330</v>
      </c>
      <c r="C718" s="6" t="s">
        <v>14</v>
      </c>
      <c r="D718" s="6" t="s">
        <v>4843</v>
      </c>
      <c r="E718" s="6" t="s">
        <v>4844</v>
      </c>
      <c r="F718" s="6" t="s">
        <v>4842</v>
      </c>
      <c r="G718" s="6" t="s">
        <v>18</v>
      </c>
      <c r="H718" s="6" t="str">
        <f>IFERROR(VLOOKUP(Table2[[#This Row],[Ticket]],Okey!A:B,2,0),"")</f>
        <v>ok</v>
      </c>
      <c r="I718" s="6" t="s">
        <v>3679</v>
      </c>
      <c r="J718" s="6" t="str">
        <f>VLOOKUP(Table2[[#This Row],[Author]],People!A:B,2,0)</f>
        <v>LS</v>
      </c>
      <c r="K718" s="6"/>
      <c r="L718" s="6"/>
      <c r="M718" s="28" t="s">
        <v>2329</v>
      </c>
    </row>
    <row r="719" spans="1:13" ht="60" x14ac:dyDescent="0.25">
      <c r="A719" s="23">
        <f t="shared" si="11"/>
        <v>718</v>
      </c>
      <c r="B719" s="7" t="s">
        <v>2330</v>
      </c>
      <c r="C719" s="7" t="s">
        <v>14</v>
      </c>
      <c r="D719" s="7" t="s">
        <v>4845</v>
      </c>
      <c r="E719" s="7" t="s">
        <v>4846</v>
      </c>
      <c r="F719" s="7" t="s">
        <v>4842</v>
      </c>
      <c r="G719" s="7" t="s">
        <v>18</v>
      </c>
      <c r="H719" s="7" t="str">
        <f>IFERROR(VLOOKUP(Table2[[#This Row],[Ticket]],Okey!A:B,2,0),"")</f>
        <v>ok</v>
      </c>
      <c r="I719" s="7" t="s">
        <v>3679</v>
      </c>
      <c r="J719" s="7" t="str">
        <f>VLOOKUP(Table2[[#This Row],[Author]],People!A:B,2,0)</f>
        <v>LS</v>
      </c>
      <c r="K719" s="7"/>
      <c r="L719" s="7"/>
      <c r="M719" s="27" t="s">
        <v>2329</v>
      </c>
    </row>
    <row r="720" spans="1:13" ht="60" x14ac:dyDescent="0.25">
      <c r="A720" s="22">
        <f t="shared" si="11"/>
        <v>719</v>
      </c>
      <c r="B720" s="6" t="s">
        <v>2330</v>
      </c>
      <c r="C720" s="6" t="s">
        <v>14</v>
      </c>
      <c r="D720" s="6" t="s">
        <v>4847</v>
      </c>
      <c r="E720" s="6" t="s">
        <v>4848</v>
      </c>
      <c r="F720" s="6" t="s">
        <v>4842</v>
      </c>
      <c r="G720" s="6" t="s">
        <v>18</v>
      </c>
      <c r="H720" s="6" t="str">
        <f>IFERROR(VLOOKUP(Table2[[#This Row],[Ticket]],Okey!A:B,2,0),"")</f>
        <v>ok</v>
      </c>
      <c r="I720" s="6" t="s">
        <v>3679</v>
      </c>
      <c r="J720" s="6" t="str">
        <f>VLOOKUP(Table2[[#This Row],[Author]],People!A:B,2,0)</f>
        <v>LS</v>
      </c>
      <c r="K720" s="6"/>
      <c r="L720" s="6"/>
      <c r="M720" s="28" t="s">
        <v>2329</v>
      </c>
    </row>
    <row r="721" spans="1:13" ht="60" x14ac:dyDescent="0.25">
      <c r="A721" s="23">
        <f t="shared" si="11"/>
        <v>720</v>
      </c>
      <c r="B721" s="7" t="s">
        <v>2330</v>
      </c>
      <c r="C721" s="7" t="s">
        <v>14</v>
      </c>
      <c r="D721" s="7" t="s">
        <v>4849</v>
      </c>
      <c r="E721" s="7" t="s">
        <v>4850</v>
      </c>
      <c r="F721" s="7" t="s">
        <v>4842</v>
      </c>
      <c r="G721" s="7" t="s">
        <v>18</v>
      </c>
      <c r="H721" s="7" t="str">
        <f>IFERROR(VLOOKUP(Table2[[#This Row],[Ticket]],Okey!A:B,2,0),"")</f>
        <v>ok</v>
      </c>
      <c r="I721" s="7" t="s">
        <v>3679</v>
      </c>
      <c r="J721" s="7" t="str">
        <f>VLOOKUP(Table2[[#This Row],[Author]],People!A:B,2,0)</f>
        <v>LS</v>
      </c>
      <c r="K721" s="7"/>
      <c r="L721" s="7"/>
      <c r="M721" s="27" t="s">
        <v>2329</v>
      </c>
    </row>
    <row r="722" spans="1:13" x14ac:dyDescent="0.25">
      <c r="A722" s="22">
        <f t="shared" si="11"/>
        <v>721</v>
      </c>
      <c r="B722" s="6" t="s">
        <v>4851</v>
      </c>
      <c r="C722" s="6" t="s">
        <v>4852</v>
      </c>
      <c r="D722" s="6" t="s">
        <v>504</v>
      </c>
      <c r="E722" s="6" t="s">
        <v>4853</v>
      </c>
      <c r="F722" s="6" t="s">
        <v>3758</v>
      </c>
      <c r="G722" s="6" t="s">
        <v>18</v>
      </c>
      <c r="H722" s="6" t="str">
        <f>IFERROR(VLOOKUP(Table2[[#This Row],[Ticket]],Okey!A:B,2,0),"")</f>
        <v>ok</v>
      </c>
      <c r="I722" s="6" t="s">
        <v>3679</v>
      </c>
      <c r="J722" s="6" t="str">
        <f>VLOOKUP(Table2[[#This Row],[Author]],People!A:B,2,0)</f>
        <v>LS</v>
      </c>
      <c r="K722" s="6"/>
      <c r="L722" s="6"/>
      <c r="M722" s="21" t="s">
        <v>25</v>
      </c>
    </row>
    <row r="723" spans="1:13" x14ac:dyDescent="0.25">
      <c r="A723" s="23">
        <f t="shared" si="11"/>
        <v>722</v>
      </c>
      <c r="B723" s="7" t="s">
        <v>4851</v>
      </c>
      <c r="C723" s="7" t="s">
        <v>4854</v>
      </c>
      <c r="D723" s="7" t="s">
        <v>4855</v>
      </c>
      <c r="E723" s="7" t="s">
        <v>4856</v>
      </c>
      <c r="F723" s="7"/>
      <c r="G723" s="7" t="s">
        <v>63</v>
      </c>
      <c r="H723" s="7" t="str">
        <f>IFERROR(VLOOKUP(Table2[[#This Row],[Ticket]],Okey!A:B,2,0),"")</f>
        <v>ok</v>
      </c>
      <c r="I723" s="7" t="s">
        <v>3679</v>
      </c>
      <c r="J723" s="7" t="str">
        <f>VLOOKUP(Table2[[#This Row],[Author]],People!A:B,2,0)</f>
        <v>LS</v>
      </c>
      <c r="K723" s="7"/>
      <c r="L723" s="7"/>
      <c r="M723" s="16" t="s">
        <v>3967</v>
      </c>
    </row>
    <row r="724" spans="1:13" x14ac:dyDescent="0.25">
      <c r="A724" s="22">
        <f t="shared" si="11"/>
        <v>723</v>
      </c>
      <c r="B724" s="6" t="s">
        <v>4851</v>
      </c>
      <c r="C724" s="6" t="s">
        <v>4854</v>
      </c>
      <c r="D724" s="6" t="s">
        <v>4857</v>
      </c>
      <c r="E724" s="6" t="s">
        <v>4858</v>
      </c>
      <c r="F724" s="6"/>
      <c r="G724" s="6" t="s">
        <v>63</v>
      </c>
      <c r="H724" s="6" t="str">
        <f>IFERROR(VLOOKUP(Table2[[#This Row],[Ticket]],Okey!A:B,2,0),"")</f>
        <v>ok</v>
      </c>
      <c r="I724" s="6" t="s">
        <v>3679</v>
      </c>
      <c r="J724" s="6" t="str">
        <f>VLOOKUP(Table2[[#This Row],[Author]],People!A:B,2,0)</f>
        <v>LS</v>
      </c>
      <c r="K724" s="6"/>
      <c r="L724" s="6"/>
      <c r="M724" s="21" t="s">
        <v>3967</v>
      </c>
    </row>
    <row r="725" spans="1:13" x14ac:dyDescent="0.25">
      <c r="A725" s="23">
        <f t="shared" si="11"/>
        <v>724</v>
      </c>
      <c r="B725" s="7" t="s">
        <v>4851</v>
      </c>
      <c r="C725" s="7" t="s">
        <v>4854</v>
      </c>
      <c r="D725" s="7" t="s">
        <v>4859</v>
      </c>
      <c r="E725" s="7" t="s">
        <v>4860</v>
      </c>
      <c r="F725" s="7"/>
      <c r="G725" s="7" t="s">
        <v>63</v>
      </c>
      <c r="H725" s="7" t="str">
        <f>IFERROR(VLOOKUP(Table2[[#This Row],[Ticket]],Okey!A:B,2,0),"")</f>
        <v>ok</v>
      </c>
      <c r="I725" s="7" t="s">
        <v>3679</v>
      </c>
      <c r="J725" s="7" t="str">
        <f>VLOOKUP(Table2[[#This Row],[Author]],People!A:B,2,0)</f>
        <v>LS</v>
      </c>
      <c r="K725" s="7"/>
      <c r="L725" s="7"/>
      <c r="M725" s="16" t="s">
        <v>3967</v>
      </c>
    </row>
    <row r="726" spans="1:13" x14ac:dyDescent="0.25">
      <c r="A726" s="22">
        <f t="shared" si="11"/>
        <v>725</v>
      </c>
      <c r="B726" s="6" t="s">
        <v>4851</v>
      </c>
      <c r="C726" s="6" t="s">
        <v>4854</v>
      </c>
      <c r="D726" s="6" t="s">
        <v>4861</v>
      </c>
      <c r="E726" s="6" t="s">
        <v>4862</v>
      </c>
      <c r="F726" s="6"/>
      <c r="G726" s="6" t="s">
        <v>63</v>
      </c>
      <c r="H726" s="6" t="str">
        <f>IFERROR(VLOOKUP(Table2[[#This Row],[Ticket]],Okey!A:B,2,0),"")</f>
        <v>ok</v>
      </c>
      <c r="I726" s="6" t="s">
        <v>3679</v>
      </c>
      <c r="J726" s="6" t="str">
        <f>VLOOKUP(Table2[[#This Row],[Author]],People!A:B,2,0)</f>
        <v>LS</v>
      </c>
      <c r="K726" s="6"/>
      <c r="L726" s="6"/>
      <c r="M726" s="21" t="s">
        <v>3967</v>
      </c>
    </row>
    <row r="727" spans="1:13" x14ac:dyDescent="0.25">
      <c r="A727" s="23">
        <f t="shared" si="11"/>
        <v>726</v>
      </c>
      <c r="B727" s="7" t="s">
        <v>4851</v>
      </c>
      <c r="C727" s="7" t="s">
        <v>4854</v>
      </c>
      <c r="D727" s="7" t="s">
        <v>4863</v>
      </c>
      <c r="E727" s="7" t="s">
        <v>4864</v>
      </c>
      <c r="F727" s="7"/>
      <c r="G727" s="7" t="s">
        <v>63</v>
      </c>
      <c r="H727" s="7" t="str">
        <f>IFERROR(VLOOKUP(Table2[[#This Row],[Ticket]],Okey!A:B,2,0),"")</f>
        <v>ok</v>
      </c>
      <c r="I727" s="7" t="s">
        <v>3679</v>
      </c>
      <c r="J727" s="7" t="str">
        <f>VLOOKUP(Table2[[#This Row],[Author]],People!A:B,2,0)</f>
        <v>LS</v>
      </c>
      <c r="K727" s="7"/>
      <c r="L727" s="7"/>
      <c r="M727" s="16" t="s">
        <v>3967</v>
      </c>
    </row>
    <row r="728" spans="1:13" x14ac:dyDescent="0.25">
      <c r="A728" s="22">
        <f t="shared" si="11"/>
        <v>727</v>
      </c>
      <c r="B728" s="6" t="s">
        <v>4851</v>
      </c>
      <c r="C728" s="6" t="s">
        <v>4854</v>
      </c>
      <c r="D728" s="6" t="s">
        <v>4857</v>
      </c>
      <c r="E728" s="6" t="s">
        <v>4858</v>
      </c>
      <c r="F728" s="6"/>
      <c r="G728" s="6" t="s">
        <v>63</v>
      </c>
      <c r="H728" s="6" t="str">
        <f>IFERROR(VLOOKUP(Table2[[#This Row],[Ticket]],Okey!A:B,2,0),"")</f>
        <v>ok</v>
      </c>
      <c r="I728" s="6" t="s">
        <v>3679</v>
      </c>
      <c r="J728" s="6" t="str">
        <f>VLOOKUP(Table2[[#This Row],[Author]],People!A:B,2,0)</f>
        <v>LS</v>
      </c>
      <c r="K728" s="6"/>
      <c r="L728" s="6"/>
      <c r="M728" s="21" t="s">
        <v>3967</v>
      </c>
    </row>
    <row r="729" spans="1:13" x14ac:dyDescent="0.25">
      <c r="A729" s="23">
        <f t="shared" si="11"/>
        <v>728</v>
      </c>
      <c r="B729" s="7" t="s">
        <v>4851</v>
      </c>
      <c r="C729" s="7" t="s">
        <v>4854</v>
      </c>
      <c r="D729" s="7" t="s">
        <v>4865</v>
      </c>
      <c r="E729" s="7" t="s">
        <v>4866</v>
      </c>
      <c r="F729" s="7" t="s">
        <v>4867</v>
      </c>
      <c r="G729" s="7" t="s">
        <v>24</v>
      </c>
      <c r="H729" s="7" t="str">
        <f>IFERROR(VLOOKUP(Table2[[#This Row],[Ticket]],Okey!A:B,2,0),"")</f>
        <v>ok</v>
      </c>
      <c r="I729" s="7" t="s">
        <v>3679</v>
      </c>
      <c r="J729" s="7" t="str">
        <f>VLOOKUP(Table2[[#This Row],[Author]],People!A:B,2,0)</f>
        <v>LS</v>
      </c>
      <c r="K729" s="7"/>
      <c r="L729" s="7"/>
      <c r="M729" s="16" t="s">
        <v>3967</v>
      </c>
    </row>
    <row r="730" spans="1:13" x14ac:dyDescent="0.25">
      <c r="A730" s="22">
        <f t="shared" si="11"/>
        <v>729</v>
      </c>
      <c r="B730" s="6" t="s">
        <v>4851</v>
      </c>
      <c r="C730" s="6" t="s">
        <v>4854</v>
      </c>
      <c r="D730" s="6" t="s">
        <v>4868</v>
      </c>
      <c r="E730" s="6" t="s">
        <v>4869</v>
      </c>
      <c r="F730" s="6" t="s">
        <v>4867</v>
      </c>
      <c r="G730" s="6" t="s">
        <v>24</v>
      </c>
      <c r="H730" s="6" t="str">
        <f>IFERROR(VLOOKUP(Table2[[#This Row],[Ticket]],Okey!A:B,2,0),"")</f>
        <v>ok</v>
      </c>
      <c r="I730" s="6" t="s">
        <v>3679</v>
      </c>
      <c r="J730" s="6" t="str">
        <f>VLOOKUP(Table2[[#This Row],[Author]],People!A:B,2,0)</f>
        <v>LS</v>
      </c>
      <c r="K730" s="6"/>
      <c r="L730" s="6"/>
      <c r="M730" s="21" t="s">
        <v>3967</v>
      </c>
    </row>
    <row r="731" spans="1:13" x14ac:dyDescent="0.25">
      <c r="A731" s="23">
        <f t="shared" si="11"/>
        <v>730</v>
      </c>
      <c r="B731" s="7" t="s">
        <v>4851</v>
      </c>
      <c r="C731" s="7" t="s">
        <v>4854</v>
      </c>
      <c r="D731" s="7" t="s">
        <v>4870</v>
      </c>
      <c r="E731" s="7"/>
      <c r="F731" s="7"/>
      <c r="G731" s="7" t="s">
        <v>328</v>
      </c>
      <c r="H731" s="7" t="str">
        <f>IFERROR(VLOOKUP(Table2[[#This Row],[Ticket]],Okey!A:B,2,0),"")</f>
        <v>ok</v>
      </c>
      <c r="I731" s="7" t="s">
        <v>3679</v>
      </c>
      <c r="J731" s="7" t="str">
        <f>VLOOKUP(Table2[[#This Row],[Author]],People!A:B,2,0)</f>
        <v>LS</v>
      </c>
      <c r="K731" s="7"/>
      <c r="L731" s="7"/>
      <c r="M731" s="16" t="s">
        <v>3967</v>
      </c>
    </row>
    <row r="732" spans="1:13" x14ac:dyDescent="0.25">
      <c r="A732" s="22">
        <f t="shared" si="11"/>
        <v>731</v>
      </c>
      <c r="B732" s="6" t="s">
        <v>4851</v>
      </c>
      <c r="C732" s="6" t="s">
        <v>4871</v>
      </c>
      <c r="D732" s="6" t="s">
        <v>545</v>
      </c>
      <c r="E732" s="6"/>
      <c r="F732" s="6" t="s">
        <v>4584</v>
      </c>
      <c r="G732" s="6" t="s">
        <v>24</v>
      </c>
      <c r="H732" s="6" t="str">
        <f>IFERROR(VLOOKUP(Table2[[#This Row],[Ticket]],Okey!A:B,2,0),"")</f>
        <v>ok</v>
      </c>
      <c r="I732" s="6" t="s">
        <v>3679</v>
      </c>
      <c r="J732" s="6" t="str">
        <f>VLOOKUP(Table2[[#This Row],[Author]],People!A:B,2,0)</f>
        <v>LS</v>
      </c>
      <c r="K732" s="6"/>
      <c r="L732" s="6"/>
      <c r="M732" s="21" t="s">
        <v>1040</v>
      </c>
    </row>
    <row r="733" spans="1:13" x14ac:dyDescent="0.25">
      <c r="A733" s="23">
        <f t="shared" si="11"/>
        <v>732</v>
      </c>
      <c r="B733" s="7" t="s">
        <v>4851</v>
      </c>
      <c r="C733" s="7" t="s">
        <v>4871</v>
      </c>
      <c r="D733" s="7" t="s">
        <v>4872</v>
      </c>
      <c r="E733" s="7"/>
      <c r="F733" s="7" t="s">
        <v>4584</v>
      </c>
      <c r="G733" s="7" t="s">
        <v>24</v>
      </c>
      <c r="H733" s="7" t="str">
        <f>IFERROR(VLOOKUP(Table2[[#This Row],[Ticket]],Okey!A:B,2,0),"")</f>
        <v>ok</v>
      </c>
      <c r="I733" s="7" t="s">
        <v>3679</v>
      </c>
      <c r="J733" s="7" t="str">
        <f>VLOOKUP(Table2[[#This Row],[Author]],People!A:B,2,0)</f>
        <v>LS</v>
      </c>
      <c r="K733" s="7"/>
      <c r="L733" s="7"/>
      <c r="M733" s="16" t="s">
        <v>1040</v>
      </c>
    </row>
    <row r="734" spans="1:13" x14ac:dyDescent="0.25">
      <c r="A734" s="22">
        <f t="shared" si="11"/>
        <v>733</v>
      </c>
      <c r="B734" s="6" t="s">
        <v>4851</v>
      </c>
      <c r="C734" s="6" t="s">
        <v>4871</v>
      </c>
      <c r="D734" s="6" t="s">
        <v>4873</v>
      </c>
      <c r="E734" s="6"/>
      <c r="F734" s="6" t="s">
        <v>4584</v>
      </c>
      <c r="G734" s="6" t="s">
        <v>24</v>
      </c>
      <c r="H734" s="6" t="str">
        <f>IFERROR(VLOOKUP(Table2[[#This Row],[Ticket]],Okey!A:B,2,0),"")</f>
        <v>ok</v>
      </c>
      <c r="I734" s="6" t="s">
        <v>3679</v>
      </c>
      <c r="J734" s="6" t="str">
        <f>VLOOKUP(Table2[[#This Row],[Author]],People!A:B,2,0)</f>
        <v>LS</v>
      </c>
      <c r="K734" s="6"/>
      <c r="L734" s="6"/>
      <c r="M734" s="21" t="s">
        <v>1040</v>
      </c>
    </row>
    <row r="735" spans="1:13" x14ac:dyDescent="0.25">
      <c r="A735" s="23">
        <f t="shared" si="11"/>
        <v>734</v>
      </c>
      <c r="B735" s="7" t="s">
        <v>4851</v>
      </c>
      <c r="C735" s="7" t="s">
        <v>4871</v>
      </c>
      <c r="D735" s="7" t="s">
        <v>4874</v>
      </c>
      <c r="E735" s="7"/>
      <c r="F735" s="7" t="s">
        <v>4576</v>
      </c>
      <c r="G735" s="7" t="s">
        <v>24</v>
      </c>
      <c r="H735" s="7" t="str">
        <f>IFERROR(VLOOKUP(Table2[[#This Row],[Ticket]],Okey!A:B,2,0),"")</f>
        <v>ok</v>
      </c>
      <c r="I735" s="7" t="s">
        <v>3679</v>
      </c>
      <c r="J735" s="7" t="str">
        <f>VLOOKUP(Table2[[#This Row],[Author]],People!A:B,2,0)</f>
        <v>LS</v>
      </c>
      <c r="K735" s="7"/>
      <c r="L735" s="7"/>
      <c r="M735" s="16" t="s">
        <v>1040</v>
      </c>
    </row>
    <row r="736" spans="1:13" x14ac:dyDescent="0.25">
      <c r="A736" s="22">
        <f t="shared" si="11"/>
        <v>735</v>
      </c>
      <c r="B736" s="6" t="s">
        <v>4851</v>
      </c>
      <c r="C736" s="6" t="s">
        <v>4871</v>
      </c>
      <c r="D736" s="6" t="s">
        <v>4875</v>
      </c>
      <c r="E736" s="6"/>
      <c r="F736" s="6" t="s">
        <v>634</v>
      </c>
      <c r="G736" s="6" t="s">
        <v>24</v>
      </c>
      <c r="H736" s="6" t="str">
        <f>IFERROR(VLOOKUP(Table2[[#This Row],[Ticket]],Okey!A:B,2,0),"")</f>
        <v>ok</v>
      </c>
      <c r="I736" s="6" t="s">
        <v>3679</v>
      </c>
      <c r="J736" s="6" t="str">
        <f>VLOOKUP(Table2[[#This Row],[Author]],People!A:B,2,0)</f>
        <v>LS</v>
      </c>
      <c r="K736" s="6"/>
      <c r="L736" s="6"/>
      <c r="M736" s="21" t="s">
        <v>1040</v>
      </c>
    </row>
    <row r="737" spans="1:13" x14ac:dyDescent="0.25">
      <c r="A737" s="23">
        <f t="shared" si="11"/>
        <v>736</v>
      </c>
      <c r="B737" s="7" t="s">
        <v>4851</v>
      </c>
      <c r="C737" s="7" t="s">
        <v>4871</v>
      </c>
      <c r="D737" s="7" t="s">
        <v>4876</v>
      </c>
      <c r="E737" s="7"/>
      <c r="F737" s="7" t="s">
        <v>4576</v>
      </c>
      <c r="G737" s="7" t="s">
        <v>24</v>
      </c>
      <c r="H737" s="7" t="str">
        <f>IFERROR(VLOOKUP(Table2[[#This Row],[Ticket]],Okey!A:B,2,0),"")</f>
        <v>ok</v>
      </c>
      <c r="I737" s="7" t="s">
        <v>3679</v>
      </c>
      <c r="J737" s="7" t="str">
        <f>VLOOKUP(Table2[[#This Row],[Author]],People!A:B,2,0)</f>
        <v>LS</v>
      </c>
      <c r="K737" s="7"/>
      <c r="L737" s="7"/>
      <c r="M737" s="16" t="s">
        <v>1040</v>
      </c>
    </row>
    <row r="738" spans="1:13" x14ac:dyDescent="0.25">
      <c r="A738" s="22">
        <f t="shared" si="11"/>
        <v>737</v>
      </c>
      <c r="B738" s="6" t="s">
        <v>4851</v>
      </c>
      <c r="C738" s="6" t="s">
        <v>4871</v>
      </c>
      <c r="D738" s="6" t="s">
        <v>4877</v>
      </c>
      <c r="E738" s="6"/>
      <c r="F738" s="6" t="s">
        <v>634</v>
      </c>
      <c r="G738" s="6" t="s">
        <v>24</v>
      </c>
      <c r="H738" s="6" t="str">
        <f>IFERROR(VLOOKUP(Table2[[#This Row],[Ticket]],Okey!A:B,2,0),"")</f>
        <v>ok</v>
      </c>
      <c r="I738" s="6" t="s">
        <v>3679</v>
      </c>
      <c r="J738" s="6" t="str">
        <f>VLOOKUP(Table2[[#This Row],[Author]],People!A:B,2,0)</f>
        <v>LS</v>
      </c>
      <c r="K738" s="6"/>
      <c r="L738" s="6"/>
      <c r="M738" s="21" t="s">
        <v>1040</v>
      </c>
    </row>
    <row r="739" spans="1:13" x14ac:dyDescent="0.25">
      <c r="A739" s="23">
        <f t="shared" si="11"/>
        <v>738</v>
      </c>
      <c r="B739" s="7" t="s">
        <v>4851</v>
      </c>
      <c r="C739" s="7" t="s">
        <v>4871</v>
      </c>
      <c r="D739" s="7" t="s">
        <v>4878</v>
      </c>
      <c r="E739" s="7"/>
      <c r="F739" s="7" t="s">
        <v>4584</v>
      </c>
      <c r="G739" s="7" t="s">
        <v>24</v>
      </c>
      <c r="H739" s="7" t="str">
        <f>IFERROR(VLOOKUP(Table2[[#This Row],[Ticket]],Okey!A:B,2,0),"")</f>
        <v>ok</v>
      </c>
      <c r="I739" s="7" t="s">
        <v>3679</v>
      </c>
      <c r="J739" s="7" t="str">
        <f>VLOOKUP(Table2[[#This Row],[Author]],People!A:B,2,0)</f>
        <v>LS</v>
      </c>
      <c r="K739" s="7"/>
      <c r="L739" s="7"/>
      <c r="M739" s="16" t="s">
        <v>1040</v>
      </c>
    </row>
    <row r="740" spans="1:13" x14ac:dyDescent="0.25">
      <c r="A740" s="22">
        <f t="shared" si="11"/>
        <v>739</v>
      </c>
      <c r="B740" s="6" t="s">
        <v>4851</v>
      </c>
      <c r="C740" s="6" t="s">
        <v>4871</v>
      </c>
      <c r="D740" s="6" t="s">
        <v>4879</v>
      </c>
      <c r="E740" s="6"/>
      <c r="F740" s="6" t="s">
        <v>634</v>
      </c>
      <c r="G740" s="6" t="s">
        <v>24</v>
      </c>
      <c r="H740" s="6" t="str">
        <f>IFERROR(VLOOKUP(Table2[[#This Row],[Ticket]],Okey!A:B,2,0),"")</f>
        <v>ok</v>
      </c>
      <c r="I740" s="6" t="s">
        <v>3679</v>
      </c>
      <c r="J740" s="6" t="str">
        <f>VLOOKUP(Table2[[#This Row],[Author]],People!A:B,2,0)</f>
        <v>LS</v>
      </c>
      <c r="K740" s="6"/>
      <c r="L740" s="6"/>
      <c r="M740" s="21" t="s">
        <v>1040</v>
      </c>
    </row>
    <row r="741" spans="1:13" x14ac:dyDescent="0.25">
      <c r="A741" s="23">
        <f t="shared" si="11"/>
        <v>740</v>
      </c>
      <c r="B741" s="7" t="s">
        <v>4851</v>
      </c>
      <c r="C741" s="7" t="s">
        <v>4871</v>
      </c>
      <c r="D741" s="7" t="s">
        <v>4880</v>
      </c>
      <c r="E741" s="7"/>
      <c r="F741" s="7" t="s">
        <v>4584</v>
      </c>
      <c r="G741" s="7" t="s">
        <v>24</v>
      </c>
      <c r="H741" s="7" t="str">
        <f>IFERROR(VLOOKUP(Table2[[#This Row],[Ticket]],Okey!A:B,2,0),"")</f>
        <v>ok</v>
      </c>
      <c r="I741" s="7" t="s">
        <v>3679</v>
      </c>
      <c r="J741" s="7" t="str">
        <f>VLOOKUP(Table2[[#This Row],[Author]],People!A:B,2,0)</f>
        <v>LS</v>
      </c>
      <c r="K741" s="7"/>
      <c r="L741" s="7"/>
      <c r="M741" s="16" t="s">
        <v>1040</v>
      </c>
    </row>
    <row r="742" spans="1:13" x14ac:dyDescent="0.25">
      <c r="A742" s="22">
        <f t="shared" si="11"/>
        <v>741</v>
      </c>
      <c r="B742" s="6" t="s">
        <v>4851</v>
      </c>
      <c r="C742" s="6" t="s">
        <v>4881</v>
      </c>
      <c r="D742" s="6" t="s">
        <v>256</v>
      </c>
      <c r="E742" s="6" t="s">
        <v>4882</v>
      </c>
      <c r="F742" s="6" t="s">
        <v>246</v>
      </c>
      <c r="G742" s="6" t="s">
        <v>18</v>
      </c>
      <c r="H742" s="6" t="str">
        <f>IFERROR(VLOOKUP(Table2[[#This Row],[Ticket]],Okey!A:B,2,0),"")</f>
        <v>ok</v>
      </c>
      <c r="I742" s="6" t="s">
        <v>3679</v>
      </c>
      <c r="J742" s="6" t="str">
        <f>VLOOKUP(Table2[[#This Row],[Author]],People!A:B,2,0)</f>
        <v>LS</v>
      </c>
      <c r="K742" s="6"/>
      <c r="L742" s="6"/>
      <c r="M742" s="21" t="s">
        <v>40</v>
      </c>
    </row>
    <row r="743" spans="1:13" x14ac:dyDescent="0.25">
      <c r="A743" s="23">
        <f t="shared" si="11"/>
        <v>742</v>
      </c>
      <c r="B743" s="7" t="s">
        <v>4851</v>
      </c>
      <c r="C743" s="7" t="s">
        <v>4881</v>
      </c>
      <c r="D743" s="7" t="s">
        <v>86</v>
      </c>
      <c r="E743" s="7"/>
      <c r="F743" s="7" t="s">
        <v>256</v>
      </c>
      <c r="G743" s="7" t="s">
        <v>18</v>
      </c>
      <c r="H743" s="7" t="str">
        <f>IFERROR(VLOOKUP(Table2[[#This Row],[Ticket]],Okey!A:B,2,0),"")</f>
        <v>ok</v>
      </c>
      <c r="I743" s="7" t="s">
        <v>3679</v>
      </c>
      <c r="J743" s="7" t="str">
        <f>VLOOKUP(Table2[[#This Row],[Author]],People!A:B,2,0)</f>
        <v>LS</v>
      </c>
      <c r="K743" s="7"/>
      <c r="L743" s="7"/>
      <c r="M743" s="16" t="s">
        <v>40</v>
      </c>
    </row>
    <row r="744" spans="1:13" x14ac:dyDescent="0.25">
      <c r="A744" s="22">
        <f t="shared" si="11"/>
        <v>743</v>
      </c>
      <c r="B744" s="6" t="s">
        <v>4851</v>
      </c>
      <c r="C744" s="6" t="s">
        <v>4883</v>
      </c>
      <c r="D744" s="6" t="s">
        <v>4733</v>
      </c>
      <c r="E744" s="6"/>
      <c r="F744" s="6"/>
      <c r="G744" s="6" t="s">
        <v>328</v>
      </c>
      <c r="H744" s="6" t="str">
        <f>IFERROR(VLOOKUP(Table2[[#This Row],[Ticket]],Okey!A:B,2,0),"")</f>
        <v>ok</v>
      </c>
      <c r="I744" s="6" t="s">
        <v>3679</v>
      </c>
      <c r="J744" s="6" t="str">
        <f>VLOOKUP(Table2[[#This Row],[Author]],People!A:B,2,0)</f>
        <v>LS</v>
      </c>
      <c r="K744" s="6"/>
      <c r="L744" s="6"/>
      <c r="M744" s="21" t="s">
        <v>40</v>
      </c>
    </row>
    <row r="745" spans="1:13" x14ac:dyDescent="0.25">
      <c r="A745" s="23">
        <f t="shared" si="11"/>
        <v>744</v>
      </c>
      <c r="B745" s="7" t="s">
        <v>4851</v>
      </c>
      <c r="C745" s="29" t="s">
        <v>4884</v>
      </c>
      <c r="D745" s="7" t="s">
        <v>4885</v>
      </c>
      <c r="E745" s="7" t="s">
        <v>4886</v>
      </c>
      <c r="F745" s="7" t="s">
        <v>2372</v>
      </c>
      <c r="G745" s="7" t="s">
        <v>18</v>
      </c>
      <c r="H745" s="7" t="str">
        <f>IFERROR(VLOOKUP(Table2[[#This Row],[Ticket]],Okey!A:B,2,0),"")</f>
        <v>ok</v>
      </c>
      <c r="I745" s="7" t="s">
        <v>3679</v>
      </c>
      <c r="J745" s="7" t="str">
        <f>VLOOKUP(Table2[[#This Row],[Author]],People!A:B,2,0)</f>
        <v>LS</v>
      </c>
      <c r="K745" s="7"/>
      <c r="L745" s="7"/>
      <c r="M745" s="16" t="s">
        <v>4887</v>
      </c>
    </row>
    <row r="746" spans="1:13" x14ac:dyDescent="0.25">
      <c r="A746" s="22">
        <f t="shared" si="11"/>
        <v>745</v>
      </c>
      <c r="B746" s="6" t="s">
        <v>4851</v>
      </c>
      <c r="C746" s="30" t="s">
        <v>4884</v>
      </c>
      <c r="D746" s="6" t="s">
        <v>4888</v>
      </c>
      <c r="E746" s="6" t="s">
        <v>2375</v>
      </c>
      <c r="F746" s="6" t="s">
        <v>4885</v>
      </c>
      <c r="G746" s="6" t="s">
        <v>18</v>
      </c>
      <c r="H746" s="6" t="str">
        <f>IFERROR(VLOOKUP(Table2[[#This Row],[Ticket]],Okey!A:B,2,0),"")</f>
        <v>ok</v>
      </c>
      <c r="I746" s="6" t="s">
        <v>3679</v>
      </c>
      <c r="J746" s="6" t="str">
        <f>VLOOKUP(Table2[[#This Row],[Author]],People!A:B,2,0)</f>
        <v>LS</v>
      </c>
      <c r="K746" s="6"/>
      <c r="L746" s="6"/>
      <c r="M746" s="21" t="s">
        <v>4887</v>
      </c>
    </row>
    <row r="747" spans="1:13" x14ac:dyDescent="0.25">
      <c r="A747" s="23">
        <f t="shared" si="11"/>
        <v>746</v>
      </c>
      <c r="B747" s="7" t="s">
        <v>4851</v>
      </c>
      <c r="C747" s="29" t="s">
        <v>4884</v>
      </c>
      <c r="D747" s="7" t="s">
        <v>4889</v>
      </c>
      <c r="E747" s="7" t="s">
        <v>4890</v>
      </c>
      <c r="F747" s="7" t="s">
        <v>4885</v>
      </c>
      <c r="G747" s="7" t="s">
        <v>18</v>
      </c>
      <c r="H747" s="7" t="str">
        <f>IFERROR(VLOOKUP(Table2[[#This Row],[Ticket]],Okey!A:B,2,0),"")</f>
        <v>ok</v>
      </c>
      <c r="I747" s="7" t="s">
        <v>3679</v>
      </c>
      <c r="J747" s="7" t="str">
        <f>VLOOKUP(Table2[[#This Row],[Author]],People!A:B,2,0)</f>
        <v>LS</v>
      </c>
      <c r="K747" s="7"/>
      <c r="L747" s="7"/>
      <c r="M747" s="16" t="s">
        <v>4887</v>
      </c>
    </row>
    <row r="748" spans="1:13" x14ac:dyDescent="0.25">
      <c r="A748" s="22">
        <f t="shared" si="11"/>
        <v>747</v>
      </c>
      <c r="B748" s="6" t="s">
        <v>4851</v>
      </c>
      <c r="C748" s="6" t="s">
        <v>4891</v>
      </c>
      <c r="D748" s="6" t="s">
        <v>3748</v>
      </c>
      <c r="E748" s="6" t="s">
        <v>4892</v>
      </c>
      <c r="F748" s="6"/>
      <c r="G748" s="6" t="s">
        <v>63</v>
      </c>
      <c r="H748" s="6" t="str">
        <f>IFERROR(VLOOKUP(Table2[[#This Row],[Ticket]],Okey!A:B,2,0),"")</f>
        <v>ok</v>
      </c>
      <c r="I748" s="6" t="s">
        <v>3679</v>
      </c>
      <c r="J748" s="6" t="str">
        <f>VLOOKUP(Table2[[#This Row],[Author]],People!A:B,2,0)</f>
        <v>LS</v>
      </c>
      <c r="K748" s="6"/>
      <c r="L748" s="6"/>
      <c r="M748" s="21" t="s">
        <v>25</v>
      </c>
    </row>
    <row r="749" spans="1:13" x14ac:dyDescent="0.25">
      <c r="A749" s="23">
        <f t="shared" si="11"/>
        <v>748</v>
      </c>
      <c r="B749" s="7" t="s">
        <v>4851</v>
      </c>
      <c r="C749" s="7" t="s">
        <v>4893</v>
      </c>
      <c r="D749" s="7" t="s">
        <v>507</v>
      </c>
      <c r="E749" s="7" t="s">
        <v>4894</v>
      </c>
      <c r="F749" s="7"/>
      <c r="G749" s="7" t="s">
        <v>63</v>
      </c>
      <c r="H749" s="7" t="str">
        <f>IFERROR(VLOOKUP(Table2[[#This Row],[Ticket]],Okey!A:B,2,0),"")</f>
        <v>ok</v>
      </c>
      <c r="I749" s="7" t="s">
        <v>3679</v>
      </c>
      <c r="J749" s="7" t="str">
        <f>VLOOKUP(Table2[[#This Row],[Author]],People!A:B,2,0)</f>
        <v>LS</v>
      </c>
      <c r="K749" s="7"/>
      <c r="L749" s="7"/>
      <c r="M749" s="16" t="s">
        <v>25</v>
      </c>
    </row>
    <row r="750" spans="1:13" x14ac:dyDescent="0.25">
      <c r="A750" s="22">
        <f t="shared" si="11"/>
        <v>749</v>
      </c>
      <c r="B750" s="6" t="s">
        <v>4851</v>
      </c>
      <c r="C750" s="6" t="s">
        <v>4893</v>
      </c>
      <c r="D750" s="6" t="s">
        <v>515</v>
      </c>
      <c r="E750" s="6" t="s">
        <v>4895</v>
      </c>
      <c r="F750" s="6"/>
      <c r="G750" s="6" t="s">
        <v>63</v>
      </c>
      <c r="H750" s="6" t="str">
        <f>IFERROR(VLOOKUP(Table2[[#This Row],[Ticket]],Okey!A:B,2,0),"")</f>
        <v>ok</v>
      </c>
      <c r="I750" s="6" t="s">
        <v>3679</v>
      </c>
      <c r="J750" s="6" t="str">
        <f>VLOOKUP(Table2[[#This Row],[Author]],People!A:B,2,0)</f>
        <v>LS</v>
      </c>
      <c r="K750" s="6"/>
      <c r="L750" s="6"/>
      <c r="M750" s="21" t="s">
        <v>25</v>
      </c>
    </row>
    <row r="751" spans="1:13" x14ac:dyDescent="0.25">
      <c r="A751" s="23">
        <f t="shared" si="11"/>
        <v>750</v>
      </c>
      <c r="B751" s="7" t="s">
        <v>4851</v>
      </c>
      <c r="C751" s="7" t="s">
        <v>4893</v>
      </c>
      <c r="D751" s="7" t="s">
        <v>406</v>
      </c>
      <c r="E751" s="7" t="s">
        <v>3735</v>
      </c>
      <c r="F751" s="7"/>
      <c r="G751" s="7" t="s">
        <v>63</v>
      </c>
      <c r="H751" s="7" t="str">
        <f>IFERROR(VLOOKUP(Table2[[#This Row],[Ticket]],Okey!A:B,2,0),"")</f>
        <v>ok</v>
      </c>
      <c r="I751" s="7" t="s">
        <v>3679</v>
      </c>
      <c r="J751" s="7" t="str">
        <f>VLOOKUP(Table2[[#This Row],[Author]],People!A:B,2,0)</f>
        <v>LS</v>
      </c>
      <c r="K751" s="7"/>
      <c r="L751" s="7"/>
      <c r="M751" s="16" t="s">
        <v>25</v>
      </c>
    </row>
    <row r="752" spans="1:13" x14ac:dyDescent="0.25">
      <c r="A752" s="22">
        <f t="shared" si="11"/>
        <v>751</v>
      </c>
      <c r="B752" s="6" t="s">
        <v>4851</v>
      </c>
      <c r="C752" s="6" t="s">
        <v>4896</v>
      </c>
      <c r="D752" s="6" t="s">
        <v>556</v>
      </c>
      <c r="E752" s="6"/>
      <c r="F752" s="6" t="s">
        <v>384</v>
      </c>
      <c r="G752" s="6" t="s">
        <v>24</v>
      </c>
      <c r="H752" s="6" t="str">
        <f>IFERROR(VLOOKUP(Table2[[#This Row],[Ticket]],Okey!A:B,2,0),"")</f>
        <v>ok</v>
      </c>
      <c r="I752" s="6" t="s">
        <v>3679</v>
      </c>
      <c r="J752" s="6" t="str">
        <f>VLOOKUP(Table2[[#This Row],[Author]],People!A:B,2,0)</f>
        <v>LS</v>
      </c>
      <c r="K752" s="6"/>
      <c r="L752" s="6"/>
      <c r="M752" s="21" t="s">
        <v>25</v>
      </c>
    </row>
    <row r="753" spans="1:13" x14ac:dyDescent="0.25">
      <c r="A753" s="23">
        <f t="shared" si="11"/>
        <v>752</v>
      </c>
      <c r="B753" s="7" t="s">
        <v>4851</v>
      </c>
      <c r="C753" s="7" t="s">
        <v>4896</v>
      </c>
      <c r="D753" s="7" t="s">
        <v>3953</v>
      </c>
      <c r="E753" s="7"/>
      <c r="F753" s="7" t="s">
        <v>556</v>
      </c>
      <c r="G753" s="7" t="s">
        <v>24</v>
      </c>
      <c r="H753" s="7" t="str">
        <f>IFERROR(VLOOKUP(Table2[[#This Row],[Ticket]],Okey!A:B,2,0),"")</f>
        <v>ok</v>
      </c>
      <c r="I753" s="7" t="s">
        <v>3679</v>
      </c>
      <c r="J753" s="7" t="str">
        <f>VLOOKUP(Table2[[#This Row],[Author]],People!A:B,2,0)</f>
        <v>LS</v>
      </c>
      <c r="K753" s="7"/>
      <c r="L753" s="7"/>
      <c r="M753" s="16" t="s">
        <v>25</v>
      </c>
    </row>
    <row r="754" spans="1:13" x14ac:dyDescent="0.25">
      <c r="A754" s="22">
        <f t="shared" si="11"/>
        <v>753</v>
      </c>
      <c r="B754" s="6" t="s">
        <v>4851</v>
      </c>
      <c r="C754" s="6" t="s">
        <v>4896</v>
      </c>
      <c r="D754" s="6" t="s">
        <v>3957</v>
      </c>
      <c r="E754" s="6"/>
      <c r="F754" s="6" t="s">
        <v>556</v>
      </c>
      <c r="G754" s="6" t="s">
        <v>24</v>
      </c>
      <c r="H754" s="6" t="str">
        <f>IFERROR(VLOOKUP(Table2[[#This Row],[Ticket]],Okey!A:B,2,0),"")</f>
        <v>ok</v>
      </c>
      <c r="I754" s="6" t="s">
        <v>3679</v>
      </c>
      <c r="J754" s="6" t="str">
        <f>VLOOKUP(Table2[[#This Row],[Author]],People!A:B,2,0)</f>
        <v>LS</v>
      </c>
      <c r="K754" s="6"/>
      <c r="L754" s="6"/>
      <c r="M754" s="21" t="s">
        <v>25</v>
      </c>
    </row>
    <row r="755" spans="1:13" x14ac:dyDescent="0.25">
      <c r="A755" s="23">
        <f t="shared" si="11"/>
        <v>754</v>
      </c>
      <c r="B755" s="7" t="s">
        <v>4851</v>
      </c>
      <c r="C755" s="7" t="s">
        <v>4896</v>
      </c>
      <c r="D755" s="7" t="s">
        <v>4897</v>
      </c>
      <c r="E755" s="7"/>
      <c r="F755" s="7" t="s">
        <v>556</v>
      </c>
      <c r="G755" s="7" t="s">
        <v>24</v>
      </c>
      <c r="H755" s="7" t="str">
        <f>IFERROR(VLOOKUP(Table2[[#This Row],[Ticket]],Okey!A:B,2,0),"")</f>
        <v>ok</v>
      </c>
      <c r="I755" s="7" t="s">
        <v>3679</v>
      </c>
      <c r="J755" s="7" t="str">
        <f>VLOOKUP(Table2[[#This Row],[Author]],People!A:B,2,0)</f>
        <v>LS</v>
      </c>
      <c r="K755" s="7"/>
      <c r="L755" s="7"/>
      <c r="M755" s="16" t="s">
        <v>25</v>
      </c>
    </row>
    <row r="756" spans="1:13" x14ac:dyDescent="0.25">
      <c r="A756" s="22">
        <f t="shared" si="11"/>
        <v>755</v>
      </c>
      <c r="B756" s="6" t="s">
        <v>4851</v>
      </c>
      <c r="C756" s="6" t="s">
        <v>4896</v>
      </c>
      <c r="D756" s="6" t="s">
        <v>3955</v>
      </c>
      <c r="E756" s="6"/>
      <c r="F756" s="6" t="s">
        <v>3953</v>
      </c>
      <c r="G756" s="6" t="s">
        <v>24</v>
      </c>
      <c r="H756" s="6" t="str">
        <f>IFERROR(VLOOKUP(Table2[[#This Row],[Ticket]],Okey!A:B,2,0),"")</f>
        <v>ok</v>
      </c>
      <c r="I756" s="6" t="s">
        <v>3679</v>
      </c>
      <c r="J756" s="6" t="str">
        <f>VLOOKUP(Table2[[#This Row],[Author]],People!A:B,2,0)</f>
        <v>LS</v>
      </c>
      <c r="K756" s="6"/>
      <c r="L756" s="6"/>
      <c r="M756" s="21" t="s">
        <v>25</v>
      </c>
    </row>
    <row r="757" spans="1:13" x14ac:dyDescent="0.25">
      <c r="A757" s="23">
        <f t="shared" si="11"/>
        <v>756</v>
      </c>
      <c r="B757" s="7" t="s">
        <v>4851</v>
      </c>
      <c r="C757" s="7" t="s">
        <v>4896</v>
      </c>
      <c r="D757" s="7" t="s">
        <v>4898</v>
      </c>
      <c r="E757" s="7"/>
      <c r="F757" s="7" t="s">
        <v>3957</v>
      </c>
      <c r="G757" s="7" t="s">
        <v>24</v>
      </c>
      <c r="H757" s="7" t="str">
        <f>IFERROR(VLOOKUP(Table2[[#This Row],[Ticket]],Okey!A:B,2,0),"")</f>
        <v>ok</v>
      </c>
      <c r="I757" s="7" t="s">
        <v>3679</v>
      </c>
      <c r="J757" s="7" t="str">
        <f>VLOOKUP(Table2[[#This Row],[Author]],People!A:B,2,0)</f>
        <v>LS</v>
      </c>
      <c r="K757" s="7"/>
      <c r="L757" s="7"/>
      <c r="M757" s="16" t="s">
        <v>25</v>
      </c>
    </row>
    <row r="758" spans="1:13" x14ac:dyDescent="0.25">
      <c r="A758" s="22">
        <f t="shared" si="11"/>
        <v>757</v>
      </c>
      <c r="B758" s="6" t="s">
        <v>4851</v>
      </c>
      <c r="C758" s="6" t="s">
        <v>4896</v>
      </c>
      <c r="D758" s="6" t="s">
        <v>4899</v>
      </c>
      <c r="E758" s="6"/>
      <c r="F758" s="6" t="s">
        <v>4897</v>
      </c>
      <c r="G758" s="6" t="s">
        <v>24</v>
      </c>
      <c r="H758" s="6" t="str">
        <f>IFERROR(VLOOKUP(Table2[[#This Row],[Ticket]],Okey!A:B,2,0),"")</f>
        <v>ok</v>
      </c>
      <c r="I758" s="6" t="s">
        <v>3679</v>
      </c>
      <c r="J758" s="6" t="str">
        <f>VLOOKUP(Table2[[#This Row],[Author]],People!A:B,2,0)</f>
        <v>LS</v>
      </c>
      <c r="K758" s="6"/>
      <c r="L758" s="6"/>
      <c r="M758" s="21" t="s">
        <v>25</v>
      </c>
    </row>
    <row r="759" spans="1:13" x14ac:dyDescent="0.25">
      <c r="A759" s="23">
        <f t="shared" si="11"/>
        <v>758</v>
      </c>
      <c r="B759" s="7" t="s">
        <v>4851</v>
      </c>
      <c r="C759" s="7" t="s">
        <v>4896</v>
      </c>
      <c r="D759" s="7" t="s">
        <v>3830</v>
      </c>
      <c r="E759" s="7"/>
      <c r="F759" s="7" t="s">
        <v>4897</v>
      </c>
      <c r="G759" s="7" t="s">
        <v>24</v>
      </c>
      <c r="H759" s="7" t="str">
        <f>IFERROR(VLOOKUP(Table2[[#This Row],[Ticket]],Okey!A:B,2,0),"")</f>
        <v>ok</v>
      </c>
      <c r="I759" s="7" t="s">
        <v>3679</v>
      </c>
      <c r="J759" s="7" t="str">
        <f>VLOOKUP(Table2[[#This Row],[Author]],People!A:B,2,0)</f>
        <v>LS</v>
      </c>
      <c r="K759" s="7"/>
      <c r="L759" s="7"/>
      <c r="M759" s="16" t="s">
        <v>25</v>
      </c>
    </row>
    <row r="760" spans="1:13" x14ac:dyDescent="0.25">
      <c r="A760" s="22">
        <f t="shared" si="11"/>
        <v>759</v>
      </c>
      <c r="B760" s="6" t="s">
        <v>4851</v>
      </c>
      <c r="C760" s="6" t="s">
        <v>4896</v>
      </c>
      <c r="D760" s="6" t="s">
        <v>4900</v>
      </c>
      <c r="E760" s="6"/>
      <c r="F760" s="6" t="s">
        <v>4899</v>
      </c>
      <c r="G760" s="6" t="s">
        <v>24</v>
      </c>
      <c r="H760" s="6" t="str">
        <f>IFERROR(VLOOKUP(Table2[[#This Row],[Ticket]],Okey!A:B,2,0),"")</f>
        <v>ok</v>
      </c>
      <c r="I760" s="6" t="s">
        <v>3679</v>
      </c>
      <c r="J760" s="6" t="str">
        <f>VLOOKUP(Table2[[#This Row],[Author]],People!A:B,2,0)</f>
        <v>LS</v>
      </c>
      <c r="K760" s="6"/>
      <c r="L760" s="6"/>
      <c r="M760" s="21" t="s">
        <v>25</v>
      </c>
    </row>
    <row r="761" spans="1:13" x14ac:dyDescent="0.25">
      <c r="A761" s="23">
        <f t="shared" si="11"/>
        <v>760</v>
      </c>
      <c r="B761" s="7" t="s">
        <v>4851</v>
      </c>
      <c r="C761" s="7" t="s">
        <v>4901</v>
      </c>
      <c r="D761" s="7" t="s">
        <v>4902</v>
      </c>
      <c r="E761" s="7" t="s">
        <v>4903</v>
      </c>
      <c r="F761" s="7" t="s">
        <v>4904</v>
      </c>
      <c r="G761" s="7" t="s">
        <v>18</v>
      </c>
      <c r="H761" s="7" t="str">
        <f>IFERROR(VLOOKUP(Table2[[#This Row],[Ticket]],Okey!A:B,2,0),"")</f>
        <v>ok</v>
      </c>
      <c r="I761" s="7" t="s">
        <v>3679</v>
      </c>
      <c r="J761" s="7" t="str">
        <f>VLOOKUP(Table2[[#This Row],[Author]],People!A:B,2,0)</f>
        <v>LS</v>
      </c>
      <c r="K761" s="7"/>
      <c r="L761" s="7"/>
      <c r="M761" s="16" t="s">
        <v>4905</v>
      </c>
    </row>
    <row r="762" spans="1:13" x14ac:dyDescent="0.25">
      <c r="A762" s="22">
        <f t="shared" si="11"/>
        <v>761</v>
      </c>
      <c r="B762" s="6" t="s">
        <v>4851</v>
      </c>
      <c r="C762" s="6" t="s">
        <v>4901</v>
      </c>
      <c r="D762" s="6" t="s">
        <v>4906</v>
      </c>
      <c r="E762" s="6" t="s">
        <v>4907</v>
      </c>
      <c r="F762" s="6" t="s">
        <v>4902</v>
      </c>
      <c r="G762" s="6" t="s">
        <v>18</v>
      </c>
      <c r="H762" s="6" t="str">
        <f>IFERROR(VLOOKUP(Table2[[#This Row],[Ticket]],Okey!A:B,2,0),"")</f>
        <v>ok</v>
      </c>
      <c r="I762" s="6" t="s">
        <v>3679</v>
      </c>
      <c r="J762" s="6" t="str">
        <f>VLOOKUP(Table2[[#This Row],[Author]],People!A:B,2,0)</f>
        <v>LS</v>
      </c>
      <c r="K762" s="6"/>
      <c r="L762" s="6"/>
      <c r="M762" s="21" t="s">
        <v>4905</v>
      </c>
    </row>
    <row r="763" spans="1:13" x14ac:dyDescent="0.25">
      <c r="A763" s="23">
        <f t="shared" si="11"/>
        <v>762</v>
      </c>
      <c r="B763" s="7" t="s">
        <v>4851</v>
      </c>
      <c r="C763" s="7" t="s">
        <v>4901</v>
      </c>
      <c r="D763" s="7" t="s">
        <v>4908</v>
      </c>
      <c r="E763" s="7" t="s">
        <v>4909</v>
      </c>
      <c r="F763" s="7" t="s">
        <v>4902</v>
      </c>
      <c r="G763" s="7" t="s">
        <v>18</v>
      </c>
      <c r="H763" s="7" t="str">
        <f>IFERROR(VLOOKUP(Table2[[#This Row],[Ticket]],Okey!A:B,2,0),"")</f>
        <v>ok</v>
      </c>
      <c r="I763" s="7" t="s">
        <v>3679</v>
      </c>
      <c r="J763" s="7" t="str">
        <f>VLOOKUP(Table2[[#This Row],[Author]],People!A:B,2,0)</f>
        <v>LS</v>
      </c>
      <c r="K763" s="7"/>
      <c r="L763" s="7"/>
      <c r="M763" s="16" t="s">
        <v>4905</v>
      </c>
    </row>
    <row r="764" spans="1:13" x14ac:dyDescent="0.25">
      <c r="A764" s="22">
        <f t="shared" si="11"/>
        <v>763</v>
      </c>
      <c r="B764" s="6" t="s">
        <v>4851</v>
      </c>
      <c r="C764" s="6" t="s">
        <v>4910</v>
      </c>
      <c r="D764" s="6" t="s">
        <v>4911</v>
      </c>
      <c r="E764" s="6"/>
      <c r="F764" s="6"/>
      <c r="G764" s="6" t="s">
        <v>328</v>
      </c>
      <c r="H764" s="6" t="str">
        <f>IFERROR(VLOOKUP(Table2[[#This Row],[Ticket]],Okey!A:B,2,0),"")</f>
        <v>ok</v>
      </c>
      <c r="I764" s="6" t="s">
        <v>3679</v>
      </c>
      <c r="J764" s="6" t="str">
        <f>VLOOKUP(Table2[[#This Row],[Author]],People!A:B,2,0)</f>
        <v>LS</v>
      </c>
      <c r="K764" s="6"/>
      <c r="L764" s="6"/>
      <c r="M764" s="21" t="s">
        <v>2329</v>
      </c>
    </row>
    <row r="765" spans="1:13" x14ac:dyDescent="0.25">
      <c r="A765" s="23">
        <f t="shared" si="11"/>
        <v>764</v>
      </c>
      <c r="B765" s="7" t="s">
        <v>4851</v>
      </c>
      <c r="C765" s="7" t="s">
        <v>4910</v>
      </c>
      <c r="D765" s="7" t="s">
        <v>4912</v>
      </c>
      <c r="E765" s="7"/>
      <c r="F765" s="7" t="s">
        <v>4913</v>
      </c>
      <c r="G765" s="7" t="s">
        <v>24</v>
      </c>
      <c r="H765" s="7" t="str">
        <f>IFERROR(VLOOKUP(Table2[[#This Row],[Ticket]],Okey!A:B,2,0),"")</f>
        <v>ok</v>
      </c>
      <c r="I765" s="7" t="s">
        <v>3679</v>
      </c>
      <c r="J765" s="7" t="str">
        <f>VLOOKUP(Table2[[#This Row],[Author]],People!A:B,2,0)</f>
        <v>LS</v>
      </c>
      <c r="K765" s="7"/>
      <c r="L765" s="7"/>
      <c r="M765" s="16" t="s">
        <v>2329</v>
      </c>
    </row>
    <row r="766" spans="1:13" x14ac:dyDescent="0.25">
      <c r="A766" s="22">
        <f t="shared" si="11"/>
        <v>765</v>
      </c>
      <c r="B766" s="6" t="s">
        <v>4851</v>
      </c>
      <c r="C766" s="6" t="s">
        <v>4910</v>
      </c>
      <c r="D766" s="6" t="s">
        <v>4914</v>
      </c>
      <c r="E766" s="6"/>
      <c r="F766" s="6" t="s">
        <v>4913</v>
      </c>
      <c r="G766" s="6" t="s">
        <v>24</v>
      </c>
      <c r="H766" s="6" t="str">
        <f>IFERROR(VLOOKUP(Table2[[#This Row],[Ticket]],Okey!A:B,2,0),"")</f>
        <v>ok</v>
      </c>
      <c r="I766" s="6" t="s">
        <v>3679</v>
      </c>
      <c r="J766" s="6" t="str">
        <f>VLOOKUP(Table2[[#This Row],[Author]],People!A:B,2,0)</f>
        <v>LS</v>
      </c>
      <c r="K766" s="6"/>
      <c r="L766" s="6"/>
      <c r="M766" s="21" t="s">
        <v>2329</v>
      </c>
    </row>
    <row r="767" spans="1:13" x14ac:dyDescent="0.25">
      <c r="A767" s="23">
        <f t="shared" si="11"/>
        <v>766</v>
      </c>
      <c r="B767" s="7" t="s">
        <v>4851</v>
      </c>
      <c r="C767" s="7" t="s">
        <v>4910</v>
      </c>
      <c r="D767" s="7" t="s">
        <v>4915</v>
      </c>
      <c r="E767" s="7"/>
      <c r="F767" s="7" t="s">
        <v>4913</v>
      </c>
      <c r="G767" s="7" t="s">
        <v>24</v>
      </c>
      <c r="H767" s="7" t="str">
        <f>IFERROR(VLOOKUP(Table2[[#This Row],[Ticket]],Okey!A:B,2,0),"")</f>
        <v>ok</v>
      </c>
      <c r="I767" s="7" t="s">
        <v>3679</v>
      </c>
      <c r="J767" s="7" t="str">
        <f>VLOOKUP(Table2[[#This Row],[Author]],People!A:B,2,0)</f>
        <v>LS</v>
      </c>
      <c r="K767" s="7"/>
      <c r="L767" s="7"/>
      <c r="M767" s="16" t="s">
        <v>2329</v>
      </c>
    </row>
    <row r="768" spans="1:13" x14ac:dyDescent="0.25">
      <c r="A768" s="22">
        <f t="shared" si="11"/>
        <v>767</v>
      </c>
      <c r="B768" s="6" t="s">
        <v>4851</v>
      </c>
      <c r="C768" s="6" t="s">
        <v>4910</v>
      </c>
      <c r="D768" s="6" t="s">
        <v>4916</v>
      </c>
      <c r="E768" s="6"/>
      <c r="F768" s="6" t="s">
        <v>4917</v>
      </c>
      <c r="G768" s="6" t="s">
        <v>24</v>
      </c>
      <c r="H768" s="6" t="str">
        <f>IFERROR(VLOOKUP(Table2[[#This Row],[Ticket]],Okey!A:B,2,0),"")</f>
        <v>ok</v>
      </c>
      <c r="I768" s="6" t="s">
        <v>3679</v>
      </c>
      <c r="J768" s="6" t="str">
        <f>VLOOKUP(Table2[[#This Row],[Author]],People!A:B,2,0)</f>
        <v>LS</v>
      </c>
      <c r="K768" s="6"/>
      <c r="L768" s="6"/>
      <c r="M768" s="21" t="s">
        <v>2329</v>
      </c>
    </row>
    <row r="769" spans="1:13" x14ac:dyDescent="0.25">
      <c r="A769" s="23">
        <f t="shared" si="11"/>
        <v>768</v>
      </c>
      <c r="B769" s="7" t="s">
        <v>4851</v>
      </c>
      <c r="C769" s="7" t="s">
        <v>4910</v>
      </c>
      <c r="D769" s="7" t="s">
        <v>4918</v>
      </c>
      <c r="E769" s="7"/>
      <c r="F769" s="7" t="s">
        <v>4917</v>
      </c>
      <c r="G769" s="7" t="s">
        <v>24</v>
      </c>
      <c r="H769" s="7" t="str">
        <f>IFERROR(VLOOKUP(Table2[[#This Row],[Ticket]],Okey!A:B,2,0),"")</f>
        <v>ok</v>
      </c>
      <c r="I769" s="7" t="s">
        <v>3679</v>
      </c>
      <c r="J769" s="7" t="str">
        <f>VLOOKUP(Table2[[#This Row],[Author]],People!A:B,2,0)</f>
        <v>LS</v>
      </c>
      <c r="K769" s="7"/>
      <c r="L769" s="7"/>
      <c r="M769" s="16" t="s">
        <v>2329</v>
      </c>
    </row>
    <row r="770" spans="1:13" x14ac:dyDescent="0.25">
      <c r="A770" s="22">
        <f t="shared" si="11"/>
        <v>769</v>
      </c>
      <c r="B770" s="6" t="s">
        <v>4851</v>
      </c>
      <c r="C770" s="6" t="s">
        <v>4910</v>
      </c>
      <c r="D770" s="6" t="s">
        <v>4919</v>
      </c>
      <c r="E770" s="6"/>
      <c r="F770" s="6" t="s">
        <v>4917</v>
      </c>
      <c r="G770" s="6" t="s">
        <v>24</v>
      </c>
      <c r="H770" s="6" t="str">
        <f>IFERROR(VLOOKUP(Table2[[#This Row],[Ticket]],Okey!A:B,2,0),"")</f>
        <v>ok</v>
      </c>
      <c r="I770" s="6" t="s">
        <v>3679</v>
      </c>
      <c r="J770" s="6" t="str">
        <f>VLOOKUP(Table2[[#This Row],[Author]],People!A:B,2,0)</f>
        <v>LS</v>
      </c>
      <c r="K770" s="6"/>
      <c r="L770" s="6"/>
      <c r="M770" s="21" t="s">
        <v>2329</v>
      </c>
    </row>
    <row r="771" spans="1:13" x14ac:dyDescent="0.25">
      <c r="A771" s="23">
        <f t="shared" ref="A771:A834" si="12">1+A770</f>
        <v>770</v>
      </c>
      <c r="B771" s="7" t="s">
        <v>4851</v>
      </c>
      <c r="C771" s="7" t="s">
        <v>4910</v>
      </c>
      <c r="D771" s="7" t="s">
        <v>4920</v>
      </c>
      <c r="E771" s="7"/>
      <c r="F771" s="7" t="s">
        <v>4917</v>
      </c>
      <c r="G771" s="7" t="s">
        <v>24</v>
      </c>
      <c r="H771" s="7" t="str">
        <f>IFERROR(VLOOKUP(Table2[[#This Row],[Ticket]],Okey!A:B,2,0),"")</f>
        <v>ok</v>
      </c>
      <c r="I771" s="7" t="s">
        <v>3679</v>
      </c>
      <c r="J771" s="7" t="str">
        <f>VLOOKUP(Table2[[#This Row],[Author]],People!A:B,2,0)</f>
        <v>LS</v>
      </c>
      <c r="K771" s="7"/>
      <c r="L771" s="7"/>
      <c r="M771" s="16" t="s">
        <v>2329</v>
      </c>
    </row>
    <row r="772" spans="1:13" x14ac:dyDescent="0.25">
      <c r="A772" s="22">
        <f t="shared" si="12"/>
        <v>771</v>
      </c>
      <c r="B772" s="6" t="s">
        <v>4851</v>
      </c>
      <c r="C772" s="6" t="s">
        <v>4910</v>
      </c>
      <c r="D772" s="6" t="s">
        <v>4921</v>
      </c>
      <c r="E772" s="6"/>
      <c r="F772" s="6" t="s">
        <v>4917</v>
      </c>
      <c r="G772" s="6" t="s">
        <v>24</v>
      </c>
      <c r="H772" s="6" t="str">
        <f>IFERROR(VLOOKUP(Table2[[#This Row],[Ticket]],Okey!A:B,2,0),"")</f>
        <v>ok</v>
      </c>
      <c r="I772" s="6" t="s">
        <v>3679</v>
      </c>
      <c r="J772" s="6" t="str">
        <f>VLOOKUP(Table2[[#This Row],[Author]],People!A:B,2,0)</f>
        <v>LS</v>
      </c>
      <c r="K772" s="6"/>
      <c r="L772" s="6"/>
      <c r="M772" s="21" t="s">
        <v>2329</v>
      </c>
    </row>
    <row r="773" spans="1:13" x14ac:dyDescent="0.25">
      <c r="A773" s="23">
        <f t="shared" si="12"/>
        <v>772</v>
      </c>
      <c r="B773" s="7" t="s">
        <v>4851</v>
      </c>
      <c r="C773" s="7" t="s">
        <v>4910</v>
      </c>
      <c r="D773" s="7" t="s">
        <v>4922</v>
      </c>
      <c r="E773" s="7"/>
      <c r="F773" s="7" t="s">
        <v>4917</v>
      </c>
      <c r="G773" s="7" t="s">
        <v>24</v>
      </c>
      <c r="H773" s="7" t="str">
        <f>IFERROR(VLOOKUP(Table2[[#This Row],[Ticket]],Okey!A:B,2,0),"")</f>
        <v>ok</v>
      </c>
      <c r="I773" s="7" t="s">
        <v>3679</v>
      </c>
      <c r="J773" s="7" t="str">
        <f>VLOOKUP(Table2[[#This Row],[Author]],People!A:B,2,0)</f>
        <v>LS</v>
      </c>
      <c r="K773" s="7"/>
      <c r="L773" s="7"/>
      <c r="M773" s="16" t="s">
        <v>2329</v>
      </c>
    </row>
    <row r="774" spans="1:13" x14ac:dyDescent="0.25">
      <c r="A774" s="22">
        <f t="shared" si="12"/>
        <v>773</v>
      </c>
      <c r="B774" s="6" t="s">
        <v>4851</v>
      </c>
      <c r="C774" s="6" t="s">
        <v>4923</v>
      </c>
      <c r="D774" s="6" t="s">
        <v>4924</v>
      </c>
      <c r="E774" s="6" t="s">
        <v>4925</v>
      </c>
      <c r="F774" s="6" t="s">
        <v>4219</v>
      </c>
      <c r="G774" s="6" t="s">
        <v>18</v>
      </c>
      <c r="H774" s="6" t="str">
        <f>IFERROR(VLOOKUP(Table2[[#This Row],[Ticket]],Okey!A:B,2,0),"")</f>
        <v>ok</v>
      </c>
      <c r="I774" s="6" t="s">
        <v>3679</v>
      </c>
      <c r="J774" s="6" t="str">
        <f>VLOOKUP(Table2[[#This Row],[Author]],People!A:B,2,0)</f>
        <v>LS</v>
      </c>
      <c r="K774" s="6"/>
      <c r="L774" s="6"/>
      <c r="M774" s="21" t="s">
        <v>4216</v>
      </c>
    </row>
    <row r="775" spans="1:13" x14ac:dyDescent="0.25">
      <c r="A775" s="23">
        <f t="shared" si="12"/>
        <v>774</v>
      </c>
      <c r="B775" s="7" t="s">
        <v>4851</v>
      </c>
      <c r="C775" s="7" t="s">
        <v>4923</v>
      </c>
      <c r="D775" s="7" t="s">
        <v>4926</v>
      </c>
      <c r="E775" s="7" t="s">
        <v>4927</v>
      </c>
      <c r="F775" s="7" t="s">
        <v>4259</v>
      </c>
      <c r="G775" s="7" t="s">
        <v>18</v>
      </c>
      <c r="H775" s="7" t="str">
        <f>IFERROR(VLOOKUP(Table2[[#This Row],[Ticket]],Okey!A:B,2,0),"")</f>
        <v>ok</v>
      </c>
      <c r="I775" s="7" t="s">
        <v>3679</v>
      </c>
      <c r="J775" s="7" t="str">
        <f>VLOOKUP(Table2[[#This Row],[Author]],People!A:B,2,0)</f>
        <v>LS</v>
      </c>
      <c r="K775" s="7"/>
      <c r="L775" s="7"/>
      <c r="M775" s="16" t="s">
        <v>4216</v>
      </c>
    </row>
    <row r="776" spans="1:13" x14ac:dyDescent="0.25">
      <c r="A776" s="22">
        <f t="shared" si="12"/>
        <v>775</v>
      </c>
      <c r="B776" s="6" t="s">
        <v>4851</v>
      </c>
      <c r="C776" s="6" t="s">
        <v>4928</v>
      </c>
      <c r="D776" s="6" t="s">
        <v>4929</v>
      </c>
      <c r="E776" s="6" t="s">
        <v>4930</v>
      </c>
      <c r="F776" s="6" t="s">
        <v>4931</v>
      </c>
      <c r="G776" s="6" t="s">
        <v>18</v>
      </c>
      <c r="H776" s="6" t="str">
        <f>IFERROR(VLOOKUP(Table2[[#This Row],[Ticket]],Okey!A:B,2,0),"")</f>
        <v>ok</v>
      </c>
      <c r="I776" s="6" t="s">
        <v>3679</v>
      </c>
      <c r="J776" s="6" t="str">
        <f>VLOOKUP(Table2[[#This Row],[Author]],People!A:B,2,0)</f>
        <v>LS</v>
      </c>
      <c r="K776" s="6"/>
      <c r="L776" s="6"/>
      <c r="M776" s="21" t="s">
        <v>1040</v>
      </c>
    </row>
    <row r="777" spans="1:13" x14ac:dyDescent="0.25">
      <c r="A777" s="23">
        <f t="shared" si="12"/>
        <v>776</v>
      </c>
      <c r="B777" s="7" t="s">
        <v>4851</v>
      </c>
      <c r="C777" s="7" t="s">
        <v>4928</v>
      </c>
      <c r="D777" s="7" t="s">
        <v>1650</v>
      </c>
      <c r="E777" s="7" t="s">
        <v>4932</v>
      </c>
      <c r="F777" s="7" t="s">
        <v>4614</v>
      </c>
      <c r="G777" s="7" t="s">
        <v>18</v>
      </c>
      <c r="H777" s="7" t="str">
        <f>IFERROR(VLOOKUP(Table2[[#This Row],[Ticket]],Okey!A:B,2,0),"")</f>
        <v>ok</v>
      </c>
      <c r="I777" s="7" t="s">
        <v>3679</v>
      </c>
      <c r="J777" s="7" t="str">
        <f>VLOOKUP(Table2[[#This Row],[Author]],People!A:B,2,0)</f>
        <v>LS</v>
      </c>
      <c r="K777" s="7"/>
      <c r="L777" s="7"/>
      <c r="M777" s="16" t="s">
        <v>1040</v>
      </c>
    </row>
    <row r="778" spans="1:13" x14ac:dyDescent="0.25">
      <c r="A778" s="22">
        <f t="shared" si="12"/>
        <v>777</v>
      </c>
      <c r="B778" s="6" t="s">
        <v>4851</v>
      </c>
      <c r="C778" s="6" t="s">
        <v>4928</v>
      </c>
      <c r="D778" s="6" t="s">
        <v>4933</v>
      </c>
      <c r="E778" s="6" t="s">
        <v>4934</v>
      </c>
      <c r="F778" s="6" t="s">
        <v>4614</v>
      </c>
      <c r="G778" s="6" t="s">
        <v>18</v>
      </c>
      <c r="H778" s="6" t="str">
        <f>IFERROR(VLOOKUP(Table2[[#This Row],[Ticket]],Okey!A:B,2,0),"")</f>
        <v>ok</v>
      </c>
      <c r="I778" s="6" t="s">
        <v>3679</v>
      </c>
      <c r="J778" s="6" t="str">
        <f>VLOOKUP(Table2[[#This Row],[Author]],People!A:B,2,0)</f>
        <v>LS</v>
      </c>
      <c r="K778" s="6"/>
      <c r="L778" s="6"/>
      <c r="M778" s="21" t="s">
        <v>1040</v>
      </c>
    </row>
    <row r="779" spans="1:13" x14ac:dyDescent="0.25">
      <c r="A779" s="23">
        <f t="shared" si="12"/>
        <v>778</v>
      </c>
      <c r="B779" s="7" t="s">
        <v>4851</v>
      </c>
      <c r="C779" s="7" t="s">
        <v>4928</v>
      </c>
      <c r="D779" s="7" t="s">
        <v>2196</v>
      </c>
      <c r="E779" s="7" t="s">
        <v>4935</v>
      </c>
      <c r="F779" s="7" t="s">
        <v>2495</v>
      </c>
      <c r="G779" s="7" t="s">
        <v>18</v>
      </c>
      <c r="H779" s="7" t="str">
        <f>IFERROR(VLOOKUP(Table2[[#This Row],[Ticket]],Okey!A:B,2,0),"")</f>
        <v>ok</v>
      </c>
      <c r="I779" s="7" t="s">
        <v>3679</v>
      </c>
      <c r="J779" s="7" t="str">
        <f>VLOOKUP(Table2[[#This Row],[Author]],People!A:B,2,0)</f>
        <v>LS</v>
      </c>
      <c r="K779" s="7"/>
      <c r="L779" s="7"/>
      <c r="M779" s="16" t="s">
        <v>1040</v>
      </c>
    </row>
    <row r="780" spans="1:13" x14ac:dyDescent="0.25">
      <c r="A780" s="22">
        <f t="shared" si="12"/>
        <v>779</v>
      </c>
      <c r="B780" s="6" t="s">
        <v>4851</v>
      </c>
      <c r="C780" s="6" t="s">
        <v>4928</v>
      </c>
      <c r="D780" s="6" t="s">
        <v>1252</v>
      </c>
      <c r="E780" s="6" t="s">
        <v>4488</v>
      </c>
      <c r="F780" s="6" t="s">
        <v>1249</v>
      </c>
      <c r="G780" s="6" t="s">
        <v>18</v>
      </c>
      <c r="H780" s="6" t="str">
        <f>IFERROR(VLOOKUP(Table2[[#This Row],[Ticket]],Okey!A:B,2,0),"")</f>
        <v>ok</v>
      </c>
      <c r="I780" s="6" t="s">
        <v>3679</v>
      </c>
      <c r="J780" s="6" t="str">
        <f>VLOOKUP(Table2[[#This Row],[Author]],People!A:B,2,0)</f>
        <v>LS</v>
      </c>
      <c r="K780" s="6"/>
      <c r="L780" s="6"/>
      <c r="M780" s="21" t="s">
        <v>1040</v>
      </c>
    </row>
    <row r="781" spans="1:13" x14ac:dyDescent="0.25">
      <c r="A781" s="23">
        <f t="shared" si="12"/>
        <v>780</v>
      </c>
      <c r="B781" s="7" t="s">
        <v>4851</v>
      </c>
      <c r="C781" s="7" t="s">
        <v>4928</v>
      </c>
      <c r="D781" s="7" t="s">
        <v>4936</v>
      </c>
      <c r="E781" s="7" t="s">
        <v>4937</v>
      </c>
      <c r="F781" s="7" t="s">
        <v>4528</v>
      </c>
      <c r="G781" s="7" t="s">
        <v>18</v>
      </c>
      <c r="H781" s="7" t="str">
        <f>IFERROR(VLOOKUP(Table2[[#This Row],[Ticket]],Okey!A:B,2,0),"")</f>
        <v>ok</v>
      </c>
      <c r="I781" s="7" t="s">
        <v>3679</v>
      </c>
      <c r="J781" s="7" t="str">
        <f>VLOOKUP(Table2[[#This Row],[Author]],People!A:B,2,0)</f>
        <v>LS</v>
      </c>
      <c r="K781" s="7"/>
      <c r="L781" s="7"/>
      <c r="M781" s="16" t="s">
        <v>1040</v>
      </c>
    </row>
    <row r="782" spans="1:13" x14ac:dyDescent="0.25">
      <c r="A782" s="22">
        <f t="shared" si="12"/>
        <v>781</v>
      </c>
      <c r="B782" s="6" t="s">
        <v>4851</v>
      </c>
      <c r="C782" s="6" t="s">
        <v>4928</v>
      </c>
      <c r="D782" s="6" t="s">
        <v>4938</v>
      </c>
      <c r="E782" s="6" t="s">
        <v>4939</v>
      </c>
      <c r="F782" s="6" t="s">
        <v>4877</v>
      </c>
      <c r="G782" s="6" t="s">
        <v>18</v>
      </c>
      <c r="H782" s="6" t="str">
        <f>IFERROR(VLOOKUP(Table2[[#This Row],[Ticket]],Okey!A:B,2,0),"")</f>
        <v>ok</v>
      </c>
      <c r="I782" s="6" t="s">
        <v>3679</v>
      </c>
      <c r="J782" s="6" t="str">
        <f>VLOOKUP(Table2[[#This Row],[Author]],People!A:B,2,0)</f>
        <v>LS</v>
      </c>
      <c r="K782" s="6"/>
      <c r="L782" s="6"/>
      <c r="M782" s="21" t="s">
        <v>1040</v>
      </c>
    </row>
    <row r="783" spans="1:13" x14ac:dyDescent="0.25">
      <c r="A783" s="23">
        <f t="shared" si="12"/>
        <v>782</v>
      </c>
      <c r="B783" s="7" t="s">
        <v>4851</v>
      </c>
      <c r="C783" s="7" t="s">
        <v>4928</v>
      </c>
      <c r="D783" s="7" t="s">
        <v>1299</v>
      </c>
      <c r="E783" s="7" t="s">
        <v>4940</v>
      </c>
      <c r="F783" s="7" t="s">
        <v>4877</v>
      </c>
      <c r="G783" s="7" t="s">
        <v>18</v>
      </c>
      <c r="H783" s="7" t="str">
        <f>IFERROR(VLOOKUP(Table2[[#This Row],[Ticket]],Okey!A:B,2,0),"")</f>
        <v>ok</v>
      </c>
      <c r="I783" s="7" t="s">
        <v>3679</v>
      </c>
      <c r="J783" s="7" t="str">
        <f>VLOOKUP(Table2[[#This Row],[Author]],People!A:B,2,0)</f>
        <v>LS</v>
      </c>
      <c r="K783" s="7"/>
      <c r="L783" s="7"/>
      <c r="M783" s="16" t="s">
        <v>1040</v>
      </c>
    </row>
    <row r="784" spans="1:13" x14ac:dyDescent="0.25">
      <c r="A784" s="22">
        <f t="shared" si="12"/>
        <v>783</v>
      </c>
      <c r="B784" s="6" t="s">
        <v>4851</v>
      </c>
      <c r="C784" s="6" t="s">
        <v>4928</v>
      </c>
      <c r="D784" s="6" t="s">
        <v>1302</v>
      </c>
      <c r="E784" s="6" t="s">
        <v>4941</v>
      </c>
      <c r="F784" s="6" t="s">
        <v>4877</v>
      </c>
      <c r="G784" s="6" t="s">
        <v>18</v>
      </c>
      <c r="H784" s="6" t="str">
        <f>IFERROR(VLOOKUP(Table2[[#This Row],[Ticket]],Okey!A:B,2,0),"")</f>
        <v>ok</v>
      </c>
      <c r="I784" s="6" t="s">
        <v>3679</v>
      </c>
      <c r="J784" s="6" t="str">
        <f>VLOOKUP(Table2[[#This Row],[Author]],People!A:B,2,0)</f>
        <v>LS</v>
      </c>
      <c r="K784" s="6"/>
      <c r="L784" s="6"/>
      <c r="M784" s="21" t="s">
        <v>1040</v>
      </c>
    </row>
    <row r="785" spans="1:13" x14ac:dyDescent="0.25">
      <c r="A785" s="23">
        <f t="shared" si="12"/>
        <v>784</v>
      </c>
      <c r="B785" s="7" t="s">
        <v>4851</v>
      </c>
      <c r="C785" s="7" t="s">
        <v>4928</v>
      </c>
      <c r="D785" s="7" t="s">
        <v>4942</v>
      </c>
      <c r="E785" s="7" t="s">
        <v>4943</v>
      </c>
      <c r="F785" s="7" t="s">
        <v>4877</v>
      </c>
      <c r="G785" s="7" t="s">
        <v>18</v>
      </c>
      <c r="H785" s="7" t="str">
        <f>IFERROR(VLOOKUP(Table2[[#This Row],[Ticket]],Okey!A:B,2,0),"")</f>
        <v>ok</v>
      </c>
      <c r="I785" s="7" t="s">
        <v>3679</v>
      </c>
      <c r="J785" s="7" t="str">
        <f>VLOOKUP(Table2[[#This Row],[Author]],People!A:B,2,0)</f>
        <v>LS</v>
      </c>
      <c r="K785" s="7"/>
      <c r="L785" s="7"/>
      <c r="M785" s="16" t="s">
        <v>1040</v>
      </c>
    </row>
    <row r="786" spans="1:13" x14ac:dyDescent="0.25">
      <c r="A786" s="22">
        <f t="shared" si="12"/>
        <v>785</v>
      </c>
      <c r="B786" s="6" t="s">
        <v>4851</v>
      </c>
      <c r="C786" s="6" t="s">
        <v>4928</v>
      </c>
      <c r="D786" s="6" t="s">
        <v>4944</v>
      </c>
      <c r="E786" s="6" t="s">
        <v>4945</v>
      </c>
      <c r="F786" s="6" t="s">
        <v>4877</v>
      </c>
      <c r="G786" s="6" t="s">
        <v>18</v>
      </c>
      <c r="H786" s="6" t="str">
        <f>IFERROR(VLOOKUP(Table2[[#This Row],[Ticket]],Okey!A:B,2,0),"")</f>
        <v>ok</v>
      </c>
      <c r="I786" s="6" t="s">
        <v>3679</v>
      </c>
      <c r="J786" s="6" t="str">
        <f>VLOOKUP(Table2[[#This Row],[Author]],People!A:B,2,0)</f>
        <v>LS</v>
      </c>
      <c r="K786" s="6"/>
      <c r="L786" s="6"/>
      <c r="M786" s="21" t="s">
        <v>1040</v>
      </c>
    </row>
    <row r="787" spans="1:13" x14ac:dyDescent="0.25">
      <c r="A787" s="23">
        <f t="shared" si="12"/>
        <v>786</v>
      </c>
      <c r="B787" s="7" t="s">
        <v>4851</v>
      </c>
      <c r="C787" s="7" t="s">
        <v>4928</v>
      </c>
      <c r="D787" s="7" t="s">
        <v>4946</v>
      </c>
      <c r="E787" s="7" t="s">
        <v>4947</v>
      </c>
      <c r="F787" s="7" t="s">
        <v>4877</v>
      </c>
      <c r="G787" s="7" t="s">
        <v>18</v>
      </c>
      <c r="H787" s="7" t="str">
        <f>IFERROR(VLOOKUP(Table2[[#This Row],[Ticket]],Okey!A:B,2,0),"")</f>
        <v>ok</v>
      </c>
      <c r="I787" s="7" t="s">
        <v>3679</v>
      </c>
      <c r="J787" s="7" t="str">
        <f>VLOOKUP(Table2[[#This Row],[Author]],People!A:B,2,0)</f>
        <v>LS</v>
      </c>
      <c r="K787" s="7"/>
      <c r="L787" s="7"/>
      <c r="M787" s="16" t="s">
        <v>1040</v>
      </c>
    </row>
    <row r="788" spans="1:13" x14ac:dyDescent="0.25">
      <c r="A788" s="22">
        <f t="shared" si="12"/>
        <v>787</v>
      </c>
      <c r="B788" s="6" t="s">
        <v>4851</v>
      </c>
      <c r="C788" s="6" t="s">
        <v>4928</v>
      </c>
      <c r="D788" s="6" t="s">
        <v>4948</v>
      </c>
      <c r="E788" s="6" t="s">
        <v>4949</v>
      </c>
      <c r="F788" s="6" t="s">
        <v>4877</v>
      </c>
      <c r="G788" s="6" t="s">
        <v>18</v>
      </c>
      <c r="H788" s="6" t="str">
        <f>IFERROR(VLOOKUP(Table2[[#This Row],[Ticket]],Okey!A:B,2,0),"")</f>
        <v>ok</v>
      </c>
      <c r="I788" s="6" t="s">
        <v>3679</v>
      </c>
      <c r="J788" s="6" t="str">
        <f>VLOOKUP(Table2[[#This Row],[Author]],People!A:B,2,0)</f>
        <v>LS</v>
      </c>
      <c r="K788" s="6"/>
      <c r="L788" s="6"/>
      <c r="M788" s="21" t="s">
        <v>1040</v>
      </c>
    </row>
    <row r="789" spans="1:13" x14ac:dyDescent="0.25">
      <c r="A789" s="23">
        <f t="shared" si="12"/>
        <v>788</v>
      </c>
      <c r="B789" s="7" t="s">
        <v>4851</v>
      </c>
      <c r="C789" s="7" t="s">
        <v>4928</v>
      </c>
      <c r="D789" s="7" t="s">
        <v>4950</v>
      </c>
      <c r="E789" s="7" t="s">
        <v>4951</v>
      </c>
      <c r="F789" s="7" t="s">
        <v>4877</v>
      </c>
      <c r="G789" s="7" t="s">
        <v>18</v>
      </c>
      <c r="H789" s="7" t="str">
        <f>IFERROR(VLOOKUP(Table2[[#This Row],[Ticket]],Okey!A:B,2,0),"")</f>
        <v>ok</v>
      </c>
      <c r="I789" s="7" t="s">
        <v>3679</v>
      </c>
      <c r="J789" s="7" t="str">
        <f>VLOOKUP(Table2[[#This Row],[Author]],People!A:B,2,0)</f>
        <v>LS</v>
      </c>
      <c r="K789" s="7"/>
      <c r="L789" s="7"/>
      <c r="M789" s="16" t="s">
        <v>1040</v>
      </c>
    </row>
    <row r="790" spans="1:13" x14ac:dyDescent="0.25">
      <c r="A790" s="22">
        <f t="shared" si="12"/>
        <v>789</v>
      </c>
      <c r="B790" s="6" t="s">
        <v>4851</v>
      </c>
      <c r="C790" s="6" t="s">
        <v>4928</v>
      </c>
      <c r="D790" s="6" t="s">
        <v>4952</v>
      </c>
      <c r="E790" s="6" t="s">
        <v>4953</v>
      </c>
      <c r="F790" s="6" t="s">
        <v>4877</v>
      </c>
      <c r="G790" s="6" t="s">
        <v>18</v>
      </c>
      <c r="H790" s="6" t="str">
        <f>IFERROR(VLOOKUP(Table2[[#This Row],[Ticket]],Okey!A:B,2,0),"")</f>
        <v>ok</v>
      </c>
      <c r="I790" s="6" t="s">
        <v>3679</v>
      </c>
      <c r="J790" s="6" t="str">
        <f>VLOOKUP(Table2[[#This Row],[Author]],People!A:B,2,0)</f>
        <v>LS</v>
      </c>
      <c r="K790" s="6"/>
      <c r="L790" s="6"/>
      <c r="M790" s="21" t="s">
        <v>1040</v>
      </c>
    </row>
    <row r="791" spans="1:13" x14ac:dyDescent="0.25">
      <c r="A791" s="23">
        <f t="shared" si="12"/>
        <v>790</v>
      </c>
      <c r="B791" s="7" t="s">
        <v>4851</v>
      </c>
      <c r="C791" s="7" t="s">
        <v>4928</v>
      </c>
      <c r="D791" s="7" t="s">
        <v>4954</v>
      </c>
      <c r="E791" s="7" t="s">
        <v>4955</v>
      </c>
      <c r="F791" s="7" t="s">
        <v>4877</v>
      </c>
      <c r="G791" s="7" t="s">
        <v>18</v>
      </c>
      <c r="H791" s="7" t="str">
        <f>IFERROR(VLOOKUP(Table2[[#This Row],[Ticket]],Okey!A:B,2,0),"")</f>
        <v>ok</v>
      </c>
      <c r="I791" s="7" t="s">
        <v>3679</v>
      </c>
      <c r="J791" s="7" t="str">
        <f>VLOOKUP(Table2[[#This Row],[Author]],People!A:B,2,0)</f>
        <v>LS</v>
      </c>
      <c r="K791" s="7"/>
      <c r="L791" s="7"/>
      <c r="M791" s="16" t="s">
        <v>1040</v>
      </c>
    </row>
    <row r="792" spans="1:13" x14ac:dyDescent="0.25">
      <c r="A792" s="22">
        <f t="shared" si="12"/>
        <v>791</v>
      </c>
      <c r="B792" s="6" t="s">
        <v>4851</v>
      </c>
      <c r="C792" s="6" t="s">
        <v>4928</v>
      </c>
      <c r="D792" s="6" t="s">
        <v>1432</v>
      </c>
      <c r="E792" s="6" t="s">
        <v>4956</v>
      </c>
      <c r="F792" s="6" t="s">
        <v>4877</v>
      </c>
      <c r="G792" s="6" t="s">
        <v>18</v>
      </c>
      <c r="H792" s="6" t="str">
        <f>IFERROR(VLOOKUP(Table2[[#This Row],[Ticket]],Okey!A:B,2,0),"")</f>
        <v>ok</v>
      </c>
      <c r="I792" s="6" t="s">
        <v>3679</v>
      </c>
      <c r="J792" s="6" t="str">
        <f>VLOOKUP(Table2[[#This Row],[Author]],People!A:B,2,0)</f>
        <v>LS</v>
      </c>
      <c r="K792" s="6"/>
      <c r="L792" s="6"/>
      <c r="M792" s="21" t="s">
        <v>1040</v>
      </c>
    </row>
    <row r="793" spans="1:13" x14ac:dyDescent="0.25">
      <c r="A793" s="23">
        <f t="shared" si="12"/>
        <v>792</v>
      </c>
      <c r="B793" s="7" t="s">
        <v>4851</v>
      </c>
      <c r="C793" s="7" t="s">
        <v>4928</v>
      </c>
      <c r="D793" s="7" t="s">
        <v>4957</v>
      </c>
      <c r="E793" s="7" t="s">
        <v>4958</v>
      </c>
      <c r="F793" s="7" t="s">
        <v>4877</v>
      </c>
      <c r="G793" s="7" t="s">
        <v>18</v>
      </c>
      <c r="H793" s="7" t="str">
        <f>IFERROR(VLOOKUP(Table2[[#This Row],[Ticket]],Okey!A:B,2,0),"")</f>
        <v>ok</v>
      </c>
      <c r="I793" s="7" t="s">
        <v>3679</v>
      </c>
      <c r="J793" s="7" t="str">
        <f>VLOOKUP(Table2[[#This Row],[Author]],People!A:B,2,0)</f>
        <v>LS</v>
      </c>
      <c r="K793" s="7"/>
      <c r="L793" s="7"/>
      <c r="M793" s="16" t="s">
        <v>1040</v>
      </c>
    </row>
    <row r="794" spans="1:13" x14ac:dyDescent="0.25">
      <c r="A794" s="22">
        <f t="shared" si="12"/>
        <v>793</v>
      </c>
      <c r="B794" s="6" t="s">
        <v>4851</v>
      </c>
      <c r="C794" s="6" t="s">
        <v>4928</v>
      </c>
      <c r="D794" s="6" t="s">
        <v>4959</v>
      </c>
      <c r="E794" s="6" t="s">
        <v>4960</v>
      </c>
      <c r="F794" s="6" t="s">
        <v>4877</v>
      </c>
      <c r="G794" s="6" t="s">
        <v>18</v>
      </c>
      <c r="H794" s="6" t="str">
        <f>IFERROR(VLOOKUP(Table2[[#This Row],[Ticket]],Okey!A:B,2,0),"")</f>
        <v>ok</v>
      </c>
      <c r="I794" s="6" t="s">
        <v>3679</v>
      </c>
      <c r="J794" s="6" t="str">
        <f>VLOOKUP(Table2[[#This Row],[Author]],People!A:B,2,0)</f>
        <v>LS</v>
      </c>
      <c r="K794" s="6"/>
      <c r="L794" s="6"/>
      <c r="M794" s="21" t="s">
        <v>1040</v>
      </c>
    </row>
    <row r="795" spans="1:13" x14ac:dyDescent="0.25">
      <c r="A795" s="23">
        <f t="shared" si="12"/>
        <v>794</v>
      </c>
      <c r="B795" s="7" t="s">
        <v>4851</v>
      </c>
      <c r="C795" s="7" t="s">
        <v>4928</v>
      </c>
      <c r="D795" s="7" t="s">
        <v>4961</v>
      </c>
      <c r="E795" s="7" t="s">
        <v>4962</v>
      </c>
      <c r="F795" s="7" t="s">
        <v>4877</v>
      </c>
      <c r="G795" s="7" t="s">
        <v>18</v>
      </c>
      <c r="H795" s="7" t="str">
        <f>IFERROR(VLOOKUP(Table2[[#This Row],[Ticket]],Okey!A:B,2,0),"")</f>
        <v>ok</v>
      </c>
      <c r="I795" s="7" t="s">
        <v>3679</v>
      </c>
      <c r="J795" s="7" t="str">
        <f>VLOOKUP(Table2[[#This Row],[Author]],People!A:B,2,0)</f>
        <v>LS</v>
      </c>
      <c r="K795" s="7"/>
      <c r="L795" s="7"/>
      <c r="M795" s="16" t="s">
        <v>1040</v>
      </c>
    </row>
    <row r="796" spans="1:13" x14ac:dyDescent="0.25">
      <c r="A796" s="22">
        <f t="shared" si="12"/>
        <v>795</v>
      </c>
      <c r="B796" s="6" t="s">
        <v>4851</v>
      </c>
      <c r="C796" s="6" t="s">
        <v>4928</v>
      </c>
      <c r="D796" s="6" t="s">
        <v>4963</v>
      </c>
      <c r="E796" s="6" t="s">
        <v>4964</v>
      </c>
      <c r="F796" s="6" t="s">
        <v>4877</v>
      </c>
      <c r="G796" s="6" t="s">
        <v>18</v>
      </c>
      <c r="H796" s="6" t="str">
        <f>IFERROR(VLOOKUP(Table2[[#This Row],[Ticket]],Okey!A:B,2,0),"")</f>
        <v>ok</v>
      </c>
      <c r="I796" s="6" t="s">
        <v>3679</v>
      </c>
      <c r="J796" s="6" t="str">
        <f>VLOOKUP(Table2[[#This Row],[Author]],People!A:B,2,0)</f>
        <v>LS</v>
      </c>
      <c r="K796" s="6"/>
      <c r="L796" s="6"/>
      <c r="M796" s="21" t="s">
        <v>1040</v>
      </c>
    </row>
    <row r="797" spans="1:13" x14ac:dyDescent="0.25">
      <c r="A797" s="23">
        <f t="shared" si="12"/>
        <v>796</v>
      </c>
      <c r="B797" s="7" t="s">
        <v>4851</v>
      </c>
      <c r="C797" s="7" t="s">
        <v>4928</v>
      </c>
      <c r="D797" s="7" t="s">
        <v>4965</v>
      </c>
      <c r="E797" s="7" t="s">
        <v>4966</v>
      </c>
      <c r="F797" s="7" t="s">
        <v>4877</v>
      </c>
      <c r="G797" s="7" t="s">
        <v>18</v>
      </c>
      <c r="H797" s="7" t="str">
        <f>IFERROR(VLOOKUP(Table2[[#This Row],[Ticket]],Okey!A:B,2,0),"")</f>
        <v>ok</v>
      </c>
      <c r="I797" s="7" t="s">
        <v>3679</v>
      </c>
      <c r="J797" s="7" t="str">
        <f>VLOOKUP(Table2[[#This Row],[Author]],People!A:B,2,0)</f>
        <v>LS</v>
      </c>
      <c r="K797" s="7"/>
      <c r="L797" s="7"/>
      <c r="M797" s="16" t="s">
        <v>1040</v>
      </c>
    </row>
    <row r="798" spans="1:13" x14ac:dyDescent="0.25">
      <c r="A798" s="22">
        <f t="shared" si="12"/>
        <v>797</v>
      </c>
      <c r="B798" s="6" t="s">
        <v>4851</v>
      </c>
      <c r="C798" s="6" t="s">
        <v>4928</v>
      </c>
      <c r="D798" s="6" t="s">
        <v>4967</v>
      </c>
      <c r="E798" s="6" t="s">
        <v>4968</v>
      </c>
      <c r="F798" s="6" t="s">
        <v>4877</v>
      </c>
      <c r="G798" s="6" t="s">
        <v>18</v>
      </c>
      <c r="H798" s="6" t="str">
        <f>IFERROR(VLOOKUP(Table2[[#This Row],[Ticket]],Okey!A:B,2,0),"")</f>
        <v>ok</v>
      </c>
      <c r="I798" s="6" t="s">
        <v>3679</v>
      </c>
      <c r="J798" s="6" t="str">
        <f>VLOOKUP(Table2[[#This Row],[Author]],People!A:B,2,0)</f>
        <v>LS</v>
      </c>
      <c r="K798" s="6"/>
      <c r="L798" s="6"/>
      <c r="M798" s="21" t="s">
        <v>1040</v>
      </c>
    </row>
    <row r="799" spans="1:13" x14ac:dyDescent="0.25">
      <c r="A799" s="23">
        <f t="shared" si="12"/>
        <v>798</v>
      </c>
      <c r="B799" s="7" t="s">
        <v>4851</v>
      </c>
      <c r="C799" s="7" t="s">
        <v>4928</v>
      </c>
      <c r="D799" s="7" t="s">
        <v>4969</v>
      </c>
      <c r="E799" s="7" t="s">
        <v>4970</v>
      </c>
      <c r="F799" s="7" t="s">
        <v>4877</v>
      </c>
      <c r="G799" s="7" t="s">
        <v>18</v>
      </c>
      <c r="H799" s="7" t="str">
        <f>IFERROR(VLOOKUP(Table2[[#This Row],[Ticket]],Okey!A:B,2,0),"")</f>
        <v>ok</v>
      </c>
      <c r="I799" s="7" t="s">
        <v>3679</v>
      </c>
      <c r="J799" s="7" t="str">
        <f>VLOOKUP(Table2[[#This Row],[Author]],People!A:B,2,0)</f>
        <v>LS</v>
      </c>
      <c r="K799" s="7"/>
      <c r="L799" s="7"/>
      <c r="M799" s="16" t="s">
        <v>1040</v>
      </c>
    </row>
    <row r="800" spans="1:13" x14ac:dyDescent="0.25">
      <c r="A800" s="22">
        <f t="shared" si="12"/>
        <v>799</v>
      </c>
      <c r="B800" s="6" t="s">
        <v>4851</v>
      </c>
      <c r="C800" s="6" t="s">
        <v>4928</v>
      </c>
      <c r="D800" s="6" t="s">
        <v>4971</v>
      </c>
      <c r="E800" s="6" t="s">
        <v>4972</v>
      </c>
      <c r="F800" s="6" t="s">
        <v>4877</v>
      </c>
      <c r="G800" s="6" t="s">
        <v>18</v>
      </c>
      <c r="H800" s="6" t="str">
        <f>IFERROR(VLOOKUP(Table2[[#This Row],[Ticket]],Okey!A:B,2,0),"")</f>
        <v>ok</v>
      </c>
      <c r="I800" s="6" t="s">
        <v>3679</v>
      </c>
      <c r="J800" s="6" t="str">
        <f>VLOOKUP(Table2[[#This Row],[Author]],People!A:B,2,0)</f>
        <v>LS</v>
      </c>
      <c r="K800" s="6"/>
      <c r="L800" s="6"/>
      <c r="M800" s="21" t="s">
        <v>1040</v>
      </c>
    </row>
    <row r="801" spans="1:13" x14ac:dyDescent="0.25">
      <c r="A801" s="23">
        <f t="shared" si="12"/>
        <v>800</v>
      </c>
      <c r="B801" s="7" t="s">
        <v>4851</v>
      </c>
      <c r="C801" s="7" t="s">
        <v>4928</v>
      </c>
      <c r="D801" s="7" t="s">
        <v>4973</v>
      </c>
      <c r="E801" s="7" t="s">
        <v>4974</v>
      </c>
      <c r="F801" s="7" t="s">
        <v>4877</v>
      </c>
      <c r="G801" s="7" t="s">
        <v>18</v>
      </c>
      <c r="H801" s="7" t="str">
        <f>IFERROR(VLOOKUP(Table2[[#This Row],[Ticket]],Okey!A:B,2,0),"")</f>
        <v>ok</v>
      </c>
      <c r="I801" s="7" t="s">
        <v>3679</v>
      </c>
      <c r="J801" s="7" t="str">
        <f>VLOOKUP(Table2[[#This Row],[Author]],People!A:B,2,0)</f>
        <v>LS</v>
      </c>
      <c r="K801" s="7"/>
      <c r="L801" s="7"/>
      <c r="M801" s="16" t="s">
        <v>1040</v>
      </c>
    </row>
    <row r="802" spans="1:13" x14ac:dyDescent="0.25">
      <c r="A802" s="22">
        <f t="shared" si="12"/>
        <v>801</v>
      </c>
      <c r="B802" s="6" t="s">
        <v>4851</v>
      </c>
      <c r="C802" s="6" t="s">
        <v>4928</v>
      </c>
      <c r="D802" s="6" t="s">
        <v>4975</v>
      </c>
      <c r="E802" s="6" t="s">
        <v>4976</v>
      </c>
      <c r="F802" s="6" t="s">
        <v>2492</v>
      </c>
      <c r="G802" s="6" t="s">
        <v>18</v>
      </c>
      <c r="H802" s="6" t="str">
        <f>IFERROR(VLOOKUP(Table2[[#This Row],[Ticket]],Okey!A:B,2,0),"")</f>
        <v>ok</v>
      </c>
      <c r="I802" s="6" t="s">
        <v>3679</v>
      </c>
      <c r="J802" s="6" t="str">
        <f>VLOOKUP(Table2[[#This Row],[Author]],People!A:B,2,0)</f>
        <v>LS</v>
      </c>
      <c r="K802" s="6"/>
      <c r="L802" s="6"/>
      <c r="M802" s="21" t="s">
        <v>1040</v>
      </c>
    </row>
    <row r="803" spans="1:13" x14ac:dyDescent="0.25">
      <c r="A803" s="23">
        <f t="shared" si="12"/>
        <v>802</v>
      </c>
      <c r="B803" s="7" t="s">
        <v>4851</v>
      </c>
      <c r="C803" s="7" t="s">
        <v>4928</v>
      </c>
      <c r="D803" s="7" t="s">
        <v>1326</v>
      </c>
      <c r="E803" s="7" t="s">
        <v>4977</v>
      </c>
      <c r="F803" s="7" t="s">
        <v>2492</v>
      </c>
      <c r="G803" s="7" t="s">
        <v>18</v>
      </c>
      <c r="H803" s="7" t="str">
        <f>IFERROR(VLOOKUP(Table2[[#This Row],[Ticket]],Okey!A:B,2,0),"")</f>
        <v>ok</v>
      </c>
      <c r="I803" s="7" t="s">
        <v>3679</v>
      </c>
      <c r="J803" s="7" t="str">
        <f>VLOOKUP(Table2[[#This Row],[Author]],People!A:B,2,0)</f>
        <v>LS</v>
      </c>
      <c r="K803" s="7"/>
      <c r="L803" s="7"/>
      <c r="M803" s="16" t="s">
        <v>1040</v>
      </c>
    </row>
    <row r="804" spans="1:13" x14ac:dyDescent="0.25">
      <c r="A804" s="22">
        <f t="shared" si="12"/>
        <v>803</v>
      </c>
      <c r="B804" s="6" t="s">
        <v>4851</v>
      </c>
      <c r="C804" s="6" t="s">
        <v>4928</v>
      </c>
      <c r="D804" s="6" t="s">
        <v>4978</v>
      </c>
      <c r="E804" s="6"/>
      <c r="F804" s="6"/>
      <c r="G804" s="6" t="s">
        <v>328</v>
      </c>
      <c r="H804" s="6" t="str">
        <f>IFERROR(VLOOKUP(Table2[[#This Row],[Ticket]],Okey!A:B,2,0),"")</f>
        <v>ok</v>
      </c>
      <c r="I804" s="6" t="s">
        <v>3679</v>
      </c>
      <c r="J804" s="6" t="str">
        <f>VLOOKUP(Table2[[#This Row],[Author]],People!A:B,2,0)</f>
        <v>LS</v>
      </c>
      <c r="K804" s="6"/>
      <c r="L804" s="6"/>
      <c r="M804" s="21" t="s">
        <v>1040</v>
      </c>
    </row>
    <row r="805" spans="1:13" x14ac:dyDescent="0.25">
      <c r="A805" s="23">
        <f t="shared" si="12"/>
        <v>804</v>
      </c>
      <c r="B805" s="7" t="s">
        <v>4851</v>
      </c>
      <c r="C805" s="7" t="s">
        <v>4928</v>
      </c>
      <c r="D805" s="7" t="s">
        <v>4979</v>
      </c>
      <c r="E805" s="7"/>
      <c r="F805" s="7"/>
      <c r="G805" s="7" t="s">
        <v>328</v>
      </c>
      <c r="H805" s="7" t="str">
        <f>IFERROR(VLOOKUP(Table2[[#This Row],[Ticket]],Okey!A:B,2,0),"")</f>
        <v>ok</v>
      </c>
      <c r="I805" s="7" t="s">
        <v>3679</v>
      </c>
      <c r="J805" s="7" t="str">
        <f>VLOOKUP(Table2[[#This Row],[Author]],People!A:B,2,0)</f>
        <v>LS</v>
      </c>
      <c r="K805" s="7"/>
      <c r="L805" s="7"/>
      <c r="M805" s="16" t="s">
        <v>1040</v>
      </c>
    </row>
    <row r="806" spans="1:13" x14ac:dyDescent="0.25">
      <c r="A806" s="22">
        <f t="shared" si="12"/>
        <v>805</v>
      </c>
      <c r="B806" s="6" t="s">
        <v>4851</v>
      </c>
      <c r="C806" s="6" t="s">
        <v>4928</v>
      </c>
      <c r="D806" s="6" t="s">
        <v>4980</v>
      </c>
      <c r="E806" s="6"/>
      <c r="F806" s="6"/>
      <c r="G806" s="6" t="s">
        <v>328</v>
      </c>
      <c r="H806" s="6" t="str">
        <f>IFERROR(VLOOKUP(Table2[[#This Row],[Ticket]],Okey!A:B,2,0),"")</f>
        <v>ok</v>
      </c>
      <c r="I806" s="6" t="s">
        <v>3679</v>
      </c>
      <c r="J806" s="6" t="str">
        <f>VLOOKUP(Table2[[#This Row],[Author]],People!A:B,2,0)</f>
        <v>LS</v>
      </c>
      <c r="K806" s="6"/>
      <c r="L806" s="6"/>
      <c r="M806" s="21" t="s">
        <v>1040</v>
      </c>
    </row>
    <row r="807" spans="1:13" x14ac:dyDescent="0.25">
      <c r="A807" s="23">
        <f t="shared" si="12"/>
        <v>806</v>
      </c>
      <c r="B807" s="7" t="s">
        <v>4851</v>
      </c>
      <c r="C807" s="7" t="s">
        <v>4928</v>
      </c>
      <c r="D807" s="7" t="s">
        <v>4981</v>
      </c>
      <c r="E807" s="7"/>
      <c r="F807" s="7"/>
      <c r="G807" s="7" t="s">
        <v>328</v>
      </c>
      <c r="H807" s="7" t="str">
        <f>IFERROR(VLOOKUP(Table2[[#This Row],[Ticket]],Okey!A:B,2,0),"")</f>
        <v>ok</v>
      </c>
      <c r="I807" s="7" t="s">
        <v>3679</v>
      </c>
      <c r="J807" s="7" t="str">
        <f>VLOOKUP(Table2[[#This Row],[Author]],People!A:B,2,0)</f>
        <v>LS</v>
      </c>
      <c r="K807" s="7"/>
      <c r="L807" s="7"/>
      <c r="M807" s="16" t="s">
        <v>1040</v>
      </c>
    </row>
    <row r="808" spans="1:13" x14ac:dyDescent="0.25">
      <c r="A808" s="22">
        <f t="shared" si="12"/>
        <v>807</v>
      </c>
      <c r="B808" s="6" t="s">
        <v>4851</v>
      </c>
      <c r="C808" s="6" t="s">
        <v>4928</v>
      </c>
      <c r="D808" s="6" t="s">
        <v>4982</v>
      </c>
      <c r="E808" s="6"/>
      <c r="F808" s="6"/>
      <c r="G808" s="6" t="s">
        <v>328</v>
      </c>
      <c r="H808" s="6" t="str">
        <f>IFERROR(VLOOKUP(Table2[[#This Row],[Ticket]],Okey!A:B,2,0),"")</f>
        <v>ok</v>
      </c>
      <c r="I808" s="6" t="s">
        <v>3679</v>
      </c>
      <c r="J808" s="6" t="str">
        <f>VLOOKUP(Table2[[#This Row],[Author]],People!A:B,2,0)</f>
        <v>LS</v>
      </c>
      <c r="K808" s="6"/>
      <c r="L808" s="6"/>
      <c r="M808" s="21" t="s">
        <v>1040</v>
      </c>
    </row>
    <row r="809" spans="1:13" x14ac:dyDescent="0.25">
      <c r="A809" s="23">
        <f t="shared" si="12"/>
        <v>808</v>
      </c>
      <c r="B809" s="7" t="s">
        <v>4851</v>
      </c>
      <c r="C809" s="7" t="s">
        <v>4928</v>
      </c>
      <c r="D809" s="7" t="s">
        <v>4983</v>
      </c>
      <c r="E809" s="7"/>
      <c r="F809" s="7"/>
      <c r="G809" s="7" t="s">
        <v>328</v>
      </c>
      <c r="H809" s="7" t="str">
        <f>IFERROR(VLOOKUP(Table2[[#This Row],[Ticket]],Okey!A:B,2,0),"")</f>
        <v>ok</v>
      </c>
      <c r="I809" s="7" t="s">
        <v>3679</v>
      </c>
      <c r="J809" s="7" t="str">
        <f>VLOOKUP(Table2[[#This Row],[Author]],People!A:B,2,0)</f>
        <v>LS</v>
      </c>
      <c r="K809" s="7"/>
      <c r="L809" s="7"/>
      <c r="M809" s="16" t="s">
        <v>1040</v>
      </c>
    </row>
    <row r="810" spans="1:13" x14ac:dyDescent="0.25">
      <c r="A810" s="22">
        <f t="shared" si="12"/>
        <v>809</v>
      </c>
      <c r="B810" s="6" t="s">
        <v>4851</v>
      </c>
      <c r="C810" s="6" t="s">
        <v>4928</v>
      </c>
      <c r="D810" s="6" t="s">
        <v>4984</v>
      </c>
      <c r="E810" s="6"/>
      <c r="F810" s="6"/>
      <c r="G810" s="6" t="s">
        <v>328</v>
      </c>
      <c r="H810" s="6" t="str">
        <f>IFERROR(VLOOKUP(Table2[[#This Row],[Ticket]],Okey!A:B,2,0),"")</f>
        <v>ok</v>
      </c>
      <c r="I810" s="6" t="s">
        <v>3679</v>
      </c>
      <c r="J810" s="6" t="str">
        <f>VLOOKUP(Table2[[#This Row],[Author]],People!A:B,2,0)</f>
        <v>LS</v>
      </c>
      <c r="K810" s="6"/>
      <c r="L810" s="6"/>
      <c r="M810" s="21" t="s">
        <v>1040</v>
      </c>
    </row>
    <row r="811" spans="1:13" x14ac:dyDescent="0.25">
      <c r="A811" s="23">
        <f t="shared" si="12"/>
        <v>810</v>
      </c>
      <c r="B811" s="7" t="s">
        <v>4851</v>
      </c>
      <c r="C811" s="7" t="s">
        <v>4928</v>
      </c>
      <c r="D811" s="7" t="s">
        <v>4985</v>
      </c>
      <c r="E811" s="7"/>
      <c r="F811" s="7"/>
      <c r="G811" s="7" t="s">
        <v>328</v>
      </c>
      <c r="H811" s="7" t="str">
        <f>IFERROR(VLOOKUP(Table2[[#This Row],[Ticket]],Okey!A:B,2,0),"")</f>
        <v>ok</v>
      </c>
      <c r="I811" s="7" t="s">
        <v>3679</v>
      </c>
      <c r="J811" s="7" t="str">
        <f>VLOOKUP(Table2[[#This Row],[Author]],People!A:B,2,0)</f>
        <v>LS</v>
      </c>
      <c r="K811" s="7"/>
      <c r="L811" s="7"/>
      <c r="M811" s="16" t="s">
        <v>1040</v>
      </c>
    </row>
    <row r="812" spans="1:13" x14ac:dyDescent="0.25">
      <c r="A812" s="22">
        <f t="shared" si="12"/>
        <v>811</v>
      </c>
      <c r="B812" s="6" t="s">
        <v>4851</v>
      </c>
      <c r="C812" s="6" t="s">
        <v>4928</v>
      </c>
      <c r="D812" s="6" t="s">
        <v>4986</v>
      </c>
      <c r="E812" s="6"/>
      <c r="F812" s="6"/>
      <c r="G812" s="6" t="s">
        <v>328</v>
      </c>
      <c r="H812" s="6" t="str">
        <f>IFERROR(VLOOKUP(Table2[[#This Row],[Ticket]],Okey!A:B,2,0),"")</f>
        <v>ok</v>
      </c>
      <c r="I812" s="6" t="s">
        <v>3679</v>
      </c>
      <c r="J812" s="6" t="str">
        <f>VLOOKUP(Table2[[#This Row],[Author]],People!A:B,2,0)</f>
        <v>LS</v>
      </c>
      <c r="K812" s="6"/>
      <c r="L812" s="6"/>
      <c r="M812" s="21" t="s">
        <v>1040</v>
      </c>
    </row>
    <row r="813" spans="1:13" x14ac:dyDescent="0.25">
      <c r="A813" s="23">
        <f t="shared" si="12"/>
        <v>812</v>
      </c>
      <c r="B813" s="7" t="s">
        <v>4851</v>
      </c>
      <c r="C813" s="7" t="s">
        <v>4928</v>
      </c>
      <c r="D813" s="7" t="s">
        <v>4987</v>
      </c>
      <c r="E813" s="7"/>
      <c r="F813" s="7"/>
      <c r="G813" s="7" t="s">
        <v>328</v>
      </c>
      <c r="H813" s="7" t="str">
        <f>IFERROR(VLOOKUP(Table2[[#This Row],[Ticket]],Okey!A:B,2,0),"")</f>
        <v>ok</v>
      </c>
      <c r="I813" s="7" t="s">
        <v>3679</v>
      </c>
      <c r="J813" s="7" t="str">
        <f>VLOOKUP(Table2[[#This Row],[Author]],People!A:B,2,0)</f>
        <v>LS</v>
      </c>
      <c r="K813" s="7"/>
      <c r="L813" s="7"/>
      <c r="M813" s="16" t="s">
        <v>1040</v>
      </c>
    </row>
    <row r="814" spans="1:13" x14ac:dyDescent="0.25">
      <c r="A814" s="22">
        <f t="shared" si="12"/>
        <v>813</v>
      </c>
      <c r="B814" s="6" t="s">
        <v>4851</v>
      </c>
      <c r="C814" s="6" t="s">
        <v>4928</v>
      </c>
      <c r="D814" s="6" t="s">
        <v>4988</v>
      </c>
      <c r="E814" s="6"/>
      <c r="F814" s="6"/>
      <c r="G814" s="6" t="s">
        <v>328</v>
      </c>
      <c r="H814" s="6" t="str">
        <f>IFERROR(VLOOKUP(Table2[[#This Row],[Ticket]],Okey!A:B,2,0),"")</f>
        <v>ok</v>
      </c>
      <c r="I814" s="6" t="s">
        <v>3679</v>
      </c>
      <c r="J814" s="6" t="str">
        <f>VLOOKUP(Table2[[#This Row],[Author]],People!A:B,2,0)</f>
        <v>LS</v>
      </c>
      <c r="K814" s="6"/>
      <c r="L814" s="6"/>
      <c r="M814" s="21" t="s">
        <v>1040</v>
      </c>
    </row>
    <row r="815" spans="1:13" x14ac:dyDescent="0.25">
      <c r="A815" s="23">
        <f t="shared" si="12"/>
        <v>814</v>
      </c>
      <c r="B815" s="7" t="s">
        <v>4851</v>
      </c>
      <c r="C815" s="7" t="s">
        <v>4928</v>
      </c>
      <c r="D815" s="7" t="s">
        <v>4989</v>
      </c>
      <c r="E815" s="7"/>
      <c r="F815" s="7"/>
      <c r="G815" s="7" t="s">
        <v>328</v>
      </c>
      <c r="H815" s="7" t="str">
        <f>IFERROR(VLOOKUP(Table2[[#This Row],[Ticket]],Okey!A:B,2,0),"")</f>
        <v>ok</v>
      </c>
      <c r="I815" s="7" t="s">
        <v>3679</v>
      </c>
      <c r="J815" s="7" t="str">
        <f>VLOOKUP(Table2[[#This Row],[Author]],People!A:B,2,0)</f>
        <v>LS</v>
      </c>
      <c r="K815" s="7"/>
      <c r="L815" s="7"/>
      <c r="M815" s="16" t="s">
        <v>1040</v>
      </c>
    </row>
    <row r="816" spans="1:13" x14ac:dyDescent="0.25">
      <c r="A816" s="22">
        <f t="shared" si="12"/>
        <v>815</v>
      </c>
      <c r="B816" s="6" t="s">
        <v>4851</v>
      </c>
      <c r="C816" s="6" t="s">
        <v>4928</v>
      </c>
      <c r="D816" s="6" t="s">
        <v>4990</v>
      </c>
      <c r="E816" s="6"/>
      <c r="F816" s="6"/>
      <c r="G816" s="6" t="s">
        <v>328</v>
      </c>
      <c r="H816" s="6" t="str">
        <f>IFERROR(VLOOKUP(Table2[[#This Row],[Ticket]],Okey!A:B,2,0),"")</f>
        <v>ok</v>
      </c>
      <c r="I816" s="6" t="s">
        <v>3679</v>
      </c>
      <c r="J816" s="6" t="str">
        <f>VLOOKUP(Table2[[#This Row],[Author]],People!A:B,2,0)</f>
        <v>LS</v>
      </c>
      <c r="K816" s="6"/>
      <c r="L816" s="6"/>
      <c r="M816" s="21" t="s">
        <v>1040</v>
      </c>
    </row>
    <row r="817" spans="1:13" x14ac:dyDescent="0.25">
      <c r="A817" s="23">
        <f t="shared" si="12"/>
        <v>816</v>
      </c>
      <c r="B817" s="7" t="s">
        <v>4851</v>
      </c>
      <c r="C817" s="7" t="s">
        <v>4928</v>
      </c>
      <c r="D817" s="7" t="s">
        <v>4991</v>
      </c>
      <c r="E817" s="7"/>
      <c r="F817" s="7"/>
      <c r="G817" s="7" t="s">
        <v>328</v>
      </c>
      <c r="H817" s="7" t="str">
        <f>IFERROR(VLOOKUP(Table2[[#This Row],[Ticket]],Okey!A:B,2,0),"")</f>
        <v>ok</v>
      </c>
      <c r="I817" s="7" t="s">
        <v>3679</v>
      </c>
      <c r="J817" s="7" t="str">
        <f>VLOOKUP(Table2[[#This Row],[Author]],People!A:B,2,0)</f>
        <v>LS</v>
      </c>
      <c r="K817" s="7"/>
      <c r="L817" s="7"/>
      <c r="M817" s="16" t="s">
        <v>1040</v>
      </c>
    </row>
    <row r="818" spans="1:13" x14ac:dyDescent="0.25">
      <c r="A818" s="22">
        <f t="shared" si="12"/>
        <v>817</v>
      </c>
      <c r="B818" s="6" t="s">
        <v>4851</v>
      </c>
      <c r="C818" s="6" t="s">
        <v>4928</v>
      </c>
      <c r="D818" s="6" t="s">
        <v>4992</v>
      </c>
      <c r="E818" s="6"/>
      <c r="F818" s="6"/>
      <c r="G818" s="6" t="s">
        <v>328</v>
      </c>
      <c r="H818" s="6" t="str">
        <f>IFERROR(VLOOKUP(Table2[[#This Row],[Ticket]],Okey!A:B,2,0),"")</f>
        <v>ok</v>
      </c>
      <c r="I818" s="6" t="s">
        <v>3679</v>
      </c>
      <c r="J818" s="6" t="str">
        <f>VLOOKUP(Table2[[#This Row],[Author]],People!A:B,2,0)</f>
        <v>LS</v>
      </c>
      <c r="K818" s="6"/>
      <c r="L818" s="6"/>
      <c r="M818" s="21" t="s">
        <v>1040</v>
      </c>
    </row>
    <row r="819" spans="1:13" x14ac:dyDescent="0.25">
      <c r="A819" s="23">
        <f t="shared" si="12"/>
        <v>818</v>
      </c>
      <c r="B819" s="7" t="s">
        <v>4851</v>
      </c>
      <c r="C819" s="7" t="s">
        <v>4928</v>
      </c>
      <c r="D819" s="7" t="s">
        <v>4993</v>
      </c>
      <c r="E819" s="7"/>
      <c r="F819" s="7"/>
      <c r="G819" s="7" t="s">
        <v>328</v>
      </c>
      <c r="H819" s="7" t="str">
        <f>IFERROR(VLOOKUP(Table2[[#This Row],[Ticket]],Okey!A:B,2,0),"")</f>
        <v>ok</v>
      </c>
      <c r="I819" s="7" t="s">
        <v>3679</v>
      </c>
      <c r="J819" s="7" t="str">
        <f>VLOOKUP(Table2[[#This Row],[Author]],People!A:B,2,0)</f>
        <v>LS</v>
      </c>
      <c r="K819" s="7"/>
      <c r="L819" s="7"/>
      <c r="M819" s="16" t="s">
        <v>1040</v>
      </c>
    </row>
    <row r="820" spans="1:13" x14ac:dyDescent="0.25">
      <c r="A820" s="22">
        <f t="shared" si="12"/>
        <v>819</v>
      </c>
      <c r="B820" s="6" t="s">
        <v>4851</v>
      </c>
      <c r="C820" s="6" t="s">
        <v>4928</v>
      </c>
      <c r="D820" s="6" t="s">
        <v>4994</v>
      </c>
      <c r="E820" s="6"/>
      <c r="F820" s="6"/>
      <c r="G820" s="6" t="s">
        <v>328</v>
      </c>
      <c r="H820" s="6" t="str">
        <f>IFERROR(VLOOKUP(Table2[[#This Row],[Ticket]],Okey!A:B,2,0),"")</f>
        <v>ok</v>
      </c>
      <c r="I820" s="6" t="s">
        <v>3679</v>
      </c>
      <c r="J820" s="6" t="str">
        <f>VLOOKUP(Table2[[#This Row],[Author]],People!A:B,2,0)</f>
        <v>LS</v>
      </c>
      <c r="K820" s="6"/>
      <c r="L820" s="6"/>
      <c r="M820" s="21" t="s">
        <v>1040</v>
      </c>
    </row>
    <row r="821" spans="1:13" x14ac:dyDescent="0.25">
      <c r="A821" s="23">
        <f t="shared" si="12"/>
        <v>820</v>
      </c>
      <c r="B821" s="7" t="s">
        <v>4851</v>
      </c>
      <c r="C821" s="7" t="s">
        <v>4928</v>
      </c>
      <c r="D821" s="7" t="s">
        <v>4995</v>
      </c>
      <c r="E821" s="7"/>
      <c r="F821" s="7"/>
      <c r="G821" s="7" t="s">
        <v>328</v>
      </c>
      <c r="H821" s="7" t="str">
        <f>IFERROR(VLOOKUP(Table2[[#This Row],[Ticket]],Okey!A:B,2,0),"")</f>
        <v>ok</v>
      </c>
      <c r="I821" s="7" t="s">
        <v>3679</v>
      </c>
      <c r="J821" s="7" t="str">
        <f>VLOOKUP(Table2[[#This Row],[Author]],People!A:B,2,0)</f>
        <v>LS</v>
      </c>
      <c r="K821" s="7"/>
      <c r="L821" s="7"/>
      <c r="M821" s="16" t="s">
        <v>1040</v>
      </c>
    </row>
    <row r="822" spans="1:13" x14ac:dyDescent="0.25">
      <c r="A822" s="22">
        <f t="shared" si="12"/>
        <v>821</v>
      </c>
      <c r="B822" s="6" t="s">
        <v>4851</v>
      </c>
      <c r="C822" s="6" t="s">
        <v>4928</v>
      </c>
      <c r="D822" s="6" t="s">
        <v>4996</v>
      </c>
      <c r="E822" s="6"/>
      <c r="F822" s="6"/>
      <c r="G822" s="6" t="s">
        <v>328</v>
      </c>
      <c r="H822" s="6" t="str">
        <f>IFERROR(VLOOKUP(Table2[[#This Row],[Ticket]],Okey!A:B,2,0),"")</f>
        <v>ok</v>
      </c>
      <c r="I822" s="6" t="s">
        <v>3679</v>
      </c>
      <c r="J822" s="6" t="str">
        <f>VLOOKUP(Table2[[#This Row],[Author]],People!A:B,2,0)</f>
        <v>LS</v>
      </c>
      <c r="K822" s="6"/>
      <c r="L822" s="6"/>
      <c r="M822" s="21" t="s">
        <v>1040</v>
      </c>
    </row>
    <row r="823" spans="1:13" x14ac:dyDescent="0.25">
      <c r="A823" s="23">
        <f t="shared" si="12"/>
        <v>822</v>
      </c>
      <c r="B823" s="7" t="s">
        <v>4851</v>
      </c>
      <c r="C823" s="7" t="s">
        <v>4928</v>
      </c>
      <c r="D823" s="7" t="s">
        <v>4997</v>
      </c>
      <c r="E823" s="7"/>
      <c r="F823" s="7"/>
      <c r="G823" s="7" t="s">
        <v>328</v>
      </c>
      <c r="H823" s="7" t="str">
        <f>IFERROR(VLOOKUP(Table2[[#This Row],[Ticket]],Okey!A:B,2,0),"")</f>
        <v>ok</v>
      </c>
      <c r="I823" s="7" t="s">
        <v>3679</v>
      </c>
      <c r="J823" s="7" t="str">
        <f>VLOOKUP(Table2[[#This Row],[Author]],People!A:B,2,0)</f>
        <v>LS</v>
      </c>
      <c r="K823" s="7"/>
      <c r="L823" s="7"/>
      <c r="M823" s="16" t="s">
        <v>1040</v>
      </c>
    </row>
    <row r="824" spans="1:13" x14ac:dyDescent="0.25">
      <c r="A824" s="22">
        <f t="shared" si="12"/>
        <v>823</v>
      </c>
      <c r="B824" s="6" t="s">
        <v>4851</v>
      </c>
      <c r="C824" s="6" t="s">
        <v>4928</v>
      </c>
      <c r="D824" s="6" t="s">
        <v>4998</v>
      </c>
      <c r="E824" s="6"/>
      <c r="F824" s="6"/>
      <c r="G824" s="6" t="s">
        <v>328</v>
      </c>
      <c r="H824" s="6" t="str">
        <f>IFERROR(VLOOKUP(Table2[[#This Row],[Ticket]],Okey!A:B,2,0),"")</f>
        <v>ok</v>
      </c>
      <c r="I824" s="6" t="s">
        <v>3679</v>
      </c>
      <c r="J824" s="6" t="str">
        <f>VLOOKUP(Table2[[#This Row],[Author]],People!A:B,2,0)</f>
        <v>LS</v>
      </c>
      <c r="K824" s="6"/>
      <c r="L824" s="6"/>
      <c r="M824" s="21" t="s">
        <v>1040</v>
      </c>
    </row>
    <row r="825" spans="1:13" x14ac:dyDescent="0.25">
      <c r="A825" s="23">
        <f t="shared" si="12"/>
        <v>824</v>
      </c>
      <c r="B825" s="7" t="s">
        <v>4851</v>
      </c>
      <c r="C825" s="7" t="s">
        <v>4928</v>
      </c>
      <c r="D825" s="7" t="s">
        <v>4999</v>
      </c>
      <c r="E825" s="7"/>
      <c r="F825" s="7"/>
      <c r="G825" s="7" t="s">
        <v>328</v>
      </c>
      <c r="H825" s="7" t="str">
        <f>IFERROR(VLOOKUP(Table2[[#This Row],[Ticket]],Okey!A:B,2,0),"")</f>
        <v>ok</v>
      </c>
      <c r="I825" s="7" t="s">
        <v>3679</v>
      </c>
      <c r="J825" s="7" t="str">
        <f>VLOOKUP(Table2[[#This Row],[Author]],People!A:B,2,0)</f>
        <v>LS</v>
      </c>
      <c r="K825" s="7"/>
      <c r="L825" s="7"/>
      <c r="M825" s="16" t="s">
        <v>1040</v>
      </c>
    </row>
    <row r="826" spans="1:13" x14ac:dyDescent="0.25">
      <c r="A826" s="22">
        <f t="shared" si="12"/>
        <v>825</v>
      </c>
      <c r="B826" s="6" t="s">
        <v>4851</v>
      </c>
      <c r="C826" s="6" t="s">
        <v>4928</v>
      </c>
      <c r="D826" s="6" t="s">
        <v>5000</v>
      </c>
      <c r="E826" s="6"/>
      <c r="F826" s="6"/>
      <c r="G826" s="6" t="s">
        <v>328</v>
      </c>
      <c r="H826" s="6" t="str">
        <f>IFERROR(VLOOKUP(Table2[[#This Row],[Ticket]],Okey!A:B,2,0),"")</f>
        <v>ok</v>
      </c>
      <c r="I826" s="6" t="s">
        <v>3679</v>
      </c>
      <c r="J826" s="6" t="str">
        <f>VLOOKUP(Table2[[#This Row],[Author]],People!A:B,2,0)</f>
        <v>LS</v>
      </c>
      <c r="K826" s="6"/>
      <c r="L826" s="6"/>
      <c r="M826" s="21" t="s">
        <v>1040</v>
      </c>
    </row>
    <row r="827" spans="1:13" x14ac:dyDescent="0.25">
      <c r="A827" s="23">
        <f t="shared" si="12"/>
        <v>826</v>
      </c>
      <c r="B827" s="7" t="s">
        <v>4851</v>
      </c>
      <c r="C827" s="7" t="s">
        <v>4928</v>
      </c>
      <c r="D827" s="7" t="s">
        <v>5001</v>
      </c>
      <c r="E827" s="7"/>
      <c r="F827" s="7"/>
      <c r="G827" s="7" t="s">
        <v>328</v>
      </c>
      <c r="H827" s="7" t="str">
        <f>IFERROR(VLOOKUP(Table2[[#This Row],[Ticket]],Okey!A:B,2,0),"")</f>
        <v>ok</v>
      </c>
      <c r="I827" s="7" t="s">
        <v>3679</v>
      </c>
      <c r="J827" s="7" t="str">
        <f>VLOOKUP(Table2[[#This Row],[Author]],People!A:B,2,0)</f>
        <v>LS</v>
      </c>
      <c r="K827" s="7"/>
      <c r="L827" s="7"/>
      <c r="M827" s="16" t="s">
        <v>1040</v>
      </c>
    </row>
    <row r="828" spans="1:13" x14ac:dyDescent="0.25">
      <c r="A828" s="22">
        <f t="shared" si="12"/>
        <v>827</v>
      </c>
      <c r="B828" s="6" t="s">
        <v>4851</v>
      </c>
      <c r="C828" s="6" t="s">
        <v>4928</v>
      </c>
      <c r="D828" s="6" t="s">
        <v>5002</v>
      </c>
      <c r="E828" s="6"/>
      <c r="F828" s="6"/>
      <c r="G828" s="6" t="s">
        <v>328</v>
      </c>
      <c r="H828" s="6" t="str">
        <f>IFERROR(VLOOKUP(Table2[[#This Row],[Ticket]],Okey!A:B,2,0),"")</f>
        <v>ok</v>
      </c>
      <c r="I828" s="6" t="s">
        <v>3679</v>
      </c>
      <c r="J828" s="6" t="str">
        <f>VLOOKUP(Table2[[#This Row],[Author]],People!A:B,2,0)</f>
        <v>LS</v>
      </c>
      <c r="K828" s="6"/>
      <c r="L828" s="6"/>
      <c r="M828" s="21" t="s">
        <v>1040</v>
      </c>
    </row>
    <row r="829" spans="1:13" x14ac:dyDescent="0.25">
      <c r="A829" s="23">
        <f t="shared" si="12"/>
        <v>828</v>
      </c>
      <c r="B829" s="7" t="s">
        <v>4851</v>
      </c>
      <c r="C829" s="7" t="s">
        <v>4928</v>
      </c>
      <c r="D829" s="7" t="s">
        <v>5003</v>
      </c>
      <c r="E829" s="7"/>
      <c r="F829" s="7"/>
      <c r="G829" s="7" t="s">
        <v>328</v>
      </c>
      <c r="H829" s="7" t="str">
        <f>IFERROR(VLOOKUP(Table2[[#This Row],[Ticket]],Okey!A:B,2,0),"")</f>
        <v>ok</v>
      </c>
      <c r="I829" s="7" t="s">
        <v>3679</v>
      </c>
      <c r="J829" s="7" t="str">
        <f>VLOOKUP(Table2[[#This Row],[Author]],People!A:B,2,0)</f>
        <v>LS</v>
      </c>
      <c r="K829" s="7"/>
      <c r="L829" s="7"/>
      <c r="M829" s="16" t="s">
        <v>1040</v>
      </c>
    </row>
    <row r="830" spans="1:13" x14ac:dyDescent="0.25">
      <c r="A830" s="22">
        <f t="shared" si="12"/>
        <v>829</v>
      </c>
      <c r="B830" s="6" t="s">
        <v>4851</v>
      </c>
      <c r="C830" s="6" t="s">
        <v>4928</v>
      </c>
      <c r="D830" s="6" t="s">
        <v>5004</v>
      </c>
      <c r="E830" s="6" t="s">
        <v>5005</v>
      </c>
      <c r="F830" s="6"/>
      <c r="G830" s="6" t="s">
        <v>63</v>
      </c>
      <c r="H830" s="6" t="str">
        <f>IFERROR(VLOOKUP(Table2[[#This Row],[Ticket]],Okey!A:B,2,0),"")</f>
        <v>ok</v>
      </c>
      <c r="I830" s="6" t="s">
        <v>3679</v>
      </c>
      <c r="J830" s="6" t="str">
        <f>VLOOKUP(Table2[[#This Row],[Author]],People!A:B,2,0)</f>
        <v>LS</v>
      </c>
      <c r="K830" s="6"/>
      <c r="L830" s="6"/>
      <c r="M830" s="21" t="s">
        <v>1040</v>
      </c>
    </row>
    <row r="831" spans="1:13" x14ac:dyDescent="0.25">
      <c r="A831" s="23">
        <f t="shared" si="12"/>
        <v>830</v>
      </c>
      <c r="B831" s="7" t="s">
        <v>4851</v>
      </c>
      <c r="C831" s="7" t="s">
        <v>4928</v>
      </c>
      <c r="D831" s="7" t="s">
        <v>4684</v>
      </c>
      <c r="E831" s="7" t="s">
        <v>5006</v>
      </c>
      <c r="F831" s="7"/>
      <c r="G831" s="7" t="s">
        <v>63</v>
      </c>
      <c r="H831" s="7" t="str">
        <f>IFERROR(VLOOKUP(Table2[[#This Row],[Ticket]],Okey!A:B,2,0),"")</f>
        <v>ok</v>
      </c>
      <c r="I831" s="7" t="s">
        <v>3679</v>
      </c>
      <c r="J831" s="7" t="str">
        <f>VLOOKUP(Table2[[#This Row],[Author]],People!A:B,2,0)</f>
        <v>LS</v>
      </c>
      <c r="K831" s="7"/>
      <c r="L831" s="7"/>
      <c r="M831" s="16" t="s">
        <v>1040</v>
      </c>
    </row>
    <row r="832" spans="1:13" x14ac:dyDescent="0.25">
      <c r="A832" s="22">
        <f t="shared" si="12"/>
        <v>831</v>
      </c>
      <c r="B832" s="6" t="s">
        <v>4851</v>
      </c>
      <c r="C832" s="6" t="s">
        <v>4928</v>
      </c>
      <c r="D832" s="6" t="s">
        <v>4616</v>
      </c>
      <c r="E832" s="6" t="s">
        <v>5007</v>
      </c>
      <c r="F832" s="6"/>
      <c r="G832" s="6" t="s">
        <v>63</v>
      </c>
      <c r="H832" s="6" t="str">
        <f>IFERROR(VLOOKUP(Table2[[#This Row],[Ticket]],Okey!A:B,2,0),"")</f>
        <v>ok</v>
      </c>
      <c r="I832" s="6" t="s">
        <v>3679</v>
      </c>
      <c r="J832" s="6" t="str">
        <f>VLOOKUP(Table2[[#This Row],[Author]],People!A:B,2,0)</f>
        <v>LS</v>
      </c>
      <c r="K832" s="6"/>
      <c r="L832" s="6"/>
      <c r="M832" s="21" t="s">
        <v>1040</v>
      </c>
    </row>
    <row r="833" spans="1:13" x14ac:dyDescent="0.25">
      <c r="A833" s="23">
        <f t="shared" si="12"/>
        <v>832</v>
      </c>
      <c r="B833" s="7" t="s">
        <v>4851</v>
      </c>
      <c r="C833" s="7" t="s">
        <v>4928</v>
      </c>
      <c r="D833" s="7" t="s">
        <v>4618</v>
      </c>
      <c r="E833" s="7" t="s">
        <v>5008</v>
      </c>
      <c r="F833" s="7"/>
      <c r="G833" s="7" t="s">
        <v>63</v>
      </c>
      <c r="H833" s="7" t="str">
        <f>IFERROR(VLOOKUP(Table2[[#This Row],[Ticket]],Okey!A:B,2,0),"")</f>
        <v>ok</v>
      </c>
      <c r="I833" s="7" t="s">
        <v>3679</v>
      </c>
      <c r="J833" s="7" t="str">
        <f>VLOOKUP(Table2[[#This Row],[Author]],People!A:B,2,0)</f>
        <v>LS</v>
      </c>
      <c r="K833" s="7"/>
      <c r="L833" s="7"/>
      <c r="M833" s="16" t="s">
        <v>1040</v>
      </c>
    </row>
    <row r="834" spans="1:13" x14ac:dyDescent="0.25">
      <c r="A834" s="22">
        <f t="shared" si="12"/>
        <v>833</v>
      </c>
      <c r="B834" s="6" t="s">
        <v>4851</v>
      </c>
      <c r="C834" s="6" t="s">
        <v>4928</v>
      </c>
      <c r="D834" s="6" t="s">
        <v>1354</v>
      </c>
      <c r="E834" s="6" t="s">
        <v>5009</v>
      </c>
      <c r="F834" s="6"/>
      <c r="G834" s="6" t="s">
        <v>63</v>
      </c>
      <c r="H834" s="6" t="str">
        <f>IFERROR(VLOOKUP(Table2[[#This Row],[Ticket]],Okey!A:B,2,0),"")</f>
        <v>ok</v>
      </c>
      <c r="I834" s="6" t="s">
        <v>3679</v>
      </c>
      <c r="J834" s="6" t="str">
        <f>VLOOKUP(Table2[[#This Row],[Author]],People!A:B,2,0)</f>
        <v>LS</v>
      </c>
      <c r="K834" s="6"/>
      <c r="L834" s="6"/>
      <c r="M834" s="21" t="s">
        <v>1040</v>
      </c>
    </row>
    <row r="835" spans="1:13" x14ac:dyDescent="0.25">
      <c r="A835" s="23">
        <f t="shared" ref="A835:A898" si="13">1+A834</f>
        <v>834</v>
      </c>
      <c r="B835" s="7" t="s">
        <v>4851</v>
      </c>
      <c r="C835" s="7" t="s">
        <v>4928</v>
      </c>
      <c r="D835" s="7" t="s">
        <v>5010</v>
      </c>
      <c r="E835" s="7" t="s">
        <v>5011</v>
      </c>
      <c r="F835" s="7"/>
      <c r="G835" s="7" t="s">
        <v>63</v>
      </c>
      <c r="H835" s="7" t="str">
        <f>IFERROR(VLOOKUP(Table2[[#This Row],[Ticket]],Okey!A:B,2,0),"")</f>
        <v>ok</v>
      </c>
      <c r="I835" s="7" t="s">
        <v>3679</v>
      </c>
      <c r="J835" s="7" t="str">
        <f>VLOOKUP(Table2[[#This Row],[Author]],People!A:B,2,0)</f>
        <v>LS</v>
      </c>
      <c r="K835" s="7"/>
      <c r="L835" s="7"/>
      <c r="M835" s="16" t="s">
        <v>1040</v>
      </c>
    </row>
    <row r="836" spans="1:13" x14ac:dyDescent="0.25">
      <c r="A836" s="22">
        <f t="shared" si="13"/>
        <v>835</v>
      </c>
      <c r="B836" s="6" t="s">
        <v>4851</v>
      </c>
      <c r="C836" s="6" t="s">
        <v>4928</v>
      </c>
      <c r="D836" s="6" t="s">
        <v>5012</v>
      </c>
      <c r="E836" s="6" t="s">
        <v>5013</v>
      </c>
      <c r="F836" s="6"/>
      <c r="G836" s="6" t="s">
        <v>63</v>
      </c>
      <c r="H836" s="6" t="str">
        <f>IFERROR(VLOOKUP(Table2[[#This Row],[Ticket]],Okey!A:B,2,0),"")</f>
        <v>ok</v>
      </c>
      <c r="I836" s="6" t="s">
        <v>3679</v>
      </c>
      <c r="J836" s="6" t="str">
        <f>VLOOKUP(Table2[[#This Row],[Author]],People!A:B,2,0)</f>
        <v>LS</v>
      </c>
      <c r="K836" s="6"/>
      <c r="L836" s="6"/>
      <c r="M836" s="21" t="s">
        <v>1040</v>
      </c>
    </row>
    <row r="837" spans="1:13" x14ac:dyDescent="0.25">
      <c r="A837" s="23">
        <f t="shared" si="13"/>
        <v>836</v>
      </c>
      <c r="B837" s="7" t="s">
        <v>4851</v>
      </c>
      <c r="C837" s="7" t="s">
        <v>4928</v>
      </c>
      <c r="D837" s="7" t="s">
        <v>5014</v>
      </c>
      <c r="E837" s="7" t="s">
        <v>5015</v>
      </c>
      <c r="F837" s="7"/>
      <c r="G837" s="7" t="s">
        <v>63</v>
      </c>
      <c r="H837" s="7" t="str">
        <f>IFERROR(VLOOKUP(Table2[[#This Row],[Ticket]],Okey!A:B,2,0),"")</f>
        <v>ok</v>
      </c>
      <c r="I837" s="7" t="s">
        <v>3679</v>
      </c>
      <c r="J837" s="7" t="str">
        <f>VLOOKUP(Table2[[#This Row],[Author]],People!A:B,2,0)</f>
        <v>LS</v>
      </c>
      <c r="K837" s="7"/>
      <c r="L837" s="7"/>
      <c r="M837" s="16" t="s">
        <v>1040</v>
      </c>
    </row>
    <row r="838" spans="1:13" x14ac:dyDescent="0.25">
      <c r="A838" s="22">
        <f t="shared" si="13"/>
        <v>837</v>
      </c>
      <c r="B838" s="6" t="s">
        <v>4851</v>
      </c>
      <c r="C838" s="6" t="s">
        <v>4928</v>
      </c>
      <c r="D838" s="6" t="s">
        <v>5016</v>
      </c>
      <c r="E838" s="6" t="s">
        <v>5017</v>
      </c>
      <c r="F838" s="6"/>
      <c r="G838" s="6" t="s">
        <v>63</v>
      </c>
      <c r="H838" s="6" t="str">
        <f>IFERROR(VLOOKUP(Table2[[#This Row],[Ticket]],Okey!A:B,2,0),"")</f>
        <v>ok</v>
      </c>
      <c r="I838" s="6" t="s">
        <v>3679</v>
      </c>
      <c r="J838" s="6" t="str">
        <f>VLOOKUP(Table2[[#This Row],[Author]],People!A:B,2,0)</f>
        <v>LS</v>
      </c>
      <c r="K838" s="6"/>
      <c r="L838" s="6"/>
      <c r="M838" s="21" t="s">
        <v>1040</v>
      </c>
    </row>
    <row r="839" spans="1:13" x14ac:dyDescent="0.25">
      <c r="A839" s="23">
        <f t="shared" si="13"/>
        <v>838</v>
      </c>
      <c r="B839" s="7" t="s">
        <v>4851</v>
      </c>
      <c r="C839" s="7" t="s">
        <v>4928</v>
      </c>
      <c r="D839" s="7" t="s">
        <v>5018</v>
      </c>
      <c r="E839" s="7" t="s">
        <v>5019</v>
      </c>
      <c r="F839" s="7"/>
      <c r="G839" s="7" t="s">
        <v>63</v>
      </c>
      <c r="H839" s="7" t="str">
        <f>IFERROR(VLOOKUP(Table2[[#This Row],[Ticket]],Okey!A:B,2,0),"")</f>
        <v>ok</v>
      </c>
      <c r="I839" s="7" t="s">
        <v>3679</v>
      </c>
      <c r="J839" s="7" t="str">
        <f>VLOOKUP(Table2[[#This Row],[Author]],People!A:B,2,0)</f>
        <v>LS</v>
      </c>
      <c r="K839" s="7"/>
      <c r="L839" s="7"/>
      <c r="M839" s="16" t="s">
        <v>1040</v>
      </c>
    </row>
    <row r="840" spans="1:13" x14ac:dyDescent="0.25">
      <c r="A840" s="22">
        <f t="shared" si="13"/>
        <v>839</v>
      </c>
      <c r="B840" s="6" t="s">
        <v>4851</v>
      </c>
      <c r="C840" s="6" t="s">
        <v>4928</v>
      </c>
      <c r="D840" s="6" t="s">
        <v>5020</v>
      </c>
      <c r="E840" s="6" t="s">
        <v>5021</v>
      </c>
      <c r="F840" s="6"/>
      <c r="G840" s="6" t="s">
        <v>63</v>
      </c>
      <c r="H840" s="6" t="str">
        <f>IFERROR(VLOOKUP(Table2[[#This Row],[Ticket]],Okey!A:B,2,0),"")</f>
        <v>ok</v>
      </c>
      <c r="I840" s="6" t="s">
        <v>3679</v>
      </c>
      <c r="J840" s="6" t="str">
        <f>VLOOKUP(Table2[[#This Row],[Author]],People!A:B,2,0)</f>
        <v>LS</v>
      </c>
      <c r="K840" s="6"/>
      <c r="L840" s="6"/>
      <c r="M840" s="21" t="s">
        <v>1040</v>
      </c>
    </row>
    <row r="841" spans="1:13" x14ac:dyDescent="0.25">
      <c r="A841" s="23">
        <f t="shared" si="13"/>
        <v>840</v>
      </c>
      <c r="B841" s="7" t="s">
        <v>4851</v>
      </c>
      <c r="C841" s="7" t="s">
        <v>4928</v>
      </c>
      <c r="D841" s="7" t="s">
        <v>5022</v>
      </c>
      <c r="E841" s="7" t="s">
        <v>5023</v>
      </c>
      <c r="F841" s="7"/>
      <c r="G841" s="7" t="s">
        <v>63</v>
      </c>
      <c r="H841" s="7" t="str">
        <f>IFERROR(VLOOKUP(Table2[[#This Row],[Ticket]],Okey!A:B,2,0),"")</f>
        <v>ok</v>
      </c>
      <c r="I841" s="7" t="s">
        <v>3679</v>
      </c>
      <c r="J841" s="7" t="str">
        <f>VLOOKUP(Table2[[#This Row],[Author]],People!A:B,2,0)</f>
        <v>LS</v>
      </c>
      <c r="K841" s="7"/>
      <c r="L841" s="7"/>
      <c r="M841" s="16" t="s">
        <v>1040</v>
      </c>
    </row>
    <row r="842" spans="1:13" x14ac:dyDescent="0.25">
      <c r="A842" s="22">
        <f t="shared" si="13"/>
        <v>841</v>
      </c>
      <c r="B842" s="6" t="s">
        <v>4851</v>
      </c>
      <c r="C842" s="6" t="s">
        <v>4928</v>
      </c>
      <c r="D842" s="6" t="s">
        <v>5024</v>
      </c>
      <c r="E842" s="6" t="s">
        <v>5025</v>
      </c>
      <c r="F842" s="6"/>
      <c r="G842" s="6" t="s">
        <v>63</v>
      </c>
      <c r="H842" s="6" t="str">
        <f>IFERROR(VLOOKUP(Table2[[#This Row],[Ticket]],Okey!A:B,2,0),"")</f>
        <v>ok</v>
      </c>
      <c r="I842" s="6" t="s">
        <v>3679</v>
      </c>
      <c r="J842" s="6" t="str">
        <f>VLOOKUP(Table2[[#This Row],[Author]],People!A:B,2,0)</f>
        <v>LS</v>
      </c>
      <c r="K842" s="6"/>
      <c r="L842" s="6"/>
      <c r="M842" s="21" t="s">
        <v>1040</v>
      </c>
    </row>
    <row r="843" spans="1:13" x14ac:dyDescent="0.25">
      <c r="A843" s="23">
        <f t="shared" si="13"/>
        <v>842</v>
      </c>
      <c r="B843" s="7" t="s">
        <v>4851</v>
      </c>
      <c r="C843" s="7" t="s">
        <v>4928</v>
      </c>
      <c r="D843" s="7" t="s">
        <v>5026</v>
      </c>
      <c r="E843" s="7" t="s">
        <v>5027</v>
      </c>
      <c r="F843" s="7"/>
      <c r="G843" s="7" t="s">
        <v>63</v>
      </c>
      <c r="H843" s="7" t="str">
        <f>IFERROR(VLOOKUP(Table2[[#This Row],[Ticket]],Okey!A:B,2,0),"")</f>
        <v>ok</v>
      </c>
      <c r="I843" s="7" t="s">
        <v>3679</v>
      </c>
      <c r="J843" s="7" t="str">
        <f>VLOOKUP(Table2[[#This Row],[Author]],People!A:B,2,0)</f>
        <v>LS</v>
      </c>
      <c r="K843" s="7"/>
      <c r="L843" s="7"/>
      <c r="M843" s="16" t="s">
        <v>1040</v>
      </c>
    </row>
    <row r="844" spans="1:13" x14ac:dyDescent="0.25">
      <c r="A844" s="22">
        <f t="shared" si="13"/>
        <v>843</v>
      </c>
      <c r="B844" s="6" t="s">
        <v>4851</v>
      </c>
      <c r="C844" s="6" t="s">
        <v>4928</v>
      </c>
      <c r="D844" s="6" t="s">
        <v>5028</v>
      </c>
      <c r="E844" s="6" t="s">
        <v>5029</v>
      </c>
      <c r="F844" s="6"/>
      <c r="G844" s="6" t="s">
        <v>63</v>
      </c>
      <c r="H844" s="6" t="str">
        <f>IFERROR(VLOOKUP(Table2[[#This Row],[Ticket]],Okey!A:B,2,0),"")</f>
        <v>ok</v>
      </c>
      <c r="I844" s="6" t="s">
        <v>3679</v>
      </c>
      <c r="J844" s="6" t="str">
        <f>VLOOKUP(Table2[[#This Row],[Author]],People!A:B,2,0)</f>
        <v>LS</v>
      </c>
      <c r="K844" s="6"/>
      <c r="L844" s="6"/>
      <c r="M844" s="21" t="s">
        <v>1040</v>
      </c>
    </row>
    <row r="845" spans="1:13" x14ac:dyDescent="0.25">
      <c r="A845" s="23">
        <f t="shared" si="13"/>
        <v>844</v>
      </c>
      <c r="B845" s="7" t="s">
        <v>4851</v>
      </c>
      <c r="C845" s="7" t="s">
        <v>4928</v>
      </c>
      <c r="D845" s="7" t="s">
        <v>5030</v>
      </c>
      <c r="E845" s="7" t="s">
        <v>5031</v>
      </c>
      <c r="F845" s="7"/>
      <c r="G845" s="7" t="s">
        <v>63</v>
      </c>
      <c r="H845" s="7" t="str">
        <f>IFERROR(VLOOKUP(Table2[[#This Row],[Ticket]],Okey!A:B,2,0),"")</f>
        <v>ok</v>
      </c>
      <c r="I845" s="7" t="s">
        <v>3679</v>
      </c>
      <c r="J845" s="7" t="str">
        <f>VLOOKUP(Table2[[#This Row],[Author]],People!A:B,2,0)</f>
        <v>LS</v>
      </c>
      <c r="K845" s="7"/>
      <c r="L845" s="7"/>
      <c r="M845" s="16" t="s">
        <v>1040</v>
      </c>
    </row>
    <row r="846" spans="1:13" x14ac:dyDescent="0.25">
      <c r="A846" s="22">
        <f t="shared" si="13"/>
        <v>845</v>
      </c>
      <c r="B846" s="6" t="s">
        <v>4851</v>
      </c>
      <c r="C846" s="6" t="s">
        <v>4928</v>
      </c>
      <c r="D846" s="6" t="s">
        <v>5032</v>
      </c>
      <c r="E846" s="6" t="s">
        <v>5033</v>
      </c>
      <c r="F846" s="6"/>
      <c r="G846" s="6" t="s">
        <v>63</v>
      </c>
      <c r="H846" s="6" t="str">
        <f>IFERROR(VLOOKUP(Table2[[#This Row],[Ticket]],Okey!A:B,2,0),"")</f>
        <v>ok</v>
      </c>
      <c r="I846" s="6" t="s">
        <v>3679</v>
      </c>
      <c r="J846" s="6" t="str">
        <f>VLOOKUP(Table2[[#This Row],[Author]],People!A:B,2,0)</f>
        <v>LS</v>
      </c>
      <c r="K846" s="6"/>
      <c r="L846" s="6"/>
      <c r="M846" s="21" t="s">
        <v>1040</v>
      </c>
    </row>
    <row r="847" spans="1:13" x14ac:dyDescent="0.25">
      <c r="A847" s="23">
        <f t="shared" si="13"/>
        <v>846</v>
      </c>
      <c r="B847" s="7" t="s">
        <v>4851</v>
      </c>
      <c r="C847" s="7" t="s">
        <v>4928</v>
      </c>
      <c r="D847" s="7" t="s">
        <v>5034</v>
      </c>
      <c r="E847" s="7" t="s">
        <v>5035</v>
      </c>
      <c r="F847" s="7"/>
      <c r="G847" s="7" t="s">
        <v>63</v>
      </c>
      <c r="H847" s="7" t="str">
        <f>IFERROR(VLOOKUP(Table2[[#This Row],[Ticket]],Okey!A:B,2,0),"")</f>
        <v>ok</v>
      </c>
      <c r="I847" s="7" t="s">
        <v>3679</v>
      </c>
      <c r="J847" s="7" t="str">
        <f>VLOOKUP(Table2[[#This Row],[Author]],People!A:B,2,0)</f>
        <v>LS</v>
      </c>
      <c r="K847" s="7"/>
      <c r="L847" s="7"/>
      <c r="M847" s="16" t="s">
        <v>1040</v>
      </c>
    </row>
    <row r="848" spans="1:13" x14ac:dyDescent="0.25">
      <c r="A848" s="22">
        <f t="shared" si="13"/>
        <v>847</v>
      </c>
      <c r="B848" s="6" t="s">
        <v>4851</v>
      </c>
      <c r="C848" s="6" t="s">
        <v>4928</v>
      </c>
      <c r="D848" s="6" t="s">
        <v>5036</v>
      </c>
      <c r="E848" s="6" t="s">
        <v>5037</v>
      </c>
      <c r="F848" s="6"/>
      <c r="G848" s="6" t="s">
        <v>63</v>
      </c>
      <c r="H848" s="6" t="str">
        <f>IFERROR(VLOOKUP(Table2[[#This Row],[Ticket]],Okey!A:B,2,0),"")</f>
        <v>ok</v>
      </c>
      <c r="I848" s="6" t="s">
        <v>3679</v>
      </c>
      <c r="J848" s="6" t="str">
        <f>VLOOKUP(Table2[[#This Row],[Author]],People!A:B,2,0)</f>
        <v>LS</v>
      </c>
      <c r="K848" s="6"/>
      <c r="L848" s="6"/>
      <c r="M848" s="21" t="s">
        <v>1040</v>
      </c>
    </row>
    <row r="849" spans="1:13" x14ac:dyDescent="0.25">
      <c r="A849" s="23">
        <f t="shared" si="13"/>
        <v>848</v>
      </c>
      <c r="B849" s="7" t="s">
        <v>4851</v>
      </c>
      <c r="C849" s="7" t="s">
        <v>4928</v>
      </c>
      <c r="D849" s="7" t="s">
        <v>5038</v>
      </c>
      <c r="E849" s="7" t="s">
        <v>5039</v>
      </c>
      <c r="F849" s="7"/>
      <c r="G849" s="7" t="s">
        <v>63</v>
      </c>
      <c r="H849" s="7" t="str">
        <f>IFERROR(VLOOKUP(Table2[[#This Row],[Ticket]],Okey!A:B,2,0),"")</f>
        <v>ok</v>
      </c>
      <c r="I849" s="7" t="s">
        <v>3679</v>
      </c>
      <c r="J849" s="7" t="str">
        <f>VLOOKUP(Table2[[#This Row],[Author]],People!A:B,2,0)</f>
        <v>LS</v>
      </c>
      <c r="K849" s="7"/>
      <c r="L849" s="7"/>
      <c r="M849" s="16" t="s">
        <v>1040</v>
      </c>
    </row>
    <row r="850" spans="1:13" x14ac:dyDescent="0.25">
      <c r="A850" s="22">
        <f t="shared" si="13"/>
        <v>849</v>
      </c>
      <c r="B850" s="6" t="s">
        <v>4851</v>
      </c>
      <c r="C850" s="6" t="s">
        <v>4928</v>
      </c>
      <c r="D850" s="6" t="s">
        <v>5040</v>
      </c>
      <c r="E850" s="6" t="s">
        <v>5041</v>
      </c>
      <c r="F850" s="6"/>
      <c r="G850" s="6" t="s">
        <v>63</v>
      </c>
      <c r="H850" s="6" t="str">
        <f>IFERROR(VLOOKUP(Table2[[#This Row],[Ticket]],Okey!A:B,2,0),"")</f>
        <v>ok</v>
      </c>
      <c r="I850" s="6" t="s">
        <v>3679</v>
      </c>
      <c r="J850" s="6" t="str">
        <f>VLOOKUP(Table2[[#This Row],[Author]],People!A:B,2,0)</f>
        <v>LS</v>
      </c>
      <c r="K850" s="6"/>
      <c r="L850" s="6"/>
      <c r="M850" s="21" t="s">
        <v>1040</v>
      </c>
    </row>
    <row r="851" spans="1:13" x14ac:dyDescent="0.25">
      <c r="A851" s="23">
        <f t="shared" si="13"/>
        <v>850</v>
      </c>
      <c r="B851" s="7" t="s">
        <v>4851</v>
      </c>
      <c r="C851" s="7" t="s">
        <v>4928</v>
      </c>
      <c r="D851" s="7" t="s">
        <v>5042</v>
      </c>
      <c r="E851" s="7" t="s">
        <v>5043</v>
      </c>
      <c r="F851" s="7"/>
      <c r="G851" s="7" t="s">
        <v>63</v>
      </c>
      <c r="H851" s="7" t="str">
        <f>IFERROR(VLOOKUP(Table2[[#This Row],[Ticket]],Okey!A:B,2,0),"")</f>
        <v>ok</v>
      </c>
      <c r="I851" s="7" t="s">
        <v>3679</v>
      </c>
      <c r="J851" s="7" t="str">
        <f>VLOOKUP(Table2[[#This Row],[Author]],People!A:B,2,0)</f>
        <v>LS</v>
      </c>
      <c r="K851" s="7"/>
      <c r="L851" s="7"/>
      <c r="M851" s="16" t="s">
        <v>1040</v>
      </c>
    </row>
    <row r="852" spans="1:13" x14ac:dyDescent="0.25">
      <c r="A852" s="22">
        <f t="shared" si="13"/>
        <v>851</v>
      </c>
      <c r="B852" s="6" t="s">
        <v>4851</v>
      </c>
      <c r="C852" s="6" t="s">
        <v>4928</v>
      </c>
      <c r="D852" s="6" t="s">
        <v>5044</v>
      </c>
      <c r="E852" s="6" t="s">
        <v>5045</v>
      </c>
      <c r="F852" s="6"/>
      <c r="G852" s="6" t="s">
        <v>63</v>
      </c>
      <c r="H852" s="6" t="str">
        <f>IFERROR(VLOOKUP(Table2[[#This Row],[Ticket]],Okey!A:B,2,0),"")</f>
        <v>ok</v>
      </c>
      <c r="I852" s="6" t="s">
        <v>3679</v>
      </c>
      <c r="J852" s="6" t="str">
        <f>VLOOKUP(Table2[[#This Row],[Author]],People!A:B,2,0)</f>
        <v>LS</v>
      </c>
      <c r="K852" s="6"/>
      <c r="L852" s="6"/>
      <c r="M852" s="21" t="s">
        <v>1040</v>
      </c>
    </row>
    <row r="853" spans="1:13" x14ac:dyDescent="0.25">
      <c r="A853" s="23">
        <f t="shared" si="13"/>
        <v>852</v>
      </c>
      <c r="B853" s="7" t="s">
        <v>4851</v>
      </c>
      <c r="C853" s="7" t="s">
        <v>4928</v>
      </c>
      <c r="D853" s="7" t="s">
        <v>5046</v>
      </c>
      <c r="E853" s="7" t="s">
        <v>5047</v>
      </c>
      <c r="F853" s="7"/>
      <c r="G853" s="7" t="s">
        <v>63</v>
      </c>
      <c r="H853" s="7" t="str">
        <f>IFERROR(VLOOKUP(Table2[[#This Row],[Ticket]],Okey!A:B,2,0),"")</f>
        <v>ok</v>
      </c>
      <c r="I853" s="7" t="s">
        <v>3679</v>
      </c>
      <c r="J853" s="7" t="str">
        <f>VLOOKUP(Table2[[#This Row],[Author]],People!A:B,2,0)</f>
        <v>LS</v>
      </c>
      <c r="K853" s="7"/>
      <c r="L853" s="7"/>
      <c r="M853" s="16" t="s">
        <v>1040</v>
      </c>
    </row>
    <row r="854" spans="1:13" x14ac:dyDescent="0.25">
      <c r="A854" s="22">
        <f t="shared" si="13"/>
        <v>853</v>
      </c>
      <c r="B854" s="6" t="s">
        <v>4851</v>
      </c>
      <c r="C854" s="6" t="s">
        <v>4928</v>
      </c>
      <c r="D854" s="6" t="s">
        <v>5048</v>
      </c>
      <c r="E854" s="6" t="s">
        <v>5049</v>
      </c>
      <c r="F854" s="6"/>
      <c r="G854" s="6" t="s">
        <v>63</v>
      </c>
      <c r="H854" s="6" t="str">
        <f>IFERROR(VLOOKUP(Table2[[#This Row],[Ticket]],Okey!A:B,2,0),"")</f>
        <v>ok</v>
      </c>
      <c r="I854" s="6" t="s">
        <v>3679</v>
      </c>
      <c r="J854" s="6" t="str">
        <f>VLOOKUP(Table2[[#This Row],[Author]],People!A:B,2,0)</f>
        <v>LS</v>
      </c>
      <c r="K854" s="6"/>
      <c r="L854" s="6"/>
      <c r="M854" s="21" t="s">
        <v>1040</v>
      </c>
    </row>
    <row r="855" spans="1:13" x14ac:dyDescent="0.25">
      <c r="A855" s="23">
        <f t="shared" si="13"/>
        <v>854</v>
      </c>
      <c r="B855" s="7" t="s">
        <v>4851</v>
      </c>
      <c r="C855" s="7" t="s">
        <v>4928</v>
      </c>
      <c r="D855" s="7" t="s">
        <v>5050</v>
      </c>
      <c r="E855" s="7" t="s">
        <v>5051</v>
      </c>
      <c r="F855" s="7"/>
      <c r="G855" s="7" t="s">
        <v>63</v>
      </c>
      <c r="H855" s="7" t="str">
        <f>IFERROR(VLOOKUP(Table2[[#This Row],[Ticket]],Okey!A:B,2,0),"")</f>
        <v>ok</v>
      </c>
      <c r="I855" s="7" t="s">
        <v>3679</v>
      </c>
      <c r="J855" s="7" t="str">
        <f>VLOOKUP(Table2[[#This Row],[Author]],People!A:B,2,0)</f>
        <v>LS</v>
      </c>
      <c r="K855" s="7"/>
      <c r="L855" s="7"/>
      <c r="M855" s="16" t="s">
        <v>1040</v>
      </c>
    </row>
    <row r="856" spans="1:13" x14ac:dyDescent="0.25">
      <c r="A856" s="22">
        <f t="shared" si="13"/>
        <v>855</v>
      </c>
      <c r="B856" s="6" t="s">
        <v>4851</v>
      </c>
      <c r="C856" s="6" t="s">
        <v>4928</v>
      </c>
      <c r="D856" s="6" t="s">
        <v>5052</v>
      </c>
      <c r="E856" s="6" t="s">
        <v>5053</v>
      </c>
      <c r="F856" s="6"/>
      <c r="G856" s="6" t="s">
        <v>63</v>
      </c>
      <c r="H856" s="6" t="str">
        <f>IFERROR(VLOOKUP(Table2[[#This Row],[Ticket]],Okey!A:B,2,0),"")</f>
        <v>ok</v>
      </c>
      <c r="I856" s="6" t="s">
        <v>3679</v>
      </c>
      <c r="J856" s="6" t="str">
        <f>VLOOKUP(Table2[[#This Row],[Author]],People!A:B,2,0)</f>
        <v>LS</v>
      </c>
      <c r="K856" s="6"/>
      <c r="L856" s="6"/>
      <c r="M856" s="21" t="s">
        <v>1040</v>
      </c>
    </row>
    <row r="857" spans="1:13" x14ac:dyDescent="0.25">
      <c r="A857" s="23">
        <f t="shared" si="13"/>
        <v>856</v>
      </c>
      <c r="B857" s="7" t="s">
        <v>4851</v>
      </c>
      <c r="C857" s="7" t="s">
        <v>4928</v>
      </c>
      <c r="D857" s="7" t="s">
        <v>5054</v>
      </c>
      <c r="E857" s="7" t="s">
        <v>5055</v>
      </c>
      <c r="F857" s="7"/>
      <c r="G857" s="7" t="s">
        <v>63</v>
      </c>
      <c r="H857" s="7" t="str">
        <f>IFERROR(VLOOKUP(Table2[[#This Row],[Ticket]],Okey!A:B,2,0),"")</f>
        <v>ok</v>
      </c>
      <c r="I857" s="7" t="s">
        <v>3679</v>
      </c>
      <c r="J857" s="7" t="str">
        <f>VLOOKUP(Table2[[#This Row],[Author]],People!A:B,2,0)</f>
        <v>LS</v>
      </c>
      <c r="K857" s="7"/>
      <c r="L857" s="7"/>
      <c r="M857" s="16" t="s">
        <v>1040</v>
      </c>
    </row>
    <row r="858" spans="1:13" x14ac:dyDescent="0.25">
      <c r="A858" s="22">
        <f t="shared" si="13"/>
        <v>857</v>
      </c>
      <c r="B858" s="6" t="s">
        <v>4851</v>
      </c>
      <c r="C858" s="6" t="s">
        <v>4928</v>
      </c>
      <c r="D858" s="6" t="s">
        <v>5056</v>
      </c>
      <c r="E858" s="6" t="s">
        <v>5057</v>
      </c>
      <c r="F858" s="6"/>
      <c r="G858" s="6" t="s">
        <v>63</v>
      </c>
      <c r="H858" s="6" t="str">
        <f>IFERROR(VLOOKUP(Table2[[#This Row],[Ticket]],Okey!A:B,2,0),"")</f>
        <v>ok</v>
      </c>
      <c r="I858" s="6" t="s">
        <v>3679</v>
      </c>
      <c r="J858" s="6" t="str">
        <f>VLOOKUP(Table2[[#This Row],[Author]],People!A:B,2,0)</f>
        <v>LS</v>
      </c>
      <c r="K858" s="6"/>
      <c r="L858" s="6"/>
      <c r="M858" s="21" t="s">
        <v>1040</v>
      </c>
    </row>
    <row r="859" spans="1:13" x14ac:dyDescent="0.25">
      <c r="A859" s="23">
        <f t="shared" si="13"/>
        <v>858</v>
      </c>
      <c r="B859" s="7" t="s">
        <v>4851</v>
      </c>
      <c r="C859" s="7" t="s">
        <v>4928</v>
      </c>
      <c r="D859" s="7" t="s">
        <v>5058</v>
      </c>
      <c r="E859" s="7" t="s">
        <v>5059</v>
      </c>
      <c r="F859" s="7"/>
      <c r="G859" s="7" t="s">
        <v>63</v>
      </c>
      <c r="H859" s="7" t="str">
        <f>IFERROR(VLOOKUP(Table2[[#This Row],[Ticket]],Okey!A:B,2,0),"")</f>
        <v>ok</v>
      </c>
      <c r="I859" s="7" t="s">
        <v>3679</v>
      </c>
      <c r="J859" s="7" t="str">
        <f>VLOOKUP(Table2[[#This Row],[Author]],People!A:B,2,0)</f>
        <v>LS</v>
      </c>
      <c r="K859" s="7"/>
      <c r="L859" s="7"/>
      <c r="M859" s="16" t="s">
        <v>1040</v>
      </c>
    </row>
    <row r="860" spans="1:13" x14ac:dyDescent="0.25">
      <c r="A860" s="22">
        <f t="shared" si="13"/>
        <v>859</v>
      </c>
      <c r="B860" s="6" t="s">
        <v>4851</v>
      </c>
      <c r="C860" s="6" t="s">
        <v>4928</v>
      </c>
      <c r="D860" s="6" t="s">
        <v>5060</v>
      </c>
      <c r="E860" s="6" t="s">
        <v>5061</v>
      </c>
      <c r="F860" s="6"/>
      <c r="G860" s="6" t="s">
        <v>63</v>
      </c>
      <c r="H860" s="6" t="str">
        <f>IFERROR(VLOOKUP(Table2[[#This Row],[Ticket]],Okey!A:B,2,0),"")</f>
        <v>ok</v>
      </c>
      <c r="I860" s="6" t="s">
        <v>3679</v>
      </c>
      <c r="J860" s="6" t="str">
        <f>VLOOKUP(Table2[[#This Row],[Author]],People!A:B,2,0)</f>
        <v>LS</v>
      </c>
      <c r="K860" s="6"/>
      <c r="L860" s="6"/>
      <c r="M860" s="21" t="s">
        <v>1040</v>
      </c>
    </row>
    <row r="861" spans="1:13" x14ac:dyDescent="0.25">
      <c r="A861" s="23">
        <f t="shared" si="13"/>
        <v>860</v>
      </c>
      <c r="B861" s="7" t="s">
        <v>4851</v>
      </c>
      <c r="C861" s="7" t="s">
        <v>4928</v>
      </c>
      <c r="D861" s="7" t="s">
        <v>5062</v>
      </c>
      <c r="E861" s="7" t="s">
        <v>5063</v>
      </c>
      <c r="F861" s="7"/>
      <c r="G861" s="7" t="s">
        <v>63</v>
      </c>
      <c r="H861" s="7" t="str">
        <f>IFERROR(VLOOKUP(Table2[[#This Row],[Ticket]],Okey!A:B,2,0),"")</f>
        <v>ok</v>
      </c>
      <c r="I861" s="7" t="s">
        <v>3679</v>
      </c>
      <c r="J861" s="7" t="str">
        <f>VLOOKUP(Table2[[#This Row],[Author]],People!A:B,2,0)</f>
        <v>LS</v>
      </c>
      <c r="K861" s="7"/>
      <c r="L861" s="7"/>
      <c r="M861" s="16" t="s">
        <v>1040</v>
      </c>
    </row>
    <row r="862" spans="1:13" x14ac:dyDescent="0.25">
      <c r="A862" s="22">
        <f t="shared" si="13"/>
        <v>861</v>
      </c>
      <c r="B862" s="6" t="s">
        <v>4851</v>
      </c>
      <c r="C862" s="6" t="s">
        <v>4928</v>
      </c>
      <c r="D862" s="6" t="s">
        <v>5064</v>
      </c>
      <c r="E862" s="6" t="s">
        <v>5065</v>
      </c>
      <c r="F862" s="6"/>
      <c r="G862" s="6" t="s">
        <v>63</v>
      </c>
      <c r="H862" s="6" t="str">
        <f>IFERROR(VLOOKUP(Table2[[#This Row],[Ticket]],Okey!A:B,2,0),"")</f>
        <v>ok</v>
      </c>
      <c r="I862" s="6" t="s">
        <v>3679</v>
      </c>
      <c r="J862" s="6" t="str">
        <f>VLOOKUP(Table2[[#This Row],[Author]],People!A:B,2,0)</f>
        <v>LS</v>
      </c>
      <c r="K862" s="6"/>
      <c r="L862" s="6"/>
      <c r="M862" s="21" t="s">
        <v>1040</v>
      </c>
    </row>
    <row r="863" spans="1:13" x14ac:dyDescent="0.25">
      <c r="A863" s="23">
        <f t="shared" si="13"/>
        <v>862</v>
      </c>
      <c r="B863" s="7" t="s">
        <v>4851</v>
      </c>
      <c r="C863" s="7" t="s">
        <v>4928</v>
      </c>
      <c r="D863" s="7" t="s">
        <v>5066</v>
      </c>
      <c r="E863" s="7" t="s">
        <v>5067</v>
      </c>
      <c r="F863" s="7"/>
      <c r="G863" s="7" t="s">
        <v>63</v>
      </c>
      <c r="H863" s="7" t="str">
        <f>IFERROR(VLOOKUP(Table2[[#This Row],[Ticket]],Okey!A:B,2,0),"")</f>
        <v>ok</v>
      </c>
      <c r="I863" s="7" t="s">
        <v>3679</v>
      </c>
      <c r="J863" s="7" t="str">
        <f>VLOOKUP(Table2[[#This Row],[Author]],People!A:B,2,0)</f>
        <v>LS</v>
      </c>
      <c r="K863" s="7"/>
      <c r="L863" s="7"/>
      <c r="M863" s="16" t="s">
        <v>1040</v>
      </c>
    </row>
    <row r="864" spans="1:13" x14ac:dyDescent="0.25">
      <c r="A864" s="22">
        <f t="shared" si="13"/>
        <v>863</v>
      </c>
      <c r="B864" s="6" t="s">
        <v>4851</v>
      </c>
      <c r="C864" s="6" t="s">
        <v>4928</v>
      </c>
      <c r="D864" s="6" t="s">
        <v>5068</v>
      </c>
      <c r="E864" s="6" t="s">
        <v>5069</v>
      </c>
      <c r="F864" s="6"/>
      <c r="G864" s="6" t="s">
        <v>63</v>
      </c>
      <c r="H864" s="6" t="str">
        <f>IFERROR(VLOOKUP(Table2[[#This Row],[Ticket]],Okey!A:B,2,0),"")</f>
        <v>ok</v>
      </c>
      <c r="I864" s="6" t="s">
        <v>3679</v>
      </c>
      <c r="J864" s="6" t="str">
        <f>VLOOKUP(Table2[[#This Row],[Author]],People!A:B,2,0)</f>
        <v>LS</v>
      </c>
      <c r="K864" s="6"/>
      <c r="L864" s="6"/>
      <c r="M864" s="21" t="s">
        <v>1040</v>
      </c>
    </row>
    <row r="865" spans="1:13" x14ac:dyDescent="0.25">
      <c r="A865" s="23">
        <f t="shared" si="13"/>
        <v>864</v>
      </c>
      <c r="B865" s="7" t="s">
        <v>4851</v>
      </c>
      <c r="C865" s="7" t="s">
        <v>4928</v>
      </c>
      <c r="D865" s="7" t="s">
        <v>5070</v>
      </c>
      <c r="E865" s="7" t="s">
        <v>5071</v>
      </c>
      <c r="F865" s="7"/>
      <c r="G865" s="7" t="s">
        <v>63</v>
      </c>
      <c r="H865" s="7" t="str">
        <f>IFERROR(VLOOKUP(Table2[[#This Row],[Ticket]],Okey!A:B,2,0),"")</f>
        <v>ok</v>
      </c>
      <c r="I865" s="7" t="s">
        <v>3679</v>
      </c>
      <c r="J865" s="7" t="str">
        <f>VLOOKUP(Table2[[#This Row],[Author]],People!A:B,2,0)</f>
        <v>LS</v>
      </c>
      <c r="K865" s="7"/>
      <c r="L865" s="7"/>
      <c r="M865" s="16" t="s">
        <v>1040</v>
      </c>
    </row>
    <row r="866" spans="1:13" x14ac:dyDescent="0.25">
      <c r="A866" s="22">
        <f t="shared" si="13"/>
        <v>865</v>
      </c>
      <c r="B866" s="6" t="s">
        <v>4851</v>
      </c>
      <c r="C866" s="6" t="s">
        <v>4928</v>
      </c>
      <c r="D866" s="6" t="s">
        <v>5072</v>
      </c>
      <c r="E866" s="6" t="s">
        <v>5073</v>
      </c>
      <c r="F866" s="6"/>
      <c r="G866" s="6" t="s">
        <v>63</v>
      </c>
      <c r="H866" s="6" t="str">
        <f>IFERROR(VLOOKUP(Table2[[#This Row],[Ticket]],Okey!A:B,2,0),"")</f>
        <v>ok</v>
      </c>
      <c r="I866" s="6" t="s">
        <v>3679</v>
      </c>
      <c r="J866" s="6" t="str">
        <f>VLOOKUP(Table2[[#This Row],[Author]],People!A:B,2,0)</f>
        <v>LS</v>
      </c>
      <c r="K866" s="6"/>
      <c r="L866" s="6"/>
      <c r="M866" s="21" t="s">
        <v>1040</v>
      </c>
    </row>
    <row r="867" spans="1:13" x14ac:dyDescent="0.25">
      <c r="A867" s="23">
        <f t="shared" si="13"/>
        <v>866</v>
      </c>
      <c r="B867" s="7" t="s">
        <v>4851</v>
      </c>
      <c r="C867" s="7" t="s">
        <v>4928</v>
      </c>
      <c r="D867" s="7" t="s">
        <v>5074</v>
      </c>
      <c r="E867" s="7" t="s">
        <v>5075</v>
      </c>
      <c r="F867" s="7"/>
      <c r="G867" s="7" t="s">
        <v>63</v>
      </c>
      <c r="H867" s="7" t="str">
        <f>IFERROR(VLOOKUP(Table2[[#This Row],[Ticket]],Okey!A:B,2,0),"")</f>
        <v>ok</v>
      </c>
      <c r="I867" s="7" t="s">
        <v>3679</v>
      </c>
      <c r="J867" s="7" t="str">
        <f>VLOOKUP(Table2[[#This Row],[Author]],People!A:B,2,0)</f>
        <v>LS</v>
      </c>
      <c r="K867" s="7"/>
      <c r="L867" s="7"/>
      <c r="M867" s="16" t="s">
        <v>1040</v>
      </c>
    </row>
    <row r="868" spans="1:13" x14ac:dyDescent="0.25">
      <c r="A868" s="22">
        <f t="shared" si="13"/>
        <v>867</v>
      </c>
      <c r="B868" s="6" t="s">
        <v>4851</v>
      </c>
      <c r="C868" s="6" t="s">
        <v>4928</v>
      </c>
      <c r="D868" s="6" t="s">
        <v>5076</v>
      </c>
      <c r="E868" s="6" t="s">
        <v>5077</v>
      </c>
      <c r="F868" s="6"/>
      <c r="G868" s="6" t="s">
        <v>63</v>
      </c>
      <c r="H868" s="6" t="str">
        <f>IFERROR(VLOOKUP(Table2[[#This Row],[Ticket]],Okey!A:B,2,0),"")</f>
        <v>ok</v>
      </c>
      <c r="I868" s="6" t="s">
        <v>3679</v>
      </c>
      <c r="J868" s="6" t="str">
        <f>VLOOKUP(Table2[[#This Row],[Author]],People!A:B,2,0)</f>
        <v>LS</v>
      </c>
      <c r="K868" s="6"/>
      <c r="L868" s="6"/>
      <c r="M868" s="21" t="s">
        <v>1040</v>
      </c>
    </row>
    <row r="869" spans="1:13" x14ac:dyDescent="0.25">
      <c r="A869" s="23">
        <f t="shared" si="13"/>
        <v>868</v>
      </c>
      <c r="B869" s="7" t="s">
        <v>4851</v>
      </c>
      <c r="C869" s="7" t="s">
        <v>4928</v>
      </c>
      <c r="D869" s="7" t="s">
        <v>1463</v>
      </c>
      <c r="E869" s="7" t="s">
        <v>5078</v>
      </c>
      <c r="F869" s="7"/>
      <c r="G869" s="7" t="s">
        <v>63</v>
      </c>
      <c r="H869" s="7" t="str">
        <f>IFERROR(VLOOKUP(Table2[[#This Row],[Ticket]],Okey!A:B,2,0),"")</f>
        <v>ok</v>
      </c>
      <c r="I869" s="7" t="s">
        <v>3679</v>
      </c>
      <c r="J869" s="7" t="str">
        <f>VLOOKUP(Table2[[#This Row],[Author]],People!A:B,2,0)</f>
        <v>LS</v>
      </c>
      <c r="K869" s="7"/>
      <c r="L869" s="7"/>
      <c r="M869" s="16" t="s">
        <v>1040</v>
      </c>
    </row>
    <row r="870" spans="1:13" x14ac:dyDescent="0.25">
      <c r="A870" s="22">
        <f t="shared" si="13"/>
        <v>869</v>
      </c>
      <c r="B870" s="6" t="s">
        <v>4851</v>
      </c>
      <c r="C870" s="6" t="s">
        <v>4928</v>
      </c>
      <c r="D870" s="6" t="s">
        <v>5079</v>
      </c>
      <c r="E870" s="6" t="s">
        <v>5080</v>
      </c>
      <c r="F870" s="6"/>
      <c r="G870" s="6" t="s">
        <v>63</v>
      </c>
      <c r="H870" s="6" t="str">
        <f>IFERROR(VLOOKUP(Table2[[#This Row],[Ticket]],Okey!A:B,2,0),"")</f>
        <v>ok</v>
      </c>
      <c r="I870" s="6" t="s">
        <v>3679</v>
      </c>
      <c r="J870" s="6" t="str">
        <f>VLOOKUP(Table2[[#This Row],[Author]],People!A:B,2,0)</f>
        <v>LS</v>
      </c>
      <c r="K870" s="6"/>
      <c r="L870" s="6"/>
      <c r="M870" s="21" t="s">
        <v>1040</v>
      </c>
    </row>
    <row r="871" spans="1:13" x14ac:dyDescent="0.25">
      <c r="A871" s="23">
        <f t="shared" si="13"/>
        <v>870</v>
      </c>
      <c r="B871" s="7" t="s">
        <v>4851</v>
      </c>
      <c r="C871" s="7" t="s">
        <v>4928</v>
      </c>
      <c r="D871" s="7" t="s">
        <v>5081</v>
      </c>
      <c r="E871" s="7" t="s">
        <v>5082</v>
      </c>
      <c r="F871" s="7"/>
      <c r="G871" s="7" t="s">
        <v>63</v>
      </c>
      <c r="H871" s="7" t="str">
        <f>IFERROR(VLOOKUP(Table2[[#This Row],[Ticket]],Okey!A:B,2,0),"")</f>
        <v>ok</v>
      </c>
      <c r="I871" s="7" t="s">
        <v>3679</v>
      </c>
      <c r="J871" s="7" t="str">
        <f>VLOOKUP(Table2[[#This Row],[Author]],People!A:B,2,0)</f>
        <v>LS</v>
      </c>
      <c r="K871" s="7"/>
      <c r="L871" s="7"/>
      <c r="M871" s="16" t="s">
        <v>1040</v>
      </c>
    </row>
    <row r="872" spans="1:13" x14ac:dyDescent="0.25">
      <c r="A872" s="22">
        <f t="shared" si="13"/>
        <v>871</v>
      </c>
      <c r="B872" s="6" t="s">
        <v>4851</v>
      </c>
      <c r="C872" s="6" t="s">
        <v>4928</v>
      </c>
      <c r="D872" s="6" t="s">
        <v>5083</v>
      </c>
      <c r="E872" s="6" t="s">
        <v>5084</v>
      </c>
      <c r="F872" s="6"/>
      <c r="G872" s="6" t="s">
        <v>63</v>
      </c>
      <c r="H872" s="6" t="str">
        <f>IFERROR(VLOOKUP(Table2[[#This Row],[Ticket]],Okey!A:B,2,0),"")</f>
        <v>ok</v>
      </c>
      <c r="I872" s="6" t="s">
        <v>3679</v>
      </c>
      <c r="J872" s="6" t="str">
        <f>VLOOKUP(Table2[[#This Row],[Author]],People!A:B,2,0)</f>
        <v>LS</v>
      </c>
      <c r="K872" s="6"/>
      <c r="L872" s="6"/>
      <c r="M872" s="21" t="s">
        <v>1040</v>
      </c>
    </row>
    <row r="873" spans="1:13" x14ac:dyDescent="0.25">
      <c r="A873" s="23">
        <f t="shared" si="13"/>
        <v>872</v>
      </c>
      <c r="B873" s="7" t="s">
        <v>4851</v>
      </c>
      <c r="C873" s="7" t="s">
        <v>4928</v>
      </c>
      <c r="D873" s="7" t="s">
        <v>5085</v>
      </c>
      <c r="E873" s="7" t="s">
        <v>5086</v>
      </c>
      <c r="F873" s="7"/>
      <c r="G873" s="7" t="s">
        <v>63</v>
      </c>
      <c r="H873" s="7" t="str">
        <f>IFERROR(VLOOKUP(Table2[[#This Row],[Ticket]],Okey!A:B,2,0),"")</f>
        <v>ok</v>
      </c>
      <c r="I873" s="7" t="s">
        <v>3679</v>
      </c>
      <c r="J873" s="7" t="str">
        <f>VLOOKUP(Table2[[#This Row],[Author]],People!A:B,2,0)</f>
        <v>LS</v>
      </c>
      <c r="K873" s="7"/>
      <c r="L873" s="7"/>
      <c r="M873" s="16" t="s">
        <v>1040</v>
      </c>
    </row>
    <row r="874" spans="1:13" x14ac:dyDescent="0.25">
      <c r="A874" s="22">
        <f t="shared" si="13"/>
        <v>873</v>
      </c>
      <c r="B874" s="6" t="s">
        <v>4851</v>
      </c>
      <c r="C874" s="6" t="s">
        <v>4928</v>
      </c>
      <c r="D874" s="6" t="s">
        <v>5087</v>
      </c>
      <c r="E874" s="6" t="s">
        <v>5088</v>
      </c>
      <c r="F874" s="6"/>
      <c r="G874" s="6" t="s">
        <v>63</v>
      </c>
      <c r="H874" s="6" t="str">
        <f>IFERROR(VLOOKUP(Table2[[#This Row],[Ticket]],Okey!A:B,2,0),"")</f>
        <v>ok</v>
      </c>
      <c r="I874" s="6" t="s">
        <v>3679</v>
      </c>
      <c r="J874" s="6" t="str">
        <f>VLOOKUP(Table2[[#This Row],[Author]],People!A:B,2,0)</f>
        <v>LS</v>
      </c>
      <c r="K874" s="6"/>
      <c r="L874" s="6"/>
      <c r="M874" s="21" t="s">
        <v>1040</v>
      </c>
    </row>
    <row r="875" spans="1:13" x14ac:dyDescent="0.25">
      <c r="A875" s="23">
        <f t="shared" si="13"/>
        <v>874</v>
      </c>
      <c r="B875" s="7" t="s">
        <v>4851</v>
      </c>
      <c r="C875" s="7" t="s">
        <v>4928</v>
      </c>
      <c r="D875" s="7" t="s">
        <v>5089</v>
      </c>
      <c r="E875" s="7" t="s">
        <v>5090</v>
      </c>
      <c r="F875" s="7"/>
      <c r="G875" s="7" t="s">
        <v>63</v>
      </c>
      <c r="H875" s="7" t="str">
        <f>IFERROR(VLOOKUP(Table2[[#This Row],[Ticket]],Okey!A:B,2,0),"")</f>
        <v>ok</v>
      </c>
      <c r="I875" s="7" t="s">
        <v>3679</v>
      </c>
      <c r="J875" s="7" t="str">
        <f>VLOOKUP(Table2[[#This Row],[Author]],People!A:B,2,0)</f>
        <v>LS</v>
      </c>
      <c r="K875" s="7"/>
      <c r="L875" s="7"/>
      <c r="M875" s="16" t="s">
        <v>1040</v>
      </c>
    </row>
    <row r="876" spans="1:13" x14ac:dyDescent="0.25">
      <c r="A876" s="22">
        <f t="shared" si="13"/>
        <v>875</v>
      </c>
      <c r="B876" s="6" t="s">
        <v>4851</v>
      </c>
      <c r="C876" s="6" t="s">
        <v>4928</v>
      </c>
      <c r="D876" s="6" t="s">
        <v>5091</v>
      </c>
      <c r="E876" s="6" t="s">
        <v>5092</v>
      </c>
      <c r="F876" s="6"/>
      <c r="G876" s="6" t="s">
        <v>63</v>
      </c>
      <c r="H876" s="6" t="str">
        <f>IFERROR(VLOOKUP(Table2[[#This Row],[Ticket]],Okey!A:B,2,0),"")</f>
        <v>ok</v>
      </c>
      <c r="I876" s="6" t="s">
        <v>3679</v>
      </c>
      <c r="J876" s="6" t="str">
        <f>VLOOKUP(Table2[[#This Row],[Author]],People!A:B,2,0)</f>
        <v>LS</v>
      </c>
      <c r="K876" s="6"/>
      <c r="L876" s="6"/>
      <c r="M876" s="21" t="s">
        <v>1040</v>
      </c>
    </row>
    <row r="877" spans="1:13" x14ac:dyDescent="0.25">
      <c r="A877" s="23">
        <f t="shared" si="13"/>
        <v>876</v>
      </c>
      <c r="B877" s="7" t="s">
        <v>4851</v>
      </c>
      <c r="C877" s="7" t="s">
        <v>4928</v>
      </c>
      <c r="D877" s="7" t="s">
        <v>5093</v>
      </c>
      <c r="E877" s="7" t="s">
        <v>5094</v>
      </c>
      <c r="F877" s="7"/>
      <c r="G877" s="7" t="s">
        <v>63</v>
      </c>
      <c r="H877" s="7" t="str">
        <f>IFERROR(VLOOKUP(Table2[[#This Row],[Ticket]],Okey!A:B,2,0),"")</f>
        <v>ok</v>
      </c>
      <c r="I877" s="7" t="s">
        <v>3679</v>
      </c>
      <c r="J877" s="7" t="str">
        <f>VLOOKUP(Table2[[#This Row],[Author]],People!A:B,2,0)</f>
        <v>LS</v>
      </c>
      <c r="K877" s="7"/>
      <c r="L877" s="7"/>
      <c r="M877" s="16" t="s">
        <v>1040</v>
      </c>
    </row>
    <row r="878" spans="1:13" x14ac:dyDescent="0.25">
      <c r="A878" s="22">
        <f t="shared" si="13"/>
        <v>877</v>
      </c>
      <c r="B878" s="6" t="s">
        <v>4851</v>
      </c>
      <c r="C878" s="6" t="s">
        <v>4928</v>
      </c>
      <c r="D878" s="6" t="s">
        <v>3680</v>
      </c>
      <c r="E878" s="6" t="s">
        <v>5095</v>
      </c>
      <c r="F878" s="6"/>
      <c r="G878" s="6" t="s">
        <v>63</v>
      </c>
      <c r="H878" s="6" t="str">
        <f>IFERROR(VLOOKUP(Table2[[#This Row],[Ticket]],Okey!A:B,2,0),"")</f>
        <v>ok</v>
      </c>
      <c r="I878" s="6" t="s">
        <v>3679</v>
      </c>
      <c r="J878" s="6" t="str">
        <f>VLOOKUP(Table2[[#This Row],[Author]],People!A:B,2,0)</f>
        <v>LS</v>
      </c>
      <c r="K878" s="6"/>
      <c r="L878" s="6"/>
      <c r="M878" s="21" t="s">
        <v>1040</v>
      </c>
    </row>
    <row r="879" spans="1:13" x14ac:dyDescent="0.25">
      <c r="A879" s="23">
        <f t="shared" si="13"/>
        <v>878</v>
      </c>
      <c r="B879" s="7" t="s">
        <v>4851</v>
      </c>
      <c r="C879" s="7" t="s">
        <v>4928</v>
      </c>
      <c r="D879" s="7" t="s">
        <v>4554</v>
      </c>
      <c r="E879" s="7" t="s">
        <v>5096</v>
      </c>
      <c r="F879" s="7"/>
      <c r="G879" s="7" t="s">
        <v>63</v>
      </c>
      <c r="H879" s="7" t="str">
        <f>IFERROR(VLOOKUP(Table2[[#This Row],[Ticket]],Okey!A:B,2,0),"")</f>
        <v>ok</v>
      </c>
      <c r="I879" s="7" t="s">
        <v>3679</v>
      </c>
      <c r="J879" s="7" t="str">
        <f>VLOOKUP(Table2[[#This Row],[Author]],People!A:B,2,0)</f>
        <v>LS</v>
      </c>
      <c r="K879" s="7"/>
      <c r="L879" s="7"/>
      <c r="M879" s="16" t="s">
        <v>1040</v>
      </c>
    </row>
    <row r="880" spans="1:13" x14ac:dyDescent="0.25">
      <c r="A880" s="22">
        <f t="shared" si="13"/>
        <v>879</v>
      </c>
      <c r="B880" s="6" t="s">
        <v>4851</v>
      </c>
      <c r="C880" s="6" t="s">
        <v>4928</v>
      </c>
      <c r="D880" s="6" t="s">
        <v>4542</v>
      </c>
      <c r="E880" s="6" t="s">
        <v>5097</v>
      </c>
      <c r="F880" s="6"/>
      <c r="G880" s="6" t="s">
        <v>63</v>
      </c>
      <c r="H880" s="6" t="str">
        <f>IFERROR(VLOOKUP(Table2[[#This Row],[Ticket]],Okey!A:B,2,0),"")</f>
        <v>ok</v>
      </c>
      <c r="I880" s="6" t="s">
        <v>3679</v>
      </c>
      <c r="J880" s="6" t="str">
        <f>VLOOKUP(Table2[[#This Row],[Author]],People!A:B,2,0)</f>
        <v>LS</v>
      </c>
      <c r="K880" s="6"/>
      <c r="L880" s="6"/>
      <c r="M880" s="21" t="s">
        <v>1040</v>
      </c>
    </row>
    <row r="881" spans="1:13" x14ac:dyDescent="0.25">
      <c r="A881" s="23">
        <f t="shared" si="13"/>
        <v>880</v>
      </c>
      <c r="B881" s="7" t="s">
        <v>4851</v>
      </c>
      <c r="C881" s="7" t="s">
        <v>4928</v>
      </c>
      <c r="D881" s="7" t="s">
        <v>4550</v>
      </c>
      <c r="E881" s="7" t="s">
        <v>5098</v>
      </c>
      <c r="F881" s="7"/>
      <c r="G881" s="7" t="s">
        <v>63</v>
      </c>
      <c r="H881" s="7" t="str">
        <f>IFERROR(VLOOKUP(Table2[[#This Row],[Ticket]],Okey!A:B,2,0),"")</f>
        <v>ok</v>
      </c>
      <c r="I881" s="7" t="s">
        <v>3679</v>
      </c>
      <c r="J881" s="7" t="str">
        <f>VLOOKUP(Table2[[#This Row],[Author]],People!A:B,2,0)</f>
        <v>LS</v>
      </c>
      <c r="K881" s="7"/>
      <c r="L881" s="7"/>
      <c r="M881" s="16" t="s">
        <v>1040</v>
      </c>
    </row>
    <row r="882" spans="1:13" x14ac:dyDescent="0.25">
      <c r="A882" s="22">
        <f t="shared" si="13"/>
        <v>881</v>
      </c>
      <c r="B882" s="6" t="s">
        <v>4851</v>
      </c>
      <c r="C882" s="6" t="s">
        <v>4928</v>
      </c>
      <c r="D882" s="6" t="s">
        <v>5099</v>
      </c>
      <c r="E882" s="6" t="s">
        <v>5100</v>
      </c>
      <c r="F882" s="6"/>
      <c r="G882" s="6" t="s">
        <v>63</v>
      </c>
      <c r="H882" s="6" t="str">
        <f>IFERROR(VLOOKUP(Table2[[#This Row],[Ticket]],Okey!A:B,2,0),"")</f>
        <v>ok</v>
      </c>
      <c r="I882" s="6" t="s">
        <v>3679</v>
      </c>
      <c r="J882" s="6" t="str">
        <f>VLOOKUP(Table2[[#This Row],[Author]],People!A:B,2,0)</f>
        <v>LS</v>
      </c>
      <c r="K882" s="6"/>
      <c r="L882" s="6"/>
      <c r="M882" s="21" t="s">
        <v>1040</v>
      </c>
    </row>
    <row r="883" spans="1:13" x14ac:dyDescent="0.25">
      <c r="A883" s="23">
        <f t="shared" si="13"/>
        <v>882</v>
      </c>
      <c r="B883" s="7" t="s">
        <v>4851</v>
      </c>
      <c r="C883" s="7" t="s">
        <v>4928</v>
      </c>
      <c r="D883" s="7" t="s">
        <v>5101</v>
      </c>
      <c r="E883" s="7" t="s">
        <v>5102</v>
      </c>
      <c r="F883" s="7"/>
      <c r="G883" s="7" t="s">
        <v>63</v>
      </c>
      <c r="H883" s="7" t="str">
        <f>IFERROR(VLOOKUP(Table2[[#This Row],[Ticket]],Okey!A:B,2,0),"")</f>
        <v>ok</v>
      </c>
      <c r="I883" s="7" t="s">
        <v>3679</v>
      </c>
      <c r="J883" s="7" t="str">
        <f>VLOOKUP(Table2[[#This Row],[Author]],People!A:B,2,0)</f>
        <v>LS</v>
      </c>
      <c r="K883" s="7"/>
      <c r="L883" s="7"/>
      <c r="M883" s="16" t="s">
        <v>1040</v>
      </c>
    </row>
    <row r="884" spans="1:13" x14ac:dyDescent="0.25">
      <c r="A884" s="22">
        <f t="shared" si="13"/>
        <v>883</v>
      </c>
      <c r="B884" s="6" t="s">
        <v>4851</v>
      </c>
      <c r="C884" s="6" t="s">
        <v>4928</v>
      </c>
      <c r="D884" s="6" t="s">
        <v>5103</v>
      </c>
      <c r="E884" s="6" t="s">
        <v>5104</v>
      </c>
      <c r="F884" s="6"/>
      <c r="G884" s="6" t="s">
        <v>63</v>
      </c>
      <c r="H884" s="6" t="str">
        <f>IFERROR(VLOOKUP(Table2[[#This Row],[Ticket]],Okey!A:B,2,0),"")</f>
        <v>ok</v>
      </c>
      <c r="I884" s="6" t="s">
        <v>3679</v>
      </c>
      <c r="J884" s="6" t="str">
        <f>VLOOKUP(Table2[[#This Row],[Author]],People!A:B,2,0)</f>
        <v>LS</v>
      </c>
      <c r="K884" s="6"/>
      <c r="L884" s="6"/>
      <c r="M884" s="21" t="s">
        <v>1040</v>
      </c>
    </row>
    <row r="885" spans="1:13" x14ac:dyDescent="0.25">
      <c r="A885" s="23">
        <f t="shared" si="13"/>
        <v>884</v>
      </c>
      <c r="B885" s="7" t="s">
        <v>4851</v>
      </c>
      <c r="C885" s="7" t="s">
        <v>4928</v>
      </c>
      <c r="D885" s="7" t="s">
        <v>4554</v>
      </c>
      <c r="E885" s="7" t="s">
        <v>5105</v>
      </c>
      <c r="F885" s="7"/>
      <c r="G885" s="7" t="s">
        <v>63</v>
      </c>
      <c r="H885" s="7" t="str">
        <f>IFERROR(VLOOKUP(Table2[[#This Row],[Ticket]],Okey!A:B,2,0),"")</f>
        <v>ok</v>
      </c>
      <c r="I885" s="7" t="s">
        <v>3679</v>
      </c>
      <c r="J885" s="7" t="str">
        <f>VLOOKUP(Table2[[#This Row],[Author]],People!A:B,2,0)</f>
        <v>LS</v>
      </c>
      <c r="K885" s="7"/>
      <c r="L885" s="7"/>
      <c r="M885" s="16" t="s">
        <v>1040</v>
      </c>
    </row>
    <row r="886" spans="1:13" x14ac:dyDescent="0.25">
      <c r="A886" s="22">
        <f t="shared" si="13"/>
        <v>885</v>
      </c>
      <c r="B886" s="6" t="s">
        <v>4851</v>
      </c>
      <c r="C886" s="6" t="s">
        <v>4928</v>
      </c>
      <c r="D886" s="6" t="s">
        <v>5106</v>
      </c>
      <c r="E886" s="6"/>
      <c r="F886" s="6" t="s">
        <v>4552</v>
      </c>
      <c r="G886" s="6" t="s">
        <v>24</v>
      </c>
      <c r="H886" s="6" t="str">
        <f>IFERROR(VLOOKUP(Table2[[#This Row],[Ticket]],Okey!A:B,2,0),"")</f>
        <v>ok</v>
      </c>
      <c r="I886" s="6" t="s">
        <v>3679</v>
      </c>
      <c r="J886" s="6" t="str">
        <f>VLOOKUP(Table2[[#This Row],[Author]],People!A:B,2,0)</f>
        <v>LS</v>
      </c>
      <c r="K886" s="6"/>
      <c r="L886" s="6"/>
      <c r="M886" s="21" t="s">
        <v>1040</v>
      </c>
    </row>
    <row r="887" spans="1:13" x14ac:dyDescent="0.25">
      <c r="A887" s="23">
        <f t="shared" si="13"/>
        <v>886</v>
      </c>
      <c r="B887" s="7" t="s">
        <v>4851</v>
      </c>
      <c r="C887" s="7" t="s">
        <v>4928</v>
      </c>
      <c r="D887" s="7" t="s">
        <v>5107</v>
      </c>
      <c r="E887" s="7"/>
      <c r="F887" s="7" t="s">
        <v>5103</v>
      </c>
      <c r="G887" s="7" t="s">
        <v>24</v>
      </c>
      <c r="H887" s="7" t="str">
        <f>IFERROR(VLOOKUP(Table2[[#This Row],[Ticket]],Okey!A:B,2,0),"")</f>
        <v>ok</v>
      </c>
      <c r="I887" s="7" t="s">
        <v>3679</v>
      </c>
      <c r="J887" s="7" t="str">
        <f>VLOOKUP(Table2[[#This Row],[Author]],People!A:B,2,0)</f>
        <v>LS</v>
      </c>
      <c r="K887" s="7"/>
      <c r="L887" s="7"/>
      <c r="M887" s="16" t="s">
        <v>1040</v>
      </c>
    </row>
    <row r="888" spans="1:13" x14ac:dyDescent="0.25">
      <c r="A888" s="22">
        <f t="shared" si="13"/>
        <v>887</v>
      </c>
      <c r="B888" s="6" t="s">
        <v>4851</v>
      </c>
      <c r="C888" s="6" t="s">
        <v>4928</v>
      </c>
      <c r="D888" s="6" t="s">
        <v>545</v>
      </c>
      <c r="E888" s="6"/>
      <c r="F888" s="6" t="s">
        <v>4584</v>
      </c>
      <c r="G888" s="6" t="s">
        <v>24</v>
      </c>
      <c r="H888" s="6" t="str">
        <f>IFERROR(VLOOKUP(Table2[[#This Row],[Ticket]],Okey!A:B,2,0),"")</f>
        <v>ok</v>
      </c>
      <c r="I888" s="6" t="s">
        <v>3679</v>
      </c>
      <c r="J888" s="6" t="str">
        <f>VLOOKUP(Table2[[#This Row],[Author]],People!A:B,2,0)</f>
        <v>LS</v>
      </c>
      <c r="K888" s="6"/>
      <c r="L888" s="6"/>
      <c r="M888" s="21" t="s">
        <v>1040</v>
      </c>
    </row>
    <row r="889" spans="1:13" x14ac:dyDescent="0.25">
      <c r="A889" s="23">
        <f t="shared" si="13"/>
        <v>888</v>
      </c>
      <c r="B889" s="7" t="s">
        <v>4851</v>
      </c>
      <c r="C889" s="7" t="s">
        <v>4928</v>
      </c>
      <c r="D889" s="7" t="s">
        <v>4872</v>
      </c>
      <c r="E889" s="7"/>
      <c r="F889" s="7" t="s">
        <v>4584</v>
      </c>
      <c r="G889" s="7" t="s">
        <v>24</v>
      </c>
      <c r="H889" s="7" t="str">
        <f>IFERROR(VLOOKUP(Table2[[#This Row],[Ticket]],Okey!A:B,2,0),"")</f>
        <v>ok</v>
      </c>
      <c r="I889" s="7" t="s">
        <v>3679</v>
      </c>
      <c r="J889" s="7" t="str">
        <f>VLOOKUP(Table2[[#This Row],[Author]],People!A:B,2,0)</f>
        <v>LS</v>
      </c>
      <c r="K889" s="7"/>
      <c r="L889" s="7"/>
      <c r="M889" s="16" t="s">
        <v>1040</v>
      </c>
    </row>
    <row r="890" spans="1:13" x14ac:dyDescent="0.25">
      <c r="A890" s="22">
        <f t="shared" si="13"/>
        <v>889</v>
      </c>
      <c r="B890" s="6" t="s">
        <v>4851</v>
      </c>
      <c r="C890" s="6" t="s">
        <v>4928</v>
      </c>
      <c r="D890" s="6" t="s">
        <v>4873</v>
      </c>
      <c r="E890" s="6"/>
      <c r="F890" s="6" t="s">
        <v>4584</v>
      </c>
      <c r="G890" s="6" t="s">
        <v>24</v>
      </c>
      <c r="H890" s="6" t="str">
        <f>IFERROR(VLOOKUP(Table2[[#This Row],[Ticket]],Okey!A:B,2,0),"")</f>
        <v>ok</v>
      </c>
      <c r="I890" s="6" t="s">
        <v>3679</v>
      </c>
      <c r="J890" s="6" t="str">
        <f>VLOOKUP(Table2[[#This Row],[Author]],People!A:B,2,0)</f>
        <v>LS</v>
      </c>
      <c r="K890" s="6"/>
      <c r="L890" s="6"/>
      <c r="M890" s="21" t="s">
        <v>1040</v>
      </c>
    </row>
    <row r="891" spans="1:13" x14ac:dyDescent="0.25">
      <c r="A891" s="23">
        <f t="shared" si="13"/>
        <v>890</v>
      </c>
      <c r="B891" s="7" t="s">
        <v>4851</v>
      </c>
      <c r="C891" s="7" t="s">
        <v>4928</v>
      </c>
      <c r="D891" s="7" t="s">
        <v>4874</v>
      </c>
      <c r="E891" s="7"/>
      <c r="F891" s="7" t="s">
        <v>4576</v>
      </c>
      <c r="G891" s="7" t="s">
        <v>24</v>
      </c>
      <c r="H891" s="7" t="str">
        <f>IFERROR(VLOOKUP(Table2[[#This Row],[Ticket]],Okey!A:B,2,0),"")</f>
        <v>ok</v>
      </c>
      <c r="I891" s="7" t="s">
        <v>3679</v>
      </c>
      <c r="J891" s="7" t="str">
        <f>VLOOKUP(Table2[[#This Row],[Author]],People!A:B,2,0)</f>
        <v>LS</v>
      </c>
      <c r="K891" s="7"/>
      <c r="L891" s="7"/>
      <c r="M891" s="16" t="s">
        <v>1040</v>
      </c>
    </row>
    <row r="892" spans="1:13" x14ac:dyDescent="0.25">
      <c r="A892" s="22">
        <f t="shared" si="13"/>
        <v>891</v>
      </c>
      <c r="B892" s="6" t="s">
        <v>4851</v>
      </c>
      <c r="C892" s="6" t="s">
        <v>4928</v>
      </c>
      <c r="D892" s="6" t="s">
        <v>4875</v>
      </c>
      <c r="E892" s="6"/>
      <c r="F892" s="6" t="s">
        <v>634</v>
      </c>
      <c r="G892" s="6" t="s">
        <v>24</v>
      </c>
      <c r="H892" s="6" t="str">
        <f>IFERROR(VLOOKUP(Table2[[#This Row],[Ticket]],Okey!A:B,2,0),"")</f>
        <v>ok</v>
      </c>
      <c r="I892" s="6" t="s">
        <v>3679</v>
      </c>
      <c r="J892" s="6" t="str">
        <f>VLOOKUP(Table2[[#This Row],[Author]],People!A:B,2,0)</f>
        <v>LS</v>
      </c>
      <c r="K892" s="6"/>
      <c r="L892" s="6"/>
      <c r="M892" s="21" t="s">
        <v>1040</v>
      </c>
    </row>
    <row r="893" spans="1:13" x14ac:dyDescent="0.25">
      <c r="A893" s="23">
        <f t="shared" si="13"/>
        <v>892</v>
      </c>
      <c r="B893" s="7" t="s">
        <v>4851</v>
      </c>
      <c r="C893" s="7" t="s">
        <v>4928</v>
      </c>
      <c r="D893" s="7" t="s">
        <v>4876</v>
      </c>
      <c r="E893" s="7"/>
      <c r="F893" s="7" t="s">
        <v>4576</v>
      </c>
      <c r="G893" s="7" t="s">
        <v>24</v>
      </c>
      <c r="H893" s="7" t="str">
        <f>IFERROR(VLOOKUP(Table2[[#This Row],[Ticket]],Okey!A:B,2,0),"")</f>
        <v>ok</v>
      </c>
      <c r="I893" s="7" t="s">
        <v>3679</v>
      </c>
      <c r="J893" s="7" t="str">
        <f>VLOOKUP(Table2[[#This Row],[Author]],People!A:B,2,0)</f>
        <v>LS</v>
      </c>
      <c r="K893" s="7"/>
      <c r="L893" s="7"/>
      <c r="M893" s="16" t="s">
        <v>1040</v>
      </c>
    </row>
    <row r="894" spans="1:13" x14ac:dyDescent="0.25">
      <c r="A894" s="22">
        <f t="shared" si="13"/>
        <v>893</v>
      </c>
      <c r="B894" s="6" t="s">
        <v>4851</v>
      </c>
      <c r="C894" s="6" t="s">
        <v>4928</v>
      </c>
      <c r="D894" s="6" t="s">
        <v>4877</v>
      </c>
      <c r="E894" s="6"/>
      <c r="F894" s="6" t="s">
        <v>634</v>
      </c>
      <c r="G894" s="6" t="s">
        <v>24</v>
      </c>
      <c r="H894" s="6" t="str">
        <f>IFERROR(VLOOKUP(Table2[[#This Row],[Ticket]],Okey!A:B,2,0),"")</f>
        <v>ok</v>
      </c>
      <c r="I894" s="6" t="s">
        <v>3679</v>
      </c>
      <c r="J894" s="6" t="str">
        <f>VLOOKUP(Table2[[#This Row],[Author]],People!A:B,2,0)</f>
        <v>LS</v>
      </c>
      <c r="K894" s="6"/>
      <c r="L894" s="6"/>
      <c r="M894" s="21" t="s">
        <v>1040</v>
      </c>
    </row>
    <row r="895" spans="1:13" x14ac:dyDescent="0.25">
      <c r="A895" s="23">
        <f t="shared" si="13"/>
        <v>894</v>
      </c>
      <c r="B895" s="7" t="s">
        <v>4851</v>
      </c>
      <c r="C895" s="7" t="s">
        <v>4928</v>
      </c>
      <c r="D895" s="7" t="s">
        <v>4878</v>
      </c>
      <c r="E895" s="7"/>
      <c r="F895" s="7" t="s">
        <v>4584</v>
      </c>
      <c r="G895" s="7" t="s">
        <v>24</v>
      </c>
      <c r="H895" s="7" t="str">
        <f>IFERROR(VLOOKUP(Table2[[#This Row],[Ticket]],Okey!A:B,2,0),"")</f>
        <v>ok</v>
      </c>
      <c r="I895" s="7" t="s">
        <v>3679</v>
      </c>
      <c r="J895" s="7" t="str">
        <f>VLOOKUP(Table2[[#This Row],[Author]],People!A:B,2,0)</f>
        <v>LS</v>
      </c>
      <c r="K895" s="7"/>
      <c r="L895" s="7"/>
      <c r="M895" s="16" t="s">
        <v>1040</v>
      </c>
    </row>
    <row r="896" spans="1:13" x14ac:dyDescent="0.25">
      <c r="A896" s="22">
        <f t="shared" si="13"/>
        <v>895</v>
      </c>
      <c r="B896" s="6" t="s">
        <v>4851</v>
      </c>
      <c r="C896" s="6" t="s">
        <v>4928</v>
      </c>
      <c r="D896" s="6" t="s">
        <v>4879</v>
      </c>
      <c r="E896" s="6"/>
      <c r="F896" s="6" t="s">
        <v>634</v>
      </c>
      <c r="G896" s="6" t="s">
        <v>24</v>
      </c>
      <c r="H896" s="6" t="str">
        <f>IFERROR(VLOOKUP(Table2[[#This Row],[Ticket]],Okey!A:B,2,0),"")</f>
        <v>ok</v>
      </c>
      <c r="I896" s="6" t="s">
        <v>3679</v>
      </c>
      <c r="J896" s="6" t="str">
        <f>VLOOKUP(Table2[[#This Row],[Author]],People!A:B,2,0)</f>
        <v>LS</v>
      </c>
      <c r="K896" s="6"/>
      <c r="L896" s="6"/>
      <c r="M896" s="21" t="s">
        <v>1040</v>
      </c>
    </row>
    <row r="897" spans="1:13" x14ac:dyDescent="0.25">
      <c r="A897" s="23">
        <f t="shared" si="13"/>
        <v>896</v>
      </c>
      <c r="B897" s="7" t="s">
        <v>4851</v>
      </c>
      <c r="C897" s="7" t="s">
        <v>4928</v>
      </c>
      <c r="D897" s="7" t="s">
        <v>4880</v>
      </c>
      <c r="E897" s="7"/>
      <c r="F897" s="7" t="s">
        <v>4584</v>
      </c>
      <c r="G897" s="7" t="s">
        <v>24</v>
      </c>
      <c r="H897" s="7" t="str">
        <f>IFERROR(VLOOKUP(Table2[[#This Row],[Ticket]],Okey!A:B,2,0),"")</f>
        <v>ok</v>
      </c>
      <c r="I897" s="7" t="s">
        <v>3679</v>
      </c>
      <c r="J897" s="7" t="str">
        <f>VLOOKUP(Table2[[#This Row],[Author]],People!A:B,2,0)</f>
        <v>LS</v>
      </c>
      <c r="K897" s="7"/>
      <c r="L897" s="7"/>
      <c r="M897" s="16" t="s">
        <v>1040</v>
      </c>
    </row>
    <row r="898" spans="1:13" x14ac:dyDescent="0.25">
      <c r="A898" s="22">
        <f t="shared" si="13"/>
        <v>897</v>
      </c>
      <c r="B898" s="6" t="s">
        <v>4851</v>
      </c>
      <c r="C898" s="6" t="s">
        <v>4928</v>
      </c>
      <c r="D898" s="6" t="s">
        <v>5108</v>
      </c>
      <c r="E898" s="6"/>
      <c r="F898" s="6" t="s">
        <v>4877</v>
      </c>
      <c r="G898" s="6" t="s">
        <v>24</v>
      </c>
      <c r="H898" s="6" t="str">
        <f>IFERROR(VLOOKUP(Table2[[#This Row],[Ticket]],Okey!A:B,2,0),"")</f>
        <v>ok</v>
      </c>
      <c r="I898" s="6" t="s">
        <v>3679</v>
      </c>
      <c r="J898" s="6" t="str">
        <f>VLOOKUP(Table2[[#This Row],[Author]],People!A:B,2,0)</f>
        <v>LS</v>
      </c>
      <c r="K898" s="6"/>
      <c r="L898" s="6"/>
      <c r="M898" s="21" t="s">
        <v>1040</v>
      </c>
    </row>
    <row r="899" spans="1:13" x14ac:dyDescent="0.25">
      <c r="A899" s="23">
        <f t="shared" ref="A899:A962" si="14">1+A898</f>
        <v>898</v>
      </c>
      <c r="B899" s="7" t="s">
        <v>4851</v>
      </c>
      <c r="C899" s="7" t="s">
        <v>4928</v>
      </c>
      <c r="D899" s="7" t="s">
        <v>5109</v>
      </c>
      <c r="E899" s="7"/>
      <c r="F899" s="7" t="s">
        <v>5110</v>
      </c>
      <c r="G899" s="7" t="s">
        <v>24</v>
      </c>
      <c r="H899" s="7" t="str">
        <f>IFERROR(VLOOKUP(Table2[[#This Row],[Ticket]],Okey!A:B,2,0),"")</f>
        <v>ok</v>
      </c>
      <c r="I899" s="7" t="s">
        <v>3679</v>
      </c>
      <c r="J899" s="7" t="str">
        <f>VLOOKUP(Table2[[#This Row],[Author]],People!A:B,2,0)</f>
        <v>LS</v>
      </c>
      <c r="K899" s="7"/>
      <c r="L899" s="7"/>
      <c r="M899" s="16" t="s">
        <v>1040</v>
      </c>
    </row>
    <row r="900" spans="1:13" x14ac:dyDescent="0.25">
      <c r="A900" s="22">
        <f t="shared" si="14"/>
        <v>899</v>
      </c>
      <c r="B900" s="6" t="s">
        <v>4851</v>
      </c>
      <c r="C900" s="6" t="s">
        <v>4928</v>
      </c>
      <c r="D900" s="6" t="s">
        <v>5111</v>
      </c>
      <c r="E900" s="6"/>
      <c r="F900" s="6" t="s">
        <v>5112</v>
      </c>
      <c r="G900" s="6" t="s">
        <v>24</v>
      </c>
      <c r="H900" s="6" t="str">
        <f>IFERROR(VLOOKUP(Table2[[#This Row],[Ticket]],Okey!A:B,2,0),"")</f>
        <v>ok</v>
      </c>
      <c r="I900" s="6" t="s">
        <v>3679</v>
      </c>
      <c r="J900" s="6" t="str">
        <f>VLOOKUP(Table2[[#This Row],[Author]],People!A:B,2,0)</f>
        <v>LS</v>
      </c>
      <c r="K900" s="6"/>
      <c r="L900" s="6"/>
      <c r="M900" s="21" t="s">
        <v>1040</v>
      </c>
    </row>
    <row r="901" spans="1:13" x14ac:dyDescent="0.25">
      <c r="A901" s="23">
        <f t="shared" si="14"/>
        <v>900</v>
      </c>
      <c r="B901" s="7" t="s">
        <v>4851</v>
      </c>
      <c r="C901" s="7" t="s">
        <v>4928</v>
      </c>
      <c r="D901" s="7" t="s">
        <v>5113</v>
      </c>
      <c r="E901" s="7"/>
      <c r="F901" s="7" t="s">
        <v>5056</v>
      </c>
      <c r="G901" s="7" t="s">
        <v>24</v>
      </c>
      <c r="H901" s="7" t="str">
        <f>IFERROR(VLOOKUP(Table2[[#This Row],[Ticket]],Okey!A:B,2,0),"")</f>
        <v>ok</v>
      </c>
      <c r="I901" s="7" t="s">
        <v>3679</v>
      </c>
      <c r="J901" s="7" t="str">
        <f>VLOOKUP(Table2[[#This Row],[Author]],People!A:B,2,0)</f>
        <v>LS</v>
      </c>
      <c r="K901" s="7"/>
      <c r="L901" s="7"/>
      <c r="M901" s="16" t="s">
        <v>1040</v>
      </c>
    </row>
    <row r="902" spans="1:13" x14ac:dyDescent="0.25">
      <c r="A902" s="22">
        <f t="shared" si="14"/>
        <v>901</v>
      </c>
      <c r="B902" s="6" t="s">
        <v>4851</v>
      </c>
      <c r="C902" s="6" t="s">
        <v>4928</v>
      </c>
      <c r="D902" s="6" t="s">
        <v>5114</v>
      </c>
      <c r="E902" s="6"/>
      <c r="F902" s="6" t="s">
        <v>5056</v>
      </c>
      <c r="G902" s="6" t="s">
        <v>24</v>
      </c>
      <c r="H902" s="6" t="str">
        <f>IFERROR(VLOOKUP(Table2[[#This Row],[Ticket]],Okey!A:B,2,0),"")</f>
        <v>ok</v>
      </c>
      <c r="I902" s="6" t="s">
        <v>3679</v>
      </c>
      <c r="J902" s="6" t="str">
        <f>VLOOKUP(Table2[[#This Row],[Author]],People!A:B,2,0)</f>
        <v>LS</v>
      </c>
      <c r="K902" s="6"/>
      <c r="L902" s="6"/>
      <c r="M902" s="21" t="s">
        <v>1040</v>
      </c>
    </row>
    <row r="903" spans="1:13" x14ac:dyDescent="0.25">
      <c r="A903" s="23">
        <f t="shared" si="14"/>
        <v>902</v>
      </c>
      <c r="B903" s="7" t="s">
        <v>4851</v>
      </c>
      <c r="C903" s="7" t="s">
        <v>4928</v>
      </c>
      <c r="D903" s="7" t="s">
        <v>5115</v>
      </c>
      <c r="E903" s="7"/>
      <c r="F903" s="7" t="s">
        <v>5058</v>
      </c>
      <c r="G903" s="7" t="s">
        <v>24</v>
      </c>
      <c r="H903" s="7" t="str">
        <f>IFERROR(VLOOKUP(Table2[[#This Row],[Ticket]],Okey!A:B,2,0),"")</f>
        <v>ok</v>
      </c>
      <c r="I903" s="7" t="s">
        <v>3679</v>
      </c>
      <c r="J903" s="7" t="str">
        <f>VLOOKUP(Table2[[#This Row],[Author]],People!A:B,2,0)</f>
        <v>LS</v>
      </c>
      <c r="K903" s="7"/>
      <c r="L903" s="7"/>
      <c r="M903" s="16" t="s">
        <v>1040</v>
      </c>
    </row>
    <row r="904" spans="1:13" x14ac:dyDescent="0.25">
      <c r="A904" s="22">
        <f t="shared" si="14"/>
        <v>903</v>
      </c>
      <c r="B904" s="6" t="s">
        <v>4851</v>
      </c>
      <c r="C904" s="6" t="s">
        <v>4928</v>
      </c>
      <c r="D904" s="6" t="s">
        <v>5116</v>
      </c>
      <c r="E904" s="6"/>
      <c r="F904" s="6" t="s">
        <v>5058</v>
      </c>
      <c r="G904" s="6" t="s">
        <v>24</v>
      </c>
      <c r="H904" s="6" t="str">
        <f>IFERROR(VLOOKUP(Table2[[#This Row],[Ticket]],Okey!A:B,2,0),"")</f>
        <v>ok</v>
      </c>
      <c r="I904" s="6" t="s">
        <v>3679</v>
      </c>
      <c r="J904" s="6" t="str">
        <f>VLOOKUP(Table2[[#This Row],[Author]],People!A:B,2,0)</f>
        <v>LS</v>
      </c>
      <c r="K904" s="6"/>
      <c r="L904" s="6"/>
      <c r="M904" s="21" t="s">
        <v>1040</v>
      </c>
    </row>
    <row r="905" spans="1:13" x14ac:dyDescent="0.25">
      <c r="A905" s="23">
        <f t="shared" si="14"/>
        <v>904</v>
      </c>
      <c r="B905" s="7" t="s">
        <v>4851</v>
      </c>
      <c r="C905" s="7" t="s">
        <v>4928</v>
      </c>
      <c r="D905" s="7" t="s">
        <v>5117</v>
      </c>
      <c r="E905" s="7"/>
      <c r="F905" s="7" t="s">
        <v>5044</v>
      </c>
      <c r="G905" s="7" t="s">
        <v>24</v>
      </c>
      <c r="H905" s="7" t="str">
        <f>IFERROR(VLOOKUP(Table2[[#This Row],[Ticket]],Okey!A:B,2,0),"")</f>
        <v>ok</v>
      </c>
      <c r="I905" s="7" t="s">
        <v>3679</v>
      </c>
      <c r="J905" s="7" t="str">
        <f>VLOOKUP(Table2[[#This Row],[Author]],People!A:B,2,0)</f>
        <v>LS</v>
      </c>
      <c r="K905" s="7"/>
      <c r="L905" s="7"/>
      <c r="M905" s="16" t="s">
        <v>1040</v>
      </c>
    </row>
    <row r="906" spans="1:13" x14ac:dyDescent="0.25">
      <c r="A906" s="22">
        <f t="shared" si="14"/>
        <v>905</v>
      </c>
      <c r="B906" s="6" t="s">
        <v>4851</v>
      </c>
      <c r="C906" s="6" t="s">
        <v>4928</v>
      </c>
      <c r="D906" s="6" t="s">
        <v>5118</v>
      </c>
      <c r="E906" s="6"/>
      <c r="F906" s="6" t="s">
        <v>5058</v>
      </c>
      <c r="G906" s="6" t="s">
        <v>24</v>
      </c>
      <c r="H906" s="6" t="str">
        <f>IFERROR(VLOOKUP(Table2[[#This Row],[Ticket]],Okey!A:B,2,0),"")</f>
        <v>ok</v>
      </c>
      <c r="I906" s="6" t="s">
        <v>3679</v>
      </c>
      <c r="J906" s="6" t="str">
        <f>VLOOKUP(Table2[[#This Row],[Author]],People!A:B,2,0)</f>
        <v>LS</v>
      </c>
      <c r="K906" s="6"/>
      <c r="L906" s="6"/>
      <c r="M906" s="21" t="s">
        <v>1040</v>
      </c>
    </row>
    <row r="907" spans="1:13" x14ac:dyDescent="0.25">
      <c r="A907" s="23">
        <f t="shared" si="14"/>
        <v>906</v>
      </c>
      <c r="B907" s="7" t="s">
        <v>4851</v>
      </c>
      <c r="C907" s="7" t="s">
        <v>4928</v>
      </c>
      <c r="D907" s="7" t="s">
        <v>5119</v>
      </c>
      <c r="E907" s="7"/>
      <c r="F907" s="7" t="s">
        <v>5058</v>
      </c>
      <c r="G907" s="7" t="s">
        <v>24</v>
      </c>
      <c r="H907" s="7" t="str">
        <f>IFERROR(VLOOKUP(Table2[[#This Row],[Ticket]],Okey!A:B,2,0),"")</f>
        <v>ok</v>
      </c>
      <c r="I907" s="7" t="s">
        <v>3679</v>
      </c>
      <c r="J907" s="7" t="str">
        <f>VLOOKUP(Table2[[#This Row],[Author]],People!A:B,2,0)</f>
        <v>LS</v>
      </c>
      <c r="K907" s="7"/>
      <c r="L907" s="7"/>
      <c r="M907" s="16" t="s">
        <v>1040</v>
      </c>
    </row>
    <row r="908" spans="1:13" x14ac:dyDescent="0.25">
      <c r="A908" s="22">
        <f t="shared" si="14"/>
        <v>907</v>
      </c>
      <c r="B908" s="6" t="s">
        <v>4851</v>
      </c>
      <c r="C908" s="6" t="s">
        <v>4928</v>
      </c>
      <c r="D908" s="6" t="s">
        <v>5120</v>
      </c>
      <c r="E908" s="6"/>
      <c r="F908" s="6" t="s">
        <v>5058</v>
      </c>
      <c r="G908" s="6" t="s">
        <v>24</v>
      </c>
      <c r="H908" s="6" t="str">
        <f>IFERROR(VLOOKUP(Table2[[#This Row],[Ticket]],Okey!A:B,2,0),"")</f>
        <v>ok</v>
      </c>
      <c r="I908" s="6" t="s">
        <v>3679</v>
      </c>
      <c r="J908" s="6" t="str">
        <f>VLOOKUP(Table2[[#This Row],[Author]],People!A:B,2,0)</f>
        <v>LS</v>
      </c>
      <c r="K908" s="6"/>
      <c r="L908" s="6"/>
      <c r="M908" s="21" t="s">
        <v>1040</v>
      </c>
    </row>
    <row r="909" spans="1:13" x14ac:dyDescent="0.25">
      <c r="A909" s="23">
        <f t="shared" si="14"/>
        <v>908</v>
      </c>
      <c r="B909" s="7" t="s">
        <v>4851</v>
      </c>
      <c r="C909" s="7" t="s">
        <v>4928</v>
      </c>
      <c r="D909" s="7" t="s">
        <v>5121</v>
      </c>
      <c r="E909" s="7"/>
      <c r="F909" s="7" t="s">
        <v>5058</v>
      </c>
      <c r="G909" s="7" t="s">
        <v>24</v>
      </c>
      <c r="H909" s="7" t="str">
        <f>IFERROR(VLOOKUP(Table2[[#This Row],[Ticket]],Okey!A:B,2,0),"")</f>
        <v>ok</v>
      </c>
      <c r="I909" s="7" t="s">
        <v>3679</v>
      </c>
      <c r="J909" s="7" t="str">
        <f>VLOOKUP(Table2[[#This Row],[Author]],People!A:B,2,0)</f>
        <v>LS</v>
      </c>
      <c r="K909" s="7"/>
      <c r="L909" s="7"/>
      <c r="M909" s="16" t="s">
        <v>1040</v>
      </c>
    </row>
    <row r="910" spans="1:13" x14ac:dyDescent="0.25">
      <c r="A910" s="22">
        <f t="shared" si="14"/>
        <v>909</v>
      </c>
      <c r="B910" s="6" t="s">
        <v>4851</v>
      </c>
      <c r="C910" s="6" t="s">
        <v>4928</v>
      </c>
      <c r="D910" s="6" t="s">
        <v>5122</v>
      </c>
      <c r="E910" s="6"/>
      <c r="F910" s="6" t="s">
        <v>5058</v>
      </c>
      <c r="G910" s="6" t="s">
        <v>24</v>
      </c>
      <c r="H910" s="6" t="str">
        <f>IFERROR(VLOOKUP(Table2[[#This Row],[Ticket]],Okey!A:B,2,0),"")</f>
        <v>ok</v>
      </c>
      <c r="I910" s="6" t="s">
        <v>3679</v>
      </c>
      <c r="J910" s="6" t="str">
        <f>VLOOKUP(Table2[[#This Row],[Author]],People!A:B,2,0)</f>
        <v>LS</v>
      </c>
      <c r="K910" s="6"/>
      <c r="L910" s="6"/>
      <c r="M910" s="21" t="s">
        <v>1040</v>
      </c>
    </row>
    <row r="911" spans="1:13" x14ac:dyDescent="0.25">
      <c r="A911" s="23">
        <f t="shared" si="14"/>
        <v>910</v>
      </c>
      <c r="B911" s="7" t="s">
        <v>4851</v>
      </c>
      <c r="C911" s="7" t="s">
        <v>4928</v>
      </c>
      <c r="D911" s="7" t="s">
        <v>5123</v>
      </c>
      <c r="E911" s="7"/>
      <c r="F911" s="7" t="s">
        <v>5056</v>
      </c>
      <c r="G911" s="7" t="s">
        <v>24</v>
      </c>
      <c r="H911" s="7" t="str">
        <f>IFERROR(VLOOKUP(Table2[[#This Row],[Ticket]],Okey!A:B,2,0),"")</f>
        <v>ok</v>
      </c>
      <c r="I911" s="7" t="s">
        <v>3679</v>
      </c>
      <c r="J911" s="7" t="str">
        <f>VLOOKUP(Table2[[#This Row],[Author]],People!A:B,2,0)</f>
        <v>LS</v>
      </c>
      <c r="K911" s="7"/>
      <c r="L911" s="7"/>
      <c r="M911" s="16" t="s">
        <v>1040</v>
      </c>
    </row>
    <row r="912" spans="1:13" x14ac:dyDescent="0.25">
      <c r="A912" s="22">
        <f t="shared" si="14"/>
        <v>911</v>
      </c>
      <c r="B912" s="6" t="s">
        <v>4851</v>
      </c>
      <c r="C912" s="6" t="s">
        <v>4928</v>
      </c>
      <c r="D912" s="6" t="s">
        <v>5124</v>
      </c>
      <c r="E912" s="6"/>
      <c r="F912" s="6" t="s">
        <v>5056</v>
      </c>
      <c r="G912" s="6" t="s">
        <v>24</v>
      </c>
      <c r="H912" s="6" t="str">
        <f>IFERROR(VLOOKUP(Table2[[#This Row],[Ticket]],Okey!A:B,2,0),"")</f>
        <v>ok</v>
      </c>
      <c r="I912" s="6" t="s">
        <v>3679</v>
      </c>
      <c r="J912" s="6" t="str">
        <f>VLOOKUP(Table2[[#This Row],[Author]],People!A:B,2,0)</f>
        <v>LS</v>
      </c>
      <c r="K912" s="6"/>
      <c r="L912" s="6"/>
      <c r="M912" s="21" t="s">
        <v>1040</v>
      </c>
    </row>
    <row r="913" spans="1:13" x14ac:dyDescent="0.25">
      <c r="A913" s="23">
        <f t="shared" si="14"/>
        <v>912</v>
      </c>
      <c r="B913" s="7" t="s">
        <v>4851</v>
      </c>
      <c r="C913" s="7" t="s">
        <v>4928</v>
      </c>
      <c r="D913" s="7" t="s">
        <v>5125</v>
      </c>
      <c r="E913" s="7"/>
      <c r="F913" s="7" t="s">
        <v>5048</v>
      </c>
      <c r="G913" s="7" t="s">
        <v>24</v>
      </c>
      <c r="H913" s="7" t="str">
        <f>IFERROR(VLOOKUP(Table2[[#This Row],[Ticket]],Okey!A:B,2,0),"")</f>
        <v>ok</v>
      </c>
      <c r="I913" s="7" t="s">
        <v>3679</v>
      </c>
      <c r="J913" s="7" t="str">
        <f>VLOOKUP(Table2[[#This Row],[Author]],People!A:B,2,0)</f>
        <v>LS</v>
      </c>
      <c r="K913" s="7"/>
      <c r="L913" s="7"/>
      <c r="M913" s="16" t="s">
        <v>1040</v>
      </c>
    </row>
    <row r="914" spans="1:13" x14ac:dyDescent="0.25">
      <c r="A914" s="22">
        <f t="shared" si="14"/>
        <v>913</v>
      </c>
      <c r="B914" s="6" t="s">
        <v>4851</v>
      </c>
      <c r="C914" s="6" t="s">
        <v>4928</v>
      </c>
      <c r="D914" s="6" t="s">
        <v>5126</v>
      </c>
      <c r="E914" s="6"/>
      <c r="F914" s="6" t="s">
        <v>5044</v>
      </c>
      <c r="G914" s="6" t="s">
        <v>24</v>
      </c>
      <c r="H914" s="6" t="str">
        <f>IFERROR(VLOOKUP(Table2[[#This Row],[Ticket]],Okey!A:B,2,0),"")</f>
        <v>ok</v>
      </c>
      <c r="I914" s="6" t="s">
        <v>3679</v>
      </c>
      <c r="J914" s="6" t="str">
        <f>VLOOKUP(Table2[[#This Row],[Author]],People!A:B,2,0)</f>
        <v>LS</v>
      </c>
      <c r="K914" s="6"/>
      <c r="L914" s="6"/>
      <c r="M914" s="21" t="s">
        <v>1040</v>
      </c>
    </row>
    <row r="915" spans="1:13" x14ac:dyDescent="0.25">
      <c r="A915" s="23">
        <f t="shared" si="14"/>
        <v>914</v>
      </c>
      <c r="B915" s="7" t="s">
        <v>4851</v>
      </c>
      <c r="C915" s="7" t="s">
        <v>4928</v>
      </c>
      <c r="D915" s="7" t="s">
        <v>5127</v>
      </c>
      <c r="E915" s="7"/>
      <c r="F915" s="7" t="s">
        <v>5044</v>
      </c>
      <c r="G915" s="7" t="s">
        <v>24</v>
      </c>
      <c r="H915" s="7" t="str">
        <f>IFERROR(VLOOKUP(Table2[[#This Row],[Ticket]],Okey!A:B,2,0),"")</f>
        <v>ok</v>
      </c>
      <c r="I915" s="7" t="s">
        <v>3679</v>
      </c>
      <c r="J915" s="7" t="str">
        <f>VLOOKUP(Table2[[#This Row],[Author]],People!A:B,2,0)</f>
        <v>LS</v>
      </c>
      <c r="K915" s="7"/>
      <c r="L915" s="7"/>
      <c r="M915" s="16" t="s">
        <v>1040</v>
      </c>
    </row>
    <row r="916" spans="1:13" x14ac:dyDescent="0.25">
      <c r="A916" s="22">
        <f t="shared" si="14"/>
        <v>915</v>
      </c>
      <c r="B916" s="6" t="s">
        <v>4851</v>
      </c>
      <c r="C916" s="6" t="s">
        <v>4928</v>
      </c>
      <c r="D916" s="6" t="s">
        <v>5128</v>
      </c>
      <c r="E916" s="6"/>
      <c r="F916" s="6" t="s">
        <v>4975</v>
      </c>
      <c r="G916" s="6" t="s">
        <v>24</v>
      </c>
      <c r="H916" s="6" t="str">
        <f>IFERROR(VLOOKUP(Table2[[#This Row],[Ticket]],Okey!A:B,2,0),"")</f>
        <v>ok</v>
      </c>
      <c r="I916" s="6" t="s">
        <v>3679</v>
      </c>
      <c r="J916" s="6" t="str">
        <f>VLOOKUP(Table2[[#This Row],[Author]],People!A:B,2,0)</f>
        <v>LS</v>
      </c>
      <c r="K916" s="6"/>
      <c r="L916" s="6"/>
      <c r="M916" s="21" t="s">
        <v>1040</v>
      </c>
    </row>
    <row r="917" spans="1:13" x14ac:dyDescent="0.25">
      <c r="A917" s="23">
        <f t="shared" si="14"/>
        <v>916</v>
      </c>
      <c r="B917" s="7" t="s">
        <v>4851</v>
      </c>
      <c r="C917" s="7" t="s">
        <v>4928</v>
      </c>
      <c r="D917" s="7" t="s">
        <v>5129</v>
      </c>
      <c r="E917" s="7"/>
      <c r="F917" s="7" t="s">
        <v>2350</v>
      </c>
      <c r="G917" s="7" t="s">
        <v>24</v>
      </c>
      <c r="H917" s="7" t="str">
        <f>IFERROR(VLOOKUP(Table2[[#This Row],[Ticket]],Okey!A:B,2,0),"")</f>
        <v>ok</v>
      </c>
      <c r="I917" s="7" t="s">
        <v>3679</v>
      </c>
      <c r="J917" s="7" t="str">
        <f>VLOOKUP(Table2[[#This Row],[Author]],People!A:B,2,0)</f>
        <v>LS</v>
      </c>
      <c r="K917" s="7"/>
      <c r="L917" s="7"/>
      <c r="M917" s="16" t="s">
        <v>1040</v>
      </c>
    </row>
    <row r="918" spans="1:13" x14ac:dyDescent="0.25">
      <c r="A918" s="22">
        <f t="shared" si="14"/>
        <v>917</v>
      </c>
      <c r="B918" s="6" t="s">
        <v>4851</v>
      </c>
      <c r="C918" s="6" t="s">
        <v>4928</v>
      </c>
      <c r="D918" s="6" t="s">
        <v>5130</v>
      </c>
      <c r="E918" s="6"/>
      <c r="F918" s="6" t="s">
        <v>4586</v>
      </c>
      <c r="G918" s="6" t="s">
        <v>24</v>
      </c>
      <c r="H918" s="6" t="str">
        <f>IFERROR(VLOOKUP(Table2[[#This Row],[Ticket]],Okey!A:B,2,0),"")</f>
        <v>ok</v>
      </c>
      <c r="I918" s="6" t="s">
        <v>3679</v>
      </c>
      <c r="J918" s="6" t="str">
        <f>VLOOKUP(Table2[[#This Row],[Author]],People!A:B,2,0)</f>
        <v>LS</v>
      </c>
      <c r="K918" s="6"/>
      <c r="L918" s="6"/>
      <c r="M918" s="21" t="s">
        <v>1040</v>
      </c>
    </row>
    <row r="919" spans="1:13" x14ac:dyDescent="0.25">
      <c r="A919" s="23">
        <f t="shared" si="14"/>
        <v>918</v>
      </c>
      <c r="B919" s="7" t="s">
        <v>4851</v>
      </c>
      <c r="C919" s="7" t="s">
        <v>4928</v>
      </c>
      <c r="D919" s="7" t="s">
        <v>5131</v>
      </c>
      <c r="E919" s="7"/>
      <c r="F919" s="7" t="s">
        <v>4880</v>
      </c>
      <c r="G919" s="7" t="s">
        <v>24</v>
      </c>
      <c r="H919" s="7" t="str">
        <f>IFERROR(VLOOKUP(Table2[[#This Row],[Ticket]],Okey!A:B,2,0),"")</f>
        <v>ok</v>
      </c>
      <c r="I919" s="7" t="s">
        <v>3679</v>
      </c>
      <c r="J919" s="7" t="str">
        <f>VLOOKUP(Table2[[#This Row],[Author]],People!A:B,2,0)</f>
        <v>LS</v>
      </c>
      <c r="K919" s="7"/>
      <c r="L919" s="7"/>
      <c r="M919" s="16" t="s">
        <v>1040</v>
      </c>
    </row>
    <row r="920" spans="1:13" x14ac:dyDescent="0.25">
      <c r="A920" s="22">
        <f t="shared" si="14"/>
        <v>919</v>
      </c>
      <c r="B920" s="6" t="s">
        <v>4851</v>
      </c>
      <c r="C920" s="6" t="s">
        <v>4928</v>
      </c>
      <c r="D920" s="6" t="s">
        <v>5132</v>
      </c>
      <c r="E920" s="6"/>
      <c r="F920" s="6" t="s">
        <v>2350</v>
      </c>
      <c r="G920" s="6" t="s">
        <v>24</v>
      </c>
      <c r="H920" s="6" t="str">
        <f>IFERROR(VLOOKUP(Table2[[#This Row],[Ticket]],Okey!A:B,2,0),"")</f>
        <v>ok</v>
      </c>
      <c r="I920" s="6" t="s">
        <v>3679</v>
      </c>
      <c r="J920" s="6" t="str">
        <f>VLOOKUP(Table2[[#This Row],[Author]],People!A:B,2,0)</f>
        <v>LS</v>
      </c>
      <c r="K920" s="6"/>
      <c r="L920" s="6"/>
      <c r="M920" s="21" t="s">
        <v>1040</v>
      </c>
    </row>
    <row r="921" spans="1:13" x14ac:dyDescent="0.25">
      <c r="A921" s="23">
        <f t="shared" si="14"/>
        <v>920</v>
      </c>
      <c r="B921" s="7" t="s">
        <v>4851</v>
      </c>
      <c r="C921" s="7" t="s">
        <v>4928</v>
      </c>
      <c r="D921" s="7" t="s">
        <v>5133</v>
      </c>
      <c r="E921" s="7"/>
      <c r="F921" s="7" t="s">
        <v>2347</v>
      </c>
      <c r="G921" s="7" t="s">
        <v>24</v>
      </c>
      <c r="H921" s="7" t="str">
        <f>IFERROR(VLOOKUP(Table2[[#This Row],[Ticket]],Okey!A:B,2,0),"")</f>
        <v>ok</v>
      </c>
      <c r="I921" s="7" t="s">
        <v>3679</v>
      </c>
      <c r="J921" s="7" t="str">
        <f>VLOOKUP(Table2[[#This Row],[Author]],People!A:B,2,0)</f>
        <v>LS</v>
      </c>
      <c r="K921" s="7"/>
      <c r="L921" s="7"/>
      <c r="M921" s="16" t="s">
        <v>1040</v>
      </c>
    </row>
    <row r="922" spans="1:13" x14ac:dyDescent="0.25">
      <c r="A922" s="22">
        <f t="shared" si="14"/>
        <v>921</v>
      </c>
      <c r="B922" s="6" t="s">
        <v>4851</v>
      </c>
      <c r="C922" s="6" t="s">
        <v>4928</v>
      </c>
      <c r="D922" s="6" t="s">
        <v>5134</v>
      </c>
      <c r="E922" s="6"/>
      <c r="F922" s="6" t="s">
        <v>2347</v>
      </c>
      <c r="G922" s="6" t="s">
        <v>24</v>
      </c>
      <c r="H922" s="6" t="str">
        <f>IFERROR(VLOOKUP(Table2[[#This Row],[Ticket]],Okey!A:B,2,0),"")</f>
        <v>ok</v>
      </c>
      <c r="I922" s="6" t="s">
        <v>3679</v>
      </c>
      <c r="J922" s="6" t="str">
        <f>VLOOKUP(Table2[[#This Row],[Author]],People!A:B,2,0)</f>
        <v>LS</v>
      </c>
      <c r="K922" s="6"/>
      <c r="L922" s="6"/>
      <c r="M922" s="21" t="s">
        <v>1040</v>
      </c>
    </row>
    <row r="923" spans="1:13" x14ac:dyDescent="0.25">
      <c r="A923" s="23">
        <f t="shared" si="14"/>
        <v>922</v>
      </c>
      <c r="B923" s="7" t="s">
        <v>4851</v>
      </c>
      <c r="C923" s="7" t="s">
        <v>4928</v>
      </c>
      <c r="D923" s="7" t="s">
        <v>2345</v>
      </c>
      <c r="E923" s="7"/>
      <c r="F923" s="7" t="s">
        <v>2344</v>
      </c>
      <c r="G923" s="7" t="s">
        <v>24</v>
      </c>
      <c r="H923" s="7" t="str">
        <f>IFERROR(VLOOKUP(Table2[[#This Row],[Ticket]],Okey!A:B,2,0),"")</f>
        <v>ok</v>
      </c>
      <c r="I923" s="7" t="s">
        <v>3679</v>
      </c>
      <c r="J923" s="7" t="str">
        <f>VLOOKUP(Table2[[#This Row],[Author]],People!A:B,2,0)</f>
        <v>LS</v>
      </c>
      <c r="K923" s="7"/>
      <c r="L923" s="7"/>
      <c r="M923" s="16" t="s">
        <v>1040</v>
      </c>
    </row>
    <row r="924" spans="1:13" x14ac:dyDescent="0.25">
      <c r="A924" s="22">
        <f t="shared" si="14"/>
        <v>923</v>
      </c>
      <c r="B924" s="6" t="s">
        <v>4851</v>
      </c>
      <c r="C924" s="6" t="s">
        <v>4928</v>
      </c>
      <c r="D924" s="6" t="s">
        <v>5135</v>
      </c>
      <c r="E924" s="6"/>
      <c r="F924" s="6" t="s">
        <v>5136</v>
      </c>
      <c r="G924" s="6" t="s">
        <v>24</v>
      </c>
      <c r="H924" s="6" t="str">
        <f>IFERROR(VLOOKUP(Table2[[#This Row],[Ticket]],Okey!A:B,2,0),"")</f>
        <v>ok</v>
      </c>
      <c r="I924" s="6" t="s">
        <v>3679</v>
      </c>
      <c r="J924" s="6" t="str">
        <f>VLOOKUP(Table2[[#This Row],[Author]],People!A:B,2,0)</f>
        <v>LS</v>
      </c>
      <c r="K924" s="6"/>
      <c r="L924" s="6"/>
      <c r="M924" s="21" t="s">
        <v>1040</v>
      </c>
    </row>
    <row r="925" spans="1:13" x14ac:dyDescent="0.25">
      <c r="A925" s="23">
        <f t="shared" si="14"/>
        <v>924</v>
      </c>
      <c r="B925" s="7" t="s">
        <v>4851</v>
      </c>
      <c r="C925" s="7" t="s">
        <v>4928</v>
      </c>
      <c r="D925" s="7" t="s">
        <v>5137</v>
      </c>
      <c r="E925" s="7"/>
      <c r="F925" s="7" t="s">
        <v>1326</v>
      </c>
      <c r="G925" s="7" t="s">
        <v>24</v>
      </c>
      <c r="H925" s="7" t="str">
        <f>IFERROR(VLOOKUP(Table2[[#This Row],[Ticket]],Okey!A:B,2,0),"")</f>
        <v>ok</v>
      </c>
      <c r="I925" s="7" t="s">
        <v>3679</v>
      </c>
      <c r="J925" s="7" t="str">
        <f>VLOOKUP(Table2[[#This Row],[Author]],People!A:B,2,0)</f>
        <v>LS</v>
      </c>
      <c r="K925" s="7"/>
      <c r="L925" s="7"/>
      <c r="M925" s="16" t="s">
        <v>1040</v>
      </c>
    </row>
    <row r="926" spans="1:13" x14ac:dyDescent="0.25">
      <c r="A926" s="22">
        <f t="shared" si="14"/>
        <v>925</v>
      </c>
      <c r="B926" s="6" t="s">
        <v>4851</v>
      </c>
      <c r="C926" s="6" t="s">
        <v>4928</v>
      </c>
      <c r="D926" s="6" t="s">
        <v>5138</v>
      </c>
      <c r="E926" s="6"/>
      <c r="F926" s="6" t="s">
        <v>1326</v>
      </c>
      <c r="G926" s="6" t="s">
        <v>24</v>
      </c>
      <c r="H926" s="6" t="str">
        <f>IFERROR(VLOOKUP(Table2[[#This Row],[Ticket]],Okey!A:B,2,0),"")</f>
        <v>ok</v>
      </c>
      <c r="I926" s="6" t="s">
        <v>3679</v>
      </c>
      <c r="J926" s="6" t="str">
        <f>VLOOKUP(Table2[[#This Row],[Author]],People!A:B,2,0)</f>
        <v>LS</v>
      </c>
      <c r="K926" s="6"/>
      <c r="L926" s="6"/>
      <c r="M926" s="21" t="s">
        <v>1040</v>
      </c>
    </row>
    <row r="927" spans="1:13" x14ac:dyDescent="0.25">
      <c r="A927" s="23">
        <f t="shared" si="14"/>
        <v>926</v>
      </c>
      <c r="B927" s="7" t="s">
        <v>4851</v>
      </c>
      <c r="C927" s="7" t="s">
        <v>4928</v>
      </c>
      <c r="D927" s="7" t="s">
        <v>4621</v>
      </c>
      <c r="E927" s="7" t="s">
        <v>5139</v>
      </c>
      <c r="F927" s="7" t="s">
        <v>1354</v>
      </c>
      <c r="G927" s="7" t="s">
        <v>496</v>
      </c>
      <c r="H927" s="7" t="str">
        <f>IFERROR(VLOOKUP(Table2[[#This Row],[Ticket]],Okey!A:B,2,0),"")</f>
        <v>ok</v>
      </c>
      <c r="I927" s="7" t="s">
        <v>3679</v>
      </c>
      <c r="J927" s="7" t="str">
        <f>VLOOKUP(Table2[[#This Row],[Author]],People!A:B,2,0)</f>
        <v>LS</v>
      </c>
      <c r="K927" s="7"/>
      <c r="L927" s="7"/>
      <c r="M927" s="16" t="s">
        <v>1040</v>
      </c>
    </row>
    <row r="928" spans="1:13" x14ac:dyDescent="0.25">
      <c r="A928" s="22">
        <f t="shared" si="14"/>
        <v>927</v>
      </c>
      <c r="B928" s="6" t="s">
        <v>4851</v>
      </c>
      <c r="C928" s="6" t="s">
        <v>4928</v>
      </c>
      <c r="D928" s="6" t="s">
        <v>5140</v>
      </c>
      <c r="E928" s="6" t="s">
        <v>5141</v>
      </c>
      <c r="F928" s="6" t="s">
        <v>5044</v>
      </c>
      <c r="G928" s="6" t="s">
        <v>496</v>
      </c>
      <c r="H928" s="6" t="str">
        <f>IFERROR(VLOOKUP(Table2[[#This Row],[Ticket]],Okey!A:B,2,0),"")</f>
        <v>ok</v>
      </c>
      <c r="I928" s="6" t="s">
        <v>3679</v>
      </c>
      <c r="J928" s="6" t="str">
        <f>VLOOKUP(Table2[[#This Row],[Author]],People!A:B,2,0)</f>
        <v>LS</v>
      </c>
      <c r="K928" s="6"/>
      <c r="L928" s="6"/>
      <c r="M928" s="21" t="s">
        <v>1040</v>
      </c>
    </row>
    <row r="929" spans="1:13" x14ac:dyDescent="0.25">
      <c r="A929" s="23">
        <f t="shared" si="14"/>
        <v>928</v>
      </c>
      <c r="B929" s="7" t="s">
        <v>4851</v>
      </c>
      <c r="C929" s="7" t="s">
        <v>4928</v>
      </c>
      <c r="D929" s="7" t="s">
        <v>5142</v>
      </c>
      <c r="E929" s="7" t="s">
        <v>5143</v>
      </c>
      <c r="F929" s="7" t="s">
        <v>5044</v>
      </c>
      <c r="G929" s="7" t="s">
        <v>496</v>
      </c>
      <c r="H929" s="7" t="str">
        <f>IFERROR(VLOOKUP(Table2[[#This Row],[Ticket]],Okey!A:B,2,0),"")</f>
        <v>ok</v>
      </c>
      <c r="I929" s="7" t="s">
        <v>3679</v>
      </c>
      <c r="J929" s="7" t="str">
        <f>VLOOKUP(Table2[[#This Row],[Author]],People!A:B,2,0)</f>
        <v>LS</v>
      </c>
      <c r="K929" s="7"/>
      <c r="L929" s="7"/>
      <c r="M929" s="16" t="s">
        <v>1040</v>
      </c>
    </row>
    <row r="930" spans="1:13" x14ac:dyDescent="0.25">
      <c r="A930" s="22">
        <f t="shared" si="14"/>
        <v>929</v>
      </c>
      <c r="B930" s="6" t="s">
        <v>4851</v>
      </c>
      <c r="C930" s="6" t="s">
        <v>4928</v>
      </c>
      <c r="D930" s="6" t="s">
        <v>5144</v>
      </c>
      <c r="E930" s="6" t="s">
        <v>5145</v>
      </c>
      <c r="F930" s="6" t="s">
        <v>5064</v>
      </c>
      <c r="G930" s="6" t="s">
        <v>496</v>
      </c>
      <c r="H930" s="6" t="str">
        <f>IFERROR(VLOOKUP(Table2[[#This Row],[Ticket]],Okey!A:B,2,0),"")</f>
        <v>ok</v>
      </c>
      <c r="I930" s="6" t="s">
        <v>3679</v>
      </c>
      <c r="J930" s="6" t="str">
        <f>VLOOKUP(Table2[[#This Row],[Author]],People!A:B,2,0)</f>
        <v>LS</v>
      </c>
      <c r="K930" s="6"/>
      <c r="L930" s="6"/>
      <c r="M930" s="21" t="s">
        <v>1040</v>
      </c>
    </row>
    <row r="931" spans="1:13" x14ac:dyDescent="0.25">
      <c r="A931" s="23">
        <f t="shared" si="14"/>
        <v>930</v>
      </c>
      <c r="B931" s="7" t="s">
        <v>4851</v>
      </c>
      <c r="C931" s="7" t="s">
        <v>4928</v>
      </c>
      <c r="D931" s="7" t="s">
        <v>5146</v>
      </c>
      <c r="E931" s="7" t="s">
        <v>5147</v>
      </c>
      <c r="F931" s="7" t="s">
        <v>5044</v>
      </c>
      <c r="G931" s="7" t="s">
        <v>496</v>
      </c>
      <c r="H931" s="7" t="str">
        <f>IFERROR(VLOOKUP(Table2[[#This Row],[Ticket]],Okey!A:B,2,0),"")</f>
        <v>ok</v>
      </c>
      <c r="I931" s="7" t="s">
        <v>3679</v>
      </c>
      <c r="J931" s="7" t="str">
        <f>VLOOKUP(Table2[[#This Row],[Author]],People!A:B,2,0)</f>
        <v>LS</v>
      </c>
      <c r="K931" s="7"/>
      <c r="L931" s="7"/>
      <c r="M931" s="16" t="s">
        <v>1040</v>
      </c>
    </row>
    <row r="932" spans="1:13" x14ac:dyDescent="0.25">
      <c r="A932" s="22">
        <f t="shared" si="14"/>
        <v>931</v>
      </c>
      <c r="B932" s="6" t="s">
        <v>4851</v>
      </c>
      <c r="C932" s="6" t="s">
        <v>4928</v>
      </c>
      <c r="D932" s="6" t="s">
        <v>5148</v>
      </c>
      <c r="E932" s="6" t="s">
        <v>5149</v>
      </c>
      <c r="F932" s="6" t="s">
        <v>5056</v>
      </c>
      <c r="G932" s="6" t="s">
        <v>496</v>
      </c>
      <c r="H932" s="6" t="str">
        <f>IFERROR(VLOOKUP(Table2[[#This Row],[Ticket]],Okey!A:B,2,0),"")</f>
        <v>ok</v>
      </c>
      <c r="I932" s="6" t="s">
        <v>3679</v>
      </c>
      <c r="J932" s="6" t="str">
        <f>VLOOKUP(Table2[[#This Row],[Author]],People!A:B,2,0)</f>
        <v>LS</v>
      </c>
      <c r="K932" s="6"/>
      <c r="L932" s="6"/>
      <c r="M932" s="21" t="s">
        <v>1040</v>
      </c>
    </row>
    <row r="933" spans="1:13" x14ac:dyDescent="0.25">
      <c r="A933" s="23">
        <f t="shared" si="14"/>
        <v>932</v>
      </c>
      <c r="B933" s="7" t="s">
        <v>4851</v>
      </c>
      <c r="C933" s="7" t="s">
        <v>4928</v>
      </c>
      <c r="D933" s="7" t="s">
        <v>5150</v>
      </c>
      <c r="E933" s="7" t="s">
        <v>5151</v>
      </c>
      <c r="F933" s="7" t="s">
        <v>5064</v>
      </c>
      <c r="G933" s="7" t="s">
        <v>496</v>
      </c>
      <c r="H933" s="7" t="str">
        <f>IFERROR(VLOOKUP(Table2[[#This Row],[Ticket]],Okey!A:B,2,0),"")</f>
        <v>ok</v>
      </c>
      <c r="I933" s="7" t="s">
        <v>3679</v>
      </c>
      <c r="J933" s="7" t="str">
        <f>VLOOKUP(Table2[[#This Row],[Author]],People!A:B,2,0)</f>
        <v>LS</v>
      </c>
      <c r="K933" s="7"/>
      <c r="L933" s="7"/>
      <c r="M933" s="16" t="s">
        <v>1040</v>
      </c>
    </row>
    <row r="934" spans="1:13" x14ac:dyDescent="0.25">
      <c r="A934" s="22">
        <f t="shared" si="14"/>
        <v>933</v>
      </c>
      <c r="B934" s="6" t="s">
        <v>4851</v>
      </c>
      <c r="C934" s="6" t="s">
        <v>4928</v>
      </c>
      <c r="D934" s="6" t="s">
        <v>5152</v>
      </c>
      <c r="E934" s="6" t="s">
        <v>5153</v>
      </c>
      <c r="F934" s="6" t="s">
        <v>5081</v>
      </c>
      <c r="G934" s="6" t="s">
        <v>496</v>
      </c>
      <c r="H934" s="6" t="str">
        <f>IFERROR(VLOOKUP(Table2[[#This Row],[Ticket]],Okey!A:B,2,0),"")</f>
        <v>ok</v>
      </c>
      <c r="I934" s="6" t="s">
        <v>3679</v>
      </c>
      <c r="J934" s="6" t="str">
        <f>VLOOKUP(Table2[[#This Row],[Author]],People!A:B,2,0)</f>
        <v>LS</v>
      </c>
      <c r="K934" s="6"/>
      <c r="L934" s="6"/>
      <c r="M934" s="21" t="s">
        <v>1040</v>
      </c>
    </row>
    <row r="935" spans="1:13" x14ac:dyDescent="0.25">
      <c r="A935" s="23">
        <f t="shared" si="14"/>
        <v>934</v>
      </c>
      <c r="B935" s="7" t="s">
        <v>4851</v>
      </c>
      <c r="C935" s="7" t="s">
        <v>4928</v>
      </c>
      <c r="D935" s="7" t="s">
        <v>5154</v>
      </c>
      <c r="E935" s="7" t="s">
        <v>5155</v>
      </c>
      <c r="F935" s="7" t="s">
        <v>5083</v>
      </c>
      <c r="G935" s="7" t="s">
        <v>496</v>
      </c>
      <c r="H935" s="7" t="str">
        <f>IFERROR(VLOOKUP(Table2[[#This Row],[Ticket]],Okey!A:B,2,0),"")</f>
        <v>ok</v>
      </c>
      <c r="I935" s="7" t="s">
        <v>3679</v>
      </c>
      <c r="J935" s="7" t="str">
        <f>VLOOKUP(Table2[[#This Row],[Author]],People!A:B,2,0)</f>
        <v>LS</v>
      </c>
      <c r="K935" s="7"/>
      <c r="L935" s="7"/>
      <c r="M935" s="16" t="s">
        <v>1040</v>
      </c>
    </row>
    <row r="936" spans="1:13" x14ac:dyDescent="0.25">
      <c r="A936" s="22">
        <f t="shared" si="14"/>
        <v>935</v>
      </c>
      <c r="B936" s="6" t="s">
        <v>4851</v>
      </c>
      <c r="C936" s="6" t="s">
        <v>4928</v>
      </c>
      <c r="D936" s="6" t="s">
        <v>5156</v>
      </c>
      <c r="E936" s="6" t="s">
        <v>5157</v>
      </c>
      <c r="F936" s="6" t="s">
        <v>5083</v>
      </c>
      <c r="G936" s="6" t="s">
        <v>496</v>
      </c>
      <c r="H936" s="6" t="str">
        <f>IFERROR(VLOOKUP(Table2[[#This Row],[Ticket]],Okey!A:B,2,0),"")</f>
        <v>ok</v>
      </c>
      <c r="I936" s="6" t="s">
        <v>3679</v>
      </c>
      <c r="J936" s="6" t="str">
        <f>VLOOKUP(Table2[[#This Row],[Author]],People!A:B,2,0)</f>
        <v>LS</v>
      </c>
      <c r="K936" s="6"/>
      <c r="L936" s="6"/>
      <c r="M936" s="21" t="s">
        <v>1040</v>
      </c>
    </row>
    <row r="937" spans="1:13" x14ac:dyDescent="0.25">
      <c r="A937" s="23">
        <f t="shared" si="14"/>
        <v>936</v>
      </c>
      <c r="B937" s="7" t="s">
        <v>4851</v>
      </c>
      <c r="C937" s="7" t="s">
        <v>4928</v>
      </c>
      <c r="D937" s="7" t="s">
        <v>5158</v>
      </c>
      <c r="E937" s="7" t="s">
        <v>5159</v>
      </c>
      <c r="F937" s="7" t="s">
        <v>5160</v>
      </c>
      <c r="G937" s="7" t="s">
        <v>496</v>
      </c>
      <c r="H937" s="7" t="str">
        <f>IFERROR(VLOOKUP(Table2[[#This Row],[Ticket]],Okey!A:B,2,0),"")</f>
        <v>ok</v>
      </c>
      <c r="I937" s="7" t="s">
        <v>3679</v>
      </c>
      <c r="J937" s="7" t="str">
        <f>VLOOKUP(Table2[[#This Row],[Author]],People!A:B,2,0)</f>
        <v>LS</v>
      </c>
      <c r="K937" s="7"/>
      <c r="L937" s="7"/>
      <c r="M937" s="16" t="s">
        <v>1040</v>
      </c>
    </row>
    <row r="938" spans="1:13" x14ac:dyDescent="0.25">
      <c r="A938" s="22">
        <f t="shared" si="14"/>
        <v>937</v>
      </c>
      <c r="B938" s="6" t="s">
        <v>4851</v>
      </c>
      <c r="C938" s="6" t="s">
        <v>4928</v>
      </c>
      <c r="D938" s="6" t="s">
        <v>5161</v>
      </c>
      <c r="E938" s="6" t="s">
        <v>5162</v>
      </c>
      <c r="F938" s="6" t="s">
        <v>5163</v>
      </c>
      <c r="G938" s="6" t="s">
        <v>496</v>
      </c>
      <c r="H938" s="6" t="str">
        <f>IFERROR(VLOOKUP(Table2[[#This Row],[Ticket]],Okey!A:B,2,0),"")</f>
        <v>ok</v>
      </c>
      <c r="I938" s="6" t="s">
        <v>3679</v>
      </c>
      <c r="J938" s="6" t="str">
        <f>VLOOKUP(Table2[[#This Row],[Author]],People!A:B,2,0)</f>
        <v>LS</v>
      </c>
      <c r="K938" s="6"/>
      <c r="L938" s="6"/>
      <c r="M938" s="21" t="s">
        <v>1040</v>
      </c>
    </row>
    <row r="939" spans="1:13" x14ac:dyDescent="0.25">
      <c r="A939" s="23">
        <f t="shared" si="14"/>
        <v>938</v>
      </c>
      <c r="B939" s="7" t="s">
        <v>4851</v>
      </c>
      <c r="C939" s="7" t="s">
        <v>4928</v>
      </c>
      <c r="D939" s="7" t="s">
        <v>5164</v>
      </c>
      <c r="E939" s="7" t="s">
        <v>5165</v>
      </c>
      <c r="F939" s="7" t="s">
        <v>5163</v>
      </c>
      <c r="G939" s="7" t="s">
        <v>496</v>
      </c>
      <c r="H939" s="7" t="str">
        <f>IFERROR(VLOOKUP(Table2[[#This Row],[Ticket]],Okey!A:B,2,0),"")</f>
        <v>ok</v>
      </c>
      <c r="I939" s="7" t="s">
        <v>3679</v>
      </c>
      <c r="J939" s="7" t="str">
        <f>VLOOKUP(Table2[[#This Row],[Author]],People!A:B,2,0)</f>
        <v>LS</v>
      </c>
      <c r="K939" s="7"/>
      <c r="L939" s="7"/>
      <c r="M939" s="16" t="s">
        <v>1040</v>
      </c>
    </row>
    <row r="940" spans="1:13" x14ac:dyDescent="0.25">
      <c r="A940" s="22">
        <f t="shared" si="14"/>
        <v>939</v>
      </c>
      <c r="B940" s="6" t="s">
        <v>4851</v>
      </c>
      <c r="C940" s="6" t="s">
        <v>4928</v>
      </c>
      <c r="D940" s="6" t="s">
        <v>5166</v>
      </c>
      <c r="E940" s="6" t="s">
        <v>5167</v>
      </c>
      <c r="F940" s="6" t="s">
        <v>5083</v>
      </c>
      <c r="G940" s="6" t="s">
        <v>496</v>
      </c>
      <c r="H940" s="6" t="str">
        <f>IFERROR(VLOOKUP(Table2[[#This Row],[Ticket]],Okey!A:B,2,0),"")</f>
        <v>ok</v>
      </c>
      <c r="I940" s="6" t="s">
        <v>3679</v>
      </c>
      <c r="J940" s="6" t="str">
        <f>VLOOKUP(Table2[[#This Row],[Author]],People!A:B,2,0)</f>
        <v>LS</v>
      </c>
      <c r="K940" s="6"/>
      <c r="L940" s="6"/>
      <c r="M940" s="21" t="s">
        <v>1040</v>
      </c>
    </row>
    <row r="941" spans="1:13" x14ac:dyDescent="0.25">
      <c r="A941" s="23">
        <f t="shared" si="14"/>
        <v>940</v>
      </c>
      <c r="B941" s="7" t="s">
        <v>4851</v>
      </c>
      <c r="C941" s="7" t="s">
        <v>4928</v>
      </c>
      <c r="D941" s="7" t="s">
        <v>5168</v>
      </c>
      <c r="E941" s="7" t="s">
        <v>5169</v>
      </c>
      <c r="F941" s="7" t="s">
        <v>5083</v>
      </c>
      <c r="G941" s="7" t="s">
        <v>496</v>
      </c>
      <c r="H941" s="7" t="str">
        <f>IFERROR(VLOOKUP(Table2[[#This Row],[Ticket]],Okey!A:B,2,0),"")</f>
        <v>ok</v>
      </c>
      <c r="I941" s="7" t="s">
        <v>3679</v>
      </c>
      <c r="J941" s="7" t="str">
        <f>VLOOKUP(Table2[[#This Row],[Author]],People!A:B,2,0)</f>
        <v>LS</v>
      </c>
      <c r="K941" s="7"/>
      <c r="L941" s="7"/>
      <c r="M941" s="16" t="s">
        <v>1040</v>
      </c>
    </row>
    <row r="942" spans="1:13" x14ac:dyDescent="0.25">
      <c r="A942" s="22">
        <f t="shared" si="14"/>
        <v>941</v>
      </c>
      <c r="B942" s="6" t="s">
        <v>4851</v>
      </c>
      <c r="C942" s="6" t="s">
        <v>4928</v>
      </c>
      <c r="D942" s="6" t="s">
        <v>5170</v>
      </c>
      <c r="E942" s="6" t="s">
        <v>5171</v>
      </c>
      <c r="F942" s="6" t="s">
        <v>5083</v>
      </c>
      <c r="G942" s="6" t="s">
        <v>496</v>
      </c>
      <c r="H942" s="6" t="str">
        <f>IFERROR(VLOOKUP(Table2[[#This Row],[Ticket]],Okey!A:B,2,0),"")</f>
        <v>ok</v>
      </c>
      <c r="I942" s="6" t="s">
        <v>3679</v>
      </c>
      <c r="J942" s="6" t="str">
        <f>VLOOKUP(Table2[[#This Row],[Author]],People!A:B,2,0)</f>
        <v>LS</v>
      </c>
      <c r="K942" s="6"/>
      <c r="L942" s="6"/>
      <c r="M942" s="21" t="s">
        <v>1040</v>
      </c>
    </row>
    <row r="943" spans="1:13" x14ac:dyDescent="0.25">
      <c r="A943" s="23">
        <f t="shared" si="14"/>
        <v>942</v>
      </c>
      <c r="B943" s="7" t="s">
        <v>4851</v>
      </c>
      <c r="C943" s="7" t="s">
        <v>4928</v>
      </c>
      <c r="D943" s="7" t="s">
        <v>5172</v>
      </c>
      <c r="E943" s="7" t="s">
        <v>5173</v>
      </c>
      <c r="F943" s="7" t="s">
        <v>5163</v>
      </c>
      <c r="G943" s="7" t="s">
        <v>496</v>
      </c>
      <c r="H943" s="7" t="str">
        <f>IFERROR(VLOOKUP(Table2[[#This Row],[Ticket]],Okey!A:B,2,0),"")</f>
        <v>ok</v>
      </c>
      <c r="I943" s="7" t="s">
        <v>3679</v>
      </c>
      <c r="J943" s="7" t="str">
        <f>VLOOKUP(Table2[[#This Row],[Author]],People!A:B,2,0)</f>
        <v>LS</v>
      </c>
      <c r="K943" s="7"/>
      <c r="L943" s="7"/>
      <c r="M943" s="16" t="s">
        <v>1040</v>
      </c>
    </row>
    <row r="944" spans="1:13" x14ac:dyDescent="0.25">
      <c r="A944" s="22">
        <f t="shared" si="14"/>
        <v>943</v>
      </c>
      <c r="B944" s="6" t="s">
        <v>4851</v>
      </c>
      <c r="C944" s="6" t="s">
        <v>4928</v>
      </c>
      <c r="D944" s="6" t="s">
        <v>5174</v>
      </c>
      <c r="E944" s="6" t="s">
        <v>5175</v>
      </c>
      <c r="F944" s="6" t="s">
        <v>5163</v>
      </c>
      <c r="G944" s="6" t="s">
        <v>496</v>
      </c>
      <c r="H944" s="6" t="str">
        <f>IFERROR(VLOOKUP(Table2[[#This Row],[Ticket]],Okey!A:B,2,0),"")</f>
        <v>ok</v>
      </c>
      <c r="I944" s="6" t="s">
        <v>3679</v>
      </c>
      <c r="J944" s="6" t="str">
        <f>VLOOKUP(Table2[[#This Row],[Author]],People!A:B,2,0)</f>
        <v>LS</v>
      </c>
      <c r="K944" s="6"/>
      <c r="L944" s="6"/>
      <c r="M944" s="21" t="s">
        <v>1040</v>
      </c>
    </row>
    <row r="945" spans="1:13" x14ac:dyDescent="0.25">
      <c r="A945" s="23">
        <f t="shared" si="14"/>
        <v>944</v>
      </c>
      <c r="B945" s="7" t="s">
        <v>4851</v>
      </c>
      <c r="C945" s="7" t="s">
        <v>4928</v>
      </c>
      <c r="D945" s="7" t="s">
        <v>5176</v>
      </c>
      <c r="E945" s="7" t="s">
        <v>5177</v>
      </c>
      <c r="F945" s="7" t="s">
        <v>5160</v>
      </c>
      <c r="G945" s="7" t="s">
        <v>496</v>
      </c>
      <c r="H945" s="7" t="str">
        <f>IFERROR(VLOOKUP(Table2[[#This Row],[Ticket]],Okey!A:B,2,0),"")</f>
        <v>ok</v>
      </c>
      <c r="I945" s="7" t="s">
        <v>3679</v>
      </c>
      <c r="J945" s="7" t="str">
        <f>VLOOKUP(Table2[[#This Row],[Author]],People!A:B,2,0)</f>
        <v>LS</v>
      </c>
      <c r="K945" s="7"/>
      <c r="L945" s="7"/>
      <c r="M945" s="16" t="s">
        <v>1040</v>
      </c>
    </row>
    <row r="946" spans="1:13" x14ac:dyDescent="0.25">
      <c r="A946" s="22">
        <f t="shared" si="14"/>
        <v>945</v>
      </c>
      <c r="B946" s="6" t="s">
        <v>4851</v>
      </c>
      <c r="C946" s="6" t="s">
        <v>4928</v>
      </c>
      <c r="D946" s="6" t="s">
        <v>5178</v>
      </c>
      <c r="E946" s="6" t="s">
        <v>5179</v>
      </c>
      <c r="F946" s="6" t="s">
        <v>5083</v>
      </c>
      <c r="G946" s="6" t="s">
        <v>496</v>
      </c>
      <c r="H946" s="6" t="str">
        <f>IFERROR(VLOOKUP(Table2[[#This Row],[Ticket]],Okey!A:B,2,0),"")</f>
        <v>ok</v>
      </c>
      <c r="I946" s="6" t="s">
        <v>3679</v>
      </c>
      <c r="J946" s="6" t="str">
        <f>VLOOKUP(Table2[[#This Row],[Author]],People!A:B,2,0)</f>
        <v>LS</v>
      </c>
      <c r="K946" s="6"/>
      <c r="L946" s="6"/>
      <c r="M946" s="21" t="s">
        <v>1040</v>
      </c>
    </row>
    <row r="947" spans="1:13" x14ac:dyDescent="0.25">
      <c r="A947" s="23">
        <f t="shared" si="14"/>
        <v>946</v>
      </c>
      <c r="B947" s="7" t="s">
        <v>4851</v>
      </c>
      <c r="C947" s="7" t="s">
        <v>4928</v>
      </c>
      <c r="D947" s="7" t="s">
        <v>5180</v>
      </c>
      <c r="E947" s="7" t="s">
        <v>5181</v>
      </c>
      <c r="F947" s="7" t="s">
        <v>3682</v>
      </c>
      <c r="G947" s="7" t="s">
        <v>496</v>
      </c>
      <c r="H947" s="7" t="str">
        <f>IFERROR(VLOOKUP(Table2[[#This Row],[Ticket]],Okey!A:B,2,0),"")</f>
        <v>ok</v>
      </c>
      <c r="I947" s="7" t="s">
        <v>3679</v>
      </c>
      <c r="J947" s="7" t="str">
        <f>VLOOKUP(Table2[[#This Row],[Author]],People!A:B,2,0)</f>
        <v>LS</v>
      </c>
      <c r="K947" s="7"/>
      <c r="L947" s="7"/>
      <c r="M947" s="16" t="s">
        <v>1040</v>
      </c>
    </row>
    <row r="948" spans="1:13" x14ac:dyDescent="0.25">
      <c r="A948" s="22">
        <f t="shared" si="14"/>
        <v>947</v>
      </c>
      <c r="B948" s="6" t="s">
        <v>4851</v>
      </c>
      <c r="C948" s="6" t="s">
        <v>4928</v>
      </c>
      <c r="D948" s="6" t="s">
        <v>5182</v>
      </c>
      <c r="E948" s="6" t="s">
        <v>5183</v>
      </c>
      <c r="F948" s="6" t="s">
        <v>5184</v>
      </c>
      <c r="G948" s="6" t="s">
        <v>496</v>
      </c>
      <c r="H948" s="6" t="str">
        <f>IFERROR(VLOOKUP(Table2[[#This Row],[Ticket]],Okey!A:B,2,0),"")</f>
        <v>ok</v>
      </c>
      <c r="I948" s="6" t="s">
        <v>3679</v>
      </c>
      <c r="J948" s="6" t="str">
        <f>VLOOKUP(Table2[[#This Row],[Author]],People!A:B,2,0)</f>
        <v>LS</v>
      </c>
      <c r="K948" s="6"/>
      <c r="L948" s="6"/>
      <c r="M948" s="21" t="s">
        <v>1040</v>
      </c>
    </row>
    <row r="949" spans="1:13" x14ac:dyDescent="0.25">
      <c r="A949" s="23">
        <f t="shared" si="14"/>
        <v>948</v>
      </c>
      <c r="B949" s="7" t="s">
        <v>4851</v>
      </c>
      <c r="C949" s="7" t="s">
        <v>4928</v>
      </c>
      <c r="D949" s="31" t="s">
        <v>5185</v>
      </c>
      <c r="E949" s="7"/>
      <c r="F949" s="32" t="s">
        <v>5186</v>
      </c>
      <c r="G949" s="7" t="s">
        <v>24</v>
      </c>
      <c r="H949" s="7" t="str">
        <f>IFERROR(VLOOKUP(Table2[[#This Row],[Ticket]],Okey!A:B,2,0),"")</f>
        <v>ok</v>
      </c>
      <c r="I949" s="7" t="s">
        <v>3679</v>
      </c>
      <c r="J949" s="7" t="str">
        <f>VLOOKUP(Table2[[#This Row],[Author]],People!A:B,2,0)</f>
        <v>LS</v>
      </c>
      <c r="K949" s="7"/>
      <c r="L949" s="7"/>
      <c r="M949" s="16" t="s">
        <v>1040</v>
      </c>
    </row>
    <row r="950" spans="1:13" x14ac:dyDescent="0.25">
      <c r="A950" s="22">
        <f t="shared" si="14"/>
        <v>949</v>
      </c>
      <c r="B950" s="6" t="s">
        <v>4851</v>
      </c>
      <c r="C950" s="6" t="s">
        <v>4928</v>
      </c>
      <c r="D950" s="33" t="s">
        <v>5187</v>
      </c>
      <c r="E950" s="6"/>
      <c r="F950" s="34" t="s">
        <v>5188</v>
      </c>
      <c r="G950" s="6" t="s">
        <v>24</v>
      </c>
      <c r="H950" s="6" t="str">
        <f>IFERROR(VLOOKUP(Table2[[#This Row],[Ticket]],Okey!A:B,2,0),"")</f>
        <v>ok</v>
      </c>
      <c r="I950" s="6" t="s">
        <v>3679</v>
      </c>
      <c r="J950" s="6" t="str">
        <f>VLOOKUP(Table2[[#This Row],[Author]],People!A:B,2,0)</f>
        <v>LS</v>
      </c>
      <c r="K950" s="6"/>
      <c r="L950" s="6"/>
      <c r="M950" s="21" t="s">
        <v>1040</v>
      </c>
    </row>
    <row r="951" spans="1:13" x14ac:dyDescent="0.25">
      <c r="A951" s="23">
        <f t="shared" si="14"/>
        <v>950</v>
      </c>
      <c r="B951" s="7" t="s">
        <v>4851</v>
      </c>
      <c r="C951" s="7" t="s">
        <v>4928</v>
      </c>
      <c r="D951" s="31" t="s">
        <v>5189</v>
      </c>
      <c r="E951" s="7"/>
      <c r="F951" s="32" t="s">
        <v>5190</v>
      </c>
      <c r="G951" s="7" t="s">
        <v>24</v>
      </c>
      <c r="H951" s="7" t="str">
        <f>IFERROR(VLOOKUP(Table2[[#This Row],[Ticket]],Okey!A:B,2,0),"")</f>
        <v>ok</v>
      </c>
      <c r="I951" s="7" t="s">
        <v>3679</v>
      </c>
      <c r="J951" s="7" t="str">
        <f>VLOOKUP(Table2[[#This Row],[Author]],People!A:B,2,0)</f>
        <v>LS</v>
      </c>
      <c r="K951" s="7"/>
      <c r="L951" s="7"/>
      <c r="M951" s="16" t="s">
        <v>1040</v>
      </c>
    </row>
    <row r="952" spans="1:13" x14ac:dyDescent="0.25">
      <c r="A952" s="22">
        <f t="shared" si="14"/>
        <v>951</v>
      </c>
      <c r="B952" s="6" t="s">
        <v>4851</v>
      </c>
      <c r="C952" s="6" t="s">
        <v>4928</v>
      </c>
      <c r="D952" s="6" t="s">
        <v>5107</v>
      </c>
      <c r="E952" s="6"/>
      <c r="F952" s="6" t="s">
        <v>5103</v>
      </c>
      <c r="G952" s="6" t="s">
        <v>24</v>
      </c>
      <c r="H952" s="6" t="str">
        <f>IFERROR(VLOOKUP(Table2[[#This Row],[Ticket]],Okey!A:B,2,0),"")</f>
        <v>ok</v>
      </c>
      <c r="I952" s="6" t="s">
        <v>3679</v>
      </c>
      <c r="J952" s="6" t="str">
        <f>VLOOKUP(Table2[[#This Row],[Author]],People!A:B,2,0)</f>
        <v>LS</v>
      </c>
      <c r="K952" s="6"/>
      <c r="L952" s="6"/>
      <c r="M952" s="21" t="s">
        <v>1040</v>
      </c>
    </row>
    <row r="953" spans="1:13" x14ac:dyDescent="0.25">
      <c r="A953" s="23">
        <f t="shared" si="14"/>
        <v>952</v>
      </c>
      <c r="B953" s="7" t="s">
        <v>4851</v>
      </c>
      <c r="C953" s="7" t="s">
        <v>4928</v>
      </c>
      <c r="D953" s="7" t="s">
        <v>5191</v>
      </c>
      <c r="E953" s="7" t="s">
        <v>5192</v>
      </c>
      <c r="F953" s="35" t="s">
        <v>4528</v>
      </c>
      <c r="G953" s="7" t="s">
        <v>18</v>
      </c>
      <c r="H953" s="7" t="str">
        <f>IFERROR(VLOOKUP(Table2[[#This Row],[Ticket]],Okey!A:B,2,0),"")</f>
        <v>ok</v>
      </c>
      <c r="I953" s="7" t="s">
        <v>3679</v>
      </c>
      <c r="J953" s="7" t="str">
        <f>VLOOKUP(Table2[[#This Row],[Author]],People!A:B,2,0)</f>
        <v>LS</v>
      </c>
      <c r="K953" s="7"/>
      <c r="L953" s="7"/>
      <c r="M953" s="16" t="s">
        <v>1040</v>
      </c>
    </row>
    <row r="954" spans="1:13" x14ac:dyDescent="0.25">
      <c r="A954" s="22">
        <f t="shared" si="14"/>
        <v>953</v>
      </c>
      <c r="B954" s="6" t="s">
        <v>4851</v>
      </c>
      <c r="C954" s="6" t="s">
        <v>5193</v>
      </c>
      <c r="D954" s="6" t="s">
        <v>5194</v>
      </c>
      <c r="E954" s="6"/>
      <c r="F954" s="6" t="s">
        <v>5195</v>
      </c>
      <c r="G954" s="6" t="s">
        <v>24</v>
      </c>
      <c r="H954" s="6" t="str">
        <f>IFERROR(VLOOKUP(Table2[[#This Row],[Ticket]],Okey!A:B,2,0),"")</f>
        <v>ok</v>
      </c>
      <c r="I954" s="6" t="s">
        <v>3679</v>
      </c>
      <c r="J954" s="6" t="str">
        <f>VLOOKUP(Table2[[#This Row],[Author]],People!A:B,2,0)</f>
        <v>LS</v>
      </c>
      <c r="K954" s="6"/>
      <c r="L954" s="6"/>
      <c r="M954" s="21" t="s">
        <v>1040</v>
      </c>
    </row>
    <row r="955" spans="1:13" x14ac:dyDescent="0.25">
      <c r="A955" s="23">
        <f t="shared" si="14"/>
        <v>954</v>
      </c>
      <c r="B955" s="7" t="s">
        <v>4851</v>
      </c>
      <c r="C955" s="7" t="s">
        <v>5193</v>
      </c>
      <c r="D955" s="7" t="s">
        <v>5196</v>
      </c>
      <c r="E955" s="7"/>
      <c r="F955" s="7" t="s">
        <v>5197</v>
      </c>
      <c r="G955" s="7" t="s">
        <v>24</v>
      </c>
      <c r="H955" s="7" t="str">
        <f>IFERROR(VLOOKUP(Table2[[#This Row],[Ticket]],Okey!A:B,2,0),"")</f>
        <v>ok</v>
      </c>
      <c r="I955" s="7" t="s">
        <v>3679</v>
      </c>
      <c r="J955" s="7" t="str">
        <f>VLOOKUP(Table2[[#This Row],[Author]],People!A:B,2,0)</f>
        <v>LS</v>
      </c>
      <c r="K955" s="7"/>
      <c r="L955" s="7"/>
      <c r="M955" s="16" t="s">
        <v>1040</v>
      </c>
    </row>
    <row r="956" spans="1:13" x14ac:dyDescent="0.25">
      <c r="A956" s="22">
        <f t="shared" si="14"/>
        <v>955</v>
      </c>
      <c r="B956" s="6" t="s">
        <v>4851</v>
      </c>
      <c r="C956" s="6" t="s">
        <v>5198</v>
      </c>
      <c r="D956" s="6" t="s">
        <v>5199</v>
      </c>
      <c r="E956" s="6"/>
      <c r="F956" s="6" t="s">
        <v>4249</v>
      </c>
      <c r="G956" s="6" t="s">
        <v>24</v>
      </c>
      <c r="H956" s="6" t="str">
        <f>IFERROR(VLOOKUP(Table2[[#This Row],[Ticket]],Okey!A:B,2,0),"")</f>
        <v>ok</v>
      </c>
      <c r="I956" s="6" t="s">
        <v>3679</v>
      </c>
      <c r="J956" s="6" t="str">
        <f>VLOOKUP(Table2[[#This Row],[Author]],People!A:B,2,0)</f>
        <v>LS</v>
      </c>
      <c r="K956" s="6"/>
      <c r="L956" s="6"/>
      <c r="M956" s="21" t="s">
        <v>3967</v>
      </c>
    </row>
    <row r="957" spans="1:13" x14ac:dyDescent="0.25">
      <c r="A957" s="23">
        <f t="shared" si="14"/>
        <v>956</v>
      </c>
      <c r="B957" s="7" t="s">
        <v>4851</v>
      </c>
      <c r="C957" s="7" t="s">
        <v>5200</v>
      </c>
      <c r="D957" s="7" t="s">
        <v>362</v>
      </c>
      <c r="E957" s="7" t="s">
        <v>5201</v>
      </c>
      <c r="F957" s="7" t="s">
        <v>360</v>
      </c>
      <c r="G957" s="7" t="s">
        <v>18</v>
      </c>
      <c r="H957" s="7" t="str">
        <f>IFERROR(VLOOKUP(Table2[[#This Row],[Ticket]],Okey!A:B,2,0),"")</f>
        <v>ok</v>
      </c>
      <c r="I957" s="7" t="s">
        <v>3679</v>
      </c>
      <c r="J957" s="7" t="str">
        <f>VLOOKUP(Table2[[#This Row],[Author]],People!A:B,2,0)</f>
        <v>LS</v>
      </c>
      <c r="K957" s="7"/>
      <c r="L957" s="7"/>
      <c r="M957" s="16" t="s">
        <v>25</v>
      </c>
    </row>
    <row r="958" spans="1:13" x14ac:dyDescent="0.25">
      <c r="A958" s="22">
        <f t="shared" si="14"/>
        <v>957</v>
      </c>
      <c r="B958" s="6" t="s">
        <v>4851</v>
      </c>
      <c r="C958" s="6" t="s">
        <v>5202</v>
      </c>
      <c r="D958" s="6" t="s">
        <v>5203</v>
      </c>
      <c r="E958" s="6"/>
      <c r="F958" s="6" t="s">
        <v>5204</v>
      </c>
      <c r="G958" s="6" t="s">
        <v>24</v>
      </c>
      <c r="H958" s="6" t="str">
        <f>IFERROR(VLOOKUP(Table2[[#This Row],[Ticket]],Okey!A:B,2,0),"")</f>
        <v>ok</v>
      </c>
      <c r="I958" s="6" t="s">
        <v>3679</v>
      </c>
      <c r="J958" s="6" t="str">
        <f>VLOOKUP(Table2[[#This Row],[Author]],People!A:B,2,0)</f>
        <v>LS</v>
      </c>
      <c r="K958" s="6"/>
      <c r="L958" s="6"/>
      <c r="M958" s="21" t="s">
        <v>5205</v>
      </c>
    </row>
    <row r="959" spans="1:13" x14ac:dyDescent="0.25">
      <c r="A959" s="23">
        <f t="shared" si="14"/>
        <v>958</v>
      </c>
      <c r="B959" s="7" t="s">
        <v>4851</v>
      </c>
      <c r="C959" s="7" t="s">
        <v>5206</v>
      </c>
      <c r="D959" s="7" t="s">
        <v>2831</v>
      </c>
      <c r="E959" s="7" t="s">
        <v>2832</v>
      </c>
      <c r="F959" s="7" t="s">
        <v>1824</v>
      </c>
      <c r="G959" s="7" t="s">
        <v>18</v>
      </c>
      <c r="H959" s="7" t="str">
        <f>IFERROR(VLOOKUP(Table2[[#This Row],[Ticket]],Okey!A:B,2,0),"")</f>
        <v>ok</v>
      </c>
      <c r="I959" s="7" t="s">
        <v>3679</v>
      </c>
      <c r="J959" s="7" t="str">
        <f>VLOOKUP(Table2[[#This Row],[Author]],People!A:B,2,0)</f>
        <v>LS</v>
      </c>
      <c r="K959" s="7"/>
      <c r="L959" s="7"/>
      <c r="M959" s="16" t="s">
        <v>2804</v>
      </c>
    </row>
    <row r="960" spans="1:13" x14ac:dyDescent="0.25">
      <c r="A960" s="22">
        <f t="shared" si="14"/>
        <v>959</v>
      </c>
      <c r="B960" s="6" t="s">
        <v>4851</v>
      </c>
      <c r="C960" s="6" t="s">
        <v>5206</v>
      </c>
      <c r="D960" s="6" t="s">
        <v>2897</v>
      </c>
      <c r="E960" s="6" t="s">
        <v>2898</v>
      </c>
      <c r="F960" s="6" t="s">
        <v>1824</v>
      </c>
      <c r="G960" s="6" t="s">
        <v>18</v>
      </c>
      <c r="H960" s="6" t="str">
        <f>IFERROR(VLOOKUP(Table2[[#This Row],[Ticket]],Okey!A:B,2,0),"")</f>
        <v>ok</v>
      </c>
      <c r="I960" s="6" t="s">
        <v>3679</v>
      </c>
      <c r="J960" s="6" t="str">
        <f>VLOOKUP(Table2[[#This Row],[Author]],People!A:B,2,0)</f>
        <v>LS</v>
      </c>
      <c r="K960" s="6"/>
      <c r="L960" s="6"/>
      <c r="M960" s="21" t="s">
        <v>2804</v>
      </c>
    </row>
    <row r="961" spans="1:13" x14ac:dyDescent="0.25">
      <c r="A961" s="23">
        <f t="shared" si="14"/>
        <v>960</v>
      </c>
      <c r="B961" s="7" t="s">
        <v>4851</v>
      </c>
      <c r="C961" s="7" t="s">
        <v>5206</v>
      </c>
      <c r="D961" s="7" t="s">
        <v>2900</v>
      </c>
      <c r="E961" s="7" t="s">
        <v>2901</v>
      </c>
      <c r="F961" s="7" t="s">
        <v>1826</v>
      </c>
      <c r="G961" s="7" t="s">
        <v>18</v>
      </c>
      <c r="H961" s="7" t="str">
        <f>IFERROR(VLOOKUP(Table2[[#This Row],[Ticket]],Okey!A:B,2,0),"")</f>
        <v>ok</v>
      </c>
      <c r="I961" s="7" t="s">
        <v>3679</v>
      </c>
      <c r="J961" s="7" t="str">
        <f>VLOOKUP(Table2[[#This Row],[Author]],People!A:B,2,0)</f>
        <v>LS</v>
      </c>
      <c r="K961" s="7"/>
      <c r="L961" s="7"/>
      <c r="M961" s="16" t="s">
        <v>2804</v>
      </c>
    </row>
    <row r="962" spans="1:13" x14ac:dyDescent="0.25">
      <c r="A962" s="22">
        <f t="shared" si="14"/>
        <v>961</v>
      </c>
      <c r="B962" s="6" t="s">
        <v>4851</v>
      </c>
      <c r="C962" s="6" t="s">
        <v>5206</v>
      </c>
      <c r="D962" s="6" t="s">
        <v>5207</v>
      </c>
      <c r="E962" s="6" t="s">
        <v>5208</v>
      </c>
      <c r="F962" s="6" t="s">
        <v>1826</v>
      </c>
      <c r="G962" s="6" t="s">
        <v>18</v>
      </c>
      <c r="H962" s="6" t="str">
        <f>IFERROR(VLOOKUP(Table2[[#This Row],[Ticket]],Okey!A:B,2,0),"")</f>
        <v>ok</v>
      </c>
      <c r="I962" s="6" t="s">
        <v>3679</v>
      </c>
      <c r="J962" s="6" t="str">
        <f>VLOOKUP(Table2[[#This Row],[Author]],People!A:B,2,0)</f>
        <v>LS</v>
      </c>
      <c r="K962" s="6"/>
      <c r="L962" s="6"/>
      <c r="M962" s="21" t="s">
        <v>2804</v>
      </c>
    </row>
    <row r="963" spans="1:13" x14ac:dyDescent="0.25">
      <c r="A963" s="23">
        <f t="shared" ref="A963:A1026" si="15">1+A962</f>
        <v>962</v>
      </c>
      <c r="B963" s="7" t="s">
        <v>4851</v>
      </c>
      <c r="C963" s="7" t="s">
        <v>5206</v>
      </c>
      <c r="D963" s="7" t="s">
        <v>2925</v>
      </c>
      <c r="E963" s="7" t="s">
        <v>2926</v>
      </c>
      <c r="F963" s="7" t="s">
        <v>1828</v>
      </c>
      <c r="G963" s="7" t="s">
        <v>18</v>
      </c>
      <c r="H963" s="7" t="str">
        <f>IFERROR(VLOOKUP(Table2[[#This Row],[Ticket]],Okey!A:B,2,0),"")</f>
        <v>ok</v>
      </c>
      <c r="I963" s="7" t="s">
        <v>3679</v>
      </c>
      <c r="J963" s="7" t="str">
        <f>VLOOKUP(Table2[[#This Row],[Author]],People!A:B,2,0)</f>
        <v>LS</v>
      </c>
      <c r="K963" s="7"/>
      <c r="L963" s="7"/>
      <c r="M963" s="16" t="s">
        <v>2804</v>
      </c>
    </row>
    <row r="964" spans="1:13" x14ac:dyDescent="0.25">
      <c r="A964" s="22">
        <f t="shared" si="15"/>
        <v>963</v>
      </c>
      <c r="B964" s="6" t="s">
        <v>4851</v>
      </c>
      <c r="C964" s="6" t="s">
        <v>5206</v>
      </c>
      <c r="D964" s="6" t="s">
        <v>2949</v>
      </c>
      <c r="E964" s="6" t="s">
        <v>2950</v>
      </c>
      <c r="F964" s="6" t="s">
        <v>1826</v>
      </c>
      <c r="G964" s="6" t="s">
        <v>18</v>
      </c>
      <c r="H964" s="6" t="str">
        <f>IFERROR(VLOOKUP(Table2[[#This Row],[Ticket]],Okey!A:B,2,0),"")</f>
        <v>ok</v>
      </c>
      <c r="I964" s="6" t="s">
        <v>3679</v>
      </c>
      <c r="J964" s="6" t="str">
        <f>VLOOKUP(Table2[[#This Row],[Author]],People!A:B,2,0)</f>
        <v>LS</v>
      </c>
      <c r="K964" s="6"/>
      <c r="L964" s="6"/>
      <c r="M964" s="21" t="s">
        <v>2804</v>
      </c>
    </row>
    <row r="965" spans="1:13" x14ac:dyDescent="0.25">
      <c r="A965" s="23">
        <f t="shared" si="15"/>
        <v>964</v>
      </c>
      <c r="B965" s="7" t="s">
        <v>4851</v>
      </c>
      <c r="C965" s="7" t="s">
        <v>5206</v>
      </c>
      <c r="D965" s="7" t="s">
        <v>2952</v>
      </c>
      <c r="E965" s="7" t="s">
        <v>2953</v>
      </c>
      <c r="F965" s="7" t="s">
        <v>1830</v>
      </c>
      <c r="G965" s="7" t="s">
        <v>18</v>
      </c>
      <c r="H965" s="7" t="str">
        <f>IFERROR(VLOOKUP(Table2[[#This Row],[Ticket]],Okey!A:B,2,0),"")</f>
        <v>ok</v>
      </c>
      <c r="I965" s="7" t="s">
        <v>3679</v>
      </c>
      <c r="J965" s="7" t="str">
        <f>VLOOKUP(Table2[[#This Row],[Author]],People!A:B,2,0)</f>
        <v>LS</v>
      </c>
      <c r="K965" s="7"/>
      <c r="L965" s="7"/>
      <c r="M965" s="16" t="s">
        <v>2804</v>
      </c>
    </row>
    <row r="966" spans="1:13" x14ac:dyDescent="0.25">
      <c r="A966" s="22">
        <f t="shared" si="15"/>
        <v>965</v>
      </c>
      <c r="B966" s="6" t="s">
        <v>4851</v>
      </c>
      <c r="C966" s="6" t="s">
        <v>5206</v>
      </c>
      <c r="D966" s="6" t="s">
        <v>2976</v>
      </c>
      <c r="E966" s="6" t="s">
        <v>2977</v>
      </c>
      <c r="F966" s="6" t="s">
        <v>1830</v>
      </c>
      <c r="G966" s="6" t="s">
        <v>18</v>
      </c>
      <c r="H966" s="6" t="str">
        <f>IFERROR(VLOOKUP(Table2[[#This Row],[Ticket]],Okey!A:B,2,0),"")</f>
        <v>ok</v>
      </c>
      <c r="I966" s="6" t="s">
        <v>3679</v>
      </c>
      <c r="J966" s="6" t="str">
        <f>VLOOKUP(Table2[[#This Row],[Author]],People!A:B,2,0)</f>
        <v>LS</v>
      </c>
      <c r="K966" s="6"/>
      <c r="L966" s="6"/>
      <c r="M966" s="21" t="s">
        <v>2804</v>
      </c>
    </row>
    <row r="967" spans="1:13" x14ac:dyDescent="0.25">
      <c r="A967" s="23">
        <f t="shared" si="15"/>
        <v>966</v>
      </c>
      <c r="B967" s="7" t="s">
        <v>4851</v>
      </c>
      <c r="C967" s="7" t="s">
        <v>5206</v>
      </c>
      <c r="D967" s="7" t="s">
        <v>2979</v>
      </c>
      <c r="E967" s="7" t="s">
        <v>2980</v>
      </c>
      <c r="F967" s="7" t="s">
        <v>1832</v>
      </c>
      <c r="G967" s="7" t="s">
        <v>18</v>
      </c>
      <c r="H967" s="7" t="str">
        <f>IFERROR(VLOOKUP(Table2[[#This Row],[Ticket]],Okey!A:B,2,0),"")</f>
        <v>ok</v>
      </c>
      <c r="I967" s="7" t="s">
        <v>3679</v>
      </c>
      <c r="J967" s="7" t="str">
        <f>VLOOKUP(Table2[[#This Row],[Author]],People!A:B,2,0)</f>
        <v>LS</v>
      </c>
      <c r="K967" s="7"/>
      <c r="L967" s="7"/>
      <c r="M967" s="16" t="s">
        <v>2804</v>
      </c>
    </row>
    <row r="968" spans="1:13" x14ac:dyDescent="0.25">
      <c r="A968" s="22">
        <f t="shared" si="15"/>
        <v>967</v>
      </c>
      <c r="B968" s="6" t="s">
        <v>4851</v>
      </c>
      <c r="C968" s="6" t="s">
        <v>5206</v>
      </c>
      <c r="D968" s="6" t="s">
        <v>3003</v>
      </c>
      <c r="E968" s="6" t="s">
        <v>3004</v>
      </c>
      <c r="F968" s="6" t="s">
        <v>1832</v>
      </c>
      <c r="G968" s="6" t="s">
        <v>18</v>
      </c>
      <c r="H968" s="6" t="str">
        <f>IFERROR(VLOOKUP(Table2[[#This Row],[Ticket]],Okey!A:B,2,0),"")</f>
        <v>ok</v>
      </c>
      <c r="I968" s="6" t="s">
        <v>3679</v>
      </c>
      <c r="J968" s="6" t="str">
        <f>VLOOKUP(Table2[[#This Row],[Author]],People!A:B,2,0)</f>
        <v>LS</v>
      </c>
      <c r="K968" s="6"/>
      <c r="L968" s="6"/>
      <c r="M968" s="21" t="s">
        <v>2804</v>
      </c>
    </row>
    <row r="969" spans="1:13" x14ac:dyDescent="0.25">
      <c r="A969" s="23">
        <f t="shared" si="15"/>
        <v>968</v>
      </c>
      <c r="B969" s="7" t="s">
        <v>4851</v>
      </c>
      <c r="C969" s="7" t="s">
        <v>5206</v>
      </c>
      <c r="D969" s="7" t="s">
        <v>3006</v>
      </c>
      <c r="E969" s="7" t="s">
        <v>3007</v>
      </c>
      <c r="F969" s="7" t="s">
        <v>1834</v>
      </c>
      <c r="G969" s="7" t="s">
        <v>18</v>
      </c>
      <c r="H969" s="7" t="str">
        <f>IFERROR(VLOOKUP(Table2[[#This Row],[Ticket]],Okey!A:B,2,0),"")</f>
        <v>ok</v>
      </c>
      <c r="I969" s="7" t="s">
        <v>3679</v>
      </c>
      <c r="J969" s="7" t="str">
        <f>VLOOKUP(Table2[[#This Row],[Author]],People!A:B,2,0)</f>
        <v>LS</v>
      </c>
      <c r="K969" s="7"/>
      <c r="L969" s="7"/>
      <c r="M969" s="16" t="s">
        <v>2804</v>
      </c>
    </row>
    <row r="970" spans="1:13" x14ac:dyDescent="0.25">
      <c r="A970" s="22">
        <f t="shared" si="15"/>
        <v>969</v>
      </c>
      <c r="B970" s="6" t="s">
        <v>4851</v>
      </c>
      <c r="C970" s="6" t="s">
        <v>5206</v>
      </c>
      <c r="D970" s="6" t="s">
        <v>3030</v>
      </c>
      <c r="E970" s="6" t="s">
        <v>3031</v>
      </c>
      <c r="F970" s="6" t="s">
        <v>1834</v>
      </c>
      <c r="G970" s="6" t="s">
        <v>18</v>
      </c>
      <c r="H970" s="6" t="str">
        <f>IFERROR(VLOOKUP(Table2[[#This Row],[Ticket]],Okey!A:B,2,0),"")</f>
        <v>ok</v>
      </c>
      <c r="I970" s="6" t="s">
        <v>3679</v>
      </c>
      <c r="J970" s="6" t="str">
        <f>VLOOKUP(Table2[[#This Row],[Author]],People!A:B,2,0)</f>
        <v>LS</v>
      </c>
      <c r="K970" s="6"/>
      <c r="L970" s="6"/>
      <c r="M970" s="21" t="s">
        <v>2804</v>
      </c>
    </row>
    <row r="971" spans="1:13" x14ac:dyDescent="0.25">
      <c r="A971" s="23">
        <f t="shared" si="15"/>
        <v>970</v>
      </c>
      <c r="B971" s="7" t="s">
        <v>4851</v>
      </c>
      <c r="C971" s="7" t="s">
        <v>5206</v>
      </c>
      <c r="D971" s="7" t="s">
        <v>5209</v>
      </c>
      <c r="E971" s="7" t="s">
        <v>5210</v>
      </c>
      <c r="F971" s="7" t="s">
        <v>1836</v>
      </c>
      <c r="G971" s="7" t="s">
        <v>18</v>
      </c>
      <c r="H971" s="7" t="str">
        <f>IFERROR(VLOOKUP(Table2[[#This Row],[Ticket]],Okey!A:B,2,0),"")</f>
        <v>ok</v>
      </c>
      <c r="I971" s="7" t="s">
        <v>3679</v>
      </c>
      <c r="J971" s="7" t="str">
        <f>VLOOKUP(Table2[[#This Row],[Author]],People!A:B,2,0)</f>
        <v>LS</v>
      </c>
      <c r="K971" s="7"/>
      <c r="L971" s="7"/>
      <c r="M971" s="16" t="s">
        <v>2804</v>
      </c>
    </row>
    <row r="972" spans="1:13" x14ac:dyDescent="0.25">
      <c r="A972" s="22">
        <f t="shared" si="15"/>
        <v>971</v>
      </c>
      <c r="B972" s="6" t="s">
        <v>4851</v>
      </c>
      <c r="C972" s="6" t="s">
        <v>5206</v>
      </c>
      <c r="D972" s="6" t="s">
        <v>5211</v>
      </c>
      <c r="E972" s="6" t="s">
        <v>5212</v>
      </c>
      <c r="F972" s="6" t="s">
        <v>1836</v>
      </c>
      <c r="G972" s="6" t="s">
        <v>18</v>
      </c>
      <c r="H972" s="6" t="str">
        <f>IFERROR(VLOOKUP(Table2[[#This Row],[Ticket]],Okey!A:B,2,0),"")</f>
        <v>ok</v>
      </c>
      <c r="I972" s="6" t="s">
        <v>3679</v>
      </c>
      <c r="J972" s="6" t="str">
        <f>VLOOKUP(Table2[[#This Row],[Author]],People!A:B,2,0)</f>
        <v>LS</v>
      </c>
      <c r="K972" s="6"/>
      <c r="L972" s="6"/>
      <c r="M972" s="21" t="s">
        <v>2804</v>
      </c>
    </row>
    <row r="973" spans="1:13" x14ac:dyDescent="0.25">
      <c r="A973" s="23">
        <f t="shared" si="15"/>
        <v>972</v>
      </c>
      <c r="B973" s="7" t="s">
        <v>4851</v>
      </c>
      <c r="C973" s="7" t="s">
        <v>5206</v>
      </c>
      <c r="D973" s="7" t="s">
        <v>5213</v>
      </c>
      <c r="E973" s="7" t="s">
        <v>5214</v>
      </c>
      <c r="F973" s="7" t="s">
        <v>5215</v>
      </c>
      <c r="G973" s="7" t="s">
        <v>18</v>
      </c>
      <c r="H973" s="7" t="str">
        <f>IFERROR(VLOOKUP(Table2[[#This Row],[Ticket]],Okey!A:B,2,0),"")</f>
        <v>ok</v>
      </c>
      <c r="I973" s="7" t="s">
        <v>3679</v>
      </c>
      <c r="J973" s="7" t="str">
        <f>VLOOKUP(Table2[[#This Row],[Author]],People!A:B,2,0)</f>
        <v>LS</v>
      </c>
      <c r="K973" s="7"/>
      <c r="L973" s="7"/>
      <c r="M973" s="16" t="s">
        <v>2804</v>
      </c>
    </row>
    <row r="974" spans="1:13" x14ac:dyDescent="0.25">
      <c r="A974" s="22">
        <f t="shared" si="15"/>
        <v>973</v>
      </c>
      <c r="B974" s="6" t="s">
        <v>4851</v>
      </c>
      <c r="C974" s="6" t="s">
        <v>5206</v>
      </c>
      <c r="D974" s="6" t="s">
        <v>3034</v>
      </c>
      <c r="E974" s="6" t="s">
        <v>3035</v>
      </c>
      <c r="F974" s="6" t="s">
        <v>1838</v>
      </c>
      <c r="G974" s="6" t="s">
        <v>18</v>
      </c>
      <c r="H974" s="6" t="str">
        <f>IFERROR(VLOOKUP(Table2[[#This Row],[Ticket]],Okey!A:B,2,0),"")</f>
        <v>ok</v>
      </c>
      <c r="I974" s="6" t="s">
        <v>3679</v>
      </c>
      <c r="J974" s="6" t="str">
        <f>VLOOKUP(Table2[[#This Row],[Author]],People!A:B,2,0)</f>
        <v>LS</v>
      </c>
      <c r="K974" s="6"/>
      <c r="L974" s="6"/>
      <c r="M974" s="21" t="s">
        <v>2804</v>
      </c>
    </row>
    <row r="975" spans="1:13" x14ac:dyDescent="0.25">
      <c r="A975" s="23">
        <f t="shared" si="15"/>
        <v>974</v>
      </c>
      <c r="B975" s="7" t="s">
        <v>4851</v>
      </c>
      <c r="C975" s="7" t="s">
        <v>5206</v>
      </c>
      <c r="D975" s="7" t="s">
        <v>3058</v>
      </c>
      <c r="E975" s="7" t="s">
        <v>3059</v>
      </c>
      <c r="F975" s="7" t="s">
        <v>1838</v>
      </c>
      <c r="G975" s="7" t="s">
        <v>18</v>
      </c>
      <c r="H975" s="7" t="str">
        <f>IFERROR(VLOOKUP(Table2[[#This Row],[Ticket]],Okey!A:B,2,0),"")</f>
        <v>ok</v>
      </c>
      <c r="I975" s="7" t="s">
        <v>3679</v>
      </c>
      <c r="J975" s="7" t="str">
        <f>VLOOKUP(Table2[[#This Row],[Author]],People!A:B,2,0)</f>
        <v>LS</v>
      </c>
      <c r="K975" s="7"/>
      <c r="L975" s="7"/>
      <c r="M975" s="16" t="s">
        <v>2804</v>
      </c>
    </row>
    <row r="976" spans="1:13" x14ac:dyDescent="0.25">
      <c r="A976" s="22">
        <f t="shared" si="15"/>
        <v>975</v>
      </c>
      <c r="B976" s="6" t="s">
        <v>4851</v>
      </c>
      <c r="C976" s="6" t="s">
        <v>5206</v>
      </c>
      <c r="D976" s="6" t="s">
        <v>3061</v>
      </c>
      <c r="E976" s="6" t="s">
        <v>3062</v>
      </c>
      <c r="F976" s="6" t="s">
        <v>1840</v>
      </c>
      <c r="G976" s="6" t="s">
        <v>18</v>
      </c>
      <c r="H976" s="6" t="str">
        <f>IFERROR(VLOOKUP(Table2[[#This Row],[Ticket]],Okey!A:B,2,0),"")</f>
        <v>ok</v>
      </c>
      <c r="I976" s="6" t="s">
        <v>3679</v>
      </c>
      <c r="J976" s="6" t="str">
        <f>VLOOKUP(Table2[[#This Row],[Author]],People!A:B,2,0)</f>
        <v>LS</v>
      </c>
      <c r="K976" s="6"/>
      <c r="L976" s="6"/>
      <c r="M976" s="21" t="s">
        <v>2804</v>
      </c>
    </row>
    <row r="977" spans="1:13" x14ac:dyDescent="0.25">
      <c r="A977" s="23">
        <f t="shared" si="15"/>
        <v>976</v>
      </c>
      <c r="B977" s="7" t="s">
        <v>4851</v>
      </c>
      <c r="C977" s="7" t="s">
        <v>5206</v>
      </c>
      <c r="D977" s="7" t="s">
        <v>3085</v>
      </c>
      <c r="E977" s="7" t="s">
        <v>3086</v>
      </c>
      <c r="F977" s="7" t="s">
        <v>1840</v>
      </c>
      <c r="G977" s="7" t="s">
        <v>18</v>
      </c>
      <c r="H977" s="7" t="str">
        <f>IFERROR(VLOOKUP(Table2[[#This Row],[Ticket]],Okey!A:B,2,0),"")</f>
        <v>ok</v>
      </c>
      <c r="I977" s="7" t="s">
        <v>3679</v>
      </c>
      <c r="J977" s="7" t="str">
        <f>VLOOKUP(Table2[[#This Row],[Author]],People!A:B,2,0)</f>
        <v>LS</v>
      </c>
      <c r="K977" s="7"/>
      <c r="L977" s="7"/>
      <c r="M977" s="16" t="s">
        <v>2804</v>
      </c>
    </row>
    <row r="978" spans="1:13" x14ac:dyDescent="0.25">
      <c r="A978" s="22">
        <f t="shared" si="15"/>
        <v>977</v>
      </c>
      <c r="B978" s="6" t="s">
        <v>4851</v>
      </c>
      <c r="C978" s="6" t="s">
        <v>5206</v>
      </c>
      <c r="D978" s="6" t="s">
        <v>3088</v>
      </c>
      <c r="E978" s="6" t="s">
        <v>3089</v>
      </c>
      <c r="F978" s="6" t="s">
        <v>1842</v>
      </c>
      <c r="G978" s="6" t="s">
        <v>18</v>
      </c>
      <c r="H978" s="6" t="str">
        <f>IFERROR(VLOOKUP(Table2[[#This Row],[Ticket]],Okey!A:B,2,0),"")</f>
        <v>ok</v>
      </c>
      <c r="I978" s="6" t="s">
        <v>3679</v>
      </c>
      <c r="J978" s="6" t="str">
        <f>VLOOKUP(Table2[[#This Row],[Author]],People!A:B,2,0)</f>
        <v>LS</v>
      </c>
      <c r="K978" s="6"/>
      <c r="L978" s="6"/>
      <c r="M978" s="21" t="s">
        <v>2804</v>
      </c>
    </row>
    <row r="979" spans="1:13" x14ac:dyDescent="0.25">
      <c r="A979" s="23">
        <f t="shared" si="15"/>
        <v>978</v>
      </c>
      <c r="B979" s="7" t="s">
        <v>4851</v>
      </c>
      <c r="C979" s="7" t="s">
        <v>5206</v>
      </c>
      <c r="D979" s="7" t="s">
        <v>3112</v>
      </c>
      <c r="E979" s="7" t="s">
        <v>3113</v>
      </c>
      <c r="F979" s="7" t="s">
        <v>1842</v>
      </c>
      <c r="G979" s="7" t="s">
        <v>18</v>
      </c>
      <c r="H979" s="7" t="str">
        <f>IFERROR(VLOOKUP(Table2[[#This Row],[Ticket]],Okey!A:B,2,0),"")</f>
        <v>ok</v>
      </c>
      <c r="I979" s="7" t="s">
        <v>3679</v>
      </c>
      <c r="J979" s="7" t="str">
        <f>VLOOKUP(Table2[[#This Row],[Author]],People!A:B,2,0)</f>
        <v>LS</v>
      </c>
      <c r="K979" s="7"/>
      <c r="L979" s="7"/>
      <c r="M979" s="16" t="s">
        <v>2804</v>
      </c>
    </row>
    <row r="980" spans="1:13" x14ac:dyDescent="0.25">
      <c r="A980" s="22">
        <f t="shared" si="15"/>
        <v>979</v>
      </c>
      <c r="B980" s="6" t="s">
        <v>4851</v>
      </c>
      <c r="C980" s="6" t="s">
        <v>5206</v>
      </c>
      <c r="D980" s="6" t="s">
        <v>3137</v>
      </c>
      <c r="E980" s="6" t="s">
        <v>5216</v>
      </c>
      <c r="F980" s="6" t="s">
        <v>3135</v>
      </c>
      <c r="G980" s="6" t="s">
        <v>18</v>
      </c>
      <c r="H980" s="6" t="str">
        <f>IFERROR(VLOOKUP(Table2[[#This Row],[Ticket]],Okey!A:B,2,0),"")</f>
        <v>ok</v>
      </c>
      <c r="I980" s="6" t="s">
        <v>3679</v>
      </c>
      <c r="J980" s="6" t="str">
        <f>VLOOKUP(Table2[[#This Row],[Author]],People!A:B,2,0)</f>
        <v>LS</v>
      </c>
      <c r="K980" s="6"/>
      <c r="L980" s="6"/>
      <c r="M980" s="21" t="s">
        <v>2804</v>
      </c>
    </row>
    <row r="981" spans="1:13" x14ac:dyDescent="0.25">
      <c r="A981" s="23">
        <f t="shared" si="15"/>
        <v>980</v>
      </c>
      <c r="B981" s="7" t="s">
        <v>4851</v>
      </c>
      <c r="C981" s="7" t="s">
        <v>5206</v>
      </c>
      <c r="D981" s="7" t="s">
        <v>3140</v>
      </c>
      <c r="E981" s="7" t="s">
        <v>3141</v>
      </c>
      <c r="F981" s="7" t="s">
        <v>1846</v>
      </c>
      <c r="G981" s="7" t="s">
        <v>18</v>
      </c>
      <c r="H981" s="7" t="str">
        <f>IFERROR(VLOOKUP(Table2[[#This Row],[Ticket]],Okey!A:B,2,0),"")</f>
        <v>ok</v>
      </c>
      <c r="I981" s="7" t="s">
        <v>3679</v>
      </c>
      <c r="J981" s="7" t="str">
        <f>VLOOKUP(Table2[[#This Row],[Author]],People!A:B,2,0)</f>
        <v>LS</v>
      </c>
      <c r="K981" s="7"/>
      <c r="L981" s="7"/>
      <c r="M981" s="16" t="s">
        <v>2804</v>
      </c>
    </row>
    <row r="982" spans="1:13" x14ac:dyDescent="0.25">
      <c r="A982" s="22">
        <f t="shared" si="15"/>
        <v>981</v>
      </c>
      <c r="B982" s="6" t="s">
        <v>4851</v>
      </c>
      <c r="C982" s="6" t="s">
        <v>5206</v>
      </c>
      <c r="D982" s="6" t="s">
        <v>3180</v>
      </c>
      <c r="E982" s="6" t="s">
        <v>3179</v>
      </c>
      <c r="F982" s="6" t="s">
        <v>1846</v>
      </c>
      <c r="G982" s="6" t="s">
        <v>18</v>
      </c>
      <c r="H982" s="6" t="str">
        <f>IFERROR(VLOOKUP(Table2[[#This Row],[Ticket]],Okey!A:B,2,0),"")</f>
        <v>ok</v>
      </c>
      <c r="I982" s="6" t="s">
        <v>3679</v>
      </c>
      <c r="J982" s="6" t="str">
        <f>VLOOKUP(Table2[[#This Row],[Author]],People!A:B,2,0)</f>
        <v>LS</v>
      </c>
      <c r="K982" s="6"/>
      <c r="L982" s="6"/>
      <c r="M982" s="21" t="s">
        <v>2804</v>
      </c>
    </row>
    <row r="983" spans="1:13" x14ac:dyDescent="0.25">
      <c r="A983" s="23">
        <f t="shared" si="15"/>
        <v>982</v>
      </c>
      <c r="B983" s="7" t="s">
        <v>4851</v>
      </c>
      <c r="C983" s="7" t="s">
        <v>5206</v>
      </c>
      <c r="D983" s="7" t="s">
        <v>5217</v>
      </c>
      <c r="E983" s="7" t="s">
        <v>5218</v>
      </c>
      <c r="F983" s="7" t="s">
        <v>5219</v>
      </c>
      <c r="G983" s="7" t="s">
        <v>18</v>
      </c>
      <c r="H983" s="7" t="str">
        <f>IFERROR(VLOOKUP(Table2[[#This Row],[Ticket]],Okey!A:B,2,0),"")</f>
        <v>ok</v>
      </c>
      <c r="I983" s="7" t="s">
        <v>3679</v>
      </c>
      <c r="J983" s="7" t="str">
        <f>VLOOKUP(Table2[[#This Row],[Author]],People!A:B,2,0)</f>
        <v>LS</v>
      </c>
      <c r="K983" s="7"/>
      <c r="L983" s="7"/>
      <c r="M983" s="16" t="s">
        <v>2804</v>
      </c>
    </row>
    <row r="984" spans="1:13" x14ac:dyDescent="0.25">
      <c r="A984" s="22">
        <f t="shared" si="15"/>
        <v>983</v>
      </c>
      <c r="B984" s="6" t="s">
        <v>4851</v>
      </c>
      <c r="C984" s="6" t="s">
        <v>5206</v>
      </c>
      <c r="D984" s="6" t="s">
        <v>5220</v>
      </c>
      <c r="E984" s="6" t="s">
        <v>5221</v>
      </c>
      <c r="F984" s="6" t="s">
        <v>5219</v>
      </c>
      <c r="G984" s="6" t="s">
        <v>18</v>
      </c>
      <c r="H984" s="6" t="str">
        <f>IFERROR(VLOOKUP(Table2[[#This Row],[Ticket]],Okey!A:B,2,0),"")</f>
        <v>ok</v>
      </c>
      <c r="I984" s="6" t="s">
        <v>3679</v>
      </c>
      <c r="J984" s="6" t="str">
        <f>VLOOKUP(Table2[[#This Row],[Author]],People!A:B,2,0)</f>
        <v>LS</v>
      </c>
      <c r="K984" s="6"/>
      <c r="L984" s="6"/>
      <c r="M984" s="21" t="s">
        <v>2804</v>
      </c>
    </row>
    <row r="985" spans="1:13" x14ac:dyDescent="0.25">
      <c r="A985" s="23">
        <f t="shared" si="15"/>
        <v>984</v>
      </c>
      <c r="B985" s="7" t="s">
        <v>4851</v>
      </c>
      <c r="C985" s="7" t="s">
        <v>5206</v>
      </c>
      <c r="D985" s="7" t="s">
        <v>1848</v>
      </c>
      <c r="E985" s="7" t="s">
        <v>5222</v>
      </c>
      <c r="F985" s="7" t="s">
        <v>5223</v>
      </c>
      <c r="G985" s="7" t="s">
        <v>18</v>
      </c>
      <c r="H985" s="7" t="str">
        <f>IFERROR(VLOOKUP(Table2[[#This Row],[Ticket]],Okey!A:B,2,0),"")</f>
        <v>ok</v>
      </c>
      <c r="I985" s="7" t="s">
        <v>3679</v>
      </c>
      <c r="J985" s="7" t="str">
        <f>VLOOKUP(Table2[[#This Row],[Author]],People!A:B,2,0)</f>
        <v>LS</v>
      </c>
      <c r="K985" s="7"/>
      <c r="L985" s="7"/>
      <c r="M985" s="16" t="s">
        <v>2804</v>
      </c>
    </row>
    <row r="986" spans="1:13" x14ac:dyDescent="0.25">
      <c r="A986" s="22">
        <f t="shared" si="15"/>
        <v>985</v>
      </c>
      <c r="B986" s="6" t="s">
        <v>4851</v>
      </c>
      <c r="C986" s="6" t="s">
        <v>5206</v>
      </c>
      <c r="D986" s="6" t="s">
        <v>1850</v>
      </c>
      <c r="E986" s="6" t="s">
        <v>5224</v>
      </c>
      <c r="F986" s="6" t="s">
        <v>5223</v>
      </c>
      <c r="G986" s="6" t="s">
        <v>18</v>
      </c>
      <c r="H986" s="6" t="str">
        <f>IFERROR(VLOOKUP(Table2[[#This Row],[Ticket]],Okey!A:B,2,0),"")</f>
        <v>ok</v>
      </c>
      <c r="I986" s="6" t="s">
        <v>3679</v>
      </c>
      <c r="J986" s="6" t="str">
        <f>VLOOKUP(Table2[[#This Row],[Author]],People!A:B,2,0)</f>
        <v>LS</v>
      </c>
      <c r="K986" s="6"/>
      <c r="L986" s="6"/>
      <c r="M986" s="21" t="s">
        <v>2804</v>
      </c>
    </row>
    <row r="987" spans="1:13" x14ac:dyDescent="0.25">
      <c r="A987" s="23">
        <f t="shared" si="15"/>
        <v>986</v>
      </c>
      <c r="B987" s="7" t="s">
        <v>4851</v>
      </c>
      <c r="C987" s="7" t="s">
        <v>5206</v>
      </c>
      <c r="D987" s="7" t="s">
        <v>1852</v>
      </c>
      <c r="E987" s="7" t="s">
        <v>5225</v>
      </c>
      <c r="F987" s="7" t="s">
        <v>1850</v>
      </c>
      <c r="G987" s="7" t="s">
        <v>18</v>
      </c>
      <c r="H987" s="7" t="str">
        <f>IFERROR(VLOOKUP(Table2[[#This Row],[Ticket]],Okey!A:B,2,0),"")</f>
        <v>ok</v>
      </c>
      <c r="I987" s="7" t="s">
        <v>3679</v>
      </c>
      <c r="J987" s="7" t="str">
        <f>VLOOKUP(Table2[[#This Row],[Author]],People!A:B,2,0)</f>
        <v>LS</v>
      </c>
      <c r="K987" s="7"/>
      <c r="L987" s="7"/>
      <c r="M987" s="16" t="s">
        <v>2804</v>
      </c>
    </row>
    <row r="988" spans="1:13" x14ac:dyDescent="0.25">
      <c r="A988" s="22">
        <f t="shared" si="15"/>
        <v>987</v>
      </c>
      <c r="B988" s="6" t="s">
        <v>4851</v>
      </c>
      <c r="C988" s="6" t="s">
        <v>5206</v>
      </c>
      <c r="D988" s="6" t="s">
        <v>1854</v>
      </c>
      <c r="E988" s="6" t="s">
        <v>5226</v>
      </c>
      <c r="F988" s="6" t="s">
        <v>1850</v>
      </c>
      <c r="G988" s="6" t="s">
        <v>18</v>
      </c>
      <c r="H988" s="6" t="str">
        <f>IFERROR(VLOOKUP(Table2[[#This Row],[Ticket]],Okey!A:B,2,0),"")</f>
        <v>ok</v>
      </c>
      <c r="I988" s="6" t="s">
        <v>3679</v>
      </c>
      <c r="J988" s="6" t="str">
        <f>VLOOKUP(Table2[[#This Row],[Author]],People!A:B,2,0)</f>
        <v>LS</v>
      </c>
      <c r="K988" s="6"/>
      <c r="L988" s="6"/>
      <c r="M988" s="21" t="s">
        <v>2804</v>
      </c>
    </row>
    <row r="989" spans="1:13" x14ac:dyDescent="0.25">
      <c r="A989" s="23">
        <f t="shared" si="15"/>
        <v>988</v>
      </c>
      <c r="B989" s="7" t="s">
        <v>4851</v>
      </c>
      <c r="C989" s="7" t="s">
        <v>5206</v>
      </c>
      <c r="D989" s="7" t="s">
        <v>3618</v>
      </c>
      <c r="E989" s="7" t="s">
        <v>5227</v>
      </c>
      <c r="F989" s="7" t="s">
        <v>1850</v>
      </c>
      <c r="G989" s="7" t="s">
        <v>18</v>
      </c>
      <c r="H989" s="7" t="str">
        <f>IFERROR(VLOOKUP(Table2[[#This Row],[Ticket]],Okey!A:B,2,0),"")</f>
        <v>ok</v>
      </c>
      <c r="I989" s="7" t="s">
        <v>3679</v>
      </c>
      <c r="J989" s="7" t="str">
        <f>VLOOKUP(Table2[[#This Row],[Author]],People!A:B,2,0)</f>
        <v>LS</v>
      </c>
      <c r="K989" s="7"/>
      <c r="L989" s="7"/>
      <c r="M989" s="16" t="s">
        <v>2804</v>
      </c>
    </row>
    <row r="990" spans="1:13" x14ac:dyDescent="0.25">
      <c r="A990" s="22">
        <f t="shared" si="15"/>
        <v>989</v>
      </c>
      <c r="B990" s="6" t="s">
        <v>4851</v>
      </c>
      <c r="C990" s="6" t="s">
        <v>5206</v>
      </c>
      <c r="D990" s="6" t="s">
        <v>3292</v>
      </c>
      <c r="E990" s="6" t="s">
        <v>5228</v>
      </c>
      <c r="F990" s="6" t="s">
        <v>3618</v>
      </c>
      <c r="G990" s="6" t="s">
        <v>18</v>
      </c>
      <c r="H990" s="6" t="str">
        <f>IFERROR(VLOOKUP(Table2[[#This Row],[Ticket]],Okey!A:B,2,0),"")</f>
        <v>ok</v>
      </c>
      <c r="I990" s="6" t="s">
        <v>3679</v>
      </c>
      <c r="J990" s="6" t="str">
        <f>VLOOKUP(Table2[[#This Row],[Author]],People!A:B,2,0)</f>
        <v>LS</v>
      </c>
      <c r="K990" s="6"/>
      <c r="L990" s="6"/>
      <c r="M990" s="21" t="s">
        <v>2804</v>
      </c>
    </row>
    <row r="991" spans="1:13" x14ac:dyDescent="0.25">
      <c r="A991" s="23">
        <f t="shared" si="15"/>
        <v>990</v>
      </c>
      <c r="B991" s="7" t="s">
        <v>4851</v>
      </c>
      <c r="C991" s="7" t="s">
        <v>5206</v>
      </c>
      <c r="D991" s="7" t="s">
        <v>3294</v>
      </c>
      <c r="E991" s="7" t="s">
        <v>3295</v>
      </c>
      <c r="F991" s="7" t="s">
        <v>3292</v>
      </c>
      <c r="G991" s="7" t="s">
        <v>18</v>
      </c>
      <c r="H991" s="7" t="str">
        <f>IFERROR(VLOOKUP(Table2[[#This Row],[Ticket]],Okey!A:B,2,0),"")</f>
        <v>ok</v>
      </c>
      <c r="I991" s="7" t="s">
        <v>3679</v>
      </c>
      <c r="J991" s="7" t="str">
        <f>VLOOKUP(Table2[[#This Row],[Author]],People!A:B,2,0)</f>
        <v>LS</v>
      </c>
      <c r="K991" s="7"/>
      <c r="L991" s="7"/>
      <c r="M991" s="16" t="s">
        <v>2804</v>
      </c>
    </row>
    <row r="992" spans="1:13" x14ac:dyDescent="0.25">
      <c r="A992" s="22">
        <f t="shared" si="15"/>
        <v>991</v>
      </c>
      <c r="B992" s="6" t="s">
        <v>4851</v>
      </c>
      <c r="C992" s="6" t="s">
        <v>5206</v>
      </c>
      <c r="D992" s="6" t="s">
        <v>3296</v>
      </c>
      <c r="E992" s="6" t="s">
        <v>3297</v>
      </c>
      <c r="F992" s="6" t="s">
        <v>3292</v>
      </c>
      <c r="G992" s="6" t="s">
        <v>18</v>
      </c>
      <c r="H992" s="6" t="str">
        <f>IFERROR(VLOOKUP(Table2[[#This Row],[Ticket]],Okey!A:B,2,0),"")</f>
        <v>ok</v>
      </c>
      <c r="I992" s="6" t="s">
        <v>3679</v>
      </c>
      <c r="J992" s="6" t="str">
        <f>VLOOKUP(Table2[[#This Row],[Author]],People!A:B,2,0)</f>
        <v>LS</v>
      </c>
      <c r="K992" s="6"/>
      <c r="L992" s="6"/>
      <c r="M992" s="21" t="s">
        <v>2804</v>
      </c>
    </row>
    <row r="993" spans="1:13" x14ac:dyDescent="0.25">
      <c r="A993" s="23">
        <f t="shared" si="15"/>
        <v>992</v>
      </c>
      <c r="B993" s="7" t="s">
        <v>4851</v>
      </c>
      <c r="C993" s="7" t="s">
        <v>5206</v>
      </c>
      <c r="D993" s="7" t="s">
        <v>5229</v>
      </c>
      <c r="E993" s="7" t="s">
        <v>5230</v>
      </c>
      <c r="F993" s="7" t="s">
        <v>3618</v>
      </c>
      <c r="G993" s="7" t="s">
        <v>18</v>
      </c>
      <c r="H993" s="7" t="str">
        <f>IFERROR(VLOOKUP(Table2[[#This Row],[Ticket]],Okey!A:B,2,0),"")</f>
        <v>ok</v>
      </c>
      <c r="I993" s="7" t="s">
        <v>3679</v>
      </c>
      <c r="J993" s="7" t="str">
        <f>VLOOKUP(Table2[[#This Row],[Author]],People!A:B,2,0)</f>
        <v>LS</v>
      </c>
      <c r="K993" s="7"/>
      <c r="L993" s="7"/>
      <c r="M993" s="16" t="s">
        <v>2804</v>
      </c>
    </row>
    <row r="994" spans="1:13" x14ac:dyDescent="0.25">
      <c r="A994" s="22">
        <f t="shared" si="15"/>
        <v>993</v>
      </c>
      <c r="B994" s="6" t="s">
        <v>4851</v>
      </c>
      <c r="C994" s="6" t="s">
        <v>5206</v>
      </c>
      <c r="D994" s="6" t="s">
        <v>5231</v>
      </c>
      <c r="E994" s="6" t="s">
        <v>5232</v>
      </c>
      <c r="F994" s="6" t="s">
        <v>5233</v>
      </c>
      <c r="G994" s="6" t="s">
        <v>18</v>
      </c>
      <c r="H994" s="6" t="str">
        <f>IFERROR(VLOOKUP(Table2[[#This Row],[Ticket]],Okey!A:B,2,0),"")</f>
        <v>ok</v>
      </c>
      <c r="I994" s="6" t="s">
        <v>3679</v>
      </c>
      <c r="J994" s="6" t="str">
        <f>VLOOKUP(Table2[[#This Row],[Author]],People!A:B,2,0)</f>
        <v>LS</v>
      </c>
      <c r="K994" s="6"/>
      <c r="L994" s="6"/>
      <c r="M994" s="21" t="s">
        <v>2804</v>
      </c>
    </row>
    <row r="995" spans="1:13" x14ac:dyDescent="0.25">
      <c r="A995" s="23">
        <f t="shared" si="15"/>
        <v>994</v>
      </c>
      <c r="B995" s="7" t="s">
        <v>4851</v>
      </c>
      <c r="C995" s="7" t="s">
        <v>5206</v>
      </c>
      <c r="D995" s="7" t="s">
        <v>5234</v>
      </c>
      <c r="E995" s="7" t="s">
        <v>5235</v>
      </c>
      <c r="F995" s="7" t="s">
        <v>5233</v>
      </c>
      <c r="G995" s="7" t="s">
        <v>18</v>
      </c>
      <c r="H995" s="7" t="str">
        <f>IFERROR(VLOOKUP(Table2[[#This Row],[Ticket]],Okey!A:B,2,0),"")</f>
        <v>ok</v>
      </c>
      <c r="I995" s="7" t="s">
        <v>3679</v>
      </c>
      <c r="J995" s="7" t="str">
        <f>VLOOKUP(Table2[[#This Row],[Author]],People!A:B,2,0)</f>
        <v>LS</v>
      </c>
      <c r="K995" s="7"/>
      <c r="L995" s="7"/>
      <c r="M995" s="16" t="s">
        <v>2804</v>
      </c>
    </row>
    <row r="996" spans="1:13" x14ac:dyDescent="0.25">
      <c r="A996" s="22">
        <f t="shared" si="15"/>
        <v>995</v>
      </c>
      <c r="B996" s="6" t="s">
        <v>4851</v>
      </c>
      <c r="C996" s="6" t="s">
        <v>5206</v>
      </c>
      <c r="D996" s="6" t="s">
        <v>3230</v>
      </c>
      <c r="E996" s="6" t="s">
        <v>3231</v>
      </c>
      <c r="F996" s="6" t="s">
        <v>3228</v>
      </c>
      <c r="G996" s="6" t="s">
        <v>18</v>
      </c>
      <c r="H996" s="6" t="str">
        <f>IFERROR(VLOOKUP(Table2[[#This Row],[Ticket]],Okey!A:B,2,0),"")</f>
        <v>ok</v>
      </c>
      <c r="I996" s="6" t="s">
        <v>3679</v>
      </c>
      <c r="J996" s="6" t="str">
        <f>VLOOKUP(Table2[[#This Row],[Author]],People!A:B,2,0)</f>
        <v>LS</v>
      </c>
      <c r="K996" s="6"/>
      <c r="L996" s="6"/>
      <c r="M996" s="21" t="s">
        <v>2804</v>
      </c>
    </row>
    <row r="997" spans="1:13" x14ac:dyDescent="0.25">
      <c r="A997" s="23">
        <f t="shared" si="15"/>
        <v>996</v>
      </c>
      <c r="B997" s="7" t="s">
        <v>4851</v>
      </c>
      <c r="C997" s="7" t="s">
        <v>5206</v>
      </c>
      <c r="D997" s="7" t="s">
        <v>3254</v>
      </c>
      <c r="E997" s="7" t="s">
        <v>3255</v>
      </c>
      <c r="F997" s="7" t="s">
        <v>3228</v>
      </c>
      <c r="G997" s="7" t="s">
        <v>18</v>
      </c>
      <c r="H997" s="7" t="str">
        <f>IFERROR(VLOOKUP(Table2[[#This Row],[Ticket]],Okey!A:B,2,0),"")</f>
        <v>ok</v>
      </c>
      <c r="I997" s="7" t="s">
        <v>3679</v>
      </c>
      <c r="J997" s="7" t="str">
        <f>VLOOKUP(Table2[[#This Row],[Author]],People!A:B,2,0)</f>
        <v>LS</v>
      </c>
      <c r="K997" s="7"/>
      <c r="L997" s="7"/>
      <c r="M997" s="16" t="s">
        <v>2804</v>
      </c>
    </row>
    <row r="998" spans="1:13" x14ac:dyDescent="0.25">
      <c r="A998" s="22">
        <f t="shared" si="15"/>
        <v>997</v>
      </c>
      <c r="B998" s="6" t="s">
        <v>4851</v>
      </c>
      <c r="C998" s="6" t="s">
        <v>5206</v>
      </c>
      <c r="D998" s="6" t="s">
        <v>3258</v>
      </c>
      <c r="E998" s="6" t="s">
        <v>3259</v>
      </c>
      <c r="F998" s="6" t="s">
        <v>3256</v>
      </c>
      <c r="G998" s="6" t="s">
        <v>18</v>
      </c>
      <c r="H998" s="6" t="str">
        <f>IFERROR(VLOOKUP(Table2[[#This Row],[Ticket]],Okey!A:B,2,0),"")</f>
        <v>ok</v>
      </c>
      <c r="I998" s="6" t="s">
        <v>3679</v>
      </c>
      <c r="J998" s="6" t="str">
        <f>VLOOKUP(Table2[[#This Row],[Author]],People!A:B,2,0)</f>
        <v>LS</v>
      </c>
      <c r="K998" s="6"/>
      <c r="L998" s="6"/>
      <c r="M998" s="21" t="s">
        <v>2804</v>
      </c>
    </row>
    <row r="999" spans="1:13" x14ac:dyDescent="0.25">
      <c r="A999" s="23">
        <f t="shared" si="15"/>
        <v>998</v>
      </c>
      <c r="B999" s="7" t="s">
        <v>4851</v>
      </c>
      <c r="C999" s="7" t="s">
        <v>5206</v>
      </c>
      <c r="D999" s="7" t="s">
        <v>3260</v>
      </c>
      <c r="E999" s="7" t="s">
        <v>5236</v>
      </c>
      <c r="F999" s="7" t="s">
        <v>3258</v>
      </c>
      <c r="G999" s="7" t="s">
        <v>18</v>
      </c>
      <c r="H999" s="7" t="str">
        <f>IFERROR(VLOOKUP(Table2[[#This Row],[Ticket]],Okey!A:B,2,0),"")</f>
        <v>ok</v>
      </c>
      <c r="I999" s="7" t="s">
        <v>3679</v>
      </c>
      <c r="J999" s="7" t="str">
        <f>VLOOKUP(Table2[[#This Row],[Author]],People!A:B,2,0)</f>
        <v>LS</v>
      </c>
      <c r="K999" s="7"/>
      <c r="L999" s="7"/>
      <c r="M999" s="16" t="s">
        <v>2804</v>
      </c>
    </row>
    <row r="1000" spans="1:13" x14ac:dyDescent="0.25">
      <c r="A1000" s="22">
        <f t="shared" si="15"/>
        <v>999</v>
      </c>
      <c r="B1000" s="6" t="s">
        <v>4851</v>
      </c>
      <c r="C1000" s="6" t="s">
        <v>5206</v>
      </c>
      <c r="D1000" s="6" t="s">
        <v>3262</v>
      </c>
      <c r="E1000" s="6" t="s">
        <v>5237</v>
      </c>
      <c r="F1000" s="6" t="s">
        <v>3258</v>
      </c>
      <c r="G1000" s="6" t="s">
        <v>18</v>
      </c>
      <c r="H1000" s="6" t="str">
        <f>IFERROR(VLOOKUP(Table2[[#This Row],[Ticket]],Okey!A:B,2,0),"")</f>
        <v>ok</v>
      </c>
      <c r="I1000" s="6" t="s">
        <v>3679</v>
      </c>
      <c r="J1000" s="6" t="str">
        <f>VLOOKUP(Table2[[#This Row],[Author]],People!A:B,2,0)</f>
        <v>LS</v>
      </c>
      <c r="K1000" s="6"/>
      <c r="L1000" s="6"/>
      <c r="M1000" s="21" t="s">
        <v>2804</v>
      </c>
    </row>
    <row r="1001" spans="1:13" x14ac:dyDescent="0.25">
      <c r="A1001" s="23">
        <f t="shared" si="15"/>
        <v>1000</v>
      </c>
      <c r="B1001" s="7" t="s">
        <v>4851</v>
      </c>
      <c r="C1001" s="7" t="s">
        <v>5206</v>
      </c>
      <c r="D1001" s="7" t="s">
        <v>3264</v>
      </c>
      <c r="E1001" s="7" t="s">
        <v>5238</v>
      </c>
      <c r="F1001" s="7" t="s">
        <v>3262</v>
      </c>
      <c r="G1001" s="7" t="s">
        <v>18</v>
      </c>
      <c r="H1001" s="7" t="str">
        <f>IFERROR(VLOOKUP(Table2[[#This Row],[Ticket]],Okey!A:B,2,0),"")</f>
        <v>ok</v>
      </c>
      <c r="I1001" s="7" t="s">
        <v>3679</v>
      </c>
      <c r="J1001" s="7" t="str">
        <f>VLOOKUP(Table2[[#This Row],[Author]],People!A:B,2,0)</f>
        <v>LS</v>
      </c>
      <c r="K1001" s="7"/>
      <c r="L1001" s="7"/>
      <c r="M1001" s="16" t="s">
        <v>2804</v>
      </c>
    </row>
    <row r="1002" spans="1:13" x14ac:dyDescent="0.25">
      <c r="A1002" s="22">
        <f t="shared" si="15"/>
        <v>1001</v>
      </c>
      <c r="B1002" s="6" t="s">
        <v>4851</v>
      </c>
      <c r="C1002" s="6" t="s">
        <v>5206</v>
      </c>
      <c r="D1002" s="6" t="s">
        <v>3266</v>
      </c>
      <c r="E1002" s="6" t="s">
        <v>5239</v>
      </c>
      <c r="F1002" s="6" t="s">
        <v>3262</v>
      </c>
      <c r="G1002" s="6" t="s">
        <v>18</v>
      </c>
      <c r="H1002" s="6" t="str">
        <f>IFERROR(VLOOKUP(Table2[[#This Row],[Ticket]],Okey!A:B,2,0),"")</f>
        <v>ok</v>
      </c>
      <c r="I1002" s="6" t="s">
        <v>3679</v>
      </c>
      <c r="J1002" s="6" t="str">
        <f>VLOOKUP(Table2[[#This Row],[Author]],People!A:B,2,0)</f>
        <v>LS</v>
      </c>
      <c r="K1002" s="6"/>
      <c r="L1002" s="6"/>
      <c r="M1002" s="21" t="s">
        <v>2804</v>
      </c>
    </row>
    <row r="1003" spans="1:13" x14ac:dyDescent="0.25">
      <c r="A1003" s="23">
        <f t="shared" si="15"/>
        <v>1002</v>
      </c>
      <c r="B1003" s="7" t="s">
        <v>4851</v>
      </c>
      <c r="C1003" s="7" t="s">
        <v>5206</v>
      </c>
      <c r="D1003" s="7" t="s">
        <v>3268</v>
      </c>
      <c r="E1003" s="7" t="s">
        <v>5240</v>
      </c>
      <c r="F1003" s="7" t="s">
        <v>3262</v>
      </c>
      <c r="G1003" s="7" t="s">
        <v>18</v>
      </c>
      <c r="H1003" s="7" t="str">
        <f>IFERROR(VLOOKUP(Table2[[#This Row],[Ticket]],Okey!A:B,2,0),"")</f>
        <v>ok</v>
      </c>
      <c r="I1003" s="7" t="s">
        <v>3679</v>
      </c>
      <c r="J1003" s="7" t="str">
        <f>VLOOKUP(Table2[[#This Row],[Author]],People!A:B,2,0)</f>
        <v>LS</v>
      </c>
      <c r="K1003" s="7"/>
      <c r="L1003" s="7"/>
      <c r="M1003" s="16" t="s">
        <v>2804</v>
      </c>
    </row>
    <row r="1004" spans="1:13" x14ac:dyDescent="0.25">
      <c r="A1004" s="22">
        <f t="shared" si="15"/>
        <v>1003</v>
      </c>
      <c r="B1004" s="6" t="s">
        <v>4851</v>
      </c>
      <c r="C1004" s="6" t="s">
        <v>5206</v>
      </c>
      <c r="D1004" s="6" t="s">
        <v>3270</v>
      </c>
      <c r="E1004" s="6" t="s">
        <v>3271</v>
      </c>
      <c r="F1004" s="6" t="s">
        <v>3256</v>
      </c>
      <c r="G1004" s="6" t="s">
        <v>18</v>
      </c>
      <c r="H1004" s="6" t="str">
        <f>IFERROR(VLOOKUP(Table2[[#This Row],[Ticket]],Okey!A:B,2,0),"")</f>
        <v>ok</v>
      </c>
      <c r="I1004" s="6" t="s">
        <v>3679</v>
      </c>
      <c r="J1004" s="6" t="str">
        <f>VLOOKUP(Table2[[#This Row],[Author]],People!A:B,2,0)</f>
        <v>LS</v>
      </c>
      <c r="K1004" s="6"/>
      <c r="L1004" s="6"/>
      <c r="M1004" s="21" t="s">
        <v>2804</v>
      </c>
    </row>
    <row r="1005" spans="1:13" x14ac:dyDescent="0.25">
      <c r="A1005" s="23">
        <f t="shared" si="15"/>
        <v>1004</v>
      </c>
      <c r="B1005" s="7" t="s">
        <v>4851</v>
      </c>
      <c r="C1005" s="7" t="s">
        <v>5206</v>
      </c>
      <c r="D1005" s="7" t="s">
        <v>3274</v>
      </c>
      <c r="E1005" s="7" t="s">
        <v>3275</v>
      </c>
      <c r="F1005" s="7" t="s">
        <v>3272</v>
      </c>
      <c r="G1005" s="7" t="s">
        <v>18</v>
      </c>
      <c r="H1005" s="7" t="str">
        <f>IFERROR(VLOOKUP(Table2[[#This Row],[Ticket]],Okey!A:B,2,0),"")</f>
        <v>ok</v>
      </c>
      <c r="I1005" s="7" t="s">
        <v>3679</v>
      </c>
      <c r="J1005" s="7" t="str">
        <f>VLOOKUP(Table2[[#This Row],[Author]],People!A:B,2,0)</f>
        <v>LS</v>
      </c>
      <c r="K1005" s="7"/>
      <c r="L1005" s="7"/>
      <c r="M1005" s="16" t="s">
        <v>2804</v>
      </c>
    </row>
    <row r="1006" spans="1:13" x14ac:dyDescent="0.25">
      <c r="A1006" s="22">
        <f t="shared" si="15"/>
        <v>1005</v>
      </c>
      <c r="B1006" s="6" t="s">
        <v>4851</v>
      </c>
      <c r="C1006" s="6" t="s">
        <v>5206</v>
      </c>
      <c r="D1006" s="6" t="s">
        <v>3276</v>
      </c>
      <c r="E1006" s="6" t="s">
        <v>5241</v>
      </c>
      <c r="F1006" s="6" t="s">
        <v>3274</v>
      </c>
      <c r="G1006" s="6" t="s">
        <v>18</v>
      </c>
      <c r="H1006" s="6" t="str">
        <f>IFERROR(VLOOKUP(Table2[[#This Row],[Ticket]],Okey!A:B,2,0),"")</f>
        <v>ok</v>
      </c>
      <c r="I1006" s="6" t="s">
        <v>3679</v>
      </c>
      <c r="J1006" s="6" t="str">
        <f>VLOOKUP(Table2[[#This Row],[Author]],People!A:B,2,0)</f>
        <v>LS</v>
      </c>
      <c r="K1006" s="6"/>
      <c r="L1006" s="6"/>
      <c r="M1006" s="21" t="s">
        <v>2804</v>
      </c>
    </row>
    <row r="1007" spans="1:13" x14ac:dyDescent="0.25">
      <c r="A1007" s="23">
        <f t="shared" si="15"/>
        <v>1006</v>
      </c>
      <c r="B1007" s="7" t="s">
        <v>4851</v>
      </c>
      <c r="C1007" s="7" t="s">
        <v>5206</v>
      </c>
      <c r="D1007" s="7" t="s">
        <v>3278</v>
      </c>
      <c r="E1007" s="7" t="s">
        <v>5242</v>
      </c>
      <c r="F1007" s="7" t="s">
        <v>3276</v>
      </c>
      <c r="G1007" s="7" t="s">
        <v>18</v>
      </c>
      <c r="H1007" s="7" t="str">
        <f>IFERROR(VLOOKUP(Table2[[#This Row],[Ticket]],Okey!A:B,2,0),"")</f>
        <v>ok</v>
      </c>
      <c r="I1007" s="7" t="s">
        <v>3679</v>
      </c>
      <c r="J1007" s="7" t="str">
        <f>VLOOKUP(Table2[[#This Row],[Author]],People!A:B,2,0)</f>
        <v>LS</v>
      </c>
      <c r="K1007" s="7"/>
      <c r="L1007" s="7"/>
      <c r="M1007" s="16" t="s">
        <v>2804</v>
      </c>
    </row>
    <row r="1008" spans="1:13" x14ac:dyDescent="0.25">
      <c r="A1008" s="22">
        <f t="shared" si="15"/>
        <v>1007</v>
      </c>
      <c r="B1008" s="6" t="s">
        <v>4851</v>
      </c>
      <c r="C1008" s="6" t="s">
        <v>5206</v>
      </c>
      <c r="D1008" s="6" t="s">
        <v>3280</v>
      </c>
      <c r="E1008" s="6" t="s">
        <v>5243</v>
      </c>
      <c r="F1008" s="6" t="s">
        <v>3276</v>
      </c>
      <c r="G1008" s="6" t="s">
        <v>18</v>
      </c>
      <c r="H1008" s="6" t="str">
        <f>IFERROR(VLOOKUP(Table2[[#This Row],[Ticket]],Okey!A:B,2,0),"")</f>
        <v>ok</v>
      </c>
      <c r="I1008" s="6" t="s">
        <v>3679</v>
      </c>
      <c r="J1008" s="6" t="str">
        <f>VLOOKUP(Table2[[#This Row],[Author]],People!A:B,2,0)</f>
        <v>LS</v>
      </c>
      <c r="K1008" s="6"/>
      <c r="L1008" s="6"/>
      <c r="M1008" s="21" t="s">
        <v>2804</v>
      </c>
    </row>
    <row r="1009" spans="1:13" x14ac:dyDescent="0.25">
      <c r="A1009" s="23">
        <f t="shared" si="15"/>
        <v>1008</v>
      </c>
      <c r="B1009" s="7" t="s">
        <v>4851</v>
      </c>
      <c r="C1009" s="7" t="s">
        <v>5206</v>
      </c>
      <c r="D1009" s="7" t="s">
        <v>3282</v>
      </c>
      <c r="E1009" s="7" t="s">
        <v>5244</v>
      </c>
      <c r="F1009" s="7" t="s">
        <v>3274</v>
      </c>
      <c r="G1009" s="7" t="s">
        <v>18</v>
      </c>
      <c r="H1009" s="7" t="str">
        <f>IFERROR(VLOOKUP(Table2[[#This Row],[Ticket]],Okey!A:B,2,0),"")</f>
        <v>ok</v>
      </c>
      <c r="I1009" s="7" t="s">
        <v>3679</v>
      </c>
      <c r="J1009" s="7" t="str">
        <f>VLOOKUP(Table2[[#This Row],[Author]],People!A:B,2,0)</f>
        <v>LS</v>
      </c>
      <c r="K1009" s="7"/>
      <c r="L1009" s="7"/>
      <c r="M1009" s="16" t="s">
        <v>2804</v>
      </c>
    </row>
    <row r="1010" spans="1:13" x14ac:dyDescent="0.25">
      <c r="A1010" s="22">
        <f t="shared" si="15"/>
        <v>1009</v>
      </c>
      <c r="B1010" s="6" t="s">
        <v>4851</v>
      </c>
      <c r="C1010" s="6" t="s">
        <v>5206</v>
      </c>
      <c r="D1010" s="6" t="s">
        <v>3284</v>
      </c>
      <c r="E1010" s="6" t="s">
        <v>5245</v>
      </c>
      <c r="F1010" s="6" t="s">
        <v>3282</v>
      </c>
      <c r="G1010" s="6" t="s">
        <v>18</v>
      </c>
      <c r="H1010" s="6" t="str">
        <f>IFERROR(VLOOKUP(Table2[[#This Row],[Ticket]],Okey!A:B,2,0),"")</f>
        <v>ok</v>
      </c>
      <c r="I1010" s="6" t="s">
        <v>3679</v>
      </c>
      <c r="J1010" s="6" t="str">
        <f>VLOOKUP(Table2[[#This Row],[Author]],People!A:B,2,0)</f>
        <v>LS</v>
      </c>
      <c r="K1010" s="6"/>
      <c r="L1010" s="6"/>
      <c r="M1010" s="21" t="s">
        <v>2804</v>
      </c>
    </row>
    <row r="1011" spans="1:13" x14ac:dyDescent="0.25">
      <c r="A1011" s="23">
        <f t="shared" si="15"/>
        <v>1010</v>
      </c>
      <c r="B1011" s="7" t="s">
        <v>4851</v>
      </c>
      <c r="C1011" s="7" t="s">
        <v>5206</v>
      </c>
      <c r="D1011" s="7" t="s">
        <v>3286</v>
      </c>
      <c r="E1011" s="7" t="s">
        <v>5246</v>
      </c>
      <c r="F1011" s="7" t="s">
        <v>3282</v>
      </c>
      <c r="G1011" s="7" t="s">
        <v>18</v>
      </c>
      <c r="H1011" s="7" t="str">
        <f>IFERROR(VLOOKUP(Table2[[#This Row],[Ticket]],Okey!A:B,2,0),"")</f>
        <v>ok</v>
      </c>
      <c r="I1011" s="7" t="s">
        <v>3679</v>
      </c>
      <c r="J1011" s="7" t="str">
        <f>VLOOKUP(Table2[[#This Row],[Author]],People!A:B,2,0)</f>
        <v>EL</v>
      </c>
      <c r="K1011" s="7"/>
      <c r="L1011" s="7"/>
      <c r="M1011" s="16" t="s">
        <v>2804</v>
      </c>
    </row>
    <row r="1012" spans="1:13" x14ac:dyDescent="0.25">
      <c r="A1012" s="22">
        <f t="shared" si="15"/>
        <v>1011</v>
      </c>
      <c r="B1012" s="6" t="s">
        <v>4851</v>
      </c>
      <c r="C1012" s="6" t="s">
        <v>5206</v>
      </c>
      <c r="D1012" s="6" t="s">
        <v>3288</v>
      </c>
      <c r="E1012" s="6" t="s">
        <v>5247</v>
      </c>
      <c r="F1012" s="6" t="s">
        <v>3282</v>
      </c>
      <c r="G1012" s="6" t="s">
        <v>18</v>
      </c>
      <c r="H1012" s="6" t="str">
        <f>IFERROR(VLOOKUP(Table2[[#This Row],[Ticket]],Okey!A:B,2,0),"")</f>
        <v>ok</v>
      </c>
      <c r="I1012" s="6" t="s">
        <v>3679</v>
      </c>
      <c r="J1012" s="6" t="str">
        <f>VLOOKUP(Table2[[#This Row],[Author]],People!A:B,2,0)</f>
        <v>EL</v>
      </c>
      <c r="K1012" s="6"/>
      <c r="L1012" s="6"/>
      <c r="M1012" s="21" t="s">
        <v>2804</v>
      </c>
    </row>
    <row r="1013" spans="1:13" x14ac:dyDescent="0.25">
      <c r="A1013" s="23">
        <f t="shared" si="15"/>
        <v>1012</v>
      </c>
      <c r="B1013" s="7" t="s">
        <v>4851</v>
      </c>
      <c r="C1013" s="7" t="s">
        <v>5206</v>
      </c>
      <c r="D1013" s="7" t="s">
        <v>3290</v>
      </c>
      <c r="E1013" s="7" t="s">
        <v>3291</v>
      </c>
      <c r="F1013" s="7" t="s">
        <v>3272</v>
      </c>
      <c r="G1013" s="7" t="s">
        <v>18</v>
      </c>
      <c r="H1013" s="7" t="str">
        <f>IFERROR(VLOOKUP(Table2[[#This Row],[Ticket]],Okey!A:B,2,0),"")</f>
        <v>ok</v>
      </c>
      <c r="I1013" s="7" t="s">
        <v>3679</v>
      </c>
      <c r="J1013" s="7" t="str">
        <f>VLOOKUP(Table2[[#This Row],[Author]],People!A:B,2,0)</f>
        <v>EL</v>
      </c>
      <c r="K1013" s="7"/>
      <c r="L1013" s="7"/>
      <c r="M1013" s="16" t="s">
        <v>2804</v>
      </c>
    </row>
    <row r="1014" spans="1:13" x14ac:dyDescent="0.25">
      <c r="A1014" s="22">
        <f t="shared" si="15"/>
        <v>1013</v>
      </c>
      <c r="B1014" s="6" t="s">
        <v>4851</v>
      </c>
      <c r="C1014" s="6" t="s">
        <v>5206</v>
      </c>
      <c r="D1014" s="6" t="s">
        <v>1856</v>
      </c>
      <c r="E1014" s="6" t="s">
        <v>5248</v>
      </c>
      <c r="F1014" s="6" t="s">
        <v>5249</v>
      </c>
      <c r="G1014" s="6" t="s">
        <v>18</v>
      </c>
      <c r="H1014" s="6" t="str">
        <f>IFERROR(VLOOKUP(Table2[[#This Row],[Ticket]],Okey!A:B,2,0),"")</f>
        <v>ok</v>
      </c>
      <c r="I1014" s="6" t="s">
        <v>3679</v>
      </c>
      <c r="J1014" s="6" t="str">
        <f>VLOOKUP(Table2[[#This Row],[Author]],People!A:B,2,0)</f>
        <v>EL</v>
      </c>
      <c r="K1014" s="6"/>
      <c r="L1014" s="6"/>
      <c r="M1014" s="21" t="s">
        <v>2804</v>
      </c>
    </row>
    <row r="1015" spans="1:13" x14ac:dyDescent="0.25">
      <c r="A1015" s="23">
        <f t="shared" si="15"/>
        <v>1014</v>
      </c>
      <c r="B1015" s="7" t="s">
        <v>4851</v>
      </c>
      <c r="C1015" s="7" t="s">
        <v>5206</v>
      </c>
      <c r="D1015" s="7" t="s">
        <v>2054</v>
      </c>
      <c r="E1015" s="7" t="s">
        <v>5250</v>
      </c>
      <c r="F1015" s="7" t="s">
        <v>5249</v>
      </c>
      <c r="G1015" s="7" t="s">
        <v>18</v>
      </c>
      <c r="H1015" s="7" t="str">
        <f>IFERROR(VLOOKUP(Table2[[#This Row],[Ticket]],Okey!A:B,2,0),"")</f>
        <v>ok</v>
      </c>
      <c r="I1015" s="7" t="s">
        <v>3679</v>
      </c>
      <c r="J1015" s="7" t="str">
        <f>VLOOKUP(Table2[[#This Row],[Author]],People!A:B,2,0)</f>
        <v>EL</v>
      </c>
      <c r="K1015" s="7"/>
      <c r="L1015" s="7"/>
      <c r="M1015" s="16" t="s">
        <v>2804</v>
      </c>
    </row>
    <row r="1016" spans="1:13" x14ac:dyDescent="0.25">
      <c r="A1016" s="22">
        <f t="shared" si="15"/>
        <v>1015</v>
      </c>
      <c r="B1016" s="6" t="s">
        <v>4851</v>
      </c>
      <c r="C1016" s="6" t="s">
        <v>5206</v>
      </c>
      <c r="D1016" s="6" t="s">
        <v>2057</v>
      </c>
      <c r="E1016" s="6" t="s">
        <v>5251</v>
      </c>
      <c r="F1016" s="6" t="s">
        <v>5249</v>
      </c>
      <c r="G1016" s="6" t="s">
        <v>18</v>
      </c>
      <c r="H1016" s="6" t="str">
        <f>IFERROR(VLOOKUP(Table2[[#This Row],[Ticket]],Okey!A:B,2,0),"")</f>
        <v>ok</v>
      </c>
      <c r="I1016" s="6" t="s">
        <v>3679</v>
      </c>
      <c r="J1016" s="6" t="str">
        <f>VLOOKUP(Table2[[#This Row],[Author]],People!A:B,2,0)</f>
        <v>EL</v>
      </c>
      <c r="K1016" s="6"/>
      <c r="L1016" s="6"/>
      <c r="M1016" s="21" t="s">
        <v>2804</v>
      </c>
    </row>
    <row r="1017" spans="1:13" x14ac:dyDescent="0.25">
      <c r="A1017" s="23">
        <f t="shared" si="15"/>
        <v>1016</v>
      </c>
      <c r="B1017" s="7" t="s">
        <v>4851</v>
      </c>
      <c r="C1017" s="7" t="s">
        <v>5206</v>
      </c>
      <c r="D1017" s="7" t="s">
        <v>2056</v>
      </c>
      <c r="E1017" s="7" t="s">
        <v>5252</v>
      </c>
      <c r="F1017" s="7" t="s">
        <v>2057</v>
      </c>
      <c r="G1017" s="7" t="s">
        <v>18</v>
      </c>
      <c r="H1017" s="7" t="str">
        <f>IFERROR(VLOOKUP(Table2[[#This Row],[Ticket]],Okey!A:B,2,0),"")</f>
        <v>ok</v>
      </c>
      <c r="I1017" s="7" t="s">
        <v>3679</v>
      </c>
      <c r="J1017" s="7" t="str">
        <f>VLOOKUP(Table2[[#This Row],[Author]],People!A:B,2,0)</f>
        <v>EL</v>
      </c>
      <c r="K1017" s="7"/>
      <c r="L1017" s="7"/>
      <c r="M1017" s="16" t="s">
        <v>2804</v>
      </c>
    </row>
    <row r="1018" spans="1:13" x14ac:dyDescent="0.25">
      <c r="A1018" s="22">
        <f t="shared" si="15"/>
        <v>1017</v>
      </c>
      <c r="B1018" s="6" t="s">
        <v>4851</v>
      </c>
      <c r="C1018" s="6" t="s">
        <v>5206</v>
      </c>
      <c r="D1018" s="6" t="s">
        <v>1819</v>
      </c>
      <c r="E1018" s="6" t="s">
        <v>5253</v>
      </c>
      <c r="F1018" s="6" t="s">
        <v>2057</v>
      </c>
      <c r="G1018" s="6" t="s">
        <v>18</v>
      </c>
      <c r="H1018" s="6" t="str">
        <f>IFERROR(VLOOKUP(Table2[[#This Row],[Ticket]],Okey!A:B,2,0),"")</f>
        <v>ok</v>
      </c>
      <c r="I1018" s="6" t="s">
        <v>3679</v>
      </c>
      <c r="J1018" s="6" t="str">
        <f>VLOOKUP(Table2[[#This Row],[Author]],People!A:B,2,0)</f>
        <v>EL</v>
      </c>
      <c r="K1018" s="6"/>
      <c r="L1018" s="6"/>
      <c r="M1018" s="21" t="s">
        <v>2804</v>
      </c>
    </row>
    <row r="1019" spans="1:13" x14ac:dyDescent="0.25">
      <c r="A1019" s="23">
        <f t="shared" si="15"/>
        <v>1018</v>
      </c>
      <c r="B1019" s="7" t="s">
        <v>4851</v>
      </c>
      <c r="C1019" s="7" t="s">
        <v>5206</v>
      </c>
      <c r="D1019" s="7" t="s">
        <v>2059</v>
      </c>
      <c r="E1019" s="7" t="s">
        <v>5254</v>
      </c>
      <c r="F1019" s="7" t="s">
        <v>2057</v>
      </c>
      <c r="G1019" s="7" t="s">
        <v>18</v>
      </c>
      <c r="H1019" s="7" t="str">
        <f>IFERROR(VLOOKUP(Table2[[#This Row],[Ticket]],Okey!A:B,2,0),"")</f>
        <v>ok</v>
      </c>
      <c r="I1019" s="7" t="s">
        <v>3679</v>
      </c>
      <c r="J1019" s="7" t="str">
        <f>VLOOKUP(Table2[[#This Row],[Author]],People!A:B,2,0)</f>
        <v>EL</v>
      </c>
      <c r="K1019" s="7"/>
      <c r="L1019" s="7"/>
      <c r="M1019" s="16" t="s">
        <v>2804</v>
      </c>
    </row>
    <row r="1020" spans="1:13" x14ac:dyDescent="0.25">
      <c r="A1020" s="22">
        <f t="shared" si="15"/>
        <v>1019</v>
      </c>
      <c r="B1020" s="6" t="s">
        <v>4851</v>
      </c>
      <c r="C1020" s="6" t="s">
        <v>5206</v>
      </c>
      <c r="D1020" s="6" t="s">
        <v>2061</v>
      </c>
      <c r="E1020" s="6" t="s">
        <v>5255</v>
      </c>
      <c r="F1020" s="6" t="s">
        <v>5249</v>
      </c>
      <c r="G1020" s="6" t="s">
        <v>18</v>
      </c>
      <c r="H1020" s="6" t="str">
        <f>IFERROR(VLOOKUP(Table2[[#This Row],[Ticket]],Okey!A:B,2,0),"")</f>
        <v>ok</v>
      </c>
      <c r="I1020" s="6" t="s">
        <v>3679</v>
      </c>
      <c r="J1020" s="6" t="str">
        <f>VLOOKUP(Table2[[#This Row],[Author]],People!A:B,2,0)</f>
        <v>EL</v>
      </c>
      <c r="K1020" s="6"/>
      <c r="L1020" s="6"/>
      <c r="M1020" s="21" t="s">
        <v>2804</v>
      </c>
    </row>
    <row r="1021" spans="1:13" x14ac:dyDescent="0.25">
      <c r="A1021" s="23">
        <f t="shared" si="15"/>
        <v>1020</v>
      </c>
      <c r="B1021" s="7" t="s">
        <v>4851</v>
      </c>
      <c r="C1021" s="7" t="s">
        <v>5206</v>
      </c>
      <c r="D1021" s="7" t="s">
        <v>2063</v>
      </c>
      <c r="E1021" s="7" t="s">
        <v>5256</v>
      </c>
      <c r="F1021" s="7" t="s">
        <v>5249</v>
      </c>
      <c r="G1021" s="7" t="s">
        <v>18</v>
      </c>
      <c r="H1021" s="7" t="str">
        <f>IFERROR(VLOOKUP(Table2[[#This Row],[Ticket]],Okey!A:B,2,0),"")</f>
        <v>ok</v>
      </c>
      <c r="I1021" s="7" t="s">
        <v>3679</v>
      </c>
      <c r="J1021" s="7" t="str">
        <f>VLOOKUP(Table2[[#This Row],[Author]],People!A:B,2,0)</f>
        <v>EL</v>
      </c>
      <c r="K1021" s="7"/>
      <c r="L1021" s="7"/>
      <c r="M1021" s="16" t="s">
        <v>2804</v>
      </c>
    </row>
    <row r="1022" spans="1:13" x14ac:dyDescent="0.25">
      <c r="A1022" s="22">
        <f t="shared" si="15"/>
        <v>1021</v>
      </c>
      <c r="B1022" s="6" t="s">
        <v>4851</v>
      </c>
      <c r="C1022" s="6" t="s">
        <v>5206</v>
      </c>
      <c r="D1022" s="6" t="s">
        <v>1858</v>
      </c>
      <c r="E1022" s="6" t="s">
        <v>5257</v>
      </c>
      <c r="F1022" s="6" t="s">
        <v>5258</v>
      </c>
      <c r="G1022" s="6" t="s">
        <v>18</v>
      </c>
      <c r="H1022" s="6" t="str">
        <f>IFERROR(VLOOKUP(Table2[[#This Row],[Ticket]],Okey!A:B,2,0),"")</f>
        <v>ok</v>
      </c>
      <c r="I1022" s="6" t="s">
        <v>3679</v>
      </c>
      <c r="J1022" s="6" t="str">
        <f>VLOOKUP(Table2[[#This Row],[Author]],People!A:B,2,0)</f>
        <v>EL</v>
      </c>
      <c r="K1022" s="6"/>
      <c r="L1022" s="6"/>
      <c r="M1022" s="21" t="s">
        <v>2804</v>
      </c>
    </row>
    <row r="1023" spans="1:13" x14ac:dyDescent="0.25">
      <c r="A1023" s="23">
        <f t="shared" si="15"/>
        <v>1022</v>
      </c>
      <c r="B1023" s="7" t="s">
        <v>4851</v>
      </c>
      <c r="C1023" s="7" t="s">
        <v>5206</v>
      </c>
      <c r="D1023" s="7" t="s">
        <v>1860</v>
      </c>
      <c r="E1023" s="7" t="s">
        <v>5259</v>
      </c>
      <c r="F1023" s="7" t="s">
        <v>5258</v>
      </c>
      <c r="G1023" s="7" t="s">
        <v>18</v>
      </c>
      <c r="H1023" s="7" t="str">
        <f>IFERROR(VLOOKUP(Table2[[#This Row],[Ticket]],Okey!A:B,2,0),"")</f>
        <v>ok</v>
      </c>
      <c r="I1023" s="7" t="s">
        <v>3679</v>
      </c>
      <c r="J1023" s="7" t="str">
        <f>VLOOKUP(Table2[[#This Row],[Author]],People!A:B,2,0)</f>
        <v>EL</v>
      </c>
      <c r="K1023" s="7"/>
      <c r="L1023" s="7"/>
      <c r="M1023" s="16" t="s">
        <v>2804</v>
      </c>
    </row>
    <row r="1024" spans="1:13" x14ac:dyDescent="0.25">
      <c r="A1024" s="22">
        <f t="shared" si="15"/>
        <v>1023</v>
      </c>
      <c r="B1024" s="6" t="s">
        <v>4851</v>
      </c>
      <c r="C1024" s="6" t="s">
        <v>5206</v>
      </c>
      <c r="D1024" s="6" t="s">
        <v>1862</v>
      </c>
      <c r="E1024" s="6" t="s">
        <v>5260</v>
      </c>
      <c r="F1024" s="6" t="s">
        <v>1860</v>
      </c>
      <c r="G1024" s="6" t="s">
        <v>18</v>
      </c>
      <c r="H1024" s="6" t="str">
        <f>IFERROR(VLOOKUP(Table2[[#This Row],[Ticket]],Okey!A:B,2,0),"")</f>
        <v>ok</v>
      </c>
      <c r="I1024" s="6" t="s">
        <v>3679</v>
      </c>
      <c r="J1024" s="6" t="str">
        <f>VLOOKUP(Table2[[#This Row],[Author]],People!A:B,2,0)</f>
        <v>EL</v>
      </c>
      <c r="K1024" s="6"/>
      <c r="L1024" s="6"/>
      <c r="M1024" s="21" t="s">
        <v>2804</v>
      </c>
    </row>
    <row r="1025" spans="1:13" x14ac:dyDescent="0.25">
      <c r="A1025" s="23">
        <f t="shared" si="15"/>
        <v>1024</v>
      </c>
      <c r="B1025" s="7" t="s">
        <v>4851</v>
      </c>
      <c r="C1025" s="7" t="s">
        <v>5206</v>
      </c>
      <c r="D1025" s="7" t="s">
        <v>1864</v>
      </c>
      <c r="E1025" s="7" t="s">
        <v>5261</v>
      </c>
      <c r="F1025" s="7" t="s">
        <v>1860</v>
      </c>
      <c r="G1025" s="7" t="s">
        <v>18</v>
      </c>
      <c r="H1025" s="7" t="str">
        <f>IFERROR(VLOOKUP(Table2[[#This Row],[Ticket]],Okey!A:B,2,0),"")</f>
        <v>ok</v>
      </c>
      <c r="I1025" s="7" t="s">
        <v>3679</v>
      </c>
      <c r="J1025" s="7" t="str">
        <f>VLOOKUP(Table2[[#This Row],[Author]],People!A:B,2,0)</f>
        <v>EL</v>
      </c>
      <c r="K1025" s="7"/>
      <c r="L1025" s="7"/>
      <c r="M1025" s="16" t="s">
        <v>2804</v>
      </c>
    </row>
    <row r="1026" spans="1:13" x14ac:dyDescent="0.25">
      <c r="A1026" s="22">
        <f t="shared" si="15"/>
        <v>1025</v>
      </c>
      <c r="B1026" s="6" t="s">
        <v>4851</v>
      </c>
      <c r="C1026" s="6" t="s">
        <v>5206</v>
      </c>
      <c r="D1026" s="6" t="s">
        <v>5262</v>
      </c>
      <c r="E1026" s="6" t="s">
        <v>5263</v>
      </c>
      <c r="F1026" s="6" t="s">
        <v>1860</v>
      </c>
      <c r="G1026" s="6" t="s">
        <v>18</v>
      </c>
      <c r="H1026" s="6" t="str">
        <f>IFERROR(VLOOKUP(Table2[[#This Row],[Ticket]],Okey!A:B,2,0),"")</f>
        <v>ok</v>
      </c>
      <c r="I1026" s="6" t="s">
        <v>3679</v>
      </c>
      <c r="J1026" s="6" t="str">
        <f>VLOOKUP(Table2[[#This Row],[Author]],People!A:B,2,0)</f>
        <v>EL</v>
      </c>
      <c r="K1026" s="6"/>
      <c r="L1026" s="6"/>
      <c r="M1026" s="21" t="s">
        <v>2804</v>
      </c>
    </row>
    <row r="1027" spans="1:13" x14ac:dyDescent="0.25">
      <c r="A1027" s="23">
        <f t="shared" ref="A1027:A1090" si="16">1+A1026</f>
        <v>1026</v>
      </c>
      <c r="B1027" s="7" t="s">
        <v>4851</v>
      </c>
      <c r="C1027" s="7" t="s">
        <v>5206</v>
      </c>
      <c r="D1027" s="7" t="s">
        <v>3397</v>
      </c>
      <c r="E1027" s="7" t="s">
        <v>3398</v>
      </c>
      <c r="F1027" s="7" t="s">
        <v>3395</v>
      </c>
      <c r="G1027" s="7" t="s">
        <v>18</v>
      </c>
      <c r="H1027" s="7" t="str">
        <f>IFERROR(VLOOKUP(Table2[[#This Row],[Ticket]],Okey!A:B,2,0),"")</f>
        <v>ok</v>
      </c>
      <c r="I1027" s="7" t="s">
        <v>3679</v>
      </c>
      <c r="J1027" s="7" t="str">
        <f>VLOOKUP(Table2[[#This Row],[Author]],People!A:B,2,0)</f>
        <v>EL</v>
      </c>
      <c r="K1027" s="7"/>
      <c r="L1027" s="7"/>
      <c r="M1027" s="16" t="s">
        <v>2804</v>
      </c>
    </row>
    <row r="1028" spans="1:13" x14ac:dyDescent="0.25">
      <c r="A1028" s="22">
        <f t="shared" si="16"/>
        <v>1027</v>
      </c>
      <c r="B1028" s="6" t="s">
        <v>4851</v>
      </c>
      <c r="C1028" s="6" t="s">
        <v>5206</v>
      </c>
      <c r="D1028" s="6" t="s">
        <v>3421</v>
      </c>
      <c r="E1028" s="6" t="s">
        <v>3422</v>
      </c>
      <c r="F1028" s="6" t="s">
        <v>3395</v>
      </c>
      <c r="G1028" s="6" t="s">
        <v>18</v>
      </c>
      <c r="H1028" s="6" t="str">
        <f>IFERROR(VLOOKUP(Table2[[#This Row],[Ticket]],Okey!A:B,2,0),"")</f>
        <v>ok</v>
      </c>
      <c r="I1028" s="6" t="s">
        <v>3679</v>
      </c>
      <c r="J1028" s="6" t="str">
        <f>VLOOKUP(Table2[[#This Row],[Author]],People!A:B,2,0)</f>
        <v>EL</v>
      </c>
      <c r="K1028" s="6"/>
      <c r="L1028" s="6"/>
      <c r="M1028" s="21" t="s">
        <v>2804</v>
      </c>
    </row>
    <row r="1029" spans="1:13" x14ac:dyDescent="0.25">
      <c r="A1029" s="23">
        <f t="shared" si="16"/>
        <v>1028</v>
      </c>
      <c r="B1029" s="7" t="s">
        <v>4851</v>
      </c>
      <c r="C1029" s="7" t="s">
        <v>5206</v>
      </c>
      <c r="D1029" s="7" t="s">
        <v>3425</v>
      </c>
      <c r="E1029" s="7" t="s">
        <v>3426</v>
      </c>
      <c r="F1029" s="7" t="s">
        <v>3423</v>
      </c>
      <c r="G1029" s="7" t="s">
        <v>18</v>
      </c>
      <c r="H1029" s="7" t="str">
        <f>IFERROR(VLOOKUP(Table2[[#This Row],[Ticket]],Okey!A:B,2,0),"")</f>
        <v>ok</v>
      </c>
      <c r="I1029" s="7" t="s">
        <v>3679</v>
      </c>
      <c r="J1029" s="7" t="str">
        <f>VLOOKUP(Table2[[#This Row],[Author]],People!A:B,2,0)</f>
        <v>EL</v>
      </c>
      <c r="K1029" s="7"/>
      <c r="L1029" s="7"/>
      <c r="M1029" s="16" t="s">
        <v>2804</v>
      </c>
    </row>
    <row r="1030" spans="1:13" x14ac:dyDescent="0.25">
      <c r="A1030" s="22">
        <f t="shared" si="16"/>
        <v>1029</v>
      </c>
      <c r="B1030" s="6" t="s">
        <v>4851</v>
      </c>
      <c r="C1030" s="6" t="s">
        <v>5206</v>
      </c>
      <c r="D1030" s="6" t="s">
        <v>3449</v>
      </c>
      <c r="E1030" s="6" t="s">
        <v>3450</v>
      </c>
      <c r="F1030" s="6" t="s">
        <v>3423</v>
      </c>
      <c r="G1030" s="6" t="s">
        <v>18</v>
      </c>
      <c r="H1030" s="6" t="str">
        <f>IFERROR(VLOOKUP(Table2[[#This Row],[Ticket]],Okey!A:B,2,0),"")</f>
        <v>ok</v>
      </c>
      <c r="I1030" s="6" t="s">
        <v>3679</v>
      </c>
      <c r="J1030" s="6" t="str">
        <f>VLOOKUP(Table2[[#This Row],[Author]],People!A:B,2,0)</f>
        <v>EL</v>
      </c>
      <c r="K1030" s="6"/>
      <c r="L1030" s="6"/>
      <c r="M1030" s="21" t="s">
        <v>2804</v>
      </c>
    </row>
    <row r="1031" spans="1:13" x14ac:dyDescent="0.25">
      <c r="A1031" s="23">
        <f t="shared" si="16"/>
        <v>1030</v>
      </c>
      <c r="B1031" s="7" t="s">
        <v>4851</v>
      </c>
      <c r="C1031" s="7" t="s">
        <v>5206</v>
      </c>
      <c r="D1031" s="7" t="s">
        <v>3453</v>
      </c>
      <c r="E1031" s="7" t="s">
        <v>3454</v>
      </c>
      <c r="F1031" s="7" t="s">
        <v>3451</v>
      </c>
      <c r="G1031" s="7" t="s">
        <v>18</v>
      </c>
      <c r="H1031" s="7" t="str">
        <f>IFERROR(VLOOKUP(Table2[[#This Row],[Ticket]],Okey!A:B,2,0),"")</f>
        <v>ok</v>
      </c>
      <c r="I1031" s="7" t="s">
        <v>3679</v>
      </c>
      <c r="J1031" s="7" t="str">
        <f>VLOOKUP(Table2[[#This Row],[Author]],People!A:B,2,0)</f>
        <v>EL</v>
      </c>
      <c r="K1031" s="7"/>
      <c r="L1031" s="7"/>
      <c r="M1031" s="16" t="s">
        <v>2804</v>
      </c>
    </row>
    <row r="1032" spans="1:13" x14ac:dyDescent="0.25">
      <c r="A1032" s="22">
        <f t="shared" si="16"/>
        <v>1031</v>
      </c>
      <c r="B1032" s="6" t="s">
        <v>4851</v>
      </c>
      <c r="C1032" s="6" t="s">
        <v>5206</v>
      </c>
      <c r="D1032" s="6" t="s">
        <v>3477</v>
      </c>
      <c r="E1032" s="6" t="s">
        <v>3478</v>
      </c>
      <c r="F1032" s="6" t="s">
        <v>3451</v>
      </c>
      <c r="G1032" s="6" t="s">
        <v>18</v>
      </c>
      <c r="H1032" s="6" t="str">
        <f>IFERROR(VLOOKUP(Table2[[#This Row],[Ticket]],Okey!A:B,2,0),"")</f>
        <v>ok</v>
      </c>
      <c r="I1032" s="6" t="s">
        <v>3679</v>
      </c>
      <c r="J1032" s="6" t="str">
        <f>VLOOKUP(Table2[[#This Row],[Author]],People!A:B,2,0)</f>
        <v>EL</v>
      </c>
      <c r="K1032" s="6"/>
      <c r="L1032" s="6"/>
      <c r="M1032" s="21" t="s">
        <v>2804</v>
      </c>
    </row>
    <row r="1033" spans="1:13" x14ac:dyDescent="0.25">
      <c r="A1033" s="23">
        <f t="shared" si="16"/>
        <v>1032</v>
      </c>
      <c r="B1033" s="7" t="s">
        <v>4851</v>
      </c>
      <c r="C1033" s="7" t="s">
        <v>5206</v>
      </c>
      <c r="D1033" s="7" t="s">
        <v>3536</v>
      </c>
      <c r="E1033" s="7" t="s">
        <v>3537</v>
      </c>
      <c r="F1033" s="7" t="s">
        <v>3534</v>
      </c>
      <c r="G1033" s="7" t="s">
        <v>18</v>
      </c>
      <c r="H1033" s="7" t="str">
        <f>IFERROR(VLOOKUP(Table2[[#This Row],[Ticket]],Okey!A:B,2,0),"")</f>
        <v>ok</v>
      </c>
      <c r="I1033" s="7" t="s">
        <v>3679</v>
      </c>
      <c r="J1033" s="7" t="str">
        <f>VLOOKUP(Table2[[#This Row],[Author]],People!A:B,2,0)</f>
        <v>EL</v>
      </c>
      <c r="K1033" s="7"/>
      <c r="L1033" s="7"/>
      <c r="M1033" s="16" t="s">
        <v>2804</v>
      </c>
    </row>
    <row r="1034" spans="1:13" x14ac:dyDescent="0.25">
      <c r="A1034" s="22">
        <f t="shared" si="16"/>
        <v>1033</v>
      </c>
      <c r="B1034" s="6" t="s">
        <v>4851</v>
      </c>
      <c r="C1034" s="6" t="s">
        <v>5206</v>
      </c>
      <c r="D1034" s="6" t="s">
        <v>3560</v>
      </c>
      <c r="E1034" s="6" t="s">
        <v>3561</v>
      </c>
      <c r="F1034" s="6" t="s">
        <v>3534</v>
      </c>
      <c r="G1034" s="6" t="s">
        <v>18</v>
      </c>
      <c r="H1034" s="6" t="str">
        <f>IFERROR(VLOOKUP(Table2[[#This Row],[Ticket]],Okey!A:B,2,0),"")</f>
        <v>ok</v>
      </c>
      <c r="I1034" s="6" t="s">
        <v>3679</v>
      </c>
      <c r="J1034" s="6" t="str">
        <f>VLOOKUP(Table2[[#This Row],[Author]],People!A:B,2,0)</f>
        <v>EL</v>
      </c>
      <c r="K1034" s="6"/>
      <c r="L1034" s="6"/>
      <c r="M1034" s="21" t="s">
        <v>2804</v>
      </c>
    </row>
    <row r="1035" spans="1:13" x14ac:dyDescent="0.25">
      <c r="A1035" s="23">
        <f t="shared" si="16"/>
        <v>1034</v>
      </c>
      <c r="B1035" s="7" t="s">
        <v>4851</v>
      </c>
      <c r="C1035" s="7" t="s">
        <v>5206</v>
      </c>
      <c r="D1035" s="7" t="s">
        <v>1870</v>
      </c>
      <c r="E1035" s="7" t="s">
        <v>5264</v>
      </c>
      <c r="F1035" s="7" t="s">
        <v>5265</v>
      </c>
      <c r="G1035" s="7" t="s">
        <v>18</v>
      </c>
      <c r="H1035" s="7" t="str">
        <f>IFERROR(VLOOKUP(Table2[[#This Row],[Ticket]],Okey!A:B,2,0),"")</f>
        <v>ok</v>
      </c>
      <c r="I1035" s="7" t="s">
        <v>3679</v>
      </c>
      <c r="J1035" s="7" t="str">
        <f>VLOOKUP(Table2[[#This Row],[Author]],People!A:B,2,0)</f>
        <v>EL</v>
      </c>
      <c r="K1035" s="7"/>
      <c r="L1035" s="7"/>
      <c r="M1035" s="16" t="s">
        <v>2804</v>
      </c>
    </row>
    <row r="1036" spans="1:13" x14ac:dyDescent="0.25">
      <c r="A1036" s="22">
        <f t="shared" si="16"/>
        <v>1035</v>
      </c>
      <c r="B1036" s="6" t="s">
        <v>4851</v>
      </c>
      <c r="C1036" s="6" t="s">
        <v>5206</v>
      </c>
      <c r="D1036" s="6" t="s">
        <v>5266</v>
      </c>
      <c r="E1036" s="6" t="s">
        <v>5267</v>
      </c>
      <c r="F1036" s="6" t="s">
        <v>1870</v>
      </c>
      <c r="G1036" s="6" t="s">
        <v>18</v>
      </c>
      <c r="H1036" s="6" t="str">
        <f>IFERROR(VLOOKUP(Table2[[#This Row],[Ticket]],Okey!A:B,2,0),"")</f>
        <v>ok</v>
      </c>
      <c r="I1036" s="6" t="s">
        <v>3679</v>
      </c>
      <c r="J1036" s="6" t="str">
        <f>VLOOKUP(Table2[[#This Row],[Author]],People!A:B,2,0)</f>
        <v>EL</v>
      </c>
      <c r="K1036" s="6"/>
      <c r="L1036" s="6"/>
      <c r="M1036" s="21" t="s">
        <v>2804</v>
      </c>
    </row>
    <row r="1037" spans="1:13" x14ac:dyDescent="0.25">
      <c r="A1037" s="23">
        <f t="shared" si="16"/>
        <v>1036</v>
      </c>
      <c r="B1037" s="7" t="s">
        <v>4851</v>
      </c>
      <c r="C1037" s="7" t="s">
        <v>5206</v>
      </c>
      <c r="D1037" s="7" t="s">
        <v>1872</v>
      </c>
      <c r="E1037" s="7" t="s">
        <v>5268</v>
      </c>
      <c r="F1037" s="7" t="s">
        <v>5265</v>
      </c>
      <c r="G1037" s="7" t="s">
        <v>18</v>
      </c>
      <c r="H1037" s="7" t="str">
        <f>IFERROR(VLOOKUP(Table2[[#This Row],[Ticket]],Okey!A:B,2,0),"")</f>
        <v>ok</v>
      </c>
      <c r="I1037" s="7" t="s">
        <v>3679</v>
      </c>
      <c r="J1037" s="7" t="str">
        <f>VLOOKUP(Table2[[#This Row],[Author]],People!A:B,2,0)</f>
        <v>EL</v>
      </c>
      <c r="K1037" s="7"/>
      <c r="L1037" s="7"/>
      <c r="M1037" s="16" t="s">
        <v>2804</v>
      </c>
    </row>
    <row r="1038" spans="1:13" x14ac:dyDescent="0.25">
      <c r="A1038" s="22">
        <f t="shared" si="16"/>
        <v>1037</v>
      </c>
      <c r="B1038" s="6" t="s">
        <v>4851</v>
      </c>
      <c r="C1038" s="6" t="s">
        <v>5206</v>
      </c>
      <c r="D1038" s="6" t="s">
        <v>1874</v>
      </c>
      <c r="E1038" s="6" t="s">
        <v>5269</v>
      </c>
      <c r="F1038" s="6" t="s">
        <v>5265</v>
      </c>
      <c r="G1038" s="6" t="s">
        <v>18</v>
      </c>
      <c r="H1038" s="6" t="str">
        <f>IFERROR(VLOOKUP(Table2[[#This Row],[Ticket]],Okey!A:B,2,0),"")</f>
        <v>ok</v>
      </c>
      <c r="I1038" s="6" t="s">
        <v>3679</v>
      </c>
      <c r="J1038" s="6" t="str">
        <f>VLOOKUP(Table2[[#This Row],[Author]],People!A:B,2,0)</f>
        <v>EL</v>
      </c>
      <c r="K1038" s="6"/>
      <c r="L1038" s="6"/>
      <c r="M1038" s="21" t="s">
        <v>2804</v>
      </c>
    </row>
    <row r="1039" spans="1:13" x14ac:dyDescent="0.25">
      <c r="A1039" s="23">
        <f t="shared" si="16"/>
        <v>1038</v>
      </c>
      <c r="B1039" s="7" t="s">
        <v>4851</v>
      </c>
      <c r="C1039" s="7" t="s">
        <v>5206</v>
      </c>
      <c r="D1039" s="7" t="s">
        <v>1876</v>
      </c>
      <c r="E1039" s="7" t="s">
        <v>5270</v>
      </c>
      <c r="F1039" s="7" t="s">
        <v>5265</v>
      </c>
      <c r="G1039" s="7" t="s">
        <v>18</v>
      </c>
      <c r="H1039" s="7" t="str">
        <f>IFERROR(VLOOKUP(Table2[[#This Row],[Ticket]],Okey!A:B,2,0),"")</f>
        <v>ok</v>
      </c>
      <c r="I1039" s="7" t="s">
        <v>3679</v>
      </c>
      <c r="J1039" s="7" t="str">
        <f>VLOOKUP(Table2[[#This Row],[Author]],People!A:B,2,0)</f>
        <v>EL</v>
      </c>
      <c r="K1039" s="7"/>
      <c r="L1039" s="7"/>
      <c r="M1039" s="16" t="s">
        <v>2804</v>
      </c>
    </row>
    <row r="1040" spans="1:13" x14ac:dyDescent="0.25">
      <c r="A1040" s="22">
        <f t="shared" si="16"/>
        <v>1039</v>
      </c>
      <c r="B1040" s="6" t="s">
        <v>4851</v>
      </c>
      <c r="C1040" s="6" t="s">
        <v>5206</v>
      </c>
      <c r="D1040" s="6" t="s">
        <v>1878</v>
      </c>
      <c r="E1040" s="6" t="s">
        <v>5271</v>
      </c>
      <c r="F1040" s="6" t="s">
        <v>5265</v>
      </c>
      <c r="G1040" s="6" t="s">
        <v>18</v>
      </c>
      <c r="H1040" s="6" t="str">
        <f>IFERROR(VLOOKUP(Table2[[#This Row],[Ticket]],Okey!A:B,2,0),"")</f>
        <v>ok</v>
      </c>
      <c r="I1040" s="6" t="s">
        <v>3679</v>
      </c>
      <c r="J1040" s="6" t="str">
        <f>VLOOKUP(Table2[[#This Row],[Author]],People!A:B,2,0)</f>
        <v>EL</v>
      </c>
      <c r="K1040" s="6"/>
      <c r="L1040" s="6"/>
      <c r="M1040" s="21" t="s">
        <v>2804</v>
      </c>
    </row>
    <row r="1041" spans="1:13" x14ac:dyDescent="0.25">
      <c r="A1041" s="23">
        <f t="shared" si="16"/>
        <v>1040</v>
      </c>
      <c r="B1041" s="7" t="s">
        <v>4851</v>
      </c>
      <c r="C1041" s="7" t="s">
        <v>5206</v>
      </c>
      <c r="D1041" s="7" t="s">
        <v>1880</v>
      </c>
      <c r="E1041" s="7" t="s">
        <v>5272</v>
      </c>
      <c r="F1041" s="7" t="s">
        <v>5265</v>
      </c>
      <c r="G1041" s="7" t="s">
        <v>18</v>
      </c>
      <c r="H1041" s="7" t="str">
        <f>IFERROR(VLOOKUP(Table2[[#This Row],[Ticket]],Okey!A:B,2,0),"")</f>
        <v>ok</v>
      </c>
      <c r="I1041" s="7" t="s">
        <v>3679</v>
      </c>
      <c r="J1041" s="7" t="str">
        <f>VLOOKUP(Table2[[#This Row],[Author]],People!A:B,2,0)</f>
        <v>EL</v>
      </c>
      <c r="K1041" s="7"/>
      <c r="L1041" s="7"/>
      <c r="M1041" s="16" t="s">
        <v>2804</v>
      </c>
    </row>
    <row r="1042" spans="1:13" x14ac:dyDescent="0.25">
      <c r="A1042" s="22">
        <f t="shared" si="16"/>
        <v>1041</v>
      </c>
      <c r="B1042" s="6" t="s">
        <v>4851</v>
      </c>
      <c r="C1042" s="6" t="s">
        <v>5206</v>
      </c>
      <c r="D1042" s="6" t="s">
        <v>1882</v>
      </c>
      <c r="E1042" s="6" t="s">
        <v>5273</v>
      </c>
      <c r="F1042" s="6" t="s">
        <v>1880</v>
      </c>
      <c r="G1042" s="6" t="s">
        <v>18</v>
      </c>
      <c r="H1042" s="6" t="str">
        <f>IFERROR(VLOOKUP(Table2[[#This Row],[Ticket]],Okey!A:B,2,0),"")</f>
        <v>ok</v>
      </c>
      <c r="I1042" s="6" t="s">
        <v>3679</v>
      </c>
      <c r="J1042" s="6" t="str">
        <f>VLOOKUP(Table2[[#This Row],[Author]],People!A:B,2,0)</f>
        <v>EL</v>
      </c>
      <c r="K1042" s="6"/>
      <c r="L1042" s="6"/>
      <c r="M1042" s="21" t="s">
        <v>2804</v>
      </c>
    </row>
    <row r="1043" spans="1:13" x14ac:dyDescent="0.25">
      <c r="A1043" s="23">
        <f t="shared" si="16"/>
        <v>1042</v>
      </c>
      <c r="B1043" s="7" t="s">
        <v>4851</v>
      </c>
      <c r="C1043" s="7" t="s">
        <v>5206</v>
      </c>
      <c r="D1043" s="7" t="s">
        <v>1884</v>
      </c>
      <c r="E1043" s="7" t="s">
        <v>5274</v>
      </c>
      <c r="F1043" s="7" t="s">
        <v>1880</v>
      </c>
      <c r="G1043" s="7" t="s">
        <v>18</v>
      </c>
      <c r="H1043" s="7" t="str">
        <f>IFERROR(VLOOKUP(Table2[[#This Row],[Ticket]],Okey!A:B,2,0),"")</f>
        <v>ok</v>
      </c>
      <c r="I1043" s="7" t="s">
        <v>3679</v>
      </c>
      <c r="J1043" s="7" t="str">
        <f>VLOOKUP(Table2[[#This Row],[Author]],People!A:B,2,0)</f>
        <v>EL</v>
      </c>
      <c r="K1043" s="7"/>
      <c r="L1043" s="7"/>
      <c r="M1043" s="16" t="s">
        <v>2804</v>
      </c>
    </row>
    <row r="1044" spans="1:13" x14ac:dyDescent="0.25">
      <c r="A1044" s="22">
        <f t="shared" si="16"/>
        <v>1043</v>
      </c>
      <c r="B1044" s="6" t="s">
        <v>4851</v>
      </c>
      <c r="C1044" s="6" t="s">
        <v>5206</v>
      </c>
      <c r="D1044" s="6" t="s">
        <v>1886</v>
      </c>
      <c r="E1044" s="6" t="s">
        <v>5275</v>
      </c>
      <c r="F1044" s="6" t="s">
        <v>1884</v>
      </c>
      <c r="G1044" s="6" t="s">
        <v>18</v>
      </c>
      <c r="H1044" s="6" t="str">
        <f>IFERROR(VLOOKUP(Table2[[#This Row],[Ticket]],Okey!A:B,2,0),"")</f>
        <v>ok</v>
      </c>
      <c r="I1044" s="6" t="s">
        <v>3679</v>
      </c>
      <c r="J1044" s="6" t="str">
        <f>VLOOKUP(Table2[[#This Row],[Author]],People!A:B,2,0)</f>
        <v>EL</v>
      </c>
      <c r="K1044" s="6"/>
      <c r="L1044" s="6"/>
      <c r="M1044" s="21" t="s">
        <v>2804</v>
      </c>
    </row>
    <row r="1045" spans="1:13" x14ac:dyDescent="0.25">
      <c r="A1045" s="23">
        <f t="shared" si="16"/>
        <v>1044</v>
      </c>
      <c r="B1045" s="7" t="s">
        <v>4851</v>
      </c>
      <c r="C1045" s="7" t="s">
        <v>5206</v>
      </c>
      <c r="D1045" s="7" t="s">
        <v>1888</v>
      </c>
      <c r="E1045" s="7" t="s">
        <v>5276</v>
      </c>
      <c r="F1045" s="7" t="s">
        <v>1884</v>
      </c>
      <c r="G1045" s="7" t="s">
        <v>18</v>
      </c>
      <c r="H1045" s="7" t="str">
        <f>IFERROR(VLOOKUP(Table2[[#This Row],[Ticket]],Okey!A:B,2,0),"")</f>
        <v>ok</v>
      </c>
      <c r="I1045" s="7" t="s">
        <v>3679</v>
      </c>
      <c r="J1045" s="7" t="str">
        <f>VLOOKUP(Table2[[#This Row],[Author]],People!A:B,2,0)</f>
        <v>EL</v>
      </c>
      <c r="K1045" s="7"/>
      <c r="L1045" s="7"/>
      <c r="M1045" s="16" t="s">
        <v>2804</v>
      </c>
    </row>
    <row r="1046" spans="1:13" x14ac:dyDescent="0.25">
      <c r="A1046" s="22">
        <f t="shared" si="16"/>
        <v>1045</v>
      </c>
      <c r="B1046" s="6" t="s">
        <v>4851</v>
      </c>
      <c r="C1046" s="6" t="s">
        <v>5206</v>
      </c>
      <c r="D1046" s="6" t="s">
        <v>1890</v>
      </c>
      <c r="E1046" s="6" t="s">
        <v>5277</v>
      </c>
      <c r="F1046" s="6" t="s">
        <v>1888</v>
      </c>
      <c r="G1046" s="6" t="s">
        <v>18</v>
      </c>
      <c r="H1046" s="6" t="str">
        <f>IFERROR(VLOOKUP(Table2[[#This Row],[Ticket]],Okey!A:B,2,0),"")</f>
        <v>ok</v>
      </c>
      <c r="I1046" s="6" t="s">
        <v>3679</v>
      </c>
      <c r="J1046" s="6" t="str">
        <f>VLOOKUP(Table2[[#This Row],[Author]],People!A:B,2,0)</f>
        <v>EL</v>
      </c>
      <c r="K1046" s="6"/>
      <c r="L1046" s="6"/>
      <c r="M1046" s="21" t="s">
        <v>2804</v>
      </c>
    </row>
    <row r="1047" spans="1:13" x14ac:dyDescent="0.25">
      <c r="A1047" s="23">
        <f t="shared" si="16"/>
        <v>1046</v>
      </c>
      <c r="B1047" s="7" t="s">
        <v>4851</v>
      </c>
      <c r="C1047" s="7" t="s">
        <v>5206</v>
      </c>
      <c r="D1047" s="7" t="s">
        <v>1892</v>
      </c>
      <c r="E1047" s="7" t="s">
        <v>5278</v>
      </c>
      <c r="F1047" s="7" t="s">
        <v>1888</v>
      </c>
      <c r="G1047" s="7" t="s">
        <v>18</v>
      </c>
      <c r="H1047" s="7" t="str">
        <f>IFERROR(VLOOKUP(Table2[[#This Row],[Ticket]],Okey!A:B,2,0),"")</f>
        <v>ok</v>
      </c>
      <c r="I1047" s="7" t="s">
        <v>3679</v>
      </c>
      <c r="J1047" s="7" t="str">
        <f>VLOOKUP(Table2[[#This Row],[Author]],People!A:B,2,0)</f>
        <v>EL</v>
      </c>
      <c r="K1047" s="7"/>
      <c r="L1047" s="7"/>
      <c r="M1047" s="16" t="s">
        <v>2804</v>
      </c>
    </row>
    <row r="1048" spans="1:13" x14ac:dyDescent="0.25">
      <c r="A1048" s="22">
        <f t="shared" si="16"/>
        <v>1047</v>
      </c>
      <c r="B1048" s="6" t="s">
        <v>4851</v>
      </c>
      <c r="C1048" s="6" t="s">
        <v>5206</v>
      </c>
      <c r="D1048" s="6" t="s">
        <v>1894</v>
      </c>
      <c r="E1048" s="6" t="s">
        <v>5279</v>
      </c>
      <c r="F1048" s="6" t="s">
        <v>1884</v>
      </c>
      <c r="G1048" s="6" t="s">
        <v>18</v>
      </c>
      <c r="H1048" s="6" t="str">
        <f>IFERROR(VLOOKUP(Table2[[#This Row],[Ticket]],Okey!A:B,2,0),"")</f>
        <v>ok</v>
      </c>
      <c r="I1048" s="6" t="s">
        <v>3679</v>
      </c>
      <c r="J1048" s="6" t="str">
        <f>VLOOKUP(Table2[[#This Row],[Author]],People!A:B,2,0)</f>
        <v>EL</v>
      </c>
      <c r="K1048" s="6"/>
      <c r="L1048" s="6"/>
      <c r="M1048" s="21" t="s">
        <v>2804</v>
      </c>
    </row>
    <row r="1049" spans="1:13" x14ac:dyDescent="0.25">
      <c r="A1049" s="23">
        <f t="shared" si="16"/>
        <v>1048</v>
      </c>
      <c r="B1049" s="7" t="s">
        <v>4851</v>
      </c>
      <c r="C1049" s="7" t="s">
        <v>5206</v>
      </c>
      <c r="D1049" s="7" t="s">
        <v>1896</v>
      </c>
      <c r="E1049" s="7" t="s">
        <v>5280</v>
      </c>
      <c r="F1049" s="7" t="s">
        <v>1884</v>
      </c>
      <c r="G1049" s="7" t="s">
        <v>18</v>
      </c>
      <c r="H1049" s="7" t="str">
        <f>IFERROR(VLOOKUP(Table2[[#This Row],[Ticket]],Okey!A:B,2,0),"")</f>
        <v>ok</v>
      </c>
      <c r="I1049" s="7" t="s">
        <v>3679</v>
      </c>
      <c r="J1049" s="7" t="str">
        <f>VLOOKUP(Table2[[#This Row],[Author]],People!A:B,2,0)</f>
        <v>EL</v>
      </c>
      <c r="K1049" s="7"/>
      <c r="L1049" s="7"/>
      <c r="M1049" s="16" t="s">
        <v>2804</v>
      </c>
    </row>
    <row r="1050" spans="1:13" x14ac:dyDescent="0.25">
      <c r="A1050" s="22">
        <f t="shared" si="16"/>
        <v>1049</v>
      </c>
      <c r="B1050" s="6" t="s">
        <v>4851</v>
      </c>
      <c r="C1050" s="6" t="s">
        <v>5206</v>
      </c>
      <c r="D1050" s="6" t="s">
        <v>1902</v>
      </c>
      <c r="E1050" s="6" t="s">
        <v>5281</v>
      </c>
      <c r="F1050" s="6" t="s">
        <v>5282</v>
      </c>
      <c r="G1050" s="6" t="s">
        <v>18</v>
      </c>
      <c r="H1050" s="6" t="str">
        <f>IFERROR(VLOOKUP(Table2[[#This Row],[Ticket]],Okey!A:B,2,0),"")</f>
        <v>ok</v>
      </c>
      <c r="I1050" s="6" t="s">
        <v>3679</v>
      </c>
      <c r="J1050" s="6" t="str">
        <f>VLOOKUP(Table2[[#This Row],[Author]],People!A:B,2,0)</f>
        <v>EL</v>
      </c>
      <c r="K1050" s="6"/>
      <c r="L1050" s="6"/>
      <c r="M1050" s="21" t="s">
        <v>2804</v>
      </c>
    </row>
    <row r="1051" spans="1:13" x14ac:dyDescent="0.25">
      <c r="A1051" s="23">
        <f t="shared" si="16"/>
        <v>1050</v>
      </c>
      <c r="B1051" s="7" t="s">
        <v>4851</v>
      </c>
      <c r="C1051" s="7" t="s">
        <v>5206</v>
      </c>
      <c r="D1051" s="7" t="s">
        <v>1904</v>
      </c>
      <c r="E1051" s="7" t="s">
        <v>5283</v>
      </c>
      <c r="F1051" s="7" t="s">
        <v>5282</v>
      </c>
      <c r="G1051" s="7" t="s">
        <v>18</v>
      </c>
      <c r="H1051" s="7" t="str">
        <f>IFERROR(VLOOKUP(Table2[[#This Row],[Ticket]],Okey!A:B,2,0),"")</f>
        <v>ok</v>
      </c>
      <c r="I1051" s="7" t="s">
        <v>3679</v>
      </c>
      <c r="J1051" s="7" t="str">
        <f>VLOOKUP(Table2[[#This Row],[Author]],People!A:B,2,0)</f>
        <v>EL</v>
      </c>
      <c r="K1051" s="7"/>
      <c r="L1051" s="7"/>
      <c r="M1051" s="16" t="s">
        <v>2804</v>
      </c>
    </row>
    <row r="1052" spans="1:13" x14ac:dyDescent="0.25">
      <c r="A1052" s="22">
        <f t="shared" si="16"/>
        <v>1051</v>
      </c>
      <c r="B1052" s="6" t="s">
        <v>4851</v>
      </c>
      <c r="C1052" s="6" t="s">
        <v>5206</v>
      </c>
      <c r="D1052" s="6" t="s">
        <v>5284</v>
      </c>
      <c r="E1052" s="6" t="s">
        <v>5285</v>
      </c>
      <c r="F1052" s="6" t="s">
        <v>1904</v>
      </c>
      <c r="G1052" s="6" t="s">
        <v>18</v>
      </c>
      <c r="H1052" s="6" t="str">
        <f>IFERROR(VLOOKUP(Table2[[#This Row],[Ticket]],Okey!A:B,2,0),"")</f>
        <v>ok</v>
      </c>
      <c r="I1052" s="6" t="s">
        <v>3679</v>
      </c>
      <c r="J1052" s="6" t="str">
        <f>VLOOKUP(Table2[[#This Row],[Author]],People!A:B,2,0)</f>
        <v>EL</v>
      </c>
      <c r="K1052" s="6"/>
      <c r="L1052" s="6"/>
      <c r="M1052" s="21" t="s">
        <v>2804</v>
      </c>
    </row>
    <row r="1053" spans="1:13" x14ac:dyDescent="0.25">
      <c r="A1053" s="23">
        <f t="shared" si="16"/>
        <v>1052</v>
      </c>
      <c r="B1053" s="7" t="s">
        <v>4851</v>
      </c>
      <c r="C1053" s="7" t="s">
        <v>5206</v>
      </c>
      <c r="D1053" s="7" t="s">
        <v>1906</v>
      </c>
      <c r="E1053" s="7" t="s">
        <v>5286</v>
      </c>
      <c r="F1053" s="7" t="s">
        <v>1904</v>
      </c>
      <c r="G1053" s="7" t="s">
        <v>18</v>
      </c>
      <c r="H1053" s="7" t="str">
        <f>IFERROR(VLOOKUP(Table2[[#This Row],[Ticket]],Okey!A:B,2,0),"")</f>
        <v>ok</v>
      </c>
      <c r="I1053" s="7" t="s">
        <v>3679</v>
      </c>
      <c r="J1053" s="7" t="str">
        <f>VLOOKUP(Table2[[#This Row],[Author]],People!A:B,2,0)</f>
        <v>EL</v>
      </c>
      <c r="K1053" s="7"/>
      <c r="L1053" s="7"/>
      <c r="M1053" s="16" t="s">
        <v>2804</v>
      </c>
    </row>
    <row r="1054" spans="1:13" x14ac:dyDescent="0.25">
      <c r="A1054" s="22">
        <f t="shared" si="16"/>
        <v>1053</v>
      </c>
      <c r="B1054" s="6" t="s">
        <v>4851</v>
      </c>
      <c r="C1054" s="6" t="s">
        <v>5206</v>
      </c>
      <c r="D1054" s="6" t="s">
        <v>2816</v>
      </c>
      <c r="E1054" s="6" t="s">
        <v>5287</v>
      </c>
      <c r="F1054" s="6" t="s">
        <v>1904</v>
      </c>
      <c r="G1054" s="6" t="s">
        <v>18</v>
      </c>
      <c r="H1054" s="6" t="str">
        <f>IFERROR(VLOOKUP(Table2[[#This Row],[Ticket]],Okey!A:B,2,0),"")</f>
        <v>ok</v>
      </c>
      <c r="I1054" s="6" t="s">
        <v>3679</v>
      </c>
      <c r="J1054" s="6" t="str">
        <f>VLOOKUP(Table2[[#This Row],[Author]],People!A:B,2,0)</f>
        <v>EL</v>
      </c>
      <c r="K1054" s="6"/>
      <c r="L1054" s="6"/>
      <c r="M1054" s="21" t="s">
        <v>2804</v>
      </c>
    </row>
    <row r="1055" spans="1:13" x14ac:dyDescent="0.25">
      <c r="A1055" s="23">
        <f t="shared" si="16"/>
        <v>1054</v>
      </c>
      <c r="B1055" s="7" t="s">
        <v>4851</v>
      </c>
      <c r="C1055" s="7" t="s">
        <v>5206</v>
      </c>
      <c r="D1055" s="7" t="s">
        <v>1914</v>
      </c>
      <c r="E1055" s="7" t="s">
        <v>5288</v>
      </c>
      <c r="F1055" s="7" t="s">
        <v>1900</v>
      </c>
      <c r="G1055" s="7" t="s">
        <v>18</v>
      </c>
      <c r="H1055" s="7" t="str">
        <f>IFERROR(VLOOKUP(Table2[[#This Row],[Ticket]],Okey!A:B,2,0),"")</f>
        <v>ok</v>
      </c>
      <c r="I1055" s="7" t="s">
        <v>3679</v>
      </c>
      <c r="J1055" s="7" t="str">
        <f>VLOOKUP(Table2[[#This Row],[Author]],People!A:B,2,0)</f>
        <v>EL</v>
      </c>
      <c r="K1055" s="7"/>
      <c r="L1055" s="7"/>
      <c r="M1055" s="16" t="s">
        <v>2804</v>
      </c>
    </row>
    <row r="1056" spans="1:13" x14ac:dyDescent="0.25">
      <c r="A1056" s="22">
        <f t="shared" si="16"/>
        <v>1055</v>
      </c>
      <c r="B1056" s="6" t="s">
        <v>4851</v>
      </c>
      <c r="C1056" s="6" t="s">
        <v>5206</v>
      </c>
      <c r="D1056" s="6" t="s">
        <v>2822</v>
      </c>
      <c r="E1056" s="6" t="s">
        <v>5289</v>
      </c>
      <c r="F1056" s="6" t="s">
        <v>1914</v>
      </c>
      <c r="G1056" s="6" t="s">
        <v>18</v>
      </c>
      <c r="H1056" s="6" t="str">
        <f>IFERROR(VLOOKUP(Table2[[#This Row],[Ticket]],Okey!A:B,2,0),"")</f>
        <v>ok</v>
      </c>
      <c r="I1056" s="6" t="s">
        <v>3679</v>
      </c>
      <c r="J1056" s="6" t="str">
        <f>VLOOKUP(Table2[[#This Row],[Author]],People!A:B,2,0)</f>
        <v>EL</v>
      </c>
      <c r="K1056" s="6"/>
      <c r="L1056" s="6"/>
      <c r="M1056" s="21" t="s">
        <v>2804</v>
      </c>
    </row>
    <row r="1057" spans="1:13" x14ac:dyDescent="0.25">
      <c r="A1057" s="23">
        <f t="shared" si="16"/>
        <v>1056</v>
      </c>
      <c r="B1057" s="7" t="s">
        <v>4851</v>
      </c>
      <c r="C1057" s="7" t="s">
        <v>5206</v>
      </c>
      <c r="D1057" s="7" t="s">
        <v>2824</v>
      </c>
      <c r="E1057" s="7" t="s">
        <v>5290</v>
      </c>
      <c r="F1057" s="7" t="s">
        <v>1914</v>
      </c>
      <c r="G1057" s="7" t="s">
        <v>18</v>
      </c>
      <c r="H1057" s="7" t="str">
        <f>IFERROR(VLOOKUP(Table2[[#This Row],[Ticket]],Okey!A:B,2,0),"")</f>
        <v>ok</v>
      </c>
      <c r="I1057" s="7" t="s">
        <v>3679</v>
      </c>
      <c r="J1057" s="7" t="str">
        <f>VLOOKUP(Table2[[#This Row],[Author]],People!A:B,2,0)</f>
        <v>EL</v>
      </c>
      <c r="K1057" s="7"/>
      <c r="L1057" s="7"/>
      <c r="M1057" s="16" t="s">
        <v>2804</v>
      </c>
    </row>
    <row r="1058" spans="1:13" x14ac:dyDescent="0.25">
      <c r="A1058" s="22">
        <f t="shared" si="16"/>
        <v>1057</v>
      </c>
      <c r="B1058" s="6" t="s">
        <v>4851</v>
      </c>
      <c r="C1058" s="6" t="s">
        <v>5206</v>
      </c>
      <c r="D1058" s="6" t="s">
        <v>2826</v>
      </c>
      <c r="E1058" s="6" t="s">
        <v>5291</v>
      </c>
      <c r="F1058" s="6" t="s">
        <v>1914</v>
      </c>
      <c r="G1058" s="6" t="s">
        <v>18</v>
      </c>
      <c r="H1058" s="6" t="str">
        <f>IFERROR(VLOOKUP(Table2[[#This Row],[Ticket]],Okey!A:B,2,0),"")</f>
        <v>ok</v>
      </c>
      <c r="I1058" s="6" t="s">
        <v>3679</v>
      </c>
      <c r="J1058" s="6" t="str">
        <f>VLOOKUP(Table2[[#This Row],[Author]],People!A:B,2,0)</f>
        <v>EL</v>
      </c>
      <c r="K1058" s="6"/>
      <c r="L1058" s="6"/>
      <c r="M1058" s="21" t="s">
        <v>2804</v>
      </c>
    </row>
    <row r="1059" spans="1:13" x14ac:dyDescent="0.25">
      <c r="A1059" s="23">
        <f t="shared" si="16"/>
        <v>1058</v>
      </c>
      <c r="B1059" s="7" t="s">
        <v>4851</v>
      </c>
      <c r="C1059" s="7" t="s">
        <v>5206</v>
      </c>
      <c r="D1059" s="7" t="s">
        <v>2828</v>
      </c>
      <c r="E1059" s="7" t="s">
        <v>5292</v>
      </c>
      <c r="F1059" s="7" t="s">
        <v>1914</v>
      </c>
      <c r="G1059" s="7" t="s">
        <v>18</v>
      </c>
      <c r="H1059" s="7" t="str">
        <f>IFERROR(VLOOKUP(Table2[[#This Row],[Ticket]],Okey!A:B,2,0),"")</f>
        <v>ok</v>
      </c>
      <c r="I1059" s="7" t="s">
        <v>3679</v>
      </c>
      <c r="J1059" s="7" t="str">
        <f>VLOOKUP(Table2[[#This Row],[Author]],People!A:B,2,0)</f>
        <v>EL</v>
      </c>
      <c r="K1059" s="7"/>
      <c r="L1059" s="7"/>
      <c r="M1059" s="16" t="s">
        <v>2804</v>
      </c>
    </row>
    <row r="1060" spans="1:13" x14ac:dyDescent="0.25">
      <c r="A1060" s="22">
        <f t="shared" si="16"/>
        <v>1059</v>
      </c>
      <c r="B1060" s="6" t="s">
        <v>4851</v>
      </c>
      <c r="C1060" s="6" t="s">
        <v>5206</v>
      </c>
      <c r="D1060" s="6" t="s">
        <v>3480</v>
      </c>
      <c r="E1060" s="6" t="s">
        <v>3481</v>
      </c>
      <c r="F1060" s="6" t="s">
        <v>1866</v>
      </c>
      <c r="G1060" s="6" t="s">
        <v>18</v>
      </c>
      <c r="H1060" s="6" t="str">
        <f>IFERROR(VLOOKUP(Table2[[#This Row],[Ticket]],Okey!A:B,2,0),"")</f>
        <v>ok</v>
      </c>
      <c r="I1060" s="6" t="s">
        <v>3679</v>
      </c>
      <c r="J1060" s="6" t="str">
        <f>VLOOKUP(Table2[[#This Row],[Author]],People!A:B,2,0)</f>
        <v>EL</v>
      </c>
      <c r="K1060" s="6"/>
      <c r="L1060" s="6"/>
      <c r="M1060" s="21" t="s">
        <v>2804</v>
      </c>
    </row>
    <row r="1061" spans="1:13" x14ac:dyDescent="0.25">
      <c r="A1061" s="23">
        <f t="shared" si="16"/>
        <v>1060</v>
      </c>
      <c r="B1061" s="7" t="s">
        <v>4851</v>
      </c>
      <c r="C1061" s="7" t="s">
        <v>5206</v>
      </c>
      <c r="D1061" s="7" t="s">
        <v>3504</v>
      </c>
      <c r="E1061" s="7" t="s">
        <v>3505</v>
      </c>
      <c r="F1061" s="7" t="s">
        <v>1866</v>
      </c>
      <c r="G1061" s="7" t="s">
        <v>18</v>
      </c>
      <c r="H1061" s="7" t="str">
        <f>IFERROR(VLOOKUP(Table2[[#This Row],[Ticket]],Okey!A:B,2,0),"")</f>
        <v>ok</v>
      </c>
      <c r="I1061" s="7" t="s">
        <v>3679</v>
      </c>
      <c r="J1061" s="7" t="str">
        <f>VLOOKUP(Table2[[#This Row],[Author]],People!A:B,2,0)</f>
        <v>EL</v>
      </c>
      <c r="K1061" s="7"/>
      <c r="L1061" s="7"/>
      <c r="M1061" s="16" t="s">
        <v>2804</v>
      </c>
    </row>
    <row r="1062" spans="1:13" x14ac:dyDescent="0.25">
      <c r="A1062" s="22">
        <f t="shared" si="16"/>
        <v>1061</v>
      </c>
      <c r="B1062" s="6" t="s">
        <v>4851</v>
      </c>
      <c r="C1062" s="6" t="s">
        <v>5206</v>
      </c>
      <c r="D1062" s="6" t="s">
        <v>3508</v>
      </c>
      <c r="E1062" s="6" t="s">
        <v>3509</v>
      </c>
      <c r="F1062" s="6" t="s">
        <v>3506</v>
      </c>
      <c r="G1062" s="6" t="s">
        <v>18</v>
      </c>
      <c r="H1062" s="6" t="str">
        <f>IFERROR(VLOOKUP(Table2[[#This Row],[Ticket]],Okey!A:B,2,0),"")</f>
        <v>ok</v>
      </c>
      <c r="I1062" s="6" t="s">
        <v>3679</v>
      </c>
      <c r="J1062" s="6" t="str">
        <f>VLOOKUP(Table2[[#This Row],[Author]],People!A:B,2,0)</f>
        <v>EL</v>
      </c>
      <c r="K1062" s="6"/>
      <c r="L1062" s="6"/>
      <c r="M1062" s="21" t="s">
        <v>2804</v>
      </c>
    </row>
    <row r="1063" spans="1:13" x14ac:dyDescent="0.25">
      <c r="A1063" s="23">
        <f t="shared" si="16"/>
        <v>1062</v>
      </c>
      <c r="B1063" s="7" t="s">
        <v>4851</v>
      </c>
      <c r="C1063" s="7" t="s">
        <v>5206</v>
      </c>
      <c r="D1063" s="7" t="s">
        <v>3532</v>
      </c>
      <c r="E1063" s="7" t="s">
        <v>3533</v>
      </c>
      <c r="F1063" s="7" t="s">
        <v>3506</v>
      </c>
      <c r="G1063" s="7" t="s">
        <v>18</v>
      </c>
      <c r="H1063" s="7" t="str">
        <f>IFERROR(VLOOKUP(Table2[[#This Row],[Ticket]],Okey!A:B,2,0),"")</f>
        <v>ok</v>
      </c>
      <c r="I1063" s="7" t="s">
        <v>3679</v>
      </c>
      <c r="J1063" s="7" t="str">
        <f>VLOOKUP(Table2[[#This Row],[Author]],People!A:B,2,0)</f>
        <v>EL</v>
      </c>
      <c r="K1063" s="7"/>
      <c r="L1063" s="7"/>
      <c r="M1063" s="16" t="s">
        <v>2804</v>
      </c>
    </row>
    <row r="1064" spans="1:13" x14ac:dyDescent="0.25">
      <c r="A1064" s="22">
        <f t="shared" si="16"/>
        <v>1063</v>
      </c>
      <c r="B1064" s="6" t="s">
        <v>4851</v>
      </c>
      <c r="C1064" s="6" t="s">
        <v>5206</v>
      </c>
      <c r="D1064" s="6" t="s">
        <v>3564</v>
      </c>
      <c r="E1064" s="6" t="s">
        <v>3565</v>
      </c>
      <c r="F1064" s="6" t="s">
        <v>3562</v>
      </c>
      <c r="G1064" s="6" t="s">
        <v>18</v>
      </c>
      <c r="H1064" s="6" t="str">
        <f>IFERROR(VLOOKUP(Table2[[#This Row],[Ticket]],Okey!A:B,2,0),"")</f>
        <v>ok</v>
      </c>
      <c r="I1064" s="6" t="s">
        <v>3679</v>
      </c>
      <c r="J1064" s="6" t="str">
        <f>VLOOKUP(Table2[[#This Row],[Author]],People!A:B,2,0)</f>
        <v>EL</v>
      </c>
      <c r="K1064" s="6"/>
      <c r="L1064" s="6"/>
      <c r="M1064" s="21" t="s">
        <v>2804</v>
      </c>
    </row>
    <row r="1065" spans="1:13" x14ac:dyDescent="0.25">
      <c r="A1065" s="23">
        <f t="shared" si="16"/>
        <v>1064</v>
      </c>
      <c r="B1065" s="7" t="s">
        <v>4851</v>
      </c>
      <c r="C1065" s="7" t="s">
        <v>5206</v>
      </c>
      <c r="D1065" s="7" t="s">
        <v>3566</v>
      </c>
      <c r="E1065" s="7" t="s">
        <v>5293</v>
      </c>
      <c r="F1065" s="7" t="s">
        <v>3564</v>
      </c>
      <c r="G1065" s="7" t="s">
        <v>18</v>
      </c>
      <c r="H1065" s="7" t="str">
        <f>IFERROR(VLOOKUP(Table2[[#This Row],[Ticket]],Okey!A:B,2,0),"")</f>
        <v>ok</v>
      </c>
      <c r="I1065" s="7" t="s">
        <v>3679</v>
      </c>
      <c r="J1065" s="7" t="str">
        <f>VLOOKUP(Table2[[#This Row],[Author]],People!A:B,2,0)</f>
        <v>EL</v>
      </c>
      <c r="K1065" s="7"/>
      <c r="L1065" s="7"/>
      <c r="M1065" s="16" t="s">
        <v>2804</v>
      </c>
    </row>
    <row r="1066" spans="1:13" x14ac:dyDescent="0.25">
      <c r="A1066" s="22">
        <f t="shared" si="16"/>
        <v>1065</v>
      </c>
      <c r="B1066" s="6" t="s">
        <v>4851</v>
      </c>
      <c r="C1066" s="6" t="s">
        <v>5206</v>
      </c>
      <c r="D1066" s="6" t="s">
        <v>5294</v>
      </c>
      <c r="E1066" s="6" t="s">
        <v>5295</v>
      </c>
      <c r="F1066" s="6" t="s">
        <v>5296</v>
      </c>
      <c r="G1066" s="6" t="s">
        <v>18</v>
      </c>
      <c r="H1066" s="6" t="str">
        <f>IFERROR(VLOOKUP(Table2[[#This Row],[Ticket]],Okey!A:B,2,0),"")</f>
        <v>ok</v>
      </c>
      <c r="I1066" s="6" t="s">
        <v>3679</v>
      </c>
      <c r="J1066" s="6" t="str">
        <f>VLOOKUP(Table2[[#This Row],[Author]],People!A:B,2,0)</f>
        <v>EL</v>
      </c>
      <c r="K1066" s="6"/>
      <c r="L1066" s="6"/>
      <c r="M1066" s="21" t="s">
        <v>2804</v>
      </c>
    </row>
    <row r="1067" spans="1:13" x14ac:dyDescent="0.25">
      <c r="A1067" s="23">
        <f t="shared" si="16"/>
        <v>1066</v>
      </c>
      <c r="B1067" s="7" t="s">
        <v>4851</v>
      </c>
      <c r="C1067" s="7" t="s">
        <v>5206</v>
      </c>
      <c r="D1067" s="7" t="s">
        <v>5297</v>
      </c>
      <c r="E1067" s="7" t="s">
        <v>5298</v>
      </c>
      <c r="F1067" s="7" t="s">
        <v>5296</v>
      </c>
      <c r="G1067" s="7" t="s">
        <v>18</v>
      </c>
      <c r="H1067" s="7" t="str">
        <f>IFERROR(VLOOKUP(Table2[[#This Row],[Ticket]],Okey!A:B,2,0),"")</f>
        <v>ok</v>
      </c>
      <c r="I1067" s="7" t="s">
        <v>3679</v>
      </c>
      <c r="J1067" s="7" t="str">
        <f>VLOOKUP(Table2[[#This Row],[Author]],People!A:B,2,0)</f>
        <v>EL</v>
      </c>
      <c r="K1067" s="7"/>
      <c r="L1067" s="7"/>
      <c r="M1067" s="16" t="s">
        <v>2804</v>
      </c>
    </row>
    <row r="1068" spans="1:13" x14ac:dyDescent="0.25">
      <c r="A1068" s="22">
        <f t="shared" si="16"/>
        <v>1067</v>
      </c>
      <c r="B1068" s="6" t="s">
        <v>4851</v>
      </c>
      <c r="C1068" s="6" t="s">
        <v>5206</v>
      </c>
      <c r="D1068" s="6" t="s">
        <v>3572</v>
      </c>
      <c r="E1068" s="6" t="s">
        <v>5299</v>
      </c>
      <c r="F1068" s="6" t="s">
        <v>3564</v>
      </c>
      <c r="G1068" s="6" t="s">
        <v>18</v>
      </c>
      <c r="H1068" s="6" t="str">
        <f>IFERROR(VLOOKUP(Table2[[#This Row],[Ticket]],Okey!A:B,2,0),"")</f>
        <v>ok</v>
      </c>
      <c r="I1068" s="6" t="s">
        <v>3679</v>
      </c>
      <c r="J1068" s="6" t="str">
        <f>VLOOKUP(Table2[[#This Row],[Author]],People!A:B,2,0)</f>
        <v>EL</v>
      </c>
      <c r="K1068" s="6"/>
      <c r="L1068" s="6"/>
      <c r="M1068" s="21" t="s">
        <v>2804</v>
      </c>
    </row>
    <row r="1069" spans="1:13" x14ac:dyDescent="0.25">
      <c r="A1069" s="23">
        <f t="shared" si="16"/>
        <v>1068</v>
      </c>
      <c r="B1069" s="7" t="s">
        <v>4851</v>
      </c>
      <c r="C1069" s="7" t="s">
        <v>5206</v>
      </c>
      <c r="D1069" s="7" t="s">
        <v>5300</v>
      </c>
      <c r="E1069" s="7" t="s">
        <v>5301</v>
      </c>
      <c r="F1069" s="7" t="s">
        <v>5296</v>
      </c>
      <c r="G1069" s="7" t="s">
        <v>18</v>
      </c>
      <c r="H1069" s="7" t="str">
        <f>IFERROR(VLOOKUP(Table2[[#This Row],[Ticket]],Okey!A:B,2,0),"")</f>
        <v>ok</v>
      </c>
      <c r="I1069" s="7" t="s">
        <v>3679</v>
      </c>
      <c r="J1069" s="7" t="str">
        <f>VLOOKUP(Table2[[#This Row],[Author]],People!A:B,2,0)</f>
        <v>EL</v>
      </c>
      <c r="K1069" s="7"/>
      <c r="L1069" s="7"/>
      <c r="M1069" s="16" t="s">
        <v>2804</v>
      </c>
    </row>
    <row r="1070" spans="1:13" x14ac:dyDescent="0.25">
      <c r="A1070" s="22">
        <f t="shared" si="16"/>
        <v>1069</v>
      </c>
      <c r="B1070" s="6" t="s">
        <v>4851</v>
      </c>
      <c r="C1070" s="6" t="s">
        <v>5206</v>
      </c>
      <c r="D1070" s="6" t="s">
        <v>5302</v>
      </c>
      <c r="E1070" s="6" t="s">
        <v>5303</v>
      </c>
      <c r="F1070" s="6" t="s">
        <v>5296</v>
      </c>
      <c r="G1070" s="6" t="s">
        <v>18</v>
      </c>
      <c r="H1070" s="6" t="str">
        <f>IFERROR(VLOOKUP(Table2[[#This Row],[Ticket]],Okey!A:B,2,0),"")</f>
        <v>ok</v>
      </c>
      <c r="I1070" s="6" t="s">
        <v>3679</v>
      </c>
      <c r="J1070" s="6" t="str">
        <f>VLOOKUP(Table2[[#This Row],[Author]],People!A:B,2,0)</f>
        <v>EL</v>
      </c>
      <c r="K1070" s="6"/>
      <c r="L1070" s="6"/>
      <c r="M1070" s="21" t="s">
        <v>2804</v>
      </c>
    </row>
    <row r="1071" spans="1:13" x14ac:dyDescent="0.25">
      <c r="A1071" s="23">
        <f t="shared" si="16"/>
        <v>1070</v>
      </c>
      <c r="B1071" s="7" t="s">
        <v>4851</v>
      </c>
      <c r="C1071" s="7" t="s">
        <v>5206</v>
      </c>
      <c r="D1071" s="7" t="s">
        <v>3578</v>
      </c>
      <c r="E1071" s="7" t="s">
        <v>3579</v>
      </c>
      <c r="F1071" s="7" t="s">
        <v>3562</v>
      </c>
      <c r="G1071" s="7" t="s">
        <v>18</v>
      </c>
      <c r="H1071" s="7" t="str">
        <f>IFERROR(VLOOKUP(Table2[[#This Row],[Ticket]],Okey!A:B,2,0),"")</f>
        <v>ok</v>
      </c>
      <c r="I1071" s="7" t="s">
        <v>3679</v>
      </c>
      <c r="J1071" s="7" t="str">
        <f>VLOOKUP(Table2[[#This Row],[Author]],People!A:B,2,0)</f>
        <v>EL</v>
      </c>
      <c r="K1071" s="7"/>
      <c r="L1071" s="7"/>
      <c r="M1071" s="16" t="s">
        <v>2804</v>
      </c>
    </row>
    <row r="1072" spans="1:13" x14ac:dyDescent="0.25">
      <c r="A1072" s="22">
        <f t="shared" si="16"/>
        <v>1071</v>
      </c>
      <c r="B1072" s="6" t="s">
        <v>4851</v>
      </c>
      <c r="C1072" s="6" t="s">
        <v>5206</v>
      </c>
      <c r="D1072" s="6" t="s">
        <v>3582</v>
      </c>
      <c r="E1072" s="6" t="s">
        <v>3583</v>
      </c>
      <c r="F1072" s="6" t="s">
        <v>3580</v>
      </c>
      <c r="G1072" s="6" t="s">
        <v>18</v>
      </c>
      <c r="H1072" s="6" t="str">
        <f>IFERROR(VLOOKUP(Table2[[#This Row],[Ticket]],Okey!A:B,2,0),"")</f>
        <v>ok</v>
      </c>
      <c r="I1072" s="6" t="s">
        <v>3679</v>
      </c>
      <c r="J1072" s="6" t="str">
        <f>VLOOKUP(Table2[[#This Row],[Author]],People!A:B,2,0)</f>
        <v>EL</v>
      </c>
      <c r="K1072" s="6"/>
      <c r="L1072" s="6"/>
      <c r="M1072" s="21" t="s">
        <v>2804</v>
      </c>
    </row>
    <row r="1073" spans="1:13" x14ac:dyDescent="0.25">
      <c r="A1073" s="23">
        <f t="shared" si="16"/>
        <v>1072</v>
      </c>
      <c r="B1073" s="7" t="s">
        <v>4851</v>
      </c>
      <c r="C1073" s="7" t="s">
        <v>5206</v>
      </c>
      <c r="D1073" s="7" t="s">
        <v>3584</v>
      </c>
      <c r="E1073" s="7" t="s">
        <v>5304</v>
      </c>
      <c r="F1073" s="7" t="s">
        <v>3582</v>
      </c>
      <c r="G1073" s="7" t="s">
        <v>18</v>
      </c>
      <c r="H1073" s="7" t="str">
        <f>IFERROR(VLOOKUP(Table2[[#This Row],[Ticket]],Okey!A:B,2,0),"")</f>
        <v>ok</v>
      </c>
      <c r="I1073" s="7" t="s">
        <v>3679</v>
      </c>
      <c r="J1073" s="7" t="str">
        <f>VLOOKUP(Table2[[#This Row],[Author]],People!A:B,2,0)</f>
        <v>EL</v>
      </c>
      <c r="K1073" s="7"/>
      <c r="L1073" s="7"/>
      <c r="M1073" s="16" t="s">
        <v>2804</v>
      </c>
    </row>
    <row r="1074" spans="1:13" x14ac:dyDescent="0.25">
      <c r="A1074" s="22">
        <f t="shared" si="16"/>
        <v>1073</v>
      </c>
      <c r="B1074" s="6" t="s">
        <v>4851</v>
      </c>
      <c r="C1074" s="6" t="s">
        <v>5206</v>
      </c>
      <c r="D1074" s="6" t="s">
        <v>3586</v>
      </c>
      <c r="E1074" s="6" t="s">
        <v>5305</v>
      </c>
      <c r="F1074" s="6" t="s">
        <v>3582</v>
      </c>
      <c r="G1074" s="6" t="s">
        <v>18</v>
      </c>
      <c r="H1074" s="6" t="str">
        <f>IFERROR(VLOOKUP(Table2[[#This Row],[Ticket]],Okey!A:B,2,0),"")</f>
        <v>ok</v>
      </c>
      <c r="I1074" s="6" t="s">
        <v>3679</v>
      </c>
      <c r="J1074" s="6" t="str">
        <f>VLOOKUP(Table2[[#This Row],[Author]],People!A:B,2,0)</f>
        <v>EL</v>
      </c>
      <c r="K1074" s="6"/>
      <c r="L1074" s="6"/>
      <c r="M1074" s="21" t="s">
        <v>2804</v>
      </c>
    </row>
    <row r="1075" spans="1:13" x14ac:dyDescent="0.25">
      <c r="A1075" s="23">
        <f t="shared" si="16"/>
        <v>1074</v>
      </c>
      <c r="B1075" s="7" t="s">
        <v>4851</v>
      </c>
      <c r="C1075" s="7" t="s">
        <v>5206</v>
      </c>
      <c r="D1075" s="7" t="s">
        <v>5306</v>
      </c>
      <c r="E1075" s="7" t="s">
        <v>5307</v>
      </c>
      <c r="F1075" s="7" t="s">
        <v>5308</v>
      </c>
      <c r="G1075" s="7" t="s">
        <v>18</v>
      </c>
      <c r="H1075" s="7" t="str">
        <f>IFERROR(VLOOKUP(Table2[[#This Row],[Ticket]],Okey!A:B,2,0),"")</f>
        <v>ok</v>
      </c>
      <c r="I1075" s="7" t="s">
        <v>3679</v>
      </c>
      <c r="J1075" s="7" t="str">
        <f>VLOOKUP(Table2[[#This Row],[Author]],People!A:B,2,0)</f>
        <v>EL</v>
      </c>
      <c r="K1075" s="7"/>
      <c r="L1075" s="7"/>
      <c r="M1075" s="16" t="s">
        <v>2804</v>
      </c>
    </row>
    <row r="1076" spans="1:13" x14ac:dyDescent="0.25">
      <c r="A1076" s="22">
        <f t="shared" si="16"/>
        <v>1075</v>
      </c>
      <c r="B1076" s="6" t="s">
        <v>4851</v>
      </c>
      <c r="C1076" s="6" t="s">
        <v>5206</v>
      </c>
      <c r="D1076" s="6" t="s">
        <v>5309</v>
      </c>
      <c r="E1076" s="6" t="s">
        <v>5310</v>
      </c>
      <c r="F1076" s="6" t="s">
        <v>5308</v>
      </c>
      <c r="G1076" s="6" t="s">
        <v>18</v>
      </c>
      <c r="H1076" s="6" t="str">
        <f>IFERROR(VLOOKUP(Table2[[#This Row],[Ticket]],Okey!A:B,2,0),"")</f>
        <v>ok</v>
      </c>
      <c r="I1076" s="6" t="s">
        <v>3679</v>
      </c>
      <c r="J1076" s="6" t="str">
        <f>VLOOKUP(Table2[[#This Row],[Author]],People!A:B,2,0)</f>
        <v>EL</v>
      </c>
      <c r="K1076" s="6"/>
      <c r="L1076" s="6"/>
      <c r="M1076" s="21" t="s">
        <v>2804</v>
      </c>
    </row>
    <row r="1077" spans="1:13" x14ac:dyDescent="0.25">
      <c r="A1077" s="23">
        <f t="shared" si="16"/>
        <v>1076</v>
      </c>
      <c r="B1077" s="7" t="s">
        <v>4851</v>
      </c>
      <c r="C1077" s="7" t="s">
        <v>5206</v>
      </c>
      <c r="D1077" s="7" t="s">
        <v>3592</v>
      </c>
      <c r="E1077" s="7" t="s">
        <v>3593</v>
      </c>
      <c r="F1077" s="7" t="s">
        <v>3580</v>
      </c>
      <c r="G1077" s="7" t="s">
        <v>18</v>
      </c>
      <c r="H1077" s="7" t="str">
        <f>IFERROR(VLOOKUP(Table2[[#This Row],[Ticket]],Okey!A:B,2,0),"")</f>
        <v>ok</v>
      </c>
      <c r="I1077" s="7" t="s">
        <v>3679</v>
      </c>
      <c r="J1077" s="7" t="str">
        <f>VLOOKUP(Table2[[#This Row],[Author]],People!A:B,2,0)</f>
        <v>EL</v>
      </c>
      <c r="K1077" s="7"/>
      <c r="L1077" s="7"/>
      <c r="M1077" s="16" t="s">
        <v>2804</v>
      </c>
    </row>
    <row r="1078" spans="1:13" x14ac:dyDescent="0.25">
      <c r="A1078" s="22">
        <f t="shared" si="16"/>
        <v>1077</v>
      </c>
      <c r="B1078" s="6" t="s">
        <v>4851</v>
      </c>
      <c r="C1078" s="6" t="s">
        <v>5206</v>
      </c>
      <c r="D1078" s="6" t="s">
        <v>3596</v>
      </c>
      <c r="E1078" s="6" t="s">
        <v>3597</v>
      </c>
      <c r="F1078" s="6" t="s">
        <v>3594</v>
      </c>
      <c r="G1078" s="6" t="s">
        <v>18</v>
      </c>
      <c r="H1078" s="6" t="str">
        <f>IFERROR(VLOOKUP(Table2[[#This Row],[Ticket]],Okey!A:B,2,0),"")</f>
        <v>ok</v>
      </c>
      <c r="I1078" s="6" t="s">
        <v>3679</v>
      </c>
      <c r="J1078" s="6" t="str">
        <f>VLOOKUP(Table2[[#This Row],[Author]],People!A:B,2,0)</f>
        <v>EL</v>
      </c>
      <c r="K1078" s="6"/>
      <c r="L1078" s="6"/>
      <c r="M1078" s="21" t="s">
        <v>2804</v>
      </c>
    </row>
    <row r="1079" spans="1:13" x14ac:dyDescent="0.25">
      <c r="A1079" s="23">
        <f t="shared" si="16"/>
        <v>1078</v>
      </c>
      <c r="B1079" s="7" t="s">
        <v>4851</v>
      </c>
      <c r="C1079" s="7" t="s">
        <v>5206</v>
      </c>
      <c r="D1079" s="7" t="s">
        <v>3598</v>
      </c>
      <c r="E1079" s="7" t="s">
        <v>5311</v>
      </c>
      <c r="F1079" s="7" t="s">
        <v>3596</v>
      </c>
      <c r="G1079" s="7" t="s">
        <v>18</v>
      </c>
      <c r="H1079" s="7" t="str">
        <f>IFERROR(VLOOKUP(Table2[[#This Row],[Ticket]],Okey!A:B,2,0),"")</f>
        <v>ok</v>
      </c>
      <c r="I1079" s="7" t="s">
        <v>3679</v>
      </c>
      <c r="J1079" s="7" t="str">
        <f>VLOOKUP(Table2[[#This Row],[Author]],People!A:B,2,0)</f>
        <v>EL</v>
      </c>
      <c r="K1079" s="7"/>
      <c r="L1079" s="7"/>
      <c r="M1079" s="16" t="s">
        <v>2804</v>
      </c>
    </row>
    <row r="1080" spans="1:13" x14ac:dyDescent="0.25">
      <c r="A1080" s="22">
        <f t="shared" si="16"/>
        <v>1079</v>
      </c>
      <c r="B1080" s="6" t="s">
        <v>4851</v>
      </c>
      <c r="C1080" s="6" t="s">
        <v>5206</v>
      </c>
      <c r="D1080" s="6" t="s">
        <v>5312</v>
      </c>
      <c r="E1080" s="6" t="s">
        <v>5313</v>
      </c>
      <c r="F1080" s="6" t="s">
        <v>5314</v>
      </c>
      <c r="G1080" s="6" t="s">
        <v>18</v>
      </c>
      <c r="H1080" s="6" t="str">
        <f>IFERROR(VLOOKUP(Table2[[#This Row],[Ticket]],Okey!A:B,2,0),"")</f>
        <v>ok</v>
      </c>
      <c r="I1080" s="6" t="s">
        <v>3679</v>
      </c>
      <c r="J1080" s="6" t="str">
        <f>VLOOKUP(Table2[[#This Row],[Author]],People!A:B,2,0)</f>
        <v>EL</v>
      </c>
      <c r="K1080" s="6"/>
      <c r="L1080" s="6"/>
      <c r="M1080" s="21" t="s">
        <v>2804</v>
      </c>
    </row>
    <row r="1081" spans="1:13" x14ac:dyDescent="0.25">
      <c r="A1081" s="23">
        <f t="shared" si="16"/>
        <v>1080</v>
      </c>
      <c r="B1081" s="7" t="s">
        <v>4851</v>
      </c>
      <c r="C1081" s="7" t="s">
        <v>5206</v>
      </c>
      <c r="D1081" s="7" t="s">
        <v>5315</v>
      </c>
      <c r="E1081" s="7" t="s">
        <v>5316</v>
      </c>
      <c r="F1081" s="7" t="s">
        <v>5314</v>
      </c>
      <c r="G1081" s="7" t="s">
        <v>18</v>
      </c>
      <c r="H1081" s="7" t="str">
        <f>IFERROR(VLOOKUP(Table2[[#This Row],[Ticket]],Okey!A:B,2,0),"")</f>
        <v>ok</v>
      </c>
      <c r="I1081" s="7" t="s">
        <v>3679</v>
      </c>
      <c r="J1081" s="7" t="str">
        <f>VLOOKUP(Table2[[#This Row],[Author]],People!A:B,2,0)</f>
        <v>EL</v>
      </c>
      <c r="K1081" s="7"/>
      <c r="L1081" s="7"/>
      <c r="M1081" s="16" t="s">
        <v>2804</v>
      </c>
    </row>
    <row r="1082" spans="1:13" x14ac:dyDescent="0.25">
      <c r="A1082" s="22">
        <f t="shared" si="16"/>
        <v>1081</v>
      </c>
      <c r="B1082" s="6" t="s">
        <v>4851</v>
      </c>
      <c r="C1082" s="6" t="s">
        <v>5206</v>
      </c>
      <c r="D1082" s="6" t="s">
        <v>3604</v>
      </c>
      <c r="E1082" s="6" t="s">
        <v>5317</v>
      </c>
      <c r="F1082" s="6" t="s">
        <v>3596</v>
      </c>
      <c r="G1082" s="6" t="s">
        <v>18</v>
      </c>
      <c r="H1082" s="6" t="str">
        <f>IFERROR(VLOOKUP(Table2[[#This Row],[Ticket]],Okey!A:B,2,0),"")</f>
        <v>ok</v>
      </c>
      <c r="I1082" s="6" t="s">
        <v>3679</v>
      </c>
      <c r="J1082" s="6" t="str">
        <f>VLOOKUP(Table2[[#This Row],[Author]],People!A:B,2,0)</f>
        <v>EL</v>
      </c>
      <c r="K1082" s="6"/>
      <c r="L1082" s="6"/>
      <c r="M1082" s="21" t="s">
        <v>2804</v>
      </c>
    </row>
    <row r="1083" spans="1:13" x14ac:dyDescent="0.25">
      <c r="A1083" s="23">
        <f t="shared" si="16"/>
        <v>1082</v>
      </c>
      <c r="B1083" s="7" t="s">
        <v>4851</v>
      </c>
      <c r="C1083" s="7" t="s">
        <v>5206</v>
      </c>
      <c r="D1083" s="7" t="s">
        <v>5318</v>
      </c>
      <c r="E1083" s="7" t="s">
        <v>5319</v>
      </c>
      <c r="F1083" s="7" t="s">
        <v>5314</v>
      </c>
      <c r="G1083" s="7" t="s">
        <v>18</v>
      </c>
      <c r="H1083" s="7" t="str">
        <f>IFERROR(VLOOKUP(Table2[[#This Row],[Ticket]],Okey!A:B,2,0),"")</f>
        <v>ok</v>
      </c>
      <c r="I1083" s="7" t="s">
        <v>3679</v>
      </c>
      <c r="J1083" s="7" t="str">
        <f>VLOOKUP(Table2[[#This Row],[Author]],People!A:B,2,0)</f>
        <v>EL</v>
      </c>
      <c r="K1083" s="7"/>
      <c r="L1083" s="7"/>
      <c r="M1083" s="16" t="s">
        <v>2804</v>
      </c>
    </row>
    <row r="1084" spans="1:13" x14ac:dyDescent="0.25">
      <c r="A1084" s="22">
        <f t="shared" si="16"/>
        <v>1083</v>
      </c>
      <c r="B1084" s="6" t="s">
        <v>4851</v>
      </c>
      <c r="C1084" s="6" t="s">
        <v>5206</v>
      </c>
      <c r="D1084" s="6" t="s">
        <v>5320</v>
      </c>
      <c r="E1084" s="6" t="s">
        <v>5321</v>
      </c>
      <c r="F1084" s="6" t="s">
        <v>5314</v>
      </c>
      <c r="G1084" s="6" t="s">
        <v>18</v>
      </c>
      <c r="H1084" s="6" t="str">
        <f>IFERROR(VLOOKUP(Table2[[#This Row],[Ticket]],Okey!A:B,2,0),"")</f>
        <v>ok</v>
      </c>
      <c r="I1084" s="6" t="s">
        <v>3679</v>
      </c>
      <c r="J1084" s="6" t="str">
        <f>VLOOKUP(Table2[[#This Row],[Author]],People!A:B,2,0)</f>
        <v>EL</v>
      </c>
      <c r="K1084" s="6"/>
      <c r="L1084" s="6"/>
      <c r="M1084" s="21" t="s">
        <v>2804</v>
      </c>
    </row>
    <row r="1085" spans="1:13" x14ac:dyDescent="0.25">
      <c r="A1085" s="23">
        <f t="shared" si="16"/>
        <v>1084</v>
      </c>
      <c r="B1085" s="7" t="s">
        <v>4851</v>
      </c>
      <c r="C1085" s="7" t="s">
        <v>5206</v>
      </c>
      <c r="D1085" s="7" t="s">
        <v>3610</v>
      </c>
      <c r="E1085" s="7" t="s">
        <v>5322</v>
      </c>
      <c r="F1085" s="7" t="s">
        <v>3594</v>
      </c>
      <c r="G1085" s="7" t="s">
        <v>18</v>
      </c>
      <c r="H1085" s="7" t="str">
        <f>IFERROR(VLOOKUP(Table2[[#This Row],[Ticket]],Okey!A:B,2,0),"")</f>
        <v>ok</v>
      </c>
      <c r="I1085" s="7" t="s">
        <v>3679</v>
      </c>
      <c r="J1085" s="7" t="str">
        <f>VLOOKUP(Table2[[#This Row],[Author]],People!A:B,2,0)</f>
        <v>EL</v>
      </c>
      <c r="K1085" s="7"/>
      <c r="L1085" s="7"/>
      <c r="M1085" s="16" t="s">
        <v>2804</v>
      </c>
    </row>
    <row r="1086" spans="1:13" x14ac:dyDescent="0.25">
      <c r="A1086" s="22">
        <f t="shared" si="16"/>
        <v>1085</v>
      </c>
      <c r="B1086" s="6" t="s">
        <v>4851</v>
      </c>
      <c r="C1086" s="6" t="s">
        <v>5206</v>
      </c>
      <c r="D1086" s="6" t="s">
        <v>1908</v>
      </c>
      <c r="E1086" s="6" t="s">
        <v>5323</v>
      </c>
      <c r="F1086" s="6" t="s">
        <v>5324</v>
      </c>
      <c r="G1086" s="6" t="s">
        <v>18</v>
      </c>
      <c r="H1086" s="6" t="str">
        <f>IFERROR(VLOOKUP(Table2[[#This Row],[Ticket]],Okey!A:B,2,0),"")</f>
        <v>ok</v>
      </c>
      <c r="I1086" s="6" t="s">
        <v>3679</v>
      </c>
      <c r="J1086" s="6" t="str">
        <f>VLOOKUP(Table2[[#This Row],[Author]],People!A:B,2,0)</f>
        <v>EL</v>
      </c>
      <c r="K1086" s="6"/>
      <c r="L1086" s="6"/>
      <c r="M1086" s="21" t="s">
        <v>2804</v>
      </c>
    </row>
    <row r="1087" spans="1:13" x14ac:dyDescent="0.25">
      <c r="A1087" s="23">
        <f t="shared" si="16"/>
        <v>1086</v>
      </c>
      <c r="B1087" s="7" t="s">
        <v>4851</v>
      </c>
      <c r="C1087" s="7" t="s">
        <v>5206</v>
      </c>
      <c r="D1087" s="7" t="s">
        <v>1910</v>
      </c>
      <c r="E1087" s="7" t="s">
        <v>5325</v>
      </c>
      <c r="F1087" s="7" t="s">
        <v>5324</v>
      </c>
      <c r="G1087" s="7" t="s">
        <v>18</v>
      </c>
      <c r="H1087" s="7" t="str">
        <f>IFERROR(VLOOKUP(Table2[[#This Row],[Ticket]],Okey!A:B,2,0),"")</f>
        <v>ok</v>
      </c>
      <c r="I1087" s="7" t="s">
        <v>3679</v>
      </c>
      <c r="J1087" s="7" t="str">
        <f>VLOOKUP(Table2[[#This Row],[Author]],People!A:B,2,0)</f>
        <v>EL</v>
      </c>
      <c r="K1087" s="7"/>
      <c r="L1087" s="7"/>
      <c r="M1087" s="16" t="s">
        <v>2804</v>
      </c>
    </row>
    <row r="1088" spans="1:13" x14ac:dyDescent="0.25">
      <c r="A1088" s="22">
        <f t="shared" si="16"/>
        <v>1087</v>
      </c>
      <c r="B1088" s="6" t="s">
        <v>4851</v>
      </c>
      <c r="C1088" s="6" t="s">
        <v>5206</v>
      </c>
      <c r="D1088" s="6" t="s">
        <v>1912</v>
      </c>
      <c r="E1088" s="6" t="s">
        <v>5326</v>
      </c>
      <c r="F1088" s="6" t="s">
        <v>5324</v>
      </c>
      <c r="G1088" s="6" t="s">
        <v>18</v>
      </c>
      <c r="H1088" s="6" t="str">
        <f>IFERROR(VLOOKUP(Table2[[#This Row],[Ticket]],Okey!A:B,2,0),"")</f>
        <v>ok</v>
      </c>
      <c r="I1088" s="6" t="s">
        <v>3679</v>
      </c>
      <c r="J1088" s="6" t="str">
        <f>VLOOKUP(Table2[[#This Row],[Author]],People!A:B,2,0)</f>
        <v>EL</v>
      </c>
      <c r="K1088" s="6"/>
      <c r="L1088" s="6"/>
      <c r="M1088" s="21" t="s">
        <v>2804</v>
      </c>
    </row>
    <row r="1089" spans="1:13" x14ac:dyDescent="0.25">
      <c r="A1089" s="23">
        <f t="shared" si="16"/>
        <v>1088</v>
      </c>
      <c r="B1089" s="7" t="s">
        <v>4851</v>
      </c>
      <c r="C1089" s="7" t="s">
        <v>5206</v>
      </c>
      <c r="D1089" s="7" t="s">
        <v>1916</v>
      </c>
      <c r="E1089" s="7" t="s">
        <v>5327</v>
      </c>
      <c r="F1089" s="7" t="s">
        <v>5328</v>
      </c>
      <c r="G1089" s="7" t="s">
        <v>18</v>
      </c>
      <c r="H1089" s="7" t="str">
        <f>IFERROR(VLOOKUP(Table2[[#This Row],[Ticket]],Okey!A:B,2,0),"")</f>
        <v>ok</v>
      </c>
      <c r="I1089" s="7" t="s">
        <v>3679</v>
      </c>
      <c r="J1089" s="7" t="str">
        <f>VLOOKUP(Table2[[#This Row],[Author]],People!A:B,2,0)</f>
        <v>EL</v>
      </c>
      <c r="K1089" s="7"/>
      <c r="L1089" s="7"/>
      <c r="M1089" s="16" t="s">
        <v>2804</v>
      </c>
    </row>
    <row r="1090" spans="1:13" x14ac:dyDescent="0.25">
      <c r="A1090" s="22">
        <f t="shared" si="16"/>
        <v>1089</v>
      </c>
      <c r="B1090" s="6" t="s">
        <v>4851</v>
      </c>
      <c r="C1090" s="6" t="s">
        <v>5206</v>
      </c>
      <c r="D1090" s="6" t="s">
        <v>1918</v>
      </c>
      <c r="E1090" s="6" t="s">
        <v>5329</v>
      </c>
      <c r="F1090" s="6" t="s">
        <v>5328</v>
      </c>
      <c r="G1090" s="6" t="s">
        <v>18</v>
      </c>
      <c r="H1090" s="6" t="str">
        <f>IFERROR(VLOOKUP(Table2[[#This Row],[Ticket]],Okey!A:B,2,0),"")</f>
        <v>ok</v>
      </c>
      <c r="I1090" s="6" t="s">
        <v>3679</v>
      </c>
      <c r="J1090" s="6" t="str">
        <f>VLOOKUP(Table2[[#This Row],[Author]],People!A:B,2,0)</f>
        <v>EL</v>
      </c>
      <c r="K1090" s="6"/>
      <c r="L1090" s="6"/>
      <c r="M1090" s="21" t="s">
        <v>2804</v>
      </c>
    </row>
    <row r="1091" spans="1:13" x14ac:dyDescent="0.25">
      <c r="A1091" s="23">
        <f t="shared" ref="A1091:A1154" si="17">1+A1090</f>
        <v>1090</v>
      </c>
      <c r="B1091" s="7" t="s">
        <v>4851</v>
      </c>
      <c r="C1091" s="7" t="s">
        <v>5206</v>
      </c>
      <c r="D1091" s="7" t="s">
        <v>1920</v>
      </c>
      <c r="E1091" s="7" t="s">
        <v>5330</v>
      </c>
      <c r="F1091" s="7" t="s">
        <v>1918</v>
      </c>
      <c r="G1091" s="7" t="s">
        <v>18</v>
      </c>
      <c r="H1091" s="7" t="str">
        <f>IFERROR(VLOOKUP(Table2[[#This Row],[Ticket]],Okey!A:B,2,0),"")</f>
        <v>ok</v>
      </c>
      <c r="I1091" s="7" t="s">
        <v>3679</v>
      </c>
      <c r="J1091" s="7" t="str">
        <f>VLOOKUP(Table2[[#This Row],[Author]],People!A:B,2,0)</f>
        <v>EL</v>
      </c>
      <c r="K1091" s="7"/>
      <c r="L1091" s="7"/>
      <c r="M1091" s="16" t="s">
        <v>2804</v>
      </c>
    </row>
    <row r="1092" spans="1:13" x14ac:dyDescent="0.25">
      <c r="A1092" s="22">
        <f t="shared" si="17"/>
        <v>1091</v>
      </c>
      <c r="B1092" s="6" t="s">
        <v>4851</v>
      </c>
      <c r="C1092" s="6" t="s">
        <v>5206</v>
      </c>
      <c r="D1092" s="6" t="s">
        <v>1922</v>
      </c>
      <c r="E1092" s="6" t="s">
        <v>5331</v>
      </c>
      <c r="F1092" s="6" t="s">
        <v>1918</v>
      </c>
      <c r="G1092" s="6" t="s">
        <v>18</v>
      </c>
      <c r="H1092" s="6" t="str">
        <f>IFERROR(VLOOKUP(Table2[[#This Row],[Ticket]],Okey!A:B,2,0),"")</f>
        <v>ok</v>
      </c>
      <c r="I1092" s="6" t="s">
        <v>3679</v>
      </c>
      <c r="J1092" s="6" t="str">
        <f>VLOOKUP(Table2[[#This Row],[Author]],People!A:B,2,0)</f>
        <v>EL</v>
      </c>
      <c r="K1092" s="6"/>
      <c r="L1092" s="6"/>
      <c r="M1092" s="21" t="s">
        <v>2804</v>
      </c>
    </row>
    <row r="1093" spans="1:13" x14ac:dyDescent="0.25">
      <c r="A1093" s="23">
        <f t="shared" si="17"/>
        <v>1092</v>
      </c>
      <c r="B1093" s="7" t="s">
        <v>4851</v>
      </c>
      <c r="C1093" s="7" t="s">
        <v>5206</v>
      </c>
      <c r="D1093" s="7" t="s">
        <v>5332</v>
      </c>
      <c r="E1093" s="7" t="s">
        <v>5333</v>
      </c>
      <c r="F1093" s="7" t="s">
        <v>1918</v>
      </c>
      <c r="G1093" s="7" t="s">
        <v>18</v>
      </c>
      <c r="H1093" s="7" t="str">
        <f>IFERROR(VLOOKUP(Table2[[#This Row],[Ticket]],Okey!A:B,2,0),"")</f>
        <v>ok</v>
      </c>
      <c r="I1093" s="7" t="s">
        <v>3679</v>
      </c>
      <c r="J1093" s="7" t="str">
        <f>VLOOKUP(Table2[[#This Row],[Author]],People!A:B,2,0)</f>
        <v>EL</v>
      </c>
      <c r="K1093" s="7"/>
      <c r="L1093" s="7"/>
      <c r="M1093" s="16" t="s">
        <v>2804</v>
      </c>
    </row>
    <row r="1094" spans="1:13" x14ac:dyDescent="0.25">
      <c r="A1094" s="22">
        <f t="shared" si="17"/>
        <v>1093</v>
      </c>
      <c r="B1094" s="6" t="s">
        <v>4851</v>
      </c>
      <c r="C1094" s="6" t="s">
        <v>5206</v>
      </c>
      <c r="D1094" s="6" t="s">
        <v>3393</v>
      </c>
      <c r="E1094" s="6" t="s">
        <v>5334</v>
      </c>
      <c r="F1094" s="6" t="s">
        <v>5332</v>
      </c>
      <c r="G1094" s="6" t="s">
        <v>18</v>
      </c>
      <c r="H1094" s="6" t="str">
        <f>IFERROR(VLOOKUP(Table2[[#This Row],[Ticket]],Okey!A:B,2,0),"")</f>
        <v>ok</v>
      </c>
      <c r="I1094" s="6" t="s">
        <v>3679</v>
      </c>
      <c r="J1094" s="6" t="str">
        <f>VLOOKUP(Table2[[#This Row],[Author]],People!A:B,2,0)</f>
        <v>EL</v>
      </c>
      <c r="K1094" s="6"/>
      <c r="L1094" s="6"/>
      <c r="M1094" s="21" t="s">
        <v>2804</v>
      </c>
    </row>
    <row r="1095" spans="1:13" x14ac:dyDescent="0.25">
      <c r="A1095" s="23">
        <f t="shared" si="17"/>
        <v>1094</v>
      </c>
      <c r="B1095" s="7" t="s">
        <v>4851</v>
      </c>
      <c r="C1095" s="7" t="s">
        <v>5206</v>
      </c>
      <c r="D1095" s="7" t="s">
        <v>3299</v>
      </c>
      <c r="E1095" s="7" t="s">
        <v>3300</v>
      </c>
      <c r="F1095" s="7" t="s">
        <v>1924</v>
      </c>
      <c r="G1095" s="7" t="s">
        <v>18</v>
      </c>
      <c r="H1095" s="7" t="str">
        <f>IFERROR(VLOOKUP(Table2[[#This Row],[Ticket]],Okey!A:B,2,0),"")</f>
        <v>ok</v>
      </c>
      <c r="I1095" s="7" t="s">
        <v>3679</v>
      </c>
      <c r="J1095" s="7" t="str">
        <f>VLOOKUP(Table2[[#This Row],[Author]],People!A:B,2,0)</f>
        <v>EL</v>
      </c>
      <c r="K1095" s="7"/>
      <c r="L1095" s="7"/>
      <c r="M1095" s="16" t="s">
        <v>2804</v>
      </c>
    </row>
    <row r="1096" spans="1:13" x14ac:dyDescent="0.25">
      <c r="A1096" s="22">
        <f t="shared" si="17"/>
        <v>1095</v>
      </c>
      <c r="B1096" s="6" t="s">
        <v>4851</v>
      </c>
      <c r="C1096" s="6" t="s">
        <v>5206</v>
      </c>
      <c r="D1096" s="6" t="s">
        <v>3301</v>
      </c>
      <c r="E1096" s="6" t="s">
        <v>5335</v>
      </c>
      <c r="F1096" s="6" t="s">
        <v>3299</v>
      </c>
      <c r="G1096" s="6" t="s">
        <v>18</v>
      </c>
      <c r="H1096" s="6" t="str">
        <f>IFERROR(VLOOKUP(Table2[[#This Row],[Ticket]],Okey!A:B,2,0),"")</f>
        <v>ok</v>
      </c>
      <c r="I1096" s="6" t="s">
        <v>3679</v>
      </c>
      <c r="J1096" s="6" t="str">
        <f>VLOOKUP(Table2[[#This Row],[Author]],People!A:B,2,0)</f>
        <v>EL</v>
      </c>
      <c r="K1096" s="6"/>
      <c r="L1096" s="6"/>
      <c r="M1096" s="21" t="s">
        <v>2804</v>
      </c>
    </row>
    <row r="1097" spans="1:13" x14ac:dyDescent="0.25">
      <c r="A1097" s="23">
        <f t="shared" si="17"/>
        <v>1096</v>
      </c>
      <c r="B1097" s="7" t="s">
        <v>4851</v>
      </c>
      <c r="C1097" s="7" t="s">
        <v>5206</v>
      </c>
      <c r="D1097" s="7" t="s">
        <v>3303</v>
      </c>
      <c r="E1097" s="7" t="s">
        <v>5336</v>
      </c>
      <c r="F1097" s="7" t="s">
        <v>3299</v>
      </c>
      <c r="G1097" s="7" t="s">
        <v>18</v>
      </c>
      <c r="H1097" s="7" t="str">
        <f>IFERROR(VLOOKUP(Table2[[#This Row],[Ticket]],Okey!A:B,2,0),"")</f>
        <v>ok</v>
      </c>
      <c r="I1097" s="7" t="s">
        <v>3679</v>
      </c>
      <c r="J1097" s="7" t="str">
        <f>VLOOKUP(Table2[[#This Row],[Author]],People!A:B,2,0)</f>
        <v>EL</v>
      </c>
      <c r="K1097" s="7"/>
      <c r="L1097" s="7"/>
      <c r="M1097" s="16" t="s">
        <v>2804</v>
      </c>
    </row>
    <row r="1098" spans="1:13" x14ac:dyDescent="0.25">
      <c r="A1098" s="22">
        <f t="shared" si="17"/>
        <v>1097</v>
      </c>
      <c r="B1098" s="6" t="s">
        <v>4851</v>
      </c>
      <c r="C1098" s="6" t="s">
        <v>5206</v>
      </c>
      <c r="D1098" s="6" t="s">
        <v>3305</v>
      </c>
      <c r="E1098" s="6" t="s">
        <v>5337</v>
      </c>
      <c r="F1098" s="6" t="s">
        <v>3303</v>
      </c>
      <c r="G1098" s="6" t="s">
        <v>18</v>
      </c>
      <c r="H1098" s="6" t="str">
        <f>IFERROR(VLOOKUP(Table2[[#This Row],[Ticket]],Okey!A:B,2,0),"")</f>
        <v>ok</v>
      </c>
      <c r="I1098" s="6" t="s">
        <v>3679</v>
      </c>
      <c r="J1098" s="6" t="str">
        <f>VLOOKUP(Table2[[#This Row],[Author]],People!A:B,2,0)</f>
        <v>EL</v>
      </c>
      <c r="K1098" s="6"/>
      <c r="L1098" s="6"/>
      <c r="M1098" s="21" t="s">
        <v>2804</v>
      </c>
    </row>
    <row r="1099" spans="1:13" x14ac:dyDescent="0.25">
      <c r="A1099" s="23">
        <f t="shared" si="17"/>
        <v>1098</v>
      </c>
      <c r="B1099" s="7" t="s">
        <v>4851</v>
      </c>
      <c r="C1099" s="7" t="s">
        <v>5206</v>
      </c>
      <c r="D1099" s="7" t="s">
        <v>3307</v>
      </c>
      <c r="E1099" s="7" t="s">
        <v>5338</v>
      </c>
      <c r="F1099" s="7" t="s">
        <v>3303</v>
      </c>
      <c r="G1099" s="7" t="s">
        <v>18</v>
      </c>
      <c r="H1099" s="7" t="str">
        <f>IFERROR(VLOOKUP(Table2[[#This Row],[Ticket]],Okey!A:B,2,0),"")</f>
        <v>ok</v>
      </c>
      <c r="I1099" s="7" t="s">
        <v>3679</v>
      </c>
      <c r="J1099" s="7" t="str">
        <f>VLOOKUP(Table2[[#This Row],[Author]],People!A:B,2,0)</f>
        <v>EL</v>
      </c>
      <c r="K1099" s="7"/>
      <c r="L1099" s="7"/>
      <c r="M1099" s="16" t="s">
        <v>2804</v>
      </c>
    </row>
    <row r="1100" spans="1:13" x14ac:dyDescent="0.25">
      <c r="A1100" s="22">
        <f t="shared" si="17"/>
        <v>1099</v>
      </c>
      <c r="B1100" s="6" t="s">
        <v>4851</v>
      </c>
      <c r="C1100" s="6" t="s">
        <v>5206</v>
      </c>
      <c r="D1100" s="6" t="s">
        <v>3309</v>
      </c>
      <c r="E1100" s="6" t="s">
        <v>5339</v>
      </c>
      <c r="F1100" s="6" t="s">
        <v>3303</v>
      </c>
      <c r="G1100" s="6" t="s">
        <v>18</v>
      </c>
      <c r="H1100" s="6" t="str">
        <f>IFERROR(VLOOKUP(Table2[[#This Row],[Ticket]],Okey!A:B,2,0),"")</f>
        <v>ok</v>
      </c>
      <c r="I1100" s="6" t="s">
        <v>3679</v>
      </c>
      <c r="J1100" s="6" t="str">
        <f>VLOOKUP(Table2[[#This Row],[Author]],People!A:B,2,0)</f>
        <v>EL</v>
      </c>
      <c r="K1100" s="6"/>
      <c r="L1100" s="6"/>
      <c r="M1100" s="21" t="s">
        <v>2804</v>
      </c>
    </row>
    <row r="1101" spans="1:13" x14ac:dyDescent="0.25">
      <c r="A1101" s="23">
        <f t="shared" si="17"/>
        <v>1100</v>
      </c>
      <c r="B1101" s="7" t="s">
        <v>4851</v>
      </c>
      <c r="C1101" s="7" t="s">
        <v>5206</v>
      </c>
      <c r="D1101" s="7" t="s">
        <v>3311</v>
      </c>
      <c r="E1101" s="7" t="s">
        <v>3312</v>
      </c>
      <c r="F1101" s="7" t="s">
        <v>1924</v>
      </c>
      <c r="G1101" s="7" t="s">
        <v>18</v>
      </c>
      <c r="H1101" s="7" t="str">
        <f>IFERROR(VLOOKUP(Table2[[#This Row],[Ticket]],Okey!A:B,2,0),"")</f>
        <v>ok</v>
      </c>
      <c r="I1101" s="7" t="s">
        <v>3679</v>
      </c>
      <c r="J1101" s="7" t="str">
        <f>VLOOKUP(Table2[[#This Row],[Author]],People!A:B,2,0)</f>
        <v>EL</v>
      </c>
      <c r="K1101" s="7"/>
      <c r="L1101" s="7"/>
      <c r="M1101" s="16" t="s">
        <v>2804</v>
      </c>
    </row>
    <row r="1102" spans="1:13" x14ac:dyDescent="0.25">
      <c r="A1102" s="22">
        <f t="shared" si="17"/>
        <v>1101</v>
      </c>
      <c r="B1102" s="6" t="s">
        <v>4851</v>
      </c>
      <c r="C1102" s="6" t="s">
        <v>5206</v>
      </c>
      <c r="D1102" s="6" t="s">
        <v>3315</v>
      </c>
      <c r="E1102" s="6" t="s">
        <v>3316</v>
      </c>
      <c r="F1102" s="6" t="s">
        <v>3313</v>
      </c>
      <c r="G1102" s="6" t="s">
        <v>18</v>
      </c>
      <c r="H1102" s="6" t="str">
        <f>IFERROR(VLOOKUP(Table2[[#This Row],[Ticket]],Okey!A:B,2,0),"")</f>
        <v>ok</v>
      </c>
      <c r="I1102" s="6" t="s">
        <v>3679</v>
      </c>
      <c r="J1102" s="6" t="str">
        <f>VLOOKUP(Table2[[#This Row],[Author]],People!A:B,2,0)</f>
        <v>EL</v>
      </c>
      <c r="K1102" s="6"/>
      <c r="L1102" s="6"/>
      <c r="M1102" s="21" t="s">
        <v>2804</v>
      </c>
    </row>
    <row r="1103" spans="1:13" x14ac:dyDescent="0.25">
      <c r="A1103" s="23">
        <f t="shared" si="17"/>
        <v>1102</v>
      </c>
      <c r="B1103" s="7" t="s">
        <v>4851</v>
      </c>
      <c r="C1103" s="7" t="s">
        <v>5206</v>
      </c>
      <c r="D1103" s="7" t="s">
        <v>3317</v>
      </c>
      <c r="E1103" s="7" t="s">
        <v>5340</v>
      </c>
      <c r="F1103" s="7" t="s">
        <v>3315</v>
      </c>
      <c r="G1103" s="7" t="s">
        <v>18</v>
      </c>
      <c r="H1103" s="7" t="str">
        <f>IFERROR(VLOOKUP(Table2[[#This Row],[Ticket]],Okey!A:B,2,0),"")</f>
        <v>ok</v>
      </c>
      <c r="I1103" s="7" t="s">
        <v>3679</v>
      </c>
      <c r="J1103" s="7" t="str">
        <f>VLOOKUP(Table2[[#This Row],[Author]],People!A:B,2,0)</f>
        <v>EL</v>
      </c>
      <c r="K1103" s="7"/>
      <c r="L1103" s="7"/>
      <c r="M1103" s="16" t="s">
        <v>2804</v>
      </c>
    </row>
    <row r="1104" spans="1:13" x14ac:dyDescent="0.25">
      <c r="A1104" s="22">
        <f t="shared" si="17"/>
        <v>1103</v>
      </c>
      <c r="B1104" s="6" t="s">
        <v>4851</v>
      </c>
      <c r="C1104" s="6" t="s">
        <v>5206</v>
      </c>
      <c r="D1104" s="6" t="s">
        <v>3319</v>
      </c>
      <c r="E1104" s="6" t="s">
        <v>5341</v>
      </c>
      <c r="F1104" s="6" t="s">
        <v>3317</v>
      </c>
      <c r="G1104" s="6" t="s">
        <v>18</v>
      </c>
      <c r="H1104" s="6" t="str">
        <f>IFERROR(VLOOKUP(Table2[[#This Row],[Ticket]],Okey!A:B,2,0),"")</f>
        <v>ok</v>
      </c>
      <c r="I1104" s="6" t="s">
        <v>3679</v>
      </c>
      <c r="J1104" s="6" t="str">
        <f>VLOOKUP(Table2[[#This Row],[Author]],People!A:B,2,0)</f>
        <v>EL</v>
      </c>
      <c r="K1104" s="6"/>
      <c r="L1104" s="6"/>
      <c r="M1104" s="21" t="s">
        <v>2804</v>
      </c>
    </row>
    <row r="1105" spans="1:13" x14ac:dyDescent="0.25">
      <c r="A1105" s="23">
        <f t="shared" si="17"/>
        <v>1104</v>
      </c>
      <c r="B1105" s="7" t="s">
        <v>4851</v>
      </c>
      <c r="C1105" s="7" t="s">
        <v>5206</v>
      </c>
      <c r="D1105" s="7" t="s">
        <v>3321</v>
      </c>
      <c r="E1105" s="7" t="s">
        <v>5342</v>
      </c>
      <c r="F1105" s="7" t="s">
        <v>3317</v>
      </c>
      <c r="G1105" s="7" t="s">
        <v>18</v>
      </c>
      <c r="H1105" s="7" t="str">
        <f>IFERROR(VLOOKUP(Table2[[#This Row],[Ticket]],Okey!A:B,2,0),"")</f>
        <v>ok</v>
      </c>
      <c r="I1105" s="7" t="s">
        <v>3679</v>
      </c>
      <c r="J1105" s="7" t="str">
        <f>VLOOKUP(Table2[[#This Row],[Author]],People!A:B,2,0)</f>
        <v>EL</v>
      </c>
      <c r="K1105" s="7"/>
      <c r="L1105" s="7"/>
      <c r="M1105" s="16" t="s">
        <v>2804</v>
      </c>
    </row>
    <row r="1106" spans="1:13" x14ac:dyDescent="0.25">
      <c r="A1106" s="22">
        <f t="shared" si="17"/>
        <v>1105</v>
      </c>
      <c r="B1106" s="6" t="s">
        <v>4851</v>
      </c>
      <c r="C1106" s="6" t="s">
        <v>5206</v>
      </c>
      <c r="D1106" s="6" t="s">
        <v>3323</v>
      </c>
      <c r="E1106" s="6" t="s">
        <v>5343</v>
      </c>
      <c r="F1106" s="6" t="s">
        <v>3315</v>
      </c>
      <c r="G1106" s="6" t="s">
        <v>18</v>
      </c>
      <c r="H1106" s="6" t="str">
        <f>IFERROR(VLOOKUP(Table2[[#This Row],[Ticket]],Okey!A:B,2,0),"")</f>
        <v>ok</v>
      </c>
      <c r="I1106" s="6" t="s">
        <v>3679</v>
      </c>
      <c r="J1106" s="6" t="str">
        <f>VLOOKUP(Table2[[#This Row],[Author]],People!A:B,2,0)</f>
        <v>EL</v>
      </c>
      <c r="K1106" s="6"/>
      <c r="L1106" s="6"/>
      <c r="M1106" s="21" t="s">
        <v>2804</v>
      </c>
    </row>
    <row r="1107" spans="1:13" x14ac:dyDescent="0.25">
      <c r="A1107" s="23">
        <f t="shared" si="17"/>
        <v>1106</v>
      </c>
      <c r="B1107" s="7" t="s">
        <v>4851</v>
      </c>
      <c r="C1107" s="7" t="s">
        <v>5206</v>
      </c>
      <c r="D1107" s="7" t="s">
        <v>3325</v>
      </c>
      <c r="E1107" s="7" t="s">
        <v>5344</v>
      </c>
      <c r="F1107" s="7" t="s">
        <v>3323</v>
      </c>
      <c r="G1107" s="7" t="s">
        <v>18</v>
      </c>
      <c r="H1107" s="7" t="str">
        <f>IFERROR(VLOOKUP(Table2[[#This Row],[Ticket]],Okey!A:B,2,0),"")</f>
        <v>ok</v>
      </c>
      <c r="I1107" s="7" t="s">
        <v>3679</v>
      </c>
      <c r="J1107" s="7" t="str">
        <f>VLOOKUP(Table2[[#This Row],[Author]],People!A:B,2,0)</f>
        <v>EL</v>
      </c>
      <c r="K1107" s="7"/>
      <c r="L1107" s="7"/>
      <c r="M1107" s="16" t="s">
        <v>2804</v>
      </c>
    </row>
    <row r="1108" spans="1:13" x14ac:dyDescent="0.25">
      <c r="A1108" s="22">
        <f t="shared" si="17"/>
        <v>1107</v>
      </c>
      <c r="B1108" s="6" t="s">
        <v>4851</v>
      </c>
      <c r="C1108" s="6" t="s">
        <v>5206</v>
      </c>
      <c r="D1108" s="6" t="s">
        <v>3327</v>
      </c>
      <c r="E1108" s="6" t="s">
        <v>5345</v>
      </c>
      <c r="F1108" s="6" t="s">
        <v>3323</v>
      </c>
      <c r="G1108" s="6" t="s">
        <v>18</v>
      </c>
      <c r="H1108" s="6" t="str">
        <f>IFERROR(VLOOKUP(Table2[[#This Row],[Ticket]],Okey!A:B,2,0),"")</f>
        <v>ok</v>
      </c>
      <c r="I1108" s="6" t="s">
        <v>3679</v>
      </c>
      <c r="J1108" s="6" t="str">
        <f>VLOOKUP(Table2[[#This Row],[Author]],People!A:B,2,0)</f>
        <v>EL</v>
      </c>
      <c r="K1108" s="6"/>
      <c r="L1108" s="6"/>
      <c r="M1108" s="21" t="s">
        <v>2804</v>
      </c>
    </row>
    <row r="1109" spans="1:13" x14ac:dyDescent="0.25">
      <c r="A1109" s="23">
        <f t="shared" si="17"/>
        <v>1108</v>
      </c>
      <c r="B1109" s="7" t="s">
        <v>4851</v>
      </c>
      <c r="C1109" s="7" t="s">
        <v>5206</v>
      </c>
      <c r="D1109" s="7" t="s">
        <v>3329</v>
      </c>
      <c r="E1109" s="7" t="s">
        <v>5346</v>
      </c>
      <c r="F1109" s="7" t="s">
        <v>3323</v>
      </c>
      <c r="G1109" s="7" t="s">
        <v>18</v>
      </c>
      <c r="H1109" s="7" t="str">
        <f>IFERROR(VLOOKUP(Table2[[#This Row],[Ticket]],Okey!A:B,2,0),"")</f>
        <v>ok</v>
      </c>
      <c r="I1109" s="7" t="s">
        <v>3679</v>
      </c>
      <c r="J1109" s="7" t="str">
        <f>VLOOKUP(Table2[[#This Row],[Author]],People!A:B,2,0)</f>
        <v>EL</v>
      </c>
      <c r="K1109" s="7"/>
      <c r="L1109" s="7"/>
      <c r="M1109" s="16" t="s">
        <v>2804</v>
      </c>
    </row>
    <row r="1110" spans="1:13" x14ac:dyDescent="0.25">
      <c r="A1110" s="22">
        <f t="shared" si="17"/>
        <v>1109</v>
      </c>
      <c r="B1110" s="6" t="s">
        <v>4851</v>
      </c>
      <c r="C1110" s="6" t="s">
        <v>5206</v>
      </c>
      <c r="D1110" s="6" t="s">
        <v>3331</v>
      </c>
      <c r="E1110" s="6" t="s">
        <v>3332</v>
      </c>
      <c r="F1110" s="6" t="s">
        <v>3313</v>
      </c>
      <c r="G1110" s="6" t="s">
        <v>18</v>
      </c>
      <c r="H1110" s="6" t="str">
        <f>IFERROR(VLOOKUP(Table2[[#This Row],[Ticket]],Okey!A:B,2,0),"")</f>
        <v>ok</v>
      </c>
      <c r="I1110" s="6" t="s">
        <v>3679</v>
      </c>
      <c r="J1110" s="6" t="str">
        <f>VLOOKUP(Table2[[#This Row],[Author]],People!A:B,2,0)</f>
        <v>EL</v>
      </c>
      <c r="K1110" s="6"/>
      <c r="L1110" s="6"/>
      <c r="M1110" s="21" t="s">
        <v>2804</v>
      </c>
    </row>
    <row r="1111" spans="1:13" x14ac:dyDescent="0.25">
      <c r="A1111" s="23">
        <f t="shared" si="17"/>
        <v>1110</v>
      </c>
      <c r="B1111" s="7" t="s">
        <v>4851</v>
      </c>
      <c r="C1111" s="7" t="s">
        <v>5206</v>
      </c>
      <c r="D1111" s="7" t="s">
        <v>3335</v>
      </c>
      <c r="E1111" s="7" t="s">
        <v>3336</v>
      </c>
      <c r="F1111" s="7" t="s">
        <v>3333</v>
      </c>
      <c r="G1111" s="7" t="s">
        <v>18</v>
      </c>
      <c r="H1111" s="7" t="str">
        <f>IFERROR(VLOOKUP(Table2[[#This Row],[Ticket]],Okey!A:B,2,0),"")</f>
        <v>ok</v>
      </c>
      <c r="I1111" s="7" t="s">
        <v>3679</v>
      </c>
      <c r="J1111" s="7" t="str">
        <f>VLOOKUP(Table2[[#This Row],[Author]],People!A:B,2,0)</f>
        <v>EL</v>
      </c>
      <c r="K1111" s="7"/>
      <c r="L1111" s="7"/>
      <c r="M1111" s="16" t="s">
        <v>2804</v>
      </c>
    </row>
    <row r="1112" spans="1:13" x14ac:dyDescent="0.25">
      <c r="A1112" s="22">
        <f t="shared" si="17"/>
        <v>1111</v>
      </c>
      <c r="B1112" s="6" t="s">
        <v>4851</v>
      </c>
      <c r="C1112" s="6" t="s">
        <v>5206</v>
      </c>
      <c r="D1112" s="6" t="s">
        <v>3337</v>
      </c>
      <c r="E1112" s="6" t="s">
        <v>5347</v>
      </c>
      <c r="F1112" s="6" t="s">
        <v>3335</v>
      </c>
      <c r="G1112" s="6" t="s">
        <v>18</v>
      </c>
      <c r="H1112" s="6" t="str">
        <f>IFERROR(VLOOKUP(Table2[[#This Row],[Ticket]],Okey!A:B,2,0),"")</f>
        <v>ok</v>
      </c>
      <c r="I1112" s="6" t="s">
        <v>3679</v>
      </c>
      <c r="J1112" s="6" t="str">
        <f>VLOOKUP(Table2[[#This Row],[Author]],People!A:B,2,0)</f>
        <v>EL</v>
      </c>
      <c r="K1112" s="6"/>
      <c r="L1112" s="6"/>
      <c r="M1112" s="21" t="s">
        <v>2804</v>
      </c>
    </row>
    <row r="1113" spans="1:13" x14ac:dyDescent="0.25">
      <c r="A1113" s="23">
        <f t="shared" si="17"/>
        <v>1112</v>
      </c>
      <c r="B1113" s="7" t="s">
        <v>4851</v>
      </c>
      <c r="C1113" s="7" t="s">
        <v>5206</v>
      </c>
      <c r="D1113" s="7" t="s">
        <v>3339</v>
      </c>
      <c r="E1113" s="7" t="s">
        <v>5348</v>
      </c>
      <c r="F1113" s="7" t="s">
        <v>3337</v>
      </c>
      <c r="G1113" s="7" t="s">
        <v>18</v>
      </c>
      <c r="H1113" s="7" t="str">
        <f>IFERROR(VLOOKUP(Table2[[#This Row],[Ticket]],Okey!A:B,2,0),"")</f>
        <v>ok</v>
      </c>
      <c r="I1113" s="7" t="s">
        <v>3679</v>
      </c>
      <c r="J1113" s="7" t="str">
        <f>VLOOKUP(Table2[[#This Row],[Author]],People!A:B,2,0)</f>
        <v>EL</v>
      </c>
      <c r="K1113" s="7"/>
      <c r="L1113" s="7"/>
      <c r="M1113" s="16" t="s">
        <v>2804</v>
      </c>
    </row>
    <row r="1114" spans="1:13" x14ac:dyDescent="0.25">
      <c r="A1114" s="22">
        <f t="shared" si="17"/>
        <v>1113</v>
      </c>
      <c r="B1114" s="6" t="s">
        <v>4851</v>
      </c>
      <c r="C1114" s="6" t="s">
        <v>5206</v>
      </c>
      <c r="D1114" s="6" t="s">
        <v>3341</v>
      </c>
      <c r="E1114" s="6" t="s">
        <v>5349</v>
      </c>
      <c r="F1114" s="6" t="s">
        <v>3337</v>
      </c>
      <c r="G1114" s="6" t="s">
        <v>18</v>
      </c>
      <c r="H1114" s="6" t="str">
        <f>IFERROR(VLOOKUP(Table2[[#This Row],[Ticket]],Okey!A:B,2,0),"")</f>
        <v>ok</v>
      </c>
      <c r="I1114" s="6" t="s">
        <v>3679</v>
      </c>
      <c r="J1114" s="6" t="str">
        <f>VLOOKUP(Table2[[#This Row],[Author]],People!A:B,2,0)</f>
        <v>EL</v>
      </c>
      <c r="K1114" s="6"/>
      <c r="L1114" s="6"/>
      <c r="M1114" s="21" t="s">
        <v>2804</v>
      </c>
    </row>
    <row r="1115" spans="1:13" x14ac:dyDescent="0.25">
      <c r="A1115" s="23">
        <f t="shared" si="17"/>
        <v>1114</v>
      </c>
      <c r="B1115" s="7" t="s">
        <v>4851</v>
      </c>
      <c r="C1115" s="7" t="s">
        <v>5206</v>
      </c>
      <c r="D1115" s="7" t="s">
        <v>3343</v>
      </c>
      <c r="E1115" s="7" t="s">
        <v>5350</v>
      </c>
      <c r="F1115" s="7" t="s">
        <v>3335</v>
      </c>
      <c r="G1115" s="7" t="s">
        <v>18</v>
      </c>
      <c r="H1115" s="7" t="str">
        <f>IFERROR(VLOOKUP(Table2[[#This Row],[Ticket]],Okey!A:B,2,0),"")</f>
        <v>ok</v>
      </c>
      <c r="I1115" s="7" t="s">
        <v>3679</v>
      </c>
      <c r="J1115" s="7" t="str">
        <f>VLOOKUP(Table2[[#This Row],[Author]],People!A:B,2,0)</f>
        <v>EL</v>
      </c>
      <c r="K1115" s="7"/>
      <c r="L1115" s="7"/>
      <c r="M1115" s="16" t="s">
        <v>2804</v>
      </c>
    </row>
    <row r="1116" spans="1:13" x14ac:dyDescent="0.25">
      <c r="A1116" s="22">
        <f t="shared" si="17"/>
        <v>1115</v>
      </c>
      <c r="B1116" s="6" t="s">
        <v>4851</v>
      </c>
      <c r="C1116" s="6" t="s">
        <v>5206</v>
      </c>
      <c r="D1116" s="6" t="s">
        <v>3345</v>
      </c>
      <c r="E1116" s="6" t="s">
        <v>5351</v>
      </c>
      <c r="F1116" s="6" t="s">
        <v>3343</v>
      </c>
      <c r="G1116" s="6" t="s">
        <v>18</v>
      </c>
      <c r="H1116" s="6" t="str">
        <f>IFERROR(VLOOKUP(Table2[[#This Row],[Ticket]],Okey!A:B,2,0),"")</f>
        <v>ok</v>
      </c>
      <c r="I1116" s="6" t="s">
        <v>3679</v>
      </c>
      <c r="J1116" s="6" t="str">
        <f>VLOOKUP(Table2[[#This Row],[Author]],People!A:B,2,0)</f>
        <v>EL</v>
      </c>
      <c r="K1116" s="6"/>
      <c r="L1116" s="6"/>
      <c r="M1116" s="21" t="s">
        <v>2804</v>
      </c>
    </row>
    <row r="1117" spans="1:13" x14ac:dyDescent="0.25">
      <c r="A1117" s="23">
        <f t="shared" si="17"/>
        <v>1116</v>
      </c>
      <c r="B1117" s="7" t="s">
        <v>4851</v>
      </c>
      <c r="C1117" s="7" t="s">
        <v>5206</v>
      </c>
      <c r="D1117" s="7" t="s">
        <v>3347</v>
      </c>
      <c r="E1117" s="7" t="s">
        <v>5352</v>
      </c>
      <c r="F1117" s="7" t="s">
        <v>3343</v>
      </c>
      <c r="G1117" s="7" t="s">
        <v>18</v>
      </c>
      <c r="H1117" s="7" t="str">
        <f>IFERROR(VLOOKUP(Table2[[#This Row],[Ticket]],Okey!A:B,2,0),"")</f>
        <v>ok</v>
      </c>
      <c r="I1117" s="7" t="s">
        <v>3679</v>
      </c>
      <c r="J1117" s="7" t="str">
        <f>VLOOKUP(Table2[[#This Row],[Author]],People!A:B,2,0)</f>
        <v>EL</v>
      </c>
      <c r="K1117" s="7"/>
      <c r="L1117" s="7"/>
      <c r="M1117" s="16" t="s">
        <v>2804</v>
      </c>
    </row>
    <row r="1118" spans="1:13" x14ac:dyDescent="0.25">
      <c r="A1118" s="22">
        <f t="shared" si="17"/>
        <v>1117</v>
      </c>
      <c r="B1118" s="6" t="s">
        <v>4851</v>
      </c>
      <c r="C1118" s="6" t="s">
        <v>5206</v>
      </c>
      <c r="D1118" s="6" t="s">
        <v>3349</v>
      </c>
      <c r="E1118" s="6" t="s">
        <v>5353</v>
      </c>
      <c r="F1118" s="6" t="s">
        <v>3343</v>
      </c>
      <c r="G1118" s="6" t="s">
        <v>18</v>
      </c>
      <c r="H1118" s="6" t="str">
        <f>IFERROR(VLOOKUP(Table2[[#This Row],[Ticket]],Okey!A:B,2,0),"")</f>
        <v>ok</v>
      </c>
      <c r="I1118" s="6" t="s">
        <v>3679</v>
      </c>
      <c r="J1118" s="6" t="str">
        <f>VLOOKUP(Table2[[#This Row],[Author]],People!A:B,2,0)</f>
        <v>EL</v>
      </c>
      <c r="K1118" s="6"/>
      <c r="L1118" s="6"/>
      <c r="M1118" s="21" t="s">
        <v>2804</v>
      </c>
    </row>
    <row r="1119" spans="1:13" x14ac:dyDescent="0.25">
      <c r="A1119" s="23">
        <f t="shared" si="17"/>
        <v>1118</v>
      </c>
      <c r="B1119" s="7" t="s">
        <v>4851</v>
      </c>
      <c r="C1119" s="7" t="s">
        <v>5206</v>
      </c>
      <c r="D1119" s="7" t="s">
        <v>3351</v>
      </c>
      <c r="E1119" s="7" t="s">
        <v>5354</v>
      </c>
      <c r="F1119" s="7" t="s">
        <v>3343</v>
      </c>
      <c r="G1119" s="7" t="s">
        <v>18</v>
      </c>
      <c r="H1119" s="7" t="str">
        <f>IFERROR(VLOOKUP(Table2[[#This Row],[Ticket]],Okey!A:B,2,0),"")</f>
        <v>ok</v>
      </c>
      <c r="I1119" s="7" t="s">
        <v>3679</v>
      </c>
      <c r="J1119" s="7" t="str">
        <f>VLOOKUP(Table2[[#This Row],[Author]],People!A:B,2,0)</f>
        <v>EL</v>
      </c>
      <c r="K1119" s="7"/>
      <c r="L1119" s="7"/>
      <c r="M1119" s="16" t="s">
        <v>2804</v>
      </c>
    </row>
    <row r="1120" spans="1:13" x14ac:dyDescent="0.25">
      <c r="A1120" s="22">
        <f t="shared" si="17"/>
        <v>1119</v>
      </c>
      <c r="B1120" s="6" t="s">
        <v>4851</v>
      </c>
      <c r="C1120" s="6" t="s">
        <v>5206</v>
      </c>
      <c r="D1120" s="6" t="s">
        <v>3353</v>
      </c>
      <c r="E1120" s="6" t="s">
        <v>5355</v>
      </c>
      <c r="F1120" s="6" t="s">
        <v>3343</v>
      </c>
      <c r="G1120" s="6" t="s">
        <v>18</v>
      </c>
      <c r="H1120" s="6" t="str">
        <f>IFERROR(VLOOKUP(Table2[[#This Row],[Ticket]],Okey!A:B,2,0),"")</f>
        <v>ok</v>
      </c>
      <c r="I1120" s="6" t="s">
        <v>3679</v>
      </c>
      <c r="J1120" s="6" t="str">
        <f>VLOOKUP(Table2[[#This Row],[Author]],People!A:B,2,0)</f>
        <v>EL</v>
      </c>
      <c r="K1120" s="6"/>
      <c r="L1120" s="6"/>
      <c r="M1120" s="21" t="s">
        <v>2804</v>
      </c>
    </row>
    <row r="1121" spans="1:13" x14ac:dyDescent="0.25">
      <c r="A1121" s="23">
        <f t="shared" si="17"/>
        <v>1120</v>
      </c>
      <c r="B1121" s="7" t="s">
        <v>4851</v>
      </c>
      <c r="C1121" s="7" t="s">
        <v>5206</v>
      </c>
      <c r="D1121" s="7" t="s">
        <v>3355</v>
      </c>
      <c r="E1121" s="7" t="s">
        <v>3356</v>
      </c>
      <c r="F1121" s="7" t="s">
        <v>3333</v>
      </c>
      <c r="G1121" s="7" t="s">
        <v>18</v>
      </c>
      <c r="H1121" s="7" t="str">
        <f>IFERROR(VLOOKUP(Table2[[#This Row],[Ticket]],Okey!A:B,2,0),"")</f>
        <v>ok</v>
      </c>
      <c r="I1121" s="7" t="s">
        <v>3679</v>
      </c>
      <c r="J1121" s="7" t="str">
        <f>VLOOKUP(Table2[[#This Row],[Author]],People!A:B,2,0)</f>
        <v>EL</v>
      </c>
      <c r="K1121" s="7"/>
      <c r="L1121" s="7"/>
      <c r="M1121" s="16" t="s">
        <v>2804</v>
      </c>
    </row>
    <row r="1122" spans="1:13" x14ac:dyDescent="0.25">
      <c r="A1122" s="22">
        <f t="shared" si="17"/>
        <v>1121</v>
      </c>
      <c r="B1122" s="6" t="s">
        <v>4851</v>
      </c>
      <c r="C1122" s="6" t="s">
        <v>5206</v>
      </c>
      <c r="D1122" s="6" t="s">
        <v>3359</v>
      </c>
      <c r="E1122" s="6" t="s">
        <v>3360</v>
      </c>
      <c r="F1122" s="6" t="s">
        <v>3357</v>
      </c>
      <c r="G1122" s="6" t="s">
        <v>18</v>
      </c>
      <c r="H1122" s="6" t="str">
        <f>IFERROR(VLOOKUP(Table2[[#This Row],[Ticket]],Okey!A:B,2,0),"")</f>
        <v>ok</v>
      </c>
      <c r="I1122" s="6" t="s">
        <v>3679</v>
      </c>
      <c r="J1122" s="6" t="str">
        <f>VLOOKUP(Table2[[#This Row],[Author]],People!A:B,2,0)</f>
        <v>EL</v>
      </c>
      <c r="K1122" s="6"/>
      <c r="L1122" s="6"/>
      <c r="M1122" s="21" t="s">
        <v>2804</v>
      </c>
    </row>
    <row r="1123" spans="1:13" x14ac:dyDescent="0.25">
      <c r="A1123" s="23">
        <f t="shared" si="17"/>
        <v>1122</v>
      </c>
      <c r="B1123" s="7" t="s">
        <v>4851</v>
      </c>
      <c r="C1123" s="7" t="s">
        <v>5206</v>
      </c>
      <c r="D1123" s="7" t="s">
        <v>3361</v>
      </c>
      <c r="E1123" s="7" t="s">
        <v>5356</v>
      </c>
      <c r="F1123" s="7" t="s">
        <v>3359</v>
      </c>
      <c r="G1123" s="7" t="s">
        <v>18</v>
      </c>
      <c r="H1123" s="7" t="str">
        <f>IFERROR(VLOOKUP(Table2[[#This Row],[Ticket]],Okey!A:B,2,0),"")</f>
        <v>ok</v>
      </c>
      <c r="I1123" s="7" t="s">
        <v>3679</v>
      </c>
      <c r="J1123" s="7" t="str">
        <f>VLOOKUP(Table2[[#This Row],[Author]],People!A:B,2,0)</f>
        <v>EL</v>
      </c>
      <c r="K1123" s="7"/>
      <c r="L1123" s="7"/>
      <c r="M1123" s="16" t="s">
        <v>2804</v>
      </c>
    </row>
    <row r="1124" spans="1:13" x14ac:dyDescent="0.25">
      <c r="A1124" s="22">
        <f t="shared" si="17"/>
        <v>1123</v>
      </c>
      <c r="B1124" s="6" t="s">
        <v>4851</v>
      </c>
      <c r="C1124" s="6" t="s">
        <v>5206</v>
      </c>
      <c r="D1124" s="6" t="s">
        <v>3363</v>
      </c>
      <c r="E1124" s="6" t="s">
        <v>5357</v>
      </c>
      <c r="F1124" s="6" t="s">
        <v>3361</v>
      </c>
      <c r="G1124" s="6" t="s">
        <v>18</v>
      </c>
      <c r="H1124" s="6" t="str">
        <f>IFERROR(VLOOKUP(Table2[[#This Row],[Ticket]],Okey!A:B,2,0),"")</f>
        <v>ok</v>
      </c>
      <c r="I1124" s="6" t="s">
        <v>3679</v>
      </c>
      <c r="J1124" s="6" t="str">
        <f>VLOOKUP(Table2[[#This Row],[Author]],People!A:B,2,0)</f>
        <v>EL</v>
      </c>
      <c r="K1124" s="6"/>
      <c r="L1124" s="6"/>
      <c r="M1124" s="21" t="s">
        <v>2804</v>
      </c>
    </row>
    <row r="1125" spans="1:13" x14ac:dyDescent="0.25">
      <c r="A1125" s="23">
        <f t="shared" si="17"/>
        <v>1124</v>
      </c>
      <c r="B1125" s="7" t="s">
        <v>4851</v>
      </c>
      <c r="C1125" s="7" t="s">
        <v>5206</v>
      </c>
      <c r="D1125" s="7" t="s">
        <v>3365</v>
      </c>
      <c r="E1125" s="7" t="s">
        <v>5358</v>
      </c>
      <c r="F1125" s="7" t="s">
        <v>3361</v>
      </c>
      <c r="G1125" s="7" t="s">
        <v>18</v>
      </c>
      <c r="H1125" s="7" t="str">
        <f>IFERROR(VLOOKUP(Table2[[#This Row],[Ticket]],Okey!A:B,2,0),"")</f>
        <v>ok</v>
      </c>
      <c r="I1125" s="7" t="s">
        <v>3679</v>
      </c>
      <c r="J1125" s="7" t="str">
        <f>VLOOKUP(Table2[[#This Row],[Author]],People!A:B,2,0)</f>
        <v>EL</v>
      </c>
      <c r="K1125" s="7"/>
      <c r="L1125" s="7"/>
      <c r="M1125" s="16" t="s">
        <v>2804</v>
      </c>
    </row>
    <row r="1126" spans="1:13" x14ac:dyDescent="0.25">
      <c r="A1126" s="22">
        <f t="shared" si="17"/>
        <v>1125</v>
      </c>
      <c r="B1126" s="6" t="s">
        <v>4851</v>
      </c>
      <c r="C1126" s="6" t="s">
        <v>5206</v>
      </c>
      <c r="D1126" s="6" t="s">
        <v>3367</v>
      </c>
      <c r="E1126" s="6" t="s">
        <v>5359</v>
      </c>
      <c r="F1126" s="6" t="s">
        <v>3359</v>
      </c>
      <c r="G1126" s="6" t="s">
        <v>18</v>
      </c>
      <c r="H1126" s="6" t="str">
        <f>IFERROR(VLOOKUP(Table2[[#This Row],[Ticket]],Okey!A:B,2,0),"")</f>
        <v>ok</v>
      </c>
      <c r="I1126" s="6" t="s">
        <v>3679</v>
      </c>
      <c r="J1126" s="6" t="str">
        <f>VLOOKUP(Table2[[#This Row],[Author]],People!A:B,2,0)</f>
        <v>EL</v>
      </c>
      <c r="K1126" s="6"/>
      <c r="L1126" s="6"/>
      <c r="M1126" s="21" t="s">
        <v>2804</v>
      </c>
    </row>
    <row r="1127" spans="1:13" x14ac:dyDescent="0.25">
      <c r="A1127" s="23">
        <f t="shared" si="17"/>
        <v>1126</v>
      </c>
      <c r="B1127" s="7" t="s">
        <v>4851</v>
      </c>
      <c r="C1127" s="7" t="s">
        <v>5206</v>
      </c>
      <c r="D1127" s="7" t="s">
        <v>3369</v>
      </c>
      <c r="E1127" s="7" t="s">
        <v>5360</v>
      </c>
      <c r="F1127" s="7" t="s">
        <v>3367</v>
      </c>
      <c r="G1127" s="7" t="s">
        <v>18</v>
      </c>
      <c r="H1127" s="7" t="str">
        <f>IFERROR(VLOOKUP(Table2[[#This Row],[Ticket]],Okey!A:B,2,0),"")</f>
        <v>ok</v>
      </c>
      <c r="I1127" s="7" t="s">
        <v>3679</v>
      </c>
      <c r="J1127" s="7" t="str">
        <f>VLOOKUP(Table2[[#This Row],[Author]],People!A:B,2,0)</f>
        <v>EL</v>
      </c>
      <c r="K1127" s="7"/>
      <c r="L1127" s="7"/>
      <c r="M1127" s="16" t="s">
        <v>2804</v>
      </c>
    </row>
    <row r="1128" spans="1:13" x14ac:dyDescent="0.25">
      <c r="A1128" s="22">
        <f t="shared" si="17"/>
        <v>1127</v>
      </c>
      <c r="B1128" s="6" t="s">
        <v>4851</v>
      </c>
      <c r="C1128" s="6" t="s">
        <v>5206</v>
      </c>
      <c r="D1128" s="6" t="s">
        <v>3371</v>
      </c>
      <c r="E1128" s="6" t="s">
        <v>5361</v>
      </c>
      <c r="F1128" s="6" t="s">
        <v>3367</v>
      </c>
      <c r="G1128" s="6" t="s">
        <v>18</v>
      </c>
      <c r="H1128" s="6" t="str">
        <f>IFERROR(VLOOKUP(Table2[[#This Row],[Ticket]],Okey!A:B,2,0),"")</f>
        <v>ok</v>
      </c>
      <c r="I1128" s="6" t="s">
        <v>3679</v>
      </c>
      <c r="J1128" s="6" t="str">
        <f>VLOOKUP(Table2[[#This Row],[Author]],People!A:B,2,0)</f>
        <v>EL</v>
      </c>
      <c r="K1128" s="6"/>
      <c r="L1128" s="6"/>
      <c r="M1128" s="21" t="s">
        <v>2804</v>
      </c>
    </row>
    <row r="1129" spans="1:13" x14ac:dyDescent="0.25">
      <c r="A1129" s="23">
        <f t="shared" si="17"/>
        <v>1128</v>
      </c>
      <c r="B1129" s="7" t="s">
        <v>4851</v>
      </c>
      <c r="C1129" s="7" t="s">
        <v>5206</v>
      </c>
      <c r="D1129" s="7" t="s">
        <v>3373</v>
      </c>
      <c r="E1129" s="7" t="s">
        <v>5362</v>
      </c>
      <c r="F1129" s="7" t="s">
        <v>3367</v>
      </c>
      <c r="G1129" s="7" t="s">
        <v>18</v>
      </c>
      <c r="H1129" s="7" t="str">
        <f>IFERROR(VLOOKUP(Table2[[#This Row],[Ticket]],Okey!A:B,2,0),"")</f>
        <v>ok</v>
      </c>
      <c r="I1129" s="7" t="s">
        <v>3679</v>
      </c>
      <c r="J1129" s="7" t="str">
        <f>VLOOKUP(Table2[[#This Row],[Author]],People!A:B,2,0)</f>
        <v>EL</v>
      </c>
      <c r="K1129" s="7"/>
      <c r="L1129" s="7"/>
      <c r="M1129" s="16" t="s">
        <v>2804</v>
      </c>
    </row>
    <row r="1130" spans="1:13" x14ac:dyDescent="0.25">
      <c r="A1130" s="22">
        <f t="shared" si="17"/>
        <v>1129</v>
      </c>
      <c r="B1130" s="6" t="s">
        <v>4851</v>
      </c>
      <c r="C1130" s="6" t="s">
        <v>5206</v>
      </c>
      <c r="D1130" s="6" t="s">
        <v>3375</v>
      </c>
      <c r="E1130" s="6" t="s">
        <v>3376</v>
      </c>
      <c r="F1130" s="6" t="s">
        <v>3357</v>
      </c>
      <c r="G1130" s="6" t="s">
        <v>18</v>
      </c>
      <c r="H1130" s="6" t="str">
        <f>IFERROR(VLOOKUP(Table2[[#This Row],[Ticket]],Okey!A:B,2,0),"")</f>
        <v>ok</v>
      </c>
      <c r="I1130" s="6" t="s">
        <v>3679</v>
      </c>
      <c r="J1130" s="6" t="str">
        <f>VLOOKUP(Table2[[#This Row],[Author]],People!A:B,2,0)</f>
        <v>EL</v>
      </c>
      <c r="K1130" s="6"/>
      <c r="L1130" s="6"/>
      <c r="M1130" s="21" t="s">
        <v>2804</v>
      </c>
    </row>
    <row r="1131" spans="1:13" x14ac:dyDescent="0.25">
      <c r="A1131" s="23">
        <f t="shared" si="17"/>
        <v>1130</v>
      </c>
      <c r="B1131" s="7" t="s">
        <v>4851</v>
      </c>
      <c r="C1131" s="7" t="s">
        <v>5206</v>
      </c>
      <c r="D1131" s="7" t="s">
        <v>3377</v>
      </c>
      <c r="E1131" s="7" t="s">
        <v>5363</v>
      </c>
      <c r="F1131" s="7" t="s">
        <v>1926</v>
      </c>
      <c r="G1131" s="7" t="s">
        <v>18</v>
      </c>
      <c r="H1131" s="7" t="str">
        <f>IFERROR(VLOOKUP(Table2[[#This Row],[Ticket]],Okey!A:B,2,0),"")</f>
        <v>ok</v>
      </c>
      <c r="I1131" s="7" t="s">
        <v>3679</v>
      </c>
      <c r="J1131" s="7" t="str">
        <f>VLOOKUP(Table2[[#This Row],[Author]],People!A:B,2,0)</f>
        <v>EL</v>
      </c>
      <c r="K1131" s="7"/>
      <c r="L1131" s="7"/>
      <c r="M1131" s="16" t="s">
        <v>2804</v>
      </c>
    </row>
    <row r="1132" spans="1:13" x14ac:dyDescent="0.25">
      <c r="A1132" s="22">
        <f t="shared" si="17"/>
        <v>1131</v>
      </c>
      <c r="B1132" s="6" t="s">
        <v>4851</v>
      </c>
      <c r="C1132" s="6" t="s">
        <v>5206</v>
      </c>
      <c r="D1132" s="6" t="s">
        <v>3379</v>
      </c>
      <c r="E1132" s="6" t="s">
        <v>5364</v>
      </c>
      <c r="F1132" s="6" t="s">
        <v>3377</v>
      </c>
      <c r="G1132" s="6" t="s">
        <v>18</v>
      </c>
      <c r="H1132" s="6" t="str">
        <f>IFERROR(VLOOKUP(Table2[[#This Row],[Ticket]],Okey!A:B,2,0),"")</f>
        <v>ok</v>
      </c>
      <c r="I1132" s="6" t="s">
        <v>3679</v>
      </c>
      <c r="J1132" s="6" t="str">
        <f>VLOOKUP(Table2[[#This Row],[Author]],People!A:B,2,0)</f>
        <v>EL</v>
      </c>
      <c r="K1132" s="6"/>
      <c r="L1132" s="6"/>
      <c r="M1132" s="21" t="s">
        <v>2804</v>
      </c>
    </row>
    <row r="1133" spans="1:13" x14ac:dyDescent="0.25">
      <c r="A1133" s="23">
        <f t="shared" si="17"/>
        <v>1132</v>
      </c>
      <c r="B1133" s="7" t="s">
        <v>4851</v>
      </c>
      <c r="C1133" s="7" t="s">
        <v>5206</v>
      </c>
      <c r="D1133" s="7" t="s">
        <v>3381</v>
      </c>
      <c r="E1133" s="7" t="s">
        <v>5365</v>
      </c>
      <c r="F1133" s="7" t="s">
        <v>3379</v>
      </c>
      <c r="G1133" s="7" t="s">
        <v>18</v>
      </c>
      <c r="H1133" s="7" t="str">
        <f>IFERROR(VLOOKUP(Table2[[#This Row],[Ticket]],Okey!A:B,2,0),"")</f>
        <v>ok</v>
      </c>
      <c r="I1133" s="7" t="s">
        <v>3679</v>
      </c>
      <c r="J1133" s="7" t="str">
        <f>VLOOKUP(Table2[[#This Row],[Author]],People!A:B,2,0)</f>
        <v>EL</v>
      </c>
      <c r="K1133" s="7"/>
      <c r="L1133" s="7"/>
      <c r="M1133" s="16" t="s">
        <v>2804</v>
      </c>
    </row>
    <row r="1134" spans="1:13" x14ac:dyDescent="0.25">
      <c r="A1134" s="22">
        <f t="shared" si="17"/>
        <v>1133</v>
      </c>
      <c r="B1134" s="6" t="s">
        <v>4851</v>
      </c>
      <c r="C1134" s="6" t="s">
        <v>5206</v>
      </c>
      <c r="D1134" s="6" t="s">
        <v>3383</v>
      </c>
      <c r="E1134" s="6" t="s">
        <v>5366</v>
      </c>
      <c r="F1134" s="6" t="s">
        <v>3379</v>
      </c>
      <c r="G1134" s="6" t="s">
        <v>18</v>
      </c>
      <c r="H1134" s="6" t="str">
        <f>IFERROR(VLOOKUP(Table2[[#This Row],[Ticket]],Okey!A:B,2,0),"")</f>
        <v>ok</v>
      </c>
      <c r="I1134" s="6" t="s">
        <v>3679</v>
      </c>
      <c r="J1134" s="6" t="str">
        <f>VLOOKUP(Table2[[#This Row],[Author]],People!A:B,2,0)</f>
        <v>EL</v>
      </c>
      <c r="K1134" s="6"/>
      <c r="L1134" s="6"/>
      <c r="M1134" s="21" t="s">
        <v>2804</v>
      </c>
    </row>
    <row r="1135" spans="1:13" x14ac:dyDescent="0.25">
      <c r="A1135" s="23">
        <f t="shared" si="17"/>
        <v>1134</v>
      </c>
      <c r="B1135" s="7" t="s">
        <v>4851</v>
      </c>
      <c r="C1135" s="7" t="s">
        <v>5206</v>
      </c>
      <c r="D1135" s="7" t="s">
        <v>3385</v>
      </c>
      <c r="E1135" s="7" t="s">
        <v>5367</v>
      </c>
      <c r="F1135" s="7" t="s">
        <v>3377</v>
      </c>
      <c r="G1135" s="7" t="s">
        <v>18</v>
      </c>
      <c r="H1135" s="7" t="str">
        <f>IFERROR(VLOOKUP(Table2[[#This Row],[Ticket]],Okey!A:B,2,0),"")</f>
        <v>ok</v>
      </c>
      <c r="I1135" s="7" t="s">
        <v>3679</v>
      </c>
      <c r="J1135" s="7" t="str">
        <f>VLOOKUP(Table2[[#This Row],[Author]],People!A:B,2,0)</f>
        <v>EL</v>
      </c>
      <c r="K1135" s="7"/>
      <c r="L1135" s="7"/>
      <c r="M1135" s="16" t="s">
        <v>2804</v>
      </c>
    </row>
    <row r="1136" spans="1:13" x14ac:dyDescent="0.25">
      <c r="A1136" s="22">
        <f t="shared" si="17"/>
        <v>1135</v>
      </c>
      <c r="B1136" s="6" t="s">
        <v>4851</v>
      </c>
      <c r="C1136" s="6" t="s">
        <v>5206</v>
      </c>
      <c r="D1136" s="6" t="s">
        <v>3387</v>
      </c>
      <c r="E1136" s="6" t="s">
        <v>5368</v>
      </c>
      <c r="F1136" s="6" t="s">
        <v>3385</v>
      </c>
      <c r="G1136" s="6" t="s">
        <v>18</v>
      </c>
      <c r="H1136" s="6" t="str">
        <f>IFERROR(VLOOKUP(Table2[[#This Row],[Ticket]],Okey!A:B,2,0),"")</f>
        <v>ok</v>
      </c>
      <c r="I1136" s="6" t="s">
        <v>3679</v>
      </c>
      <c r="J1136" s="6" t="str">
        <f>VLOOKUP(Table2[[#This Row],[Author]],People!A:B,2,0)</f>
        <v>EL</v>
      </c>
      <c r="K1136" s="6"/>
      <c r="L1136" s="6"/>
      <c r="M1136" s="21" t="s">
        <v>2804</v>
      </c>
    </row>
    <row r="1137" spans="1:13" x14ac:dyDescent="0.25">
      <c r="A1137" s="23">
        <f t="shared" si="17"/>
        <v>1136</v>
      </c>
      <c r="B1137" s="7" t="s">
        <v>4851</v>
      </c>
      <c r="C1137" s="7" t="s">
        <v>5206</v>
      </c>
      <c r="D1137" s="7" t="s">
        <v>3389</v>
      </c>
      <c r="E1137" s="7" t="s">
        <v>5369</v>
      </c>
      <c r="F1137" s="7" t="s">
        <v>3385</v>
      </c>
      <c r="G1137" s="7" t="s">
        <v>18</v>
      </c>
      <c r="H1137" s="7" t="str">
        <f>IFERROR(VLOOKUP(Table2[[#This Row],[Ticket]],Okey!A:B,2,0),"")</f>
        <v>ok</v>
      </c>
      <c r="I1137" s="7" t="s">
        <v>3679</v>
      </c>
      <c r="J1137" s="7" t="str">
        <f>VLOOKUP(Table2[[#This Row],[Author]],People!A:B,2,0)</f>
        <v>EL</v>
      </c>
      <c r="K1137" s="7"/>
      <c r="L1137" s="7"/>
      <c r="M1137" s="16" t="s">
        <v>2804</v>
      </c>
    </row>
    <row r="1138" spans="1:13" x14ac:dyDescent="0.25">
      <c r="A1138" s="22">
        <f t="shared" si="17"/>
        <v>1137</v>
      </c>
      <c r="B1138" s="6" t="s">
        <v>4851</v>
      </c>
      <c r="C1138" s="6" t="s">
        <v>5206</v>
      </c>
      <c r="D1138" s="6" t="s">
        <v>3391</v>
      </c>
      <c r="E1138" s="6" t="s">
        <v>5370</v>
      </c>
      <c r="F1138" s="6" t="s">
        <v>1926</v>
      </c>
      <c r="G1138" s="6" t="s">
        <v>18</v>
      </c>
      <c r="H1138" s="6" t="str">
        <f>IFERROR(VLOOKUP(Table2[[#This Row],[Ticket]],Okey!A:B,2,0),"")</f>
        <v>ok</v>
      </c>
      <c r="I1138" s="6" t="s">
        <v>3679</v>
      </c>
      <c r="J1138" s="6" t="str">
        <f>VLOOKUP(Table2[[#This Row],[Author]],People!A:B,2,0)</f>
        <v>EL</v>
      </c>
      <c r="K1138" s="6"/>
      <c r="L1138" s="6"/>
      <c r="M1138" s="21" t="s">
        <v>2804</v>
      </c>
    </row>
    <row r="1139" spans="1:13" x14ac:dyDescent="0.25">
      <c r="A1139" s="23">
        <f t="shared" si="17"/>
        <v>1138</v>
      </c>
      <c r="B1139" s="7" t="s">
        <v>4851</v>
      </c>
      <c r="C1139" s="7" t="s">
        <v>5206</v>
      </c>
      <c r="D1139" s="7" t="s">
        <v>1928</v>
      </c>
      <c r="E1139" s="7" t="s">
        <v>5371</v>
      </c>
      <c r="F1139" s="7" t="s">
        <v>5372</v>
      </c>
      <c r="G1139" s="7" t="s">
        <v>18</v>
      </c>
      <c r="H1139" s="7" t="str">
        <f>IFERROR(VLOOKUP(Table2[[#This Row],[Ticket]],Okey!A:B,2,0),"")</f>
        <v>ok</v>
      </c>
      <c r="I1139" s="7" t="s">
        <v>3679</v>
      </c>
      <c r="J1139" s="7" t="str">
        <f>VLOOKUP(Table2[[#This Row],[Author]],People!A:B,2,0)</f>
        <v>EL</v>
      </c>
      <c r="K1139" s="7"/>
      <c r="L1139" s="7"/>
      <c r="M1139" s="16" t="s">
        <v>2804</v>
      </c>
    </row>
    <row r="1140" spans="1:13" x14ac:dyDescent="0.25">
      <c r="A1140" s="22">
        <f t="shared" si="17"/>
        <v>1139</v>
      </c>
      <c r="B1140" s="6" t="s">
        <v>4851</v>
      </c>
      <c r="C1140" s="6" t="s">
        <v>5206</v>
      </c>
      <c r="D1140" s="6" t="s">
        <v>1930</v>
      </c>
      <c r="E1140" s="6" t="s">
        <v>5373</v>
      </c>
      <c r="F1140" s="6" t="s">
        <v>5372</v>
      </c>
      <c r="G1140" s="6" t="s">
        <v>18</v>
      </c>
      <c r="H1140" s="6" t="str">
        <f>IFERROR(VLOOKUP(Table2[[#This Row],[Ticket]],Okey!A:B,2,0),"")</f>
        <v>ok</v>
      </c>
      <c r="I1140" s="6" t="s">
        <v>3679</v>
      </c>
      <c r="J1140" s="6" t="str">
        <f>VLOOKUP(Table2[[#This Row],[Author]],People!A:B,2,0)</f>
        <v>EL</v>
      </c>
      <c r="K1140" s="6"/>
      <c r="L1140" s="6"/>
      <c r="M1140" s="21" t="s">
        <v>2804</v>
      </c>
    </row>
    <row r="1141" spans="1:13" x14ac:dyDescent="0.25">
      <c r="A1141" s="23">
        <f t="shared" si="17"/>
        <v>1140</v>
      </c>
      <c r="B1141" s="7" t="s">
        <v>4851</v>
      </c>
      <c r="C1141" s="7" t="s">
        <v>5206</v>
      </c>
      <c r="D1141" s="7" t="s">
        <v>1932</v>
      </c>
      <c r="E1141" s="7" t="s">
        <v>5374</v>
      </c>
      <c r="F1141" s="7" t="s">
        <v>5372</v>
      </c>
      <c r="G1141" s="7" t="s">
        <v>18</v>
      </c>
      <c r="H1141" s="7" t="str">
        <f>IFERROR(VLOOKUP(Table2[[#This Row],[Ticket]],Okey!A:B,2,0),"")</f>
        <v>ok</v>
      </c>
      <c r="I1141" s="7" t="s">
        <v>3679</v>
      </c>
      <c r="J1141" s="7" t="str">
        <f>VLOOKUP(Table2[[#This Row],[Author]],People!A:B,2,0)</f>
        <v>EL</v>
      </c>
      <c r="K1141" s="7"/>
      <c r="L1141" s="7"/>
      <c r="M1141" s="16" t="s">
        <v>2804</v>
      </c>
    </row>
    <row r="1142" spans="1:13" x14ac:dyDescent="0.25">
      <c r="A1142" s="22">
        <f t="shared" si="17"/>
        <v>1141</v>
      </c>
      <c r="B1142" s="6" t="s">
        <v>4851</v>
      </c>
      <c r="C1142" s="6" t="s">
        <v>5206</v>
      </c>
      <c r="D1142" s="6" t="s">
        <v>1936</v>
      </c>
      <c r="E1142" s="6" t="s">
        <v>5375</v>
      </c>
      <c r="F1142" s="6" t="s">
        <v>4821</v>
      </c>
      <c r="G1142" s="6" t="s">
        <v>18</v>
      </c>
      <c r="H1142" s="6" t="str">
        <f>IFERROR(VLOOKUP(Table2[[#This Row],[Ticket]],Okey!A:B,2,0),"")</f>
        <v>ok</v>
      </c>
      <c r="I1142" s="6" t="s">
        <v>3679</v>
      </c>
      <c r="J1142" s="6" t="str">
        <f>VLOOKUP(Table2[[#This Row],[Author]],People!A:B,2,0)</f>
        <v>EL</v>
      </c>
      <c r="K1142" s="6"/>
      <c r="L1142" s="6"/>
      <c r="M1142" s="21" t="s">
        <v>2804</v>
      </c>
    </row>
    <row r="1143" spans="1:13" x14ac:dyDescent="0.25">
      <c r="A1143" s="23">
        <f t="shared" si="17"/>
        <v>1142</v>
      </c>
      <c r="B1143" s="7" t="s">
        <v>4851</v>
      </c>
      <c r="C1143" s="7" t="s">
        <v>5206</v>
      </c>
      <c r="D1143" s="7" t="s">
        <v>1938</v>
      </c>
      <c r="E1143" s="7" t="s">
        <v>5376</v>
      </c>
      <c r="F1143" s="7" t="s">
        <v>4821</v>
      </c>
      <c r="G1143" s="7" t="s">
        <v>18</v>
      </c>
      <c r="H1143" s="7" t="str">
        <f>IFERROR(VLOOKUP(Table2[[#This Row],[Ticket]],Okey!A:B,2,0),"")</f>
        <v>ok</v>
      </c>
      <c r="I1143" s="7" t="s">
        <v>3679</v>
      </c>
      <c r="J1143" s="7" t="str">
        <f>VLOOKUP(Table2[[#This Row],[Author]],People!A:B,2,0)</f>
        <v>EL</v>
      </c>
      <c r="K1143" s="7"/>
      <c r="L1143" s="7"/>
      <c r="M1143" s="16" t="s">
        <v>2804</v>
      </c>
    </row>
    <row r="1144" spans="1:13" x14ac:dyDescent="0.25">
      <c r="A1144" s="22">
        <f t="shared" si="17"/>
        <v>1143</v>
      </c>
      <c r="B1144" s="6" t="s">
        <v>4851</v>
      </c>
      <c r="C1144" s="6" t="s">
        <v>5206</v>
      </c>
      <c r="D1144" s="6" t="s">
        <v>1940</v>
      </c>
      <c r="E1144" s="6" t="s">
        <v>5377</v>
      </c>
      <c r="F1144" s="6" t="s">
        <v>4821</v>
      </c>
      <c r="G1144" s="6" t="s">
        <v>18</v>
      </c>
      <c r="H1144" s="6" t="str">
        <f>IFERROR(VLOOKUP(Table2[[#This Row],[Ticket]],Okey!A:B,2,0),"")</f>
        <v>ok</v>
      </c>
      <c r="I1144" s="6" t="s">
        <v>3679</v>
      </c>
      <c r="J1144" s="6" t="str">
        <f>VLOOKUP(Table2[[#This Row],[Author]],People!A:B,2,0)</f>
        <v>EL</v>
      </c>
      <c r="K1144" s="6"/>
      <c r="L1144" s="6"/>
      <c r="M1144" s="21" t="s">
        <v>2804</v>
      </c>
    </row>
    <row r="1145" spans="1:13" x14ac:dyDescent="0.25">
      <c r="A1145" s="23">
        <f t="shared" si="17"/>
        <v>1144</v>
      </c>
      <c r="B1145" s="7" t="s">
        <v>4851</v>
      </c>
      <c r="C1145" s="7" t="s">
        <v>5206</v>
      </c>
      <c r="D1145" s="7" t="s">
        <v>2798</v>
      </c>
      <c r="E1145" s="7" t="s">
        <v>5378</v>
      </c>
      <c r="F1145" s="7" t="s">
        <v>4821</v>
      </c>
      <c r="G1145" s="7" t="s">
        <v>18</v>
      </c>
      <c r="H1145" s="7" t="str">
        <f>IFERROR(VLOOKUP(Table2[[#This Row],[Ticket]],Okey!A:B,2,0),"")</f>
        <v>ok</v>
      </c>
      <c r="I1145" s="7" t="s">
        <v>3679</v>
      </c>
      <c r="J1145" s="7" t="str">
        <f>VLOOKUP(Table2[[#This Row],[Author]],People!A:B,2,0)</f>
        <v>EL</v>
      </c>
      <c r="K1145" s="7"/>
      <c r="L1145" s="7"/>
      <c r="M1145" s="16" t="s">
        <v>2804</v>
      </c>
    </row>
    <row r="1146" spans="1:13" x14ac:dyDescent="0.25">
      <c r="A1146" s="22">
        <f t="shared" si="17"/>
        <v>1145</v>
      </c>
      <c r="B1146" s="6" t="s">
        <v>4851</v>
      </c>
      <c r="C1146" s="6" t="s">
        <v>5206</v>
      </c>
      <c r="D1146" s="6" t="s">
        <v>5379</v>
      </c>
      <c r="E1146" s="6" t="s">
        <v>5380</v>
      </c>
      <c r="F1146" s="6" t="s">
        <v>4821</v>
      </c>
      <c r="G1146" s="6" t="s">
        <v>18</v>
      </c>
      <c r="H1146" s="6" t="str">
        <f>IFERROR(VLOOKUP(Table2[[#This Row],[Ticket]],Okey!A:B,2,0),"")</f>
        <v>ok</v>
      </c>
      <c r="I1146" s="6" t="s">
        <v>3679</v>
      </c>
      <c r="J1146" s="6" t="str">
        <f>VLOOKUP(Table2[[#This Row],[Author]],People!A:B,2,0)</f>
        <v>EL</v>
      </c>
      <c r="K1146" s="6"/>
      <c r="L1146" s="6"/>
      <c r="M1146" s="21" t="s">
        <v>2804</v>
      </c>
    </row>
    <row r="1147" spans="1:13" x14ac:dyDescent="0.25">
      <c r="A1147" s="23">
        <f t="shared" si="17"/>
        <v>1146</v>
      </c>
      <c r="B1147" s="7" t="s">
        <v>4851</v>
      </c>
      <c r="C1147" s="7" t="s">
        <v>5206</v>
      </c>
      <c r="D1147" s="7" t="s">
        <v>2783</v>
      </c>
      <c r="E1147" s="7" t="s">
        <v>5381</v>
      </c>
      <c r="F1147" s="7" t="s">
        <v>2037</v>
      </c>
      <c r="G1147" s="7" t="s">
        <v>18</v>
      </c>
      <c r="H1147" s="7" t="str">
        <f>IFERROR(VLOOKUP(Table2[[#This Row],[Ticket]],Okey!A:B,2,0),"")</f>
        <v>ok</v>
      </c>
      <c r="I1147" s="7" t="s">
        <v>3679</v>
      </c>
      <c r="J1147" s="7" t="str">
        <f>VLOOKUP(Table2[[#This Row],[Author]],People!A:B,2,0)</f>
        <v>EL</v>
      </c>
      <c r="K1147" s="7"/>
      <c r="L1147" s="7"/>
      <c r="M1147" s="16" t="s">
        <v>2804</v>
      </c>
    </row>
    <row r="1148" spans="1:13" x14ac:dyDescent="0.25">
      <c r="A1148" s="22">
        <f t="shared" si="17"/>
        <v>1147</v>
      </c>
      <c r="B1148" s="6" t="s">
        <v>4851</v>
      </c>
      <c r="C1148" s="6" t="s">
        <v>5206</v>
      </c>
      <c r="D1148" s="6" t="s">
        <v>5382</v>
      </c>
      <c r="E1148" s="6" t="s">
        <v>5383</v>
      </c>
      <c r="F1148" s="6" t="s">
        <v>5384</v>
      </c>
      <c r="G1148" s="6" t="s">
        <v>18</v>
      </c>
      <c r="H1148" s="6" t="str">
        <f>IFERROR(VLOOKUP(Table2[[#This Row],[Ticket]],Okey!A:B,2,0),"")</f>
        <v>ok</v>
      </c>
      <c r="I1148" s="6" t="s">
        <v>3679</v>
      </c>
      <c r="J1148" s="6" t="str">
        <f>VLOOKUP(Table2[[#This Row],[Author]],People!A:B,2,0)</f>
        <v>EL</v>
      </c>
      <c r="K1148" s="6"/>
      <c r="L1148" s="6"/>
      <c r="M1148" s="21" t="s">
        <v>2804</v>
      </c>
    </row>
    <row r="1149" spans="1:13" x14ac:dyDescent="0.25">
      <c r="A1149" s="23">
        <f t="shared" si="17"/>
        <v>1148</v>
      </c>
      <c r="B1149" s="7" t="s">
        <v>4851</v>
      </c>
      <c r="C1149" s="7" t="s">
        <v>5206</v>
      </c>
      <c r="D1149" s="7" t="s">
        <v>5385</v>
      </c>
      <c r="E1149" s="7" t="s">
        <v>5386</v>
      </c>
      <c r="F1149" s="7" t="s">
        <v>5384</v>
      </c>
      <c r="G1149" s="7" t="s">
        <v>18</v>
      </c>
      <c r="H1149" s="7" t="str">
        <f>IFERROR(VLOOKUP(Table2[[#This Row],[Ticket]],Okey!A:B,2,0),"")</f>
        <v>ok</v>
      </c>
      <c r="I1149" s="7" t="s">
        <v>3679</v>
      </c>
      <c r="J1149" s="7" t="str">
        <f>VLOOKUP(Table2[[#This Row],[Author]],People!A:B,2,0)</f>
        <v>EL</v>
      </c>
      <c r="K1149" s="7"/>
      <c r="L1149" s="7"/>
      <c r="M1149" s="16" t="s">
        <v>2804</v>
      </c>
    </row>
    <row r="1150" spans="1:13" x14ac:dyDescent="0.25">
      <c r="A1150" s="22">
        <f t="shared" si="17"/>
        <v>1149</v>
      </c>
      <c r="B1150" s="6" t="s">
        <v>4851</v>
      </c>
      <c r="C1150" s="6" t="s">
        <v>5206</v>
      </c>
      <c r="D1150" s="6" t="s">
        <v>5387</v>
      </c>
      <c r="E1150" s="6" t="s">
        <v>5388</v>
      </c>
      <c r="F1150" s="6" t="s">
        <v>5384</v>
      </c>
      <c r="G1150" s="6" t="s">
        <v>18</v>
      </c>
      <c r="H1150" s="6" t="str">
        <f>IFERROR(VLOOKUP(Table2[[#This Row],[Ticket]],Okey!A:B,2,0),"")</f>
        <v>ok</v>
      </c>
      <c r="I1150" s="6" t="s">
        <v>3679</v>
      </c>
      <c r="J1150" s="6" t="str">
        <f>VLOOKUP(Table2[[#This Row],[Author]],People!A:B,2,0)</f>
        <v>EL</v>
      </c>
      <c r="K1150" s="6"/>
      <c r="L1150" s="6"/>
      <c r="M1150" s="21" t="s">
        <v>2804</v>
      </c>
    </row>
    <row r="1151" spans="1:13" x14ac:dyDescent="0.25">
      <c r="A1151" s="23">
        <f t="shared" si="17"/>
        <v>1150</v>
      </c>
      <c r="B1151" s="7" t="s">
        <v>4851</v>
      </c>
      <c r="C1151" s="7" t="s">
        <v>5206</v>
      </c>
      <c r="D1151" s="7" t="s">
        <v>5389</v>
      </c>
      <c r="E1151" s="7" t="s">
        <v>5390</v>
      </c>
      <c r="F1151" s="7" t="s">
        <v>2236</v>
      </c>
      <c r="G1151" s="7" t="s">
        <v>18</v>
      </c>
      <c r="H1151" s="7" t="str">
        <f>IFERROR(VLOOKUP(Table2[[#This Row],[Ticket]],Okey!A:B,2,0),"")</f>
        <v>ok</v>
      </c>
      <c r="I1151" s="7" t="s">
        <v>3679</v>
      </c>
      <c r="J1151" s="7" t="str">
        <f>VLOOKUP(Table2[[#This Row],[Author]],People!A:B,2,0)</f>
        <v>EL</v>
      </c>
      <c r="K1151" s="7"/>
      <c r="L1151" s="7"/>
      <c r="M1151" s="16" t="s">
        <v>2804</v>
      </c>
    </row>
    <row r="1152" spans="1:13" x14ac:dyDescent="0.25">
      <c r="A1152" s="22">
        <f t="shared" si="17"/>
        <v>1151</v>
      </c>
      <c r="B1152" s="6" t="s">
        <v>4851</v>
      </c>
      <c r="C1152" s="6" t="s">
        <v>5206</v>
      </c>
      <c r="D1152" s="6" t="s">
        <v>1944</v>
      </c>
      <c r="E1152" s="6" t="s">
        <v>2263</v>
      </c>
      <c r="F1152" s="6" t="s">
        <v>5389</v>
      </c>
      <c r="G1152" s="6" t="s">
        <v>18</v>
      </c>
      <c r="H1152" s="6" t="str">
        <f>IFERROR(VLOOKUP(Table2[[#This Row],[Ticket]],Okey!A:B,2,0),"")</f>
        <v>ok</v>
      </c>
      <c r="I1152" s="6" t="s">
        <v>3679</v>
      </c>
      <c r="J1152" s="6" t="str">
        <f>VLOOKUP(Table2[[#This Row],[Author]],People!A:B,2,0)</f>
        <v>EL</v>
      </c>
      <c r="K1152" s="6"/>
      <c r="L1152" s="6"/>
      <c r="M1152" s="21" t="s">
        <v>2804</v>
      </c>
    </row>
    <row r="1153" spans="1:13" x14ac:dyDescent="0.25">
      <c r="A1153" s="23">
        <f t="shared" si="17"/>
        <v>1152</v>
      </c>
      <c r="B1153" s="7" t="s">
        <v>4851</v>
      </c>
      <c r="C1153" s="7" t="s">
        <v>5206</v>
      </c>
      <c r="D1153" s="7" t="s">
        <v>3182</v>
      </c>
      <c r="E1153" s="7" t="s">
        <v>3183</v>
      </c>
      <c r="F1153" s="7" t="s">
        <v>1944</v>
      </c>
      <c r="G1153" s="7" t="s">
        <v>18</v>
      </c>
      <c r="H1153" s="7" t="str">
        <f>IFERROR(VLOOKUP(Table2[[#This Row],[Ticket]],Okey!A:B,2,0),"")</f>
        <v>ok</v>
      </c>
      <c r="I1153" s="7" t="s">
        <v>3679</v>
      </c>
      <c r="J1153" s="7" t="str">
        <f>VLOOKUP(Table2[[#This Row],[Author]],People!A:B,2,0)</f>
        <v>EL</v>
      </c>
      <c r="K1153" s="7"/>
      <c r="L1153" s="7"/>
      <c r="M1153" s="16" t="s">
        <v>2804</v>
      </c>
    </row>
    <row r="1154" spans="1:13" x14ac:dyDescent="0.25">
      <c r="A1154" s="22">
        <f t="shared" si="17"/>
        <v>1153</v>
      </c>
      <c r="B1154" s="6" t="s">
        <v>4851</v>
      </c>
      <c r="C1154" s="6" t="s">
        <v>5206</v>
      </c>
      <c r="D1154" s="6" t="s">
        <v>3184</v>
      </c>
      <c r="E1154" s="6" t="s">
        <v>5391</v>
      </c>
      <c r="F1154" s="6" t="s">
        <v>3182</v>
      </c>
      <c r="G1154" s="6" t="s">
        <v>18</v>
      </c>
      <c r="H1154" s="6" t="str">
        <f>IFERROR(VLOOKUP(Table2[[#This Row],[Ticket]],Okey!A:B,2,0),"")</f>
        <v>ok</v>
      </c>
      <c r="I1154" s="6" t="s">
        <v>3679</v>
      </c>
      <c r="J1154" s="6" t="str">
        <f>VLOOKUP(Table2[[#This Row],[Author]],People!A:B,2,0)</f>
        <v>EL</v>
      </c>
      <c r="K1154" s="6"/>
      <c r="L1154" s="6"/>
      <c r="M1154" s="21" t="s">
        <v>2804</v>
      </c>
    </row>
    <row r="1155" spans="1:13" x14ac:dyDescent="0.25">
      <c r="A1155" s="23">
        <f t="shared" ref="A1155:A1218" si="18">1+A1154</f>
        <v>1154</v>
      </c>
      <c r="B1155" s="7" t="s">
        <v>4851</v>
      </c>
      <c r="C1155" s="7" t="s">
        <v>5206</v>
      </c>
      <c r="D1155" s="7" t="s">
        <v>3186</v>
      </c>
      <c r="E1155" s="7" t="s">
        <v>5392</v>
      </c>
      <c r="F1155" s="7" t="s">
        <v>3182</v>
      </c>
      <c r="G1155" s="7" t="s">
        <v>18</v>
      </c>
      <c r="H1155" s="7" t="str">
        <f>IFERROR(VLOOKUP(Table2[[#This Row],[Ticket]],Okey!A:B,2,0),"")</f>
        <v>ok</v>
      </c>
      <c r="I1155" s="7" t="s">
        <v>3679</v>
      </c>
      <c r="J1155" s="7" t="str">
        <f>VLOOKUP(Table2[[#This Row],[Author]],People!A:B,2,0)</f>
        <v>EL</v>
      </c>
      <c r="K1155" s="7"/>
      <c r="L1155" s="7"/>
      <c r="M1155" s="16" t="s">
        <v>2804</v>
      </c>
    </row>
    <row r="1156" spans="1:13" x14ac:dyDescent="0.25">
      <c r="A1156" s="22">
        <f t="shared" si="18"/>
        <v>1155</v>
      </c>
      <c r="B1156" s="6" t="s">
        <v>4851</v>
      </c>
      <c r="C1156" s="6" t="s">
        <v>5206</v>
      </c>
      <c r="D1156" s="6" t="s">
        <v>3188</v>
      </c>
      <c r="E1156" s="6" t="s">
        <v>3189</v>
      </c>
      <c r="F1156" s="6" t="s">
        <v>1944</v>
      </c>
      <c r="G1156" s="6" t="s">
        <v>18</v>
      </c>
      <c r="H1156" s="6" t="str">
        <f>IFERROR(VLOOKUP(Table2[[#This Row],[Ticket]],Okey!A:B,2,0),"")</f>
        <v>ok</v>
      </c>
      <c r="I1156" s="6" t="s">
        <v>3679</v>
      </c>
      <c r="J1156" s="6" t="str">
        <f>VLOOKUP(Table2[[#This Row],[Author]],People!A:B,2,0)</f>
        <v>EL</v>
      </c>
      <c r="K1156" s="6"/>
      <c r="L1156" s="6"/>
      <c r="M1156" s="21" t="s">
        <v>2804</v>
      </c>
    </row>
    <row r="1157" spans="1:13" x14ac:dyDescent="0.25">
      <c r="A1157" s="23">
        <f t="shared" si="18"/>
        <v>1156</v>
      </c>
      <c r="B1157" s="7" t="s">
        <v>4851</v>
      </c>
      <c r="C1157" s="7" t="s">
        <v>5206</v>
      </c>
      <c r="D1157" s="7" t="s">
        <v>1946</v>
      </c>
      <c r="E1157" s="7" t="s">
        <v>2264</v>
      </c>
      <c r="F1157" s="7" t="s">
        <v>5389</v>
      </c>
      <c r="G1157" s="7" t="s">
        <v>18</v>
      </c>
      <c r="H1157" s="7" t="str">
        <f>IFERROR(VLOOKUP(Table2[[#This Row],[Ticket]],Okey!A:B,2,0),"")</f>
        <v>ok</v>
      </c>
      <c r="I1157" s="7" t="s">
        <v>3679</v>
      </c>
      <c r="J1157" s="7" t="str">
        <f>VLOOKUP(Table2[[#This Row],[Author]],People!A:B,2,0)</f>
        <v>EL</v>
      </c>
      <c r="K1157" s="7"/>
      <c r="L1157" s="7"/>
      <c r="M1157" s="16" t="s">
        <v>2804</v>
      </c>
    </row>
    <row r="1158" spans="1:13" x14ac:dyDescent="0.25">
      <c r="A1158" s="22">
        <f t="shared" si="18"/>
        <v>1157</v>
      </c>
      <c r="B1158" s="6" t="s">
        <v>4851</v>
      </c>
      <c r="C1158" s="6" t="s">
        <v>5206</v>
      </c>
      <c r="D1158" s="6" t="s">
        <v>3191</v>
      </c>
      <c r="E1158" s="6" t="s">
        <v>3192</v>
      </c>
      <c r="F1158" s="6" t="s">
        <v>1946</v>
      </c>
      <c r="G1158" s="6" t="s">
        <v>18</v>
      </c>
      <c r="H1158" s="6" t="str">
        <f>IFERROR(VLOOKUP(Table2[[#This Row],[Ticket]],Okey!A:B,2,0),"")</f>
        <v>ok</v>
      </c>
      <c r="I1158" s="6" t="s">
        <v>3679</v>
      </c>
      <c r="J1158" s="6" t="str">
        <f>VLOOKUP(Table2[[#This Row],[Author]],People!A:B,2,0)</f>
        <v>EL</v>
      </c>
      <c r="K1158" s="6"/>
      <c r="L1158" s="6"/>
      <c r="M1158" s="21" t="s">
        <v>2804</v>
      </c>
    </row>
    <row r="1159" spans="1:13" x14ac:dyDescent="0.25">
      <c r="A1159" s="23">
        <f t="shared" si="18"/>
        <v>1158</v>
      </c>
      <c r="B1159" s="7" t="s">
        <v>4851</v>
      </c>
      <c r="C1159" s="7" t="s">
        <v>5206</v>
      </c>
      <c r="D1159" s="7" t="s">
        <v>3193</v>
      </c>
      <c r="E1159" s="7" t="s">
        <v>5393</v>
      </c>
      <c r="F1159" s="7" t="s">
        <v>3191</v>
      </c>
      <c r="G1159" s="7" t="s">
        <v>18</v>
      </c>
      <c r="H1159" s="7" t="str">
        <f>IFERROR(VLOOKUP(Table2[[#This Row],[Ticket]],Okey!A:B,2,0),"")</f>
        <v>ok</v>
      </c>
      <c r="I1159" s="7" t="s">
        <v>3679</v>
      </c>
      <c r="J1159" s="7" t="str">
        <f>VLOOKUP(Table2[[#This Row],[Author]],People!A:B,2,0)</f>
        <v>EL</v>
      </c>
      <c r="K1159" s="7"/>
      <c r="L1159" s="7"/>
      <c r="M1159" s="16" t="s">
        <v>2804</v>
      </c>
    </row>
    <row r="1160" spans="1:13" x14ac:dyDescent="0.25">
      <c r="A1160" s="22">
        <f t="shared" si="18"/>
        <v>1159</v>
      </c>
      <c r="B1160" s="6" t="s">
        <v>4851</v>
      </c>
      <c r="C1160" s="6" t="s">
        <v>5206</v>
      </c>
      <c r="D1160" s="6" t="s">
        <v>3195</v>
      </c>
      <c r="E1160" s="6" t="s">
        <v>5394</v>
      </c>
      <c r="F1160" s="6" t="s">
        <v>3191</v>
      </c>
      <c r="G1160" s="6" t="s">
        <v>18</v>
      </c>
      <c r="H1160" s="6" t="str">
        <f>IFERROR(VLOOKUP(Table2[[#This Row],[Ticket]],Okey!A:B,2,0),"")</f>
        <v>ok</v>
      </c>
      <c r="I1160" s="6" t="s">
        <v>3679</v>
      </c>
      <c r="J1160" s="6" t="str">
        <f>VLOOKUP(Table2[[#This Row],[Author]],People!A:B,2,0)</f>
        <v>EL</v>
      </c>
      <c r="K1160" s="6"/>
      <c r="L1160" s="6"/>
      <c r="M1160" s="21" t="s">
        <v>2804</v>
      </c>
    </row>
    <row r="1161" spans="1:13" x14ac:dyDescent="0.25">
      <c r="A1161" s="23">
        <f t="shared" si="18"/>
        <v>1160</v>
      </c>
      <c r="B1161" s="7" t="s">
        <v>4851</v>
      </c>
      <c r="C1161" s="7" t="s">
        <v>5206</v>
      </c>
      <c r="D1161" s="7" t="s">
        <v>3197</v>
      </c>
      <c r="E1161" s="7" t="s">
        <v>3198</v>
      </c>
      <c r="F1161" s="7" t="s">
        <v>1946</v>
      </c>
      <c r="G1161" s="7" t="s">
        <v>18</v>
      </c>
      <c r="H1161" s="7" t="str">
        <f>IFERROR(VLOOKUP(Table2[[#This Row],[Ticket]],Okey!A:B,2,0),"")</f>
        <v>ok</v>
      </c>
      <c r="I1161" s="7" t="s">
        <v>3679</v>
      </c>
      <c r="J1161" s="7" t="str">
        <f>VLOOKUP(Table2[[#This Row],[Author]],People!A:B,2,0)</f>
        <v>EL</v>
      </c>
      <c r="K1161" s="7"/>
      <c r="L1161" s="7"/>
      <c r="M1161" s="16" t="s">
        <v>2804</v>
      </c>
    </row>
    <row r="1162" spans="1:13" x14ac:dyDescent="0.25">
      <c r="A1162" s="22">
        <f t="shared" si="18"/>
        <v>1161</v>
      </c>
      <c r="B1162" s="6" t="s">
        <v>4851</v>
      </c>
      <c r="C1162" s="6" t="s">
        <v>5206</v>
      </c>
      <c r="D1162" s="6" t="s">
        <v>5395</v>
      </c>
      <c r="E1162" s="6" t="s">
        <v>5396</v>
      </c>
      <c r="F1162" s="6" t="s">
        <v>2236</v>
      </c>
      <c r="G1162" s="6" t="s">
        <v>18</v>
      </c>
      <c r="H1162" s="6" t="str">
        <f>IFERROR(VLOOKUP(Table2[[#This Row],[Ticket]],Okey!A:B,2,0),"")</f>
        <v>ok</v>
      </c>
      <c r="I1162" s="6" t="s">
        <v>3679</v>
      </c>
      <c r="J1162" s="6" t="str">
        <f>VLOOKUP(Table2[[#This Row],[Author]],People!A:B,2,0)</f>
        <v>EL</v>
      </c>
      <c r="K1162" s="6"/>
      <c r="L1162" s="6"/>
      <c r="M1162" s="21" t="s">
        <v>2804</v>
      </c>
    </row>
    <row r="1163" spans="1:13" x14ac:dyDescent="0.25">
      <c r="A1163" s="23">
        <f t="shared" si="18"/>
        <v>1162</v>
      </c>
      <c r="B1163" s="7" t="s">
        <v>4851</v>
      </c>
      <c r="C1163" s="7" t="s">
        <v>5206</v>
      </c>
      <c r="D1163" s="7" t="s">
        <v>5397</v>
      </c>
      <c r="E1163" s="7" t="s">
        <v>5398</v>
      </c>
      <c r="F1163" s="7" t="s">
        <v>2236</v>
      </c>
      <c r="G1163" s="7" t="s">
        <v>18</v>
      </c>
      <c r="H1163" s="7" t="str">
        <f>IFERROR(VLOOKUP(Table2[[#This Row],[Ticket]],Okey!A:B,2,0),"")</f>
        <v>ok</v>
      </c>
      <c r="I1163" s="7" t="s">
        <v>3679</v>
      </c>
      <c r="J1163" s="7" t="str">
        <f>VLOOKUP(Table2[[#This Row],[Author]],People!A:B,2,0)</f>
        <v>EL</v>
      </c>
      <c r="K1163" s="7"/>
      <c r="L1163" s="7"/>
      <c r="M1163" s="16" t="s">
        <v>2804</v>
      </c>
    </row>
    <row r="1164" spans="1:13" x14ac:dyDescent="0.25">
      <c r="A1164" s="22">
        <f t="shared" si="18"/>
        <v>1163</v>
      </c>
      <c r="B1164" s="6" t="s">
        <v>4851</v>
      </c>
      <c r="C1164" s="6" t="s">
        <v>5206</v>
      </c>
      <c r="D1164" s="6" t="s">
        <v>1948</v>
      </c>
      <c r="E1164" s="6" t="s">
        <v>5399</v>
      </c>
      <c r="F1164" s="6" t="s">
        <v>2236</v>
      </c>
      <c r="G1164" s="6" t="s">
        <v>18</v>
      </c>
      <c r="H1164" s="6" t="str">
        <f>IFERROR(VLOOKUP(Table2[[#This Row],[Ticket]],Okey!A:B,2,0),"")</f>
        <v>ok</v>
      </c>
      <c r="I1164" s="6" t="s">
        <v>3679</v>
      </c>
      <c r="J1164" s="6" t="str">
        <f>VLOOKUP(Table2[[#This Row],[Author]],People!A:B,2,0)</f>
        <v>EL</v>
      </c>
      <c r="K1164" s="6"/>
      <c r="L1164" s="6"/>
      <c r="M1164" s="21" t="s">
        <v>2804</v>
      </c>
    </row>
    <row r="1165" spans="1:13" x14ac:dyDescent="0.25">
      <c r="A1165" s="23">
        <f t="shared" si="18"/>
        <v>1164</v>
      </c>
      <c r="B1165" s="7" t="s">
        <v>4851</v>
      </c>
      <c r="C1165" s="7" t="s">
        <v>5206</v>
      </c>
      <c r="D1165" s="7" t="s">
        <v>5400</v>
      </c>
      <c r="E1165" s="7" t="s">
        <v>5401</v>
      </c>
      <c r="F1165" s="7" t="s">
        <v>2239</v>
      </c>
      <c r="G1165" s="7" t="s">
        <v>18</v>
      </c>
      <c r="H1165" s="7" t="str">
        <f>IFERROR(VLOOKUP(Table2[[#This Row],[Ticket]],Okey!A:B,2,0),"")</f>
        <v>ok</v>
      </c>
      <c r="I1165" s="7" t="s">
        <v>3679</v>
      </c>
      <c r="J1165" s="7" t="str">
        <f>VLOOKUP(Table2[[#This Row],[Author]],People!A:B,2,0)</f>
        <v>EL</v>
      </c>
      <c r="K1165" s="7"/>
      <c r="L1165" s="7"/>
      <c r="M1165" s="16" t="s">
        <v>2804</v>
      </c>
    </row>
    <row r="1166" spans="1:13" x14ac:dyDescent="0.25">
      <c r="A1166" s="22">
        <f t="shared" si="18"/>
        <v>1165</v>
      </c>
      <c r="B1166" s="6" t="s">
        <v>4851</v>
      </c>
      <c r="C1166" s="6" t="s">
        <v>5206</v>
      </c>
      <c r="D1166" s="6" t="s">
        <v>3199</v>
      </c>
      <c r="E1166" s="6" t="s">
        <v>5402</v>
      </c>
      <c r="F1166" s="6" t="s">
        <v>5400</v>
      </c>
      <c r="G1166" s="6" t="s">
        <v>18</v>
      </c>
      <c r="H1166" s="6" t="str">
        <f>IFERROR(VLOOKUP(Table2[[#This Row],[Ticket]],Okey!A:B,2,0),"")</f>
        <v>ok</v>
      </c>
      <c r="I1166" s="6" t="s">
        <v>3679</v>
      </c>
      <c r="J1166" s="6" t="str">
        <f>VLOOKUP(Table2[[#This Row],[Author]],People!A:B,2,0)</f>
        <v>EL</v>
      </c>
      <c r="K1166" s="6"/>
      <c r="L1166" s="6"/>
      <c r="M1166" s="21" t="s">
        <v>2804</v>
      </c>
    </row>
    <row r="1167" spans="1:13" x14ac:dyDescent="0.25">
      <c r="A1167" s="23">
        <f t="shared" si="18"/>
        <v>1166</v>
      </c>
      <c r="B1167" s="7" t="s">
        <v>4851</v>
      </c>
      <c r="C1167" s="7" t="s">
        <v>5206</v>
      </c>
      <c r="D1167" s="7" t="s">
        <v>3201</v>
      </c>
      <c r="E1167" s="7" t="s">
        <v>3202</v>
      </c>
      <c r="F1167" s="7" t="s">
        <v>3199</v>
      </c>
      <c r="G1167" s="7" t="s">
        <v>18</v>
      </c>
      <c r="H1167" s="7" t="str">
        <f>IFERROR(VLOOKUP(Table2[[#This Row],[Ticket]],Okey!A:B,2,0),"")</f>
        <v>ok</v>
      </c>
      <c r="I1167" s="7" t="s">
        <v>3679</v>
      </c>
      <c r="J1167" s="7" t="str">
        <f>VLOOKUP(Table2[[#This Row],[Author]],People!A:B,2,0)</f>
        <v>EL</v>
      </c>
      <c r="K1167" s="7"/>
      <c r="L1167" s="7"/>
      <c r="M1167" s="16" t="s">
        <v>2804</v>
      </c>
    </row>
    <row r="1168" spans="1:13" x14ac:dyDescent="0.25">
      <c r="A1168" s="22">
        <f t="shared" si="18"/>
        <v>1167</v>
      </c>
      <c r="B1168" s="6" t="s">
        <v>4851</v>
      </c>
      <c r="C1168" s="6" t="s">
        <v>5206</v>
      </c>
      <c r="D1168" s="6" t="s">
        <v>3203</v>
      </c>
      <c r="E1168" s="6" t="s">
        <v>5403</v>
      </c>
      <c r="F1168" s="6" t="s">
        <v>3201</v>
      </c>
      <c r="G1168" s="6" t="s">
        <v>18</v>
      </c>
      <c r="H1168" s="6" t="str">
        <f>IFERROR(VLOOKUP(Table2[[#This Row],[Ticket]],Okey!A:B,2,0),"")</f>
        <v>ok</v>
      </c>
      <c r="I1168" s="6" t="s">
        <v>3679</v>
      </c>
      <c r="J1168" s="6" t="str">
        <f>VLOOKUP(Table2[[#This Row],[Author]],People!A:B,2,0)</f>
        <v>LS</v>
      </c>
      <c r="K1168" s="6"/>
      <c r="L1168" s="6"/>
      <c r="M1168" s="21" t="s">
        <v>2804</v>
      </c>
    </row>
    <row r="1169" spans="1:13" x14ac:dyDescent="0.25">
      <c r="A1169" s="23">
        <f t="shared" si="18"/>
        <v>1168</v>
      </c>
      <c r="B1169" s="7" t="s">
        <v>4851</v>
      </c>
      <c r="C1169" s="7" t="s">
        <v>5206</v>
      </c>
      <c r="D1169" s="7" t="s">
        <v>3205</v>
      </c>
      <c r="E1169" s="7" t="s">
        <v>5404</v>
      </c>
      <c r="F1169" s="7" t="s">
        <v>3201</v>
      </c>
      <c r="G1169" s="7" t="s">
        <v>18</v>
      </c>
      <c r="H1169" s="7" t="str">
        <f>IFERROR(VLOOKUP(Table2[[#This Row],[Ticket]],Okey!A:B,2,0),"")</f>
        <v>ok</v>
      </c>
      <c r="I1169" s="7" t="s">
        <v>3679</v>
      </c>
      <c r="J1169" s="7" t="str">
        <f>VLOOKUP(Table2[[#This Row],[Author]],People!A:B,2,0)</f>
        <v>LS</v>
      </c>
      <c r="K1169" s="7"/>
      <c r="L1169" s="7"/>
      <c r="M1169" s="16" t="s">
        <v>2804</v>
      </c>
    </row>
    <row r="1170" spans="1:13" x14ac:dyDescent="0.25">
      <c r="A1170" s="22">
        <f t="shared" si="18"/>
        <v>1169</v>
      </c>
      <c r="B1170" s="6" t="s">
        <v>4851</v>
      </c>
      <c r="C1170" s="6" t="s">
        <v>5206</v>
      </c>
      <c r="D1170" s="6" t="s">
        <v>3207</v>
      </c>
      <c r="E1170" s="6" t="s">
        <v>3208</v>
      </c>
      <c r="F1170" s="6" t="s">
        <v>3199</v>
      </c>
      <c r="G1170" s="6" t="s">
        <v>18</v>
      </c>
      <c r="H1170" s="6" t="str">
        <f>IFERROR(VLOOKUP(Table2[[#This Row],[Ticket]],Okey!A:B,2,0),"")</f>
        <v>ok</v>
      </c>
      <c r="I1170" s="6" t="s">
        <v>3679</v>
      </c>
      <c r="J1170" s="6" t="str">
        <f>VLOOKUP(Table2[[#This Row],[Author]],People!A:B,2,0)</f>
        <v>LS</v>
      </c>
      <c r="K1170" s="6"/>
      <c r="L1170" s="6"/>
      <c r="M1170" s="21" t="s">
        <v>2804</v>
      </c>
    </row>
    <row r="1171" spans="1:13" x14ac:dyDescent="0.25">
      <c r="A1171" s="23">
        <f t="shared" si="18"/>
        <v>1170</v>
      </c>
      <c r="B1171" s="7" t="s">
        <v>4851</v>
      </c>
      <c r="C1171" s="7" t="s">
        <v>5206</v>
      </c>
      <c r="D1171" s="7" t="s">
        <v>3209</v>
      </c>
      <c r="E1171" s="7" t="s">
        <v>5405</v>
      </c>
      <c r="F1171" s="7" t="s">
        <v>5400</v>
      </c>
      <c r="G1171" s="7" t="s">
        <v>18</v>
      </c>
      <c r="H1171" s="7" t="str">
        <f>IFERROR(VLOOKUP(Table2[[#This Row],[Ticket]],Okey!A:B,2,0),"")</f>
        <v>ok</v>
      </c>
      <c r="I1171" s="7" t="s">
        <v>3679</v>
      </c>
      <c r="J1171" s="7" t="str">
        <f>VLOOKUP(Table2[[#This Row],[Author]],People!A:B,2,0)</f>
        <v>LS</v>
      </c>
      <c r="K1171" s="7"/>
      <c r="L1171" s="7"/>
      <c r="M1171" s="16" t="s">
        <v>2804</v>
      </c>
    </row>
    <row r="1172" spans="1:13" x14ac:dyDescent="0.25">
      <c r="A1172" s="22">
        <f t="shared" si="18"/>
        <v>1171</v>
      </c>
      <c r="B1172" s="6" t="s">
        <v>4851</v>
      </c>
      <c r="C1172" s="6" t="s">
        <v>5206</v>
      </c>
      <c r="D1172" s="6" t="s">
        <v>3211</v>
      </c>
      <c r="E1172" s="6" t="s">
        <v>3212</v>
      </c>
      <c r="F1172" s="6" t="s">
        <v>3209</v>
      </c>
      <c r="G1172" s="6" t="s">
        <v>18</v>
      </c>
      <c r="H1172" s="6" t="str">
        <f>IFERROR(VLOOKUP(Table2[[#This Row],[Ticket]],Okey!A:B,2,0),"")</f>
        <v>ok</v>
      </c>
      <c r="I1172" s="6" t="s">
        <v>3679</v>
      </c>
      <c r="J1172" s="6" t="str">
        <f>VLOOKUP(Table2[[#This Row],[Author]],People!A:B,2,0)</f>
        <v>LS</v>
      </c>
      <c r="K1172" s="6"/>
      <c r="L1172" s="6"/>
      <c r="M1172" s="21" t="s">
        <v>2804</v>
      </c>
    </row>
    <row r="1173" spans="1:13" x14ac:dyDescent="0.25">
      <c r="A1173" s="23">
        <f t="shared" si="18"/>
        <v>1172</v>
      </c>
      <c r="B1173" s="7" t="s">
        <v>4851</v>
      </c>
      <c r="C1173" s="7" t="s">
        <v>5206</v>
      </c>
      <c r="D1173" s="7" t="s">
        <v>3213</v>
      </c>
      <c r="E1173" s="7" t="s">
        <v>5406</v>
      </c>
      <c r="F1173" s="7" t="s">
        <v>3211</v>
      </c>
      <c r="G1173" s="7" t="s">
        <v>18</v>
      </c>
      <c r="H1173" s="7" t="str">
        <f>IFERROR(VLOOKUP(Table2[[#This Row],[Ticket]],Okey!A:B,2,0),"")</f>
        <v>ok</v>
      </c>
      <c r="I1173" s="7" t="s">
        <v>3679</v>
      </c>
      <c r="J1173" s="7" t="str">
        <f>VLOOKUP(Table2[[#This Row],[Author]],People!A:B,2,0)</f>
        <v>LS</v>
      </c>
      <c r="K1173" s="7"/>
      <c r="L1173" s="7"/>
      <c r="M1173" s="16" t="s">
        <v>2804</v>
      </c>
    </row>
    <row r="1174" spans="1:13" x14ac:dyDescent="0.25">
      <c r="A1174" s="22">
        <f t="shared" si="18"/>
        <v>1173</v>
      </c>
      <c r="B1174" s="6" t="s">
        <v>4851</v>
      </c>
      <c r="C1174" s="6" t="s">
        <v>5206</v>
      </c>
      <c r="D1174" s="6" t="s">
        <v>3215</v>
      </c>
      <c r="E1174" s="6" t="s">
        <v>5407</v>
      </c>
      <c r="F1174" s="6" t="s">
        <v>3211</v>
      </c>
      <c r="G1174" s="6" t="s">
        <v>18</v>
      </c>
      <c r="H1174" s="6" t="str">
        <f>IFERROR(VLOOKUP(Table2[[#This Row],[Ticket]],Okey!A:B,2,0),"")</f>
        <v>ok</v>
      </c>
      <c r="I1174" s="6" t="s">
        <v>3679</v>
      </c>
      <c r="J1174" s="6" t="str">
        <f>VLOOKUP(Table2[[#This Row],[Author]],People!A:B,2,0)</f>
        <v>LS</v>
      </c>
      <c r="K1174" s="6"/>
      <c r="L1174" s="6"/>
      <c r="M1174" s="21" t="s">
        <v>2804</v>
      </c>
    </row>
    <row r="1175" spans="1:13" x14ac:dyDescent="0.25">
      <c r="A1175" s="23">
        <f t="shared" si="18"/>
        <v>1174</v>
      </c>
      <c r="B1175" s="7" t="s">
        <v>4851</v>
      </c>
      <c r="C1175" s="7" t="s">
        <v>5206</v>
      </c>
      <c r="D1175" s="7" t="s">
        <v>3217</v>
      </c>
      <c r="E1175" s="7" t="s">
        <v>3218</v>
      </c>
      <c r="F1175" s="7" t="s">
        <v>3209</v>
      </c>
      <c r="G1175" s="7" t="s">
        <v>18</v>
      </c>
      <c r="H1175" s="7" t="str">
        <f>IFERROR(VLOOKUP(Table2[[#This Row],[Ticket]],Okey!A:B,2,0),"")</f>
        <v>ok</v>
      </c>
      <c r="I1175" s="7" t="s">
        <v>3679</v>
      </c>
      <c r="J1175" s="7" t="str">
        <f>VLOOKUP(Table2[[#This Row],[Author]],People!A:B,2,0)</f>
        <v>LS</v>
      </c>
      <c r="K1175" s="7"/>
      <c r="L1175" s="7"/>
      <c r="M1175" s="16" t="s">
        <v>2804</v>
      </c>
    </row>
    <row r="1176" spans="1:13" x14ac:dyDescent="0.25">
      <c r="A1176" s="22">
        <f t="shared" si="18"/>
        <v>1175</v>
      </c>
      <c r="B1176" s="6" t="s">
        <v>4851</v>
      </c>
      <c r="C1176" s="6" t="s">
        <v>5206</v>
      </c>
      <c r="D1176" s="6" t="s">
        <v>5408</v>
      </c>
      <c r="E1176" s="6" t="s">
        <v>5409</v>
      </c>
      <c r="F1176" s="6" t="s">
        <v>2239</v>
      </c>
      <c r="G1176" s="6" t="s">
        <v>18</v>
      </c>
      <c r="H1176" s="6" t="str">
        <f>IFERROR(VLOOKUP(Table2[[#This Row],[Ticket]],Okey!A:B,2,0),"")</f>
        <v>ok</v>
      </c>
      <c r="I1176" s="6" t="s">
        <v>3679</v>
      </c>
      <c r="J1176" s="6" t="str">
        <f>VLOOKUP(Table2[[#This Row],[Author]],People!A:B,2,0)</f>
        <v>LS</v>
      </c>
      <c r="K1176" s="6"/>
      <c r="L1176" s="6"/>
      <c r="M1176" s="21" t="s">
        <v>2804</v>
      </c>
    </row>
    <row r="1177" spans="1:13" x14ac:dyDescent="0.25">
      <c r="A1177" s="23">
        <f t="shared" si="18"/>
        <v>1176</v>
      </c>
      <c r="B1177" s="7" t="s">
        <v>4851</v>
      </c>
      <c r="C1177" s="7" t="s">
        <v>5206</v>
      </c>
      <c r="D1177" s="7" t="s">
        <v>5410</v>
      </c>
      <c r="E1177" s="7" t="s">
        <v>5411</v>
      </c>
      <c r="F1177" s="7" t="s">
        <v>2239</v>
      </c>
      <c r="G1177" s="7" t="s">
        <v>18</v>
      </c>
      <c r="H1177" s="7" t="str">
        <f>IFERROR(VLOOKUP(Table2[[#This Row],[Ticket]],Okey!A:B,2,0),"")</f>
        <v>ok</v>
      </c>
      <c r="I1177" s="7" t="s">
        <v>3679</v>
      </c>
      <c r="J1177" s="7" t="str">
        <f>VLOOKUP(Table2[[#This Row],[Author]],People!A:B,2,0)</f>
        <v>LS</v>
      </c>
      <c r="K1177" s="7"/>
      <c r="L1177" s="7"/>
      <c r="M1177" s="16" t="s">
        <v>2804</v>
      </c>
    </row>
    <row r="1178" spans="1:13" x14ac:dyDescent="0.25">
      <c r="A1178" s="22">
        <f t="shared" si="18"/>
        <v>1177</v>
      </c>
      <c r="B1178" s="6" t="s">
        <v>4851</v>
      </c>
      <c r="C1178" s="6" t="s">
        <v>5206</v>
      </c>
      <c r="D1178" s="6" t="s">
        <v>5412</v>
      </c>
      <c r="E1178" s="6" t="s">
        <v>5413</v>
      </c>
      <c r="F1178" s="6" t="s">
        <v>2242</v>
      </c>
      <c r="G1178" s="6" t="s">
        <v>18</v>
      </c>
      <c r="H1178" s="6" t="str">
        <f>IFERROR(VLOOKUP(Table2[[#This Row],[Ticket]],Okey!A:B,2,0),"")</f>
        <v>ok</v>
      </c>
      <c r="I1178" s="6" t="s">
        <v>3679</v>
      </c>
      <c r="J1178" s="6" t="str">
        <f>VLOOKUP(Table2[[#This Row],[Author]],People!A:B,2,0)</f>
        <v>LS</v>
      </c>
      <c r="K1178" s="6"/>
      <c r="L1178" s="6"/>
      <c r="M1178" s="21" t="s">
        <v>2804</v>
      </c>
    </row>
    <row r="1179" spans="1:13" x14ac:dyDescent="0.25">
      <c r="A1179" s="23">
        <f t="shared" si="18"/>
        <v>1178</v>
      </c>
      <c r="B1179" s="7" t="s">
        <v>4851</v>
      </c>
      <c r="C1179" s="7" t="s">
        <v>5206</v>
      </c>
      <c r="D1179" s="7" t="s">
        <v>1954</v>
      </c>
      <c r="E1179" s="7" t="s">
        <v>2265</v>
      </c>
      <c r="F1179" s="7" t="s">
        <v>5412</v>
      </c>
      <c r="G1179" s="7" t="s">
        <v>18</v>
      </c>
      <c r="H1179" s="7" t="str">
        <f>IFERROR(VLOOKUP(Table2[[#This Row],[Ticket]],Okey!A:B,2,0),"")</f>
        <v>ok</v>
      </c>
      <c r="I1179" s="7" t="s">
        <v>3679</v>
      </c>
      <c r="J1179" s="7" t="str">
        <f>VLOOKUP(Table2[[#This Row],[Author]],People!A:B,2,0)</f>
        <v>LS</v>
      </c>
      <c r="K1179" s="7"/>
      <c r="L1179" s="7"/>
      <c r="M1179" s="16" t="s">
        <v>2804</v>
      </c>
    </row>
    <row r="1180" spans="1:13" x14ac:dyDescent="0.25">
      <c r="A1180" s="22">
        <f t="shared" si="18"/>
        <v>1179</v>
      </c>
      <c r="B1180" s="6" t="s">
        <v>4851</v>
      </c>
      <c r="C1180" s="6" t="s">
        <v>5206</v>
      </c>
      <c r="D1180" s="6" t="s">
        <v>3220</v>
      </c>
      <c r="E1180" s="6" t="s">
        <v>3221</v>
      </c>
      <c r="F1180" s="6" t="s">
        <v>1954</v>
      </c>
      <c r="G1180" s="6" t="s">
        <v>18</v>
      </c>
      <c r="H1180" s="6" t="str">
        <f>IFERROR(VLOOKUP(Table2[[#This Row],[Ticket]],Okey!A:B,2,0),"")</f>
        <v>ok</v>
      </c>
      <c r="I1180" s="6" t="s">
        <v>3679</v>
      </c>
      <c r="J1180" s="6" t="str">
        <f>VLOOKUP(Table2[[#This Row],[Author]],People!A:B,2,0)</f>
        <v>LS</v>
      </c>
      <c r="K1180" s="6"/>
      <c r="L1180" s="6"/>
      <c r="M1180" s="21" t="s">
        <v>2804</v>
      </c>
    </row>
    <row r="1181" spans="1:13" x14ac:dyDescent="0.25">
      <c r="A1181" s="23">
        <f t="shared" si="18"/>
        <v>1180</v>
      </c>
      <c r="B1181" s="7" t="s">
        <v>4851</v>
      </c>
      <c r="C1181" s="7" t="s">
        <v>5206</v>
      </c>
      <c r="D1181" s="7" t="s">
        <v>3222</v>
      </c>
      <c r="E1181" s="7" t="s">
        <v>5414</v>
      </c>
      <c r="F1181" s="7" t="s">
        <v>3220</v>
      </c>
      <c r="G1181" s="7" t="s">
        <v>18</v>
      </c>
      <c r="H1181" s="7" t="str">
        <f>IFERROR(VLOOKUP(Table2[[#This Row],[Ticket]],Okey!A:B,2,0),"")</f>
        <v>ok</v>
      </c>
      <c r="I1181" s="7" t="s">
        <v>3679</v>
      </c>
      <c r="J1181" s="7" t="str">
        <f>VLOOKUP(Table2[[#This Row],[Author]],People!A:B,2,0)</f>
        <v>LS</v>
      </c>
      <c r="K1181" s="7"/>
      <c r="L1181" s="7"/>
      <c r="M1181" s="16" t="s">
        <v>2804</v>
      </c>
    </row>
    <row r="1182" spans="1:13" x14ac:dyDescent="0.25">
      <c r="A1182" s="22">
        <f t="shared" si="18"/>
        <v>1181</v>
      </c>
      <c r="B1182" s="6" t="s">
        <v>4851</v>
      </c>
      <c r="C1182" s="6" t="s">
        <v>5206</v>
      </c>
      <c r="D1182" s="6" t="s">
        <v>3224</v>
      </c>
      <c r="E1182" s="6" t="s">
        <v>5415</v>
      </c>
      <c r="F1182" s="6" t="s">
        <v>3220</v>
      </c>
      <c r="G1182" s="6" t="s">
        <v>18</v>
      </c>
      <c r="H1182" s="6" t="str">
        <f>IFERROR(VLOOKUP(Table2[[#This Row],[Ticket]],Okey!A:B,2,0),"")</f>
        <v>ok</v>
      </c>
      <c r="I1182" s="6" t="s">
        <v>3679</v>
      </c>
      <c r="J1182" s="6" t="str">
        <f>VLOOKUP(Table2[[#This Row],[Author]],People!A:B,2,0)</f>
        <v>LS</v>
      </c>
      <c r="K1182" s="6"/>
      <c r="L1182" s="6"/>
      <c r="M1182" s="21" t="s">
        <v>2804</v>
      </c>
    </row>
    <row r="1183" spans="1:13" x14ac:dyDescent="0.25">
      <c r="A1183" s="23">
        <f t="shared" si="18"/>
        <v>1182</v>
      </c>
      <c r="B1183" s="7" t="s">
        <v>4851</v>
      </c>
      <c r="C1183" s="7" t="s">
        <v>5206</v>
      </c>
      <c r="D1183" s="7" t="s">
        <v>3226</v>
      </c>
      <c r="E1183" s="7" t="s">
        <v>3227</v>
      </c>
      <c r="F1183" s="7" t="s">
        <v>5412</v>
      </c>
      <c r="G1183" s="7" t="s">
        <v>18</v>
      </c>
      <c r="H1183" s="7" t="str">
        <f>IFERROR(VLOOKUP(Table2[[#This Row],[Ticket]],Okey!A:B,2,0),"")</f>
        <v>ok</v>
      </c>
      <c r="I1183" s="7" t="s">
        <v>3679</v>
      </c>
      <c r="J1183" s="7" t="str">
        <f>VLOOKUP(Table2[[#This Row],[Author]],People!A:B,2,0)</f>
        <v>LS</v>
      </c>
      <c r="K1183" s="7"/>
      <c r="L1183" s="7"/>
      <c r="M1183" s="16" t="s">
        <v>2804</v>
      </c>
    </row>
    <row r="1184" spans="1:13" x14ac:dyDescent="0.25">
      <c r="A1184" s="22">
        <f t="shared" si="18"/>
        <v>1183</v>
      </c>
      <c r="B1184" s="6" t="s">
        <v>4851</v>
      </c>
      <c r="C1184" s="6" t="s">
        <v>5206</v>
      </c>
      <c r="D1184" s="6" t="s">
        <v>5416</v>
      </c>
      <c r="E1184" s="6" t="s">
        <v>5417</v>
      </c>
      <c r="F1184" s="6" t="s">
        <v>2242</v>
      </c>
      <c r="G1184" s="6" t="s">
        <v>18</v>
      </c>
      <c r="H1184" s="6" t="str">
        <f>IFERROR(VLOOKUP(Table2[[#This Row],[Ticket]],Okey!A:B,2,0),"")</f>
        <v>ok</v>
      </c>
      <c r="I1184" s="6" t="s">
        <v>3679</v>
      </c>
      <c r="J1184" s="6" t="str">
        <f>VLOOKUP(Table2[[#This Row],[Author]],People!A:B,2,0)</f>
        <v>LS</v>
      </c>
      <c r="K1184" s="6"/>
      <c r="L1184" s="6"/>
      <c r="M1184" s="21" t="s">
        <v>2804</v>
      </c>
    </row>
    <row r="1185" spans="1:13" x14ac:dyDescent="0.25">
      <c r="A1185" s="23">
        <f t="shared" si="18"/>
        <v>1184</v>
      </c>
      <c r="B1185" s="7" t="s">
        <v>4851</v>
      </c>
      <c r="C1185" s="7" t="s">
        <v>5206</v>
      </c>
      <c r="D1185" s="7" t="s">
        <v>5418</v>
      </c>
      <c r="E1185" s="7" t="s">
        <v>5419</v>
      </c>
      <c r="F1185" s="7" t="s">
        <v>5420</v>
      </c>
      <c r="G1185" s="7" t="s">
        <v>18</v>
      </c>
      <c r="H1185" s="7" t="str">
        <f>IFERROR(VLOOKUP(Table2[[#This Row],[Ticket]],Okey!A:B,2,0),"")</f>
        <v>ok</v>
      </c>
      <c r="I1185" s="7" t="s">
        <v>3679</v>
      </c>
      <c r="J1185" s="7" t="str">
        <f>VLOOKUP(Table2[[#This Row],[Author]],People!A:B,2,0)</f>
        <v>LS</v>
      </c>
      <c r="K1185" s="7"/>
      <c r="L1185" s="7"/>
      <c r="M1185" s="16" t="s">
        <v>2804</v>
      </c>
    </row>
    <row r="1186" spans="1:13" x14ac:dyDescent="0.25">
      <c r="A1186" s="22">
        <f t="shared" si="18"/>
        <v>1185</v>
      </c>
      <c r="B1186" s="6" t="s">
        <v>4851</v>
      </c>
      <c r="C1186" s="6" t="s">
        <v>5206</v>
      </c>
      <c r="D1186" s="6" t="s">
        <v>5421</v>
      </c>
      <c r="E1186" s="6" t="s">
        <v>5422</v>
      </c>
      <c r="F1186" s="6" t="s">
        <v>5423</v>
      </c>
      <c r="G1186" s="6" t="s">
        <v>18</v>
      </c>
      <c r="H1186" s="6" t="str">
        <f>IFERROR(VLOOKUP(Table2[[#This Row],[Ticket]],Okey!A:B,2,0),"")</f>
        <v>ok</v>
      </c>
      <c r="I1186" s="6" t="s">
        <v>3679</v>
      </c>
      <c r="J1186" s="6" t="str">
        <f>VLOOKUP(Table2[[#This Row],[Author]],People!A:B,2,0)</f>
        <v>LS</v>
      </c>
      <c r="K1186" s="6"/>
      <c r="L1186" s="6"/>
      <c r="M1186" s="21" t="s">
        <v>2804</v>
      </c>
    </row>
    <row r="1187" spans="1:13" x14ac:dyDescent="0.25">
      <c r="A1187" s="23">
        <f t="shared" si="18"/>
        <v>1186</v>
      </c>
      <c r="B1187" s="7" t="s">
        <v>4851</v>
      </c>
      <c r="C1187" s="7" t="s">
        <v>5206</v>
      </c>
      <c r="D1187" s="7" t="s">
        <v>5424</v>
      </c>
      <c r="E1187" s="7" t="s">
        <v>5425</v>
      </c>
      <c r="F1187" s="7" t="s">
        <v>5423</v>
      </c>
      <c r="G1187" s="7" t="s">
        <v>18</v>
      </c>
      <c r="H1187" s="7" t="str">
        <f>IFERROR(VLOOKUP(Table2[[#This Row],[Ticket]],Okey!A:B,2,0),"")</f>
        <v>ok</v>
      </c>
      <c r="I1187" s="7" t="s">
        <v>3679</v>
      </c>
      <c r="J1187" s="7" t="str">
        <f>VLOOKUP(Table2[[#This Row],[Author]],People!A:B,2,0)</f>
        <v>LS</v>
      </c>
      <c r="K1187" s="7"/>
      <c r="L1187" s="7"/>
      <c r="M1187" s="16" t="s">
        <v>2804</v>
      </c>
    </row>
    <row r="1188" spans="1:13" x14ac:dyDescent="0.25">
      <c r="A1188" s="22">
        <f t="shared" si="18"/>
        <v>1187</v>
      </c>
      <c r="B1188" s="6" t="s">
        <v>4851</v>
      </c>
      <c r="C1188" s="6" t="s">
        <v>5206</v>
      </c>
      <c r="D1188" s="6" t="s">
        <v>5426</v>
      </c>
      <c r="E1188" s="6" t="s">
        <v>5427</v>
      </c>
      <c r="F1188" s="6" t="s">
        <v>5249</v>
      </c>
      <c r="G1188" s="6" t="s">
        <v>18</v>
      </c>
      <c r="H1188" s="6" t="str">
        <f>IFERROR(VLOOKUP(Table2[[#This Row],[Ticket]],Okey!A:B,2,0),"")</f>
        <v>ok</v>
      </c>
      <c r="I1188" s="6" t="s">
        <v>3679</v>
      </c>
      <c r="J1188" s="6" t="str">
        <f>VLOOKUP(Table2[[#This Row],[Author]],People!A:B,2,0)</f>
        <v>LS</v>
      </c>
      <c r="K1188" s="6"/>
      <c r="L1188" s="6"/>
      <c r="M1188" s="21" t="s">
        <v>2804</v>
      </c>
    </row>
    <row r="1189" spans="1:13" x14ac:dyDescent="0.25">
      <c r="A1189" s="23">
        <f t="shared" si="18"/>
        <v>1188</v>
      </c>
      <c r="B1189" s="7" t="s">
        <v>4851</v>
      </c>
      <c r="C1189" s="7" t="s">
        <v>5206</v>
      </c>
      <c r="D1189" s="7" t="s">
        <v>5428</v>
      </c>
      <c r="E1189" s="7" t="s">
        <v>5429</v>
      </c>
      <c r="F1189" s="7" t="s">
        <v>5249</v>
      </c>
      <c r="G1189" s="7" t="s">
        <v>18</v>
      </c>
      <c r="H1189" s="7" t="str">
        <f>IFERROR(VLOOKUP(Table2[[#This Row],[Ticket]],Okey!A:B,2,0),"")</f>
        <v>ok</v>
      </c>
      <c r="I1189" s="7" t="s">
        <v>3679</v>
      </c>
      <c r="J1189" s="7" t="str">
        <f>VLOOKUP(Table2[[#This Row],[Author]],People!A:B,2,0)</f>
        <v>LS</v>
      </c>
      <c r="K1189" s="7"/>
      <c r="L1189" s="7"/>
      <c r="M1189" s="16" t="s">
        <v>2804</v>
      </c>
    </row>
    <row r="1190" spans="1:13" x14ac:dyDescent="0.25">
      <c r="A1190" s="22">
        <f t="shared" si="18"/>
        <v>1189</v>
      </c>
      <c r="B1190" s="6" t="s">
        <v>4851</v>
      </c>
      <c r="C1190" s="6" t="s">
        <v>5206</v>
      </c>
      <c r="D1190" s="6" t="s">
        <v>5430</v>
      </c>
      <c r="E1190" s="6" t="s">
        <v>5431</v>
      </c>
      <c r="F1190" s="6" t="s">
        <v>5249</v>
      </c>
      <c r="G1190" s="6" t="s">
        <v>18</v>
      </c>
      <c r="H1190" s="6" t="str">
        <f>IFERROR(VLOOKUP(Table2[[#This Row],[Ticket]],Okey!A:B,2,0),"")</f>
        <v>ok</v>
      </c>
      <c r="I1190" s="6" t="s">
        <v>3679</v>
      </c>
      <c r="J1190" s="6" t="str">
        <f>VLOOKUP(Table2[[#This Row],[Author]],People!A:B,2,0)</f>
        <v>LS</v>
      </c>
      <c r="K1190" s="6"/>
      <c r="L1190" s="6"/>
      <c r="M1190" s="21" t="s">
        <v>2804</v>
      </c>
    </row>
    <row r="1191" spans="1:13" x14ac:dyDescent="0.25">
      <c r="A1191" s="23">
        <f t="shared" si="18"/>
        <v>1190</v>
      </c>
      <c r="B1191" s="7" t="s">
        <v>4851</v>
      </c>
      <c r="C1191" s="7" t="s">
        <v>5206</v>
      </c>
      <c r="D1191" s="7" t="s">
        <v>5432</v>
      </c>
      <c r="E1191" s="7" t="s">
        <v>5433</v>
      </c>
      <c r="F1191" s="7" t="s">
        <v>5249</v>
      </c>
      <c r="G1191" s="7" t="s">
        <v>18</v>
      </c>
      <c r="H1191" s="7" t="str">
        <f>IFERROR(VLOOKUP(Table2[[#This Row],[Ticket]],Okey!A:B,2,0),"")</f>
        <v>ok</v>
      </c>
      <c r="I1191" s="7" t="s">
        <v>3679</v>
      </c>
      <c r="J1191" s="7" t="str">
        <f>VLOOKUP(Table2[[#This Row],[Author]],People!A:B,2,0)</f>
        <v>LS</v>
      </c>
      <c r="K1191" s="7"/>
      <c r="L1191" s="7"/>
      <c r="M1191" s="16" t="s">
        <v>2804</v>
      </c>
    </row>
    <row r="1192" spans="1:13" x14ac:dyDescent="0.25">
      <c r="A1192" s="22">
        <f t="shared" si="18"/>
        <v>1191</v>
      </c>
      <c r="B1192" s="6" t="s">
        <v>4851</v>
      </c>
      <c r="C1192" s="6" t="s">
        <v>5206</v>
      </c>
      <c r="D1192" s="6" t="s">
        <v>5434</v>
      </c>
      <c r="E1192" s="6" t="s">
        <v>5435</v>
      </c>
      <c r="F1192" s="6" t="s">
        <v>5249</v>
      </c>
      <c r="G1192" s="6" t="s">
        <v>18</v>
      </c>
      <c r="H1192" s="6" t="str">
        <f>IFERROR(VLOOKUP(Table2[[#This Row],[Ticket]],Okey!A:B,2,0),"")</f>
        <v>ok</v>
      </c>
      <c r="I1192" s="6" t="s">
        <v>3679</v>
      </c>
      <c r="J1192" s="6" t="str">
        <f>VLOOKUP(Table2[[#This Row],[Author]],People!A:B,2,0)</f>
        <v>LS</v>
      </c>
      <c r="K1192" s="6"/>
      <c r="L1192" s="6"/>
      <c r="M1192" s="21" t="s">
        <v>2804</v>
      </c>
    </row>
    <row r="1193" spans="1:13" x14ac:dyDescent="0.25">
      <c r="A1193" s="23">
        <f t="shared" si="18"/>
        <v>1192</v>
      </c>
      <c r="B1193" s="7" t="s">
        <v>4851</v>
      </c>
      <c r="C1193" s="7" t="s">
        <v>5206</v>
      </c>
      <c r="D1193" s="7" t="s">
        <v>5436</v>
      </c>
      <c r="E1193" s="7" t="s">
        <v>5437</v>
      </c>
      <c r="F1193" s="7" t="s">
        <v>5249</v>
      </c>
      <c r="G1193" s="7" t="s">
        <v>18</v>
      </c>
      <c r="H1193" s="7" t="str">
        <f>IFERROR(VLOOKUP(Table2[[#This Row],[Ticket]],Okey!A:B,2,0),"")</f>
        <v>ok</v>
      </c>
      <c r="I1193" s="7" t="s">
        <v>3679</v>
      </c>
      <c r="J1193" s="7" t="str">
        <f>VLOOKUP(Table2[[#This Row],[Author]],People!A:B,2,0)</f>
        <v>LS</v>
      </c>
      <c r="K1193" s="7"/>
      <c r="L1193" s="7"/>
      <c r="M1193" s="16" t="s">
        <v>2804</v>
      </c>
    </row>
    <row r="1194" spans="1:13" x14ac:dyDescent="0.25">
      <c r="A1194" s="22">
        <f t="shared" si="18"/>
        <v>1193</v>
      </c>
      <c r="B1194" s="6" t="s">
        <v>4851</v>
      </c>
      <c r="C1194" s="6" t="s">
        <v>5206</v>
      </c>
      <c r="D1194" s="6" t="s">
        <v>5438</v>
      </c>
      <c r="E1194" s="6" t="s">
        <v>5439</v>
      </c>
      <c r="F1194" s="6" t="s">
        <v>5249</v>
      </c>
      <c r="G1194" s="6" t="s">
        <v>18</v>
      </c>
      <c r="H1194" s="6" t="str">
        <f>IFERROR(VLOOKUP(Table2[[#This Row],[Ticket]],Okey!A:B,2,0),"")</f>
        <v>ok</v>
      </c>
      <c r="I1194" s="6" t="s">
        <v>3679</v>
      </c>
      <c r="J1194" s="6" t="str">
        <f>VLOOKUP(Table2[[#This Row],[Author]],People!A:B,2,0)</f>
        <v>LS</v>
      </c>
      <c r="K1194" s="6"/>
      <c r="L1194" s="6"/>
      <c r="M1194" s="21" t="s">
        <v>2804</v>
      </c>
    </row>
    <row r="1195" spans="1:13" x14ac:dyDescent="0.25">
      <c r="A1195" s="23">
        <f t="shared" si="18"/>
        <v>1194</v>
      </c>
      <c r="B1195" s="7" t="s">
        <v>4851</v>
      </c>
      <c r="C1195" s="7" t="s">
        <v>5206</v>
      </c>
      <c r="D1195" s="7" t="s">
        <v>5440</v>
      </c>
      <c r="E1195" s="7" t="s">
        <v>5441</v>
      </c>
      <c r="F1195" s="7" t="s">
        <v>2033</v>
      </c>
      <c r="G1195" s="7" t="s">
        <v>18</v>
      </c>
      <c r="H1195" s="7" t="str">
        <f>IFERROR(VLOOKUP(Table2[[#This Row],[Ticket]],Okey!A:B,2,0),"")</f>
        <v>ok</v>
      </c>
      <c r="I1195" s="7" t="s">
        <v>3679</v>
      </c>
      <c r="J1195" s="7" t="str">
        <f>VLOOKUP(Table2[[#This Row],[Author]],People!A:B,2,0)</f>
        <v>LS</v>
      </c>
      <c r="K1195" s="7"/>
      <c r="L1195" s="7"/>
      <c r="M1195" s="16" t="s">
        <v>2804</v>
      </c>
    </row>
    <row r="1196" spans="1:13" x14ac:dyDescent="0.25">
      <c r="A1196" s="22">
        <f t="shared" si="18"/>
        <v>1195</v>
      </c>
      <c r="B1196" s="6" t="s">
        <v>4851</v>
      </c>
      <c r="C1196" s="6" t="s">
        <v>5206</v>
      </c>
      <c r="D1196" s="6" t="s">
        <v>5442</v>
      </c>
      <c r="E1196" s="6" t="s">
        <v>5443</v>
      </c>
      <c r="F1196" s="6" t="s">
        <v>2033</v>
      </c>
      <c r="G1196" s="6" t="s">
        <v>18</v>
      </c>
      <c r="H1196" s="6" t="str">
        <f>IFERROR(VLOOKUP(Table2[[#This Row],[Ticket]],Okey!A:B,2,0),"")</f>
        <v>ok</v>
      </c>
      <c r="I1196" s="6" t="s">
        <v>3679</v>
      </c>
      <c r="J1196" s="6" t="str">
        <f>VLOOKUP(Table2[[#This Row],[Author]],People!A:B,2,0)</f>
        <v>LS</v>
      </c>
      <c r="K1196" s="6"/>
      <c r="L1196" s="6"/>
      <c r="M1196" s="21" t="s">
        <v>2804</v>
      </c>
    </row>
    <row r="1197" spans="1:13" x14ac:dyDescent="0.25">
      <c r="A1197" s="23">
        <f t="shared" si="18"/>
        <v>1196</v>
      </c>
      <c r="B1197" s="7" t="s">
        <v>4851</v>
      </c>
      <c r="C1197" s="7" t="s">
        <v>5206</v>
      </c>
      <c r="D1197" s="7" t="s">
        <v>5444</v>
      </c>
      <c r="E1197" s="7" t="s">
        <v>5445</v>
      </c>
      <c r="F1197" s="7" t="s">
        <v>2033</v>
      </c>
      <c r="G1197" s="7" t="s">
        <v>18</v>
      </c>
      <c r="H1197" s="7" t="str">
        <f>IFERROR(VLOOKUP(Table2[[#This Row],[Ticket]],Okey!A:B,2,0),"")</f>
        <v>ok</v>
      </c>
      <c r="I1197" s="7" t="s">
        <v>3679</v>
      </c>
      <c r="J1197" s="7" t="str">
        <f>VLOOKUP(Table2[[#This Row],[Author]],People!A:B,2,0)</f>
        <v>LS</v>
      </c>
      <c r="K1197" s="7"/>
      <c r="L1197" s="7"/>
      <c r="M1197" s="16" t="s">
        <v>2804</v>
      </c>
    </row>
    <row r="1198" spans="1:13" x14ac:dyDescent="0.25">
      <c r="A1198" s="22">
        <f t="shared" si="18"/>
        <v>1197</v>
      </c>
      <c r="B1198" s="6" t="s">
        <v>4851</v>
      </c>
      <c r="C1198" s="6" t="s">
        <v>5206</v>
      </c>
      <c r="D1198" s="6" t="s">
        <v>5446</v>
      </c>
      <c r="E1198" s="6" t="s">
        <v>5447</v>
      </c>
      <c r="F1198" s="6" t="s">
        <v>1898</v>
      </c>
      <c r="G1198" s="6" t="s">
        <v>18</v>
      </c>
      <c r="H1198" s="6" t="str">
        <f>IFERROR(VLOOKUP(Table2[[#This Row],[Ticket]],Okey!A:B,2,0),"")</f>
        <v>ok</v>
      </c>
      <c r="I1198" s="6" t="s">
        <v>3679</v>
      </c>
      <c r="J1198" s="6" t="str">
        <f>VLOOKUP(Table2[[#This Row],[Author]],People!A:B,2,0)</f>
        <v>LS</v>
      </c>
      <c r="K1198" s="6"/>
      <c r="L1198" s="6"/>
      <c r="M1198" s="21" t="s">
        <v>2804</v>
      </c>
    </row>
    <row r="1199" spans="1:13" x14ac:dyDescent="0.25">
      <c r="A1199" s="23">
        <f t="shared" si="18"/>
        <v>1198</v>
      </c>
      <c r="B1199" s="7" t="s">
        <v>4851</v>
      </c>
      <c r="C1199" s="7" t="s">
        <v>5206</v>
      </c>
      <c r="D1199" s="7" t="s">
        <v>5448</v>
      </c>
      <c r="E1199" s="7" t="s">
        <v>5449</v>
      </c>
      <c r="F1199" s="7" t="s">
        <v>1898</v>
      </c>
      <c r="G1199" s="7" t="s">
        <v>18</v>
      </c>
      <c r="H1199" s="7" t="str">
        <f>IFERROR(VLOOKUP(Table2[[#This Row],[Ticket]],Okey!A:B,2,0),"")</f>
        <v>ok</v>
      </c>
      <c r="I1199" s="7" t="s">
        <v>3679</v>
      </c>
      <c r="J1199" s="7" t="str">
        <f>VLOOKUP(Table2[[#This Row],[Author]],People!A:B,2,0)</f>
        <v>LS</v>
      </c>
      <c r="K1199" s="7"/>
      <c r="L1199" s="7"/>
      <c r="M1199" s="16" t="s">
        <v>2804</v>
      </c>
    </row>
    <row r="1200" spans="1:13" x14ac:dyDescent="0.25">
      <c r="A1200" s="22">
        <f t="shared" si="18"/>
        <v>1199</v>
      </c>
      <c r="B1200" s="6" t="s">
        <v>4851</v>
      </c>
      <c r="C1200" s="6" t="s">
        <v>5206</v>
      </c>
      <c r="D1200" s="6" t="s">
        <v>5450</v>
      </c>
      <c r="E1200" s="6" t="s">
        <v>5451</v>
      </c>
      <c r="F1200" s="6" t="s">
        <v>1898</v>
      </c>
      <c r="G1200" s="6" t="s">
        <v>18</v>
      </c>
      <c r="H1200" s="6" t="str">
        <f>IFERROR(VLOOKUP(Table2[[#This Row],[Ticket]],Okey!A:B,2,0),"")</f>
        <v>ok</v>
      </c>
      <c r="I1200" s="6" t="s">
        <v>3679</v>
      </c>
      <c r="J1200" s="6" t="str">
        <f>VLOOKUP(Table2[[#This Row],[Author]],People!A:B,2,0)</f>
        <v>LS</v>
      </c>
      <c r="K1200" s="6"/>
      <c r="L1200" s="6"/>
      <c r="M1200" s="21" t="s">
        <v>2804</v>
      </c>
    </row>
    <row r="1201" spans="1:13" x14ac:dyDescent="0.25">
      <c r="A1201" s="23">
        <f t="shared" si="18"/>
        <v>1200</v>
      </c>
      <c r="B1201" s="7" t="s">
        <v>4851</v>
      </c>
      <c r="C1201" s="7" t="s">
        <v>5206</v>
      </c>
      <c r="D1201" s="7" t="s">
        <v>5452</v>
      </c>
      <c r="E1201" s="7" t="s">
        <v>5453</v>
      </c>
      <c r="F1201" s="7" t="s">
        <v>2819</v>
      </c>
      <c r="G1201" s="7" t="s">
        <v>18</v>
      </c>
      <c r="H1201" s="7" t="str">
        <f>IFERROR(VLOOKUP(Table2[[#This Row],[Ticket]],Okey!A:B,2,0),"")</f>
        <v>ok</v>
      </c>
      <c r="I1201" s="7" t="s">
        <v>3679</v>
      </c>
      <c r="J1201" s="7" t="str">
        <f>VLOOKUP(Table2[[#This Row],[Author]],People!A:B,2,0)</f>
        <v>LS</v>
      </c>
      <c r="K1201" s="7"/>
      <c r="L1201" s="7"/>
      <c r="M1201" s="16" t="s">
        <v>2804</v>
      </c>
    </row>
    <row r="1202" spans="1:13" x14ac:dyDescent="0.25">
      <c r="A1202" s="22">
        <f t="shared" si="18"/>
        <v>1201</v>
      </c>
      <c r="B1202" s="6" t="s">
        <v>4851</v>
      </c>
      <c r="C1202" s="6" t="s">
        <v>5206</v>
      </c>
      <c r="D1202" s="6" t="s">
        <v>5454</v>
      </c>
      <c r="E1202" s="6" t="s">
        <v>5455</v>
      </c>
      <c r="F1202" s="6" t="s">
        <v>2819</v>
      </c>
      <c r="G1202" s="6" t="s">
        <v>18</v>
      </c>
      <c r="H1202" s="6" t="str">
        <f>IFERROR(VLOOKUP(Table2[[#This Row],[Ticket]],Okey!A:B,2,0),"")</f>
        <v>ok</v>
      </c>
      <c r="I1202" s="6" t="s">
        <v>3679</v>
      </c>
      <c r="J1202" s="6" t="str">
        <f>VLOOKUP(Table2[[#This Row],[Author]],People!A:B,2,0)</f>
        <v>LS</v>
      </c>
      <c r="K1202" s="6"/>
      <c r="L1202" s="6"/>
      <c r="M1202" s="21" t="s">
        <v>2804</v>
      </c>
    </row>
    <row r="1203" spans="1:13" x14ac:dyDescent="0.25">
      <c r="A1203" s="23">
        <f t="shared" si="18"/>
        <v>1202</v>
      </c>
      <c r="B1203" s="7" t="s">
        <v>4851</v>
      </c>
      <c r="C1203" s="7" t="s">
        <v>5206</v>
      </c>
      <c r="D1203" s="7" t="s">
        <v>5456</v>
      </c>
      <c r="E1203" s="7" t="s">
        <v>5457</v>
      </c>
      <c r="F1203" s="7" t="s">
        <v>2819</v>
      </c>
      <c r="G1203" s="7" t="s">
        <v>18</v>
      </c>
      <c r="H1203" s="7" t="str">
        <f>IFERROR(VLOOKUP(Table2[[#This Row],[Ticket]],Okey!A:B,2,0),"")</f>
        <v>ok</v>
      </c>
      <c r="I1203" s="7" t="s">
        <v>3679</v>
      </c>
      <c r="J1203" s="7" t="str">
        <f>VLOOKUP(Table2[[#This Row],[Author]],People!A:B,2,0)</f>
        <v>LS</v>
      </c>
      <c r="K1203" s="7"/>
      <c r="L1203" s="7"/>
      <c r="M1203" s="16" t="s">
        <v>2804</v>
      </c>
    </row>
    <row r="1204" spans="1:13" x14ac:dyDescent="0.25">
      <c r="A1204" s="22">
        <f t="shared" si="18"/>
        <v>1203</v>
      </c>
      <c r="B1204" s="6" t="s">
        <v>4851</v>
      </c>
      <c r="C1204" s="6" t="s">
        <v>5206</v>
      </c>
      <c r="D1204" s="6" t="s">
        <v>5458</v>
      </c>
      <c r="E1204" s="6" t="s">
        <v>5459</v>
      </c>
      <c r="F1204" s="6" t="s">
        <v>1934</v>
      </c>
      <c r="G1204" s="6" t="s">
        <v>18</v>
      </c>
      <c r="H1204" s="6" t="str">
        <f>IFERROR(VLOOKUP(Table2[[#This Row],[Ticket]],Okey!A:B,2,0),"")</f>
        <v>ok</v>
      </c>
      <c r="I1204" s="6" t="s">
        <v>3679</v>
      </c>
      <c r="J1204" s="6" t="str">
        <f>VLOOKUP(Table2[[#This Row],[Author]],People!A:B,2,0)</f>
        <v>LS</v>
      </c>
      <c r="K1204" s="6"/>
      <c r="L1204" s="6"/>
      <c r="M1204" s="21" t="s">
        <v>2804</v>
      </c>
    </row>
    <row r="1205" spans="1:13" x14ac:dyDescent="0.25">
      <c r="A1205" s="23">
        <f t="shared" si="18"/>
        <v>1204</v>
      </c>
      <c r="B1205" s="7" t="s">
        <v>4851</v>
      </c>
      <c r="C1205" s="7" t="s">
        <v>5206</v>
      </c>
      <c r="D1205" s="7" t="s">
        <v>5460</v>
      </c>
      <c r="E1205" s="7" t="s">
        <v>5461</v>
      </c>
      <c r="F1205" s="7" t="s">
        <v>1934</v>
      </c>
      <c r="G1205" s="7" t="s">
        <v>18</v>
      </c>
      <c r="H1205" s="7" t="str">
        <f>IFERROR(VLOOKUP(Table2[[#This Row],[Ticket]],Okey!A:B,2,0),"")</f>
        <v>ok</v>
      </c>
      <c r="I1205" s="7" t="s">
        <v>3679</v>
      </c>
      <c r="J1205" s="7" t="str">
        <f>VLOOKUP(Table2[[#This Row],[Author]],People!A:B,2,0)</f>
        <v>LS</v>
      </c>
      <c r="K1205" s="7"/>
      <c r="L1205" s="7"/>
      <c r="M1205" s="16" t="s">
        <v>2804</v>
      </c>
    </row>
    <row r="1206" spans="1:13" x14ac:dyDescent="0.25">
      <c r="A1206" s="22">
        <f t="shared" si="18"/>
        <v>1205</v>
      </c>
      <c r="B1206" s="6" t="s">
        <v>4851</v>
      </c>
      <c r="C1206" s="6" t="s">
        <v>5206</v>
      </c>
      <c r="D1206" s="6" t="s">
        <v>5462</v>
      </c>
      <c r="E1206" s="6" t="s">
        <v>5463</v>
      </c>
      <c r="F1206" s="6" t="s">
        <v>1934</v>
      </c>
      <c r="G1206" s="6" t="s">
        <v>18</v>
      </c>
      <c r="H1206" s="6" t="str">
        <f>IFERROR(VLOOKUP(Table2[[#This Row],[Ticket]],Okey!A:B,2,0),"")</f>
        <v>ok</v>
      </c>
      <c r="I1206" s="6" t="s">
        <v>3679</v>
      </c>
      <c r="J1206" s="6" t="str">
        <f>VLOOKUP(Table2[[#This Row],[Author]],People!A:B,2,0)</f>
        <v>LS</v>
      </c>
      <c r="K1206" s="6"/>
      <c r="L1206" s="6"/>
      <c r="M1206" s="21" t="s">
        <v>2804</v>
      </c>
    </row>
    <row r="1207" spans="1:13" x14ac:dyDescent="0.25">
      <c r="A1207" s="23">
        <f t="shared" si="18"/>
        <v>1206</v>
      </c>
      <c r="B1207" s="7" t="s">
        <v>4851</v>
      </c>
      <c r="C1207" s="7" t="s">
        <v>5206</v>
      </c>
      <c r="D1207" s="7" t="s">
        <v>5464</v>
      </c>
      <c r="E1207" s="7" t="s">
        <v>5465</v>
      </c>
      <c r="F1207" s="7" t="s">
        <v>5265</v>
      </c>
      <c r="G1207" s="7" t="s">
        <v>18</v>
      </c>
      <c r="H1207" s="7" t="str">
        <f>IFERROR(VLOOKUP(Table2[[#This Row],[Ticket]],Okey!A:B,2,0),"")</f>
        <v>ok</v>
      </c>
      <c r="I1207" s="7" t="s">
        <v>3679</v>
      </c>
      <c r="J1207" s="7" t="str">
        <f>VLOOKUP(Table2[[#This Row],[Author]],People!A:B,2,0)</f>
        <v>LS</v>
      </c>
      <c r="K1207" s="7"/>
      <c r="L1207" s="7"/>
      <c r="M1207" s="16" t="s">
        <v>2804</v>
      </c>
    </row>
    <row r="1208" spans="1:13" x14ac:dyDescent="0.25">
      <c r="A1208" s="22">
        <f t="shared" si="18"/>
        <v>1207</v>
      </c>
      <c r="B1208" s="6" t="s">
        <v>4851</v>
      </c>
      <c r="C1208" s="6" t="s">
        <v>5206</v>
      </c>
      <c r="D1208" s="6" t="s">
        <v>5466</v>
      </c>
      <c r="E1208" s="6" t="s">
        <v>5467</v>
      </c>
      <c r="F1208" s="6" t="s">
        <v>5265</v>
      </c>
      <c r="G1208" s="6" t="s">
        <v>18</v>
      </c>
      <c r="H1208" s="6" t="str">
        <f>IFERROR(VLOOKUP(Table2[[#This Row],[Ticket]],Okey!A:B,2,0),"")</f>
        <v>ok</v>
      </c>
      <c r="I1208" s="6" t="s">
        <v>3679</v>
      </c>
      <c r="J1208" s="6" t="str">
        <f>VLOOKUP(Table2[[#This Row],[Author]],People!A:B,2,0)</f>
        <v>LS</v>
      </c>
      <c r="K1208" s="6"/>
      <c r="L1208" s="6"/>
      <c r="M1208" s="21" t="s">
        <v>2804</v>
      </c>
    </row>
    <row r="1209" spans="1:13" x14ac:dyDescent="0.25">
      <c r="A1209" s="23">
        <f t="shared" si="18"/>
        <v>1208</v>
      </c>
      <c r="B1209" s="7" t="s">
        <v>4851</v>
      </c>
      <c r="C1209" s="7" t="s">
        <v>5206</v>
      </c>
      <c r="D1209" s="7" t="s">
        <v>5468</v>
      </c>
      <c r="E1209" s="7" t="s">
        <v>5469</v>
      </c>
      <c r="F1209" s="7" t="s">
        <v>5265</v>
      </c>
      <c r="G1209" s="7" t="s">
        <v>18</v>
      </c>
      <c r="H1209" s="7" t="str">
        <f>IFERROR(VLOOKUP(Table2[[#This Row],[Ticket]],Okey!A:B,2,0),"")</f>
        <v>ok</v>
      </c>
      <c r="I1209" s="7" t="s">
        <v>3679</v>
      </c>
      <c r="J1209" s="7" t="str">
        <f>VLOOKUP(Table2[[#This Row],[Author]],People!A:B,2,0)</f>
        <v>LS</v>
      </c>
      <c r="K1209" s="7"/>
      <c r="L1209" s="7"/>
      <c r="M1209" s="16" t="s">
        <v>2804</v>
      </c>
    </row>
    <row r="1210" spans="1:13" x14ac:dyDescent="0.25">
      <c r="A1210" s="22">
        <f t="shared" si="18"/>
        <v>1209</v>
      </c>
      <c r="B1210" s="6" t="s">
        <v>4851</v>
      </c>
      <c r="C1210" s="6" t="s">
        <v>5206</v>
      </c>
      <c r="D1210" s="6" t="s">
        <v>5470</v>
      </c>
      <c r="E1210" s="6" t="s">
        <v>5471</v>
      </c>
      <c r="F1210" s="6" t="s">
        <v>5265</v>
      </c>
      <c r="G1210" s="6" t="s">
        <v>18</v>
      </c>
      <c r="H1210" s="6" t="str">
        <f>IFERROR(VLOOKUP(Table2[[#This Row],[Ticket]],Okey!A:B,2,0),"")</f>
        <v>ok</v>
      </c>
      <c r="I1210" s="6" t="s">
        <v>3679</v>
      </c>
      <c r="J1210" s="6" t="str">
        <f>VLOOKUP(Table2[[#This Row],[Author]],People!A:B,2,0)</f>
        <v>LS</v>
      </c>
      <c r="K1210" s="6"/>
      <c r="L1210" s="6"/>
      <c r="M1210" s="21" t="s">
        <v>2804</v>
      </c>
    </row>
    <row r="1211" spans="1:13" x14ac:dyDescent="0.25">
      <c r="A1211" s="23">
        <f t="shared" si="18"/>
        <v>1210</v>
      </c>
      <c r="B1211" s="7" t="s">
        <v>4851</v>
      </c>
      <c r="C1211" s="7" t="s">
        <v>5206</v>
      </c>
      <c r="D1211" s="7" t="s">
        <v>5472</v>
      </c>
      <c r="E1211" s="7" t="s">
        <v>5473</v>
      </c>
      <c r="F1211" s="7" t="s">
        <v>5265</v>
      </c>
      <c r="G1211" s="7" t="s">
        <v>18</v>
      </c>
      <c r="H1211" s="7" t="str">
        <f>IFERROR(VLOOKUP(Table2[[#This Row],[Ticket]],Okey!A:B,2,0),"")</f>
        <v>ok</v>
      </c>
      <c r="I1211" s="7" t="s">
        <v>3679</v>
      </c>
      <c r="J1211" s="7" t="str">
        <f>VLOOKUP(Table2[[#This Row],[Author]],People!A:B,2,0)</f>
        <v>LS</v>
      </c>
      <c r="K1211" s="7"/>
      <c r="L1211" s="7"/>
      <c r="M1211" s="16" t="s">
        <v>2804</v>
      </c>
    </row>
    <row r="1212" spans="1:13" x14ac:dyDescent="0.25">
      <c r="A1212" s="22">
        <f t="shared" si="18"/>
        <v>1211</v>
      </c>
      <c r="B1212" s="6" t="s">
        <v>4851</v>
      </c>
      <c r="C1212" s="6" t="s">
        <v>5206</v>
      </c>
      <c r="D1212" s="6" t="s">
        <v>5474</v>
      </c>
      <c r="E1212" s="6" t="s">
        <v>5475</v>
      </c>
      <c r="F1212" s="6" t="s">
        <v>5265</v>
      </c>
      <c r="G1212" s="6" t="s">
        <v>18</v>
      </c>
      <c r="H1212" s="6" t="str">
        <f>IFERROR(VLOOKUP(Table2[[#This Row],[Ticket]],Okey!A:B,2,0),"")</f>
        <v>ok</v>
      </c>
      <c r="I1212" s="6" t="s">
        <v>3679</v>
      </c>
      <c r="J1212" s="6" t="str">
        <f>VLOOKUP(Table2[[#This Row],[Author]],People!A:B,2,0)</f>
        <v>LS</v>
      </c>
      <c r="K1212" s="6"/>
      <c r="L1212" s="6"/>
      <c r="M1212" s="21" t="s">
        <v>2804</v>
      </c>
    </row>
    <row r="1213" spans="1:13" x14ac:dyDescent="0.25">
      <c r="A1213" s="23">
        <f t="shared" si="18"/>
        <v>1212</v>
      </c>
      <c r="B1213" s="7" t="s">
        <v>4851</v>
      </c>
      <c r="C1213" s="7" t="s">
        <v>5206</v>
      </c>
      <c r="D1213" s="7" t="s">
        <v>5476</v>
      </c>
      <c r="E1213" s="7" t="s">
        <v>5477</v>
      </c>
      <c r="F1213" s="7" t="s">
        <v>5265</v>
      </c>
      <c r="G1213" s="7" t="s">
        <v>18</v>
      </c>
      <c r="H1213" s="7" t="str">
        <f>IFERROR(VLOOKUP(Table2[[#This Row],[Ticket]],Okey!A:B,2,0),"")</f>
        <v>ok</v>
      </c>
      <c r="I1213" s="7" t="s">
        <v>3679</v>
      </c>
      <c r="J1213" s="7" t="str">
        <f>VLOOKUP(Table2[[#This Row],[Author]],People!A:B,2,0)</f>
        <v>LS</v>
      </c>
      <c r="K1213" s="7"/>
      <c r="L1213" s="7"/>
      <c r="M1213" s="16" t="s">
        <v>2804</v>
      </c>
    </row>
    <row r="1214" spans="1:13" x14ac:dyDescent="0.25">
      <c r="A1214" s="22">
        <f t="shared" si="18"/>
        <v>1213</v>
      </c>
      <c r="B1214" s="6" t="s">
        <v>4851</v>
      </c>
      <c r="C1214" s="6" t="s">
        <v>5206</v>
      </c>
      <c r="D1214" s="6" t="s">
        <v>5478</v>
      </c>
      <c r="E1214" s="6" t="s">
        <v>5479</v>
      </c>
      <c r="F1214" s="6" t="s">
        <v>5466</v>
      </c>
      <c r="G1214" s="6" t="s">
        <v>18</v>
      </c>
      <c r="H1214" s="6" t="str">
        <f>IFERROR(VLOOKUP(Table2[[#This Row],[Ticket]],Okey!A:B,2,0),"")</f>
        <v>ok</v>
      </c>
      <c r="I1214" s="6" t="s">
        <v>3679</v>
      </c>
      <c r="J1214" s="6" t="str">
        <f>VLOOKUP(Table2[[#This Row],[Author]],People!A:B,2,0)</f>
        <v>LS</v>
      </c>
      <c r="K1214" s="6"/>
      <c r="L1214" s="6"/>
      <c r="M1214" s="21" t="s">
        <v>2804</v>
      </c>
    </row>
    <row r="1215" spans="1:13" x14ac:dyDescent="0.25">
      <c r="A1215" s="23">
        <f t="shared" si="18"/>
        <v>1214</v>
      </c>
      <c r="B1215" s="7" t="s">
        <v>4851</v>
      </c>
      <c r="C1215" s="7" t="s">
        <v>5206</v>
      </c>
      <c r="D1215" s="7" t="s">
        <v>5480</v>
      </c>
      <c r="E1215" s="7" t="s">
        <v>5481</v>
      </c>
      <c r="F1215" s="7" t="s">
        <v>5466</v>
      </c>
      <c r="G1215" s="7" t="s">
        <v>18</v>
      </c>
      <c r="H1215" s="7" t="str">
        <f>IFERROR(VLOOKUP(Table2[[#This Row],[Ticket]],Okey!A:B,2,0),"")</f>
        <v>ok</v>
      </c>
      <c r="I1215" s="7" t="s">
        <v>3679</v>
      </c>
      <c r="J1215" s="7" t="str">
        <f>VLOOKUP(Table2[[#This Row],[Author]],People!A:B,2,0)</f>
        <v>LS</v>
      </c>
      <c r="K1215" s="7"/>
      <c r="L1215" s="7"/>
      <c r="M1215" s="16" t="s">
        <v>2804</v>
      </c>
    </row>
    <row r="1216" spans="1:13" x14ac:dyDescent="0.25">
      <c r="A1216" s="22">
        <f t="shared" si="18"/>
        <v>1215</v>
      </c>
      <c r="B1216" s="6" t="s">
        <v>4851</v>
      </c>
      <c r="C1216" s="6" t="s">
        <v>5206</v>
      </c>
      <c r="D1216" s="6" t="s">
        <v>5482</v>
      </c>
      <c r="E1216" s="6" t="s">
        <v>5483</v>
      </c>
      <c r="F1216" s="6" t="s">
        <v>5480</v>
      </c>
      <c r="G1216" s="6" t="s">
        <v>18</v>
      </c>
      <c r="H1216" s="6" t="str">
        <f>IFERROR(VLOOKUP(Table2[[#This Row],[Ticket]],Okey!A:B,2,0),"")</f>
        <v>ok</v>
      </c>
      <c r="I1216" s="6" t="s">
        <v>3679</v>
      </c>
      <c r="J1216" s="6" t="str">
        <f>VLOOKUP(Table2[[#This Row],[Author]],People!A:B,2,0)</f>
        <v>LS</v>
      </c>
      <c r="K1216" s="6"/>
      <c r="L1216" s="6"/>
      <c r="M1216" s="21" t="s">
        <v>2804</v>
      </c>
    </row>
    <row r="1217" spans="1:13" x14ac:dyDescent="0.25">
      <c r="A1217" s="23">
        <f t="shared" si="18"/>
        <v>1216</v>
      </c>
      <c r="B1217" s="7" t="s">
        <v>4851</v>
      </c>
      <c r="C1217" s="7" t="s">
        <v>5206</v>
      </c>
      <c r="D1217" s="7" t="s">
        <v>5484</v>
      </c>
      <c r="E1217" s="7" t="s">
        <v>5485</v>
      </c>
      <c r="F1217" s="7" t="s">
        <v>5480</v>
      </c>
      <c r="G1217" s="7" t="s">
        <v>18</v>
      </c>
      <c r="H1217" s="7" t="str">
        <f>IFERROR(VLOOKUP(Table2[[#This Row],[Ticket]],Okey!A:B,2,0),"")</f>
        <v>ok</v>
      </c>
      <c r="I1217" s="7" t="s">
        <v>3679</v>
      </c>
      <c r="J1217" s="7" t="str">
        <f>VLOOKUP(Table2[[#This Row],[Author]],People!A:B,2,0)</f>
        <v>LS</v>
      </c>
      <c r="K1217" s="7"/>
      <c r="L1217" s="7"/>
      <c r="M1217" s="16" t="s">
        <v>2804</v>
      </c>
    </row>
    <row r="1218" spans="1:13" x14ac:dyDescent="0.25">
      <c r="A1218" s="22">
        <f t="shared" si="18"/>
        <v>1217</v>
      </c>
      <c r="B1218" s="6" t="s">
        <v>4851</v>
      </c>
      <c r="C1218" s="6" t="s">
        <v>5206</v>
      </c>
      <c r="D1218" s="6" t="s">
        <v>5486</v>
      </c>
      <c r="E1218" s="6" t="s">
        <v>5487</v>
      </c>
      <c r="F1218" s="6" t="s">
        <v>5480</v>
      </c>
      <c r="G1218" s="6" t="s">
        <v>18</v>
      </c>
      <c r="H1218" s="6" t="str">
        <f>IFERROR(VLOOKUP(Table2[[#This Row],[Ticket]],Okey!A:B,2,0),"")</f>
        <v>ok</v>
      </c>
      <c r="I1218" s="6" t="s">
        <v>3679</v>
      </c>
      <c r="J1218" s="6" t="str">
        <f>VLOOKUP(Table2[[#This Row],[Author]],People!A:B,2,0)</f>
        <v>LS</v>
      </c>
      <c r="K1218" s="6"/>
      <c r="L1218" s="6"/>
      <c r="M1218" s="21" t="s">
        <v>2804</v>
      </c>
    </row>
    <row r="1219" spans="1:13" x14ac:dyDescent="0.25">
      <c r="A1219" s="23">
        <f t="shared" ref="A1219:A1282" si="19">1+A1218</f>
        <v>1218</v>
      </c>
      <c r="B1219" s="7" t="s">
        <v>4851</v>
      </c>
      <c r="C1219" s="7" t="s">
        <v>5206</v>
      </c>
      <c r="D1219" s="7" t="s">
        <v>5488</v>
      </c>
      <c r="E1219" s="7" t="s">
        <v>5489</v>
      </c>
      <c r="F1219" s="7" t="s">
        <v>5480</v>
      </c>
      <c r="G1219" s="7" t="s">
        <v>18</v>
      </c>
      <c r="H1219" s="7" t="str">
        <f>IFERROR(VLOOKUP(Table2[[#This Row],[Ticket]],Okey!A:B,2,0),"")</f>
        <v>ok</v>
      </c>
      <c r="I1219" s="7" t="s">
        <v>3679</v>
      </c>
      <c r="J1219" s="7" t="str">
        <f>VLOOKUP(Table2[[#This Row],[Author]],People!A:B,2,0)</f>
        <v>LS</v>
      </c>
      <c r="K1219" s="7"/>
      <c r="L1219" s="7"/>
      <c r="M1219" s="16" t="s">
        <v>2804</v>
      </c>
    </row>
    <row r="1220" spans="1:13" x14ac:dyDescent="0.25">
      <c r="A1220" s="22">
        <f t="shared" si="19"/>
        <v>1219</v>
      </c>
      <c r="B1220" s="6" t="s">
        <v>4851</v>
      </c>
      <c r="C1220" s="6" t="s">
        <v>5206</v>
      </c>
      <c r="D1220" s="6" t="s">
        <v>5490</v>
      </c>
      <c r="E1220" s="6" t="s">
        <v>5491</v>
      </c>
      <c r="F1220" s="6" t="s">
        <v>5484</v>
      </c>
      <c r="G1220" s="6" t="s">
        <v>18</v>
      </c>
      <c r="H1220" s="6" t="str">
        <f>IFERROR(VLOOKUP(Table2[[#This Row],[Ticket]],Okey!A:B,2,0),"")</f>
        <v>ok</v>
      </c>
      <c r="I1220" s="6" t="s">
        <v>3679</v>
      </c>
      <c r="J1220" s="6" t="str">
        <f>VLOOKUP(Table2[[#This Row],[Author]],People!A:B,2,0)</f>
        <v>LS</v>
      </c>
      <c r="K1220" s="6"/>
      <c r="L1220" s="6"/>
      <c r="M1220" s="21" t="s">
        <v>2804</v>
      </c>
    </row>
    <row r="1221" spans="1:13" x14ac:dyDescent="0.25">
      <c r="A1221" s="23">
        <f t="shared" si="19"/>
        <v>1220</v>
      </c>
      <c r="B1221" s="7" t="s">
        <v>4851</v>
      </c>
      <c r="C1221" s="7" t="s">
        <v>5206</v>
      </c>
      <c r="D1221" s="7" t="s">
        <v>5492</v>
      </c>
      <c r="E1221" s="7" t="s">
        <v>5493</v>
      </c>
      <c r="F1221" s="7" t="s">
        <v>5484</v>
      </c>
      <c r="G1221" s="7" t="s">
        <v>18</v>
      </c>
      <c r="H1221" s="7" t="str">
        <f>IFERROR(VLOOKUP(Table2[[#This Row],[Ticket]],Okey!A:B,2,0),"")</f>
        <v>ok</v>
      </c>
      <c r="I1221" s="7" t="s">
        <v>3679</v>
      </c>
      <c r="J1221" s="7" t="str">
        <f>VLOOKUP(Table2[[#This Row],[Author]],People!A:B,2,0)</f>
        <v>LS</v>
      </c>
      <c r="K1221" s="7"/>
      <c r="L1221" s="7"/>
      <c r="M1221" s="16" t="s">
        <v>2804</v>
      </c>
    </row>
    <row r="1222" spans="1:13" x14ac:dyDescent="0.25">
      <c r="A1222" s="22">
        <f t="shared" si="19"/>
        <v>1221</v>
      </c>
      <c r="B1222" s="6" t="s">
        <v>4851</v>
      </c>
      <c r="C1222" s="6" t="s">
        <v>5206</v>
      </c>
      <c r="D1222" s="6" t="s">
        <v>5494</v>
      </c>
      <c r="E1222" s="6" t="s">
        <v>5495</v>
      </c>
      <c r="F1222" s="6" t="s">
        <v>5438</v>
      </c>
      <c r="G1222" s="6" t="s">
        <v>18</v>
      </c>
      <c r="H1222" s="6" t="str">
        <f>IFERROR(VLOOKUP(Table2[[#This Row],[Ticket]],Okey!A:B,2,0),"")</f>
        <v>ok</v>
      </c>
      <c r="I1222" s="6" t="s">
        <v>3679</v>
      </c>
      <c r="J1222" s="6" t="str">
        <f>VLOOKUP(Table2[[#This Row],[Author]],People!A:B,2,0)</f>
        <v>LS</v>
      </c>
      <c r="K1222" s="6"/>
      <c r="L1222" s="6"/>
      <c r="M1222" s="21" t="s">
        <v>2804</v>
      </c>
    </row>
    <row r="1223" spans="1:13" x14ac:dyDescent="0.25">
      <c r="A1223" s="23">
        <f t="shared" si="19"/>
        <v>1222</v>
      </c>
      <c r="B1223" s="7" t="s">
        <v>4851</v>
      </c>
      <c r="C1223" s="7" t="s">
        <v>5206</v>
      </c>
      <c r="D1223" s="7" t="s">
        <v>5496</v>
      </c>
      <c r="E1223" s="7" t="s">
        <v>5497</v>
      </c>
      <c r="F1223" s="7" t="s">
        <v>5438</v>
      </c>
      <c r="G1223" s="7" t="s">
        <v>18</v>
      </c>
      <c r="H1223" s="7" t="str">
        <f>IFERROR(VLOOKUP(Table2[[#This Row],[Ticket]],Okey!A:B,2,0),"")</f>
        <v>ok</v>
      </c>
      <c r="I1223" s="7" t="s">
        <v>3679</v>
      </c>
      <c r="J1223" s="7" t="str">
        <f>VLOOKUP(Table2[[#This Row],[Author]],People!A:B,2,0)</f>
        <v>LS</v>
      </c>
      <c r="K1223" s="7"/>
      <c r="L1223" s="7"/>
      <c r="M1223" s="16" t="s">
        <v>2804</v>
      </c>
    </row>
    <row r="1224" spans="1:13" x14ac:dyDescent="0.25">
      <c r="A1224" s="22">
        <f t="shared" si="19"/>
        <v>1223</v>
      </c>
      <c r="B1224" s="6" t="s">
        <v>4851</v>
      </c>
      <c r="C1224" s="6" t="s">
        <v>5206</v>
      </c>
      <c r="D1224" s="6" t="s">
        <v>5498</v>
      </c>
      <c r="E1224" s="6" t="s">
        <v>5499</v>
      </c>
      <c r="F1224" s="6" t="s">
        <v>5438</v>
      </c>
      <c r="G1224" s="6" t="s">
        <v>18</v>
      </c>
      <c r="H1224" s="6" t="str">
        <f>IFERROR(VLOOKUP(Table2[[#This Row],[Ticket]],Okey!A:B,2,0),"")</f>
        <v>ok</v>
      </c>
      <c r="I1224" s="6" t="s">
        <v>3679</v>
      </c>
      <c r="J1224" s="6" t="str">
        <f>VLOOKUP(Table2[[#This Row],[Author]],People!A:B,2,0)</f>
        <v>LS</v>
      </c>
      <c r="K1224" s="6"/>
      <c r="L1224" s="6"/>
      <c r="M1224" s="21" t="s">
        <v>2804</v>
      </c>
    </row>
    <row r="1225" spans="1:13" x14ac:dyDescent="0.25">
      <c r="A1225" s="23">
        <f t="shared" si="19"/>
        <v>1224</v>
      </c>
      <c r="B1225" s="7" t="s">
        <v>4851</v>
      </c>
      <c r="C1225" s="7" t="s">
        <v>5206</v>
      </c>
      <c r="D1225" s="7" t="s">
        <v>5500</v>
      </c>
      <c r="E1225" s="7" t="s">
        <v>5501</v>
      </c>
      <c r="F1225" s="7" t="s">
        <v>5372</v>
      </c>
      <c r="G1225" s="7" t="s">
        <v>18</v>
      </c>
      <c r="H1225" s="7" t="str">
        <f>IFERROR(VLOOKUP(Table2[[#This Row],[Ticket]],Okey!A:B,2,0),"")</f>
        <v>ok</v>
      </c>
      <c r="I1225" s="7" t="s">
        <v>3679</v>
      </c>
      <c r="J1225" s="7" t="str">
        <f>VLOOKUP(Table2[[#This Row],[Author]],People!A:B,2,0)</f>
        <v>LS</v>
      </c>
      <c r="K1225" s="7"/>
      <c r="L1225" s="7"/>
      <c r="M1225" s="16" t="s">
        <v>2804</v>
      </c>
    </row>
    <row r="1226" spans="1:13" x14ac:dyDescent="0.25">
      <c r="A1226" s="22">
        <f t="shared" si="19"/>
        <v>1225</v>
      </c>
      <c r="B1226" s="6" t="s">
        <v>4851</v>
      </c>
      <c r="C1226" s="6" t="s">
        <v>5206</v>
      </c>
      <c r="D1226" s="6" t="s">
        <v>5502</v>
      </c>
      <c r="E1226" s="6" t="s">
        <v>5503</v>
      </c>
      <c r="F1226" s="6" t="s">
        <v>5372</v>
      </c>
      <c r="G1226" s="6" t="s">
        <v>18</v>
      </c>
      <c r="H1226" s="6" t="str">
        <f>IFERROR(VLOOKUP(Table2[[#This Row],[Ticket]],Okey!A:B,2,0),"")</f>
        <v>ok</v>
      </c>
      <c r="I1226" s="6" t="s">
        <v>3679</v>
      </c>
      <c r="J1226" s="6" t="str">
        <f>VLOOKUP(Table2[[#This Row],[Author]],People!A:B,2,0)</f>
        <v>LS</v>
      </c>
      <c r="K1226" s="6"/>
      <c r="L1226" s="6"/>
      <c r="M1226" s="21" t="s">
        <v>2804</v>
      </c>
    </row>
    <row r="1227" spans="1:13" x14ac:dyDescent="0.25">
      <c r="A1227" s="23">
        <f t="shared" si="19"/>
        <v>1226</v>
      </c>
      <c r="B1227" s="7" t="s">
        <v>4851</v>
      </c>
      <c r="C1227" s="7" t="s">
        <v>5206</v>
      </c>
      <c r="D1227" s="7" t="s">
        <v>5504</v>
      </c>
      <c r="E1227" s="7" t="s">
        <v>5505</v>
      </c>
      <c r="F1227" s="7" t="s">
        <v>5372</v>
      </c>
      <c r="G1227" s="7" t="s">
        <v>18</v>
      </c>
      <c r="H1227" s="7" t="str">
        <f>IFERROR(VLOOKUP(Table2[[#This Row],[Ticket]],Okey!A:B,2,0),"")</f>
        <v>ok</v>
      </c>
      <c r="I1227" s="7" t="s">
        <v>3679</v>
      </c>
      <c r="J1227" s="7" t="str">
        <f>VLOOKUP(Table2[[#This Row],[Author]],People!A:B,2,0)</f>
        <v>LS</v>
      </c>
      <c r="K1227" s="7"/>
      <c r="L1227" s="7"/>
      <c r="M1227" s="16" t="s">
        <v>2804</v>
      </c>
    </row>
    <row r="1228" spans="1:13" x14ac:dyDescent="0.25">
      <c r="A1228" s="22">
        <f t="shared" si="19"/>
        <v>1227</v>
      </c>
      <c r="B1228" s="6" t="s">
        <v>4851</v>
      </c>
      <c r="C1228" s="6" t="s">
        <v>5206</v>
      </c>
      <c r="D1228" s="6" t="s">
        <v>5506</v>
      </c>
      <c r="E1228" s="6" t="s">
        <v>5507</v>
      </c>
      <c r="F1228" s="6" t="s">
        <v>2422</v>
      </c>
      <c r="G1228" s="6" t="s">
        <v>18</v>
      </c>
      <c r="H1228" s="6" t="str">
        <f>IFERROR(VLOOKUP(Table2[[#This Row],[Ticket]],Okey!A:B,2,0),"")</f>
        <v>ok</v>
      </c>
      <c r="I1228" s="6" t="s">
        <v>3679</v>
      </c>
      <c r="J1228" s="6" t="str">
        <f>VLOOKUP(Table2[[#This Row],[Author]],People!A:B,2,0)</f>
        <v>LS</v>
      </c>
      <c r="K1228" s="6"/>
      <c r="L1228" s="6"/>
      <c r="M1228" s="21" t="s">
        <v>2804</v>
      </c>
    </row>
    <row r="1229" spans="1:13" x14ac:dyDescent="0.25">
      <c r="A1229" s="23">
        <f t="shared" si="19"/>
        <v>1228</v>
      </c>
      <c r="B1229" s="7" t="s">
        <v>4851</v>
      </c>
      <c r="C1229" s="7" t="s">
        <v>5206</v>
      </c>
      <c r="D1229" s="7" t="s">
        <v>5508</v>
      </c>
      <c r="E1229" s="7" t="s">
        <v>4280</v>
      </c>
      <c r="F1229" s="7" t="s">
        <v>5384</v>
      </c>
      <c r="G1229" s="7" t="s">
        <v>18</v>
      </c>
      <c r="H1229" s="7" t="str">
        <f>IFERROR(VLOOKUP(Table2[[#This Row],[Ticket]],Okey!A:B,2,0),"")</f>
        <v>ok</v>
      </c>
      <c r="I1229" s="7" t="s">
        <v>3679</v>
      </c>
      <c r="J1229" s="7" t="str">
        <f>VLOOKUP(Table2[[#This Row],[Author]],People!A:B,2,0)</f>
        <v>LS</v>
      </c>
      <c r="K1229" s="7"/>
      <c r="L1229" s="7"/>
      <c r="M1229" s="16" t="s">
        <v>2804</v>
      </c>
    </row>
    <row r="1230" spans="1:13" x14ac:dyDescent="0.25">
      <c r="A1230" s="22">
        <f t="shared" si="19"/>
        <v>1229</v>
      </c>
      <c r="B1230" s="6" t="s">
        <v>4851</v>
      </c>
      <c r="C1230" s="6" t="s">
        <v>5206</v>
      </c>
      <c r="D1230" s="6" t="s">
        <v>5509</v>
      </c>
      <c r="E1230" s="6" t="s">
        <v>5510</v>
      </c>
      <c r="F1230" s="6" t="s">
        <v>5384</v>
      </c>
      <c r="G1230" s="6" t="s">
        <v>18</v>
      </c>
      <c r="H1230" s="6" t="str">
        <f>IFERROR(VLOOKUP(Table2[[#This Row],[Ticket]],Okey!A:B,2,0),"")</f>
        <v>ok</v>
      </c>
      <c r="I1230" s="6" t="s">
        <v>3679</v>
      </c>
      <c r="J1230" s="6" t="str">
        <f>VLOOKUP(Table2[[#This Row],[Author]],People!A:B,2,0)</f>
        <v>LS</v>
      </c>
      <c r="K1230" s="6"/>
      <c r="L1230" s="6"/>
      <c r="M1230" s="21" t="s">
        <v>2804</v>
      </c>
    </row>
    <row r="1231" spans="1:13" x14ac:dyDescent="0.25">
      <c r="A1231" s="23">
        <f t="shared" si="19"/>
        <v>1230</v>
      </c>
      <c r="B1231" s="7" t="s">
        <v>4851</v>
      </c>
      <c r="C1231" s="7" t="s">
        <v>5206</v>
      </c>
      <c r="D1231" s="7" t="s">
        <v>5511</v>
      </c>
      <c r="E1231" s="7" t="s">
        <v>5512</v>
      </c>
      <c r="F1231" s="7" t="s">
        <v>5384</v>
      </c>
      <c r="G1231" s="7" t="s">
        <v>18</v>
      </c>
      <c r="H1231" s="7" t="str">
        <f>IFERROR(VLOOKUP(Table2[[#This Row],[Ticket]],Okey!A:B,2,0),"")</f>
        <v>ok</v>
      </c>
      <c r="I1231" s="7" t="s">
        <v>3679</v>
      </c>
      <c r="J1231" s="7" t="str">
        <f>VLOOKUP(Table2[[#This Row],[Author]],People!A:B,2,0)</f>
        <v>LS</v>
      </c>
      <c r="K1231" s="7"/>
      <c r="L1231" s="7"/>
      <c r="M1231" s="16" t="s">
        <v>2804</v>
      </c>
    </row>
    <row r="1232" spans="1:13" x14ac:dyDescent="0.25">
      <c r="A1232" s="22">
        <f t="shared" si="19"/>
        <v>1231</v>
      </c>
      <c r="B1232" s="6" t="s">
        <v>4851</v>
      </c>
      <c r="C1232" s="6" t="s">
        <v>5206</v>
      </c>
      <c r="D1232" s="6" t="s">
        <v>5513</v>
      </c>
      <c r="E1232" s="6" t="s">
        <v>5514</v>
      </c>
      <c r="F1232" s="6" t="s">
        <v>5384</v>
      </c>
      <c r="G1232" s="6" t="s">
        <v>18</v>
      </c>
      <c r="H1232" s="6" t="str">
        <f>IFERROR(VLOOKUP(Table2[[#This Row],[Ticket]],Okey!A:B,2,0),"")</f>
        <v>ok</v>
      </c>
      <c r="I1232" s="6" t="s">
        <v>3679</v>
      </c>
      <c r="J1232" s="6" t="str">
        <f>VLOOKUP(Table2[[#This Row],[Author]],People!A:B,2,0)</f>
        <v>LS</v>
      </c>
      <c r="K1232" s="6"/>
      <c r="L1232" s="6"/>
      <c r="M1232" s="21" t="s">
        <v>2804</v>
      </c>
    </row>
    <row r="1233" spans="1:13" x14ac:dyDescent="0.25">
      <c r="A1233" s="23">
        <f t="shared" si="19"/>
        <v>1232</v>
      </c>
      <c r="B1233" s="7" t="s">
        <v>4851</v>
      </c>
      <c r="C1233" s="7" t="s">
        <v>5206</v>
      </c>
      <c r="D1233" s="7" t="s">
        <v>5515</v>
      </c>
      <c r="E1233" s="7" t="s">
        <v>5516</v>
      </c>
      <c r="F1233" s="7" t="s">
        <v>5384</v>
      </c>
      <c r="G1233" s="7" t="s">
        <v>18</v>
      </c>
      <c r="H1233" s="7" t="str">
        <f>IFERROR(VLOOKUP(Table2[[#This Row],[Ticket]],Okey!A:B,2,0),"")</f>
        <v>ok</v>
      </c>
      <c r="I1233" s="7" t="s">
        <v>3679</v>
      </c>
      <c r="J1233" s="7" t="str">
        <f>VLOOKUP(Table2[[#This Row],[Author]],People!A:B,2,0)</f>
        <v>LS</v>
      </c>
      <c r="K1233" s="7"/>
      <c r="L1233" s="7"/>
      <c r="M1233" s="16" t="s">
        <v>2804</v>
      </c>
    </row>
    <row r="1234" spans="1:13" x14ac:dyDescent="0.25">
      <c r="A1234" s="22">
        <f t="shared" si="19"/>
        <v>1233</v>
      </c>
      <c r="B1234" s="6" t="s">
        <v>4851</v>
      </c>
      <c r="C1234" s="6" t="s">
        <v>5206</v>
      </c>
      <c r="D1234" s="6" t="s">
        <v>5517</v>
      </c>
      <c r="E1234" s="6" t="s">
        <v>5518</v>
      </c>
      <c r="F1234" s="6" t="s">
        <v>5384</v>
      </c>
      <c r="G1234" s="6" t="s">
        <v>18</v>
      </c>
      <c r="H1234" s="6" t="str">
        <f>IFERROR(VLOOKUP(Table2[[#This Row],[Ticket]],Okey!A:B,2,0),"")</f>
        <v>ok</v>
      </c>
      <c r="I1234" s="6" t="s">
        <v>3679</v>
      </c>
      <c r="J1234" s="6" t="str">
        <f>VLOOKUP(Table2[[#This Row],[Author]],People!A:B,2,0)</f>
        <v>LS</v>
      </c>
      <c r="K1234" s="6"/>
      <c r="L1234" s="6"/>
      <c r="M1234" s="21" t="s">
        <v>2804</v>
      </c>
    </row>
    <row r="1235" spans="1:13" x14ac:dyDescent="0.25">
      <c r="A1235" s="23">
        <f t="shared" si="19"/>
        <v>1234</v>
      </c>
      <c r="B1235" s="7" t="s">
        <v>4851</v>
      </c>
      <c r="C1235" s="7" t="s">
        <v>5206</v>
      </c>
      <c r="D1235" s="7" t="s">
        <v>5519</v>
      </c>
      <c r="E1235" s="7" t="s">
        <v>5520</v>
      </c>
      <c r="F1235" s="7" t="s">
        <v>5384</v>
      </c>
      <c r="G1235" s="7" t="s">
        <v>18</v>
      </c>
      <c r="H1235" s="7" t="str">
        <f>IFERROR(VLOOKUP(Table2[[#This Row],[Ticket]],Okey!A:B,2,0),"")</f>
        <v>ok</v>
      </c>
      <c r="I1235" s="7" t="s">
        <v>3679</v>
      </c>
      <c r="J1235" s="7" t="str">
        <f>VLOOKUP(Table2[[#This Row],[Author]],People!A:B,2,0)</f>
        <v>LS</v>
      </c>
      <c r="K1235" s="7"/>
      <c r="L1235" s="7"/>
      <c r="M1235" s="16" t="s">
        <v>2804</v>
      </c>
    </row>
    <row r="1236" spans="1:13" x14ac:dyDescent="0.25">
      <c r="A1236" s="22">
        <f t="shared" si="19"/>
        <v>1235</v>
      </c>
      <c r="B1236" s="6" t="s">
        <v>4851</v>
      </c>
      <c r="C1236" s="6" t="s">
        <v>5206</v>
      </c>
      <c r="D1236" s="6" t="s">
        <v>5521</v>
      </c>
      <c r="E1236" s="6" t="s">
        <v>5522</v>
      </c>
      <c r="F1236" s="6" t="s">
        <v>5384</v>
      </c>
      <c r="G1236" s="6" t="s">
        <v>18</v>
      </c>
      <c r="H1236" s="6" t="str">
        <f>IFERROR(VLOOKUP(Table2[[#This Row],[Ticket]],Okey!A:B,2,0),"")</f>
        <v>ok</v>
      </c>
      <c r="I1236" s="6" t="s">
        <v>3679</v>
      </c>
      <c r="J1236" s="6" t="str">
        <f>VLOOKUP(Table2[[#This Row],[Author]],People!A:B,2,0)</f>
        <v>LS</v>
      </c>
      <c r="K1236" s="6"/>
      <c r="L1236" s="6"/>
      <c r="M1236" s="21" t="s">
        <v>2804</v>
      </c>
    </row>
    <row r="1237" spans="1:13" x14ac:dyDescent="0.25">
      <c r="A1237" s="23">
        <f t="shared" si="19"/>
        <v>1236</v>
      </c>
      <c r="B1237" s="7" t="s">
        <v>4851</v>
      </c>
      <c r="C1237" s="7" t="s">
        <v>5206</v>
      </c>
      <c r="D1237" s="7" t="s">
        <v>5523</v>
      </c>
      <c r="E1237" s="7" t="s">
        <v>5524</v>
      </c>
      <c r="F1237" s="7" t="s">
        <v>2750</v>
      </c>
      <c r="G1237" s="7" t="s">
        <v>18</v>
      </c>
      <c r="H1237" s="7" t="str">
        <f>IFERROR(VLOOKUP(Table2[[#This Row],[Ticket]],Okey!A:B,2,0),"")</f>
        <v>ok</v>
      </c>
      <c r="I1237" s="7" t="s">
        <v>3679</v>
      </c>
      <c r="J1237" s="7" t="str">
        <f>VLOOKUP(Table2[[#This Row],[Author]],People!A:B,2,0)</f>
        <v>LS</v>
      </c>
      <c r="K1237" s="7"/>
      <c r="L1237" s="7"/>
      <c r="M1237" s="16" t="s">
        <v>2804</v>
      </c>
    </row>
    <row r="1238" spans="1:13" x14ac:dyDescent="0.25">
      <c r="A1238" s="22">
        <f t="shared" si="19"/>
        <v>1237</v>
      </c>
      <c r="B1238" s="6" t="s">
        <v>4851</v>
      </c>
      <c r="C1238" s="6" t="s">
        <v>5206</v>
      </c>
      <c r="D1238" s="6" t="s">
        <v>5525</v>
      </c>
      <c r="E1238" s="6" t="s">
        <v>5526</v>
      </c>
      <c r="F1238" s="6" t="s">
        <v>2750</v>
      </c>
      <c r="G1238" s="6" t="s">
        <v>18</v>
      </c>
      <c r="H1238" s="6" t="str">
        <f>IFERROR(VLOOKUP(Table2[[#This Row],[Ticket]],Okey!A:B,2,0),"")</f>
        <v>ok</v>
      </c>
      <c r="I1238" s="6" t="s">
        <v>3679</v>
      </c>
      <c r="J1238" s="6" t="str">
        <f>VLOOKUP(Table2[[#This Row],[Author]],People!A:B,2,0)</f>
        <v>LS</v>
      </c>
      <c r="K1238" s="6"/>
      <c r="L1238" s="6"/>
      <c r="M1238" s="21" t="s">
        <v>2804</v>
      </c>
    </row>
    <row r="1239" spans="1:13" x14ac:dyDescent="0.25">
      <c r="A1239" s="23">
        <f t="shared" si="19"/>
        <v>1238</v>
      </c>
      <c r="B1239" s="7" t="s">
        <v>4851</v>
      </c>
      <c r="C1239" s="7" t="s">
        <v>5206</v>
      </c>
      <c r="D1239" s="7" t="s">
        <v>5527</v>
      </c>
      <c r="E1239" s="7" t="s">
        <v>5528</v>
      </c>
      <c r="F1239" s="7" t="s">
        <v>2750</v>
      </c>
      <c r="G1239" s="7" t="s">
        <v>18</v>
      </c>
      <c r="H1239" s="7" t="str">
        <f>IFERROR(VLOOKUP(Table2[[#This Row],[Ticket]],Okey!A:B,2,0),"")</f>
        <v>ok</v>
      </c>
      <c r="I1239" s="7" t="s">
        <v>3679</v>
      </c>
      <c r="J1239" s="7" t="str">
        <f>VLOOKUP(Table2[[#This Row],[Author]],People!A:B,2,0)</f>
        <v>LS</v>
      </c>
      <c r="K1239" s="7"/>
      <c r="L1239" s="7"/>
      <c r="M1239" s="16" t="s">
        <v>2804</v>
      </c>
    </row>
    <row r="1240" spans="1:13" x14ac:dyDescent="0.25">
      <c r="A1240" s="22">
        <f t="shared" si="19"/>
        <v>1239</v>
      </c>
      <c r="B1240" s="6" t="s">
        <v>4851</v>
      </c>
      <c r="C1240" s="6" t="s">
        <v>5206</v>
      </c>
      <c r="D1240" s="6" t="s">
        <v>5529</v>
      </c>
      <c r="E1240" s="6" t="s">
        <v>5530</v>
      </c>
      <c r="F1240" s="6" t="s">
        <v>2750</v>
      </c>
      <c r="G1240" s="6" t="s">
        <v>18</v>
      </c>
      <c r="H1240" s="6" t="str">
        <f>IFERROR(VLOOKUP(Table2[[#This Row],[Ticket]],Okey!A:B,2,0),"")</f>
        <v>ok</v>
      </c>
      <c r="I1240" s="6" t="s">
        <v>3679</v>
      </c>
      <c r="J1240" s="6" t="str">
        <f>VLOOKUP(Table2[[#This Row],[Author]],People!A:B,2,0)</f>
        <v>LS</v>
      </c>
      <c r="K1240" s="6"/>
      <c r="L1240" s="6"/>
      <c r="M1240" s="21" t="s">
        <v>2804</v>
      </c>
    </row>
    <row r="1241" spans="1:13" x14ac:dyDescent="0.25">
      <c r="A1241" s="23">
        <f t="shared" si="19"/>
        <v>1240</v>
      </c>
      <c r="B1241" s="7" t="s">
        <v>4851</v>
      </c>
      <c r="C1241" s="7" t="s">
        <v>5206</v>
      </c>
      <c r="D1241" s="7" t="s">
        <v>5531</v>
      </c>
      <c r="E1241" s="7" t="s">
        <v>5532</v>
      </c>
      <c r="F1241" s="7" t="s">
        <v>2750</v>
      </c>
      <c r="G1241" s="7" t="s">
        <v>18</v>
      </c>
      <c r="H1241" s="7" t="str">
        <f>IFERROR(VLOOKUP(Table2[[#This Row],[Ticket]],Okey!A:B,2,0),"")</f>
        <v>ok</v>
      </c>
      <c r="I1241" s="7" t="s">
        <v>3679</v>
      </c>
      <c r="J1241" s="7" t="str">
        <f>VLOOKUP(Table2[[#This Row],[Author]],People!A:B,2,0)</f>
        <v>LS</v>
      </c>
      <c r="K1241" s="7"/>
      <c r="L1241" s="7"/>
      <c r="M1241" s="16" t="s">
        <v>2804</v>
      </c>
    </row>
    <row r="1242" spans="1:13" x14ac:dyDescent="0.25">
      <c r="A1242" s="22">
        <f t="shared" si="19"/>
        <v>1241</v>
      </c>
      <c r="B1242" s="6" t="s">
        <v>4851</v>
      </c>
      <c r="C1242" s="6" t="s">
        <v>5206</v>
      </c>
      <c r="D1242" s="6" t="s">
        <v>5533</v>
      </c>
      <c r="E1242" s="6" t="s">
        <v>5534</v>
      </c>
      <c r="F1242" s="6" t="s">
        <v>2750</v>
      </c>
      <c r="G1242" s="6" t="s">
        <v>18</v>
      </c>
      <c r="H1242" s="6" t="str">
        <f>IFERROR(VLOOKUP(Table2[[#This Row],[Ticket]],Okey!A:B,2,0),"")</f>
        <v>ok</v>
      </c>
      <c r="I1242" s="6" t="s">
        <v>3679</v>
      </c>
      <c r="J1242" s="6" t="str">
        <f>VLOOKUP(Table2[[#This Row],[Author]],People!A:B,2,0)</f>
        <v>LS</v>
      </c>
      <c r="K1242" s="6"/>
      <c r="L1242" s="6"/>
      <c r="M1242" s="21" t="s">
        <v>2804</v>
      </c>
    </row>
    <row r="1243" spans="1:13" x14ac:dyDescent="0.25">
      <c r="A1243" s="23">
        <f t="shared" si="19"/>
        <v>1242</v>
      </c>
      <c r="B1243" s="7" t="s">
        <v>4851</v>
      </c>
      <c r="C1243" s="7" t="s">
        <v>5206</v>
      </c>
      <c r="D1243" s="7" t="s">
        <v>5535</v>
      </c>
      <c r="E1243" s="7" t="s">
        <v>5536</v>
      </c>
      <c r="F1243" s="7" t="s">
        <v>2750</v>
      </c>
      <c r="G1243" s="7" t="s">
        <v>18</v>
      </c>
      <c r="H1243" s="7" t="str">
        <f>IFERROR(VLOOKUP(Table2[[#This Row],[Ticket]],Okey!A:B,2,0),"")</f>
        <v>ok</v>
      </c>
      <c r="I1243" s="7" t="s">
        <v>3679</v>
      </c>
      <c r="J1243" s="7" t="str">
        <f>VLOOKUP(Table2[[#This Row],[Author]],People!A:B,2,0)</f>
        <v>LS</v>
      </c>
      <c r="K1243" s="7"/>
      <c r="L1243" s="7"/>
      <c r="M1243" s="16" t="s">
        <v>2804</v>
      </c>
    </row>
    <row r="1244" spans="1:13" x14ac:dyDescent="0.25">
      <c r="A1244" s="22">
        <f t="shared" si="19"/>
        <v>1243</v>
      </c>
      <c r="B1244" s="6" t="s">
        <v>4851</v>
      </c>
      <c r="C1244" s="6" t="s">
        <v>5206</v>
      </c>
      <c r="D1244" s="6" t="s">
        <v>5537</v>
      </c>
      <c r="E1244" s="6" t="s">
        <v>5538</v>
      </c>
      <c r="F1244" s="6" t="s">
        <v>2750</v>
      </c>
      <c r="G1244" s="6" t="s">
        <v>18</v>
      </c>
      <c r="H1244" s="6" t="str">
        <f>IFERROR(VLOOKUP(Table2[[#This Row],[Ticket]],Okey!A:B,2,0),"")</f>
        <v>ok</v>
      </c>
      <c r="I1244" s="6" t="s">
        <v>3679</v>
      </c>
      <c r="J1244" s="6" t="str">
        <f>VLOOKUP(Table2[[#This Row],[Author]],People!A:B,2,0)</f>
        <v>LS</v>
      </c>
      <c r="K1244" s="6"/>
      <c r="L1244" s="6"/>
      <c r="M1244" s="21" t="s">
        <v>2804</v>
      </c>
    </row>
    <row r="1245" spans="1:13" x14ac:dyDescent="0.25">
      <c r="A1245" s="23">
        <f t="shared" si="19"/>
        <v>1244</v>
      </c>
      <c r="B1245" s="7" t="s">
        <v>4851</v>
      </c>
      <c r="C1245" s="7" t="s">
        <v>5206</v>
      </c>
      <c r="D1245" s="7" t="s">
        <v>5539</v>
      </c>
      <c r="E1245" s="7" t="s">
        <v>5540</v>
      </c>
      <c r="F1245" s="7"/>
      <c r="G1245" s="7" t="s">
        <v>63</v>
      </c>
      <c r="H1245" s="7" t="str">
        <f>IFERROR(VLOOKUP(Table2[[#This Row],[Ticket]],Okey!A:B,2,0),"")</f>
        <v>ok</v>
      </c>
      <c r="I1245" s="7" t="s">
        <v>3679</v>
      </c>
      <c r="J1245" s="7" t="str">
        <f>VLOOKUP(Table2[[#This Row],[Author]],People!A:B,2,0)</f>
        <v>LS</v>
      </c>
      <c r="K1245" s="7"/>
      <c r="L1245" s="7"/>
      <c r="M1245" s="16" t="s">
        <v>2804</v>
      </c>
    </row>
    <row r="1246" spans="1:13" x14ac:dyDescent="0.25">
      <c r="A1246" s="22">
        <f t="shared" si="19"/>
        <v>1245</v>
      </c>
      <c r="B1246" s="6" t="s">
        <v>4851</v>
      </c>
      <c r="C1246" s="6" t="s">
        <v>5206</v>
      </c>
      <c r="D1246" s="6" t="s">
        <v>1824</v>
      </c>
      <c r="E1246" s="6" t="s">
        <v>2246</v>
      </c>
      <c r="F1246" s="6"/>
      <c r="G1246" s="6" t="s">
        <v>63</v>
      </c>
      <c r="H1246" s="6" t="str">
        <f>IFERROR(VLOOKUP(Table2[[#This Row],[Ticket]],Okey!A:B,2,0),"")</f>
        <v>ok</v>
      </c>
      <c r="I1246" s="6" t="s">
        <v>3679</v>
      </c>
      <c r="J1246" s="6" t="str">
        <f>VLOOKUP(Table2[[#This Row],[Author]],People!A:B,2,0)</f>
        <v>LS</v>
      </c>
      <c r="K1246" s="6"/>
      <c r="L1246" s="6"/>
      <c r="M1246" s="21" t="s">
        <v>2804</v>
      </c>
    </row>
    <row r="1247" spans="1:13" x14ac:dyDescent="0.25">
      <c r="A1247" s="23">
        <f t="shared" si="19"/>
        <v>1246</v>
      </c>
      <c r="B1247" s="7" t="s">
        <v>4851</v>
      </c>
      <c r="C1247" s="7" t="s">
        <v>5206</v>
      </c>
      <c r="D1247" s="7" t="s">
        <v>1826</v>
      </c>
      <c r="E1247" s="7" t="s">
        <v>2245</v>
      </c>
      <c r="F1247" s="7"/>
      <c r="G1247" s="7" t="s">
        <v>63</v>
      </c>
      <c r="H1247" s="7" t="str">
        <f>IFERROR(VLOOKUP(Table2[[#This Row],[Ticket]],Okey!A:B,2,0),"")</f>
        <v>ok</v>
      </c>
      <c r="I1247" s="7" t="s">
        <v>3679</v>
      </c>
      <c r="J1247" s="7" t="str">
        <f>VLOOKUP(Table2[[#This Row],[Author]],People!A:B,2,0)</f>
        <v>LS</v>
      </c>
      <c r="K1247" s="7"/>
      <c r="L1247" s="7"/>
      <c r="M1247" s="16" t="s">
        <v>2804</v>
      </c>
    </row>
    <row r="1248" spans="1:13" x14ac:dyDescent="0.25">
      <c r="A1248" s="22">
        <f t="shared" si="19"/>
        <v>1247</v>
      </c>
      <c r="B1248" s="6" t="s">
        <v>4851</v>
      </c>
      <c r="C1248" s="6" t="s">
        <v>5206</v>
      </c>
      <c r="D1248" s="6" t="s">
        <v>1828</v>
      </c>
      <c r="E1248" s="6" t="s">
        <v>2247</v>
      </c>
      <c r="F1248" s="6"/>
      <c r="G1248" s="6" t="s">
        <v>63</v>
      </c>
      <c r="H1248" s="6" t="str">
        <f>IFERROR(VLOOKUP(Table2[[#This Row],[Ticket]],Okey!A:B,2,0),"")</f>
        <v>ok</v>
      </c>
      <c r="I1248" s="6" t="s">
        <v>3679</v>
      </c>
      <c r="J1248" s="6" t="str">
        <f>VLOOKUP(Table2[[#This Row],[Author]],People!A:B,2,0)</f>
        <v>LS</v>
      </c>
      <c r="K1248" s="6"/>
      <c r="L1248" s="6"/>
      <c r="M1248" s="21" t="s">
        <v>2804</v>
      </c>
    </row>
    <row r="1249" spans="1:13" x14ac:dyDescent="0.25">
      <c r="A1249" s="23">
        <f t="shared" si="19"/>
        <v>1248</v>
      </c>
      <c r="B1249" s="7" t="s">
        <v>4851</v>
      </c>
      <c r="C1249" s="7" t="s">
        <v>5206</v>
      </c>
      <c r="D1249" s="7" t="s">
        <v>1830</v>
      </c>
      <c r="E1249" s="7" t="s">
        <v>2249</v>
      </c>
      <c r="F1249" s="7"/>
      <c r="G1249" s="7" t="s">
        <v>63</v>
      </c>
      <c r="H1249" s="7" t="str">
        <f>IFERROR(VLOOKUP(Table2[[#This Row],[Ticket]],Okey!A:B,2,0),"")</f>
        <v>ok</v>
      </c>
      <c r="I1249" s="7" t="s">
        <v>3679</v>
      </c>
      <c r="J1249" s="7" t="str">
        <f>VLOOKUP(Table2[[#This Row],[Author]],People!A:B,2,0)</f>
        <v>LS</v>
      </c>
      <c r="K1249" s="7"/>
      <c r="L1249" s="7"/>
      <c r="M1249" s="16" t="s">
        <v>2804</v>
      </c>
    </row>
    <row r="1250" spans="1:13" x14ac:dyDescent="0.25">
      <c r="A1250" s="22">
        <f t="shared" si="19"/>
        <v>1249</v>
      </c>
      <c r="B1250" s="6" t="s">
        <v>4851</v>
      </c>
      <c r="C1250" s="6" t="s">
        <v>5206</v>
      </c>
      <c r="D1250" s="6" t="s">
        <v>1832</v>
      </c>
      <c r="E1250" s="6" t="s">
        <v>2250</v>
      </c>
      <c r="F1250" s="6"/>
      <c r="G1250" s="6" t="s">
        <v>63</v>
      </c>
      <c r="H1250" s="6" t="str">
        <f>IFERROR(VLOOKUP(Table2[[#This Row],[Ticket]],Okey!A:B,2,0),"")</f>
        <v>ok</v>
      </c>
      <c r="I1250" s="6" t="s">
        <v>3679</v>
      </c>
      <c r="J1250" s="6" t="str">
        <f>VLOOKUP(Table2[[#This Row],[Author]],People!A:B,2,0)</f>
        <v>LS</v>
      </c>
      <c r="K1250" s="6"/>
      <c r="L1250" s="6"/>
      <c r="M1250" s="21" t="s">
        <v>2804</v>
      </c>
    </row>
    <row r="1251" spans="1:13" x14ac:dyDescent="0.25">
      <c r="A1251" s="23">
        <f t="shared" si="19"/>
        <v>1250</v>
      </c>
      <c r="B1251" s="7" t="s">
        <v>4851</v>
      </c>
      <c r="C1251" s="7" t="s">
        <v>5206</v>
      </c>
      <c r="D1251" s="7" t="s">
        <v>1834</v>
      </c>
      <c r="E1251" s="7" t="s">
        <v>2251</v>
      </c>
      <c r="F1251" s="7"/>
      <c r="G1251" s="7" t="s">
        <v>63</v>
      </c>
      <c r="H1251" s="7" t="str">
        <f>IFERROR(VLOOKUP(Table2[[#This Row],[Ticket]],Okey!A:B,2,0),"")</f>
        <v>ok</v>
      </c>
      <c r="I1251" s="7" t="s">
        <v>3679</v>
      </c>
      <c r="J1251" s="7" t="str">
        <f>VLOOKUP(Table2[[#This Row],[Author]],People!A:B,2,0)</f>
        <v>LS</v>
      </c>
      <c r="K1251" s="7"/>
      <c r="L1251" s="7"/>
      <c r="M1251" s="16" t="s">
        <v>2804</v>
      </c>
    </row>
    <row r="1252" spans="1:13" x14ac:dyDescent="0.25">
      <c r="A1252" s="22">
        <f t="shared" si="19"/>
        <v>1251</v>
      </c>
      <c r="B1252" s="6" t="s">
        <v>4851</v>
      </c>
      <c r="C1252" s="6" t="s">
        <v>5206</v>
      </c>
      <c r="D1252" s="6" t="s">
        <v>1836</v>
      </c>
      <c r="E1252" s="6" t="s">
        <v>2248</v>
      </c>
      <c r="F1252" s="6"/>
      <c r="G1252" s="6" t="s">
        <v>63</v>
      </c>
      <c r="H1252" s="6" t="str">
        <f>IFERROR(VLOOKUP(Table2[[#This Row],[Ticket]],Okey!A:B,2,0),"")</f>
        <v>ok</v>
      </c>
      <c r="I1252" s="6" t="s">
        <v>3679</v>
      </c>
      <c r="J1252" s="6" t="str">
        <f>VLOOKUP(Table2[[#This Row],[Author]],People!A:B,2,0)</f>
        <v>LS</v>
      </c>
      <c r="K1252" s="6"/>
      <c r="L1252" s="6"/>
      <c r="M1252" s="21" t="s">
        <v>2804</v>
      </c>
    </row>
    <row r="1253" spans="1:13" x14ac:dyDescent="0.25">
      <c r="A1253" s="23">
        <f t="shared" si="19"/>
        <v>1252</v>
      </c>
      <c r="B1253" s="7" t="s">
        <v>4851</v>
      </c>
      <c r="C1253" s="7" t="s">
        <v>5206</v>
      </c>
      <c r="D1253" s="7" t="s">
        <v>3115</v>
      </c>
      <c r="E1253" s="7" t="s">
        <v>3116</v>
      </c>
      <c r="F1253" s="7"/>
      <c r="G1253" s="7" t="s">
        <v>63</v>
      </c>
      <c r="H1253" s="7" t="str">
        <f>IFERROR(VLOOKUP(Table2[[#This Row],[Ticket]],Okey!A:B,2,0),"")</f>
        <v>ok</v>
      </c>
      <c r="I1253" s="7" t="s">
        <v>3679</v>
      </c>
      <c r="J1253" s="7" t="str">
        <f>VLOOKUP(Table2[[#This Row],[Author]],People!A:B,2,0)</f>
        <v>LS</v>
      </c>
      <c r="K1253" s="7"/>
      <c r="L1253" s="7"/>
      <c r="M1253" s="16" t="s">
        <v>2804</v>
      </c>
    </row>
    <row r="1254" spans="1:13" x14ac:dyDescent="0.25">
      <c r="A1254" s="22">
        <f t="shared" si="19"/>
        <v>1253</v>
      </c>
      <c r="B1254" s="6" t="s">
        <v>4851</v>
      </c>
      <c r="C1254" s="6" t="s">
        <v>5206</v>
      </c>
      <c r="D1254" s="6" t="s">
        <v>5541</v>
      </c>
      <c r="E1254" s="6" t="s">
        <v>5542</v>
      </c>
      <c r="F1254" s="6"/>
      <c r="G1254" s="6" t="s">
        <v>63</v>
      </c>
      <c r="H1254" s="6" t="str">
        <f>IFERROR(VLOOKUP(Table2[[#This Row],[Ticket]],Okey!A:B,2,0),"")</f>
        <v>ok</v>
      </c>
      <c r="I1254" s="6" t="s">
        <v>3679</v>
      </c>
      <c r="J1254" s="6" t="str">
        <f>VLOOKUP(Table2[[#This Row],[Author]],People!A:B,2,0)</f>
        <v>LS</v>
      </c>
      <c r="K1254" s="6"/>
      <c r="L1254" s="6"/>
      <c r="M1254" s="21" t="s">
        <v>2804</v>
      </c>
    </row>
    <row r="1255" spans="1:13" x14ac:dyDescent="0.25">
      <c r="A1255" s="23">
        <f t="shared" si="19"/>
        <v>1254</v>
      </c>
      <c r="B1255" s="7" t="s">
        <v>4851</v>
      </c>
      <c r="C1255" s="7" t="s">
        <v>5206</v>
      </c>
      <c r="D1255" s="7" t="s">
        <v>2778</v>
      </c>
      <c r="E1255" s="7" t="s">
        <v>5543</v>
      </c>
      <c r="F1255" s="7"/>
      <c r="G1255" s="7" t="s">
        <v>63</v>
      </c>
      <c r="H1255" s="7" t="str">
        <f>IFERROR(VLOOKUP(Table2[[#This Row],[Ticket]],Okey!A:B,2,0),"")</f>
        <v>ok</v>
      </c>
      <c r="I1255" s="7" t="s">
        <v>3679</v>
      </c>
      <c r="J1255" s="7" t="str">
        <f>VLOOKUP(Table2[[#This Row],[Author]],People!A:B,2,0)</f>
        <v>LS</v>
      </c>
      <c r="K1255" s="7"/>
      <c r="L1255" s="7"/>
      <c r="M1255" s="16" t="s">
        <v>2804</v>
      </c>
    </row>
    <row r="1256" spans="1:13" x14ac:dyDescent="0.25">
      <c r="A1256" s="22">
        <f t="shared" si="19"/>
        <v>1255</v>
      </c>
      <c r="B1256" s="6" t="s">
        <v>4851</v>
      </c>
      <c r="C1256" s="6" t="s">
        <v>5206</v>
      </c>
      <c r="D1256" s="6" t="s">
        <v>5223</v>
      </c>
      <c r="E1256" s="6" t="s">
        <v>5544</v>
      </c>
      <c r="F1256" s="6"/>
      <c r="G1256" s="6" t="s">
        <v>63</v>
      </c>
      <c r="H1256" s="6" t="str">
        <f>IFERROR(VLOOKUP(Table2[[#This Row],[Ticket]],Okey!A:B,2,0),"")</f>
        <v>ok</v>
      </c>
      <c r="I1256" s="6" t="s">
        <v>3679</v>
      </c>
      <c r="J1256" s="6" t="str">
        <f>VLOOKUP(Table2[[#This Row],[Author]],People!A:B,2,0)</f>
        <v>LS</v>
      </c>
      <c r="K1256" s="6"/>
      <c r="L1256" s="6"/>
      <c r="M1256" s="21" t="s">
        <v>2804</v>
      </c>
    </row>
    <row r="1257" spans="1:13" x14ac:dyDescent="0.25">
      <c r="A1257" s="23">
        <f t="shared" si="19"/>
        <v>1256</v>
      </c>
      <c r="B1257" s="7" t="s">
        <v>4851</v>
      </c>
      <c r="C1257" s="7" t="s">
        <v>5206</v>
      </c>
      <c r="D1257" s="7" t="s">
        <v>2033</v>
      </c>
      <c r="E1257" s="7" t="s">
        <v>2260</v>
      </c>
      <c r="F1257" s="7"/>
      <c r="G1257" s="7" t="s">
        <v>63</v>
      </c>
      <c r="H1257" s="7" t="str">
        <f>IFERROR(VLOOKUP(Table2[[#This Row],[Ticket]],Okey!A:B,2,0),"")</f>
        <v>ok</v>
      </c>
      <c r="I1257" s="7" t="s">
        <v>3679</v>
      </c>
      <c r="J1257" s="7" t="str">
        <f>VLOOKUP(Table2[[#This Row],[Author]],People!A:B,2,0)</f>
        <v>LS</v>
      </c>
      <c r="K1257" s="7"/>
      <c r="L1257" s="7"/>
      <c r="M1257" s="16" t="s">
        <v>2804</v>
      </c>
    </row>
    <row r="1258" spans="1:13" x14ac:dyDescent="0.25">
      <c r="A1258" s="22">
        <f t="shared" si="19"/>
        <v>1257</v>
      </c>
      <c r="B1258" s="6" t="s">
        <v>4851</v>
      </c>
      <c r="C1258" s="6" t="s">
        <v>5206</v>
      </c>
      <c r="D1258" s="6" t="s">
        <v>5258</v>
      </c>
      <c r="E1258" s="6" t="s">
        <v>5545</v>
      </c>
      <c r="F1258" s="6"/>
      <c r="G1258" s="6" t="s">
        <v>63</v>
      </c>
      <c r="H1258" s="6" t="str">
        <f>IFERROR(VLOOKUP(Table2[[#This Row],[Ticket]],Okey!A:B,2,0),"")</f>
        <v>ok</v>
      </c>
      <c r="I1258" s="6" t="s">
        <v>3679</v>
      </c>
      <c r="J1258" s="6" t="str">
        <f>VLOOKUP(Table2[[#This Row],[Author]],People!A:B,2,0)</f>
        <v>LS</v>
      </c>
      <c r="K1258" s="6"/>
      <c r="L1258" s="6"/>
      <c r="M1258" s="21" t="s">
        <v>2804</v>
      </c>
    </row>
    <row r="1259" spans="1:13" x14ac:dyDescent="0.25">
      <c r="A1259" s="23">
        <f t="shared" si="19"/>
        <v>1258</v>
      </c>
      <c r="B1259" s="7" t="s">
        <v>4851</v>
      </c>
      <c r="C1259" s="7" t="s">
        <v>5206</v>
      </c>
      <c r="D1259" s="7" t="s">
        <v>1898</v>
      </c>
      <c r="E1259" s="7" t="s">
        <v>2261</v>
      </c>
      <c r="F1259" s="7"/>
      <c r="G1259" s="7" t="s">
        <v>63</v>
      </c>
      <c r="H1259" s="7" t="str">
        <f>IFERROR(VLOOKUP(Table2[[#This Row],[Ticket]],Okey!A:B,2,0),"")</f>
        <v>ok</v>
      </c>
      <c r="I1259" s="7" t="s">
        <v>3679</v>
      </c>
      <c r="J1259" s="7" t="str">
        <f>VLOOKUP(Table2[[#This Row],[Author]],People!A:B,2,0)</f>
        <v>LS</v>
      </c>
      <c r="K1259" s="7"/>
      <c r="L1259" s="7"/>
      <c r="M1259" s="16" t="s">
        <v>2804</v>
      </c>
    </row>
    <row r="1260" spans="1:13" x14ac:dyDescent="0.25">
      <c r="A1260" s="22">
        <f t="shared" si="19"/>
        <v>1259</v>
      </c>
      <c r="B1260" s="6" t="s">
        <v>4851</v>
      </c>
      <c r="C1260" s="6" t="s">
        <v>5206</v>
      </c>
      <c r="D1260" s="6" t="s">
        <v>5282</v>
      </c>
      <c r="E1260" s="6" t="s">
        <v>5546</v>
      </c>
      <c r="F1260" s="6"/>
      <c r="G1260" s="6" t="s">
        <v>63</v>
      </c>
      <c r="H1260" s="6" t="str">
        <f>IFERROR(VLOOKUP(Table2[[#This Row],[Ticket]],Okey!A:B,2,0),"")</f>
        <v>ok</v>
      </c>
      <c r="I1260" s="6" t="s">
        <v>3679</v>
      </c>
      <c r="J1260" s="6" t="str">
        <f>VLOOKUP(Table2[[#This Row],[Author]],People!A:B,2,0)</f>
        <v>LS</v>
      </c>
      <c r="K1260" s="6"/>
      <c r="L1260" s="6"/>
      <c r="M1260" s="21" t="s">
        <v>2804</v>
      </c>
    </row>
    <row r="1261" spans="1:13" x14ac:dyDescent="0.25">
      <c r="A1261" s="23">
        <f t="shared" si="19"/>
        <v>1260</v>
      </c>
      <c r="B1261" s="7" t="s">
        <v>4851</v>
      </c>
      <c r="C1261" s="7" t="s">
        <v>5206</v>
      </c>
      <c r="D1261" s="7" t="s">
        <v>2819</v>
      </c>
      <c r="E1261" s="7" t="s">
        <v>5547</v>
      </c>
      <c r="F1261" s="7"/>
      <c r="G1261" s="7" t="s">
        <v>63</v>
      </c>
      <c r="H1261" s="7" t="str">
        <f>IFERROR(VLOOKUP(Table2[[#This Row],[Ticket]],Okey!A:B,2,0),"")</f>
        <v>ok</v>
      </c>
      <c r="I1261" s="7" t="s">
        <v>3679</v>
      </c>
      <c r="J1261" s="7" t="str">
        <f>VLOOKUP(Table2[[#This Row],[Author]],People!A:B,2,0)</f>
        <v>LS</v>
      </c>
      <c r="K1261" s="7"/>
      <c r="L1261" s="7"/>
      <c r="M1261" s="16" t="s">
        <v>2804</v>
      </c>
    </row>
    <row r="1262" spans="1:13" x14ac:dyDescent="0.25">
      <c r="A1262" s="22">
        <f t="shared" si="19"/>
        <v>1261</v>
      </c>
      <c r="B1262" s="6" t="s">
        <v>4851</v>
      </c>
      <c r="C1262" s="6" t="s">
        <v>5206</v>
      </c>
      <c r="D1262" s="6" t="s">
        <v>5328</v>
      </c>
      <c r="E1262" s="6" t="s">
        <v>5548</v>
      </c>
      <c r="F1262" s="6"/>
      <c r="G1262" s="6" t="s">
        <v>63</v>
      </c>
      <c r="H1262" s="6" t="str">
        <f>IFERROR(VLOOKUP(Table2[[#This Row],[Ticket]],Okey!A:B,2,0),"")</f>
        <v>ok</v>
      </c>
      <c r="I1262" s="6" t="s">
        <v>3679</v>
      </c>
      <c r="J1262" s="6" t="str">
        <f>VLOOKUP(Table2[[#This Row],[Author]],People!A:B,2,0)</f>
        <v>LS</v>
      </c>
      <c r="K1262" s="6"/>
      <c r="L1262" s="6"/>
      <c r="M1262" s="21" t="s">
        <v>2804</v>
      </c>
    </row>
    <row r="1263" spans="1:13" x14ac:dyDescent="0.25">
      <c r="A1263" s="23">
        <f t="shared" si="19"/>
        <v>1262</v>
      </c>
      <c r="B1263" s="7" t="s">
        <v>4851</v>
      </c>
      <c r="C1263" s="7" t="s">
        <v>5206</v>
      </c>
      <c r="D1263" s="7" t="s">
        <v>1934</v>
      </c>
      <c r="E1263" s="7" t="s">
        <v>2262</v>
      </c>
      <c r="F1263" s="7"/>
      <c r="G1263" s="7" t="s">
        <v>63</v>
      </c>
      <c r="H1263" s="7" t="str">
        <f>IFERROR(VLOOKUP(Table2[[#This Row],[Ticket]],Okey!A:B,2,0),"")</f>
        <v>ok</v>
      </c>
      <c r="I1263" s="7" t="s">
        <v>3679</v>
      </c>
      <c r="J1263" s="7" t="str">
        <f>VLOOKUP(Table2[[#This Row],[Author]],People!A:B,2,0)</f>
        <v>LS</v>
      </c>
      <c r="K1263" s="7"/>
      <c r="L1263" s="7"/>
      <c r="M1263" s="16" t="s">
        <v>2804</v>
      </c>
    </row>
    <row r="1264" spans="1:13" x14ac:dyDescent="0.25">
      <c r="A1264" s="22">
        <f t="shared" si="19"/>
        <v>1263</v>
      </c>
      <c r="B1264" s="6" t="s">
        <v>4851</v>
      </c>
      <c r="C1264" s="6" t="s">
        <v>5206</v>
      </c>
      <c r="D1264" s="6" t="s">
        <v>4821</v>
      </c>
      <c r="E1264" s="6" t="s">
        <v>5549</v>
      </c>
      <c r="F1264" s="6"/>
      <c r="G1264" s="6" t="s">
        <v>63</v>
      </c>
      <c r="H1264" s="6" t="str">
        <f>IFERROR(VLOOKUP(Table2[[#This Row],[Ticket]],Okey!A:B,2,0),"")</f>
        <v>ok</v>
      </c>
      <c r="I1264" s="6" t="s">
        <v>3679</v>
      </c>
      <c r="J1264" s="6" t="str">
        <f>VLOOKUP(Table2[[#This Row],[Author]],People!A:B,2,0)</f>
        <v>LS</v>
      </c>
      <c r="K1264" s="6"/>
      <c r="L1264" s="6"/>
      <c r="M1264" s="21" t="s">
        <v>2804</v>
      </c>
    </row>
    <row r="1265" spans="1:13" x14ac:dyDescent="0.25">
      <c r="A1265" s="23">
        <f t="shared" si="19"/>
        <v>1264</v>
      </c>
      <c r="B1265" s="7" t="s">
        <v>4851</v>
      </c>
      <c r="C1265" s="7" t="s">
        <v>5206</v>
      </c>
      <c r="D1265" s="7" t="s">
        <v>1962</v>
      </c>
      <c r="E1265" s="7" t="s">
        <v>5550</v>
      </c>
      <c r="F1265" s="7"/>
      <c r="G1265" s="7" t="s">
        <v>63</v>
      </c>
      <c r="H1265" s="7" t="str">
        <f>IFERROR(VLOOKUP(Table2[[#This Row],[Ticket]],Okey!A:B,2,0),"")</f>
        <v>ok</v>
      </c>
      <c r="I1265" s="7" t="s">
        <v>3679</v>
      </c>
      <c r="J1265" s="7" t="str">
        <f>VLOOKUP(Table2[[#This Row],[Author]],People!A:B,2,0)</f>
        <v>LS</v>
      </c>
      <c r="K1265" s="7"/>
      <c r="L1265" s="7"/>
      <c r="M1265" s="16" t="s">
        <v>2804</v>
      </c>
    </row>
    <row r="1266" spans="1:13" x14ac:dyDescent="0.25">
      <c r="A1266" s="22">
        <f t="shared" si="19"/>
        <v>1265</v>
      </c>
      <c r="B1266" s="6" t="s">
        <v>4851</v>
      </c>
      <c r="C1266" s="6" t="s">
        <v>5206</v>
      </c>
      <c r="D1266" s="6" t="s">
        <v>1964</v>
      </c>
      <c r="E1266" s="6" t="s">
        <v>5551</v>
      </c>
      <c r="F1266" s="6"/>
      <c r="G1266" s="6" t="s">
        <v>63</v>
      </c>
      <c r="H1266" s="6" t="str">
        <f>IFERROR(VLOOKUP(Table2[[#This Row],[Ticket]],Okey!A:B,2,0),"")</f>
        <v>ok</v>
      </c>
      <c r="I1266" s="6" t="s">
        <v>3679</v>
      </c>
      <c r="J1266" s="6" t="str">
        <f>VLOOKUP(Table2[[#This Row],[Author]],People!A:B,2,0)</f>
        <v>LS</v>
      </c>
      <c r="K1266" s="6"/>
      <c r="L1266" s="6"/>
      <c r="M1266" s="21" t="s">
        <v>2804</v>
      </c>
    </row>
    <row r="1267" spans="1:13" x14ac:dyDescent="0.25">
      <c r="A1267" s="23">
        <f t="shared" si="19"/>
        <v>1266</v>
      </c>
      <c r="B1267" s="7" t="s">
        <v>4851</v>
      </c>
      <c r="C1267" s="7" t="s">
        <v>5206</v>
      </c>
      <c r="D1267" s="7" t="s">
        <v>2040</v>
      </c>
      <c r="E1267" s="7" t="s">
        <v>5552</v>
      </c>
      <c r="F1267" s="7"/>
      <c r="G1267" s="7" t="s">
        <v>63</v>
      </c>
      <c r="H1267" s="7" t="str">
        <f>IFERROR(VLOOKUP(Table2[[#This Row],[Ticket]],Okey!A:B,2,0),"")</f>
        <v>ok</v>
      </c>
      <c r="I1267" s="7" t="s">
        <v>3679</v>
      </c>
      <c r="J1267" s="7" t="str">
        <f>VLOOKUP(Table2[[#This Row],[Author]],People!A:B,2,0)</f>
        <v>LS</v>
      </c>
      <c r="K1267" s="7"/>
      <c r="L1267" s="7"/>
      <c r="M1267" s="16" t="s">
        <v>2804</v>
      </c>
    </row>
    <row r="1268" spans="1:13" x14ac:dyDescent="0.25">
      <c r="A1268" s="22">
        <f t="shared" si="19"/>
        <v>1267</v>
      </c>
      <c r="B1268" s="6" t="s">
        <v>4851</v>
      </c>
      <c r="C1268" s="6" t="s">
        <v>5206</v>
      </c>
      <c r="D1268" s="6" t="s">
        <v>2045</v>
      </c>
      <c r="E1268" s="6" t="s">
        <v>5553</v>
      </c>
      <c r="F1268" s="6"/>
      <c r="G1268" s="6" t="s">
        <v>63</v>
      </c>
      <c r="H1268" s="6" t="str">
        <f>IFERROR(VLOOKUP(Table2[[#This Row],[Ticket]],Okey!A:B,2,0),"")</f>
        <v>ok</v>
      </c>
      <c r="I1268" s="6" t="s">
        <v>3679</v>
      </c>
      <c r="J1268" s="6" t="str">
        <f>VLOOKUP(Table2[[#This Row],[Author]],People!A:B,2,0)</f>
        <v>LS</v>
      </c>
      <c r="K1268" s="6"/>
      <c r="L1268" s="6"/>
      <c r="M1268" s="21" t="s">
        <v>2804</v>
      </c>
    </row>
    <row r="1269" spans="1:13" x14ac:dyDescent="0.25">
      <c r="A1269" s="23">
        <f t="shared" si="19"/>
        <v>1268</v>
      </c>
      <c r="B1269" s="7" t="s">
        <v>4851</v>
      </c>
      <c r="C1269" s="7" t="s">
        <v>5206</v>
      </c>
      <c r="D1269" s="7" t="s">
        <v>2043</v>
      </c>
      <c r="E1269" s="7" t="s">
        <v>5554</v>
      </c>
      <c r="F1269" s="7"/>
      <c r="G1269" s="7" t="s">
        <v>63</v>
      </c>
      <c r="H1269" s="7" t="str">
        <f>IFERROR(VLOOKUP(Table2[[#This Row],[Ticket]],Okey!A:B,2,0),"")</f>
        <v>ok</v>
      </c>
      <c r="I1269" s="7" t="s">
        <v>3679</v>
      </c>
      <c r="J1269" s="7" t="str">
        <f>VLOOKUP(Table2[[#This Row],[Author]],People!A:B,2,0)</f>
        <v>LS</v>
      </c>
      <c r="K1269" s="7"/>
      <c r="L1269" s="7"/>
      <c r="M1269" s="16" t="s">
        <v>2804</v>
      </c>
    </row>
    <row r="1270" spans="1:13" x14ac:dyDescent="0.25">
      <c r="A1270" s="22">
        <f t="shared" si="19"/>
        <v>1269</v>
      </c>
      <c r="B1270" s="6" t="s">
        <v>4851</v>
      </c>
      <c r="C1270" s="6" t="s">
        <v>5206</v>
      </c>
      <c r="D1270" s="6" t="s">
        <v>5555</v>
      </c>
      <c r="E1270" s="6" t="s">
        <v>5556</v>
      </c>
      <c r="F1270" s="6"/>
      <c r="G1270" s="6" t="s">
        <v>63</v>
      </c>
      <c r="H1270" s="6" t="str">
        <f>IFERROR(VLOOKUP(Table2[[#This Row],[Ticket]],Okey!A:B,2,0),"")</f>
        <v>ok</v>
      </c>
      <c r="I1270" s="6" t="s">
        <v>3679</v>
      </c>
      <c r="J1270" s="6" t="str">
        <f>VLOOKUP(Table2[[#This Row],[Author]],People!A:B,2,0)</f>
        <v>LS</v>
      </c>
      <c r="K1270" s="6"/>
      <c r="L1270" s="6"/>
      <c r="M1270" s="21" t="s">
        <v>2804</v>
      </c>
    </row>
    <row r="1271" spans="1:13" x14ac:dyDescent="0.25">
      <c r="A1271" s="23">
        <f t="shared" si="19"/>
        <v>1270</v>
      </c>
      <c r="B1271" s="7" t="s">
        <v>4851</v>
      </c>
      <c r="C1271" s="7" t="s">
        <v>5206</v>
      </c>
      <c r="D1271" s="7" t="s">
        <v>5557</v>
      </c>
      <c r="E1271" s="7" t="s">
        <v>5558</v>
      </c>
      <c r="F1271" s="7"/>
      <c r="G1271" s="7" t="s">
        <v>63</v>
      </c>
      <c r="H1271" s="7" t="str">
        <f>IFERROR(VLOOKUP(Table2[[#This Row],[Ticket]],Okey!A:B,2,0),"")</f>
        <v>ok</v>
      </c>
      <c r="I1271" s="7" t="s">
        <v>3679</v>
      </c>
      <c r="J1271" s="7" t="str">
        <f>VLOOKUP(Table2[[#This Row],[Author]],People!A:B,2,0)</f>
        <v>LS</v>
      </c>
      <c r="K1271" s="7"/>
      <c r="L1271" s="7"/>
      <c r="M1271" s="16" t="s">
        <v>2804</v>
      </c>
    </row>
    <row r="1272" spans="1:13" x14ac:dyDescent="0.25">
      <c r="A1272" s="22">
        <f t="shared" si="19"/>
        <v>1271</v>
      </c>
      <c r="B1272" s="6" t="s">
        <v>4851</v>
      </c>
      <c r="C1272" s="6" t="s">
        <v>5206</v>
      </c>
      <c r="D1272" s="6" t="s">
        <v>5559</v>
      </c>
      <c r="E1272" s="6" t="s">
        <v>5560</v>
      </c>
      <c r="F1272" s="6"/>
      <c r="G1272" s="6" t="s">
        <v>63</v>
      </c>
      <c r="H1272" s="6" t="str">
        <f>IFERROR(VLOOKUP(Table2[[#This Row],[Ticket]],Okey!A:B,2,0),"")</f>
        <v>ok</v>
      </c>
      <c r="I1272" s="6" t="s">
        <v>3679</v>
      </c>
      <c r="J1272" s="6" t="str">
        <f>VLOOKUP(Table2[[#This Row],[Author]],People!A:B,2,0)</f>
        <v>LS</v>
      </c>
      <c r="K1272" s="6"/>
      <c r="L1272" s="6"/>
      <c r="M1272" s="21" t="s">
        <v>2804</v>
      </c>
    </row>
    <row r="1273" spans="1:13" x14ac:dyDescent="0.25">
      <c r="A1273" s="23">
        <f t="shared" si="19"/>
        <v>1272</v>
      </c>
      <c r="B1273" s="7" t="s">
        <v>4851</v>
      </c>
      <c r="C1273" s="7" t="s">
        <v>5206</v>
      </c>
      <c r="D1273" s="7" t="s">
        <v>5561</v>
      </c>
      <c r="E1273" s="7" t="s">
        <v>5562</v>
      </c>
      <c r="F1273" s="7"/>
      <c r="G1273" s="7" t="s">
        <v>63</v>
      </c>
      <c r="H1273" s="7" t="str">
        <f>IFERROR(VLOOKUP(Table2[[#This Row],[Ticket]],Okey!A:B,2,0),"")</f>
        <v>ok</v>
      </c>
      <c r="I1273" s="7" t="s">
        <v>3679</v>
      </c>
      <c r="J1273" s="7" t="str">
        <f>VLOOKUP(Table2[[#This Row],[Author]],People!A:B,2,0)</f>
        <v>LS</v>
      </c>
      <c r="K1273" s="7"/>
      <c r="L1273" s="7"/>
      <c r="M1273" s="16" t="s">
        <v>2804</v>
      </c>
    </row>
    <row r="1274" spans="1:13" x14ac:dyDescent="0.25">
      <c r="A1274" s="22">
        <f t="shared" si="19"/>
        <v>1273</v>
      </c>
      <c r="B1274" s="6" t="s">
        <v>4851</v>
      </c>
      <c r="C1274" s="6" t="s">
        <v>5206</v>
      </c>
      <c r="D1274" s="6" t="s">
        <v>5563</v>
      </c>
      <c r="E1274" s="6" t="s">
        <v>5564</v>
      </c>
      <c r="F1274" s="6"/>
      <c r="G1274" s="6" t="s">
        <v>63</v>
      </c>
      <c r="H1274" s="6" t="str">
        <f>IFERROR(VLOOKUP(Table2[[#This Row],[Ticket]],Okey!A:B,2,0),"")</f>
        <v>ok</v>
      </c>
      <c r="I1274" s="6" t="s">
        <v>3679</v>
      </c>
      <c r="J1274" s="6" t="str">
        <f>VLOOKUP(Table2[[#This Row],[Author]],People!A:B,2,0)</f>
        <v>LS</v>
      </c>
      <c r="K1274" s="6"/>
      <c r="L1274" s="6"/>
      <c r="M1274" s="21" t="s">
        <v>2804</v>
      </c>
    </row>
    <row r="1275" spans="1:13" x14ac:dyDescent="0.25">
      <c r="A1275" s="23">
        <f t="shared" si="19"/>
        <v>1274</v>
      </c>
      <c r="B1275" s="7" t="s">
        <v>4851</v>
      </c>
      <c r="C1275" s="7" t="s">
        <v>5206</v>
      </c>
      <c r="D1275" s="7" t="s">
        <v>5565</v>
      </c>
      <c r="E1275" s="7" t="s">
        <v>5566</v>
      </c>
      <c r="F1275" s="7"/>
      <c r="G1275" s="7" t="s">
        <v>63</v>
      </c>
      <c r="H1275" s="7" t="str">
        <f>IFERROR(VLOOKUP(Table2[[#This Row],[Ticket]],Okey!A:B,2,0),"")</f>
        <v>ok</v>
      </c>
      <c r="I1275" s="7" t="s">
        <v>3679</v>
      </c>
      <c r="J1275" s="7" t="str">
        <f>VLOOKUP(Table2[[#This Row],[Author]],People!A:B,2,0)</f>
        <v>LS</v>
      </c>
      <c r="K1275" s="7"/>
      <c r="L1275" s="7"/>
      <c r="M1275" s="16" t="s">
        <v>2804</v>
      </c>
    </row>
    <row r="1276" spans="1:13" x14ac:dyDescent="0.25">
      <c r="A1276" s="22">
        <f t="shared" si="19"/>
        <v>1275</v>
      </c>
      <c r="B1276" s="6" t="s">
        <v>4851</v>
      </c>
      <c r="C1276" s="6" t="s">
        <v>5206</v>
      </c>
      <c r="D1276" s="6" t="s">
        <v>2791</v>
      </c>
      <c r="E1276" s="6" t="s">
        <v>5567</v>
      </c>
      <c r="F1276" s="6"/>
      <c r="G1276" s="6" t="s">
        <v>63</v>
      </c>
      <c r="H1276" s="6" t="str">
        <f>IFERROR(VLOOKUP(Table2[[#This Row],[Ticket]],Okey!A:B,2,0),"")</f>
        <v>ok</v>
      </c>
      <c r="I1276" s="6" t="s">
        <v>3679</v>
      </c>
      <c r="J1276" s="6" t="str">
        <f>VLOOKUP(Table2[[#This Row],[Author]],People!A:B,2,0)</f>
        <v>LS</v>
      </c>
      <c r="K1276" s="6"/>
      <c r="L1276" s="6"/>
      <c r="M1276" s="21" t="s">
        <v>2804</v>
      </c>
    </row>
    <row r="1277" spans="1:13" x14ac:dyDescent="0.25">
      <c r="A1277" s="23">
        <f t="shared" si="19"/>
        <v>1276</v>
      </c>
      <c r="B1277" s="7" t="s">
        <v>4851</v>
      </c>
      <c r="C1277" s="7" t="s">
        <v>5206</v>
      </c>
      <c r="D1277" s="7" t="s">
        <v>5568</v>
      </c>
      <c r="E1277" s="7" t="s">
        <v>5569</v>
      </c>
      <c r="F1277" s="7"/>
      <c r="G1277" s="7" t="s">
        <v>63</v>
      </c>
      <c r="H1277" s="7" t="str">
        <f>IFERROR(VLOOKUP(Table2[[#This Row],[Ticket]],Okey!A:B,2,0),"")</f>
        <v>ok</v>
      </c>
      <c r="I1277" s="7" t="s">
        <v>3679</v>
      </c>
      <c r="J1277" s="7" t="str">
        <f>VLOOKUP(Table2[[#This Row],[Author]],People!A:B,2,0)</f>
        <v>LS</v>
      </c>
      <c r="K1277" s="7"/>
      <c r="L1277" s="7"/>
      <c r="M1277" s="16" t="s">
        <v>2804</v>
      </c>
    </row>
    <row r="1278" spans="1:13" x14ac:dyDescent="0.25">
      <c r="A1278" s="22">
        <f t="shared" si="19"/>
        <v>1277</v>
      </c>
      <c r="B1278" s="6" t="s">
        <v>4851</v>
      </c>
      <c r="C1278" s="6" t="s">
        <v>5206</v>
      </c>
      <c r="D1278" s="6" t="s">
        <v>5570</v>
      </c>
      <c r="E1278" s="6" t="s">
        <v>5571</v>
      </c>
      <c r="F1278" s="6"/>
      <c r="G1278" s="6" t="s">
        <v>63</v>
      </c>
      <c r="H1278" s="6" t="str">
        <f>IFERROR(VLOOKUP(Table2[[#This Row],[Ticket]],Okey!A:B,2,0),"")</f>
        <v>ok</v>
      </c>
      <c r="I1278" s="6" t="s">
        <v>3679</v>
      </c>
      <c r="J1278" s="6" t="str">
        <f>VLOOKUP(Table2[[#This Row],[Author]],People!A:B,2,0)</f>
        <v>LS</v>
      </c>
      <c r="K1278" s="6"/>
      <c r="L1278" s="6"/>
      <c r="M1278" s="21" t="s">
        <v>2804</v>
      </c>
    </row>
    <row r="1279" spans="1:13" x14ac:dyDescent="0.25">
      <c r="A1279" s="23">
        <f t="shared" si="19"/>
        <v>1278</v>
      </c>
      <c r="B1279" s="7" t="s">
        <v>4851</v>
      </c>
      <c r="C1279" s="7" t="s">
        <v>5206</v>
      </c>
      <c r="D1279" s="7" t="s">
        <v>2236</v>
      </c>
      <c r="E1279" s="7" t="s">
        <v>5572</v>
      </c>
      <c r="F1279" s="7"/>
      <c r="G1279" s="7" t="s">
        <v>63</v>
      </c>
      <c r="H1279" s="7" t="str">
        <f>IFERROR(VLOOKUP(Table2[[#This Row],[Ticket]],Okey!A:B,2,0),"")</f>
        <v>ok</v>
      </c>
      <c r="I1279" s="7" t="s">
        <v>3679</v>
      </c>
      <c r="J1279" s="7" t="str">
        <f>VLOOKUP(Table2[[#This Row],[Author]],People!A:B,2,0)</f>
        <v>LS</v>
      </c>
      <c r="K1279" s="7"/>
      <c r="L1279" s="7"/>
      <c r="M1279" s="16" t="s">
        <v>2804</v>
      </c>
    </row>
    <row r="1280" spans="1:13" x14ac:dyDescent="0.25">
      <c r="A1280" s="22">
        <f t="shared" si="19"/>
        <v>1279</v>
      </c>
      <c r="B1280" s="6" t="s">
        <v>4851</v>
      </c>
      <c r="C1280" s="6" t="s">
        <v>5206</v>
      </c>
      <c r="D1280" s="6" t="s">
        <v>1942</v>
      </c>
      <c r="E1280" s="6" t="s">
        <v>5573</v>
      </c>
      <c r="F1280" s="6"/>
      <c r="G1280" s="6" t="s">
        <v>63</v>
      </c>
      <c r="H1280" s="6" t="str">
        <f>IFERROR(VLOOKUP(Table2[[#This Row],[Ticket]],Okey!A:B,2,0),"")</f>
        <v>ok</v>
      </c>
      <c r="I1280" s="6" t="s">
        <v>3679</v>
      </c>
      <c r="J1280" s="6" t="str">
        <f>VLOOKUP(Table2[[#This Row],[Author]],People!A:B,2,0)</f>
        <v>LS</v>
      </c>
      <c r="K1280" s="6"/>
      <c r="L1280" s="6"/>
      <c r="M1280" s="21" t="s">
        <v>2804</v>
      </c>
    </row>
    <row r="1281" spans="1:13" x14ac:dyDescent="0.25">
      <c r="A1281" s="23">
        <f t="shared" si="19"/>
        <v>1280</v>
      </c>
      <c r="B1281" s="7" t="s">
        <v>4851</v>
      </c>
      <c r="C1281" s="7" t="s">
        <v>5206</v>
      </c>
      <c r="D1281" s="7" t="s">
        <v>5574</v>
      </c>
      <c r="E1281" s="7" t="s">
        <v>5575</v>
      </c>
      <c r="F1281" s="7"/>
      <c r="G1281" s="7" t="s">
        <v>63</v>
      </c>
      <c r="H1281" s="7" t="str">
        <f>IFERROR(VLOOKUP(Table2[[#This Row],[Ticket]],Okey!A:B,2,0),"")</f>
        <v>ok</v>
      </c>
      <c r="I1281" s="7" t="s">
        <v>3679</v>
      </c>
      <c r="J1281" s="7" t="str">
        <f>VLOOKUP(Table2[[#This Row],[Author]],People!A:B,2,0)</f>
        <v>LS</v>
      </c>
      <c r="K1281" s="7"/>
      <c r="L1281" s="7"/>
      <c r="M1281" s="16" t="s">
        <v>2804</v>
      </c>
    </row>
    <row r="1282" spans="1:13" x14ac:dyDescent="0.25">
      <c r="A1282" s="22">
        <f t="shared" si="19"/>
        <v>1281</v>
      </c>
      <c r="B1282" s="6" t="s">
        <v>4851</v>
      </c>
      <c r="C1282" s="6" t="s">
        <v>5206</v>
      </c>
      <c r="D1282" s="6" t="s">
        <v>5576</v>
      </c>
      <c r="E1282" s="6" t="s">
        <v>5577</v>
      </c>
      <c r="F1282" s="6"/>
      <c r="G1282" s="6" t="s">
        <v>63</v>
      </c>
      <c r="H1282" s="6" t="str">
        <f>IFERROR(VLOOKUP(Table2[[#This Row],[Ticket]],Okey!A:B,2,0),"")</f>
        <v>ok</v>
      </c>
      <c r="I1282" s="6" t="s">
        <v>3679</v>
      </c>
      <c r="J1282" s="6" t="str">
        <f>VLOOKUP(Table2[[#This Row],[Author]],People!A:B,2,0)</f>
        <v>LS</v>
      </c>
      <c r="K1282" s="6"/>
      <c r="L1282" s="6"/>
      <c r="M1282" s="21" t="s">
        <v>2804</v>
      </c>
    </row>
    <row r="1283" spans="1:13" x14ac:dyDescent="0.25">
      <c r="A1283" s="23">
        <f t="shared" ref="A1283:A1346" si="20">1+A1282</f>
        <v>1282</v>
      </c>
      <c r="B1283" s="7" t="s">
        <v>4851</v>
      </c>
      <c r="C1283" s="7" t="s">
        <v>5206</v>
      </c>
      <c r="D1283" s="7" t="s">
        <v>2239</v>
      </c>
      <c r="E1283" s="7" t="s">
        <v>5578</v>
      </c>
      <c r="F1283" s="7"/>
      <c r="G1283" s="7" t="s">
        <v>63</v>
      </c>
      <c r="H1283" s="7" t="str">
        <f>IFERROR(VLOOKUP(Table2[[#This Row],[Ticket]],Okey!A:B,2,0),"")</f>
        <v>ok</v>
      </c>
      <c r="I1283" s="7" t="s">
        <v>3679</v>
      </c>
      <c r="J1283" s="7" t="str">
        <f>VLOOKUP(Table2[[#This Row],[Author]],People!A:B,2,0)</f>
        <v>LS</v>
      </c>
      <c r="K1283" s="7"/>
      <c r="L1283" s="7"/>
      <c r="M1283" s="16" t="s">
        <v>2804</v>
      </c>
    </row>
    <row r="1284" spans="1:13" x14ac:dyDescent="0.25">
      <c r="A1284" s="22">
        <f t="shared" si="20"/>
        <v>1283</v>
      </c>
      <c r="B1284" s="6" t="s">
        <v>4851</v>
      </c>
      <c r="C1284" s="6" t="s">
        <v>5206</v>
      </c>
      <c r="D1284" s="6" t="s">
        <v>1950</v>
      </c>
      <c r="E1284" s="6" t="s">
        <v>5579</v>
      </c>
      <c r="F1284" s="6"/>
      <c r="G1284" s="6" t="s">
        <v>63</v>
      </c>
      <c r="H1284" s="6" t="str">
        <f>IFERROR(VLOOKUP(Table2[[#This Row],[Ticket]],Okey!A:B,2,0),"")</f>
        <v>ok</v>
      </c>
      <c r="I1284" s="6" t="s">
        <v>3679</v>
      </c>
      <c r="J1284" s="6" t="str">
        <f>VLOOKUP(Table2[[#This Row],[Author]],People!A:B,2,0)</f>
        <v>LS</v>
      </c>
      <c r="K1284" s="6"/>
      <c r="L1284" s="6"/>
      <c r="M1284" s="21" t="s">
        <v>2804</v>
      </c>
    </row>
    <row r="1285" spans="1:13" x14ac:dyDescent="0.25">
      <c r="A1285" s="23">
        <f t="shared" si="20"/>
        <v>1284</v>
      </c>
      <c r="B1285" s="7" t="s">
        <v>4851</v>
      </c>
      <c r="C1285" s="7" t="s">
        <v>5206</v>
      </c>
      <c r="D1285" s="7" t="s">
        <v>5580</v>
      </c>
      <c r="E1285" s="7" t="s">
        <v>5581</v>
      </c>
      <c r="F1285" s="7"/>
      <c r="G1285" s="7" t="s">
        <v>63</v>
      </c>
      <c r="H1285" s="7" t="str">
        <f>IFERROR(VLOOKUP(Table2[[#This Row],[Ticket]],Okey!A:B,2,0),"")</f>
        <v>ok</v>
      </c>
      <c r="I1285" s="7" t="s">
        <v>3679</v>
      </c>
      <c r="J1285" s="7" t="str">
        <f>VLOOKUP(Table2[[#This Row],[Author]],People!A:B,2,0)</f>
        <v>LS</v>
      </c>
      <c r="K1285" s="7"/>
      <c r="L1285" s="7"/>
      <c r="M1285" s="16" t="s">
        <v>2804</v>
      </c>
    </row>
    <row r="1286" spans="1:13" x14ac:dyDescent="0.25">
      <c r="A1286" s="22">
        <f t="shared" si="20"/>
        <v>1285</v>
      </c>
      <c r="B1286" s="6" t="s">
        <v>4851</v>
      </c>
      <c r="C1286" s="6" t="s">
        <v>5206</v>
      </c>
      <c r="D1286" s="6" t="s">
        <v>5582</v>
      </c>
      <c r="E1286" s="6" t="s">
        <v>5583</v>
      </c>
      <c r="F1286" s="6"/>
      <c r="G1286" s="6" t="s">
        <v>63</v>
      </c>
      <c r="H1286" s="6" t="str">
        <f>IFERROR(VLOOKUP(Table2[[#This Row],[Ticket]],Okey!A:B,2,0),"")</f>
        <v>ok</v>
      </c>
      <c r="I1286" s="6" t="s">
        <v>3679</v>
      </c>
      <c r="J1286" s="6" t="str">
        <f>VLOOKUP(Table2[[#This Row],[Author]],People!A:B,2,0)</f>
        <v>LS</v>
      </c>
      <c r="K1286" s="6"/>
      <c r="L1286" s="6"/>
      <c r="M1286" s="21" t="s">
        <v>2804</v>
      </c>
    </row>
    <row r="1287" spans="1:13" x14ac:dyDescent="0.25">
      <c r="A1287" s="23">
        <f t="shared" si="20"/>
        <v>1286</v>
      </c>
      <c r="B1287" s="7" t="s">
        <v>4851</v>
      </c>
      <c r="C1287" s="7" t="s">
        <v>5206</v>
      </c>
      <c r="D1287" s="7" t="s">
        <v>5584</v>
      </c>
      <c r="E1287" s="7" t="s">
        <v>5585</v>
      </c>
      <c r="F1287" s="7"/>
      <c r="G1287" s="7" t="s">
        <v>63</v>
      </c>
      <c r="H1287" s="7" t="str">
        <f>IFERROR(VLOOKUP(Table2[[#This Row],[Ticket]],Okey!A:B,2,0),"")</f>
        <v>ok</v>
      </c>
      <c r="I1287" s="7" t="s">
        <v>3679</v>
      </c>
      <c r="J1287" s="7" t="str">
        <f>VLOOKUP(Table2[[#This Row],[Author]],People!A:B,2,0)</f>
        <v>LS</v>
      </c>
      <c r="K1287" s="7"/>
      <c r="L1287" s="7"/>
      <c r="M1287" s="16" t="s">
        <v>2804</v>
      </c>
    </row>
    <row r="1288" spans="1:13" x14ac:dyDescent="0.25">
      <c r="A1288" s="22">
        <f t="shared" si="20"/>
        <v>1287</v>
      </c>
      <c r="B1288" s="6" t="s">
        <v>4851</v>
      </c>
      <c r="C1288" s="6" t="s">
        <v>5206</v>
      </c>
      <c r="D1288" s="6" t="s">
        <v>2242</v>
      </c>
      <c r="E1288" s="6" t="s">
        <v>5586</v>
      </c>
      <c r="F1288" s="6"/>
      <c r="G1288" s="6" t="s">
        <v>63</v>
      </c>
      <c r="H1288" s="6" t="str">
        <f>IFERROR(VLOOKUP(Table2[[#This Row],[Ticket]],Okey!A:B,2,0),"")</f>
        <v>ok</v>
      </c>
      <c r="I1288" s="6" t="s">
        <v>3679</v>
      </c>
      <c r="J1288" s="6" t="str">
        <f>VLOOKUP(Table2[[#This Row],[Author]],People!A:B,2,0)</f>
        <v>LS</v>
      </c>
      <c r="K1288" s="6"/>
      <c r="L1288" s="6"/>
      <c r="M1288" s="21" t="s">
        <v>2804</v>
      </c>
    </row>
    <row r="1289" spans="1:13" x14ac:dyDescent="0.25">
      <c r="A1289" s="23">
        <f t="shared" si="20"/>
        <v>1288</v>
      </c>
      <c r="B1289" s="7" t="s">
        <v>4851</v>
      </c>
      <c r="C1289" s="7" t="s">
        <v>5206</v>
      </c>
      <c r="D1289" s="7" t="s">
        <v>2230</v>
      </c>
      <c r="E1289" s="7" t="s">
        <v>5587</v>
      </c>
      <c r="F1289" s="7"/>
      <c r="G1289" s="7" t="s">
        <v>63</v>
      </c>
      <c r="H1289" s="7" t="str">
        <f>IFERROR(VLOOKUP(Table2[[#This Row],[Ticket]],Okey!A:B,2,0),"")</f>
        <v>ok</v>
      </c>
      <c r="I1289" s="7" t="s">
        <v>3679</v>
      </c>
      <c r="J1289" s="7" t="str">
        <f>VLOOKUP(Table2[[#This Row],[Author]],People!A:B,2,0)</f>
        <v>LS</v>
      </c>
      <c r="K1289" s="7"/>
      <c r="L1289" s="7"/>
      <c r="M1289" s="16" t="s">
        <v>2804</v>
      </c>
    </row>
    <row r="1290" spans="1:13" x14ac:dyDescent="0.25">
      <c r="A1290" s="22">
        <f t="shared" si="20"/>
        <v>1289</v>
      </c>
      <c r="B1290" s="6" t="s">
        <v>4851</v>
      </c>
      <c r="C1290" s="6" t="s">
        <v>5206</v>
      </c>
      <c r="D1290" s="6" t="s">
        <v>5588</v>
      </c>
      <c r="E1290" s="6" t="s">
        <v>5589</v>
      </c>
      <c r="F1290" s="6"/>
      <c r="G1290" s="6" t="s">
        <v>63</v>
      </c>
      <c r="H1290" s="6" t="str">
        <f>IFERROR(VLOOKUP(Table2[[#This Row],[Ticket]],Okey!A:B,2,0),"")</f>
        <v>ok</v>
      </c>
      <c r="I1290" s="6" t="s">
        <v>3679</v>
      </c>
      <c r="J1290" s="6" t="str">
        <f>VLOOKUP(Table2[[#This Row],[Author]],People!A:B,2,0)</f>
        <v>LS</v>
      </c>
      <c r="K1290" s="6"/>
      <c r="L1290" s="6"/>
      <c r="M1290" s="21" t="s">
        <v>2804</v>
      </c>
    </row>
    <row r="1291" spans="1:13" x14ac:dyDescent="0.25">
      <c r="A1291" s="23">
        <f t="shared" si="20"/>
        <v>1290</v>
      </c>
      <c r="B1291" s="7" t="s">
        <v>4851</v>
      </c>
      <c r="C1291" s="7" t="s">
        <v>5206</v>
      </c>
      <c r="D1291" s="7" t="s">
        <v>1952</v>
      </c>
      <c r="E1291" s="7" t="s">
        <v>5590</v>
      </c>
      <c r="F1291" s="7"/>
      <c r="G1291" s="7" t="s">
        <v>63</v>
      </c>
      <c r="H1291" s="7" t="str">
        <f>IFERROR(VLOOKUP(Table2[[#This Row],[Ticket]],Okey!A:B,2,0),"")</f>
        <v>ok</v>
      </c>
      <c r="I1291" s="7" t="s">
        <v>3679</v>
      </c>
      <c r="J1291" s="7" t="str">
        <f>VLOOKUP(Table2[[#This Row],[Author]],People!A:B,2,0)</f>
        <v>LS</v>
      </c>
      <c r="K1291" s="7"/>
      <c r="L1291" s="7"/>
      <c r="M1291" s="16" t="s">
        <v>2804</v>
      </c>
    </row>
    <row r="1292" spans="1:13" x14ac:dyDescent="0.25">
      <c r="A1292" s="22">
        <f t="shared" si="20"/>
        <v>1291</v>
      </c>
      <c r="B1292" s="6" t="s">
        <v>4851</v>
      </c>
      <c r="C1292" s="6" t="s">
        <v>5206</v>
      </c>
      <c r="D1292" s="6" t="s">
        <v>5591</v>
      </c>
      <c r="E1292" s="6" t="s">
        <v>5592</v>
      </c>
      <c r="F1292" s="6"/>
      <c r="G1292" s="6" t="s">
        <v>63</v>
      </c>
      <c r="H1292" s="6" t="str">
        <f>IFERROR(VLOOKUP(Table2[[#This Row],[Ticket]],Okey!A:B,2,0),"")</f>
        <v>ok</v>
      </c>
      <c r="I1292" s="6" t="s">
        <v>3679</v>
      </c>
      <c r="J1292" s="6" t="str">
        <f>VLOOKUP(Table2[[#This Row],[Author]],People!A:B,2,0)</f>
        <v>LS</v>
      </c>
      <c r="K1292" s="6"/>
      <c r="L1292" s="6"/>
      <c r="M1292" s="21" t="s">
        <v>2804</v>
      </c>
    </row>
    <row r="1293" spans="1:13" x14ac:dyDescent="0.25">
      <c r="A1293" s="23">
        <f t="shared" si="20"/>
        <v>1292</v>
      </c>
      <c r="B1293" s="7" t="s">
        <v>4851</v>
      </c>
      <c r="C1293" s="7" t="s">
        <v>5206</v>
      </c>
      <c r="D1293" s="7" t="s">
        <v>5593</v>
      </c>
      <c r="E1293" s="7" t="s">
        <v>5594</v>
      </c>
      <c r="F1293" s="7"/>
      <c r="G1293" s="7" t="s">
        <v>63</v>
      </c>
      <c r="H1293" s="7" t="str">
        <f>IFERROR(VLOOKUP(Table2[[#This Row],[Ticket]],Okey!A:B,2,0),"")</f>
        <v>ok</v>
      </c>
      <c r="I1293" s="7" t="s">
        <v>3679</v>
      </c>
      <c r="J1293" s="7" t="str">
        <f>VLOOKUP(Table2[[#This Row],[Author]],People!A:B,2,0)</f>
        <v>LS</v>
      </c>
      <c r="K1293" s="7"/>
      <c r="L1293" s="7"/>
      <c r="M1293" s="16" t="s">
        <v>2804</v>
      </c>
    </row>
    <row r="1294" spans="1:13" x14ac:dyDescent="0.25">
      <c r="A1294" s="22">
        <f t="shared" si="20"/>
        <v>1293</v>
      </c>
      <c r="B1294" s="6" t="s">
        <v>4851</v>
      </c>
      <c r="C1294" s="6" t="s">
        <v>5206</v>
      </c>
      <c r="D1294" s="6" t="s">
        <v>5595</v>
      </c>
      <c r="E1294" s="6" t="s">
        <v>5596</v>
      </c>
      <c r="F1294" s="6"/>
      <c r="G1294" s="6" t="s">
        <v>63</v>
      </c>
      <c r="H1294" s="6" t="str">
        <f>IFERROR(VLOOKUP(Table2[[#This Row],[Ticket]],Okey!A:B,2,0),"")</f>
        <v>ok</v>
      </c>
      <c r="I1294" s="6" t="s">
        <v>3679</v>
      </c>
      <c r="J1294" s="6" t="str">
        <f>VLOOKUP(Table2[[#This Row],[Author]],People!A:B,2,0)</f>
        <v>LS</v>
      </c>
      <c r="K1294" s="6"/>
      <c r="L1294" s="6"/>
      <c r="M1294" s="21" t="s">
        <v>2804</v>
      </c>
    </row>
    <row r="1295" spans="1:13" x14ac:dyDescent="0.25">
      <c r="A1295" s="23">
        <f t="shared" si="20"/>
        <v>1294</v>
      </c>
      <c r="B1295" s="7" t="s">
        <v>4851</v>
      </c>
      <c r="C1295" s="7" t="s">
        <v>5206</v>
      </c>
      <c r="D1295" s="7" t="s">
        <v>5597</v>
      </c>
      <c r="E1295" s="7" t="s">
        <v>5597</v>
      </c>
      <c r="F1295" s="7"/>
      <c r="G1295" s="7" t="s">
        <v>63</v>
      </c>
      <c r="H1295" s="7" t="str">
        <f>IFERROR(VLOOKUP(Table2[[#This Row],[Ticket]],Okey!A:B,2,0),"")</f>
        <v>ok</v>
      </c>
      <c r="I1295" s="7" t="s">
        <v>3679</v>
      </c>
      <c r="J1295" s="7" t="str">
        <f>VLOOKUP(Table2[[#This Row],[Author]],People!A:B,2,0)</f>
        <v>LS</v>
      </c>
      <c r="K1295" s="7"/>
      <c r="L1295" s="7"/>
      <c r="M1295" s="16" t="s">
        <v>2804</v>
      </c>
    </row>
    <row r="1296" spans="1:13" x14ac:dyDescent="0.25">
      <c r="A1296" s="22">
        <f t="shared" si="20"/>
        <v>1295</v>
      </c>
      <c r="B1296" s="6" t="s">
        <v>4851</v>
      </c>
      <c r="C1296" s="6" t="s">
        <v>5206</v>
      </c>
      <c r="D1296" s="6" t="s">
        <v>5598</v>
      </c>
      <c r="E1296" s="6" t="s">
        <v>5599</v>
      </c>
      <c r="F1296" s="6"/>
      <c r="G1296" s="6" t="s">
        <v>63</v>
      </c>
      <c r="H1296" s="6" t="str">
        <f>IFERROR(VLOOKUP(Table2[[#This Row],[Ticket]],Okey!A:B,2,0),"")</f>
        <v>ok</v>
      </c>
      <c r="I1296" s="6" t="s">
        <v>3679</v>
      </c>
      <c r="J1296" s="6" t="str">
        <f>VLOOKUP(Table2[[#This Row],[Author]],People!A:B,2,0)</f>
        <v>LS</v>
      </c>
      <c r="K1296" s="6"/>
      <c r="L1296" s="6"/>
      <c r="M1296" s="21" t="s">
        <v>2804</v>
      </c>
    </row>
    <row r="1297" spans="1:13" x14ac:dyDescent="0.25">
      <c r="A1297" s="23">
        <f t="shared" si="20"/>
        <v>1296</v>
      </c>
      <c r="B1297" s="7" t="s">
        <v>4851</v>
      </c>
      <c r="C1297" s="7" t="s">
        <v>5206</v>
      </c>
      <c r="D1297" s="7" t="s">
        <v>5600</v>
      </c>
      <c r="E1297" s="7" t="s">
        <v>5601</v>
      </c>
      <c r="F1297" s="7"/>
      <c r="G1297" s="7" t="s">
        <v>63</v>
      </c>
      <c r="H1297" s="7" t="str">
        <f>IFERROR(VLOOKUP(Table2[[#This Row],[Ticket]],Okey!A:B,2,0),"")</f>
        <v>ok</v>
      </c>
      <c r="I1297" s="7" t="s">
        <v>3679</v>
      </c>
      <c r="J1297" s="7" t="str">
        <f>VLOOKUP(Table2[[#This Row],[Author]],People!A:B,2,0)</f>
        <v>LS</v>
      </c>
      <c r="K1297" s="7"/>
      <c r="L1297" s="7"/>
      <c r="M1297" s="16" t="s">
        <v>2804</v>
      </c>
    </row>
    <row r="1298" spans="1:13" x14ac:dyDescent="0.25">
      <c r="A1298" s="22">
        <f t="shared" si="20"/>
        <v>1297</v>
      </c>
      <c r="B1298" s="6" t="s">
        <v>4851</v>
      </c>
      <c r="C1298" s="6" t="s">
        <v>5206</v>
      </c>
      <c r="D1298" s="6" t="s">
        <v>5602</v>
      </c>
      <c r="E1298" s="6" t="s">
        <v>5603</v>
      </c>
      <c r="F1298" s="6"/>
      <c r="G1298" s="6" t="s">
        <v>63</v>
      </c>
      <c r="H1298" s="6" t="str">
        <f>IFERROR(VLOOKUP(Table2[[#This Row],[Ticket]],Okey!A:B,2,0),"")</f>
        <v>ok</v>
      </c>
      <c r="I1298" s="6" t="s">
        <v>3679</v>
      </c>
      <c r="J1298" s="6" t="str">
        <f>VLOOKUP(Table2[[#This Row],[Author]],People!A:B,2,0)</f>
        <v>LS</v>
      </c>
      <c r="K1298" s="6"/>
      <c r="L1298" s="6"/>
      <c r="M1298" s="21" t="s">
        <v>2804</v>
      </c>
    </row>
    <row r="1299" spans="1:13" x14ac:dyDescent="0.25">
      <c r="A1299" s="23">
        <f t="shared" si="20"/>
        <v>1298</v>
      </c>
      <c r="B1299" s="7" t="s">
        <v>4851</v>
      </c>
      <c r="C1299" s="7" t="s">
        <v>5206</v>
      </c>
      <c r="D1299" s="7" t="s">
        <v>5604</v>
      </c>
      <c r="E1299" s="7" t="s">
        <v>5605</v>
      </c>
      <c r="F1299" s="7"/>
      <c r="G1299" s="7" t="s">
        <v>63</v>
      </c>
      <c r="H1299" s="7" t="str">
        <f>IFERROR(VLOOKUP(Table2[[#This Row],[Ticket]],Okey!A:B,2,0),"")</f>
        <v>ok</v>
      </c>
      <c r="I1299" s="7" t="s">
        <v>3679</v>
      </c>
      <c r="J1299" s="7" t="str">
        <f>VLOOKUP(Table2[[#This Row],[Author]],People!A:B,2,0)</f>
        <v>EL</v>
      </c>
      <c r="K1299" s="7"/>
      <c r="L1299" s="7"/>
      <c r="M1299" s="16" t="s">
        <v>2804</v>
      </c>
    </row>
    <row r="1300" spans="1:13" x14ac:dyDescent="0.25">
      <c r="A1300" s="22">
        <f t="shared" si="20"/>
        <v>1299</v>
      </c>
      <c r="B1300" s="6" t="s">
        <v>4851</v>
      </c>
      <c r="C1300" s="6" t="s">
        <v>5206</v>
      </c>
      <c r="D1300" s="6" t="s">
        <v>5606</v>
      </c>
      <c r="E1300" s="6" t="s">
        <v>5607</v>
      </c>
      <c r="F1300" s="6"/>
      <c r="G1300" s="6" t="s">
        <v>63</v>
      </c>
      <c r="H1300" s="6" t="str">
        <f>IFERROR(VLOOKUP(Table2[[#This Row],[Ticket]],Okey!A:B,2,0),"")</f>
        <v>ok</v>
      </c>
      <c r="I1300" s="6" t="s">
        <v>3679</v>
      </c>
      <c r="J1300" s="6" t="str">
        <f>VLOOKUP(Table2[[#This Row],[Author]],People!A:B,2,0)</f>
        <v>EL</v>
      </c>
      <c r="K1300" s="6"/>
      <c r="L1300" s="6"/>
      <c r="M1300" s="21" t="s">
        <v>2804</v>
      </c>
    </row>
    <row r="1301" spans="1:13" x14ac:dyDescent="0.25">
      <c r="A1301" s="23">
        <f t="shared" si="20"/>
        <v>1300</v>
      </c>
      <c r="B1301" s="7" t="s">
        <v>4851</v>
      </c>
      <c r="C1301" s="7" t="s">
        <v>5206</v>
      </c>
      <c r="D1301" s="7" t="s">
        <v>1958</v>
      </c>
      <c r="E1301" s="7" t="s">
        <v>5608</v>
      </c>
      <c r="F1301" s="7"/>
      <c r="G1301" s="7" t="s">
        <v>63</v>
      </c>
      <c r="H1301" s="7" t="str">
        <f>IFERROR(VLOOKUP(Table2[[#This Row],[Ticket]],Okey!A:B,2,0),"")</f>
        <v>ok</v>
      </c>
      <c r="I1301" s="7" t="s">
        <v>3679</v>
      </c>
      <c r="J1301" s="7" t="str">
        <f>VLOOKUP(Table2[[#This Row],[Author]],People!A:B,2,0)</f>
        <v>EL</v>
      </c>
      <c r="K1301" s="7"/>
      <c r="L1301" s="7"/>
      <c r="M1301" s="16" t="s">
        <v>2804</v>
      </c>
    </row>
    <row r="1302" spans="1:13" x14ac:dyDescent="0.25">
      <c r="A1302" s="22">
        <f t="shared" si="20"/>
        <v>1301</v>
      </c>
      <c r="B1302" s="6" t="s">
        <v>4851</v>
      </c>
      <c r="C1302" s="6" t="s">
        <v>5206</v>
      </c>
      <c r="D1302" s="6" t="s">
        <v>2781</v>
      </c>
      <c r="E1302" s="6" t="s">
        <v>5609</v>
      </c>
      <c r="F1302" s="6"/>
      <c r="G1302" s="6" t="s">
        <v>63</v>
      </c>
      <c r="H1302" s="6" t="str">
        <f>IFERROR(VLOOKUP(Table2[[#This Row],[Ticket]],Okey!A:B,2,0),"")</f>
        <v>ok</v>
      </c>
      <c r="I1302" s="6" t="s">
        <v>3679</v>
      </c>
      <c r="J1302" s="6" t="str">
        <f>VLOOKUP(Table2[[#This Row],[Author]],People!A:B,2,0)</f>
        <v>EL</v>
      </c>
      <c r="K1302" s="6"/>
      <c r="L1302" s="6"/>
      <c r="M1302" s="21" t="s">
        <v>2804</v>
      </c>
    </row>
    <row r="1303" spans="1:13" x14ac:dyDescent="0.25">
      <c r="A1303" s="23">
        <f t="shared" si="20"/>
        <v>1302</v>
      </c>
      <c r="B1303" s="7" t="s">
        <v>4851</v>
      </c>
      <c r="C1303" s="7" t="s">
        <v>5206</v>
      </c>
      <c r="D1303" s="7" t="s">
        <v>2784</v>
      </c>
      <c r="E1303" s="7" t="s">
        <v>5610</v>
      </c>
      <c r="F1303" s="7"/>
      <c r="G1303" s="7" t="s">
        <v>63</v>
      </c>
      <c r="H1303" s="7" t="str">
        <f>IFERROR(VLOOKUP(Table2[[#This Row],[Ticket]],Okey!A:B,2,0),"")</f>
        <v>ok</v>
      </c>
      <c r="I1303" s="7" t="s">
        <v>3679</v>
      </c>
      <c r="J1303" s="7" t="str">
        <f>VLOOKUP(Table2[[#This Row],[Author]],People!A:B,2,0)</f>
        <v>EL</v>
      </c>
      <c r="K1303" s="7"/>
      <c r="L1303" s="7"/>
      <c r="M1303" s="16" t="s">
        <v>2804</v>
      </c>
    </row>
    <row r="1304" spans="1:13" x14ac:dyDescent="0.25">
      <c r="A1304" s="22">
        <f t="shared" si="20"/>
        <v>1303</v>
      </c>
      <c r="B1304" s="6" t="s">
        <v>4851</v>
      </c>
      <c r="C1304" s="6" t="s">
        <v>5206</v>
      </c>
      <c r="D1304" s="6" t="s">
        <v>2042</v>
      </c>
      <c r="E1304" s="6" t="s">
        <v>5611</v>
      </c>
      <c r="F1304" s="6"/>
      <c r="G1304" s="6" t="s">
        <v>63</v>
      </c>
      <c r="H1304" s="6" t="str">
        <f>IFERROR(VLOOKUP(Table2[[#This Row],[Ticket]],Okey!A:B,2,0),"")</f>
        <v>ok</v>
      </c>
      <c r="I1304" s="6" t="s">
        <v>3679</v>
      </c>
      <c r="J1304" s="6" t="str">
        <f>VLOOKUP(Table2[[#This Row],[Author]],People!A:B,2,0)</f>
        <v>EL</v>
      </c>
      <c r="K1304" s="6"/>
      <c r="L1304" s="6"/>
      <c r="M1304" s="21" t="s">
        <v>2804</v>
      </c>
    </row>
    <row r="1305" spans="1:13" x14ac:dyDescent="0.25">
      <c r="A1305" s="23">
        <f t="shared" si="20"/>
        <v>1304</v>
      </c>
      <c r="B1305" s="7" t="s">
        <v>4851</v>
      </c>
      <c r="C1305" s="7" t="s">
        <v>5206</v>
      </c>
      <c r="D1305" s="7" t="s">
        <v>2787</v>
      </c>
      <c r="E1305" s="7" t="s">
        <v>5612</v>
      </c>
      <c r="F1305" s="7"/>
      <c r="G1305" s="7" t="s">
        <v>63</v>
      </c>
      <c r="H1305" s="7" t="str">
        <f>IFERROR(VLOOKUP(Table2[[#This Row],[Ticket]],Okey!A:B,2,0),"")</f>
        <v>ok</v>
      </c>
      <c r="I1305" s="7" t="s">
        <v>3679</v>
      </c>
      <c r="J1305" s="7" t="str">
        <f>VLOOKUP(Table2[[#This Row],[Author]],People!A:B,2,0)</f>
        <v>EL</v>
      </c>
      <c r="K1305" s="7"/>
      <c r="L1305" s="7"/>
      <c r="M1305" s="16" t="s">
        <v>2804</v>
      </c>
    </row>
    <row r="1306" spans="1:13" x14ac:dyDescent="0.25">
      <c r="A1306" s="22">
        <f t="shared" si="20"/>
        <v>1305</v>
      </c>
      <c r="B1306" s="6" t="s">
        <v>4851</v>
      </c>
      <c r="C1306" s="6" t="s">
        <v>5206</v>
      </c>
      <c r="D1306" s="6" t="s">
        <v>1966</v>
      </c>
      <c r="E1306" s="6" t="s">
        <v>5613</v>
      </c>
      <c r="F1306" s="6"/>
      <c r="G1306" s="6" t="s">
        <v>63</v>
      </c>
      <c r="H1306" s="6" t="str">
        <f>IFERROR(VLOOKUP(Table2[[#This Row],[Ticket]],Okey!A:B,2,0),"")</f>
        <v>ok</v>
      </c>
      <c r="I1306" s="6" t="s">
        <v>3679</v>
      </c>
      <c r="J1306" s="6" t="str">
        <f>VLOOKUP(Table2[[#This Row],[Author]],People!A:B,2,0)</f>
        <v>EL</v>
      </c>
      <c r="K1306" s="6"/>
      <c r="L1306" s="6"/>
      <c r="M1306" s="21" t="s">
        <v>2804</v>
      </c>
    </row>
    <row r="1307" spans="1:13" x14ac:dyDescent="0.25">
      <c r="A1307" s="23">
        <f t="shared" si="20"/>
        <v>1306</v>
      </c>
      <c r="B1307" s="7" t="s">
        <v>4851</v>
      </c>
      <c r="C1307" s="7" t="s">
        <v>5206</v>
      </c>
      <c r="D1307" s="7" t="s">
        <v>2833</v>
      </c>
      <c r="E1307" s="7" t="s">
        <v>5614</v>
      </c>
      <c r="F1307" s="7" t="s">
        <v>2831</v>
      </c>
      <c r="G1307" s="7" t="s">
        <v>496</v>
      </c>
      <c r="H1307" s="7" t="str">
        <f>IFERROR(VLOOKUP(Table2[[#This Row],[Ticket]],Okey!A:B,2,0),"")</f>
        <v>ok</v>
      </c>
      <c r="I1307" s="7" t="s">
        <v>3679</v>
      </c>
      <c r="J1307" s="7" t="str">
        <f>VLOOKUP(Table2[[#This Row],[Author]],People!A:B,2,0)</f>
        <v>EL</v>
      </c>
      <c r="K1307" s="7"/>
      <c r="L1307" s="7"/>
      <c r="M1307" s="16" t="s">
        <v>2804</v>
      </c>
    </row>
    <row r="1308" spans="1:13" x14ac:dyDescent="0.25">
      <c r="A1308" s="22">
        <f t="shared" si="20"/>
        <v>1307</v>
      </c>
      <c r="B1308" s="6" t="s">
        <v>4851</v>
      </c>
      <c r="C1308" s="6" t="s">
        <v>5206</v>
      </c>
      <c r="D1308" s="6" t="s">
        <v>2873</v>
      </c>
      <c r="E1308" s="6" t="s">
        <v>5615</v>
      </c>
      <c r="F1308" s="6" t="s">
        <v>2831</v>
      </c>
      <c r="G1308" s="6" t="s">
        <v>496</v>
      </c>
      <c r="H1308" s="6" t="str">
        <f>IFERROR(VLOOKUP(Table2[[#This Row],[Ticket]],Okey!A:B,2,0),"")</f>
        <v>ok</v>
      </c>
      <c r="I1308" s="6" t="s">
        <v>3679</v>
      </c>
      <c r="J1308" s="6" t="str">
        <f>VLOOKUP(Table2[[#This Row],[Author]],People!A:B,2,0)</f>
        <v>EL</v>
      </c>
      <c r="K1308" s="6"/>
      <c r="L1308" s="6"/>
      <c r="M1308" s="21" t="s">
        <v>2804</v>
      </c>
    </row>
    <row r="1309" spans="1:13" x14ac:dyDescent="0.25">
      <c r="A1309" s="23">
        <f t="shared" si="20"/>
        <v>1308</v>
      </c>
      <c r="B1309" s="7" t="s">
        <v>4851</v>
      </c>
      <c r="C1309" s="7" t="s">
        <v>5206</v>
      </c>
      <c r="D1309" s="7" t="s">
        <v>2875</v>
      </c>
      <c r="E1309" s="7" t="s">
        <v>5616</v>
      </c>
      <c r="F1309" s="7" t="s">
        <v>2831</v>
      </c>
      <c r="G1309" s="7" t="s">
        <v>496</v>
      </c>
      <c r="H1309" s="7" t="str">
        <f>IFERROR(VLOOKUP(Table2[[#This Row],[Ticket]],Okey!A:B,2,0),"")</f>
        <v>ok</v>
      </c>
      <c r="I1309" s="7" t="s">
        <v>3679</v>
      </c>
      <c r="J1309" s="7" t="str">
        <f>VLOOKUP(Table2[[#This Row],[Author]],People!A:B,2,0)</f>
        <v>EL</v>
      </c>
      <c r="K1309" s="7"/>
      <c r="L1309" s="7"/>
      <c r="M1309" s="16" t="s">
        <v>2804</v>
      </c>
    </row>
    <row r="1310" spans="1:13" x14ac:dyDescent="0.25">
      <c r="A1310" s="22">
        <f t="shared" si="20"/>
        <v>1309</v>
      </c>
      <c r="B1310" s="6" t="s">
        <v>4851</v>
      </c>
      <c r="C1310" s="6" t="s">
        <v>5206</v>
      </c>
      <c r="D1310" s="6" t="s">
        <v>2877</v>
      </c>
      <c r="E1310" s="6" t="s">
        <v>5617</v>
      </c>
      <c r="F1310" s="6" t="s">
        <v>2831</v>
      </c>
      <c r="G1310" s="6" t="s">
        <v>496</v>
      </c>
      <c r="H1310" s="6" t="str">
        <f>IFERROR(VLOOKUP(Table2[[#This Row],[Ticket]],Okey!A:B,2,0),"")</f>
        <v>ok</v>
      </c>
      <c r="I1310" s="6" t="s">
        <v>3679</v>
      </c>
      <c r="J1310" s="6" t="str">
        <f>VLOOKUP(Table2[[#This Row],[Author]],People!A:B,2,0)</f>
        <v>EL</v>
      </c>
      <c r="K1310" s="6"/>
      <c r="L1310" s="6"/>
      <c r="M1310" s="21" t="s">
        <v>2804</v>
      </c>
    </row>
    <row r="1311" spans="1:13" x14ac:dyDescent="0.25">
      <c r="A1311" s="23">
        <f t="shared" si="20"/>
        <v>1310</v>
      </c>
      <c r="B1311" s="7" t="s">
        <v>4851</v>
      </c>
      <c r="C1311" s="7" t="s">
        <v>5206</v>
      </c>
      <c r="D1311" s="7" t="s">
        <v>2879</v>
      </c>
      <c r="E1311" s="7" t="s">
        <v>5618</v>
      </c>
      <c r="F1311" s="7" t="s">
        <v>2831</v>
      </c>
      <c r="G1311" s="7" t="s">
        <v>496</v>
      </c>
      <c r="H1311" s="7" t="str">
        <f>IFERROR(VLOOKUP(Table2[[#This Row],[Ticket]],Okey!A:B,2,0),"")</f>
        <v>ok</v>
      </c>
      <c r="I1311" s="7" t="s">
        <v>3679</v>
      </c>
      <c r="J1311" s="7" t="str">
        <f>VLOOKUP(Table2[[#This Row],[Author]],People!A:B,2,0)</f>
        <v>EL</v>
      </c>
      <c r="K1311" s="7"/>
      <c r="L1311" s="7"/>
      <c r="M1311" s="16" t="s">
        <v>2804</v>
      </c>
    </row>
    <row r="1312" spans="1:13" x14ac:dyDescent="0.25">
      <c r="A1312" s="22">
        <f t="shared" si="20"/>
        <v>1311</v>
      </c>
      <c r="B1312" s="6" t="s">
        <v>4851</v>
      </c>
      <c r="C1312" s="6" t="s">
        <v>5206</v>
      </c>
      <c r="D1312" s="6" t="s">
        <v>2881</v>
      </c>
      <c r="E1312" s="6" t="s">
        <v>5619</v>
      </c>
      <c r="F1312" s="6" t="s">
        <v>2831</v>
      </c>
      <c r="G1312" s="6" t="s">
        <v>496</v>
      </c>
      <c r="H1312" s="6" t="str">
        <f>IFERROR(VLOOKUP(Table2[[#This Row],[Ticket]],Okey!A:B,2,0),"")</f>
        <v>ok</v>
      </c>
      <c r="I1312" s="6" t="s">
        <v>3679</v>
      </c>
      <c r="J1312" s="6" t="str">
        <f>VLOOKUP(Table2[[#This Row],[Author]],People!A:B,2,0)</f>
        <v>EL</v>
      </c>
      <c r="K1312" s="6"/>
      <c r="L1312" s="6"/>
      <c r="M1312" s="21" t="s">
        <v>2804</v>
      </c>
    </row>
    <row r="1313" spans="1:13" x14ac:dyDescent="0.25">
      <c r="A1313" s="23">
        <f t="shared" si="20"/>
        <v>1312</v>
      </c>
      <c r="B1313" s="7" t="s">
        <v>4851</v>
      </c>
      <c r="C1313" s="7" t="s">
        <v>5206</v>
      </c>
      <c r="D1313" s="7" t="s">
        <v>2883</v>
      </c>
      <c r="E1313" s="7" t="s">
        <v>5620</v>
      </c>
      <c r="F1313" s="7" t="s">
        <v>2831</v>
      </c>
      <c r="G1313" s="7" t="s">
        <v>496</v>
      </c>
      <c r="H1313" s="7" t="str">
        <f>IFERROR(VLOOKUP(Table2[[#This Row],[Ticket]],Okey!A:B,2,0),"")</f>
        <v>ok</v>
      </c>
      <c r="I1313" s="7" t="s">
        <v>3679</v>
      </c>
      <c r="J1313" s="7" t="str">
        <f>VLOOKUP(Table2[[#This Row],[Author]],People!A:B,2,0)</f>
        <v>EL</v>
      </c>
      <c r="K1313" s="7"/>
      <c r="L1313" s="7"/>
      <c r="M1313" s="16" t="s">
        <v>2804</v>
      </c>
    </row>
    <row r="1314" spans="1:13" x14ac:dyDescent="0.25">
      <c r="A1314" s="22">
        <f t="shared" si="20"/>
        <v>1313</v>
      </c>
      <c r="B1314" s="6" t="s">
        <v>4851</v>
      </c>
      <c r="C1314" s="6" t="s">
        <v>5206</v>
      </c>
      <c r="D1314" s="6" t="s">
        <v>2885</v>
      </c>
      <c r="E1314" s="6" t="s">
        <v>5621</v>
      </c>
      <c r="F1314" s="6" t="s">
        <v>2831</v>
      </c>
      <c r="G1314" s="6" t="s">
        <v>496</v>
      </c>
      <c r="H1314" s="6" t="str">
        <f>IFERROR(VLOOKUP(Table2[[#This Row],[Ticket]],Okey!A:B,2,0),"")</f>
        <v>ok</v>
      </c>
      <c r="I1314" s="6" t="s">
        <v>3679</v>
      </c>
      <c r="J1314" s="6" t="str">
        <f>VLOOKUP(Table2[[#This Row],[Author]],People!A:B,2,0)</f>
        <v>EL</v>
      </c>
      <c r="K1314" s="6"/>
      <c r="L1314" s="6"/>
      <c r="M1314" s="21" t="s">
        <v>2804</v>
      </c>
    </row>
    <row r="1315" spans="1:13" x14ac:dyDescent="0.25">
      <c r="A1315" s="23">
        <f t="shared" si="20"/>
        <v>1314</v>
      </c>
      <c r="B1315" s="7" t="s">
        <v>4851</v>
      </c>
      <c r="C1315" s="7" t="s">
        <v>5206</v>
      </c>
      <c r="D1315" s="7" t="s">
        <v>2887</v>
      </c>
      <c r="E1315" s="7" t="s">
        <v>5622</v>
      </c>
      <c r="F1315" s="7" t="s">
        <v>2831</v>
      </c>
      <c r="G1315" s="7" t="s">
        <v>496</v>
      </c>
      <c r="H1315" s="7" t="str">
        <f>IFERROR(VLOOKUP(Table2[[#This Row],[Ticket]],Okey!A:B,2,0),"")</f>
        <v>ok</v>
      </c>
      <c r="I1315" s="7" t="s">
        <v>3679</v>
      </c>
      <c r="J1315" s="7" t="str">
        <f>VLOOKUP(Table2[[#This Row],[Author]],People!A:B,2,0)</f>
        <v>EL</v>
      </c>
      <c r="K1315" s="7"/>
      <c r="L1315" s="7"/>
      <c r="M1315" s="16" t="s">
        <v>2804</v>
      </c>
    </row>
    <row r="1316" spans="1:13" x14ac:dyDescent="0.25">
      <c r="A1316" s="22">
        <f t="shared" si="20"/>
        <v>1315</v>
      </c>
      <c r="B1316" s="6" t="s">
        <v>4851</v>
      </c>
      <c r="C1316" s="6" t="s">
        <v>5206</v>
      </c>
      <c r="D1316" s="6" t="s">
        <v>2893</v>
      </c>
      <c r="E1316" s="6" t="s">
        <v>5623</v>
      </c>
      <c r="F1316" s="6" t="s">
        <v>2831</v>
      </c>
      <c r="G1316" s="6" t="s">
        <v>496</v>
      </c>
      <c r="H1316" s="6" t="str">
        <f>IFERROR(VLOOKUP(Table2[[#This Row],[Ticket]],Okey!A:B,2,0),"")</f>
        <v>ok</v>
      </c>
      <c r="I1316" s="6" t="s">
        <v>3679</v>
      </c>
      <c r="J1316" s="6" t="str">
        <f>VLOOKUP(Table2[[#This Row],[Author]],People!A:B,2,0)</f>
        <v>EL</v>
      </c>
      <c r="K1316" s="6"/>
      <c r="L1316" s="6"/>
      <c r="M1316" s="21" t="s">
        <v>2804</v>
      </c>
    </row>
    <row r="1317" spans="1:13" x14ac:dyDescent="0.25">
      <c r="A1317" s="23">
        <f t="shared" si="20"/>
        <v>1316</v>
      </c>
      <c r="B1317" s="7" t="s">
        <v>4851</v>
      </c>
      <c r="C1317" s="7" t="s">
        <v>5206</v>
      </c>
      <c r="D1317" s="7" t="s">
        <v>2895</v>
      </c>
      <c r="E1317" s="7" t="s">
        <v>5624</v>
      </c>
      <c r="F1317" s="7" t="s">
        <v>2831</v>
      </c>
      <c r="G1317" s="7" t="s">
        <v>496</v>
      </c>
      <c r="H1317" s="7" t="str">
        <f>IFERROR(VLOOKUP(Table2[[#This Row],[Ticket]],Okey!A:B,2,0),"")</f>
        <v>ok</v>
      </c>
      <c r="I1317" s="7" t="s">
        <v>3679</v>
      </c>
      <c r="J1317" s="7" t="str">
        <f>VLOOKUP(Table2[[#This Row],[Author]],People!A:B,2,0)</f>
        <v>EL</v>
      </c>
      <c r="K1317" s="7"/>
      <c r="L1317" s="7"/>
      <c r="M1317" s="16" t="s">
        <v>2804</v>
      </c>
    </row>
    <row r="1318" spans="1:13" x14ac:dyDescent="0.25">
      <c r="A1318" s="22">
        <f t="shared" si="20"/>
        <v>1317</v>
      </c>
      <c r="B1318" s="6" t="s">
        <v>4851</v>
      </c>
      <c r="C1318" s="6" t="s">
        <v>5206</v>
      </c>
      <c r="D1318" s="6" t="s">
        <v>2902</v>
      </c>
      <c r="E1318" s="6" t="s">
        <v>5625</v>
      </c>
      <c r="F1318" s="6" t="s">
        <v>2900</v>
      </c>
      <c r="G1318" s="6" t="s">
        <v>496</v>
      </c>
      <c r="H1318" s="6" t="str">
        <f>IFERROR(VLOOKUP(Table2[[#This Row],[Ticket]],Okey!A:B,2,0),"")</f>
        <v>ok</v>
      </c>
      <c r="I1318" s="6" t="s">
        <v>3679</v>
      </c>
      <c r="J1318" s="6" t="str">
        <f>VLOOKUP(Table2[[#This Row],[Author]],People!A:B,2,0)</f>
        <v>EL</v>
      </c>
      <c r="K1318" s="6"/>
      <c r="L1318" s="6"/>
      <c r="M1318" s="21" t="s">
        <v>2804</v>
      </c>
    </row>
    <row r="1319" spans="1:13" x14ac:dyDescent="0.25">
      <c r="A1319" s="23">
        <f t="shared" si="20"/>
        <v>1318</v>
      </c>
      <c r="B1319" s="7" t="s">
        <v>4851</v>
      </c>
      <c r="C1319" s="7" t="s">
        <v>5206</v>
      </c>
      <c r="D1319" s="7" t="s">
        <v>2904</v>
      </c>
      <c r="E1319" s="7" t="s">
        <v>5626</v>
      </c>
      <c r="F1319" s="7" t="s">
        <v>2900</v>
      </c>
      <c r="G1319" s="7" t="s">
        <v>496</v>
      </c>
      <c r="H1319" s="7" t="str">
        <f>IFERROR(VLOOKUP(Table2[[#This Row],[Ticket]],Okey!A:B,2,0),"")</f>
        <v>ok</v>
      </c>
      <c r="I1319" s="7" t="s">
        <v>3679</v>
      </c>
      <c r="J1319" s="7" t="str">
        <f>VLOOKUP(Table2[[#This Row],[Author]],People!A:B,2,0)</f>
        <v>EL</v>
      </c>
      <c r="K1319" s="7"/>
      <c r="L1319" s="7"/>
      <c r="M1319" s="16" t="s">
        <v>2804</v>
      </c>
    </row>
    <row r="1320" spans="1:13" x14ac:dyDescent="0.25">
      <c r="A1320" s="22">
        <f t="shared" si="20"/>
        <v>1319</v>
      </c>
      <c r="B1320" s="6" t="s">
        <v>4851</v>
      </c>
      <c r="C1320" s="6" t="s">
        <v>5206</v>
      </c>
      <c r="D1320" s="6" t="s">
        <v>2906</v>
      </c>
      <c r="E1320" s="6" t="s">
        <v>5627</v>
      </c>
      <c r="F1320" s="6" t="s">
        <v>2900</v>
      </c>
      <c r="G1320" s="6" t="s">
        <v>496</v>
      </c>
      <c r="H1320" s="6" t="str">
        <f>IFERROR(VLOOKUP(Table2[[#This Row],[Ticket]],Okey!A:B,2,0),"")</f>
        <v>ok</v>
      </c>
      <c r="I1320" s="6" t="s">
        <v>3679</v>
      </c>
      <c r="J1320" s="6" t="str">
        <f>VLOOKUP(Table2[[#This Row],[Author]],People!A:B,2,0)</f>
        <v>EL</v>
      </c>
      <c r="K1320" s="6"/>
      <c r="L1320" s="6"/>
      <c r="M1320" s="21" t="s">
        <v>2804</v>
      </c>
    </row>
    <row r="1321" spans="1:13" x14ac:dyDescent="0.25">
      <c r="A1321" s="23">
        <f t="shared" si="20"/>
        <v>1320</v>
      </c>
      <c r="B1321" s="7" t="s">
        <v>4851</v>
      </c>
      <c r="C1321" s="7" t="s">
        <v>5206</v>
      </c>
      <c r="D1321" s="7" t="s">
        <v>2908</v>
      </c>
      <c r="E1321" s="7" t="s">
        <v>5628</v>
      </c>
      <c r="F1321" s="7" t="s">
        <v>2900</v>
      </c>
      <c r="G1321" s="7" t="s">
        <v>496</v>
      </c>
      <c r="H1321" s="7" t="str">
        <f>IFERROR(VLOOKUP(Table2[[#This Row],[Ticket]],Okey!A:B,2,0),"")</f>
        <v>ok</v>
      </c>
      <c r="I1321" s="7" t="s">
        <v>3679</v>
      </c>
      <c r="J1321" s="7" t="str">
        <f>VLOOKUP(Table2[[#This Row],[Author]],People!A:B,2,0)</f>
        <v>EL</v>
      </c>
      <c r="K1321" s="7"/>
      <c r="L1321" s="7"/>
      <c r="M1321" s="16" t="s">
        <v>2804</v>
      </c>
    </row>
    <row r="1322" spans="1:13" x14ac:dyDescent="0.25">
      <c r="A1322" s="22">
        <f t="shared" si="20"/>
        <v>1321</v>
      </c>
      <c r="B1322" s="6" t="s">
        <v>4851</v>
      </c>
      <c r="C1322" s="6" t="s">
        <v>5206</v>
      </c>
      <c r="D1322" s="6" t="s">
        <v>2910</v>
      </c>
      <c r="E1322" s="6" t="s">
        <v>5629</v>
      </c>
      <c r="F1322" s="6" t="s">
        <v>2900</v>
      </c>
      <c r="G1322" s="6" t="s">
        <v>496</v>
      </c>
      <c r="H1322" s="6" t="str">
        <f>IFERROR(VLOOKUP(Table2[[#This Row],[Ticket]],Okey!A:B,2,0),"")</f>
        <v>ok</v>
      </c>
      <c r="I1322" s="6" t="s">
        <v>3679</v>
      </c>
      <c r="J1322" s="6" t="str">
        <f>VLOOKUP(Table2[[#This Row],[Author]],People!A:B,2,0)</f>
        <v>EL</v>
      </c>
      <c r="K1322" s="6"/>
      <c r="L1322" s="6"/>
      <c r="M1322" s="21" t="s">
        <v>2804</v>
      </c>
    </row>
    <row r="1323" spans="1:13" x14ac:dyDescent="0.25">
      <c r="A1323" s="23">
        <f t="shared" si="20"/>
        <v>1322</v>
      </c>
      <c r="B1323" s="7" t="s">
        <v>4851</v>
      </c>
      <c r="C1323" s="7" t="s">
        <v>5206</v>
      </c>
      <c r="D1323" s="7" t="s">
        <v>2912</v>
      </c>
      <c r="E1323" s="7" t="s">
        <v>5630</v>
      </c>
      <c r="F1323" s="7" t="s">
        <v>2900</v>
      </c>
      <c r="G1323" s="7" t="s">
        <v>496</v>
      </c>
      <c r="H1323" s="7" t="str">
        <f>IFERROR(VLOOKUP(Table2[[#This Row],[Ticket]],Okey!A:B,2,0),"")</f>
        <v>ok</v>
      </c>
      <c r="I1323" s="7" t="s">
        <v>3679</v>
      </c>
      <c r="J1323" s="7" t="str">
        <f>VLOOKUP(Table2[[#This Row],[Author]],People!A:B,2,0)</f>
        <v>EL</v>
      </c>
      <c r="K1323" s="7"/>
      <c r="L1323" s="7"/>
      <c r="M1323" s="16" t="s">
        <v>2804</v>
      </c>
    </row>
    <row r="1324" spans="1:13" x14ac:dyDescent="0.25">
      <c r="A1324" s="22">
        <f t="shared" si="20"/>
        <v>1323</v>
      </c>
      <c r="B1324" s="6" t="s">
        <v>4851</v>
      </c>
      <c r="C1324" s="6" t="s">
        <v>5206</v>
      </c>
      <c r="D1324" s="6" t="s">
        <v>2914</v>
      </c>
      <c r="E1324" s="6" t="s">
        <v>5631</v>
      </c>
      <c r="F1324" s="6" t="s">
        <v>2900</v>
      </c>
      <c r="G1324" s="6" t="s">
        <v>496</v>
      </c>
      <c r="H1324" s="6" t="str">
        <f>IFERROR(VLOOKUP(Table2[[#This Row],[Ticket]],Okey!A:B,2,0),"")</f>
        <v>ok</v>
      </c>
      <c r="I1324" s="6" t="s">
        <v>3679</v>
      </c>
      <c r="J1324" s="6" t="str">
        <f>VLOOKUP(Table2[[#This Row],[Author]],People!A:B,2,0)</f>
        <v>EL</v>
      </c>
      <c r="K1324" s="6"/>
      <c r="L1324" s="6"/>
      <c r="M1324" s="21" t="s">
        <v>2804</v>
      </c>
    </row>
    <row r="1325" spans="1:13" x14ac:dyDescent="0.25">
      <c r="A1325" s="23">
        <f t="shared" si="20"/>
        <v>1324</v>
      </c>
      <c r="B1325" s="7" t="s">
        <v>4851</v>
      </c>
      <c r="C1325" s="7" t="s">
        <v>5206</v>
      </c>
      <c r="D1325" s="7" t="s">
        <v>2916</v>
      </c>
      <c r="E1325" s="7" t="s">
        <v>5632</v>
      </c>
      <c r="F1325" s="7" t="s">
        <v>2900</v>
      </c>
      <c r="G1325" s="7" t="s">
        <v>496</v>
      </c>
      <c r="H1325" s="7" t="str">
        <f>IFERROR(VLOOKUP(Table2[[#This Row],[Ticket]],Okey!A:B,2,0),"")</f>
        <v>ok</v>
      </c>
      <c r="I1325" s="7" t="s">
        <v>3679</v>
      </c>
      <c r="J1325" s="7" t="str">
        <f>VLOOKUP(Table2[[#This Row],[Author]],People!A:B,2,0)</f>
        <v>EL</v>
      </c>
      <c r="K1325" s="7"/>
      <c r="L1325" s="7"/>
      <c r="M1325" s="16" t="s">
        <v>2804</v>
      </c>
    </row>
    <row r="1326" spans="1:13" x14ac:dyDescent="0.25">
      <c r="A1326" s="22">
        <f t="shared" si="20"/>
        <v>1325</v>
      </c>
      <c r="B1326" s="6" t="s">
        <v>4851</v>
      </c>
      <c r="C1326" s="6" t="s">
        <v>5206</v>
      </c>
      <c r="D1326" s="6" t="s">
        <v>2918</v>
      </c>
      <c r="E1326" s="6" t="s">
        <v>5633</v>
      </c>
      <c r="F1326" s="6" t="s">
        <v>2900</v>
      </c>
      <c r="G1326" s="6" t="s">
        <v>496</v>
      </c>
      <c r="H1326" s="6" t="str">
        <f>IFERROR(VLOOKUP(Table2[[#This Row],[Ticket]],Okey!A:B,2,0),"")</f>
        <v>ok</v>
      </c>
      <c r="I1326" s="6" t="s">
        <v>3679</v>
      </c>
      <c r="J1326" s="6" t="str">
        <f>VLOOKUP(Table2[[#This Row],[Author]],People!A:B,2,0)</f>
        <v>EL</v>
      </c>
      <c r="K1326" s="6"/>
      <c r="L1326" s="6"/>
      <c r="M1326" s="21" t="s">
        <v>2804</v>
      </c>
    </row>
    <row r="1327" spans="1:13" x14ac:dyDescent="0.25">
      <c r="A1327" s="23">
        <f t="shared" si="20"/>
        <v>1326</v>
      </c>
      <c r="B1327" s="7" t="s">
        <v>4851</v>
      </c>
      <c r="C1327" s="7" t="s">
        <v>5206</v>
      </c>
      <c r="D1327" s="7" t="s">
        <v>2920</v>
      </c>
      <c r="E1327" s="7" t="s">
        <v>5634</v>
      </c>
      <c r="F1327" s="7" t="s">
        <v>2900</v>
      </c>
      <c r="G1327" s="7" t="s">
        <v>496</v>
      </c>
      <c r="H1327" s="7" t="str">
        <f>IFERROR(VLOOKUP(Table2[[#This Row],[Ticket]],Okey!A:B,2,0),"")</f>
        <v>ok</v>
      </c>
      <c r="I1327" s="7" t="s">
        <v>3679</v>
      </c>
      <c r="J1327" s="7" t="str">
        <f>VLOOKUP(Table2[[#This Row],[Author]],People!A:B,2,0)</f>
        <v>EL</v>
      </c>
      <c r="K1327" s="7"/>
      <c r="L1327" s="7"/>
      <c r="M1327" s="16" t="s">
        <v>2804</v>
      </c>
    </row>
    <row r="1328" spans="1:13" x14ac:dyDescent="0.25">
      <c r="A1328" s="22">
        <f t="shared" si="20"/>
        <v>1327</v>
      </c>
      <c r="B1328" s="6" t="s">
        <v>4851</v>
      </c>
      <c r="C1328" s="6" t="s">
        <v>5206</v>
      </c>
      <c r="D1328" s="6" t="s">
        <v>2927</v>
      </c>
      <c r="E1328" s="6" t="s">
        <v>5635</v>
      </c>
      <c r="F1328" s="6" t="s">
        <v>2925</v>
      </c>
      <c r="G1328" s="6" t="s">
        <v>496</v>
      </c>
      <c r="H1328" s="6" t="str">
        <f>IFERROR(VLOOKUP(Table2[[#This Row],[Ticket]],Okey!A:B,2,0),"")</f>
        <v>ok</v>
      </c>
      <c r="I1328" s="6" t="s">
        <v>3679</v>
      </c>
      <c r="J1328" s="6" t="str">
        <f>VLOOKUP(Table2[[#This Row],[Author]],People!A:B,2,0)</f>
        <v>EL</v>
      </c>
      <c r="K1328" s="6"/>
      <c r="L1328" s="6"/>
      <c r="M1328" s="21" t="s">
        <v>2804</v>
      </c>
    </row>
    <row r="1329" spans="1:13" x14ac:dyDescent="0.25">
      <c r="A1329" s="23">
        <f t="shared" si="20"/>
        <v>1328</v>
      </c>
      <c r="B1329" s="7" t="s">
        <v>4851</v>
      </c>
      <c r="C1329" s="7" t="s">
        <v>5206</v>
      </c>
      <c r="D1329" s="7" t="s">
        <v>2929</v>
      </c>
      <c r="E1329" s="7" t="s">
        <v>5636</v>
      </c>
      <c r="F1329" s="7" t="s">
        <v>2925</v>
      </c>
      <c r="G1329" s="7" t="s">
        <v>496</v>
      </c>
      <c r="H1329" s="7" t="str">
        <f>IFERROR(VLOOKUP(Table2[[#This Row],[Ticket]],Okey!A:B,2,0),"")</f>
        <v>ok</v>
      </c>
      <c r="I1329" s="7" t="s">
        <v>3679</v>
      </c>
      <c r="J1329" s="7" t="str">
        <f>VLOOKUP(Table2[[#This Row],[Author]],People!A:B,2,0)</f>
        <v>EL</v>
      </c>
      <c r="K1329" s="7"/>
      <c r="L1329" s="7"/>
      <c r="M1329" s="16" t="s">
        <v>2804</v>
      </c>
    </row>
    <row r="1330" spans="1:13" x14ac:dyDescent="0.25">
      <c r="A1330" s="22">
        <f t="shared" si="20"/>
        <v>1329</v>
      </c>
      <c r="B1330" s="6" t="s">
        <v>4851</v>
      </c>
      <c r="C1330" s="6" t="s">
        <v>5206</v>
      </c>
      <c r="D1330" s="6" t="s">
        <v>2931</v>
      </c>
      <c r="E1330" s="6" t="s">
        <v>5637</v>
      </c>
      <c r="F1330" s="6" t="s">
        <v>2925</v>
      </c>
      <c r="G1330" s="6" t="s">
        <v>496</v>
      </c>
      <c r="H1330" s="6" t="str">
        <f>IFERROR(VLOOKUP(Table2[[#This Row],[Ticket]],Okey!A:B,2,0),"")</f>
        <v>ok</v>
      </c>
      <c r="I1330" s="6" t="s">
        <v>3679</v>
      </c>
      <c r="J1330" s="6" t="str">
        <f>VLOOKUP(Table2[[#This Row],[Author]],People!A:B,2,0)</f>
        <v>EL</v>
      </c>
      <c r="K1330" s="6"/>
      <c r="L1330" s="6"/>
      <c r="M1330" s="21" t="s">
        <v>2804</v>
      </c>
    </row>
    <row r="1331" spans="1:13" x14ac:dyDescent="0.25">
      <c r="A1331" s="23">
        <f t="shared" si="20"/>
        <v>1330</v>
      </c>
      <c r="B1331" s="7" t="s">
        <v>4851</v>
      </c>
      <c r="C1331" s="7" t="s">
        <v>5206</v>
      </c>
      <c r="D1331" s="7" t="s">
        <v>2933</v>
      </c>
      <c r="E1331" s="7" t="s">
        <v>5638</v>
      </c>
      <c r="F1331" s="7" t="s">
        <v>2925</v>
      </c>
      <c r="G1331" s="7" t="s">
        <v>496</v>
      </c>
      <c r="H1331" s="7" t="str">
        <f>IFERROR(VLOOKUP(Table2[[#This Row],[Ticket]],Okey!A:B,2,0),"")</f>
        <v>ok</v>
      </c>
      <c r="I1331" s="7" t="s">
        <v>3679</v>
      </c>
      <c r="J1331" s="7" t="str">
        <f>VLOOKUP(Table2[[#This Row],[Author]],People!A:B,2,0)</f>
        <v>EL</v>
      </c>
      <c r="K1331" s="7"/>
      <c r="L1331" s="7"/>
      <c r="M1331" s="16" t="s">
        <v>2804</v>
      </c>
    </row>
    <row r="1332" spans="1:13" x14ac:dyDescent="0.25">
      <c r="A1332" s="22">
        <f t="shared" si="20"/>
        <v>1331</v>
      </c>
      <c r="B1332" s="6" t="s">
        <v>4851</v>
      </c>
      <c r="C1332" s="6" t="s">
        <v>5206</v>
      </c>
      <c r="D1332" s="6" t="s">
        <v>2935</v>
      </c>
      <c r="E1332" s="6" t="s">
        <v>5639</v>
      </c>
      <c r="F1332" s="6" t="s">
        <v>2925</v>
      </c>
      <c r="G1332" s="6" t="s">
        <v>496</v>
      </c>
      <c r="H1332" s="6" t="str">
        <f>IFERROR(VLOOKUP(Table2[[#This Row],[Ticket]],Okey!A:B,2,0),"")</f>
        <v>ok</v>
      </c>
      <c r="I1332" s="6" t="s">
        <v>3679</v>
      </c>
      <c r="J1332" s="6" t="str">
        <f>VLOOKUP(Table2[[#This Row],[Author]],People!A:B,2,0)</f>
        <v>EL</v>
      </c>
      <c r="K1332" s="6"/>
      <c r="L1332" s="6"/>
      <c r="M1332" s="21" t="s">
        <v>2804</v>
      </c>
    </row>
    <row r="1333" spans="1:13" x14ac:dyDescent="0.25">
      <c r="A1333" s="23">
        <f t="shared" si="20"/>
        <v>1332</v>
      </c>
      <c r="B1333" s="7" t="s">
        <v>4851</v>
      </c>
      <c r="C1333" s="7" t="s">
        <v>5206</v>
      </c>
      <c r="D1333" s="7" t="s">
        <v>2937</v>
      </c>
      <c r="E1333" s="7" t="s">
        <v>5640</v>
      </c>
      <c r="F1333" s="7" t="s">
        <v>2925</v>
      </c>
      <c r="G1333" s="7" t="s">
        <v>496</v>
      </c>
      <c r="H1333" s="7" t="str">
        <f>IFERROR(VLOOKUP(Table2[[#This Row],[Ticket]],Okey!A:B,2,0),"")</f>
        <v>ok</v>
      </c>
      <c r="I1333" s="7" t="s">
        <v>3679</v>
      </c>
      <c r="J1333" s="7" t="str">
        <f>VLOOKUP(Table2[[#This Row],[Author]],People!A:B,2,0)</f>
        <v>EL</v>
      </c>
      <c r="K1333" s="7"/>
      <c r="L1333" s="7"/>
      <c r="M1333" s="16" t="s">
        <v>2804</v>
      </c>
    </row>
    <row r="1334" spans="1:13" x14ac:dyDescent="0.25">
      <c r="A1334" s="22">
        <f t="shared" si="20"/>
        <v>1333</v>
      </c>
      <c r="B1334" s="6" t="s">
        <v>4851</v>
      </c>
      <c r="C1334" s="6" t="s">
        <v>5206</v>
      </c>
      <c r="D1334" s="6" t="s">
        <v>2939</v>
      </c>
      <c r="E1334" s="6" t="s">
        <v>5641</v>
      </c>
      <c r="F1334" s="6" t="s">
        <v>2925</v>
      </c>
      <c r="G1334" s="6" t="s">
        <v>496</v>
      </c>
      <c r="H1334" s="6" t="str">
        <f>IFERROR(VLOOKUP(Table2[[#This Row],[Ticket]],Okey!A:B,2,0),"")</f>
        <v>ok</v>
      </c>
      <c r="I1334" s="6" t="s">
        <v>3679</v>
      </c>
      <c r="J1334" s="6" t="str">
        <f>VLOOKUP(Table2[[#This Row],[Author]],People!A:B,2,0)</f>
        <v>EL</v>
      </c>
      <c r="K1334" s="6"/>
      <c r="L1334" s="6"/>
      <c r="M1334" s="21" t="s">
        <v>2804</v>
      </c>
    </row>
    <row r="1335" spans="1:13" x14ac:dyDescent="0.25">
      <c r="A1335" s="23">
        <f t="shared" si="20"/>
        <v>1334</v>
      </c>
      <c r="B1335" s="7" t="s">
        <v>4851</v>
      </c>
      <c r="C1335" s="7" t="s">
        <v>5206</v>
      </c>
      <c r="D1335" s="7" t="s">
        <v>2941</v>
      </c>
      <c r="E1335" s="7" t="s">
        <v>5642</v>
      </c>
      <c r="F1335" s="7" t="s">
        <v>2925</v>
      </c>
      <c r="G1335" s="7" t="s">
        <v>496</v>
      </c>
      <c r="H1335" s="7" t="str">
        <f>IFERROR(VLOOKUP(Table2[[#This Row],[Ticket]],Okey!A:B,2,0),"")</f>
        <v>ok</v>
      </c>
      <c r="I1335" s="7" t="s">
        <v>3679</v>
      </c>
      <c r="J1335" s="7" t="str">
        <f>VLOOKUP(Table2[[#This Row],[Author]],People!A:B,2,0)</f>
        <v>EL</v>
      </c>
      <c r="K1335" s="7"/>
      <c r="L1335" s="7"/>
      <c r="M1335" s="16" t="s">
        <v>2804</v>
      </c>
    </row>
    <row r="1336" spans="1:13" x14ac:dyDescent="0.25">
      <c r="A1336" s="22">
        <f t="shared" si="20"/>
        <v>1335</v>
      </c>
      <c r="B1336" s="6" t="s">
        <v>4851</v>
      </c>
      <c r="C1336" s="6" t="s">
        <v>5206</v>
      </c>
      <c r="D1336" s="6" t="s">
        <v>2943</v>
      </c>
      <c r="E1336" s="6" t="s">
        <v>5643</v>
      </c>
      <c r="F1336" s="6" t="s">
        <v>2925</v>
      </c>
      <c r="G1336" s="6" t="s">
        <v>496</v>
      </c>
      <c r="H1336" s="6" t="str">
        <f>IFERROR(VLOOKUP(Table2[[#This Row],[Ticket]],Okey!A:B,2,0),"")</f>
        <v>ok</v>
      </c>
      <c r="I1336" s="6" t="s">
        <v>3679</v>
      </c>
      <c r="J1336" s="6" t="str">
        <f>VLOOKUP(Table2[[#This Row],[Author]],People!A:B,2,0)</f>
        <v>EL</v>
      </c>
      <c r="K1336" s="6"/>
      <c r="L1336" s="6"/>
      <c r="M1336" s="21" t="s">
        <v>2804</v>
      </c>
    </row>
    <row r="1337" spans="1:13" x14ac:dyDescent="0.25">
      <c r="A1337" s="23">
        <f t="shared" si="20"/>
        <v>1336</v>
      </c>
      <c r="B1337" s="7" t="s">
        <v>4851</v>
      </c>
      <c r="C1337" s="7" t="s">
        <v>5206</v>
      </c>
      <c r="D1337" s="7" t="s">
        <v>2945</v>
      </c>
      <c r="E1337" s="7" t="s">
        <v>5644</v>
      </c>
      <c r="F1337" s="7" t="s">
        <v>2925</v>
      </c>
      <c r="G1337" s="7" t="s">
        <v>496</v>
      </c>
      <c r="H1337" s="7" t="str">
        <f>IFERROR(VLOOKUP(Table2[[#This Row],[Ticket]],Okey!A:B,2,0),"")</f>
        <v>ok</v>
      </c>
      <c r="I1337" s="7" t="s">
        <v>3679</v>
      </c>
      <c r="J1337" s="7" t="str">
        <f>VLOOKUP(Table2[[#This Row],[Author]],People!A:B,2,0)</f>
        <v>EL</v>
      </c>
      <c r="K1337" s="7"/>
      <c r="L1337" s="7"/>
      <c r="M1337" s="16" t="s">
        <v>2804</v>
      </c>
    </row>
    <row r="1338" spans="1:13" x14ac:dyDescent="0.25">
      <c r="A1338" s="22">
        <f t="shared" si="20"/>
        <v>1337</v>
      </c>
      <c r="B1338" s="6" t="s">
        <v>4851</v>
      </c>
      <c r="C1338" s="6" t="s">
        <v>5206</v>
      </c>
      <c r="D1338" s="6" t="s">
        <v>5645</v>
      </c>
      <c r="E1338" s="6" t="s">
        <v>5646</v>
      </c>
      <c r="F1338" s="6" t="s">
        <v>2949</v>
      </c>
      <c r="G1338" s="6" t="s">
        <v>496</v>
      </c>
      <c r="H1338" s="6" t="str">
        <f>IFERROR(VLOOKUP(Table2[[#This Row],[Ticket]],Okey!A:B,2,0),"")</f>
        <v>ok</v>
      </c>
      <c r="I1338" s="6" t="s">
        <v>3679</v>
      </c>
      <c r="J1338" s="6" t="str">
        <f>VLOOKUP(Table2[[#This Row],[Author]],People!A:B,2,0)</f>
        <v>EL</v>
      </c>
      <c r="K1338" s="6"/>
      <c r="L1338" s="6"/>
      <c r="M1338" s="21" t="s">
        <v>2804</v>
      </c>
    </row>
    <row r="1339" spans="1:13" x14ac:dyDescent="0.25">
      <c r="A1339" s="23">
        <f t="shared" si="20"/>
        <v>1338</v>
      </c>
      <c r="B1339" s="7" t="s">
        <v>4851</v>
      </c>
      <c r="C1339" s="7" t="s">
        <v>5206</v>
      </c>
      <c r="D1339" s="7" t="s">
        <v>2954</v>
      </c>
      <c r="E1339" s="7" t="s">
        <v>5647</v>
      </c>
      <c r="F1339" s="7" t="s">
        <v>2952</v>
      </c>
      <c r="G1339" s="7" t="s">
        <v>496</v>
      </c>
      <c r="H1339" s="7" t="str">
        <f>IFERROR(VLOOKUP(Table2[[#This Row],[Ticket]],Okey!A:B,2,0),"")</f>
        <v>ok</v>
      </c>
      <c r="I1339" s="7" t="s">
        <v>3679</v>
      </c>
      <c r="J1339" s="7" t="str">
        <f>VLOOKUP(Table2[[#This Row],[Author]],People!A:B,2,0)</f>
        <v>EL</v>
      </c>
      <c r="K1339" s="7"/>
      <c r="L1339" s="7"/>
      <c r="M1339" s="16" t="s">
        <v>2804</v>
      </c>
    </row>
    <row r="1340" spans="1:13" x14ac:dyDescent="0.25">
      <c r="A1340" s="22">
        <f t="shared" si="20"/>
        <v>1339</v>
      </c>
      <c r="B1340" s="6" t="s">
        <v>4851</v>
      </c>
      <c r="C1340" s="6" t="s">
        <v>5206</v>
      </c>
      <c r="D1340" s="6" t="s">
        <v>2956</v>
      </c>
      <c r="E1340" s="6" t="s">
        <v>5648</v>
      </c>
      <c r="F1340" s="6" t="s">
        <v>2952</v>
      </c>
      <c r="G1340" s="6" t="s">
        <v>496</v>
      </c>
      <c r="H1340" s="6" t="str">
        <f>IFERROR(VLOOKUP(Table2[[#This Row],[Ticket]],Okey!A:B,2,0),"")</f>
        <v>ok</v>
      </c>
      <c r="I1340" s="6" t="s">
        <v>3679</v>
      </c>
      <c r="J1340" s="6" t="str">
        <f>VLOOKUP(Table2[[#This Row],[Author]],People!A:B,2,0)</f>
        <v>EL</v>
      </c>
      <c r="K1340" s="6"/>
      <c r="L1340" s="6"/>
      <c r="M1340" s="21" t="s">
        <v>2804</v>
      </c>
    </row>
    <row r="1341" spans="1:13" x14ac:dyDescent="0.25">
      <c r="A1341" s="23">
        <f t="shared" si="20"/>
        <v>1340</v>
      </c>
      <c r="B1341" s="7" t="s">
        <v>4851</v>
      </c>
      <c r="C1341" s="7" t="s">
        <v>5206</v>
      </c>
      <c r="D1341" s="7" t="s">
        <v>2958</v>
      </c>
      <c r="E1341" s="7" t="s">
        <v>5649</v>
      </c>
      <c r="F1341" s="7" t="s">
        <v>2952</v>
      </c>
      <c r="G1341" s="7" t="s">
        <v>496</v>
      </c>
      <c r="H1341" s="7" t="str">
        <f>IFERROR(VLOOKUP(Table2[[#This Row],[Ticket]],Okey!A:B,2,0),"")</f>
        <v>ok</v>
      </c>
      <c r="I1341" s="7" t="s">
        <v>3679</v>
      </c>
      <c r="J1341" s="7" t="str">
        <f>VLOOKUP(Table2[[#This Row],[Author]],People!A:B,2,0)</f>
        <v>EL</v>
      </c>
      <c r="K1341" s="7"/>
      <c r="L1341" s="7"/>
      <c r="M1341" s="16" t="s">
        <v>2804</v>
      </c>
    </row>
    <row r="1342" spans="1:13" x14ac:dyDescent="0.25">
      <c r="A1342" s="22">
        <f t="shared" si="20"/>
        <v>1341</v>
      </c>
      <c r="B1342" s="6" t="s">
        <v>4851</v>
      </c>
      <c r="C1342" s="6" t="s">
        <v>5206</v>
      </c>
      <c r="D1342" s="6" t="s">
        <v>2960</v>
      </c>
      <c r="E1342" s="6" t="s">
        <v>5650</v>
      </c>
      <c r="F1342" s="6" t="s">
        <v>2952</v>
      </c>
      <c r="G1342" s="6" t="s">
        <v>496</v>
      </c>
      <c r="H1342" s="6" t="str">
        <f>IFERROR(VLOOKUP(Table2[[#This Row],[Ticket]],Okey!A:B,2,0),"")</f>
        <v>ok</v>
      </c>
      <c r="I1342" s="6" t="s">
        <v>3679</v>
      </c>
      <c r="J1342" s="6" t="str">
        <f>VLOOKUP(Table2[[#This Row],[Author]],People!A:B,2,0)</f>
        <v>EL</v>
      </c>
      <c r="K1342" s="6"/>
      <c r="L1342" s="6"/>
      <c r="M1342" s="21" t="s">
        <v>2804</v>
      </c>
    </row>
    <row r="1343" spans="1:13" x14ac:dyDescent="0.25">
      <c r="A1343" s="23">
        <f t="shared" si="20"/>
        <v>1342</v>
      </c>
      <c r="B1343" s="7" t="s">
        <v>4851</v>
      </c>
      <c r="C1343" s="7" t="s">
        <v>5206</v>
      </c>
      <c r="D1343" s="7" t="s">
        <v>2962</v>
      </c>
      <c r="E1343" s="7" t="s">
        <v>5651</v>
      </c>
      <c r="F1343" s="7" t="s">
        <v>2952</v>
      </c>
      <c r="G1343" s="7" t="s">
        <v>496</v>
      </c>
      <c r="H1343" s="7" t="str">
        <f>IFERROR(VLOOKUP(Table2[[#This Row],[Ticket]],Okey!A:B,2,0),"")</f>
        <v>ok</v>
      </c>
      <c r="I1343" s="7" t="s">
        <v>3679</v>
      </c>
      <c r="J1343" s="7" t="str">
        <f>VLOOKUP(Table2[[#This Row],[Author]],People!A:B,2,0)</f>
        <v>EL</v>
      </c>
      <c r="K1343" s="7"/>
      <c r="L1343" s="7"/>
      <c r="M1343" s="16" t="s">
        <v>2804</v>
      </c>
    </row>
    <row r="1344" spans="1:13" x14ac:dyDescent="0.25">
      <c r="A1344" s="22">
        <f t="shared" si="20"/>
        <v>1343</v>
      </c>
      <c r="B1344" s="6" t="s">
        <v>4851</v>
      </c>
      <c r="C1344" s="6" t="s">
        <v>5206</v>
      </c>
      <c r="D1344" s="6" t="s">
        <v>2964</v>
      </c>
      <c r="E1344" s="6" t="s">
        <v>5652</v>
      </c>
      <c r="F1344" s="6" t="s">
        <v>2952</v>
      </c>
      <c r="G1344" s="6" t="s">
        <v>496</v>
      </c>
      <c r="H1344" s="6" t="str">
        <f>IFERROR(VLOOKUP(Table2[[#This Row],[Ticket]],Okey!A:B,2,0),"")</f>
        <v>ok</v>
      </c>
      <c r="I1344" s="6" t="s">
        <v>3679</v>
      </c>
      <c r="J1344" s="6" t="str">
        <f>VLOOKUP(Table2[[#This Row],[Author]],People!A:B,2,0)</f>
        <v>EL</v>
      </c>
      <c r="K1344" s="6"/>
      <c r="L1344" s="6"/>
      <c r="M1344" s="21" t="s">
        <v>2804</v>
      </c>
    </row>
    <row r="1345" spans="1:13" x14ac:dyDescent="0.25">
      <c r="A1345" s="23">
        <f t="shared" si="20"/>
        <v>1344</v>
      </c>
      <c r="B1345" s="7" t="s">
        <v>4851</v>
      </c>
      <c r="C1345" s="7" t="s">
        <v>5206</v>
      </c>
      <c r="D1345" s="7" t="s">
        <v>2966</v>
      </c>
      <c r="E1345" s="7" t="s">
        <v>5653</v>
      </c>
      <c r="F1345" s="7" t="s">
        <v>2952</v>
      </c>
      <c r="G1345" s="7" t="s">
        <v>496</v>
      </c>
      <c r="H1345" s="7" t="str">
        <f>IFERROR(VLOOKUP(Table2[[#This Row],[Ticket]],Okey!A:B,2,0),"")</f>
        <v>ok</v>
      </c>
      <c r="I1345" s="7" t="s">
        <v>3679</v>
      </c>
      <c r="J1345" s="7" t="str">
        <f>VLOOKUP(Table2[[#This Row],[Author]],People!A:B,2,0)</f>
        <v>EL</v>
      </c>
      <c r="K1345" s="7"/>
      <c r="L1345" s="7"/>
      <c r="M1345" s="16" t="s">
        <v>2804</v>
      </c>
    </row>
    <row r="1346" spans="1:13" x14ac:dyDescent="0.25">
      <c r="A1346" s="22">
        <f t="shared" si="20"/>
        <v>1345</v>
      </c>
      <c r="B1346" s="6" t="s">
        <v>4851</v>
      </c>
      <c r="C1346" s="6" t="s">
        <v>5206</v>
      </c>
      <c r="D1346" s="6" t="s">
        <v>2968</v>
      </c>
      <c r="E1346" s="6" t="s">
        <v>5654</v>
      </c>
      <c r="F1346" s="6" t="s">
        <v>2952</v>
      </c>
      <c r="G1346" s="6" t="s">
        <v>496</v>
      </c>
      <c r="H1346" s="6" t="str">
        <f>IFERROR(VLOOKUP(Table2[[#This Row],[Ticket]],Okey!A:B,2,0),"")</f>
        <v>ok</v>
      </c>
      <c r="I1346" s="6" t="s">
        <v>3679</v>
      </c>
      <c r="J1346" s="6" t="str">
        <f>VLOOKUP(Table2[[#This Row],[Author]],People!A:B,2,0)</f>
        <v>EL</v>
      </c>
      <c r="K1346" s="6"/>
      <c r="L1346" s="6"/>
      <c r="M1346" s="21" t="s">
        <v>2804</v>
      </c>
    </row>
    <row r="1347" spans="1:13" x14ac:dyDescent="0.25">
      <c r="A1347" s="23">
        <f t="shared" ref="A1347:A1410" si="21">1+A1346</f>
        <v>1346</v>
      </c>
      <c r="B1347" s="7" t="s">
        <v>4851</v>
      </c>
      <c r="C1347" s="7" t="s">
        <v>5206</v>
      </c>
      <c r="D1347" s="7" t="s">
        <v>2970</v>
      </c>
      <c r="E1347" s="7" t="s">
        <v>5655</v>
      </c>
      <c r="F1347" s="7" t="s">
        <v>2952</v>
      </c>
      <c r="G1347" s="7" t="s">
        <v>496</v>
      </c>
      <c r="H1347" s="7" t="str">
        <f>IFERROR(VLOOKUP(Table2[[#This Row],[Ticket]],Okey!A:B,2,0),"")</f>
        <v>ok</v>
      </c>
      <c r="I1347" s="7" t="s">
        <v>3679</v>
      </c>
      <c r="J1347" s="7" t="str">
        <f>VLOOKUP(Table2[[#This Row],[Author]],People!A:B,2,0)</f>
        <v>EL</v>
      </c>
      <c r="K1347" s="7"/>
      <c r="L1347" s="7"/>
      <c r="M1347" s="16" t="s">
        <v>2804</v>
      </c>
    </row>
    <row r="1348" spans="1:13" x14ac:dyDescent="0.25">
      <c r="A1348" s="22">
        <f t="shared" si="21"/>
        <v>1347</v>
      </c>
      <c r="B1348" s="6" t="s">
        <v>4851</v>
      </c>
      <c r="C1348" s="6" t="s">
        <v>5206</v>
      </c>
      <c r="D1348" s="6" t="s">
        <v>2972</v>
      </c>
      <c r="E1348" s="6" t="s">
        <v>5656</v>
      </c>
      <c r="F1348" s="6" t="s">
        <v>2952</v>
      </c>
      <c r="G1348" s="6" t="s">
        <v>496</v>
      </c>
      <c r="H1348" s="6" t="str">
        <f>IFERROR(VLOOKUP(Table2[[#This Row],[Ticket]],Okey!A:B,2,0),"")</f>
        <v>ok</v>
      </c>
      <c r="I1348" s="6" t="s">
        <v>3679</v>
      </c>
      <c r="J1348" s="6" t="str">
        <f>VLOOKUP(Table2[[#This Row],[Author]],People!A:B,2,0)</f>
        <v>EL</v>
      </c>
      <c r="K1348" s="6"/>
      <c r="L1348" s="6"/>
      <c r="M1348" s="21" t="s">
        <v>2804</v>
      </c>
    </row>
    <row r="1349" spans="1:13" x14ac:dyDescent="0.25">
      <c r="A1349" s="23">
        <f t="shared" si="21"/>
        <v>1348</v>
      </c>
      <c r="B1349" s="7" t="s">
        <v>4851</v>
      </c>
      <c r="C1349" s="7" t="s">
        <v>5206</v>
      </c>
      <c r="D1349" s="7" t="s">
        <v>2981</v>
      </c>
      <c r="E1349" s="7" t="s">
        <v>5657</v>
      </c>
      <c r="F1349" s="7" t="s">
        <v>2979</v>
      </c>
      <c r="G1349" s="7" t="s">
        <v>496</v>
      </c>
      <c r="H1349" s="7" t="str">
        <f>IFERROR(VLOOKUP(Table2[[#This Row],[Ticket]],Okey!A:B,2,0),"")</f>
        <v>ok</v>
      </c>
      <c r="I1349" s="7" t="s">
        <v>3679</v>
      </c>
      <c r="J1349" s="7" t="str">
        <f>VLOOKUP(Table2[[#This Row],[Author]],People!A:B,2,0)</f>
        <v>EL</v>
      </c>
      <c r="K1349" s="7"/>
      <c r="L1349" s="7"/>
      <c r="M1349" s="16" t="s">
        <v>2804</v>
      </c>
    </row>
    <row r="1350" spans="1:13" x14ac:dyDescent="0.25">
      <c r="A1350" s="22">
        <f t="shared" si="21"/>
        <v>1349</v>
      </c>
      <c r="B1350" s="6" t="s">
        <v>4851</v>
      </c>
      <c r="C1350" s="6" t="s">
        <v>5206</v>
      </c>
      <c r="D1350" s="6" t="s">
        <v>2983</v>
      </c>
      <c r="E1350" s="6" t="s">
        <v>5658</v>
      </c>
      <c r="F1350" s="6" t="s">
        <v>2979</v>
      </c>
      <c r="G1350" s="6" t="s">
        <v>496</v>
      </c>
      <c r="H1350" s="6" t="str">
        <f>IFERROR(VLOOKUP(Table2[[#This Row],[Ticket]],Okey!A:B,2,0),"")</f>
        <v>ok</v>
      </c>
      <c r="I1350" s="6" t="s">
        <v>3679</v>
      </c>
      <c r="J1350" s="6" t="str">
        <f>VLOOKUP(Table2[[#This Row],[Author]],People!A:B,2,0)</f>
        <v>EL</v>
      </c>
      <c r="K1350" s="6"/>
      <c r="L1350" s="6"/>
      <c r="M1350" s="21" t="s">
        <v>2804</v>
      </c>
    </row>
    <row r="1351" spans="1:13" x14ac:dyDescent="0.25">
      <c r="A1351" s="23">
        <f t="shared" si="21"/>
        <v>1350</v>
      </c>
      <c r="B1351" s="7" t="s">
        <v>4851</v>
      </c>
      <c r="C1351" s="7" t="s">
        <v>5206</v>
      </c>
      <c r="D1351" s="7" t="s">
        <v>2985</v>
      </c>
      <c r="E1351" s="7" t="s">
        <v>5659</v>
      </c>
      <c r="F1351" s="7" t="s">
        <v>2979</v>
      </c>
      <c r="G1351" s="7" t="s">
        <v>496</v>
      </c>
      <c r="H1351" s="7" t="str">
        <f>IFERROR(VLOOKUP(Table2[[#This Row],[Ticket]],Okey!A:B,2,0),"")</f>
        <v>ok</v>
      </c>
      <c r="I1351" s="7" t="s">
        <v>3679</v>
      </c>
      <c r="J1351" s="7" t="str">
        <f>VLOOKUP(Table2[[#This Row],[Author]],People!A:B,2,0)</f>
        <v>EL</v>
      </c>
      <c r="K1351" s="7"/>
      <c r="L1351" s="7"/>
      <c r="M1351" s="16" t="s">
        <v>2804</v>
      </c>
    </row>
    <row r="1352" spans="1:13" x14ac:dyDescent="0.25">
      <c r="A1352" s="22">
        <f t="shared" si="21"/>
        <v>1351</v>
      </c>
      <c r="B1352" s="6" t="s">
        <v>4851</v>
      </c>
      <c r="C1352" s="6" t="s">
        <v>5206</v>
      </c>
      <c r="D1352" s="6" t="s">
        <v>2987</v>
      </c>
      <c r="E1352" s="6" t="s">
        <v>5660</v>
      </c>
      <c r="F1352" s="6" t="s">
        <v>2979</v>
      </c>
      <c r="G1352" s="6" t="s">
        <v>496</v>
      </c>
      <c r="H1352" s="6" t="str">
        <f>IFERROR(VLOOKUP(Table2[[#This Row],[Ticket]],Okey!A:B,2,0),"")</f>
        <v>ok</v>
      </c>
      <c r="I1352" s="6" t="s">
        <v>3679</v>
      </c>
      <c r="J1352" s="6" t="str">
        <f>VLOOKUP(Table2[[#This Row],[Author]],People!A:B,2,0)</f>
        <v>EL</v>
      </c>
      <c r="K1352" s="6"/>
      <c r="L1352" s="6"/>
      <c r="M1352" s="21" t="s">
        <v>2804</v>
      </c>
    </row>
    <row r="1353" spans="1:13" x14ac:dyDescent="0.25">
      <c r="A1353" s="23">
        <f t="shared" si="21"/>
        <v>1352</v>
      </c>
      <c r="B1353" s="7" t="s">
        <v>4851</v>
      </c>
      <c r="C1353" s="7" t="s">
        <v>5206</v>
      </c>
      <c r="D1353" s="7" t="s">
        <v>2989</v>
      </c>
      <c r="E1353" s="7" t="s">
        <v>5661</v>
      </c>
      <c r="F1353" s="7" t="s">
        <v>2979</v>
      </c>
      <c r="G1353" s="7" t="s">
        <v>496</v>
      </c>
      <c r="H1353" s="7" t="str">
        <f>IFERROR(VLOOKUP(Table2[[#This Row],[Ticket]],Okey!A:B,2,0),"")</f>
        <v>ok</v>
      </c>
      <c r="I1353" s="7" t="s">
        <v>3679</v>
      </c>
      <c r="J1353" s="7" t="str">
        <f>VLOOKUP(Table2[[#This Row],[Author]],People!A:B,2,0)</f>
        <v>EL</v>
      </c>
      <c r="K1353" s="7"/>
      <c r="L1353" s="7"/>
      <c r="M1353" s="16" t="s">
        <v>2804</v>
      </c>
    </row>
    <row r="1354" spans="1:13" x14ac:dyDescent="0.25">
      <c r="A1354" s="22">
        <f t="shared" si="21"/>
        <v>1353</v>
      </c>
      <c r="B1354" s="6" t="s">
        <v>4851</v>
      </c>
      <c r="C1354" s="6" t="s">
        <v>5206</v>
      </c>
      <c r="D1354" s="6" t="s">
        <v>2991</v>
      </c>
      <c r="E1354" s="6" t="s">
        <v>5662</v>
      </c>
      <c r="F1354" s="6" t="s">
        <v>2979</v>
      </c>
      <c r="G1354" s="6" t="s">
        <v>496</v>
      </c>
      <c r="H1354" s="6" t="str">
        <f>IFERROR(VLOOKUP(Table2[[#This Row],[Ticket]],Okey!A:B,2,0),"")</f>
        <v>ok</v>
      </c>
      <c r="I1354" s="6" t="s">
        <v>3679</v>
      </c>
      <c r="J1354" s="6" t="str">
        <f>VLOOKUP(Table2[[#This Row],[Author]],People!A:B,2,0)</f>
        <v>EL</v>
      </c>
      <c r="K1354" s="6"/>
      <c r="L1354" s="6"/>
      <c r="M1354" s="21" t="s">
        <v>2804</v>
      </c>
    </row>
    <row r="1355" spans="1:13" x14ac:dyDescent="0.25">
      <c r="A1355" s="23">
        <f t="shared" si="21"/>
        <v>1354</v>
      </c>
      <c r="B1355" s="7" t="s">
        <v>4851</v>
      </c>
      <c r="C1355" s="7" t="s">
        <v>5206</v>
      </c>
      <c r="D1355" s="7" t="s">
        <v>2993</v>
      </c>
      <c r="E1355" s="7" t="s">
        <v>5663</v>
      </c>
      <c r="F1355" s="7" t="s">
        <v>2979</v>
      </c>
      <c r="G1355" s="7" t="s">
        <v>496</v>
      </c>
      <c r="H1355" s="7" t="str">
        <f>IFERROR(VLOOKUP(Table2[[#This Row],[Ticket]],Okey!A:B,2,0),"")</f>
        <v>ok</v>
      </c>
      <c r="I1355" s="7" t="s">
        <v>3679</v>
      </c>
      <c r="J1355" s="7" t="str">
        <f>VLOOKUP(Table2[[#This Row],[Author]],People!A:B,2,0)</f>
        <v>EL</v>
      </c>
      <c r="K1355" s="7"/>
      <c r="L1355" s="7"/>
      <c r="M1355" s="16" t="s">
        <v>2804</v>
      </c>
    </row>
    <row r="1356" spans="1:13" x14ac:dyDescent="0.25">
      <c r="A1356" s="22">
        <f t="shared" si="21"/>
        <v>1355</v>
      </c>
      <c r="B1356" s="6" t="s">
        <v>4851</v>
      </c>
      <c r="C1356" s="6" t="s">
        <v>5206</v>
      </c>
      <c r="D1356" s="6" t="s">
        <v>2995</v>
      </c>
      <c r="E1356" s="6" t="s">
        <v>5664</v>
      </c>
      <c r="F1356" s="6" t="s">
        <v>2979</v>
      </c>
      <c r="G1356" s="6" t="s">
        <v>496</v>
      </c>
      <c r="H1356" s="6" t="str">
        <f>IFERROR(VLOOKUP(Table2[[#This Row],[Ticket]],Okey!A:B,2,0),"")</f>
        <v>ok</v>
      </c>
      <c r="I1356" s="6" t="s">
        <v>3679</v>
      </c>
      <c r="J1356" s="6" t="str">
        <f>VLOOKUP(Table2[[#This Row],[Author]],People!A:B,2,0)</f>
        <v>EL</v>
      </c>
      <c r="K1356" s="6"/>
      <c r="L1356" s="6"/>
      <c r="M1356" s="21" t="s">
        <v>2804</v>
      </c>
    </row>
    <row r="1357" spans="1:13" x14ac:dyDescent="0.25">
      <c r="A1357" s="23">
        <f t="shared" si="21"/>
        <v>1356</v>
      </c>
      <c r="B1357" s="7" t="s">
        <v>4851</v>
      </c>
      <c r="C1357" s="7" t="s">
        <v>5206</v>
      </c>
      <c r="D1357" s="7" t="s">
        <v>2997</v>
      </c>
      <c r="E1357" s="7" t="s">
        <v>5665</v>
      </c>
      <c r="F1357" s="7" t="s">
        <v>2979</v>
      </c>
      <c r="G1357" s="7" t="s">
        <v>496</v>
      </c>
      <c r="H1357" s="7" t="str">
        <f>IFERROR(VLOOKUP(Table2[[#This Row],[Ticket]],Okey!A:B,2,0),"")</f>
        <v>ok</v>
      </c>
      <c r="I1357" s="7" t="s">
        <v>3679</v>
      </c>
      <c r="J1357" s="7" t="str">
        <f>VLOOKUP(Table2[[#This Row],[Author]],People!A:B,2,0)</f>
        <v>EL</v>
      </c>
      <c r="K1357" s="7"/>
      <c r="L1357" s="7"/>
      <c r="M1357" s="16" t="s">
        <v>2804</v>
      </c>
    </row>
    <row r="1358" spans="1:13" x14ac:dyDescent="0.25">
      <c r="A1358" s="22">
        <f t="shared" si="21"/>
        <v>1357</v>
      </c>
      <c r="B1358" s="6" t="s">
        <v>4851</v>
      </c>
      <c r="C1358" s="6" t="s">
        <v>5206</v>
      </c>
      <c r="D1358" s="6" t="s">
        <v>2999</v>
      </c>
      <c r="E1358" s="6" t="s">
        <v>5666</v>
      </c>
      <c r="F1358" s="6" t="s">
        <v>2979</v>
      </c>
      <c r="G1358" s="6" t="s">
        <v>496</v>
      </c>
      <c r="H1358" s="6" t="str">
        <f>IFERROR(VLOOKUP(Table2[[#This Row],[Ticket]],Okey!A:B,2,0),"")</f>
        <v>ok</v>
      </c>
      <c r="I1358" s="6" t="s">
        <v>3679</v>
      </c>
      <c r="J1358" s="6" t="str">
        <f>VLOOKUP(Table2[[#This Row],[Author]],People!A:B,2,0)</f>
        <v>EL</v>
      </c>
      <c r="K1358" s="6"/>
      <c r="L1358" s="6"/>
      <c r="M1358" s="21" t="s">
        <v>2804</v>
      </c>
    </row>
    <row r="1359" spans="1:13" x14ac:dyDescent="0.25">
      <c r="A1359" s="23">
        <f t="shared" si="21"/>
        <v>1358</v>
      </c>
      <c r="B1359" s="7" t="s">
        <v>4851</v>
      </c>
      <c r="C1359" s="7" t="s">
        <v>5206</v>
      </c>
      <c r="D1359" s="7" t="s">
        <v>3008</v>
      </c>
      <c r="E1359" s="7" t="s">
        <v>5667</v>
      </c>
      <c r="F1359" s="7" t="s">
        <v>3006</v>
      </c>
      <c r="G1359" s="7" t="s">
        <v>496</v>
      </c>
      <c r="H1359" s="7" t="str">
        <f>IFERROR(VLOOKUP(Table2[[#This Row],[Ticket]],Okey!A:B,2,0),"")</f>
        <v>ok</v>
      </c>
      <c r="I1359" s="7" t="s">
        <v>3679</v>
      </c>
      <c r="J1359" s="7" t="str">
        <f>VLOOKUP(Table2[[#This Row],[Author]],People!A:B,2,0)</f>
        <v>EL</v>
      </c>
      <c r="K1359" s="7"/>
      <c r="L1359" s="7"/>
      <c r="M1359" s="16" t="s">
        <v>2804</v>
      </c>
    </row>
    <row r="1360" spans="1:13" x14ac:dyDescent="0.25">
      <c r="A1360" s="22">
        <f t="shared" si="21"/>
        <v>1359</v>
      </c>
      <c r="B1360" s="6" t="s">
        <v>4851</v>
      </c>
      <c r="C1360" s="6" t="s">
        <v>5206</v>
      </c>
      <c r="D1360" s="6" t="s">
        <v>3010</v>
      </c>
      <c r="E1360" s="6" t="s">
        <v>5668</v>
      </c>
      <c r="F1360" s="6" t="s">
        <v>3006</v>
      </c>
      <c r="G1360" s="6" t="s">
        <v>496</v>
      </c>
      <c r="H1360" s="6" t="str">
        <f>IFERROR(VLOOKUP(Table2[[#This Row],[Ticket]],Okey!A:B,2,0),"")</f>
        <v>ok</v>
      </c>
      <c r="I1360" s="6" t="s">
        <v>3679</v>
      </c>
      <c r="J1360" s="6" t="str">
        <f>VLOOKUP(Table2[[#This Row],[Author]],People!A:B,2,0)</f>
        <v>EL</v>
      </c>
      <c r="K1360" s="6"/>
      <c r="L1360" s="6"/>
      <c r="M1360" s="21" t="s">
        <v>2804</v>
      </c>
    </row>
    <row r="1361" spans="1:13" x14ac:dyDescent="0.25">
      <c r="A1361" s="23">
        <f t="shared" si="21"/>
        <v>1360</v>
      </c>
      <c r="B1361" s="7" t="s">
        <v>4851</v>
      </c>
      <c r="C1361" s="7" t="s">
        <v>5206</v>
      </c>
      <c r="D1361" s="7" t="s">
        <v>3012</v>
      </c>
      <c r="E1361" s="7" t="s">
        <v>5669</v>
      </c>
      <c r="F1361" s="7" t="s">
        <v>3006</v>
      </c>
      <c r="G1361" s="7" t="s">
        <v>496</v>
      </c>
      <c r="H1361" s="7" t="str">
        <f>IFERROR(VLOOKUP(Table2[[#This Row],[Ticket]],Okey!A:B,2,0),"")</f>
        <v>ok</v>
      </c>
      <c r="I1361" s="7" t="s">
        <v>3679</v>
      </c>
      <c r="J1361" s="7" t="str">
        <f>VLOOKUP(Table2[[#This Row],[Author]],People!A:B,2,0)</f>
        <v>EL</v>
      </c>
      <c r="K1361" s="7"/>
      <c r="L1361" s="7"/>
      <c r="M1361" s="16" t="s">
        <v>2804</v>
      </c>
    </row>
    <row r="1362" spans="1:13" x14ac:dyDescent="0.25">
      <c r="A1362" s="22">
        <f t="shared" si="21"/>
        <v>1361</v>
      </c>
      <c r="B1362" s="6" t="s">
        <v>4851</v>
      </c>
      <c r="C1362" s="6" t="s">
        <v>5206</v>
      </c>
      <c r="D1362" s="6" t="s">
        <v>3014</v>
      </c>
      <c r="E1362" s="6" t="s">
        <v>5670</v>
      </c>
      <c r="F1362" s="6" t="s">
        <v>3006</v>
      </c>
      <c r="G1362" s="6" t="s">
        <v>496</v>
      </c>
      <c r="H1362" s="6" t="str">
        <f>IFERROR(VLOOKUP(Table2[[#This Row],[Ticket]],Okey!A:B,2,0),"")</f>
        <v>ok</v>
      </c>
      <c r="I1362" s="6" t="s">
        <v>3679</v>
      </c>
      <c r="J1362" s="6" t="str">
        <f>VLOOKUP(Table2[[#This Row],[Author]],People!A:B,2,0)</f>
        <v>EL</v>
      </c>
      <c r="K1362" s="6"/>
      <c r="L1362" s="6"/>
      <c r="M1362" s="21" t="s">
        <v>2804</v>
      </c>
    </row>
    <row r="1363" spans="1:13" x14ac:dyDescent="0.25">
      <c r="A1363" s="23">
        <f t="shared" si="21"/>
        <v>1362</v>
      </c>
      <c r="B1363" s="7" t="s">
        <v>4851</v>
      </c>
      <c r="C1363" s="7" t="s">
        <v>5206</v>
      </c>
      <c r="D1363" s="7" t="s">
        <v>3016</v>
      </c>
      <c r="E1363" s="7" t="s">
        <v>5671</v>
      </c>
      <c r="F1363" s="7" t="s">
        <v>3006</v>
      </c>
      <c r="G1363" s="7" t="s">
        <v>496</v>
      </c>
      <c r="H1363" s="7" t="str">
        <f>IFERROR(VLOOKUP(Table2[[#This Row],[Ticket]],Okey!A:B,2,0),"")</f>
        <v>ok</v>
      </c>
      <c r="I1363" s="7" t="s">
        <v>3679</v>
      </c>
      <c r="J1363" s="7" t="str">
        <f>VLOOKUP(Table2[[#This Row],[Author]],People!A:B,2,0)</f>
        <v>EL</v>
      </c>
      <c r="K1363" s="7"/>
      <c r="L1363" s="7"/>
      <c r="M1363" s="16" t="s">
        <v>2804</v>
      </c>
    </row>
    <row r="1364" spans="1:13" x14ac:dyDescent="0.25">
      <c r="A1364" s="22">
        <f t="shared" si="21"/>
        <v>1363</v>
      </c>
      <c r="B1364" s="6" t="s">
        <v>4851</v>
      </c>
      <c r="C1364" s="6" t="s">
        <v>5206</v>
      </c>
      <c r="D1364" s="6" t="s">
        <v>3018</v>
      </c>
      <c r="E1364" s="6" t="s">
        <v>5672</v>
      </c>
      <c r="F1364" s="6" t="s">
        <v>3006</v>
      </c>
      <c r="G1364" s="6" t="s">
        <v>496</v>
      </c>
      <c r="H1364" s="6" t="str">
        <f>IFERROR(VLOOKUP(Table2[[#This Row],[Ticket]],Okey!A:B,2,0),"")</f>
        <v>ok</v>
      </c>
      <c r="I1364" s="6" t="s">
        <v>3679</v>
      </c>
      <c r="J1364" s="6" t="str">
        <f>VLOOKUP(Table2[[#This Row],[Author]],People!A:B,2,0)</f>
        <v>EL</v>
      </c>
      <c r="K1364" s="6"/>
      <c r="L1364" s="6"/>
      <c r="M1364" s="21" t="s">
        <v>2804</v>
      </c>
    </row>
    <row r="1365" spans="1:13" x14ac:dyDescent="0.25">
      <c r="A1365" s="23">
        <f t="shared" si="21"/>
        <v>1364</v>
      </c>
      <c r="B1365" s="7" t="s">
        <v>4851</v>
      </c>
      <c r="C1365" s="7" t="s">
        <v>5206</v>
      </c>
      <c r="D1365" s="7" t="s">
        <v>3020</v>
      </c>
      <c r="E1365" s="7" t="s">
        <v>5673</v>
      </c>
      <c r="F1365" s="7" t="s">
        <v>3006</v>
      </c>
      <c r="G1365" s="7" t="s">
        <v>496</v>
      </c>
      <c r="H1365" s="7" t="str">
        <f>IFERROR(VLOOKUP(Table2[[#This Row],[Ticket]],Okey!A:B,2,0),"")</f>
        <v>ok</v>
      </c>
      <c r="I1365" s="7" t="s">
        <v>3679</v>
      </c>
      <c r="J1365" s="7" t="str">
        <f>VLOOKUP(Table2[[#This Row],[Author]],People!A:B,2,0)</f>
        <v>EL</v>
      </c>
      <c r="K1365" s="7"/>
      <c r="L1365" s="7"/>
      <c r="M1365" s="16" t="s">
        <v>2804</v>
      </c>
    </row>
    <row r="1366" spans="1:13" x14ac:dyDescent="0.25">
      <c r="A1366" s="22">
        <f t="shared" si="21"/>
        <v>1365</v>
      </c>
      <c r="B1366" s="6" t="s">
        <v>4851</v>
      </c>
      <c r="C1366" s="6" t="s">
        <v>5206</v>
      </c>
      <c r="D1366" s="6" t="s">
        <v>3022</v>
      </c>
      <c r="E1366" s="6" t="s">
        <v>5674</v>
      </c>
      <c r="F1366" s="6" t="s">
        <v>3006</v>
      </c>
      <c r="G1366" s="6" t="s">
        <v>496</v>
      </c>
      <c r="H1366" s="6" t="str">
        <f>IFERROR(VLOOKUP(Table2[[#This Row],[Ticket]],Okey!A:B,2,0),"")</f>
        <v>ok</v>
      </c>
      <c r="I1366" s="6" t="s">
        <v>3679</v>
      </c>
      <c r="J1366" s="6" t="str">
        <f>VLOOKUP(Table2[[#This Row],[Author]],People!A:B,2,0)</f>
        <v>EL</v>
      </c>
      <c r="K1366" s="6"/>
      <c r="L1366" s="6"/>
      <c r="M1366" s="21" t="s">
        <v>2804</v>
      </c>
    </row>
    <row r="1367" spans="1:13" x14ac:dyDescent="0.25">
      <c r="A1367" s="23">
        <f t="shared" si="21"/>
        <v>1366</v>
      </c>
      <c r="B1367" s="7" t="s">
        <v>4851</v>
      </c>
      <c r="C1367" s="7" t="s">
        <v>5206</v>
      </c>
      <c r="D1367" s="7" t="s">
        <v>3024</v>
      </c>
      <c r="E1367" s="7" t="s">
        <v>5675</v>
      </c>
      <c r="F1367" s="7" t="s">
        <v>3006</v>
      </c>
      <c r="G1367" s="7" t="s">
        <v>496</v>
      </c>
      <c r="H1367" s="7" t="str">
        <f>IFERROR(VLOOKUP(Table2[[#This Row],[Ticket]],Okey!A:B,2,0),"")</f>
        <v>ok</v>
      </c>
      <c r="I1367" s="7" t="s">
        <v>3679</v>
      </c>
      <c r="J1367" s="7" t="str">
        <f>VLOOKUP(Table2[[#This Row],[Author]],People!A:B,2,0)</f>
        <v>EL</v>
      </c>
      <c r="K1367" s="7"/>
      <c r="L1367" s="7"/>
      <c r="M1367" s="16" t="s">
        <v>2804</v>
      </c>
    </row>
    <row r="1368" spans="1:13" x14ac:dyDescent="0.25">
      <c r="A1368" s="22">
        <f t="shared" si="21"/>
        <v>1367</v>
      </c>
      <c r="B1368" s="6" t="s">
        <v>4851</v>
      </c>
      <c r="C1368" s="6" t="s">
        <v>5206</v>
      </c>
      <c r="D1368" s="6" t="s">
        <v>3026</v>
      </c>
      <c r="E1368" s="6" t="s">
        <v>5676</v>
      </c>
      <c r="F1368" s="6" t="s">
        <v>3006</v>
      </c>
      <c r="G1368" s="6" t="s">
        <v>496</v>
      </c>
      <c r="H1368" s="6" t="str">
        <f>IFERROR(VLOOKUP(Table2[[#This Row],[Ticket]],Okey!A:B,2,0),"")</f>
        <v>ok</v>
      </c>
      <c r="I1368" s="6" t="s">
        <v>3679</v>
      </c>
      <c r="J1368" s="6" t="str">
        <f>VLOOKUP(Table2[[#This Row],[Author]],People!A:B,2,0)</f>
        <v>EL</v>
      </c>
      <c r="K1368" s="6"/>
      <c r="L1368" s="6"/>
      <c r="M1368" s="21" t="s">
        <v>2804</v>
      </c>
    </row>
    <row r="1369" spans="1:13" x14ac:dyDescent="0.25">
      <c r="A1369" s="23">
        <f t="shared" si="21"/>
        <v>1368</v>
      </c>
      <c r="B1369" s="7" t="s">
        <v>4851</v>
      </c>
      <c r="C1369" s="7" t="s">
        <v>5206</v>
      </c>
      <c r="D1369" s="7" t="s">
        <v>5677</v>
      </c>
      <c r="E1369" s="7" t="s">
        <v>5678</v>
      </c>
      <c r="F1369" s="7" t="s">
        <v>5209</v>
      </c>
      <c r="G1369" s="7" t="s">
        <v>496</v>
      </c>
      <c r="H1369" s="7" t="str">
        <f>IFERROR(VLOOKUP(Table2[[#This Row],[Ticket]],Okey!A:B,2,0),"")</f>
        <v>ok</v>
      </c>
      <c r="I1369" s="7" t="s">
        <v>3679</v>
      </c>
      <c r="J1369" s="7" t="str">
        <f>VLOOKUP(Table2[[#This Row],[Author]],People!A:B,2,0)</f>
        <v>EL</v>
      </c>
      <c r="K1369" s="7"/>
      <c r="L1369" s="7"/>
      <c r="M1369" s="16" t="s">
        <v>2804</v>
      </c>
    </row>
    <row r="1370" spans="1:13" x14ac:dyDescent="0.25">
      <c r="A1370" s="22">
        <f t="shared" si="21"/>
        <v>1369</v>
      </c>
      <c r="B1370" s="6" t="s">
        <v>4851</v>
      </c>
      <c r="C1370" s="6" t="s">
        <v>5206</v>
      </c>
      <c r="D1370" s="6" t="s">
        <v>5679</v>
      </c>
      <c r="E1370" s="6" t="s">
        <v>5680</v>
      </c>
      <c r="F1370" s="6" t="s">
        <v>5209</v>
      </c>
      <c r="G1370" s="6" t="s">
        <v>496</v>
      </c>
      <c r="H1370" s="6" t="str">
        <f>IFERROR(VLOOKUP(Table2[[#This Row],[Ticket]],Okey!A:B,2,0),"")</f>
        <v>ok</v>
      </c>
      <c r="I1370" s="6" t="s">
        <v>3679</v>
      </c>
      <c r="J1370" s="6" t="str">
        <f>VLOOKUP(Table2[[#This Row],[Author]],People!A:B,2,0)</f>
        <v>EL</v>
      </c>
      <c r="K1370" s="6"/>
      <c r="L1370" s="6"/>
      <c r="M1370" s="21" t="s">
        <v>2804</v>
      </c>
    </row>
    <row r="1371" spans="1:13" x14ac:dyDescent="0.25">
      <c r="A1371" s="23">
        <f t="shared" si="21"/>
        <v>1370</v>
      </c>
      <c r="B1371" s="7" t="s">
        <v>4851</v>
      </c>
      <c r="C1371" s="7" t="s">
        <v>5206</v>
      </c>
      <c r="D1371" s="7" t="s">
        <v>5681</v>
      </c>
      <c r="E1371" s="7" t="s">
        <v>5682</v>
      </c>
      <c r="F1371" s="7" t="s">
        <v>5209</v>
      </c>
      <c r="G1371" s="7" t="s">
        <v>496</v>
      </c>
      <c r="H1371" s="7" t="str">
        <f>IFERROR(VLOOKUP(Table2[[#This Row],[Ticket]],Okey!A:B,2,0),"")</f>
        <v>ok</v>
      </c>
      <c r="I1371" s="7" t="s">
        <v>3679</v>
      </c>
      <c r="J1371" s="7" t="str">
        <f>VLOOKUP(Table2[[#This Row],[Author]],People!A:B,2,0)</f>
        <v>EL</v>
      </c>
      <c r="K1371" s="7"/>
      <c r="L1371" s="7"/>
      <c r="M1371" s="16" t="s">
        <v>2804</v>
      </c>
    </row>
    <row r="1372" spans="1:13" x14ac:dyDescent="0.25">
      <c r="A1372" s="22">
        <f t="shared" si="21"/>
        <v>1371</v>
      </c>
      <c r="B1372" s="6" t="s">
        <v>4851</v>
      </c>
      <c r="C1372" s="6" t="s">
        <v>5206</v>
      </c>
      <c r="D1372" s="6" t="s">
        <v>5683</v>
      </c>
      <c r="E1372" s="6" t="s">
        <v>5684</v>
      </c>
      <c r="F1372" s="6" t="s">
        <v>5209</v>
      </c>
      <c r="G1372" s="6" t="s">
        <v>496</v>
      </c>
      <c r="H1372" s="6" t="str">
        <f>IFERROR(VLOOKUP(Table2[[#This Row],[Ticket]],Okey!A:B,2,0),"")</f>
        <v>ok</v>
      </c>
      <c r="I1372" s="6" t="s">
        <v>3679</v>
      </c>
      <c r="J1372" s="6" t="str">
        <f>VLOOKUP(Table2[[#This Row],[Author]],People!A:B,2,0)</f>
        <v>EL</v>
      </c>
      <c r="K1372" s="6"/>
      <c r="L1372" s="6"/>
      <c r="M1372" s="21" t="s">
        <v>2804</v>
      </c>
    </row>
    <row r="1373" spans="1:13" x14ac:dyDescent="0.25">
      <c r="A1373" s="23">
        <f t="shared" si="21"/>
        <v>1372</v>
      </c>
      <c r="B1373" s="7" t="s">
        <v>4851</v>
      </c>
      <c r="C1373" s="7" t="s">
        <v>5206</v>
      </c>
      <c r="D1373" s="7" t="s">
        <v>5685</v>
      </c>
      <c r="E1373" s="7" t="s">
        <v>5686</v>
      </c>
      <c r="F1373" s="7" t="s">
        <v>5209</v>
      </c>
      <c r="G1373" s="7" t="s">
        <v>496</v>
      </c>
      <c r="H1373" s="7" t="str">
        <f>IFERROR(VLOOKUP(Table2[[#This Row],[Ticket]],Okey!A:B,2,0),"")</f>
        <v>ok</v>
      </c>
      <c r="I1373" s="7" t="s">
        <v>3679</v>
      </c>
      <c r="J1373" s="7" t="str">
        <f>VLOOKUP(Table2[[#This Row],[Author]],People!A:B,2,0)</f>
        <v>EL</v>
      </c>
      <c r="K1373" s="7"/>
      <c r="L1373" s="7"/>
      <c r="M1373" s="16" t="s">
        <v>2804</v>
      </c>
    </row>
    <row r="1374" spans="1:13" x14ac:dyDescent="0.25">
      <c r="A1374" s="22">
        <f t="shared" si="21"/>
        <v>1373</v>
      </c>
      <c r="B1374" s="6" t="s">
        <v>4851</v>
      </c>
      <c r="C1374" s="6" t="s">
        <v>5206</v>
      </c>
      <c r="D1374" s="6" t="s">
        <v>5687</v>
      </c>
      <c r="E1374" s="6" t="s">
        <v>5688</v>
      </c>
      <c r="F1374" s="6" t="s">
        <v>5209</v>
      </c>
      <c r="G1374" s="6" t="s">
        <v>496</v>
      </c>
      <c r="H1374" s="6" t="str">
        <f>IFERROR(VLOOKUP(Table2[[#This Row],[Ticket]],Okey!A:B,2,0),"")</f>
        <v>ok</v>
      </c>
      <c r="I1374" s="6" t="s">
        <v>3679</v>
      </c>
      <c r="J1374" s="6" t="str">
        <f>VLOOKUP(Table2[[#This Row],[Author]],People!A:B,2,0)</f>
        <v>EL</v>
      </c>
      <c r="K1374" s="6"/>
      <c r="L1374" s="6"/>
      <c r="M1374" s="21" t="s">
        <v>2804</v>
      </c>
    </row>
    <row r="1375" spans="1:13" x14ac:dyDescent="0.25">
      <c r="A1375" s="23">
        <f t="shared" si="21"/>
        <v>1374</v>
      </c>
      <c r="B1375" s="7" t="s">
        <v>4851</v>
      </c>
      <c r="C1375" s="7" t="s">
        <v>5206</v>
      </c>
      <c r="D1375" s="7" t="s">
        <v>5689</v>
      </c>
      <c r="E1375" s="7" t="s">
        <v>5690</v>
      </c>
      <c r="F1375" s="7" t="s">
        <v>5209</v>
      </c>
      <c r="G1375" s="7" t="s">
        <v>496</v>
      </c>
      <c r="H1375" s="7" t="str">
        <f>IFERROR(VLOOKUP(Table2[[#This Row],[Ticket]],Okey!A:B,2,0),"")</f>
        <v>ok</v>
      </c>
      <c r="I1375" s="7" t="s">
        <v>3679</v>
      </c>
      <c r="J1375" s="7" t="str">
        <f>VLOOKUP(Table2[[#This Row],[Author]],People!A:B,2,0)</f>
        <v>EL</v>
      </c>
      <c r="K1375" s="7"/>
      <c r="L1375" s="7"/>
      <c r="M1375" s="16" t="s">
        <v>2804</v>
      </c>
    </row>
    <row r="1376" spans="1:13" x14ac:dyDescent="0.25">
      <c r="A1376" s="22">
        <f t="shared" si="21"/>
        <v>1375</v>
      </c>
      <c r="B1376" s="6" t="s">
        <v>4851</v>
      </c>
      <c r="C1376" s="6" t="s">
        <v>5206</v>
      </c>
      <c r="D1376" s="6" t="s">
        <v>5691</v>
      </c>
      <c r="E1376" s="6" t="s">
        <v>5692</v>
      </c>
      <c r="F1376" s="6" t="s">
        <v>5209</v>
      </c>
      <c r="G1376" s="6" t="s">
        <v>496</v>
      </c>
      <c r="H1376" s="6" t="str">
        <f>IFERROR(VLOOKUP(Table2[[#This Row],[Ticket]],Okey!A:B,2,0),"")</f>
        <v>ok</v>
      </c>
      <c r="I1376" s="6" t="s">
        <v>3679</v>
      </c>
      <c r="J1376" s="6" t="str">
        <f>VLOOKUP(Table2[[#This Row],[Author]],People!A:B,2,0)</f>
        <v>EL</v>
      </c>
      <c r="K1376" s="6"/>
      <c r="L1376" s="6"/>
      <c r="M1376" s="21" t="s">
        <v>2804</v>
      </c>
    </row>
    <row r="1377" spans="1:13" x14ac:dyDescent="0.25">
      <c r="A1377" s="23">
        <f t="shared" si="21"/>
        <v>1376</v>
      </c>
      <c r="B1377" s="7" t="s">
        <v>4851</v>
      </c>
      <c r="C1377" s="7" t="s">
        <v>5206</v>
      </c>
      <c r="D1377" s="7" t="s">
        <v>5693</v>
      </c>
      <c r="E1377" s="7" t="s">
        <v>5694</v>
      </c>
      <c r="F1377" s="7" t="s">
        <v>5209</v>
      </c>
      <c r="G1377" s="7" t="s">
        <v>496</v>
      </c>
      <c r="H1377" s="7" t="str">
        <f>IFERROR(VLOOKUP(Table2[[#This Row],[Ticket]],Okey!A:B,2,0),"")</f>
        <v>ok</v>
      </c>
      <c r="I1377" s="7" t="s">
        <v>3679</v>
      </c>
      <c r="J1377" s="7" t="str">
        <f>VLOOKUP(Table2[[#This Row],[Author]],People!A:B,2,0)</f>
        <v>EL</v>
      </c>
      <c r="K1377" s="7"/>
      <c r="L1377" s="7"/>
      <c r="M1377" s="16" t="s">
        <v>2804</v>
      </c>
    </row>
    <row r="1378" spans="1:13" x14ac:dyDescent="0.25">
      <c r="A1378" s="22">
        <f t="shared" si="21"/>
        <v>1377</v>
      </c>
      <c r="B1378" s="6" t="s">
        <v>4851</v>
      </c>
      <c r="C1378" s="6" t="s">
        <v>5206</v>
      </c>
      <c r="D1378" s="6" t="s">
        <v>5695</v>
      </c>
      <c r="E1378" s="6" t="s">
        <v>5696</v>
      </c>
      <c r="F1378" s="6" t="s">
        <v>5209</v>
      </c>
      <c r="G1378" s="6" t="s">
        <v>496</v>
      </c>
      <c r="H1378" s="6" t="str">
        <f>IFERROR(VLOOKUP(Table2[[#This Row],[Ticket]],Okey!A:B,2,0),"")</f>
        <v>ok</v>
      </c>
      <c r="I1378" s="6" t="s">
        <v>3679</v>
      </c>
      <c r="J1378" s="6" t="str">
        <f>VLOOKUP(Table2[[#This Row],[Author]],People!A:B,2,0)</f>
        <v>EL</v>
      </c>
      <c r="K1378" s="6"/>
      <c r="L1378" s="6"/>
      <c r="M1378" s="21" t="s">
        <v>2804</v>
      </c>
    </row>
    <row r="1379" spans="1:13" x14ac:dyDescent="0.25">
      <c r="A1379" s="23">
        <f t="shared" si="21"/>
        <v>1378</v>
      </c>
      <c r="B1379" s="7" t="s">
        <v>4851</v>
      </c>
      <c r="C1379" s="7" t="s">
        <v>5206</v>
      </c>
      <c r="D1379" s="7" t="s">
        <v>1838</v>
      </c>
      <c r="E1379" s="7" t="s">
        <v>2256</v>
      </c>
      <c r="F1379" s="7" t="s">
        <v>5213</v>
      </c>
      <c r="G1379" s="7" t="s">
        <v>496</v>
      </c>
      <c r="H1379" s="7" t="str">
        <f>IFERROR(VLOOKUP(Table2[[#This Row],[Ticket]],Okey!A:B,2,0),"")</f>
        <v>ok</v>
      </c>
      <c r="I1379" s="7" t="s">
        <v>3679</v>
      </c>
      <c r="J1379" s="7" t="str">
        <f>VLOOKUP(Table2[[#This Row],[Author]],People!A:B,2,0)</f>
        <v>EL</v>
      </c>
      <c r="K1379" s="7"/>
      <c r="L1379" s="7"/>
      <c r="M1379" s="16" t="s">
        <v>2804</v>
      </c>
    </row>
    <row r="1380" spans="1:13" x14ac:dyDescent="0.25">
      <c r="A1380" s="22">
        <f t="shared" si="21"/>
        <v>1379</v>
      </c>
      <c r="B1380" s="6" t="s">
        <v>4851</v>
      </c>
      <c r="C1380" s="6" t="s">
        <v>5206</v>
      </c>
      <c r="D1380" s="6" t="s">
        <v>3036</v>
      </c>
      <c r="E1380" s="6" t="s">
        <v>5697</v>
      </c>
      <c r="F1380" s="6" t="s">
        <v>3034</v>
      </c>
      <c r="G1380" s="6" t="s">
        <v>496</v>
      </c>
      <c r="H1380" s="6" t="str">
        <f>IFERROR(VLOOKUP(Table2[[#This Row],[Ticket]],Okey!A:B,2,0),"")</f>
        <v>ok</v>
      </c>
      <c r="I1380" s="6" t="s">
        <v>3679</v>
      </c>
      <c r="J1380" s="6" t="str">
        <f>VLOOKUP(Table2[[#This Row],[Author]],People!A:B,2,0)</f>
        <v>EL</v>
      </c>
      <c r="K1380" s="6"/>
      <c r="L1380" s="6"/>
      <c r="M1380" s="21" t="s">
        <v>2804</v>
      </c>
    </row>
    <row r="1381" spans="1:13" x14ac:dyDescent="0.25">
      <c r="A1381" s="23">
        <f t="shared" si="21"/>
        <v>1380</v>
      </c>
      <c r="B1381" s="7" t="s">
        <v>4851</v>
      </c>
      <c r="C1381" s="7" t="s">
        <v>5206</v>
      </c>
      <c r="D1381" s="7" t="s">
        <v>3038</v>
      </c>
      <c r="E1381" s="7" t="s">
        <v>5698</v>
      </c>
      <c r="F1381" s="7" t="s">
        <v>3034</v>
      </c>
      <c r="G1381" s="7" t="s">
        <v>496</v>
      </c>
      <c r="H1381" s="7" t="str">
        <f>IFERROR(VLOOKUP(Table2[[#This Row],[Ticket]],Okey!A:B,2,0),"")</f>
        <v>ok</v>
      </c>
      <c r="I1381" s="7" t="s">
        <v>3679</v>
      </c>
      <c r="J1381" s="7" t="str">
        <f>VLOOKUP(Table2[[#This Row],[Author]],People!A:B,2,0)</f>
        <v>EL</v>
      </c>
      <c r="K1381" s="7"/>
      <c r="L1381" s="7"/>
      <c r="M1381" s="16" t="s">
        <v>2804</v>
      </c>
    </row>
    <row r="1382" spans="1:13" x14ac:dyDescent="0.25">
      <c r="A1382" s="22">
        <f t="shared" si="21"/>
        <v>1381</v>
      </c>
      <c r="B1382" s="6" t="s">
        <v>4851</v>
      </c>
      <c r="C1382" s="6" t="s">
        <v>5206</v>
      </c>
      <c r="D1382" s="6" t="s">
        <v>3040</v>
      </c>
      <c r="E1382" s="6" t="s">
        <v>5699</v>
      </c>
      <c r="F1382" s="6" t="s">
        <v>3034</v>
      </c>
      <c r="G1382" s="6" t="s">
        <v>496</v>
      </c>
      <c r="H1382" s="6" t="str">
        <f>IFERROR(VLOOKUP(Table2[[#This Row],[Ticket]],Okey!A:B,2,0),"")</f>
        <v>ok</v>
      </c>
      <c r="I1382" s="6" t="s">
        <v>3679</v>
      </c>
      <c r="J1382" s="6" t="str">
        <f>VLOOKUP(Table2[[#This Row],[Author]],People!A:B,2,0)</f>
        <v>EL</v>
      </c>
      <c r="K1382" s="6"/>
      <c r="L1382" s="6"/>
      <c r="M1382" s="21" t="s">
        <v>2804</v>
      </c>
    </row>
    <row r="1383" spans="1:13" x14ac:dyDescent="0.25">
      <c r="A1383" s="23">
        <f t="shared" si="21"/>
        <v>1382</v>
      </c>
      <c r="B1383" s="7" t="s">
        <v>4851</v>
      </c>
      <c r="C1383" s="7" t="s">
        <v>5206</v>
      </c>
      <c r="D1383" s="7" t="s">
        <v>3042</v>
      </c>
      <c r="E1383" s="7" t="s">
        <v>5700</v>
      </c>
      <c r="F1383" s="7" t="s">
        <v>3034</v>
      </c>
      <c r="G1383" s="7" t="s">
        <v>496</v>
      </c>
      <c r="H1383" s="7" t="str">
        <f>IFERROR(VLOOKUP(Table2[[#This Row],[Ticket]],Okey!A:B,2,0),"")</f>
        <v>ok</v>
      </c>
      <c r="I1383" s="7" t="s">
        <v>3679</v>
      </c>
      <c r="J1383" s="7" t="str">
        <f>VLOOKUP(Table2[[#This Row],[Author]],People!A:B,2,0)</f>
        <v>EL</v>
      </c>
      <c r="K1383" s="7"/>
      <c r="L1383" s="7"/>
      <c r="M1383" s="16" t="s">
        <v>2804</v>
      </c>
    </row>
    <row r="1384" spans="1:13" x14ac:dyDescent="0.25">
      <c r="A1384" s="22">
        <f t="shared" si="21"/>
        <v>1383</v>
      </c>
      <c r="B1384" s="6" t="s">
        <v>4851</v>
      </c>
      <c r="C1384" s="6" t="s">
        <v>5206</v>
      </c>
      <c r="D1384" s="6" t="s">
        <v>3044</v>
      </c>
      <c r="E1384" s="6" t="s">
        <v>5701</v>
      </c>
      <c r="F1384" s="6" t="s">
        <v>3034</v>
      </c>
      <c r="G1384" s="6" t="s">
        <v>496</v>
      </c>
      <c r="H1384" s="6" t="str">
        <f>IFERROR(VLOOKUP(Table2[[#This Row],[Ticket]],Okey!A:B,2,0),"")</f>
        <v>ok</v>
      </c>
      <c r="I1384" s="6" t="s">
        <v>3679</v>
      </c>
      <c r="J1384" s="6" t="str">
        <f>VLOOKUP(Table2[[#This Row],[Author]],People!A:B,2,0)</f>
        <v>EL</v>
      </c>
      <c r="K1384" s="6"/>
      <c r="L1384" s="6"/>
      <c r="M1384" s="21" t="s">
        <v>2804</v>
      </c>
    </row>
    <row r="1385" spans="1:13" x14ac:dyDescent="0.25">
      <c r="A1385" s="23">
        <f t="shared" si="21"/>
        <v>1384</v>
      </c>
      <c r="B1385" s="7" t="s">
        <v>4851</v>
      </c>
      <c r="C1385" s="7" t="s">
        <v>5206</v>
      </c>
      <c r="D1385" s="7" t="s">
        <v>3046</v>
      </c>
      <c r="E1385" s="7" t="s">
        <v>5702</v>
      </c>
      <c r="F1385" s="7" t="s">
        <v>3034</v>
      </c>
      <c r="G1385" s="7" t="s">
        <v>496</v>
      </c>
      <c r="H1385" s="7" t="str">
        <f>IFERROR(VLOOKUP(Table2[[#This Row],[Ticket]],Okey!A:B,2,0),"")</f>
        <v>ok</v>
      </c>
      <c r="I1385" s="7" t="s">
        <v>3679</v>
      </c>
      <c r="J1385" s="7" t="str">
        <f>VLOOKUP(Table2[[#This Row],[Author]],People!A:B,2,0)</f>
        <v>EL</v>
      </c>
      <c r="K1385" s="7"/>
      <c r="L1385" s="7"/>
      <c r="M1385" s="16" t="s">
        <v>2804</v>
      </c>
    </row>
    <row r="1386" spans="1:13" x14ac:dyDescent="0.25">
      <c r="A1386" s="22">
        <f t="shared" si="21"/>
        <v>1385</v>
      </c>
      <c r="B1386" s="6" t="s">
        <v>4851</v>
      </c>
      <c r="C1386" s="6" t="s">
        <v>5206</v>
      </c>
      <c r="D1386" s="6" t="s">
        <v>3048</v>
      </c>
      <c r="E1386" s="6" t="s">
        <v>5703</v>
      </c>
      <c r="F1386" s="6" t="s">
        <v>3034</v>
      </c>
      <c r="G1386" s="6" t="s">
        <v>496</v>
      </c>
      <c r="H1386" s="6" t="str">
        <f>IFERROR(VLOOKUP(Table2[[#This Row],[Ticket]],Okey!A:B,2,0),"")</f>
        <v>ok</v>
      </c>
      <c r="I1386" s="6" t="s">
        <v>3679</v>
      </c>
      <c r="J1386" s="6" t="str">
        <f>VLOOKUP(Table2[[#This Row],[Author]],People!A:B,2,0)</f>
        <v>LS</v>
      </c>
      <c r="K1386" s="6"/>
      <c r="L1386" s="6"/>
      <c r="M1386" s="21" t="s">
        <v>2804</v>
      </c>
    </row>
    <row r="1387" spans="1:13" x14ac:dyDescent="0.25">
      <c r="A1387" s="23">
        <f t="shared" si="21"/>
        <v>1386</v>
      </c>
      <c r="B1387" s="7" t="s">
        <v>4851</v>
      </c>
      <c r="C1387" s="7" t="s">
        <v>5206</v>
      </c>
      <c r="D1387" s="7" t="s">
        <v>3050</v>
      </c>
      <c r="E1387" s="7" t="s">
        <v>5704</v>
      </c>
      <c r="F1387" s="7" t="s">
        <v>3034</v>
      </c>
      <c r="G1387" s="7" t="s">
        <v>496</v>
      </c>
      <c r="H1387" s="7" t="str">
        <f>IFERROR(VLOOKUP(Table2[[#This Row],[Ticket]],Okey!A:B,2,0),"")</f>
        <v>ok</v>
      </c>
      <c r="I1387" s="7" t="s">
        <v>3679</v>
      </c>
      <c r="J1387" s="7" t="str">
        <f>VLOOKUP(Table2[[#This Row],[Author]],People!A:B,2,0)</f>
        <v>HC</v>
      </c>
      <c r="K1387" s="7"/>
      <c r="L1387" s="7"/>
      <c r="M1387" s="16" t="s">
        <v>2804</v>
      </c>
    </row>
    <row r="1388" spans="1:13" x14ac:dyDescent="0.25">
      <c r="A1388" s="22">
        <f t="shared" si="21"/>
        <v>1387</v>
      </c>
      <c r="B1388" s="6" t="s">
        <v>4851</v>
      </c>
      <c r="C1388" s="6" t="s">
        <v>5206</v>
      </c>
      <c r="D1388" s="6" t="s">
        <v>3052</v>
      </c>
      <c r="E1388" s="6" t="s">
        <v>5705</v>
      </c>
      <c r="F1388" s="6" t="s">
        <v>3034</v>
      </c>
      <c r="G1388" s="6" t="s">
        <v>496</v>
      </c>
      <c r="H1388" s="6" t="str">
        <f>IFERROR(VLOOKUP(Table2[[#This Row],[Ticket]],Okey!A:B,2,0),"")</f>
        <v>ok</v>
      </c>
      <c r="I1388" s="6" t="s">
        <v>3679</v>
      </c>
      <c r="J1388" s="6" t="str">
        <f>VLOOKUP(Table2[[#This Row],[Author]],People!A:B,2,0)</f>
        <v>HC</v>
      </c>
      <c r="K1388" s="6"/>
      <c r="L1388" s="6"/>
      <c r="M1388" s="21" t="s">
        <v>2804</v>
      </c>
    </row>
    <row r="1389" spans="1:13" x14ac:dyDescent="0.25">
      <c r="A1389" s="23">
        <f t="shared" si="21"/>
        <v>1388</v>
      </c>
      <c r="B1389" s="7" t="s">
        <v>4851</v>
      </c>
      <c r="C1389" s="7" t="s">
        <v>5206</v>
      </c>
      <c r="D1389" s="7" t="s">
        <v>3054</v>
      </c>
      <c r="E1389" s="7" t="s">
        <v>5706</v>
      </c>
      <c r="F1389" s="7" t="s">
        <v>3034</v>
      </c>
      <c r="G1389" s="7" t="s">
        <v>496</v>
      </c>
      <c r="H1389" s="7" t="str">
        <f>IFERROR(VLOOKUP(Table2[[#This Row],[Ticket]],Okey!A:B,2,0),"")</f>
        <v>ok</v>
      </c>
      <c r="I1389" s="7" t="s">
        <v>3679</v>
      </c>
      <c r="J1389" s="7" t="str">
        <f>VLOOKUP(Table2[[#This Row],[Author]],People!A:B,2,0)</f>
        <v>HC</v>
      </c>
      <c r="K1389" s="7"/>
      <c r="L1389" s="7"/>
      <c r="M1389" s="16" t="s">
        <v>2804</v>
      </c>
    </row>
    <row r="1390" spans="1:13" x14ac:dyDescent="0.25">
      <c r="A1390" s="22">
        <f t="shared" si="21"/>
        <v>1389</v>
      </c>
      <c r="B1390" s="6" t="s">
        <v>4851</v>
      </c>
      <c r="C1390" s="6" t="s">
        <v>5206</v>
      </c>
      <c r="D1390" s="6" t="s">
        <v>1840</v>
      </c>
      <c r="E1390" s="6" t="s">
        <v>2255</v>
      </c>
      <c r="F1390" s="6" t="s">
        <v>5213</v>
      </c>
      <c r="G1390" s="6" t="s">
        <v>496</v>
      </c>
      <c r="H1390" s="6" t="str">
        <f>IFERROR(VLOOKUP(Table2[[#This Row],[Ticket]],Okey!A:B,2,0),"")</f>
        <v>ok</v>
      </c>
      <c r="I1390" s="6" t="s">
        <v>3679</v>
      </c>
      <c r="J1390" s="6" t="str">
        <f>VLOOKUP(Table2[[#This Row],[Author]],People!A:B,2,0)</f>
        <v>HC</v>
      </c>
      <c r="K1390" s="6"/>
      <c r="L1390" s="6"/>
      <c r="M1390" s="21" t="s">
        <v>2804</v>
      </c>
    </row>
    <row r="1391" spans="1:13" x14ac:dyDescent="0.25">
      <c r="A1391" s="23">
        <f t="shared" si="21"/>
        <v>1390</v>
      </c>
      <c r="B1391" s="7" t="s">
        <v>4851</v>
      </c>
      <c r="C1391" s="7" t="s">
        <v>5206</v>
      </c>
      <c r="D1391" s="7" t="s">
        <v>3063</v>
      </c>
      <c r="E1391" s="7" t="s">
        <v>5707</v>
      </c>
      <c r="F1391" s="7" t="s">
        <v>3061</v>
      </c>
      <c r="G1391" s="7" t="s">
        <v>496</v>
      </c>
      <c r="H1391" s="7" t="str">
        <f>IFERROR(VLOOKUP(Table2[[#This Row],[Ticket]],Okey!A:B,2,0),"")</f>
        <v>ok</v>
      </c>
      <c r="I1391" s="7" t="s">
        <v>3679</v>
      </c>
      <c r="J1391" s="7" t="str">
        <f>VLOOKUP(Table2[[#This Row],[Author]],People!A:B,2,0)</f>
        <v>HC</v>
      </c>
      <c r="K1391" s="7"/>
      <c r="L1391" s="7"/>
      <c r="M1391" s="16" t="s">
        <v>2804</v>
      </c>
    </row>
    <row r="1392" spans="1:13" x14ac:dyDescent="0.25">
      <c r="A1392" s="22">
        <f t="shared" si="21"/>
        <v>1391</v>
      </c>
      <c r="B1392" s="6" t="s">
        <v>4851</v>
      </c>
      <c r="C1392" s="6" t="s">
        <v>5206</v>
      </c>
      <c r="D1392" s="6" t="s">
        <v>3065</v>
      </c>
      <c r="E1392" s="6" t="s">
        <v>5708</v>
      </c>
      <c r="F1392" s="6" t="s">
        <v>3061</v>
      </c>
      <c r="G1392" s="6" t="s">
        <v>496</v>
      </c>
      <c r="H1392" s="6" t="str">
        <f>IFERROR(VLOOKUP(Table2[[#This Row],[Ticket]],Okey!A:B,2,0),"")</f>
        <v>ok</v>
      </c>
      <c r="I1392" s="6" t="s">
        <v>3679</v>
      </c>
      <c r="J1392" s="6" t="str">
        <f>VLOOKUP(Table2[[#This Row],[Author]],People!A:B,2,0)</f>
        <v>HC</v>
      </c>
      <c r="K1392" s="6"/>
      <c r="L1392" s="6"/>
      <c r="M1392" s="21" t="s">
        <v>2804</v>
      </c>
    </row>
    <row r="1393" spans="1:13" x14ac:dyDescent="0.25">
      <c r="A1393" s="23">
        <f t="shared" si="21"/>
        <v>1392</v>
      </c>
      <c r="B1393" s="7" t="s">
        <v>4851</v>
      </c>
      <c r="C1393" s="7" t="s">
        <v>5206</v>
      </c>
      <c r="D1393" s="7" t="s">
        <v>3067</v>
      </c>
      <c r="E1393" s="7" t="s">
        <v>5709</v>
      </c>
      <c r="F1393" s="7" t="s">
        <v>3061</v>
      </c>
      <c r="G1393" s="7" t="s">
        <v>496</v>
      </c>
      <c r="H1393" s="7" t="str">
        <f>IFERROR(VLOOKUP(Table2[[#This Row],[Ticket]],Okey!A:B,2,0),"")</f>
        <v>ok</v>
      </c>
      <c r="I1393" s="7" t="s">
        <v>3679</v>
      </c>
      <c r="J1393" s="7" t="str">
        <f>VLOOKUP(Table2[[#This Row],[Author]],People!A:B,2,0)</f>
        <v>HC</v>
      </c>
      <c r="K1393" s="7"/>
      <c r="L1393" s="7"/>
      <c r="M1393" s="16" t="s">
        <v>2804</v>
      </c>
    </row>
    <row r="1394" spans="1:13" x14ac:dyDescent="0.25">
      <c r="A1394" s="22">
        <f t="shared" si="21"/>
        <v>1393</v>
      </c>
      <c r="B1394" s="6" t="s">
        <v>4851</v>
      </c>
      <c r="C1394" s="6" t="s">
        <v>5206</v>
      </c>
      <c r="D1394" s="6" t="s">
        <v>3069</v>
      </c>
      <c r="E1394" s="6" t="s">
        <v>5710</v>
      </c>
      <c r="F1394" s="6" t="s">
        <v>3061</v>
      </c>
      <c r="G1394" s="6" t="s">
        <v>496</v>
      </c>
      <c r="H1394" s="6" t="str">
        <f>IFERROR(VLOOKUP(Table2[[#This Row],[Ticket]],Okey!A:B,2,0),"")</f>
        <v>ok</v>
      </c>
      <c r="I1394" s="6" t="s">
        <v>3679</v>
      </c>
      <c r="J1394" s="6" t="str">
        <f>VLOOKUP(Table2[[#This Row],[Author]],People!A:B,2,0)</f>
        <v>LS</v>
      </c>
      <c r="K1394" s="6"/>
      <c r="L1394" s="6"/>
      <c r="M1394" s="21" t="s">
        <v>2804</v>
      </c>
    </row>
    <row r="1395" spans="1:13" x14ac:dyDescent="0.25">
      <c r="A1395" s="23">
        <f t="shared" si="21"/>
        <v>1394</v>
      </c>
      <c r="B1395" s="7" t="s">
        <v>4851</v>
      </c>
      <c r="C1395" s="7" t="s">
        <v>5206</v>
      </c>
      <c r="D1395" s="7" t="s">
        <v>3071</v>
      </c>
      <c r="E1395" s="7" t="s">
        <v>5711</v>
      </c>
      <c r="F1395" s="7" t="s">
        <v>3061</v>
      </c>
      <c r="G1395" s="7" t="s">
        <v>496</v>
      </c>
      <c r="H1395" s="7" t="str">
        <f>IFERROR(VLOOKUP(Table2[[#This Row],[Ticket]],Okey!A:B,2,0),"")</f>
        <v>ok</v>
      </c>
      <c r="I1395" s="7" t="s">
        <v>3679</v>
      </c>
      <c r="J1395" s="7" t="str">
        <f>VLOOKUP(Table2[[#This Row],[Author]],People!A:B,2,0)</f>
        <v>LS</v>
      </c>
      <c r="K1395" s="7"/>
      <c r="L1395" s="7"/>
      <c r="M1395" s="16" t="s">
        <v>2804</v>
      </c>
    </row>
    <row r="1396" spans="1:13" x14ac:dyDescent="0.25">
      <c r="A1396" s="22">
        <f t="shared" si="21"/>
        <v>1395</v>
      </c>
      <c r="B1396" s="6" t="s">
        <v>4851</v>
      </c>
      <c r="C1396" s="6" t="s">
        <v>5206</v>
      </c>
      <c r="D1396" s="6" t="s">
        <v>3073</v>
      </c>
      <c r="E1396" s="6" t="s">
        <v>5712</v>
      </c>
      <c r="F1396" s="6" t="s">
        <v>3061</v>
      </c>
      <c r="G1396" s="6" t="s">
        <v>496</v>
      </c>
      <c r="H1396" s="6" t="str">
        <f>IFERROR(VLOOKUP(Table2[[#This Row],[Ticket]],Okey!A:B,2,0),"")</f>
        <v>ok</v>
      </c>
      <c r="I1396" s="6" t="s">
        <v>3679</v>
      </c>
      <c r="J1396" s="6" t="str">
        <f>VLOOKUP(Table2[[#This Row],[Author]],People!A:B,2,0)</f>
        <v>LS</v>
      </c>
      <c r="K1396" s="6"/>
      <c r="L1396" s="6"/>
      <c r="M1396" s="21" t="s">
        <v>2804</v>
      </c>
    </row>
    <row r="1397" spans="1:13" x14ac:dyDescent="0.25">
      <c r="A1397" s="23">
        <f t="shared" si="21"/>
        <v>1396</v>
      </c>
      <c r="B1397" s="7" t="s">
        <v>4851</v>
      </c>
      <c r="C1397" s="7" t="s">
        <v>5206</v>
      </c>
      <c r="D1397" s="7" t="s">
        <v>3075</v>
      </c>
      <c r="E1397" s="7" t="s">
        <v>5713</v>
      </c>
      <c r="F1397" s="7" t="s">
        <v>3061</v>
      </c>
      <c r="G1397" s="7" t="s">
        <v>496</v>
      </c>
      <c r="H1397" s="7" t="str">
        <f>IFERROR(VLOOKUP(Table2[[#This Row],[Ticket]],Okey!A:B,2,0),"")</f>
        <v>ok</v>
      </c>
      <c r="I1397" s="7" t="s">
        <v>3679</v>
      </c>
      <c r="J1397" s="7" t="str">
        <f>VLOOKUP(Table2[[#This Row],[Author]],People!A:B,2,0)</f>
        <v>LS</v>
      </c>
      <c r="K1397" s="7"/>
      <c r="L1397" s="7"/>
      <c r="M1397" s="16" t="s">
        <v>2804</v>
      </c>
    </row>
    <row r="1398" spans="1:13" x14ac:dyDescent="0.25">
      <c r="A1398" s="22">
        <f t="shared" si="21"/>
        <v>1397</v>
      </c>
      <c r="B1398" s="6" t="s">
        <v>4851</v>
      </c>
      <c r="C1398" s="6" t="s">
        <v>5206</v>
      </c>
      <c r="D1398" s="6" t="s">
        <v>3077</v>
      </c>
      <c r="E1398" s="6" t="s">
        <v>5714</v>
      </c>
      <c r="F1398" s="6" t="s">
        <v>3061</v>
      </c>
      <c r="G1398" s="6" t="s">
        <v>496</v>
      </c>
      <c r="H1398" s="6" t="str">
        <f>IFERROR(VLOOKUP(Table2[[#This Row],[Ticket]],Okey!A:B,2,0),"")</f>
        <v>ok</v>
      </c>
      <c r="I1398" s="6" t="s">
        <v>3679</v>
      </c>
      <c r="J1398" s="6" t="str">
        <f>VLOOKUP(Table2[[#This Row],[Author]],People!A:B,2,0)</f>
        <v>LS</v>
      </c>
      <c r="K1398" s="6"/>
      <c r="L1398" s="6"/>
      <c r="M1398" s="21" t="s">
        <v>2804</v>
      </c>
    </row>
    <row r="1399" spans="1:13" x14ac:dyDescent="0.25">
      <c r="A1399" s="23">
        <f t="shared" si="21"/>
        <v>1398</v>
      </c>
      <c r="B1399" s="7" t="s">
        <v>4851</v>
      </c>
      <c r="C1399" s="7" t="s">
        <v>5206</v>
      </c>
      <c r="D1399" s="7" t="s">
        <v>3079</v>
      </c>
      <c r="E1399" s="7" t="s">
        <v>5715</v>
      </c>
      <c r="F1399" s="7" t="s">
        <v>3061</v>
      </c>
      <c r="G1399" s="7" t="s">
        <v>496</v>
      </c>
      <c r="H1399" s="7" t="str">
        <f>IFERROR(VLOOKUP(Table2[[#This Row],[Ticket]],Okey!A:B,2,0),"")</f>
        <v>ok</v>
      </c>
      <c r="I1399" s="7" t="s">
        <v>3679</v>
      </c>
      <c r="J1399" s="7" t="str">
        <f>VLOOKUP(Table2[[#This Row],[Author]],People!A:B,2,0)</f>
        <v>HC</v>
      </c>
      <c r="K1399" s="7"/>
      <c r="L1399" s="7"/>
      <c r="M1399" s="16" t="s">
        <v>2804</v>
      </c>
    </row>
    <row r="1400" spans="1:13" x14ac:dyDescent="0.25">
      <c r="A1400" s="22">
        <f t="shared" si="21"/>
        <v>1399</v>
      </c>
      <c r="B1400" s="6" t="s">
        <v>4851</v>
      </c>
      <c r="C1400" s="6" t="s">
        <v>5206</v>
      </c>
      <c r="D1400" s="6" t="s">
        <v>3081</v>
      </c>
      <c r="E1400" s="6" t="s">
        <v>5716</v>
      </c>
      <c r="F1400" s="6" t="s">
        <v>3061</v>
      </c>
      <c r="G1400" s="6" t="s">
        <v>496</v>
      </c>
      <c r="H1400" s="6" t="str">
        <f>IFERROR(VLOOKUP(Table2[[#This Row],[Ticket]],Okey!A:B,2,0),"")</f>
        <v>ok</v>
      </c>
      <c r="I1400" s="6" t="s">
        <v>3679</v>
      </c>
      <c r="J1400" s="6" t="str">
        <f>VLOOKUP(Table2[[#This Row],[Author]],People!A:B,2,0)</f>
        <v>MGF</v>
      </c>
      <c r="K1400" s="6"/>
      <c r="L1400" s="6"/>
      <c r="M1400" s="21" t="s">
        <v>2804</v>
      </c>
    </row>
    <row r="1401" spans="1:13" x14ac:dyDescent="0.25">
      <c r="A1401" s="23">
        <f t="shared" si="21"/>
        <v>1400</v>
      </c>
      <c r="B1401" s="7" t="s">
        <v>4851</v>
      </c>
      <c r="C1401" s="7" t="s">
        <v>5206</v>
      </c>
      <c r="D1401" s="7" t="s">
        <v>1842</v>
      </c>
      <c r="E1401" s="7" t="s">
        <v>2254</v>
      </c>
      <c r="F1401" s="7" t="s">
        <v>5213</v>
      </c>
      <c r="G1401" s="7" t="s">
        <v>496</v>
      </c>
      <c r="H1401" s="7" t="str">
        <f>IFERROR(VLOOKUP(Table2[[#This Row],[Ticket]],Okey!A:B,2,0),"")</f>
        <v>ok</v>
      </c>
      <c r="I1401" s="7" t="s">
        <v>3679</v>
      </c>
      <c r="J1401" s="7" t="str">
        <f>VLOOKUP(Table2[[#This Row],[Author]],People!A:B,2,0)</f>
        <v>MGF</v>
      </c>
      <c r="K1401" s="7"/>
      <c r="L1401" s="7"/>
      <c r="M1401" s="16" t="s">
        <v>2804</v>
      </c>
    </row>
    <row r="1402" spans="1:13" x14ac:dyDescent="0.25">
      <c r="A1402" s="22">
        <f t="shared" si="21"/>
        <v>1401</v>
      </c>
      <c r="B1402" s="6" t="s">
        <v>4851</v>
      </c>
      <c r="C1402" s="6" t="s">
        <v>5206</v>
      </c>
      <c r="D1402" s="6" t="s">
        <v>3090</v>
      </c>
      <c r="E1402" s="6" t="s">
        <v>5717</v>
      </c>
      <c r="F1402" s="6" t="s">
        <v>3088</v>
      </c>
      <c r="G1402" s="6" t="s">
        <v>496</v>
      </c>
      <c r="H1402" s="6" t="str">
        <f>IFERROR(VLOOKUP(Table2[[#This Row],[Ticket]],Okey!A:B,2,0),"")</f>
        <v>ok</v>
      </c>
      <c r="I1402" s="6" t="s">
        <v>3679</v>
      </c>
      <c r="J1402" s="6" t="str">
        <f>VLOOKUP(Table2[[#This Row],[Author]],People!A:B,2,0)</f>
        <v>MGF</v>
      </c>
      <c r="K1402" s="6"/>
      <c r="L1402" s="6"/>
      <c r="M1402" s="21" t="s">
        <v>2804</v>
      </c>
    </row>
    <row r="1403" spans="1:13" x14ac:dyDescent="0.25">
      <c r="A1403" s="23">
        <f t="shared" si="21"/>
        <v>1402</v>
      </c>
      <c r="B1403" s="7" t="s">
        <v>4851</v>
      </c>
      <c r="C1403" s="7" t="s">
        <v>5206</v>
      </c>
      <c r="D1403" s="7" t="s">
        <v>3092</v>
      </c>
      <c r="E1403" s="7" t="s">
        <v>5718</v>
      </c>
      <c r="F1403" s="7" t="s">
        <v>3088</v>
      </c>
      <c r="G1403" s="7" t="s">
        <v>496</v>
      </c>
      <c r="H1403" s="7" t="str">
        <f>IFERROR(VLOOKUP(Table2[[#This Row],[Ticket]],Okey!A:B,2,0),"")</f>
        <v>ok</v>
      </c>
      <c r="I1403" s="7" t="s">
        <v>3679</v>
      </c>
      <c r="J1403" s="7" t="str">
        <f>VLOOKUP(Table2[[#This Row],[Author]],People!A:B,2,0)</f>
        <v>MGF</v>
      </c>
      <c r="K1403" s="7"/>
      <c r="L1403" s="7"/>
      <c r="M1403" s="16" t="s">
        <v>2804</v>
      </c>
    </row>
    <row r="1404" spans="1:13" x14ac:dyDescent="0.25">
      <c r="A1404" s="22">
        <f t="shared" si="21"/>
        <v>1403</v>
      </c>
      <c r="B1404" s="6" t="s">
        <v>4851</v>
      </c>
      <c r="C1404" s="6" t="s">
        <v>5206</v>
      </c>
      <c r="D1404" s="6" t="s">
        <v>3094</v>
      </c>
      <c r="E1404" s="6" t="s">
        <v>5719</v>
      </c>
      <c r="F1404" s="6" t="s">
        <v>3088</v>
      </c>
      <c r="G1404" s="6" t="s">
        <v>496</v>
      </c>
      <c r="H1404" s="6" t="str">
        <f>IFERROR(VLOOKUP(Table2[[#This Row],[Ticket]],Okey!A:B,2,0),"")</f>
        <v>ok</v>
      </c>
      <c r="I1404" s="6" t="s">
        <v>3679</v>
      </c>
      <c r="J1404" s="6" t="str">
        <f>VLOOKUP(Table2[[#This Row],[Author]],People!A:B,2,0)</f>
        <v>MGF</v>
      </c>
      <c r="K1404" s="6"/>
      <c r="L1404" s="6"/>
      <c r="M1404" s="21" t="s">
        <v>2804</v>
      </c>
    </row>
    <row r="1405" spans="1:13" x14ac:dyDescent="0.25">
      <c r="A1405" s="23">
        <f t="shared" si="21"/>
        <v>1404</v>
      </c>
      <c r="B1405" s="7" t="s">
        <v>4851</v>
      </c>
      <c r="C1405" s="7" t="s">
        <v>5206</v>
      </c>
      <c r="D1405" s="7" t="s">
        <v>3096</v>
      </c>
      <c r="E1405" s="7" t="s">
        <v>5720</v>
      </c>
      <c r="F1405" s="7" t="s">
        <v>3088</v>
      </c>
      <c r="G1405" s="7" t="s">
        <v>496</v>
      </c>
      <c r="H1405" s="7" t="str">
        <f>IFERROR(VLOOKUP(Table2[[#This Row],[Ticket]],Okey!A:B,2,0),"")</f>
        <v>ok</v>
      </c>
      <c r="I1405" s="7" t="s">
        <v>3679</v>
      </c>
      <c r="J1405" s="7" t="str">
        <f>VLOOKUP(Table2[[#This Row],[Author]],People!A:B,2,0)</f>
        <v>MGF</v>
      </c>
      <c r="K1405" s="7"/>
      <c r="L1405" s="7"/>
      <c r="M1405" s="16" t="s">
        <v>2804</v>
      </c>
    </row>
    <row r="1406" spans="1:13" x14ac:dyDescent="0.25">
      <c r="A1406" s="22">
        <f t="shared" si="21"/>
        <v>1405</v>
      </c>
      <c r="B1406" s="6" t="s">
        <v>4851</v>
      </c>
      <c r="C1406" s="6" t="s">
        <v>5206</v>
      </c>
      <c r="D1406" s="6" t="s">
        <v>3098</v>
      </c>
      <c r="E1406" s="6" t="s">
        <v>5721</v>
      </c>
      <c r="F1406" s="6" t="s">
        <v>3088</v>
      </c>
      <c r="G1406" s="6" t="s">
        <v>496</v>
      </c>
      <c r="H1406" s="6" t="str">
        <f>IFERROR(VLOOKUP(Table2[[#This Row],[Ticket]],Okey!A:B,2,0),"")</f>
        <v>ok</v>
      </c>
      <c r="I1406" s="6" t="s">
        <v>3679</v>
      </c>
      <c r="J1406" s="6" t="str">
        <f>VLOOKUP(Table2[[#This Row],[Author]],People!A:B,2,0)</f>
        <v>MGF</v>
      </c>
      <c r="K1406" s="6"/>
      <c r="L1406" s="6"/>
      <c r="M1406" s="21" t="s">
        <v>2804</v>
      </c>
    </row>
    <row r="1407" spans="1:13" x14ac:dyDescent="0.25">
      <c r="A1407" s="23">
        <f t="shared" si="21"/>
        <v>1406</v>
      </c>
      <c r="B1407" s="7" t="s">
        <v>4851</v>
      </c>
      <c r="C1407" s="7" t="s">
        <v>5206</v>
      </c>
      <c r="D1407" s="7" t="s">
        <v>3100</v>
      </c>
      <c r="E1407" s="7" t="s">
        <v>5722</v>
      </c>
      <c r="F1407" s="7" t="s">
        <v>3088</v>
      </c>
      <c r="G1407" s="7" t="s">
        <v>496</v>
      </c>
      <c r="H1407" s="7" t="str">
        <f>IFERROR(VLOOKUP(Table2[[#This Row],[Ticket]],Okey!A:B,2,0),"")</f>
        <v>ok</v>
      </c>
      <c r="I1407" s="7" t="s">
        <v>3679</v>
      </c>
      <c r="J1407" s="7" t="str">
        <f>VLOOKUP(Table2[[#This Row],[Author]],People!A:B,2,0)</f>
        <v>MGF</v>
      </c>
      <c r="K1407" s="7"/>
      <c r="L1407" s="7"/>
      <c r="M1407" s="16" t="s">
        <v>2804</v>
      </c>
    </row>
    <row r="1408" spans="1:13" x14ac:dyDescent="0.25">
      <c r="A1408" s="22">
        <f t="shared" si="21"/>
        <v>1407</v>
      </c>
      <c r="B1408" s="6" t="s">
        <v>4851</v>
      </c>
      <c r="C1408" s="6" t="s">
        <v>5206</v>
      </c>
      <c r="D1408" s="6" t="s">
        <v>3102</v>
      </c>
      <c r="E1408" s="6" t="s">
        <v>5723</v>
      </c>
      <c r="F1408" s="6" t="s">
        <v>3088</v>
      </c>
      <c r="G1408" s="6" t="s">
        <v>496</v>
      </c>
      <c r="H1408" s="6" t="str">
        <f>IFERROR(VLOOKUP(Table2[[#This Row],[Ticket]],Okey!A:B,2,0),"")</f>
        <v>ok</v>
      </c>
      <c r="I1408" s="6" t="s">
        <v>3679</v>
      </c>
      <c r="J1408" s="6" t="str">
        <f>VLOOKUP(Table2[[#This Row],[Author]],People!A:B,2,0)</f>
        <v>MGF</v>
      </c>
      <c r="K1408" s="6"/>
      <c r="L1408" s="6"/>
      <c r="M1408" s="21" t="s">
        <v>2804</v>
      </c>
    </row>
    <row r="1409" spans="1:13" x14ac:dyDescent="0.25">
      <c r="A1409" s="23">
        <f t="shared" si="21"/>
        <v>1408</v>
      </c>
      <c r="B1409" s="7" t="s">
        <v>4851</v>
      </c>
      <c r="C1409" s="7" t="s">
        <v>5206</v>
      </c>
      <c r="D1409" s="7" t="s">
        <v>3104</v>
      </c>
      <c r="E1409" s="7" t="s">
        <v>5724</v>
      </c>
      <c r="F1409" s="7" t="s">
        <v>3088</v>
      </c>
      <c r="G1409" s="7" t="s">
        <v>496</v>
      </c>
      <c r="H1409" s="7" t="str">
        <f>IFERROR(VLOOKUP(Table2[[#This Row],[Ticket]],Okey!A:B,2,0),"")</f>
        <v>ok</v>
      </c>
      <c r="I1409" s="7" t="s">
        <v>3679</v>
      </c>
      <c r="J1409" s="7" t="str">
        <f>VLOOKUP(Table2[[#This Row],[Author]],People!A:B,2,0)</f>
        <v>MGF</v>
      </c>
      <c r="K1409" s="7"/>
      <c r="L1409" s="7"/>
      <c r="M1409" s="16" t="s">
        <v>2804</v>
      </c>
    </row>
    <row r="1410" spans="1:13" x14ac:dyDescent="0.25">
      <c r="A1410" s="22">
        <f t="shared" si="21"/>
        <v>1409</v>
      </c>
      <c r="B1410" s="6" t="s">
        <v>4851</v>
      </c>
      <c r="C1410" s="6" t="s">
        <v>5206</v>
      </c>
      <c r="D1410" s="6" t="s">
        <v>3106</v>
      </c>
      <c r="E1410" s="6" t="s">
        <v>5725</v>
      </c>
      <c r="F1410" s="6" t="s">
        <v>3088</v>
      </c>
      <c r="G1410" s="6" t="s">
        <v>496</v>
      </c>
      <c r="H1410" s="6" t="str">
        <f>IFERROR(VLOOKUP(Table2[[#This Row],[Ticket]],Okey!A:B,2,0),"")</f>
        <v>ok</v>
      </c>
      <c r="I1410" s="6" t="s">
        <v>3679</v>
      </c>
      <c r="J1410" s="6" t="str">
        <f>VLOOKUP(Table2[[#This Row],[Author]],People!A:B,2,0)</f>
        <v>MGF</v>
      </c>
      <c r="K1410" s="6"/>
      <c r="L1410" s="6"/>
      <c r="M1410" s="21" t="s">
        <v>2804</v>
      </c>
    </row>
    <row r="1411" spans="1:13" x14ac:dyDescent="0.25">
      <c r="A1411" s="23">
        <f t="shared" ref="A1411:A1474" si="22">1+A1410</f>
        <v>1410</v>
      </c>
      <c r="B1411" s="7" t="s">
        <v>4851</v>
      </c>
      <c r="C1411" s="7" t="s">
        <v>5206</v>
      </c>
      <c r="D1411" s="7" t="s">
        <v>3108</v>
      </c>
      <c r="E1411" s="7" t="s">
        <v>5726</v>
      </c>
      <c r="F1411" s="7" t="s">
        <v>3088</v>
      </c>
      <c r="G1411" s="7" t="s">
        <v>496</v>
      </c>
      <c r="H1411" s="7" t="str">
        <f>IFERROR(VLOOKUP(Table2[[#This Row],[Ticket]],Okey!A:B,2,0),"")</f>
        <v>ok</v>
      </c>
      <c r="I1411" s="7" t="s">
        <v>3679</v>
      </c>
      <c r="J1411" s="7" t="str">
        <f>VLOOKUP(Table2[[#This Row],[Author]],People!A:B,2,0)</f>
        <v>MGF</v>
      </c>
      <c r="K1411" s="7"/>
      <c r="L1411" s="7"/>
      <c r="M1411" s="16" t="s">
        <v>2804</v>
      </c>
    </row>
    <row r="1412" spans="1:13" x14ac:dyDescent="0.25">
      <c r="A1412" s="22">
        <f t="shared" si="22"/>
        <v>1411</v>
      </c>
      <c r="B1412" s="6" t="s">
        <v>4851</v>
      </c>
      <c r="C1412" s="6" t="s">
        <v>5206</v>
      </c>
      <c r="D1412" s="6" t="s">
        <v>1844</v>
      </c>
      <c r="E1412" s="6" t="s">
        <v>2252</v>
      </c>
      <c r="F1412" s="6" t="s">
        <v>5213</v>
      </c>
      <c r="G1412" s="6" t="s">
        <v>496</v>
      </c>
      <c r="H1412" s="6" t="str">
        <f>IFERROR(VLOOKUP(Table2[[#This Row],[Ticket]],Okey!A:B,2,0),"")</f>
        <v>ok</v>
      </c>
      <c r="I1412" s="6" t="s">
        <v>3679</v>
      </c>
      <c r="J1412" s="6" t="str">
        <f>VLOOKUP(Table2[[#This Row],[Author]],People!A:B,2,0)</f>
        <v>MGF</v>
      </c>
      <c r="K1412" s="6"/>
      <c r="L1412" s="6"/>
      <c r="M1412" s="21" t="s">
        <v>2804</v>
      </c>
    </row>
    <row r="1413" spans="1:13" x14ac:dyDescent="0.25">
      <c r="A1413" s="23">
        <f t="shared" si="22"/>
        <v>1412</v>
      </c>
      <c r="B1413" s="7" t="s">
        <v>4851</v>
      </c>
      <c r="C1413" s="7" t="s">
        <v>5206</v>
      </c>
      <c r="D1413" s="7" t="s">
        <v>3117</v>
      </c>
      <c r="E1413" s="7" t="s">
        <v>5727</v>
      </c>
      <c r="F1413" s="7" t="s">
        <v>3115</v>
      </c>
      <c r="G1413" s="7" t="s">
        <v>496</v>
      </c>
      <c r="H1413" s="7" t="str">
        <f>IFERROR(VLOOKUP(Table2[[#This Row],[Ticket]],Okey!A:B,2,0),"")</f>
        <v>ok</v>
      </c>
      <c r="I1413" s="7" t="s">
        <v>3679</v>
      </c>
      <c r="J1413" s="7" t="str">
        <f>VLOOKUP(Table2[[#This Row],[Author]],People!A:B,2,0)</f>
        <v>MGF</v>
      </c>
      <c r="K1413" s="7"/>
      <c r="L1413" s="7"/>
      <c r="M1413" s="16" t="s">
        <v>2804</v>
      </c>
    </row>
    <row r="1414" spans="1:13" x14ac:dyDescent="0.25">
      <c r="A1414" s="22">
        <f t="shared" si="22"/>
        <v>1413</v>
      </c>
      <c r="B1414" s="6" t="s">
        <v>4851</v>
      </c>
      <c r="C1414" s="6" t="s">
        <v>5206</v>
      </c>
      <c r="D1414" s="6" t="s">
        <v>3119</v>
      </c>
      <c r="E1414" s="6" t="s">
        <v>5728</v>
      </c>
      <c r="F1414" s="6" t="s">
        <v>3115</v>
      </c>
      <c r="G1414" s="6" t="s">
        <v>496</v>
      </c>
      <c r="H1414" s="6" t="str">
        <f>IFERROR(VLOOKUP(Table2[[#This Row],[Ticket]],Okey!A:B,2,0),"")</f>
        <v>ok</v>
      </c>
      <c r="I1414" s="6" t="s">
        <v>3679</v>
      </c>
      <c r="J1414" s="6" t="str">
        <f>VLOOKUP(Table2[[#This Row],[Author]],People!A:B,2,0)</f>
        <v>MGF</v>
      </c>
      <c r="K1414" s="6"/>
      <c r="L1414" s="6"/>
      <c r="M1414" s="21" t="s">
        <v>2804</v>
      </c>
    </row>
    <row r="1415" spans="1:13" x14ac:dyDescent="0.25">
      <c r="A1415" s="23">
        <f t="shared" si="22"/>
        <v>1414</v>
      </c>
      <c r="B1415" s="7" t="s">
        <v>4851</v>
      </c>
      <c r="C1415" s="7" t="s">
        <v>5206</v>
      </c>
      <c r="D1415" s="7" t="s">
        <v>3121</v>
      </c>
      <c r="E1415" s="7" t="s">
        <v>5729</v>
      </c>
      <c r="F1415" s="7" t="s">
        <v>3115</v>
      </c>
      <c r="G1415" s="7" t="s">
        <v>496</v>
      </c>
      <c r="H1415" s="7" t="str">
        <f>IFERROR(VLOOKUP(Table2[[#This Row],[Ticket]],Okey!A:B,2,0),"")</f>
        <v>ok</v>
      </c>
      <c r="I1415" s="7" t="s">
        <v>3679</v>
      </c>
      <c r="J1415" s="7" t="str">
        <f>VLOOKUP(Table2[[#This Row],[Author]],People!A:B,2,0)</f>
        <v>MGF</v>
      </c>
      <c r="K1415" s="7"/>
      <c r="L1415" s="7"/>
      <c r="M1415" s="16" t="s">
        <v>2804</v>
      </c>
    </row>
    <row r="1416" spans="1:13" x14ac:dyDescent="0.25">
      <c r="A1416" s="22">
        <f t="shared" si="22"/>
        <v>1415</v>
      </c>
      <c r="B1416" s="6" t="s">
        <v>4851</v>
      </c>
      <c r="C1416" s="6" t="s">
        <v>5206</v>
      </c>
      <c r="D1416" s="6" t="s">
        <v>3123</v>
      </c>
      <c r="E1416" s="6" t="s">
        <v>5730</v>
      </c>
      <c r="F1416" s="6" t="s">
        <v>3115</v>
      </c>
      <c r="G1416" s="6" t="s">
        <v>496</v>
      </c>
      <c r="H1416" s="6" t="str">
        <f>IFERROR(VLOOKUP(Table2[[#This Row],[Ticket]],Okey!A:B,2,0),"")</f>
        <v>ok</v>
      </c>
      <c r="I1416" s="6" t="s">
        <v>3679</v>
      </c>
      <c r="J1416" s="6" t="str">
        <f>VLOOKUP(Table2[[#This Row],[Author]],People!A:B,2,0)</f>
        <v>LS</v>
      </c>
      <c r="K1416" s="6"/>
      <c r="L1416" s="6"/>
      <c r="M1416" s="21" t="s">
        <v>2804</v>
      </c>
    </row>
    <row r="1417" spans="1:13" x14ac:dyDescent="0.25">
      <c r="A1417" s="23">
        <f t="shared" si="22"/>
        <v>1416</v>
      </c>
      <c r="B1417" s="7" t="s">
        <v>4851</v>
      </c>
      <c r="C1417" s="7" t="s">
        <v>5206</v>
      </c>
      <c r="D1417" s="7" t="s">
        <v>3125</v>
      </c>
      <c r="E1417" s="7" t="s">
        <v>5731</v>
      </c>
      <c r="F1417" s="7" t="s">
        <v>3115</v>
      </c>
      <c r="G1417" s="7" t="s">
        <v>496</v>
      </c>
      <c r="H1417" s="7" t="str">
        <f>IFERROR(VLOOKUP(Table2[[#This Row],[Ticket]],Okey!A:B,2,0),"")</f>
        <v>ok</v>
      </c>
      <c r="I1417" s="7" t="s">
        <v>3679</v>
      </c>
      <c r="J1417" s="7" t="str">
        <f>VLOOKUP(Table2[[#This Row],[Author]],People!A:B,2,0)</f>
        <v>LS</v>
      </c>
      <c r="K1417" s="7"/>
      <c r="L1417" s="7"/>
      <c r="M1417" s="16" t="s">
        <v>2804</v>
      </c>
    </row>
    <row r="1418" spans="1:13" x14ac:dyDescent="0.25">
      <c r="A1418" s="22">
        <f t="shared" si="22"/>
        <v>1417</v>
      </c>
      <c r="B1418" s="6" t="s">
        <v>4851</v>
      </c>
      <c r="C1418" s="6" t="s">
        <v>5206</v>
      </c>
      <c r="D1418" s="6" t="s">
        <v>3127</v>
      </c>
      <c r="E1418" s="6" t="s">
        <v>5732</v>
      </c>
      <c r="F1418" s="6" t="s">
        <v>3115</v>
      </c>
      <c r="G1418" s="6" t="s">
        <v>496</v>
      </c>
      <c r="H1418" s="6" t="str">
        <f>IFERROR(VLOOKUP(Table2[[#This Row],[Ticket]],Okey!A:B,2,0),"")</f>
        <v>ok</v>
      </c>
      <c r="I1418" s="6" t="s">
        <v>3679</v>
      </c>
      <c r="J1418" s="6" t="str">
        <f>VLOOKUP(Table2[[#This Row],[Author]],People!A:B,2,0)</f>
        <v>LS</v>
      </c>
      <c r="K1418" s="6"/>
      <c r="L1418" s="6"/>
      <c r="M1418" s="21" t="s">
        <v>2804</v>
      </c>
    </row>
    <row r="1419" spans="1:13" x14ac:dyDescent="0.25">
      <c r="A1419" s="23">
        <f t="shared" si="22"/>
        <v>1418</v>
      </c>
      <c r="B1419" s="7" t="s">
        <v>4851</v>
      </c>
      <c r="C1419" s="7" t="s">
        <v>5206</v>
      </c>
      <c r="D1419" s="7" t="s">
        <v>3129</v>
      </c>
      <c r="E1419" s="7" t="s">
        <v>5733</v>
      </c>
      <c r="F1419" s="7" t="s">
        <v>3115</v>
      </c>
      <c r="G1419" s="7" t="s">
        <v>496</v>
      </c>
      <c r="H1419" s="7" t="str">
        <f>IFERROR(VLOOKUP(Table2[[#This Row],[Ticket]],Okey!A:B,2,0),"")</f>
        <v>ok</v>
      </c>
      <c r="I1419" s="7" t="s">
        <v>3679</v>
      </c>
      <c r="J1419" s="7" t="str">
        <f>VLOOKUP(Table2[[#This Row],[Author]],People!A:B,2,0)</f>
        <v>LS</v>
      </c>
      <c r="K1419" s="7"/>
      <c r="L1419" s="7"/>
      <c r="M1419" s="16" t="s">
        <v>2804</v>
      </c>
    </row>
    <row r="1420" spans="1:13" x14ac:dyDescent="0.25">
      <c r="A1420" s="22">
        <f t="shared" si="22"/>
        <v>1419</v>
      </c>
      <c r="B1420" s="6" t="s">
        <v>4851</v>
      </c>
      <c r="C1420" s="6" t="s">
        <v>5206</v>
      </c>
      <c r="D1420" s="6" t="s">
        <v>3131</v>
      </c>
      <c r="E1420" s="6" t="s">
        <v>5734</v>
      </c>
      <c r="F1420" s="6" t="s">
        <v>3115</v>
      </c>
      <c r="G1420" s="6" t="s">
        <v>496</v>
      </c>
      <c r="H1420" s="6" t="str">
        <f>IFERROR(VLOOKUP(Table2[[#This Row],[Ticket]],Okey!A:B,2,0),"")</f>
        <v>ok</v>
      </c>
      <c r="I1420" s="6" t="s">
        <v>3679</v>
      </c>
      <c r="J1420" s="6" t="str">
        <f>VLOOKUP(Table2[[#This Row],[Author]],People!A:B,2,0)</f>
        <v>LS</v>
      </c>
      <c r="K1420" s="6"/>
      <c r="L1420" s="6"/>
      <c r="M1420" s="21" t="s">
        <v>2804</v>
      </c>
    </row>
    <row r="1421" spans="1:13" x14ac:dyDescent="0.25">
      <c r="A1421" s="23">
        <f t="shared" si="22"/>
        <v>1420</v>
      </c>
      <c r="B1421" s="7" t="s">
        <v>4851</v>
      </c>
      <c r="C1421" s="7" t="s">
        <v>5206</v>
      </c>
      <c r="D1421" s="7" t="s">
        <v>3135</v>
      </c>
      <c r="E1421" s="7" t="s">
        <v>3136</v>
      </c>
      <c r="F1421" s="7" t="s">
        <v>5213</v>
      </c>
      <c r="G1421" s="7" t="s">
        <v>496</v>
      </c>
      <c r="H1421" s="7" t="str">
        <f>IFERROR(VLOOKUP(Table2[[#This Row],[Ticket]],Okey!A:B,2,0),"")</f>
        <v>ok</v>
      </c>
      <c r="I1421" s="7" t="s">
        <v>3679</v>
      </c>
      <c r="J1421" s="7" t="str">
        <f>VLOOKUP(Table2[[#This Row],[Author]],People!A:B,2,0)</f>
        <v>HC</v>
      </c>
      <c r="K1421" s="7"/>
      <c r="L1421" s="7"/>
      <c r="M1421" s="16" t="s">
        <v>2804</v>
      </c>
    </row>
    <row r="1422" spans="1:13" x14ac:dyDescent="0.25">
      <c r="A1422" s="22">
        <f t="shared" si="22"/>
        <v>1421</v>
      </c>
      <c r="B1422" s="6" t="s">
        <v>4851</v>
      </c>
      <c r="C1422" s="6" t="s">
        <v>5206</v>
      </c>
      <c r="D1422" s="6" t="s">
        <v>5735</v>
      </c>
      <c r="E1422" s="6" t="s">
        <v>5736</v>
      </c>
      <c r="F1422" s="6" t="s">
        <v>3135</v>
      </c>
      <c r="G1422" s="6" t="s">
        <v>496</v>
      </c>
      <c r="H1422" s="6" t="str">
        <f>IFERROR(VLOOKUP(Table2[[#This Row],[Ticket]],Okey!A:B,2,0),"")</f>
        <v>ok</v>
      </c>
      <c r="I1422" s="6" t="s">
        <v>3679</v>
      </c>
      <c r="J1422" s="6" t="str">
        <f>VLOOKUP(Table2[[#This Row],[Author]],People!A:B,2,0)</f>
        <v>MGF</v>
      </c>
      <c r="K1422" s="6"/>
      <c r="L1422" s="6"/>
      <c r="M1422" s="21" t="s">
        <v>2804</v>
      </c>
    </row>
    <row r="1423" spans="1:13" x14ac:dyDescent="0.25">
      <c r="A1423" s="23">
        <f t="shared" si="22"/>
        <v>1422</v>
      </c>
      <c r="B1423" s="7" t="s">
        <v>4851</v>
      </c>
      <c r="C1423" s="7" t="s">
        <v>5206</v>
      </c>
      <c r="D1423" s="7" t="s">
        <v>1846</v>
      </c>
      <c r="E1423" s="7" t="s">
        <v>2253</v>
      </c>
      <c r="F1423" s="7" t="s">
        <v>5213</v>
      </c>
      <c r="G1423" s="7" t="s">
        <v>496</v>
      </c>
      <c r="H1423" s="7" t="str">
        <f>IFERROR(VLOOKUP(Table2[[#This Row],[Ticket]],Okey!A:B,2,0),"")</f>
        <v>ok</v>
      </c>
      <c r="I1423" s="7" t="s">
        <v>3679</v>
      </c>
      <c r="J1423" s="7" t="str">
        <f>VLOOKUP(Table2[[#This Row],[Author]],People!A:B,2,0)</f>
        <v>MGF</v>
      </c>
      <c r="K1423" s="7"/>
      <c r="L1423" s="7"/>
      <c r="M1423" s="16" t="s">
        <v>2804</v>
      </c>
    </row>
    <row r="1424" spans="1:13" x14ac:dyDescent="0.25">
      <c r="A1424" s="22">
        <f t="shared" si="22"/>
        <v>1423</v>
      </c>
      <c r="B1424" s="6" t="s">
        <v>4851</v>
      </c>
      <c r="C1424" s="6" t="s">
        <v>5206</v>
      </c>
      <c r="D1424" s="6" t="s">
        <v>3142</v>
      </c>
      <c r="E1424" s="6" t="s">
        <v>5737</v>
      </c>
      <c r="F1424" s="6" t="s">
        <v>3140</v>
      </c>
      <c r="G1424" s="6" t="s">
        <v>496</v>
      </c>
      <c r="H1424" s="6" t="str">
        <f>IFERROR(VLOOKUP(Table2[[#This Row],[Ticket]],Okey!A:B,2,0),"")</f>
        <v>ok</v>
      </c>
      <c r="I1424" s="6" t="s">
        <v>3679</v>
      </c>
      <c r="J1424" s="6" t="str">
        <f>VLOOKUP(Table2[[#This Row],[Author]],People!A:B,2,0)</f>
        <v>MGF</v>
      </c>
      <c r="K1424" s="6"/>
      <c r="L1424" s="6"/>
      <c r="M1424" s="21" t="s">
        <v>2804</v>
      </c>
    </row>
    <row r="1425" spans="1:13" x14ac:dyDescent="0.25">
      <c r="A1425" s="23">
        <f t="shared" si="22"/>
        <v>1424</v>
      </c>
      <c r="B1425" s="7" t="s">
        <v>4851</v>
      </c>
      <c r="C1425" s="7" t="s">
        <v>5206</v>
      </c>
      <c r="D1425" s="7" t="s">
        <v>3160</v>
      </c>
      <c r="E1425" s="7" t="s">
        <v>5738</v>
      </c>
      <c r="F1425" s="7" t="s">
        <v>3140</v>
      </c>
      <c r="G1425" s="7" t="s">
        <v>496</v>
      </c>
      <c r="H1425" s="7" t="str">
        <f>IFERROR(VLOOKUP(Table2[[#This Row],[Ticket]],Okey!A:B,2,0),"")</f>
        <v>ok</v>
      </c>
      <c r="I1425" s="7" t="s">
        <v>3679</v>
      </c>
      <c r="J1425" s="7" t="str">
        <f>VLOOKUP(Table2[[#This Row],[Author]],People!A:B,2,0)</f>
        <v>MGF</v>
      </c>
      <c r="K1425" s="7"/>
      <c r="L1425" s="7"/>
      <c r="M1425" s="16" t="s">
        <v>2804</v>
      </c>
    </row>
    <row r="1426" spans="1:13" x14ac:dyDescent="0.25">
      <c r="A1426" s="22">
        <f t="shared" si="22"/>
        <v>1425</v>
      </c>
      <c r="B1426" s="6" t="s">
        <v>4851</v>
      </c>
      <c r="C1426" s="6" t="s">
        <v>5206</v>
      </c>
      <c r="D1426" s="6" t="s">
        <v>3162</v>
      </c>
      <c r="E1426" s="6" t="s">
        <v>5739</v>
      </c>
      <c r="F1426" s="6" t="s">
        <v>3140</v>
      </c>
      <c r="G1426" s="6" t="s">
        <v>496</v>
      </c>
      <c r="H1426" s="6" t="str">
        <f>IFERROR(VLOOKUP(Table2[[#This Row],[Ticket]],Okey!A:B,2,0),"")</f>
        <v>ok</v>
      </c>
      <c r="I1426" s="6" t="s">
        <v>3679</v>
      </c>
      <c r="J1426" s="6" t="str">
        <f>VLOOKUP(Table2[[#This Row],[Author]],People!A:B,2,0)</f>
        <v>HC</v>
      </c>
      <c r="K1426" s="6"/>
      <c r="L1426" s="6"/>
      <c r="M1426" s="21" t="s">
        <v>2804</v>
      </c>
    </row>
    <row r="1427" spans="1:13" x14ac:dyDescent="0.25">
      <c r="A1427" s="23">
        <f t="shared" si="22"/>
        <v>1426</v>
      </c>
      <c r="B1427" s="7" t="s">
        <v>4851</v>
      </c>
      <c r="C1427" s="7" t="s">
        <v>5206</v>
      </c>
      <c r="D1427" s="7" t="s">
        <v>3164</v>
      </c>
      <c r="E1427" s="7" t="s">
        <v>5740</v>
      </c>
      <c r="F1427" s="7" t="s">
        <v>3140</v>
      </c>
      <c r="G1427" s="7" t="s">
        <v>496</v>
      </c>
      <c r="H1427" s="7" t="str">
        <f>IFERROR(VLOOKUP(Table2[[#This Row],[Ticket]],Okey!A:B,2,0),"")</f>
        <v>ok</v>
      </c>
      <c r="I1427" s="7" t="s">
        <v>3679</v>
      </c>
      <c r="J1427" s="7" t="str">
        <f>VLOOKUP(Table2[[#This Row],[Author]],People!A:B,2,0)</f>
        <v>HC</v>
      </c>
      <c r="K1427" s="7"/>
      <c r="L1427" s="7"/>
      <c r="M1427" s="16" t="s">
        <v>2804</v>
      </c>
    </row>
    <row r="1428" spans="1:13" x14ac:dyDescent="0.25">
      <c r="A1428" s="22">
        <f t="shared" si="22"/>
        <v>1427</v>
      </c>
      <c r="B1428" s="6" t="s">
        <v>4851</v>
      </c>
      <c r="C1428" s="6" t="s">
        <v>5206</v>
      </c>
      <c r="D1428" s="6" t="s">
        <v>3166</v>
      </c>
      <c r="E1428" s="6" t="s">
        <v>5741</v>
      </c>
      <c r="F1428" s="6" t="s">
        <v>3140</v>
      </c>
      <c r="G1428" s="6" t="s">
        <v>496</v>
      </c>
      <c r="H1428" s="6" t="str">
        <f>IFERROR(VLOOKUP(Table2[[#This Row],[Ticket]],Okey!A:B,2,0),"")</f>
        <v>ok</v>
      </c>
      <c r="I1428" s="6" t="s">
        <v>3679</v>
      </c>
      <c r="J1428" s="6" t="str">
        <f>VLOOKUP(Table2[[#This Row],[Author]],People!A:B,2,0)</f>
        <v>HC</v>
      </c>
      <c r="K1428" s="6"/>
      <c r="L1428" s="6"/>
      <c r="M1428" s="21" t="s">
        <v>2804</v>
      </c>
    </row>
    <row r="1429" spans="1:13" x14ac:dyDescent="0.25">
      <c r="A1429" s="23">
        <f t="shared" si="22"/>
        <v>1428</v>
      </c>
      <c r="B1429" s="7" t="s">
        <v>4851</v>
      </c>
      <c r="C1429" s="7" t="s">
        <v>5206</v>
      </c>
      <c r="D1429" s="7" t="s">
        <v>3168</v>
      </c>
      <c r="E1429" s="7" t="s">
        <v>5742</v>
      </c>
      <c r="F1429" s="7" t="s">
        <v>3140</v>
      </c>
      <c r="G1429" s="7" t="s">
        <v>496</v>
      </c>
      <c r="H1429" s="7" t="str">
        <f>IFERROR(VLOOKUP(Table2[[#This Row],[Ticket]],Okey!A:B,2,0),"")</f>
        <v>ok</v>
      </c>
      <c r="I1429" s="7" t="s">
        <v>3679</v>
      </c>
      <c r="J1429" s="7" t="str">
        <f>VLOOKUP(Table2[[#This Row],[Author]],People!A:B,2,0)</f>
        <v>HC</v>
      </c>
      <c r="K1429" s="7"/>
      <c r="L1429" s="7"/>
      <c r="M1429" s="16" t="s">
        <v>2804</v>
      </c>
    </row>
    <row r="1430" spans="1:13" x14ac:dyDescent="0.25">
      <c r="A1430" s="22">
        <f t="shared" si="22"/>
        <v>1429</v>
      </c>
      <c r="B1430" s="6" t="s">
        <v>4851</v>
      </c>
      <c r="C1430" s="6" t="s">
        <v>5206</v>
      </c>
      <c r="D1430" s="6" t="s">
        <v>3170</v>
      </c>
      <c r="E1430" s="6" t="s">
        <v>5743</v>
      </c>
      <c r="F1430" s="6" t="s">
        <v>3140</v>
      </c>
      <c r="G1430" s="6" t="s">
        <v>496</v>
      </c>
      <c r="H1430" s="6" t="str">
        <f>IFERROR(VLOOKUP(Table2[[#This Row],[Ticket]],Okey!A:B,2,0),"")</f>
        <v>ok</v>
      </c>
      <c r="I1430" s="6" t="s">
        <v>3679</v>
      </c>
      <c r="J1430" s="6" t="str">
        <f>VLOOKUP(Table2[[#This Row],[Author]],People!A:B,2,0)</f>
        <v>HC</v>
      </c>
      <c r="K1430" s="6"/>
      <c r="L1430" s="6"/>
      <c r="M1430" s="21" t="s">
        <v>2804</v>
      </c>
    </row>
    <row r="1431" spans="1:13" x14ac:dyDescent="0.25">
      <c r="A1431" s="23">
        <f t="shared" si="22"/>
        <v>1430</v>
      </c>
      <c r="B1431" s="7" t="s">
        <v>4851</v>
      </c>
      <c r="C1431" s="7" t="s">
        <v>5206</v>
      </c>
      <c r="D1431" s="7" t="s">
        <v>3172</v>
      </c>
      <c r="E1431" s="7" t="s">
        <v>5744</v>
      </c>
      <c r="F1431" s="7" t="s">
        <v>3140</v>
      </c>
      <c r="G1431" s="7" t="s">
        <v>496</v>
      </c>
      <c r="H1431" s="7" t="str">
        <f>IFERROR(VLOOKUP(Table2[[#This Row],[Ticket]],Okey!A:B,2,0),"")</f>
        <v>ok</v>
      </c>
      <c r="I1431" s="7" t="s">
        <v>3679</v>
      </c>
      <c r="J1431" s="7" t="str">
        <f>VLOOKUP(Table2[[#This Row],[Author]],People!A:B,2,0)</f>
        <v>MGF</v>
      </c>
      <c r="K1431" s="7"/>
      <c r="L1431" s="7"/>
      <c r="M1431" s="16" t="s">
        <v>2804</v>
      </c>
    </row>
    <row r="1432" spans="1:13" x14ac:dyDescent="0.25">
      <c r="A1432" s="22">
        <f t="shared" si="22"/>
        <v>1431</v>
      </c>
      <c r="B1432" s="6" t="s">
        <v>4851</v>
      </c>
      <c r="C1432" s="6" t="s">
        <v>5206</v>
      </c>
      <c r="D1432" s="6" t="s">
        <v>3174</v>
      </c>
      <c r="E1432" s="6" t="s">
        <v>5745</v>
      </c>
      <c r="F1432" s="6" t="s">
        <v>3140</v>
      </c>
      <c r="G1432" s="6" t="s">
        <v>496</v>
      </c>
      <c r="H1432" s="6" t="str">
        <f>IFERROR(VLOOKUP(Table2[[#This Row],[Ticket]],Okey!A:B,2,0),"")</f>
        <v>ok</v>
      </c>
      <c r="I1432" s="6" t="s">
        <v>3679</v>
      </c>
      <c r="J1432" s="6" t="str">
        <f>VLOOKUP(Table2[[#This Row],[Author]],People!A:B,2,0)</f>
        <v>HC</v>
      </c>
      <c r="K1432" s="6"/>
      <c r="L1432" s="6"/>
      <c r="M1432" s="21" t="s">
        <v>2804</v>
      </c>
    </row>
    <row r="1433" spans="1:13" x14ac:dyDescent="0.25">
      <c r="A1433" s="23">
        <f t="shared" si="22"/>
        <v>1432</v>
      </c>
      <c r="B1433" s="7" t="s">
        <v>4851</v>
      </c>
      <c r="C1433" s="7" t="s">
        <v>5206</v>
      </c>
      <c r="D1433" s="7" t="s">
        <v>3176</v>
      </c>
      <c r="E1433" s="7" t="s">
        <v>5746</v>
      </c>
      <c r="F1433" s="7" t="s">
        <v>3140</v>
      </c>
      <c r="G1433" s="7" t="s">
        <v>496</v>
      </c>
      <c r="H1433" s="7" t="str">
        <f>IFERROR(VLOOKUP(Table2[[#This Row],[Ticket]],Okey!A:B,2,0),"")</f>
        <v>ok</v>
      </c>
      <c r="I1433" s="7" t="s">
        <v>3679</v>
      </c>
      <c r="J1433" s="7" t="str">
        <f>VLOOKUP(Table2[[#This Row],[Author]],People!A:B,2,0)</f>
        <v>HC</v>
      </c>
      <c r="K1433" s="7"/>
      <c r="L1433" s="7"/>
      <c r="M1433" s="16" t="s">
        <v>2804</v>
      </c>
    </row>
    <row r="1434" spans="1:13" x14ac:dyDescent="0.25">
      <c r="A1434" s="22">
        <f t="shared" si="22"/>
        <v>1433</v>
      </c>
      <c r="B1434" s="6" t="s">
        <v>4851</v>
      </c>
      <c r="C1434" s="6" t="s">
        <v>5206</v>
      </c>
      <c r="D1434" s="6" t="s">
        <v>5747</v>
      </c>
      <c r="E1434" s="6" t="s">
        <v>5748</v>
      </c>
      <c r="F1434" s="6" t="s">
        <v>1811</v>
      </c>
      <c r="G1434" s="6" t="s">
        <v>496</v>
      </c>
      <c r="H1434" s="6" t="str">
        <f>IFERROR(VLOOKUP(Table2[[#This Row],[Ticket]],Okey!A:B,2,0),"")</f>
        <v>ok</v>
      </c>
      <c r="I1434" s="6" t="s">
        <v>3679</v>
      </c>
      <c r="J1434" s="6" t="str">
        <f>VLOOKUP(Table2[[#This Row],[Author]],People!A:B,2,0)</f>
        <v>HC</v>
      </c>
      <c r="K1434" s="6"/>
      <c r="L1434" s="6"/>
      <c r="M1434" s="21" t="s">
        <v>2804</v>
      </c>
    </row>
    <row r="1435" spans="1:13" x14ac:dyDescent="0.25">
      <c r="A1435" s="23">
        <f t="shared" si="22"/>
        <v>1434</v>
      </c>
      <c r="B1435" s="7" t="s">
        <v>4851</v>
      </c>
      <c r="C1435" s="7" t="s">
        <v>5206</v>
      </c>
      <c r="D1435" s="7" t="s">
        <v>5219</v>
      </c>
      <c r="E1435" s="7" t="s">
        <v>5749</v>
      </c>
      <c r="F1435" s="7" t="s">
        <v>4821</v>
      </c>
      <c r="G1435" s="7" t="s">
        <v>496</v>
      </c>
      <c r="H1435" s="7" t="str">
        <f>IFERROR(VLOOKUP(Table2[[#This Row],[Ticket]],Okey!A:B,2,0),"")</f>
        <v>ok</v>
      </c>
      <c r="I1435" s="7" t="s">
        <v>3679</v>
      </c>
      <c r="J1435" s="7" t="str">
        <f>VLOOKUP(Table2[[#This Row],[Author]],People!A:B,2,0)</f>
        <v>HC</v>
      </c>
      <c r="K1435" s="7"/>
      <c r="L1435" s="7"/>
      <c r="M1435" s="16" t="s">
        <v>2804</v>
      </c>
    </row>
    <row r="1436" spans="1:13" x14ac:dyDescent="0.25">
      <c r="A1436" s="22">
        <f t="shared" si="22"/>
        <v>1435</v>
      </c>
      <c r="B1436" s="6" t="s">
        <v>4851</v>
      </c>
      <c r="C1436" s="6" t="s">
        <v>5206</v>
      </c>
      <c r="D1436" s="6" t="s">
        <v>5233</v>
      </c>
      <c r="E1436" s="6" t="s">
        <v>5750</v>
      </c>
      <c r="F1436" s="6" t="s">
        <v>3618</v>
      </c>
      <c r="G1436" s="6" t="s">
        <v>496</v>
      </c>
      <c r="H1436" s="6" t="str">
        <f>IFERROR(VLOOKUP(Table2[[#This Row],[Ticket]],Okey!A:B,2,0),"")</f>
        <v>ok</v>
      </c>
      <c r="I1436" s="6" t="s">
        <v>3679</v>
      </c>
      <c r="J1436" s="6" t="str">
        <f>VLOOKUP(Table2[[#This Row],[Author]],People!A:B,2,0)</f>
        <v>HC</v>
      </c>
      <c r="K1436" s="6"/>
      <c r="L1436" s="6"/>
      <c r="M1436" s="21" t="s">
        <v>2804</v>
      </c>
    </row>
    <row r="1437" spans="1:13" x14ac:dyDescent="0.25">
      <c r="A1437" s="23">
        <f t="shared" si="22"/>
        <v>1436</v>
      </c>
      <c r="B1437" s="7" t="s">
        <v>4851</v>
      </c>
      <c r="C1437" s="7" t="s">
        <v>5206</v>
      </c>
      <c r="D1437" s="7" t="s">
        <v>5751</v>
      </c>
      <c r="E1437" s="7" t="s">
        <v>5752</v>
      </c>
      <c r="F1437" s="7" t="s">
        <v>5231</v>
      </c>
      <c r="G1437" s="7" t="s">
        <v>496</v>
      </c>
      <c r="H1437" s="7" t="str">
        <f>IFERROR(VLOOKUP(Table2[[#This Row],[Ticket]],Okey!A:B,2,0),"")</f>
        <v>ok</v>
      </c>
      <c r="I1437" s="7" t="s">
        <v>3679</v>
      </c>
      <c r="J1437" s="7" t="str">
        <f>VLOOKUP(Table2[[#This Row],[Author]],People!A:B,2,0)</f>
        <v>HC</v>
      </c>
      <c r="K1437" s="7"/>
      <c r="L1437" s="7"/>
      <c r="M1437" s="16" t="s">
        <v>2804</v>
      </c>
    </row>
    <row r="1438" spans="1:13" x14ac:dyDescent="0.25">
      <c r="A1438" s="22">
        <f t="shared" si="22"/>
        <v>1437</v>
      </c>
      <c r="B1438" s="6" t="s">
        <v>4851</v>
      </c>
      <c r="C1438" s="6" t="s">
        <v>5206</v>
      </c>
      <c r="D1438" s="6" t="s">
        <v>5753</v>
      </c>
      <c r="E1438" s="6" t="s">
        <v>5754</v>
      </c>
      <c r="F1438" s="6" t="s">
        <v>5231</v>
      </c>
      <c r="G1438" s="6" t="s">
        <v>496</v>
      </c>
      <c r="H1438" s="6" t="str">
        <f>IFERROR(VLOOKUP(Table2[[#This Row],[Ticket]],Okey!A:B,2,0),"")</f>
        <v>ok</v>
      </c>
      <c r="I1438" s="6" t="s">
        <v>3679</v>
      </c>
      <c r="J1438" s="6" t="str">
        <f>VLOOKUP(Table2[[#This Row],[Author]],People!A:B,2,0)</f>
        <v>HC</v>
      </c>
      <c r="K1438" s="6"/>
      <c r="L1438" s="6"/>
      <c r="M1438" s="21" t="s">
        <v>2804</v>
      </c>
    </row>
    <row r="1439" spans="1:13" x14ac:dyDescent="0.25">
      <c r="A1439" s="23">
        <f t="shared" si="22"/>
        <v>1438</v>
      </c>
      <c r="B1439" s="7" t="s">
        <v>4851</v>
      </c>
      <c r="C1439" s="7" t="s">
        <v>5206</v>
      </c>
      <c r="D1439" s="7" t="s">
        <v>5755</v>
      </c>
      <c r="E1439" s="7" t="s">
        <v>5756</v>
      </c>
      <c r="F1439" s="7" t="s">
        <v>5231</v>
      </c>
      <c r="G1439" s="7" t="s">
        <v>496</v>
      </c>
      <c r="H1439" s="7" t="str">
        <f>IFERROR(VLOOKUP(Table2[[#This Row],[Ticket]],Okey!A:B,2,0),"")</f>
        <v>ok</v>
      </c>
      <c r="I1439" s="7" t="s">
        <v>3679</v>
      </c>
      <c r="J1439" s="7" t="str">
        <f>VLOOKUP(Table2[[#This Row],[Author]],People!A:B,2,0)</f>
        <v>HC</v>
      </c>
      <c r="K1439" s="7"/>
      <c r="L1439" s="7"/>
      <c r="M1439" s="16" t="s">
        <v>2804</v>
      </c>
    </row>
    <row r="1440" spans="1:13" x14ac:dyDescent="0.25">
      <c r="A1440" s="22">
        <f t="shared" si="22"/>
        <v>1439</v>
      </c>
      <c r="B1440" s="6" t="s">
        <v>4851</v>
      </c>
      <c r="C1440" s="6" t="s">
        <v>5206</v>
      </c>
      <c r="D1440" s="6" t="s">
        <v>5757</v>
      </c>
      <c r="E1440" s="6" t="s">
        <v>5758</v>
      </c>
      <c r="F1440" s="6" t="s">
        <v>5231</v>
      </c>
      <c r="G1440" s="6" t="s">
        <v>496</v>
      </c>
      <c r="H1440" s="6" t="str">
        <f>IFERROR(VLOOKUP(Table2[[#This Row],[Ticket]],Okey!A:B,2,0),"")</f>
        <v>ok</v>
      </c>
      <c r="I1440" s="6" t="s">
        <v>3679</v>
      </c>
      <c r="J1440" s="6" t="str">
        <f>VLOOKUP(Table2[[#This Row],[Author]],People!A:B,2,0)</f>
        <v>HC</v>
      </c>
      <c r="K1440" s="6"/>
      <c r="L1440" s="6"/>
      <c r="M1440" s="21" t="s">
        <v>2804</v>
      </c>
    </row>
    <row r="1441" spans="1:13" x14ac:dyDescent="0.25">
      <c r="A1441" s="23">
        <f t="shared" si="22"/>
        <v>1440</v>
      </c>
      <c r="B1441" s="7" t="s">
        <v>4851</v>
      </c>
      <c r="C1441" s="7" t="s">
        <v>5206</v>
      </c>
      <c r="D1441" s="7" t="s">
        <v>5759</v>
      </c>
      <c r="E1441" s="7" t="s">
        <v>5760</v>
      </c>
      <c r="F1441" s="7" t="s">
        <v>5231</v>
      </c>
      <c r="G1441" s="7" t="s">
        <v>496</v>
      </c>
      <c r="H1441" s="7" t="str">
        <f>IFERROR(VLOOKUP(Table2[[#This Row],[Ticket]],Okey!A:B,2,0),"")</f>
        <v>ok</v>
      </c>
      <c r="I1441" s="7" t="s">
        <v>3679</v>
      </c>
      <c r="J1441" s="7" t="str">
        <f>VLOOKUP(Table2[[#This Row],[Author]],People!A:B,2,0)</f>
        <v>HC</v>
      </c>
      <c r="K1441" s="7"/>
      <c r="L1441" s="7"/>
      <c r="M1441" s="16" t="s">
        <v>2804</v>
      </c>
    </row>
    <row r="1442" spans="1:13" x14ac:dyDescent="0.25">
      <c r="A1442" s="22">
        <f t="shared" si="22"/>
        <v>1441</v>
      </c>
      <c r="B1442" s="6" t="s">
        <v>4851</v>
      </c>
      <c r="C1442" s="6" t="s">
        <v>5206</v>
      </c>
      <c r="D1442" s="6" t="s">
        <v>5761</v>
      </c>
      <c r="E1442" s="6" t="s">
        <v>5762</v>
      </c>
      <c r="F1442" s="6" t="s">
        <v>5231</v>
      </c>
      <c r="G1442" s="6" t="s">
        <v>496</v>
      </c>
      <c r="H1442" s="6" t="str">
        <f>IFERROR(VLOOKUP(Table2[[#This Row],[Ticket]],Okey!A:B,2,0),"")</f>
        <v>ok</v>
      </c>
      <c r="I1442" s="6" t="s">
        <v>3679</v>
      </c>
      <c r="J1442" s="6" t="str">
        <f>VLOOKUP(Table2[[#This Row],[Author]],People!A:B,2,0)</f>
        <v>HC</v>
      </c>
      <c r="K1442" s="6"/>
      <c r="L1442" s="6"/>
      <c r="M1442" s="21" t="s">
        <v>2804</v>
      </c>
    </row>
    <row r="1443" spans="1:13" x14ac:dyDescent="0.25">
      <c r="A1443" s="23">
        <f t="shared" si="22"/>
        <v>1442</v>
      </c>
      <c r="B1443" s="7" t="s">
        <v>4851</v>
      </c>
      <c r="C1443" s="7" t="s">
        <v>5206</v>
      </c>
      <c r="D1443" s="7" t="s">
        <v>5763</v>
      </c>
      <c r="E1443" s="7" t="s">
        <v>5764</v>
      </c>
      <c r="F1443" s="7" t="s">
        <v>5231</v>
      </c>
      <c r="G1443" s="7" t="s">
        <v>496</v>
      </c>
      <c r="H1443" s="7" t="str">
        <f>IFERROR(VLOOKUP(Table2[[#This Row],[Ticket]],Okey!A:B,2,0),"")</f>
        <v>ok</v>
      </c>
      <c r="I1443" s="7" t="s">
        <v>3679</v>
      </c>
      <c r="J1443" s="7" t="str">
        <f>VLOOKUP(Table2[[#This Row],[Author]],People!A:B,2,0)</f>
        <v>HC</v>
      </c>
      <c r="K1443" s="7"/>
      <c r="L1443" s="7"/>
      <c r="M1443" s="16" t="s">
        <v>2804</v>
      </c>
    </row>
    <row r="1444" spans="1:13" x14ac:dyDescent="0.25">
      <c r="A1444" s="22">
        <f t="shared" si="22"/>
        <v>1443</v>
      </c>
      <c r="B1444" s="6" t="s">
        <v>4851</v>
      </c>
      <c r="C1444" s="6" t="s">
        <v>5206</v>
      </c>
      <c r="D1444" s="6" t="s">
        <v>5765</v>
      </c>
      <c r="E1444" s="6" t="s">
        <v>5766</v>
      </c>
      <c r="F1444" s="6" t="s">
        <v>5231</v>
      </c>
      <c r="G1444" s="6" t="s">
        <v>496</v>
      </c>
      <c r="H1444" s="6" t="str">
        <f>IFERROR(VLOOKUP(Table2[[#This Row],[Ticket]],Okey!A:B,2,0),"")</f>
        <v>ok</v>
      </c>
      <c r="I1444" s="6" t="s">
        <v>3679</v>
      </c>
      <c r="J1444" s="6" t="str">
        <f>VLOOKUP(Table2[[#This Row],[Author]],People!A:B,2,0)</f>
        <v>MGF</v>
      </c>
      <c r="K1444" s="6"/>
      <c r="L1444" s="6"/>
      <c r="M1444" s="21" t="s">
        <v>2804</v>
      </c>
    </row>
    <row r="1445" spans="1:13" x14ac:dyDescent="0.25">
      <c r="A1445" s="23">
        <f t="shared" si="22"/>
        <v>1444</v>
      </c>
      <c r="B1445" s="7" t="s">
        <v>4851</v>
      </c>
      <c r="C1445" s="7" t="s">
        <v>5206</v>
      </c>
      <c r="D1445" s="7" t="s">
        <v>5767</v>
      </c>
      <c r="E1445" s="7" t="s">
        <v>5768</v>
      </c>
      <c r="F1445" s="7" t="s">
        <v>5231</v>
      </c>
      <c r="G1445" s="7" t="s">
        <v>496</v>
      </c>
      <c r="H1445" s="7" t="str">
        <f>IFERROR(VLOOKUP(Table2[[#This Row],[Ticket]],Okey!A:B,2,0),"")</f>
        <v>ok</v>
      </c>
      <c r="I1445" s="7" t="s">
        <v>3679</v>
      </c>
      <c r="J1445" s="7" t="str">
        <f>VLOOKUP(Table2[[#This Row],[Author]],People!A:B,2,0)</f>
        <v>MGF</v>
      </c>
      <c r="K1445" s="7"/>
      <c r="L1445" s="7"/>
      <c r="M1445" s="16" t="s">
        <v>2804</v>
      </c>
    </row>
    <row r="1446" spans="1:13" x14ac:dyDescent="0.25">
      <c r="A1446" s="22">
        <f t="shared" si="22"/>
        <v>1445</v>
      </c>
      <c r="B1446" s="6" t="s">
        <v>4851</v>
      </c>
      <c r="C1446" s="6" t="s">
        <v>5206</v>
      </c>
      <c r="D1446" s="6" t="s">
        <v>5769</v>
      </c>
      <c r="E1446" s="6" t="s">
        <v>5770</v>
      </c>
      <c r="F1446" s="6" t="s">
        <v>5231</v>
      </c>
      <c r="G1446" s="6" t="s">
        <v>496</v>
      </c>
      <c r="H1446" s="6" t="str">
        <f>IFERROR(VLOOKUP(Table2[[#This Row],[Ticket]],Okey!A:B,2,0),"")</f>
        <v>ok</v>
      </c>
      <c r="I1446" s="6" t="s">
        <v>3679</v>
      </c>
      <c r="J1446" s="6" t="str">
        <f>VLOOKUP(Table2[[#This Row],[Author]],People!A:B,2,0)</f>
        <v>MGF</v>
      </c>
      <c r="K1446" s="6"/>
      <c r="L1446" s="6"/>
      <c r="M1446" s="21" t="s">
        <v>2804</v>
      </c>
    </row>
    <row r="1447" spans="1:13" x14ac:dyDescent="0.25">
      <c r="A1447" s="23">
        <f t="shared" si="22"/>
        <v>1446</v>
      </c>
      <c r="B1447" s="7" t="s">
        <v>4851</v>
      </c>
      <c r="C1447" s="7" t="s">
        <v>5206</v>
      </c>
      <c r="D1447" s="7" t="s">
        <v>3228</v>
      </c>
      <c r="E1447" s="7" t="s">
        <v>5771</v>
      </c>
      <c r="F1447" s="7" t="s">
        <v>3618</v>
      </c>
      <c r="G1447" s="7" t="s">
        <v>496</v>
      </c>
      <c r="H1447" s="7" t="str">
        <f>IFERROR(VLOOKUP(Table2[[#This Row],[Ticket]],Okey!A:B,2,0),"")</f>
        <v>ok</v>
      </c>
      <c r="I1447" s="7" t="s">
        <v>3679</v>
      </c>
      <c r="J1447" s="7" t="str">
        <f>VLOOKUP(Table2[[#This Row],[Author]],People!A:B,2,0)</f>
        <v>MGF</v>
      </c>
      <c r="K1447" s="7"/>
      <c r="L1447" s="7"/>
      <c r="M1447" s="16" t="s">
        <v>2804</v>
      </c>
    </row>
    <row r="1448" spans="1:13" x14ac:dyDescent="0.25">
      <c r="A1448" s="22">
        <f t="shared" si="22"/>
        <v>1447</v>
      </c>
      <c r="B1448" s="6" t="s">
        <v>4851</v>
      </c>
      <c r="C1448" s="6" t="s">
        <v>5206</v>
      </c>
      <c r="D1448" s="6" t="s">
        <v>3232</v>
      </c>
      <c r="E1448" s="6" t="s">
        <v>5772</v>
      </c>
      <c r="F1448" s="6" t="s">
        <v>3230</v>
      </c>
      <c r="G1448" s="6" t="s">
        <v>496</v>
      </c>
      <c r="H1448" s="6" t="str">
        <f>IFERROR(VLOOKUP(Table2[[#This Row],[Ticket]],Okey!A:B,2,0),"")</f>
        <v>ok</v>
      </c>
      <c r="I1448" s="6" t="s">
        <v>3679</v>
      </c>
      <c r="J1448" s="6" t="str">
        <f>VLOOKUP(Table2[[#This Row],[Author]],People!A:B,2,0)</f>
        <v>MGF</v>
      </c>
      <c r="K1448" s="6"/>
      <c r="L1448" s="6"/>
      <c r="M1448" s="21" t="s">
        <v>2804</v>
      </c>
    </row>
    <row r="1449" spans="1:13" x14ac:dyDescent="0.25">
      <c r="A1449" s="23">
        <f t="shared" si="22"/>
        <v>1448</v>
      </c>
      <c r="B1449" s="7" t="s">
        <v>4851</v>
      </c>
      <c r="C1449" s="7" t="s">
        <v>5206</v>
      </c>
      <c r="D1449" s="7" t="s">
        <v>3234</v>
      </c>
      <c r="E1449" s="7" t="s">
        <v>5773</v>
      </c>
      <c r="F1449" s="7" t="s">
        <v>3230</v>
      </c>
      <c r="G1449" s="7" t="s">
        <v>496</v>
      </c>
      <c r="H1449" s="7" t="str">
        <f>IFERROR(VLOOKUP(Table2[[#This Row],[Ticket]],Okey!A:B,2,0),"")</f>
        <v>ok</v>
      </c>
      <c r="I1449" s="7" t="s">
        <v>3679</v>
      </c>
      <c r="J1449" s="7" t="str">
        <f>VLOOKUP(Table2[[#This Row],[Author]],People!A:B,2,0)</f>
        <v>MGF</v>
      </c>
      <c r="K1449" s="7"/>
      <c r="L1449" s="7"/>
      <c r="M1449" s="16" t="s">
        <v>2804</v>
      </c>
    </row>
    <row r="1450" spans="1:13" x14ac:dyDescent="0.25">
      <c r="A1450" s="22">
        <f t="shared" si="22"/>
        <v>1449</v>
      </c>
      <c r="B1450" s="6" t="s">
        <v>4851</v>
      </c>
      <c r="C1450" s="6" t="s">
        <v>5206</v>
      </c>
      <c r="D1450" s="6" t="s">
        <v>3236</v>
      </c>
      <c r="E1450" s="6" t="s">
        <v>5774</v>
      </c>
      <c r="F1450" s="6" t="s">
        <v>3230</v>
      </c>
      <c r="G1450" s="6" t="s">
        <v>496</v>
      </c>
      <c r="H1450" s="6" t="str">
        <f>IFERROR(VLOOKUP(Table2[[#This Row],[Ticket]],Okey!A:B,2,0),"")</f>
        <v>ok</v>
      </c>
      <c r="I1450" s="6" t="s">
        <v>3679</v>
      </c>
      <c r="J1450" s="6" t="str">
        <f>VLOOKUP(Table2[[#This Row],[Author]],People!A:B,2,0)</f>
        <v>MGF</v>
      </c>
      <c r="K1450" s="6"/>
      <c r="L1450" s="6"/>
      <c r="M1450" s="21" t="s">
        <v>2804</v>
      </c>
    </row>
    <row r="1451" spans="1:13" x14ac:dyDescent="0.25">
      <c r="A1451" s="23">
        <f t="shared" si="22"/>
        <v>1450</v>
      </c>
      <c r="B1451" s="7" t="s">
        <v>4851</v>
      </c>
      <c r="C1451" s="7" t="s">
        <v>5206</v>
      </c>
      <c r="D1451" s="7" t="s">
        <v>3238</v>
      </c>
      <c r="E1451" s="7" t="s">
        <v>5775</v>
      </c>
      <c r="F1451" s="7" t="s">
        <v>3230</v>
      </c>
      <c r="G1451" s="7" t="s">
        <v>496</v>
      </c>
      <c r="H1451" s="7" t="str">
        <f>IFERROR(VLOOKUP(Table2[[#This Row],[Ticket]],Okey!A:B,2,0),"")</f>
        <v>ok</v>
      </c>
      <c r="I1451" s="7" t="s">
        <v>3679</v>
      </c>
      <c r="J1451" s="7" t="str">
        <f>VLOOKUP(Table2[[#This Row],[Author]],People!A:B,2,0)</f>
        <v>MGF</v>
      </c>
      <c r="K1451" s="7"/>
      <c r="L1451" s="7"/>
      <c r="M1451" s="16" t="s">
        <v>2804</v>
      </c>
    </row>
    <row r="1452" spans="1:13" x14ac:dyDescent="0.25">
      <c r="A1452" s="22">
        <f t="shared" si="22"/>
        <v>1451</v>
      </c>
      <c r="B1452" s="6" t="s">
        <v>4851</v>
      </c>
      <c r="C1452" s="6" t="s">
        <v>5206</v>
      </c>
      <c r="D1452" s="6" t="s">
        <v>3240</v>
      </c>
      <c r="E1452" s="6" t="s">
        <v>5776</v>
      </c>
      <c r="F1452" s="6" t="s">
        <v>3230</v>
      </c>
      <c r="G1452" s="6" t="s">
        <v>496</v>
      </c>
      <c r="H1452" s="6" t="str">
        <f>IFERROR(VLOOKUP(Table2[[#This Row],[Ticket]],Okey!A:B,2,0),"")</f>
        <v>ok</v>
      </c>
      <c r="I1452" s="6" t="s">
        <v>3679</v>
      </c>
      <c r="J1452" s="6" t="str">
        <f>VLOOKUP(Table2[[#This Row],[Author]],People!A:B,2,0)</f>
        <v>MGF</v>
      </c>
      <c r="K1452" s="6"/>
      <c r="L1452" s="6"/>
      <c r="M1452" s="21" t="s">
        <v>2804</v>
      </c>
    </row>
    <row r="1453" spans="1:13" x14ac:dyDescent="0.25">
      <c r="A1453" s="23">
        <f t="shared" si="22"/>
        <v>1452</v>
      </c>
      <c r="B1453" s="7" t="s">
        <v>4851</v>
      </c>
      <c r="C1453" s="7" t="s">
        <v>5206</v>
      </c>
      <c r="D1453" s="7" t="s">
        <v>3242</v>
      </c>
      <c r="E1453" s="7" t="s">
        <v>5777</v>
      </c>
      <c r="F1453" s="7" t="s">
        <v>3230</v>
      </c>
      <c r="G1453" s="7" t="s">
        <v>496</v>
      </c>
      <c r="H1453" s="7" t="str">
        <f>IFERROR(VLOOKUP(Table2[[#This Row],[Ticket]],Okey!A:B,2,0),"")</f>
        <v>ok</v>
      </c>
      <c r="I1453" s="7" t="s">
        <v>3679</v>
      </c>
      <c r="J1453" s="7" t="str">
        <f>VLOOKUP(Table2[[#This Row],[Author]],People!A:B,2,0)</f>
        <v>MGF</v>
      </c>
      <c r="K1453" s="7"/>
      <c r="L1453" s="7"/>
      <c r="M1453" s="16" t="s">
        <v>2804</v>
      </c>
    </row>
    <row r="1454" spans="1:13" x14ac:dyDescent="0.25">
      <c r="A1454" s="22">
        <f t="shared" si="22"/>
        <v>1453</v>
      </c>
      <c r="B1454" s="6" t="s">
        <v>4851</v>
      </c>
      <c r="C1454" s="6" t="s">
        <v>5206</v>
      </c>
      <c r="D1454" s="6" t="s">
        <v>3244</v>
      </c>
      <c r="E1454" s="6" t="s">
        <v>5778</v>
      </c>
      <c r="F1454" s="6" t="s">
        <v>3230</v>
      </c>
      <c r="G1454" s="6" t="s">
        <v>496</v>
      </c>
      <c r="H1454" s="6" t="str">
        <f>IFERROR(VLOOKUP(Table2[[#This Row],[Ticket]],Okey!A:B,2,0),"")</f>
        <v>ok</v>
      </c>
      <c r="I1454" s="6" t="s">
        <v>3679</v>
      </c>
      <c r="J1454" s="6" t="str">
        <f>VLOOKUP(Table2[[#This Row],[Author]],People!A:B,2,0)</f>
        <v>MGF</v>
      </c>
      <c r="K1454" s="6"/>
      <c r="L1454" s="6"/>
      <c r="M1454" s="21" t="s">
        <v>2804</v>
      </c>
    </row>
    <row r="1455" spans="1:13" x14ac:dyDescent="0.25">
      <c r="A1455" s="23">
        <f t="shared" si="22"/>
        <v>1454</v>
      </c>
      <c r="B1455" s="7" t="s">
        <v>4851</v>
      </c>
      <c r="C1455" s="7" t="s">
        <v>5206</v>
      </c>
      <c r="D1455" s="7" t="s">
        <v>3246</v>
      </c>
      <c r="E1455" s="7" t="s">
        <v>5779</v>
      </c>
      <c r="F1455" s="7" t="s">
        <v>3230</v>
      </c>
      <c r="G1455" s="7" t="s">
        <v>496</v>
      </c>
      <c r="H1455" s="7" t="str">
        <f>IFERROR(VLOOKUP(Table2[[#This Row],[Ticket]],Okey!A:B,2,0),"")</f>
        <v>ok</v>
      </c>
      <c r="I1455" s="7" t="s">
        <v>3679</v>
      </c>
      <c r="J1455" s="7" t="str">
        <f>VLOOKUP(Table2[[#This Row],[Author]],People!A:B,2,0)</f>
        <v>MGF</v>
      </c>
      <c r="K1455" s="7"/>
      <c r="L1455" s="7"/>
      <c r="M1455" s="16" t="s">
        <v>2804</v>
      </c>
    </row>
    <row r="1456" spans="1:13" x14ac:dyDescent="0.25">
      <c r="A1456" s="22">
        <f t="shared" si="22"/>
        <v>1455</v>
      </c>
      <c r="B1456" s="6" t="s">
        <v>4851</v>
      </c>
      <c r="C1456" s="6" t="s">
        <v>5206</v>
      </c>
      <c r="D1456" s="6" t="s">
        <v>3248</v>
      </c>
      <c r="E1456" s="6" t="s">
        <v>5780</v>
      </c>
      <c r="F1456" s="6" t="s">
        <v>3230</v>
      </c>
      <c r="G1456" s="6" t="s">
        <v>496</v>
      </c>
      <c r="H1456" s="6" t="str">
        <f>IFERROR(VLOOKUP(Table2[[#This Row],[Ticket]],Okey!A:B,2,0),"")</f>
        <v>ok</v>
      </c>
      <c r="I1456" s="6" t="s">
        <v>3679</v>
      </c>
      <c r="J1456" s="6" t="str">
        <f>VLOOKUP(Table2[[#This Row],[Author]],People!A:B,2,0)</f>
        <v>MGF</v>
      </c>
      <c r="K1456" s="6"/>
      <c r="L1456" s="6"/>
      <c r="M1456" s="21" t="s">
        <v>2804</v>
      </c>
    </row>
    <row r="1457" spans="1:13" x14ac:dyDescent="0.25">
      <c r="A1457" s="23">
        <f t="shared" si="22"/>
        <v>1456</v>
      </c>
      <c r="B1457" s="7" t="s">
        <v>4851</v>
      </c>
      <c r="C1457" s="7" t="s">
        <v>5206</v>
      </c>
      <c r="D1457" s="7" t="s">
        <v>3250</v>
      </c>
      <c r="E1457" s="7" t="s">
        <v>5781</v>
      </c>
      <c r="F1457" s="7" t="s">
        <v>3230</v>
      </c>
      <c r="G1457" s="7" t="s">
        <v>496</v>
      </c>
      <c r="H1457" s="7" t="str">
        <f>IFERROR(VLOOKUP(Table2[[#This Row],[Ticket]],Okey!A:B,2,0),"")</f>
        <v>ok</v>
      </c>
      <c r="I1457" s="7" t="s">
        <v>3679</v>
      </c>
      <c r="J1457" s="7" t="str">
        <f>VLOOKUP(Table2[[#This Row],[Author]],People!A:B,2,0)</f>
        <v>EL</v>
      </c>
      <c r="K1457" s="7"/>
      <c r="L1457" s="7"/>
      <c r="M1457" s="16" t="s">
        <v>2804</v>
      </c>
    </row>
    <row r="1458" spans="1:13" x14ac:dyDescent="0.25">
      <c r="A1458" s="22">
        <f t="shared" si="22"/>
        <v>1457</v>
      </c>
      <c r="B1458" s="6" t="s">
        <v>4851</v>
      </c>
      <c r="C1458" s="6" t="s">
        <v>5206</v>
      </c>
      <c r="D1458" s="6" t="s">
        <v>3256</v>
      </c>
      <c r="E1458" s="6" t="s">
        <v>5782</v>
      </c>
      <c r="F1458" s="6" t="s">
        <v>3618</v>
      </c>
      <c r="G1458" s="6" t="s">
        <v>496</v>
      </c>
      <c r="H1458" s="6" t="str">
        <f>IFERROR(VLOOKUP(Table2[[#This Row],[Ticket]],Okey!A:B,2,0),"")</f>
        <v>ok</v>
      </c>
      <c r="I1458" s="6" t="s">
        <v>3679</v>
      </c>
      <c r="J1458" s="6" t="str">
        <f>VLOOKUP(Table2[[#This Row],[Author]],People!A:B,2,0)</f>
        <v>LS</v>
      </c>
      <c r="K1458" s="6"/>
      <c r="L1458" s="6"/>
      <c r="M1458" s="21" t="s">
        <v>2804</v>
      </c>
    </row>
    <row r="1459" spans="1:13" x14ac:dyDescent="0.25">
      <c r="A1459" s="23">
        <f t="shared" si="22"/>
        <v>1458</v>
      </c>
      <c r="B1459" s="7" t="s">
        <v>4851</v>
      </c>
      <c r="C1459" s="7" t="s">
        <v>5206</v>
      </c>
      <c r="D1459" s="7" t="s">
        <v>3272</v>
      </c>
      <c r="E1459" s="7" t="s">
        <v>5783</v>
      </c>
      <c r="F1459" s="7" t="s">
        <v>3618</v>
      </c>
      <c r="G1459" s="7" t="s">
        <v>496</v>
      </c>
      <c r="H1459" s="7" t="str">
        <f>IFERROR(VLOOKUP(Table2[[#This Row],[Ticket]],Okey!A:B,2,0),"")</f>
        <v>ok</v>
      </c>
      <c r="I1459" s="7" t="s">
        <v>3679</v>
      </c>
      <c r="J1459" s="7" t="str">
        <f>VLOOKUP(Table2[[#This Row],[Author]],People!A:B,2,0)</f>
        <v>LS</v>
      </c>
      <c r="K1459" s="7"/>
      <c r="L1459" s="7"/>
      <c r="M1459" s="16" t="s">
        <v>2804</v>
      </c>
    </row>
    <row r="1460" spans="1:13" x14ac:dyDescent="0.25">
      <c r="A1460" s="22">
        <f t="shared" si="22"/>
        <v>1459</v>
      </c>
      <c r="B1460" s="6" t="s">
        <v>4851</v>
      </c>
      <c r="C1460" s="6" t="s">
        <v>5206</v>
      </c>
      <c r="D1460" s="6" t="s">
        <v>3395</v>
      </c>
      <c r="E1460" s="6" t="s">
        <v>5784</v>
      </c>
      <c r="F1460" s="6" t="s">
        <v>5262</v>
      </c>
      <c r="G1460" s="6" t="s">
        <v>496</v>
      </c>
      <c r="H1460" s="6" t="str">
        <f>IFERROR(VLOOKUP(Table2[[#This Row],[Ticket]],Okey!A:B,2,0),"")</f>
        <v>ok</v>
      </c>
      <c r="I1460" s="6" t="s">
        <v>3679</v>
      </c>
      <c r="J1460" s="6" t="str">
        <f>VLOOKUP(Table2[[#This Row],[Author]],People!A:B,2,0)</f>
        <v>LS</v>
      </c>
      <c r="K1460" s="6"/>
      <c r="L1460" s="6"/>
      <c r="M1460" s="21" t="s">
        <v>2804</v>
      </c>
    </row>
    <row r="1461" spans="1:13" x14ac:dyDescent="0.25">
      <c r="A1461" s="23">
        <f t="shared" si="22"/>
        <v>1460</v>
      </c>
      <c r="B1461" s="7" t="s">
        <v>4851</v>
      </c>
      <c r="C1461" s="7" t="s">
        <v>5206</v>
      </c>
      <c r="D1461" s="7" t="s">
        <v>3399</v>
      </c>
      <c r="E1461" s="7" t="s">
        <v>5785</v>
      </c>
      <c r="F1461" s="7" t="s">
        <v>3397</v>
      </c>
      <c r="G1461" s="7" t="s">
        <v>496</v>
      </c>
      <c r="H1461" s="7" t="str">
        <f>IFERROR(VLOOKUP(Table2[[#This Row],[Ticket]],Okey!A:B,2,0),"")</f>
        <v>ok</v>
      </c>
      <c r="I1461" s="7" t="s">
        <v>3679</v>
      </c>
      <c r="J1461" s="7" t="str">
        <f>VLOOKUP(Table2[[#This Row],[Author]],People!A:B,2,0)</f>
        <v>LS</v>
      </c>
      <c r="K1461" s="7"/>
      <c r="L1461" s="7"/>
      <c r="M1461" s="16" t="s">
        <v>2804</v>
      </c>
    </row>
    <row r="1462" spans="1:13" x14ac:dyDescent="0.25">
      <c r="A1462" s="22">
        <f t="shared" si="22"/>
        <v>1461</v>
      </c>
      <c r="B1462" s="6" t="s">
        <v>4851</v>
      </c>
      <c r="C1462" s="6" t="s">
        <v>5206</v>
      </c>
      <c r="D1462" s="6" t="s">
        <v>3423</v>
      </c>
      <c r="E1462" s="6" t="s">
        <v>5786</v>
      </c>
      <c r="F1462" s="6" t="s">
        <v>5262</v>
      </c>
      <c r="G1462" s="6" t="s">
        <v>496</v>
      </c>
      <c r="H1462" s="6" t="str">
        <f>IFERROR(VLOOKUP(Table2[[#This Row],[Ticket]],Okey!A:B,2,0),"")</f>
        <v>ok</v>
      </c>
      <c r="I1462" s="6" t="s">
        <v>3679</v>
      </c>
      <c r="J1462" s="6" t="str">
        <f>VLOOKUP(Table2[[#This Row],[Author]],People!A:B,2,0)</f>
        <v>LS</v>
      </c>
      <c r="K1462" s="6"/>
      <c r="L1462" s="6"/>
      <c r="M1462" s="21" t="s">
        <v>2804</v>
      </c>
    </row>
    <row r="1463" spans="1:13" x14ac:dyDescent="0.25">
      <c r="A1463" s="23">
        <f t="shared" si="22"/>
        <v>1462</v>
      </c>
      <c r="B1463" s="7" t="s">
        <v>4851</v>
      </c>
      <c r="C1463" s="7" t="s">
        <v>5206</v>
      </c>
      <c r="D1463" s="7" t="s">
        <v>3427</v>
      </c>
      <c r="E1463" s="7" t="s">
        <v>5787</v>
      </c>
      <c r="F1463" s="7" t="s">
        <v>3425</v>
      </c>
      <c r="G1463" s="7" t="s">
        <v>496</v>
      </c>
      <c r="H1463" s="7" t="str">
        <f>IFERROR(VLOOKUP(Table2[[#This Row],[Ticket]],Okey!A:B,2,0),"")</f>
        <v>ok</v>
      </c>
      <c r="I1463" s="7" t="s">
        <v>3679</v>
      </c>
      <c r="J1463" s="7" t="str">
        <f>VLOOKUP(Table2[[#This Row],[Author]],People!A:B,2,0)</f>
        <v>LS</v>
      </c>
      <c r="K1463" s="7"/>
      <c r="L1463" s="7"/>
      <c r="M1463" s="16" t="s">
        <v>2804</v>
      </c>
    </row>
    <row r="1464" spans="1:13" x14ac:dyDescent="0.25">
      <c r="A1464" s="22">
        <f t="shared" si="22"/>
        <v>1463</v>
      </c>
      <c r="B1464" s="6" t="s">
        <v>4851</v>
      </c>
      <c r="C1464" s="6" t="s">
        <v>5206</v>
      </c>
      <c r="D1464" s="6" t="s">
        <v>3429</v>
      </c>
      <c r="E1464" s="6" t="s">
        <v>5788</v>
      </c>
      <c r="F1464" s="6" t="s">
        <v>3425</v>
      </c>
      <c r="G1464" s="6" t="s">
        <v>496</v>
      </c>
      <c r="H1464" s="6" t="str">
        <f>IFERROR(VLOOKUP(Table2[[#This Row],[Ticket]],Okey!A:B,2,0),"")</f>
        <v>ok</v>
      </c>
      <c r="I1464" s="6" t="s">
        <v>3679</v>
      </c>
      <c r="J1464" s="6" t="str">
        <f>VLOOKUP(Table2[[#This Row],[Author]],People!A:B,2,0)</f>
        <v>LS</v>
      </c>
      <c r="K1464" s="6"/>
      <c r="L1464" s="6"/>
      <c r="M1464" s="21" t="s">
        <v>2804</v>
      </c>
    </row>
    <row r="1465" spans="1:13" x14ac:dyDescent="0.25">
      <c r="A1465" s="23">
        <f t="shared" si="22"/>
        <v>1464</v>
      </c>
      <c r="B1465" s="7" t="s">
        <v>4851</v>
      </c>
      <c r="C1465" s="7" t="s">
        <v>5206</v>
      </c>
      <c r="D1465" s="7" t="s">
        <v>3431</v>
      </c>
      <c r="E1465" s="7" t="s">
        <v>5789</v>
      </c>
      <c r="F1465" s="7" t="s">
        <v>3425</v>
      </c>
      <c r="G1465" s="7" t="s">
        <v>496</v>
      </c>
      <c r="H1465" s="7" t="str">
        <f>IFERROR(VLOOKUP(Table2[[#This Row],[Ticket]],Okey!A:B,2,0),"")</f>
        <v>ok</v>
      </c>
      <c r="I1465" s="7" t="s">
        <v>3679</v>
      </c>
      <c r="J1465" s="7" t="str">
        <f>VLOOKUP(Table2[[#This Row],[Author]],People!A:B,2,0)</f>
        <v>LS</v>
      </c>
      <c r="K1465" s="7"/>
      <c r="L1465" s="7"/>
      <c r="M1465" s="16" t="s">
        <v>2804</v>
      </c>
    </row>
    <row r="1466" spans="1:13" x14ac:dyDescent="0.25">
      <c r="A1466" s="22">
        <f t="shared" si="22"/>
        <v>1465</v>
      </c>
      <c r="B1466" s="6" t="s">
        <v>4851</v>
      </c>
      <c r="C1466" s="6" t="s">
        <v>5206</v>
      </c>
      <c r="D1466" s="6" t="s">
        <v>3433</v>
      </c>
      <c r="E1466" s="6" t="s">
        <v>5790</v>
      </c>
      <c r="F1466" s="6" t="s">
        <v>3425</v>
      </c>
      <c r="G1466" s="6" t="s">
        <v>496</v>
      </c>
      <c r="H1466" s="6" t="str">
        <f>IFERROR(VLOOKUP(Table2[[#This Row],[Ticket]],Okey!A:B,2,0),"")</f>
        <v>ok</v>
      </c>
      <c r="I1466" s="6" t="s">
        <v>3679</v>
      </c>
      <c r="J1466" s="6" t="str">
        <f>VLOOKUP(Table2[[#This Row],[Author]],People!A:B,2,0)</f>
        <v>LS</v>
      </c>
      <c r="K1466" s="6"/>
      <c r="L1466" s="6"/>
      <c r="M1466" s="21" t="s">
        <v>2804</v>
      </c>
    </row>
    <row r="1467" spans="1:13" x14ac:dyDescent="0.25">
      <c r="A1467" s="23">
        <f t="shared" si="22"/>
        <v>1466</v>
      </c>
      <c r="B1467" s="7" t="s">
        <v>4851</v>
      </c>
      <c r="C1467" s="7" t="s">
        <v>5206</v>
      </c>
      <c r="D1467" s="7" t="s">
        <v>3435</v>
      </c>
      <c r="E1467" s="7" t="s">
        <v>5791</v>
      </c>
      <c r="F1467" s="7" t="s">
        <v>3425</v>
      </c>
      <c r="G1467" s="7" t="s">
        <v>496</v>
      </c>
      <c r="H1467" s="7" t="str">
        <f>IFERROR(VLOOKUP(Table2[[#This Row],[Ticket]],Okey!A:B,2,0),"")</f>
        <v>ok</v>
      </c>
      <c r="I1467" s="7" t="s">
        <v>3679</v>
      </c>
      <c r="J1467" s="7" t="str">
        <f>VLOOKUP(Table2[[#This Row],[Author]],People!A:B,2,0)</f>
        <v>LS</v>
      </c>
      <c r="K1467" s="7"/>
      <c r="L1467" s="7"/>
      <c r="M1467" s="16" t="s">
        <v>2804</v>
      </c>
    </row>
    <row r="1468" spans="1:13" x14ac:dyDescent="0.25">
      <c r="A1468" s="22">
        <f t="shared" si="22"/>
        <v>1467</v>
      </c>
      <c r="B1468" s="6" t="s">
        <v>4851</v>
      </c>
      <c r="C1468" s="6" t="s">
        <v>5206</v>
      </c>
      <c r="D1468" s="6" t="s">
        <v>3437</v>
      </c>
      <c r="E1468" s="6" t="s">
        <v>5792</v>
      </c>
      <c r="F1468" s="6" t="s">
        <v>3425</v>
      </c>
      <c r="G1468" s="6" t="s">
        <v>496</v>
      </c>
      <c r="H1468" s="6" t="str">
        <f>IFERROR(VLOOKUP(Table2[[#This Row],[Ticket]],Okey!A:B,2,0),"")</f>
        <v>ok</v>
      </c>
      <c r="I1468" s="6" t="s">
        <v>3679</v>
      </c>
      <c r="J1468" s="6" t="str">
        <f>VLOOKUP(Table2[[#This Row],[Author]],People!A:B,2,0)</f>
        <v>LS</v>
      </c>
      <c r="K1468" s="6"/>
      <c r="L1468" s="6"/>
      <c r="M1468" s="21" t="s">
        <v>2804</v>
      </c>
    </row>
    <row r="1469" spans="1:13" x14ac:dyDescent="0.25">
      <c r="A1469" s="23">
        <f t="shared" si="22"/>
        <v>1468</v>
      </c>
      <c r="B1469" s="7" t="s">
        <v>4851</v>
      </c>
      <c r="C1469" s="7" t="s">
        <v>5206</v>
      </c>
      <c r="D1469" s="7" t="s">
        <v>3439</v>
      </c>
      <c r="E1469" s="7" t="s">
        <v>5793</v>
      </c>
      <c r="F1469" s="7" t="s">
        <v>3425</v>
      </c>
      <c r="G1469" s="7" t="s">
        <v>496</v>
      </c>
      <c r="H1469" s="7" t="str">
        <f>IFERROR(VLOOKUP(Table2[[#This Row],[Ticket]],Okey!A:B,2,0),"")</f>
        <v>ok</v>
      </c>
      <c r="I1469" s="7" t="s">
        <v>3679</v>
      </c>
      <c r="J1469" s="7" t="str">
        <f>VLOOKUP(Table2[[#This Row],[Author]],People!A:B,2,0)</f>
        <v>LS</v>
      </c>
      <c r="K1469" s="7"/>
      <c r="L1469" s="7"/>
      <c r="M1469" s="16" t="s">
        <v>2804</v>
      </c>
    </row>
    <row r="1470" spans="1:13" x14ac:dyDescent="0.25">
      <c r="A1470" s="22">
        <f t="shared" si="22"/>
        <v>1469</v>
      </c>
      <c r="B1470" s="6" t="s">
        <v>4851</v>
      </c>
      <c r="C1470" s="6" t="s">
        <v>5206</v>
      </c>
      <c r="D1470" s="6" t="s">
        <v>3441</v>
      </c>
      <c r="E1470" s="6" t="s">
        <v>5794</v>
      </c>
      <c r="F1470" s="6" t="s">
        <v>3425</v>
      </c>
      <c r="G1470" s="6" t="s">
        <v>496</v>
      </c>
      <c r="H1470" s="6" t="str">
        <f>IFERROR(VLOOKUP(Table2[[#This Row],[Ticket]],Okey!A:B,2,0),"")</f>
        <v>ok</v>
      </c>
      <c r="I1470" s="6" t="s">
        <v>3679</v>
      </c>
      <c r="J1470" s="6" t="str">
        <f>VLOOKUP(Table2[[#This Row],[Author]],People!A:B,2,0)</f>
        <v>LS</v>
      </c>
      <c r="K1470" s="6"/>
      <c r="L1470" s="6"/>
      <c r="M1470" s="21" t="s">
        <v>2804</v>
      </c>
    </row>
    <row r="1471" spans="1:13" x14ac:dyDescent="0.25">
      <c r="A1471" s="23">
        <f t="shared" si="22"/>
        <v>1470</v>
      </c>
      <c r="B1471" s="7" t="s">
        <v>4851</v>
      </c>
      <c r="C1471" s="7" t="s">
        <v>5206</v>
      </c>
      <c r="D1471" s="7" t="s">
        <v>3443</v>
      </c>
      <c r="E1471" s="7" t="s">
        <v>5795</v>
      </c>
      <c r="F1471" s="7" t="s">
        <v>3425</v>
      </c>
      <c r="G1471" s="7" t="s">
        <v>496</v>
      </c>
      <c r="H1471" s="7" t="str">
        <f>IFERROR(VLOOKUP(Table2[[#This Row],[Ticket]],Okey!A:B,2,0),"")</f>
        <v>ok</v>
      </c>
      <c r="I1471" s="7" t="s">
        <v>3679</v>
      </c>
      <c r="J1471" s="7" t="str">
        <f>VLOOKUP(Table2[[#This Row],[Author]],People!A:B,2,0)</f>
        <v>LS</v>
      </c>
      <c r="K1471" s="7"/>
      <c r="L1471" s="7"/>
      <c r="M1471" s="16" t="s">
        <v>2804</v>
      </c>
    </row>
    <row r="1472" spans="1:13" x14ac:dyDescent="0.25">
      <c r="A1472" s="22">
        <f t="shared" si="22"/>
        <v>1471</v>
      </c>
      <c r="B1472" s="6" t="s">
        <v>4851</v>
      </c>
      <c r="C1472" s="6" t="s">
        <v>5206</v>
      </c>
      <c r="D1472" s="6" t="s">
        <v>3445</v>
      </c>
      <c r="E1472" s="6" t="s">
        <v>5796</v>
      </c>
      <c r="F1472" s="6" t="s">
        <v>3425</v>
      </c>
      <c r="G1472" s="6" t="s">
        <v>496</v>
      </c>
      <c r="H1472" s="6" t="str">
        <f>IFERROR(VLOOKUP(Table2[[#This Row],[Ticket]],Okey!A:B,2,0),"")</f>
        <v>ok</v>
      </c>
      <c r="I1472" s="6" t="s">
        <v>3679</v>
      </c>
      <c r="J1472" s="6" t="str">
        <f>VLOOKUP(Table2[[#This Row],[Author]],People!A:B,2,0)</f>
        <v>LS</v>
      </c>
      <c r="K1472" s="6"/>
      <c r="L1472" s="6"/>
      <c r="M1472" s="21" t="s">
        <v>2804</v>
      </c>
    </row>
    <row r="1473" spans="1:13" x14ac:dyDescent="0.25">
      <c r="A1473" s="23">
        <f t="shared" si="22"/>
        <v>1472</v>
      </c>
      <c r="B1473" s="7" t="s">
        <v>4851</v>
      </c>
      <c r="C1473" s="7" t="s">
        <v>5206</v>
      </c>
      <c r="D1473" s="7" t="s">
        <v>3451</v>
      </c>
      <c r="E1473" s="7" t="s">
        <v>5797</v>
      </c>
      <c r="F1473" s="7" t="s">
        <v>5262</v>
      </c>
      <c r="G1473" s="7" t="s">
        <v>496</v>
      </c>
      <c r="H1473" s="7" t="str">
        <f>IFERROR(VLOOKUP(Table2[[#This Row],[Ticket]],Okey!A:B,2,0),"")</f>
        <v>ok</v>
      </c>
      <c r="I1473" s="7" t="s">
        <v>3679</v>
      </c>
      <c r="J1473" s="7" t="str">
        <f>VLOOKUP(Table2[[#This Row],[Author]],People!A:B,2,0)</f>
        <v>LS</v>
      </c>
      <c r="K1473" s="7"/>
      <c r="L1473" s="7"/>
      <c r="M1473" s="16" t="s">
        <v>2804</v>
      </c>
    </row>
    <row r="1474" spans="1:13" x14ac:dyDescent="0.25">
      <c r="A1474" s="22">
        <f t="shared" si="22"/>
        <v>1473</v>
      </c>
      <c r="B1474" s="6" t="s">
        <v>4851</v>
      </c>
      <c r="C1474" s="6" t="s">
        <v>5206</v>
      </c>
      <c r="D1474" s="6" t="s">
        <v>3455</v>
      </c>
      <c r="E1474" s="6" t="s">
        <v>5798</v>
      </c>
      <c r="F1474" s="6" t="s">
        <v>3453</v>
      </c>
      <c r="G1474" s="6" t="s">
        <v>496</v>
      </c>
      <c r="H1474" s="6" t="str">
        <f>IFERROR(VLOOKUP(Table2[[#This Row],[Ticket]],Okey!A:B,2,0),"")</f>
        <v>ok</v>
      </c>
      <c r="I1474" s="6" t="s">
        <v>3679</v>
      </c>
      <c r="J1474" s="6" t="str">
        <f>VLOOKUP(Table2[[#This Row],[Author]],People!A:B,2,0)</f>
        <v>LS</v>
      </c>
      <c r="K1474" s="6"/>
      <c r="L1474" s="6"/>
      <c r="M1474" s="21" t="s">
        <v>2804</v>
      </c>
    </row>
    <row r="1475" spans="1:13" x14ac:dyDescent="0.25">
      <c r="A1475" s="23">
        <f t="shared" ref="A1475:A1538" si="23">1+A1474</f>
        <v>1474</v>
      </c>
      <c r="B1475" s="7" t="s">
        <v>4851</v>
      </c>
      <c r="C1475" s="7" t="s">
        <v>5206</v>
      </c>
      <c r="D1475" s="7" t="s">
        <v>3457</v>
      </c>
      <c r="E1475" s="7" t="s">
        <v>5799</v>
      </c>
      <c r="F1475" s="7" t="s">
        <v>3453</v>
      </c>
      <c r="G1475" s="7" t="s">
        <v>496</v>
      </c>
      <c r="H1475" s="7" t="str">
        <f>IFERROR(VLOOKUP(Table2[[#This Row],[Ticket]],Okey!A:B,2,0),"")</f>
        <v>ok</v>
      </c>
      <c r="I1475" s="7" t="s">
        <v>3679</v>
      </c>
      <c r="J1475" s="7" t="str">
        <f>VLOOKUP(Table2[[#This Row],[Author]],People!A:B,2,0)</f>
        <v>LS</v>
      </c>
      <c r="K1475" s="7"/>
      <c r="L1475" s="7"/>
      <c r="M1475" s="16" t="s">
        <v>2804</v>
      </c>
    </row>
    <row r="1476" spans="1:13" x14ac:dyDescent="0.25">
      <c r="A1476" s="22">
        <f t="shared" si="23"/>
        <v>1475</v>
      </c>
      <c r="B1476" s="6" t="s">
        <v>4851</v>
      </c>
      <c r="C1476" s="6" t="s">
        <v>5206</v>
      </c>
      <c r="D1476" s="6" t="s">
        <v>3459</v>
      </c>
      <c r="E1476" s="6" t="s">
        <v>5800</v>
      </c>
      <c r="F1476" s="6" t="s">
        <v>3453</v>
      </c>
      <c r="G1476" s="6" t="s">
        <v>496</v>
      </c>
      <c r="H1476" s="6" t="str">
        <f>IFERROR(VLOOKUP(Table2[[#This Row],[Ticket]],Okey!A:B,2,0),"")</f>
        <v>ok</v>
      </c>
      <c r="I1476" s="6" t="s">
        <v>3679</v>
      </c>
      <c r="J1476" s="6" t="str">
        <f>VLOOKUP(Table2[[#This Row],[Author]],People!A:B,2,0)</f>
        <v>LS</v>
      </c>
      <c r="K1476" s="6"/>
      <c r="L1476" s="6"/>
      <c r="M1476" s="21" t="s">
        <v>2804</v>
      </c>
    </row>
    <row r="1477" spans="1:13" x14ac:dyDescent="0.25">
      <c r="A1477" s="23">
        <f t="shared" si="23"/>
        <v>1476</v>
      </c>
      <c r="B1477" s="7" t="s">
        <v>4851</v>
      </c>
      <c r="C1477" s="7" t="s">
        <v>5206</v>
      </c>
      <c r="D1477" s="7" t="s">
        <v>3461</v>
      </c>
      <c r="E1477" s="7" t="s">
        <v>5801</v>
      </c>
      <c r="F1477" s="7" t="s">
        <v>3453</v>
      </c>
      <c r="G1477" s="7" t="s">
        <v>496</v>
      </c>
      <c r="H1477" s="7" t="str">
        <f>IFERROR(VLOOKUP(Table2[[#This Row],[Ticket]],Okey!A:B,2,0),"")</f>
        <v>ok</v>
      </c>
      <c r="I1477" s="7" t="s">
        <v>3679</v>
      </c>
      <c r="J1477" s="7" t="str">
        <f>VLOOKUP(Table2[[#This Row],[Author]],People!A:B,2,0)</f>
        <v>LS</v>
      </c>
      <c r="K1477" s="7"/>
      <c r="L1477" s="7"/>
      <c r="M1477" s="16" t="s">
        <v>2804</v>
      </c>
    </row>
    <row r="1478" spans="1:13" x14ac:dyDescent="0.25">
      <c r="A1478" s="22">
        <f t="shared" si="23"/>
        <v>1477</v>
      </c>
      <c r="B1478" s="6" t="s">
        <v>4851</v>
      </c>
      <c r="C1478" s="6" t="s">
        <v>5206</v>
      </c>
      <c r="D1478" s="6" t="s">
        <v>3463</v>
      </c>
      <c r="E1478" s="6" t="s">
        <v>5802</v>
      </c>
      <c r="F1478" s="6" t="s">
        <v>3453</v>
      </c>
      <c r="G1478" s="6" t="s">
        <v>496</v>
      </c>
      <c r="H1478" s="6" t="str">
        <f>IFERROR(VLOOKUP(Table2[[#This Row],[Ticket]],Okey!A:B,2,0),"")</f>
        <v>ok</v>
      </c>
      <c r="I1478" s="6" t="s">
        <v>3679</v>
      </c>
      <c r="J1478" s="6" t="str">
        <f>VLOOKUP(Table2[[#This Row],[Author]],People!A:B,2,0)</f>
        <v>LS</v>
      </c>
      <c r="K1478" s="6"/>
      <c r="L1478" s="6"/>
      <c r="M1478" s="21" t="s">
        <v>2804</v>
      </c>
    </row>
    <row r="1479" spans="1:13" x14ac:dyDescent="0.25">
      <c r="A1479" s="23">
        <f t="shared" si="23"/>
        <v>1478</v>
      </c>
      <c r="B1479" s="7" t="s">
        <v>4851</v>
      </c>
      <c r="C1479" s="7" t="s">
        <v>5206</v>
      </c>
      <c r="D1479" s="7" t="s">
        <v>3465</v>
      </c>
      <c r="E1479" s="7" t="s">
        <v>5803</v>
      </c>
      <c r="F1479" s="7" t="s">
        <v>3453</v>
      </c>
      <c r="G1479" s="7" t="s">
        <v>496</v>
      </c>
      <c r="H1479" s="7" t="str">
        <f>IFERROR(VLOOKUP(Table2[[#This Row],[Ticket]],Okey!A:B,2,0),"")</f>
        <v>ok</v>
      </c>
      <c r="I1479" s="7" t="s">
        <v>3679</v>
      </c>
      <c r="J1479" s="7" t="str">
        <f>VLOOKUP(Table2[[#This Row],[Author]],People!A:B,2,0)</f>
        <v>LS</v>
      </c>
      <c r="K1479" s="7"/>
      <c r="L1479" s="7"/>
      <c r="M1479" s="16" t="s">
        <v>2804</v>
      </c>
    </row>
    <row r="1480" spans="1:13" x14ac:dyDescent="0.25">
      <c r="A1480" s="22">
        <f t="shared" si="23"/>
        <v>1479</v>
      </c>
      <c r="B1480" s="6" t="s">
        <v>4851</v>
      </c>
      <c r="C1480" s="6" t="s">
        <v>5206</v>
      </c>
      <c r="D1480" s="6" t="s">
        <v>3467</v>
      </c>
      <c r="E1480" s="6" t="s">
        <v>5804</v>
      </c>
      <c r="F1480" s="6" t="s">
        <v>3453</v>
      </c>
      <c r="G1480" s="6" t="s">
        <v>496</v>
      </c>
      <c r="H1480" s="6" t="str">
        <f>IFERROR(VLOOKUP(Table2[[#This Row],[Ticket]],Okey!A:B,2,0),"")</f>
        <v>ok</v>
      </c>
      <c r="I1480" s="6" t="s">
        <v>3679</v>
      </c>
      <c r="J1480" s="6" t="str">
        <f>VLOOKUP(Table2[[#This Row],[Author]],People!A:B,2,0)</f>
        <v>LS</v>
      </c>
      <c r="K1480" s="6"/>
      <c r="L1480" s="6"/>
      <c r="M1480" s="21" t="s">
        <v>2804</v>
      </c>
    </row>
    <row r="1481" spans="1:13" x14ac:dyDescent="0.25">
      <c r="A1481" s="23">
        <f t="shared" si="23"/>
        <v>1480</v>
      </c>
      <c r="B1481" s="7" t="s">
        <v>4851</v>
      </c>
      <c r="C1481" s="7" t="s">
        <v>5206</v>
      </c>
      <c r="D1481" s="7" t="s">
        <v>3469</v>
      </c>
      <c r="E1481" s="7" t="s">
        <v>5805</v>
      </c>
      <c r="F1481" s="7" t="s">
        <v>3453</v>
      </c>
      <c r="G1481" s="7" t="s">
        <v>496</v>
      </c>
      <c r="H1481" s="7" t="str">
        <f>IFERROR(VLOOKUP(Table2[[#This Row],[Ticket]],Okey!A:B,2,0),"")</f>
        <v>ok</v>
      </c>
      <c r="I1481" s="7" t="s">
        <v>3679</v>
      </c>
      <c r="J1481" s="7" t="str">
        <f>VLOOKUP(Table2[[#This Row],[Author]],People!A:B,2,0)</f>
        <v>LS</v>
      </c>
      <c r="K1481" s="7"/>
      <c r="L1481" s="7"/>
      <c r="M1481" s="16" t="s">
        <v>2804</v>
      </c>
    </row>
    <row r="1482" spans="1:13" x14ac:dyDescent="0.25">
      <c r="A1482" s="22">
        <f t="shared" si="23"/>
        <v>1481</v>
      </c>
      <c r="B1482" s="6" t="s">
        <v>4851</v>
      </c>
      <c r="C1482" s="6" t="s">
        <v>5206</v>
      </c>
      <c r="D1482" s="6" t="s">
        <v>3471</v>
      </c>
      <c r="E1482" s="6" t="s">
        <v>5806</v>
      </c>
      <c r="F1482" s="6" t="s">
        <v>3453</v>
      </c>
      <c r="G1482" s="6" t="s">
        <v>496</v>
      </c>
      <c r="H1482" s="6" t="str">
        <f>IFERROR(VLOOKUP(Table2[[#This Row],[Ticket]],Okey!A:B,2,0),"")</f>
        <v>ok</v>
      </c>
      <c r="I1482" s="6" t="s">
        <v>3679</v>
      </c>
      <c r="J1482" s="6" t="str">
        <f>VLOOKUP(Table2[[#This Row],[Author]],People!A:B,2,0)</f>
        <v>LS</v>
      </c>
      <c r="K1482" s="6"/>
      <c r="L1482" s="6"/>
      <c r="M1482" s="21" t="s">
        <v>2804</v>
      </c>
    </row>
    <row r="1483" spans="1:13" x14ac:dyDescent="0.25">
      <c r="A1483" s="23">
        <f t="shared" si="23"/>
        <v>1482</v>
      </c>
      <c r="B1483" s="7" t="s">
        <v>4851</v>
      </c>
      <c r="C1483" s="7" t="s">
        <v>5206</v>
      </c>
      <c r="D1483" s="7" t="s">
        <v>3473</v>
      </c>
      <c r="E1483" s="7" t="s">
        <v>5807</v>
      </c>
      <c r="F1483" s="7" t="s">
        <v>3453</v>
      </c>
      <c r="G1483" s="7" t="s">
        <v>496</v>
      </c>
      <c r="H1483" s="7" t="str">
        <f>IFERROR(VLOOKUP(Table2[[#This Row],[Ticket]],Okey!A:B,2,0),"")</f>
        <v>ok</v>
      </c>
      <c r="I1483" s="7" t="s">
        <v>3679</v>
      </c>
      <c r="J1483" s="7" t="str">
        <f>VLOOKUP(Table2[[#This Row],[Author]],People!A:B,2,0)</f>
        <v>LS</v>
      </c>
      <c r="K1483" s="7"/>
      <c r="L1483" s="7"/>
      <c r="M1483" s="16" t="s">
        <v>2804</v>
      </c>
    </row>
    <row r="1484" spans="1:13" x14ac:dyDescent="0.25">
      <c r="A1484" s="22">
        <f t="shared" si="23"/>
        <v>1483</v>
      </c>
      <c r="B1484" s="6" t="s">
        <v>4851</v>
      </c>
      <c r="C1484" s="6" t="s">
        <v>5206</v>
      </c>
      <c r="D1484" s="6" t="s">
        <v>3534</v>
      </c>
      <c r="E1484" s="6" t="s">
        <v>5808</v>
      </c>
      <c r="F1484" s="6" t="s">
        <v>5262</v>
      </c>
      <c r="G1484" s="6" t="s">
        <v>496</v>
      </c>
      <c r="H1484" s="6" t="str">
        <f>IFERROR(VLOOKUP(Table2[[#This Row],[Ticket]],Okey!A:B,2,0),"")</f>
        <v>ok</v>
      </c>
      <c r="I1484" s="6" t="s">
        <v>3679</v>
      </c>
      <c r="J1484" s="6" t="str">
        <f>VLOOKUP(Table2[[#This Row],[Author]],People!A:B,2,0)</f>
        <v>LS</v>
      </c>
      <c r="K1484" s="6"/>
      <c r="L1484" s="6"/>
      <c r="M1484" s="21" t="s">
        <v>2804</v>
      </c>
    </row>
    <row r="1485" spans="1:13" x14ac:dyDescent="0.25">
      <c r="A1485" s="23">
        <f t="shared" si="23"/>
        <v>1484</v>
      </c>
      <c r="B1485" s="7" t="s">
        <v>4851</v>
      </c>
      <c r="C1485" s="7" t="s">
        <v>5206</v>
      </c>
      <c r="D1485" s="7" t="s">
        <v>3538</v>
      </c>
      <c r="E1485" s="7" t="s">
        <v>5809</v>
      </c>
      <c r="F1485" s="7" t="s">
        <v>3536</v>
      </c>
      <c r="G1485" s="7" t="s">
        <v>496</v>
      </c>
      <c r="H1485" s="7" t="str">
        <f>IFERROR(VLOOKUP(Table2[[#This Row],[Ticket]],Okey!A:B,2,0),"")</f>
        <v>ok</v>
      </c>
      <c r="I1485" s="7" t="s">
        <v>3679</v>
      </c>
      <c r="J1485" s="7" t="str">
        <f>VLOOKUP(Table2[[#This Row],[Author]],People!A:B,2,0)</f>
        <v>LS</v>
      </c>
      <c r="K1485" s="7"/>
      <c r="L1485" s="7"/>
      <c r="M1485" s="16" t="s">
        <v>2804</v>
      </c>
    </row>
    <row r="1486" spans="1:13" x14ac:dyDescent="0.25">
      <c r="A1486" s="22">
        <f t="shared" si="23"/>
        <v>1485</v>
      </c>
      <c r="B1486" s="6" t="s">
        <v>4851</v>
      </c>
      <c r="C1486" s="6" t="s">
        <v>5206</v>
      </c>
      <c r="D1486" s="6" t="s">
        <v>3540</v>
      </c>
      <c r="E1486" s="6" t="s">
        <v>5810</v>
      </c>
      <c r="F1486" s="6" t="s">
        <v>3536</v>
      </c>
      <c r="G1486" s="6" t="s">
        <v>496</v>
      </c>
      <c r="H1486" s="6" t="str">
        <f>IFERROR(VLOOKUP(Table2[[#This Row],[Ticket]],Okey!A:B,2,0),"")</f>
        <v>ok</v>
      </c>
      <c r="I1486" s="6" t="s">
        <v>3679</v>
      </c>
      <c r="J1486" s="6" t="str">
        <f>VLOOKUP(Table2[[#This Row],[Author]],People!A:B,2,0)</f>
        <v>LS</v>
      </c>
      <c r="K1486" s="6"/>
      <c r="L1486" s="6"/>
      <c r="M1486" s="21" t="s">
        <v>2804</v>
      </c>
    </row>
    <row r="1487" spans="1:13" x14ac:dyDescent="0.25">
      <c r="A1487" s="23">
        <f t="shared" si="23"/>
        <v>1486</v>
      </c>
      <c r="B1487" s="7" t="s">
        <v>4851</v>
      </c>
      <c r="C1487" s="7" t="s">
        <v>5206</v>
      </c>
      <c r="D1487" s="7" t="s">
        <v>3542</v>
      </c>
      <c r="E1487" s="7" t="s">
        <v>5811</v>
      </c>
      <c r="F1487" s="7" t="s">
        <v>3536</v>
      </c>
      <c r="G1487" s="7" t="s">
        <v>496</v>
      </c>
      <c r="H1487" s="7" t="str">
        <f>IFERROR(VLOOKUP(Table2[[#This Row],[Ticket]],Okey!A:B,2,0),"")</f>
        <v>ok</v>
      </c>
      <c r="I1487" s="7" t="s">
        <v>3679</v>
      </c>
      <c r="J1487" s="7" t="str">
        <f>VLOOKUP(Table2[[#This Row],[Author]],People!A:B,2,0)</f>
        <v>LS</v>
      </c>
      <c r="K1487" s="7"/>
      <c r="L1487" s="7"/>
      <c r="M1487" s="16" t="s">
        <v>2804</v>
      </c>
    </row>
    <row r="1488" spans="1:13" x14ac:dyDescent="0.25">
      <c r="A1488" s="22">
        <f t="shared" si="23"/>
        <v>1487</v>
      </c>
      <c r="B1488" s="6" t="s">
        <v>4851</v>
      </c>
      <c r="C1488" s="6" t="s">
        <v>5206</v>
      </c>
      <c r="D1488" s="6" t="s">
        <v>3544</v>
      </c>
      <c r="E1488" s="6" t="s">
        <v>5812</v>
      </c>
      <c r="F1488" s="6" t="s">
        <v>3536</v>
      </c>
      <c r="G1488" s="6" t="s">
        <v>496</v>
      </c>
      <c r="H1488" s="6" t="str">
        <f>IFERROR(VLOOKUP(Table2[[#This Row],[Ticket]],Okey!A:B,2,0),"")</f>
        <v>ok</v>
      </c>
      <c r="I1488" s="6" t="s">
        <v>3679</v>
      </c>
      <c r="J1488" s="6" t="str">
        <f>VLOOKUP(Table2[[#This Row],[Author]],People!A:B,2,0)</f>
        <v>LS</v>
      </c>
      <c r="K1488" s="6"/>
      <c r="L1488" s="6"/>
      <c r="M1488" s="21" t="s">
        <v>2804</v>
      </c>
    </row>
    <row r="1489" spans="1:13" x14ac:dyDescent="0.25">
      <c r="A1489" s="23">
        <f t="shared" si="23"/>
        <v>1488</v>
      </c>
      <c r="B1489" s="7" t="s">
        <v>4851</v>
      </c>
      <c r="C1489" s="7" t="s">
        <v>5206</v>
      </c>
      <c r="D1489" s="7" t="s">
        <v>3546</v>
      </c>
      <c r="E1489" s="7" t="s">
        <v>5813</v>
      </c>
      <c r="F1489" s="7" t="s">
        <v>3536</v>
      </c>
      <c r="G1489" s="7" t="s">
        <v>496</v>
      </c>
      <c r="H1489" s="7" t="str">
        <f>IFERROR(VLOOKUP(Table2[[#This Row],[Ticket]],Okey!A:B,2,0),"")</f>
        <v>ok</v>
      </c>
      <c r="I1489" s="7" t="s">
        <v>3679</v>
      </c>
      <c r="J1489" s="7" t="str">
        <f>VLOOKUP(Table2[[#This Row],[Author]],People!A:B,2,0)</f>
        <v>LS</v>
      </c>
      <c r="K1489" s="7"/>
      <c r="L1489" s="7"/>
      <c r="M1489" s="16" t="s">
        <v>2804</v>
      </c>
    </row>
    <row r="1490" spans="1:13" x14ac:dyDescent="0.25">
      <c r="A1490" s="22">
        <f t="shared" si="23"/>
        <v>1489</v>
      </c>
      <c r="B1490" s="6" t="s">
        <v>4851</v>
      </c>
      <c r="C1490" s="6" t="s">
        <v>5206</v>
      </c>
      <c r="D1490" s="6" t="s">
        <v>3548</v>
      </c>
      <c r="E1490" s="6" t="s">
        <v>5814</v>
      </c>
      <c r="F1490" s="6" t="s">
        <v>3536</v>
      </c>
      <c r="G1490" s="6" t="s">
        <v>496</v>
      </c>
      <c r="H1490" s="6" t="str">
        <f>IFERROR(VLOOKUP(Table2[[#This Row],[Ticket]],Okey!A:B,2,0),"")</f>
        <v>ok</v>
      </c>
      <c r="I1490" s="6" t="s">
        <v>3679</v>
      </c>
      <c r="J1490" s="6" t="str">
        <f>VLOOKUP(Table2[[#This Row],[Author]],People!A:B,2,0)</f>
        <v>LS</v>
      </c>
      <c r="K1490" s="6"/>
      <c r="L1490" s="6"/>
      <c r="M1490" s="21" t="s">
        <v>2804</v>
      </c>
    </row>
    <row r="1491" spans="1:13" x14ac:dyDescent="0.25">
      <c r="A1491" s="23">
        <f t="shared" si="23"/>
        <v>1490</v>
      </c>
      <c r="B1491" s="7" t="s">
        <v>4851</v>
      </c>
      <c r="C1491" s="7" t="s">
        <v>5206</v>
      </c>
      <c r="D1491" s="7" t="s">
        <v>3550</v>
      </c>
      <c r="E1491" s="7" t="s">
        <v>5815</v>
      </c>
      <c r="F1491" s="7" t="s">
        <v>3536</v>
      </c>
      <c r="G1491" s="7" t="s">
        <v>496</v>
      </c>
      <c r="H1491" s="7" t="str">
        <f>IFERROR(VLOOKUP(Table2[[#This Row],[Ticket]],Okey!A:B,2,0),"")</f>
        <v>ok</v>
      </c>
      <c r="I1491" s="7" t="s">
        <v>3679</v>
      </c>
      <c r="J1491" s="7" t="str">
        <f>VLOOKUP(Table2[[#This Row],[Author]],People!A:B,2,0)</f>
        <v>LS</v>
      </c>
      <c r="K1491" s="7"/>
      <c r="L1491" s="7"/>
      <c r="M1491" s="16" t="s">
        <v>2804</v>
      </c>
    </row>
    <row r="1492" spans="1:13" x14ac:dyDescent="0.25">
      <c r="A1492" s="22">
        <f t="shared" si="23"/>
        <v>1491</v>
      </c>
      <c r="B1492" s="6" t="s">
        <v>4851</v>
      </c>
      <c r="C1492" s="6" t="s">
        <v>5206</v>
      </c>
      <c r="D1492" s="6" t="s">
        <v>3552</v>
      </c>
      <c r="E1492" s="6" t="s">
        <v>5816</v>
      </c>
      <c r="F1492" s="6" t="s">
        <v>3536</v>
      </c>
      <c r="G1492" s="6" t="s">
        <v>496</v>
      </c>
      <c r="H1492" s="6" t="str">
        <f>IFERROR(VLOOKUP(Table2[[#This Row],[Ticket]],Okey!A:B,2,0),"")</f>
        <v>ok</v>
      </c>
      <c r="I1492" s="6" t="s">
        <v>3679</v>
      </c>
      <c r="J1492" s="6" t="str">
        <f>VLOOKUP(Table2[[#This Row],[Author]],People!A:B,2,0)</f>
        <v>LS</v>
      </c>
      <c r="K1492" s="6"/>
      <c r="L1492" s="6"/>
      <c r="M1492" s="21" t="s">
        <v>2804</v>
      </c>
    </row>
    <row r="1493" spans="1:13" x14ac:dyDescent="0.25">
      <c r="A1493" s="23">
        <f t="shared" si="23"/>
        <v>1492</v>
      </c>
      <c r="B1493" s="7" t="s">
        <v>4851</v>
      </c>
      <c r="C1493" s="7" t="s">
        <v>5206</v>
      </c>
      <c r="D1493" s="7" t="s">
        <v>3554</v>
      </c>
      <c r="E1493" s="7" t="s">
        <v>5817</v>
      </c>
      <c r="F1493" s="7" t="s">
        <v>3536</v>
      </c>
      <c r="G1493" s="7" t="s">
        <v>496</v>
      </c>
      <c r="H1493" s="7" t="str">
        <f>IFERROR(VLOOKUP(Table2[[#This Row],[Ticket]],Okey!A:B,2,0),"")</f>
        <v>ok</v>
      </c>
      <c r="I1493" s="7" t="s">
        <v>3679</v>
      </c>
      <c r="J1493" s="7" t="str">
        <f>VLOOKUP(Table2[[#This Row],[Author]],People!A:B,2,0)</f>
        <v>LS</v>
      </c>
      <c r="K1493" s="7"/>
      <c r="L1493" s="7"/>
      <c r="M1493" s="16" t="s">
        <v>2804</v>
      </c>
    </row>
    <row r="1494" spans="1:13" x14ac:dyDescent="0.25">
      <c r="A1494" s="22">
        <f t="shared" si="23"/>
        <v>1493</v>
      </c>
      <c r="B1494" s="6" t="s">
        <v>4851</v>
      </c>
      <c r="C1494" s="6" t="s">
        <v>5206</v>
      </c>
      <c r="D1494" s="6" t="s">
        <v>3556</v>
      </c>
      <c r="E1494" s="6" t="s">
        <v>5818</v>
      </c>
      <c r="F1494" s="6" t="s">
        <v>3536</v>
      </c>
      <c r="G1494" s="6" t="s">
        <v>496</v>
      </c>
      <c r="H1494" s="6" t="str">
        <f>IFERROR(VLOOKUP(Table2[[#This Row],[Ticket]],Okey!A:B,2,0),"")</f>
        <v>ok</v>
      </c>
      <c r="I1494" s="6" t="s">
        <v>3679</v>
      </c>
      <c r="J1494" s="6" t="str">
        <f>VLOOKUP(Table2[[#This Row],[Author]],People!A:B,2,0)</f>
        <v>LS</v>
      </c>
      <c r="K1494" s="6"/>
      <c r="L1494" s="6"/>
      <c r="M1494" s="21" t="s">
        <v>2804</v>
      </c>
    </row>
    <row r="1495" spans="1:13" x14ac:dyDescent="0.25">
      <c r="A1495" s="23">
        <f t="shared" si="23"/>
        <v>1494</v>
      </c>
      <c r="B1495" s="7" t="s">
        <v>4851</v>
      </c>
      <c r="C1495" s="7" t="s">
        <v>5206</v>
      </c>
      <c r="D1495" s="7" t="s">
        <v>1866</v>
      </c>
      <c r="E1495" s="7" t="s">
        <v>2257</v>
      </c>
      <c r="F1495" s="7" t="s">
        <v>5262</v>
      </c>
      <c r="G1495" s="7" t="s">
        <v>496</v>
      </c>
      <c r="H1495" s="7" t="str">
        <f>IFERROR(VLOOKUP(Table2[[#This Row],[Ticket]],Okey!A:B,2,0),"")</f>
        <v>ok</v>
      </c>
      <c r="I1495" s="7" t="s">
        <v>3679</v>
      </c>
      <c r="J1495" s="7" t="str">
        <f>VLOOKUP(Table2[[#This Row],[Author]],People!A:B,2,0)</f>
        <v>LS</v>
      </c>
      <c r="K1495" s="7"/>
      <c r="L1495" s="7"/>
      <c r="M1495" s="16" t="s">
        <v>2804</v>
      </c>
    </row>
    <row r="1496" spans="1:13" x14ac:dyDescent="0.25">
      <c r="A1496" s="22">
        <f t="shared" si="23"/>
        <v>1495</v>
      </c>
      <c r="B1496" s="6" t="s">
        <v>4851</v>
      </c>
      <c r="C1496" s="6" t="s">
        <v>5206</v>
      </c>
      <c r="D1496" s="6" t="s">
        <v>3482</v>
      </c>
      <c r="E1496" s="6" t="s">
        <v>5819</v>
      </c>
      <c r="F1496" s="6" t="s">
        <v>3480</v>
      </c>
      <c r="G1496" s="6" t="s">
        <v>496</v>
      </c>
      <c r="H1496" s="6" t="str">
        <f>IFERROR(VLOOKUP(Table2[[#This Row],[Ticket]],Okey!A:B,2,0),"")</f>
        <v>ok</v>
      </c>
      <c r="I1496" s="6" t="s">
        <v>3679</v>
      </c>
      <c r="J1496" s="6" t="str">
        <f>VLOOKUP(Table2[[#This Row],[Author]],People!A:B,2,0)</f>
        <v>LS</v>
      </c>
      <c r="K1496" s="6"/>
      <c r="L1496" s="6"/>
      <c r="M1496" s="21" t="s">
        <v>2804</v>
      </c>
    </row>
    <row r="1497" spans="1:13" x14ac:dyDescent="0.25">
      <c r="A1497" s="23">
        <f t="shared" si="23"/>
        <v>1496</v>
      </c>
      <c r="B1497" s="7" t="s">
        <v>4851</v>
      </c>
      <c r="C1497" s="7" t="s">
        <v>5206</v>
      </c>
      <c r="D1497" s="7" t="s">
        <v>3484</v>
      </c>
      <c r="E1497" s="7" t="s">
        <v>5820</v>
      </c>
      <c r="F1497" s="7" t="s">
        <v>3480</v>
      </c>
      <c r="G1497" s="7" t="s">
        <v>496</v>
      </c>
      <c r="H1497" s="7" t="str">
        <f>IFERROR(VLOOKUP(Table2[[#This Row],[Ticket]],Okey!A:B,2,0),"")</f>
        <v>ok</v>
      </c>
      <c r="I1497" s="7" t="s">
        <v>3679</v>
      </c>
      <c r="J1497" s="7" t="str">
        <f>VLOOKUP(Table2[[#This Row],[Author]],People!A:B,2,0)</f>
        <v>LS</v>
      </c>
      <c r="K1497" s="7"/>
      <c r="L1497" s="7"/>
      <c r="M1497" s="16" t="s">
        <v>2804</v>
      </c>
    </row>
    <row r="1498" spans="1:13" x14ac:dyDescent="0.25">
      <c r="A1498" s="22">
        <f t="shared" si="23"/>
        <v>1497</v>
      </c>
      <c r="B1498" s="6" t="s">
        <v>4851</v>
      </c>
      <c r="C1498" s="6" t="s">
        <v>5206</v>
      </c>
      <c r="D1498" s="6" t="s">
        <v>3486</v>
      </c>
      <c r="E1498" s="6" t="s">
        <v>5821</v>
      </c>
      <c r="F1498" s="6" t="s">
        <v>3480</v>
      </c>
      <c r="G1498" s="6" t="s">
        <v>496</v>
      </c>
      <c r="H1498" s="6" t="str">
        <f>IFERROR(VLOOKUP(Table2[[#This Row],[Ticket]],Okey!A:B,2,0),"")</f>
        <v>ok</v>
      </c>
      <c r="I1498" s="6" t="s">
        <v>3679</v>
      </c>
      <c r="J1498" s="6" t="str">
        <f>VLOOKUP(Table2[[#This Row],[Author]],People!A:B,2,0)</f>
        <v>LS</v>
      </c>
      <c r="K1498" s="6"/>
      <c r="L1498" s="6"/>
      <c r="M1498" s="21" t="s">
        <v>2804</v>
      </c>
    </row>
    <row r="1499" spans="1:13" x14ac:dyDescent="0.25">
      <c r="A1499" s="23">
        <f t="shared" si="23"/>
        <v>1498</v>
      </c>
      <c r="B1499" s="7" t="s">
        <v>4851</v>
      </c>
      <c r="C1499" s="7" t="s">
        <v>5206</v>
      </c>
      <c r="D1499" s="7" t="s">
        <v>3488</v>
      </c>
      <c r="E1499" s="7" t="s">
        <v>5822</v>
      </c>
      <c r="F1499" s="7" t="s">
        <v>3480</v>
      </c>
      <c r="G1499" s="7" t="s">
        <v>496</v>
      </c>
      <c r="H1499" s="7" t="str">
        <f>IFERROR(VLOOKUP(Table2[[#This Row],[Ticket]],Okey!A:B,2,0),"")</f>
        <v>ok</v>
      </c>
      <c r="I1499" s="7" t="s">
        <v>3679</v>
      </c>
      <c r="J1499" s="7" t="str">
        <f>VLOOKUP(Table2[[#This Row],[Author]],People!A:B,2,0)</f>
        <v>LS</v>
      </c>
      <c r="K1499" s="7"/>
      <c r="L1499" s="7"/>
      <c r="M1499" s="16" t="s">
        <v>2804</v>
      </c>
    </row>
    <row r="1500" spans="1:13" x14ac:dyDescent="0.25">
      <c r="A1500" s="22">
        <f t="shared" si="23"/>
        <v>1499</v>
      </c>
      <c r="B1500" s="6" t="s">
        <v>4851</v>
      </c>
      <c r="C1500" s="6" t="s">
        <v>5206</v>
      </c>
      <c r="D1500" s="6" t="s">
        <v>3490</v>
      </c>
      <c r="E1500" s="6" t="s">
        <v>5823</v>
      </c>
      <c r="F1500" s="6" t="s">
        <v>3480</v>
      </c>
      <c r="G1500" s="6" t="s">
        <v>496</v>
      </c>
      <c r="H1500" s="6" t="str">
        <f>IFERROR(VLOOKUP(Table2[[#This Row],[Ticket]],Okey!A:B,2,0),"")</f>
        <v>ok</v>
      </c>
      <c r="I1500" s="6" t="s">
        <v>3679</v>
      </c>
      <c r="J1500" s="6" t="str">
        <f>VLOOKUP(Table2[[#This Row],[Author]],People!A:B,2,0)</f>
        <v>LS</v>
      </c>
      <c r="K1500" s="6"/>
      <c r="L1500" s="6"/>
      <c r="M1500" s="21" t="s">
        <v>2804</v>
      </c>
    </row>
    <row r="1501" spans="1:13" x14ac:dyDescent="0.25">
      <c r="A1501" s="23">
        <f t="shared" si="23"/>
        <v>1500</v>
      </c>
      <c r="B1501" s="7" t="s">
        <v>4851</v>
      </c>
      <c r="C1501" s="7" t="s">
        <v>5206</v>
      </c>
      <c r="D1501" s="7" t="s">
        <v>3492</v>
      </c>
      <c r="E1501" s="7" t="s">
        <v>5824</v>
      </c>
      <c r="F1501" s="7" t="s">
        <v>3480</v>
      </c>
      <c r="G1501" s="7" t="s">
        <v>496</v>
      </c>
      <c r="H1501" s="7" t="str">
        <f>IFERROR(VLOOKUP(Table2[[#This Row],[Ticket]],Okey!A:B,2,0),"")</f>
        <v>ok</v>
      </c>
      <c r="I1501" s="7" t="s">
        <v>3679</v>
      </c>
      <c r="J1501" s="7" t="str">
        <f>VLOOKUP(Table2[[#This Row],[Author]],People!A:B,2,0)</f>
        <v>LS</v>
      </c>
      <c r="K1501" s="7"/>
      <c r="L1501" s="7"/>
      <c r="M1501" s="16" t="s">
        <v>2804</v>
      </c>
    </row>
    <row r="1502" spans="1:13" x14ac:dyDescent="0.25">
      <c r="A1502" s="22">
        <f t="shared" si="23"/>
        <v>1501</v>
      </c>
      <c r="B1502" s="6" t="s">
        <v>4851</v>
      </c>
      <c r="C1502" s="6" t="s">
        <v>5206</v>
      </c>
      <c r="D1502" s="6" t="s">
        <v>3494</v>
      </c>
      <c r="E1502" s="6" t="s">
        <v>5825</v>
      </c>
      <c r="F1502" s="6" t="s">
        <v>3480</v>
      </c>
      <c r="G1502" s="6" t="s">
        <v>496</v>
      </c>
      <c r="H1502" s="6" t="str">
        <f>IFERROR(VLOOKUP(Table2[[#This Row],[Ticket]],Okey!A:B,2,0),"")</f>
        <v>ok</v>
      </c>
      <c r="I1502" s="6" t="s">
        <v>3679</v>
      </c>
      <c r="J1502" s="6" t="str">
        <f>VLOOKUP(Table2[[#This Row],[Author]],People!A:B,2,0)</f>
        <v>LS</v>
      </c>
      <c r="K1502" s="6"/>
      <c r="L1502" s="6"/>
      <c r="M1502" s="21" t="s">
        <v>2804</v>
      </c>
    </row>
    <row r="1503" spans="1:13" x14ac:dyDescent="0.25">
      <c r="A1503" s="23">
        <f t="shared" si="23"/>
        <v>1502</v>
      </c>
      <c r="B1503" s="7" t="s">
        <v>4851</v>
      </c>
      <c r="C1503" s="7" t="s">
        <v>5206</v>
      </c>
      <c r="D1503" s="7" t="s">
        <v>3496</v>
      </c>
      <c r="E1503" s="7" t="s">
        <v>5826</v>
      </c>
      <c r="F1503" s="7" t="s">
        <v>3480</v>
      </c>
      <c r="G1503" s="7" t="s">
        <v>496</v>
      </c>
      <c r="H1503" s="7" t="str">
        <f>IFERROR(VLOOKUP(Table2[[#This Row],[Ticket]],Okey!A:B,2,0),"")</f>
        <v>ok</v>
      </c>
      <c r="I1503" s="7" t="s">
        <v>3679</v>
      </c>
      <c r="J1503" s="7" t="str">
        <f>VLOOKUP(Table2[[#This Row],[Author]],People!A:B,2,0)</f>
        <v>LS</v>
      </c>
      <c r="K1503" s="7"/>
      <c r="L1503" s="7"/>
      <c r="M1503" s="16" t="s">
        <v>2804</v>
      </c>
    </row>
    <row r="1504" spans="1:13" x14ac:dyDescent="0.25">
      <c r="A1504" s="22">
        <f t="shared" si="23"/>
        <v>1503</v>
      </c>
      <c r="B1504" s="6" t="s">
        <v>4851</v>
      </c>
      <c r="C1504" s="6" t="s">
        <v>5206</v>
      </c>
      <c r="D1504" s="6" t="s">
        <v>3498</v>
      </c>
      <c r="E1504" s="6" t="s">
        <v>5827</v>
      </c>
      <c r="F1504" s="6" t="s">
        <v>3480</v>
      </c>
      <c r="G1504" s="6" t="s">
        <v>496</v>
      </c>
      <c r="H1504" s="6" t="str">
        <f>IFERROR(VLOOKUP(Table2[[#This Row],[Ticket]],Okey!A:B,2,0),"")</f>
        <v>ok</v>
      </c>
      <c r="I1504" s="6" t="s">
        <v>3679</v>
      </c>
      <c r="J1504" s="6" t="str">
        <f>VLOOKUP(Table2[[#This Row],[Author]],People!A:B,2,0)</f>
        <v>LS</v>
      </c>
      <c r="K1504" s="6"/>
      <c r="L1504" s="6"/>
      <c r="M1504" s="21" t="s">
        <v>2804</v>
      </c>
    </row>
    <row r="1505" spans="1:13" x14ac:dyDescent="0.25">
      <c r="A1505" s="23">
        <f t="shared" si="23"/>
        <v>1504</v>
      </c>
      <c r="B1505" s="7" t="s">
        <v>4851</v>
      </c>
      <c r="C1505" s="7" t="s">
        <v>5206</v>
      </c>
      <c r="D1505" s="7" t="s">
        <v>3500</v>
      </c>
      <c r="E1505" s="7" t="s">
        <v>5828</v>
      </c>
      <c r="F1505" s="7" t="s">
        <v>3480</v>
      </c>
      <c r="G1505" s="7" t="s">
        <v>496</v>
      </c>
      <c r="H1505" s="7" t="str">
        <f>IFERROR(VLOOKUP(Table2[[#This Row],[Ticket]],Okey!A:B,2,0),"")</f>
        <v>ok</v>
      </c>
      <c r="I1505" s="7" t="s">
        <v>3679</v>
      </c>
      <c r="J1505" s="7" t="str">
        <f>VLOOKUP(Table2[[#This Row],[Author]],People!A:B,2,0)</f>
        <v>LS</v>
      </c>
      <c r="K1505" s="7"/>
      <c r="L1505" s="7"/>
      <c r="M1505" s="16" t="s">
        <v>2804</v>
      </c>
    </row>
    <row r="1506" spans="1:13" x14ac:dyDescent="0.25">
      <c r="A1506" s="22">
        <f t="shared" si="23"/>
        <v>1505</v>
      </c>
      <c r="B1506" s="6" t="s">
        <v>4851</v>
      </c>
      <c r="C1506" s="6" t="s">
        <v>5206</v>
      </c>
      <c r="D1506" s="6" t="s">
        <v>3506</v>
      </c>
      <c r="E1506" s="6" t="s">
        <v>5829</v>
      </c>
      <c r="F1506" s="6" t="s">
        <v>5262</v>
      </c>
      <c r="G1506" s="6" t="s">
        <v>496</v>
      </c>
      <c r="H1506" s="6" t="str">
        <f>IFERROR(VLOOKUP(Table2[[#This Row],[Ticket]],Okey!A:B,2,0),"")</f>
        <v>ok</v>
      </c>
      <c r="I1506" s="6" t="s">
        <v>3679</v>
      </c>
      <c r="J1506" s="6" t="str">
        <f>VLOOKUP(Table2[[#This Row],[Author]],People!A:B,2,0)</f>
        <v>LS</v>
      </c>
      <c r="K1506" s="6"/>
      <c r="L1506" s="6"/>
      <c r="M1506" s="21" t="s">
        <v>2804</v>
      </c>
    </row>
    <row r="1507" spans="1:13" x14ac:dyDescent="0.25">
      <c r="A1507" s="23">
        <f t="shared" si="23"/>
        <v>1506</v>
      </c>
      <c r="B1507" s="7" t="s">
        <v>4851</v>
      </c>
      <c r="C1507" s="7" t="s">
        <v>5206</v>
      </c>
      <c r="D1507" s="7" t="s">
        <v>3510</v>
      </c>
      <c r="E1507" s="7" t="s">
        <v>5830</v>
      </c>
      <c r="F1507" s="7" t="s">
        <v>3508</v>
      </c>
      <c r="G1507" s="7" t="s">
        <v>496</v>
      </c>
      <c r="H1507" s="7" t="str">
        <f>IFERROR(VLOOKUP(Table2[[#This Row],[Ticket]],Okey!A:B,2,0),"")</f>
        <v>ok</v>
      </c>
      <c r="I1507" s="7" t="s">
        <v>3679</v>
      </c>
      <c r="J1507" s="7" t="str">
        <f>VLOOKUP(Table2[[#This Row],[Author]],People!A:B,2,0)</f>
        <v>LS</v>
      </c>
      <c r="K1507" s="7"/>
      <c r="L1507" s="7"/>
      <c r="M1507" s="16" t="s">
        <v>2804</v>
      </c>
    </row>
    <row r="1508" spans="1:13" x14ac:dyDescent="0.25">
      <c r="A1508" s="22">
        <f t="shared" si="23"/>
        <v>1507</v>
      </c>
      <c r="B1508" s="6" t="s">
        <v>4851</v>
      </c>
      <c r="C1508" s="6" t="s">
        <v>5206</v>
      </c>
      <c r="D1508" s="6" t="s">
        <v>3512</v>
      </c>
      <c r="E1508" s="6" t="s">
        <v>5831</v>
      </c>
      <c r="F1508" s="6" t="s">
        <v>3508</v>
      </c>
      <c r="G1508" s="6" t="s">
        <v>496</v>
      </c>
      <c r="H1508" s="6" t="str">
        <f>IFERROR(VLOOKUP(Table2[[#This Row],[Ticket]],Okey!A:B,2,0),"")</f>
        <v>ok</v>
      </c>
      <c r="I1508" s="6" t="s">
        <v>3679</v>
      </c>
      <c r="J1508" s="6" t="str">
        <f>VLOOKUP(Table2[[#This Row],[Author]],People!A:B,2,0)</f>
        <v>LS</v>
      </c>
      <c r="K1508" s="6"/>
      <c r="L1508" s="6"/>
      <c r="M1508" s="21" t="s">
        <v>2804</v>
      </c>
    </row>
    <row r="1509" spans="1:13" x14ac:dyDescent="0.25">
      <c r="A1509" s="23">
        <f t="shared" si="23"/>
        <v>1508</v>
      </c>
      <c r="B1509" s="7" t="s">
        <v>4851</v>
      </c>
      <c r="C1509" s="7" t="s">
        <v>5206</v>
      </c>
      <c r="D1509" s="7" t="s">
        <v>3514</v>
      </c>
      <c r="E1509" s="7" t="s">
        <v>5832</v>
      </c>
      <c r="F1509" s="7" t="s">
        <v>3508</v>
      </c>
      <c r="G1509" s="7" t="s">
        <v>496</v>
      </c>
      <c r="H1509" s="7" t="str">
        <f>IFERROR(VLOOKUP(Table2[[#This Row],[Ticket]],Okey!A:B,2,0),"")</f>
        <v>ok</v>
      </c>
      <c r="I1509" s="7" t="s">
        <v>3679</v>
      </c>
      <c r="J1509" s="7" t="str">
        <f>VLOOKUP(Table2[[#This Row],[Author]],People!A:B,2,0)</f>
        <v>LS</v>
      </c>
      <c r="K1509" s="7"/>
      <c r="L1509" s="7"/>
      <c r="M1509" s="16" t="s">
        <v>2804</v>
      </c>
    </row>
    <row r="1510" spans="1:13" x14ac:dyDescent="0.25">
      <c r="A1510" s="22">
        <f t="shared" si="23"/>
        <v>1509</v>
      </c>
      <c r="B1510" s="6" t="s">
        <v>4851</v>
      </c>
      <c r="C1510" s="6" t="s">
        <v>5206</v>
      </c>
      <c r="D1510" s="6" t="s">
        <v>3516</v>
      </c>
      <c r="E1510" s="6" t="s">
        <v>5833</v>
      </c>
      <c r="F1510" s="6" t="s">
        <v>3508</v>
      </c>
      <c r="G1510" s="6" t="s">
        <v>496</v>
      </c>
      <c r="H1510" s="6" t="str">
        <f>IFERROR(VLOOKUP(Table2[[#This Row],[Ticket]],Okey!A:B,2,0),"")</f>
        <v>ok</v>
      </c>
      <c r="I1510" s="6" t="s">
        <v>3679</v>
      </c>
      <c r="J1510" s="6" t="str">
        <f>VLOOKUP(Table2[[#This Row],[Author]],People!A:B,2,0)</f>
        <v>LS</v>
      </c>
      <c r="K1510" s="6"/>
      <c r="L1510" s="6"/>
      <c r="M1510" s="21" t="s">
        <v>2804</v>
      </c>
    </row>
    <row r="1511" spans="1:13" x14ac:dyDescent="0.25">
      <c r="A1511" s="23">
        <f t="shared" si="23"/>
        <v>1510</v>
      </c>
      <c r="B1511" s="7" t="s">
        <v>4851</v>
      </c>
      <c r="C1511" s="7" t="s">
        <v>5206</v>
      </c>
      <c r="D1511" s="7" t="s">
        <v>3518</v>
      </c>
      <c r="E1511" s="7" t="s">
        <v>5834</v>
      </c>
      <c r="F1511" s="7" t="s">
        <v>3508</v>
      </c>
      <c r="G1511" s="7" t="s">
        <v>496</v>
      </c>
      <c r="H1511" s="7" t="str">
        <f>IFERROR(VLOOKUP(Table2[[#This Row],[Ticket]],Okey!A:B,2,0),"")</f>
        <v>ok</v>
      </c>
      <c r="I1511" s="7" t="s">
        <v>3679</v>
      </c>
      <c r="J1511" s="7" t="str">
        <f>VLOOKUP(Table2[[#This Row],[Author]],People!A:B,2,0)</f>
        <v>LS</v>
      </c>
      <c r="K1511" s="7"/>
      <c r="L1511" s="7"/>
      <c r="M1511" s="16" t="s">
        <v>2804</v>
      </c>
    </row>
    <row r="1512" spans="1:13" x14ac:dyDescent="0.25">
      <c r="A1512" s="22">
        <f t="shared" si="23"/>
        <v>1511</v>
      </c>
      <c r="B1512" s="6" t="s">
        <v>4851</v>
      </c>
      <c r="C1512" s="6" t="s">
        <v>5206</v>
      </c>
      <c r="D1512" s="6" t="s">
        <v>3520</v>
      </c>
      <c r="E1512" s="6" t="s">
        <v>5835</v>
      </c>
      <c r="F1512" s="6" t="s">
        <v>3508</v>
      </c>
      <c r="G1512" s="6" t="s">
        <v>496</v>
      </c>
      <c r="H1512" s="6" t="str">
        <f>IFERROR(VLOOKUP(Table2[[#This Row],[Ticket]],Okey!A:B,2,0),"")</f>
        <v>ok</v>
      </c>
      <c r="I1512" s="6" t="s">
        <v>3679</v>
      </c>
      <c r="J1512" s="6" t="str">
        <f>VLOOKUP(Table2[[#This Row],[Author]],People!A:B,2,0)</f>
        <v>LS</v>
      </c>
      <c r="K1512" s="6"/>
      <c r="L1512" s="6"/>
      <c r="M1512" s="21" t="s">
        <v>2804</v>
      </c>
    </row>
    <row r="1513" spans="1:13" x14ac:dyDescent="0.25">
      <c r="A1513" s="23">
        <f t="shared" si="23"/>
        <v>1512</v>
      </c>
      <c r="B1513" s="7" t="s">
        <v>4851</v>
      </c>
      <c r="C1513" s="7" t="s">
        <v>5206</v>
      </c>
      <c r="D1513" s="7" t="s">
        <v>3522</v>
      </c>
      <c r="E1513" s="7" t="s">
        <v>5836</v>
      </c>
      <c r="F1513" s="7" t="s">
        <v>3508</v>
      </c>
      <c r="G1513" s="7" t="s">
        <v>496</v>
      </c>
      <c r="H1513" s="7" t="str">
        <f>IFERROR(VLOOKUP(Table2[[#This Row],[Ticket]],Okey!A:B,2,0),"")</f>
        <v>ok</v>
      </c>
      <c r="I1513" s="7" t="s">
        <v>3679</v>
      </c>
      <c r="J1513" s="7" t="str">
        <f>VLOOKUP(Table2[[#This Row],[Author]],People!A:B,2,0)</f>
        <v>LS</v>
      </c>
      <c r="K1513" s="7"/>
      <c r="L1513" s="7"/>
      <c r="M1513" s="16" t="s">
        <v>2804</v>
      </c>
    </row>
    <row r="1514" spans="1:13" x14ac:dyDescent="0.25">
      <c r="A1514" s="22">
        <f t="shared" si="23"/>
        <v>1513</v>
      </c>
      <c r="B1514" s="6" t="s">
        <v>4851</v>
      </c>
      <c r="C1514" s="6" t="s">
        <v>5206</v>
      </c>
      <c r="D1514" s="6" t="s">
        <v>3524</v>
      </c>
      <c r="E1514" s="6" t="s">
        <v>5837</v>
      </c>
      <c r="F1514" s="6" t="s">
        <v>3508</v>
      </c>
      <c r="G1514" s="6" t="s">
        <v>496</v>
      </c>
      <c r="H1514" s="6" t="str">
        <f>IFERROR(VLOOKUP(Table2[[#This Row],[Ticket]],Okey!A:B,2,0),"")</f>
        <v>ok</v>
      </c>
      <c r="I1514" s="6" t="s">
        <v>3679</v>
      </c>
      <c r="J1514" s="6" t="str">
        <f>VLOOKUP(Table2[[#This Row],[Author]],People!A:B,2,0)</f>
        <v>LS</v>
      </c>
      <c r="K1514" s="6"/>
      <c r="L1514" s="6"/>
      <c r="M1514" s="21" t="s">
        <v>2804</v>
      </c>
    </row>
    <row r="1515" spans="1:13" x14ac:dyDescent="0.25">
      <c r="A1515" s="23">
        <f t="shared" si="23"/>
        <v>1514</v>
      </c>
      <c r="B1515" s="7" t="s">
        <v>4851</v>
      </c>
      <c r="C1515" s="7" t="s">
        <v>5206</v>
      </c>
      <c r="D1515" s="7" t="s">
        <v>3526</v>
      </c>
      <c r="E1515" s="7" t="s">
        <v>5838</v>
      </c>
      <c r="F1515" s="7" t="s">
        <v>3508</v>
      </c>
      <c r="G1515" s="7" t="s">
        <v>496</v>
      </c>
      <c r="H1515" s="7" t="str">
        <f>IFERROR(VLOOKUP(Table2[[#This Row],[Ticket]],Okey!A:B,2,0),"")</f>
        <v>ok</v>
      </c>
      <c r="I1515" s="7" t="s">
        <v>3679</v>
      </c>
      <c r="J1515" s="7" t="str">
        <f>VLOOKUP(Table2[[#This Row],[Author]],People!A:B,2,0)</f>
        <v>LS</v>
      </c>
      <c r="K1515" s="7"/>
      <c r="L1515" s="7"/>
      <c r="M1515" s="16" t="s">
        <v>2804</v>
      </c>
    </row>
    <row r="1516" spans="1:13" x14ac:dyDescent="0.25">
      <c r="A1516" s="22">
        <f t="shared" si="23"/>
        <v>1515</v>
      </c>
      <c r="B1516" s="6" t="s">
        <v>4851</v>
      </c>
      <c r="C1516" s="6" t="s">
        <v>5206</v>
      </c>
      <c r="D1516" s="6" t="s">
        <v>3528</v>
      </c>
      <c r="E1516" s="6" t="s">
        <v>5839</v>
      </c>
      <c r="F1516" s="6" t="s">
        <v>3508</v>
      </c>
      <c r="G1516" s="6" t="s">
        <v>496</v>
      </c>
      <c r="H1516" s="6" t="str">
        <f>IFERROR(VLOOKUP(Table2[[#This Row],[Ticket]],Okey!A:B,2,0),"")</f>
        <v>ok</v>
      </c>
      <c r="I1516" s="6" t="s">
        <v>3679</v>
      </c>
      <c r="J1516" s="6" t="str">
        <f>VLOOKUP(Table2[[#This Row],[Author]],People!A:B,2,0)</f>
        <v>LS</v>
      </c>
      <c r="K1516" s="6"/>
      <c r="L1516" s="6"/>
      <c r="M1516" s="21" t="s">
        <v>2804</v>
      </c>
    </row>
    <row r="1517" spans="1:13" x14ac:dyDescent="0.25">
      <c r="A1517" s="23">
        <f t="shared" si="23"/>
        <v>1516</v>
      </c>
      <c r="B1517" s="7" t="s">
        <v>4851</v>
      </c>
      <c r="C1517" s="7" t="s">
        <v>5206</v>
      </c>
      <c r="D1517" s="7" t="s">
        <v>3562</v>
      </c>
      <c r="E1517" s="7" t="s">
        <v>5840</v>
      </c>
      <c r="F1517" s="7" t="s">
        <v>2816</v>
      </c>
      <c r="G1517" s="7" t="s">
        <v>496</v>
      </c>
      <c r="H1517" s="7" t="str">
        <f>IFERROR(VLOOKUP(Table2[[#This Row],[Ticket]],Okey!A:B,2,0),"")</f>
        <v>ok</v>
      </c>
      <c r="I1517" s="7" t="s">
        <v>3679</v>
      </c>
      <c r="J1517" s="7" t="str">
        <f>VLOOKUP(Table2[[#This Row],[Author]],People!A:B,2,0)</f>
        <v>LS</v>
      </c>
      <c r="K1517" s="7"/>
      <c r="L1517" s="7"/>
      <c r="M1517" s="16" t="s">
        <v>2804</v>
      </c>
    </row>
    <row r="1518" spans="1:13" x14ac:dyDescent="0.25">
      <c r="A1518" s="22">
        <f t="shared" si="23"/>
        <v>1517</v>
      </c>
      <c r="B1518" s="6" t="s">
        <v>4851</v>
      </c>
      <c r="C1518" s="6" t="s">
        <v>5206</v>
      </c>
      <c r="D1518" s="6" t="s">
        <v>3580</v>
      </c>
      <c r="E1518" s="6" t="s">
        <v>5841</v>
      </c>
      <c r="F1518" s="6" t="s">
        <v>2816</v>
      </c>
      <c r="G1518" s="6" t="s">
        <v>496</v>
      </c>
      <c r="H1518" s="6" t="str">
        <f>IFERROR(VLOOKUP(Table2[[#This Row],[Ticket]],Okey!A:B,2,0),"")</f>
        <v>ok</v>
      </c>
      <c r="I1518" s="6" t="s">
        <v>3679</v>
      </c>
      <c r="J1518" s="6" t="str">
        <f>VLOOKUP(Table2[[#This Row],[Author]],People!A:B,2,0)</f>
        <v>LS</v>
      </c>
      <c r="K1518" s="6"/>
      <c r="L1518" s="6"/>
      <c r="M1518" s="21" t="s">
        <v>2804</v>
      </c>
    </row>
    <row r="1519" spans="1:13" x14ac:dyDescent="0.25">
      <c r="A1519" s="23">
        <f t="shared" si="23"/>
        <v>1518</v>
      </c>
      <c r="B1519" s="7" t="s">
        <v>4851</v>
      </c>
      <c r="C1519" s="7" t="s">
        <v>5206</v>
      </c>
      <c r="D1519" s="7" t="s">
        <v>3594</v>
      </c>
      <c r="E1519" s="7" t="s">
        <v>5842</v>
      </c>
      <c r="F1519" s="7" t="s">
        <v>2816</v>
      </c>
      <c r="G1519" s="7" t="s">
        <v>496</v>
      </c>
      <c r="H1519" s="7" t="str">
        <f>IFERROR(VLOOKUP(Table2[[#This Row],[Ticket]],Okey!A:B,2,0),"")</f>
        <v>ok</v>
      </c>
      <c r="I1519" s="7" t="s">
        <v>3679</v>
      </c>
      <c r="J1519" s="7" t="str">
        <f>VLOOKUP(Table2[[#This Row],[Author]],People!A:B,2,0)</f>
        <v>LS</v>
      </c>
      <c r="K1519" s="7"/>
      <c r="L1519" s="7"/>
      <c r="M1519" s="16" t="s">
        <v>2804</v>
      </c>
    </row>
    <row r="1520" spans="1:13" x14ac:dyDescent="0.25">
      <c r="A1520" s="22">
        <f t="shared" si="23"/>
        <v>1519</v>
      </c>
      <c r="B1520" s="6" t="s">
        <v>4851</v>
      </c>
      <c r="C1520" s="6" t="s">
        <v>5206</v>
      </c>
      <c r="D1520" s="6" t="s">
        <v>1924</v>
      </c>
      <c r="E1520" s="6" t="s">
        <v>2258</v>
      </c>
      <c r="F1520" s="6" t="s">
        <v>5332</v>
      </c>
      <c r="G1520" s="6" t="s">
        <v>496</v>
      </c>
      <c r="H1520" s="6" t="str">
        <f>IFERROR(VLOOKUP(Table2[[#This Row],[Ticket]],Okey!A:B,2,0),"")</f>
        <v>ok</v>
      </c>
      <c r="I1520" s="6" t="s">
        <v>3679</v>
      </c>
      <c r="J1520" s="6" t="str">
        <f>VLOOKUP(Table2[[#This Row],[Author]],People!A:B,2,0)</f>
        <v>LS</v>
      </c>
      <c r="K1520" s="6"/>
      <c r="L1520" s="6"/>
      <c r="M1520" s="21" t="s">
        <v>2804</v>
      </c>
    </row>
    <row r="1521" spans="1:13" x14ac:dyDescent="0.25">
      <c r="A1521" s="23">
        <f t="shared" si="23"/>
        <v>1520</v>
      </c>
      <c r="B1521" s="7" t="s">
        <v>4851</v>
      </c>
      <c r="C1521" s="7" t="s">
        <v>5206</v>
      </c>
      <c r="D1521" s="7" t="s">
        <v>3313</v>
      </c>
      <c r="E1521" s="7" t="s">
        <v>5843</v>
      </c>
      <c r="F1521" s="7" t="s">
        <v>5332</v>
      </c>
      <c r="G1521" s="7" t="s">
        <v>496</v>
      </c>
      <c r="H1521" s="7" t="str">
        <f>IFERROR(VLOOKUP(Table2[[#This Row],[Ticket]],Okey!A:B,2,0),"")</f>
        <v>ok</v>
      </c>
      <c r="I1521" s="7" t="s">
        <v>3679</v>
      </c>
      <c r="J1521" s="7" t="str">
        <f>VLOOKUP(Table2[[#This Row],[Author]],People!A:B,2,0)</f>
        <v>LS</v>
      </c>
      <c r="K1521" s="7"/>
      <c r="L1521" s="7"/>
      <c r="M1521" s="16" t="s">
        <v>2804</v>
      </c>
    </row>
    <row r="1522" spans="1:13" x14ac:dyDescent="0.25">
      <c r="A1522" s="22">
        <f t="shared" si="23"/>
        <v>1521</v>
      </c>
      <c r="B1522" s="6" t="s">
        <v>4851</v>
      </c>
      <c r="C1522" s="6" t="s">
        <v>5206</v>
      </c>
      <c r="D1522" s="6" t="s">
        <v>3333</v>
      </c>
      <c r="E1522" s="6" t="s">
        <v>5844</v>
      </c>
      <c r="F1522" s="6" t="s">
        <v>5332</v>
      </c>
      <c r="G1522" s="6" t="s">
        <v>496</v>
      </c>
      <c r="H1522" s="6" t="str">
        <f>IFERROR(VLOOKUP(Table2[[#This Row],[Ticket]],Okey!A:B,2,0),"")</f>
        <v>ok</v>
      </c>
      <c r="I1522" s="6" t="s">
        <v>3679</v>
      </c>
      <c r="J1522" s="6" t="str">
        <f>VLOOKUP(Table2[[#This Row],[Author]],People!A:B,2,0)</f>
        <v>LS</v>
      </c>
      <c r="K1522" s="6"/>
      <c r="L1522" s="6"/>
      <c r="M1522" s="21" t="s">
        <v>2804</v>
      </c>
    </row>
    <row r="1523" spans="1:13" x14ac:dyDescent="0.25">
      <c r="A1523" s="23">
        <f t="shared" si="23"/>
        <v>1522</v>
      </c>
      <c r="B1523" s="7" t="s">
        <v>4851</v>
      </c>
      <c r="C1523" s="7" t="s">
        <v>5206</v>
      </c>
      <c r="D1523" s="7" t="s">
        <v>3357</v>
      </c>
      <c r="E1523" s="7" t="s">
        <v>5845</v>
      </c>
      <c r="F1523" s="7" t="s">
        <v>5332</v>
      </c>
      <c r="G1523" s="7" t="s">
        <v>496</v>
      </c>
      <c r="H1523" s="7" t="str">
        <f>IFERROR(VLOOKUP(Table2[[#This Row],[Ticket]],Okey!A:B,2,0),"")</f>
        <v>ok</v>
      </c>
      <c r="I1523" s="7" t="s">
        <v>3679</v>
      </c>
      <c r="J1523" s="7" t="str">
        <f>VLOOKUP(Table2[[#This Row],[Author]],People!A:B,2,0)</f>
        <v>LS</v>
      </c>
      <c r="K1523" s="7"/>
      <c r="L1523" s="7"/>
      <c r="M1523" s="16" t="s">
        <v>2804</v>
      </c>
    </row>
    <row r="1524" spans="1:13" x14ac:dyDescent="0.25">
      <c r="A1524" s="22">
        <f t="shared" si="23"/>
        <v>1523</v>
      </c>
      <c r="B1524" s="6" t="s">
        <v>4851</v>
      </c>
      <c r="C1524" s="6" t="s">
        <v>5206</v>
      </c>
      <c r="D1524" s="6" t="s">
        <v>1926</v>
      </c>
      <c r="E1524" s="6" t="s">
        <v>2259</v>
      </c>
      <c r="F1524" s="6" t="s">
        <v>5332</v>
      </c>
      <c r="G1524" s="6" t="s">
        <v>496</v>
      </c>
      <c r="H1524" s="6" t="str">
        <f>IFERROR(VLOOKUP(Table2[[#This Row],[Ticket]],Okey!A:B,2,0),"")</f>
        <v>ok</v>
      </c>
      <c r="I1524" s="6" t="s">
        <v>3679</v>
      </c>
      <c r="J1524" s="6" t="str">
        <f>VLOOKUP(Table2[[#This Row],[Author]],People!A:B,2,0)</f>
        <v>LS</v>
      </c>
      <c r="K1524" s="6"/>
      <c r="L1524" s="6"/>
      <c r="M1524" s="21" t="s">
        <v>2804</v>
      </c>
    </row>
    <row r="1525" spans="1:13" x14ac:dyDescent="0.25">
      <c r="A1525" s="23">
        <f t="shared" si="23"/>
        <v>1524</v>
      </c>
      <c r="B1525" s="7" t="s">
        <v>4851</v>
      </c>
      <c r="C1525" s="7" t="s">
        <v>5206</v>
      </c>
      <c r="D1525" s="7" t="s">
        <v>1960</v>
      </c>
      <c r="E1525" s="7" t="s">
        <v>5846</v>
      </c>
      <c r="F1525" s="7" t="s">
        <v>2783</v>
      </c>
      <c r="G1525" s="7" t="s">
        <v>496</v>
      </c>
      <c r="H1525" s="7" t="str">
        <f>IFERROR(VLOOKUP(Table2[[#This Row],[Ticket]],Okey!A:B,2,0),"")</f>
        <v>ok</v>
      </c>
      <c r="I1525" s="7" t="s">
        <v>3679</v>
      </c>
      <c r="J1525" s="7" t="str">
        <f>VLOOKUP(Table2[[#This Row],[Author]],People!A:B,2,0)</f>
        <v>LS</v>
      </c>
      <c r="K1525" s="7"/>
      <c r="L1525" s="7"/>
      <c r="M1525" s="16" t="s">
        <v>2804</v>
      </c>
    </row>
    <row r="1526" spans="1:13" x14ac:dyDescent="0.25">
      <c r="A1526" s="22">
        <f t="shared" si="23"/>
        <v>1525</v>
      </c>
      <c r="B1526" s="6" t="s">
        <v>4851</v>
      </c>
      <c r="C1526" s="6" t="s">
        <v>5206</v>
      </c>
      <c r="D1526" s="6" t="s">
        <v>5847</v>
      </c>
      <c r="E1526" s="6" t="s">
        <v>5848</v>
      </c>
      <c r="F1526" s="6" t="s">
        <v>1811</v>
      </c>
      <c r="G1526" s="6" t="s">
        <v>496</v>
      </c>
      <c r="H1526" s="6" t="str">
        <f>IFERROR(VLOOKUP(Table2[[#This Row],[Ticket]],Okey!A:B,2,0),"")</f>
        <v>ok</v>
      </c>
      <c r="I1526" s="6" t="s">
        <v>3679</v>
      </c>
      <c r="J1526" s="6" t="str">
        <f>VLOOKUP(Table2[[#This Row],[Author]],People!A:B,2,0)</f>
        <v>LS</v>
      </c>
      <c r="K1526" s="6"/>
      <c r="L1526" s="6"/>
      <c r="M1526" s="21" t="s">
        <v>2804</v>
      </c>
    </row>
    <row r="1527" spans="1:13" x14ac:dyDescent="0.25">
      <c r="A1527" s="23">
        <f t="shared" si="23"/>
        <v>1526</v>
      </c>
      <c r="B1527" s="7" t="s">
        <v>4851</v>
      </c>
      <c r="C1527" s="7" t="s">
        <v>5206</v>
      </c>
      <c r="D1527" s="7" t="s">
        <v>5849</v>
      </c>
      <c r="E1527" s="7" t="s">
        <v>5850</v>
      </c>
      <c r="F1527" s="7" t="s">
        <v>2783</v>
      </c>
      <c r="G1527" s="7" t="s">
        <v>496</v>
      </c>
      <c r="H1527" s="7" t="str">
        <f>IFERROR(VLOOKUP(Table2[[#This Row],[Ticket]],Okey!A:B,2,0),"")</f>
        <v>ok</v>
      </c>
      <c r="I1527" s="7" t="s">
        <v>3679</v>
      </c>
      <c r="J1527" s="7" t="str">
        <f>VLOOKUP(Table2[[#This Row],[Author]],People!A:B,2,0)</f>
        <v>LS</v>
      </c>
      <c r="K1527" s="7"/>
      <c r="L1527" s="7"/>
      <c r="M1527" s="16" t="s">
        <v>2804</v>
      </c>
    </row>
    <row r="1528" spans="1:13" x14ac:dyDescent="0.25">
      <c r="A1528" s="22">
        <f t="shared" si="23"/>
        <v>1527</v>
      </c>
      <c r="B1528" s="6" t="s">
        <v>4851</v>
      </c>
      <c r="C1528" s="6" t="s">
        <v>5206</v>
      </c>
      <c r="D1528" s="6" t="s">
        <v>5851</v>
      </c>
      <c r="E1528" s="6" t="s">
        <v>5852</v>
      </c>
      <c r="F1528" s="6" t="s">
        <v>2783</v>
      </c>
      <c r="G1528" s="6" t="s">
        <v>496</v>
      </c>
      <c r="H1528" s="6" t="str">
        <f>IFERROR(VLOOKUP(Table2[[#This Row],[Ticket]],Okey!A:B,2,0),"")</f>
        <v>ok</v>
      </c>
      <c r="I1528" s="6" t="s">
        <v>3679</v>
      </c>
      <c r="J1528" s="6" t="str">
        <f>VLOOKUP(Table2[[#This Row],[Author]],People!A:B,2,0)</f>
        <v>LS</v>
      </c>
      <c r="K1528" s="6"/>
      <c r="L1528" s="6"/>
      <c r="M1528" s="21" t="s">
        <v>2804</v>
      </c>
    </row>
    <row r="1529" spans="1:13" x14ac:dyDescent="0.25">
      <c r="A1529" s="23">
        <f t="shared" si="23"/>
        <v>1528</v>
      </c>
      <c r="B1529" s="7" t="s">
        <v>4851</v>
      </c>
      <c r="C1529" s="7" t="s">
        <v>5206</v>
      </c>
      <c r="D1529" s="7" t="s">
        <v>5853</v>
      </c>
      <c r="E1529" s="7" t="s">
        <v>5854</v>
      </c>
      <c r="F1529" s="7" t="s">
        <v>5387</v>
      </c>
      <c r="G1529" s="7" t="s">
        <v>496</v>
      </c>
      <c r="H1529" s="7" t="str">
        <f>IFERROR(VLOOKUP(Table2[[#This Row],[Ticket]],Okey!A:B,2,0),"")</f>
        <v>ok</v>
      </c>
      <c r="I1529" s="7" t="s">
        <v>3679</v>
      </c>
      <c r="J1529" s="7" t="str">
        <f>VLOOKUP(Table2[[#This Row],[Author]],People!A:B,2,0)</f>
        <v>LS</v>
      </c>
      <c r="K1529" s="7"/>
      <c r="L1529" s="7"/>
      <c r="M1529" s="16" t="s">
        <v>2804</v>
      </c>
    </row>
    <row r="1530" spans="1:13" x14ac:dyDescent="0.25">
      <c r="A1530" s="22">
        <f t="shared" si="23"/>
        <v>1529</v>
      </c>
      <c r="B1530" s="6" t="s">
        <v>4851</v>
      </c>
      <c r="C1530" s="6" t="s">
        <v>5206</v>
      </c>
      <c r="D1530" s="6" t="s">
        <v>2047</v>
      </c>
      <c r="E1530" s="6" t="s">
        <v>5855</v>
      </c>
      <c r="F1530" s="6" t="s">
        <v>5387</v>
      </c>
      <c r="G1530" s="6" t="s">
        <v>496</v>
      </c>
      <c r="H1530" s="6" t="str">
        <f>IFERROR(VLOOKUP(Table2[[#This Row],[Ticket]],Okey!A:B,2,0),"")</f>
        <v>ok</v>
      </c>
      <c r="I1530" s="6" t="s">
        <v>3679</v>
      </c>
      <c r="J1530" s="6" t="str">
        <f>VLOOKUP(Table2[[#This Row],[Author]],People!A:B,2,0)</f>
        <v>LS</v>
      </c>
      <c r="K1530" s="6"/>
      <c r="L1530" s="6"/>
      <c r="M1530" s="21" t="s">
        <v>2804</v>
      </c>
    </row>
    <row r="1531" spans="1:13" x14ac:dyDescent="0.25">
      <c r="A1531" s="23">
        <f t="shared" si="23"/>
        <v>1530</v>
      </c>
      <c r="B1531" s="7" t="s">
        <v>4851</v>
      </c>
      <c r="C1531" s="7" t="s">
        <v>5206</v>
      </c>
      <c r="D1531" s="7" t="s">
        <v>1811</v>
      </c>
      <c r="E1531" s="7" t="s">
        <v>5856</v>
      </c>
      <c r="F1531" s="7" t="s">
        <v>5387</v>
      </c>
      <c r="G1531" s="7" t="s">
        <v>496</v>
      </c>
      <c r="H1531" s="7" t="str">
        <f>IFERROR(VLOOKUP(Table2[[#This Row],[Ticket]],Okey!A:B,2,0),"")</f>
        <v>ok</v>
      </c>
      <c r="I1531" s="7" t="s">
        <v>3679</v>
      </c>
      <c r="J1531" s="7" t="str">
        <f>VLOOKUP(Table2[[#This Row],[Author]],People!A:B,2,0)</f>
        <v>LS</v>
      </c>
      <c r="K1531" s="7"/>
      <c r="L1531" s="7"/>
      <c r="M1531" s="16" t="s">
        <v>2804</v>
      </c>
    </row>
    <row r="1532" spans="1:13" x14ac:dyDescent="0.25">
      <c r="A1532" s="22">
        <f t="shared" si="23"/>
        <v>1531</v>
      </c>
      <c r="B1532" s="6" t="s">
        <v>4851</v>
      </c>
      <c r="C1532" s="6" t="s">
        <v>5206</v>
      </c>
      <c r="D1532" s="6" t="s">
        <v>5857</v>
      </c>
      <c r="E1532" s="6" t="s">
        <v>5858</v>
      </c>
      <c r="F1532" s="6" t="s">
        <v>2783</v>
      </c>
      <c r="G1532" s="6" t="s">
        <v>496</v>
      </c>
      <c r="H1532" s="6" t="str">
        <f>IFERROR(VLOOKUP(Table2[[#This Row],[Ticket]],Okey!A:B,2,0),"")</f>
        <v>ok</v>
      </c>
      <c r="I1532" s="6" t="s">
        <v>3679</v>
      </c>
      <c r="J1532" s="6" t="str">
        <f>VLOOKUP(Table2[[#This Row],[Author]],People!A:B,2,0)</f>
        <v>LS</v>
      </c>
      <c r="K1532" s="6"/>
      <c r="L1532" s="6"/>
      <c r="M1532" s="21" t="s">
        <v>2804</v>
      </c>
    </row>
    <row r="1533" spans="1:13" x14ac:dyDescent="0.25">
      <c r="A1533" s="23">
        <f t="shared" si="23"/>
        <v>1532</v>
      </c>
      <c r="B1533" s="7" t="s">
        <v>4851</v>
      </c>
      <c r="C1533" s="7" t="s">
        <v>5206</v>
      </c>
      <c r="D1533" s="7" t="s">
        <v>2779</v>
      </c>
      <c r="E1533" s="7" t="s">
        <v>5859</v>
      </c>
      <c r="F1533" s="7" t="s">
        <v>2783</v>
      </c>
      <c r="G1533" s="7" t="s">
        <v>496</v>
      </c>
      <c r="H1533" s="7" t="str">
        <f>IFERROR(VLOOKUP(Table2[[#This Row],[Ticket]],Okey!A:B,2,0),"")</f>
        <v>ok</v>
      </c>
      <c r="I1533" s="7" t="s">
        <v>3679</v>
      </c>
      <c r="J1533" s="7" t="str">
        <f>VLOOKUP(Table2[[#This Row],[Author]],People!A:B,2,0)</f>
        <v>LS</v>
      </c>
      <c r="K1533" s="7"/>
      <c r="L1533" s="7"/>
      <c r="M1533" s="16" t="s">
        <v>2804</v>
      </c>
    </row>
    <row r="1534" spans="1:13" x14ac:dyDescent="0.25">
      <c r="A1534" s="22">
        <f t="shared" si="23"/>
        <v>1533</v>
      </c>
      <c r="B1534" s="6" t="s">
        <v>4851</v>
      </c>
      <c r="C1534" s="6" t="s">
        <v>5206</v>
      </c>
      <c r="D1534" s="6" t="s">
        <v>5860</v>
      </c>
      <c r="E1534" s="6"/>
      <c r="F1534" s="6" t="s">
        <v>2897</v>
      </c>
      <c r="G1534" s="6" t="s">
        <v>24</v>
      </c>
      <c r="H1534" s="6" t="str">
        <f>IFERROR(VLOOKUP(Table2[[#This Row],[Ticket]],Okey!A:B,2,0),"")</f>
        <v>ok</v>
      </c>
      <c r="I1534" s="6" t="s">
        <v>3679</v>
      </c>
      <c r="J1534" s="6" t="str">
        <f>VLOOKUP(Table2[[#This Row],[Author]],People!A:B,2,0)</f>
        <v>LS</v>
      </c>
      <c r="K1534" s="6"/>
      <c r="L1534" s="6"/>
      <c r="M1534" s="21" t="s">
        <v>2804</v>
      </c>
    </row>
    <row r="1535" spans="1:13" x14ac:dyDescent="0.25">
      <c r="A1535" s="23">
        <f t="shared" si="23"/>
        <v>1534</v>
      </c>
      <c r="B1535" s="7" t="s">
        <v>4851</v>
      </c>
      <c r="C1535" s="7" t="s">
        <v>5206</v>
      </c>
      <c r="D1535" s="7" t="s">
        <v>5861</v>
      </c>
      <c r="E1535" s="7"/>
      <c r="F1535" s="7" t="s">
        <v>5207</v>
      </c>
      <c r="G1535" s="7" t="s">
        <v>24</v>
      </c>
      <c r="H1535" s="7" t="str">
        <f>IFERROR(VLOOKUP(Table2[[#This Row],[Ticket]],Okey!A:B,2,0),"")</f>
        <v>ok</v>
      </c>
      <c r="I1535" s="7" t="s">
        <v>3679</v>
      </c>
      <c r="J1535" s="7" t="str">
        <f>VLOOKUP(Table2[[#This Row],[Author]],People!A:B,2,0)</f>
        <v>LS</v>
      </c>
      <c r="K1535" s="7"/>
      <c r="L1535" s="7"/>
      <c r="M1535" s="16" t="s">
        <v>2804</v>
      </c>
    </row>
    <row r="1536" spans="1:13" x14ac:dyDescent="0.25">
      <c r="A1536" s="22">
        <f t="shared" si="23"/>
        <v>1535</v>
      </c>
      <c r="B1536" s="6" t="s">
        <v>4851</v>
      </c>
      <c r="C1536" s="6" t="s">
        <v>5206</v>
      </c>
      <c r="D1536" s="6" t="s">
        <v>5862</v>
      </c>
      <c r="E1536" s="6"/>
      <c r="F1536" s="6" t="s">
        <v>5207</v>
      </c>
      <c r="G1536" s="6" t="s">
        <v>24</v>
      </c>
      <c r="H1536" s="6" t="str">
        <f>IFERROR(VLOOKUP(Table2[[#This Row],[Ticket]],Okey!A:B,2,0),"")</f>
        <v>ok</v>
      </c>
      <c r="I1536" s="6" t="s">
        <v>3679</v>
      </c>
      <c r="J1536" s="6" t="str">
        <f>VLOOKUP(Table2[[#This Row],[Author]],People!A:B,2,0)</f>
        <v>LS</v>
      </c>
      <c r="K1536" s="6"/>
      <c r="L1536" s="6"/>
      <c r="M1536" s="21" t="s">
        <v>2804</v>
      </c>
    </row>
    <row r="1537" spans="1:13" x14ac:dyDescent="0.25">
      <c r="A1537" s="23">
        <f t="shared" si="23"/>
        <v>1536</v>
      </c>
      <c r="B1537" s="7" t="s">
        <v>4851</v>
      </c>
      <c r="C1537" s="7" t="s">
        <v>5206</v>
      </c>
      <c r="D1537" s="7" t="s">
        <v>5863</v>
      </c>
      <c r="E1537" s="7"/>
      <c r="F1537" s="7" t="s">
        <v>2976</v>
      </c>
      <c r="G1537" s="7" t="s">
        <v>24</v>
      </c>
      <c r="H1537" s="7" t="str">
        <f>IFERROR(VLOOKUP(Table2[[#This Row],[Ticket]],Okey!A:B,2,0),"")</f>
        <v>ok</v>
      </c>
      <c r="I1537" s="7" t="s">
        <v>3679</v>
      </c>
      <c r="J1537" s="7" t="str">
        <f>VLOOKUP(Table2[[#This Row],[Author]],People!A:B,2,0)</f>
        <v>LS</v>
      </c>
      <c r="K1537" s="7"/>
      <c r="L1537" s="7"/>
      <c r="M1537" s="16" t="s">
        <v>2804</v>
      </c>
    </row>
    <row r="1538" spans="1:13" x14ac:dyDescent="0.25">
      <c r="A1538" s="22">
        <f t="shared" si="23"/>
        <v>1537</v>
      </c>
      <c r="B1538" s="6" t="s">
        <v>4851</v>
      </c>
      <c r="C1538" s="6" t="s">
        <v>5206</v>
      </c>
      <c r="D1538" s="6" t="s">
        <v>5864</v>
      </c>
      <c r="E1538" s="6"/>
      <c r="F1538" s="6" t="s">
        <v>3003</v>
      </c>
      <c r="G1538" s="6" t="s">
        <v>24</v>
      </c>
      <c r="H1538" s="6" t="str">
        <f>IFERROR(VLOOKUP(Table2[[#This Row],[Ticket]],Okey!A:B,2,0),"")</f>
        <v>ok</v>
      </c>
      <c r="I1538" s="6" t="s">
        <v>3679</v>
      </c>
      <c r="J1538" s="6" t="str">
        <f>VLOOKUP(Table2[[#This Row],[Author]],People!A:B,2,0)</f>
        <v>LS</v>
      </c>
      <c r="K1538" s="6"/>
      <c r="L1538" s="6"/>
      <c r="M1538" s="21" t="s">
        <v>2804</v>
      </c>
    </row>
    <row r="1539" spans="1:13" x14ac:dyDescent="0.25">
      <c r="A1539" s="23">
        <f t="shared" ref="A1539:A1602" si="24">1+A1538</f>
        <v>1538</v>
      </c>
      <c r="B1539" s="7" t="s">
        <v>4851</v>
      </c>
      <c r="C1539" s="7" t="s">
        <v>5206</v>
      </c>
      <c r="D1539" s="7" t="s">
        <v>5865</v>
      </c>
      <c r="E1539" s="7"/>
      <c r="F1539" s="7" t="s">
        <v>3003</v>
      </c>
      <c r="G1539" s="7" t="s">
        <v>24</v>
      </c>
      <c r="H1539" s="7" t="str">
        <f>IFERROR(VLOOKUP(Table2[[#This Row],[Ticket]],Okey!A:B,2,0),"")</f>
        <v>ok</v>
      </c>
      <c r="I1539" s="7" t="s">
        <v>3679</v>
      </c>
      <c r="J1539" s="7" t="str">
        <f>VLOOKUP(Table2[[#This Row],[Author]],People!A:B,2,0)</f>
        <v>LS</v>
      </c>
      <c r="K1539" s="7"/>
      <c r="L1539" s="7"/>
      <c r="M1539" s="16" t="s">
        <v>2804</v>
      </c>
    </row>
    <row r="1540" spans="1:13" x14ac:dyDescent="0.25">
      <c r="A1540" s="22">
        <f t="shared" si="24"/>
        <v>1539</v>
      </c>
      <c r="B1540" s="6" t="s">
        <v>4851</v>
      </c>
      <c r="C1540" s="6" t="s">
        <v>5206</v>
      </c>
      <c r="D1540" s="6" t="s">
        <v>5866</v>
      </c>
      <c r="E1540" s="6"/>
      <c r="F1540" s="6" t="s">
        <v>3030</v>
      </c>
      <c r="G1540" s="6" t="s">
        <v>24</v>
      </c>
      <c r="H1540" s="6" t="str">
        <f>IFERROR(VLOOKUP(Table2[[#This Row],[Ticket]],Okey!A:B,2,0),"")</f>
        <v>ok</v>
      </c>
      <c r="I1540" s="6" t="s">
        <v>3679</v>
      </c>
      <c r="J1540" s="6" t="str">
        <f>VLOOKUP(Table2[[#This Row],[Author]],People!A:B,2,0)</f>
        <v>LS</v>
      </c>
      <c r="K1540" s="6"/>
      <c r="L1540" s="6"/>
      <c r="M1540" s="21" t="s">
        <v>2804</v>
      </c>
    </row>
    <row r="1541" spans="1:13" x14ac:dyDescent="0.25">
      <c r="A1541" s="23">
        <f t="shared" si="24"/>
        <v>1540</v>
      </c>
      <c r="B1541" s="7" t="s">
        <v>4851</v>
      </c>
      <c r="C1541" s="7" t="s">
        <v>5206</v>
      </c>
      <c r="D1541" s="7" t="s">
        <v>5867</v>
      </c>
      <c r="E1541" s="7"/>
      <c r="F1541" s="7" t="s">
        <v>5211</v>
      </c>
      <c r="G1541" s="7" t="s">
        <v>24</v>
      </c>
      <c r="H1541" s="7" t="str">
        <f>IFERROR(VLOOKUP(Table2[[#This Row],[Ticket]],Okey!A:B,2,0),"")</f>
        <v>ok</v>
      </c>
      <c r="I1541" s="7" t="s">
        <v>3679</v>
      </c>
      <c r="J1541" s="7" t="str">
        <f>VLOOKUP(Table2[[#This Row],[Author]],People!A:B,2,0)</f>
        <v>LS</v>
      </c>
      <c r="K1541" s="7"/>
      <c r="L1541" s="7"/>
      <c r="M1541" s="16" t="s">
        <v>2804</v>
      </c>
    </row>
    <row r="1542" spans="1:13" x14ac:dyDescent="0.25">
      <c r="A1542" s="22">
        <f t="shared" si="24"/>
        <v>1541</v>
      </c>
      <c r="B1542" s="6" t="s">
        <v>4851</v>
      </c>
      <c r="C1542" s="6" t="s">
        <v>5206</v>
      </c>
      <c r="D1542" s="6" t="s">
        <v>5868</v>
      </c>
      <c r="E1542" s="6"/>
      <c r="F1542" s="6" t="s">
        <v>3058</v>
      </c>
      <c r="G1542" s="6" t="s">
        <v>24</v>
      </c>
      <c r="H1542" s="6" t="str">
        <f>IFERROR(VLOOKUP(Table2[[#This Row],[Ticket]],Okey!A:B,2,0),"")</f>
        <v>ok</v>
      </c>
      <c r="I1542" s="6" t="s">
        <v>3679</v>
      </c>
      <c r="J1542" s="6" t="str">
        <f>VLOOKUP(Table2[[#This Row],[Author]],People!A:B,2,0)</f>
        <v>LS</v>
      </c>
      <c r="K1542" s="6"/>
      <c r="L1542" s="6"/>
      <c r="M1542" s="21" t="s">
        <v>2804</v>
      </c>
    </row>
    <row r="1543" spans="1:13" x14ac:dyDescent="0.25">
      <c r="A1543" s="23">
        <f t="shared" si="24"/>
        <v>1542</v>
      </c>
      <c r="B1543" s="7" t="s">
        <v>4851</v>
      </c>
      <c r="C1543" s="7" t="s">
        <v>5206</v>
      </c>
      <c r="D1543" s="7" t="s">
        <v>5869</v>
      </c>
      <c r="E1543" s="7"/>
      <c r="F1543" s="7" t="s">
        <v>3085</v>
      </c>
      <c r="G1543" s="7" t="s">
        <v>24</v>
      </c>
      <c r="H1543" s="7" t="str">
        <f>IFERROR(VLOOKUP(Table2[[#This Row],[Ticket]],Okey!A:B,2,0),"")</f>
        <v>ok</v>
      </c>
      <c r="I1543" s="7" t="s">
        <v>3679</v>
      </c>
      <c r="J1543" s="7" t="str">
        <f>VLOOKUP(Table2[[#This Row],[Author]],People!A:B,2,0)</f>
        <v>LS</v>
      </c>
      <c r="K1543" s="7"/>
      <c r="L1543" s="7"/>
      <c r="M1543" s="16" t="s">
        <v>2804</v>
      </c>
    </row>
    <row r="1544" spans="1:13" x14ac:dyDescent="0.25">
      <c r="A1544" s="22">
        <f t="shared" si="24"/>
        <v>1543</v>
      </c>
      <c r="B1544" s="6" t="s">
        <v>4851</v>
      </c>
      <c r="C1544" s="6" t="s">
        <v>5206</v>
      </c>
      <c r="D1544" s="6" t="s">
        <v>5870</v>
      </c>
      <c r="E1544" s="6"/>
      <c r="F1544" s="6" t="s">
        <v>3112</v>
      </c>
      <c r="G1544" s="6" t="s">
        <v>24</v>
      </c>
      <c r="H1544" s="6" t="str">
        <f>IFERROR(VLOOKUP(Table2[[#This Row],[Ticket]],Okey!A:B,2,0),"")</f>
        <v>ok</v>
      </c>
      <c r="I1544" s="6" t="s">
        <v>3679</v>
      </c>
      <c r="J1544" s="6" t="str">
        <f>VLOOKUP(Table2[[#This Row],[Author]],People!A:B,2,0)</f>
        <v>LS</v>
      </c>
      <c r="K1544" s="6"/>
      <c r="L1544" s="6"/>
      <c r="M1544" s="21" t="s">
        <v>2804</v>
      </c>
    </row>
    <row r="1545" spans="1:13" x14ac:dyDescent="0.25">
      <c r="A1545" s="23">
        <f t="shared" si="24"/>
        <v>1544</v>
      </c>
      <c r="B1545" s="7" t="s">
        <v>4851</v>
      </c>
      <c r="C1545" s="7" t="s">
        <v>5206</v>
      </c>
      <c r="D1545" s="7" t="s">
        <v>5871</v>
      </c>
      <c r="E1545" s="7"/>
      <c r="F1545" s="7" t="s">
        <v>3180</v>
      </c>
      <c r="G1545" s="7" t="s">
        <v>24</v>
      </c>
      <c r="H1545" s="7" t="str">
        <f>IFERROR(VLOOKUP(Table2[[#This Row],[Ticket]],Okey!A:B,2,0),"")</f>
        <v>ok</v>
      </c>
      <c r="I1545" s="7" t="s">
        <v>3679</v>
      </c>
      <c r="J1545" s="7" t="str">
        <f>VLOOKUP(Table2[[#This Row],[Author]],People!A:B,2,0)</f>
        <v>LS</v>
      </c>
      <c r="K1545" s="7"/>
      <c r="L1545" s="7"/>
      <c r="M1545" s="16" t="s">
        <v>2804</v>
      </c>
    </row>
    <row r="1546" spans="1:13" x14ac:dyDescent="0.25">
      <c r="A1546" s="22">
        <f t="shared" si="24"/>
        <v>1545</v>
      </c>
      <c r="B1546" s="6" t="s">
        <v>4851</v>
      </c>
      <c r="C1546" s="6" t="s">
        <v>5206</v>
      </c>
      <c r="D1546" s="6" t="s">
        <v>5872</v>
      </c>
      <c r="E1546" s="6"/>
      <c r="F1546" s="6" t="s">
        <v>3180</v>
      </c>
      <c r="G1546" s="6" t="s">
        <v>24</v>
      </c>
      <c r="H1546" s="6" t="str">
        <f>IFERROR(VLOOKUP(Table2[[#This Row],[Ticket]],Okey!A:B,2,0),"")</f>
        <v>ok</v>
      </c>
      <c r="I1546" s="6" t="s">
        <v>3679</v>
      </c>
      <c r="J1546" s="6" t="str">
        <f>VLOOKUP(Table2[[#This Row],[Author]],People!A:B,2,0)</f>
        <v>LS</v>
      </c>
      <c r="K1546" s="6"/>
      <c r="L1546" s="6"/>
      <c r="M1546" s="21" t="s">
        <v>2804</v>
      </c>
    </row>
    <row r="1547" spans="1:13" x14ac:dyDescent="0.25">
      <c r="A1547" s="23">
        <f t="shared" si="24"/>
        <v>1546</v>
      </c>
      <c r="B1547" s="7" t="s">
        <v>4851</v>
      </c>
      <c r="C1547" s="7" t="s">
        <v>5206</v>
      </c>
      <c r="D1547" s="7" t="s">
        <v>2203</v>
      </c>
      <c r="E1547" s="7"/>
      <c r="F1547" s="7" t="s">
        <v>2201</v>
      </c>
      <c r="G1547" s="7" t="s">
        <v>24</v>
      </c>
      <c r="H1547" s="7" t="str">
        <f>IFERROR(VLOOKUP(Table2[[#This Row],[Ticket]],Okey!A:B,2,0),"")</f>
        <v>ok</v>
      </c>
      <c r="I1547" s="7" t="s">
        <v>3679</v>
      </c>
      <c r="J1547" s="7" t="str">
        <f>VLOOKUP(Table2[[#This Row],[Author]],People!A:B,2,0)</f>
        <v>LS</v>
      </c>
      <c r="K1547" s="7"/>
      <c r="L1547" s="7"/>
      <c r="M1547" s="16" t="s">
        <v>2804</v>
      </c>
    </row>
    <row r="1548" spans="1:13" x14ac:dyDescent="0.25">
      <c r="A1548" s="22">
        <f t="shared" si="24"/>
        <v>1547</v>
      </c>
      <c r="B1548" s="6" t="s">
        <v>4851</v>
      </c>
      <c r="C1548" s="6" t="s">
        <v>5206</v>
      </c>
      <c r="D1548" s="6" t="s">
        <v>2213</v>
      </c>
      <c r="E1548" s="6"/>
      <c r="F1548" s="6" t="s">
        <v>2201</v>
      </c>
      <c r="G1548" s="6" t="s">
        <v>24</v>
      </c>
      <c r="H1548" s="6" t="str">
        <f>IFERROR(VLOOKUP(Table2[[#This Row],[Ticket]],Okey!A:B,2,0),"")</f>
        <v>ok</v>
      </c>
      <c r="I1548" s="6" t="s">
        <v>3679</v>
      </c>
      <c r="J1548" s="6" t="str">
        <f>VLOOKUP(Table2[[#This Row],[Author]],People!A:B,2,0)</f>
        <v>LS</v>
      </c>
      <c r="K1548" s="6"/>
      <c r="L1548" s="6"/>
      <c r="M1548" s="21" t="s">
        <v>2804</v>
      </c>
    </row>
    <row r="1549" spans="1:13" x14ac:dyDescent="0.25">
      <c r="A1549" s="23">
        <f t="shared" si="24"/>
        <v>1548</v>
      </c>
      <c r="B1549" s="7" t="s">
        <v>4851</v>
      </c>
      <c r="C1549" s="7" t="s">
        <v>5206</v>
      </c>
      <c r="D1549" s="7" t="s">
        <v>2201</v>
      </c>
      <c r="E1549" s="7"/>
      <c r="F1549" s="7" t="s">
        <v>4821</v>
      </c>
      <c r="G1549" s="7" t="s">
        <v>24</v>
      </c>
      <c r="H1549" s="7" t="str">
        <f>IFERROR(VLOOKUP(Table2[[#This Row],[Ticket]],Okey!A:B,2,0),"")</f>
        <v>ok</v>
      </c>
      <c r="I1549" s="7" t="s">
        <v>3679</v>
      </c>
      <c r="J1549" s="7" t="str">
        <f>VLOOKUP(Table2[[#This Row],[Author]],People!A:B,2,0)</f>
        <v>LS</v>
      </c>
      <c r="K1549" s="7"/>
      <c r="L1549" s="7"/>
      <c r="M1549" s="16" t="s">
        <v>2804</v>
      </c>
    </row>
    <row r="1550" spans="1:13" x14ac:dyDescent="0.25">
      <c r="A1550" s="22">
        <f t="shared" si="24"/>
        <v>1549</v>
      </c>
      <c r="B1550" s="6" t="s">
        <v>4851</v>
      </c>
      <c r="C1550" s="6" t="s">
        <v>5206</v>
      </c>
      <c r="D1550" s="6" t="s">
        <v>5873</v>
      </c>
      <c r="E1550" s="6"/>
      <c r="F1550" s="6" t="s">
        <v>1870</v>
      </c>
      <c r="G1550" s="6" t="s">
        <v>24</v>
      </c>
      <c r="H1550" s="6" t="str">
        <f>IFERROR(VLOOKUP(Table2[[#This Row],[Ticket]],Okey!A:B,2,0),"")</f>
        <v>ok</v>
      </c>
      <c r="I1550" s="6" t="s">
        <v>3679</v>
      </c>
      <c r="J1550" s="6" t="str">
        <f>VLOOKUP(Table2[[#This Row],[Author]],People!A:B,2,0)</f>
        <v>LS</v>
      </c>
      <c r="K1550" s="6"/>
      <c r="L1550" s="6"/>
      <c r="M1550" s="21" t="s">
        <v>2804</v>
      </c>
    </row>
    <row r="1551" spans="1:13" x14ac:dyDescent="0.25">
      <c r="A1551" s="23">
        <f t="shared" si="24"/>
        <v>1550</v>
      </c>
      <c r="B1551" s="7" t="s">
        <v>4851</v>
      </c>
      <c r="C1551" s="7" t="s">
        <v>5206</v>
      </c>
      <c r="D1551" s="7" t="s">
        <v>1868</v>
      </c>
      <c r="E1551" s="7"/>
      <c r="F1551" s="7" t="s">
        <v>5265</v>
      </c>
      <c r="G1551" s="7" t="s">
        <v>24</v>
      </c>
      <c r="H1551" s="7" t="str">
        <f>IFERROR(VLOOKUP(Table2[[#This Row],[Ticket]],Okey!A:B,2,0),"")</f>
        <v>ok</v>
      </c>
      <c r="I1551" s="7" t="s">
        <v>3679</v>
      </c>
      <c r="J1551" s="7" t="str">
        <f>VLOOKUP(Table2[[#This Row],[Author]],People!A:B,2,0)</f>
        <v>LS</v>
      </c>
      <c r="K1551" s="7"/>
      <c r="L1551" s="7"/>
      <c r="M1551" s="16" t="s">
        <v>2804</v>
      </c>
    </row>
    <row r="1552" spans="1:13" x14ac:dyDescent="0.25">
      <c r="A1552" s="22">
        <f t="shared" si="24"/>
        <v>1551</v>
      </c>
      <c r="B1552" s="6" t="s">
        <v>4851</v>
      </c>
      <c r="C1552" s="6" t="s">
        <v>5206</v>
      </c>
      <c r="D1552" s="6" t="s">
        <v>5874</v>
      </c>
      <c r="E1552" s="6"/>
      <c r="F1552" s="6" t="s">
        <v>5234</v>
      </c>
      <c r="G1552" s="6" t="s">
        <v>24</v>
      </c>
      <c r="H1552" s="6" t="str">
        <f>IFERROR(VLOOKUP(Table2[[#This Row],[Ticket]],Okey!A:B,2,0),"")</f>
        <v>ok</v>
      </c>
      <c r="I1552" s="6" t="s">
        <v>3679</v>
      </c>
      <c r="J1552" s="6" t="str">
        <f>VLOOKUP(Table2[[#This Row],[Author]],People!A:B,2,0)</f>
        <v>LS</v>
      </c>
      <c r="K1552" s="6"/>
      <c r="L1552" s="6"/>
      <c r="M1552" s="21" t="s">
        <v>2804</v>
      </c>
    </row>
    <row r="1553" spans="1:13" x14ac:dyDescent="0.25">
      <c r="A1553" s="23">
        <f t="shared" si="24"/>
        <v>1552</v>
      </c>
      <c r="B1553" s="7" t="s">
        <v>4851</v>
      </c>
      <c r="C1553" s="7" t="s">
        <v>5206</v>
      </c>
      <c r="D1553" s="7" t="s">
        <v>5875</v>
      </c>
      <c r="E1553" s="7"/>
      <c r="F1553" s="7" t="s">
        <v>3254</v>
      </c>
      <c r="G1553" s="7" t="s">
        <v>24</v>
      </c>
      <c r="H1553" s="7" t="str">
        <f>IFERROR(VLOOKUP(Table2[[#This Row],[Ticket]],Okey!A:B,2,0),"")</f>
        <v>ok</v>
      </c>
      <c r="I1553" s="7" t="s">
        <v>3679</v>
      </c>
      <c r="J1553" s="7" t="str">
        <f>VLOOKUP(Table2[[#This Row],[Author]],People!A:B,2,0)</f>
        <v>LS</v>
      </c>
      <c r="K1553" s="7"/>
      <c r="L1553" s="7"/>
      <c r="M1553" s="16" t="s">
        <v>2804</v>
      </c>
    </row>
    <row r="1554" spans="1:13" x14ac:dyDescent="0.25">
      <c r="A1554" s="22">
        <f t="shared" si="24"/>
        <v>1553</v>
      </c>
      <c r="B1554" s="6" t="s">
        <v>4851</v>
      </c>
      <c r="C1554" s="6" t="s">
        <v>5206</v>
      </c>
      <c r="D1554" s="6" t="s">
        <v>5876</v>
      </c>
      <c r="E1554" s="6"/>
      <c r="F1554" s="6" t="s">
        <v>3254</v>
      </c>
      <c r="G1554" s="6" t="s">
        <v>24</v>
      </c>
      <c r="H1554" s="6" t="str">
        <f>IFERROR(VLOOKUP(Table2[[#This Row],[Ticket]],Okey!A:B,2,0),"")</f>
        <v>ok</v>
      </c>
      <c r="I1554" s="6" t="s">
        <v>3679</v>
      </c>
      <c r="J1554" s="6" t="str">
        <f>VLOOKUP(Table2[[#This Row],[Author]],People!A:B,2,0)</f>
        <v>LS</v>
      </c>
      <c r="K1554" s="6"/>
      <c r="L1554" s="6"/>
      <c r="M1554" s="21" t="s">
        <v>2804</v>
      </c>
    </row>
    <row r="1555" spans="1:13" x14ac:dyDescent="0.25">
      <c r="A1555" s="23">
        <f t="shared" si="24"/>
        <v>1554</v>
      </c>
      <c r="B1555" s="7" t="s">
        <v>4851</v>
      </c>
      <c r="C1555" s="7" t="s">
        <v>5206</v>
      </c>
      <c r="D1555" s="7" t="s">
        <v>5877</v>
      </c>
      <c r="E1555" s="7"/>
      <c r="F1555" s="7" t="s">
        <v>3254</v>
      </c>
      <c r="G1555" s="7" t="s">
        <v>24</v>
      </c>
      <c r="H1555" s="7" t="str">
        <f>IFERROR(VLOOKUP(Table2[[#This Row],[Ticket]],Okey!A:B,2,0),"")</f>
        <v>ok</v>
      </c>
      <c r="I1555" s="7" t="s">
        <v>3679</v>
      </c>
      <c r="J1555" s="7" t="str">
        <f>VLOOKUP(Table2[[#This Row],[Author]],People!A:B,2,0)</f>
        <v>LS</v>
      </c>
      <c r="K1555" s="7"/>
      <c r="L1555" s="7"/>
      <c r="M1555" s="16" t="s">
        <v>2804</v>
      </c>
    </row>
    <row r="1556" spans="1:13" x14ac:dyDescent="0.25">
      <c r="A1556" s="22">
        <f t="shared" si="24"/>
        <v>1555</v>
      </c>
      <c r="B1556" s="6" t="s">
        <v>4851</v>
      </c>
      <c r="C1556" s="6" t="s">
        <v>5206</v>
      </c>
      <c r="D1556" s="6" t="s">
        <v>5878</v>
      </c>
      <c r="E1556" s="6"/>
      <c r="F1556" s="6" t="s">
        <v>3270</v>
      </c>
      <c r="G1556" s="6" t="s">
        <v>24</v>
      </c>
      <c r="H1556" s="6" t="str">
        <f>IFERROR(VLOOKUP(Table2[[#This Row],[Ticket]],Okey!A:B,2,0),"")</f>
        <v>ok</v>
      </c>
      <c r="I1556" s="6" t="s">
        <v>3679</v>
      </c>
      <c r="J1556" s="6" t="str">
        <f>VLOOKUP(Table2[[#This Row],[Author]],People!A:B,2,0)</f>
        <v>LS</v>
      </c>
      <c r="K1556" s="6"/>
      <c r="L1556" s="6"/>
      <c r="M1556" s="21" t="s">
        <v>2804</v>
      </c>
    </row>
    <row r="1557" spans="1:13" x14ac:dyDescent="0.25">
      <c r="A1557" s="23">
        <f t="shared" si="24"/>
        <v>1556</v>
      </c>
      <c r="B1557" s="7" t="s">
        <v>4851</v>
      </c>
      <c r="C1557" s="7" t="s">
        <v>5206</v>
      </c>
      <c r="D1557" s="7" t="s">
        <v>5879</v>
      </c>
      <c r="E1557" s="7"/>
      <c r="F1557" s="7" t="s">
        <v>3270</v>
      </c>
      <c r="G1557" s="7" t="s">
        <v>24</v>
      </c>
      <c r="H1557" s="7" t="str">
        <f>IFERROR(VLOOKUP(Table2[[#This Row],[Ticket]],Okey!A:B,2,0),"")</f>
        <v>ok</v>
      </c>
      <c r="I1557" s="7" t="s">
        <v>3679</v>
      </c>
      <c r="J1557" s="7" t="str">
        <f>VLOOKUP(Table2[[#This Row],[Author]],People!A:B,2,0)</f>
        <v>LS</v>
      </c>
      <c r="K1557" s="7"/>
      <c r="L1557" s="7"/>
      <c r="M1557" s="16" t="s">
        <v>2804</v>
      </c>
    </row>
    <row r="1558" spans="1:13" x14ac:dyDescent="0.25">
      <c r="A1558" s="22">
        <f t="shared" si="24"/>
        <v>1557</v>
      </c>
      <c r="B1558" s="6" t="s">
        <v>4851</v>
      </c>
      <c r="C1558" s="6" t="s">
        <v>5206</v>
      </c>
      <c r="D1558" s="6" t="s">
        <v>5880</v>
      </c>
      <c r="E1558" s="6"/>
      <c r="F1558" s="6" t="s">
        <v>3290</v>
      </c>
      <c r="G1558" s="6" t="s">
        <v>24</v>
      </c>
      <c r="H1558" s="6" t="str">
        <f>IFERROR(VLOOKUP(Table2[[#This Row],[Ticket]],Okey!A:B,2,0),"")</f>
        <v>ok</v>
      </c>
      <c r="I1558" s="6" t="s">
        <v>3679</v>
      </c>
      <c r="J1558" s="6" t="str">
        <f>VLOOKUP(Table2[[#This Row],[Author]],People!A:B,2,0)</f>
        <v>LS</v>
      </c>
      <c r="K1558" s="6"/>
      <c r="L1558" s="6"/>
      <c r="M1558" s="21" t="s">
        <v>2804</v>
      </c>
    </row>
    <row r="1559" spans="1:13" x14ac:dyDescent="0.25">
      <c r="A1559" s="23">
        <f t="shared" si="24"/>
        <v>1558</v>
      </c>
      <c r="B1559" s="7" t="s">
        <v>4851</v>
      </c>
      <c r="C1559" s="7" t="s">
        <v>5206</v>
      </c>
      <c r="D1559" s="7" t="s">
        <v>5881</v>
      </c>
      <c r="E1559" s="7"/>
      <c r="F1559" s="7" t="s">
        <v>3290</v>
      </c>
      <c r="G1559" s="7" t="s">
        <v>24</v>
      </c>
      <c r="H1559" s="7" t="str">
        <f>IFERROR(VLOOKUP(Table2[[#This Row],[Ticket]],Okey!A:B,2,0),"")</f>
        <v>ok</v>
      </c>
      <c r="I1559" s="7" t="s">
        <v>3679</v>
      </c>
      <c r="J1559" s="7" t="str">
        <f>VLOOKUP(Table2[[#This Row],[Author]],People!A:B,2,0)</f>
        <v>LS</v>
      </c>
      <c r="K1559" s="7"/>
      <c r="L1559" s="7"/>
      <c r="M1559" s="16" t="s">
        <v>2804</v>
      </c>
    </row>
    <row r="1560" spans="1:13" x14ac:dyDescent="0.25">
      <c r="A1560" s="22">
        <f t="shared" si="24"/>
        <v>1559</v>
      </c>
      <c r="B1560" s="6" t="s">
        <v>4851</v>
      </c>
      <c r="C1560" s="6" t="s">
        <v>5206</v>
      </c>
      <c r="D1560" s="6" t="s">
        <v>5882</v>
      </c>
      <c r="E1560" s="6"/>
      <c r="F1560" s="6" t="s">
        <v>3290</v>
      </c>
      <c r="G1560" s="6" t="s">
        <v>24</v>
      </c>
      <c r="H1560" s="6" t="str">
        <f>IFERROR(VLOOKUP(Table2[[#This Row],[Ticket]],Okey!A:B,2,0),"")</f>
        <v>ok</v>
      </c>
      <c r="I1560" s="6" t="s">
        <v>3679</v>
      </c>
      <c r="J1560" s="6" t="str">
        <f>VLOOKUP(Table2[[#This Row],[Author]],People!A:B,2,0)</f>
        <v>LS</v>
      </c>
      <c r="K1560" s="6"/>
      <c r="L1560" s="6"/>
      <c r="M1560" s="21" t="s">
        <v>2804</v>
      </c>
    </row>
    <row r="1561" spans="1:13" x14ac:dyDescent="0.25">
      <c r="A1561" s="23">
        <f t="shared" si="24"/>
        <v>1560</v>
      </c>
      <c r="B1561" s="7" t="s">
        <v>4851</v>
      </c>
      <c r="C1561" s="7" t="s">
        <v>5206</v>
      </c>
      <c r="D1561" s="7" t="s">
        <v>5883</v>
      </c>
      <c r="E1561" s="7"/>
      <c r="F1561" s="7" t="s">
        <v>3421</v>
      </c>
      <c r="G1561" s="7" t="s">
        <v>24</v>
      </c>
      <c r="H1561" s="7" t="str">
        <f>IFERROR(VLOOKUP(Table2[[#This Row],[Ticket]],Okey!A:B,2,0),"")</f>
        <v>ok</v>
      </c>
      <c r="I1561" s="7" t="s">
        <v>3679</v>
      </c>
      <c r="J1561" s="7" t="str">
        <f>VLOOKUP(Table2[[#This Row],[Author]],People!A:B,2,0)</f>
        <v>LS</v>
      </c>
      <c r="K1561" s="7"/>
      <c r="L1561" s="7"/>
      <c r="M1561" s="16" t="s">
        <v>2804</v>
      </c>
    </row>
    <row r="1562" spans="1:13" x14ac:dyDescent="0.25">
      <c r="A1562" s="22">
        <f t="shared" si="24"/>
        <v>1561</v>
      </c>
      <c r="B1562" s="6" t="s">
        <v>4851</v>
      </c>
      <c r="C1562" s="6" t="s">
        <v>5206</v>
      </c>
      <c r="D1562" s="6" t="s">
        <v>5884</v>
      </c>
      <c r="E1562" s="6"/>
      <c r="F1562" s="6" t="s">
        <v>3449</v>
      </c>
      <c r="G1562" s="6" t="s">
        <v>24</v>
      </c>
      <c r="H1562" s="6" t="str">
        <f>IFERROR(VLOOKUP(Table2[[#This Row],[Ticket]],Okey!A:B,2,0),"")</f>
        <v>ok</v>
      </c>
      <c r="I1562" s="6" t="s">
        <v>3679</v>
      </c>
      <c r="J1562" s="6" t="str">
        <f>VLOOKUP(Table2[[#This Row],[Author]],People!A:B,2,0)</f>
        <v>LS</v>
      </c>
      <c r="K1562" s="6"/>
      <c r="L1562" s="6"/>
      <c r="M1562" s="21" t="s">
        <v>2804</v>
      </c>
    </row>
    <row r="1563" spans="1:13" x14ac:dyDescent="0.25">
      <c r="A1563" s="23">
        <f t="shared" si="24"/>
        <v>1562</v>
      </c>
      <c r="B1563" s="7" t="s">
        <v>4851</v>
      </c>
      <c r="C1563" s="7" t="s">
        <v>5206</v>
      </c>
      <c r="D1563" s="7" t="s">
        <v>5885</v>
      </c>
      <c r="E1563" s="7"/>
      <c r="F1563" s="7" t="s">
        <v>3449</v>
      </c>
      <c r="G1563" s="7" t="s">
        <v>24</v>
      </c>
      <c r="H1563" s="7" t="str">
        <f>IFERROR(VLOOKUP(Table2[[#This Row],[Ticket]],Okey!A:B,2,0),"")</f>
        <v>ok</v>
      </c>
      <c r="I1563" s="7" t="s">
        <v>3679</v>
      </c>
      <c r="J1563" s="7" t="str">
        <f>VLOOKUP(Table2[[#This Row],[Author]],People!A:B,2,0)</f>
        <v>LS</v>
      </c>
      <c r="K1563" s="7"/>
      <c r="L1563" s="7"/>
      <c r="M1563" s="16" t="s">
        <v>2804</v>
      </c>
    </row>
    <row r="1564" spans="1:13" x14ac:dyDescent="0.25">
      <c r="A1564" s="22">
        <f t="shared" si="24"/>
        <v>1563</v>
      </c>
      <c r="B1564" s="6" t="s">
        <v>4851</v>
      </c>
      <c r="C1564" s="6" t="s">
        <v>5206</v>
      </c>
      <c r="D1564" s="6" t="s">
        <v>5886</v>
      </c>
      <c r="E1564" s="6"/>
      <c r="F1564" s="6" t="s">
        <v>3449</v>
      </c>
      <c r="G1564" s="6" t="s">
        <v>24</v>
      </c>
      <c r="H1564" s="6" t="str">
        <f>IFERROR(VLOOKUP(Table2[[#This Row],[Ticket]],Okey!A:B,2,0),"")</f>
        <v>ok</v>
      </c>
      <c r="I1564" s="6" t="s">
        <v>3679</v>
      </c>
      <c r="J1564" s="6" t="str">
        <f>VLOOKUP(Table2[[#This Row],[Author]],People!A:B,2,0)</f>
        <v>LS</v>
      </c>
      <c r="K1564" s="6"/>
      <c r="L1564" s="6"/>
      <c r="M1564" s="21" t="s">
        <v>2804</v>
      </c>
    </row>
    <row r="1565" spans="1:13" x14ac:dyDescent="0.25">
      <c r="A1565" s="23">
        <f t="shared" si="24"/>
        <v>1564</v>
      </c>
      <c r="B1565" s="7" t="s">
        <v>4851</v>
      </c>
      <c r="C1565" s="7" t="s">
        <v>5206</v>
      </c>
      <c r="D1565" s="7" t="s">
        <v>5887</v>
      </c>
      <c r="E1565" s="7"/>
      <c r="F1565" s="7" t="s">
        <v>3449</v>
      </c>
      <c r="G1565" s="7" t="s">
        <v>24</v>
      </c>
      <c r="H1565" s="7" t="str">
        <f>IFERROR(VLOOKUP(Table2[[#This Row],[Ticket]],Okey!A:B,2,0),"")</f>
        <v>ok</v>
      </c>
      <c r="I1565" s="7" t="s">
        <v>3679</v>
      </c>
      <c r="J1565" s="7" t="str">
        <f>VLOOKUP(Table2[[#This Row],[Author]],People!A:B,2,0)</f>
        <v>LS</v>
      </c>
      <c r="K1565" s="7"/>
      <c r="L1565" s="7"/>
      <c r="M1565" s="16" t="s">
        <v>2804</v>
      </c>
    </row>
    <row r="1566" spans="1:13" x14ac:dyDescent="0.25">
      <c r="A1566" s="22">
        <f t="shared" si="24"/>
        <v>1565</v>
      </c>
      <c r="B1566" s="6" t="s">
        <v>4851</v>
      </c>
      <c r="C1566" s="6" t="s">
        <v>5206</v>
      </c>
      <c r="D1566" s="6" t="s">
        <v>5888</v>
      </c>
      <c r="E1566" s="6"/>
      <c r="F1566" s="6" t="s">
        <v>3477</v>
      </c>
      <c r="G1566" s="6" t="s">
        <v>24</v>
      </c>
      <c r="H1566" s="6" t="str">
        <f>IFERROR(VLOOKUP(Table2[[#This Row],[Ticket]],Okey!A:B,2,0),"")</f>
        <v>ok</v>
      </c>
      <c r="I1566" s="6" t="s">
        <v>3679</v>
      </c>
      <c r="J1566" s="6" t="str">
        <f>VLOOKUP(Table2[[#This Row],[Author]],People!A:B,2,0)</f>
        <v>LS</v>
      </c>
      <c r="K1566" s="6"/>
      <c r="L1566" s="6"/>
      <c r="M1566" s="21" t="s">
        <v>2804</v>
      </c>
    </row>
    <row r="1567" spans="1:13" x14ac:dyDescent="0.25">
      <c r="A1567" s="23">
        <f t="shared" si="24"/>
        <v>1566</v>
      </c>
      <c r="B1567" s="7" t="s">
        <v>4851</v>
      </c>
      <c r="C1567" s="7" t="s">
        <v>5206</v>
      </c>
      <c r="D1567" s="7" t="s">
        <v>5889</v>
      </c>
      <c r="E1567" s="7"/>
      <c r="F1567" s="7" t="s">
        <v>3560</v>
      </c>
      <c r="G1567" s="7" t="s">
        <v>24</v>
      </c>
      <c r="H1567" s="7" t="str">
        <f>IFERROR(VLOOKUP(Table2[[#This Row],[Ticket]],Okey!A:B,2,0),"")</f>
        <v>ok</v>
      </c>
      <c r="I1567" s="7" t="s">
        <v>3679</v>
      </c>
      <c r="J1567" s="7" t="str">
        <f>VLOOKUP(Table2[[#This Row],[Author]],People!A:B,2,0)</f>
        <v>LS</v>
      </c>
      <c r="K1567" s="7"/>
      <c r="L1567" s="7"/>
      <c r="M1567" s="16" t="s">
        <v>2804</v>
      </c>
    </row>
    <row r="1568" spans="1:13" x14ac:dyDescent="0.25">
      <c r="A1568" s="22">
        <f t="shared" si="24"/>
        <v>1567</v>
      </c>
      <c r="B1568" s="6" t="s">
        <v>4851</v>
      </c>
      <c r="C1568" s="6" t="s">
        <v>5206</v>
      </c>
      <c r="D1568" s="6" t="s">
        <v>5890</v>
      </c>
      <c r="E1568" s="6"/>
      <c r="F1568" s="6" t="s">
        <v>3504</v>
      </c>
      <c r="G1568" s="6" t="s">
        <v>24</v>
      </c>
      <c r="H1568" s="6" t="str">
        <f>IFERROR(VLOOKUP(Table2[[#This Row],[Ticket]],Okey!A:B,2,0),"")</f>
        <v>ok</v>
      </c>
      <c r="I1568" s="6" t="s">
        <v>3679</v>
      </c>
      <c r="J1568" s="6" t="str">
        <f>VLOOKUP(Table2[[#This Row],[Author]],People!A:B,2,0)</f>
        <v>LS</v>
      </c>
      <c r="K1568" s="6"/>
      <c r="L1568" s="6"/>
      <c r="M1568" s="21" t="s">
        <v>2804</v>
      </c>
    </row>
    <row r="1569" spans="1:13" x14ac:dyDescent="0.25">
      <c r="A1569" s="23">
        <f t="shared" si="24"/>
        <v>1568</v>
      </c>
      <c r="B1569" s="7" t="s">
        <v>4851</v>
      </c>
      <c r="C1569" s="7" t="s">
        <v>5206</v>
      </c>
      <c r="D1569" s="7" t="s">
        <v>5891</v>
      </c>
      <c r="E1569" s="7"/>
      <c r="F1569" s="7" t="s">
        <v>3532</v>
      </c>
      <c r="G1569" s="7" t="s">
        <v>24</v>
      </c>
      <c r="H1569" s="7" t="str">
        <f>IFERROR(VLOOKUP(Table2[[#This Row],[Ticket]],Okey!A:B,2,0),"")</f>
        <v>ok</v>
      </c>
      <c r="I1569" s="7" t="s">
        <v>3679</v>
      </c>
      <c r="J1569" s="7" t="str">
        <f>VLOOKUP(Table2[[#This Row],[Author]],People!A:B,2,0)</f>
        <v>LS</v>
      </c>
      <c r="K1569" s="7"/>
      <c r="L1569" s="7"/>
      <c r="M1569" s="16" t="s">
        <v>2804</v>
      </c>
    </row>
    <row r="1570" spans="1:13" x14ac:dyDescent="0.25">
      <c r="A1570" s="22">
        <f t="shared" si="24"/>
        <v>1569</v>
      </c>
      <c r="B1570" s="6" t="s">
        <v>4851</v>
      </c>
      <c r="C1570" s="6" t="s">
        <v>5206</v>
      </c>
      <c r="D1570" s="6" t="s">
        <v>5892</v>
      </c>
      <c r="E1570" s="6"/>
      <c r="F1570" s="6" t="s">
        <v>4821</v>
      </c>
      <c r="G1570" s="6" t="s">
        <v>24</v>
      </c>
      <c r="H1570" s="6" t="str">
        <f>IFERROR(VLOOKUP(Table2[[#This Row],[Ticket]],Okey!A:B,2,0),"")</f>
        <v>ok</v>
      </c>
      <c r="I1570" s="6" t="s">
        <v>3679</v>
      </c>
      <c r="J1570" s="6" t="str">
        <f>VLOOKUP(Table2[[#This Row],[Author]],People!A:B,2,0)</f>
        <v>LS</v>
      </c>
      <c r="K1570" s="6"/>
      <c r="L1570" s="6"/>
      <c r="M1570" s="21" t="s">
        <v>2804</v>
      </c>
    </row>
    <row r="1571" spans="1:13" x14ac:dyDescent="0.25">
      <c r="A1571" s="23">
        <f t="shared" si="24"/>
        <v>1570</v>
      </c>
      <c r="B1571" s="7" t="s">
        <v>4851</v>
      </c>
      <c r="C1571" s="7" t="s">
        <v>5206</v>
      </c>
      <c r="D1571" s="7" t="s">
        <v>5893</v>
      </c>
      <c r="E1571" s="7"/>
      <c r="F1571" s="7" t="s">
        <v>5387</v>
      </c>
      <c r="G1571" s="7" t="s">
        <v>24</v>
      </c>
      <c r="H1571" s="7" t="str">
        <f>IFERROR(VLOOKUP(Table2[[#This Row],[Ticket]],Okey!A:B,2,0),"")</f>
        <v>ok</v>
      </c>
      <c r="I1571" s="7" t="s">
        <v>3679</v>
      </c>
      <c r="J1571" s="7" t="str">
        <f>VLOOKUP(Table2[[#This Row],[Author]],People!A:B,2,0)</f>
        <v>LS</v>
      </c>
      <c r="K1571" s="7"/>
      <c r="L1571" s="7"/>
      <c r="M1571" s="16" t="s">
        <v>2804</v>
      </c>
    </row>
    <row r="1572" spans="1:13" x14ac:dyDescent="0.25">
      <c r="A1572" s="22">
        <f t="shared" si="24"/>
        <v>1571</v>
      </c>
      <c r="B1572" s="6" t="s">
        <v>4851</v>
      </c>
      <c r="C1572" s="6" t="s">
        <v>5206</v>
      </c>
      <c r="D1572" s="6" t="s">
        <v>5894</v>
      </c>
      <c r="E1572" s="6"/>
      <c r="F1572" s="6" t="s">
        <v>5387</v>
      </c>
      <c r="G1572" s="6" t="s">
        <v>24</v>
      </c>
      <c r="H1572" s="6" t="str">
        <f>IFERROR(VLOOKUP(Table2[[#This Row],[Ticket]],Okey!A:B,2,0),"")</f>
        <v>ok</v>
      </c>
      <c r="I1572" s="6" t="s">
        <v>3679</v>
      </c>
      <c r="J1572" s="6" t="str">
        <f>VLOOKUP(Table2[[#This Row],[Author]],People!A:B,2,0)</f>
        <v>LS</v>
      </c>
      <c r="K1572" s="6"/>
      <c r="L1572" s="6"/>
      <c r="M1572" s="21" t="s">
        <v>2804</v>
      </c>
    </row>
    <row r="1573" spans="1:13" x14ac:dyDescent="0.25">
      <c r="A1573" s="23">
        <f t="shared" si="24"/>
        <v>1572</v>
      </c>
      <c r="B1573" s="7" t="s">
        <v>4851</v>
      </c>
      <c r="C1573" s="7" t="s">
        <v>5206</v>
      </c>
      <c r="D1573" s="7" t="s">
        <v>5384</v>
      </c>
      <c r="E1573" s="7"/>
      <c r="F1573" s="7" t="s">
        <v>5387</v>
      </c>
      <c r="G1573" s="7" t="s">
        <v>24</v>
      </c>
      <c r="H1573" s="7" t="str">
        <f>IFERROR(VLOOKUP(Table2[[#This Row],[Ticket]],Okey!A:B,2,0),"")</f>
        <v>ok</v>
      </c>
      <c r="I1573" s="7" t="s">
        <v>3679</v>
      </c>
      <c r="J1573" s="7" t="str">
        <f>VLOOKUP(Table2[[#This Row],[Author]],People!A:B,2,0)</f>
        <v>LS</v>
      </c>
      <c r="K1573" s="7"/>
      <c r="L1573" s="7"/>
      <c r="M1573" s="16" t="s">
        <v>2804</v>
      </c>
    </row>
    <row r="1574" spans="1:13" x14ac:dyDescent="0.25">
      <c r="A1574" s="22">
        <f t="shared" si="24"/>
        <v>1573</v>
      </c>
      <c r="B1574" s="6" t="s">
        <v>4851</v>
      </c>
      <c r="C1574" s="6" t="s">
        <v>5206</v>
      </c>
      <c r="D1574" s="6" t="s">
        <v>2750</v>
      </c>
      <c r="E1574" s="6"/>
      <c r="F1574" s="6" t="s">
        <v>5857</v>
      </c>
      <c r="G1574" s="6" t="s">
        <v>24</v>
      </c>
      <c r="H1574" s="6" t="str">
        <f>IFERROR(VLOOKUP(Table2[[#This Row],[Ticket]],Okey!A:B,2,0),"")</f>
        <v>ok</v>
      </c>
      <c r="I1574" s="6" t="s">
        <v>3679</v>
      </c>
      <c r="J1574" s="6" t="str">
        <f>VLOOKUP(Table2[[#This Row],[Author]],People!A:B,2,0)</f>
        <v>LS</v>
      </c>
      <c r="K1574" s="6"/>
      <c r="L1574" s="6"/>
      <c r="M1574" s="21" t="s">
        <v>2804</v>
      </c>
    </row>
    <row r="1575" spans="1:13" x14ac:dyDescent="0.25">
      <c r="A1575" s="23">
        <f t="shared" si="24"/>
        <v>1574</v>
      </c>
      <c r="B1575" s="7" t="s">
        <v>4851</v>
      </c>
      <c r="C1575" s="7" t="s">
        <v>5206</v>
      </c>
      <c r="D1575" s="7" t="s">
        <v>5895</v>
      </c>
      <c r="E1575" s="7"/>
      <c r="F1575" s="7" t="s">
        <v>2422</v>
      </c>
      <c r="G1575" s="7" t="s">
        <v>24</v>
      </c>
      <c r="H1575" s="7" t="str">
        <f>IFERROR(VLOOKUP(Table2[[#This Row],[Ticket]],Okey!A:B,2,0),"")</f>
        <v>ok</v>
      </c>
      <c r="I1575" s="7" t="s">
        <v>3679</v>
      </c>
      <c r="J1575" s="7" t="str">
        <f>VLOOKUP(Table2[[#This Row],[Author]],People!A:B,2,0)</f>
        <v>LS</v>
      </c>
      <c r="K1575" s="7"/>
      <c r="L1575" s="7"/>
      <c r="M1575" s="16" t="s">
        <v>2804</v>
      </c>
    </row>
    <row r="1576" spans="1:13" x14ac:dyDescent="0.25">
      <c r="A1576" s="22">
        <f t="shared" si="24"/>
        <v>1575</v>
      </c>
      <c r="B1576" s="6" t="s">
        <v>4851</v>
      </c>
      <c r="C1576" s="6" t="s">
        <v>5206</v>
      </c>
      <c r="D1576" s="6" t="s">
        <v>5896</v>
      </c>
      <c r="E1576" s="6"/>
      <c r="F1576" s="6" t="s">
        <v>2422</v>
      </c>
      <c r="G1576" s="6" t="s">
        <v>24</v>
      </c>
      <c r="H1576" s="6" t="str">
        <f>IFERROR(VLOOKUP(Table2[[#This Row],[Ticket]],Okey!A:B,2,0),"")</f>
        <v>ok</v>
      </c>
      <c r="I1576" s="6" t="s">
        <v>3679</v>
      </c>
      <c r="J1576" s="6" t="str">
        <f>VLOOKUP(Table2[[#This Row],[Author]],People!A:B,2,0)</f>
        <v>LS</v>
      </c>
      <c r="K1576" s="6"/>
      <c r="L1576" s="6"/>
      <c r="M1576" s="21" t="s">
        <v>2804</v>
      </c>
    </row>
    <row r="1577" spans="1:13" x14ac:dyDescent="0.25">
      <c r="A1577" s="23">
        <f t="shared" si="24"/>
        <v>1576</v>
      </c>
      <c r="B1577" s="7" t="s">
        <v>4851</v>
      </c>
      <c r="C1577" s="7" t="s">
        <v>5206</v>
      </c>
      <c r="D1577" s="7" t="s">
        <v>5897</v>
      </c>
      <c r="E1577" s="7"/>
      <c r="F1577" s="7" t="s">
        <v>5898</v>
      </c>
      <c r="G1577" s="7" t="s">
        <v>24</v>
      </c>
      <c r="H1577" s="7" t="str">
        <f>IFERROR(VLOOKUP(Table2[[#This Row],[Ticket]],Okey!A:B,2,0),"")</f>
        <v>ok</v>
      </c>
      <c r="I1577" s="7" t="s">
        <v>3679</v>
      </c>
      <c r="J1577" s="7" t="str">
        <f>VLOOKUP(Table2[[#This Row],[Author]],People!A:B,2,0)</f>
        <v>LS</v>
      </c>
      <c r="K1577" s="7"/>
      <c r="L1577" s="7"/>
      <c r="M1577" s="16" t="s">
        <v>2804</v>
      </c>
    </row>
    <row r="1578" spans="1:13" x14ac:dyDescent="0.25">
      <c r="A1578" s="22">
        <f t="shared" si="24"/>
        <v>1577</v>
      </c>
      <c r="B1578" s="6" t="s">
        <v>4851</v>
      </c>
      <c r="C1578" s="6" t="s">
        <v>5206</v>
      </c>
      <c r="D1578" s="6" t="s">
        <v>5899</v>
      </c>
      <c r="E1578" s="6"/>
      <c r="F1578" s="6" t="s">
        <v>5898</v>
      </c>
      <c r="G1578" s="6" t="s">
        <v>24</v>
      </c>
      <c r="H1578" s="6" t="str">
        <f>IFERROR(VLOOKUP(Table2[[#This Row],[Ticket]],Okey!A:B,2,0),"")</f>
        <v>ok</v>
      </c>
      <c r="I1578" s="6" t="s">
        <v>3679</v>
      </c>
      <c r="J1578" s="6" t="str">
        <f>VLOOKUP(Table2[[#This Row],[Author]],People!A:B,2,0)</f>
        <v>LS</v>
      </c>
      <c r="K1578" s="6"/>
      <c r="L1578" s="6"/>
      <c r="M1578" s="21" t="s">
        <v>2804</v>
      </c>
    </row>
    <row r="1579" spans="1:13" x14ac:dyDescent="0.25">
      <c r="A1579" s="23">
        <f t="shared" si="24"/>
        <v>1578</v>
      </c>
      <c r="B1579" s="7" t="s">
        <v>4851</v>
      </c>
      <c r="C1579" s="7" t="s">
        <v>5206</v>
      </c>
      <c r="D1579" s="7" t="s">
        <v>5900</v>
      </c>
      <c r="E1579" s="7"/>
      <c r="F1579" s="7"/>
      <c r="G1579" s="7" t="s">
        <v>328</v>
      </c>
      <c r="H1579" s="7" t="str">
        <f>IFERROR(VLOOKUP(Table2[[#This Row],[Ticket]],Okey!A:B,2,0),"")</f>
        <v>ok</v>
      </c>
      <c r="I1579" s="7" t="s">
        <v>3679</v>
      </c>
      <c r="J1579" s="7" t="str">
        <f>VLOOKUP(Table2[[#This Row],[Author]],People!A:B,2,0)</f>
        <v>LS</v>
      </c>
      <c r="K1579" s="7"/>
      <c r="L1579" s="7"/>
      <c r="M1579" s="16" t="s">
        <v>2804</v>
      </c>
    </row>
    <row r="1580" spans="1:13" x14ac:dyDescent="0.25">
      <c r="A1580" s="22">
        <f t="shared" si="24"/>
        <v>1579</v>
      </c>
      <c r="B1580" s="6" t="s">
        <v>4851</v>
      </c>
      <c r="C1580" s="6" t="s">
        <v>5206</v>
      </c>
      <c r="D1580" s="6" t="s">
        <v>5901</v>
      </c>
      <c r="E1580" s="6"/>
      <c r="F1580" s="6"/>
      <c r="G1580" s="6" t="s">
        <v>328</v>
      </c>
      <c r="H1580" s="6" t="str">
        <f>IFERROR(VLOOKUP(Table2[[#This Row],[Ticket]],Okey!A:B,2,0),"")</f>
        <v>ok</v>
      </c>
      <c r="I1580" s="6" t="s">
        <v>3679</v>
      </c>
      <c r="J1580" s="6" t="str">
        <f>VLOOKUP(Table2[[#This Row],[Author]],People!A:B,2,0)</f>
        <v>LS</v>
      </c>
      <c r="K1580" s="6"/>
      <c r="L1580" s="6"/>
      <c r="M1580" s="21" t="s">
        <v>2804</v>
      </c>
    </row>
    <row r="1581" spans="1:13" x14ac:dyDescent="0.25">
      <c r="A1581" s="23">
        <f t="shared" si="24"/>
        <v>1580</v>
      </c>
      <c r="B1581" s="7" t="s">
        <v>4851</v>
      </c>
      <c r="C1581" s="7" t="s">
        <v>5902</v>
      </c>
      <c r="D1581" s="7" t="s">
        <v>4982</v>
      </c>
      <c r="E1581" s="7"/>
      <c r="F1581" s="7" t="s">
        <v>5903</v>
      </c>
      <c r="G1581" s="7" t="s">
        <v>24</v>
      </c>
      <c r="H1581" s="7" t="str">
        <f>IFERROR(VLOOKUP(Table2[[#This Row],[Ticket]],Okey!A:B,2,0),"")</f>
        <v>ok</v>
      </c>
      <c r="I1581" s="7" t="s">
        <v>3679</v>
      </c>
      <c r="J1581" s="7" t="str">
        <f>VLOOKUP(Table2[[#This Row],[Author]],People!A:B,2,0)</f>
        <v>LS</v>
      </c>
      <c r="K1581" s="7"/>
      <c r="L1581" s="7"/>
      <c r="M1581" s="16" t="s">
        <v>1040</v>
      </c>
    </row>
    <row r="1582" spans="1:13" x14ac:dyDescent="0.25">
      <c r="A1582" s="22">
        <f t="shared" si="24"/>
        <v>1581</v>
      </c>
      <c r="B1582" s="6" t="s">
        <v>4851</v>
      </c>
      <c r="C1582" s="6" t="s">
        <v>5904</v>
      </c>
      <c r="D1582" s="6" t="s">
        <v>4254</v>
      </c>
      <c r="E1582" s="6"/>
      <c r="F1582" s="6"/>
      <c r="G1582" s="6" t="s">
        <v>328</v>
      </c>
      <c r="H1582" s="6" t="str">
        <f>IFERROR(VLOOKUP(Table2[[#This Row],[Ticket]],Okey!A:B,2,0),"")</f>
        <v>ok</v>
      </c>
      <c r="I1582" s="6" t="s">
        <v>3679</v>
      </c>
      <c r="J1582" s="6" t="str">
        <f>VLOOKUP(Table2[[#This Row],[Author]],People!A:B,2,0)</f>
        <v>LS</v>
      </c>
      <c r="K1582" s="6"/>
      <c r="L1582" s="6"/>
      <c r="M1582" s="21" t="s">
        <v>40</v>
      </c>
    </row>
    <row r="1583" spans="1:13" x14ac:dyDescent="0.25">
      <c r="A1583" s="23">
        <f t="shared" si="24"/>
        <v>1582</v>
      </c>
      <c r="B1583" s="7" t="s">
        <v>4851</v>
      </c>
      <c r="C1583" s="7" t="s">
        <v>5904</v>
      </c>
      <c r="D1583" s="7" t="s">
        <v>4257</v>
      </c>
      <c r="E1583" s="7"/>
      <c r="F1583" s="7"/>
      <c r="G1583" s="7" t="s">
        <v>328</v>
      </c>
      <c r="H1583" s="7" t="str">
        <f>IFERROR(VLOOKUP(Table2[[#This Row],[Ticket]],Okey!A:B,2,0),"")</f>
        <v>ok</v>
      </c>
      <c r="I1583" s="7" t="s">
        <v>3679</v>
      </c>
      <c r="J1583" s="7" t="str">
        <f>VLOOKUP(Table2[[#This Row],[Author]],People!A:B,2,0)</f>
        <v>LS</v>
      </c>
      <c r="K1583" s="7"/>
      <c r="L1583" s="7"/>
      <c r="M1583" s="16" t="s">
        <v>40</v>
      </c>
    </row>
    <row r="1584" spans="1:13" x14ac:dyDescent="0.25">
      <c r="A1584" s="22">
        <f t="shared" si="24"/>
        <v>1583</v>
      </c>
      <c r="B1584" s="6" t="s">
        <v>4851</v>
      </c>
      <c r="C1584" s="6" t="s">
        <v>5904</v>
      </c>
      <c r="D1584" s="6" t="s">
        <v>305</v>
      </c>
      <c r="E1584" s="6"/>
      <c r="F1584" s="6" t="s">
        <v>244</v>
      </c>
      <c r="G1584" s="6" t="s">
        <v>24</v>
      </c>
      <c r="H1584" s="6" t="str">
        <f>IFERROR(VLOOKUP(Table2[[#This Row],[Ticket]],Okey!A:B,2,0),"")</f>
        <v>ok</v>
      </c>
      <c r="I1584" s="6" t="s">
        <v>3679</v>
      </c>
      <c r="J1584" s="6" t="str">
        <f>VLOOKUP(Table2[[#This Row],[Author]],People!A:B,2,0)</f>
        <v>LS</v>
      </c>
      <c r="K1584" s="6"/>
      <c r="L1584" s="6"/>
      <c r="M1584" s="21" t="s">
        <v>40</v>
      </c>
    </row>
    <row r="1585" spans="1:13" x14ac:dyDescent="0.25">
      <c r="A1585" s="23">
        <f t="shared" si="24"/>
        <v>1584</v>
      </c>
      <c r="B1585" s="7" t="s">
        <v>4851</v>
      </c>
      <c r="C1585" s="7" t="s">
        <v>5904</v>
      </c>
      <c r="D1585" s="7" t="s">
        <v>5905</v>
      </c>
      <c r="E1585" s="7"/>
      <c r="F1585" s="7"/>
      <c r="G1585" s="7" t="s">
        <v>328</v>
      </c>
      <c r="H1585" s="7" t="str">
        <f>IFERROR(VLOOKUP(Table2[[#This Row],[Ticket]],Okey!A:B,2,0),"")</f>
        <v>ok</v>
      </c>
      <c r="I1585" s="7" t="s">
        <v>3679</v>
      </c>
      <c r="J1585" s="7" t="str">
        <f>VLOOKUP(Table2[[#This Row],[Author]],People!A:B,2,0)</f>
        <v>LS</v>
      </c>
      <c r="K1585" s="7"/>
      <c r="L1585" s="7"/>
      <c r="M1585" s="16" t="s">
        <v>40</v>
      </c>
    </row>
    <row r="1586" spans="1:13" x14ac:dyDescent="0.25">
      <c r="A1586" s="22">
        <f t="shared" si="24"/>
        <v>1585</v>
      </c>
      <c r="B1586" s="6" t="s">
        <v>4851</v>
      </c>
      <c r="C1586" s="6" t="s">
        <v>5206</v>
      </c>
      <c r="D1586" s="6" t="s">
        <v>3600</v>
      </c>
      <c r="E1586" s="6" t="s">
        <v>5313</v>
      </c>
      <c r="F1586" s="6" t="s">
        <v>3598</v>
      </c>
      <c r="G1586" s="6" t="s">
        <v>18</v>
      </c>
      <c r="H1586" s="6" t="str">
        <f>IFERROR(VLOOKUP(Table2[[#This Row],[Ticket]],Okey!A:B,2,0),"")</f>
        <v>ok</v>
      </c>
      <c r="I1586" s="6" t="s">
        <v>3679</v>
      </c>
      <c r="J1586" s="6" t="str">
        <f>VLOOKUP(Table2[[#This Row],[Author]],People!A:B,2,0)</f>
        <v>LS</v>
      </c>
      <c r="K1586" s="6"/>
      <c r="L1586" s="6"/>
      <c r="M1586" s="21" t="s">
        <v>2804</v>
      </c>
    </row>
    <row r="1587" spans="1:13" x14ac:dyDescent="0.25">
      <c r="A1587" s="23">
        <f t="shared" si="24"/>
        <v>1586</v>
      </c>
      <c r="B1587" s="7" t="s">
        <v>4851</v>
      </c>
      <c r="C1587" s="7" t="s">
        <v>5206</v>
      </c>
      <c r="D1587" s="7" t="s">
        <v>3602</v>
      </c>
      <c r="E1587" s="7" t="s">
        <v>5316</v>
      </c>
      <c r="F1587" s="7" t="s">
        <v>3598</v>
      </c>
      <c r="G1587" s="7" t="s">
        <v>18</v>
      </c>
      <c r="H1587" s="7" t="str">
        <f>IFERROR(VLOOKUP(Table2[[#This Row],[Ticket]],Okey!A:B,2,0),"")</f>
        <v>ok</v>
      </c>
      <c r="I1587" s="7" t="s">
        <v>3679</v>
      </c>
      <c r="J1587" s="7" t="str">
        <f>VLOOKUP(Table2[[#This Row],[Author]],People!A:B,2,0)</f>
        <v>LS</v>
      </c>
      <c r="K1587" s="7"/>
      <c r="L1587" s="7"/>
      <c r="M1587" s="16" t="s">
        <v>2804</v>
      </c>
    </row>
    <row r="1588" spans="1:13" x14ac:dyDescent="0.25">
      <c r="A1588" s="22">
        <f t="shared" si="24"/>
        <v>1587</v>
      </c>
      <c r="B1588" s="6" t="s">
        <v>4851</v>
      </c>
      <c r="C1588" s="6" t="s">
        <v>5206</v>
      </c>
      <c r="D1588" s="6" t="s">
        <v>3606</v>
      </c>
      <c r="E1588" s="6" t="s">
        <v>5319</v>
      </c>
      <c r="F1588" s="6" t="s">
        <v>3604</v>
      </c>
      <c r="G1588" s="6" t="s">
        <v>18</v>
      </c>
      <c r="H1588" s="6" t="str">
        <f>IFERROR(VLOOKUP(Table2[[#This Row],[Ticket]],Okey!A:B,2,0),"")</f>
        <v>ok</v>
      </c>
      <c r="I1588" s="6" t="s">
        <v>3679</v>
      </c>
      <c r="J1588" s="6" t="str">
        <f>VLOOKUP(Table2[[#This Row],[Author]],People!A:B,2,0)</f>
        <v>LS</v>
      </c>
      <c r="K1588" s="6"/>
      <c r="L1588" s="6"/>
      <c r="M1588" s="21" t="s">
        <v>2804</v>
      </c>
    </row>
    <row r="1589" spans="1:13" x14ac:dyDescent="0.25">
      <c r="A1589" s="23">
        <f t="shared" si="24"/>
        <v>1588</v>
      </c>
      <c r="B1589" s="7" t="s">
        <v>4851</v>
      </c>
      <c r="C1589" s="7" t="s">
        <v>5206</v>
      </c>
      <c r="D1589" s="7" t="s">
        <v>3608</v>
      </c>
      <c r="E1589" s="7" t="s">
        <v>5321</v>
      </c>
      <c r="F1589" s="7" t="s">
        <v>3604</v>
      </c>
      <c r="G1589" s="7" t="s">
        <v>18</v>
      </c>
      <c r="H1589" s="7" t="str">
        <f>IFERROR(VLOOKUP(Table2[[#This Row],[Ticket]],Okey!A:B,2,0),"")</f>
        <v>ok</v>
      </c>
      <c r="I1589" s="7" t="s">
        <v>3679</v>
      </c>
      <c r="J1589" s="7" t="str">
        <f>VLOOKUP(Table2[[#This Row],[Author]],People!A:B,2,0)</f>
        <v>LS</v>
      </c>
      <c r="K1589" s="7"/>
      <c r="L1589" s="7"/>
      <c r="M1589" s="16" t="s">
        <v>2804</v>
      </c>
    </row>
    <row r="1590" spans="1:13" x14ac:dyDescent="0.25">
      <c r="A1590" s="22">
        <f t="shared" si="24"/>
        <v>1589</v>
      </c>
      <c r="B1590" s="6" t="s">
        <v>4851</v>
      </c>
      <c r="C1590" s="6" t="s">
        <v>5206</v>
      </c>
      <c r="D1590" s="6" t="s">
        <v>3588</v>
      </c>
      <c r="E1590" s="6" t="s">
        <v>5307</v>
      </c>
      <c r="F1590" s="6" t="s">
        <v>3586</v>
      </c>
      <c r="G1590" s="6" t="s">
        <v>18</v>
      </c>
      <c r="H1590" s="6" t="str">
        <f>IFERROR(VLOOKUP(Table2[[#This Row],[Ticket]],Okey!A:B,2,0),"")</f>
        <v>ok</v>
      </c>
      <c r="I1590" s="6" t="s">
        <v>3679</v>
      </c>
      <c r="J1590" s="6" t="str">
        <f>VLOOKUP(Table2[[#This Row],[Author]],People!A:B,2,0)</f>
        <v>LS</v>
      </c>
      <c r="K1590" s="6"/>
      <c r="L1590" s="6"/>
      <c r="M1590" s="21" t="s">
        <v>2804</v>
      </c>
    </row>
    <row r="1591" spans="1:13" x14ac:dyDescent="0.25">
      <c r="A1591" s="23">
        <f t="shared" si="24"/>
        <v>1590</v>
      </c>
      <c r="B1591" s="7" t="s">
        <v>4851</v>
      </c>
      <c r="C1591" s="7" t="s">
        <v>5206</v>
      </c>
      <c r="D1591" s="7" t="s">
        <v>3590</v>
      </c>
      <c r="E1591" s="7" t="s">
        <v>5310</v>
      </c>
      <c r="F1591" s="7" t="s">
        <v>3586</v>
      </c>
      <c r="G1591" s="7" t="s">
        <v>18</v>
      </c>
      <c r="H1591" s="7" t="str">
        <f>IFERROR(VLOOKUP(Table2[[#This Row],[Ticket]],Okey!A:B,2,0),"")</f>
        <v>ok</v>
      </c>
      <c r="I1591" s="7" t="s">
        <v>3679</v>
      </c>
      <c r="J1591" s="7" t="str">
        <f>VLOOKUP(Table2[[#This Row],[Author]],People!A:B,2,0)</f>
        <v>LS</v>
      </c>
      <c r="K1591" s="7"/>
      <c r="L1591" s="7"/>
      <c r="M1591" s="16" t="s">
        <v>2804</v>
      </c>
    </row>
    <row r="1592" spans="1:13" x14ac:dyDescent="0.25">
      <c r="A1592" s="22">
        <f t="shared" si="24"/>
        <v>1591</v>
      </c>
      <c r="B1592" s="6" t="s">
        <v>4851</v>
      </c>
      <c r="C1592" s="6" t="s">
        <v>5206</v>
      </c>
      <c r="D1592" s="6" t="s">
        <v>3568</v>
      </c>
      <c r="E1592" s="6" t="s">
        <v>5295</v>
      </c>
      <c r="F1592" s="6" t="s">
        <v>3566</v>
      </c>
      <c r="G1592" s="6" t="s">
        <v>18</v>
      </c>
      <c r="H1592" s="6" t="str">
        <f>IFERROR(VLOOKUP(Table2[[#This Row],[Ticket]],Okey!A:B,2,0),"")</f>
        <v>ok</v>
      </c>
      <c r="I1592" s="6" t="s">
        <v>3679</v>
      </c>
      <c r="J1592" s="6" t="str">
        <f>VLOOKUP(Table2[[#This Row],[Author]],People!A:B,2,0)</f>
        <v>LS</v>
      </c>
      <c r="K1592" s="6"/>
      <c r="L1592" s="6"/>
      <c r="M1592" s="21" t="s">
        <v>2804</v>
      </c>
    </row>
    <row r="1593" spans="1:13" x14ac:dyDescent="0.25">
      <c r="A1593" s="23">
        <f t="shared" si="24"/>
        <v>1592</v>
      </c>
      <c r="B1593" s="7" t="s">
        <v>4851</v>
      </c>
      <c r="C1593" s="7" t="s">
        <v>5206</v>
      </c>
      <c r="D1593" s="7" t="s">
        <v>3570</v>
      </c>
      <c r="E1593" s="7" t="s">
        <v>5298</v>
      </c>
      <c r="F1593" s="7" t="s">
        <v>3566</v>
      </c>
      <c r="G1593" s="7" t="s">
        <v>18</v>
      </c>
      <c r="H1593" s="7" t="str">
        <f>IFERROR(VLOOKUP(Table2[[#This Row],[Ticket]],Okey!A:B,2,0),"")</f>
        <v>ok</v>
      </c>
      <c r="I1593" s="7" t="s">
        <v>3679</v>
      </c>
      <c r="J1593" s="7" t="str">
        <f>VLOOKUP(Table2[[#This Row],[Author]],People!A:B,2,0)</f>
        <v>LS</v>
      </c>
      <c r="K1593" s="7"/>
      <c r="L1593" s="7"/>
      <c r="M1593" s="16" t="s">
        <v>2804</v>
      </c>
    </row>
    <row r="1594" spans="1:13" x14ac:dyDescent="0.25">
      <c r="A1594" s="22">
        <f t="shared" si="24"/>
        <v>1593</v>
      </c>
      <c r="B1594" s="6" t="s">
        <v>4851</v>
      </c>
      <c r="C1594" s="6" t="s">
        <v>5206</v>
      </c>
      <c r="D1594" s="6" t="s">
        <v>3574</v>
      </c>
      <c r="E1594" s="6" t="s">
        <v>5301</v>
      </c>
      <c r="F1594" s="6" t="s">
        <v>3572</v>
      </c>
      <c r="G1594" s="6" t="s">
        <v>18</v>
      </c>
      <c r="H1594" s="6" t="str">
        <f>IFERROR(VLOOKUP(Table2[[#This Row],[Ticket]],Okey!A:B,2,0),"")</f>
        <v>ok</v>
      </c>
      <c r="I1594" s="6" t="s">
        <v>3679</v>
      </c>
      <c r="J1594" s="6" t="str">
        <f>VLOOKUP(Table2[[#This Row],[Author]],People!A:B,2,0)</f>
        <v>LS</v>
      </c>
      <c r="K1594" s="6"/>
      <c r="L1594" s="6"/>
      <c r="M1594" s="21" t="s">
        <v>2804</v>
      </c>
    </row>
    <row r="1595" spans="1:13" x14ac:dyDescent="0.25">
      <c r="A1595" s="23">
        <f t="shared" si="24"/>
        <v>1594</v>
      </c>
      <c r="B1595" s="7" t="s">
        <v>4851</v>
      </c>
      <c r="C1595" s="7" t="s">
        <v>5206</v>
      </c>
      <c r="D1595" s="7" t="s">
        <v>3576</v>
      </c>
      <c r="E1595" s="7" t="s">
        <v>5303</v>
      </c>
      <c r="F1595" s="7" t="s">
        <v>3572</v>
      </c>
      <c r="G1595" s="7" t="s">
        <v>18</v>
      </c>
      <c r="H1595" s="7" t="str">
        <f>IFERROR(VLOOKUP(Table2[[#This Row],[Ticket]],Okey!A:B,2,0),"")</f>
        <v>ok</v>
      </c>
      <c r="I1595" s="7" t="s">
        <v>3679</v>
      </c>
      <c r="J1595" s="7" t="str">
        <f>VLOOKUP(Table2[[#This Row],[Author]],People!A:B,2,0)</f>
        <v>LS</v>
      </c>
      <c r="K1595" s="7"/>
      <c r="L1595" s="7"/>
      <c r="M1595" s="16" t="s">
        <v>2804</v>
      </c>
    </row>
    <row r="1596" spans="1:13" x14ac:dyDescent="0.25">
      <c r="A1596" s="22">
        <f t="shared" si="24"/>
        <v>1595</v>
      </c>
      <c r="B1596" s="6" t="s">
        <v>4851</v>
      </c>
      <c r="C1596" s="6" t="s">
        <v>5206</v>
      </c>
      <c r="D1596" s="6" t="s">
        <v>5906</v>
      </c>
      <c r="E1596" s="6" t="s">
        <v>5907</v>
      </c>
      <c r="F1596" s="6" t="s">
        <v>4821</v>
      </c>
      <c r="G1596" s="6" t="s">
        <v>18</v>
      </c>
      <c r="H1596" s="6" t="str">
        <f>IFERROR(VLOOKUP(Table2[[#This Row],[Ticket]],Okey!A:B,2,0),"")</f>
        <v>ok</v>
      </c>
      <c r="I1596" s="6" t="s">
        <v>3679</v>
      </c>
      <c r="J1596" s="6" t="str">
        <f>VLOOKUP(Table2[[#This Row],[Author]],People!A:B,2,0)</f>
        <v>LS</v>
      </c>
      <c r="K1596" s="6"/>
      <c r="L1596" s="6"/>
      <c r="M1596" s="21" t="s">
        <v>2804</v>
      </c>
    </row>
    <row r="1597" spans="1:13" x14ac:dyDescent="0.25">
      <c r="A1597" s="23">
        <f t="shared" si="24"/>
        <v>1596</v>
      </c>
      <c r="B1597" s="7" t="s">
        <v>4851</v>
      </c>
      <c r="C1597" s="7" t="s">
        <v>5206</v>
      </c>
      <c r="D1597" s="7" t="s">
        <v>5568</v>
      </c>
      <c r="E1597" s="7" t="s">
        <v>5569</v>
      </c>
      <c r="F1597" s="7"/>
      <c r="G1597" s="7" t="s">
        <v>63</v>
      </c>
      <c r="H1597" s="7" t="str">
        <f>IFERROR(VLOOKUP(Table2[[#This Row],[Ticket]],Okey!A:B,2,0),"")</f>
        <v>ok</v>
      </c>
      <c r="I1597" s="7" t="s">
        <v>3679</v>
      </c>
      <c r="J1597" s="7" t="str">
        <f>VLOOKUP(Table2[[#This Row],[Author]],People!A:B,2,0)</f>
        <v>LS</v>
      </c>
      <c r="K1597" s="7"/>
      <c r="L1597" s="7"/>
      <c r="M1597" s="16" t="s">
        <v>2804</v>
      </c>
    </row>
    <row r="1598" spans="1:13" x14ac:dyDescent="0.25">
      <c r="A1598" s="22">
        <f t="shared" si="24"/>
        <v>1597</v>
      </c>
      <c r="B1598" s="6" t="s">
        <v>4851</v>
      </c>
      <c r="C1598" s="6" t="s">
        <v>5206</v>
      </c>
      <c r="D1598" s="6" t="s">
        <v>1868</v>
      </c>
      <c r="E1598" s="6" t="s">
        <v>5908</v>
      </c>
      <c r="F1598" s="6"/>
      <c r="G1598" s="6" t="s">
        <v>63</v>
      </c>
      <c r="H1598" s="6" t="str">
        <f>IFERROR(VLOOKUP(Table2[[#This Row],[Ticket]],Okey!A:B,2,0),"")</f>
        <v>ok</v>
      </c>
      <c r="I1598" s="6" t="s">
        <v>3679</v>
      </c>
      <c r="J1598" s="6" t="str">
        <f>VLOOKUP(Table2[[#This Row],[Author]],People!A:B,2,0)</f>
        <v>LS</v>
      </c>
      <c r="K1598" s="6"/>
      <c r="L1598" s="6"/>
      <c r="M1598" s="21" t="s">
        <v>2804</v>
      </c>
    </row>
    <row r="1599" spans="1:13" x14ac:dyDescent="0.25">
      <c r="A1599" s="23">
        <f t="shared" si="24"/>
        <v>1598</v>
      </c>
      <c r="B1599" s="7" t="s">
        <v>4851</v>
      </c>
      <c r="C1599" s="7" t="s">
        <v>5206</v>
      </c>
      <c r="D1599" s="7" t="s">
        <v>4821</v>
      </c>
      <c r="E1599" s="7" t="s">
        <v>4822</v>
      </c>
      <c r="F1599" s="7"/>
      <c r="G1599" s="7" t="s">
        <v>63</v>
      </c>
      <c r="H1599" s="7" t="str">
        <f>IFERROR(VLOOKUP(Table2[[#This Row],[Ticket]],Okey!A:B,2,0),"")</f>
        <v>ok</v>
      </c>
      <c r="I1599" s="7" t="s">
        <v>3679</v>
      </c>
      <c r="J1599" s="7" t="str">
        <f>VLOOKUP(Table2[[#This Row],[Author]],People!A:B,2,0)</f>
        <v>LS</v>
      </c>
      <c r="K1599" s="7"/>
      <c r="L1599" s="7"/>
      <c r="M1599" s="16" t="s">
        <v>2804</v>
      </c>
    </row>
    <row r="1600" spans="1:13" x14ac:dyDescent="0.25">
      <c r="A1600" s="22">
        <f t="shared" si="24"/>
        <v>1599</v>
      </c>
      <c r="B1600" s="6" t="s">
        <v>4851</v>
      </c>
      <c r="C1600" s="6" t="s">
        <v>5206</v>
      </c>
      <c r="D1600" s="6" t="s">
        <v>5909</v>
      </c>
      <c r="E1600" s="6" t="s">
        <v>5910</v>
      </c>
      <c r="F1600" s="6"/>
      <c r="G1600" s="6" t="s">
        <v>63</v>
      </c>
      <c r="H1600" s="6" t="str">
        <f>IFERROR(VLOOKUP(Table2[[#This Row],[Ticket]],Okey!A:B,2,0),"")</f>
        <v>ok</v>
      </c>
      <c r="I1600" s="6" t="s">
        <v>3679</v>
      </c>
      <c r="J1600" s="6" t="str">
        <f>VLOOKUP(Table2[[#This Row],[Author]],People!A:B,2,0)</f>
        <v>LS</v>
      </c>
      <c r="K1600" s="6"/>
      <c r="L1600" s="6"/>
      <c r="M1600" s="21" t="s">
        <v>2804</v>
      </c>
    </row>
    <row r="1601" spans="1:13" x14ac:dyDescent="0.25">
      <c r="A1601" s="23">
        <f t="shared" si="24"/>
        <v>1600</v>
      </c>
      <c r="B1601" s="7" t="s">
        <v>4851</v>
      </c>
      <c r="C1601" s="7" t="s">
        <v>5206</v>
      </c>
      <c r="D1601" s="7" t="s">
        <v>5911</v>
      </c>
      <c r="E1601" s="7" t="s">
        <v>5912</v>
      </c>
      <c r="F1601" s="7"/>
      <c r="G1601" s="7" t="s">
        <v>63</v>
      </c>
      <c r="H1601" s="7" t="str">
        <f>IFERROR(VLOOKUP(Table2[[#This Row],[Ticket]],Okey!A:B,2,0),"")</f>
        <v>ok</v>
      </c>
      <c r="I1601" s="7" t="s">
        <v>3679</v>
      </c>
      <c r="J1601" s="7" t="str">
        <f>VLOOKUP(Table2[[#This Row],[Author]],People!A:B,2,0)</f>
        <v>LS</v>
      </c>
      <c r="K1601" s="7"/>
      <c r="L1601" s="7"/>
      <c r="M1601" s="16" t="s">
        <v>2804</v>
      </c>
    </row>
    <row r="1602" spans="1:13" x14ac:dyDescent="0.25">
      <c r="A1602" s="22">
        <f t="shared" si="24"/>
        <v>1601</v>
      </c>
      <c r="B1602" s="6" t="s">
        <v>4851</v>
      </c>
      <c r="C1602" s="6" t="s">
        <v>5206</v>
      </c>
      <c r="D1602" s="6" t="s">
        <v>5913</v>
      </c>
      <c r="E1602" s="6" t="s">
        <v>5914</v>
      </c>
      <c r="F1602" s="6"/>
      <c r="G1602" s="6" t="s">
        <v>63</v>
      </c>
      <c r="H1602" s="6" t="str">
        <f>IFERROR(VLOOKUP(Table2[[#This Row],[Ticket]],Okey!A:B,2,0),"")</f>
        <v>ok</v>
      </c>
      <c r="I1602" s="6" t="s">
        <v>3679</v>
      </c>
      <c r="J1602" s="6" t="str">
        <f>VLOOKUP(Table2[[#This Row],[Author]],People!A:B,2,0)</f>
        <v>LS</v>
      </c>
      <c r="K1602" s="6"/>
      <c r="L1602" s="6"/>
      <c r="M1602" s="21" t="s">
        <v>2804</v>
      </c>
    </row>
    <row r="1603" spans="1:13" x14ac:dyDescent="0.25">
      <c r="A1603" s="23">
        <f t="shared" ref="A1603:A1666" si="25">1+A1602</f>
        <v>1602</v>
      </c>
      <c r="B1603" s="7" t="s">
        <v>4851</v>
      </c>
      <c r="C1603" s="7" t="s">
        <v>5206</v>
      </c>
      <c r="D1603" s="7" t="s">
        <v>5915</v>
      </c>
      <c r="E1603" s="7" t="s">
        <v>5916</v>
      </c>
      <c r="F1603" s="7"/>
      <c r="G1603" s="7" t="s">
        <v>63</v>
      </c>
      <c r="H1603" s="7" t="str">
        <f>IFERROR(VLOOKUP(Table2[[#This Row],[Ticket]],Okey!A:B,2,0),"")</f>
        <v>ok</v>
      </c>
      <c r="I1603" s="7" t="s">
        <v>3679</v>
      </c>
      <c r="J1603" s="7" t="str">
        <f>VLOOKUP(Table2[[#This Row],[Author]],People!A:B,2,0)</f>
        <v>LS</v>
      </c>
      <c r="K1603" s="7"/>
      <c r="L1603" s="7"/>
      <c r="M1603" s="16" t="s">
        <v>2804</v>
      </c>
    </row>
    <row r="1604" spans="1:13" x14ac:dyDescent="0.25">
      <c r="A1604" s="22">
        <f t="shared" si="25"/>
        <v>1603</v>
      </c>
      <c r="B1604" s="6" t="s">
        <v>4851</v>
      </c>
      <c r="C1604" s="6" t="s">
        <v>5206</v>
      </c>
      <c r="D1604" s="6" t="s">
        <v>5917</v>
      </c>
      <c r="E1604" s="6" t="s">
        <v>5918</v>
      </c>
      <c r="F1604" s="6"/>
      <c r="G1604" s="6" t="s">
        <v>63</v>
      </c>
      <c r="H1604" s="6" t="str">
        <f>IFERROR(VLOOKUP(Table2[[#This Row],[Ticket]],Okey!A:B,2,0),"")</f>
        <v>ok</v>
      </c>
      <c r="I1604" s="6" t="s">
        <v>3679</v>
      </c>
      <c r="J1604" s="6" t="str">
        <f>VLOOKUP(Table2[[#This Row],[Author]],People!A:B,2,0)</f>
        <v>LS</v>
      </c>
      <c r="K1604" s="6"/>
      <c r="L1604" s="6"/>
      <c r="M1604" s="21" t="s">
        <v>2804</v>
      </c>
    </row>
    <row r="1605" spans="1:13" x14ac:dyDescent="0.25">
      <c r="A1605" s="23">
        <f t="shared" si="25"/>
        <v>1604</v>
      </c>
      <c r="B1605" s="7" t="s">
        <v>4851</v>
      </c>
      <c r="C1605" s="7" t="s">
        <v>5206</v>
      </c>
      <c r="D1605" s="7" t="s">
        <v>5919</v>
      </c>
      <c r="E1605" s="7" t="s">
        <v>5920</v>
      </c>
      <c r="F1605" s="7"/>
      <c r="G1605" s="7" t="s">
        <v>63</v>
      </c>
      <c r="H1605" s="7" t="str">
        <f>IFERROR(VLOOKUP(Table2[[#This Row],[Ticket]],Okey!A:B,2,0),"")</f>
        <v>ok</v>
      </c>
      <c r="I1605" s="7" t="s">
        <v>3679</v>
      </c>
      <c r="J1605" s="7" t="str">
        <f>VLOOKUP(Table2[[#This Row],[Author]],People!A:B,2,0)</f>
        <v>LS</v>
      </c>
      <c r="K1605" s="7"/>
      <c r="L1605" s="7"/>
      <c r="M1605" s="16" t="s">
        <v>2804</v>
      </c>
    </row>
    <row r="1606" spans="1:13" x14ac:dyDescent="0.25">
      <c r="A1606" s="22">
        <f t="shared" si="25"/>
        <v>1605</v>
      </c>
      <c r="B1606" s="6" t="s">
        <v>4851</v>
      </c>
      <c r="C1606" s="6" t="s">
        <v>5206</v>
      </c>
      <c r="D1606" s="6" t="s">
        <v>5921</v>
      </c>
      <c r="E1606" s="6" t="s">
        <v>5922</v>
      </c>
      <c r="F1606" s="6"/>
      <c r="G1606" s="6" t="s">
        <v>63</v>
      </c>
      <c r="H1606" s="6" t="str">
        <f>IFERROR(VLOOKUP(Table2[[#This Row],[Ticket]],Okey!A:B,2,0),"")</f>
        <v>ok</v>
      </c>
      <c r="I1606" s="6" t="s">
        <v>3679</v>
      </c>
      <c r="J1606" s="6" t="str">
        <f>VLOOKUP(Table2[[#This Row],[Author]],People!A:B,2,0)</f>
        <v>LS</v>
      </c>
      <c r="K1606" s="6"/>
      <c r="L1606" s="6"/>
      <c r="M1606" s="21" t="s">
        <v>2804</v>
      </c>
    </row>
    <row r="1607" spans="1:13" x14ac:dyDescent="0.25">
      <c r="A1607" s="23">
        <f t="shared" si="25"/>
        <v>1606</v>
      </c>
      <c r="B1607" s="7" t="s">
        <v>4851</v>
      </c>
      <c r="C1607" s="7" t="s">
        <v>5206</v>
      </c>
      <c r="D1607" s="7" t="s">
        <v>3401</v>
      </c>
      <c r="E1607" s="7" t="s">
        <v>5923</v>
      </c>
      <c r="F1607" s="7" t="s">
        <v>3397</v>
      </c>
      <c r="G1607" s="7" t="s">
        <v>496</v>
      </c>
      <c r="H1607" s="7" t="str">
        <f>IFERROR(VLOOKUP(Table2[[#This Row],[Ticket]],Okey!A:B,2,0),"")</f>
        <v>ok</v>
      </c>
      <c r="I1607" s="7" t="s">
        <v>3679</v>
      </c>
      <c r="J1607" s="7" t="str">
        <f>VLOOKUP(Table2[[#This Row],[Author]],People!A:B,2,0)</f>
        <v>LS</v>
      </c>
      <c r="K1607" s="7"/>
      <c r="L1607" s="7"/>
      <c r="M1607" s="16" t="s">
        <v>2804</v>
      </c>
    </row>
    <row r="1608" spans="1:13" x14ac:dyDescent="0.25">
      <c r="A1608" s="22">
        <f t="shared" si="25"/>
        <v>1607</v>
      </c>
      <c r="B1608" s="6" t="s">
        <v>4851</v>
      </c>
      <c r="C1608" s="6" t="s">
        <v>5206</v>
      </c>
      <c r="D1608" s="6" t="s">
        <v>3403</v>
      </c>
      <c r="E1608" s="6" t="s">
        <v>5924</v>
      </c>
      <c r="F1608" s="6" t="s">
        <v>3397</v>
      </c>
      <c r="G1608" s="6" t="s">
        <v>496</v>
      </c>
      <c r="H1608" s="6" t="str">
        <f>IFERROR(VLOOKUP(Table2[[#This Row],[Ticket]],Okey!A:B,2,0),"")</f>
        <v>ok</v>
      </c>
      <c r="I1608" s="6" t="s">
        <v>3679</v>
      </c>
      <c r="J1608" s="6" t="str">
        <f>VLOOKUP(Table2[[#This Row],[Author]],People!A:B,2,0)</f>
        <v>LS</v>
      </c>
      <c r="K1608" s="6"/>
      <c r="L1608" s="6"/>
      <c r="M1608" s="21" t="s">
        <v>2804</v>
      </c>
    </row>
    <row r="1609" spans="1:13" x14ac:dyDescent="0.25">
      <c r="A1609" s="23">
        <f t="shared" si="25"/>
        <v>1608</v>
      </c>
      <c r="B1609" s="7" t="s">
        <v>4851</v>
      </c>
      <c r="C1609" s="7" t="s">
        <v>5206</v>
      </c>
      <c r="D1609" s="7" t="s">
        <v>3405</v>
      </c>
      <c r="E1609" s="7" t="s">
        <v>5925</v>
      </c>
      <c r="F1609" s="7" t="s">
        <v>3397</v>
      </c>
      <c r="G1609" s="7" t="s">
        <v>496</v>
      </c>
      <c r="H1609" s="7" t="str">
        <f>IFERROR(VLOOKUP(Table2[[#This Row],[Ticket]],Okey!A:B,2,0),"")</f>
        <v>ok</v>
      </c>
      <c r="I1609" s="7" t="s">
        <v>3679</v>
      </c>
      <c r="J1609" s="7" t="str">
        <f>VLOOKUP(Table2[[#This Row],[Author]],People!A:B,2,0)</f>
        <v>LS</v>
      </c>
      <c r="K1609" s="7"/>
      <c r="L1609" s="7"/>
      <c r="M1609" s="16" t="s">
        <v>2804</v>
      </c>
    </row>
    <row r="1610" spans="1:13" x14ac:dyDescent="0.25">
      <c r="A1610" s="22">
        <f t="shared" si="25"/>
        <v>1609</v>
      </c>
      <c r="B1610" s="6" t="s">
        <v>4851</v>
      </c>
      <c r="C1610" s="6" t="s">
        <v>5206</v>
      </c>
      <c r="D1610" s="6" t="s">
        <v>3407</v>
      </c>
      <c r="E1610" s="6" t="s">
        <v>5926</v>
      </c>
      <c r="F1610" s="6" t="s">
        <v>3397</v>
      </c>
      <c r="G1610" s="6" t="s">
        <v>496</v>
      </c>
      <c r="H1610" s="6" t="str">
        <f>IFERROR(VLOOKUP(Table2[[#This Row],[Ticket]],Okey!A:B,2,0),"")</f>
        <v>ok</v>
      </c>
      <c r="I1610" s="6" t="s">
        <v>3679</v>
      </c>
      <c r="J1610" s="6" t="str">
        <f>VLOOKUP(Table2[[#This Row],[Author]],People!A:B,2,0)</f>
        <v>LS</v>
      </c>
      <c r="K1610" s="6"/>
      <c r="L1610" s="6"/>
      <c r="M1610" s="21" t="s">
        <v>2804</v>
      </c>
    </row>
    <row r="1611" spans="1:13" x14ac:dyDescent="0.25">
      <c r="A1611" s="23">
        <f t="shared" si="25"/>
        <v>1610</v>
      </c>
      <c r="B1611" s="7" t="s">
        <v>4851</v>
      </c>
      <c r="C1611" s="7" t="s">
        <v>5206</v>
      </c>
      <c r="D1611" s="7" t="s">
        <v>3409</v>
      </c>
      <c r="E1611" s="7" t="s">
        <v>5927</v>
      </c>
      <c r="F1611" s="7" t="s">
        <v>3397</v>
      </c>
      <c r="G1611" s="7" t="s">
        <v>496</v>
      </c>
      <c r="H1611" s="7" t="str">
        <f>IFERROR(VLOOKUP(Table2[[#This Row],[Ticket]],Okey!A:B,2,0),"")</f>
        <v>ok</v>
      </c>
      <c r="I1611" s="7" t="s">
        <v>3679</v>
      </c>
      <c r="J1611" s="7" t="str">
        <f>VLOOKUP(Table2[[#This Row],[Author]],People!A:B,2,0)</f>
        <v>LS</v>
      </c>
      <c r="K1611" s="7"/>
      <c r="L1611" s="7"/>
      <c r="M1611" s="16" t="s">
        <v>2804</v>
      </c>
    </row>
    <row r="1612" spans="1:13" x14ac:dyDescent="0.25">
      <c r="A1612" s="22">
        <f t="shared" si="25"/>
        <v>1611</v>
      </c>
      <c r="B1612" s="6" t="s">
        <v>4851</v>
      </c>
      <c r="C1612" s="6" t="s">
        <v>5206</v>
      </c>
      <c r="D1612" s="6" t="s">
        <v>3411</v>
      </c>
      <c r="E1612" s="6" t="s">
        <v>5928</v>
      </c>
      <c r="F1612" s="6" t="s">
        <v>3397</v>
      </c>
      <c r="G1612" s="6" t="s">
        <v>496</v>
      </c>
      <c r="H1612" s="6" t="str">
        <f>IFERROR(VLOOKUP(Table2[[#This Row],[Ticket]],Okey!A:B,2,0),"")</f>
        <v>ok</v>
      </c>
      <c r="I1612" s="6" t="s">
        <v>3679</v>
      </c>
      <c r="J1612" s="6" t="str">
        <f>VLOOKUP(Table2[[#This Row],[Author]],People!A:B,2,0)</f>
        <v>LS</v>
      </c>
      <c r="K1612" s="6"/>
      <c r="L1612" s="6"/>
      <c r="M1612" s="21" t="s">
        <v>2804</v>
      </c>
    </row>
    <row r="1613" spans="1:13" x14ac:dyDescent="0.25">
      <c r="A1613" s="23">
        <f t="shared" si="25"/>
        <v>1612</v>
      </c>
      <c r="B1613" s="7" t="s">
        <v>4851</v>
      </c>
      <c r="C1613" s="7" t="s">
        <v>5206</v>
      </c>
      <c r="D1613" s="7" t="s">
        <v>3413</v>
      </c>
      <c r="E1613" s="7" t="s">
        <v>5929</v>
      </c>
      <c r="F1613" s="7" t="s">
        <v>3397</v>
      </c>
      <c r="G1613" s="7" t="s">
        <v>496</v>
      </c>
      <c r="H1613" s="7" t="str">
        <f>IFERROR(VLOOKUP(Table2[[#This Row],[Ticket]],Okey!A:B,2,0),"")</f>
        <v>ok</v>
      </c>
      <c r="I1613" s="7" t="s">
        <v>3679</v>
      </c>
      <c r="J1613" s="7" t="str">
        <f>VLOOKUP(Table2[[#This Row],[Author]],People!A:B,2,0)</f>
        <v>LS</v>
      </c>
      <c r="K1613" s="7"/>
      <c r="L1613" s="7"/>
      <c r="M1613" s="16" t="s">
        <v>2804</v>
      </c>
    </row>
    <row r="1614" spans="1:13" x14ac:dyDescent="0.25">
      <c r="A1614" s="22">
        <f t="shared" si="25"/>
        <v>1613</v>
      </c>
      <c r="B1614" s="6" t="s">
        <v>4851</v>
      </c>
      <c r="C1614" s="6" t="s">
        <v>5206</v>
      </c>
      <c r="D1614" s="6" t="s">
        <v>3415</v>
      </c>
      <c r="E1614" s="6" t="s">
        <v>5930</v>
      </c>
      <c r="F1614" s="6" t="s">
        <v>3397</v>
      </c>
      <c r="G1614" s="6" t="s">
        <v>496</v>
      </c>
      <c r="H1614" s="6" t="str">
        <f>IFERROR(VLOOKUP(Table2[[#This Row],[Ticket]],Okey!A:B,2,0),"")</f>
        <v>ok</v>
      </c>
      <c r="I1614" s="6" t="s">
        <v>3679</v>
      </c>
      <c r="J1614" s="6" t="str">
        <f>VLOOKUP(Table2[[#This Row],[Author]],People!A:B,2,0)</f>
        <v>LS</v>
      </c>
      <c r="K1614" s="6"/>
      <c r="L1614" s="6"/>
      <c r="M1614" s="21" t="s">
        <v>2804</v>
      </c>
    </row>
    <row r="1615" spans="1:13" x14ac:dyDescent="0.25">
      <c r="A1615" s="23">
        <f t="shared" si="25"/>
        <v>1614</v>
      </c>
      <c r="B1615" s="7" t="s">
        <v>4851</v>
      </c>
      <c r="C1615" s="7" t="s">
        <v>5206</v>
      </c>
      <c r="D1615" s="7" t="s">
        <v>3417</v>
      </c>
      <c r="E1615" s="7" t="s">
        <v>5931</v>
      </c>
      <c r="F1615" s="7" t="s">
        <v>3397</v>
      </c>
      <c r="G1615" s="7" t="s">
        <v>496</v>
      </c>
      <c r="H1615" s="7" t="str">
        <f>IFERROR(VLOOKUP(Table2[[#This Row],[Ticket]],Okey!A:B,2,0),"")</f>
        <v>ok</v>
      </c>
      <c r="I1615" s="7" t="s">
        <v>3679</v>
      </c>
      <c r="J1615" s="7" t="str">
        <f>VLOOKUP(Table2[[#This Row],[Author]],People!A:B,2,0)</f>
        <v>LS</v>
      </c>
      <c r="K1615" s="7"/>
      <c r="L1615" s="7"/>
      <c r="M1615" s="16" t="s">
        <v>2804</v>
      </c>
    </row>
    <row r="1616" spans="1:13" x14ac:dyDescent="0.25">
      <c r="A1616" s="22">
        <f t="shared" si="25"/>
        <v>1615</v>
      </c>
      <c r="B1616" s="6" t="s">
        <v>4851</v>
      </c>
      <c r="C1616" s="6" t="s">
        <v>5206</v>
      </c>
      <c r="D1616" s="6" t="s">
        <v>2949</v>
      </c>
      <c r="E1616" s="6"/>
      <c r="F1616" s="6" t="s">
        <v>1828</v>
      </c>
      <c r="G1616" s="6" t="s">
        <v>24</v>
      </c>
      <c r="H1616" s="6" t="str">
        <f>IFERROR(VLOOKUP(Table2[[#This Row],[Ticket]],Okey!A:B,2,0),"")</f>
        <v>ok</v>
      </c>
      <c r="I1616" s="6" t="s">
        <v>3679</v>
      </c>
      <c r="J1616" s="6" t="str">
        <f>VLOOKUP(Table2[[#This Row],[Author]],People!A:B,2,0)</f>
        <v>LS</v>
      </c>
      <c r="K1616" s="6"/>
      <c r="L1616" s="6"/>
      <c r="M1616" s="21" t="s">
        <v>2804</v>
      </c>
    </row>
    <row r="1617" spans="1:13" x14ac:dyDescent="0.25">
      <c r="A1617" s="23">
        <f t="shared" si="25"/>
        <v>1616</v>
      </c>
      <c r="B1617" s="7" t="s">
        <v>4851</v>
      </c>
      <c r="C1617" s="7" t="s">
        <v>5206</v>
      </c>
      <c r="D1617" s="7" t="s">
        <v>5932</v>
      </c>
      <c r="E1617" s="7"/>
      <c r="F1617" s="7" t="s">
        <v>2897</v>
      </c>
      <c r="G1617" s="7" t="s">
        <v>24</v>
      </c>
      <c r="H1617" s="7" t="str">
        <f>IFERROR(VLOOKUP(Table2[[#This Row],[Ticket]],Okey!A:B,2,0),"")</f>
        <v>ok</v>
      </c>
      <c r="I1617" s="7" t="s">
        <v>3679</v>
      </c>
      <c r="J1617" s="7" t="str">
        <f>VLOOKUP(Table2[[#This Row],[Author]],People!A:B,2,0)</f>
        <v>LS</v>
      </c>
      <c r="K1617" s="7"/>
      <c r="L1617" s="7"/>
      <c r="M1617" s="16" t="s">
        <v>2804</v>
      </c>
    </row>
    <row r="1618" spans="1:13" x14ac:dyDescent="0.25">
      <c r="A1618" s="22">
        <f t="shared" si="25"/>
        <v>1617</v>
      </c>
      <c r="B1618" s="6" t="s">
        <v>4851</v>
      </c>
      <c r="C1618" s="6" t="s">
        <v>5206</v>
      </c>
      <c r="D1618" s="6" t="s">
        <v>5933</v>
      </c>
      <c r="E1618" s="6"/>
      <c r="F1618" s="6" t="s">
        <v>5211</v>
      </c>
      <c r="G1618" s="6" t="s">
        <v>24</v>
      </c>
      <c r="H1618" s="6" t="str">
        <f>IFERROR(VLOOKUP(Table2[[#This Row],[Ticket]],Okey!A:B,2,0),"")</f>
        <v>ok</v>
      </c>
      <c r="I1618" s="6" t="s">
        <v>3679</v>
      </c>
      <c r="J1618" s="6" t="str">
        <f>VLOOKUP(Table2[[#This Row],[Author]],People!A:B,2,0)</f>
        <v>LS</v>
      </c>
      <c r="K1618" s="6"/>
      <c r="L1618" s="6"/>
      <c r="M1618" s="21" t="s">
        <v>2804</v>
      </c>
    </row>
    <row r="1619" spans="1:13" x14ac:dyDescent="0.25">
      <c r="A1619" s="23">
        <f t="shared" si="25"/>
        <v>1618</v>
      </c>
      <c r="B1619" s="7" t="s">
        <v>4851</v>
      </c>
      <c r="C1619" s="7" t="s">
        <v>5206</v>
      </c>
      <c r="D1619" s="7" t="s">
        <v>3133</v>
      </c>
      <c r="E1619" s="7"/>
      <c r="F1619" s="7" t="s">
        <v>3115</v>
      </c>
      <c r="G1619" s="7" t="s">
        <v>24</v>
      </c>
      <c r="H1619" s="7" t="str">
        <f>IFERROR(VLOOKUP(Table2[[#This Row],[Ticket]],Okey!A:B,2,0),"")</f>
        <v>ok</v>
      </c>
      <c r="I1619" s="7" t="s">
        <v>3679</v>
      </c>
      <c r="J1619" s="7" t="str">
        <f>VLOOKUP(Table2[[#This Row],[Author]],People!A:B,2,0)</f>
        <v>LS</v>
      </c>
      <c r="K1619" s="7"/>
      <c r="L1619" s="7"/>
      <c r="M1619" s="16" t="s">
        <v>2804</v>
      </c>
    </row>
    <row r="1620" spans="1:13" x14ac:dyDescent="0.25">
      <c r="A1620" s="22">
        <f t="shared" si="25"/>
        <v>1619</v>
      </c>
      <c r="B1620" s="6" t="s">
        <v>4851</v>
      </c>
      <c r="C1620" s="6" t="s">
        <v>5206</v>
      </c>
      <c r="D1620" s="6" t="s">
        <v>3135</v>
      </c>
      <c r="E1620" s="6"/>
      <c r="F1620" s="6" t="s">
        <v>1844</v>
      </c>
      <c r="G1620" s="6" t="s">
        <v>24</v>
      </c>
      <c r="H1620" s="6" t="str">
        <f>IFERROR(VLOOKUP(Table2[[#This Row],[Ticket]],Okey!A:B,2,0),"")</f>
        <v>ok</v>
      </c>
      <c r="I1620" s="6" t="s">
        <v>3679</v>
      </c>
      <c r="J1620" s="6" t="str">
        <f>VLOOKUP(Table2[[#This Row],[Author]],People!A:B,2,0)</f>
        <v>LS</v>
      </c>
      <c r="K1620" s="6"/>
      <c r="L1620" s="6"/>
      <c r="M1620" s="21" t="s">
        <v>2804</v>
      </c>
    </row>
    <row r="1621" spans="1:13" x14ac:dyDescent="0.25">
      <c r="A1621" s="23">
        <f t="shared" si="25"/>
        <v>1620</v>
      </c>
      <c r="B1621" s="7" t="s">
        <v>4851</v>
      </c>
      <c r="C1621" s="7" t="s">
        <v>5206</v>
      </c>
      <c r="D1621" s="7" t="s">
        <v>5934</v>
      </c>
      <c r="E1621" s="7"/>
      <c r="F1621" s="7" t="s">
        <v>3610</v>
      </c>
      <c r="G1621" s="7" t="s">
        <v>24</v>
      </c>
      <c r="H1621" s="7" t="str">
        <f>IFERROR(VLOOKUP(Table2[[#This Row],[Ticket]],Okey!A:B,2,0),"")</f>
        <v>ok</v>
      </c>
      <c r="I1621" s="7" t="s">
        <v>3679</v>
      </c>
      <c r="J1621" s="7" t="str">
        <f>VLOOKUP(Table2[[#This Row],[Author]],People!A:B,2,0)</f>
        <v>LS</v>
      </c>
      <c r="K1621" s="7"/>
      <c r="L1621" s="7"/>
      <c r="M1621" s="16" t="s">
        <v>2804</v>
      </c>
    </row>
    <row r="1622" spans="1:13" x14ac:dyDescent="0.25">
      <c r="A1622" s="22">
        <f t="shared" si="25"/>
        <v>1621</v>
      </c>
      <c r="B1622" s="6" t="s">
        <v>4851</v>
      </c>
      <c r="C1622" s="6" t="s">
        <v>5206</v>
      </c>
      <c r="D1622" s="6" t="s">
        <v>5935</v>
      </c>
      <c r="E1622" s="6"/>
      <c r="F1622" s="6" t="s">
        <v>3592</v>
      </c>
      <c r="G1622" s="6" t="s">
        <v>24</v>
      </c>
      <c r="H1622" s="6" t="str">
        <f>IFERROR(VLOOKUP(Table2[[#This Row],[Ticket]],Okey!A:B,2,0),"")</f>
        <v>ok</v>
      </c>
      <c r="I1622" s="6" t="s">
        <v>3679</v>
      </c>
      <c r="J1622" s="6" t="str">
        <f>VLOOKUP(Table2[[#This Row],[Author]],People!A:B,2,0)</f>
        <v>LS</v>
      </c>
      <c r="K1622" s="6"/>
      <c r="L1622" s="6"/>
      <c r="M1622" s="21" t="s">
        <v>2804</v>
      </c>
    </row>
    <row r="1623" spans="1:13" x14ac:dyDescent="0.25">
      <c r="A1623" s="23">
        <f t="shared" si="25"/>
        <v>1622</v>
      </c>
      <c r="B1623" s="7" t="s">
        <v>4851</v>
      </c>
      <c r="C1623" s="7" t="s">
        <v>5206</v>
      </c>
      <c r="D1623" s="7" t="s">
        <v>5936</v>
      </c>
      <c r="E1623" s="7"/>
      <c r="F1623" s="7" t="s">
        <v>3578</v>
      </c>
      <c r="G1623" s="7" t="s">
        <v>24</v>
      </c>
      <c r="H1623" s="7" t="str">
        <f>IFERROR(VLOOKUP(Table2[[#This Row],[Ticket]],Okey!A:B,2,0),"")</f>
        <v>ok</v>
      </c>
      <c r="I1623" s="7" t="s">
        <v>3679</v>
      </c>
      <c r="J1623" s="7" t="str">
        <f>VLOOKUP(Table2[[#This Row],[Author]],People!A:B,2,0)</f>
        <v>LS</v>
      </c>
      <c r="K1623" s="7"/>
      <c r="L1623" s="7"/>
      <c r="M1623" s="16" t="s">
        <v>2804</v>
      </c>
    </row>
    <row r="1624" spans="1:13" x14ac:dyDescent="0.25">
      <c r="A1624" s="22">
        <f t="shared" si="25"/>
        <v>1623</v>
      </c>
      <c r="B1624" s="6" t="s">
        <v>4851</v>
      </c>
      <c r="C1624" s="6" t="s">
        <v>5206</v>
      </c>
      <c r="D1624" s="6" t="s">
        <v>5937</v>
      </c>
      <c r="E1624" s="6"/>
      <c r="F1624" s="6" t="s">
        <v>3355</v>
      </c>
      <c r="G1624" s="6" t="s">
        <v>24</v>
      </c>
      <c r="H1624" s="6" t="str">
        <f>IFERROR(VLOOKUP(Table2[[#This Row],[Ticket]],Okey!A:B,2,0),"")</f>
        <v>ok</v>
      </c>
      <c r="I1624" s="6" t="s">
        <v>3679</v>
      </c>
      <c r="J1624" s="6" t="str">
        <f>VLOOKUP(Table2[[#This Row],[Author]],People!A:B,2,0)</f>
        <v>LS</v>
      </c>
      <c r="K1624" s="6"/>
      <c r="L1624" s="6"/>
      <c r="M1624" s="21" t="s">
        <v>2804</v>
      </c>
    </row>
    <row r="1625" spans="1:13" x14ac:dyDescent="0.25">
      <c r="A1625" s="23">
        <f t="shared" si="25"/>
        <v>1624</v>
      </c>
      <c r="B1625" s="7" t="s">
        <v>4851</v>
      </c>
      <c r="C1625" s="7" t="s">
        <v>5206</v>
      </c>
      <c r="D1625" s="7" t="s">
        <v>5938</v>
      </c>
      <c r="E1625" s="7"/>
      <c r="F1625" s="7" t="s">
        <v>3375</v>
      </c>
      <c r="G1625" s="7" t="s">
        <v>24</v>
      </c>
      <c r="H1625" s="7" t="str">
        <f>IFERROR(VLOOKUP(Table2[[#This Row],[Ticket]],Okey!A:B,2,0),"")</f>
        <v>ok</v>
      </c>
      <c r="I1625" s="7" t="s">
        <v>3679</v>
      </c>
      <c r="J1625" s="7" t="str">
        <f>VLOOKUP(Table2[[#This Row],[Author]],People!A:B,2,0)</f>
        <v>LS</v>
      </c>
      <c r="K1625" s="7"/>
      <c r="L1625" s="7"/>
      <c r="M1625" s="16" t="s">
        <v>2804</v>
      </c>
    </row>
    <row r="1626" spans="1:13" x14ac:dyDescent="0.25">
      <c r="A1626" s="22">
        <f t="shared" si="25"/>
        <v>1625</v>
      </c>
      <c r="B1626" s="6" t="s">
        <v>4851</v>
      </c>
      <c r="C1626" s="6" t="s">
        <v>5206</v>
      </c>
      <c r="D1626" s="6" t="s">
        <v>5939</v>
      </c>
      <c r="E1626" s="6"/>
      <c r="F1626" s="6" t="s">
        <v>3375</v>
      </c>
      <c r="G1626" s="6" t="s">
        <v>24</v>
      </c>
      <c r="H1626" s="6" t="str">
        <f>IFERROR(VLOOKUP(Table2[[#This Row],[Ticket]],Okey!A:B,2,0),"")</f>
        <v>ok</v>
      </c>
      <c r="I1626" s="6" t="s">
        <v>3679</v>
      </c>
      <c r="J1626" s="6" t="str">
        <f>VLOOKUP(Table2[[#This Row],[Author]],People!A:B,2,0)</f>
        <v>LS</v>
      </c>
      <c r="K1626" s="6"/>
      <c r="L1626" s="6"/>
      <c r="M1626" s="21" t="s">
        <v>2804</v>
      </c>
    </row>
    <row r="1627" spans="1:13" x14ac:dyDescent="0.25">
      <c r="A1627" s="23">
        <f t="shared" si="25"/>
        <v>1626</v>
      </c>
      <c r="B1627" s="7" t="s">
        <v>4851</v>
      </c>
      <c r="C1627" s="7" t="s">
        <v>5206</v>
      </c>
      <c r="D1627" s="7" t="s">
        <v>5940</v>
      </c>
      <c r="E1627" s="7"/>
      <c r="F1627" s="7" t="s">
        <v>3331</v>
      </c>
      <c r="G1627" s="7" t="s">
        <v>24</v>
      </c>
      <c r="H1627" s="7" t="str">
        <f>IFERROR(VLOOKUP(Table2[[#This Row],[Ticket]],Okey!A:B,2,0),"")</f>
        <v>ok</v>
      </c>
      <c r="I1627" s="7" t="s">
        <v>3679</v>
      </c>
      <c r="J1627" s="7" t="str">
        <f>VLOOKUP(Table2[[#This Row],[Author]],People!A:B,2,0)</f>
        <v>LS</v>
      </c>
      <c r="K1627" s="7"/>
      <c r="L1627" s="7"/>
      <c r="M1627" s="16" t="s">
        <v>2804</v>
      </c>
    </row>
    <row r="1628" spans="1:13" x14ac:dyDescent="0.25">
      <c r="A1628" s="22">
        <f t="shared" si="25"/>
        <v>1627</v>
      </c>
      <c r="B1628" s="6" t="s">
        <v>4851</v>
      </c>
      <c r="C1628" s="6" t="s">
        <v>5206</v>
      </c>
      <c r="D1628" s="6" t="s">
        <v>5941</v>
      </c>
      <c r="E1628" s="6"/>
      <c r="F1628" s="6" t="s">
        <v>3331</v>
      </c>
      <c r="G1628" s="6" t="s">
        <v>24</v>
      </c>
      <c r="H1628" s="6" t="str">
        <f>IFERROR(VLOOKUP(Table2[[#This Row],[Ticket]],Okey!A:B,2,0),"")</f>
        <v>ok</v>
      </c>
      <c r="I1628" s="6" t="s">
        <v>3679</v>
      </c>
      <c r="J1628" s="6" t="str">
        <f>VLOOKUP(Table2[[#This Row],[Author]],People!A:B,2,0)</f>
        <v>LS</v>
      </c>
      <c r="K1628" s="6"/>
      <c r="L1628" s="6"/>
      <c r="M1628" s="21" t="s">
        <v>2804</v>
      </c>
    </row>
    <row r="1629" spans="1:13" x14ac:dyDescent="0.25">
      <c r="A1629" s="23">
        <f t="shared" si="25"/>
        <v>1628</v>
      </c>
      <c r="B1629" s="7" t="s">
        <v>4851</v>
      </c>
      <c r="C1629" s="7" t="s">
        <v>5206</v>
      </c>
      <c r="D1629" s="7" t="s">
        <v>5942</v>
      </c>
      <c r="E1629" s="7"/>
      <c r="F1629" s="7" t="s">
        <v>3311</v>
      </c>
      <c r="G1629" s="7" t="s">
        <v>24</v>
      </c>
      <c r="H1629" s="7" t="str">
        <f>IFERROR(VLOOKUP(Table2[[#This Row],[Ticket]],Okey!A:B,2,0),"")</f>
        <v>ok</v>
      </c>
      <c r="I1629" s="7" t="s">
        <v>3679</v>
      </c>
      <c r="J1629" s="7" t="str">
        <f>VLOOKUP(Table2[[#This Row],[Author]],People!A:B,2,0)</f>
        <v>LS</v>
      </c>
      <c r="K1629" s="7"/>
      <c r="L1629" s="7"/>
      <c r="M1629" s="16" t="s">
        <v>2804</v>
      </c>
    </row>
    <row r="1630" spans="1:13" x14ac:dyDescent="0.25">
      <c r="A1630" s="22">
        <f t="shared" si="25"/>
        <v>1629</v>
      </c>
      <c r="B1630" s="6" t="s">
        <v>4851</v>
      </c>
      <c r="C1630" s="6" t="s">
        <v>5206</v>
      </c>
      <c r="D1630" s="6" t="s">
        <v>5943</v>
      </c>
      <c r="E1630" s="6"/>
      <c r="F1630" s="6" t="s">
        <v>3391</v>
      </c>
      <c r="G1630" s="6" t="s">
        <v>24</v>
      </c>
      <c r="H1630" s="6" t="str">
        <f>IFERROR(VLOOKUP(Table2[[#This Row],[Ticket]],Okey!A:B,2,0),"")</f>
        <v>ok</v>
      </c>
      <c r="I1630" s="6" t="s">
        <v>3679</v>
      </c>
      <c r="J1630" s="6" t="str">
        <f>VLOOKUP(Table2[[#This Row],[Author]],People!A:B,2,0)</f>
        <v>LS</v>
      </c>
      <c r="K1630" s="6"/>
      <c r="L1630" s="6"/>
      <c r="M1630" s="21" t="s">
        <v>2804</v>
      </c>
    </row>
    <row r="1631" spans="1:13" x14ac:dyDescent="0.25">
      <c r="A1631" s="23">
        <f t="shared" si="25"/>
        <v>1630</v>
      </c>
      <c r="B1631" s="7" t="s">
        <v>4851</v>
      </c>
      <c r="C1631" s="7" t="s">
        <v>5206</v>
      </c>
      <c r="D1631" s="7" t="s">
        <v>3226</v>
      </c>
      <c r="E1631" s="7"/>
      <c r="F1631" s="7" t="s">
        <v>1954</v>
      </c>
      <c r="G1631" s="7" t="s">
        <v>24</v>
      </c>
      <c r="H1631" s="7" t="str">
        <f>IFERROR(VLOOKUP(Table2[[#This Row],[Ticket]],Okey!A:B,2,0),"")</f>
        <v>ok</v>
      </c>
      <c r="I1631" s="7" t="s">
        <v>3679</v>
      </c>
      <c r="J1631" s="7" t="str">
        <f>VLOOKUP(Table2[[#This Row],[Author]],People!A:B,2,0)</f>
        <v>LS</v>
      </c>
      <c r="K1631" s="7"/>
      <c r="L1631" s="7"/>
      <c r="M1631" s="16" t="s">
        <v>2804</v>
      </c>
    </row>
    <row r="1632" spans="1:13" x14ac:dyDescent="0.25">
      <c r="A1632" s="22">
        <f t="shared" si="25"/>
        <v>1631</v>
      </c>
      <c r="B1632" s="6" t="s">
        <v>4851</v>
      </c>
      <c r="C1632" s="6" t="s">
        <v>5944</v>
      </c>
      <c r="D1632" s="6" t="s">
        <v>4823</v>
      </c>
      <c r="E1632" s="6" t="s">
        <v>5945</v>
      </c>
      <c r="F1632" s="6"/>
      <c r="G1632" s="6" t="s">
        <v>63</v>
      </c>
      <c r="H1632" s="6" t="str">
        <f>IFERROR(VLOOKUP(Table2[[#This Row],[Ticket]],Okey!A:B,2,0),"")</f>
        <v>ok</v>
      </c>
      <c r="I1632" s="6" t="s">
        <v>3679</v>
      </c>
      <c r="J1632" s="6" t="str">
        <f>VLOOKUP(Table2[[#This Row],[Author]],People!A:B,2,0)</f>
        <v>LS</v>
      </c>
      <c r="K1632" s="6"/>
      <c r="L1632" s="6"/>
      <c r="M1632" s="21" t="s">
        <v>2804</v>
      </c>
    </row>
    <row r="1633" spans="1:13" x14ac:dyDescent="0.25">
      <c r="A1633" s="23">
        <f t="shared" si="25"/>
        <v>1632</v>
      </c>
      <c r="B1633" s="7" t="s">
        <v>4851</v>
      </c>
      <c r="C1633" s="7" t="s">
        <v>5944</v>
      </c>
      <c r="D1633" s="7" t="s">
        <v>4821</v>
      </c>
      <c r="E1633" s="7" t="s">
        <v>5549</v>
      </c>
      <c r="F1633" s="7"/>
      <c r="G1633" s="7" t="s">
        <v>63</v>
      </c>
      <c r="H1633" s="7" t="str">
        <f>IFERROR(VLOOKUP(Table2[[#This Row],[Ticket]],Okey!A:B,2,0),"")</f>
        <v>ok</v>
      </c>
      <c r="I1633" s="7" t="s">
        <v>3679</v>
      </c>
      <c r="J1633" s="7" t="str">
        <f>VLOOKUP(Table2[[#This Row],[Author]],People!A:B,2,0)</f>
        <v>LS</v>
      </c>
      <c r="K1633" s="7"/>
      <c r="L1633" s="7"/>
      <c r="M1633" s="16" t="s">
        <v>2804</v>
      </c>
    </row>
    <row r="1634" spans="1:13" x14ac:dyDescent="0.25">
      <c r="A1634" s="22">
        <f t="shared" si="25"/>
        <v>1633</v>
      </c>
      <c r="B1634" s="6" t="s">
        <v>4851</v>
      </c>
      <c r="C1634" s="6" t="s">
        <v>5944</v>
      </c>
      <c r="D1634" s="6" t="s">
        <v>5873</v>
      </c>
      <c r="E1634" s="6" t="s">
        <v>5946</v>
      </c>
      <c r="F1634" s="6"/>
      <c r="G1634" s="6" t="s">
        <v>63</v>
      </c>
      <c r="H1634" s="6" t="str">
        <f>IFERROR(VLOOKUP(Table2[[#This Row],[Ticket]],Okey!A:B,2,0),"")</f>
        <v>ok</v>
      </c>
      <c r="I1634" s="6" t="s">
        <v>3679</v>
      </c>
      <c r="J1634" s="6" t="str">
        <f>VLOOKUP(Table2[[#This Row],[Author]],People!A:B,2,0)</f>
        <v>LS</v>
      </c>
      <c r="K1634" s="6"/>
      <c r="L1634" s="6"/>
      <c r="M1634" s="21" t="s">
        <v>2804</v>
      </c>
    </row>
    <row r="1635" spans="1:13" x14ac:dyDescent="0.25">
      <c r="A1635" s="23">
        <f t="shared" si="25"/>
        <v>1634</v>
      </c>
      <c r="B1635" s="7" t="s">
        <v>4851</v>
      </c>
      <c r="C1635" s="7" t="s">
        <v>5944</v>
      </c>
      <c r="D1635" s="7" t="s">
        <v>5464</v>
      </c>
      <c r="E1635" s="7"/>
      <c r="F1635" s="7" t="s">
        <v>327</v>
      </c>
      <c r="G1635" s="7" t="s">
        <v>24</v>
      </c>
      <c r="H1635" s="7" t="str">
        <f>IFERROR(VLOOKUP(Table2[[#This Row],[Ticket]],Okey!A:B,2,0),"")</f>
        <v>ok</v>
      </c>
      <c r="I1635" s="7" t="s">
        <v>3679</v>
      </c>
      <c r="J1635" s="7" t="str">
        <f>VLOOKUP(Table2[[#This Row],[Author]],People!A:B,2,0)</f>
        <v>LS</v>
      </c>
      <c r="K1635" s="7"/>
      <c r="L1635" s="7"/>
      <c r="M1635" s="16" t="s">
        <v>2804</v>
      </c>
    </row>
    <row r="1636" spans="1:13" x14ac:dyDescent="0.25">
      <c r="A1636" s="22">
        <f t="shared" si="25"/>
        <v>1635</v>
      </c>
      <c r="B1636" s="6" t="s">
        <v>4851</v>
      </c>
      <c r="C1636" s="6" t="s">
        <v>5944</v>
      </c>
      <c r="D1636" s="6" t="s">
        <v>5466</v>
      </c>
      <c r="E1636" s="6"/>
      <c r="F1636" s="6" t="s">
        <v>327</v>
      </c>
      <c r="G1636" s="6" t="s">
        <v>24</v>
      </c>
      <c r="H1636" s="6" t="str">
        <f>IFERROR(VLOOKUP(Table2[[#This Row],[Ticket]],Okey!A:B,2,0),"")</f>
        <v>ok</v>
      </c>
      <c r="I1636" s="6" t="s">
        <v>3679</v>
      </c>
      <c r="J1636" s="6" t="str">
        <f>VLOOKUP(Table2[[#This Row],[Author]],People!A:B,2,0)</f>
        <v>LS</v>
      </c>
      <c r="K1636" s="6"/>
      <c r="L1636" s="6"/>
      <c r="M1636" s="21" t="s">
        <v>2804</v>
      </c>
    </row>
    <row r="1637" spans="1:13" x14ac:dyDescent="0.25">
      <c r="A1637" s="23">
        <f t="shared" si="25"/>
        <v>1636</v>
      </c>
      <c r="B1637" s="7" t="s">
        <v>4851</v>
      </c>
      <c r="C1637" s="7" t="s">
        <v>5944</v>
      </c>
      <c r="D1637" s="7" t="s">
        <v>5478</v>
      </c>
      <c r="E1637" s="7"/>
      <c r="F1637" s="7" t="s">
        <v>327</v>
      </c>
      <c r="G1637" s="7" t="s">
        <v>24</v>
      </c>
      <c r="H1637" s="7" t="str">
        <f>IFERROR(VLOOKUP(Table2[[#This Row],[Ticket]],Okey!A:B,2,0),"")</f>
        <v>ok</v>
      </c>
      <c r="I1637" s="7" t="s">
        <v>3679</v>
      </c>
      <c r="J1637" s="7" t="str">
        <f>VLOOKUP(Table2[[#This Row],[Author]],People!A:B,2,0)</f>
        <v>MGF</v>
      </c>
      <c r="K1637" s="7"/>
      <c r="L1637" s="7"/>
      <c r="M1637" s="16" t="s">
        <v>2804</v>
      </c>
    </row>
    <row r="1638" spans="1:13" x14ac:dyDescent="0.25">
      <c r="A1638" s="22">
        <f t="shared" si="25"/>
        <v>1637</v>
      </c>
      <c r="B1638" s="6" t="s">
        <v>4851</v>
      </c>
      <c r="C1638" s="6" t="s">
        <v>5944</v>
      </c>
      <c r="D1638" s="6" t="s">
        <v>5480</v>
      </c>
      <c r="E1638" s="6"/>
      <c r="F1638" s="6" t="s">
        <v>327</v>
      </c>
      <c r="G1638" s="6" t="s">
        <v>24</v>
      </c>
      <c r="H1638" s="6" t="str">
        <f>IFERROR(VLOOKUP(Table2[[#This Row],[Ticket]],Okey!A:B,2,0),"")</f>
        <v>ok</v>
      </c>
      <c r="I1638" s="6" t="s">
        <v>3679</v>
      </c>
      <c r="J1638" s="6" t="str">
        <f>VLOOKUP(Table2[[#This Row],[Author]],People!A:B,2,0)</f>
        <v>MGF</v>
      </c>
      <c r="K1638" s="6"/>
      <c r="L1638" s="6"/>
      <c r="M1638" s="21" t="s">
        <v>2804</v>
      </c>
    </row>
    <row r="1639" spans="1:13" x14ac:dyDescent="0.25">
      <c r="A1639" s="23">
        <f t="shared" si="25"/>
        <v>1638</v>
      </c>
      <c r="B1639" s="7" t="s">
        <v>4851</v>
      </c>
      <c r="C1639" s="7" t="s">
        <v>5944</v>
      </c>
      <c r="D1639" s="7" t="s">
        <v>5482</v>
      </c>
      <c r="E1639" s="7"/>
      <c r="F1639" s="7" t="s">
        <v>327</v>
      </c>
      <c r="G1639" s="7" t="s">
        <v>24</v>
      </c>
      <c r="H1639" s="7" t="str">
        <f>IFERROR(VLOOKUP(Table2[[#This Row],[Ticket]],Okey!A:B,2,0),"")</f>
        <v>ok</v>
      </c>
      <c r="I1639" s="7" t="s">
        <v>3679</v>
      </c>
      <c r="J1639" s="7" t="str">
        <f>VLOOKUP(Table2[[#This Row],[Author]],People!A:B,2,0)</f>
        <v>EL</v>
      </c>
      <c r="K1639" s="7"/>
      <c r="L1639" s="7"/>
      <c r="M1639" s="16" t="s">
        <v>2804</v>
      </c>
    </row>
    <row r="1640" spans="1:13" x14ac:dyDescent="0.25">
      <c r="A1640" s="22">
        <f t="shared" si="25"/>
        <v>1639</v>
      </c>
      <c r="B1640" s="6" t="s">
        <v>4851</v>
      </c>
      <c r="C1640" s="6" t="s">
        <v>5944</v>
      </c>
      <c r="D1640" s="6" t="s">
        <v>5484</v>
      </c>
      <c r="E1640" s="6"/>
      <c r="F1640" s="6" t="s">
        <v>327</v>
      </c>
      <c r="G1640" s="6" t="s">
        <v>24</v>
      </c>
      <c r="H1640" s="6" t="str">
        <f>IFERROR(VLOOKUP(Table2[[#This Row],[Ticket]],Okey!A:B,2,0),"")</f>
        <v>ok</v>
      </c>
      <c r="I1640" s="6" t="s">
        <v>3679</v>
      </c>
      <c r="J1640" s="6" t="str">
        <f>VLOOKUP(Table2[[#This Row],[Author]],People!A:B,2,0)</f>
        <v>EL</v>
      </c>
      <c r="K1640" s="6"/>
      <c r="L1640" s="6"/>
      <c r="M1640" s="21" t="s">
        <v>2804</v>
      </c>
    </row>
    <row r="1641" spans="1:13" x14ac:dyDescent="0.25">
      <c r="A1641" s="23">
        <f t="shared" si="25"/>
        <v>1640</v>
      </c>
      <c r="B1641" s="7" t="s">
        <v>4851</v>
      </c>
      <c r="C1641" s="7" t="s">
        <v>5944</v>
      </c>
      <c r="D1641" s="7" t="s">
        <v>5486</v>
      </c>
      <c r="E1641" s="7"/>
      <c r="F1641" s="7" t="s">
        <v>327</v>
      </c>
      <c r="G1641" s="7" t="s">
        <v>24</v>
      </c>
      <c r="H1641" s="7" t="str">
        <f>IFERROR(VLOOKUP(Table2[[#This Row],[Ticket]],Okey!A:B,2,0),"")</f>
        <v>ok</v>
      </c>
      <c r="I1641" s="7" t="s">
        <v>3679</v>
      </c>
      <c r="J1641" s="7" t="str">
        <f>VLOOKUP(Table2[[#This Row],[Author]],People!A:B,2,0)</f>
        <v>EL</v>
      </c>
      <c r="K1641" s="7"/>
      <c r="L1641" s="7"/>
      <c r="M1641" s="16" t="s">
        <v>2804</v>
      </c>
    </row>
    <row r="1642" spans="1:13" x14ac:dyDescent="0.25">
      <c r="A1642" s="22">
        <f t="shared" si="25"/>
        <v>1641</v>
      </c>
      <c r="B1642" s="6" t="s">
        <v>4851</v>
      </c>
      <c r="C1642" s="6" t="s">
        <v>5944</v>
      </c>
      <c r="D1642" s="6" t="s">
        <v>5488</v>
      </c>
      <c r="E1642" s="6"/>
      <c r="F1642" s="6" t="s">
        <v>327</v>
      </c>
      <c r="G1642" s="6" t="s">
        <v>24</v>
      </c>
      <c r="H1642" s="6" t="str">
        <f>IFERROR(VLOOKUP(Table2[[#This Row],[Ticket]],Okey!A:B,2,0),"")</f>
        <v>ok</v>
      </c>
      <c r="I1642" s="6" t="s">
        <v>3679</v>
      </c>
      <c r="J1642" s="6" t="str">
        <f>VLOOKUP(Table2[[#This Row],[Author]],People!A:B,2,0)</f>
        <v>EL</v>
      </c>
      <c r="K1642" s="6"/>
      <c r="L1642" s="6"/>
      <c r="M1642" s="21" t="s">
        <v>2804</v>
      </c>
    </row>
    <row r="1643" spans="1:13" x14ac:dyDescent="0.25">
      <c r="A1643" s="23">
        <f t="shared" si="25"/>
        <v>1642</v>
      </c>
      <c r="B1643" s="7" t="s">
        <v>4851</v>
      </c>
      <c r="C1643" s="7" t="s">
        <v>5944</v>
      </c>
      <c r="D1643" s="7" t="s">
        <v>5468</v>
      </c>
      <c r="E1643" s="7"/>
      <c r="F1643" s="7" t="s">
        <v>327</v>
      </c>
      <c r="G1643" s="7" t="s">
        <v>24</v>
      </c>
      <c r="H1643" s="7" t="str">
        <f>IFERROR(VLOOKUP(Table2[[#This Row],[Ticket]],Okey!A:B,2,0),"")</f>
        <v>ok</v>
      </c>
      <c r="I1643" s="7" t="s">
        <v>3679</v>
      </c>
      <c r="J1643" s="7" t="str">
        <f>VLOOKUP(Table2[[#This Row],[Author]],People!A:B,2,0)</f>
        <v>EL</v>
      </c>
      <c r="K1643" s="7"/>
      <c r="L1643" s="7"/>
      <c r="M1643" s="16" t="s">
        <v>2804</v>
      </c>
    </row>
    <row r="1644" spans="1:13" x14ac:dyDescent="0.25">
      <c r="A1644" s="22">
        <f t="shared" si="25"/>
        <v>1643</v>
      </c>
      <c r="B1644" s="6" t="s">
        <v>4851</v>
      </c>
      <c r="C1644" s="6" t="s">
        <v>5944</v>
      </c>
      <c r="D1644" s="6" t="s">
        <v>5470</v>
      </c>
      <c r="E1644" s="6"/>
      <c r="F1644" s="6" t="s">
        <v>327</v>
      </c>
      <c r="G1644" s="6" t="s">
        <v>24</v>
      </c>
      <c r="H1644" s="6" t="str">
        <f>IFERROR(VLOOKUP(Table2[[#This Row],[Ticket]],Okey!A:B,2,0),"")</f>
        <v>ok</v>
      </c>
      <c r="I1644" s="6" t="s">
        <v>3679</v>
      </c>
      <c r="J1644" s="6" t="str">
        <f>VLOOKUP(Table2[[#This Row],[Author]],People!A:B,2,0)</f>
        <v>EL</v>
      </c>
      <c r="K1644" s="6"/>
      <c r="L1644" s="6"/>
      <c r="M1644" s="21" t="s">
        <v>2804</v>
      </c>
    </row>
    <row r="1645" spans="1:13" x14ac:dyDescent="0.25">
      <c r="A1645" s="23">
        <f t="shared" si="25"/>
        <v>1644</v>
      </c>
      <c r="B1645" s="7" t="s">
        <v>4851</v>
      </c>
      <c r="C1645" s="7" t="s">
        <v>5944</v>
      </c>
      <c r="D1645" s="7" t="s">
        <v>5472</v>
      </c>
      <c r="E1645" s="7"/>
      <c r="F1645" s="7" t="s">
        <v>327</v>
      </c>
      <c r="G1645" s="7" t="s">
        <v>24</v>
      </c>
      <c r="H1645" s="7" t="str">
        <f>IFERROR(VLOOKUP(Table2[[#This Row],[Ticket]],Okey!A:B,2,0),"")</f>
        <v>ok</v>
      </c>
      <c r="I1645" s="7" t="s">
        <v>3679</v>
      </c>
      <c r="J1645" s="7" t="str">
        <f>VLOOKUP(Table2[[#This Row],[Author]],People!A:B,2,0)</f>
        <v>EL</v>
      </c>
      <c r="K1645" s="7"/>
      <c r="L1645" s="7"/>
      <c r="M1645" s="16" t="s">
        <v>2804</v>
      </c>
    </row>
    <row r="1646" spans="1:13" x14ac:dyDescent="0.25">
      <c r="A1646" s="22">
        <f t="shared" si="25"/>
        <v>1645</v>
      </c>
      <c r="B1646" s="6" t="s">
        <v>4851</v>
      </c>
      <c r="C1646" s="6" t="s">
        <v>5944</v>
      </c>
      <c r="D1646" s="6" t="s">
        <v>5474</v>
      </c>
      <c r="E1646" s="6"/>
      <c r="F1646" s="6" t="s">
        <v>327</v>
      </c>
      <c r="G1646" s="6" t="s">
        <v>24</v>
      </c>
      <c r="H1646" s="6" t="str">
        <f>IFERROR(VLOOKUP(Table2[[#This Row],[Ticket]],Okey!A:B,2,0),"")</f>
        <v>ok</v>
      </c>
      <c r="I1646" s="6" t="s">
        <v>3679</v>
      </c>
      <c r="J1646" s="6" t="str">
        <f>VLOOKUP(Table2[[#This Row],[Author]],People!A:B,2,0)</f>
        <v>EL</v>
      </c>
      <c r="K1646" s="6"/>
      <c r="L1646" s="6"/>
      <c r="M1646" s="21" t="s">
        <v>2804</v>
      </c>
    </row>
    <row r="1647" spans="1:13" x14ac:dyDescent="0.25">
      <c r="A1647" s="23">
        <f t="shared" si="25"/>
        <v>1646</v>
      </c>
      <c r="B1647" s="7" t="s">
        <v>4851</v>
      </c>
      <c r="C1647" s="7" t="s">
        <v>5944</v>
      </c>
      <c r="D1647" s="7" t="s">
        <v>5476</v>
      </c>
      <c r="E1647" s="7"/>
      <c r="F1647" s="7" t="s">
        <v>327</v>
      </c>
      <c r="G1647" s="7" t="s">
        <v>24</v>
      </c>
      <c r="H1647" s="7" t="str">
        <f>IFERROR(VLOOKUP(Table2[[#This Row],[Ticket]],Okey!A:B,2,0),"")</f>
        <v>ok</v>
      </c>
      <c r="I1647" s="7" t="s">
        <v>3679</v>
      </c>
      <c r="J1647" s="7" t="str">
        <f>VLOOKUP(Table2[[#This Row],[Author]],People!A:B,2,0)</f>
        <v>EL</v>
      </c>
      <c r="K1647" s="7"/>
      <c r="L1647" s="7"/>
      <c r="M1647" s="16" t="s">
        <v>2804</v>
      </c>
    </row>
    <row r="1648" spans="1:13" x14ac:dyDescent="0.25">
      <c r="A1648" s="22">
        <f t="shared" si="25"/>
        <v>1647</v>
      </c>
      <c r="B1648" s="6" t="s">
        <v>4851</v>
      </c>
      <c r="C1648" s="6" t="s">
        <v>5944</v>
      </c>
      <c r="D1648" s="6" t="s">
        <v>5426</v>
      </c>
      <c r="E1648" s="6"/>
      <c r="F1648" s="6" t="s">
        <v>327</v>
      </c>
      <c r="G1648" s="6" t="s">
        <v>24</v>
      </c>
      <c r="H1648" s="6" t="str">
        <f>IFERROR(VLOOKUP(Table2[[#This Row],[Ticket]],Okey!A:B,2,0),"")</f>
        <v>ok</v>
      </c>
      <c r="I1648" s="6" t="s">
        <v>3679</v>
      </c>
      <c r="J1648" s="6" t="str">
        <f>VLOOKUP(Table2[[#This Row],[Author]],People!A:B,2,0)</f>
        <v>EL</v>
      </c>
      <c r="K1648" s="6"/>
      <c r="L1648" s="6"/>
      <c r="M1648" s="21" t="s">
        <v>2804</v>
      </c>
    </row>
    <row r="1649" spans="1:13" x14ac:dyDescent="0.25">
      <c r="A1649" s="23">
        <f t="shared" si="25"/>
        <v>1648</v>
      </c>
      <c r="B1649" s="7" t="s">
        <v>4851</v>
      </c>
      <c r="C1649" s="7" t="s">
        <v>5944</v>
      </c>
      <c r="D1649" s="7" t="s">
        <v>5428</v>
      </c>
      <c r="E1649" s="7"/>
      <c r="F1649" s="7" t="s">
        <v>327</v>
      </c>
      <c r="G1649" s="7" t="s">
        <v>24</v>
      </c>
      <c r="H1649" s="7" t="str">
        <f>IFERROR(VLOOKUP(Table2[[#This Row],[Ticket]],Okey!A:B,2,0),"")</f>
        <v>ok</v>
      </c>
      <c r="I1649" s="7" t="s">
        <v>3679</v>
      </c>
      <c r="J1649" s="7" t="str">
        <f>VLOOKUP(Table2[[#This Row],[Author]],People!A:B,2,0)</f>
        <v>EL</v>
      </c>
      <c r="K1649" s="7"/>
      <c r="L1649" s="7"/>
      <c r="M1649" s="16" t="s">
        <v>2804</v>
      </c>
    </row>
    <row r="1650" spans="1:13" x14ac:dyDescent="0.25">
      <c r="A1650" s="22">
        <f t="shared" si="25"/>
        <v>1649</v>
      </c>
      <c r="B1650" s="6" t="s">
        <v>4851</v>
      </c>
      <c r="C1650" s="6" t="s">
        <v>5944</v>
      </c>
      <c r="D1650" s="6" t="s">
        <v>5430</v>
      </c>
      <c r="E1650" s="6"/>
      <c r="F1650" s="6" t="s">
        <v>327</v>
      </c>
      <c r="G1650" s="6" t="s">
        <v>24</v>
      </c>
      <c r="H1650" s="6" t="str">
        <f>IFERROR(VLOOKUP(Table2[[#This Row],[Ticket]],Okey!A:B,2,0),"")</f>
        <v>ok</v>
      </c>
      <c r="I1650" s="6" t="s">
        <v>3679</v>
      </c>
      <c r="J1650" s="6" t="str">
        <f>VLOOKUP(Table2[[#This Row],[Author]],People!A:B,2,0)</f>
        <v>EL</v>
      </c>
      <c r="K1650" s="6"/>
      <c r="L1650" s="6"/>
      <c r="M1650" s="21" t="s">
        <v>2804</v>
      </c>
    </row>
    <row r="1651" spans="1:13" x14ac:dyDescent="0.25">
      <c r="A1651" s="23">
        <f t="shared" si="25"/>
        <v>1650</v>
      </c>
      <c r="B1651" s="7" t="s">
        <v>4851</v>
      </c>
      <c r="C1651" s="7" t="s">
        <v>5944</v>
      </c>
      <c r="D1651" s="7" t="s">
        <v>5432</v>
      </c>
      <c r="E1651" s="7"/>
      <c r="F1651" s="7" t="s">
        <v>327</v>
      </c>
      <c r="G1651" s="7" t="s">
        <v>24</v>
      </c>
      <c r="H1651" s="7" t="str">
        <f>IFERROR(VLOOKUP(Table2[[#This Row],[Ticket]],Okey!A:B,2,0),"")</f>
        <v>ok</v>
      </c>
      <c r="I1651" s="7" t="s">
        <v>3679</v>
      </c>
      <c r="J1651" s="7" t="str">
        <f>VLOOKUP(Table2[[#This Row],[Author]],People!A:B,2,0)</f>
        <v>EL</v>
      </c>
      <c r="K1651" s="7"/>
      <c r="L1651" s="7"/>
      <c r="M1651" s="16" t="s">
        <v>2804</v>
      </c>
    </row>
    <row r="1652" spans="1:13" x14ac:dyDescent="0.25">
      <c r="A1652" s="22">
        <f t="shared" si="25"/>
        <v>1651</v>
      </c>
      <c r="B1652" s="6" t="s">
        <v>4851</v>
      </c>
      <c r="C1652" s="6" t="s">
        <v>5944</v>
      </c>
      <c r="D1652" s="6" t="s">
        <v>5434</v>
      </c>
      <c r="E1652" s="6"/>
      <c r="F1652" s="6" t="s">
        <v>327</v>
      </c>
      <c r="G1652" s="6" t="s">
        <v>24</v>
      </c>
      <c r="H1652" s="6" t="str">
        <f>IFERROR(VLOOKUP(Table2[[#This Row],[Ticket]],Okey!A:B,2,0),"")</f>
        <v>ok</v>
      </c>
      <c r="I1652" s="6" t="s">
        <v>3679</v>
      </c>
      <c r="J1652" s="6" t="str">
        <f>VLOOKUP(Table2[[#This Row],[Author]],People!A:B,2,0)</f>
        <v>EL</v>
      </c>
      <c r="K1652" s="6"/>
      <c r="L1652" s="6"/>
      <c r="M1652" s="21" t="s">
        <v>2804</v>
      </c>
    </row>
    <row r="1653" spans="1:13" x14ac:dyDescent="0.25">
      <c r="A1653" s="23">
        <f t="shared" si="25"/>
        <v>1652</v>
      </c>
      <c r="B1653" s="7" t="s">
        <v>4851</v>
      </c>
      <c r="C1653" s="7" t="s">
        <v>5944</v>
      </c>
      <c r="D1653" s="7" t="s">
        <v>5436</v>
      </c>
      <c r="E1653" s="7"/>
      <c r="F1653" s="7" t="s">
        <v>327</v>
      </c>
      <c r="G1653" s="7" t="s">
        <v>24</v>
      </c>
      <c r="H1653" s="7" t="str">
        <f>IFERROR(VLOOKUP(Table2[[#This Row],[Ticket]],Okey!A:B,2,0),"")</f>
        <v>ok</v>
      </c>
      <c r="I1653" s="7" t="s">
        <v>3679</v>
      </c>
      <c r="J1653" s="7" t="str">
        <f>VLOOKUP(Table2[[#This Row],[Author]],People!A:B,2,0)</f>
        <v>EL</v>
      </c>
      <c r="K1653" s="7"/>
      <c r="L1653" s="7"/>
      <c r="M1653" s="16" t="s">
        <v>2804</v>
      </c>
    </row>
    <row r="1654" spans="1:13" x14ac:dyDescent="0.25">
      <c r="A1654" s="22">
        <f t="shared" si="25"/>
        <v>1653</v>
      </c>
      <c r="B1654" s="6" t="s">
        <v>4851</v>
      </c>
      <c r="C1654" s="6" t="s">
        <v>5944</v>
      </c>
      <c r="D1654" s="6" t="s">
        <v>5438</v>
      </c>
      <c r="E1654" s="6"/>
      <c r="F1654" s="6" t="s">
        <v>327</v>
      </c>
      <c r="G1654" s="6" t="s">
        <v>24</v>
      </c>
      <c r="H1654" s="6" t="str">
        <f>IFERROR(VLOOKUP(Table2[[#This Row],[Ticket]],Okey!A:B,2,0),"")</f>
        <v>ok</v>
      </c>
      <c r="I1654" s="6" t="s">
        <v>3679</v>
      </c>
      <c r="J1654" s="6" t="str">
        <f>VLOOKUP(Table2[[#This Row],[Author]],People!A:B,2,0)</f>
        <v>EL</v>
      </c>
      <c r="K1654" s="6"/>
      <c r="L1654" s="6"/>
      <c r="M1654" s="21" t="s">
        <v>2804</v>
      </c>
    </row>
    <row r="1655" spans="1:13" x14ac:dyDescent="0.25">
      <c r="A1655" s="23">
        <f t="shared" si="25"/>
        <v>1654</v>
      </c>
      <c r="B1655" s="7" t="s">
        <v>4851</v>
      </c>
      <c r="C1655" s="7" t="s">
        <v>5944</v>
      </c>
      <c r="D1655" s="7" t="s">
        <v>5494</v>
      </c>
      <c r="E1655" s="7"/>
      <c r="F1655" s="7" t="s">
        <v>327</v>
      </c>
      <c r="G1655" s="7" t="s">
        <v>24</v>
      </c>
      <c r="H1655" s="7" t="str">
        <f>IFERROR(VLOOKUP(Table2[[#This Row],[Ticket]],Okey!A:B,2,0),"")</f>
        <v>ok</v>
      </c>
      <c r="I1655" s="7" t="s">
        <v>3679</v>
      </c>
      <c r="J1655" s="7" t="str">
        <f>VLOOKUP(Table2[[#This Row],[Author]],People!A:B,2,0)</f>
        <v>EL</v>
      </c>
      <c r="K1655" s="7"/>
      <c r="L1655" s="7"/>
      <c r="M1655" s="16" t="s">
        <v>2804</v>
      </c>
    </row>
    <row r="1656" spans="1:13" x14ac:dyDescent="0.25">
      <c r="A1656" s="22">
        <f t="shared" si="25"/>
        <v>1655</v>
      </c>
      <c r="B1656" s="6" t="s">
        <v>4851</v>
      </c>
      <c r="C1656" s="6" t="s">
        <v>5944</v>
      </c>
      <c r="D1656" s="6" t="s">
        <v>5496</v>
      </c>
      <c r="E1656" s="6"/>
      <c r="F1656" s="6" t="s">
        <v>327</v>
      </c>
      <c r="G1656" s="6" t="s">
        <v>24</v>
      </c>
      <c r="H1656" s="6" t="str">
        <f>IFERROR(VLOOKUP(Table2[[#This Row],[Ticket]],Okey!A:B,2,0),"")</f>
        <v>ok</v>
      </c>
      <c r="I1656" s="6" t="s">
        <v>3679</v>
      </c>
      <c r="J1656" s="6" t="str">
        <f>VLOOKUP(Table2[[#This Row],[Author]],People!A:B,2,0)</f>
        <v>EL</v>
      </c>
      <c r="K1656" s="6"/>
      <c r="L1656" s="6"/>
      <c r="M1656" s="21" t="s">
        <v>2804</v>
      </c>
    </row>
    <row r="1657" spans="1:13" x14ac:dyDescent="0.25">
      <c r="A1657" s="23">
        <f t="shared" si="25"/>
        <v>1656</v>
      </c>
      <c r="B1657" s="7" t="s">
        <v>4851</v>
      </c>
      <c r="C1657" s="7" t="s">
        <v>5944</v>
      </c>
      <c r="D1657" s="7" t="s">
        <v>5498</v>
      </c>
      <c r="E1657" s="7"/>
      <c r="F1657" s="7" t="s">
        <v>327</v>
      </c>
      <c r="G1657" s="7" t="s">
        <v>24</v>
      </c>
      <c r="H1657" s="7" t="str">
        <f>IFERROR(VLOOKUP(Table2[[#This Row],[Ticket]],Okey!A:B,2,0),"")</f>
        <v>ok</v>
      </c>
      <c r="I1657" s="7" t="s">
        <v>3679</v>
      </c>
      <c r="J1657" s="7" t="str">
        <f>VLOOKUP(Table2[[#This Row],[Author]],People!A:B,2,0)</f>
        <v>EL</v>
      </c>
      <c r="K1657" s="7"/>
      <c r="L1657" s="7"/>
      <c r="M1657" s="16" t="s">
        <v>2804</v>
      </c>
    </row>
    <row r="1658" spans="1:13" x14ac:dyDescent="0.25">
      <c r="A1658" s="22">
        <f t="shared" si="25"/>
        <v>1657</v>
      </c>
      <c r="B1658" s="6" t="s">
        <v>4851</v>
      </c>
      <c r="C1658" s="6" t="s">
        <v>5944</v>
      </c>
      <c r="D1658" s="6" t="s">
        <v>5284</v>
      </c>
      <c r="E1658" s="6"/>
      <c r="F1658" s="6" t="s">
        <v>327</v>
      </c>
      <c r="G1658" s="6" t="s">
        <v>24</v>
      </c>
      <c r="H1658" s="6" t="str">
        <f>IFERROR(VLOOKUP(Table2[[#This Row],[Ticket]],Okey!A:B,2,0),"")</f>
        <v>ok</v>
      </c>
      <c r="I1658" s="6" t="s">
        <v>3679</v>
      </c>
      <c r="J1658" s="6" t="str">
        <f>VLOOKUP(Table2[[#This Row],[Author]],People!A:B,2,0)</f>
        <v>EL</v>
      </c>
      <c r="K1658" s="6"/>
      <c r="L1658" s="6"/>
      <c r="M1658" s="21" t="s">
        <v>2804</v>
      </c>
    </row>
    <row r="1659" spans="1:13" x14ac:dyDescent="0.25">
      <c r="A1659" s="23">
        <f t="shared" si="25"/>
        <v>1658</v>
      </c>
      <c r="B1659" s="7" t="s">
        <v>4851</v>
      </c>
      <c r="C1659" s="7" t="s">
        <v>5944</v>
      </c>
      <c r="D1659" s="7" t="s">
        <v>5500</v>
      </c>
      <c r="E1659" s="7"/>
      <c r="F1659" s="7" t="s">
        <v>327</v>
      </c>
      <c r="G1659" s="7" t="s">
        <v>24</v>
      </c>
      <c r="H1659" s="7" t="str">
        <f>IFERROR(VLOOKUP(Table2[[#This Row],[Ticket]],Okey!A:B,2,0),"")</f>
        <v>ok</v>
      </c>
      <c r="I1659" s="7" t="s">
        <v>3679</v>
      </c>
      <c r="J1659" s="7" t="str">
        <f>VLOOKUP(Table2[[#This Row],[Author]],People!A:B,2,0)</f>
        <v>EL</v>
      </c>
      <c r="K1659" s="7"/>
      <c r="L1659" s="7"/>
      <c r="M1659" s="16" t="s">
        <v>2804</v>
      </c>
    </row>
    <row r="1660" spans="1:13" x14ac:dyDescent="0.25">
      <c r="A1660" s="22">
        <f t="shared" si="25"/>
        <v>1659</v>
      </c>
      <c r="B1660" s="6" t="s">
        <v>4851</v>
      </c>
      <c r="C1660" s="6" t="s">
        <v>5944</v>
      </c>
      <c r="D1660" s="6" t="s">
        <v>5502</v>
      </c>
      <c r="E1660" s="6"/>
      <c r="F1660" s="6" t="s">
        <v>327</v>
      </c>
      <c r="G1660" s="6" t="s">
        <v>24</v>
      </c>
      <c r="H1660" s="6" t="str">
        <f>IFERROR(VLOOKUP(Table2[[#This Row],[Ticket]],Okey!A:B,2,0),"")</f>
        <v>ok</v>
      </c>
      <c r="I1660" s="6" t="s">
        <v>3679</v>
      </c>
      <c r="J1660" s="6" t="str">
        <f>VLOOKUP(Table2[[#This Row],[Author]],People!A:B,2,0)</f>
        <v>EL</v>
      </c>
      <c r="K1660" s="6"/>
      <c r="L1660" s="6"/>
      <c r="M1660" s="21" t="s">
        <v>2804</v>
      </c>
    </row>
    <row r="1661" spans="1:13" x14ac:dyDescent="0.25">
      <c r="A1661" s="23">
        <f t="shared" si="25"/>
        <v>1660</v>
      </c>
      <c r="B1661" s="7" t="s">
        <v>4851</v>
      </c>
      <c r="C1661" s="7" t="s">
        <v>5944</v>
      </c>
      <c r="D1661" s="7" t="s">
        <v>5504</v>
      </c>
      <c r="E1661" s="7"/>
      <c r="F1661" s="7" t="s">
        <v>327</v>
      </c>
      <c r="G1661" s="7" t="s">
        <v>24</v>
      </c>
      <c r="H1661" s="7" t="str">
        <f>IFERROR(VLOOKUP(Table2[[#This Row],[Ticket]],Okey!A:B,2,0),"")</f>
        <v>ok</v>
      </c>
      <c r="I1661" s="7" t="s">
        <v>3679</v>
      </c>
      <c r="J1661" s="7" t="str">
        <f>VLOOKUP(Table2[[#This Row],[Author]],People!A:B,2,0)</f>
        <v>EL</v>
      </c>
      <c r="K1661" s="7"/>
      <c r="L1661" s="7"/>
      <c r="M1661" s="16" t="s">
        <v>2804</v>
      </c>
    </row>
    <row r="1662" spans="1:13" x14ac:dyDescent="0.25">
      <c r="A1662" s="22">
        <f t="shared" si="25"/>
        <v>1661</v>
      </c>
      <c r="B1662" s="6" t="s">
        <v>4851</v>
      </c>
      <c r="C1662" s="6" t="s">
        <v>5944</v>
      </c>
      <c r="D1662" s="6" t="s">
        <v>5906</v>
      </c>
      <c r="E1662" s="6"/>
      <c r="F1662" s="6" t="s">
        <v>327</v>
      </c>
      <c r="G1662" s="6" t="s">
        <v>24</v>
      </c>
      <c r="H1662" s="6" t="str">
        <f>IFERROR(VLOOKUP(Table2[[#This Row],[Ticket]],Okey!A:B,2,0),"")</f>
        <v>ok</v>
      </c>
      <c r="I1662" s="6" t="s">
        <v>3679</v>
      </c>
      <c r="J1662" s="6" t="str">
        <f>VLOOKUP(Table2[[#This Row],[Author]],People!A:B,2,0)</f>
        <v>EL</v>
      </c>
      <c r="K1662" s="6"/>
      <c r="L1662" s="6"/>
      <c r="M1662" s="21" t="s">
        <v>2804</v>
      </c>
    </row>
    <row r="1663" spans="1:13" x14ac:dyDescent="0.25">
      <c r="A1663" s="23">
        <f t="shared" si="25"/>
        <v>1662</v>
      </c>
      <c r="B1663" s="7" t="s">
        <v>4851</v>
      </c>
      <c r="C1663" s="7" t="s">
        <v>5944</v>
      </c>
      <c r="D1663" s="7" t="s">
        <v>5947</v>
      </c>
      <c r="E1663" s="7"/>
      <c r="F1663" s="7" t="s">
        <v>327</v>
      </c>
      <c r="G1663" s="7" t="s">
        <v>24</v>
      </c>
      <c r="H1663" s="7" t="str">
        <f>IFERROR(VLOOKUP(Table2[[#This Row],[Ticket]],Okey!A:B,2,0),"")</f>
        <v>ok</v>
      </c>
      <c r="I1663" s="7" t="s">
        <v>3679</v>
      </c>
      <c r="J1663" s="7" t="str">
        <f>VLOOKUP(Table2[[#This Row],[Author]],People!A:B,2,0)</f>
        <v>EL</v>
      </c>
      <c r="K1663" s="7"/>
      <c r="L1663" s="7"/>
      <c r="M1663" s="16" t="s">
        <v>2804</v>
      </c>
    </row>
    <row r="1664" spans="1:13" x14ac:dyDescent="0.25">
      <c r="A1664" s="22">
        <f t="shared" si="25"/>
        <v>1663</v>
      </c>
      <c r="B1664" s="6" t="s">
        <v>4851</v>
      </c>
      <c r="C1664" s="6" t="s">
        <v>5944</v>
      </c>
      <c r="D1664" s="6" t="s">
        <v>5948</v>
      </c>
      <c r="E1664" s="6"/>
      <c r="F1664" s="6" t="s">
        <v>327</v>
      </c>
      <c r="G1664" s="6" t="s">
        <v>24</v>
      </c>
      <c r="H1664" s="6" t="str">
        <f>IFERROR(VLOOKUP(Table2[[#This Row],[Ticket]],Okey!A:B,2,0),"")</f>
        <v>ok</v>
      </c>
      <c r="I1664" s="6" t="s">
        <v>3679</v>
      </c>
      <c r="J1664" s="6" t="str">
        <f>VLOOKUP(Table2[[#This Row],[Author]],People!A:B,2,0)</f>
        <v>EL</v>
      </c>
      <c r="K1664" s="6"/>
      <c r="L1664" s="6"/>
      <c r="M1664" s="21" t="s">
        <v>2804</v>
      </c>
    </row>
    <row r="1665" spans="1:13" x14ac:dyDescent="0.25">
      <c r="A1665" s="23">
        <f t="shared" si="25"/>
        <v>1664</v>
      </c>
      <c r="B1665" s="7" t="s">
        <v>4851</v>
      </c>
      <c r="C1665" s="7" t="s">
        <v>5944</v>
      </c>
      <c r="D1665" s="7" t="s">
        <v>5949</v>
      </c>
      <c r="E1665" s="7"/>
      <c r="F1665" s="7" t="s">
        <v>327</v>
      </c>
      <c r="G1665" s="7" t="s">
        <v>24</v>
      </c>
      <c r="H1665" s="7" t="str">
        <f>IFERROR(VLOOKUP(Table2[[#This Row],[Ticket]],Okey!A:B,2,0),"")</f>
        <v>ok</v>
      </c>
      <c r="I1665" s="7" t="s">
        <v>3679</v>
      </c>
      <c r="J1665" s="7" t="str">
        <f>VLOOKUP(Table2[[#This Row],[Author]],People!A:B,2,0)</f>
        <v>EL</v>
      </c>
      <c r="K1665" s="7"/>
      <c r="L1665" s="7"/>
      <c r="M1665" s="16" t="s">
        <v>2804</v>
      </c>
    </row>
    <row r="1666" spans="1:13" x14ac:dyDescent="0.25">
      <c r="A1666" s="22">
        <f t="shared" si="25"/>
        <v>1665</v>
      </c>
      <c r="B1666" s="6" t="s">
        <v>4851</v>
      </c>
      <c r="C1666" s="6" t="s">
        <v>5944</v>
      </c>
      <c r="D1666" s="6" t="s">
        <v>5950</v>
      </c>
      <c r="E1666" s="6"/>
      <c r="F1666" s="6" t="s">
        <v>327</v>
      </c>
      <c r="G1666" s="6" t="s">
        <v>24</v>
      </c>
      <c r="H1666" s="6" t="str">
        <f>IFERROR(VLOOKUP(Table2[[#This Row],[Ticket]],Okey!A:B,2,0),"")</f>
        <v>ok</v>
      </c>
      <c r="I1666" s="6" t="s">
        <v>3679</v>
      </c>
      <c r="J1666" s="6" t="str">
        <f>VLOOKUP(Table2[[#This Row],[Author]],People!A:B,2,0)</f>
        <v>EL</v>
      </c>
      <c r="K1666" s="6"/>
      <c r="L1666" s="6"/>
      <c r="M1666" s="21" t="s">
        <v>2804</v>
      </c>
    </row>
    <row r="1667" spans="1:13" x14ac:dyDescent="0.25">
      <c r="A1667" s="23">
        <f t="shared" ref="A1667:A1730" si="26">1+A1666</f>
        <v>1666</v>
      </c>
      <c r="B1667" s="7" t="s">
        <v>4851</v>
      </c>
      <c r="C1667" s="7" t="s">
        <v>5944</v>
      </c>
      <c r="D1667" s="7" t="s">
        <v>5951</v>
      </c>
      <c r="E1667" s="7"/>
      <c r="F1667" s="7" t="s">
        <v>327</v>
      </c>
      <c r="G1667" s="7" t="s">
        <v>24</v>
      </c>
      <c r="H1667" s="7" t="str">
        <f>IFERROR(VLOOKUP(Table2[[#This Row],[Ticket]],Okey!A:B,2,0),"")</f>
        <v>ok</v>
      </c>
      <c r="I1667" s="7" t="s">
        <v>3679</v>
      </c>
      <c r="J1667" s="7" t="str">
        <f>VLOOKUP(Table2[[#This Row],[Author]],People!A:B,2,0)</f>
        <v>EL</v>
      </c>
      <c r="K1667" s="7"/>
      <c r="L1667" s="7"/>
      <c r="M1667" s="16" t="s">
        <v>2804</v>
      </c>
    </row>
    <row r="1668" spans="1:13" x14ac:dyDescent="0.25">
      <c r="A1668" s="22">
        <f t="shared" si="26"/>
        <v>1667</v>
      </c>
      <c r="B1668" s="6" t="s">
        <v>4851</v>
      </c>
      <c r="C1668" s="6" t="s">
        <v>5944</v>
      </c>
      <c r="D1668" s="6" t="s">
        <v>4819</v>
      </c>
      <c r="E1668" s="6"/>
      <c r="F1668" s="6" t="s">
        <v>327</v>
      </c>
      <c r="G1668" s="6" t="s">
        <v>24</v>
      </c>
      <c r="H1668" s="6" t="str">
        <f>IFERROR(VLOOKUP(Table2[[#This Row],[Ticket]],Okey!A:B,2,0),"")</f>
        <v>ok</v>
      </c>
      <c r="I1668" s="6" t="s">
        <v>3679</v>
      </c>
      <c r="J1668" s="6" t="str">
        <f>VLOOKUP(Table2[[#This Row],[Author]],People!A:B,2,0)</f>
        <v>EL</v>
      </c>
      <c r="K1668" s="6"/>
      <c r="L1668" s="6"/>
      <c r="M1668" s="21" t="s">
        <v>2804</v>
      </c>
    </row>
    <row r="1669" spans="1:13" x14ac:dyDescent="0.25">
      <c r="A1669" s="23">
        <f t="shared" si="26"/>
        <v>1668</v>
      </c>
      <c r="B1669" s="7" t="s">
        <v>4851</v>
      </c>
      <c r="C1669" s="7" t="s">
        <v>5944</v>
      </c>
      <c r="D1669" s="7" t="s">
        <v>5952</v>
      </c>
      <c r="E1669" s="7"/>
      <c r="F1669" s="7" t="s">
        <v>327</v>
      </c>
      <c r="G1669" s="7" t="s">
        <v>24</v>
      </c>
      <c r="H1669" s="7" t="str">
        <f>IFERROR(VLOOKUP(Table2[[#This Row],[Ticket]],Okey!A:B,2,0),"")</f>
        <v>ok</v>
      </c>
      <c r="I1669" s="7" t="s">
        <v>3679</v>
      </c>
      <c r="J1669" s="7" t="str">
        <f>VLOOKUP(Table2[[#This Row],[Author]],People!A:B,2,0)</f>
        <v>EL</v>
      </c>
      <c r="K1669" s="7"/>
      <c r="L1669" s="7"/>
      <c r="M1669" s="16" t="s">
        <v>2804</v>
      </c>
    </row>
    <row r="1670" spans="1:13" x14ac:dyDescent="0.25">
      <c r="A1670" s="22">
        <f t="shared" si="26"/>
        <v>1669</v>
      </c>
      <c r="B1670" s="6" t="s">
        <v>4851</v>
      </c>
      <c r="C1670" s="6" t="s">
        <v>5944</v>
      </c>
      <c r="D1670" s="6" t="s">
        <v>5953</v>
      </c>
      <c r="E1670" s="6"/>
      <c r="F1670" s="6" t="s">
        <v>327</v>
      </c>
      <c r="G1670" s="6" t="s">
        <v>24</v>
      </c>
      <c r="H1670" s="6" t="str">
        <f>IFERROR(VLOOKUP(Table2[[#This Row],[Ticket]],Okey!A:B,2,0),"")</f>
        <v>ok</v>
      </c>
      <c r="I1670" s="6" t="s">
        <v>3679</v>
      </c>
      <c r="J1670" s="6" t="str">
        <f>VLOOKUP(Table2[[#This Row],[Author]],People!A:B,2,0)</f>
        <v>EL</v>
      </c>
      <c r="K1670" s="6"/>
      <c r="L1670" s="6"/>
      <c r="M1670" s="21" t="s">
        <v>2804</v>
      </c>
    </row>
    <row r="1671" spans="1:13" x14ac:dyDescent="0.25">
      <c r="A1671" s="23">
        <f t="shared" si="26"/>
        <v>1670</v>
      </c>
      <c r="B1671" s="7" t="s">
        <v>4851</v>
      </c>
      <c r="C1671" s="7" t="s">
        <v>5944</v>
      </c>
      <c r="D1671" s="7" t="s">
        <v>5954</v>
      </c>
      <c r="E1671" s="7"/>
      <c r="F1671" s="7" t="s">
        <v>327</v>
      </c>
      <c r="G1671" s="7" t="s">
        <v>24</v>
      </c>
      <c r="H1671" s="7" t="str">
        <f>IFERROR(VLOOKUP(Table2[[#This Row],[Ticket]],Okey!A:B,2,0),"")</f>
        <v>ok</v>
      </c>
      <c r="I1671" s="7" t="s">
        <v>3679</v>
      </c>
      <c r="J1671" s="7" t="str">
        <f>VLOOKUP(Table2[[#This Row],[Author]],People!A:B,2,0)</f>
        <v>EL</v>
      </c>
      <c r="K1671" s="7"/>
      <c r="L1671" s="7"/>
      <c r="M1671" s="16" t="s">
        <v>2804</v>
      </c>
    </row>
    <row r="1672" spans="1:13" x14ac:dyDescent="0.25">
      <c r="A1672" s="22">
        <f t="shared" si="26"/>
        <v>1671</v>
      </c>
      <c r="B1672" s="6" t="s">
        <v>4851</v>
      </c>
      <c r="C1672" s="6" t="s">
        <v>5944</v>
      </c>
      <c r="D1672" s="6" t="s">
        <v>5955</v>
      </c>
      <c r="E1672" s="6"/>
      <c r="F1672" s="6" t="s">
        <v>327</v>
      </c>
      <c r="G1672" s="6" t="s">
        <v>24</v>
      </c>
      <c r="H1672" s="6" t="str">
        <f>IFERROR(VLOOKUP(Table2[[#This Row],[Ticket]],Okey!A:B,2,0),"")</f>
        <v>ok</v>
      </c>
      <c r="I1672" s="6" t="s">
        <v>3679</v>
      </c>
      <c r="J1672" s="6" t="str">
        <f>VLOOKUP(Table2[[#This Row],[Author]],People!A:B,2,0)</f>
        <v>HC</v>
      </c>
      <c r="K1672" s="6"/>
      <c r="L1672" s="6"/>
      <c r="M1672" s="21" t="s">
        <v>2804</v>
      </c>
    </row>
    <row r="1673" spans="1:13" x14ac:dyDescent="0.25">
      <c r="A1673" s="23">
        <f t="shared" si="26"/>
        <v>1672</v>
      </c>
      <c r="B1673" s="7" t="s">
        <v>4851</v>
      </c>
      <c r="C1673" s="7" t="s">
        <v>5944</v>
      </c>
      <c r="D1673" s="7" t="s">
        <v>5511</v>
      </c>
      <c r="E1673" s="7"/>
      <c r="F1673" s="7" t="s">
        <v>327</v>
      </c>
      <c r="G1673" s="7" t="s">
        <v>24</v>
      </c>
      <c r="H1673" s="7" t="str">
        <f>IFERROR(VLOOKUP(Table2[[#This Row],[Ticket]],Okey!A:B,2,0),"")</f>
        <v>ok</v>
      </c>
      <c r="I1673" s="7" t="s">
        <v>3679</v>
      </c>
      <c r="J1673" s="7" t="str">
        <f>VLOOKUP(Table2[[#This Row],[Author]],People!A:B,2,0)</f>
        <v>EL</v>
      </c>
      <c r="K1673" s="7"/>
      <c r="L1673" s="7"/>
      <c r="M1673" s="16" t="s">
        <v>2804</v>
      </c>
    </row>
    <row r="1674" spans="1:13" x14ac:dyDescent="0.25">
      <c r="A1674" s="22">
        <f t="shared" si="26"/>
        <v>1673</v>
      </c>
      <c r="B1674" s="6" t="s">
        <v>4851</v>
      </c>
      <c r="C1674" s="6" t="s">
        <v>5944</v>
      </c>
      <c r="D1674" s="6" t="s">
        <v>5508</v>
      </c>
      <c r="E1674" s="6"/>
      <c r="F1674" s="6" t="s">
        <v>327</v>
      </c>
      <c r="G1674" s="6" t="s">
        <v>24</v>
      </c>
      <c r="H1674" s="6" t="str">
        <f>IFERROR(VLOOKUP(Table2[[#This Row],[Ticket]],Okey!A:B,2,0),"")</f>
        <v>ok</v>
      </c>
      <c r="I1674" s="6" t="s">
        <v>3679</v>
      </c>
      <c r="J1674" s="6" t="str">
        <f>VLOOKUP(Table2[[#This Row],[Author]],People!A:B,2,0)</f>
        <v>EL</v>
      </c>
      <c r="K1674" s="6"/>
      <c r="L1674" s="6"/>
      <c r="M1674" s="21" t="s">
        <v>2804</v>
      </c>
    </row>
    <row r="1675" spans="1:13" x14ac:dyDescent="0.25">
      <c r="A1675" s="23">
        <f t="shared" si="26"/>
        <v>1674</v>
      </c>
      <c r="B1675" s="7" t="s">
        <v>4851</v>
      </c>
      <c r="C1675" s="7" t="s">
        <v>5944</v>
      </c>
      <c r="D1675" s="7" t="s">
        <v>5956</v>
      </c>
      <c r="E1675" s="7"/>
      <c r="F1675" s="7" t="s">
        <v>327</v>
      </c>
      <c r="G1675" s="7" t="s">
        <v>24</v>
      </c>
      <c r="H1675" s="7" t="str">
        <f>IFERROR(VLOOKUP(Table2[[#This Row],[Ticket]],Okey!A:B,2,0),"")</f>
        <v>ok</v>
      </c>
      <c r="I1675" s="7" t="s">
        <v>3679</v>
      </c>
      <c r="J1675" s="7" t="str">
        <f>VLOOKUP(Table2[[#This Row],[Author]],People!A:B,2,0)</f>
        <v>EL</v>
      </c>
      <c r="K1675" s="7"/>
      <c r="L1675" s="7"/>
      <c r="M1675" s="16" t="s">
        <v>2804</v>
      </c>
    </row>
    <row r="1676" spans="1:13" x14ac:dyDescent="0.25">
      <c r="A1676" s="22">
        <f t="shared" si="26"/>
        <v>1675</v>
      </c>
      <c r="B1676" s="6" t="s">
        <v>4851</v>
      </c>
      <c r="C1676" s="6" t="s">
        <v>5944</v>
      </c>
      <c r="D1676" s="6" t="s">
        <v>5957</v>
      </c>
      <c r="E1676" s="6"/>
      <c r="F1676" s="6" t="s">
        <v>327</v>
      </c>
      <c r="G1676" s="6" t="s">
        <v>24</v>
      </c>
      <c r="H1676" s="6" t="str">
        <f>IFERROR(VLOOKUP(Table2[[#This Row],[Ticket]],Okey!A:B,2,0),"")</f>
        <v>ok</v>
      </c>
      <c r="I1676" s="6" t="s">
        <v>3679</v>
      </c>
      <c r="J1676" s="6" t="str">
        <f>VLOOKUP(Table2[[#This Row],[Author]],People!A:B,2,0)</f>
        <v>EL</v>
      </c>
      <c r="K1676" s="6"/>
      <c r="L1676" s="6"/>
      <c r="M1676" s="21" t="s">
        <v>2804</v>
      </c>
    </row>
    <row r="1677" spans="1:13" x14ac:dyDescent="0.25">
      <c r="A1677" s="23">
        <f t="shared" si="26"/>
        <v>1676</v>
      </c>
      <c r="B1677" s="7" t="s">
        <v>4851</v>
      </c>
      <c r="C1677" s="7" t="s">
        <v>5944</v>
      </c>
      <c r="D1677" s="7" t="s">
        <v>5958</v>
      </c>
      <c r="E1677" s="7"/>
      <c r="F1677" s="7" t="s">
        <v>327</v>
      </c>
      <c r="G1677" s="7" t="s">
        <v>24</v>
      </c>
      <c r="H1677" s="7" t="str">
        <f>IFERROR(VLOOKUP(Table2[[#This Row],[Ticket]],Okey!A:B,2,0),"")</f>
        <v>ok</v>
      </c>
      <c r="I1677" s="7" t="s">
        <v>3679</v>
      </c>
      <c r="J1677" s="7" t="str">
        <f>VLOOKUP(Table2[[#This Row],[Author]],People!A:B,2,0)</f>
        <v>EL</v>
      </c>
      <c r="K1677" s="7"/>
      <c r="L1677" s="7"/>
      <c r="M1677" s="16" t="s">
        <v>2804</v>
      </c>
    </row>
    <row r="1678" spans="1:13" x14ac:dyDescent="0.25">
      <c r="A1678" s="22">
        <f t="shared" si="26"/>
        <v>1677</v>
      </c>
      <c r="B1678" s="6" t="s">
        <v>4851</v>
      </c>
      <c r="C1678" s="6" t="s">
        <v>5944</v>
      </c>
      <c r="D1678" s="6" t="s">
        <v>5959</v>
      </c>
      <c r="E1678" s="6"/>
      <c r="F1678" s="6" t="s">
        <v>327</v>
      </c>
      <c r="G1678" s="6" t="s">
        <v>24</v>
      </c>
      <c r="H1678" s="6" t="str">
        <f>IFERROR(VLOOKUP(Table2[[#This Row],[Ticket]],Okey!A:B,2,0),"")</f>
        <v>ok</v>
      </c>
      <c r="I1678" s="6" t="s">
        <v>3679</v>
      </c>
      <c r="J1678" s="6" t="str">
        <f>VLOOKUP(Table2[[#This Row],[Author]],People!A:B,2,0)</f>
        <v>EL</v>
      </c>
      <c r="K1678" s="6"/>
      <c r="L1678" s="6"/>
      <c r="M1678" s="21" t="s">
        <v>2804</v>
      </c>
    </row>
    <row r="1679" spans="1:13" x14ac:dyDescent="0.25">
      <c r="A1679" s="23">
        <f t="shared" si="26"/>
        <v>1678</v>
      </c>
      <c r="B1679" s="7" t="s">
        <v>4851</v>
      </c>
      <c r="C1679" s="7" t="s">
        <v>5944</v>
      </c>
      <c r="D1679" s="7" t="s">
        <v>5559</v>
      </c>
      <c r="E1679" s="7"/>
      <c r="F1679" s="7" t="s">
        <v>327</v>
      </c>
      <c r="G1679" s="7" t="s">
        <v>24</v>
      </c>
      <c r="H1679" s="7" t="str">
        <f>IFERROR(VLOOKUP(Table2[[#This Row],[Ticket]],Okey!A:B,2,0),"")</f>
        <v>ok</v>
      </c>
      <c r="I1679" s="7" t="s">
        <v>3679</v>
      </c>
      <c r="J1679" s="7" t="str">
        <f>VLOOKUP(Table2[[#This Row],[Author]],People!A:B,2,0)</f>
        <v>EL</v>
      </c>
      <c r="K1679" s="7"/>
      <c r="L1679" s="7"/>
      <c r="M1679" s="16" t="s">
        <v>2804</v>
      </c>
    </row>
    <row r="1680" spans="1:13" x14ac:dyDescent="0.25">
      <c r="A1680" s="22">
        <f t="shared" si="26"/>
        <v>1679</v>
      </c>
      <c r="B1680" s="6" t="s">
        <v>5960</v>
      </c>
      <c r="C1680" s="6" t="s">
        <v>5961</v>
      </c>
      <c r="D1680" s="6" t="s">
        <v>4879</v>
      </c>
      <c r="E1680" s="6"/>
      <c r="F1680" s="6"/>
      <c r="G1680" s="6" t="s">
        <v>328</v>
      </c>
      <c r="H1680" s="6" t="str">
        <f>IFERROR(VLOOKUP(Table2[[#This Row],[Ticket]],Okey!A:B,2,0),"")</f>
        <v>ok</v>
      </c>
      <c r="I1680" s="6" t="s">
        <v>3679</v>
      </c>
      <c r="J1680" s="6" t="str">
        <f>VLOOKUP(Table2[[#This Row],[Author]],People!A:B,2,0)</f>
        <v>EL</v>
      </c>
      <c r="K1680" s="6"/>
      <c r="L1680" s="6"/>
      <c r="M1680" s="21" t="s">
        <v>1040</v>
      </c>
    </row>
    <row r="1681" spans="1:13" x14ac:dyDescent="0.25">
      <c r="A1681" s="23">
        <f t="shared" si="26"/>
        <v>1680</v>
      </c>
      <c r="B1681" s="7" t="s">
        <v>5960</v>
      </c>
      <c r="C1681" s="7" t="s">
        <v>5962</v>
      </c>
      <c r="D1681" s="7" t="s">
        <v>5963</v>
      </c>
      <c r="E1681" s="7"/>
      <c r="F1681" s="7"/>
      <c r="G1681" s="7" t="s">
        <v>328</v>
      </c>
      <c r="H1681" s="7" t="str">
        <f>IFERROR(VLOOKUP(Table2[[#This Row],[Ticket]],Okey!A:B,2,0),"")</f>
        <v>ok</v>
      </c>
      <c r="I1681" s="7" t="s">
        <v>3679</v>
      </c>
      <c r="J1681" s="7" t="str">
        <f>VLOOKUP(Table2[[#This Row],[Author]],People!A:B,2,0)</f>
        <v>EL</v>
      </c>
      <c r="K1681" s="7"/>
      <c r="L1681" s="7"/>
      <c r="M1681" s="16" t="s">
        <v>3963</v>
      </c>
    </row>
    <row r="1682" spans="1:13" x14ac:dyDescent="0.25">
      <c r="A1682" s="22">
        <f t="shared" si="26"/>
        <v>1681</v>
      </c>
      <c r="B1682" s="6" t="s">
        <v>5960</v>
      </c>
      <c r="C1682" s="6" t="s">
        <v>5964</v>
      </c>
      <c r="D1682" s="33" t="s">
        <v>4608</v>
      </c>
      <c r="E1682" s="6"/>
      <c r="F1682" s="6"/>
      <c r="G1682" s="6" t="s">
        <v>328</v>
      </c>
      <c r="H1682" s="6" t="str">
        <f>IFERROR(VLOOKUP(Table2[[#This Row],[Ticket]],Okey!A:B,2,0),"")</f>
        <v>ok</v>
      </c>
      <c r="I1682" s="6" t="s">
        <v>3679</v>
      </c>
      <c r="J1682" s="6" t="str">
        <f>VLOOKUP(Table2[[#This Row],[Author]],People!A:B,2,0)</f>
        <v>EL</v>
      </c>
      <c r="K1682" s="6" t="s">
        <v>5965</v>
      </c>
      <c r="L1682" s="6"/>
      <c r="M1682" s="21" t="s">
        <v>1040</v>
      </c>
    </row>
    <row r="1683" spans="1:13" x14ac:dyDescent="0.25">
      <c r="A1683" s="23">
        <f t="shared" si="26"/>
        <v>1682</v>
      </c>
      <c r="B1683" s="7" t="s">
        <v>5960</v>
      </c>
      <c r="C1683" s="7" t="s">
        <v>5964</v>
      </c>
      <c r="D1683" s="31" t="s">
        <v>5966</v>
      </c>
      <c r="E1683" s="7"/>
      <c r="F1683" s="7"/>
      <c r="G1683" s="7" t="s">
        <v>328</v>
      </c>
      <c r="H1683" s="7" t="str">
        <f>IFERROR(VLOOKUP(Table2[[#This Row],[Ticket]],Okey!A:B,2,0),"")</f>
        <v>ok</v>
      </c>
      <c r="I1683" s="7" t="s">
        <v>3679</v>
      </c>
      <c r="J1683" s="7" t="str">
        <f>VLOOKUP(Table2[[#This Row],[Author]],People!A:B,2,0)</f>
        <v>EL</v>
      </c>
      <c r="K1683" s="7" t="s">
        <v>5965</v>
      </c>
      <c r="L1683" s="7"/>
      <c r="M1683" s="16" t="s">
        <v>1040</v>
      </c>
    </row>
    <row r="1684" spans="1:13" x14ac:dyDescent="0.25">
      <c r="A1684" s="22">
        <f t="shared" si="26"/>
        <v>1683</v>
      </c>
      <c r="B1684" s="6" t="s">
        <v>5960</v>
      </c>
      <c r="C1684" s="6" t="s">
        <v>5964</v>
      </c>
      <c r="D1684" s="33" t="s">
        <v>5967</v>
      </c>
      <c r="E1684" s="6"/>
      <c r="F1684" s="6"/>
      <c r="G1684" s="6" t="s">
        <v>328</v>
      </c>
      <c r="H1684" s="6" t="str">
        <f>IFERROR(VLOOKUP(Table2[[#This Row],[Ticket]],Okey!A:B,2,0),"")</f>
        <v>ok</v>
      </c>
      <c r="I1684" s="6" t="s">
        <v>3679</v>
      </c>
      <c r="J1684" s="6" t="str">
        <f>VLOOKUP(Table2[[#This Row],[Author]],People!A:B,2,0)</f>
        <v>EL</v>
      </c>
      <c r="K1684" s="6" t="s">
        <v>5965</v>
      </c>
      <c r="L1684" s="6"/>
      <c r="M1684" s="21" t="s">
        <v>1040</v>
      </c>
    </row>
    <row r="1685" spans="1:13" x14ac:dyDescent="0.25">
      <c r="A1685" s="23">
        <f t="shared" si="26"/>
        <v>1684</v>
      </c>
      <c r="B1685" s="7" t="s">
        <v>5960</v>
      </c>
      <c r="C1685" s="7" t="s">
        <v>5964</v>
      </c>
      <c r="D1685" s="31" t="s">
        <v>5968</v>
      </c>
      <c r="E1685" s="7"/>
      <c r="F1685" s="7"/>
      <c r="G1685" s="7" t="s">
        <v>328</v>
      </c>
      <c r="H1685" s="7" t="str">
        <f>IFERROR(VLOOKUP(Table2[[#This Row],[Ticket]],Okey!A:B,2,0),"")</f>
        <v>ok</v>
      </c>
      <c r="I1685" s="7" t="s">
        <v>3679</v>
      </c>
      <c r="J1685" s="7" t="str">
        <f>VLOOKUP(Table2[[#This Row],[Author]],People!A:B,2,0)</f>
        <v>EL</v>
      </c>
      <c r="K1685" s="7" t="s">
        <v>5965</v>
      </c>
      <c r="L1685" s="7"/>
      <c r="M1685" s="16" t="s">
        <v>1040</v>
      </c>
    </row>
    <row r="1686" spans="1:13" x14ac:dyDescent="0.25">
      <c r="A1686" s="22">
        <f t="shared" si="26"/>
        <v>1685</v>
      </c>
      <c r="B1686" s="6" t="s">
        <v>5960</v>
      </c>
      <c r="C1686" s="6" t="s">
        <v>5964</v>
      </c>
      <c r="D1686" s="33" t="s">
        <v>5969</v>
      </c>
      <c r="E1686" s="6"/>
      <c r="F1686" s="6"/>
      <c r="G1686" s="6" t="s">
        <v>328</v>
      </c>
      <c r="H1686" s="6" t="str">
        <f>IFERROR(VLOOKUP(Table2[[#This Row],[Ticket]],Okey!A:B,2,0),"")</f>
        <v>ok</v>
      </c>
      <c r="I1686" s="6" t="s">
        <v>3679</v>
      </c>
      <c r="J1686" s="6" t="str">
        <f>VLOOKUP(Table2[[#This Row],[Author]],People!A:B,2,0)</f>
        <v>EL</v>
      </c>
      <c r="K1686" s="6" t="s">
        <v>5965</v>
      </c>
      <c r="L1686" s="6"/>
      <c r="M1686" s="21" t="s">
        <v>1040</v>
      </c>
    </row>
    <row r="1687" spans="1:13" x14ac:dyDescent="0.25">
      <c r="A1687" s="23">
        <f t="shared" si="26"/>
        <v>1686</v>
      </c>
      <c r="B1687" s="7" t="s">
        <v>5960</v>
      </c>
      <c r="C1687" s="7" t="s">
        <v>5964</v>
      </c>
      <c r="D1687" s="31" t="s">
        <v>5970</v>
      </c>
      <c r="E1687" s="7"/>
      <c r="F1687" s="7"/>
      <c r="G1687" s="7" t="s">
        <v>328</v>
      </c>
      <c r="H1687" s="7" t="str">
        <f>IFERROR(VLOOKUP(Table2[[#This Row],[Ticket]],Okey!A:B,2,0),"")</f>
        <v>ok</v>
      </c>
      <c r="I1687" s="7" t="s">
        <v>3679</v>
      </c>
      <c r="J1687" s="7" t="str">
        <f>VLOOKUP(Table2[[#This Row],[Author]],People!A:B,2,0)</f>
        <v>EL</v>
      </c>
      <c r="K1687" s="7" t="s">
        <v>5965</v>
      </c>
      <c r="L1687" s="7"/>
      <c r="M1687" s="16" t="s">
        <v>1040</v>
      </c>
    </row>
    <row r="1688" spans="1:13" x14ac:dyDescent="0.25">
      <c r="A1688" s="22">
        <f t="shared" si="26"/>
        <v>1687</v>
      </c>
      <c r="B1688" s="6" t="s">
        <v>5960</v>
      </c>
      <c r="C1688" s="6" t="s">
        <v>5964</v>
      </c>
      <c r="D1688" s="33" t="s">
        <v>5971</v>
      </c>
      <c r="E1688" s="6"/>
      <c r="F1688" s="6"/>
      <c r="G1688" s="6" t="s">
        <v>328</v>
      </c>
      <c r="H1688" s="6" t="str">
        <f>IFERROR(VLOOKUP(Table2[[#This Row],[Ticket]],Okey!A:B,2,0),"")</f>
        <v>ok</v>
      </c>
      <c r="I1688" s="6" t="s">
        <v>3679</v>
      </c>
      <c r="J1688" s="6" t="str">
        <f>VLOOKUP(Table2[[#This Row],[Author]],People!A:B,2,0)</f>
        <v>EL</v>
      </c>
      <c r="K1688" s="6" t="s">
        <v>5965</v>
      </c>
      <c r="L1688" s="6"/>
      <c r="M1688" s="21" t="s">
        <v>1040</v>
      </c>
    </row>
    <row r="1689" spans="1:13" x14ac:dyDescent="0.25">
      <c r="A1689" s="23">
        <f t="shared" si="26"/>
        <v>1688</v>
      </c>
      <c r="B1689" s="7" t="s">
        <v>5960</v>
      </c>
      <c r="C1689" s="7" t="s">
        <v>5964</v>
      </c>
      <c r="D1689" s="31" t="s">
        <v>2322</v>
      </c>
      <c r="E1689" s="7"/>
      <c r="F1689" s="7"/>
      <c r="G1689" s="7" t="s">
        <v>328</v>
      </c>
      <c r="H1689" s="7" t="str">
        <f>IFERROR(VLOOKUP(Table2[[#This Row],[Ticket]],Okey!A:B,2,0),"")</f>
        <v>ok</v>
      </c>
      <c r="I1689" s="7" t="s">
        <v>3679</v>
      </c>
      <c r="J1689" s="7" t="str">
        <f>VLOOKUP(Table2[[#This Row],[Author]],People!A:B,2,0)</f>
        <v>EL</v>
      </c>
      <c r="K1689" s="7" t="s">
        <v>5965</v>
      </c>
      <c r="L1689" s="7"/>
      <c r="M1689" s="16" t="s">
        <v>1040</v>
      </c>
    </row>
    <row r="1690" spans="1:13" x14ac:dyDescent="0.25">
      <c r="A1690" s="22">
        <f t="shared" si="26"/>
        <v>1689</v>
      </c>
      <c r="B1690" s="6" t="s">
        <v>5960</v>
      </c>
      <c r="C1690" s="6" t="s">
        <v>5964</v>
      </c>
      <c r="D1690" s="33" t="s">
        <v>5972</v>
      </c>
      <c r="E1690" s="6"/>
      <c r="F1690" s="6"/>
      <c r="G1690" s="6" t="s">
        <v>328</v>
      </c>
      <c r="H1690" s="6" t="str">
        <f>IFERROR(VLOOKUP(Table2[[#This Row],[Ticket]],Okey!A:B,2,0),"")</f>
        <v>ok</v>
      </c>
      <c r="I1690" s="6" t="s">
        <v>3679</v>
      </c>
      <c r="J1690" s="6" t="str">
        <f>VLOOKUP(Table2[[#This Row],[Author]],People!A:B,2,0)</f>
        <v>EL</v>
      </c>
      <c r="K1690" s="6" t="s">
        <v>5965</v>
      </c>
      <c r="L1690" s="6"/>
      <c r="M1690" s="21" t="s">
        <v>1040</v>
      </c>
    </row>
    <row r="1691" spans="1:13" x14ac:dyDescent="0.25">
      <c r="A1691" s="23">
        <f t="shared" si="26"/>
        <v>1690</v>
      </c>
      <c r="B1691" s="7" t="s">
        <v>5960</v>
      </c>
      <c r="C1691" s="7" t="s">
        <v>5964</v>
      </c>
      <c r="D1691" s="31" t="s">
        <v>5973</v>
      </c>
      <c r="E1691" s="7"/>
      <c r="F1691" s="7"/>
      <c r="G1691" s="7" t="s">
        <v>328</v>
      </c>
      <c r="H1691" s="7" t="str">
        <f>IFERROR(VLOOKUP(Table2[[#This Row],[Ticket]],Okey!A:B,2,0),"")</f>
        <v>ok</v>
      </c>
      <c r="I1691" s="7" t="s">
        <v>3679</v>
      </c>
      <c r="J1691" s="7" t="str">
        <f>VLOOKUP(Table2[[#This Row],[Author]],People!A:B,2,0)</f>
        <v>EL</v>
      </c>
      <c r="K1691" s="7" t="s">
        <v>5965</v>
      </c>
      <c r="L1691" s="7"/>
      <c r="M1691" s="16" t="s">
        <v>1040</v>
      </c>
    </row>
    <row r="1692" spans="1:13" x14ac:dyDescent="0.25">
      <c r="A1692" s="22">
        <f t="shared" si="26"/>
        <v>1691</v>
      </c>
      <c r="B1692" s="6" t="s">
        <v>5960</v>
      </c>
      <c r="C1692" s="6" t="s">
        <v>5964</v>
      </c>
      <c r="D1692" s="33" t="s">
        <v>5974</v>
      </c>
      <c r="E1692" s="6"/>
      <c r="F1692" s="6"/>
      <c r="G1692" s="6" t="s">
        <v>328</v>
      </c>
      <c r="H1692" s="6" t="str">
        <f>IFERROR(VLOOKUP(Table2[[#This Row],[Ticket]],Okey!A:B,2,0),"")</f>
        <v>ok</v>
      </c>
      <c r="I1692" s="6" t="s">
        <v>3679</v>
      </c>
      <c r="J1692" s="6" t="str">
        <f>VLOOKUP(Table2[[#This Row],[Author]],People!A:B,2,0)</f>
        <v>EL</v>
      </c>
      <c r="K1692" s="6" t="s">
        <v>5965</v>
      </c>
      <c r="L1692" s="6"/>
      <c r="M1692" s="21" t="s">
        <v>1040</v>
      </c>
    </row>
    <row r="1693" spans="1:13" x14ac:dyDescent="0.25">
      <c r="A1693" s="23">
        <f t="shared" si="26"/>
        <v>1692</v>
      </c>
      <c r="B1693" s="7" t="s">
        <v>5960</v>
      </c>
      <c r="C1693" s="7" t="s">
        <v>5964</v>
      </c>
      <c r="D1693" s="31" t="s">
        <v>5975</v>
      </c>
      <c r="E1693" s="7"/>
      <c r="F1693" s="7"/>
      <c r="G1693" s="7" t="s">
        <v>328</v>
      </c>
      <c r="H1693" s="7" t="str">
        <f>IFERROR(VLOOKUP(Table2[[#This Row],[Ticket]],Okey!A:B,2,0),"")</f>
        <v>ok</v>
      </c>
      <c r="I1693" s="7" t="s">
        <v>3679</v>
      </c>
      <c r="J1693" s="7" t="str">
        <f>VLOOKUP(Table2[[#This Row],[Author]],People!A:B,2,0)</f>
        <v>EL</v>
      </c>
      <c r="K1693" s="7" t="s">
        <v>5965</v>
      </c>
      <c r="L1693" s="7"/>
      <c r="M1693" s="16" t="s">
        <v>1040</v>
      </c>
    </row>
    <row r="1694" spans="1:13" x14ac:dyDescent="0.25">
      <c r="A1694" s="22">
        <f t="shared" si="26"/>
        <v>1693</v>
      </c>
      <c r="B1694" s="6" t="s">
        <v>5960</v>
      </c>
      <c r="C1694" s="6" t="s">
        <v>5964</v>
      </c>
      <c r="D1694" s="33" t="s">
        <v>5976</v>
      </c>
      <c r="E1694" s="6"/>
      <c r="F1694" s="6"/>
      <c r="G1694" s="6" t="s">
        <v>328</v>
      </c>
      <c r="H1694" s="6" t="str">
        <f>IFERROR(VLOOKUP(Table2[[#This Row],[Ticket]],Okey!A:B,2,0),"")</f>
        <v>ok</v>
      </c>
      <c r="I1694" s="6" t="s">
        <v>3679</v>
      </c>
      <c r="J1694" s="6" t="str">
        <f>VLOOKUP(Table2[[#This Row],[Author]],People!A:B,2,0)</f>
        <v>EL</v>
      </c>
      <c r="K1694" s="6" t="s">
        <v>5965</v>
      </c>
      <c r="L1694" s="6"/>
      <c r="M1694" s="21" t="s">
        <v>1040</v>
      </c>
    </row>
    <row r="1695" spans="1:13" x14ac:dyDescent="0.25">
      <c r="A1695" s="23">
        <f t="shared" si="26"/>
        <v>1694</v>
      </c>
      <c r="B1695" s="7" t="s">
        <v>5960</v>
      </c>
      <c r="C1695" s="7" t="s">
        <v>5964</v>
      </c>
      <c r="D1695" s="31" t="s">
        <v>5977</v>
      </c>
      <c r="E1695" s="7"/>
      <c r="F1695" s="7"/>
      <c r="G1695" s="7" t="s">
        <v>328</v>
      </c>
      <c r="H1695" s="7" t="str">
        <f>IFERROR(VLOOKUP(Table2[[#This Row],[Ticket]],Okey!A:B,2,0),"")</f>
        <v>ok</v>
      </c>
      <c r="I1695" s="7" t="s">
        <v>3679</v>
      </c>
      <c r="J1695" s="7" t="str">
        <f>VLOOKUP(Table2[[#This Row],[Author]],People!A:B,2,0)</f>
        <v>EL</v>
      </c>
      <c r="K1695" s="7" t="s">
        <v>5965</v>
      </c>
      <c r="L1695" s="7"/>
      <c r="M1695" s="16" t="s">
        <v>1040</v>
      </c>
    </row>
    <row r="1696" spans="1:13" x14ac:dyDescent="0.25">
      <c r="A1696" s="22">
        <f t="shared" si="26"/>
        <v>1695</v>
      </c>
      <c r="B1696" s="6" t="s">
        <v>5960</v>
      </c>
      <c r="C1696" s="6" t="s">
        <v>5978</v>
      </c>
      <c r="D1696" s="6" t="s">
        <v>5979</v>
      </c>
      <c r="E1696" s="6"/>
      <c r="F1696" s="6"/>
      <c r="G1696" s="6" t="s">
        <v>328</v>
      </c>
      <c r="H1696" s="6" t="str">
        <f>IFERROR(VLOOKUP(Table2[[#This Row],[Ticket]],Okey!A:B,2,0),"")</f>
        <v>ok</v>
      </c>
      <c r="I1696" s="6" t="s">
        <v>3679</v>
      </c>
      <c r="J1696" s="6" t="str">
        <f>VLOOKUP(Table2[[#This Row],[Author]],People!A:B,2,0)</f>
        <v>EL</v>
      </c>
      <c r="K1696" s="6" t="s">
        <v>5965</v>
      </c>
      <c r="L1696" s="6"/>
      <c r="M1696" s="21" t="s">
        <v>1040</v>
      </c>
    </row>
    <row r="1697" spans="1:13" x14ac:dyDescent="0.25">
      <c r="A1697" s="23">
        <f t="shared" si="26"/>
        <v>1696</v>
      </c>
      <c r="B1697" s="7" t="s">
        <v>5960</v>
      </c>
      <c r="C1697" s="7" t="s">
        <v>5978</v>
      </c>
      <c r="D1697" s="7" t="s">
        <v>5980</v>
      </c>
      <c r="E1697" s="7"/>
      <c r="F1697" s="7"/>
      <c r="G1697" s="7" t="s">
        <v>328</v>
      </c>
      <c r="H1697" s="7" t="str">
        <f>IFERROR(VLOOKUP(Table2[[#This Row],[Ticket]],Okey!A:B,2,0),"")</f>
        <v>ok</v>
      </c>
      <c r="I1697" s="7" t="s">
        <v>3679</v>
      </c>
      <c r="J1697" s="7" t="str">
        <f>VLOOKUP(Table2[[#This Row],[Author]],People!A:B,2,0)</f>
        <v>EL</v>
      </c>
      <c r="K1697" s="7" t="s">
        <v>5965</v>
      </c>
      <c r="L1697" s="7"/>
      <c r="M1697" s="16" t="s">
        <v>1040</v>
      </c>
    </row>
    <row r="1698" spans="1:13" x14ac:dyDescent="0.25">
      <c r="A1698" s="22">
        <f t="shared" si="26"/>
        <v>1697</v>
      </c>
      <c r="B1698" s="6" t="s">
        <v>5960</v>
      </c>
      <c r="C1698" s="6" t="s">
        <v>5978</v>
      </c>
      <c r="D1698" s="6" t="s">
        <v>5981</v>
      </c>
      <c r="E1698" s="6"/>
      <c r="F1698" s="6"/>
      <c r="G1698" s="6" t="s">
        <v>328</v>
      </c>
      <c r="H1698" s="6" t="str">
        <f>IFERROR(VLOOKUP(Table2[[#This Row],[Ticket]],Okey!A:B,2,0),"")</f>
        <v>ok</v>
      </c>
      <c r="I1698" s="6" t="s">
        <v>3679</v>
      </c>
      <c r="J1698" s="6" t="str">
        <f>VLOOKUP(Table2[[#This Row],[Author]],People!A:B,2,0)</f>
        <v>EL</v>
      </c>
      <c r="K1698" s="6" t="s">
        <v>5965</v>
      </c>
      <c r="L1698" s="6"/>
      <c r="M1698" s="21" t="s">
        <v>1040</v>
      </c>
    </row>
    <row r="1699" spans="1:13" x14ac:dyDescent="0.25">
      <c r="A1699" s="23">
        <f t="shared" si="26"/>
        <v>1698</v>
      </c>
      <c r="B1699" s="7" t="s">
        <v>5960</v>
      </c>
      <c r="C1699" s="7" t="s">
        <v>5978</v>
      </c>
      <c r="D1699" s="7" t="s">
        <v>5982</v>
      </c>
      <c r="E1699" s="7"/>
      <c r="F1699" s="7"/>
      <c r="G1699" s="7" t="s">
        <v>328</v>
      </c>
      <c r="H1699" s="7" t="str">
        <f>IFERROR(VLOOKUP(Table2[[#This Row],[Ticket]],Okey!A:B,2,0),"")</f>
        <v>ok</v>
      </c>
      <c r="I1699" s="7" t="s">
        <v>3679</v>
      </c>
      <c r="J1699" s="7" t="str">
        <f>VLOOKUP(Table2[[#This Row],[Author]],People!A:B,2,0)</f>
        <v>EL</v>
      </c>
      <c r="K1699" s="7" t="s">
        <v>5965</v>
      </c>
      <c r="L1699" s="7"/>
      <c r="M1699" s="16" t="s">
        <v>1040</v>
      </c>
    </row>
    <row r="1700" spans="1:13" x14ac:dyDescent="0.25">
      <c r="A1700" s="22">
        <f t="shared" si="26"/>
        <v>1699</v>
      </c>
      <c r="B1700" s="6" t="s">
        <v>5960</v>
      </c>
      <c r="C1700" s="6" t="s">
        <v>5978</v>
      </c>
      <c r="D1700" s="6" t="s">
        <v>5983</v>
      </c>
      <c r="E1700" s="6"/>
      <c r="F1700" s="6"/>
      <c r="G1700" s="6" t="s">
        <v>328</v>
      </c>
      <c r="H1700" s="6" t="str">
        <f>IFERROR(VLOOKUP(Table2[[#This Row],[Ticket]],Okey!A:B,2,0),"")</f>
        <v>ok</v>
      </c>
      <c r="I1700" s="6" t="s">
        <v>3679</v>
      </c>
      <c r="J1700" s="6" t="str">
        <f>VLOOKUP(Table2[[#This Row],[Author]],People!A:B,2,0)</f>
        <v>EL</v>
      </c>
      <c r="K1700" s="6" t="s">
        <v>5965</v>
      </c>
      <c r="L1700" s="6"/>
      <c r="M1700" s="21" t="s">
        <v>1040</v>
      </c>
    </row>
    <row r="1701" spans="1:13" x14ac:dyDescent="0.25">
      <c r="A1701" s="23">
        <f t="shared" si="26"/>
        <v>1700</v>
      </c>
      <c r="B1701" s="7" t="s">
        <v>5960</v>
      </c>
      <c r="C1701" s="7" t="s">
        <v>5978</v>
      </c>
      <c r="D1701" s="7" t="s">
        <v>5984</v>
      </c>
      <c r="E1701" s="7"/>
      <c r="F1701" s="7"/>
      <c r="G1701" s="7" t="s">
        <v>328</v>
      </c>
      <c r="H1701" s="7" t="str">
        <f>IFERROR(VLOOKUP(Table2[[#This Row],[Ticket]],Okey!A:B,2,0),"")</f>
        <v>ok</v>
      </c>
      <c r="I1701" s="7" t="s">
        <v>3679</v>
      </c>
      <c r="J1701" s="7" t="str">
        <f>VLOOKUP(Table2[[#This Row],[Author]],People!A:B,2,0)</f>
        <v>EL</v>
      </c>
      <c r="K1701" s="7" t="s">
        <v>5965</v>
      </c>
      <c r="L1701" s="7"/>
      <c r="M1701" s="16" t="s">
        <v>1040</v>
      </c>
    </row>
    <row r="1702" spans="1:13" x14ac:dyDescent="0.25">
      <c r="A1702" s="22">
        <f t="shared" si="26"/>
        <v>1701</v>
      </c>
      <c r="B1702" s="6" t="s">
        <v>5960</v>
      </c>
      <c r="C1702" s="6" t="s">
        <v>5978</v>
      </c>
      <c r="D1702" s="6" t="s">
        <v>5985</v>
      </c>
      <c r="E1702" s="6"/>
      <c r="F1702" s="6"/>
      <c r="G1702" s="6" t="s">
        <v>328</v>
      </c>
      <c r="H1702" s="6" t="str">
        <f>IFERROR(VLOOKUP(Table2[[#This Row],[Ticket]],Okey!A:B,2,0),"")</f>
        <v>ok</v>
      </c>
      <c r="I1702" s="6" t="s">
        <v>3679</v>
      </c>
      <c r="J1702" s="6" t="str">
        <f>VLOOKUP(Table2[[#This Row],[Author]],People!A:B,2,0)</f>
        <v>EL</v>
      </c>
      <c r="K1702" s="6" t="s">
        <v>5965</v>
      </c>
      <c r="L1702" s="6"/>
      <c r="M1702" s="21" t="s">
        <v>1040</v>
      </c>
    </row>
    <row r="1703" spans="1:13" x14ac:dyDescent="0.25">
      <c r="A1703" s="23">
        <f t="shared" si="26"/>
        <v>1702</v>
      </c>
      <c r="B1703" s="7" t="s">
        <v>5960</v>
      </c>
      <c r="C1703" s="7" t="s">
        <v>5978</v>
      </c>
      <c r="D1703" s="7" t="s">
        <v>5986</v>
      </c>
      <c r="E1703" s="7"/>
      <c r="F1703" s="7"/>
      <c r="G1703" s="7" t="s">
        <v>328</v>
      </c>
      <c r="H1703" s="7" t="str">
        <f>IFERROR(VLOOKUP(Table2[[#This Row],[Ticket]],Okey!A:B,2,0),"")</f>
        <v>ok</v>
      </c>
      <c r="I1703" s="7" t="s">
        <v>3679</v>
      </c>
      <c r="J1703" s="7" t="str">
        <f>VLOOKUP(Table2[[#This Row],[Author]],People!A:B,2,0)</f>
        <v>EL</v>
      </c>
      <c r="K1703" s="7" t="s">
        <v>5965</v>
      </c>
      <c r="L1703" s="7"/>
      <c r="M1703" s="16" t="s">
        <v>1040</v>
      </c>
    </row>
    <row r="1704" spans="1:13" x14ac:dyDescent="0.25">
      <c r="A1704" s="22">
        <f t="shared" si="26"/>
        <v>1703</v>
      </c>
      <c r="B1704" s="6" t="s">
        <v>5960</v>
      </c>
      <c r="C1704" s="6" t="s">
        <v>5978</v>
      </c>
      <c r="D1704" s="6" t="s">
        <v>5987</v>
      </c>
      <c r="E1704" s="6"/>
      <c r="F1704" s="6"/>
      <c r="G1704" s="6" t="s">
        <v>328</v>
      </c>
      <c r="H1704" s="6" t="str">
        <f>IFERROR(VLOOKUP(Table2[[#This Row],[Ticket]],Okey!A:B,2,0),"")</f>
        <v>ok</v>
      </c>
      <c r="I1704" s="6" t="s">
        <v>3679</v>
      </c>
      <c r="J1704" s="6" t="str">
        <f>VLOOKUP(Table2[[#This Row],[Author]],People!A:B,2,0)</f>
        <v>EL</v>
      </c>
      <c r="K1704" s="6" t="s">
        <v>5965</v>
      </c>
      <c r="L1704" s="6"/>
      <c r="M1704" s="21" t="s">
        <v>1040</v>
      </c>
    </row>
    <row r="1705" spans="1:13" x14ac:dyDescent="0.25">
      <c r="A1705" s="23">
        <f t="shared" si="26"/>
        <v>1704</v>
      </c>
      <c r="B1705" s="7" t="s">
        <v>5960</v>
      </c>
      <c r="C1705" s="7" t="s">
        <v>5978</v>
      </c>
      <c r="D1705" s="7" t="s">
        <v>5988</v>
      </c>
      <c r="E1705" s="7"/>
      <c r="F1705" s="7"/>
      <c r="G1705" s="7" t="s">
        <v>328</v>
      </c>
      <c r="H1705" s="7" t="str">
        <f>IFERROR(VLOOKUP(Table2[[#This Row],[Ticket]],Okey!A:B,2,0),"")</f>
        <v>ok</v>
      </c>
      <c r="I1705" s="7" t="s">
        <v>3679</v>
      </c>
      <c r="J1705" s="7" t="str">
        <f>VLOOKUP(Table2[[#This Row],[Author]],People!A:B,2,0)</f>
        <v>EL</v>
      </c>
      <c r="K1705" s="7" t="s">
        <v>5965</v>
      </c>
      <c r="L1705" s="7"/>
      <c r="M1705" s="16" t="s">
        <v>1040</v>
      </c>
    </row>
    <row r="1706" spans="1:13" x14ac:dyDescent="0.25">
      <c r="A1706" s="22">
        <f t="shared" si="26"/>
        <v>1705</v>
      </c>
      <c r="B1706" s="6" t="s">
        <v>5960</v>
      </c>
      <c r="C1706" s="6" t="s">
        <v>5978</v>
      </c>
      <c r="D1706" s="6" t="s">
        <v>5989</v>
      </c>
      <c r="E1706" s="6"/>
      <c r="F1706" s="6"/>
      <c r="G1706" s="6" t="s">
        <v>328</v>
      </c>
      <c r="H1706" s="6" t="str">
        <f>IFERROR(VLOOKUP(Table2[[#This Row],[Ticket]],Okey!A:B,2,0),"")</f>
        <v>ok</v>
      </c>
      <c r="I1706" s="6" t="s">
        <v>3679</v>
      </c>
      <c r="J1706" s="6" t="str">
        <f>VLOOKUP(Table2[[#This Row],[Author]],People!A:B,2,0)</f>
        <v>EL</v>
      </c>
      <c r="K1706" s="6" t="s">
        <v>5965</v>
      </c>
      <c r="L1706" s="6"/>
      <c r="M1706" s="21" t="s">
        <v>1040</v>
      </c>
    </row>
    <row r="1707" spans="1:13" x14ac:dyDescent="0.25">
      <c r="A1707" s="23">
        <f t="shared" si="26"/>
        <v>1706</v>
      </c>
      <c r="B1707" s="7" t="s">
        <v>5960</v>
      </c>
      <c r="C1707" s="7" t="s">
        <v>5978</v>
      </c>
      <c r="D1707" s="7" t="s">
        <v>5990</v>
      </c>
      <c r="E1707" s="7"/>
      <c r="F1707" s="7"/>
      <c r="G1707" s="7" t="s">
        <v>328</v>
      </c>
      <c r="H1707" s="7" t="str">
        <f>IFERROR(VLOOKUP(Table2[[#This Row],[Ticket]],Okey!A:B,2,0),"")</f>
        <v>ok</v>
      </c>
      <c r="I1707" s="7" t="s">
        <v>3679</v>
      </c>
      <c r="J1707" s="7" t="str">
        <f>VLOOKUP(Table2[[#This Row],[Author]],People!A:B,2,0)</f>
        <v>EL</v>
      </c>
      <c r="K1707" s="7" t="s">
        <v>5965</v>
      </c>
      <c r="L1707" s="7"/>
      <c r="M1707" s="16" t="s">
        <v>1040</v>
      </c>
    </row>
    <row r="1708" spans="1:13" x14ac:dyDescent="0.25">
      <c r="A1708" s="22">
        <f t="shared" si="26"/>
        <v>1707</v>
      </c>
      <c r="B1708" s="6" t="s">
        <v>5960</v>
      </c>
      <c r="C1708" s="6" t="s">
        <v>5978</v>
      </c>
      <c r="D1708" s="6" t="s">
        <v>2324</v>
      </c>
      <c r="E1708" s="6"/>
      <c r="F1708" s="6"/>
      <c r="G1708" s="6" t="s">
        <v>328</v>
      </c>
      <c r="H1708" s="6" t="str">
        <f>IFERROR(VLOOKUP(Table2[[#This Row],[Ticket]],Okey!A:B,2,0),"")</f>
        <v>ok</v>
      </c>
      <c r="I1708" s="6" t="s">
        <v>3679</v>
      </c>
      <c r="J1708" s="6" t="str">
        <f>VLOOKUP(Table2[[#This Row],[Author]],People!A:B,2,0)</f>
        <v>EL</v>
      </c>
      <c r="K1708" s="6" t="s">
        <v>5965</v>
      </c>
      <c r="L1708" s="6"/>
      <c r="M1708" s="21" t="s">
        <v>1040</v>
      </c>
    </row>
    <row r="1709" spans="1:13" x14ac:dyDescent="0.25">
      <c r="A1709" s="23">
        <f t="shared" si="26"/>
        <v>1708</v>
      </c>
      <c r="B1709" s="7" t="s">
        <v>5960</v>
      </c>
      <c r="C1709" s="7" t="s">
        <v>5991</v>
      </c>
      <c r="D1709" s="7" t="s">
        <v>255</v>
      </c>
      <c r="E1709" s="7"/>
      <c r="F1709" s="7" t="s">
        <v>246</v>
      </c>
      <c r="G1709" s="7" t="s">
        <v>24</v>
      </c>
      <c r="H1709" s="7" t="str">
        <f>IFERROR(VLOOKUP(Table2[[#This Row],[Ticket]],Okey!A:B,2,0),"")</f>
        <v>ok</v>
      </c>
      <c r="I1709" s="7" t="s">
        <v>3679</v>
      </c>
      <c r="J1709" s="7" t="str">
        <f>VLOOKUP(Table2[[#This Row],[Author]],People!A:B,2,0)</f>
        <v>EL</v>
      </c>
      <c r="K1709" s="7"/>
      <c r="L1709" s="7"/>
      <c r="M1709" s="16" t="s">
        <v>40</v>
      </c>
    </row>
    <row r="1710" spans="1:13" x14ac:dyDescent="0.25">
      <c r="A1710" s="22">
        <f t="shared" si="26"/>
        <v>1709</v>
      </c>
      <c r="B1710" s="6" t="s">
        <v>5960</v>
      </c>
      <c r="C1710" s="6" t="s">
        <v>5992</v>
      </c>
      <c r="D1710" s="6" t="s">
        <v>5993</v>
      </c>
      <c r="E1710" s="6"/>
      <c r="F1710" s="6" t="s">
        <v>5994</v>
      </c>
      <c r="G1710" s="6" t="s">
        <v>24</v>
      </c>
      <c r="H1710" s="6" t="str">
        <f>IFERROR(VLOOKUP(Table2[[#This Row],[Ticket]],Okey!A:B,2,0),"")</f>
        <v>ok</v>
      </c>
      <c r="I1710" s="6" t="s">
        <v>3679</v>
      </c>
      <c r="J1710" s="6" t="str">
        <f>VLOOKUP(Table2[[#This Row],[Author]],People!A:B,2,0)</f>
        <v>EL</v>
      </c>
      <c r="K1710" s="6" t="s">
        <v>5965</v>
      </c>
      <c r="L1710" s="6"/>
      <c r="M1710" s="21" t="s">
        <v>5995</v>
      </c>
    </row>
    <row r="1711" spans="1:13" x14ac:dyDescent="0.25">
      <c r="A1711" s="23">
        <f t="shared" si="26"/>
        <v>1710</v>
      </c>
      <c r="B1711" s="7" t="s">
        <v>5960</v>
      </c>
      <c r="C1711" s="7" t="s">
        <v>5996</v>
      </c>
      <c r="D1711" s="7" t="s">
        <v>5997</v>
      </c>
      <c r="E1711" s="7"/>
      <c r="F1711" s="7" t="s">
        <v>5998</v>
      </c>
      <c r="G1711" s="7" t="s">
        <v>24</v>
      </c>
      <c r="H1711" s="7" t="str">
        <f>IFERROR(VLOOKUP(Table2[[#This Row],[Ticket]],Okey!A:B,2,0),"")</f>
        <v>ok</v>
      </c>
      <c r="I1711" s="7" t="s">
        <v>3679</v>
      </c>
      <c r="J1711" s="7" t="str">
        <f>VLOOKUP(Table2[[#This Row],[Author]],People!A:B,2,0)</f>
        <v>EL</v>
      </c>
      <c r="K1711" s="7" t="s">
        <v>5965</v>
      </c>
      <c r="L1711" s="7"/>
      <c r="M1711" s="16" t="s">
        <v>3967</v>
      </c>
    </row>
    <row r="1712" spans="1:13" x14ac:dyDescent="0.25">
      <c r="A1712" s="22">
        <f t="shared" si="26"/>
        <v>1711</v>
      </c>
      <c r="B1712" s="6" t="s">
        <v>5960</v>
      </c>
      <c r="C1712" s="6" t="s">
        <v>5996</v>
      </c>
      <c r="D1712" s="6" t="s">
        <v>5999</v>
      </c>
      <c r="E1712" s="6"/>
      <c r="F1712" s="6" t="s">
        <v>6000</v>
      </c>
      <c r="G1712" s="6" t="s">
        <v>24</v>
      </c>
      <c r="H1712" s="6" t="str">
        <f>IFERROR(VLOOKUP(Table2[[#This Row],[Ticket]],Okey!A:B,2,0),"")</f>
        <v>ok</v>
      </c>
      <c r="I1712" s="6" t="s">
        <v>3679</v>
      </c>
      <c r="J1712" s="6" t="str">
        <f>VLOOKUP(Table2[[#This Row],[Author]],People!A:B,2,0)</f>
        <v>EL</v>
      </c>
      <c r="K1712" s="6" t="s">
        <v>5965</v>
      </c>
      <c r="L1712" s="6"/>
      <c r="M1712" s="21" t="s">
        <v>3967</v>
      </c>
    </row>
    <row r="1713" spans="1:13" x14ac:dyDescent="0.25">
      <c r="A1713" s="23">
        <f t="shared" si="26"/>
        <v>1712</v>
      </c>
      <c r="B1713" s="7" t="s">
        <v>5960</v>
      </c>
      <c r="C1713" s="7" t="s">
        <v>6001</v>
      </c>
      <c r="D1713" s="7" t="s">
        <v>66</v>
      </c>
      <c r="E1713" s="7"/>
      <c r="F1713" s="7" t="s">
        <v>224</v>
      </c>
      <c r="G1713" s="7" t="s">
        <v>24</v>
      </c>
      <c r="H1713" s="7" t="str">
        <f>IFERROR(VLOOKUP(Table2[[#This Row],[Ticket]],Okey!A:B,2,0),"")</f>
        <v>ok</v>
      </c>
      <c r="I1713" s="7" t="s">
        <v>3679</v>
      </c>
      <c r="J1713" s="7" t="str">
        <f>VLOOKUP(Table2[[#This Row],[Author]],People!A:B,2,0)</f>
        <v>EL</v>
      </c>
      <c r="K1713" s="7" t="s">
        <v>5965</v>
      </c>
      <c r="L1713" s="7"/>
      <c r="M1713" s="16" t="s">
        <v>40</v>
      </c>
    </row>
    <row r="1714" spans="1:13" x14ac:dyDescent="0.25">
      <c r="A1714" s="22">
        <f t="shared" si="26"/>
        <v>1713</v>
      </c>
      <c r="B1714" s="6" t="s">
        <v>5960</v>
      </c>
      <c r="C1714" s="6" t="s">
        <v>6001</v>
      </c>
      <c r="D1714" s="6" t="s">
        <v>6002</v>
      </c>
      <c r="E1714" s="6"/>
      <c r="F1714" s="6" t="s">
        <v>244</v>
      </c>
      <c r="G1714" s="6" t="s">
        <v>24</v>
      </c>
      <c r="H1714" s="6" t="str">
        <f>IFERROR(VLOOKUP(Table2[[#This Row],[Ticket]],Okey!A:B,2,0),"")</f>
        <v>ok</v>
      </c>
      <c r="I1714" s="6" t="s">
        <v>3679</v>
      </c>
      <c r="J1714" s="6" t="str">
        <f>VLOOKUP(Table2[[#This Row],[Author]],People!A:B,2,0)</f>
        <v>EL</v>
      </c>
      <c r="K1714" s="6" t="s">
        <v>5965</v>
      </c>
      <c r="L1714" s="6"/>
      <c r="M1714" s="21" t="s">
        <v>40</v>
      </c>
    </row>
    <row r="1715" spans="1:13" x14ac:dyDescent="0.25">
      <c r="A1715" s="23">
        <f t="shared" si="26"/>
        <v>1714</v>
      </c>
      <c r="B1715" s="7" t="s">
        <v>5960</v>
      </c>
      <c r="C1715" s="7" t="s">
        <v>6001</v>
      </c>
      <c r="D1715" s="7" t="s">
        <v>202</v>
      </c>
      <c r="E1715" s="7"/>
      <c r="F1715" s="7" t="s">
        <v>234</v>
      </c>
      <c r="G1715" s="7" t="s">
        <v>24</v>
      </c>
      <c r="H1715" s="7" t="str">
        <f>IFERROR(VLOOKUP(Table2[[#This Row],[Ticket]],Okey!A:B,2,0),"")</f>
        <v>ok</v>
      </c>
      <c r="I1715" s="7" t="s">
        <v>3679</v>
      </c>
      <c r="J1715" s="7" t="str">
        <f>VLOOKUP(Table2[[#This Row],[Author]],People!A:B,2,0)</f>
        <v>EL</v>
      </c>
      <c r="K1715" s="7" t="s">
        <v>5965</v>
      </c>
      <c r="L1715" s="7"/>
      <c r="M1715" s="16" t="s">
        <v>40</v>
      </c>
    </row>
    <row r="1716" spans="1:13" x14ac:dyDescent="0.25">
      <c r="A1716" s="22">
        <f t="shared" si="26"/>
        <v>1715</v>
      </c>
      <c r="B1716" s="6" t="s">
        <v>5960</v>
      </c>
      <c r="C1716" s="6" t="s">
        <v>6003</v>
      </c>
      <c r="D1716" s="6" t="s">
        <v>3989</v>
      </c>
      <c r="E1716" s="6"/>
      <c r="F1716" s="6" t="s">
        <v>3982</v>
      </c>
      <c r="G1716" s="6" t="s">
        <v>24</v>
      </c>
      <c r="H1716" s="6" t="str">
        <f>IFERROR(VLOOKUP(Table2[[#This Row],[Ticket]],Okey!A:B,2,0),"")</f>
        <v>ok</v>
      </c>
      <c r="I1716" s="6" t="s">
        <v>3679</v>
      </c>
      <c r="J1716" s="6" t="str">
        <f>VLOOKUP(Table2[[#This Row],[Author]],People!A:B,2,0)</f>
        <v>EL</v>
      </c>
      <c r="K1716" s="6"/>
      <c r="L1716" s="6"/>
      <c r="M1716" s="21" t="s">
        <v>3984</v>
      </c>
    </row>
    <row r="1717" spans="1:13" x14ac:dyDescent="0.25">
      <c r="A1717" s="23">
        <f t="shared" si="26"/>
        <v>1716</v>
      </c>
      <c r="B1717" s="7" t="s">
        <v>5960</v>
      </c>
      <c r="C1717" s="7" t="s">
        <v>6003</v>
      </c>
      <c r="D1717" s="7" t="s">
        <v>526</v>
      </c>
      <c r="E1717" s="7"/>
      <c r="F1717" s="7" t="s">
        <v>3982</v>
      </c>
      <c r="G1717" s="7" t="s">
        <v>24</v>
      </c>
      <c r="H1717" s="7" t="str">
        <f>IFERROR(VLOOKUP(Table2[[#This Row],[Ticket]],Okey!A:B,2,0),"")</f>
        <v>ok</v>
      </c>
      <c r="I1717" s="7" t="s">
        <v>3679</v>
      </c>
      <c r="J1717" s="7" t="str">
        <f>VLOOKUP(Table2[[#This Row],[Author]],People!A:B,2,0)</f>
        <v>EL</v>
      </c>
      <c r="K1717" s="7"/>
      <c r="L1717" s="7"/>
      <c r="M1717" s="16" t="s">
        <v>3984</v>
      </c>
    </row>
    <row r="1718" spans="1:13" x14ac:dyDescent="0.25">
      <c r="A1718" s="22">
        <f t="shared" si="26"/>
        <v>1717</v>
      </c>
      <c r="B1718" s="6" t="s">
        <v>5960</v>
      </c>
      <c r="C1718" s="6" t="s">
        <v>6003</v>
      </c>
      <c r="D1718" s="6" t="s">
        <v>4012</v>
      </c>
      <c r="E1718" s="6"/>
      <c r="F1718" s="6" t="s">
        <v>379</v>
      </c>
      <c r="G1718" s="6" t="s">
        <v>24</v>
      </c>
      <c r="H1718" s="6" t="str">
        <f>IFERROR(VLOOKUP(Table2[[#This Row],[Ticket]],Okey!A:B,2,0),"")</f>
        <v>ok</v>
      </c>
      <c r="I1718" s="6" t="s">
        <v>3679</v>
      </c>
      <c r="J1718" s="6" t="str">
        <f>VLOOKUP(Table2[[#This Row],[Author]],People!A:B,2,0)</f>
        <v>EL</v>
      </c>
      <c r="K1718" s="6"/>
      <c r="L1718" s="6"/>
      <c r="M1718" s="21" t="s">
        <v>3984</v>
      </c>
    </row>
    <row r="1719" spans="1:13" x14ac:dyDescent="0.25">
      <c r="A1719" s="23">
        <f t="shared" si="26"/>
        <v>1718</v>
      </c>
      <c r="B1719" s="7" t="s">
        <v>5960</v>
      </c>
      <c r="C1719" s="7" t="s">
        <v>6003</v>
      </c>
      <c r="D1719" s="7" t="s">
        <v>4015</v>
      </c>
      <c r="E1719" s="7"/>
      <c r="F1719" s="7" t="s">
        <v>4012</v>
      </c>
      <c r="G1719" s="7" t="s">
        <v>24</v>
      </c>
      <c r="H1719" s="7" t="str">
        <f>IFERROR(VLOOKUP(Table2[[#This Row],[Ticket]],Okey!A:B,2,0),"")</f>
        <v>ok</v>
      </c>
      <c r="I1719" s="7" t="s">
        <v>3679</v>
      </c>
      <c r="J1719" s="7" t="str">
        <f>VLOOKUP(Table2[[#This Row],[Author]],People!A:B,2,0)</f>
        <v>EL</v>
      </c>
      <c r="K1719" s="7"/>
      <c r="L1719" s="7"/>
      <c r="M1719" s="16" t="s">
        <v>3984</v>
      </c>
    </row>
    <row r="1720" spans="1:13" x14ac:dyDescent="0.25">
      <c r="A1720" s="22">
        <f t="shared" si="26"/>
        <v>1719</v>
      </c>
      <c r="B1720" s="6" t="s">
        <v>5960</v>
      </c>
      <c r="C1720" s="6" t="s">
        <v>6003</v>
      </c>
      <c r="D1720" s="6" t="s">
        <v>4017</v>
      </c>
      <c r="E1720" s="6"/>
      <c r="F1720" s="6" t="s">
        <v>4012</v>
      </c>
      <c r="G1720" s="6" t="s">
        <v>24</v>
      </c>
      <c r="H1720" s="6" t="str">
        <f>IFERROR(VLOOKUP(Table2[[#This Row],[Ticket]],Okey!A:B,2,0),"")</f>
        <v>ok</v>
      </c>
      <c r="I1720" s="6" t="s">
        <v>3679</v>
      </c>
      <c r="J1720" s="6" t="str">
        <f>VLOOKUP(Table2[[#This Row],[Author]],People!A:B,2,0)</f>
        <v>EL</v>
      </c>
      <c r="K1720" s="6"/>
      <c r="L1720" s="6"/>
      <c r="M1720" s="21" t="s">
        <v>3984</v>
      </c>
    </row>
    <row r="1721" spans="1:13" x14ac:dyDescent="0.25">
      <c r="A1721" s="23">
        <f t="shared" si="26"/>
        <v>1720</v>
      </c>
      <c r="B1721" s="7" t="s">
        <v>5960</v>
      </c>
      <c r="C1721" s="7" t="s">
        <v>6003</v>
      </c>
      <c r="D1721" s="7" t="s">
        <v>4019</v>
      </c>
      <c r="E1721" s="7"/>
      <c r="F1721" s="7" t="s">
        <v>4012</v>
      </c>
      <c r="G1721" s="7" t="s">
        <v>24</v>
      </c>
      <c r="H1721" s="7" t="str">
        <f>IFERROR(VLOOKUP(Table2[[#This Row],[Ticket]],Okey!A:B,2,0),"")</f>
        <v>ok</v>
      </c>
      <c r="I1721" s="7" t="s">
        <v>3679</v>
      </c>
      <c r="J1721" s="7" t="str">
        <f>VLOOKUP(Table2[[#This Row],[Author]],People!A:B,2,0)</f>
        <v>EL</v>
      </c>
      <c r="K1721" s="7"/>
      <c r="L1721" s="7"/>
      <c r="M1721" s="16" t="s">
        <v>3984</v>
      </c>
    </row>
    <row r="1722" spans="1:13" x14ac:dyDescent="0.25">
      <c r="A1722" s="22">
        <f t="shared" si="26"/>
        <v>1721</v>
      </c>
      <c r="B1722" s="6" t="s">
        <v>5960</v>
      </c>
      <c r="C1722" s="6" t="s">
        <v>6003</v>
      </c>
      <c r="D1722" s="6" t="s">
        <v>4037</v>
      </c>
      <c r="E1722" s="6"/>
      <c r="F1722" s="6" t="s">
        <v>4015</v>
      </c>
      <c r="G1722" s="6" t="s">
        <v>24</v>
      </c>
      <c r="H1722" s="6" t="str">
        <f>IFERROR(VLOOKUP(Table2[[#This Row],[Ticket]],Okey!A:B,2,0),"")</f>
        <v>ok</v>
      </c>
      <c r="I1722" s="6" t="s">
        <v>3679</v>
      </c>
      <c r="J1722" s="6" t="str">
        <f>VLOOKUP(Table2[[#This Row],[Author]],People!A:B,2,0)</f>
        <v>EL</v>
      </c>
      <c r="K1722" s="6"/>
      <c r="L1722" s="6"/>
      <c r="M1722" s="21" t="s">
        <v>3984</v>
      </c>
    </row>
    <row r="1723" spans="1:13" x14ac:dyDescent="0.25">
      <c r="A1723" s="23">
        <f t="shared" si="26"/>
        <v>1722</v>
      </c>
      <c r="B1723" s="7" t="s">
        <v>5960</v>
      </c>
      <c r="C1723" s="7" t="s">
        <v>6003</v>
      </c>
      <c r="D1723" s="7" t="s">
        <v>4021</v>
      </c>
      <c r="E1723" s="7"/>
      <c r="F1723" s="7" t="s">
        <v>4015</v>
      </c>
      <c r="G1723" s="7" t="s">
        <v>24</v>
      </c>
      <c r="H1723" s="7" t="str">
        <f>IFERROR(VLOOKUP(Table2[[#This Row],[Ticket]],Okey!A:B,2,0),"")</f>
        <v>ok</v>
      </c>
      <c r="I1723" s="7" t="s">
        <v>3679</v>
      </c>
      <c r="J1723" s="7" t="str">
        <f>VLOOKUP(Table2[[#This Row],[Author]],People!A:B,2,0)</f>
        <v>EL</v>
      </c>
      <c r="K1723" s="7"/>
      <c r="L1723" s="7"/>
      <c r="M1723" s="16" t="s">
        <v>3984</v>
      </c>
    </row>
    <row r="1724" spans="1:13" x14ac:dyDescent="0.25">
      <c r="A1724" s="22">
        <f t="shared" si="26"/>
        <v>1723</v>
      </c>
      <c r="B1724" s="6" t="s">
        <v>5960</v>
      </c>
      <c r="C1724" s="6" t="s">
        <v>6003</v>
      </c>
      <c r="D1724" s="6" t="s">
        <v>4023</v>
      </c>
      <c r="E1724" s="6"/>
      <c r="F1724" s="6" t="s">
        <v>4021</v>
      </c>
      <c r="G1724" s="6" t="s">
        <v>24</v>
      </c>
      <c r="H1724" s="6" t="str">
        <f>IFERROR(VLOOKUP(Table2[[#This Row],[Ticket]],Okey!A:B,2,0),"")</f>
        <v>ok</v>
      </c>
      <c r="I1724" s="6" t="s">
        <v>3679</v>
      </c>
      <c r="J1724" s="6" t="str">
        <f>VLOOKUP(Table2[[#This Row],[Author]],People!A:B,2,0)</f>
        <v>EL</v>
      </c>
      <c r="K1724" s="6"/>
      <c r="L1724" s="6"/>
      <c r="M1724" s="21" t="s">
        <v>3984</v>
      </c>
    </row>
    <row r="1725" spans="1:13" x14ac:dyDescent="0.25">
      <c r="A1725" s="23">
        <f t="shared" si="26"/>
        <v>1724</v>
      </c>
      <c r="B1725" s="7" t="s">
        <v>5960</v>
      </c>
      <c r="C1725" s="7" t="s">
        <v>6003</v>
      </c>
      <c r="D1725" s="7" t="s">
        <v>4025</v>
      </c>
      <c r="E1725" s="7"/>
      <c r="F1725" s="7" t="s">
        <v>4021</v>
      </c>
      <c r="G1725" s="7" t="s">
        <v>24</v>
      </c>
      <c r="H1725" s="7" t="str">
        <f>IFERROR(VLOOKUP(Table2[[#This Row],[Ticket]],Okey!A:B,2,0),"")</f>
        <v>ok</v>
      </c>
      <c r="I1725" s="7" t="s">
        <v>3679</v>
      </c>
      <c r="J1725" s="7" t="str">
        <f>VLOOKUP(Table2[[#This Row],[Author]],People!A:B,2,0)</f>
        <v>EL</v>
      </c>
      <c r="K1725" s="7"/>
      <c r="L1725" s="7"/>
      <c r="M1725" s="16" t="s">
        <v>3984</v>
      </c>
    </row>
    <row r="1726" spans="1:13" x14ac:dyDescent="0.25">
      <c r="A1726" s="22">
        <f t="shared" si="26"/>
        <v>1725</v>
      </c>
      <c r="B1726" s="6" t="s">
        <v>5960</v>
      </c>
      <c r="C1726" s="6" t="s">
        <v>6003</v>
      </c>
      <c r="D1726" s="6" t="s">
        <v>4027</v>
      </c>
      <c r="E1726" s="6"/>
      <c r="F1726" s="6" t="s">
        <v>4021</v>
      </c>
      <c r="G1726" s="6" t="s">
        <v>24</v>
      </c>
      <c r="H1726" s="6" t="str">
        <f>IFERROR(VLOOKUP(Table2[[#This Row],[Ticket]],Okey!A:B,2,0),"")</f>
        <v>ok</v>
      </c>
      <c r="I1726" s="6" t="s">
        <v>3679</v>
      </c>
      <c r="J1726" s="6" t="str">
        <f>VLOOKUP(Table2[[#This Row],[Author]],People!A:B,2,0)</f>
        <v>EL</v>
      </c>
      <c r="K1726" s="6"/>
      <c r="L1726" s="6"/>
      <c r="M1726" s="21" t="s">
        <v>3984</v>
      </c>
    </row>
    <row r="1727" spans="1:13" x14ac:dyDescent="0.25">
      <c r="A1727" s="23">
        <f t="shared" si="26"/>
        <v>1726</v>
      </c>
      <c r="B1727" s="7" t="s">
        <v>5960</v>
      </c>
      <c r="C1727" s="7" t="s">
        <v>6003</v>
      </c>
      <c r="D1727" s="7" t="s">
        <v>4029</v>
      </c>
      <c r="E1727" s="7"/>
      <c r="F1727" s="7" t="s">
        <v>4021</v>
      </c>
      <c r="G1727" s="7" t="s">
        <v>24</v>
      </c>
      <c r="H1727" s="7" t="str">
        <f>IFERROR(VLOOKUP(Table2[[#This Row],[Ticket]],Okey!A:B,2,0),"")</f>
        <v>ok</v>
      </c>
      <c r="I1727" s="7" t="s">
        <v>3679</v>
      </c>
      <c r="J1727" s="7" t="str">
        <f>VLOOKUP(Table2[[#This Row],[Author]],People!A:B,2,0)</f>
        <v>EL</v>
      </c>
      <c r="K1727" s="7"/>
      <c r="L1727" s="7"/>
      <c r="M1727" s="16" t="s">
        <v>3984</v>
      </c>
    </row>
    <row r="1728" spans="1:13" x14ac:dyDescent="0.25">
      <c r="A1728" s="22">
        <f t="shared" si="26"/>
        <v>1727</v>
      </c>
      <c r="B1728" s="6" t="s">
        <v>5960</v>
      </c>
      <c r="C1728" s="6" t="s">
        <v>6003</v>
      </c>
      <c r="D1728" s="6" t="s">
        <v>4031</v>
      </c>
      <c r="E1728" s="6"/>
      <c r="F1728" s="6" t="s">
        <v>4021</v>
      </c>
      <c r="G1728" s="6" t="s">
        <v>24</v>
      </c>
      <c r="H1728" s="6" t="str">
        <f>IFERROR(VLOOKUP(Table2[[#This Row],[Ticket]],Okey!A:B,2,0),"")</f>
        <v>ok</v>
      </c>
      <c r="I1728" s="6" t="s">
        <v>3679</v>
      </c>
      <c r="J1728" s="6" t="str">
        <f>VLOOKUP(Table2[[#This Row],[Author]],People!A:B,2,0)</f>
        <v>EL</v>
      </c>
      <c r="K1728" s="6"/>
      <c r="L1728" s="6"/>
      <c r="M1728" s="21" t="s">
        <v>3984</v>
      </c>
    </row>
    <row r="1729" spans="1:13" x14ac:dyDescent="0.25">
      <c r="A1729" s="23">
        <f t="shared" si="26"/>
        <v>1728</v>
      </c>
      <c r="B1729" s="7" t="s">
        <v>5960</v>
      </c>
      <c r="C1729" s="7" t="s">
        <v>6003</v>
      </c>
      <c r="D1729" s="7" t="s">
        <v>4033</v>
      </c>
      <c r="E1729" s="7"/>
      <c r="F1729" s="7" t="s">
        <v>4021</v>
      </c>
      <c r="G1729" s="7" t="s">
        <v>24</v>
      </c>
      <c r="H1729" s="7" t="str">
        <f>IFERROR(VLOOKUP(Table2[[#This Row],[Ticket]],Okey!A:B,2,0),"")</f>
        <v>ok</v>
      </c>
      <c r="I1729" s="7" t="s">
        <v>3679</v>
      </c>
      <c r="J1729" s="7" t="str">
        <f>VLOOKUP(Table2[[#This Row],[Author]],People!A:B,2,0)</f>
        <v>EL</v>
      </c>
      <c r="K1729" s="7"/>
      <c r="L1729" s="7"/>
      <c r="M1729" s="16" t="s">
        <v>3984</v>
      </c>
    </row>
    <row r="1730" spans="1:13" x14ac:dyDescent="0.25">
      <c r="A1730" s="22">
        <f t="shared" si="26"/>
        <v>1729</v>
      </c>
      <c r="B1730" s="6" t="s">
        <v>5960</v>
      </c>
      <c r="C1730" s="6" t="s">
        <v>6003</v>
      </c>
      <c r="D1730" s="6" t="s">
        <v>4035</v>
      </c>
      <c r="E1730" s="6"/>
      <c r="F1730" s="6" t="s">
        <v>4021</v>
      </c>
      <c r="G1730" s="6" t="s">
        <v>24</v>
      </c>
      <c r="H1730" s="6" t="str">
        <f>IFERROR(VLOOKUP(Table2[[#This Row],[Ticket]],Okey!A:B,2,0),"")</f>
        <v>ok</v>
      </c>
      <c r="I1730" s="6" t="s">
        <v>3679</v>
      </c>
      <c r="J1730" s="6" t="str">
        <f>VLOOKUP(Table2[[#This Row],[Author]],People!A:B,2,0)</f>
        <v>EL</v>
      </c>
      <c r="K1730" s="6"/>
      <c r="L1730" s="6"/>
      <c r="M1730" s="21" t="s">
        <v>3984</v>
      </c>
    </row>
    <row r="1731" spans="1:13" x14ac:dyDescent="0.25">
      <c r="A1731" s="23">
        <f t="shared" ref="A1731:A1794" si="27">1+A1730</f>
        <v>1730</v>
      </c>
      <c r="B1731" s="7" t="s">
        <v>5960</v>
      </c>
      <c r="C1731" s="7" t="s">
        <v>6003</v>
      </c>
      <c r="D1731" s="7" t="s">
        <v>4053</v>
      </c>
      <c r="E1731" s="7"/>
      <c r="F1731" s="7" t="s">
        <v>4017</v>
      </c>
      <c r="G1731" s="7" t="s">
        <v>24</v>
      </c>
      <c r="H1731" s="7" t="str">
        <f>IFERROR(VLOOKUP(Table2[[#This Row],[Ticket]],Okey!A:B,2,0),"")</f>
        <v>ok</v>
      </c>
      <c r="I1731" s="7" t="s">
        <v>3679</v>
      </c>
      <c r="J1731" s="7" t="str">
        <f>VLOOKUP(Table2[[#This Row],[Author]],People!A:B,2,0)</f>
        <v>EL</v>
      </c>
      <c r="K1731" s="7"/>
      <c r="L1731" s="7"/>
      <c r="M1731" s="16" t="s">
        <v>3984</v>
      </c>
    </row>
    <row r="1732" spans="1:13" x14ac:dyDescent="0.25">
      <c r="A1732" s="22">
        <f t="shared" si="27"/>
        <v>1731</v>
      </c>
      <c r="B1732" s="6" t="s">
        <v>5960</v>
      </c>
      <c r="C1732" s="6" t="s">
        <v>6003</v>
      </c>
      <c r="D1732" s="6" t="s">
        <v>4045</v>
      </c>
      <c r="E1732" s="6"/>
      <c r="F1732" s="6" t="s">
        <v>4017</v>
      </c>
      <c r="G1732" s="6" t="s">
        <v>24</v>
      </c>
      <c r="H1732" s="6" t="str">
        <f>IFERROR(VLOOKUP(Table2[[#This Row],[Ticket]],Okey!A:B,2,0),"")</f>
        <v>ok</v>
      </c>
      <c r="I1732" s="6" t="s">
        <v>3679</v>
      </c>
      <c r="J1732" s="6" t="str">
        <f>VLOOKUP(Table2[[#This Row],[Author]],People!A:B,2,0)</f>
        <v>EL</v>
      </c>
      <c r="K1732" s="6"/>
      <c r="L1732" s="6"/>
      <c r="M1732" s="21" t="s">
        <v>3984</v>
      </c>
    </row>
    <row r="1733" spans="1:13" x14ac:dyDescent="0.25">
      <c r="A1733" s="23">
        <f t="shared" si="27"/>
        <v>1732</v>
      </c>
      <c r="B1733" s="7" t="s">
        <v>5960</v>
      </c>
      <c r="C1733" s="7" t="s">
        <v>6003</v>
      </c>
      <c r="D1733" s="7" t="s">
        <v>4039</v>
      </c>
      <c r="E1733" s="7"/>
      <c r="F1733" s="7" t="s">
        <v>4017</v>
      </c>
      <c r="G1733" s="7" t="s">
        <v>24</v>
      </c>
      <c r="H1733" s="7" t="str">
        <f>IFERROR(VLOOKUP(Table2[[#This Row],[Ticket]],Okey!A:B,2,0),"")</f>
        <v>ok</v>
      </c>
      <c r="I1733" s="7" t="s">
        <v>3679</v>
      </c>
      <c r="J1733" s="7" t="str">
        <f>VLOOKUP(Table2[[#This Row],[Author]],People!A:B,2,0)</f>
        <v>EL</v>
      </c>
      <c r="K1733" s="7"/>
      <c r="L1733" s="7"/>
      <c r="M1733" s="16" t="s">
        <v>3984</v>
      </c>
    </row>
    <row r="1734" spans="1:13" x14ac:dyDescent="0.25">
      <c r="A1734" s="22">
        <f t="shared" si="27"/>
        <v>1733</v>
      </c>
      <c r="B1734" s="6" t="s">
        <v>5960</v>
      </c>
      <c r="C1734" s="6" t="s">
        <v>6003</v>
      </c>
      <c r="D1734" s="6" t="s">
        <v>4055</v>
      </c>
      <c r="E1734" s="6"/>
      <c r="F1734" s="6" t="s">
        <v>4053</v>
      </c>
      <c r="G1734" s="6" t="s">
        <v>24</v>
      </c>
      <c r="H1734" s="6" t="str">
        <f>IFERROR(VLOOKUP(Table2[[#This Row],[Ticket]],Okey!A:B,2,0),"")</f>
        <v>ok</v>
      </c>
      <c r="I1734" s="6" t="s">
        <v>3679</v>
      </c>
      <c r="J1734" s="6" t="str">
        <f>VLOOKUP(Table2[[#This Row],[Author]],People!A:B,2,0)</f>
        <v>EL</v>
      </c>
      <c r="K1734" s="6"/>
      <c r="L1734" s="6"/>
      <c r="M1734" s="21" t="s">
        <v>3984</v>
      </c>
    </row>
    <row r="1735" spans="1:13" x14ac:dyDescent="0.25">
      <c r="A1735" s="23">
        <f t="shared" si="27"/>
        <v>1734</v>
      </c>
      <c r="B1735" s="7" t="s">
        <v>5960</v>
      </c>
      <c r="C1735" s="7" t="s">
        <v>6003</v>
      </c>
      <c r="D1735" s="7" t="s">
        <v>4057</v>
      </c>
      <c r="E1735" s="7"/>
      <c r="F1735" s="7" t="s">
        <v>4053</v>
      </c>
      <c r="G1735" s="7" t="s">
        <v>24</v>
      </c>
      <c r="H1735" s="7" t="str">
        <f>IFERROR(VLOOKUP(Table2[[#This Row],[Ticket]],Okey!A:B,2,0),"")</f>
        <v>ok</v>
      </c>
      <c r="I1735" s="7" t="s">
        <v>3679</v>
      </c>
      <c r="J1735" s="7" t="str">
        <f>VLOOKUP(Table2[[#This Row],[Author]],People!A:B,2,0)</f>
        <v>EL</v>
      </c>
      <c r="K1735" s="7"/>
      <c r="L1735" s="7"/>
      <c r="M1735" s="16" t="s">
        <v>3984</v>
      </c>
    </row>
    <row r="1736" spans="1:13" x14ac:dyDescent="0.25">
      <c r="A1736" s="22">
        <f t="shared" si="27"/>
        <v>1735</v>
      </c>
      <c r="B1736" s="6" t="s">
        <v>5960</v>
      </c>
      <c r="C1736" s="6" t="s">
        <v>6003</v>
      </c>
      <c r="D1736" s="6" t="s">
        <v>4047</v>
      </c>
      <c r="E1736" s="6"/>
      <c r="F1736" s="6" t="s">
        <v>4045</v>
      </c>
      <c r="G1736" s="6" t="s">
        <v>24</v>
      </c>
      <c r="H1736" s="6" t="str">
        <f>IFERROR(VLOOKUP(Table2[[#This Row],[Ticket]],Okey!A:B,2,0),"")</f>
        <v>ok</v>
      </c>
      <c r="I1736" s="6" t="s">
        <v>3679</v>
      </c>
      <c r="J1736" s="6" t="str">
        <f>VLOOKUP(Table2[[#This Row],[Author]],People!A:B,2,0)</f>
        <v>EL</v>
      </c>
      <c r="K1736" s="6"/>
      <c r="L1736" s="6"/>
      <c r="M1736" s="21" t="s">
        <v>3984</v>
      </c>
    </row>
    <row r="1737" spans="1:13" x14ac:dyDescent="0.25">
      <c r="A1737" s="23">
        <f t="shared" si="27"/>
        <v>1736</v>
      </c>
      <c r="B1737" s="7" t="s">
        <v>5960</v>
      </c>
      <c r="C1737" s="7" t="s">
        <v>6003</v>
      </c>
      <c r="D1737" s="7" t="s">
        <v>4049</v>
      </c>
      <c r="E1737" s="7"/>
      <c r="F1737" s="7" t="s">
        <v>4045</v>
      </c>
      <c r="G1737" s="7" t="s">
        <v>24</v>
      </c>
      <c r="H1737" s="7" t="str">
        <f>IFERROR(VLOOKUP(Table2[[#This Row],[Ticket]],Okey!A:B,2,0),"")</f>
        <v>ok</v>
      </c>
      <c r="I1737" s="7" t="s">
        <v>3679</v>
      </c>
      <c r="J1737" s="7" t="str">
        <f>VLOOKUP(Table2[[#This Row],[Author]],People!A:B,2,0)</f>
        <v>EL</v>
      </c>
      <c r="K1737" s="7"/>
      <c r="L1737" s="7"/>
      <c r="M1737" s="16" t="s">
        <v>3984</v>
      </c>
    </row>
    <row r="1738" spans="1:13" x14ac:dyDescent="0.25">
      <c r="A1738" s="22">
        <f t="shared" si="27"/>
        <v>1737</v>
      </c>
      <c r="B1738" s="6" t="s">
        <v>5960</v>
      </c>
      <c r="C1738" s="6" t="s">
        <v>6003</v>
      </c>
      <c r="D1738" s="6" t="s">
        <v>4051</v>
      </c>
      <c r="E1738" s="6"/>
      <c r="F1738" s="6" t="s">
        <v>4045</v>
      </c>
      <c r="G1738" s="6" t="s">
        <v>24</v>
      </c>
      <c r="H1738" s="6" t="str">
        <f>IFERROR(VLOOKUP(Table2[[#This Row],[Ticket]],Okey!A:B,2,0),"")</f>
        <v>ok</v>
      </c>
      <c r="I1738" s="6" t="s">
        <v>3679</v>
      </c>
      <c r="J1738" s="6" t="str">
        <f>VLOOKUP(Table2[[#This Row],[Author]],People!A:B,2,0)</f>
        <v>EL</v>
      </c>
      <c r="K1738" s="6"/>
      <c r="L1738" s="6"/>
      <c r="M1738" s="21" t="s">
        <v>3984</v>
      </c>
    </row>
    <row r="1739" spans="1:13" x14ac:dyDescent="0.25">
      <c r="A1739" s="23">
        <f t="shared" si="27"/>
        <v>1738</v>
      </c>
      <c r="B1739" s="7" t="s">
        <v>5960</v>
      </c>
      <c r="C1739" s="7" t="s">
        <v>6003</v>
      </c>
      <c r="D1739" s="7" t="s">
        <v>4041</v>
      </c>
      <c r="E1739" s="7"/>
      <c r="F1739" s="7" t="s">
        <v>4039</v>
      </c>
      <c r="G1739" s="7" t="s">
        <v>24</v>
      </c>
      <c r="H1739" s="7" t="str">
        <f>IFERROR(VLOOKUP(Table2[[#This Row],[Ticket]],Okey!A:B,2,0),"")</f>
        <v>ok</v>
      </c>
      <c r="I1739" s="7" t="s">
        <v>3679</v>
      </c>
      <c r="J1739" s="7" t="str">
        <f>VLOOKUP(Table2[[#This Row],[Author]],People!A:B,2,0)</f>
        <v>EL</v>
      </c>
      <c r="K1739" s="7"/>
      <c r="L1739" s="7"/>
      <c r="M1739" s="16" t="s">
        <v>3984</v>
      </c>
    </row>
    <row r="1740" spans="1:13" x14ac:dyDescent="0.25">
      <c r="A1740" s="22">
        <f t="shared" si="27"/>
        <v>1739</v>
      </c>
      <c r="B1740" s="6" t="s">
        <v>5960</v>
      </c>
      <c r="C1740" s="6" t="s">
        <v>6003</v>
      </c>
      <c r="D1740" s="6" t="s">
        <v>4043</v>
      </c>
      <c r="E1740" s="6"/>
      <c r="F1740" s="6" t="s">
        <v>4039</v>
      </c>
      <c r="G1740" s="6" t="s">
        <v>24</v>
      </c>
      <c r="H1740" s="6" t="str">
        <f>IFERROR(VLOOKUP(Table2[[#This Row],[Ticket]],Okey!A:B,2,0),"")</f>
        <v>ok</v>
      </c>
      <c r="I1740" s="6" t="s">
        <v>3679</v>
      </c>
      <c r="J1740" s="6" t="str">
        <f>VLOOKUP(Table2[[#This Row],[Author]],People!A:B,2,0)</f>
        <v>EL</v>
      </c>
      <c r="K1740" s="6"/>
      <c r="L1740" s="6"/>
      <c r="M1740" s="21" t="s">
        <v>3984</v>
      </c>
    </row>
    <row r="1741" spans="1:13" x14ac:dyDescent="0.25">
      <c r="A1741" s="23">
        <f t="shared" si="27"/>
        <v>1740</v>
      </c>
      <c r="B1741" s="7" t="s">
        <v>5960</v>
      </c>
      <c r="C1741" s="7" t="s">
        <v>6003</v>
      </c>
      <c r="D1741" s="7" t="s">
        <v>4082</v>
      </c>
      <c r="E1741" s="7"/>
      <c r="F1741" s="7" t="s">
        <v>4019</v>
      </c>
      <c r="G1741" s="7" t="s">
        <v>24</v>
      </c>
      <c r="H1741" s="7" t="str">
        <f>IFERROR(VLOOKUP(Table2[[#This Row],[Ticket]],Okey!A:B,2,0),"")</f>
        <v>ok</v>
      </c>
      <c r="I1741" s="7" t="s">
        <v>3679</v>
      </c>
      <c r="J1741" s="7" t="str">
        <f>VLOOKUP(Table2[[#This Row],[Author]],People!A:B,2,0)</f>
        <v>EL</v>
      </c>
      <c r="K1741" s="7"/>
      <c r="L1741" s="7"/>
      <c r="M1741" s="16" t="s">
        <v>3984</v>
      </c>
    </row>
    <row r="1742" spans="1:13" x14ac:dyDescent="0.25">
      <c r="A1742" s="22">
        <f t="shared" si="27"/>
        <v>1741</v>
      </c>
      <c r="B1742" s="6" t="s">
        <v>5960</v>
      </c>
      <c r="C1742" s="6" t="s">
        <v>6003</v>
      </c>
      <c r="D1742" s="6" t="s">
        <v>4067</v>
      </c>
      <c r="E1742" s="6"/>
      <c r="F1742" s="6" t="s">
        <v>4019</v>
      </c>
      <c r="G1742" s="6" t="s">
        <v>24</v>
      </c>
      <c r="H1742" s="6" t="str">
        <f>IFERROR(VLOOKUP(Table2[[#This Row],[Ticket]],Okey!A:B,2,0),"")</f>
        <v>ok</v>
      </c>
      <c r="I1742" s="6" t="s">
        <v>3679</v>
      </c>
      <c r="J1742" s="6" t="str">
        <f>VLOOKUP(Table2[[#This Row],[Author]],People!A:B,2,0)</f>
        <v>EL</v>
      </c>
      <c r="K1742" s="6"/>
      <c r="L1742" s="6"/>
      <c r="M1742" s="21" t="s">
        <v>3984</v>
      </c>
    </row>
    <row r="1743" spans="1:13" x14ac:dyDescent="0.25">
      <c r="A1743" s="23">
        <f t="shared" si="27"/>
        <v>1742</v>
      </c>
      <c r="B1743" s="7" t="s">
        <v>5960</v>
      </c>
      <c r="C1743" s="7" t="s">
        <v>6003</v>
      </c>
      <c r="D1743" s="7" t="s">
        <v>4059</v>
      </c>
      <c r="E1743" s="7"/>
      <c r="F1743" s="7" t="s">
        <v>4019</v>
      </c>
      <c r="G1743" s="7" t="s">
        <v>24</v>
      </c>
      <c r="H1743" s="7" t="str">
        <f>IFERROR(VLOOKUP(Table2[[#This Row],[Ticket]],Okey!A:B,2,0),"")</f>
        <v>ok</v>
      </c>
      <c r="I1743" s="7" t="s">
        <v>3679</v>
      </c>
      <c r="J1743" s="7" t="str">
        <f>VLOOKUP(Table2[[#This Row],[Author]],People!A:B,2,0)</f>
        <v>EL</v>
      </c>
      <c r="K1743" s="7"/>
      <c r="L1743" s="7"/>
      <c r="M1743" s="16" t="s">
        <v>3984</v>
      </c>
    </row>
    <row r="1744" spans="1:13" x14ac:dyDescent="0.25">
      <c r="A1744" s="22">
        <f t="shared" si="27"/>
        <v>1743</v>
      </c>
      <c r="B1744" s="6" t="s">
        <v>5960</v>
      </c>
      <c r="C1744" s="6" t="s">
        <v>6003</v>
      </c>
      <c r="D1744" s="6" t="s">
        <v>4084</v>
      </c>
      <c r="E1744" s="6"/>
      <c r="F1744" s="6" t="s">
        <v>4082</v>
      </c>
      <c r="G1744" s="6" t="s">
        <v>24</v>
      </c>
      <c r="H1744" s="6" t="str">
        <f>IFERROR(VLOOKUP(Table2[[#This Row],[Ticket]],Okey!A:B,2,0),"")</f>
        <v>ok</v>
      </c>
      <c r="I1744" s="6" t="s">
        <v>3679</v>
      </c>
      <c r="J1744" s="6" t="str">
        <f>VLOOKUP(Table2[[#This Row],[Author]],People!A:B,2,0)</f>
        <v>EL</v>
      </c>
      <c r="K1744" s="6"/>
      <c r="L1744" s="6"/>
      <c r="M1744" s="21" t="s">
        <v>3984</v>
      </c>
    </row>
    <row r="1745" spans="1:13" x14ac:dyDescent="0.25">
      <c r="A1745" s="23">
        <f t="shared" si="27"/>
        <v>1744</v>
      </c>
      <c r="B1745" s="7" t="s">
        <v>5960</v>
      </c>
      <c r="C1745" s="7" t="s">
        <v>6003</v>
      </c>
      <c r="D1745" s="7" t="s">
        <v>4086</v>
      </c>
      <c r="E1745" s="7"/>
      <c r="F1745" s="7" t="s">
        <v>4082</v>
      </c>
      <c r="G1745" s="7" t="s">
        <v>24</v>
      </c>
      <c r="H1745" s="7" t="str">
        <f>IFERROR(VLOOKUP(Table2[[#This Row],[Ticket]],Okey!A:B,2,0),"")</f>
        <v>ok</v>
      </c>
      <c r="I1745" s="7" t="s">
        <v>3679</v>
      </c>
      <c r="J1745" s="7" t="str">
        <f>VLOOKUP(Table2[[#This Row],[Author]],People!A:B,2,0)</f>
        <v>EL</v>
      </c>
      <c r="K1745" s="7"/>
      <c r="L1745" s="7"/>
      <c r="M1745" s="16" t="s">
        <v>3984</v>
      </c>
    </row>
    <row r="1746" spans="1:13" x14ac:dyDescent="0.25">
      <c r="A1746" s="22">
        <f t="shared" si="27"/>
        <v>1745</v>
      </c>
      <c r="B1746" s="6" t="s">
        <v>5960</v>
      </c>
      <c r="C1746" s="6" t="s">
        <v>6003</v>
      </c>
      <c r="D1746" s="6" t="s">
        <v>4088</v>
      </c>
      <c r="E1746" s="6"/>
      <c r="F1746" s="6" t="s">
        <v>4082</v>
      </c>
      <c r="G1746" s="6" t="s">
        <v>24</v>
      </c>
      <c r="H1746" s="6" t="str">
        <f>IFERROR(VLOOKUP(Table2[[#This Row],[Ticket]],Okey!A:B,2,0),"")</f>
        <v>ok</v>
      </c>
      <c r="I1746" s="6" t="s">
        <v>3679</v>
      </c>
      <c r="J1746" s="6" t="str">
        <f>VLOOKUP(Table2[[#This Row],[Author]],People!A:B,2,0)</f>
        <v>EL</v>
      </c>
      <c r="K1746" s="6"/>
      <c r="L1746" s="6"/>
      <c r="M1746" s="21" t="s">
        <v>3984</v>
      </c>
    </row>
    <row r="1747" spans="1:13" x14ac:dyDescent="0.25">
      <c r="A1747" s="23">
        <f t="shared" si="27"/>
        <v>1746</v>
      </c>
      <c r="B1747" s="7" t="s">
        <v>5960</v>
      </c>
      <c r="C1747" s="7" t="s">
        <v>6003</v>
      </c>
      <c r="D1747" s="7" t="s">
        <v>4069</v>
      </c>
      <c r="E1747" s="7"/>
      <c r="F1747" s="7" t="s">
        <v>4067</v>
      </c>
      <c r="G1747" s="7" t="s">
        <v>24</v>
      </c>
      <c r="H1747" s="7" t="str">
        <f>IFERROR(VLOOKUP(Table2[[#This Row],[Ticket]],Okey!A:B,2,0),"")</f>
        <v>ok</v>
      </c>
      <c r="I1747" s="7" t="s">
        <v>3679</v>
      </c>
      <c r="J1747" s="7" t="str">
        <f>VLOOKUP(Table2[[#This Row],[Author]],People!A:B,2,0)</f>
        <v>EL</v>
      </c>
      <c r="K1747" s="7"/>
      <c r="L1747" s="7"/>
      <c r="M1747" s="16" t="s">
        <v>3984</v>
      </c>
    </row>
    <row r="1748" spans="1:13" x14ac:dyDescent="0.25">
      <c r="A1748" s="22">
        <f t="shared" si="27"/>
        <v>1747</v>
      </c>
      <c r="B1748" s="6" t="s">
        <v>5960</v>
      </c>
      <c r="C1748" s="6" t="s">
        <v>6003</v>
      </c>
      <c r="D1748" s="6" t="s">
        <v>4071</v>
      </c>
      <c r="E1748" s="6"/>
      <c r="F1748" s="6" t="s">
        <v>4067</v>
      </c>
      <c r="G1748" s="6" t="s">
        <v>24</v>
      </c>
      <c r="H1748" s="6" t="str">
        <f>IFERROR(VLOOKUP(Table2[[#This Row],[Ticket]],Okey!A:B,2,0),"")</f>
        <v>ok</v>
      </c>
      <c r="I1748" s="6" t="s">
        <v>3679</v>
      </c>
      <c r="J1748" s="6" t="str">
        <f>VLOOKUP(Table2[[#This Row],[Author]],People!A:B,2,0)</f>
        <v>EL</v>
      </c>
      <c r="K1748" s="6"/>
      <c r="L1748" s="6"/>
      <c r="M1748" s="21" t="s">
        <v>3984</v>
      </c>
    </row>
    <row r="1749" spans="1:13" x14ac:dyDescent="0.25">
      <c r="A1749" s="23">
        <f t="shared" si="27"/>
        <v>1748</v>
      </c>
      <c r="B1749" s="7" t="s">
        <v>5960</v>
      </c>
      <c r="C1749" s="7" t="s">
        <v>6003</v>
      </c>
      <c r="D1749" s="7" t="s">
        <v>4073</v>
      </c>
      <c r="E1749" s="7"/>
      <c r="F1749" s="7" t="s">
        <v>4067</v>
      </c>
      <c r="G1749" s="7" t="s">
        <v>24</v>
      </c>
      <c r="H1749" s="7" t="str">
        <f>IFERROR(VLOOKUP(Table2[[#This Row],[Ticket]],Okey!A:B,2,0),"")</f>
        <v>ok</v>
      </c>
      <c r="I1749" s="7" t="s">
        <v>3679</v>
      </c>
      <c r="J1749" s="7" t="str">
        <f>VLOOKUP(Table2[[#This Row],[Author]],People!A:B,2,0)</f>
        <v>EL</v>
      </c>
      <c r="K1749" s="7"/>
      <c r="L1749" s="7"/>
      <c r="M1749" s="16" t="s">
        <v>3984</v>
      </c>
    </row>
    <row r="1750" spans="1:13" x14ac:dyDescent="0.25">
      <c r="A1750" s="22">
        <f t="shared" si="27"/>
        <v>1749</v>
      </c>
      <c r="B1750" s="6" t="s">
        <v>5960</v>
      </c>
      <c r="C1750" s="6" t="s">
        <v>6003</v>
      </c>
      <c r="D1750" s="6" t="s">
        <v>4075</v>
      </c>
      <c r="E1750" s="6"/>
      <c r="F1750" s="6" t="s">
        <v>4067</v>
      </c>
      <c r="G1750" s="6" t="s">
        <v>24</v>
      </c>
      <c r="H1750" s="6" t="str">
        <f>IFERROR(VLOOKUP(Table2[[#This Row],[Ticket]],Okey!A:B,2,0),"")</f>
        <v>ok</v>
      </c>
      <c r="I1750" s="6" t="s">
        <v>3679</v>
      </c>
      <c r="J1750" s="6" t="str">
        <f>VLOOKUP(Table2[[#This Row],[Author]],People!A:B,2,0)</f>
        <v>EL</v>
      </c>
      <c r="K1750" s="6"/>
      <c r="L1750" s="6"/>
      <c r="M1750" s="21" t="s">
        <v>3984</v>
      </c>
    </row>
    <row r="1751" spans="1:13" x14ac:dyDescent="0.25">
      <c r="A1751" s="23">
        <f t="shared" si="27"/>
        <v>1750</v>
      </c>
      <c r="B1751" s="7" t="s">
        <v>5960</v>
      </c>
      <c r="C1751" s="7" t="s">
        <v>6003</v>
      </c>
      <c r="D1751" s="7" t="s">
        <v>4077</v>
      </c>
      <c r="E1751" s="7"/>
      <c r="F1751" s="7" t="s">
        <v>4067</v>
      </c>
      <c r="G1751" s="7" t="s">
        <v>24</v>
      </c>
      <c r="H1751" s="7" t="str">
        <f>IFERROR(VLOOKUP(Table2[[#This Row],[Ticket]],Okey!A:B,2,0),"")</f>
        <v>ok</v>
      </c>
      <c r="I1751" s="7" t="s">
        <v>3679</v>
      </c>
      <c r="J1751" s="7" t="str">
        <f>VLOOKUP(Table2[[#This Row],[Author]],People!A:B,2,0)</f>
        <v>EL</v>
      </c>
      <c r="K1751" s="7"/>
      <c r="L1751" s="7"/>
      <c r="M1751" s="16" t="s">
        <v>3984</v>
      </c>
    </row>
    <row r="1752" spans="1:13" x14ac:dyDescent="0.25">
      <c r="A1752" s="22">
        <f t="shared" si="27"/>
        <v>1751</v>
      </c>
      <c r="B1752" s="6" t="s">
        <v>5960</v>
      </c>
      <c r="C1752" s="6" t="s">
        <v>6003</v>
      </c>
      <c r="D1752" s="6" t="s">
        <v>4061</v>
      </c>
      <c r="E1752" s="6"/>
      <c r="F1752" s="6" t="s">
        <v>4059</v>
      </c>
      <c r="G1752" s="6" t="s">
        <v>24</v>
      </c>
      <c r="H1752" s="6" t="str">
        <f>IFERROR(VLOOKUP(Table2[[#This Row],[Ticket]],Okey!A:B,2,0),"")</f>
        <v>ok</v>
      </c>
      <c r="I1752" s="6" t="s">
        <v>3679</v>
      </c>
      <c r="J1752" s="6" t="str">
        <f>VLOOKUP(Table2[[#This Row],[Author]],People!A:B,2,0)</f>
        <v>EL</v>
      </c>
      <c r="K1752" s="6"/>
      <c r="L1752" s="6"/>
      <c r="M1752" s="21" t="s">
        <v>3984</v>
      </c>
    </row>
    <row r="1753" spans="1:13" x14ac:dyDescent="0.25">
      <c r="A1753" s="23">
        <f t="shared" si="27"/>
        <v>1752</v>
      </c>
      <c r="B1753" s="7" t="s">
        <v>5960</v>
      </c>
      <c r="C1753" s="7" t="s">
        <v>6003</v>
      </c>
      <c r="D1753" s="7" t="s">
        <v>4063</v>
      </c>
      <c r="E1753" s="7"/>
      <c r="F1753" s="7" t="s">
        <v>4059</v>
      </c>
      <c r="G1753" s="7" t="s">
        <v>24</v>
      </c>
      <c r="H1753" s="7" t="str">
        <f>IFERROR(VLOOKUP(Table2[[#This Row],[Ticket]],Okey!A:B,2,0),"")</f>
        <v>ok</v>
      </c>
      <c r="I1753" s="7" t="s">
        <v>3679</v>
      </c>
      <c r="J1753" s="7" t="str">
        <f>VLOOKUP(Table2[[#This Row],[Author]],People!A:B,2,0)</f>
        <v>EL</v>
      </c>
      <c r="K1753" s="7"/>
      <c r="L1753" s="7"/>
      <c r="M1753" s="16" t="s">
        <v>3984</v>
      </c>
    </row>
    <row r="1754" spans="1:13" x14ac:dyDescent="0.25">
      <c r="A1754" s="22">
        <f t="shared" si="27"/>
        <v>1753</v>
      </c>
      <c r="B1754" s="6" t="s">
        <v>5960</v>
      </c>
      <c r="C1754" s="6" t="s">
        <v>6003</v>
      </c>
      <c r="D1754" s="6" t="s">
        <v>4065</v>
      </c>
      <c r="E1754" s="6"/>
      <c r="F1754" s="6" t="s">
        <v>4059</v>
      </c>
      <c r="G1754" s="6" t="s">
        <v>24</v>
      </c>
      <c r="H1754" s="6" t="str">
        <f>IFERROR(VLOOKUP(Table2[[#This Row],[Ticket]],Okey!A:B,2,0),"")</f>
        <v>ok</v>
      </c>
      <c r="I1754" s="6" t="s">
        <v>3679</v>
      </c>
      <c r="J1754" s="6" t="str">
        <f>VLOOKUP(Table2[[#This Row],[Author]],People!A:B,2,0)</f>
        <v>EL</v>
      </c>
      <c r="K1754" s="6"/>
      <c r="L1754" s="6"/>
      <c r="M1754" s="21" t="s">
        <v>3984</v>
      </c>
    </row>
    <row r="1755" spans="1:13" x14ac:dyDescent="0.25">
      <c r="A1755" s="23">
        <f t="shared" si="27"/>
        <v>1754</v>
      </c>
      <c r="B1755" s="7" t="s">
        <v>5960</v>
      </c>
      <c r="C1755" s="7" t="s">
        <v>6004</v>
      </c>
      <c r="D1755" s="7" t="s">
        <v>488</v>
      </c>
      <c r="E1755" s="7"/>
      <c r="F1755" s="7" t="s">
        <v>486</v>
      </c>
      <c r="G1755" s="7" t="s">
        <v>24</v>
      </c>
      <c r="H1755" s="7" t="str">
        <f>IFERROR(VLOOKUP(Table2[[#This Row],[Ticket]],Okey!A:B,2,0),"")</f>
        <v>ok</v>
      </c>
      <c r="I1755" s="7" t="s">
        <v>3679</v>
      </c>
      <c r="J1755" s="7" t="str">
        <f>VLOOKUP(Table2[[#This Row],[Author]],People!A:B,2,0)</f>
        <v>EL</v>
      </c>
      <c r="K1755" s="7"/>
      <c r="L1755" s="7"/>
      <c r="M1755" s="16" t="s">
        <v>3984</v>
      </c>
    </row>
    <row r="1756" spans="1:13" x14ac:dyDescent="0.25">
      <c r="A1756" s="22">
        <f t="shared" si="27"/>
        <v>1755</v>
      </c>
      <c r="B1756" s="6" t="s">
        <v>5960</v>
      </c>
      <c r="C1756" s="6" t="s">
        <v>6004</v>
      </c>
      <c r="D1756" s="6" t="s">
        <v>490</v>
      </c>
      <c r="E1756" s="6"/>
      <c r="F1756" s="6" t="s">
        <v>486</v>
      </c>
      <c r="G1756" s="6" t="s">
        <v>24</v>
      </c>
      <c r="H1756" s="6" t="str">
        <f>IFERROR(VLOOKUP(Table2[[#This Row],[Ticket]],Okey!A:B,2,0),"")</f>
        <v>ok</v>
      </c>
      <c r="I1756" s="6" t="s">
        <v>3679</v>
      </c>
      <c r="J1756" s="6" t="str">
        <f>VLOOKUP(Table2[[#This Row],[Author]],People!A:B,2,0)</f>
        <v>EL</v>
      </c>
      <c r="K1756" s="6"/>
      <c r="L1756" s="6"/>
      <c r="M1756" s="21" t="s">
        <v>3984</v>
      </c>
    </row>
    <row r="1757" spans="1:13" x14ac:dyDescent="0.25">
      <c r="A1757" s="23">
        <f t="shared" si="27"/>
        <v>1756</v>
      </c>
      <c r="B1757" s="7" t="s">
        <v>5960</v>
      </c>
      <c r="C1757" s="7" t="s">
        <v>6004</v>
      </c>
      <c r="D1757" s="7" t="s">
        <v>365</v>
      </c>
      <c r="E1757" s="7"/>
      <c r="F1757" s="7" t="s">
        <v>486</v>
      </c>
      <c r="G1757" s="7" t="s">
        <v>24</v>
      </c>
      <c r="H1757" s="7" t="str">
        <f>IFERROR(VLOOKUP(Table2[[#This Row],[Ticket]],Okey!A:B,2,0),"")</f>
        <v>ok</v>
      </c>
      <c r="I1757" s="7" t="s">
        <v>3679</v>
      </c>
      <c r="J1757" s="7" t="str">
        <f>VLOOKUP(Table2[[#This Row],[Author]],People!A:B,2,0)</f>
        <v>EL</v>
      </c>
      <c r="K1757" s="7"/>
      <c r="L1757" s="7"/>
      <c r="M1757" s="16" t="s">
        <v>3984</v>
      </c>
    </row>
    <row r="1758" spans="1:13" x14ac:dyDescent="0.25">
      <c r="A1758" s="22">
        <f t="shared" si="27"/>
        <v>1757</v>
      </c>
      <c r="B1758" s="6" t="s">
        <v>5960</v>
      </c>
      <c r="C1758" s="6" t="s">
        <v>6004</v>
      </c>
      <c r="D1758" s="6" t="s">
        <v>4096</v>
      </c>
      <c r="E1758" s="6"/>
      <c r="F1758" s="6" t="s">
        <v>488</v>
      </c>
      <c r="G1758" s="6" t="s">
        <v>24</v>
      </c>
      <c r="H1758" s="6" t="str">
        <f>IFERROR(VLOOKUP(Table2[[#This Row],[Ticket]],Okey!A:B,2,0),"")</f>
        <v>ok</v>
      </c>
      <c r="I1758" s="6" t="s">
        <v>3679</v>
      </c>
      <c r="J1758" s="6" t="str">
        <f>VLOOKUP(Table2[[#This Row],[Author]],People!A:B,2,0)</f>
        <v>EL</v>
      </c>
      <c r="K1758" s="6"/>
      <c r="L1758" s="6"/>
      <c r="M1758" s="21" t="s">
        <v>3984</v>
      </c>
    </row>
    <row r="1759" spans="1:13" x14ac:dyDescent="0.25">
      <c r="A1759" s="23">
        <f t="shared" si="27"/>
        <v>1758</v>
      </c>
      <c r="B1759" s="7" t="s">
        <v>5960</v>
      </c>
      <c r="C1759" s="7" t="s">
        <v>6004</v>
      </c>
      <c r="D1759" s="7" t="s">
        <v>4098</v>
      </c>
      <c r="E1759" s="7"/>
      <c r="F1759" s="7" t="s">
        <v>488</v>
      </c>
      <c r="G1759" s="7" t="s">
        <v>24</v>
      </c>
      <c r="H1759" s="7" t="str">
        <f>IFERROR(VLOOKUP(Table2[[#This Row],[Ticket]],Okey!A:B,2,0),"")</f>
        <v>ok</v>
      </c>
      <c r="I1759" s="7" t="s">
        <v>3679</v>
      </c>
      <c r="J1759" s="7" t="str">
        <f>VLOOKUP(Table2[[#This Row],[Author]],People!A:B,2,0)</f>
        <v>EL</v>
      </c>
      <c r="K1759" s="7"/>
      <c r="L1759" s="7"/>
      <c r="M1759" s="16" t="s">
        <v>3984</v>
      </c>
    </row>
    <row r="1760" spans="1:13" x14ac:dyDescent="0.25">
      <c r="A1760" s="22">
        <f t="shared" si="27"/>
        <v>1759</v>
      </c>
      <c r="B1760" s="6" t="s">
        <v>5960</v>
      </c>
      <c r="C1760" s="6" t="s">
        <v>6004</v>
      </c>
      <c r="D1760" s="6" t="s">
        <v>4100</v>
      </c>
      <c r="E1760" s="6"/>
      <c r="F1760" s="6" t="s">
        <v>490</v>
      </c>
      <c r="G1760" s="6" t="s">
        <v>24</v>
      </c>
      <c r="H1760" s="6" t="str">
        <f>IFERROR(VLOOKUP(Table2[[#This Row],[Ticket]],Okey!A:B,2,0),"")</f>
        <v>ok</v>
      </c>
      <c r="I1760" s="6" t="s">
        <v>3679</v>
      </c>
      <c r="J1760" s="6" t="str">
        <f>VLOOKUP(Table2[[#This Row],[Author]],People!A:B,2,0)</f>
        <v>EL</v>
      </c>
      <c r="K1760" s="6"/>
      <c r="L1760" s="6"/>
      <c r="M1760" s="21" t="s">
        <v>3984</v>
      </c>
    </row>
    <row r="1761" spans="1:13" x14ac:dyDescent="0.25">
      <c r="A1761" s="23">
        <f t="shared" si="27"/>
        <v>1760</v>
      </c>
      <c r="B1761" s="7" t="s">
        <v>5960</v>
      </c>
      <c r="C1761" s="7" t="s">
        <v>6004</v>
      </c>
      <c r="D1761" s="7" t="s">
        <v>492</v>
      </c>
      <c r="E1761" s="7"/>
      <c r="F1761" s="7" t="s">
        <v>490</v>
      </c>
      <c r="G1761" s="7" t="s">
        <v>24</v>
      </c>
      <c r="H1761" s="7" t="str">
        <f>IFERROR(VLOOKUP(Table2[[#This Row],[Ticket]],Okey!A:B,2,0),"")</f>
        <v>ok</v>
      </c>
      <c r="I1761" s="7" t="s">
        <v>3679</v>
      </c>
      <c r="J1761" s="7" t="str">
        <f>VLOOKUP(Table2[[#This Row],[Author]],People!A:B,2,0)</f>
        <v>EL</v>
      </c>
      <c r="K1761" s="7"/>
      <c r="L1761" s="7"/>
      <c r="M1761" s="16" t="s">
        <v>3984</v>
      </c>
    </row>
    <row r="1762" spans="1:13" x14ac:dyDescent="0.25">
      <c r="A1762" s="22">
        <f t="shared" si="27"/>
        <v>1761</v>
      </c>
      <c r="B1762" s="6" t="s">
        <v>5960</v>
      </c>
      <c r="C1762" s="6" t="s">
        <v>6004</v>
      </c>
      <c r="D1762" s="6" t="s">
        <v>4103</v>
      </c>
      <c r="E1762" s="6"/>
      <c r="F1762" s="6" t="s">
        <v>490</v>
      </c>
      <c r="G1762" s="6" t="s">
        <v>24</v>
      </c>
      <c r="H1762" s="6" t="str">
        <f>IFERROR(VLOOKUP(Table2[[#This Row],[Ticket]],Okey!A:B,2,0),"")</f>
        <v>ok</v>
      </c>
      <c r="I1762" s="6" t="s">
        <v>3679</v>
      </c>
      <c r="J1762" s="6" t="str">
        <f>VLOOKUP(Table2[[#This Row],[Author]],People!A:B,2,0)</f>
        <v>EL</v>
      </c>
      <c r="K1762" s="6"/>
      <c r="L1762" s="6"/>
      <c r="M1762" s="21" t="s">
        <v>3984</v>
      </c>
    </row>
    <row r="1763" spans="1:13" x14ac:dyDescent="0.25">
      <c r="A1763" s="23">
        <f t="shared" si="27"/>
        <v>1762</v>
      </c>
      <c r="B1763" s="7" t="s">
        <v>5960</v>
      </c>
      <c r="C1763" s="7" t="s">
        <v>6004</v>
      </c>
      <c r="D1763" s="7" t="s">
        <v>617</v>
      </c>
      <c r="E1763" s="7"/>
      <c r="F1763" s="7" t="s">
        <v>365</v>
      </c>
      <c r="G1763" s="7" t="s">
        <v>24</v>
      </c>
      <c r="H1763" s="7" t="str">
        <f>IFERROR(VLOOKUP(Table2[[#This Row],[Ticket]],Okey!A:B,2,0),"")</f>
        <v>ok</v>
      </c>
      <c r="I1763" s="7" t="s">
        <v>3679</v>
      </c>
      <c r="J1763" s="7" t="str">
        <f>VLOOKUP(Table2[[#This Row],[Author]],People!A:B,2,0)</f>
        <v>EL</v>
      </c>
      <c r="K1763" s="7"/>
      <c r="L1763" s="7"/>
      <c r="M1763" s="16" t="s">
        <v>3984</v>
      </c>
    </row>
    <row r="1764" spans="1:13" x14ac:dyDescent="0.25">
      <c r="A1764" s="22">
        <f t="shared" si="27"/>
        <v>1763</v>
      </c>
      <c r="B1764" s="6" t="s">
        <v>5960</v>
      </c>
      <c r="C1764" s="6" t="s">
        <v>6004</v>
      </c>
      <c r="D1764" s="6" t="s">
        <v>366</v>
      </c>
      <c r="E1764" s="6"/>
      <c r="F1764" s="6" t="s">
        <v>365</v>
      </c>
      <c r="G1764" s="6" t="s">
        <v>24</v>
      </c>
      <c r="H1764" s="6" t="str">
        <f>IFERROR(VLOOKUP(Table2[[#This Row],[Ticket]],Okey!A:B,2,0),"")</f>
        <v>ok</v>
      </c>
      <c r="I1764" s="6" t="s">
        <v>3679</v>
      </c>
      <c r="J1764" s="6" t="str">
        <f>VLOOKUP(Table2[[#This Row],[Author]],People!A:B,2,0)</f>
        <v>EL</v>
      </c>
      <c r="K1764" s="6"/>
      <c r="L1764" s="6"/>
      <c r="M1764" s="21" t="s">
        <v>3984</v>
      </c>
    </row>
    <row r="1765" spans="1:13" x14ac:dyDescent="0.25">
      <c r="A1765" s="23">
        <f t="shared" si="27"/>
        <v>1764</v>
      </c>
      <c r="B1765" s="7" t="s">
        <v>5960</v>
      </c>
      <c r="C1765" s="7" t="s">
        <v>6004</v>
      </c>
      <c r="D1765" s="7" t="s">
        <v>4105</v>
      </c>
      <c r="E1765" s="7"/>
      <c r="F1765" s="7" t="s">
        <v>4103</v>
      </c>
      <c r="G1765" s="7" t="s">
        <v>24</v>
      </c>
      <c r="H1765" s="7" t="str">
        <f>IFERROR(VLOOKUP(Table2[[#This Row],[Ticket]],Okey!A:B,2,0),"")</f>
        <v>ok</v>
      </c>
      <c r="I1765" s="7" t="s">
        <v>3679</v>
      </c>
      <c r="J1765" s="7" t="str">
        <f>VLOOKUP(Table2[[#This Row],[Author]],People!A:B,2,0)</f>
        <v>EL</v>
      </c>
      <c r="K1765" s="7"/>
      <c r="L1765" s="7"/>
      <c r="M1765" s="16" t="s">
        <v>3984</v>
      </c>
    </row>
    <row r="1766" spans="1:13" x14ac:dyDescent="0.25">
      <c r="A1766" s="22">
        <f t="shared" si="27"/>
        <v>1765</v>
      </c>
      <c r="B1766" s="6" t="s">
        <v>5960</v>
      </c>
      <c r="C1766" s="6" t="s">
        <v>6004</v>
      </c>
      <c r="D1766" s="6" t="s">
        <v>4107</v>
      </c>
      <c r="E1766" s="6"/>
      <c r="F1766" s="6" t="s">
        <v>4103</v>
      </c>
      <c r="G1766" s="6" t="s">
        <v>24</v>
      </c>
      <c r="H1766" s="6" t="str">
        <f>IFERROR(VLOOKUP(Table2[[#This Row],[Ticket]],Okey!A:B,2,0),"")</f>
        <v>ok</v>
      </c>
      <c r="I1766" s="6" t="s">
        <v>3679</v>
      </c>
      <c r="J1766" s="6" t="str">
        <f>VLOOKUP(Table2[[#This Row],[Author]],People!A:B,2,0)</f>
        <v>EL</v>
      </c>
      <c r="K1766" s="6"/>
      <c r="L1766" s="6"/>
      <c r="M1766" s="21" t="s">
        <v>3984</v>
      </c>
    </row>
    <row r="1767" spans="1:13" x14ac:dyDescent="0.25">
      <c r="A1767" s="23">
        <f t="shared" si="27"/>
        <v>1766</v>
      </c>
      <c r="B1767" s="7" t="s">
        <v>5960</v>
      </c>
      <c r="C1767" s="7" t="s">
        <v>6004</v>
      </c>
      <c r="D1767" s="7" t="s">
        <v>4094</v>
      </c>
      <c r="E1767" s="7"/>
      <c r="F1767" s="7" t="s">
        <v>617</v>
      </c>
      <c r="G1767" s="7" t="s">
        <v>24</v>
      </c>
      <c r="H1767" s="7" t="str">
        <f>IFERROR(VLOOKUP(Table2[[#This Row],[Ticket]],Okey!A:B,2,0),"")</f>
        <v>ok</v>
      </c>
      <c r="I1767" s="7" t="s">
        <v>3679</v>
      </c>
      <c r="J1767" s="7" t="str">
        <f>VLOOKUP(Table2[[#This Row],[Author]],People!A:B,2,0)</f>
        <v>EL</v>
      </c>
      <c r="K1767" s="7"/>
      <c r="L1767" s="7"/>
      <c r="M1767" s="16" t="s">
        <v>3984</v>
      </c>
    </row>
    <row r="1768" spans="1:13" x14ac:dyDescent="0.25">
      <c r="A1768" s="22">
        <f t="shared" si="27"/>
        <v>1767</v>
      </c>
      <c r="B1768" s="6" t="s">
        <v>5960</v>
      </c>
      <c r="C1768" s="6" t="s">
        <v>6005</v>
      </c>
      <c r="D1768" s="6" t="s">
        <v>4008</v>
      </c>
      <c r="E1768" s="6"/>
      <c r="F1768" s="6" t="s">
        <v>374</v>
      </c>
      <c r="G1768" s="6" t="s">
        <v>24</v>
      </c>
      <c r="H1768" s="6" t="str">
        <f>IFERROR(VLOOKUP(Table2[[#This Row],[Ticket]],Okey!A:B,2,0),"")</f>
        <v>ok</v>
      </c>
      <c r="I1768" s="6" t="s">
        <v>3679</v>
      </c>
      <c r="J1768" s="6" t="str">
        <f>VLOOKUP(Table2[[#This Row],[Author]],People!A:B,2,0)</f>
        <v>EL</v>
      </c>
      <c r="K1768" s="6" t="s">
        <v>6006</v>
      </c>
      <c r="L1768" s="6"/>
      <c r="M1768" s="21" t="s">
        <v>3984</v>
      </c>
    </row>
    <row r="1769" spans="1:13" x14ac:dyDescent="0.25">
      <c r="A1769" s="23">
        <f t="shared" si="27"/>
        <v>1768</v>
      </c>
      <c r="B1769" s="7" t="s">
        <v>5960</v>
      </c>
      <c r="C1769" s="7" t="s">
        <v>6005</v>
      </c>
      <c r="D1769" s="7" t="s">
        <v>4010</v>
      </c>
      <c r="E1769" s="7"/>
      <c r="F1769" s="7" t="s">
        <v>374</v>
      </c>
      <c r="G1769" s="7" t="s">
        <v>24</v>
      </c>
      <c r="H1769" s="7" t="str">
        <f>IFERROR(VLOOKUP(Table2[[#This Row],[Ticket]],Okey!A:B,2,0),"")</f>
        <v>ok</v>
      </c>
      <c r="I1769" s="7" t="s">
        <v>3679</v>
      </c>
      <c r="J1769" s="7" t="str">
        <f>VLOOKUP(Table2[[#This Row],[Author]],People!A:B,2,0)</f>
        <v>EL</v>
      </c>
      <c r="K1769" s="7" t="s">
        <v>6006</v>
      </c>
      <c r="L1769" s="7"/>
      <c r="M1769" s="16" t="s">
        <v>3984</v>
      </c>
    </row>
    <row r="1770" spans="1:13" x14ac:dyDescent="0.25">
      <c r="A1770" s="22">
        <f t="shared" si="27"/>
        <v>1769</v>
      </c>
      <c r="B1770" s="6" t="s">
        <v>5960</v>
      </c>
      <c r="C1770" s="6" t="s">
        <v>6007</v>
      </c>
      <c r="D1770" s="6" t="s">
        <v>6008</v>
      </c>
      <c r="E1770" s="6"/>
      <c r="F1770" s="6" t="s">
        <v>1824</v>
      </c>
      <c r="G1770" s="6" t="s">
        <v>24</v>
      </c>
      <c r="H1770" s="6" t="str">
        <f>IFERROR(VLOOKUP(Table2[[#This Row],[Ticket]],Okey!A:B,2,0),"")</f>
        <v>ok</v>
      </c>
      <c r="I1770" s="6" t="s">
        <v>3679</v>
      </c>
      <c r="J1770" s="6" t="str">
        <f>VLOOKUP(Table2[[#This Row],[Author]],People!A:B,2,0)</f>
        <v>EL</v>
      </c>
      <c r="K1770" s="6" t="s">
        <v>5965</v>
      </c>
      <c r="L1770" s="6"/>
      <c r="M1770" s="21" t="s">
        <v>3984</v>
      </c>
    </row>
    <row r="1771" spans="1:13" x14ac:dyDescent="0.25">
      <c r="A1771" s="23">
        <f t="shared" si="27"/>
        <v>1770</v>
      </c>
      <c r="B1771" s="7" t="s">
        <v>5960</v>
      </c>
      <c r="C1771" s="7" t="s">
        <v>6007</v>
      </c>
      <c r="D1771" s="7" t="s">
        <v>4006</v>
      </c>
      <c r="E1771" s="7"/>
      <c r="F1771" s="7" t="s">
        <v>1824</v>
      </c>
      <c r="G1771" s="7" t="s">
        <v>24</v>
      </c>
      <c r="H1771" s="7" t="str">
        <f>IFERROR(VLOOKUP(Table2[[#This Row],[Ticket]],Okey!A:B,2,0),"")</f>
        <v>ok</v>
      </c>
      <c r="I1771" s="7" t="s">
        <v>3679</v>
      </c>
      <c r="J1771" s="7" t="str">
        <f>VLOOKUP(Table2[[#This Row],[Author]],People!A:B,2,0)</f>
        <v>EL</v>
      </c>
      <c r="K1771" s="7" t="s">
        <v>5965</v>
      </c>
      <c r="L1771" s="7"/>
      <c r="M1771" s="16" t="s">
        <v>3984</v>
      </c>
    </row>
    <row r="1772" spans="1:13" x14ac:dyDescent="0.25">
      <c r="A1772" s="22">
        <f t="shared" si="27"/>
        <v>1771</v>
      </c>
      <c r="B1772" s="6" t="s">
        <v>5960</v>
      </c>
      <c r="C1772" s="6" t="s">
        <v>6007</v>
      </c>
      <c r="D1772" s="6" t="s">
        <v>4010</v>
      </c>
      <c r="E1772" s="6"/>
      <c r="F1772" s="6" t="s">
        <v>5099</v>
      </c>
      <c r="G1772" s="6" t="s">
        <v>24</v>
      </c>
      <c r="H1772" s="6" t="str">
        <f>IFERROR(VLOOKUP(Table2[[#This Row],[Ticket]],Okey!A:B,2,0),"")</f>
        <v>ok</v>
      </c>
      <c r="I1772" s="6" t="s">
        <v>3679</v>
      </c>
      <c r="J1772" s="6" t="str">
        <f>VLOOKUP(Table2[[#This Row],[Author]],People!A:B,2,0)</f>
        <v>EL</v>
      </c>
      <c r="K1772" s="6" t="s">
        <v>5965</v>
      </c>
      <c r="L1772" s="6"/>
      <c r="M1772" s="21" t="s">
        <v>3984</v>
      </c>
    </row>
    <row r="1773" spans="1:13" x14ac:dyDescent="0.25">
      <c r="A1773" s="23">
        <f t="shared" si="27"/>
        <v>1772</v>
      </c>
      <c r="B1773" s="7" t="s">
        <v>5960</v>
      </c>
      <c r="C1773" s="7" t="s">
        <v>6007</v>
      </c>
      <c r="D1773" s="7" t="s">
        <v>4008</v>
      </c>
      <c r="E1773" s="7"/>
      <c r="F1773" s="7" t="s">
        <v>6009</v>
      </c>
      <c r="G1773" s="7" t="s">
        <v>24</v>
      </c>
      <c r="H1773" s="7" t="str">
        <f>IFERROR(VLOOKUP(Table2[[#This Row],[Ticket]],Okey!A:B,2,0),"")</f>
        <v>ok</v>
      </c>
      <c r="I1773" s="7" t="s">
        <v>3679</v>
      </c>
      <c r="J1773" s="7" t="str">
        <f>VLOOKUP(Table2[[#This Row],[Author]],People!A:B,2,0)</f>
        <v>EL</v>
      </c>
      <c r="K1773" s="7" t="s">
        <v>5965</v>
      </c>
      <c r="L1773" s="7"/>
      <c r="M1773" s="16" t="s">
        <v>3984</v>
      </c>
    </row>
    <row r="1774" spans="1:13" x14ac:dyDescent="0.25">
      <c r="A1774" s="22">
        <f t="shared" si="27"/>
        <v>1773</v>
      </c>
      <c r="B1774" s="6" t="s">
        <v>5960</v>
      </c>
      <c r="C1774" s="6" t="s">
        <v>6007</v>
      </c>
      <c r="D1774" s="6" t="s">
        <v>536</v>
      </c>
      <c r="E1774" s="6"/>
      <c r="F1774" s="6" t="s">
        <v>414</v>
      </c>
      <c r="G1774" s="6" t="s">
        <v>24</v>
      </c>
      <c r="H1774" s="6" t="str">
        <f>IFERROR(VLOOKUP(Table2[[#This Row],[Ticket]],Okey!A:B,2,0),"")</f>
        <v>ok</v>
      </c>
      <c r="I1774" s="6" t="s">
        <v>3679</v>
      </c>
      <c r="J1774" s="6" t="str">
        <f>VLOOKUP(Table2[[#This Row],[Author]],People!A:B,2,0)</f>
        <v>EL</v>
      </c>
      <c r="K1774" s="6" t="s">
        <v>5965</v>
      </c>
      <c r="L1774" s="6"/>
      <c r="M1774" s="21" t="s">
        <v>3984</v>
      </c>
    </row>
    <row r="1775" spans="1:13" x14ac:dyDescent="0.25">
      <c r="A1775" s="23">
        <f t="shared" si="27"/>
        <v>1774</v>
      </c>
      <c r="B1775" s="7" t="s">
        <v>5960</v>
      </c>
      <c r="C1775" s="7" t="s">
        <v>6007</v>
      </c>
      <c r="D1775" s="7" t="s">
        <v>538</v>
      </c>
      <c r="E1775" s="7"/>
      <c r="F1775" s="7" t="s">
        <v>414</v>
      </c>
      <c r="G1775" s="7" t="s">
        <v>24</v>
      </c>
      <c r="H1775" s="7" t="str">
        <f>IFERROR(VLOOKUP(Table2[[#This Row],[Ticket]],Okey!A:B,2,0),"")</f>
        <v>ok</v>
      </c>
      <c r="I1775" s="7" t="s">
        <v>3679</v>
      </c>
      <c r="J1775" s="7" t="str">
        <f>VLOOKUP(Table2[[#This Row],[Author]],People!A:B,2,0)</f>
        <v>EL</v>
      </c>
      <c r="K1775" s="7" t="s">
        <v>5965</v>
      </c>
      <c r="L1775" s="7"/>
      <c r="M1775" s="16" t="s">
        <v>3984</v>
      </c>
    </row>
    <row r="1776" spans="1:13" x14ac:dyDescent="0.25">
      <c r="A1776" s="22">
        <f t="shared" si="27"/>
        <v>1775</v>
      </c>
      <c r="B1776" s="6" t="s">
        <v>5960</v>
      </c>
      <c r="C1776" s="6" t="s">
        <v>5964</v>
      </c>
      <c r="D1776" s="6" t="s">
        <v>6010</v>
      </c>
      <c r="E1776" s="6"/>
      <c r="F1776" s="6" t="s">
        <v>1326</v>
      </c>
      <c r="G1776" s="6" t="s">
        <v>24</v>
      </c>
      <c r="H1776" s="6" t="str">
        <f>IFERROR(VLOOKUP(Table2[[#This Row],[Ticket]],Okey!A:B,2,0),"")</f>
        <v>ok</v>
      </c>
      <c r="I1776" s="6" t="s">
        <v>3679</v>
      </c>
      <c r="J1776" s="6" t="str">
        <f>VLOOKUP(Table2[[#This Row],[Author]],People!A:B,2,0)</f>
        <v>EL</v>
      </c>
      <c r="K1776" s="6" t="s">
        <v>5965</v>
      </c>
      <c r="L1776" s="6"/>
      <c r="M1776" s="21" t="s">
        <v>1040</v>
      </c>
    </row>
    <row r="1777" spans="1:13" x14ac:dyDescent="0.25">
      <c r="A1777" s="23">
        <f t="shared" si="27"/>
        <v>1776</v>
      </c>
      <c r="B1777" s="7" t="s">
        <v>5960</v>
      </c>
      <c r="C1777" s="7" t="s">
        <v>5964</v>
      </c>
      <c r="D1777" s="7" t="s">
        <v>1098</v>
      </c>
      <c r="E1777" s="7"/>
      <c r="F1777" s="7" t="s">
        <v>1096</v>
      </c>
      <c r="G1777" s="7" t="s">
        <v>24</v>
      </c>
      <c r="H1777" s="7" t="str">
        <f>IFERROR(VLOOKUP(Table2[[#This Row],[Ticket]],Okey!A:B,2,0),"")</f>
        <v>ok</v>
      </c>
      <c r="I1777" s="7" t="s">
        <v>3679</v>
      </c>
      <c r="J1777" s="7" t="str">
        <f>VLOOKUP(Table2[[#This Row],[Author]],People!A:B,2,0)</f>
        <v>EL</v>
      </c>
      <c r="K1777" s="7" t="s">
        <v>5965</v>
      </c>
      <c r="L1777" s="7"/>
      <c r="M1777" s="16" t="s">
        <v>1040</v>
      </c>
    </row>
    <row r="1778" spans="1:13" x14ac:dyDescent="0.25">
      <c r="A1778" s="22">
        <f t="shared" si="27"/>
        <v>1777</v>
      </c>
      <c r="B1778" s="6" t="s">
        <v>5960</v>
      </c>
      <c r="C1778" s="6" t="s">
        <v>5964</v>
      </c>
      <c r="D1778" s="6" t="s">
        <v>2175</v>
      </c>
      <c r="E1778" s="6"/>
      <c r="F1778" s="6" t="s">
        <v>1096</v>
      </c>
      <c r="G1778" s="6" t="s">
        <v>24</v>
      </c>
      <c r="H1778" s="6" t="str">
        <f>IFERROR(VLOOKUP(Table2[[#This Row],[Ticket]],Okey!A:B,2,0),"")</f>
        <v>ok</v>
      </c>
      <c r="I1778" s="6" t="s">
        <v>3679</v>
      </c>
      <c r="J1778" s="6" t="str">
        <f>VLOOKUP(Table2[[#This Row],[Author]],People!A:B,2,0)</f>
        <v>EL</v>
      </c>
      <c r="K1778" s="6" t="s">
        <v>5965</v>
      </c>
      <c r="L1778" s="6"/>
      <c r="M1778" s="21" t="s">
        <v>1040</v>
      </c>
    </row>
    <row r="1779" spans="1:13" x14ac:dyDescent="0.25">
      <c r="A1779" s="23">
        <f t="shared" si="27"/>
        <v>1778</v>
      </c>
      <c r="B1779" s="7" t="s">
        <v>5960</v>
      </c>
      <c r="C1779" s="7" t="s">
        <v>5964</v>
      </c>
      <c r="D1779" s="7" t="s">
        <v>2176</v>
      </c>
      <c r="E1779" s="7"/>
      <c r="F1779" s="7" t="s">
        <v>1096</v>
      </c>
      <c r="G1779" s="7" t="s">
        <v>24</v>
      </c>
      <c r="H1779" s="7" t="str">
        <f>IFERROR(VLOOKUP(Table2[[#This Row],[Ticket]],Okey!A:B,2,0),"")</f>
        <v>ok</v>
      </c>
      <c r="I1779" s="7" t="s">
        <v>3679</v>
      </c>
      <c r="J1779" s="7" t="str">
        <f>VLOOKUP(Table2[[#This Row],[Author]],People!A:B,2,0)</f>
        <v>EL</v>
      </c>
      <c r="K1779" s="7" t="s">
        <v>5965</v>
      </c>
      <c r="L1779" s="7"/>
      <c r="M1779" s="16" t="s">
        <v>1040</v>
      </c>
    </row>
    <row r="1780" spans="1:13" x14ac:dyDescent="0.25">
      <c r="A1780" s="22">
        <f t="shared" si="27"/>
        <v>1779</v>
      </c>
      <c r="B1780" s="6" t="s">
        <v>5960</v>
      </c>
      <c r="C1780" s="6" t="s">
        <v>5964</v>
      </c>
      <c r="D1780" s="6" t="s">
        <v>2177</v>
      </c>
      <c r="E1780" s="6"/>
      <c r="F1780" s="6" t="s">
        <v>1096</v>
      </c>
      <c r="G1780" s="6" t="s">
        <v>24</v>
      </c>
      <c r="H1780" s="6" t="str">
        <f>IFERROR(VLOOKUP(Table2[[#This Row],[Ticket]],Okey!A:B,2,0),"")</f>
        <v>ok</v>
      </c>
      <c r="I1780" s="6" t="s">
        <v>3679</v>
      </c>
      <c r="J1780" s="6" t="str">
        <f>VLOOKUP(Table2[[#This Row],[Author]],People!A:B,2,0)</f>
        <v>EL</v>
      </c>
      <c r="K1780" s="6" t="s">
        <v>5965</v>
      </c>
      <c r="L1780" s="6"/>
      <c r="M1780" s="21" t="s">
        <v>1040</v>
      </c>
    </row>
    <row r="1781" spans="1:13" x14ac:dyDescent="0.25">
      <c r="A1781" s="23">
        <f t="shared" si="27"/>
        <v>1780</v>
      </c>
      <c r="B1781" s="7" t="s">
        <v>5960</v>
      </c>
      <c r="C1781" s="7" t="s">
        <v>5964</v>
      </c>
      <c r="D1781" s="7" t="s">
        <v>2178</v>
      </c>
      <c r="E1781" s="7"/>
      <c r="F1781" s="7" t="s">
        <v>1096</v>
      </c>
      <c r="G1781" s="7" t="s">
        <v>24</v>
      </c>
      <c r="H1781" s="7" t="str">
        <f>IFERROR(VLOOKUP(Table2[[#This Row],[Ticket]],Okey!A:B,2,0),"")</f>
        <v>ok</v>
      </c>
      <c r="I1781" s="7" t="s">
        <v>3679</v>
      </c>
      <c r="J1781" s="7" t="str">
        <f>VLOOKUP(Table2[[#This Row],[Author]],People!A:B,2,0)</f>
        <v>EL</v>
      </c>
      <c r="K1781" s="7" t="s">
        <v>5965</v>
      </c>
      <c r="L1781" s="7"/>
      <c r="M1781" s="16" t="s">
        <v>1040</v>
      </c>
    </row>
    <row r="1782" spans="1:13" x14ac:dyDescent="0.25">
      <c r="A1782" s="22">
        <f t="shared" si="27"/>
        <v>1781</v>
      </c>
      <c r="B1782" s="6" t="s">
        <v>5960</v>
      </c>
      <c r="C1782" s="6" t="s">
        <v>5964</v>
      </c>
      <c r="D1782" s="6" t="s">
        <v>2182</v>
      </c>
      <c r="E1782" s="6"/>
      <c r="F1782" s="6" t="s">
        <v>1096</v>
      </c>
      <c r="G1782" s="6" t="s">
        <v>24</v>
      </c>
      <c r="H1782" s="6" t="str">
        <f>IFERROR(VLOOKUP(Table2[[#This Row],[Ticket]],Okey!A:B,2,0),"")</f>
        <v>ok</v>
      </c>
      <c r="I1782" s="6" t="s">
        <v>3679</v>
      </c>
      <c r="J1782" s="6" t="str">
        <f>VLOOKUP(Table2[[#This Row],[Author]],People!A:B,2,0)</f>
        <v>EL</v>
      </c>
      <c r="K1782" s="6" t="s">
        <v>5965</v>
      </c>
      <c r="L1782" s="6"/>
      <c r="M1782" s="21" t="s">
        <v>1040</v>
      </c>
    </row>
    <row r="1783" spans="1:13" x14ac:dyDescent="0.25">
      <c r="A1783" s="23">
        <f t="shared" si="27"/>
        <v>1782</v>
      </c>
      <c r="B1783" s="7" t="s">
        <v>5960</v>
      </c>
      <c r="C1783" s="7" t="s">
        <v>5964</v>
      </c>
      <c r="D1783" s="7" t="s">
        <v>2183</v>
      </c>
      <c r="E1783" s="7"/>
      <c r="F1783" s="7" t="s">
        <v>1096</v>
      </c>
      <c r="G1783" s="7" t="s">
        <v>24</v>
      </c>
      <c r="H1783" s="7" t="str">
        <f>IFERROR(VLOOKUP(Table2[[#This Row],[Ticket]],Okey!A:B,2,0),"")</f>
        <v>ok</v>
      </c>
      <c r="I1783" s="7" t="s">
        <v>3679</v>
      </c>
      <c r="J1783" s="7" t="str">
        <f>VLOOKUP(Table2[[#This Row],[Author]],People!A:B,2,0)</f>
        <v>EL</v>
      </c>
      <c r="K1783" s="7" t="s">
        <v>5965</v>
      </c>
      <c r="L1783" s="7"/>
      <c r="M1783" s="16" t="s">
        <v>1040</v>
      </c>
    </row>
    <row r="1784" spans="1:13" x14ac:dyDescent="0.25">
      <c r="A1784" s="22">
        <f t="shared" si="27"/>
        <v>1783</v>
      </c>
      <c r="B1784" s="6" t="s">
        <v>5960</v>
      </c>
      <c r="C1784" s="6" t="s">
        <v>5964</v>
      </c>
      <c r="D1784" s="6" t="s">
        <v>2184</v>
      </c>
      <c r="E1784" s="6"/>
      <c r="F1784" s="6" t="s">
        <v>1096</v>
      </c>
      <c r="G1784" s="6" t="s">
        <v>24</v>
      </c>
      <c r="H1784" s="6" t="str">
        <f>IFERROR(VLOOKUP(Table2[[#This Row],[Ticket]],Okey!A:B,2,0),"")</f>
        <v>ok</v>
      </c>
      <c r="I1784" s="6" t="s">
        <v>3679</v>
      </c>
      <c r="J1784" s="6" t="str">
        <f>VLOOKUP(Table2[[#This Row],[Author]],People!A:B,2,0)</f>
        <v>EL</v>
      </c>
      <c r="K1784" s="6" t="s">
        <v>5965</v>
      </c>
      <c r="L1784" s="6"/>
      <c r="M1784" s="21" t="s">
        <v>1040</v>
      </c>
    </row>
    <row r="1785" spans="1:13" x14ac:dyDescent="0.25">
      <c r="A1785" s="23">
        <f t="shared" si="27"/>
        <v>1784</v>
      </c>
      <c r="B1785" s="7" t="s">
        <v>5960</v>
      </c>
      <c r="C1785" s="7" t="s">
        <v>5964</v>
      </c>
      <c r="D1785" s="7" t="s">
        <v>2185</v>
      </c>
      <c r="E1785" s="7"/>
      <c r="F1785" s="7" t="s">
        <v>1096</v>
      </c>
      <c r="G1785" s="7" t="s">
        <v>24</v>
      </c>
      <c r="H1785" s="7" t="str">
        <f>IFERROR(VLOOKUP(Table2[[#This Row],[Ticket]],Okey!A:B,2,0),"")</f>
        <v>ok</v>
      </c>
      <c r="I1785" s="7" t="s">
        <v>3679</v>
      </c>
      <c r="J1785" s="7" t="str">
        <f>VLOOKUP(Table2[[#This Row],[Author]],People!A:B,2,0)</f>
        <v>EL</v>
      </c>
      <c r="K1785" s="7" t="s">
        <v>5965</v>
      </c>
      <c r="L1785" s="7"/>
      <c r="M1785" s="16" t="s">
        <v>1040</v>
      </c>
    </row>
    <row r="1786" spans="1:13" x14ac:dyDescent="0.25">
      <c r="A1786" s="22">
        <f t="shared" si="27"/>
        <v>1785</v>
      </c>
      <c r="B1786" s="6" t="s">
        <v>5960</v>
      </c>
      <c r="C1786" s="6" t="s">
        <v>5964</v>
      </c>
      <c r="D1786" s="6" t="s">
        <v>2186</v>
      </c>
      <c r="E1786" s="6"/>
      <c r="F1786" s="6" t="s">
        <v>1096</v>
      </c>
      <c r="G1786" s="6" t="s">
        <v>24</v>
      </c>
      <c r="H1786" s="6" t="str">
        <f>IFERROR(VLOOKUP(Table2[[#This Row],[Ticket]],Okey!A:B,2,0),"")</f>
        <v>ok</v>
      </c>
      <c r="I1786" s="6" t="s">
        <v>3679</v>
      </c>
      <c r="J1786" s="6" t="str">
        <f>VLOOKUP(Table2[[#This Row],[Author]],People!A:B,2,0)</f>
        <v>EL</v>
      </c>
      <c r="K1786" s="6" t="s">
        <v>5965</v>
      </c>
      <c r="L1786" s="6"/>
      <c r="M1786" s="21" t="s">
        <v>1040</v>
      </c>
    </row>
    <row r="1787" spans="1:13" x14ac:dyDescent="0.25">
      <c r="A1787" s="23">
        <f t="shared" si="27"/>
        <v>1786</v>
      </c>
      <c r="B1787" s="7" t="s">
        <v>5960</v>
      </c>
      <c r="C1787" s="7" t="s">
        <v>5964</v>
      </c>
      <c r="D1787" s="7" t="s">
        <v>2187</v>
      </c>
      <c r="E1787" s="7"/>
      <c r="F1787" s="7" t="s">
        <v>1096</v>
      </c>
      <c r="G1787" s="7" t="s">
        <v>24</v>
      </c>
      <c r="H1787" s="7" t="str">
        <f>IFERROR(VLOOKUP(Table2[[#This Row],[Ticket]],Okey!A:B,2,0),"")</f>
        <v>ok</v>
      </c>
      <c r="I1787" s="7" t="s">
        <v>3679</v>
      </c>
      <c r="J1787" s="7" t="str">
        <f>VLOOKUP(Table2[[#This Row],[Author]],People!A:B,2,0)</f>
        <v>EL</v>
      </c>
      <c r="K1787" s="7" t="s">
        <v>5965</v>
      </c>
      <c r="L1787" s="7"/>
      <c r="M1787" s="16" t="s">
        <v>1040</v>
      </c>
    </row>
    <row r="1788" spans="1:13" x14ac:dyDescent="0.25">
      <c r="A1788" s="22">
        <f t="shared" si="27"/>
        <v>1787</v>
      </c>
      <c r="B1788" s="6" t="s">
        <v>5960</v>
      </c>
      <c r="C1788" s="6" t="s">
        <v>5964</v>
      </c>
      <c r="D1788" s="6" t="s">
        <v>2188</v>
      </c>
      <c r="E1788" s="6"/>
      <c r="F1788" s="6" t="s">
        <v>1096</v>
      </c>
      <c r="G1788" s="6" t="s">
        <v>24</v>
      </c>
      <c r="H1788" s="6" t="str">
        <f>IFERROR(VLOOKUP(Table2[[#This Row],[Ticket]],Okey!A:B,2,0),"")</f>
        <v>ok</v>
      </c>
      <c r="I1788" s="6" t="s">
        <v>3679</v>
      </c>
      <c r="J1788" s="6" t="str">
        <f>VLOOKUP(Table2[[#This Row],[Author]],People!A:B,2,0)</f>
        <v>EL</v>
      </c>
      <c r="K1788" s="6" t="s">
        <v>5965</v>
      </c>
      <c r="L1788" s="6"/>
      <c r="M1788" s="21" t="s">
        <v>1040</v>
      </c>
    </row>
    <row r="1789" spans="1:13" x14ac:dyDescent="0.25">
      <c r="A1789" s="23">
        <f t="shared" si="27"/>
        <v>1788</v>
      </c>
      <c r="B1789" s="7" t="s">
        <v>5960</v>
      </c>
      <c r="C1789" s="7" t="s">
        <v>5964</v>
      </c>
      <c r="D1789" s="7" t="s">
        <v>2189</v>
      </c>
      <c r="E1789" s="7"/>
      <c r="F1789" s="7" t="s">
        <v>1096</v>
      </c>
      <c r="G1789" s="7" t="s">
        <v>24</v>
      </c>
      <c r="H1789" s="7" t="str">
        <f>IFERROR(VLOOKUP(Table2[[#This Row],[Ticket]],Okey!A:B,2,0),"")</f>
        <v>ok</v>
      </c>
      <c r="I1789" s="7" t="s">
        <v>3679</v>
      </c>
      <c r="J1789" s="7" t="str">
        <f>VLOOKUP(Table2[[#This Row],[Author]],People!A:B,2,0)</f>
        <v>EL</v>
      </c>
      <c r="K1789" s="7" t="s">
        <v>5965</v>
      </c>
      <c r="L1789" s="7"/>
      <c r="M1789" s="16" t="s">
        <v>1040</v>
      </c>
    </row>
    <row r="1790" spans="1:13" x14ac:dyDescent="0.25">
      <c r="A1790" s="22">
        <f t="shared" si="27"/>
        <v>1789</v>
      </c>
      <c r="B1790" s="6" t="s">
        <v>5960</v>
      </c>
      <c r="C1790" s="6" t="s">
        <v>5964</v>
      </c>
      <c r="D1790" s="6" t="s">
        <v>6011</v>
      </c>
      <c r="E1790" s="6"/>
      <c r="F1790" s="6" t="s">
        <v>1096</v>
      </c>
      <c r="G1790" s="6" t="s">
        <v>24</v>
      </c>
      <c r="H1790" s="6" t="str">
        <f>IFERROR(VLOOKUP(Table2[[#This Row],[Ticket]],Okey!A:B,2,0),"")</f>
        <v>ok</v>
      </c>
      <c r="I1790" s="6" t="s">
        <v>3679</v>
      </c>
      <c r="J1790" s="6" t="str">
        <f>VLOOKUP(Table2[[#This Row],[Author]],People!A:B,2,0)</f>
        <v>EL</v>
      </c>
      <c r="K1790" s="6" t="s">
        <v>5965</v>
      </c>
      <c r="L1790" s="6"/>
      <c r="M1790" s="21" t="s">
        <v>1040</v>
      </c>
    </row>
    <row r="1791" spans="1:13" x14ac:dyDescent="0.25">
      <c r="A1791" s="23">
        <f t="shared" si="27"/>
        <v>1790</v>
      </c>
      <c r="B1791" s="7" t="s">
        <v>5960</v>
      </c>
      <c r="C1791" s="7" t="s">
        <v>5964</v>
      </c>
      <c r="D1791" s="7" t="s">
        <v>2179</v>
      </c>
      <c r="E1791" s="7"/>
      <c r="F1791" s="7" t="s">
        <v>1096</v>
      </c>
      <c r="G1791" s="7" t="s">
        <v>24</v>
      </c>
      <c r="H1791" s="7" t="str">
        <f>IFERROR(VLOOKUP(Table2[[#This Row],[Ticket]],Okey!A:B,2,0),"")</f>
        <v>ok</v>
      </c>
      <c r="I1791" s="7" t="s">
        <v>3679</v>
      </c>
      <c r="J1791" s="7" t="str">
        <f>VLOOKUP(Table2[[#This Row],[Author]],People!A:B,2,0)</f>
        <v>EL</v>
      </c>
      <c r="K1791" s="7" t="s">
        <v>5965</v>
      </c>
      <c r="L1791" s="7"/>
      <c r="M1791" s="16" t="s">
        <v>1040</v>
      </c>
    </row>
    <row r="1792" spans="1:13" x14ac:dyDescent="0.25">
      <c r="A1792" s="22">
        <f t="shared" si="27"/>
        <v>1791</v>
      </c>
      <c r="B1792" s="6" t="s">
        <v>5960</v>
      </c>
      <c r="C1792" s="6" t="s">
        <v>5964</v>
      </c>
      <c r="D1792" s="6" t="s">
        <v>2180</v>
      </c>
      <c r="E1792" s="6"/>
      <c r="F1792" s="6" t="s">
        <v>1096</v>
      </c>
      <c r="G1792" s="6" t="s">
        <v>24</v>
      </c>
      <c r="H1792" s="6" t="str">
        <f>IFERROR(VLOOKUP(Table2[[#This Row],[Ticket]],Okey!A:B,2,0),"")</f>
        <v>ok</v>
      </c>
      <c r="I1792" s="6" t="s">
        <v>3679</v>
      </c>
      <c r="J1792" s="6" t="str">
        <f>VLOOKUP(Table2[[#This Row],[Author]],People!A:B,2,0)</f>
        <v>EL</v>
      </c>
      <c r="K1792" s="6" t="s">
        <v>5965</v>
      </c>
      <c r="L1792" s="6"/>
      <c r="M1792" s="21" t="s">
        <v>1040</v>
      </c>
    </row>
    <row r="1793" spans="1:13" x14ac:dyDescent="0.25">
      <c r="A1793" s="23">
        <f t="shared" si="27"/>
        <v>1792</v>
      </c>
      <c r="B1793" s="7" t="s">
        <v>5960</v>
      </c>
      <c r="C1793" s="7" t="s">
        <v>5964</v>
      </c>
      <c r="D1793" s="7" t="s">
        <v>2181</v>
      </c>
      <c r="E1793" s="7"/>
      <c r="F1793" s="7" t="s">
        <v>1096</v>
      </c>
      <c r="G1793" s="7" t="s">
        <v>24</v>
      </c>
      <c r="H1793" s="7" t="str">
        <f>IFERROR(VLOOKUP(Table2[[#This Row],[Ticket]],Okey!A:B,2,0),"")</f>
        <v>ok</v>
      </c>
      <c r="I1793" s="7" t="s">
        <v>3679</v>
      </c>
      <c r="J1793" s="7" t="str">
        <f>VLOOKUP(Table2[[#This Row],[Author]],People!A:B,2,0)</f>
        <v>EL</v>
      </c>
      <c r="K1793" s="7" t="s">
        <v>5965</v>
      </c>
      <c r="L1793" s="7"/>
      <c r="M1793" s="16" t="s">
        <v>1040</v>
      </c>
    </row>
    <row r="1794" spans="1:13" x14ac:dyDescent="0.25">
      <c r="A1794" s="22">
        <f t="shared" si="27"/>
        <v>1793</v>
      </c>
      <c r="B1794" s="6" t="s">
        <v>5960</v>
      </c>
      <c r="C1794" s="6" t="s">
        <v>5964</v>
      </c>
      <c r="D1794" s="6" t="s">
        <v>6012</v>
      </c>
      <c r="E1794" s="6"/>
      <c r="F1794" s="6" t="s">
        <v>1096</v>
      </c>
      <c r="G1794" s="6" t="s">
        <v>24</v>
      </c>
      <c r="H1794" s="6" t="str">
        <f>IFERROR(VLOOKUP(Table2[[#This Row],[Ticket]],Okey!A:B,2,0),"")</f>
        <v>ok</v>
      </c>
      <c r="I1794" s="6" t="s">
        <v>3679</v>
      </c>
      <c r="J1794" s="6" t="str">
        <f>VLOOKUP(Table2[[#This Row],[Author]],People!A:B,2,0)</f>
        <v>EL</v>
      </c>
      <c r="K1794" s="6" t="s">
        <v>5965</v>
      </c>
      <c r="L1794" s="6"/>
      <c r="M1794" s="21" t="s">
        <v>1040</v>
      </c>
    </row>
    <row r="1795" spans="1:13" x14ac:dyDescent="0.25">
      <c r="A1795" s="23">
        <f t="shared" ref="A1795:A1858" si="28">1+A1794</f>
        <v>1794</v>
      </c>
      <c r="B1795" s="7" t="s">
        <v>5960</v>
      </c>
      <c r="C1795" s="7" t="s">
        <v>5964</v>
      </c>
      <c r="D1795" s="7" t="s">
        <v>2193</v>
      </c>
      <c r="E1795" s="7"/>
      <c r="F1795" s="7" t="s">
        <v>1096</v>
      </c>
      <c r="G1795" s="7" t="s">
        <v>24</v>
      </c>
      <c r="H1795" s="7" t="str">
        <f>IFERROR(VLOOKUP(Table2[[#This Row],[Ticket]],Okey!A:B,2,0),"")</f>
        <v>ok</v>
      </c>
      <c r="I1795" s="7" t="s">
        <v>3679</v>
      </c>
      <c r="J1795" s="7" t="str">
        <f>VLOOKUP(Table2[[#This Row],[Author]],People!A:B,2,0)</f>
        <v>EL</v>
      </c>
      <c r="K1795" s="7" t="s">
        <v>5965</v>
      </c>
      <c r="L1795" s="7"/>
      <c r="M1795" s="16" t="s">
        <v>1040</v>
      </c>
    </row>
    <row r="1796" spans="1:13" x14ac:dyDescent="0.25">
      <c r="A1796" s="22">
        <f t="shared" si="28"/>
        <v>1795</v>
      </c>
      <c r="B1796" s="6" t="s">
        <v>5960</v>
      </c>
      <c r="C1796" s="6" t="s">
        <v>5964</v>
      </c>
      <c r="D1796" s="6" t="s">
        <v>6013</v>
      </c>
      <c r="E1796" s="6"/>
      <c r="F1796" s="6" t="s">
        <v>1096</v>
      </c>
      <c r="G1796" s="6" t="s">
        <v>24</v>
      </c>
      <c r="H1796" s="6" t="str">
        <f>IFERROR(VLOOKUP(Table2[[#This Row],[Ticket]],Okey!A:B,2,0),"")</f>
        <v>ok</v>
      </c>
      <c r="I1796" s="6" t="s">
        <v>3679</v>
      </c>
      <c r="J1796" s="6" t="str">
        <f>VLOOKUP(Table2[[#This Row],[Author]],People!A:B,2,0)</f>
        <v>EL</v>
      </c>
      <c r="K1796" s="6" t="s">
        <v>5965</v>
      </c>
      <c r="L1796" s="6"/>
      <c r="M1796" s="21" t="s">
        <v>1040</v>
      </c>
    </row>
    <row r="1797" spans="1:13" x14ac:dyDescent="0.25">
      <c r="A1797" s="23">
        <f t="shared" si="28"/>
        <v>1796</v>
      </c>
      <c r="B1797" s="7" t="s">
        <v>5960</v>
      </c>
      <c r="C1797" s="7" t="s">
        <v>5964</v>
      </c>
      <c r="D1797" s="7" t="s">
        <v>2191</v>
      </c>
      <c r="E1797" s="7"/>
      <c r="F1797" s="7" t="s">
        <v>1096</v>
      </c>
      <c r="G1797" s="7" t="s">
        <v>24</v>
      </c>
      <c r="H1797" s="7" t="str">
        <f>IFERROR(VLOOKUP(Table2[[#This Row],[Ticket]],Okey!A:B,2,0),"")</f>
        <v>ok</v>
      </c>
      <c r="I1797" s="7" t="s">
        <v>3679</v>
      </c>
      <c r="J1797" s="7" t="str">
        <f>VLOOKUP(Table2[[#This Row],[Author]],People!A:B,2,0)</f>
        <v>EL</v>
      </c>
      <c r="K1797" s="7" t="s">
        <v>5965</v>
      </c>
      <c r="L1797" s="7"/>
      <c r="M1797" s="16" t="s">
        <v>1040</v>
      </c>
    </row>
    <row r="1798" spans="1:13" x14ac:dyDescent="0.25">
      <c r="A1798" s="22">
        <f t="shared" si="28"/>
        <v>1797</v>
      </c>
      <c r="B1798" s="6" t="s">
        <v>5960</v>
      </c>
      <c r="C1798" s="6" t="s">
        <v>5964</v>
      </c>
      <c r="D1798" s="6" t="s">
        <v>2192</v>
      </c>
      <c r="E1798" s="6"/>
      <c r="F1798" s="6" t="s">
        <v>1096</v>
      </c>
      <c r="G1798" s="6" t="s">
        <v>24</v>
      </c>
      <c r="H1798" s="6" t="str">
        <f>IFERROR(VLOOKUP(Table2[[#This Row],[Ticket]],Okey!A:B,2,0),"")</f>
        <v>ok</v>
      </c>
      <c r="I1798" s="6" t="s">
        <v>3679</v>
      </c>
      <c r="J1798" s="6" t="str">
        <f>VLOOKUP(Table2[[#This Row],[Author]],People!A:B,2,0)</f>
        <v>EL</v>
      </c>
      <c r="K1798" s="6" t="s">
        <v>5965</v>
      </c>
      <c r="L1798" s="6"/>
      <c r="M1798" s="21" t="s">
        <v>1040</v>
      </c>
    </row>
    <row r="1799" spans="1:13" x14ac:dyDescent="0.25">
      <c r="A1799" s="23">
        <f t="shared" si="28"/>
        <v>1798</v>
      </c>
      <c r="B1799" s="7" t="s">
        <v>5960</v>
      </c>
      <c r="C1799" s="7" t="s">
        <v>5964</v>
      </c>
      <c r="D1799" s="7" t="s">
        <v>6014</v>
      </c>
      <c r="E1799" s="7"/>
      <c r="F1799" s="7" t="s">
        <v>1096</v>
      </c>
      <c r="G1799" s="7" t="s">
        <v>24</v>
      </c>
      <c r="H1799" s="7" t="str">
        <f>IFERROR(VLOOKUP(Table2[[#This Row],[Ticket]],Okey!A:B,2,0),"")</f>
        <v>ok</v>
      </c>
      <c r="I1799" s="7" t="s">
        <v>3679</v>
      </c>
      <c r="J1799" s="7" t="str">
        <f>VLOOKUP(Table2[[#This Row],[Author]],People!A:B,2,0)</f>
        <v>EL</v>
      </c>
      <c r="K1799" s="7" t="s">
        <v>5965</v>
      </c>
      <c r="L1799" s="7"/>
      <c r="M1799" s="16" t="s">
        <v>1040</v>
      </c>
    </row>
    <row r="1800" spans="1:13" x14ac:dyDescent="0.25">
      <c r="A1800" s="22">
        <f t="shared" si="28"/>
        <v>1799</v>
      </c>
      <c r="B1800" s="6" t="s">
        <v>5960</v>
      </c>
      <c r="C1800" s="6" t="s">
        <v>5964</v>
      </c>
      <c r="D1800" s="6" t="s">
        <v>2190</v>
      </c>
      <c r="E1800" s="6"/>
      <c r="F1800" s="6" t="s">
        <v>1096</v>
      </c>
      <c r="G1800" s="6" t="s">
        <v>24</v>
      </c>
      <c r="H1800" s="6" t="str">
        <f>IFERROR(VLOOKUP(Table2[[#This Row],[Ticket]],Okey!A:B,2,0),"")</f>
        <v>ok</v>
      </c>
      <c r="I1800" s="6" t="s">
        <v>3679</v>
      </c>
      <c r="J1800" s="6" t="str">
        <f>VLOOKUP(Table2[[#This Row],[Author]],People!A:B,2,0)</f>
        <v>EL</v>
      </c>
      <c r="K1800" s="6" t="s">
        <v>5965</v>
      </c>
      <c r="L1800" s="6"/>
      <c r="M1800" s="21" t="s">
        <v>1040</v>
      </c>
    </row>
    <row r="1801" spans="1:13" x14ac:dyDescent="0.25">
      <c r="A1801" s="23">
        <f t="shared" si="28"/>
        <v>1800</v>
      </c>
      <c r="B1801" s="7" t="s">
        <v>5960</v>
      </c>
      <c r="C1801" s="7" t="s">
        <v>5964</v>
      </c>
      <c r="D1801" s="7" t="s">
        <v>6015</v>
      </c>
      <c r="E1801" s="7"/>
      <c r="F1801" s="7" t="s">
        <v>1096</v>
      </c>
      <c r="G1801" s="7" t="s">
        <v>24</v>
      </c>
      <c r="H1801" s="7" t="str">
        <f>IFERROR(VLOOKUP(Table2[[#This Row],[Ticket]],Okey!A:B,2,0),"")</f>
        <v>ok</v>
      </c>
      <c r="I1801" s="7" t="s">
        <v>3679</v>
      </c>
      <c r="J1801" s="7" t="str">
        <f>VLOOKUP(Table2[[#This Row],[Author]],People!A:B,2,0)</f>
        <v>EL</v>
      </c>
      <c r="K1801" s="7" t="s">
        <v>5965</v>
      </c>
      <c r="L1801" s="7"/>
      <c r="M1801" s="16" t="s">
        <v>1040</v>
      </c>
    </row>
    <row r="1802" spans="1:13" x14ac:dyDescent="0.25">
      <c r="A1802" s="22">
        <f t="shared" si="28"/>
        <v>1801</v>
      </c>
      <c r="B1802" s="6" t="s">
        <v>5960</v>
      </c>
      <c r="C1802" s="6" t="s">
        <v>5964</v>
      </c>
      <c r="D1802" s="6" t="s">
        <v>6016</v>
      </c>
      <c r="E1802" s="6"/>
      <c r="F1802" s="6" t="s">
        <v>1096</v>
      </c>
      <c r="G1802" s="6" t="s">
        <v>24</v>
      </c>
      <c r="H1802" s="6" t="str">
        <f>IFERROR(VLOOKUP(Table2[[#This Row],[Ticket]],Okey!A:B,2,0),"")</f>
        <v>ok</v>
      </c>
      <c r="I1802" s="6" t="s">
        <v>3679</v>
      </c>
      <c r="J1802" s="6" t="str">
        <f>VLOOKUP(Table2[[#This Row],[Author]],People!A:B,2,0)</f>
        <v>EL</v>
      </c>
      <c r="K1802" s="6" t="s">
        <v>5965</v>
      </c>
      <c r="L1802" s="6"/>
      <c r="M1802" s="21" t="s">
        <v>1040</v>
      </c>
    </row>
    <row r="1803" spans="1:13" x14ac:dyDescent="0.25">
      <c r="A1803" s="23">
        <f t="shared" si="28"/>
        <v>1802</v>
      </c>
      <c r="B1803" s="7" t="s">
        <v>5960</v>
      </c>
      <c r="C1803" s="7" t="s">
        <v>5964</v>
      </c>
      <c r="D1803" s="7" t="s">
        <v>6017</v>
      </c>
      <c r="E1803" s="7"/>
      <c r="F1803" s="7" t="s">
        <v>1096</v>
      </c>
      <c r="G1803" s="7" t="s">
        <v>24</v>
      </c>
      <c r="H1803" s="7" t="str">
        <f>IFERROR(VLOOKUP(Table2[[#This Row],[Ticket]],Okey!A:B,2,0),"")</f>
        <v>ok</v>
      </c>
      <c r="I1803" s="7" t="s">
        <v>3679</v>
      </c>
      <c r="J1803" s="7" t="str">
        <f>VLOOKUP(Table2[[#This Row],[Author]],People!A:B,2,0)</f>
        <v>EL</v>
      </c>
      <c r="K1803" s="7" t="s">
        <v>5965</v>
      </c>
      <c r="L1803" s="7"/>
      <c r="M1803" s="16" t="s">
        <v>1040</v>
      </c>
    </row>
    <row r="1804" spans="1:13" x14ac:dyDescent="0.25">
      <c r="A1804" s="22">
        <f t="shared" si="28"/>
        <v>1803</v>
      </c>
      <c r="B1804" s="6" t="s">
        <v>5960</v>
      </c>
      <c r="C1804" s="6" t="s">
        <v>5964</v>
      </c>
      <c r="D1804" s="6" t="s">
        <v>6018</v>
      </c>
      <c r="E1804" s="6"/>
      <c r="F1804" s="6" t="s">
        <v>1096</v>
      </c>
      <c r="G1804" s="6" t="s">
        <v>24</v>
      </c>
      <c r="H1804" s="6" t="str">
        <f>IFERROR(VLOOKUP(Table2[[#This Row],[Ticket]],Okey!A:B,2,0),"")</f>
        <v>ok</v>
      </c>
      <c r="I1804" s="6" t="s">
        <v>3679</v>
      </c>
      <c r="J1804" s="6" t="str">
        <f>VLOOKUP(Table2[[#This Row],[Author]],People!A:B,2,0)</f>
        <v>EL</v>
      </c>
      <c r="K1804" s="6" t="s">
        <v>5965</v>
      </c>
      <c r="L1804" s="6"/>
      <c r="M1804" s="21" t="s">
        <v>1040</v>
      </c>
    </row>
    <row r="1805" spans="1:13" x14ac:dyDescent="0.25">
      <c r="A1805" s="23">
        <f t="shared" si="28"/>
        <v>1804</v>
      </c>
      <c r="B1805" s="7" t="s">
        <v>5960</v>
      </c>
      <c r="C1805" s="7" t="s">
        <v>5964</v>
      </c>
      <c r="D1805" s="7" t="s">
        <v>1097</v>
      </c>
      <c r="E1805" s="7"/>
      <c r="F1805" s="7" t="s">
        <v>1096</v>
      </c>
      <c r="G1805" s="7" t="s">
        <v>24</v>
      </c>
      <c r="H1805" s="7" t="str">
        <f>IFERROR(VLOOKUP(Table2[[#This Row],[Ticket]],Okey!A:B,2,0),"")</f>
        <v>ok</v>
      </c>
      <c r="I1805" s="7" t="s">
        <v>3679</v>
      </c>
      <c r="J1805" s="7" t="str">
        <f>VLOOKUP(Table2[[#This Row],[Author]],People!A:B,2,0)</f>
        <v>EL</v>
      </c>
      <c r="K1805" s="7" t="s">
        <v>5965</v>
      </c>
      <c r="L1805" s="7"/>
      <c r="M1805" s="16" t="s">
        <v>1040</v>
      </c>
    </row>
    <row r="1806" spans="1:13" x14ac:dyDescent="0.25">
      <c r="A1806" s="22">
        <f t="shared" si="28"/>
        <v>1805</v>
      </c>
      <c r="B1806" s="6" t="s">
        <v>5960</v>
      </c>
      <c r="C1806" s="6" t="s">
        <v>5964</v>
      </c>
      <c r="D1806" s="6" t="s">
        <v>1099</v>
      </c>
      <c r="E1806" s="6"/>
      <c r="F1806" s="6" t="s">
        <v>1096</v>
      </c>
      <c r="G1806" s="6" t="s">
        <v>24</v>
      </c>
      <c r="H1806" s="6" t="str">
        <f>IFERROR(VLOOKUP(Table2[[#This Row],[Ticket]],Okey!A:B,2,0),"")</f>
        <v>ok</v>
      </c>
      <c r="I1806" s="6" t="s">
        <v>3679</v>
      </c>
      <c r="J1806" s="6" t="str">
        <f>VLOOKUP(Table2[[#This Row],[Author]],People!A:B,2,0)</f>
        <v>EL</v>
      </c>
      <c r="K1806" s="6" t="s">
        <v>5965</v>
      </c>
      <c r="L1806" s="6"/>
      <c r="M1806" s="21" t="s">
        <v>1040</v>
      </c>
    </row>
    <row r="1807" spans="1:13" x14ac:dyDescent="0.25">
      <c r="A1807" s="23">
        <f t="shared" si="28"/>
        <v>1806</v>
      </c>
      <c r="B1807" s="7" t="s">
        <v>5960</v>
      </c>
      <c r="C1807" s="7" t="s">
        <v>5964</v>
      </c>
      <c r="D1807" s="7" t="s">
        <v>6019</v>
      </c>
      <c r="E1807" s="7"/>
      <c r="F1807" s="7" t="s">
        <v>2492</v>
      </c>
      <c r="G1807" s="7" t="s">
        <v>24</v>
      </c>
      <c r="H1807" s="7" t="str">
        <f>IFERROR(VLOOKUP(Table2[[#This Row],[Ticket]],Okey!A:B,2,0),"")</f>
        <v>ok</v>
      </c>
      <c r="I1807" s="7" t="s">
        <v>3679</v>
      </c>
      <c r="J1807" s="7" t="str">
        <f>VLOOKUP(Table2[[#This Row],[Author]],People!A:B,2,0)</f>
        <v>EL</v>
      </c>
      <c r="K1807" s="7" t="s">
        <v>5965</v>
      </c>
      <c r="L1807" s="7"/>
      <c r="M1807" s="16" t="s">
        <v>1040</v>
      </c>
    </row>
    <row r="1808" spans="1:13" x14ac:dyDescent="0.25">
      <c r="A1808" s="22">
        <f t="shared" si="28"/>
        <v>1807</v>
      </c>
      <c r="B1808" s="6" t="s">
        <v>5960</v>
      </c>
      <c r="C1808" s="6" t="s">
        <v>5964</v>
      </c>
      <c r="D1808" s="6" t="s">
        <v>6020</v>
      </c>
      <c r="E1808" s="6"/>
      <c r="F1808" s="6" t="s">
        <v>1061</v>
      </c>
      <c r="G1808" s="6" t="s">
        <v>24</v>
      </c>
      <c r="H1808" s="6" t="str">
        <f>IFERROR(VLOOKUP(Table2[[#This Row],[Ticket]],Okey!A:B,2,0),"")</f>
        <v>ok</v>
      </c>
      <c r="I1808" s="6" t="s">
        <v>3679</v>
      </c>
      <c r="J1808" s="6" t="str">
        <f>VLOOKUP(Table2[[#This Row],[Author]],People!A:B,2,0)</f>
        <v>EL</v>
      </c>
      <c r="K1808" s="6" t="s">
        <v>5965</v>
      </c>
      <c r="L1808" s="6"/>
      <c r="M1808" s="21" t="s">
        <v>1040</v>
      </c>
    </row>
    <row r="1809" spans="1:13" x14ac:dyDescent="0.25">
      <c r="A1809" s="23">
        <f t="shared" si="28"/>
        <v>1808</v>
      </c>
      <c r="B1809" s="7" t="s">
        <v>5960</v>
      </c>
      <c r="C1809" s="7" t="s">
        <v>5964</v>
      </c>
      <c r="D1809" s="7" t="s">
        <v>6021</v>
      </c>
      <c r="E1809" s="7"/>
      <c r="F1809" s="7" t="s">
        <v>6022</v>
      </c>
      <c r="G1809" s="7" t="s">
        <v>24</v>
      </c>
      <c r="H1809" s="7" t="str">
        <f>IFERROR(VLOOKUP(Table2[[#This Row],[Ticket]],Okey!A:B,2,0),"")</f>
        <v>ok</v>
      </c>
      <c r="I1809" s="7" t="s">
        <v>3679</v>
      </c>
      <c r="J1809" s="7" t="str">
        <f>VLOOKUP(Table2[[#This Row],[Author]],People!A:B,2,0)</f>
        <v>EL</v>
      </c>
      <c r="K1809" s="7" t="s">
        <v>5965</v>
      </c>
      <c r="L1809" s="7"/>
      <c r="M1809" s="16" t="s">
        <v>1040</v>
      </c>
    </row>
    <row r="1810" spans="1:13" x14ac:dyDescent="0.25">
      <c r="A1810" s="22">
        <f t="shared" si="28"/>
        <v>1809</v>
      </c>
      <c r="B1810" s="6" t="s">
        <v>5960</v>
      </c>
      <c r="C1810" s="6" t="s">
        <v>5964</v>
      </c>
      <c r="D1810" s="6" t="s">
        <v>6023</v>
      </c>
      <c r="E1810" s="6"/>
      <c r="F1810" s="6" t="s">
        <v>6022</v>
      </c>
      <c r="G1810" s="6" t="s">
        <v>24</v>
      </c>
      <c r="H1810" s="6" t="str">
        <f>IFERROR(VLOOKUP(Table2[[#This Row],[Ticket]],Okey!A:B,2,0),"")</f>
        <v>ok</v>
      </c>
      <c r="I1810" s="6" t="s">
        <v>3679</v>
      </c>
      <c r="J1810" s="6" t="str">
        <f>VLOOKUP(Table2[[#This Row],[Author]],People!A:B,2,0)</f>
        <v>EL</v>
      </c>
      <c r="K1810" s="6" t="s">
        <v>5965</v>
      </c>
      <c r="L1810" s="6"/>
      <c r="M1810" s="21" t="s">
        <v>1040</v>
      </c>
    </row>
    <row r="1811" spans="1:13" x14ac:dyDescent="0.25">
      <c r="A1811" s="23">
        <f t="shared" si="28"/>
        <v>1810</v>
      </c>
      <c r="B1811" s="7" t="s">
        <v>5960</v>
      </c>
      <c r="C1811" s="7" t="s">
        <v>5964</v>
      </c>
      <c r="D1811" s="7" t="s">
        <v>6024</v>
      </c>
      <c r="E1811" s="7"/>
      <c r="F1811" s="7" t="s">
        <v>6022</v>
      </c>
      <c r="G1811" s="7" t="s">
        <v>24</v>
      </c>
      <c r="H1811" s="7" t="str">
        <f>IFERROR(VLOOKUP(Table2[[#This Row],[Ticket]],Okey!A:B,2,0),"")</f>
        <v>ok</v>
      </c>
      <c r="I1811" s="7" t="s">
        <v>3679</v>
      </c>
      <c r="J1811" s="7" t="str">
        <f>VLOOKUP(Table2[[#This Row],[Author]],People!A:B,2,0)</f>
        <v>EL</v>
      </c>
      <c r="K1811" s="7" t="s">
        <v>5965</v>
      </c>
      <c r="L1811" s="7"/>
      <c r="M1811" s="16" t="s">
        <v>1040</v>
      </c>
    </row>
    <row r="1812" spans="1:13" x14ac:dyDescent="0.25">
      <c r="A1812" s="22">
        <f t="shared" si="28"/>
        <v>1811</v>
      </c>
      <c r="B1812" s="6" t="s">
        <v>5960</v>
      </c>
      <c r="C1812" s="6" t="s">
        <v>5964</v>
      </c>
      <c r="D1812" s="6" t="s">
        <v>6025</v>
      </c>
      <c r="E1812" s="6"/>
      <c r="F1812" s="6" t="s">
        <v>6022</v>
      </c>
      <c r="G1812" s="6" t="s">
        <v>24</v>
      </c>
      <c r="H1812" s="6" t="str">
        <f>IFERROR(VLOOKUP(Table2[[#This Row],[Ticket]],Okey!A:B,2,0),"")</f>
        <v>ok</v>
      </c>
      <c r="I1812" s="6" t="s">
        <v>3679</v>
      </c>
      <c r="J1812" s="6" t="str">
        <f>VLOOKUP(Table2[[#This Row],[Author]],People!A:B,2,0)</f>
        <v>EL</v>
      </c>
      <c r="K1812" s="6" t="s">
        <v>5965</v>
      </c>
      <c r="L1812" s="6"/>
      <c r="M1812" s="21" t="s">
        <v>1040</v>
      </c>
    </row>
    <row r="1813" spans="1:13" x14ac:dyDescent="0.25">
      <c r="A1813" s="23">
        <f t="shared" si="28"/>
        <v>1812</v>
      </c>
      <c r="B1813" s="7" t="s">
        <v>5960</v>
      </c>
      <c r="C1813" s="7" t="s">
        <v>5964</v>
      </c>
      <c r="D1813" s="7" t="s">
        <v>6026</v>
      </c>
      <c r="E1813" s="7"/>
      <c r="F1813" s="7" t="s">
        <v>6022</v>
      </c>
      <c r="G1813" s="7" t="s">
        <v>24</v>
      </c>
      <c r="H1813" s="7" t="str">
        <f>IFERROR(VLOOKUP(Table2[[#This Row],[Ticket]],Okey!A:B,2,0),"")</f>
        <v>ok</v>
      </c>
      <c r="I1813" s="7" t="s">
        <v>3679</v>
      </c>
      <c r="J1813" s="7" t="str">
        <f>VLOOKUP(Table2[[#This Row],[Author]],People!A:B,2,0)</f>
        <v>EL</v>
      </c>
      <c r="K1813" s="7" t="s">
        <v>5965</v>
      </c>
      <c r="L1813" s="7"/>
      <c r="M1813" s="16" t="s">
        <v>1040</v>
      </c>
    </row>
    <row r="1814" spans="1:13" x14ac:dyDescent="0.25">
      <c r="A1814" s="22">
        <f t="shared" si="28"/>
        <v>1813</v>
      </c>
      <c r="B1814" s="6" t="s">
        <v>5960</v>
      </c>
      <c r="C1814" s="6" t="s">
        <v>5964</v>
      </c>
      <c r="D1814" s="6" t="s">
        <v>6027</v>
      </c>
      <c r="E1814" s="6"/>
      <c r="F1814" s="6" t="s">
        <v>6022</v>
      </c>
      <c r="G1814" s="6" t="s">
        <v>24</v>
      </c>
      <c r="H1814" s="6" t="str">
        <f>IFERROR(VLOOKUP(Table2[[#This Row],[Ticket]],Okey!A:B,2,0),"")</f>
        <v>ok</v>
      </c>
      <c r="I1814" s="6" t="s">
        <v>3679</v>
      </c>
      <c r="J1814" s="6" t="str">
        <f>VLOOKUP(Table2[[#This Row],[Author]],People!A:B,2,0)</f>
        <v>EL</v>
      </c>
      <c r="K1814" s="6" t="s">
        <v>5965</v>
      </c>
      <c r="L1814" s="6"/>
      <c r="M1814" s="21" t="s">
        <v>1040</v>
      </c>
    </row>
    <row r="1815" spans="1:13" x14ac:dyDescent="0.25">
      <c r="A1815" s="23">
        <f t="shared" si="28"/>
        <v>1814</v>
      </c>
      <c r="B1815" s="7" t="s">
        <v>5960</v>
      </c>
      <c r="C1815" s="7" t="s">
        <v>5964</v>
      </c>
      <c r="D1815" s="7" t="s">
        <v>6028</v>
      </c>
      <c r="E1815" s="7"/>
      <c r="F1815" s="7" t="s">
        <v>6022</v>
      </c>
      <c r="G1815" s="7" t="s">
        <v>24</v>
      </c>
      <c r="H1815" s="7" t="str">
        <f>IFERROR(VLOOKUP(Table2[[#This Row],[Ticket]],Okey!A:B,2,0),"")</f>
        <v>ok</v>
      </c>
      <c r="I1815" s="7" t="s">
        <v>3679</v>
      </c>
      <c r="J1815" s="7" t="str">
        <f>VLOOKUP(Table2[[#This Row],[Author]],People!A:B,2,0)</f>
        <v>EL</v>
      </c>
      <c r="K1815" s="7" t="s">
        <v>5965</v>
      </c>
      <c r="L1815" s="7"/>
      <c r="M1815" s="16" t="s">
        <v>1040</v>
      </c>
    </row>
    <row r="1816" spans="1:13" x14ac:dyDescent="0.25">
      <c r="A1816" s="22">
        <f t="shared" si="28"/>
        <v>1815</v>
      </c>
      <c r="B1816" s="6" t="s">
        <v>5960</v>
      </c>
      <c r="C1816" s="6" t="s">
        <v>5964</v>
      </c>
      <c r="D1816" s="6" t="s">
        <v>6029</v>
      </c>
      <c r="E1816" s="6"/>
      <c r="F1816" s="6" t="s">
        <v>6022</v>
      </c>
      <c r="G1816" s="6" t="s">
        <v>24</v>
      </c>
      <c r="H1816" s="6" t="str">
        <f>IFERROR(VLOOKUP(Table2[[#This Row],[Ticket]],Okey!A:B,2,0),"")</f>
        <v>ok</v>
      </c>
      <c r="I1816" s="6" t="s">
        <v>3679</v>
      </c>
      <c r="J1816" s="6" t="str">
        <f>VLOOKUP(Table2[[#This Row],[Author]],People!A:B,2,0)</f>
        <v>EL</v>
      </c>
      <c r="K1816" s="6" t="s">
        <v>5965</v>
      </c>
      <c r="L1816" s="6"/>
      <c r="M1816" s="21" t="s">
        <v>1040</v>
      </c>
    </row>
    <row r="1817" spans="1:13" x14ac:dyDescent="0.25">
      <c r="A1817" s="23">
        <f t="shared" si="28"/>
        <v>1816</v>
      </c>
      <c r="B1817" s="7" t="s">
        <v>5960</v>
      </c>
      <c r="C1817" s="7" t="s">
        <v>5964</v>
      </c>
      <c r="D1817" s="7" t="s">
        <v>6030</v>
      </c>
      <c r="E1817" s="7"/>
      <c r="F1817" s="7" t="s">
        <v>6022</v>
      </c>
      <c r="G1817" s="7" t="s">
        <v>24</v>
      </c>
      <c r="H1817" s="7" t="str">
        <f>IFERROR(VLOOKUP(Table2[[#This Row],[Ticket]],Okey!A:B,2,0),"")</f>
        <v>ok</v>
      </c>
      <c r="I1817" s="7" t="s">
        <v>3679</v>
      </c>
      <c r="J1817" s="7" t="str">
        <f>VLOOKUP(Table2[[#This Row],[Author]],People!A:B,2,0)</f>
        <v>EL</v>
      </c>
      <c r="K1817" s="7" t="s">
        <v>5965</v>
      </c>
      <c r="L1817" s="7"/>
      <c r="M1817" s="16" t="s">
        <v>1040</v>
      </c>
    </row>
    <row r="1818" spans="1:13" x14ac:dyDescent="0.25">
      <c r="A1818" s="22">
        <f t="shared" si="28"/>
        <v>1817</v>
      </c>
      <c r="B1818" s="6" t="s">
        <v>5960</v>
      </c>
      <c r="C1818" s="6" t="s">
        <v>5964</v>
      </c>
      <c r="D1818" s="6" t="s">
        <v>6031</v>
      </c>
      <c r="E1818" s="6"/>
      <c r="F1818" s="6" t="s">
        <v>6022</v>
      </c>
      <c r="G1818" s="6" t="s">
        <v>24</v>
      </c>
      <c r="H1818" s="6" t="str">
        <f>IFERROR(VLOOKUP(Table2[[#This Row],[Ticket]],Okey!A:B,2,0),"")</f>
        <v>ok</v>
      </c>
      <c r="I1818" s="6" t="s">
        <v>3679</v>
      </c>
      <c r="J1818" s="6" t="str">
        <f>VLOOKUP(Table2[[#This Row],[Author]],People!A:B,2,0)</f>
        <v>EL</v>
      </c>
      <c r="K1818" s="6" t="s">
        <v>5965</v>
      </c>
      <c r="L1818" s="6"/>
      <c r="M1818" s="21" t="s">
        <v>1040</v>
      </c>
    </row>
    <row r="1819" spans="1:13" x14ac:dyDescent="0.25">
      <c r="A1819" s="23">
        <f t="shared" si="28"/>
        <v>1818</v>
      </c>
      <c r="B1819" s="7" t="s">
        <v>5960</v>
      </c>
      <c r="C1819" s="7" t="s">
        <v>5964</v>
      </c>
      <c r="D1819" s="7" t="s">
        <v>6032</v>
      </c>
      <c r="E1819" s="7"/>
      <c r="F1819" s="7" t="s">
        <v>6022</v>
      </c>
      <c r="G1819" s="7" t="s">
        <v>24</v>
      </c>
      <c r="H1819" s="7" t="str">
        <f>IFERROR(VLOOKUP(Table2[[#This Row],[Ticket]],Okey!A:B,2,0),"")</f>
        <v>ok</v>
      </c>
      <c r="I1819" s="7" t="s">
        <v>3679</v>
      </c>
      <c r="J1819" s="7" t="str">
        <f>VLOOKUP(Table2[[#This Row],[Author]],People!A:B,2,0)</f>
        <v>EL</v>
      </c>
      <c r="K1819" s="7" t="s">
        <v>5965</v>
      </c>
      <c r="L1819" s="7"/>
      <c r="M1819" s="16" t="s">
        <v>1040</v>
      </c>
    </row>
    <row r="1820" spans="1:13" x14ac:dyDescent="0.25">
      <c r="A1820" s="22">
        <f t="shared" si="28"/>
        <v>1819</v>
      </c>
      <c r="B1820" s="6" t="s">
        <v>5960</v>
      </c>
      <c r="C1820" s="6" t="s">
        <v>5964</v>
      </c>
      <c r="D1820" s="6" t="s">
        <v>6033</v>
      </c>
      <c r="E1820" s="6"/>
      <c r="F1820" s="6" t="s">
        <v>6022</v>
      </c>
      <c r="G1820" s="6" t="s">
        <v>24</v>
      </c>
      <c r="H1820" s="6" t="str">
        <f>IFERROR(VLOOKUP(Table2[[#This Row],[Ticket]],Okey!A:B,2,0),"")</f>
        <v>ok</v>
      </c>
      <c r="I1820" s="6" t="s">
        <v>3679</v>
      </c>
      <c r="J1820" s="6" t="str">
        <f>VLOOKUP(Table2[[#This Row],[Author]],People!A:B,2,0)</f>
        <v>EL</v>
      </c>
      <c r="K1820" s="6" t="s">
        <v>5965</v>
      </c>
      <c r="L1820" s="6"/>
      <c r="M1820" s="21" t="s">
        <v>1040</v>
      </c>
    </row>
    <row r="1821" spans="1:13" x14ac:dyDescent="0.25">
      <c r="A1821" s="23">
        <f t="shared" si="28"/>
        <v>1820</v>
      </c>
      <c r="B1821" s="7" t="s">
        <v>5960</v>
      </c>
      <c r="C1821" s="7" t="s">
        <v>5964</v>
      </c>
      <c r="D1821" s="7" t="s">
        <v>6034</v>
      </c>
      <c r="E1821" s="7"/>
      <c r="F1821" s="7" t="s">
        <v>6022</v>
      </c>
      <c r="G1821" s="7" t="s">
        <v>24</v>
      </c>
      <c r="H1821" s="7" t="str">
        <f>IFERROR(VLOOKUP(Table2[[#This Row],[Ticket]],Okey!A:B,2,0),"")</f>
        <v>ok</v>
      </c>
      <c r="I1821" s="7" t="s">
        <v>3679</v>
      </c>
      <c r="J1821" s="7" t="str">
        <f>VLOOKUP(Table2[[#This Row],[Author]],People!A:B,2,0)</f>
        <v>EL</v>
      </c>
      <c r="K1821" s="7" t="s">
        <v>5965</v>
      </c>
      <c r="L1821" s="7"/>
      <c r="M1821" s="16" t="s">
        <v>1040</v>
      </c>
    </row>
    <row r="1822" spans="1:13" x14ac:dyDescent="0.25">
      <c r="A1822" s="22">
        <f t="shared" si="28"/>
        <v>1821</v>
      </c>
      <c r="B1822" s="6" t="s">
        <v>5960</v>
      </c>
      <c r="C1822" s="6" t="s">
        <v>5964</v>
      </c>
      <c r="D1822" s="6" t="s">
        <v>6035</v>
      </c>
      <c r="E1822" s="6"/>
      <c r="F1822" s="6" t="s">
        <v>6022</v>
      </c>
      <c r="G1822" s="6" t="s">
        <v>24</v>
      </c>
      <c r="H1822" s="6" t="str">
        <f>IFERROR(VLOOKUP(Table2[[#This Row],[Ticket]],Okey!A:B,2,0),"")</f>
        <v>ok</v>
      </c>
      <c r="I1822" s="6" t="s">
        <v>3679</v>
      </c>
      <c r="J1822" s="6" t="str">
        <f>VLOOKUP(Table2[[#This Row],[Author]],People!A:B,2,0)</f>
        <v>EL</v>
      </c>
      <c r="K1822" s="6" t="s">
        <v>5965</v>
      </c>
      <c r="L1822" s="6"/>
      <c r="M1822" s="21" t="s">
        <v>1040</v>
      </c>
    </row>
    <row r="1823" spans="1:13" x14ac:dyDescent="0.25">
      <c r="A1823" s="23">
        <f t="shared" si="28"/>
        <v>1822</v>
      </c>
      <c r="B1823" s="7" t="s">
        <v>5960</v>
      </c>
      <c r="C1823" s="7" t="s">
        <v>5964</v>
      </c>
      <c r="D1823" s="7" t="s">
        <v>6036</v>
      </c>
      <c r="E1823" s="7"/>
      <c r="F1823" s="7" t="s">
        <v>6022</v>
      </c>
      <c r="G1823" s="7" t="s">
        <v>24</v>
      </c>
      <c r="H1823" s="7" t="str">
        <f>IFERROR(VLOOKUP(Table2[[#This Row],[Ticket]],Okey!A:B,2,0),"")</f>
        <v>ok</v>
      </c>
      <c r="I1823" s="7" t="s">
        <v>3679</v>
      </c>
      <c r="J1823" s="7" t="str">
        <f>VLOOKUP(Table2[[#This Row],[Author]],People!A:B,2,0)</f>
        <v>EL</v>
      </c>
      <c r="K1823" s="7" t="s">
        <v>5965</v>
      </c>
      <c r="L1823" s="7"/>
      <c r="M1823" s="16" t="s">
        <v>1040</v>
      </c>
    </row>
    <row r="1824" spans="1:13" x14ac:dyDescent="0.25">
      <c r="A1824" s="22">
        <f t="shared" si="28"/>
        <v>1823</v>
      </c>
      <c r="B1824" s="6" t="s">
        <v>5960</v>
      </c>
      <c r="C1824" s="6" t="s">
        <v>5964</v>
      </c>
      <c r="D1824" s="6" t="s">
        <v>6037</v>
      </c>
      <c r="E1824" s="6"/>
      <c r="F1824" s="6" t="s">
        <v>6022</v>
      </c>
      <c r="G1824" s="6" t="s">
        <v>24</v>
      </c>
      <c r="H1824" s="6" t="str">
        <f>IFERROR(VLOOKUP(Table2[[#This Row],[Ticket]],Okey!A:B,2,0),"")</f>
        <v>ok</v>
      </c>
      <c r="I1824" s="6" t="s">
        <v>3679</v>
      </c>
      <c r="J1824" s="6" t="str">
        <f>VLOOKUP(Table2[[#This Row],[Author]],People!A:B,2,0)</f>
        <v>EL</v>
      </c>
      <c r="K1824" s="6" t="s">
        <v>5965</v>
      </c>
      <c r="L1824" s="6"/>
      <c r="M1824" s="21" t="s">
        <v>1040</v>
      </c>
    </row>
    <row r="1825" spans="1:13" x14ac:dyDescent="0.25">
      <c r="A1825" s="23">
        <f t="shared" si="28"/>
        <v>1824</v>
      </c>
      <c r="B1825" s="7" t="s">
        <v>5960</v>
      </c>
      <c r="C1825" s="7" t="s">
        <v>5964</v>
      </c>
      <c r="D1825" s="7" t="s">
        <v>6038</v>
      </c>
      <c r="E1825" s="7"/>
      <c r="F1825" s="7" t="s">
        <v>6022</v>
      </c>
      <c r="G1825" s="7" t="s">
        <v>24</v>
      </c>
      <c r="H1825" s="7" t="str">
        <f>IFERROR(VLOOKUP(Table2[[#This Row],[Ticket]],Okey!A:B,2,0),"")</f>
        <v>ok</v>
      </c>
      <c r="I1825" s="7" t="s">
        <v>3679</v>
      </c>
      <c r="J1825" s="7" t="str">
        <f>VLOOKUP(Table2[[#This Row],[Author]],People!A:B,2,0)</f>
        <v>EL</v>
      </c>
      <c r="K1825" s="7" t="s">
        <v>5965</v>
      </c>
      <c r="L1825" s="7"/>
      <c r="M1825" s="16" t="s">
        <v>1040</v>
      </c>
    </row>
    <row r="1826" spans="1:13" x14ac:dyDescent="0.25">
      <c r="A1826" s="22">
        <f t="shared" si="28"/>
        <v>1825</v>
      </c>
      <c r="B1826" s="6" t="s">
        <v>5960</v>
      </c>
      <c r="C1826" s="6" t="s">
        <v>5964</v>
      </c>
      <c r="D1826" s="6" t="s">
        <v>6039</v>
      </c>
      <c r="E1826" s="6"/>
      <c r="F1826" s="6" t="s">
        <v>6022</v>
      </c>
      <c r="G1826" s="6" t="s">
        <v>24</v>
      </c>
      <c r="H1826" s="6" t="str">
        <f>IFERROR(VLOOKUP(Table2[[#This Row],[Ticket]],Okey!A:B,2,0),"")</f>
        <v>ok</v>
      </c>
      <c r="I1826" s="6" t="s">
        <v>3679</v>
      </c>
      <c r="J1826" s="6" t="str">
        <f>VLOOKUP(Table2[[#This Row],[Author]],People!A:B,2,0)</f>
        <v>EL</v>
      </c>
      <c r="K1826" s="6" t="s">
        <v>5965</v>
      </c>
      <c r="L1826" s="6"/>
      <c r="M1826" s="21" t="s">
        <v>1040</v>
      </c>
    </row>
    <row r="1827" spans="1:13" x14ac:dyDescent="0.25">
      <c r="A1827" s="23">
        <f t="shared" si="28"/>
        <v>1826</v>
      </c>
      <c r="B1827" s="7" t="s">
        <v>5960</v>
      </c>
      <c r="C1827" s="7" t="s">
        <v>5964</v>
      </c>
      <c r="D1827" s="7" t="s">
        <v>6040</v>
      </c>
      <c r="E1827" s="7"/>
      <c r="F1827" s="7" t="s">
        <v>6022</v>
      </c>
      <c r="G1827" s="7" t="s">
        <v>24</v>
      </c>
      <c r="H1827" s="7" t="str">
        <f>IFERROR(VLOOKUP(Table2[[#This Row],[Ticket]],Okey!A:B,2,0),"")</f>
        <v>ok</v>
      </c>
      <c r="I1827" s="7" t="s">
        <v>3679</v>
      </c>
      <c r="J1827" s="7" t="str">
        <f>VLOOKUP(Table2[[#This Row],[Author]],People!A:B,2,0)</f>
        <v>EL</v>
      </c>
      <c r="K1827" s="7" t="s">
        <v>5965</v>
      </c>
      <c r="L1827" s="7"/>
      <c r="M1827" s="16" t="s">
        <v>1040</v>
      </c>
    </row>
    <row r="1828" spans="1:13" x14ac:dyDescent="0.25">
      <c r="A1828" s="22">
        <f t="shared" si="28"/>
        <v>1827</v>
      </c>
      <c r="B1828" s="6" t="s">
        <v>5960</v>
      </c>
      <c r="C1828" s="6" t="s">
        <v>5964</v>
      </c>
      <c r="D1828" s="6" t="s">
        <v>6041</v>
      </c>
      <c r="E1828" s="6"/>
      <c r="F1828" s="6" t="s">
        <v>6022</v>
      </c>
      <c r="G1828" s="6" t="s">
        <v>24</v>
      </c>
      <c r="H1828" s="6" t="str">
        <f>IFERROR(VLOOKUP(Table2[[#This Row],[Ticket]],Okey!A:B,2,0),"")</f>
        <v>ok</v>
      </c>
      <c r="I1828" s="6" t="s">
        <v>3679</v>
      </c>
      <c r="J1828" s="6" t="str">
        <f>VLOOKUP(Table2[[#This Row],[Author]],People!A:B,2,0)</f>
        <v>EL</v>
      </c>
      <c r="K1828" s="6" t="s">
        <v>5965</v>
      </c>
      <c r="L1828" s="6"/>
      <c r="M1828" s="21" t="s">
        <v>1040</v>
      </c>
    </row>
    <row r="1829" spans="1:13" x14ac:dyDescent="0.25">
      <c r="A1829" s="23">
        <f t="shared" si="28"/>
        <v>1828</v>
      </c>
      <c r="B1829" s="7" t="s">
        <v>5960</v>
      </c>
      <c r="C1829" s="7" t="s">
        <v>5964</v>
      </c>
      <c r="D1829" s="7" t="s">
        <v>6042</v>
      </c>
      <c r="E1829" s="7"/>
      <c r="F1829" s="7" t="s">
        <v>6022</v>
      </c>
      <c r="G1829" s="7" t="s">
        <v>24</v>
      </c>
      <c r="H1829" s="7" t="str">
        <f>IFERROR(VLOOKUP(Table2[[#This Row],[Ticket]],Okey!A:B,2,0),"")</f>
        <v>ok</v>
      </c>
      <c r="I1829" s="7" t="s">
        <v>3679</v>
      </c>
      <c r="J1829" s="7" t="str">
        <f>VLOOKUP(Table2[[#This Row],[Author]],People!A:B,2,0)</f>
        <v>EL</v>
      </c>
      <c r="K1829" s="7" t="s">
        <v>5965</v>
      </c>
      <c r="L1829" s="7"/>
      <c r="M1829" s="16" t="s">
        <v>1040</v>
      </c>
    </row>
    <row r="1830" spans="1:13" x14ac:dyDescent="0.25">
      <c r="A1830" s="22">
        <f t="shared" si="28"/>
        <v>1829</v>
      </c>
      <c r="B1830" s="6" t="s">
        <v>5960</v>
      </c>
      <c r="C1830" s="6" t="s">
        <v>5964</v>
      </c>
      <c r="D1830" s="6" t="s">
        <v>6043</v>
      </c>
      <c r="E1830" s="6"/>
      <c r="F1830" s="6" t="s">
        <v>6022</v>
      </c>
      <c r="G1830" s="6" t="s">
        <v>24</v>
      </c>
      <c r="H1830" s="6" t="str">
        <f>IFERROR(VLOOKUP(Table2[[#This Row],[Ticket]],Okey!A:B,2,0),"")</f>
        <v>ok</v>
      </c>
      <c r="I1830" s="6" t="s">
        <v>3679</v>
      </c>
      <c r="J1830" s="6" t="str">
        <f>VLOOKUP(Table2[[#This Row],[Author]],People!A:B,2,0)</f>
        <v>EL</v>
      </c>
      <c r="K1830" s="6" t="s">
        <v>5965</v>
      </c>
      <c r="L1830" s="6"/>
      <c r="M1830" s="21" t="s">
        <v>1040</v>
      </c>
    </row>
    <row r="1831" spans="1:13" x14ac:dyDescent="0.25">
      <c r="A1831" s="23">
        <f t="shared" si="28"/>
        <v>1830</v>
      </c>
      <c r="B1831" s="7" t="s">
        <v>5960</v>
      </c>
      <c r="C1831" s="7" t="s">
        <v>5964</v>
      </c>
      <c r="D1831" s="7" t="s">
        <v>6044</v>
      </c>
      <c r="E1831" s="7"/>
      <c r="F1831" s="7" t="s">
        <v>6022</v>
      </c>
      <c r="G1831" s="7" t="s">
        <v>24</v>
      </c>
      <c r="H1831" s="7" t="str">
        <f>IFERROR(VLOOKUP(Table2[[#This Row],[Ticket]],Okey!A:B,2,0),"")</f>
        <v>ok</v>
      </c>
      <c r="I1831" s="7" t="s">
        <v>3679</v>
      </c>
      <c r="J1831" s="7" t="str">
        <f>VLOOKUP(Table2[[#This Row],[Author]],People!A:B,2,0)</f>
        <v>EL</v>
      </c>
      <c r="K1831" s="7" t="s">
        <v>5965</v>
      </c>
      <c r="L1831" s="7"/>
      <c r="M1831" s="16" t="s">
        <v>1040</v>
      </c>
    </row>
    <row r="1832" spans="1:13" x14ac:dyDescent="0.25">
      <c r="A1832" s="22">
        <f t="shared" si="28"/>
        <v>1831</v>
      </c>
      <c r="B1832" s="6" t="s">
        <v>5960</v>
      </c>
      <c r="C1832" s="6" t="s">
        <v>5964</v>
      </c>
      <c r="D1832" s="6" t="s">
        <v>6045</v>
      </c>
      <c r="E1832" s="6"/>
      <c r="F1832" s="6" t="s">
        <v>6022</v>
      </c>
      <c r="G1832" s="6" t="s">
        <v>24</v>
      </c>
      <c r="H1832" s="6" t="str">
        <f>IFERROR(VLOOKUP(Table2[[#This Row],[Ticket]],Okey!A:B,2,0),"")</f>
        <v>ok</v>
      </c>
      <c r="I1832" s="6" t="s">
        <v>3679</v>
      </c>
      <c r="J1832" s="6" t="str">
        <f>VLOOKUP(Table2[[#This Row],[Author]],People!A:B,2,0)</f>
        <v>EL</v>
      </c>
      <c r="K1832" s="6" t="s">
        <v>5965</v>
      </c>
      <c r="L1832" s="6"/>
      <c r="M1832" s="21" t="s">
        <v>1040</v>
      </c>
    </row>
    <row r="1833" spans="1:13" x14ac:dyDescent="0.25">
      <c r="A1833" s="23">
        <f t="shared" si="28"/>
        <v>1832</v>
      </c>
      <c r="B1833" s="7" t="s">
        <v>5960</v>
      </c>
      <c r="C1833" s="7" t="s">
        <v>5964</v>
      </c>
      <c r="D1833" s="7" t="s">
        <v>6046</v>
      </c>
      <c r="E1833" s="7"/>
      <c r="F1833" s="7" t="s">
        <v>6022</v>
      </c>
      <c r="G1833" s="7" t="s">
        <v>24</v>
      </c>
      <c r="H1833" s="7" t="str">
        <f>IFERROR(VLOOKUP(Table2[[#This Row],[Ticket]],Okey!A:B,2,0),"")</f>
        <v>ok</v>
      </c>
      <c r="I1833" s="7" t="s">
        <v>3679</v>
      </c>
      <c r="J1833" s="7" t="str">
        <f>VLOOKUP(Table2[[#This Row],[Author]],People!A:B,2,0)</f>
        <v>EL</v>
      </c>
      <c r="K1833" s="7" t="s">
        <v>5965</v>
      </c>
      <c r="L1833" s="7"/>
      <c r="M1833" s="16" t="s">
        <v>1040</v>
      </c>
    </row>
    <row r="1834" spans="1:13" x14ac:dyDescent="0.25">
      <c r="A1834" s="22">
        <f t="shared" si="28"/>
        <v>1833</v>
      </c>
      <c r="B1834" s="6" t="s">
        <v>5960</v>
      </c>
      <c r="C1834" s="6" t="s">
        <v>5964</v>
      </c>
      <c r="D1834" s="6" t="s">
        <v>6047</v>
      </c>
      <c r="E1834" s="6"/>
      <c r="F1834" s="6" t="s">
        <v>6022</v>
      </c>
      <c r="G1834" s="6" t="s">
        <v>24</v>
      </c>
      <c r="H1834" s="6" t="str">
        <f>IFERROR(VLOOKUP(Table2[[#This Row],[Ticket]],Okey!A:B,2,0),"")</f>
        <v>ok</v>
      </c>
      <c r="I1834" s="6" t="s">
        <v>3679</v>
      </c>
      <c r="J1834" s="6" t="str">
        <f>VLOOKUP(Table2[[#This Row],[Author]],People!A:B,2,0)</f>
        <v>EL</v>
      </c>
      <c r="K1834" s="6" t="s">
        <v>5965</v>
      </c>
      <c r="L1834" s="6"/>
      <c r="M1834" s="21" t="s">
        <v>1040</v>
      </c>
    </row>
    <row r="1835" spans="1:13" x14ac:dyDescent="0.25">
      <c r="A1835" s="23">
        <f t="shared" si="28"/>
        <v>1834</v>
      </c>
      <c r="B1835" s="7" t="s">
        <v>5960</v>
      </c>
      <c r="C1835" s="7" t="s">
        <v>5964</v>
      </c>
      <c r="D1835" s="7" t="s">
        <v>6048</v>
      </c>
      <c r="E1835" s="7"/>
      <c r="F1835" s="7" t="s">
        <v>6022</v>
      </c>
      <c r="G1835" s="7" t="s">
        <v>24</v>
      </c>
      <c r="H1835" s="7" t="str">
        <f>IFERROR(VLOOKUP(Table2[[#This Row],[Ticket]],Okey!A:B,2,0),"")</f>
        <v>ok</v>
      </c>
      <c r="I1835" s="7" t="s">
        <v>3679</v>
      </c>
      <c r="J1835" s="7" t="str">
        <f>VLOOKUP(Table2[[#This Row],[Author]],People!A:B,2,0)</f>
        <v>EL</v>
      </c>
      <c r="K1835" s="7" t="s">
        <v>5965</v>
      </c>
      <c r="L1835" s="7"/>
      <c r="M1835" s="16" t="s">
        <v>1040</v>
      </c>
    </row>
    <row r="1836" spans="1:13" x14ac:dyDescent="0.25">
      <c r="A1836" s="22">
        <f t="shared" si="28"/>
        <v>1835</v>
      </c>
      <c r="B1836" s="6" t="s">
        <v>5960</v>
      </c>
      <c r="C1836" s="6" t="s">
        <v>5964</v>
      </c>
      <c r="D1836" s="6" t="s">
        <v>6049</v>
      </c>
      <c r="E1836" s="6"/>
      <c r="F1836" s="6" t="s">
        <v>6022</v>
      </c>
      <c r="G1836" s="6" t="s">
        <v>24</v>
      </c>
      <c r="H1836" s="6" t="str">
        <f>IFERROR(VLOOKUP(Table2[[#This Row],[Ticket]],Okey!A:B,2,0),"")</f>
        <v>ok</v>
      </c>
      <c r="I1836" s="6" t="s">
        <v>3679</v>
      </c>
      <c r="J1836" s="6" t="str">
        <f>VLOOKUP(Table2[[#This Row],[Author]],People!A:B,2,0)</f>
        <v>EL</v>
      </c>
      <c r="K1836" s="6" t="s">
        <v>5965</v>
      </c>
      <c r="L1836" s="6"/>
      <c r="M1836" s="21" t="s">
        <v>1040</v>
      </c>
    </row>
    <row r="1837" spans="1:13" x14ac:dyDescent="0.25">
      <c r="A1837" s="23">
        <f t="shared" si="28"/>
        <v>1836</v>
      </c>
      <c r="B1837" s="7" t="s">
        <v>5960</v>
      </c>
      <c r="C1837" s="7" t="s">
        <v>5964</v>
      </c>
      <c r="D1837" s="7" t="s">
        <v>6050</v>
      </c>
      <c r="E1837" s="7"/>
      <c r="F1837" s="7" t="s">
        <v>6022</v>
      </c>
      <c r="G1837" s="7" t="s">
        <v>24</v>
      </c>
      <c r="H1837" s="7" t="str">
        <f>IFERROR(VLOOKUP(Table2[[#This Row],[Ticket]],Okey!A:B,2,0),"")</f>
        <v>ok</v>
      </c>
      <c r="I1837" s="7" t="s">
        <v>3679</v>
      </c>
      <c r="J1837" s="7" t="str">
        <f>VLOOKUP(Table2[[#This Row],[Author]],People!A:B,2,0)</f>
        <v>EL</v>
      </c>
      <c r="K1837" s="7" t="s">
        <v>5965</v>
      </c>
      <c r="L1837" s="7"/>
      <c r="M1837" s="16" t="s">
        <v>1040</v>
      </c>
    </row>
    <row r="1838" spans="1:13" x14ac:dyDescent="0.25">
      <c r="A1838" s="22">
        <f t="shared" si="28"/>
        <v>1837</v>
      </c>
      <c r="B1838" s="6" t="s">
        <v>5960</v>
      </c>
      <c r="C1838" s="6" t="s">
        <v>5964</v>
      </c>
      <c r="D1838" s="6" t="s">
        <v>6051</v>
      </c>
      <c r="E1838" s="6"/>
      <c r="F1838" s="6" t="s">
        <v>6022</v>
      </c>
      <c r="G1838" s="6" t="s">
        <v>24</v>
      </c>
      <c r="H1838" s="6" t="str">
        <f>IFERROR(VLOOKUP(Table2[[#This Row],[Ticket]],Okey!A:B,2,0),"")</f>
        <v>ok</v>
      </c>
      <c r="I1838" s="6" t="s">
        <v>3679</v>
      </c>
      <c r="J1838" s="6" t="str">
        <f>VLOOKUP(Table2[[#This Row],[Author]],People!A:B,2,0)</f>
        <v>EL</v>
      </c>
      <c r="K1838" s="6" t="s">
        <v>5965</v>
      </c>
      <c r="L1838" s="6"/>
      <c r="M1838" s="21" t="s">
        <v>1040</v>
      </c>
    </row>
    <row r="1839" spans="1:13" x14ac:dyDescent="0.25">
      <c r="A1839" s="23">
        <f t="shared" si="28"/>
        <v>1838</v>
      </c>
      <c r="B1839" s="7" t="s">
        <v>5960</v>
      </c>
      <c r="C1839" s="7" t="s">
        <v>5964</v>
      </c>
      <c r="D1839" s="7" t="s">
        <v>6052</v>
      </c>
      <c r="E1839" s="7"/>
      <c r="F1839" s="7" t="s">
        <v>6022</v>
      </c>
      <c r="G1839" s="7" t="s">
        <v>24</v>
      </c>
      <c r="H1839" s="7" t="str">
        <f>IFERROR(VLOOKUP(Table2[[#This Row],[Ticket]],Okey!A:B,2,0),"")</f>
        <v>ok</v>
      </c>
      <c r="I1839" s="7" t="s">
        <v>3679</v>
      </c>
      <c r="J1839" s="7" t="str">
        <f>VLOOKUP(Table2[[#This Row],[Author]],People!A:B,2,0)</f>
        <v>EL</v>
      </c>
      <c r="K1839" s="7" t="s">
        <v>5965</v>
      </c>
      <c r="L1839" s="7"/>
      <c r="M1839" s="16" t="s">
        <v>1040</v>
      </c>
    </row>
    <row r="1840" spans="1:13" x14ac:dyDescent="0.25">
      <c r="A1840" s="22">
        <f t="shared" si="28"/>
        <v>1839</v>
      </c>
      <c r="B1840" s="6" t="s">
        <v>5960</v>
      </c>
      <c r="C1840" s="6" t="s">
        <v>5964</v>
      </c>
      <c r="D1840" s="6" t="s">
        <v>6053</v>
      </c>
      <c r="E1840" s="6"/>
      <c r="F1840" s="6" t="s">
        <v>6022</v>
      </c>
      <c r="G1840" s="6" t="s">
        <v>24</v>
      </c>
      <c r="H1840" s="6" t="str">
        <f>IFERROR(VLOOKUP(Table2[[#This Row],[Ticket]],Okey!A:B,2,0),"")</f>
        <v>ok</v>
      </c>
      <c r="I1840" s="6" t="s">
        <v>3679</v>
      </c>
      <c r="J1840" s="6" t="str">
        <f>VLOOKUP(Table2[[#This Row],[Author]],People!A:B,2,0)</f>
        <v>EL</v>
      </c>
      <c r="K1840" s="6" t="s">
        <v>5965</v>
      </c>
      <c r="L1840" s="6"/>
      <c r="M1840" s="21" t="s">
        <v>1040</v>
      </c>
    </row>
    <row r="1841" spans="1:13" x14ac:dyDescent="0.25">
      <c r="A1841" s="23">
        <f t="shared" si="28"/>
        <v>1840</v>
      </c>
      <c r="B1841" s="7" t="s">
        <v>5960</v>
      </c>
      <c r="C1841" s="7" t="s">
        <v>5964</v>
      </c>
      <c r="D1841" s="7" t="s">
        <v>6054</v>
      </c>
      <c r="E1841" s="7"/>
      <c r="F1841" s="7" t="s">
        <v>6022</v>
      </c>
      <c r="G1841" s="7" t="s">
        <v>24</v>
      </c>
      <c r="H1841" s="7" t="str">
        <f>IFERROR(VLOOKUP(Table2[[#This Row],[Ticket]],Okey!A:B,2,0),"")</f>
        <v>ok</v>
      </c>
      <c r="I1841" s="7" t="s">
        <v>3679</v>
      </c>
      <c r="J1841" s="7" t="str">
        <f>VLOOKUP(Table2[[#This Row],[Author]],People!A:B,2,0)</f>
        <v>EL</v>
      </c>
      <c r="K1841" s="7" t="s">
        <v>5965</v>
      </c>
      <c r="L1841" s="7"/>
      <c r="M1841" s="16" t="s">
        <v>1040</v>
      </c>
    </row>
    <row r="1842" spans="1:13" x14ac:dyDescent="0.25">
      <c r="A1842" s="22">
        <f t="shared" si="28"/>
        <v>1841</v>
      </c>
      <c r="B1842" s="6" t="s">
        <v>5960</v>
      </c>
      <c r="C1842" s="6" t="s">
        <v>5964</v>
      </c>
      <c r="D1842" s="6" t="s">
        <v>6055</v>
      </c>
      <c r="E1842" s="6"/>
      <c r="F1842" s="6" t="s">
        <v>6022</v>
      </c>
      <c r="G1842" s="6" t="s">
        <v>24</v>
      </c>
      <c r="H1842" s="6" t="str">
        <f>IFERROR(VLOOKUP(Table2[[#This Row],[Ticket]],Okey!A:B,2,0),"")</f>
        <v>ok</v>
      </c>
      <c r="I1842" s="6" t="s">
        <v>3679</v>
      </c>
      <c r="J1842" s="6" t="str">
        <f>VLOOKUP(Table2[[#This Row],[Author]],People!A:B,2,0)</f>
        <v>EL</v>
      </c>
      <c r="K1842" s="6" t="s">
        <v>5965</v>
      </c>
      <c r="L1842" s="6"/>
      <c r="M1842" s="21" t="s">
        <v>1040</v>
      </c>
    </row>
    <row r="1843" spans="1:13" x14ac:dyDescent="0.25">
      <c r="A1843" s="23">
        <f t="shared" si="28"/>
        <v>1842</v>
      </c>
      <c r="B1843" s="7" t="s">
        <v>5960</v>
      </c>
      <c r="C1843" s="7" t="s">
        <v>5964</v>
      </c>
      <c r="D1843" s="7" t="s">
        <v>6056</v>
      </c>
      <c r="E1843" s="7"/>
      <c r="F1843" s="7" t="s">
        <v>6022</v>
      </c>
      <c r="G1843" s="7" t="s">
        <v>24</v>
      </c>
      <c r="H1843" s="7" t="str">
        <f>IFERROR(VLOOKUP(Table2[[#This Row],[Ticket]],Okey!A:B,2,0),"")</f>
        <v>ok</v>
      </c>
      <c r="I1843" s="7" t="s">
        <v>3679</v>
      </c>
      <c r="J1843" s="7" t="str">
        <f>VLOOKUP(Table2[[#This Row],[Author]],People!A:B,2,0)</f>
        <v>EL</v>
      </c>
      <c r="K1843" s="7" t="s">
        <v>5965</v>
      </c>
      <c r="L1843" s="7"/>
      <c r="M1843" s="16" t="s">
        <v>1040</v>
      </c>
    </row>
    <row r="1844" spans="1:13" x14ac:dyDescent="0.25">
      <c r="A1844" s="22">
        <f t="shared" si="28"/>
        <v>1843</v>
      </c>
      <c r="B1844" s="6" t="s">
        <v>5960</v>
      </c>
      <c r="C1844" s="6" t="s">
        <v>5964</v>
      </c>
      <c r="D1844" s="6" t="s">
        <v>6057</v>
      </c>
      <c r="E1844" s="6"/>
      <c r="F1844" s="6" t="s">
        <v>6022</v>
      </c>
      <c r="G1844" s="6" t="s">
        <v>24</v>
      </c>
      <c r="H1844" s="6" t="str">
        <f>IFERROR(VLOOKUP(Table2[[#This Row],[Ticket]],Okey!A:B,2,0),"")</f>
        <v>ok</v>
      </c>
      <c r="I1844" s="6" t="s">
        <v>3679</v>
      </c>
      <c r="J1844" s="6" t="str">
        <f>VLOOKUP(Table2[[#This Row],[Author]],People!A:B,2,0)</f>
        <v>EL</v>
      </c>
      <c r="K1844" s="6" t="s">
        <v>5965</v>
      </c>
      <c r="L1844" s="6"/>
      <c r="M1844" s="21" t="s">
        <v>1040</v>
      </c>
    </row>
    <row r="1845" spans="1:13" x14ac:dyDescent="0.25">
      <c r="A1845" s="23">
        <f t="shared" si="28"/>
        <v>1844</v>
      </c>
      <c r="B1845" s="7" t="s">
        <v>5960</v>
      </c>
      <c r="C1845" s="7" t="s">
        <v>5964</v>
      </c>
      <c r="D1845" s="7" t="s">
        <v>6058</v>
      </c>
      <c r="E1845" s="7"/>
      <c r="F1845" s="7" t="s">
        <v>6022</v>
      </c>
      <c r="G1845" s="7" t="s">
        <v>24</v>
      </c>
      <c r="H1845" s="7" t="str">
        <f>IFERROR(VLOOKUP(Table2[[#This Row],[Ticket]],Okey!A:B,2,0),"")</f>
        <v>ok</v>
      </c>
      <c r="I1845" s="7" t="s">
        <v>3679</v>
      </c>
      <c r="J1845" s="7" t="str">
        <f>VLOOKUP(Table2[[#This Row],[Author]],People!A:B,2,0)</f>
        <v>EL</v>
      </c>
      <c r="K1845" s="7" t="s">
        <v>5965</v>
      </c>
      <c r="L1845" s="7"/>
      <c r="M1845" s="16" t="s">
        <v>1040</v>
      </c>
    </row>
    <row r="1846" spans="1:13" x14ac:dyDescent="0.25">
      <c r="A1846" s="22">
        <f t="shared" si="28"/>
        <v>1845</v>
      </c>
      <c r="B1846" s="6" t="s">
        <v>5960</v>
      </c>
      <c r="C1846" s="6" t="s">
        <v>5964</v>
      </c>
      <c r="D1846" s="6" t="s">
        <v>6059</v>
      </c>
      <c r="E1846" s="6"/>
      <c r="F1846" s="6" t="s">
        <v>6022</v>
      </c>
      <c r="G1846" s="6" t="s">
        <v>24</v>
      </c>
      <c r="H1846" s="6" t="str">
        <f>IFERROR(VLOOKUP(Table2[[#This Row],[Ticket]],Okey!A:B,2,0),"")</f>
        <v>ok</v>
      </c>
      <c r="I1846" s="6" t="s">
        <v>3679</v>
      </c>
      <c r="J1846" s="6" t="str">
        <f>VLOOKUP(Table2[[#This Row],[Author]],People!A:B,2,0)</f>
        <v>EL</v>
      </c>
      <c r="K1846" s="6" t="s">
        <v>5965</v>
      </c>
      <c r="L1846" s="6"/>
      <c r="M1846" s="21" t="s">
        <v>1040</v>
      </c>
    </row>
    <row r="1847" spans="1:13" x14ac:dyDescent="0.25">
      <c r="A1847" s="23">
        <f t="shared" si="28"/>
        <v>1846</v>
      </c>
      <c r="B1847" s="7" t="s">
        <v>5960</v>
      </c>
      <c r="C1847" s="7" t="s">
        <v>5964</v>
      </c>
      <c r="D1847" s="7" t="s">
        <v>6060</v>
      </c>
      <c r="E1847" s="7"/>
      <c r="F1847" s="7" t="s">
        <v>6022</v>
      </c>
      <c r="G1847" s="7" t="s">
        <v>24</v>
      </c>
      <c r="H1847" s="7" t="str">
        <f>IFERROR(VLOOKUP(Table2[[#This Row],[Ticket]],Okey!A:B,2,0),"")</f>
        <v>ok</v>
      </c>
      <c r="I1847" s="7" t="s">
        <v>3679</v>
      </c>
      <c r="J1847" s="7" t="str">
        <f>VLOOKUP(Table2[[#This Row],[Author]],People!A:B,2,0)</f>
        <v>EL</v>
      </c>
      <c r="K1847" s="7" t="s">
        <v>5965</v>
      </c>
      <c r="L1847" s="7"/>
      <c r="M1847" s="16" t="s">
        <v>1040</v>
      </c>
    </row>
    <row r="1848" spans="1:13" x14ac:dyDescent="0.25">
      <c r="A1848" s="22">
        <f t="shared" si="28"/>
        <v>1847</v>
      </c>
      <c r="B1848" s="6" t="s">
        <v>5960</v>
      </c>
      <c r="C1848" s="6" t="s">
        <v>5964</v>
      </c>
      <c r="D1848" s="6" t="s">
        <v>6061</v>
      </c>
      <c r="E1848" s="6"/>
      <c r="F1848" s="6" t="s">
        <v>6022</v>
      </c>
      <c r="G1848" s="6" t="s">
        <v>24</v>
      </c>
      <c r="H1848" s="6" t="str">
        <f>IFERROR(VLOOKUP(Table2[[#This Row],[Ticket]],Okey!A:B,2,0),"")</f>
        <v>ok</v>
      </c>
      <c r="I1848" s="6" t="s">
        <v>3679</v>
      </c>
      <c r="J1848" s="6" t="str">
        <f>VLOOKUP(Table2[[#This Row],[Author]],People!A:B,2,0)</f>
        <v>EL</v>
      </c>
      <c r="K1848" s="6" t="s">
        <v>5965</v>
      </c>
      <c r="L1848" s="6"/>
      <c r="M1848" s="21" t="s">
        <v>1040</v>
      </c>
    </row>
    <row r="1849" spans="1:13" x14ac:dyDescent="0.25">
      <c r="A1849" s="23">
        <f t="shared" si="28"/>
        <v>1848</v>
      </c>
      <c r="B1849" s="7" t="s">
        <v>5960</v>
      </c>
      <c r="C1849" s="7" t="s">
        <v>5964</v>
      </c>
      <c r="D1849" s="7" t="s">
        <v>6062</v>
      </c>
      <c r="E1849" s="7"/>
      <c r="F1849" s="7" t="s">
        <v>6022</v>
      </c>
      <c r="G1849" s="7" t="s">
        <v>24</v>
      </c>
      <c r="H1849" s="7" t="str">
        <f>IFERROR(VLOOKUP(Table2[[#This Row],[Ticket]],Okey!A:B,2,0),"")</f>
        <v>ok</v>
      </c>
      <c r="I1849" s="7" t="s">
        <v>3679</v>
      </c>
      <c r="J1849" s="7" t="str">
        <f>VLOOKUP(Table2[[#This Row],[Author]],People!A:B,2,0)</f>
        <v>EL</v>
      </c>
      <c r="K1849" s="7" t="s">
        <v>5965</v>
      </c>
      <c r="L1849" s="7"/>
      <c r="M1849" s="16" t="s">
        <v>1040</v>
      </c>
    </row>
    <row r="1850" spans="1:13" x14ac:dyDescent="0.25">
      <c r="A1850" s="22">
        <f t="shared" si="28"/>
        <v>1849</v>
      </c>
      <c r="B1850" s="6" t="s">
        <v>5960</v>
      </c>
      <c r="C1850" s="6" t="s">
        <v>5964</v>
      </c>
      <c r="D1850" s="6" t="s">
        <v>6063</v>
      </c>
      <c r="E1850" s="6"/>
      <c r="F1850" s="6" t="s">
        <v>6022</v>
      </c>
      <c r="G1850" s="6" t="s">
        <v>24</v>
      </c>
      <c r="H1850" s="6" t="str">
        <f>IFERROR(VLOOKUP(Table2[[#This Row],[Ticket]],Okey!A:B,2,0),"")</f>
        <v>ok</v>
      </c>
      <c r="I1850" s="6" t="s">
        <v>3679</v>
      </c>
      <c r="J1850" s="6" t="str">
        <f>VLOOKUP(Table2[[#This Row],[Author]],People!A:B,2,0)</f>
        <v>EL</v>
      </c>
      <c r="K1850" s="6" t="s">
        <v>5965</v>
      </c>
      <c r="L1850" s="6"/>
      <c r="M1850" s="21" t="s">
        <v>1040</v>
      </c>
    </row>
    <row r="1851" spans="1:13" x14ac:dyDescent="0.25">
      <c r="A1851" s="23">
        <f t="shared" si="28"/>
        <v>1850</v>
      </c>
      <c r="B1851" s="7" t="s">
        <v>5960</v>
      </c>
      <c r="C1851" s="7" t="s">
        <v>5964</v>
      </c>
      <c r="D1851" s="7" t="s">
        <v>6064</v>
      </c>
      <c r="E1851" s="7"/>
      <c r="F1851" s="7" t="s">
        <v>6022</v>
      </c>
      <c r="G1851" s="7" t="s">
        <v>24</v>
      </c>
      <c r="H1851" s="7" t="str">
        <f>IFERROR(VLOOKUP(Table2[[#This Row],[Ticket]],Okey!A:B,2,0),"")</f>
        <v>ok</v>
      </c>
      <c r="I1851" s="7" t="s">
        <v>3679</v>
      </c>
      <c r="J1851" s="7" t="str">
        <f>VLOOKUP(Table2[[#This Row],[Author]],People!A:B,2,0)</f>
        <v>EL</v>
      </c>
      <c r="K1851" s="7" t="s">
        <v>5965</v>
      </c>
      <c r="L1851" s="7"/>
      <c r="M1851" s="16" t="s">
        <v>1040</v>
      </c>
    </row>
    <row r="1852" spans="1:13" x14ac:dyDescent="0.25">
      <c r="A1852" s="22">
        <f t="shared" si="28"/>
        <v>1851</v>
      </c>
      <c r="B1852" s="6" t="s">
        <v>5960</v>
      </c>
      <c r="C1852" s="6" t="s">
        <v>5964</v>
      </c>
      <c r="D1852" s="6" t="s">
        <v>6065</v>
      </c>
      <c r="E1852" s="6"/>
      <c r="F1852" s="6" t="s">
        <v>6022</v>
      </c>
      <c r="G1852" s="6" t="s">
        <v>24</v>
      </c>
      <c r="H1852" s="6" t="str">
        <f>IFERROR(VLOOKUP(Table2[[#This Row],[Ticket]],Okey!A:B,2,0),"")</f>
        <v>ok</v>
      </c>
      <c r="I1852" s="6" t="s">
        <v>3679</v>
      </c>
      <c r="J1852" s="6" t="str">
        <f>VLOOKUP(Table2[[#This Row],[Author]],People!A:B,2,0)</f>
        <v>EL</v>
      </c>
      <c r="K1852" s="6" t="s">
        <v>5965</v>
      </c>
      <c r="L1852" s="6"/>
      <c r="M1852" s="21" t="s">
        <v>1040</v>
      </c>
    </row>
    <row r="1853" spans="1:13" x14ac:dyDescent="0.25">
      <c r="A1853" s="23">
        <f t="shared" si="28"/>
        <v>1852</v>
      </c>
      <c r="B1853" s="7" t="s">
        <v>5960</v>
      </c>
      <c r="C1853" s="7" t="s">
        <v>5964</v>
      </c>
      <c r="D1853" s="7" t="s">
        <v>6066</v>
      </c>
      <c r="E1853" s="7"/>
      <c r="F1853" s="7" t="s">
        <v>6022</v>
      </c>
      <c r="G1853" s="7" t="s">
        <v>24</v>
      </c>
      <c r="H1853" s="7" t="str">
        <f>IFERROR(VLOOKUP(Table2[[#This Row],[Ticket]],Okey!A:B,2,0),"")</f>
        <v>ok</v>
      </c>
      <c r="I1853" s="7" t="s">
        <v>3679</v>
      </c>
      <c r="J1853" s="7" t="str">
        <f>VLOOKUP(Table2[[#This Row],[Author]],People!A:B,2,0)</f>
        <v>EL</v>
      </c>
      <c r="K1853" s="7" t="s">
        <v>5965</v>
      </c>
      <c r="L1853" s="7"/>
      <c r="M1853" s="16" t="s">
        <v>1040</v>
      </c>
    </row>
    <row r="1854" spans="1:13" x14ac:dyDescent="0.25">
      <c r="A1854" s="22">
        <f t="shared" si="28"/>
        <v>1853</v>
      </c>
      <c r="B1854" s="6" t="s">
        <v>5960</v>
      </c>
      <c r="C1854" s="6" t="s">
        <v>5964</v>
      </c>
      <c r="D1854" s="6" t="s">
        <v>6067</v>
      </c>
      <c r="E1854" s="6"/>
      <c r="F1854" s="6" t="s">
        <v>6022</v>
      </c>
      <c r="G1854" s="6" t="s">
        <v>24</v>
      </c>
      <c r="H1854" s="6" t="str">
        <f>IFERROR(VLOOKUP(Table2[[#This Row],[Ticket]],Okey!A:B,2,0),"")</f>
        <v>ok</v>
      </c>
      <c r="I1854" s="6" t="s">
        <v>3679</v>
      </c>
      <c r="J1854" s="6" t="str">
        <f>VLOOKUP(Table2[[#This Row],[Author]],People!A:B,2,0)</f>
        <v>EL</v>
      </c>
      <c r="K1854" s="6" t="s">
        <v>5965</v>
      </c>
      <c r="L1854" s="6"/>
      <c r="M1854" s="21" t="s">
        <v>1040</v>
      </c>
    </row>
    <row r="1855" spans="1:13" x14ac:dyDescent="0.25">
      <c r="A1855" s="23">
        <f t="shared" si="28"/>
        <v>1854</v>
      </c>
      <c r="B1855" s="7" t="s">
        <v>5960</v>
      </c>
      <c r="C1855" s="7" t="s">
        <v>5964</v>
      </c>
      <c r="D1855" s="7" t="s">
        <v>6068</v>
      </c>
      <c r="E1855" s="7"/>
      <c r="F1855" s="7" t="s">
        <v>6022</v>
      </c>
      <c r="G1855" s="7" t="s">
        <v>24</v>
      </c>
      <c r="H1855" s="7" t="str">
        <f>IFERROR(VLOOKUP(Table2[[#This Row],[Ticket]],Okey!A:B,2,0),"")</f>
        <v>ok</v>
      </c>
      <c r="I1855" s="7" t="s">
        <v>3679</v>
      </c>
      <c r="J1855" s="7" t="str">
        <f>VLOOKUP(Table2[[#This Row],[Author]],People!A:B,2,0)</f>
        <v>EL</v>
      </c>
      <c r="K1855" s="7" t="s">
        <v>5965</v>
      </c>
      <c r="L1855" s="7"/>
      <c r="M1855" s="16" t="s">
        <v>1040</v>
      </c>
    </row>
    <row r="1856" spans="1:13" x14ac:dyDescent="0.25">
      <c r="A1856" s="22">
        <f t="shared" si="28"/>
        <v>1855</v>
      </c>
      <c r="B1856" s="6" t="s">
        <v>5960</v>
      </c>
      <c r="C1856" s="6" t="s">
        <v>5964</v>
      </c>
      <c r="D1856" s="6" t="s">
        <v>6069</v>
      </c>
      <c r="E1856" s="6"/>
      <c r="F1856" s="6" t="s">
        <v>6022</v>
      </c>
      <c r="G1856" s="6" t="s">
        <v>24</v>
      </c>
      <c r="H1856" s="6" t="str">
        <f>IFERROR(VLOOKUP(Table2[[#This Row],[Ticket]],Okey!A:B,2,0),"")</f>
        <v>ok</v>
      </c>
      <c r="I1856" s="6" t="s">
        <v>3679</v>
      </c>
      <c r="J1856" s="6" t="str">
        <f>VLOOKUP(Table2[[#This Row],[Author]],People!A:B,2,0)</f>
        <v>EL</v>
      </c>
      <c r="K1856" s="6" t="s">
        <v>5965</v>
      </c>
      <c r="L1856" s="6"/>
      <c r="M1856" s="21" t="s">
        <v>1040</v>
      </c>
    </row>
    <row r="1857" spans="1:13" x14ac:dyDescent="0.25">
      <c r="A1857" s="23">
        <f t="shared" si="28"/>
        <v>1856</v>
      </c>
      <c r="B1857" s="7" t="s">
        <v>5960</v>
      </c>
      <c r="C1857" s="7" t="s">
        <v>5964</v>
      </c>
      <c r="D1857" s="7" t="s">
        <v>6070</v>
      </c>
      <c r="E1857" s="7"/>
      <c r="F1857" s="7" t="s">
        <v>6022</v>
      </c>
      <c r="G1857" s="7" t="s">
        <v>24</v>
      </c>
      <c r="H1857" s="7" t="str">
        <f>IFERROR(VLOOKUP(Table2[[#This Row],[Ticket]],Okey!A:B,2,0),"")</f>
        <v>ok</v>
      </c>
      <c r="I1857" s="7" t="s">
        <v>3679</v>
      </c>
      <c r="J1857" s="7" t="str">
        <f>VLOOKUP(Table2[[#This Row],[Author]],People!A:B,2,0)</f>
        <v>EL</v>
      </c>
      <c r="K1857" s="7" t="s">
        <v>5965</v>
      </c>
      <c r="L1857" s="7"/>
      <c r="M1857" s="16" t="s">
        <v>1040</v>
      </c>
    </row>
    <row r="1858" spans="1:13" x14ac:dyDescent="0.25">
      <c r="A1858" s="22">
        <f t="shared" si="28"/>
        <v>1857</v>
      </c>
      <c r="B1858" s="6" t="s">
        <v>5960</v>
      </c>
      <c r="C1858" s="6" t="s">
        <v>5964</v>
      </c>
      <c r="D1858" s="6" t="s">
        <v>6071</v>
      </c>
      <c r="E1858" s="6"/>
      <c r="F1858" s="6" t="s">
        <v>6022</v>
      </c>
      <c r="G1858" s="6" t="s">
        <v>24</v>
      </c>
      <c r="H1858" s="6" t="str">
        <f>IFERROR(VLOOKUP(Table2[[#This Row],[Ticket]],Okey!A:B,2,0),"")</f>
        <v>ok</v>
      </c>
      <c r="I1858" s="6" t="s">
        <v>3679</v>
      </c>
      <c r="J1858" s="6" t="str">
        <f>VLOOKUP(Table2[[#This Row],[Author]],People!A:B,2,0)</f>
        <v>EL</v>
      </c>
      <c r="K1858" s="6" t="s">
        <v>5965</v>
      </c>
      <c r="L1858" s="6"/>
      <c r="M1858" s="21" t="s">
        <v>1040</v>
      </c>
    </row>
    <row r="1859" spans="1:13" x14ac:dyDescent="0.25">
      <c r="A1859" s="23">
        <f t="shared" ref="A1859:A1922" si="29">1+A1858</f>
        <v>1858</v>
      </c>
      <c r="B1859" s="7" t="s">
        <v>5960</v>
      </c>
      <c r="C1859" s="7" t="s">
        <v>5964</v>
      </c>
      <c r="D1859" s="7" t="s">
        <v>6072</v>
      </c>
      <c r="E1859" s="7"/>
      <c r="F1859" s="7" t="s">
        <v>6022</v>
      </c>
      <c r="G1859" s="7" t="s">
        <v>24</v>
      </c>
      <c r="H1859" s="7" t="str">
        <f>IFERROR(VLOOKUP(Table2[[#This Row],[Ticket]],Okey!A:B,2,0),"")</f>
        <v>ok</v>
      </c>
      <c r="I1859" s="7" t="s">
        <v>3679</v>
      </c>
      <c r="J1859" s="7" t="str">
        <f>VLOOKUP(Table2[[#This Row],[Author]],People!A:B,2,0)</f>
        <v>EL</v>
      </c>
      <c r="K1859" s="7" t="s">
        <v>5965</v>
      </c>
      <c r="L1859" s="7"/>
      <c r="M1859" s="16" t="s">
        <v>1040</v>
      </c>
    </row>
    <row r="1860" spans="1:13" x14ac:dyDescent="0.25">
      <c r="A1860" s="22">
        <f t="shared" si="29"/>
        <v>1859</v>
      </c>
      <c r="B1860" s="6" t="s">
        <v>5960</v>
      </c>
      <c r="C1860" s="6" t="s">
        <v>5964</v>
      </c>
      <c r="D1860" s="6" t="s">
        <v>6073</v>
      </c>
      <c r="E1860" s="6"/>
      <c r="F1860" s="6" t="s">
        <v>6022</v>
      </c>
      <c r="G1860" s="6" t="s">
        <v>24</v>
      </c>
      <c r="H1860" s="6" t="str">
        <f>IFERROR(VLOOKUP(Table2[[#This Row],[Ticket]],Okey!A:B,2,0),"")</f>
        <v>ok</v>
      </c>
      <c r="I1860" s="6" t="s">
        <v>3679</v>
      </c>
      <c r="J1860" s="6" t="str">
        <f>VLOOKUP(Table2[[#This Row],[Author]],People!A:B,2,0)</f>
        <v>EL</v>
      </c>
      <c r="K1860" s="6" t="s">
        <v>5965</v>
      </c>
      <c r="L1860" s="6"/>
      <c r="M1860" s="21" t="s">
        <v>1040</v>
      </c>
    </row>
    <row r="1861" spans="1:13" x14ac:dyDescent="0.25">
      <c r="A1861" s="23">
        <f t="shared" si="29"/>
        <v>1860</v>
      </c>
      <c r="B1861" s="7" t="s">
        <v>5960</v>
      </c>
      <c r="C1861" s="7" t="s">
        <v>5964</v>
      </c>
      <c r="D1861" s="7" t="s">
        <v>6074</v>
      </c>
      <c r="E1861" s="7"/>
      <c r="F1861" s="7" t="s">
        <v>6022</v>
      </c>
      <c r="G1861" s="7" t="s">
        <v>24</v>
      </c>
      <c r="H1861" s="7" t="str">
        <f>IFERROR(VLOOKUP(Table2[[#This Row],[Ticket]],Okey!A:B,2,0),"")</f>
        <v>ok</v>
      </c>
      <c r="I1861" s="7" t="s">
        <v>3679</v>
      </c>
      <c r="J1861" s="7" t="str">
        <f>VLOOKUP(Table2[[#This Row],[Author]],People!A:B,2,0)</f>
        <v>EL</v>
      </c>
      <c r="K1861" s="7" t="s">
        <v>5965</v>
      </c>
      <c r="L1861" s="7"/>
      <c r="M1861" s="16" t="s">
        <v>1040</v>
      </c>
    </row>
    <row r="1862" spans="1:13" x14ac:dyDescent="0.25">
      <c r="A1862" s="22">
        <f t="shared" si="29"/>
        <v>1861</v>
      </c>
      <c r="B1862" s="6" t="s">
        <v>5960</v>
      </c>
      <c r="C1862" s="6" t="s">
        <v>5964</v>
      </c>
      <c r="D1862" s="6" t="s">
        <v>6075</v>
      </c>
      <c r="E1862" s="6"/>
      <c r="F1862" s="6" t="s">
        <v>6022</v>
      </c>
      <c r="G1862" s="6" t="s">
        <v>24</v>
      </c>
      <c r="H1862" s="6" t="str">
        <f>IFERROR(VLOOKUP(Table2[[#This Row],[Ticket]],Okey!A:B,2,0),"")</f>
        <v>ok</v>
      </c>
      <c r="I1862" s="6" t="s">
        <v>3679</v>
      </c>
      <c r="J1862" s="6" t="str">
        <f>VLOOKUP(Table2[[#This Row],[Author]],People!A:B,2,0)</f>
        <v>EL</v>
      </c>
      <c r="K1862" s="6" t="s">
        <v>5965</v>
      </c>
      <c r="L1862" s="6"/>
      <c r="M1862" s="21" t="s">
        <v>1040</v>
      </c>
    </row>
    <row r="1863" spans="1:13" x14ac:dyDescent="0.25">
      <c r="A1863" s="23">
        <f t="shared" si="29"/>
        <v>1862</v>
      </c>
      <c r="B1863" s="7" t="s">
        <v>5960</v>
      </c>
      <c r="C1863" s="7" t="s">
        <v>5964</v>
      </c>
      <c r="D1863" s="7" t="s">
        <v>6076</v>
      </c>
      <c r="E1863" s="7"/>
      <c r="F1863" s="7" t="s">
        <v>6022</v>
      </c>
      <c r="G1863" s="7" t="s">
        <v>24</v>
      </c>
      <c r="H1863" s="7" t="str">
        <f>IFERROR(VLOOKUP(Table2[[#This Row],[Ticket]],Okey!A:B,2,0),"")</f>
        <v>ok</v>
      </c>
      <c r="I1863" s="7" t="s">
        <v>3679</v>
      </c>
      <c r="J1863" s="7" t="str">
        <f>VLOOKUP(Table2[[#This Row],[Author]],People!A:B,2,0)</f>
        <v>EL</v>
      </c>
      <c r="K1863" s="7" t="s">
        <v>5965</v>
      </c>
      <c r="L1863" s="7"/>
      <c r="M1863" s="16" t="s">
        <v>1040</v>
      </c>
    </row>
    <row r="1864" spans="1:13" x14ac:dyDescent="0.25">
      <c r="A1864" s="22">
        <f t="shared" si="29"/>
        <v>1863</v>
      </c>
      <c r="B1864" s="6" t="s">
        <v>5960</v>
      </c>
      <c r="C1864" s="6" t="s">
        <v>5964</v>
      </c>
      <c r="D1864" s="6" t="s">
        <v>6077</v>
      </c>
      <c r="E1864" s="6"/>
      <c r="F1864" s="6" t="s">
        <v>6022</v>
      </c>
      <c r="G1864" s="6" t="s">
        <v>24</v>
      </c>
      <c r="H1864" s="6" t="str">
        <f>IFERROR(VLOOKUP(Table2[[#This Row],[Ticket]],Okey!A:B,2,0),"")</f>
        <v>ok</v>
      </c>
      <c r="I1864" s="6" t="s">
        <v>3679</v>
      </c>
      <c r="J1864" s="6" t="str">
        <f>VLOOKUP(Table2[[#This Row],[Author]],People!A:B,2,0)</f>
        <v>EL</v>
      </c>
      <c r="K1864" s="6" t="s">
        <v>5965</v>
      </c>
      <c r="L1864" s="6"/>
      <c r="M1864" s="21" t="s">
        <v>1040</v>
      </c>
    </row>
    <row r="1865" spans="1:13" x14ac:dyDescent="0.25">
      <c r="A1865" s="23">
        <f t="shared" si="29"/>
        <v>1864</v>
      </c>
      <c r="B1865" s="7" t="s">
        <v>5960</v>
      </c>
      <c r="C1865" s="7" t="s">
        <v>5964</v>
      </c>
      <c r="D1865" s="7" t="s">
        <v>6078</v>
      </c>
      <c r="E1865" s="7"/>
      <c r="F1865" s="7" t="s">
        <v>6022</v>
      </c>
      <c r="G1865" s="7" t="s">
        <v>24</v>
      </c>
      <c r="H1865" s="7" t="str">
        <f>IFERROR(VLOOKUP(Table2[[#This Row],[Ticket]],Okey!A:B,2,0),"")</f>
        <v>ok</v>
      </c>
      <c r="I1865" s="7" t="s">
        <v>3679</v>
      </c>
      <c r="J1865" s="7" t="str">
        <f>VLOOKUP(Table2[[#This Row],[Author]],People!A:B,2,0)</f>
        <v>EL</v>
      </c>
      <c r="K1865" s="7" t="s">
        <v>5965</v>
      </c>
      <c r="L1865" s="7"/>
      <c r="M1865" s="16" t="s">
        <v>1040</v>
      </c>
    </row>
    <row r="1866" spans="1:13" x14ac:dyDescent="0.25">
      <c r="A1866" s="22">
        <f t="shared" si="29"/>
        <v>1865</v>
      </c>
      <c r="B1866" s="6" t="s">
        <v>5960</v>
      </c>
      <c r="C1866" s="6" t="s">
        <v>5964</v>
      </c>
      <c r="D1866" s="6" t="s">
        <v>6079</v>
      </c>
      <c r="E1866" s="6"/>
      <c r="F1866" s="6" t="s">
        <v>6022</v>
      </c>
      <c r="G1866" s="6" t="s">
        <v>24</v>
      </c>
      <c r="H1866" s="6" t="str">
        <f>IFERROR(VLOOKUP(Table2[[#This Row],[Ticket]],Okey!A:B,2,0),"")</f>
        <v>ok</v>
      </c>
      <c r="I1866" s="6" t="s">
        <v>3679</v>
      </c>
      <c r="J1866" s="6" t="str">
        <f>VLOOKUP(Table2[[#This Row],[Author]],People!A:B,2,0)</f>
        <v>EL</v>
      </c>
      <c r="K1866" s="6" t="s">
        <v>5965</v>
      </c>
      <c r="L1866" s="6"/>
      <c r="M1866" s="21" t="s">
        <v>1040</v>
      </c>
    </row>
    <row r="1867" spans="1:13" x14ac:dyDescent="0.25">
      <c r="A1867" s="23">
        <f t="shared" si="29"/>
        <v>1866</v>
      </c>
      <c r="B1867" s="7" t="s">
        <v>5960</v>
      </c>
      <c r="C1867" s="7" t="s">
        <v>5964</v>
      </c>
      <c r="D1867" s="7" t="s">
        <v>6080</v>
      </c>
      <c r="E1867" s="7"/>
      <c r="F1867" s="7" t="s">
        <v>6022</v>
      </c>
      <c r="G1867" s="7" t="s">
        <v>24</v>
      </c>
      <c r="H1867" s="7" t="str">
        <f>IFERROR(VLOOKUP(Table2[[#This Row],[Ticket]],Okey!A:B,2,0),"")</f>
        <v>ok</v>
      </c>
      <c r="I1867" s="7" t="s">
        <v>3679</v>
      </c>
      <c r="J1867" s="7" t="str">
        <f>VLOOKUP(Table2[[#This Row],[Author]],People!A:B,2,0)</f>
        <v>EL</v>
      </c>
      <c r="K1867" s="7" t="s">
        <v>5965</v>
      </c>
      <c r="L1867" s="7"/>
      <c r="M1867" s="16" t="s">
        <v>1040</v>
      </c>
    </row>
    <row r="1868" spans="1:13" x14ac:dyDescent="0.25">
      <c r="A1868" s="22">
        <f t="shared" si="29"/>
        <v>1867</v>
      </c>
      <c r="B1868" s="6" t="s">
        <v>5960</v>
      </c>
      <c r="C1868" s="6" t="s">
        <v>5964</v>
      </c>
      <c r="D1868" s="6" t="s">
        <v>6081</v>
      </c>
      <c r="E1868" s="6"/>
      <c r="F1868" s="6" t="s">
        <v>6022</v>
      </c>
      <c r="G1868" s="6" t="s">
        <v>24</v>
      </c>
      <c r="H1868" s="6" t="str">
        <f>IFERROR(VLOOKUP(Table2[[#This Row],[Ticket]],Okey!A:B,2,0),"")</f>
        <v>ok</v>
      </c>
      <c r="I1868" s="6" t="s">
        <v>3679</v>
      </c>
      <c r="J1868" s="6" t="str">
        <f>VLOOKUP(Table2[[#This Row],[Author]],People!A:B,2,0)</f>
        <v>EL</v>
      </c>
      <c r="K1868" s="6" t="s">
        <v>5965</v>
      </c>
      <c r="L1868" s="6"/>
      <c r="M1868" s="21" t="s">
        <v>1040</v>
      </c>
    </row>
    <row r="1869" spans="1:13" x14ac:dyDescent="0.25">
      <c r="A1869" s="23">
        <f t="shared" si="29"/>
        <v>1868</v>
      </c>
      <c r="B1869" s="7" t="s">
        <v>5960</v>
      </c>
      <c r="C1869" s="7" t="s">
        <v>5964</v>
      </c>
      <c r="D1869" s="7" t="s">
        <v>6082</v>
      </c>
      <c r="E1869" s="7"/>
      <c r="F1869" s="7" t="s">
        <v>6022</v>
      </c>
      <c r="G1869" s="7" t="s">
        <v>24</v>
      </c>
      <c r="H1869" s="7" t="str">
        <f>IFERROR(VLOOKUP(Table2[[#This Row],[Ticket]],Okey!A:B,2,0),"")</f>
        <v>ok</v>
      </c>
      <c r="I1869" s="7" t="s">
        <v>3679</v>
      </c>
      <c r="J1869" s="7" t="str">
        <f>VLOOKUP(Table2[[#This Row],[Author]],People!A:B,2,0)</f>
        <v>EL</v>
      </c>
      <c r="K1869" s="7" t="s">
        <v>5965</v>
      </c>
      <c r="L1869" s="7"/>
      <c r="M1869" s="16" t="s">
        <v>1040</v>
      </c>
    </row>
    <row r="1870" spans="1:13" x14ac:dyDescent="0.25">
      <c r="A1870" s="22">
        <f t="shared" si="29"/>
        <v>1869</v>
      </c>
      <c r="B1870" s="6" t="s">
        <v>5960</v>
      </c>
      <c r="C1870" s="6" t="s">
        <v>5964</v>
      </c>
      <c r="D1870" s="6" t="s">
        <v>6083</v>
      </c>
      <c r="E1870" s="6"/>
      <c r="F1870" s="6" t="s">
        <v>6022</v>
      </c>
      <c r="G1870" s="6" t="s">
        <v>24</v>
      </c>
      <c r="H1870" s="6" t="str">
        <f>IFERROR(VLOOKUP(Table2[[#This Row],[Ticket]],Okey!A:B,2,0),"")</f>
        <v>ok</v>
      </c>
      <c r="I1870" s="6" t="s">
        <v>3679</v>
      </c>
      <c r="J1870" s="6" t="str">
        <f>VLOOKUP(Table2[[#This Row],[Author]],People!A:B,2,0)</f>
        <v>EL</v>
      </c>
      <c r="K1870" s="6" t="s">
        <v>5965</v>
      </c>
      <c r="L1870" s="6"/>
      <c r="M1870" s="21" t="s">
        <v>1040</v>
      </c>
    </row>
    <row r="1871" spans="1:13" x14ac:dyDescent="0.25">
      <c r="A1871" s="23">
        <f t="shared" si="29"/>
        <v>1870</v>
      </c>
      <c r="B1871" s="7" t="s">
        <v>5960</v>
      </c>
      <c r="C1871" s="7" t="s">
        <v>5964</v>
      </c>
      <c r="D1871" s="7" t="s">
        <v>6084</v>
      </c>
      <c r="E1871" s="7"/>
      <c r="F1871" s="7" t="s">
        <v>6022</v>
      </c>
      <c r="G1871" s="7" t="s">
        <v>24</v>
      </c>
      <c r="H1871" s="7" t="str">
        <f>IFERROR(VLOOKUP(Table2[[#This Row],[Ticket]],Okey!A:B,2,0),"")</f>
        <v>ok</v>
      </c>
      <c r="I1871" s="7" t="s">
        <v>3679</v>
      </c>
      <c r="J1871" s="7" t="str">
        <f>VLOOKUP(Table2[[#This Row],[Author]],People!A:B,2,0)</f>
        <v>EL</v>
      </c>
      <c r="K1871" s="7" t="s">
        <v>5965</v>
      </c>
      <c r="L1871" s="7"/>
      <c r="M1871" s="16" t="s">
        <v>1040</v>
      </c>
    </row>
    <row r="1872" spans="1:13" x14ac:dyDescent="0.25">
      <c r="A1872" s="22">
        <f t="shared" si="29"/>
        <v>1871</v>
      </c>
      <c r="B1872" s="6" t="s">
        <v>5960</v>
      </c>
      <c r="C1872" s="6" t="s">
        <v>5964</v>
      </c>
      <c r="D1872" s="6" t="s">
        <v>6085</v>
      </c>
      <c r="E1872" s="6"/>
      <c r="F1872" s="6" t="s">
        <v>6022</v>
      </c>
      <c r="G1872" s="6" t="s">
        <v>24</v>
      </c>
      <c r="H1872" s="6" t="str">
        <f>IFERROR(VLOOKUP(Table2[[#This Row],[Ticket]],Okey!A:B,2,0),"")</f>
        <v>ok</v>
      </c>
      <c r="I1872" s="6" t="s">
        <v>3679</v>
      </c>
      <c r="J1872" s="6" t="str">
        <f>VLOOKUP(Table2[[#This Row],[Author]],People!A:B,2,0)</f>
        <v>EL</v>
      </c>
      <c r="K1872" s="6" t="s">
        <v>5965</v>
      </c>
      <c r="L1872" s="6"/>
      <c r="M1872" s="21" t="s">
        <v>1040</v>
      </c>
    </row>
    <row r="1873" spans="1:13" x14ac:dyDescent="0.25">
      <c r="A1873" s="23">
        <f t="shared" si="29"/>
        <v>1872</v>
      </c>
      <c r="B1873" s="7" t="s">
        <v>5960</v>
      </c>
      <c r="C1873" s="7" t="s">
        <v>5964</v>
      </c>
      <c r="D1873" s="7" t="s">
        <v>6086</v>
      </c>
      <c r="E1873" s="7"/>
      <c r="F1873" s="7" t="s">
        <v>6022</v>
      </c>
      <c r="G1873" s="7" t="s">
        <v>24</v>
      </c>
      <c r="H1873" s="7" t="str">
        <f>IFERROR(VLOOKUP(Table2[[#This Row],[Ticket]],Okey!A:B,2,0),"")</f>
        <v>ok</v>
      </c>
      <c r="I1873" s="7" t="s">
        <v>3679</v>
      </c>
      <c r="J1873" s="7" t="str">
        <f>VLOOKUP(Table2[[#This Row],[Author]],People!A:B,2,0)</f>
        <v>EL</v>
      </c>
      <c r="K1873" s="7" t="s">
        <v>5965</v>
      </c>
      <c r="L1873" s="7"/>
      <c r="M1873" s="16" t="s">
        <v>1040</v>
      </c>
    </row>
    <row r="1874" spans="1:13" x14ac:dyDescent="0.25">
      <c r="A1874" s="22">
        <f t="shared" si="29"/>
        <v>1873</v>
      </c>
      <c r="B1874" s="6" t="s">
        <v>5960</v>
      </c>
      <c r="C1874" s="6" t="s">
        <v>5964</v>
      </c>
      <c r="D1874" s="6" t="s">
        <v>6087</v>
      </c>
      <c r="E1874" s="6"/>
      <c r="F1874" s="6" t="s">
        <v>6022</v>
      </c>
      <c r="G1874" s="6" t="s">
        <v>24</v>
      </c>
      <c r="H1874" s="6" t="str">
        <f>IFERROR(VLOOKUP(Table2[[#This Row],[Ticket]],Okey!A:B,2,0),"")</f>
        <v>ok</v>
      </c>
      <c r="I1874" s="6" t="s">
        <v>3679</v>
      </c>
      <c r="J1874" s="6" t="str">
        <f>VLOOKUP(Table2[[#This Row],[Author]],People!A:B,2,0)</f>
        <v>EL</v>
      </c>
      <c r="K1874" s="6" t="s">
        <v>5965</v>
      </c>
      <c r="L1874" s="6"/>
      <c r="M1874" s="21" t="s">
        <v>1040</v>
      </c>
    </row>
    <row r="1875" spans="1:13" x14ac:dyDescent="0.25">
      <c r="A1875" s="23">
        <f t="shared" si="29"/>
        <v>1874</v>
      </c>
      <c r="B1875" s="7" t="s">
        <v>5960</v>
      </c>
      <c r="C1875" s="7" t="s">
        <v>5964</v>
      </c>
      <c r="D1875" s="7" t="s">
        <v>6088</v>
      </c>
      <c r="E1875" s="7"/>
      <c r="F1875" s="7" t="s">
        <v>6022</v>
      </c>
      <c r="G1875" s="7" t="s">
        <v>24</v>
      </c>
      <c r="H1875" s="7" t="str">
        <f>IFERROR(VLOOKUP(Table2[[#This Row],[Ticket]],Okey!A:B,2,0),"")</f>
        <v>ok</v>
      </c>
      <c r="I1875" s="7" t="s">
        <v>3679</v>
      </c>
      <c r="J1875" s="7" t="str">
        <f>VLOOKUP(Table2[[#This Row],[Author]],People!A:B,2,0)</f>
        <v>EL</v>
      </c>
      <c r="K1875" s="7" t="s">
        <v>5965</v>
      </c>
      <c r="L1875" s="7"/>
      <c r="M1875" s="16" t="s">
        <v>1040</v>
      </c>
    </row>
    <row r="1876" spans="1:13" x14ac:dyDescent="0.25">
      <c r="A1876" s="22">
        <f t="shared" si="29"/>
        <v>1875</v>
      </c>
      <c r="B1876" s="6" t="s">
        <v>5960</v>
      </c>
      <c r="C1876" s="6" t="s">
        <v>5964</v>
      </c>
      <c r="D1876" s="6" t="s">
        <v>6089</v>
      </c>
      <c r="E1876" s="6"/>
      <c r="F1876" s="6" t="s">
        <v>6022</v>
      </c>
      <c r="G1876" s="6" t="s">
        <v>24</v>
      </c>
      <c r="H1876" s="6" t="str">
        <f>IFERROR(VLOOKUP(Table2[[#This Row],[Ticket]],Okey!A:B,2,0),"")</f>
        <v>ok</v>
      </c>
      <c r="I1876" s="6" t="s">
        <v>3679</v>
      </c>
      <c r="J1876" s="6" t="str">
        <f>VLOOKUP(Table2[[#This Row],[Author]],People!A:B,2,0)</f>
        <v>EL</v>
      </c>
      <c r="K1876" s="6" t="s">
        <v>5965</v>
      </c>
      <c r="L1876" s="6"/>
      <c r="M1876" s="21" t="s">
        <v>1040</v>
      </c>
    </row>
    <row r="1877" spans="1:13" x14ac:dyDescent="0.25">
      <c r="A1877" s="23">
        <f t="shared" si="29"/>
        <v>1876</v>
      </c>
      <c r="B1877" s="7" t="s">
        <v>5960</v>
      </c>
      <c r="C1877" s="7" t="s">
        <v>5964</v>
      </c>
      <c r="D1877" s="7" t="s">
        <v>6090</v>
      </c>
      <c r="E1877" s="7"/>
      <c r="F1877" s="7" t="s">
        <v>6022</v>
      </c>
      <c r="G1877" s="7" t="s">
        <v>24</v>
      </c>
      <c r="H1877" s="7" t="str">
        <f>IFERROR(VLOOKUP(Table2[[#This Row],[Ticket]],Okey!A:B,2,0),"")</f>
        <v>ok</v>
      </c>
      <c r="I1877" s="7" t="s">
        <v>3679</v>
      </c>
      <c r="J1877" s="7" t="str">
        <f>VLOOKUP(Table2[[#This Row],[Author]],People!A:B,2,0)</f>
        <v>EL</v>
      </c>
      <c r="K1877" s="7" t="s">
        <v>5965</v>
      </c>
      <c r="L1877" s="7"/>
      <c r="M1877" s="16" t="s">
        <v>1040</v>
      </c>
    </row>
    <row r="1878" spans="1:13" x14ac:dyDescent="0.25">
      <c r="A1878" s="22">
        <f t="shared" si="29"/>
        <v>1877</v>
      </c>
      <c r="B1878" s="6" t="s">
        <v>5960</v>
      </c>
      <c r="C1878" s="6" t="s">
        <v>5964</v>
      </c>
      <c r="D1878" s="6" t="s">
        <v>6091</v>
      </c>
      <c r="E1878" s="6"/>
      <c r="F1878" s="6" t="s">
        <v>6022</v>
      </c>
      <c r="G1878" s="6" t="s">
        <v>24</v>
      </c>
      <c r="H1878" s="6" t="str">
        <f>IFERROR(VLOOKUP(Table2[[#This Row],[Ticket]],Okey!A:B,2,0),"")</f>
        <v>ok</v>
      </c>
      <c r="I1878" s="6" t="s">
        <v>3679</v>
      </c>
      <c r="J1878" s="6" t="str">
        <f>VLOOKUP(Table2[[#This Row],[Author]],People!A:B,2,0)</f>
        <v>EL</v>
      </c>
      <c r="K1878" s="6" t="s">
        <v>5965</v>
      </c>
      <c r="L1878" s="6"/>
      <c r="M1878" s="21" t="s">
        <v>1040</v>
      </c>
    </row>
    <row r="1879" spans="1:13" x14ac:dyDescent="0.25">
      <c r="A1879" s="23">
        <f t="shared" si="29"/>
        <v>1878</v>
      </c>
      <c r="B1879" s="7" t="s">
        <v>5960</v>
      </c>
      <c r="C1879" s="7" t="s">
        <v>5964</v>
      </c>
      <c r="D1879" s="7" t="s">
        <v>6092</v>
      </c>
      <c r="E1879" s="7"/>
      <c r="F1879" s="7" t="s">
        <v>6022</v>
      </c>
      <c r="G1879" s="7" t="s">
        <v>24</v>
      </c>
      <c r="H1879" s="7" t="str">
        <f>IFERROR(VLOOKUP(Table2[[#This Row],[Ticket]],Okey!A:B,2,0),"")</f>
        <v>ok</v>
      </c>
      <c r="I1879" s="7" t="s">
        <v>3679</v>
      </c>
      <c r="J1879" s="7" t="str">
        <f>VLOOKUP(Table2[[#This Row],[Author]],People!A:B,2,0)</f>
        <v>EL</v>
      </c>
      <c r="K1879" s="7" t="s">
        <v>5965</v>
      </c>
      <c r="L1879" s="7"/>
      <c r="M1879" s="16" t="s">
        <v>1040</v>
      </c>
    </row>
    <row r="1880" spans="1:13" x14ac:dyDescent="0.25">
      <c r="A1880" s="22">
        <f t="shared" si="29"/>
        <v>1879</v>
      </c>
      <c r="B1880" s="6" t="s">
        <v>5960</v>
      </c>
      <c r="C1880" s="6" t="s">
        <v>5964</v>
      </c>
      <c r="D1880" s="6" t="s">
        <v>6093</v>
      </c>
      <c r="E1880" s="6"/>
      <c r="F1880" s="6" t="s">
        <v>6022</v>
      </c>
      <c r="G1880" s="6" t="s">
        <v>24</v>
      </c>
      <c r="H1880" s="6" t="str">
        <f>IFERROR(VLOOKUP(Table2[[#This Row],[Ticket]],Okey!A:B,2,0),"")</f>
        <v>ok</v>
      </c>
      <c r="I1880" s="6" t="s">
        <v>3679</v>
      </c>
      <c r="J1880" s="6" t="str">
        <f>VLOOKUP(Table2[[#This Row],[Author]],People!A:B,2,0)</f>
        <v>EL</v>
      </c>
      <c r="K1880" s="6" t="s">
        <v>5965</v>
      </c>
      <c r="L1880" s="6"/>
      <c r="M1880" s="21" t="s">
        <v>1040</v>
      </c>
    </row>
    <row r="1881" spans="1:13" x14ac:dyDescent="0.25">
      <c r="A1881" s="23">
        <f t="shared" si="29"/>
        <v>1880</v>
      </c>
      <c r="B1881" s="7" t="s">
        <v>5960</v>
      </c>
      <c r="C1881" s="7" t="s">
        <v>5964</v>
      </c>
      <c r="D1881" s="7" t="s">
        <v>6094</v>
      </c>
      <c r="E1881" s="7"/>
      <c r="F1881" s="7" t="s">
        <v>6022</v>
      </c>
      <c r="G1881" s="7" t="s">
        <v>24</v>
      </c>
      <c r="H1881" s="7" t="str">
        <f>IFERROR(VLOOKUP(Table2[[#This Row],[Ticket]],Okey!A:B,2,0),"")</f>
        <v>ok</v>
      </c>
      <c r="I1881" s="7" t="s">
        <v>3679</v>
      </c>
      <c r="J1881" s="7" t="str">
        <f>VLOOKUP(Table2[[#This Row],[Author]],People!A:B,2,0)</f>
        <v>EL</v>
      </c>
      <c r="K1881" s="7" t="s">
        <v>5965</v>
      </c>
      <c r="L1881" s="7"/>
      <c r="M1881" s="16" t="s">
        <v>1040</v>
      </c>
    </row>
    <row r="1882" spans="1:13" x14ac:dyDescent="0.25">
      <c r="A1882" s="22">
        <f t="shared" si="29"/>
        <v>1881</v>
      </c>
      <c r="B1882" s="6" t="s">
        <v>5960</v>
      </c>
      <c r="C1882" s="6" t="s">
        <v>5964</v>
      </c>
      <c r="D1882" s="6" t="s">
        <v>6095</v>
      </c>
      <c r="E1882" s="6"/>
      <c r="F1882" s="6" t="s">
        <v>1064</v>
      </c>
      <c r="G1882" s="6" t="s">
        <v>24</v>
      </c>
      <c r="H1882" s="6" t="str">
        <f>IFERROR(VLOOKUP(Table2[[#This Row],[Ticket]],Okey!A:B,2,0),"")</f>
        <v>ok</v>
      </c>
      <c r="I1882" s="6" t="s">
        <v>3679</v>
      </c>
      <c r="J1882" s="6" t="str">
        <f>VLOOKUP(Table2[[#This Row],[Author]],People!A:B,2,0)</f>
        <v>EL</v>
      </c>
      <c r="K1882" s="6" t="s">
        <v>5965</v>
      </c>
      <c r="L1882" s="6"/>
      <c r="M1882" s="21" t="s">
        <v>1040</v>
      </c>
    </row>
    <row r="1883" spans="1:13" x14ac:dyDescent="0.25">
      <c r="A1883" s="23">
        <f t="shared" si="29"/>
        <v>1882</v>
      </c>
      <c r="B1883" s="7" t="s">
        <v>5960</v>
      </c>
      <c r="C1883" s="7" t="s">
        <v>5964</v>
      </c>
      <c r="D1883" s="7" t="s">
        <v>6096</v>
      </c>
      <c r="E1883" s="7"/>
      <c r="F1883" s="7" t="s">
        <v>1064</v>
      </c>
      <c r="G1883" s="7" t="s">
        <v>24</v>
      </c>
      <c r="H1883" s="7" t="str">
        <f>IFERROR(VLOOKUP(Table2[[#This Row],[Ticket]],Okey!A:B,2,0),"")</f>
        <v>ok</v>
      </c>
      <c r="I1883" s="7" t="s">
        <v>3679</v>
      </c>
      <c r="J1883" s="7" t="str">
        <f>VLOOKUP(Table2[[#This Row],[Author]],People!A:B,2,0)</f>
        <v>EL</v>
      </c>
      <c r="K1883" s="7" t="s">
        <v>5965</v>
      </c>
      <c r="L1883" s="7"/>
      <c r="M1883" s="16" t="s">
        <v>1040</v>
      </c>
    </row>
    <row r="1884" spans="1:13" x14ac:dyDescent="0.25">
      <c r="A1884" s="22">
        <f t="shared" si="29"/>
        <v>1883</v>
      </c>
      <c r="B1884" s="6" t="s">
        <v>5960</v>
      </c>
      <c r="C1884" s="6" t="s">
        <v>5964</v>
      </c>
      <c r="D1884" s="6" t="s">
        <v>6097</v>
      </c>
      <c r="E1884" s="6"/>
      <c r="F1884" s="6" t="s">
        <v>1064</v>
      </c>
      <c r="G1884" s="6" t="s">
        <v>24</v>
      </c>
      <c r="H1884" s="6" t="str">
        <f>IFERROR(VLOOKUP(Table2[[#This Row],[Ticket]],Okey!A:B,2,0),"")</f>
        <v>ok</v>
      </c>
      <c r="I1884" s="6" t="s">
        <v>3679</v>
      </c>
      <c r="J1884" s="6" t="str">
        <f>VLOOKUP(Table2[[#This Row],[Author]],People!A:B,2,0)</f>
        <v>EL</v>
      </c>
      <c r="K1884" s="6" t="s">
        <v>5965</v>
      </c>
      <c r="L1884" s="6"/>
      <c r="M1884" s="21" t="s">
        <v>1040</v>
      </c>
    </row>
    <row r="1885" spans="1:13" x14ac:dyDescent="0.25">
      <c r="A1885" s="23">
        <f t="shared" si="29"/>
        <v>1884</v>
      </c>
      <c r="B1885" s="7" t="s">
        <v>5960</v>
      </c>
      <c r="C1885" s="7" t="s">
        <v>5964</v>
      </c>
      <c r="D1885" s="7" t="s">
        <v>6098</v>
      </c>
      <c r="E1885" s="7"/>
      <c r="F1885" s="7" t="s">
        <v>1064</v>
      </c>
      <c r="G1885" s="7" t="s">
        <v>24</v>
      </c>
      <c r="H1885" s="7" t="str">
        <f>IFERROR(VLOOKUP(Table2[[#This Row],[Ticket]],Okey!A:B,2,0),"")</f>
        <v>ok</v>
      </c>
      <c r="I1885" s="7" t="s">
        <v>3679</v>
      </c>
      <c r="J1885" s="7" t="str">
        <f>VLOOKUP(Table2[[#This Row],[Author]],People!A:B,2,0)</f>
        <v>EL</v>
      </c>
      <c r="K1885" s="7" t="s">
        <v>5965</v>
      </c>
      <c r="L1885" s="7"/>
      <c r="M1885" s="16" t="s">
        <v>1040</v>
      </c>
    </row>
    <row r="1886" spans="1:13" x14ac:dyDescent="0.25">
      <c r="A1886" s="22">
        <f t="shared" si="29"/>
        <v>1885</v>
      </c>
      <c r="B1886" s="6" t="s">
        <v>5960</v>
      </c>
      <c r="C1886" s="6" t="s">
        <v>5964</v>
      </c>
      <c r="D1886" s="6" t="s">
        <v>6099</v>
      </c>
      <c r="E1886" s="6"/>
      <c r="F1886" s="6" t="s">
        <v>1064</v>
      </c>
      <c r="G1886" s="6" t="s">
        <v>24</v>
      </c>
      <c r="H1886" s="6" t="str">
        <f>IFERROR(VLOOKUP(Table2[[#This Row],[Ticket]],Okey!A:B,2,0),"")</f>
        <v>ok</v>
      </c>
      <c r="I1886" s="6" t="s">
        <v>3679</v>
      </c>
      <c r="J1886" s="6" t="str">
        <f>VLOOKUP(Table2[[#This Row],[Author]],People!A:B,2,0)</f>
        <v>EL</v>
      </c>
      <c r="K1886" s="6" t="s">
        <v>5965</v>
      </c>
      <c r="L1886" s="6"/>
      <c r="M1886" s="21" t="s">
        <v>1040</v>
      </c>
    </row>
    <row r="1887" spans="1:13" x14ac:dyDescent="0.25">
      <c r="A1887" s="23">
        <f t="shared" si="29"/>
        <v>1886</v>
      </c>
      <c r="B1887" s="7" t="s">
        <v>5960</v>
      </c>
      <c r="C1887" s="7" t="s">
        <v>5964</v>
      </c>
      <c r="D1887" s="7" t="s">
        <v>6100</v>
      </c>
      <c r="E1887" s="7"/>
      <c r="F1887" s="7" t="s">
        <v>1064</v>
      </c>
      <c r="G1887" s="7" t="s">
        <v>24</v>
      </c>
      <c r="H1887" s="7" t="str">
        <f>IFERROR(VLOOKUP(Table2[[#This Row],[Ticket]],Okey!A:B,2,0),"")</f>
        <v>ok</v>
      </c>
      <c r="I1887" s="7" t="s">
        <v>3679</v>
      </c>
      <c r="J1887" s="7" t="str">
        <f>VLOOKUP(Table2[[#This Row],[Author]],People!A:B,2,0)</f>
        <v>EL</v>
      </c>
      <c r="K1887" s="7" t="s">
        <v>5965</v>
      </c>
      <c r="L1887" s="7"/>
      <c r="M1887" s="16" t="s">
        <v>1040</v>
      </c>
    </row>
    <row r="1888" spans="1:13" x14ac:dyDescent="0.25">
      <c r="A1888" s="22">
        <f t="shared" si="29"/>
        <v>1887</v>
      </c>
      <c r="B1888" s="6" t="s">
        <v>5960</v>
      </c>
      <c r="C1888" s="6" t="s">
        <v>5964</v>
      </c>
      <c r="D1888" s="6" t="s">
        <v>6101</v>
      </c>
      <c r="E1888" s="6"/>
      <c r="F1888" s="6" t="s">
        <v>1064</v>
      </c>
      <c r="G1888" s="6" t="s">
        <v>24</v>
      </c>
      <c r="H1888" s="6" t="str">
        <f>IFERROR(VLOOKUP(Table2[[#This Row],[Ticket]],Okey!A:B,2,0),"")</f>
        <v>ok</v>
      </c>
      <c r="I1888" s="6" t="s">
        <v>3679</v>
      </c>
      <c r="J1888" s="6" t="str">
        <f>VLOOKUP(Table2[[#This Row],[Author]],People!A:B,2,0)</f>
        <v>EL</v>
      </c>
      <c r="K1888" s="6" t="s">
        <v>5965</v>
      </c>
      <c r="L1888" s="6"/>
      <c r="M1888" s="21" t="s">
        <v>1040</v>
      </c>
    </row>
    <row r="1889" spans="1:13" x14ac:dyDescent="0.25">
      <c r="A1889" s="23">
        <f t="shared" si="29"/>
        <v>1888</v>
      </c>
      <c r="B1889" s="7" t="s">
        <v>5960</v>
      </c>
      <c r="C1889" s="7" t="s">
        <v>5964</v>
      </c>
      <c r="D1889" s="7" t="s">
        <v>6102</v>
      </c>
      <c r="E1889" s="7"/>
      <c r="F1889" s="7" t="s">
        <v>1064</v>
      </c>
      <c r="G1889" s="7" t="s">
        <v>24</v>
      </c>
      <c r="H1889" s="7" t="str">
        <f>IFERROR(VLOOKUP(Table2[[#This Row],[Ticket]],Okey!A:B,2,0),"")</f>
        <v>ok</v>
      </c>
      <c r="I1889" s="7" t="s">
        <v>3679</v>
      </c>
      <c r="J1889" s="7" t="str">
        <f>VLOOKUP(Table2[[#This Row],[Author]],People!A:B,2,0)</f>
        <v>EL</v>
      </c>
      <c r="K1889" s="7" t="s">
        <v>5965</v>
      </c>
      <c r="L1889" s="7"/>
      <c r="M1889" s="16" t="s">
        <v>1040</v>
      </c>
    </row>
    <row r="1890" spans="1:13" x14ac:dyDescent="0.25">
      <c r="A1890" s="22">
        <f t="shared" si="29"/>
        <v>1889</v>
      </c>
      <c r="B1890" s="6" t="s">
        <v>5960</v>
      </c>
      <c r="C1890" s="6" t="s">
        <v>5964</v>
      </c>
      <c r="D1890" s="6" t="s">
        <v>6103</v>
      </c>
      <c r="E1890" s="6"/>
      <c r="F1890" s="6" t="s">
        <v>1064</v>
      </c>
      <c r="G1890" s="6" t="s">
        <v>24</v>
      </c>
      <c r="H1890" s="6" t="str">
        <f>IFERROR(VLOOKUP(Table2[[#This Row],[Ticket]],Okey!A:B,2,0),"")</f>
        <v>ok</v>
      </c>
      <c r="I1890" s="6" t="s">
        <v>3679</v>
      </c>
      <c r="J1890" s="6" t="str">
        <f>VLOOKUP(Table2[[#This Row],[Author]],People!A:B,2,0)</f>
        <v>EL</v>
      </c>
      <c r="K1890" s="6" t="s">
        <v>5965</v>
      </c>
      <c r="L1890" s="6"/>
      <c r="M1890" s="21" t="s">
        <v>1040</v>
      </c>
    </row>
    <row r="1891" spans="1:13" x14ac:dyDescent="0.25">
      <c r="A1891" s="23">
        <f t="shared" si="29"/>
        <v>1890</v>
      </c>
      <c r="B1891" s="7" t="s">
        <v>5960</v>
      </c>
      <c r="C1891" s="7" t="s">
        <v>5964</v>
      </c>
      <c r="D1891" s="7" t="s">
        <v>6104</v>
      </c>
      <c r="E1891" s="7"/>
      <c r="F1891" s="7" t="s">
        <v>1064</v>
      </c>
      <c r="G1891" s="7" t="s">
        <v>24</v>
      </c>
      <c r="H1891" s="7" t="str">
        <f>IFERROR(VLOOKUP(Table2[[#This Row],[Ticket]],Okey!A:B,2,0),"")</f>
        <v>ok</v>
      </c>
      <c r="I1891" s="7" t="s">
        <v>3679</v>
      </c>
      <c r="J1891" s="7" t="str">
        <f>VLOOKUP(Table2[[#This Row],[Author]],People!A:B,2,0)</f>
        <v>EL</v>
      </c>
      <c r="K1891" s="7" t="s">
        <v>5965</v>
      </c>
      <c r="L1891" s="7"/>
      <c r="M1891" s="16" t="s">
        <v>1040</v>
      </c>
    </row>
    <row r="1892" spans="1:13" x14ac:dyDescent="0.25">
      <c r="A1892" s="22">
        <f t="shared" si="29"/>
        <v>1891</v>
      </c>
      <c r="B1892" s="6" t="s">
        <v>5960</v>
      </c>
      <c r="C1892" s="6" t="s">
        <v>5964</v>
      </c>
      <c r="D1892" s="6" t="s">
        <v>6105</v>
      </c>
      <c r="E1892" s="6"/>
      <c r="F1892" s="6" t="s">
        <v>1064</v>
      </c>
      <c r="G1892" s="6" t="s">
        <v>24</v>
      </c>
      <c r="H1892" s="6" t="str">
        <f>IFERROR(VLOOKUP(Table2[[#This Row],[Ticket]],Okey!A:B,2,0),"")</f>
        <v>ok</v>
      </c>
      <c r="I1892" s="6" t="s">
        <v>3679</v>
      </c>
      <c r="J1892" s="6" t="str">
        <f>VLOOKUP(Table2[[#This Row],[Author]],People!A:B,2,0)</f>
        <v>EL</v>
      </c>
      <c r="K1892" s="6" t="s">
        <v>5965</v>
      </c>
      <c r="L1892" s="6"/>
      <c r="M1892" s="21" t="s">
        <v>1040</v>
      </c>
    </row>
    <row r="1893" spans="1:13" x14ac:dyDescent="0.25">
      <c r="A1893" s="23">
        <f t="shared" si="29"/>
        <v>1892</v>
      </c>
      <c r="B1893" s="7" t="s">
        <v>5960</v>
      </c>
      <c r="C1893" s="7" t="s">
        <v>5964</v>
      </c>
      <c r="D1893" s="7" t="s">
        <v>6106</v>
      </c>
      <c r="E1893" s="7"/>
      <c r="F1893" s="7" t="s">
        <v>6107</v>
      </c>
      <c r="G1893" s="7" t="s">
        <v>24</v>
      </c>
      <c r="H1893" s="7" t="str">
        <f>IFERROR(VLOOKUP(Table2[[#This Row],[Ticket]],Okey!A:B,2,0),"")</f>
        <v>ok</v>
      </c>
      <c r="I1893" s="7" t="s">
        <v>3679</v>
      </c>
      <c r="J1893" s="7" t="str">
        <f>VLOOKUP(Table2[[#This Row],[Author]],People!A:B,2,0)</f>
        <v>EL</v>
      </c>
      <c r="K1893" s="7" t="s">
        <v>5965</v>
      </c>
      <c r="L1893" s="7"/>
      <c r="M1893" s="16" t="s">
        <v>1040</v>
      </c>
    </row>
    <row r="1894" spans="1:13" x14ac:dyDescent="0.25">
      <c r="A1894" s="22">
        <f t="shared" si="29"/>
        <v>1893</v>
      </c>
      <c r="B1894" s="6" t="s">
        <v>5960</v>
      </c>
      <c r="C1894" s="6" t="s">
        <v>5964</v>
      </c>
      <c r="D1894" s="6" t="s">
        <v>6108</v>
      </c>
      <c r="E1894" s="6"/>
      <c r="F1894" s="6" t="s">
        <v>2323</v>
      </c>
      <c r="G1894" s="6" t="s">
        <v>24</v>
      </c>
      <c r="H1894" s="6" t="str">
        <f>IFERROR(VLOOKUP(Table2[[#This Row],[Ticket]],Okey!A:B,2,0),"")</f>
        <v>ok</v>
      </c>
      <c r="I1894" s="6" t="s">
        <v>3679</v>
      </c>
      <c r="J1894" s="6" t="str">
        <f>VLOOKUP(Table2[[#This Row],[Author]],People!A:B,2,0)</f>
        <v>EL</v>
      </c>
      <c r="K1894" s="6" t="s">
        <v>5965</v>
      </c>
      <c r="L1894" s="6"/>
      <c r="M1894" s="21" t="s">
        <v>1040</v>
      </c>
    </row>
    <row r="1895" spans="1:13" x14ac:dyDescent="0.25">
      <c r="A1895" s="23">
        <f t="shared" si="29"/>
        <v>1894</v>
      </c>
      <c r="B1895" s="7" t="s">
        <v>5960</v>
      </c>
      <c r="C1895" s="7" t="s">
        <v>5964</v>
      </c>
      <c r="D1895" s="7" t="s">
        <v>6109</v>
      </c>
      <c r="E1895" s="7"/>
      <c r="F1895" s="7" t="s">
        <v>2323</v>
      </c>
      <c r="G1895" s="7" t="s">
        <v>24</v>
      </c>
      <c r="H1895" s="7" t="str">
        <f>IFERROR(VLOOKUP(Table2[[#This Row],[Ticket]],Okey!A:B,2,0),"")</f>
        <v>ok</v>
      </c>
      <c r="I1895" s="7" t="s">
        <v>3679</v>
      </c>
      <c r="J1895" s="7" t="str">
        <f>VLOOKUP(Table2[[#This Row],[Author]],People!A:B,2,0)</f>
        <v>EL</v>
      </c>
      <c r="K1895" s="7" t="s">
        <v>5965</v>
      </c>
      <c r="L1895" s="7"/>
      <c r="M1895" s="16" t="s">
        <v>1040</v>
      </c>
    </row>
    <row r="1896" spans="1:13" x14ac:dyDescent="0.25">
      <c r="A1896" s="22">
        <f t="shared" si="29"/>
        <v>1895</v>
      </c>
      <c r="B1896" s="6" t="s">
        <v>5960</v>
      </c>
      <c r="C1896" s="6" t="s">
        <v>5964</v>
      </c>
      <c r="D1896" s="6" t="s">
        <v>6110</v>
      </c>
      <c r="E1896" s="6"/>
      <c r="F1896" s="6" t="s">
        <v>2323</v>
      </c>
      <c r="G1896" s="6" t="s">
        <v>24</v>
      </c>
      <c r="H1896" s="6" t="str">
        <f>IFERROR(VLOOKUP(Table2[[#This Row],[Ticket]],Okey!A:B,2,0),"")</f>
        <v>ok</v>
      </c>
      <c r="I1896" s="6" t="s">
        <v>3679</v>
      </c>
      <c r="J1896" s="6" t="str">
        <f>VLOOKUP(Table2[[#This Row],[Author]],People!A:B,2,0)</f>
        <v>EL</v>
      </c>
      <c r="K1896" s="6" t="s">
        <v>5965</v>
      </c>
      <c r="L1896" s="6"/>
      <c r="M1896" s="21" t="s">
        <v>1040</v>
      </c>
    </row>
    <row r="1897" spans="1:13" x14ac:dyDescent="0.25">
      <c r="A1897" s="23">
        <f t="shared" si="29"/>
        <v>1896</v>
      </c>
      <c r="B1897" s="7" t="s">
        <v>5960</v>
      </c>
      <c r="C1897" s="7" t="s">
        <v>5964</v>
      </c>
      <c r="D1897" s="7" t="s">
        <v>4663</v>
      </c>
      <c r="E1897" s="7"/>
      <c r="F1897" s="7" t="s">
        <v>4576</v>
      </c>
      <c r="G1897" s="7" t="s">
        <v>24</v>
      </c>
      <c r="H1897" s="7" t="str">
        <f>IFERROR(VLOOKUP(Table2[[#This Row],[Ticket]],Okey!A:B,2,0),"")</f>
        <v>ok</v>
      </c>
      <c r="I1897" s="7" t="s">
        <v>3679</v>
      </c>
      <c r="J1897" s="7" t="str">
        <f>VLOOKUP(Table2[[#This Row],[Author]],People!A:B,2,0)</f>
        <v>EL</v>
      </c>
      <c r="K1897" s="7" t="s">
        <v>5965</v>
      </c>
      <c r="L1897" s="7"/>
      <c r="M1897" s="16" t="s">
        <v>1040</v>
      </c>
    </row>
    <row r="1898" spans="1:13" x14ac:dyDescent="0.25">
      <c r="A1898" s="22">
        <f t="shared" si="29"/>
        <v>1897</v>
      </c>
      <c r="B1898" s="6" t="s">
        <v>5960</v>
      </c>
      <c r="C1898" s="6" t="s">
        <v>5964</v>
      </c>
      <c r="D1898" s="6" t="s">
        <v>6111</v>
      </c>
      <c r="E1898" s="6"/>
      <c r="F1898" s="6" t="s">
        <v>4942</v>
      </c>
      <c r="G1898" s="6" t="s">
        <v>24</v>
      </c>
      <c r="H1898" s="6" t="str">
        <f>IFERROR(VLOOKUP(Table2[[#This Row],[Ticket]],Okey!A:B,2,0),"")</f>
        <v>ok</v>
      </c>
      <c r="I1898" s="6" t="s">
        <v>3679</v>
      </c>
      <c r="J1898" s="6" t="str">
        <f>VLOOKUP(Table2[[#This Row],[Author]],People!A:B,2,0)</f>
        <v>EL</v>
      </c>
      <c r="K1898" s="6" t="s">
        <v>5965</v>
      </c>
      <c r="L1898" s="6"/>
      <c r="M1898" s="21" t="s">
        <v>1040</v>
      </c>
    </row>
    <row r="1899" spans="1:13" x14ac:dyDescent="0.25">
      <c r="A1899" s="23">
        <f t="shared" si="29"/>
        <v>1898</v>
      </c>
      <c r="B1899" s="7" t="s">
        <v>5960</v>
      </c>
      <c r="C1899" s="7" t="s">
        <v>5964</v>
      </c>
      <c r="D1899" s="7" t="s">
        <v>5010</v>
      </c>
      <c r="E1899" s="7"/>
      <c r="F1899" s="7" t="s">
        <v>1302</v>
      </c>
      <c r="G1899" s="7" t="s">
        <v>24</v>
      </c>
      <c r="H1899" s="7" t="str">
        <f>IFERROR(VLOOKUP(Table2[[#This Row],[Ticket]],Okey!A:B,2,0),"")</f>
        <v>ok</v>
      </c>
      <c r="I1899" s="7" t="s">
        <v>3679</v>
      </c>
      <c r="J1899" s="7" t="str">
        <f>VLOOKUP(Table2[[#This Row],[Author]],People!A:B,2,0)</f>
        <v>EL</v>
      </c>
      <c r="K1899" s="7" t="s">
        <v>5965</v>
      </c>
      <c r="L1899" s="7"/>
      <c r="M1899" s="16" t="s">
        <v>1040</v>
      </c>
    </row>
    <row r="1900" spans="1:13" x14ac:dyDescent="0.25">
      <c r="A1900" s="22">
        <f t="shared" si="29"/>
        <v>1899</v>
      </c>
      <c r="B1900" s="6" t="s">
        <v>5960</v>
      </c>
      <c r="C1900" s="6" t="s">
        <v>5964</v>
      </c>
      <c r="D1900" s="6" t="s">
        <v>5012</v>
      </c>
      <c r="E1900" s="6"/>
      <c r="F1900" s="6" t="s">
        <v>4950</v>
      </c>
      <c r="G1900" s="6" t="s">
        <v>24</v>
      </c>
      <c r="H1900" s="6" t="str">
        <f>IFERROR(VLOOKUP(Table2[[#This Row],[Ticket]],Okey!A:B,2,0),"")</f>
        <v>ok</v>
      </c>
      <c r="I1900" s="6" t="s">
        <v>3679</v>
      </c>
      <c r="J1900" s="6" t="str">
        <f>VLOOKUP(Table2[[#This Row],[Author]],People!A:B,2,0)</f>
        <v>EL</v>
      </c>
      <c r="K1900" s="6" t="s">
        <v>5965</v>
      </c>
      <c r="L1900" s="6"/>
      <c r="M1900" s="21" t="s">
        <v>1040</v>
      </c>
    </row>
    <row r="1901" spans="1:13" x14ac:dyDescent="0.25">
      <c r="A1901" s="23">
        <f t="shared" si="29"/>
        <v>1900</v>
      </c>
      <c r="B1901" s="7" t="s">
        <v>5960</v>
      </c>
      <c r="C1901" s="7" t="s">
        <v>5964</v>
      </c>
      <c r="D1901" s="7" t="s">
        <v>5014</v>
      </c>
      <c r="E1901" s="7"/>
      <c r="F1901" s="7" t="s">
        <v>4950</v>
      </c>
      <c r="G1901" s="7" t="s">
        <v>24</v>
      </c>
      <c r="H1901" s="7" t="str">
        <f>IFERROR(VLOOKUP(Table2[[#This Row],[Ticket]],Okey!A:B,2,0),"")</f>
        <v>ok</v>
      </c>
      <c r="I1901" s="7" t="s">
        <v>3679</v>
      </c>
      <c r="J1901" s="7" t="str">
        <f>VLOOKUP(Table2[[#This Row],[Author]],People!A:B,2,0)</f>
        <v>EL</v>
      </c>
      <c r="K1901" s="7" t="s">
        <v>5965</v>
      </c>
      <c r="L1901" s="7"/>
      <c r="M1901" s="16" t="s">
        <v>1040</v>
      </c>
    </row>
    <row r="1902" spans="1:13" x14ac:dyDescent="0.25">
      <c r="A1902" s="22">
        <f t="shared" si="29"/>
        <v>1901</v>
      </c>
      <c r="B1902" s="6" t="s">
        <v>5960</v>
      </c>
      <c r="C1902" s="6" t="s">
        <v>5964</v>
      </c>
      <c r="D1902" s="6" t="s">
        <v>5016</v>
      </c>
      <c r="E1902" s="6"/>
      <c r="F1902" s="6" t="s">
        <v>4950</v>
      </c>
      <c r="G1902" s="6" t="s">
        <v>24</v>
      </c>
      <c r="H1902" s="6" t="str">
        <f>IFERROR(VLOOKUP(Table2[[#This Row],[Ticket]],Okey!A:B,2,0),"")</f>
        <v>ok</v>
      </c>
      <c r="I1902" s="6" t="s">
        <v>3679</v>
      </c>
      <c r="J1902" s="6" t="str">
        <f>VLOOKUP(Table2[[#This Row],[Author]],People!A:B,2,0)</f>
        <v>EL</v>
      </c>
      <c r="K1902" s="6" t="s">
        <v>5965</v>
      </c>
      <c r="L1902" s="6"/>
      <c r="M1902" s="21" t="s">
        <v>1040</v>
      </c>
    </row>
    <row r="1903" spans="1:13" x14ac:dyDescent="0.25">
      <c r="A1903" s="23">
        <f t="shared" si="29"/>
        <v>1902</v>
      </c>
      <c r="B1903" s="7" t="s">
        <v>5960</v>
      </c>
      <c r="C1903" s="7" t="s">
        <v>5964</v>
      </c>
      <c r="D1903" s="7" t="s">
        <v>5018</v>
      </c>
      <c r="E1903" s="7"/>
      <c r="F1903" s="7" t="s">
        <v>1302</v>
      </c>
      <c r="G1903" s="7" t="s">
        <v>24</v>
      </c>
      <c r="H1903" s="7" t="str">
        <f>IFERROR(VLOOKUP(Table2[[#This Row],[Ticket]],Okey!A:B,2,0),"")</f>
        <v>ok</v>
      </c>
      <c r="I1903" s="7" t="s">
        <v>3679</v>
      </c>
      <c r="J1903" s="7" t="str">
        <f>VLOOKUP(Table2[[#This Row],[Author]],People!A:B,2,0)</f>
        <v>EL</v>
      </c>
      <c r="K1903" s="7" t="s">
        <v>5965</v>
      </c>
      <c r="L1903" s="7"/>
      <c r="M1903" s="16" t="s">
        <v>1040</v>
      </c>
    </row>
    <row r="1904" spans="1:13" x14ac:dyDescent="0.25">
      <c r="A1904" s="22">
        <f t="shared" si="29"/>
        <v>1903</v>
      </c>
      <c r="B1904" s="6" t="s">
        <v>5960</v>
      </c>
      <c r="C1904" s="6" t="s">
        <v>5964</v>
      </c>
      <c r="D1904" s="6" t="s">
        <v>5020</v>
      </c>
      <c r="E1904" s="6"/>
      <c r="F1904" s="6" t="s">
        <v>1302</v>
      </c>
      <c r="G1904" s="6" t="s">
        <v>24</v>
      </c>
      <c r="H1904" s="6" t="str">
        <f>IFERROR(VLOOKUP(Table2[[#This Row],[Ticket]],Okey!A:B,2,0),"")</f>
        <v>ok</v>
      </c>
      <c r="I1904" s="6" t="s">
        <v>3679</v>
      </c>
      <c r="J1904" s="6" t="str">
        <f>VLOOKUP(Table2[[#This Row],[Author]],People!A:B,2,0)</f>
        <v>EL</v>
      </c>
      <c r="K1904" s="6" t="s">
        <v>5965</v>
      </c>
      <c r="L1904" s="6"/>
      <c r="M1904" s="21" t="s">
        <v>1040</v>
      </c>
    </row>
    <row r="1905" spans="1:13" x14ac:dyDescent="0.25">
      <c r="A1905" s="23">
        <f t="shared" si="29"/>
        <v>1904</v>
      </c>
      <c r="B1905" s="7" t="s">
        <v>5960</v>
      </c>
      <c r="C1905" s="7" t="s">
        <v>5964</v>
      </c>
      <c r="D1905" s="7" t="s">
        <v>5022</v>
      </c>
      <c r="E1905" s="7"/>
      <c r="F1905" s="7" t="s">
        <v>4952</v>
      </c>
      <c r="G1905" s="7" t="s">
        <v>24</v>
      </c>
      <c r="H1905" s="7" t="str">
        <f>IFERROR(VLOOKUP(Table2[[#This Row],[Ticket]],Okey!A:B,2,0),"")</f>
        <v>ok</v>
      </c>
      <c r="I1905" s="7" t="s">
        <v>3679</v>
      </c>
      <c r="J1905" s="7" t="str">
        <f>VLOOKUP(Table2[[#This Row],[Author]],People!A:B,2,0)</f>
        <v>EL</v>
      </c>
      <c r="K1905" s="7" t="s">
        <v>5965</v>
      </c>
      <c r="L1905" s="7"/>
      <c r="M1905" s="16" t="s">
        <v>1040</v>
      </c>
    </row>
    <row r="1906" spans="1:13" x14ac:dyDescent="0.25">
      <c r="A1906" s="22">
        <f t="shared" si="29"/>
        <v>1905</v>
      </c>
      <c r="B1906" s="6" t="s">
        <v>5960</v>
      </c>
      <c r="C1906" s="6" t="s">
        <v>5964</v>
      </c>
      <c r="D1906" s="6" t="s">
        <v>5109</v>
      </c>
      <c r="E1906" s="6"/>
      <c r="F1906" s="6" t="s">
        <v>4963</v>
      </c>
      <c r="G1906" s="6" t="s">
        <v>24</v>
      </c>
      <c r="H1906" s="6" t="str">
        <f>IFERROR(VLOOKUP(Table2[[#This Row],[Ticket]],Okey!A:B,2,0),"")</f>
        <v>ok</v>
      </c>
      <c r="I1906" s="6" t="s">
        <v>3679</v>
      </c>
      <c r="J1906" s="6" t="str">
        <f>VLOOKUP(Table2[[#This Row],[Author]],People!A:B,2,0)</f>
        <v>EL</v>
      </c>
      <c r="K1906" s="6" t="s">
        <v>5965</v>
      </c>
      <c r="L1906" s="6"/>
      <c r="M1906" s="21" t="s">
        <v>1040</v>
      </c>
    </row>
    <row r="1907" spans="1:13" x14ac:dyDescent="0.25">
      <c r="A1907" s="23">
        <f t="shared" si="29"/>
        <v>1906</v>
      </c>
      <c r="B1907" s="7" t="s">
        <v>5960</v>
      </c>
      <c r="C1907" s="7" t="s">
        <v>5964</v>
      </c>
      <c r="D1907" s="7" t="s">
        <v>5024</v>
      </c>
      <c r="E1907" s="7"/>
      <c r="F1907" s="7" t="s">
        <v>4952</v>
      </c>
      <c r="G1907" s="7" t="s">
        <v>24</v>
      </c>
      <c r="H1907" s="7" t="str">
        <f>IFERROR(VLOOKUP(Table2[[#This Row],[Ticket]],Okey!A:B,2,0),"")</f>
        <v>ok</v>
      </c>
      <c r="I1907" s="7" t="s">
        <v>3679</v>
      </c>
      <c r="J1907" s="7" t="str">
        <f>VLOOKUP(Table2[[#This Row],[Author]],People!A:B,2,0)</f>
        <v>EL</v>
      </c>
      <c r="K1907" s="7" t="s">
        <v>5965</v>
      </c>
      <c r="L1907" s="7"/>
      <c r="M1907" s="16" t="s">
        <v>1040</v>
      </c>
    </row>
    <row r="1908" spans="1:13" x14ac:dyDescent="0.25">
      <c r="A1908" s="22">
        <f t="shared" si="29"/>
        <v>1907</v>
      </c>
      <c r="B1908" s="6" t="s">
        <v>5960</v>
      </c>
      <c r="C1908" s="6" t="s">
        <v>5964</v>
      </c>
      <c r="D1908" s="6" t="s">
        <v>5026</v>
      </c>
      <c r="E1908" s="6"/>
      <c r="F1908" s="6" t="s">
        <v>4952</v>
      </c>
      <c r="G1908" s="6" t="s">
        <v>24</v>
      </c>
      <c r="H1908" s="6" t="str">
        <f>IFERROR(VLOOKUP(Table2[[#This Row],[Ticket]],Okey!A:B,2,0),"")</f>
        <v>ok</v>
      </c>
      <c r="I1908" s="6" t="s">
        <v>3679</v>
      </c>
      <c r="J1908" s="6" t="str">
        <f>VLOOKUP(Table2[[#This Row],[Author]],People!A:B,2,0)</f>
        <v>EL</v>
      </c>
      <c r="K1908" s="6" t="s">
        <v>5965</v>
      </c>
      <c r="L1908" s="6"/>
      <c r="M1908" s="21" t="s">
        <v>1040</v>
      </c>
    </row>
    <row r="1909" spans="1:13" x14ac:dyDescent="0.25">
      <c r="A1909" s="23">
        <f t="shared" si="29"/>
        <v>1908</v>
      </c>
      <c r="B1909" s="7" t="s">
        <v>5960</v>
      </c>
      <c r="C1909" s="7" t="s">
        <v>5964</v>
      </c>
      <c r="D1909" s="7" t="s">
        <v>6112</v>
      </c>
      <c r="E1909" s="7"/>
      <c r="F1909" s="7" t="s">
        <v>4946</v>
      </c>
      <c r="G1909" s="7" t="s">
        <v>24</v>
      </c>
      <c r="H1909" s="7" t="str">
        <f>IFERROR(VLOOKUP(Table2[[#This Row],[Ticket]],Okey!A:B,2,0),"")</f>
        <v>ok</v>
      </c>
      <c r="I1909" s="7" t="s">
        <v>3679</v>
      </c>
      <c r="J1909" s="7" t="str">
        <f>VLOOKUP(Table2[[#This Row],[Author]],People!A:B,2,0)</f>
        <v>EL</v>
      </c>
      <c r="K1909" s="7" t="s">
        <v>5965</v>
      </c>
      <c r="L1909" s="7"/>
      <c r="M1909" s="16" t="s">
        <v>1040</v>
      </c>
    </row>
    <row r="1910" spans="1:13" x14ac:dyDescent="0.25">
      <c r="A1910" s="22">
        <f t="shared" si="29"/>
        <v>1909</v>
      </c>
      <c r="B1910" s="6" t="s">
        <v>5960</v>
      </c>
      <c r="C1910" s="6" t="s">
        <v>5964</v>
      </c>
      <c r="D1910" s="6" t="s">
        <v>6113</v>
      </c>
      <c r="E1910" s="6"/>
      <c r="F1910" s="6" t="s">
        <v>4969</v>
      </c>
      <c r="G1910" s="6" t="s">
        <v>24</v>
      </c>
      <c r="H1910" s="6" t="str">
        <f>IFERROR(VLOOKUP(Table2[[#This Row],[Ticket]],Okey!A:B,2,0),"")</f>
        <v>ok</v>
      </c>
      <c r="I1910" s="6" t="s">
        <v>3679</v>
      </c>
      <c r="J1910" s="6" t="str">
        <f>VLOOKUP(Table2[[#This Row],[Author]],People!A:B,2,0)</f>
        <v>EL</v>
      </c>
      <c r="K1910" s="6" t="s">
        <v>5965</v>
      </c>
      <c r="L1910" s="6"/>
      <c r="M1910" s="21" t="s">
        <v>1040</v>
      </c>
    </row>
    <row r="1911" spans="1:13" x14ac:dyDescent="0.25">
      <c r="A1911" s="23">
        <f t="shared" si="29"/>
        <v>1910</v>
      </c>
      <c r="B1911" s="7" t="s">
        <v>5960</v>
      </c>
      <c r="C1911" s="7" t="s">
        <v>5964</v>
      </c>
      <c r="D1911" s="7" t="s">
        <v>6114</v>
      </c>
      <c r="E1911" s="7"/>
      <c r="F1911" s="7" t="s">
        <v>4969</v>
      </c>
      <c r="G1911" s="7" t="s">
        <v>24</v>
      </c>
      <c r="H1911" s="7" t="str">
        <f>IFERROR(VLOOKUP(Table2[[#This Row],[Ticket]],Okey!A:B,2,0),"")</f>
        <v>ok</v>
      </c>
      <c r="I1911" s="7" t="s">
        <v>3679</v>
      </c>
      <c r="J1911" s="7" t="str">
        <f>VLOOKUP(Table2[[#This Row],[Author]],People!A:B,2,0)</f>
        <v>EL</v>
      </c>
      <c r="K1911" s="7" t="s">
        <v>5965</v>
      </c>
      <c r="L1911" s="7"/>
      <c r="M1911" s="16" t="s">
        <v>1040</v>
      </c>
    </row>
    <row r="1912" spans="1:13" x14ac:dyDescent="0.25">
      <c r="A1912" s="22">
        <f t="shared" si="29"/>
        <v>1911</v>
      </c>
      <c r="B1912" s="6" t="s">
        <v>5960</v>
      </c>
      <c r="C1912" s="6" t="s">
        <v>5964</v>
      </c>
      <c r="D1912" s="6" t="s">
        <v>6115</v>
      </c>
      <c r="E1912" s="6"/>
      <c r="F1912" s="6" t="s">
        <v>4969</v>
      </c>
      <c r="G1912" s="6" t="s">
        <v>24</v>
      </c>
      <c r="H1912" s="6" t="str">
        <f>IFERROR(VLOOKUP(Table2[[#This Row],[Ticket]],Okey!A:B,2,0),"")</f>
        <v>ok</v>
      </c>
      <c r="I1912" s="6" t="s">
        <v>3679</v>
      </c>
      <c r="J1912" s="6" t="str">
        <f>VLOOKUP(Table2[[#This Row],[Author]],People!A:B,2,0)</f>
        <v>EL</v>
      </c>
      <c r="K1912" s="6" t="s">
        <v>5965</v>
      </c>
      <c r="L1912" s="6"/>
      <c r="M1912" s="21" t="s">
        <v>1040</v>
      </c>
    </row>
    <row r="1913" spans="1:13" x14ac:dyDescent="0.25">
      <c r="A1913" s="23">
        <f t="shared" si="29"/>
        <v>1912</v>
      </c>
      <c r="B1913" s="7" t="s">
        <v>5960</v>
      </c>
      <c r="C1913" s="7" t="s">
        <v>5964</v>
      </c>
      <c r="D1913" s="7" t="s">
        <v>6116</v>
      </c>
      <c r="E1913" s="7"/>
      <c r="F1913" s="7" t="s">
        <v>4969</v>
      </c>
      <c r="G1913" s="7" t="s">
        <v>24</v>
      </c>
      <c r="H1913" s="7" t="str">
        <f>IFERROR(VLOOKUP(Table2[[#This Row],[Ticket]],Okey!A:B,2,0),"")</f>
        <v>ok</v>
      </c>
      <c r="I1913" s="7" t="s">
        <v>3679</v>
      </c>
      <c r="J1913" s="7" t="str">
        <f>VLOOKUP(Table2[[#This Row],[Author]],People!A:B,2,0)</f>
        <v>EL</v>
      </c>
      <c r="K1913" s="7" t="s">
        <v>5965</v>
      </c>
      <c r="L1913" s="7"/>
      <c r="M1913" s="16" t="s">
        <v>1040</v>
      </c>
    </row>
    <row r="1914" spans="1:13" x14ac:dyDescent="0.25">
      <c r="A1914" s="22">
        <f t="shared" si="29"/>
        <v>1913</v>
      </c>
      <c r="B1914" s="6" t="s">
        <v>5960</v>
      </c>
      <c r="C1914" s="6" t="s">
        <v>5964</v>
      </c>
      <c r="D1914" s="6" t="s">
        <v>6117</v>
      </c>
      <c r="E1914" s="6"/>
      <c r="F1914" s="6" t="s">
        <v>4969</v>
      </c>
      <c r="G1914" s="6" t="s">
        <v>24</v>
      </c>
      <c r="H1914" s="6" t="str">
        <f>IFERROR(VLOOKUP(Table2[[#This Row],[Ticket]],Okey!A:B,2,0),"")</f>
        <v>ok</v>
      </c>
      <c r="I1914" s="6" t="s">
        <v>3679</v>
      </c>
      <c r="J1914" s="6" t="str">
        <f>VLOOKUP(Table2[[#This Row],[Author]],People!A:B,2,0)</f>
        <v>EL</v>
      </c>
      <c r="K1914" s="6" t="s">
        <v>5965</v>
      </c>
      <c r="L1914" s="6"/>
      <c r="M1914" s="21" t="s">
        <v>1040</v>
      </c>
    </row>
    <row r="1915" spans="1:13" x14ac:dyDescent="0.25">
      <c r="A1915" s="23">
        <f t="shared" si="29"/>
        <v>1914</v>
      </c>
      <c r="B1915" s="7" t="s">
        <v>5960</v>
      </c>
      <c r="C1915" s="7" t="s">
        <v>5964</v>
      </c>
      <c r="D1915" s="7" t="s">
        <v>6118</v>
      </c>
      <c r="E1915" s="7"/>
      <c r="F1915" s="7" t="s">
        <v>4963</v>
      </c>
      <c r="G1915" s="7" t="s">
        <v>24</v>
      </c>
      <c r="H1915" s="7" t="str">
        <f>IFERROR(VLOOKUP(Table2[[#This Row],[Ticket]],Okey!A:B,2,0),"")</f>
        <v>ok</v>
      </c>
      <c r="I1915" s="7" t="s">
        <v>3679</v>
      </c>
      <c r="J1915" s="7" t="str">
        <f>VLOOKUP(Table2[[#This Row],[Author]],People!A:B,2,0)</f>
        <v>EL</v>
      </c>
      <c r="K1915" s="7" t="s">
        <v>5965</v>
      </c>
      <c r="L1915" s="7"/>
      <c r="M1915" s="16" t="s">
        <v>1040</v>
      </c>
    </row>
    <row r="1916" spans="1:13" x14ac:dyDescent="0.25">
      <c r="A1916" s="22">
        <f t="shared" si="29"/>
        <v>1915</v>
      </c>
      <c r="B1916" s="6" t="s">
        <v>5960</v>
      </c>
      <c r="C1916" s="6" t="s">
        <v>5964</v>
      </c>
      <c r="D1916" s="6" t="s">
        <v>5108</v>
      </c>
      <c r="E1916" s="6"/>
      <c r="F1916" s="6" t="s">
        <v>4957</v>
      </c>
      <c r="G1916" s="6" t="s">
        <v>24</v>
      </c>
      <c r="H1916" s="6" t="str">
        <f>IFERROR(VLOOKUP(Table2[[#This Row],[Ticket]],Okey!A:B,2,0),"")</f>
        <v>ok</v>
      </c>
      <c r="I1916" s="6" t="s">
        <v>3679</v>
      </c>
      <c r="J1916" s="6" t="str">
        <f>VLOOKUP(Table2[[#This Row],[Author]],People!A:B,2,0)</f>
        <v>EL</v>
      </c>
      <c r="K1916" s="6" t="s">
        <v>5965</v>
      </c>
      <c r="L1916" s="6"/>
      <c r="M1916" s="21" t="s">
        <v>1040</v>
      </c>
    </row>
    <row r="1917" spans="1:13" x14ac:dyDescent="0.25">
      <c r="A1917" s="23">
        <f t="shared" si="29"/>
        <v>1916</v>
      </c>
      <c r="B1917" s="7" t="s">
        <v>5960</v>
      </c>
      <c r="C1917" s="7" t="s">
        <v>5964</v>
      </c>
      <c r="D1917" s="7" t="s">
        <v>5030</v>
      </c>
      <c r="E1917" s="7"/>
      <c r="F1917" s="7" t="s">
        <v>4946</v>
      </c>
      <c r="G1917" s="7" t="s">
        <v>24</v>
      </c>
      <c r="H1917" s="7" t="str">
        <f>IFERROR(VLOOKUP(Table2[[#This Row],[Ticket]],Okey!A:B,2,0),"")</f>
        <v>ok</v>
      </c>
      <c r="I1917" s="7" t="s">
        <v>3679</v>
      </c>
      <c r="J1917" s="7" t="str">
        <f>VLOOKUP(Table2[[#This Row],[Author]],People!A:B,2,0)</f>
        <v>EL</v>
      </c>
      <c r="K1917" s="7" t="s">
        <v>5965</v>
      </c>
      <c r="L1917" s="7"/>
      <c r="M1917" s="16" t="s">
        <v>1040</v>
      </c>
    </row>
    <row r="1918" spans="1:13" x14ac:dyDescent="0.25">
      <c r="A1918" s="22">
        <f t="shared" si="29"/>
        <v>1917</v>
      </c>
      <c r="B1918" s="6" t="s">
        <v>5960</v>
      </c>
      <c r="C1918" s="6" t="s">
        <v>5964</v>
      </c>
      <c r="D1918" s="6" t="s">
        <v>5032</v>
      </c>
      <c r="E1918" s="6"/>
      <c r="F1918" s="6" t="s">
        <v>4950</v>
      </c>
      <c r="G1918" s="6" t="s">
        <v>24</v>
      </c>
      <c r="H1918" s="6" t="str">
        <f>IFERROR(VLOOKUP(Table2[[#This Row],[Ticket]],Okey!A:B,2,0),"")</f>
        <v>ok</v>
      </c>
      <c r="I1918" s="6" t="s">
        <v>3679</v>
      </c>
      <c r="J1918" s="6" t="str">
        <f>VLOOKUP(Table2[[#This Row],[Author]],People!A:B,2,0)</f>
        <v>EL</v>
      </c>
      <c r="K1918" s="6" t="s">
        <v>5965</v>
      </c>
      <c r="L1918" s="6"/>
      <c r="M1918" s="21" t="s">
        <v>1040</v>
      </c>
    </row>
    <row r="1919" spans="1:13" x14ac:dyDescent="0.25">
      <c r="A1919" s="23">
        <f t="shared" si="29"/>
        <v>1918</v>
      </c>
      <c r="B1919" s="7" t="s">
        <v>5960</v>
      </c>
      <c r="C1919" s="7" t="s">
        <v>5964</v>
      </c>
      <c r="D1919" s="7" t="s">
        <v>5034</v>
      </c>
      <c r="E1919" s="7"/>
      <c r="F1919" s="7" t="s">
        <v>1299</v>
      </c>
      <c r="G1919" s="7" t="s">
        <v>24</v>
      </c>
      <c r="H1919" s="7" t="str">
        <f>IFERROR(VLOOKUP(Table2[[#This Row],[Ticket]],Okey!A:B,2,0),"")</f>
        <v>ok</v>
      </c>
      <c r="I1919" s="7" t="s">
        <v>3679</v>
      </c>
      <c r="J1919" s="7" t="str">
        <f>VLOOKUP(Table2[[#This Row],[Author]],People!A:B,2,0)</f>
        <v>EL</v>
      </c>
      <c r="K1919" s="7" t="s">
        <v>5965</v>
      </c>
      <c r="L1919" s="7"/>
      <c r="M1919" s="16" t="s">
        <v>1040</v>
      </c>
    </row>
    <row r="1920" spans="1:13" x14ac:dyDescent="0.25">
      <c r="A1920" s="22">
        <f t="shared" si="29"/>
        <v>1919</v>
      </c>
      <c r="B1920" s="6" t="s">
        <v>5960</v>
      </c>
      <c r="C1920" s="6" t="s">
        <v>5964</v>
      </c>
      <c r="D1920" s="6" t="s">
        <v>1299</v>
      </c>
      <c r="E1920" s="6"/>
      <c r="F1920" s="6" t="s">
        <v>4938</v>
      </c>
      <c r="G1920" s="6" t="s">
        <v>24</v>
      </c>
      <c r="H1920" s="6" t="str">
        <f>IFERROR(VLOOKUP(Table2[[#This Row],[Ticket]],Okey!A:B,2,0),"")</f>
        <v>ok</v>
      </c>
      <c r="I1920" s="6" t="s">
        <v>3679</v>
      </c>
      <c r="J1920" s="6" t="str">
        <f>VLOOKUP(Table2[[#This Row],[Author]],People!A:B,2,0)</f>
        <v>EL</v>
      </c>
      <c r="K1920" s="6" t="s">
        <v>5965</v>
      </c>
      <c r="L1920" s="6"/>
      <c r="M1920" s="21" t="s">
        <v>1040</v>
      </c>
    </row>
    <row r="1921" spans="1:13" x14ac:dyDescent="0.25">
      <c r="A1921" s="23">
        <f t="shared" si="29"/>
        <v>1920</v>
      </c>
      <c r="B1921" s="7" t="s">
        <v>5960</v>
      </c>
      <c r="C1921" s="7" t="s">
        <v>5964</v>
      </c>
      <c r="D1921" s="7" t="s">
        <v>1302</v>
      </c>
      <c r="E1921" s="7"/>
      <c r="F1921" s="7" t="s">
        <v>4938</v>
      </c>
      <c r="G1921" s="7" t="s">
        <v>24</v>
      </c>
      <c r="H1921" s="7" t="str">
        <f>IFERROR(VLOOKUP(Table2[[#This Row],[Ticket]],Okey!A:B,2,0),"")</f>
        <v>ok</v>
      </c>
      <c r="I1921" s="7" t="s">
        <v>3679</v>
      </c>
      <c r="J1921" s="7" t="str">
        <f>VLOOKUP(Table2[[#This Row],[Author]],People!A:B,2,0)</f>
        <v>EL</v>
      </c>
      <c r="K1921" s="7" t="s">
        <v>5965</v>
      </c>
      <c r="L1921" s="7"/>
      <c r="M1921" s="16" t="s">
        <v>1040</v>
      </c>
    </row>
    <row r="1922" spans="1:13" x14ac:dyDescent="0.25">
      <c r="A1922" s="22">
        <f t="shared" si="29"/>
        <v>1921</v>
      </c>
      <c r="B1922" s="6" t="s">
        <v>5960</v>
      </c>
      <c r="C1922" s="6" t="s">
        <v>5964</v>
      </c>
      <c r="D1922" s="6" t="s">
        <v>4942</v>
      </c>
      <c r="E1922" s="6"/>
      <c r="F1922" s="6" t="s">
        <v>1302</v>
      </c>
      <c r="G1922" s="6" t="s">
        <v>24</v>
      </c>
      <c r="H1922" s="6" t="str">
        <f>IFERROR(VLOOKUP(Table2[[#This Row],[Ticket]],Okey!A:B,2,0),"")</f>
        <v>ok</v>
      </c>
      <c r="I1922" s="6" t="s">
        <v>3679</v>
      </c>
      <c r="J1922" s="6" t="str">
        <f>VLOOKUP(Table2[[#This Row],[Author]],People!A:B,2,0)</f>
        <v>EL</v>
      </c>
      <c r="K1922" s="6" t="s">
        <v>5965</v>
      </c>
      <c r="L1922" s="6"/>
      <c r="M1922" s="21" t="s">
        <v>1040</v>
      </c>
    </row>
    <row r="1923" spans="1:13" x14ac:dyDescent="0.25">
      <c r="A1923" s="23">
        <f t="shared" ref="A1923:A1986" si="30">1+A1922</f>
        <v>1922</v>
      </c>
      <c r="B1923" s="7" t="s">
        <v>5960</v>
      </c>
      <c r="C1923" s="7" t="s">
        <v>5964</v>
      </c>
      <c r="D1923" s="7" t="s">
        <v>4944</v>
      </c>
      <c r="E1923" s="7"/>
      <c r="F1923" s="7" t="s">
        <v>1302</v>
      </c>
      <c r="G1923" s="7" t="s">
        <v>24</v>
      </c>
      <c r="H1923" s="7" t="str">
        <f>IFERROR(VLOOKUP(Table2[[#This Row],[Ticket]],Okey!A:B,2,0),"")</f>
        <v>ok</v>
      </c>
      <c r="I1923" s="7" t="s">
        <v>3679</v>
      </c>
      <c r="J1923" s="7" t="str">
        <f>VLOOKUP(Table2[[#This Row],[Author]],People!A:B,2,0)</f>
        <v>EL</v>
      </c>
      <c r="K1923" s="7" t="s">
        <v>5965</v>
      </c>
      <c r="L1923" s="7"/>
      <c r="M1923" s="16" t="s">
        <v>1040</v>
      </c>
    </row>
    <row r="1924" spans="1:13" x14ac:dyDescent="0.25">
      <c r="A1924" s="22">
        <f t="shared" si="30"/>
        <v>1923</v>
      </c>
      <c r="B1924" s="6" t="s">
        <v>5960</v>
      </c>
      <c r="C1924" s="6" t="s">
        <v>5964</v>
      </c>
      <c r="D1924" s="6" t="s">
        <v>4948</v>
      </c>
      <c r="E1924" s="6"/>
      <c r="F1924" s="6" t="s">
        <v>4969</v>
      </c>
      <c r="G1924" s="6" t="s">
        <v>24</v>
      </c>
      <c r="H1924" s="6" t="str">
        <f>IFERROR(VLOOKUP(Table2[[#This Row],[Ticket]],Okey!A:B,2,0),"")</f>
        <v>ok</v>
      </c>
      <c r="I1924" s="6" t="s">
        <v>3679</v>
      </c>
      <c r="J1924" s="6" t="str">
        <f>VLOOKUP(Table2[[#This Row],[Author]],People!A:B,2,0)</f>
        <v>EL</v>
      </c>
      <c r="K1924" s="6" t="s">
        <v>5965</v>
      </c>
      <c r="L1924" s="6"/>
      <c r="M1924" s="21" t="s">
        <v>1040</v>
      </c>
    </row>
    <row r="1925" spans="1:13" x14ac:dyDescent="0.25">
      <c r="A1925" s="23">
        <f t="shared" si="30"/>
        <v>1924</v>
      </c>
      <c r="B1925" s="7" t="s">
        <v>5960</v>
      </c>
      <c r="C1925" s="7" t="s">
        <v>5964</v>
      </c>
      <c r="D1925" s="7" t="s">
        <v>4950</v>
      </c>
      <c r="E1925" s="7"/>
      <c r="F1925" s="7" t="s">
        <v>1299</v>
      </c>
      <c r="G1925" s="7" t="s">
        <v>24</v>
      </c>
      <c r="H1925" s="7" t="str">
        <f>IFERROR(VLOOKUP(Table2[[#This Row],[Ticket]],Okey!A:B,2,0),"")</f>
        <v>ok</v>
      </c>
      <c r="I1925" s="7" t="s">
        <v>3679</v>
      </c>
      <c r="J1925" s="7" t="str">
        <f>VLOOKUP(Table2[[#This Row],[Author]],People!A:B,2,0)</f>
        <v>EL</v>
      </c>
      <c r="K1925" s="7" t="s">
        <v>5965</v>
      </c>
      <c r="L1925" s="7"/>
      <c r="M1925" s="16" t="s">
        <v>1040</v>
      </c>
    </row>
    <row r="1926" spans="1:13" x14ac:dyDescent="0.25">
      <c r="A1926" s="22">
        <f t="shared" si="30"/>
        <v>1925</v>
      </c>
      <c r="B1926" s="6" t="s">
        <v>5960</v>
      </c>
      <c r="C1926" s="6" t="s">
        <v>5964</v>
      </c>
      <c r="D1926" s="6" t="s">
        <v>4952</v>
      </c>
      <c r="E1926" s="6"/>
      <c r="F1926" s="6" t="s">
        <v>1299</v>
      </c>
      <c r="G1926" s="6" t="s">
        <v>24</v>
      </c>
      <c r="H1926" s="6" t="str">
        <f>IFERROR(VLOOKUP(Table2[[#This Row],[Ticket]],Okey!A:B,2,0),"")</f>
        <v>ok</v>
      </c>
      <c r="I1926" s="6" t="s">
        <v>3679</v>
      </c>
      <c r="J1926" s="6" t="str">
        <f>VLOOKUP(Table2[[#This Row],[Author]],People!A:B,2,0)</f>
        <v>EL</v>
      </c>
      <c r="K1926" s="6" t="s">
        <v>5965</v>
      </c>
      <c r="L1926" s="6"/>
      <c r="M1926" s="21" t="s">
        <v>1040</v>
      </c>
    </row>
    <row r="1927" spans="1:13" x14ac:dyDescent="0.25">
      <c r="A1927" s="23">
        <f t="shared" si="30"/>
        <v>1926</v>
      </c>
      <c r="B1927" s="7" t="s">
        <v>5960</v>
      </c>
      <c r="C1927" s="7" t="s">
        <v>5964</v>
      </c>
      <c r="D1927" s="7" t="s">
        <v>4954</v>
      </c>
      <c r="E1927" s="7"/>
      <c r="F1927" s="7" t="s">
        <v>1299</v>
      </c>
      <c r="G1927" s="7" t="s">
        <v>24</v>
      </c>
      <c r="H1927" s="7" t="str">
        <f>IFERROR(VLOOKUP(Table2[[#This Row],[Ticket]],Okey!A:B,2,0),"")</f>
        <v>ok</v>
      </c>
      <c r="I1927" s="7" t="s">
        <v>3679</v>
      </c>
      <c r="J1927" s="7" t="str">
        <f>VLOOKUP(Table2[[#This Row],[Author]],People!A:B,2,0)</f>
        <v>EL</v>
      </c>
      <c r="K1927" s="7" t="s">
        <v>5965</v>
      </c>
      <c r="L1927" s="7"/>
      <c r="M1927" s="16" t="s">
        <v>1040</v>
      </c>
    </row>
    <row r="1928" spans="1:13" x14ac:dyDescent="0.25">
      <c r="A1928" s="22">
        <f t="shared" si="30"/>
        <v>1927</v>
      </c>
      <c r="B1928" s="6" t="s">
        <v>5960</v>
      </c>
      <c r="C1928" s="6" t="s">
        <v>5964</v>
      </c>
      <c r="D1928" s="6" t="s">
        <v>1432</v>
      </c>
      <c r="E1928" s="6"/>
      <c r="F1928" s="6" t="s">
        <v>1299</v>
      </c>
      <c r="G1928" s="6" t="s">
        <v>24</v>
      </c>
      <c r="H1928" s="6" t="str">
        <f>IFERROR(VLOOKUP(Table2[[#This Row],[Ticket]],Okey!A:B,2,0),"")</f>
        <v>ok</v>
      </c>
      <c r="I1928" s="6" t="s">
        <v>3679</v>
      </c>
      <c r="J1928" s="6" t="str">
        <f>VLOOKUP(Table2[[#This Row],[Author]],People!A:B,2,0)</f>
        <v>EL</v>
      </c>
      <c r="K1928" s="6" t="s">
        <v>5965</v>
      </c>
      <c r="L1928" s="6"/>
      <c r="M1928" s="21" t="s">
        <v>1040</v>
      </c>
    </row>
    <row r="1929" spans="1:13" x14ac:dyDescent="0.25">
      <c r="A1929" s="23">
        <f t="shared" si="30"/>
        <v>1928</v>
      </c>
      <c r="B1929" s="7" t="s">
        <v>5960</v>
      </c>
      <c r="C1929" s="7" t="s">
        <v>5964</v>
      </c>
      <c r="D1929" s="7" t="s">
        <v>4957</v>
      </c>
      <c r="E1929" s="7"/>
      <c r="F1929" s="7" t="s">
        <v>1299</v>
      </c>
      <c r="G1929" s="7" t="s">
        <v>24</v>
      </c>
      <c r="H1929" s="7" t="str">
        <f>IFERROR(VLOOKUP(Table2[[#This Row],[Ticket]],Okey!A:B,2,0),"")</f>
        <v>ok</v>
      </c>
      <c r="I1929" s="7" t="s">
        <v>3679</v>
      </c>
      <c r="J1929" s="7" t="str">
        <f>VLOOKUP(Table2[[#This Row],[Author]],People!A:B,2,0)</f>
        <v>EL</v>
      </c>
      <c r="K1929" s="7" t="s">
        <v>5965</v>
      </c>
      <c r="L1929" s="7"/>
      <c r="M1929" s="16" t="s">
        <v>1040</v>
      </c>
    </row>
    <row r="1930" spans="1:13" x14ac:dyDescent="0.25">
      <c r="A1930" s="22">
        <f t="shared" si="30"/>
        <v>1929</v>
      </c>
      <c r="B1930" s="6" t="s">
        <v>5960</v>
      </c>
      <c r="C1930" s="6" t="s">
        <v>5964</v>
      </c>
      <c r="D1930" s="6" t="s">
        <v>4959</v>
      </c>
      <c r="E1930" s="6"/>
      <c r="F1930" s="6" t="s">
        <v>1299</v>
      </c>
      <c r="G1930" s="6" t="s">
        <v>24</v>
      </c>
      <c r="H1930" s="6" t="str">
        <f>IFERROR(VLOOKUP(Table2[[#This Row],[Ticket]],Okey!A:B,2,0),"")</f>
        <v>ok</v>
      </c>
      <c r="I1930" s="6" t="s">
        <v>3679</v>
      </c>
      <c r="J1930" s="6" t="str">
        <f>VLOOKUP(Table2[[#This Row],[Author]],People!A:B,2,0)</f>
        <v>EL</v>
      </c>
      <c r="K1930" s="6" t="s">
        <v>5965</v>
      </c>
      <c r="L1930" s="6"/>
      <c r="M1930" s="21" t="s">
        <v>1040</v>
      </c>
    </row>
    <row r="1931" spans="1:13" x14ac:dyDescent="0.25">
      <c r="A1931" s="23">
        <f t="shared" si="30"/>
        <v>1930</v>
      </c>
      <c r="B1931" s="7" t="s">
        <v>5960</v>
      </c>
      <c r="C1931" s="7" t="s">
        <v>5964</v>
      </c>
      <c r="D1931" s="7" t="s">
        <v>4961</v>
      </c>
      <c r="E1931" s="7"/>
      <c r="F1931" s="7" t="s">
        <v>1299</v>
      </c>
      <c r="G1931" s="7" t="s">
        <v>24</v>
      </c>
      <c r="H1931" s="7" t="str">
        <f>IFERROR(VLOOKUP(Table2[[#This Row],[Ticket]],Okey!A:B,2,0),"")</f>
        <v>ok</v>
      </c>
      <c r="I1931" s="7" t="s">
        <v>3679</v>
      </c>
      <c r="J1931" s="7" t="str">
        <f>VLOOKUP(Table2[[#This Row],[Author]],People!A:B,2,0)</f>
        <v>EL</v>
      </c>
      <c r="K1931" s="7" t="s">
        <v>5965</v>
      </c>
      <c r="L1931" s="7"/>
      <c r="M1931" s="16" t="s">
        <v>1040</v>
      </c>
    </row>
    <row r="1932" spans="1:13" x14ac:dyDescent="0.25">
      <c r="A1932" s="22">
        <f t="shared" si="30"/>
        <v>1931</v>
      </c>
      <c r="B1932" s="6" t="s">
        <v>5960</v>
      </c>
      <c r="C1932" s="6" t="s">
        <v>5964</v>
      </c>
      <c r="D1932" s="6" t="s">
        <v>4963</v>
      </c>
      <c r="E1932" s="6"/>
      <c r="F1932" s="6" t="s">
        <v>1302</v>
      </c>
      <c r="G1932" s="6" t="s">
        <v>24</v>
      </c>
      <c r="H1932" s="6" t="str">
        <f>IFERROR(VLOOKUP(Table2[[#This Row],[Ticket]],Okey!A:B,2,0),"")</f>
        <v>ok</v>
      </c>
      <c r="I1932" s="6" t="s">
        <v>3679</v>
      </c>
      <c r="J1932" s="6" t="str">
        <f>VLOOKUP(Table2[[#This Row],[Author]],People!A:B,2,0)</f>
        <v>EL</v>
      </c>
      <c r="K1932" s="6" t="s">
        <v>5965</v>
      </c>
      <c r="L1932" s="6"/>
      <c r="M1932" s="21" t="s">
        <v>1040</v>
      </c>
    </row>
    <row r="1933" spans="1:13" x14ac:dyDescent="0.25">
      <c r="A1933" s="23">
        <f t="shared" si="30"/>
        <v>1932</v>
      </c>
      <c r="B1933" s="7" t="s">
        <v>5960</v>
      </c>
      <c r="C1933" s="7" t="s">
        <v>5964</v>
      </c>
      <c r="D1933" s="7" t="s">
        <v>4965</v>
      </c>
      <c r="E1933" s="7"/>
      <c r="F1933" s="7" t="s">
        <v>4946</v>
      </c>
      <c r="G1933" s="7" t="s">
        <v>24</v>
      </c>
      <c r="H1933" s="7" t="str">
        <f>IFERROR(VLOOKUP(Table2[[#This Row],[Ticket]],Okey!A:B,2,0),"")</f>
        <v>ok</v>
      </c>
      <c r="I1933" s="7" t="s">
        <v>3679</v>
      </c>
      <c r="J1933" s="7" t="str">
        <f>VLOOKUP(Table2[[#This Row],[Author]],People!A:B,2,0)</f>
        <v>EL</v>
      </c>
      <c r="K1933" s="7" t="s">
        <v>5965</v>
      </c>
      <c r="L1933" s="7"/>
      <c r="M1933" s="16" t="s">
        <v>1040</v>
      </c>
    </row>
    <row r="1934" spans="1:13" x14ac:dyDescent="0.25">
      <c r="A1934" s="22">
        <f t="shared" si="30"/>
        <v>1933</v>
      </c>
      <c r="B1934" s="6" t="s">
        <v>5960</v>
      </c>
      <c r="C1934" s="6" t="s">
        <v>5964</v>
      </c>
      <c r="D1934" s="6" t="s">
        <v>4967</v>
      </c>
      <c r="E1934" s="6"/>
      <c r="F1934" s="6" t="s">
        <v>4946</v>
      </c>
      <c r="G1934" s="6" t="s">
        <v>24</v>
      </c>
      <c r="H1934" s="6" t="str">
        <f>IFERROR(VLOOKUP(Table2[[#This Row],[Ticket]],Okey!A:B,2,0),"")</f>
        <v>ok</v>
      </c>
      <c r="I1934" s="6" t="s">
        <v>3679</v>
      </c>
      <c r="J1934" s="6" t="str">
        <f>VLOOKUP(Table2[[#This Row],[Author]],People!A:B,2,0)</f>
        <v>EL</v>
      </c>
      <c r="K1934" s="6" t="s">
        <v>5965</v>
      </c>
      <c r="L1934" s="6"/>
      <c r="M1934" s="21" t="s">
        <v>1040</v>
      </c>
    </row>
    <row r="1935" spans="1:13" x14ac:dyDescent="0.25">
      <c r="A1935" s="23">
        <f t="shared" si="30"/>
        <v>1934</v>
      </c>
      <c r="B1935" s="7" t="s">
        <v>5960</v>
      </c>
      <c r="C1935" s="7" t="s">
        <v>5964</v>
      </c>
      <c r="D1935" s="7" t="s">
        <v>4971</v>
      </c>
      <c r="E1935" s="7"/>
      <c r="F1935" s="7" t="s">
        <v>4963</v>
      </c>
      <c r="G1935" s="7" t="s">
        <v>24</v>
      </c>
      <c r="H1935" s="7" t="str">
        <f>IFERROR(VLOOKUP(Table2[[#This Row],[Ticket]],Okey!A:B,2,0),"")</f>
        <v>ok</v>
      </c>
      <c r="I1935" s="7" t="s">
        <v>3679</v>
      </c>
      <c r="J1935" s="7" t="str">
        <f>VLOOKUP(Table2[[#This Row],[Author]],People!A:B,2,0)</f>
        <v>EL</v>
      </c>
      <c r="K1935" s="7" t="s">
        <v>5965</v>
      </c>
      <c r="L1935" s="7"/>
      <c r="M1935" s="16" t="s">
        <v>1040</v>
      </c>
    </row>
    <row r="1936" spans="1:13" x14ac:dyDescent="0.25">
      <c r="A1936" s="22">
        <f t="shared" si="30"/>
        <v>1935</v>
      </c>
      <c r="B1936" s="6" t="s">
        <v>5960</v>
      </c>
      <c r="C1936" s="6" t="s">
        <v>5964</v>
      </c>
      <c r="D1936" s="6" t="s">
        <v>4973</v>
      </c>
      <c r="E1936" s="6"/>
      <c r="F1936" s="6" t="s">
        <v>4963</v>
      </c>
      <c r="G1936" s="6" t="s">
        <v>24</v>
      </c>
      <c r="H1936" s="6" t="str">
        <f>IFERROR(VLOOKUP(Table2[[#This Row],[Ticket]],Okey!A:B,2,0),"")</f>
        <v>ok</v>
      </c>
      <c r="I1936" s="6" t="s">
        <v>3679</v>
      </c>
      <c r="J1936" s="6" t="str">
        <f>VLOOKUP(Table2[[#This Row],[Author]],People!A:B,2,0)</f>
        <v>EL</v>
      </c>
      <c r="K1936" s="6" t="s">
        <v>5965</v>
      </c>
      <c r="L1936" s="6"/>
      <c r="M1936" s="21" t="s">
        <v>1040</v>
      </c>
    </row>
    <row r="1937" spans="1:13" x14ac:dyDescent="0.25">
      <c r="A1937" s="23">
        <f t="shared" si="30"/>
        <v>1936</v>
      </c>
      <c r="B1937" s="7" t="s">
        <v>5960</v>
      </c>
      <c r="C1937" s="7" t="s">
        <v>5964</v>
      </c>
      <c r="D1937" s="7" t="s">
        <v>6010</v>
      </c>
      <c r="E1937" s="7"/>
      <c r="F1937" s="7" t="s">
        <v>1326</v>
      </c>
      <c r="G1937" s="7" t="s">
        <v>24</v>
      </c>
      <c r="H1937" s="7" t="str">
        <f>IFERROR(VLOOKUP(Table2[[#This Row],[Ticket]],Okey!A:B,2,0),"")</f>
        <v>ok</v>
      </c>
      <c r="I1937" s="7" t="s">
        <v>3679</v>
      </c>
      <c r="J1937" s="7" t="str">
        <f>VLOOKUP(Table2[[#This Row],[Author]],People!A:B,2,0)</f>
        <v>EL</v>
      </c>
      <c r="K1937" s="7" t="s">
        <v>5965</v>
      </c>
      <c r="L1937" s="7"/>
      <c r="M1937" s="16" t="s">
        <v>1040</v>
      </c>
    </row>
    <row r="1938" spans="1:13" x14ac:dyDescent="0.25">
      <c r="A1938" s="22">
        <f t="shared" si="30"/>
        <v>1937</v>
      </c>
      <c r="B1938" s="6" t="s">
        <v>5960</v>
      </c>
      <c r="C1938" s="6" t="s">
        <v>5964</v>
      </c>
      <c r="D1938" s="6" t="s">
        <v>2318</v>
      </c>
      <c r="E1938" s="6"/>
      <c r="F1938" s="6" t="s">
        <v>6119</v>
      </c>
      <c r="G1938" s="6" t="s">
        <v>24</v>
      </c>
      <c r="H1938" s="6" t="str">
        <f>IFERROR(VLOOKUP(Table2[[#This Row],[Ticket]],Okey!A:B,2,0),"")</f>
        <v>ok</v>
      </c>
      <c r="I1938" s="6" t="s">
        <v>3679</v>
      </c>
      <c r="J1938" s="6" t="str">
        <f>VLOOKUP(Table2[[#This Row],[Author]],People!A:B,2,0)</f>
        <v>EL</v>
      </c>
      <c r="K1938" s="6" t="s">
        <v>6120</v>
      </c>
      <c r="L1938" s="6"/>
      <c r="M1938" s="21" t="s">
        <v>1040</v>
      </c>
    </row>
    <row r="1939" spans="1:13" x14ac:dyDescent="0.25">
      <c r="A1939" s="23">
        <f t="shared" si="30"/>
        <v>1938</v>
      </c>
      <c r="B1939" s="7" t="s">
        <v>5960</v>
      </c>
      <c r="C1939" s="7" t="s">
        <v>5964</v>
      </c>
      <c r="D1939" s="7" t="s">
        <v>2320</v>
      </c>
      <c r="E1939" s="7"/>
      <c r="F1939" s="7" t="s">
        <v>6119</v>
      </c>
      <c r="G1939" s="7" t="s">
        <v>24</v>
      </c>
      <c r="H1939" s="7" t="str">
        <f>IFERROR(VLOOKUP(Table2[[#This Row],[Ticket]],Okey!A:B,2,0),"")</f>
        <v>ok</v>
      </c>
      <c r="I1939" s="7" t="s">
        <v>3679</v>
      </c>
      <c r="J1939" s="7" t="str">
        <f>VLOOKUP(Table2[[#This Row],[Author]],People!A:B,2,0)</f>
        <v>EL</v>
      </c>
      <c r="K1939" s="7" t="s">
        <v>6120</v>
      </c>
      <c r="L1939" s="7"/>
      <c r="M1939" s="16" t="s">
        <v>1040</v>
      </c>
    </row>
    <row r="1940" spans="1:13" x14ac:dyDescent="0.25">
      <c r="A1940" s="22">
        <f t="shared" si="30"/>
        <v>1939</v>
      </c>
      <c r="B1940" s="6" t="s">
        <v>5960</v>
      </c>
      <c r="C1940" s="6" t="s">
        <v>5964</v>
      </c>
      <c r="D1940" s="6" t="s">
        <v>2321</v>
      </c>
      <c r="E1940" s="6"/>
      <c r="F1940" s="6" t="s">
        <v>6119</v>
      </c>
      <c r="G1940" s="6" t="s">
        <v>24</v>
      </c>
      <c r="H1940" s="6" t="str">
        <f>IFERROR(VLOOKUP(Table2[[#This Row],[Ticket]],Okey!A:B,2,0),"")</f>
        <v>ok</v>
      </c>
      <c r="I1940" s="6" t="s">
        <v>3679</v>
      </c>
      <c r="J1940" s="6" t="str">
        <f>VLOOKUP(Table2[[#This Row],[Author]],People!A:B,2,0)</f>
        <v>EL</v>
      </c>
      <c r="K1940" s="6" t="s">
        <v>6120</v>
      </c>
      <c r="L1940" s="6"/>
      <c r="M1940" s="21" t="s">
        <v>1040</v>
      </c>
    </row>
    <row r="1941" spans="1:13" x14ac:dyDescent="0.25">
      <c r="A1941" s="23">
        <f t="shared" si="30"/>
        <v>1940</v>
      </c>
      <c r="B1941" s="7" t="s">
        <v>5960</v>
      </c>
      <c r="C1941" s="7" t="s">
        <v>5964</v>
      </c>
      <c r="D1941" s="7" t="s">
        <v>6121</v>
      </c>
      <c r="E1941" s="7"/>
      <c r="F1941" s="7" t="s">
        <v>6122</v>
      </c>
      <c r="G1941" s="7" t="s">
        <v>24</v>
      </c>
      <c r="H1941" s="7" t="str">
        <f>IFERROR(VLOOKUP(Table2[[#This Row],[Ticket]],Okey!A:B,2,0),"")</f>
        <v>ok</v>
      </c>
      <c r="I1941" s="7" t="s">
        <v>3679</v>
      </c>
      <c r="J1941" s="7" t="str">
        <f>VLOOKUP(Table2[[#This Row],[Author]],People!A:B,2,0)</f>
        <v>EL</v>
      </c>
      <c r="K1941" s="7" t="s">
        <v>5965</v>
      </c>
      <c r="L1941" s="7"/>
      <c r="M1941" s="16" t="s">
        <v>1040</v>
      </c>
    </row>
    <row r="1942" spans="1:13" x14ac:dyDescent="0.25">
      <c r="A1942" s="22">
        <f t="shared" si="30"/>
        <v>1941</v>
      </c>
      <c r="B1942" s="6" t="s">
        <v>5960</v>
      </c>
      <c r="C1942" s="6" t="s">
        <v>5964</v>
      </c>
      <c r="D1942" s="6" t="s">
        <v>6019</v>
      </c>
      <c r="E1942" s="6"/>
      <c r="F1942" s="6" t="s">
        <v>4544</v>
      </c>
      <c r="G1942" s="6" t="s">
        <v>24</v>
      </c>
      <c r="H1942" s="6" t="str">
        <f>IFERROR(VLOOKUP(Table2[[#This Row],[Ticket]],Okey!A:B,2,0),"")</f>
        <v>ok</v>
      </c>
      <c r="I1942" s="6" t="s">
        <v>3679</v>
      </c>
      <c r="J1942" s="6" t="str">
        <f>VLOOKUP(Table2[[#This Row],[Author]],People!A:B,2,0)</f>
        <v>EL</v>
      </c>
      <c r="K1942" s="6" t="s">
        <v>5965</v>
      </c>
      <c r="L1942" s="6"/>
      <c r="M1942" s="21" t="s">
        <v>1040</v>
      </c>
    </row>
    <row r="1943" spans="1:13" x14ac:dyDescent="0.25">
      <c r="A1943" s="23">
        <f t="shared" si="30"/>
        <v>1942</v>
      </c>
      <c r="B1943" s="7" t="s">
        <v>5960</v>
      </c>
      <c r="C1943" s="7" t="s">
        <v>6123</v>
      </c>
      <c r="D1943" s="7" t="s">
        <v>6124</v>
      </c>
      <c r="E1943" s="7"/>
      <c r="F1943" s="7" t="s">
        <v>6125</v>
      </c>
      <c r="G1943" s="7" t="s">
        <v>24</v>
      </c>
      <c r="H1943" s="7" t="str">
        <f>IFERROR(VLOOKUP(Table2[[#This Row],[Ticket]],Okey!A:B,2,0),"")</f>
        <v>ok</v>
      </c>
      <c r="I1943" s="7" t="s">
        <v>3679</v>
      </c>
      <c r="J1943" s="7" t="str">
        <f>VLOOKUP(Table2[[#This Row],[Author]],People!A:B,2,0)</f>
        <v>EL</v>
      </c>
      <c r="K1943" s="7" t="s">
        <v>5965</v>
      </c>
      <c r="L1943" s="7"/>
      <c r="M1943" s="16" t="s">
        <v>1040</v>
      </c>
    </row>
    <row r="1944" spans="1:13" x14ac:dyDescent="0.25">
      <c r="A1944" s="22">
        <f t="shared" si="30"/>
        <v>1943</v>
      </c>
      <c r="B1944" s="6" t="s">
        <v>5960</v>
      </c>
      <c r="C1944" s="6" t="s">
        <v>6123</v>
      </c>
      <c r="D1944" s="6" t="s">
        <v>6126</v>
      </c>
      <c r="E1944" s="6"/>
      <c r="F1944" s="6" t="s">
        <v>6125</v>
      </c>
      <c r="G1944" s="6" t="s">
        <v>24</v>
      </c>
      <c r="H1944" s="6" t="str">
        <f>IFERROR(VLOOKUP(Table2[[#This Row],[Ticket]],Okey!A:B,2,0),"")</f>
        <v>ok</v>
      </c>
      <c r="I1944" s="6" t="s">
        <v>3679</v>
      </c>
      <c r="J1944" s="6" t="str">
        <f>VLOOKUP(Table2[[#This Row],[Author]],People!A:B,2,0)</f>
        <v>EL</v>
      </c>
      <c r="K1944" s="6" t="s">
        <v>5965</v>
      </c>
      <c r="L1944" s="6"/>
      <c r="M1944" s="21" t="s">
        <v>1040</v>
      </c>
    </row>
    <row r="1945" spans="1:13" x14ac:dyDescent="0.25">
      <c r="A1945" s="23">
        <f t="shared" si="30"/>
        <v>1944</v>
      </c>
      <c r="B1945" s="7" t="s">
        <v>5960</v>
      </c>
      <c r="C1945" s="7" t="s">
        <v>6123</v>
      </c>
      <c r="D1945" s="7" t="s">
        <v>6127</v>
      </c>
      <c r="E1945" s="7"/>
      <c r="F1945" s="7" t="s">
        <v>6125</v>
      </c>
      <c r="G1945" s="7" t="s">
        <v>24</v>
      </c>
      <c r="H1945" s="7" t="str">
        <f>IFERROR(VLOOKUP(Table2[[#This Row],[Ticket]],Okey!A:B,2,0),"")</f>
        <v>ok</v>
      </c>
      <c r="I1945" s="7" t="s">
        <v>3679</v>
      </c>
      <c r="J1945" s="7" t="str">
        <f>VLOOKUP(Table2[[#This Row],[Author]],People!A:B,2,0)</f>
        <v>EL</v>
      </c>
      <c r="K1945" s="7" t="s">
        <v>5965</v>
      </c>
      <c r="L1945" s="7"/>
      <c r="M1945" s="16" t="s">
        <v>1040</v>
      </c>
    </row>
    <row r="1946" spans="1:13" x14ac:dyDescent="0.25">
      <c r="A1946" s="22">
        <f t="shared" si="30"/>
        <v>1945</v>
      </c>
      <c r="B1946" s="6" t="s">
        <v>5960</v>
      </c>
      <c r="C1946" s="6" t="s">
        <v>6123</v>
      </c>
      <c r="D1946" s="6" t="s">
        <v>6128</v>
      </c>
      <c r="E1946" s="6"/>
      <c r="F1946" s="6" t="s">
        <v>6125</v>
      </c>
      <c r="G1946" s="6" t="s">
        <v>24</v>
      </c>
      <c r="H1946" s="6" t="str">
        <f>IFERROR(VLOOKUP(Table2[[#This Row],[Ticket]],Okey!A:B,2,0),"")</f>
        <v>ok</v>
      </c>
      <c r="I1946" s="6" t="s">
        <v>3679</v>
      </c>
      <c r="J1946" s="6" t="str">
        <f>VLOOKUP(Table2[[#This Row],[Author]],People!A:B,2,0)</f>
        <v>EL</v>
      </c>
      <c r="K1946" s="6" t="s">
        <v>5965</v>
      </c>
      <c r="L1946" s="6"/>
      <c r="M1946" s="21" t="s">
        <v>1040</v>
      </c>
    </row>
    <row r="1947" spans="1:13" x14ac:dyDescent="0.25">
      <c r="A1947" s="23">
        <f t="shared" si="30"/>
        <v>1946</v>
      </c>
      <c r="B1947" s="7" t="s">
        <v>5960</v>
      </c>
      <c r="C1947" s="7" t="s">
        <v>6123</v>
      </c>
      <c r="D1947" s="7" t="s">
        <v>6129</v>
      </c>
      <c r="E1947" s="7"/>
      <c r="F1947" s="7" t="s">
        <v>6130</v>
      </c>
      <c r="G1947" s="7" t="s">
        <v>24</v>
      </c>
      <c r="H1947" s="7" t="str">
        <f>IFERROR(VLOOKUP(Table2[[#This Row],[Ticket]],Okey!A:B,2,0),"")</f>
        <v>ok</v>
      </c>
      <c r="I1947" s="7" t="s">
        <v>3679</v>
      </c>
      <c r="J1947" s="7" t="str">
        <f>VLOOKUP(Table2[[#This Row],[Author]],People!A:B,2,0)</f>
        <v>EL</v>
      </c>
      <c r="K1947" s="7" t="s">
        <v>5965</v>
      </c>
      <c r="L1947" s="7"/>
      <c r="M1947" s="16" t="s">
        <v>1040</v>
      </c>
    </row>
    <row r="1948" spans="1:13" x14ac:dyDescent="0.25">
      <c r="A1948" s="22">
        <f t="shared" si="30"/>
        <v>1947</v>
      </c>
      <c r="B1948" s="6" t="s">
        <v>5960</v>
      </c>
      <c r="C1948" s="6" t="s">
        <v>6123</v>
      </c>
      <c r="D1948" s="6" t="s">
        <v>6131</v>
      </c>
      <c r="E1948" s="6"/>
      <c r="F1948" s="6" t="s">
        <v>6132</v>
      </c>
      <c r="G1948" s="6" t="s">
        <v>24</v>
      </c>
      <c r="H1948" s="6" t="str">
        <f>IFERROR(VLOOKUP(Table2[[#This Row],[Ticket]],Okey!A:B,2,0),"")</f>
        <v>ok</v>
      </c>
      <c r="I1948" s="6" t="s">
        <v>3679</v>
      </c>
      <c r="J1948" s="6" t="str">
        <f>VLOOKUP(Table2[[#This Row],[Author]],People!A:B,2,0)</f>
        <v>EL</v>
      </c>
      <c r="K1948" s="6" t="s">
        <v>5965</v>
      </c>
      <c r="L1948" s="6"/>
      <c r="M1948" s="21" t="s">
        <v>1040</v>
      </c>
    </row>
    <row r="1949" spans="1:13" x14ac:dyDescent="0.25">
      <c r="A1949" s="23">
        <f t="shared" si="30"/>
        <v>1948</v>
      </c>
      <c r="B1949" s="7" t="s">
        <v>5960</v>
      </c>
      <c r="C1949" s="7" t="s">
        <v>6123</v>
      </c>
      <c r="D1949" s="7" t="s">
        <v>6133</v>
      </c>
      <c r="E1949" s="7"/>
      <c r="F1949" s="7" t="s">
        <v>6134</v>
      </c>
      <c r="G1949" s="7" t="s">
        <v>24</v>
      </c>
      <c r="H1949" s="7" t="str">
        <f>IFERROR(VLOOKUP(Table2[[#This Row],[Ticket]],Okey!A:B,2,0),"")</f>
        <v>ok</v>
      </c>
      <c r="I1949" s="7" t="s">
        <v>3679</v>
      </c>
      <c r="J1949" s="7" t="str">
        <f>VLOOKUP(Table2[[#This Row],[Author]],People!A:B,2,0)</f>
        <v>EL</v>
      </c>
      <c r="K1949" s="7" t="s">
        <v>5965</v>
      </c>
      <c r="L1949" s="7"/>
      <c r="M1949" s="16" t="s">
        <v>1040</v>
      </c>
    </row>
    <row r="1950" spans="1:13" x14ac:dyDescent="0.25">
      <c r="A1950" s="22">
        <f t="shared" si="30"/>
        <v>1949</v>
      </c>
      <c r="B1950" s="6" t="s">
        <v>5960</v>
      </c>
      <c r="C1950" s="6" t="s">
        <v>6123</v>
      </c>
      <c r="D1950" s="6" t="s">
        <v>6135</v>
      </c>
      <c r="E1950" s="6"/>
      <c r="F1950" s="6" t="s">
        <v>2482</v>
      </c>
      <c r="G1950" s="6" t="s">
        <v>24</v>
      </c>
      <c r="H1950" s="6" t="str">
        <f>IFERROR(VLOOKUP(Table2[[#This Row],[Ticket]],Okey!A:B,2,0),"")</f>
        <v>ok</v>
      </c>
      <c r="I1950" s="6" t="s">
        <v>3679</v>
      </c>
      <c r="J1950" s="6" t="str">
        <f>VLOOKUP(Table2[[#This Row],[Author]],People!A:B,2,0)</f>
        <v>EL</v>
      </c>
      <c r="K1950" s="6" t="s">
        <v>5965</v>
      </c>
      <c r="L1950" s="6"/>
      <c r="M1950" s="21" t="s">
        <v>1040</v>
      </c>
    </row>
    <row r="1951" spans="1:13" x14ac:dyDescent="0.25">
      <c r="A1951" s="23">
        <f t="shared" si="30"/>
        <v>1950</v>
      </c>
      <c r="B1951" s="7" t="s">
        <v>5960</v>
      </c>
      <c r="C1951" s="7" t="s">
        <v>6123</v>
      </c>
      <c r="D1951" s="7" t="s">
        <v>2484</v>
      </c>
      <c r="E1951" s="7"/>
      <c r="F1951" s="7" t="s">
        <v>6134</v>
      </c>
      <c r="G1951" s="7" t="s">
        <v>24</v>
      </c>
      <c r="H1951" s="7" t="str">
        <f>IFERROR(VLOOKUP(Table2[[#This Row],[Ticket]],Okey!A:B,2,0),"")</f>
        <v>ok</v>
      </c>
      <c r="I1951" s="7" t="s">
        <v>3679</v>
      </c>
      <c r="J1951" s="7" t="str">
        <f>VLOOKUP(Table2[[#This Row],[Author]],People!A:B,2,0)</f>
        <v>EL</v>
      </c>
      <c r="K1951" s="7" t="s">
        <v>5965</v>
      </c>
      <c r="L1951" s="7"/>
      <c r="M1951" s="16" t="s">
        <v>1040</v>
      </c>
    </row>
    <row r="1952" spans="1:13" x14ac:dyDescent="0.25">
      <c r="A1952" s="22">
        <f t="shared" si="30"/>
        <v>1951</v>
      </c>
      <c r="B1952" s="6" t="s">
        <v>5960</v>
      </c>
      <c r="C1952" s="6" t="s">
        <v>6123</v>
      </c>
      <c r="D1952" s="6" t="s">
        <v>6136</v>
      </c>
      <c r="E1952" s="6"/>
      <c r="F1952" s="6" t="s">
        <v>6137</v>
      </c>
      <c r="G1952" s="6" t="s">
        <v>24</v>
      </c>
      <c r="H1952" s="6" t="str">
        <f>IFERROR(VLOOKUP(Table2[[#This Row],[Ticket]],Okey!A:B,2,0),"")</f>
        <v>ok</v>
      </c>
      <c r="I1952" s="6" t="s">
        <v>3679</v>
      </c>
      <c r="J1952" s="6" t="str">
        <f>VLOOKUP(Table2[[#This Row],[Author]],People!A:B,2,0)</f>
        <v>EL</v>
      </c>
      <c r="K1952" s="6" t="s">
        <v>5965</v>
      </c>
      <c r="L1952" s="6"/>
      <c r="M1952" s="21" t="s">
        <v>1040</v>
      </c>
    </row>
    <row r="1953" spans="1:13" x14ac:dyDescent="0.25">
      <c r="A1953" s="23">
        <f t="shared" si="30"/>
        <v>1952</v>
      </c>
      <c r="B1953" s="7" t="s">
        <v>5960</v>
      </c>
      <c r="C1953" s="7" t="s">
        <v>6123</v>
      </c>
      <c r="D1953" s="7" t="s">
        <v>6138</v>
      </c>
      <c r="E1953" s="7"/>
      <c r="F1953" s="7" t="s">
        <v>6139</v>
      </c>
      <c r="G1953" s="7" t="s">
        <v>24</v>
      </c>
      <c r="H1953" s="7" t="str">
        <f>IFERROR(VLOOKUP(Table2[[#This Row],[Ticket]],Okey!A:B,2,0),"")</f>
        <v>ok</v>
      </c>
      <c r="I1953" s="7" t="s">
        <v>3679</v>
      </c>
      <c r="J1953" s="7" t="str">
        <f>VLOOKUP(Table2[[#This Row],[Author]],People!A:B,2,0)</f>
        <v>EL</v>
      </c>
      <c r="K1953" s="7" t="s">
        <v>5965</v>
      </c>
      <c r="L1953" s="7"/>
      <c r="M1953" s="16" t="s">
        <v>1040</v>
      </c>
    </row>
    <row r="1954" spans="1:13" x14ac:dyDescent="0.25">
      <c r="A1954" s="22">
        <f t="shared" si="30"/>
        <v>1953</v>
      </c>
      <c r="B1954" s="6" t="s">
        <v>5960</v>
      </c>
      <c r="C1954" s="6" t="s">
        <v>6123</v>
      </c>
      <c r="D1954" s="6" t="s">
        <v>6140</v>
      </c>
      <c r="E1954" s="6"/>
      <c r="F1954" s="6" t="s">
        <v>6141</v>
      </c>
      <c r="G1954" s="6" t="s">
        <v>24</v>
      </c>
      <c r="H1954" s="6" t="str">
        <f>IFERROR(VLOOKUP(Table2[[#This Row],[Ticket]],Okey!A:B,2,0),"")</f>
        <v>ok</v>
      </c>
      <c r="I1954" s="6" t="s">
        <v>3679</v>
      </c>
      <c r="J1954" s="6" t="str">
        <f>VLOOKUP(Table2[[#This Row],[Author]],People!A:B,2,0)</f>
        <v>EL</v>
      </c>
      <c r="K1954" s="6" t="s">
        <v>5965</v>
      </c>
      <c r="L1954" s="6"/>
      <c r="M1954" s="21" t="s">
        <v>1040</v>
      </c>
    </row>
    <row r="1955" spans="1:13" x14ac:dyDescent="0.25">
      <c r="A1955" s="23">
        <f t="shared" si="30"/>
        <v>1954</v>
      </c>
      <c r="B1955" s="7" t="s">
        <v>5960</v>
      </c>
      <c r="C1955" s="7" t="s">
        <v>6123</v>
      </c>
      <c r="D1955" s="7" t="s">
        <v>6142</v>
      </c>
      <c r="E1955" s="7"/>
      <c r="F1955" s="7" t="s">
        <v>6143</v>
      </c>
      <c r="G1955" s="7" t="s">
        <v>24</v>
      </c>
      <c r="H1955" s="7" t="str">
        <f>IFERROR(VLOOKUP(Table2[[#This Row],[Ticket]],Okey!A:B,2,0),"")</f>
        <v>ok</v>
      </c>
      <c r="I1955" s="7" t="s">
        <v>3679</v>
      </c>
      <c r="J1955" s="7" t="str">
        <f>VLOOKUP(Table2[[#This Row],[Author]],People!A:B,2,0)</f>
        <v>EL</v>
      </c>
      <c r="K1955" s="7" t="s">
        <v>5965</v>
      </c>
      <c r="L1955" s="7"/>
      <c r="M1955" s="16" t="s">
        <v>1040</v>
      </c>
    </row>
    <row r="1956" spans="1:13" x14ac:dyDescent="0.25">
      <c r="A1956" s="22">
        <f t="shared" si="30"/>
        <v>1955</v>
      </c>
      <c r="B1956" s="6" t="s">
        <v>5960</v>
      </c>
      <c r="C1956" s="6" t="s">
        <v>6123</v>
      </c>
      <c r="D1956" s="6" t="s">
        <v>6144</v>
      </c>
      <c r="E1956" s="6"/>
      <c r="F1956" s="6" t="s">
        <v>6145</v>
      </c>
      <c r="G1956" s="6" t="s">
        <v>24</v>
      </c>
      <c r="H1956" s="6" t="str">
        <f>IFERROR(VLOOKUP(Table2[[#This Row],[Ticket]],Okey!A:B,2,0),"")</f>
        <v>ok</v>
      </c>
      <c r="I1956" s="6" t="s">
        <v>3679</v>
      </c>
      <c r="J1956" s="6" t="str">
        <f>VLOOKUP(Table2[[#This Row],[Author]],People!A:B,2,0)</f>
        <v>EL</v>
      </c>
      <c r="K1956" s="6" t="s">
        <v>5965</v>
      </c>
      <c r="L1956" s="6"/>
      <c r="M1956" s="21" t="s">
        <v>1040</v>
      </c>
    </row>
    <row r="1957" spans="1:13" x14ac:dyDescent="0.25">
      <c r="A1957" s="23">
        <f t="shared" si="30"/>
        <v>1956</v>
      </c>
      <c r="B1957" s="7" t="s">
        <v>5960</v>
      </c>
      <c r="C1957" s="7" t="s">
        <v>6123</v>
      </c>
      <c r="D1957" s="7" t="s">
        <v>6146</v>
      </c>
      <c r="E1957" s="7"/>
      <c r="F1957" s="7" t="s">
        <v>6145</v>
      </c>
      <c r="G1957" s="7" t="s">
        <v>24</v>
      </c>
      <c r="H1957" s="7" t="str">
        <f>IFERROR(VLOOKUP(Table2[[#This Row],[Ticket]],Okey!A:B,2,0),"")</f>
        <v>ok</v>
      </c>
      <c r="I1957" s="7" t="s">
        <v>3679</v>
      </c>
      <c r="J1957" s="7" t="str">
        <f>VLOOKUP(Table2[[#This Row],[Author]],People!A:B,2,0)</f>
        <v>EL</v>
      </c>
      <c r="K1957" s="7" t="s">
        <v>5965</v>
      </c>
      <c r="L1957" s="7"/>
      <c r="M1957" s="16" t="s">
        <v>1040</v>
      </c>
    </row>
    <row r="1958" spans="1:13" x14ac:dyDescent="0.25">
      <c r="A1958" s="22">
        <f t="shared" si="30"/>
        <v>1957</v>
      </c>
      <c r="B1958" s="6" t="s">
        <v>5960</v>
      </c>
      <c r="C1958" s="6" t="s">
        <v>6123</v>
      </c>
      <c r="D1958" s="6" t="s">
        <v>6147</v>
      </c>
      <c r="E1958" s="6"/>
      <c r="F1958" s="6" t="s">
        <v>6148</v>
      </c>
      <c r="G1958" s="6" t="s">
        <v>24</v>
      </c>
      <c r="H1958" s="6" t="str">
        <f>IFERROR(VLOOKUP(Table2[[#This Row],[Ticket]],Okey!A:B,2,0),"")</f>
        <v>ok</v>
      </c>
      <c r="I1958" s="6" t="s">
        <v>3679</v>
      </c>
      <c r="J1958" s="6" t="str">
        <f>VLOOKUP(Table2[[#This Row],[Author]],People!A:B,2,0)</f>
        <v>EL</v>
      </c>
      <c r="K1958" s="6" t="s">
        <v>5965</v>
      </c>
      <c r="L1958" s="6"/>
      <c r="M1958" s="21" t="s">
        <v>1040</v>
      </c>
    </row>
    <row r="1959" spans="1:13" x14ac:dyDescent="0.25">
      <c r="A1959" s="23">
        <f t="shared" si="30"/>
        <v>1958</v>
      </c>
      <c r="B1959" s="7" t="s">
        <v>5960</v>
      </c>
      <c r="C1959" s="7" t="s">
        <v>6123</v>
      </c>
      <c r="D1959" s="7" t="s">
        <v>6149</v>
      </c>
      <c r="E1959" s="7"/>
      <c r="F1959" s="7" t="s">
        <v>6150</v>
      </c>
      <c r="G1959" s="7" t="s">
        <v>24</v>
      </c>
      <c r="H1959" s="7" t="str">
        <f>IFERROR(VLOOKUP(Table2[[#This Row],[Ticket]],Okey!A:B,2,0),"")</f>
        <v>ok</v>
      </c>
      <c r="I1959" s="7" t="s">
        <v>3679</v>
      </c>
      <c r="J1959" s="7" t="str">
        <f>VLOOKUP(Table2[[#This Row],[Author]],People!A:B,2,0)</f>
        <v>EL</v>
      </c>
      <c r="K1959" s="7" t="s">
        <v>5965</v>
      </c>
      <c r="L1959" s="7"/>
      <c r="M1959" s="16" t="s">
        <v>1040</v>
      </c>
    </row>
    <row r="1960" spans="1:13" x14ac:dyDescent="0.25">
      <c r="A1960" s="22">
        <f t="shared" si="30"/>
        <v>1959</v>
      </c>
      <c r="B1960" s="6" t="s">
        <v>5960</v>
      </c>
      <c r="C1960" s="6" t="s">
        <v>6123</v>
      </c>
      <c r="D1960" s="6" t="s">
        <v>6151</v>
      </c>
      <c r="E1960" s="6"/>
      <c r="F1960" s="6" t="s">
        <v>6152</v>
      </c>
      <c r="G1960" s="6" t="s">
        <v>24</v>
      </c>
      <c r="H1960" s="6" t="str">
        <f>IFERROR(VLOOKUP(Table2[[#This Row],[Ticket]],Okey!A:B,2,0),"")</f>
        <v>ok</v>
      </c>
      <c r="I1960" s="6" t="s">
        <v>3679</v>
      </c>
      <c r="J1960" s="6" t="str">
        <f>VLOOKUP(Table2[[#This Row],[Author]],People!A:B,2,0)</f>
        <v>EL</v>
      </c>
      <c r="K1960" s="6" t="s">
        <v>5965</v>
      </c>
      <c r="L1960" s="6"/>
      <c r="M1960" s="21" t="s">
        <v>1040</v>
      </c>
    </row>
    <row r="1961" spans="1:13" x14ac:dyDescent="0.25">
      <c r="A1961" s="23">
        <f t="shared" si="30"/>
        <v>1960</v>
      </c>
      <c r="B1961" s="7" t="s">
        <v>5960</v>
      </c>
      <c r="C1961" s="7" t="s">
        <v>6123</v>
      </c>
      <c r="D1961" s="7" t="s">
        <v>6153</v>
      </c>
      <c r="E1961" s="7"/>
      <c r="F1961" s="7" t="s">
        <v>6152</v>
      </c>
      <c r="G1961" s="7" t="s">
        <v>24</v>
      </c>
      <c r="H1961" s="7" t="str">
        <f>IFERROR(VLOOKUP(Table2[[#This Row],[Ticket]],Okey!A:B,2,0),"")</f>
        <v>ok</v>
      </c>
      <c r="I1961" s="7" t="s">
        <v>3679</v>
      </c>
      <c r="J1961" s="7" t="str">
        <f>VLOOKUP(Table2[[#This Row],[Author]],People!A:B,2,0)</f>
        <v>EL</v>
      </c>
      <c r="K1961" s="7" t="s">
        <v>5965</v>
      </c>
      <c r="L1961" s="7"/>
      <c r="M1961" s="16" t="s">
        <v>1040</v>
      </c>
    </row>
    <row r="1962" spans="1:13" x14ac:dyDescent="0.25">
      <c r="A1962" s="22">
        <f t="shared" si="30"/>
        <v>1961</v>
      </c>
      <c r="B1962" s="6" t="s">
        <v>5960</v>
      </c>
      <c r="C1962" s="6" t="s">
        <v>6123</v>
      </c>
      <c r="D1962" s="6" t="s">
        <v>6154</v>
      </c>
      <c r="E1962" s="6"/>
      <c r="F1962" s="6" t="s">
        <v>6150</v>
      </c>
      <c r="G1962" s="6" t="s">
        <v>24</v>
      </c>
      <c r="H1962" s="6" t="str">
        <f>IFERROR(VLOOKUP(Table2[[#This Row],[Ticket]],Okey!A:B,2,0),"")</f>
        <v>ok</v>
      </c>
      <c r="I1962" s="6" t="s">
        <v>3679</v>
      </c>
      <c r="J1962" s="6" t="str">
        <f>VLOOKUP(Table2[[#This Row],[Author]],People!A:B,2,0)</f>
        <v>EL</v>
      </c>
      <c r="K1962" s="6" t="s">
        <v>5965</v>
      </c>
      <c r="L1962" s="6"/>
      <c r="M1962" s="21" t="s">
        <v>1040</v>
      </c>
    </row>
    <row r="1963" spans="1:13" x14ac:dyDescent="0.25">
      <c r="A1963" s="23">
        <f t="shared" si="30"/>
        <v>1962</v>
      </c>
      <c r="B1963" s="7" t="s">
        <v>5960</v>
      </c>
      <c r="C1963" s="7" t="s">
        <v>6123</v>
      </c>
      <c r="D1963" s="7" t="s">
        <v>6155</v>
      </c>
      <c r="E1963" s="7"/>
      <c r="F1963" s="7" t="s">
        <v>6156</v>
      </c>
      <c r="G1963" s="7" t="s">
        <v>24</v>
      </c>
      <c r="H1963" s="7" t="str">
        <f>IFERROR(VLOOKUP(Table2[[#This Row],[Ticket]],Okey!A:B,2,0),"")</f>
        <v>ok</v>
      </c>
      <c r="I1963" s="7" t="s">
        <v>3679</v>
      </c>
      <c r="J1963" s="7" t="str">
        <f>VLOOKUP(Table2[[#This Row],[Author]],People!A:B,2,0)</f>
        <v>EL</v>
      </c>
      <c r="K1963" s="7" t="s">
        <v>5965</v>
      </c>
      <c r="L1963" s="7"/>
      <c r="M1963" s="16" t="s">
        <v>1040</v>
      </c>
    </row>
    <row r="1964" spans="1:13" x14ac:dyDescent="0.25">
      <c r="A1964" s="22">
        <f t="shared" si="30"/>
        <v>1963</v>
      </c>
      <c r="B1964" s="6" t="s">
        <v>5960</v>
      </c>
      <c r="C1964" s="6" t="s">
        <v>6123</v>
      </c>
      <c r="D1964" s="6" t="s">
        <v>6157</v>
      </c>
      <c r="E1964" s="6"/>
      <c r="F1964" s="6" t="s">
        <v>6134</v>
      </c>
      <c r="G1964" s="6" t="s">
        <v>24</v>
      </c>
      <c r="H1964" s="6" t="str">
        <f>IFERROR(VLOOKUP(Table2[[#This Row],[Ticket]],Okey!A:B,2,0),"")</f>
        <v>ok</v>
      </c>
      <c r="I1964" s="6" t="s">
        <v>3679</v>
      </c>
      <c r="J1964" s="6" t="str">
        <f>VLOOKUP(Table2[[#This Row],[Author]],People!A:B,2,0)</f>
        <v>EL</v>
      </c>
      <c r="K1964" s="6" t="s">
        <v>5965</v>
      </c>
      <c r="L1964" s="6"/>
      <c r="M1964" s="21" t="s">
        <v>1040</v>
      </c>
    </row>
    <row r="1965" spans="1:13" x14ac:dyDescent="0.25">
      <c r="A1965" s="23">
        <f t="shared" si="30"/>
        <v>1964</v>
      </c>
      <c r="B1965" s="7" t="s">
        <v>5960</v>
      </c>
      <c r="C1965" s="7" t="s">
        <v>6123</v>
      </c>
      <c r="D1965" s="7" t="s">
        <v>2479</v>
      </c>
      <c r="E1965" s="7"/>
      <c r="F1965" s="7" t="s">
        <v>6158</v>
      </c>
      <c r="G1965" s="7" t="s">
        <v>24</v>
      </c>
      <c r="H1965" s="7" t="str">
        <f>IFERROR(VLOOKUP(Table2[[#This Row],[Ticket]],Okey!A:B,2,0),"")</f>
        <v>ok</v>
      </c>
      <c r="I1965" s="7" t="s">
        <v>3679</v>
      </c>
      <c r="J1965" s="7" t="str">
        <f>VLOOKUP(Table2[[#This Row],[Author]],People!A:B,2,0)</f>
        <v>EL</v>
      </c>
      <c r="K1965" s="7" t="s">
        <v>5965</v>
      </c>
      <c r="L1965" s="7"/>
      <c r="M1965" s="16" t="s">
        <v>1040</v>
      </c>
    </row>
    <row r="1966" spans="1:13" x14ac:dyDescent="0.25">
      <c r="A1966" s="22">
        <f t="shared" si="30"/>
        <v>1965</v>
      </c>
      <c r="B1966" s="6" t="s">
        <v>5960</v>
      </c>
      <c r="C1966" s="6" t="s">
        <v>6123</v>
      </c>
      <c r="D1966" s="6" t="s">
        <v>1394</v>
      </c>
      <c r="E1966" s="6"/>
      <c r="F1966" s="6" t="s">
        <v>6158</v>
      </c>
      <c r="G1966" s="6" t="s">
        <v>24</v>
      </c>
      <c r="H1966" s="6" t="str">
        <f>IFERROR(VLOOKUP(Table2[[#This Row],[Ticket]],Okey!A:B,2,0),"")</f>
        <v>ok</v>
      </c>
      <c r="I1966" s="6" t="s">
        <v>3679</v>
      </c>
      <c r="J1966" s="6" t="str">
        <f>VLOOKUP(Table2[[#This Row],[Author]],People!A:B,2,0)</f>
        <v>EL</v>
      </c>
      <c r="K1966" s="6" t="s">
        <v>5965</v>
      </c>
      <c r="L1966" s="6"/>
      <c r="M1966" s="21" t="s">
        <v>1040</v>
      </c>
    </row>
    <row r="1967" spans="1:13" x14ac:dyDescent="0.25">
      <c r="A1967" s="23">
        <f t="shared" si="30"/>
        <v>1966</v>
      </c>
      <c r="B1967" s="7" t="s">
        <v>5960</v>
      </c>
      <c r="C1967" s="7" t="s">
        <v>6123</v>
      </c>
      <c r="D1967" s="7" t="s">
        <v>6159</v>
      </c>
      <c r="E1967" s="7"/>
      <c r="F1967" s="7" t="s">
        <v>1405</v>
      </c>
      <c r="G1967" s="7" t="s">
        <v>24</v>
      </c>
      <c r="H1967" s="7" t="str">
        <f>IFERROR(VLOOKUP(Table2[[#This Row],[Ticket]],Okey!A:B,2,0),"")</f>
        <v>ok</v>
      </c>
      <c r="I1967" s="7" t="s">
        <v>3679</v>
      </c>
      <c r="J1967" s="7" t="str">
        <f>VLOOKUP(Table2[[#This Row],[Author]],People!A:B,2,0)</f>
        <v>EL</v>
      </c>
      <c r="K1967" s="7" t="s">
        <v>5965</v>
      </c>
      <c r="L1967" s="7"/>
      <c r="M1967" s="16" t="s">
        <v>1040</v>
      </c>
    </row>
    <row r="1968" spans="1:13" x14ac:dyDescent="0.25">
      <c r="A1968" s="22">
        <f t="shared" si="30"/>
        <v>1967</v>
      </c>
      <c r="B1968" s="6" t="s">
        <v>5960</v>
      </c>
      <c r="C1968" s="6" t="s">
        <v>6123</v>
      </c>
      <c r="D1968" s="6" t="s">
        <v>6160</v>
      </c>
      <c r="E1968" s="6"/>
      <c r="F1968" s="6" t="s">
        <v>6161</v>
      </c>
      <c r="G1968" s="6" t="s">
        <v>24</v>
      </c>
      <c r="H1968" s="6" t="str">
        <f>IFERROR(VLOOKUP(Table2[[#This Row],[Ticket]],Okey!A:B,2,0),"")</f>
        <v>ok</v>
      </c>
      <c r="I1968" s="6" t="s">
        <v>3679</v>
      </c>
      <c r="J1968" s="6" t="str">
        <f>VLOOKUP(Table2[[#This Row],[Author]],People!A:B,2,0)</f>
        <v>EL</v>
      </c>
      <c r="K1968" s="6" t="s">
        <v>5965</v>
      </c>
      <c r="L1968" s="6"/>
      <c r="M1968" s="21" t="s">
        <v>1040</v>
      </c>
    </row>
    <row r="1969" spans="1:13" x14ac:dyDescent="0.25">
      <c r="A1969" s="23">
        <f t="shared" si="30"/>
        <v>1968</v>
      </c>
      <c r="B1969" s="7" t="s">
        <v>5960</v>
      </c>
      <c r="C1969" s="7" t="s">
        <v>6123</v>
      </c>
      <c r="D1969" s="7" t="s">
        <v>1686</v>
      </c>
      <c r="E1969" s="7"/>
      <c r="F1969" s="7" t="s">
        <v>1370</v>
      </c>
      <c r="G1969" s="7" t="s">
        <v>24</v>
      </c>
      <c r="H1969" s="7" t="str">
        <f>IFERROR(VLOOKUP(Table2[[#This Row],[Ticket]],Okey!A:B,2,0),"")</f>
        <v>ok</v>
      </c>
      <c r="I1969" s="7" t="s">
        <v>3679</v>
      </c>
      <c r="J1969" s="7" t="str">
        <f>VLOOKUP(Table2[[#This Row],[Author]],People!A:B,2,0)</f>
        <v>EL</v>
      </c>
      <c r="K1969" s="7" t="s">
        <v>5965</v>
      </c>
      <c r="L1969" s="7"/>
      <c r="M1969" s="16" t="s">
        <v>1040</v>
      </c>
    </row>
    <row r="1970" spans="1:13" x14ac:dyDescent="0.25">
      <c r="A1970" s="22">
        <f t="shared" si="30"/>
        <v>1969</v>
      </c>
      <c r="B1970" s="6" t="s">
        <v>5960</v>
      </c>
      <c r="C1970" s="6" t="s">
        <v>6123</v>
      </c>
      <c r="D1970" s="6" t="s">
        <v>6162</v>
      </c>
      <c r="E1970" s="6"/>
      <c r="F1970" s="6" t="s">
        <v>1113</v>
      </c>
      <c r="G1970" s="6" t="s">
        <v>24</v>
      </c>
      <c r="H1970" s="6" t="str">
        <f>IFERROR(VLOOKUP(Table2[[#This Row],[Ticket]],Okey!A:B,2,0),"")</f>
        <v>ok</v>
      </c>
      <c r="I1970" s="6" t="s">
        <v>3679</v>
      </c>
      <c r="J1970" s="6" t="str">
        <f>VLOOKUP(Table2[[#This Row],[Author]],People!A:B,2,0)</f>
        <v>EL</v>
      </c>
      <c r="K1970" s="6" t="s">
        <v>5965</v>
      </c>
      <c r="L1970" s="6"/>
      <c r="M1970" s="21" t="s">
        <v>1040</v>
      </c>
    </row>
    <row r="1971" spans="1:13" x14ac:dyDescent="0.25">
      <c r="A1971" s="23">
        <f t="shared" si="30"/>
        <v>1970</v>
      </c>
      <c r="B1971" s="7" t="s">
        <v>5960</v>
      </c>
      <c r="C1971" s="7" t="s">
        <v>6123</v>
      </c>
      <c r="D1971" s="7" t="s">
        <v>6163</v>
      </c>
      <c r="E1971" s="7"/>
      <c r="F1971" s="7" t="s">
        <v>6161</v>
      </c>
      <c r="G1971" s="7" t="s">
        <v>24</v>
      </c>
      <c r="H1971" s="7" t="str">
        <f>IFERROR(VLOOKUP(Table2[[#This Row],[Ticket]],Okey!A:B,2,0),"")</f>
        <v>ok</v>
      </c>
      <c r="I1971" s="7" t="s">
        <v>3679</v>
      </c>
      <c r="J1971" s="7" t="str">
        <f>VLOOKUP(Table2[[#This Row],[Author]],People!A:B,2,0)</f>
        <v>EL</v>
      </c>
      <c r="K1971" s="7" t="s">
        <v>5965</v>
      </c>
      <c r="L1971" s="7"/>
      <c r="M1971" s="16" t="s">
        <v>1040</v>
      </c>
    </row>
    <row r="1972" spans="1:13" x14ac:dyDescent="0.25">
      <c r="A1972" s="22">
        <f t="shared" si="30"/>
        <v>1971</v>
      </c>
      <c r="B1972" s="6" t="s">
        <v>5960</v>
      </c>
      <c r="C1972" s="6" t="s">
        <v>6123</v>
      </c>
      <c r="D1972" s="6" t="s">
        <v>6164</v>
      </c>
      <c r="E1972" s="6"/>
      <c r="F1972" s="6" t="s">
        <v>6130</v>
      </c>
      <c r="G1972" s="6" t="s">
        <v>24</v>
      </c>
      <c r="H1972" s="6" t="str">
        <f>IFERROR(VLOOKUP(Table2[[#This Row],[Ticket]],Okey!A:B,2,0),"")</f>
        <v>ok</v>
      </c>
      <c r="I1972" s="6" t="s">
        <v>3679</v>
      </c>
      <c r="J1972" s="6" t="str">
        <f>VLOOKUP(Table2[[#This Row],[Author]],People!A:B,2,0)</f>
        <v>EL</v>
      </c>
      <c r="K1972" s="6" t="s">
        <v>5965</v>
      </c>
      <c r="L1972" s="6"/>
      <c r="M1972" s="21" t="s">
        <v>1040</v>
      </c>
    </row>
    <row r="1973" spans="1:13" x14ac:dyDescent="0.25">
      <c r="A1973" s="23">
        <f t="shared" si="30"/>
        <v>1972</v>
      </c>
      <c r="B1973" s="7" t="s">
        <v>5960</v>
      </c>
      <c r="C1973" s="7" t="s">
        <v>6123</v>
      </c>
      <c r="D1973" s="7" t="s">
        <v>6165</v>
      </c>
      <c r="E1973" s="7"/>
      <c r="F1973" s="7" t="s">
        <v>1113</v>
      </c>
      <c r="G1973" s="7" t="s">
        <v>24</v>
      </c>
      <c r="H1973" s="7" t="str">
        <f>IFERROR(VLOOKUP(Table2[[#This Row],[Ticket]],Okey!A:B,2,0),"")</f>
        <v>ok</v>
      </c>
      <c r="I1973" s="7" t="s">
        <v>3679</v>
      </c>
      <c r="J1973" s="7" t="str">
        <f>VLOOKUP(Table2[[#This Row],[Author]],People!A:B,2,0)</f>
        <v>EL</v>
      </c>
      <c r="K1973" s="7" t="s">
        <v>5965</v>
      </c>
      <c r="L1973" s="7"/>
      <c r="M1973" s="16" t="s">
        <v>1040</v>
      </c>
    </row>
    <row r="1974" spans="1:13" x14ac:dyDescent="0.25">
      <c r="A1974" s="22">
        <f t="shared" si="30"/>
        <v>1973</v>
      </c>
      <c r="B1974" s="6" t="s">
        <v>5960</v>
      </c>
      <c r="C1974" s="6" t="s">
        <v>6123</v>
      </c>
      <c r="D1974" s="6" t="s">
        <v>6166</v>
      </c>
      <c r="E1974" s="6"/>
      <c r="F1974" s="6" t="s">
        <v>6161</v>
      </c>
      <c r="G1974" s="6" t="s">
        <v>24</v>
      </c>
      <c r="H1974" s="6" t="str">
        <f>IFERROR(VLOOKUP(Table2[[#This Row],[Ticket]],Okey!A:B,2,0),"")</f>
        <v>ok</v>
      </c>
      <c r="I1974" s="6" t="s">
        <v>3679</v>
      </c>
      <c r="J1974" s="6" t="str">
        <f>VLOOKUP(Table2[[#This Row],[Author]],People!A:B,2,0)</f>
        <v>EL</v>
      </c>
      <c r="K1974" s="6" t="s">
        <v>5965</v>
      </c>
      <c r="L1974" s="6"/>
      <c r="M1974" s="21" t="s">
        <v>1040</v>
      </c>
    </row>
    <row r="1975" spans="1:13" x14ac:dyDescent="0.25">
      <c r="A1975" s="23">
        <f t="shared" si="30"/>
        <v>1974</v>
      </c>
      <c r="B1975" s="7" t="s">
        <v>5960</v>
      </c>
      <c r="C1975" s="7" t="s">
        <v>6123</v>
      </c>
      <c r="D1975" s="7" t="s">
        <v>6167</v>
      </c>
      <c r="E1975" s="7"/>
      <c r="F1975" s="7" t="s">
        <v>6134</v>
      </c>
      <c r="G1975" s="7" t="s">
        <v>24</v>
      </c>
      <c r="H1975" s="7" t="str">
        <f>IFERROR(VLOOKUP(Table2[[#This Row],[Ticket]],Okey!A:B,2,0),"")</f>
        <v>ok</v>
      </c>
      <c r="I1975" s="7" t="s">
        <v>3679</v>
      </c>
      <c r="J1975" s="7" t="str">
        <f>VLOOKUP(Table2[[#This Row],[Author]],People!A:B,2,0)</f>
        <v>EL</v>
      </c>
      <c r="K1975" s="7" t="s">
        <v>5965</v>
      </c>
      <c r="L1975" s="7"/>
      <c r="M1975" s="16" t="s">
        <v>1040</v>
      </c>
    </row>
    <row r="1976" spans="1:13" x14ac:dyDescent="0.25">
      <c r="A1976" s="22">
        <f t="shared" si="30"/>
        <v>1975</v>
      </c>
      <c r="B1976" s="6" t="s">
        <v>5960</v>
      </c>
      <c r="C1976" s="6" t="s">
        <v>6123</v>
      </c>
      <c r="D1976" s="6" t="s">
        <v>6168</v>
      </c>
      <c r="E1976" s="6"/>
      <c r="F1976" s="6" t="s">
        <v>6134</v>
      </c>
      <c r="G1976" s="6" t="s">
        <v>24</v>
      </c>
      <c r="H1976" s="6" t="str">
        <f>IFERROR(VLOOKUP(Table2[[#This Row],[Ticket]],Okey!A:B,2,0),"")</f>
        <v>ok</v>
      </c>
      <c r="I1976" s="6" t="s">
        <v>3679</v>
      </c>
      <c r="J1976" s="6" t="str">
        <f>VLOOKUP(Table2[[#This Row],[Author]],People!A:B,2,0)</f>
        <v>EL</v>
      </c>
      <c r="K1976" s="6" t="s">
        <v>5965</v>
      </c>
      <c r="L1976" s="6"/>
      <c r="M1976" s="21" t="s">
        <v>1040</v>
      </c>
    </row>
    <row r="1977" spans="1:13" x14ac:dyDescent="0.25">
      <c r="A1977" s="23">
        <f t="shared" si="30"/>
        <v>1976</v>
      </c>
      <c r="B1977" s="7" t="s">
        <v>5960</v>
      </c>
      <c r="C1977" s="7" t="s">
        <v>6123</v>
      </c>
      <c r="D1977" s="7" t="s">
        <v>6169</v>
      </c>
      <c r="E1977" s="7"/>
      <c r="F1977" s="7" t="s">
        <v>1272</v>
      </c>
      <c r="G1977" s="7" t="s">
        <v>24</v>
      </c>
      <c r="H1977" s="7" t="str">
        <f>IFERROR(VLOOKUP(Table2[[#This Row],[Ticket]],Okey!A:B,2,0),"")</f>
        <v>ok</v>
      </c>
      <c r="I1977" s="7" t="s">
        <v>3679</v>
      </c>
      <c r="J1977" s="7" t="str">
        <f>VLOOKUP(Table2[[#This Row],[Author]],People!A:B,2,0)</f>
        <v>EL</v>
      </c>
      <c r="K1977" s="7" t="s">
        <v>5965</v>
      </c>
      <c r="L1977" s="7"/>
      <c r="M1977" s="16" t="s">
        <v>1040</v>
      </c>
    </row>
    <row r="1978" spans="1:13" x14ac:dyDescent="0.25">
      <c r="A1978" s="22">
        <f t="shared" si="30"/>
        <v>1977</v>
      </c>
      <c r="B1978" s="6" t="s">
        <v>5960</v>
      </c>
      <c r="C1978" s="6" t="s">
        <v>6123</v>
      </c>
      <c r="D1978" s="6" t="s">
        <v>1257</v>
      </c>
      <c r="E1978" s="6"/>
      <c r="F1978" s="6" t="s">
        <v>1272</v>
      </c>
      <c r="G1978" s="6" t="s">
        <v>24</v>
      </c>
      <c r="H1978" s="6" t="str">
        <f>IFERROR(VLOOKUP(Table2[[#This Row],[Ticket]],Okey!A:B,2,0),"")</f>
        <v>ok</v>
      </c>
      <c r="I1978" s="6" t="s">
        <v>3679</v>
      </c>
      <c r="J1978" s="6" t="str">
        <f>VLOOKUP(Table2[[#This Row],[Author]],People!A:B,2,0)</f>
        <v>EL</v>
      </c>
      <c r="K1978" s="6" t="s">
        <v>5965</v>
      </c>
      <c r="L1978" s="6"/>
      <c r="M1978" s="21" t="s">
        <v>1040</v>
      </c>
    </row>
    <row r="1979" spans="1:13" x14ac:dyDescent="0.25">
      <c r="A1979" s="23">
        <f t="shared" si="30"/>
        <v>1978</v>
      </c>
      <c r="B1979" s="7" t="s">
        <v>5960</v>
      </c>
      <c r="C1979" s="7" t="s">
        <v>6123</v>
      </c>
      <c r="D1979" s="7" t="s">
        <v>6170</v>
      </c>
      <c r="E1979" s="7"/>
      <c r="F1979" s="7" t="s">
        <v>1272</v>
      </c>
      <c r="G1979" s="7" t="s">
        <v>24</v>
      </c>
      <c r="H1979" s="7" t="str">
        <f>IFERROR(VLOOKUP(Table2[[#This Row],[Ticket]],Okey!A:B,2,0),"")</f>
        <v>ok</v>
      </c>
      <c r="I1979" s="7" t="s">
        <v>3679</v>
      </c>
      <c r="J1979" s="7" t="str">
        <f>VLOOKUP(Table2[[#This Row],[Author]],People!A:B,2,0)</f>
        <v>EL</v>
      </c>
      <c r="K1979" s="7" t="s">
        <v>5965</v>
      </c>
      <c r="L1979" s="7"/>
      <c r="M1979" s="16" t="s">
        <v>1040</v>
      </c>
    </row>
    <row r="1980" spans="1:13" x14ac:dyDescent="0.25">
      <c r="A1980" s="22">
        <f t="shared" si="30"/>
        <v>1979</v>
      </c>
      <c r="B1980" s="6" t="s">
        <v>5960</v>
      </c>
      <c r="C1980" s="6" t="s">
        <v>6123</v>
      </c>
      <c r="D1980" s="6" t="s">
        <v>1261</v>
      </c>
      <c r="E1980" s="6"/>
      <c r="F1980" s="6" t="s">
        <v>1272</v>
      </c>
      <c r="G1980" s="6" t="s">
        <v>24</v>
      </c>
      <c r="H1980" s="6" t="str">
        <f>IFERROR(VLOOKUP(Table2[[#This Row],[Ticket]],Okey!A:B,2,0),"")</f>
        <v>ok</v>
      </c>
      <c r="I1980" s="6" t="s">
        <v>3679</v>
      </c>
      <c r="J1980" s="6" t="str">
        <f>VLOOKUP(Table2[[#This Row],[Author]],People!A:B,2,0)</f>
        <v>EL</v>
      </c>
      <c r="K1980" s="6" t="s">
        <v>5965</v>
      </c>
      <c r="L1980" s="6"/>
      <c r="M1980" s="21" t="s">
        <v>1040</v>
      </c>
    </row>
    <row r="1981" spans="1:13" x14ac:dyDescent="0.25">
      <c r="A1981" s="23">
        <f t="shared" si="30"/>
        <v>1980</v>
      </c>
      <c r="B1981" s="7" t="s">
        <v>5960</v>
      </c>
      <c r="C1981" s="7" t="s">
        <v>6123</v>
      </c>
      <c r="D1981" s="7" t="s">
        <v>6171</v>
      </c>
      <c r="E1981" s="7"/>
      <c r="F1981" s="7" t="s">
        <v>1272</v>
      </c>
      <c r="G1981" s="7" t="s">
        <v>24</v>
      </c>
      <c r="H1981" s="7" t="str">
        <f>IFERROR(VLOOKUP(Table2[[#This Row],[Ticket]],Okey!A:B,2,0),"")</f>
        <v>ok</v>
      </c>
      <c r="I1981" s="7" t="s">
        <v>3679</v>
      </c>
      <c r="J1981" s="7" t="str">
        <f>VLOOKUP(Table2[[#This Row],[Author]],People!A:B,2,0)</f>
        <v>EL</v>
      </c>
      <c r="K1981" s="7" t="s">
        <v>5965</v>
      </c>
      <c r="L1981" s="7"/>
      <c r="M1981" s="16" t="s">
        <v>1040</v>
      </c>
    </row>
    <row r="1982" spans="1:13" x14ac:dyDescent="0.25">
      <c r="A1982" s="22">
        <f t="shared" si="30"/>
        <v>1981</v>
      </c>
      <c r="B1982" s="6" t="s">
        <v>5960</v>
      </c>
      <c r="C1982" s="6" t="s">
        <v>6123</v>
      </c>
      <c r="D1982" s="6" t="s">
        <v>6172</v>
      </c>
      <c r="E1982" s="6"/>
      <c r="F1982" s="6" t="s">
        <v>1272</v>
      </c>
      <c r="G1982" s="6" t="s">
        <v>24</v>
      </c>
      <c r="H1982" s="6" t="str">
        <f>IFERROR(VLOOKUP(Table2[[#This Row],[Ticket]],Okey!A:B,2,0),"")</f>
        <v>ok</v>
      </c>
      <c r="I1982" s="6" t="s">
        <v>3679</v>
      </c>
      <c r="J1982" s="6" t="str">
        <f>VLOOKUP(Table2[[#This Row],[Author]],People!A:B,2,0)</f>
        <v>EL</v>
      </c>
      <c r="K1982" s="6" t="s">
        <v>5965</v>
      </c>
      <c r="L1982" s="6"/>
      <c r="M1982" s="21" t="s">
        <v>1040</v>
      </c>
    </row>
    <row r="1983" spans="1:13" x14ac:dyDescent="0.25">
      <c r="A1983" s="23">
        <f t="shared" si="30"/>
        <v>1982</v>
      </c>
      <c r="B1983" s="7" t="s">
        <v>5960</v>
      </c>
      <c r="C1983" s="7" t="s">
        <v>6123</v>
      </c>
      <c r="D1983" s="7" t="s">
        <v>6173</v>
      </c>
      <c r="E1983" s="7"/>
      <c r="F1983" s="7" t="s">
        <v>1272</v>
      </c>
      <c r="G1983" s="7" t="s">
        <v>24</v>
      </c>
      <c r="H1983" s="7" t="str">
        <f>IFERROR(VLOOKUP(Table2[[#This Row],[Ticket]],Okey!A:B,2,0),"")</f>
        <v>ok</v>
      </c>
      <c r="I1983" s="7" t="s">
        <v>3679</v>
      </c>
      <c r="J1983" s="7" t="str">
        <f>VLOOKUP(Table2[[#This Row],[Author]],People!A:B,2,0)</f>
        <v>EL</v>
      </c>
      <c r="K1983" s="7" t="s">
        <v>5965</v>
      </c>
      <c r="L1983" s="7"/>
      <c r="M1983" s="16" t="s">
        <v>1040</v>
      </c>
    </row>
    <row r="1984" spans="1:13" x14ac:dyDescent="0.25">
      <c r="A1984" s="22">
        <f t="shared" si="30"/>
        <v>1983</v>
      </c>
      <c r="B1984" s="6" t="s">
        <v>5960</v>
      </c>
      <c r="C1984" s="6" t="s">
        <v>6123</v>
      </c>
      <c r="D1984" s="6" t="s">
        <v>6174</v>
      </c>
      <c r="E1984" s="6"/>
      <c r="F1984" s="6" t="s">
        <v>1272</v>
      </c>
      <c r="G1984" s="6" t="s">
        <v>24</v>
      </c>
      <c r="H1984" s="6" t="str">
        <f>IFERROR(VLOOKUP(Table2[[#This Row],[Ticket]],Okey!A:B,2,0),"")</f>
        <v>ok</v>
      </c>
      <c r="I1984" s="6" t="s">
        <v>3679</v>
      </c>
      <c r="J1984" s="6" t="str">
        <f>VLOOKUP(Table2[[#This Row],[Author]],People!A:B,2,0)</f>
        <v>EL</v>
      </c>
      <c r="K1984" s="6" t="s">
        <v>5965</v>
      </c>
      <c r="L1984" s="6"/>
      <c r="M1984" s="21" t="s">
        <v>1040</v>
      </c>
    </row>
    <row r="1985" spans="1:13" x14ac:dyDescent="0.25">
      <c r="A1985" s="23">
        <f t="shared" si="30"/>
        <v>1984</v>
      </c>
      <c r="B1985" s="7" t="s">
        <v>5960</v>
      </c>
      <c r="C1985" s="7" t="s">
        <v>6123</v>
      </c>
      <c r="D1985" s="7" t="s">
        <v>6175</v>
      </c>
      <c r="E1985" s="7"/>
      <c r="F1985" s="7" t="s">
        <v>6134</v>
      </c>
      <c r="G1985" s="7" t="s">
        <v>24</v>
      </c>
      <c r="H1985" s="7" t="str">
        <f>IFERROR(VLOOKUP(Table2[[#This Row],[Ticket]],Okey!A:B,2,0),"")</f>
        <v>ok</v>
      </c>
      <c r="I1985" s="7" t="s">
        <v>3679</v>
      </c>
      <c r="J1985" s="7" t="str">
        <f>VLOOKUP(Table2[[#This Row],[Author]],People!A:B,2,0)</f>
        <v>EL</v>
      </c>
      <c r="K1985" s="7" t="s">
        <v>5965</v>
      </c>
      <c r="L1985" s="7"/>
      <c r="M1985" s="16" t="s">
        <v>1040</v>
      </c>
    </row>
    <row r="1986" spans="1:13" x14ac:dyDescent="0.25">
      <c r="A1986" s="22">
        <f t="shared" si="30"/>
        <v>1985</v>
      </c>
      <c r="B1986" s="6" t="s">
        <v>5960</v>
      </c>
      <c r="C1986" s="6" t="s">
        <v>6123</v>
      </c>
      <c r="D1986" s="6" t="s">
        <v>1270</v>
      </c>
      <c r="E1986" s="6"/>
      <c r="F1986" s="6" t="s">
        <v>6176</v>
      </c>
      <c r="G1986" s="6" t="s">
        <v>24</v>
      </c>
      <c r="H1986" s="6" t="str">
        <f>IFERROR(VLOOKUP(Table2[[#This Row],[Ticket]],Okey!A:B,2,0),"")</f>
        <v>ok</v>
      </c>
      <c r="I1986" s="6" t="s">
        <v>3679</v>
      </c>
      <c r="J1986" s="6" t="str">
        <f>VLOOKUP(Table2[[#This Row],[Author]],People!A:B,2,0)</f>
        <v>EL</v>
      </c>
      <c r="K1986" s="6" t="s">
        <v>5965</v>
      </c>
      <c r="L1986" s="6"/>
      <c r="M1986" s="21" t="s">
        <v>1040</v>
      </c>
    </row>
    <row r="1987" spans="1:13" x14ac:dyDescent="0.25">
      <c r="A1987" s="23">
        <f t="shared" ref="A1987:A2050" si="31">1+A1986</f>
        <v>1986</v>
      </c>
      <c r="B1987" s="7" t="s">
        <v>5960</v>
      </c>
      <c r="C1987" s="7" t="s">
        <v>6123</v>
      </c>
      <c r="D1987" s="7" t="s">
        <v>6177</v>
      </c>
      <c r="E1987" s="7"/>
      <c r="F1987" s="7" t="s">
        <v>6176</v>
      </c>
      <c r="G1987" s="7" t="s">
        <v>24</v>
      </c>
      <c r="H1987" s="7" t="str">
        <f>IFERROR(VLOOKUP(Table2[[#This Row],[Ticket]],Okey!A:B,2,0),"")</f>
        <v>ok</v>
      </c>
      <c r="I1987" s="7" t="s">
        <v>3679</v>
      </c>
      <c r="J1987" s="7" t="str">
        <f>VLOOKUP(Table2[[#This Row],[Author]],People!A:B,2,0)</f>
        <v>EL</v>
      </c>
      <c r="K1987" s="7" t="s">
        <v>5965</v>
      </c>
      <c r="L1987" s="7"/>
      <c r="M1987" s="16" t="s">
        <v>1040</v>
      </c>
    </row>
    <row r="1988" spans="1:13" x14ac:dyDescent="0.25">
      <c r="A1988" s="22">
        <f t="shared" si="31"/>
        <v>1987</v>
      </c>
      <c r="B1988" s="6" t="s">
        <v>5960</v>
      </c>
      <c r="C1988" s="6" t="s">
        <v>6123</v>
      </c>
      <c r="D1988" s="6" t="s">
        <v>6178</v>
      </c>
      <c r="E1988" s="6"/>
      <c r="F1988" s="6" t="s">
        <v>6176</v>
      </c>
      <c r="G1988" s="6" t="s">
        <v>24</v>
      </c>
      <c r="H1988" s="6" t="str">
        <f>IFERROR(VLOOKUP(Table2[[#This Row],[Ticket]],Okey!A:B,2,0),"")</f>
        <v>ok</v>
      </c>
      <c r="I1988" s="6" t="s">
        <v>3679</v>
      </c>
      <c r="J1988" s="6" t="str">
        <f>VLOOKUP(Table2[[#This Row],[Author]],People!A:B,2,0)</f>
        <v>EL</v>
      </c>
      <c r="K1988" s="6" t="s">
        <v>5965</v>
      </c>
      <c r="L1988" s="6"/>
      <c r="M1988" s="21" t="s">
        <v>1040</v>
      </c>
    </row>
    <row r="1989" spans="1:13" x14ac:dyDescent="0.25">
      <c r="A1989" s="23">
        <f t="shared" si="31"/>
        <v>1988</v>
      </c>
      <c r="B1989" s="7" t="s">
        <v>5960</v>
      </c>
      <c r="C1989" s="7" t="s">
        <v>6123</v>
      </c>
      <c r="D1989" s="7" t="s">
        <v>6179</v>
      </c>
      <c r="E1989" s="7"/>
      <c r="F1989" s="7" t="s">
        <v>6176</v>
      </c>
      <c r="G1989" s="7" t="s">
        <v>24</v>
      </c>
      <c r="H1989" s="7" t="str">
        <f>IFERROR(VLOOKUP(Table2[[#This Row],[Ticket]],Okey!A:B,2,0),"")</f>
        <v>ok</v>
      </c>
      <c r="I1989" s="7" t="s">
        <v>3679</v>
      </c>
      <c r="J1989" s="7" t="str">
        <f>VLOOKUP(Table2[[#This Row],[Author]],People!A:B,2,0)</f>
        <v>EL</v>
      </c>
      <c r="K1989" s="7" t="s">
        <v>5965</v>
      </c>
      <c r="L1989" s="7"/>
      <c r="M1989" s="16" t="s">
        <v>1040</v>
      </c>
    </row>
    <row r="1990" spans="1:13" x14ac:dyDescent="0.25">
      <c r="A1990" s="22">
        <f t="shared" si="31"/>
        <v>1989</v>
      </c>
      <c r="B1990" s="6" t="s">
        <v>5960</v>
      </c>
      <c r="C1990" s="6" t="s">
        <v>6123</v>
      </c>
      <c r="D1990" s="6" t="s">
        <v>1254</v>
      </c>
      <c r="E1990" s="6"/>
      <c r="F1990" s="6" t="s">
        <v>6176</v>
      </c>
      <c r="G1990" s="6" t="s">
        <v>24</v>
      </c>
      <c r="H1990" s="6" t="str">
        <f>IFERROR(VLOOKUP(Table2[[#This Row],[Ticket]],Okey!A:B,2,0),"")</f>
        <v>ok</v>
      </c>
      <c r="I1990" s="6" t="s">
        <v>3679</v>
      </c>
      <c r="J1990" s="6" t="str">
        <f>VLOOKUP(Table2[[#This Row],[Author]],People!A:B,2,0)</f>
        <v>EL</v>
      </c>
      <c r="K1990" s="6" t="s">
        <v>5965</v>
      </c>
      <c r="L1990" s="6"/>
      <c r="M1990" s="21" t="s">
        <v>1040</v>
      </c>
    </row>
    <row r="1991" spans="1:13" x14ac:dyDescent="0.25">
      <c r="A1991" s="23">
        <f t="shared" si="31"/>
        <v>1990</v>
      </c>
      <c r="B1991" s="7" t="s">
        <v>5960</v>
      </c>
      <c r="C1991" s="7" t="s">
        <v>6123</v>
      </c>
      <c r="D1991" s="7" t="s">
        <v>6180</v>
      </c>
      <c r="E1991" s="7"/>
      <c r="F1991" s="7" t="s">
        <v>6176</v>
      </c>
      <c r="G1991" s="7" t="s">
        <v>24</v>
      </c>
      <c r="H1991" s="7" t="str">
        <f>IFERROR(VLOOKUP(Table2[[#This Row],[Ticket]],Okey!A:B,2,0),"")</f>
        <v>ok</v>
      </c>
      <c r="I1991" s="7" t="s">
        <v>3679</v>
      </c>
      <c r="J1991" s="7" t="str">
        <f>VLOOKUP(Table2[[#This Row],[Author]],People!A:B,2,0)</f>
        <v>EL</v>
      </c>
      <c r="K1991" s="7" t="s">
        <v>5965</v>
      </c>
      <c r="L1991" s="7"/>
      <c r="M1991" s="16" t="s">
        <v>1040</v>
      </c>
    </row>
    <row r="1992" spans="1:13" x14ac:dyDescent="0.25">
      <c r="A1992" s="22">
        <f t="shared" si="31"/>
        <v>1991</v>
      </c>
      <c r="B1992" s="6" t="s">
        <v>5960</v>
      </c>
      <c r="C1992" s="6" t="s">
        <v>6123</v>
      </c>
      <c r="D1992" s="6" t="s">
        <v>6181</v>
      </c>
      <c r="E1992" s="6"/>
      <c r="F1992" s="6" t="s">
        <v>6176</v>
      </c>
      <c r="G1992" s="6" t="s">
        <v>24</v>
      </c>
      <c r="H1992" s="6" t="str">
        <f>IFERROR(VLOOKUP(Table2[[#This Row],[Ticket]],Okey!A:B,2,0),"")</f>
        <v>ok</v>
      </c>
      <c r="I1992" s="6" t="s">
        <v>3679</v>
      </c>
      <c r="J1992" s="6" t="str">
        <f>VLOOKUP(Table2[[#This Row],[Author]],People!A:B,2,0)</f>
        <v>EL</v>
      </c>
      <c r="K1992" s="6" t="s">
        <v>5965</v>
      </c>
      <c r="L1992" s="6"/>
      <c r="M1992" s="21" t="s">
        <v>1040</v>
      </c>
    </row>
    <row r="1993" spans="1:13" x14ac:dyDescent="0.25">
      <c r="A1993" s="23">
        <f t="shared" si="31"/>
        <v>1992</v>
      </c>
      <c r="B1993" s="7" t="s">
        <v>5960</v>
      </c>
      <c r="C1993" s="7" t="s">
        <v>6123</v>
      </c>
      <c r="D1993" s="7" t="s">
        <v>6182</v>
      </c>
      <c r="E1993" s="7"/>
      <c r="F1993" s="7" t="s">
        <v>6176</v>
      </c>
      <c r="G1993" s="7" t="s">
        <v>24</v>
      </c>
      <c r="H1993" s="7" t="str">
        <f>IFERROR(VLOOKUP(Table2[[#This Row],[Ticket]],Okey!A:B,2,0),"")</f>
        <v>ok</v>
      </c>
      <c r="I1993" s="7" t="s">
        <v>3679</v>
      </c>
      <c r="J1993" s="7" t="str">
        <f>VLOOKUP(Table2[[#This Row],[Author]],People!A:B,2,0)</f>
        <v>EL</v>
      </c>
      <c r="K1993" s="7" t="s">
        <v>5965</v>
      </c>
      <c r="L1993" s="7"/>
      <c r="M1993" s="16" t="s">
        <v>1040</v>
      </c>
    </row>
    <row r="1994" spans="1:13" x14ac:dyDescent="0.25">
      <c r="A1994" s="22">
        <f t="shared" si="31"/>
        <v>1993</v>
      </c>
      <c r="B1994" s="6" t="s">
        <v>5960</v>
      </c>
      <c r="C1994" s="6" t="s">
        <v>6123</v>
      </c>
      <c r="D1994" s="6" t="s">
        <v>6183</v>
      </c>
      <c r="E1994" s="6"/>
      <c r="F1994" s="6" t="s">
        <v>6176</v>
      </c>
      <c r="G1994" s="6" t="s">
        <v>24</v>
      </c>
      <c r="H1994" s="6" t="str">
        <f>IFERROR(VLOOKUP(Table2[[#This Row],[Ticket]],Okey!A:B,2,0),"")</f>
        <v>ok</v>
      </c>
      <c r="I1994" s="6" t="s">
        <v>3679</v>
      </c>
      <c r="J1994" s="6" t="str">
        <f>VLOOKUP(Table2[[#This Row],[Author]],People!A:B,2,0)</f>
        <v>EL</v>
      </c>
      <c r="K1994" s="6" t="s">
        <v>5965</v>
      </c>
      <c r="L1994" s="6"/>
      <c r="M1994" s="21" t="s">
        <v>1040</v>
      </c>
    </row>
    <row r="1995" spans="1:13" x14ac:dyDescent="0.25">
      <c r="A1995" s="23">
        <f t="shared" si="31"/>
        <v>1994</v>
      </c>
      <c r="B1995" s="7" t="s">
        <v>5960</v>
      </c>
      <c r="C1995" s="7" t="s">
        <v>6123</v>
      </c>
      <c r="D1995" s="7" t="s">
        <v>6184</v>
      </c>
      <c r="E1995" s="7"/>
      <c r="F1995" s="7" t="s">
        <v>6176</v>
      </c>
      <c r="G1995" s="7" t="s">
        <v>24</v>
      </c>
      <c r="H1995" s="7" t="str">
        <f>IFERROR(VLOOKUP(Table2[[#This Row],[Ticket]],Okey!A:B,2,0),"")</f>
        <v>ok</v>
      </c>
      <c r="I1995" s="7" t="s">
        <v>3679</v>
      </c>
      <c r="J1995" s="7" t="str">
        <f>VLOOKUP(Table2[[#This Row],[Author]],People!A:B,2,0)</f>
        <v>EL</v>
      </c>
      <c r="K1995" s="7" t="s">
        <v>5965</v>
      </c>
      <c r="L1995" s="7"/>
      <c r="M1995" s="16" t="s">
        <v>1040</v>
      </c>
    </row>
    <row r="1996" spans="1:13" x14ac:dyDescent="0.25">
      <c r="A1996" s="22">
        <f t="shared" si="31"/>
        <v>1995</v>
      </c>
      <c r="B1996" s="6" t="s">
        <v>5960</v>
      </c>
      <c r="C1996" s="6" t="s">
        <v>6123</v>
      </c>
      <c r="D1996" s="6" t="s">
        <v>6185</v>
      </c>
      <c r="E1996" s="6"/>
      <c r="F1996" s="6" t="s">
        <v>6176</v>
      </c>
      <c r="G1996" s="6" t="s">
        <v>24</v>
      </c>
      <c r="H1996" s="6" t="str">
        <f>IFERROR(VLOOKUP(Table2[[#This Row],[Ticket]],Okey!A:B,2,0),"")</f>
        <v>ok</v>
      </c>
      <c r="I1996" s="6" t="s">
        <v>3679</v>
      </c>
      <c r="J1996" s="6" t="str">
        <f>VLOOKUP(Table2[[#This Row],[Author]],People!A:B,2,0)</f>
        <v>EL</v>
      </c>
      <c r="K1996" s="6" t="s">
        <v>5965</v>
      </c>
      <c r="L1996" s="6"/>
      <c r="M1996" s="21" t="s">
        <v>1040</v>
      </c>
    </row>
    <row r="1997" spans="1:13" x14ac:dyDescent="0.25">
      <c r="A1997" s="23">
        <f t="shared" si="31"/>
        <v>1996</v>
      </c>
      <c r="B1997" s="7" t="s">
        <v>5960</v>
      </c>
      <c r="C1997" s="7" t="s">
        <v>6123</v>
      </c>
      <c r="D1997" s="7" t="s">
        <v>6186</v>
      </c>
      <c r="E1997" s="7"/>
      <c r="F1997" s="7" t="s">
        <v>6176</v>
      </c>
      <c r="G1997" s="7" t="s">
        <v>24</v>
      </c>
      <c r="H1997" s="7" t="str">
        <f>IFERROR(VLOOKUP(Table2[[#This Row],[Ticket]],Okey!A:B,2,0),"")</f>
        <v>ok</v>
      </c>
      <c r="I1997" s="7" t="s">
        <v>3679</v>
      </c>
      <c r="J1997" s="7" t="str">
        <f>VLOOKUP(Table2[[#This Row],[Author]],People!A:B,2,0)</f>
        <v>EL</v>
      </c>
      <c r="K1997" s="7" t="s">
        <v>5965</v>
      </c>
      <c r="L1997" s="7"/>
      <c r="M1997" s="16" t="s">
        <v>1040</v>
      </c>
    </row>
    <row r="1998" spans="1:13" x14ac:dyDescent="0.25">
      <c r="A1998" s="22">
        <f t="shared" si="31"/>
        <v>1997</v>
      </c>
      <c r="B1998" s="6" t="s">
        <v>5960</v>
      </c>
      <c r="C1998" s="6" t="s">
        <v>6123</v>
      </c>
      <c r="D1998" s="6" t="s">
        <v>6187</v>
      </c>
      <c r="E1998" s="6"/>
      <c r="F1998" s="6" t="s">
        <v>1272</v>
      </c>
      <c r="G1998" s="6" t="s">
        <v>24</v>
      </c>
      <c r="H1998" s="6" t="str">
        <f>IFERROR(VLOOKUP(Table2[[#This Row],[Ticket]],Okey!A:B,2,0),"")</f>
        <v>ok</v>
      </c>
      <c r="I1998" s="6" t="s">
        <v>3679</v>
      </c>
      <c r="J1998" s="6" t="str">
        <f>VLOOKUP(Table2[[#This Row],[Author]],People!A:B,2,0)</f>
        <v>EL</v>
      </c>
      <c r="K1998" s="6" t="s">
        <v>5965</v>
      </c>
      <c r="L1998" s="6"/>
      <c r="M1998" s="21" t="s">
        <v>1040</v>
      </c>
    </row>
    <row r="1999" spans="1:13" x14ac:dyDescent="0.25">
      <c r="A1999" s="23">
        <f t="shared" si="31"/>
        <v>1998</v>
      </c>
      <c r="B1999" s="7" t="s">
        <v>5960</v>
      </c>
      <c r="C1999" s="7" t="s">
        <v>6123</v>
      </c>
      <c r="D1999" s="7" t="s">
        <v>6188</v>
      </c>
      <c r="E1999" s="7"/>
      <c r="F1999" s="7" t="s">
        <v>6158</v>
      </c>
      <c r="G1999" s="7" t="s">
        <v>24</v>
      </c>
      <c r="H1999" s="7" t="str">
        <f>IFERROR(VLOOKUP(Table2[[#This Row],[Ticket]],Okey!A:B,2,0),"")</f>
        <v>ok</v>
      </c>
      <c r="I1999" s="7" t="s">
        <v>3679</v>
      </c>
      <c r="J1999" s="7" t="str">
        <f>VLOOKUP(Table2[[#This Row],[Author]],People!A:B,2,0)</f>
        <v>EL</v>
      </c>
      <c r="K1999" s="7" t="s">
        <v>5965</v>
      </c>
      <c r="L1999" s="7"/>
      <c r="M1999" s="16" t="s">
        <v>1040</v>
      </c>
    </row>
    <row r="2000" spans="1:13" x14ac:dyDescent="0.25">
      <c r="A2000" s="22">
        <f t="shared" si="31"/>
        <v>1999</v>
      </c>
      <c r="B2000" s="6" t="s">
        <v>5960</v>
      </c>
      <c r="C2000" s="6" t="s">
        <v>6123</v>
      </c>
      <c r="D2000" s="6" t="s">
        <v>6189</v>
      </c>
      <c r="E2000" s="6"/>
      <c r="F2000" s="6" t="s">
        <v>1272</v>
      </c>
      <c r="G2000" s="6" t="s">
        <v>24</v>
      </c>
      <c r="H2000" s="6" t="str">
        <f>IFERROR(VLOOKUP(Table2[[#This Row],[Ticket]],Okey!A:B,2,0),"")</f>
        <v>ok</v>
      </c>
      <c r="I2000" s="6" t="s">
        <v>3679</v>
      </c>
      <c r="J2000" s="6" t="str">
        <f>VLOOKUP(Table2[[#This Row],[Author]],People!A:B,2,0)</f>
        <v>EL</v>
      </c>
      <c r="K2000" s="6" t="s">
        <v>5965</v>
      </c>
      <c r="L2000" s="6"/>
      <c r="M2000" s="21" t="s">
        <v>1040</v>
      </c>
    </row>
    <row r="2001" spans="1:13" x14ac:dyDescent="0.25">
      <c r="A2001" s="23">
        <f t="shared" si="31"/>
        <v>2000</v>
      </c>
      <c r="B2001" s="7" t="s">
        <v>5960</v>
      </c>
      <c r="C2001" s="7" t="s">
        <v>6123</v>
      </c>
      <c r="D2001" s="7" t="s">
        <v>6190</v>
      </c>
      <c r="E2001" s="7"/>
      <c r="F2001" s="7" t="s">
        <v>1269</v>
      </c>
      <c r="G2001" s="7" t="s">
        <v>24</v>
      </c>
      <c r="H2001" s="7" t="str">
        <f>IFERROR(VLOOKUP(Table2[[#This Row],[Ticket]],Okey!A:B,2,0),"")</f>
        <v>ok</v>
      </c>
      <c r="I2001" s="7" t="s">
        <v>3679</v>
      </c>
      <c r="J2001" s="7" t="str">
        <f>VLOOKUP(Table2[[#This Row],[Author]],People!A:B,2,0)</f>
        <v>EL</v>
      </c>
      <c r="K2001" s="7" t="s">
        <v>5965</v>
      </c>
      <c r="L2001" s="7"/>
      <c r="M2001" s="16" t="s">
        <v>1040</v>
      </c>
    </row>
    <row r="2002" spans="1:13" x14ac:dyDescent="0.25">
      <c r="A2002" s="22">
        <f t="shared" si="31"/>
        <v>2001</v>
      </c>
      <c r="B2002" s="6" t="s">
        <v>5960</v>
      </c>
      <c r="C2002" s="6" t="s">
        <v>6123</v>
      </c>
      <c r="D2002" s="6" t="s">
        <v>6191</v>
      </c>
      <c r="E2002" s="6"/>
      <c r="F2002" s="6" t="s">
        <v>6134</v>
      </c>
      <c r="G2002" s="6" t="s">
        <v>24</v>
      </c>
      <c r="H2002" s="6" t="str">
        <f>IFERROR(VLOOKUP(Table2[[#This Row],[Ticket]],Okey!A:B,2,0),"")</f>
        <v>ok</v>
      </c>
      <c r="I2002" s="6" t="s">
        <v>3679</v>
      </c>
      <c r="J2002" s="6" t="str">
        <f>VLOOKUP(Table2[[#This Row],[Author]],People!A:B,2,0)</f>
        <v>EL</v>
      </c>
      <c r="K2002" s="6" t="s">
        <v>5965</v>
      </c>
      <c r="L2002" s="6"/>
      <c r="M2002" s="21" t="s">
        <v>1040</v>
      </c>
    </row>
    <row r="2003" spans="1:13" x14ac:dyDescent="0.25">
      <c r="A2003" s="23">
        <f t="shared" si="31"/>
        <v>2002</v>
      </c>
      <c r="B2003" s="7" t="s">
        <v>5960</v>
      </c>
      <c r="C2003" s="7" t="s">
        <v>6123</v>
      </c>
      <c r="D2003" s="7" t="s">
        <v>6192</v>
      </c>
      <c r="E2003" s="7"/>
      <c r="F2003" s="7" t="s">
        <v>6193</v>
      </c>
      <c r="G2003" s="7" t="s">
        <v>24</v>
      </c>
      <c r="H2003" s="7" t="str">
        <f>IFERROR(VLOOKUP(Table2[[#This Row],[Ticket]],Okey!A:B,2,0),"")</f>
        <v>ok</v>
      </c>
      <c r="I2003" s="7" t="s">
        <v>3679</v>
      </c>
      <c r="J2003" s="7" t="str">
        <f>VLOOKUP(Table2[[#This Row],[Author]],People!A:B,2,0)</f>
        <v>EL</v>
      </c>
      <c r="K2003" s="7" t="s">
        <v>5965</v>
      </c>
      <c r="L2003" s="7"/>
      <c r="M2003" s="16" t="s">
        <v>1040</v>
      </c>
    </row>
    <row r="2004" spans="1:13" x14ac:dyDescent="0.25">
      <c r="A2004" s="22">
        <f t="shared" si="31"/>
        <v>2003</v>
      </c>
      <c r="B2004" s="6" t="s">
        <v>5960</v>
      </c>
      <c r="C2004" s="6" t="s">
        <v>6123</v>
      </c>
      <c r="D2004" s="6" t="s">
        <v>6194</v>
      </c>
      <c r="E2004" s="6"/>
      <c r="F2004" s="6" t="s">
        <v>6195</v>
      </c>
      <c r="G2004" s="6" t="s">
        <v>24</v>
      </c>
      <c r="H2004" s="6" t="str">
        <f>IFERROR(VLOOKUP(Table2[[#This Row],[Ticket]],Okey!A:B,2,0),"")</f>
        <v>ok</v>
      </c>
      <c r="I2004" s="6" t="s">
        <v>3679</v>
      </c>
      <c r="J2004" s="6" t="str">
        <f>VLOOKUP(Table2[[#This Row],[Author]],People!A:B,2,0)</f>
        <v>EL</v>
      </c>
      <c r="K2004" s="6" t="s">
        <v>5965</v>
      </c>
      <c r="L2004" s="6"/>
      <c r="M2004" s="21" t="s">
        <v>1040</v>
      </c>
    </row>
    <row r="2005" spans="1:13" x14ac:dyDescent="0.25">
      <c r="A2005" s="23">
        <f t="shared" si="31"/>
        <v>2004</v>
      </c>
      <c r="B2005" s="7" t="s">
        <v>5960</v>
      </c>
      <c r="C2005" s="7" t="s">
        <v>6123</v>
      </c>
      <c r="D2005" s="7" t="s">
        <v>6196</v>
      </c>
      <c r="E2005" s="7"/>
      <c r="F2005" s="7" t="s">
        <v>6197</v>
      </c>
      <c r="G2005" s="7" t="s">
        <v>24</v>
      </c>
      <c r="H2005" s="7" t="str">
        <f>IFERROR(VLOOKUP(Table2[[#This Row],[Ticket]],Okey!A:B,2,0),"")</f>
        <v>ok</v>
      </c>
      <c r="I2005" s="7" t="s">
        <v>3679</v>
      </c>
      <c r="J2005" s="7" t="str">
        <f>VLOOKUP(Table2[[#This Row],[Author]],People!A:B,2,0)</f>
        <v>EL</v>
      </c>
      <c r="K2005" s="7" t="s">
        <v>5965</v>
      </c>
      <c r="L2005" s="7"/>
      <c r="M2005" s="16" t="s">
        <v>1040</v>
      </c>
    </row>
    <row r="2006" spans="1:13" x14ac:dyDescent="0.25">
      <c r="A2006" s="22">
        <f t="shared" si="31"/>
        <v>2005</v>
      </c>
      <c r="B2006" s="6" t="s">
        <v>5960</v>
      </c>
      <c r="C2006" s="6" t="s">
        <v>6123</v>
      </c>
      <c r="D2006" s="6" t="s">
        <v>6198</v>
      </c>
      <c r="E2006" s="6"/>
      <c r="F2006" s="6" t="s">
        <v>6197</v>
      </c>
      <c r="G2006" s="6" t="s">
        <v>24</v>
      </c>
      <c r="H2006" s="6" t="str">
        <f>IFERROR(VLOOKUP(Table2[[#This Row],[Ticket]],Okey!A:B,2,0),"")</f>
        <v>ok</v>
      </c>
      <c r="I2006" s="6" t="s">
        <v>3679</v>
      </c>
      <c r="J2006" s="6" t="str">
        <f>VLOOKUP(Table2[[#This Row],[Author]],People!A:B,2,0)</f>
        <v>EL</v>
      </c>
      <c r="K2006" s="6" t="s">
        <v>5965</v>
      </c>
      <c r="L2006" s="6"/>
      <c r="M2006" s="21" t="s">
        <v>1040</v>
      </c>
    </row>
    <row r="2007" spans="1:13" x14ac:dyDescent="0.25">
      <c r="A2007" s="23">
        <f t="shared" si="31"/>
        <v>2006</v>
      </c>
      <c r="B2007" s="7" t="s">
        <v>5960</v>
      </c>
      <c r="C2007" s="7" t="s">
        <v>6123</v>
      </c>
      <c r="D2007" s="7" t="s">
        <v>6199</v>
      </c>
      <c r="E2007" s="7"/>
      <c r="F2007" s="7" t="s">
        <v>6197</v>
      </c>
      <c r="G2007" s="7" t="s">
        <v>24</v>
      </c>
      <c r="H2007" s="7" t="str">
        <f>IFERROR(VLOOKUP(Table2[[#This Row],[Ticket]],Okey!A:B,2,0),"")</f>
        <v>ok</v>
      </c>
      <c r="I2007" s="7" t="s">
        <v>3679</v>
      </c>
      <c r="J2007" s="7" t="str">
        <f>VLOOKUP(Table2[[#This Row],[Author]],People!A:B,2,0)</f>
        <v>EL</v>
      </c>
      <c r="K2007" s="7" t="s">
        <v>5965</v>
      </c>
      <c r="L2007" s="7"/>
      <c r="M2007" s="16" t="s">
        <v>1040</v>
      </c>
    </row>
    <row r="2008" spans="1:13" x14ac:dyDescent="0.25">
      <c r="A2008" s="22">
        <f t="shared" si="31"/>
        <v>2007</v>
      </c>
      <c r="B2008" s="6" t="s">
        <v>5960</v>
      </c>
      <c r="C2008" s="6" t="s">
        <v>6123</v>
      </c>
      <c r="D2008" s="6" t="s">
        <v>2474</v>
      </c>
      <c r="E2008" s="6"/>
      <c r="F2008" s="6" t="s">
        <v>2714</v>
      </c>
      <c r="G2008" s="6" t="s">
        <v>24</v>
      </c>
      <c r="H2008" s="6" t="str">
        <f>IFERROR(VLOOKUP(Table2[[#This Row],[Ticket]],Okey!A:B,2,0),"")</f>
        <v>ok</v>
      </c>
      <c r="I2008" s="6" t="s">
        <v>3679</v>
      </c>
      <c r="J2008" s="6" t="str">
        <f>VLOOKUP(Table2[[#This Row],[Author]],People!A:B,2,0)</f>
        <v>EL</v>
      </c>
      <c r="K2008" s="6" t="s">
        <v>5965</v>
      </c>
      <c r="L2008" s="6"/>
      <c r="M2008" s="21" t="s">
        <v>1040</v>
      </c>
    </row>
    <row r="2009" spans="1:13" x14ac:dyDescent="0.25">
      <c r="A2009" s="23">
        <f t="shared" si="31"/>
        <v>2008</v>
      </c>
      <c r="B2009" s="7" t="s">
        <v>5960</v>
      </c>
      <c r="C2009" s="7" t="s">
        <v>6123</v>
      </c>
      <c r="D2009" s="7" t="s">
        <v>6200</v>
      </c>
      <c r="E2009" s="7"/>
      <c r="F2009" s="7" t="s">
        <v>6201</v>
      </c>
      <c r="G2009" s="7" t="s">
        <v>24</v>
      </c>
      <c r="H2009" s="7" t="str">
        <f>IFERROR(VLOOKUP(Table2[[#This Row],[Ticket]],Okey!A:B,2,0),"")</f>
        <v>ok</v>
      </c>
      <c r="I2009" s="7" t="s">
        <v>3679</v>
      </c>
      <c r="J2009" s="7" t="str">
        <f>VLOOKUP(Table2[[#This Row],[Author]],People!A:B,2,0)</f>
        <v>EL</v>
      </c>
      <c r="K2009" s="7" t="s">
        <v>5965</v>
      </c>
      <c r="L2009" s="7"/>
      <c r="M2009" s="16" t="s">
        <v>1040</v>
      </c>
    </row>
    <row r="2010" spans="1:13" x14ac:dyDescent="0.25">
      <c r="A2010" s="22">
        <f t="shared" si="31"/>
        <v>2009</v>
      </c>
      <c r="B2010" s="6" t="s">
        <v>5960</v>
      </c>
      <c r="C2010" s="6" t="s">
        <v>6123</v>
      </c>
      <c r="D2010" s="6" t="s">
        <v>6202</v>
      </c>
      <c r="E2010" s="6"/>
      <c r="F2010" s="6" t="s">
        <v>6197</v>
      </c>
      <c r="G2010" s="6" t="s">
        <v>24</v>
      </c>
      <c r="H2010" s="6" t="str">
        <f>IFERROR(VLOOKUP(Table2[[#This Row],[Ticket]],Okey!A:B,2,0),"")</f>
        <v>ok</v>
      </c>
      <c r="I2010" s="6" t="s">
        <v>3679</v>
      </c>
      <c r="J2010" s="6" t="str">
        <f>VLOOKUP(Table2[[#This Row],[Author]],People!A:B,2,0)</f>
        <v>EL</v>
      </c>
      <c r="K2010" s="6" t="s">
        <v>5965</v>
      </c>
      <c r="L2010" s="6"/>
      <c r="M2010" s="21" t="s">
        <v>1040</v>
      </c>
    </row>
    <row r="2011" spans="1:13" x14ac:dyDescent="0.25">
      <c r="A2011" s="23">
        <f t="shared" si="31"/>
        <v>2010</v>
      </c>
      <c r="B2011" s="7" t="s">
        <v>5960</v>
      </c>
      <c r="C2011" s="7" t="s">
        <v>6123</v>
      </c>
      <c r="D2011" s="7" t="s">
        <v>6203</v>
      </c>
      <c r="E2011" s="7"/>
      <c r="F2011" s="7" t="s">
        <v>6197</v>
      </c>
      <c r="G2011" s="7" t="s">
        <v>24</v>
      </c>
      <c r="H2011" s="7" t="str">
        <f>IFERROR(VLOOKUP(Table2[[#This Row],[Ticket]],Okey!A:B,2,0),"")</f>
        <v>ok</v>
      </c>
      <c r="I2011" s="7" t="s">
        <v>3679</v>
      </c>
      <c r="J2011" s="7" t="str">
        <f>VLOOKUP(Table2[[#This Row],[Author]],People!A:B,2,0)</f>
        <v>EL</v>
      </c>
      <c r="K2011" s="7" t="s">
        <v>5965</v>
      </c>
      <c r="L2011" s="7"/>
      <c r="M2011" s="16" t="s">
        <v>1040</v>
      </c>
    </row>
    <row r="2012" spans="1:13" x14ac:dyDescent="0.25">
      <c r="A2012" s="22">
        <f t="shared" si="31"/>
        <v>2011</v>
      </c>
      <c r="B2012" s="6" t="s">
        <v>5960</v>
      </c>
      <c r="C2012" s="6" t="s">
        <v>6123</v>
      </c>
      <c r="D2012" s="6" t="s">
        <v>2476</v>
      </c>
      <c r="E2012" s="6"/>
      <c r="F2012" s="6" t="s">
        <v>2714</v>
      </c>
      <c r="G2012" s="6" t="s">
        <v>24</v>
      </c>
      <c r="H2012" s="6" t="str">
        <f>IFERROR(VLOOKUP(Table2[[#This Row],[Ticket]],Okey!A:B,2,0),"")</f>
        <v>ok</v>
      </c>
      <c r="I2012" s="6" t="s">
        <v>3679</v>
      </c>
      <c r="J2012" s="6" t="str">
        <f>VLOOKUP(Table2[[#This Row],[Author]],People!A:B,2,0)</f>
        <v>EL</v>
      </c>
      <c r="K2012" s="6" t="s">
        <v>5965</v>
      </c>
      <c r="L2012" s="6"/>
      <c r="M2012" s="21" t="s">
        <v>1040</v>
      </c>
    </row>
    <row r="2013" spans="1:13" x14ac:dyDescent="0.25">
      <c r="A2013" s="23">
        <f t="shared" si="31"/>
        <v>2012</v>
      </c>
      <c r="B2013" s="7" t="s">
        <v>5960</v>
      </c>
      <c r="C2013" s="7" t="s">
        <v>6123</v>
      </c>
      <c r="D2013" s="7" t="s">
        <v>6204</v>
      </c>
      <c r="E2013" s="7"/>
      <c r="F2013" s="7" t="s">
        <v>6197</v>
      </c>
      <c r="G2013" s="7" t="s">
        <v>24</v>
      </c>
      <c r="H2013" s="7" t="str">
        <f>IFERROR(VLOOKUP(Table2[[#This Row],[Ticket]],Okey!A:B,2,0),"")</f>
        <v>ok</v>
      </c>
      <c r="I2013" s="7" t="s">
        <v>3679</v>
      </c>
      <c r="J2013" s="7" t="str">
        <f>VLOOKUP(Table2[[#This Row],[Author]],People!A:B,2,0)</f>
        <v>EL</v>
      </c>
      <c r="K2013" s="7" t="s">
        <v>5965</v>
      </c>
      <c r="L2013" s="7"/>
      <c r="M2013" s="16" t="s">
        <v>1040</v>
      </c>
    </row>
    <row r="2014" spans="1:13" x14ac:dyDescent="0.25">
      <c r="A2014" s="22">
        <f t="shared" si="31"/>
        <v>2013</v>
      </c>
      <c r="B2014" s="6" t="s">
        <v>5960</v>
      </c>
      <c r="C2014" s="6" t="s">
        <v>6123</v>
      </c>
      <c r="D2014" s="6" t="s">
        <v>6205</v>
      </c>
      <c r="E2014" s="6"/>
      <c r="F2014" s="6" t="s">
        <v>6197</v>
      </c>
      <c r="G2014" s="6" t="s">
        <v>24</v>
      </c>
      <c r="H2014" s="6" t="str">
        <f>IFERROR(VLOOKUP(Table2[[#This Row],[Ticket]],Okey!A:B,2,0),"")</f>
        <v>ok</v>
      </c>
      <c r="I2014" s="6" t="s">
        <v>3679</v>
      </c>
      <c r="J2014" s="6" t="str">
        <f>VLOOKUP(Table2[[#This Row],[Author]],People!A:B,2,0)</f>
        <v>EL</v>
      </c>
      <c r="K2014" s="6" t="s">
        <v>5965</v>
      </c>
      <c r="L2014" s="6"/>
      <c r="M2014" s="21" t="s">
        <v>1040</v>
      </c>
    </row>
    <row r="2015" spans="1:13" x14ac:dyDescent="0.25">
      <c r="A2015" s="23">
        <f t="shared" si="31"/>
        <v>2014</v>
      </c>
      <c r="B2015" s="7" t="s">
        <v>5960</v>
      </c>
      <c r="C2015" s="7" t="s">
        <v>6123</v>
      </c>
      <c r="D2015" s="7" t="s">
        <v>6206</v>
      </c>
      <c r="E2015" s="7"/>
      <c r="F2015" s="7" t="s">
        <v>6207</v>
      </c>
      <c r="G2015" s="7" t="s">
        <v>24</v>
      </c>
      <c r="H2015" s="7" t="str">
        <f>IFERROR(VLOOKUP(Table2[[#This Row],[Ticket]],Okey!A:B,2,0),"")</f>
        <v>ok</v>
      </c>
      <c r="I2015" s="7" t="s">
        <v>3679</v>
      </c>
      <c r="J2015" s="7" t="str">
        <f>VLOOKUP(Table2[[#This Row],[Author]],People!A:B,2,0)</f>
        <v>EL</v>
      </c>
      <c r="K2015" s="7" t="s">
        <v>5965</v>
      </c>
      <c r="L2015" s="7"/>
      <c r="M2015" s="16" t="s">
        <v>1040</v>
      </c>
    </row>
    <row r="2016" spans="1:13" x14ac:dyDescent="0.25">
      <c r="A2016" s="22">
        <f t="shared" si="31"/>
        <v>2015</v>
      </c>
      <c r="B2016" s="6" t="s">
        <v>5960</v>
      </c>
      <c r="C2016" s="6" t="s">
        <v>6123</v>
      </c>
      <c r="D2016" s="6" t="s">
        <v>6208</v>
      </c>
      <c r="E2016" s="6"/>
      <c r="F2016" s="6" t="s">
        <v>6201</v>
      </c>
      <c r="G2016" s="6" t="s">
        <v>24</v>
      </c>
      <c r="H2016" s="6" t="str">
        <f>IFERROR(VLOOKUP(Table2[[#This Row],[Ticket]],Okey!A:B,2,0),"")</f>
        <v>ok</v>
      </c>
      <c r="I2016" s="6" t="s">
        <v>3679</v>
      </c>
      <c r="J2016" s="6" t="str">
        <f>VLOOKUP(Table2[[#This Row],[Author]],People!A:B,2,0)</f>
        <v>EL</v>
      </c>
      <c r="K2016" s="6" t="s">
        <v>5965</v>
      </c>
      <c r="L2016" s="6"/>
      <c r="M2016" s="21" t="s">
        <v>1040</v>
      </c>
    </row>
    <row r="2017" spans="1:13" x14ac:dyDescent="0.25">
      <c r="A2017" s="23">
        <f t="shared" si="31"/>
        <v>2016</v>
      </c>
      <c r="B2017" s="7" t="s">
        <v>5960</v>
      </c>
      <c r="C2017" s="7" t="s">
        <v>6123</v>
      </c>
      <c r="D2017" s="7" t="s">
        <v>6209</v>
      </c>
      <c r="E2017" s="7"/>
      <c r="F2017" s="7" t="s">
        <v>6201</v>
      </c>
      <c r="G2017" s="7" t="s">
        <v>24</v>
      </c>
      <c r="H2017" s="7" t="str">
        <f>IFERROR(VLOOKUP(Table2[[#This Row],[Ticket]],Okey!A:B,2,0),"")</f>
        <v>ok</v>
      </c>
      <c r="I2017" s="7" t="s">
        <v>3679</v>
      </c>
      <c r="J2017" s="7" t="str">
        <f>VLOOKUP(Table2[[#This Row],[Author]],People!A:B,2,0)</f>
        <v>EL</v>
      </c>
      <c r="K2017" s="7" t="s">
        <v>5965</v>
      </c>
      <c r="L2017" s="7"/>
      <c r="M2017" s="16" t="s">
        <v>1040</v>
      </c>
    </row>
    <row r="2018" spans="1:13" x14ac:dyDescent="0.25">
      <c r="A2018" s="22">
        <f t="shared" si="31"/>
        <v>2017</v>
      </c>
      <c r="B2018" s="6" t="s">
        <v>5960</v>
      </c>
      <c r="C2018" s="6" t="s">
        <v>6123</v>
      </c>
      <c r="D2018" s="6" t="s">
        <v>6210</v>
      </c>
      <c r="E2018" s="6"/>
      <c r="F2018" s="6" t="s">
        <v>6207</v>
      </c>
      <c r="G2018" s="6" t="s">
        <v>24</v>
      </c>
      <c r="H2018" s="6" t="str">
        <f>IFERROR(VLOOKUP(Table2[[#This Row],[Ticket]],Okey!A:B,2,0),"")</f>
        <v>ok</v>
      </c>
      <c r="I2018" s="6" t="s">
        <v>3679</v>
      </c>
      <c r="J2018" s="6" t="str">
        <f>VLOOKUP(Table2[[#This Row],[Author]],People!A:B,2,0)</f>
        <v>EL</v>
      </c>
      <c r="K2018" s="6" t="s">
        <v>5965</v>
      </c>
      <c r="L2018" s="6"/>
      <c r="M2018" s="21" t="s">
        <v>1040</v>
      </c>
    </row>
    <row r="2019" spans="1:13" x14ac:dyDescent="0.25">
      <c r="A2019" s="23">
        <f t="shared" si="31"/>
        <v>2018</v>
      </c>
      <c r="B2019" s="7" t="s">
        <v>5960</v>
      </c>
      <c r="C2019" s="7" t="s">
        <v>6123</v>
      </c>
      <c r="D2019" s="7" t="s">
        <v>6211</v>
      </c>
      <c r="E2019" s="7"/>
      <c r="F2019" s="7" t="s">
        <v>6201</v>
      </c>
      <c r="G2019" s="7" t="s">
        <v>24</v>
      </c>
      <c r="H2019" s="7" t="str">
        <f>IFERROR(VLOOKUP(Table2[[#This Row],[Ticket]],Okey!A:B,2,0),"")</f>
        <v>ok</v>
      </c>
      <c r="I2019" s="7" t="s">
        <v>3679</v>
      </c>
      <c r="J2019" s="7" t="str">
        <f>VLOOKUP(Table2[[#This Row],[Author]],People!A:B,2,0)</f>
        <v>EL</v>
      </c>
      <c r="K2019" s="7" t="s">
        <v>5965</v>
      </c>
      <c r="L2019" s="7"/>
      <c r="M2019" s="16" t="s">
        <v>1040</v>
      </c>
    </row>
    <row r="2020" spans="1:13" x14ac:dyDescent="0.25">
      <c r="A2020" s="22">
        <f t="shared" si="31"/>
        <v>2019</v>
      </c>
      <c r="B2020" s="6" t="s">
        <v>5960</v>
      </c>
      <c r="C2020" s="6" t="s">
        <v>6123</v>
      </c>
      <c r="D2020" s="6" t="s">
        <v>6212</v>
      </c>
      <c r="E2020" s="6"/>
      <c r="F2020" s="6" t="s">
        <v>6201</v>
      </c>
      <c r="G2020" s="6" t="s">
        <v>24</v>
      </c>
      <c r="H2020" s="6" t="str">
        <f>IFERROR(VLOOKUP(Table2[[#This Row],[Ticket]],Okey!A:B,2,0),"")</f>
        <v>ok</v>
      </c>
      <c r="I2020" s="6" t="s">
        <v>3679</v>
      </c>
      <c r="J2020" s="6" t="str">
        <f>VLOOKUP(Table2[[#This Row],[Author]],People!A:B,2,0)</f>
        <v>EL</v>
      </c>
      <c r="K2020" s="6" t="s">
        <v>5965</v>
      </c>
      <c r="L2020" s="6"/>
      <c r="M2020" s="21" t="s">
        <v>1040</v>
      </c>
    </row>
    <row r="2021" spans="1:13" x14ac:dyDescent="0.25">
      <c r="A2021" s="23">
        <f t="shared" si="31"/>
        <v>2020</v>
      </c>
      <c r="B2021" s="7" t="s">
        <v>5960</v>
      </c>
      <c r="C2021" s="7" t="s">
        <v>6123</v>
      </c>
      <c r="D2021" s="7" t="s">
        <v>6213</v>
      </c>
      <c r="E2021" s="7"/>
      <c r="F2021" s="7" t="s">
        <v>6207</v>
      </c>
      <c r="G2021" s="7" t="s">
        <v>24</v>
      </c>
      <c r="H2021" s="7" t="str">
        <f>IFERROR(VLOOKUP(Table2[[#This Row],[Ticket]],Okey!A:B,2,0),"")</f>
        <v>ok</v>
      </c>
      <c r="I2021" s="7" t="s">
        <v>3679</v>
      </c>
      <c r="J2021" s="7" t="str">
        <f>VLOOKUP(Table2[[#This Row],[Author]],People!A:B,2,0)</f>
        <v>EL</v>
      </c>
      <c r="K2021" s="7" t="s">
        <v>5965</v>
      </c>
      <c r="L2021" s="7"/>
      <c r="M2021" s="16" t="s">
        <v>1040</v>
      </c>
    </row>
    <row r="2022" spans="1:13" x14ac:dyDescent="0.25">
      <c r="A2022" s="22">
        <f t="shared" si="31"/>
        <v>2021</v>
      </c>
      <c r="B2022" s="6" t="s">
        <v>5960</v>
      </c>
      <c r="C2022" s="6" t="s">
        <v>6123</v>
      </c>
      <c r="D2022" s="6" t="s">
        <v>6214</v>
      </c>
      <c r="E2022" s="6"/>
      <c r="F2022" s="6" t="s">
        <v>6197</v>
      </c>
      <c r="G2022" s="6" t="s">
        <v>24</v>
      </c>
      <c r="H2022" s="6" t="str">
        <f>IFERROR(VLOOKUP(Table2[[#This Row],[Ticket]],Okey!A:B,2,0),"")</f>
        <v>ok</v>
      </c>
      <c r="I2022" s="6" t="s">
        <v>3679</v>
      </c>
      <c r="J2022" s="6" t="str">
        <f>VLOOKUP(Table2[[#This Row],[Author]],People!A:B,2,0)</f>
        <v>EL</v>
      </c>
      <c r="K2022" s="6" t="s">
        <v>5965</v>
      </c>
      <c r="L2022" s="6"/>
      <c r="M2022" s="21" t="s">
        <v>1040</v>
      </c>
    </row>
    <row r="2023" spans="1:13" x14ac:dyDescent="0.25">
      <c r="A2023" s="23">
        <f t="shared" si="31"/>
        <v>2022</v>
      </c>
      <c r="B2023" s="7" t="s">
        <v>5960</v>
      </c>
      <c r="C2023" s="7" t="s">
        <v>6123</v>
      </c>
      <c r="D2023" s="7" t="s">
        <v>2478</v>
      </c>
      <c r="E2023" s="7"/>
      <c r="F2023" s="7" t="s">
        <v>2714</v>
      </c>
      <c r="G2023" s="7" t="s">
        <v>24</v>
      </c>
      <c r="H2023" s="7" t="str">
        <f>IFERROR(VLOOKUP(Table2[[#This Row],[Ticket]],Okey!A:B,2,0),"")</f>
        <v>ok</v>
      </c>
      <c r="I2023" s="7" t="s">
        <v>3679</v>
      </c>
      <c r="J2023" s="7" t="str">
        <f>VLOOKUP(Table2[[#This Row],[Author]],People!A:B,2,0)</f>
        <v>EL</v>
      </c>
      <c r="K2023" s="7" t="s">
        <v>5965</v>
      </c>
      <c r="L2023" s="7"/>
      <c r="M2023" s="16" t="s">
        <v>1040</v>
      </c>
    </row>
    <row r="2024" spans="1:13" x14ac:dyDescent="0.25">
      <c r="A2024" s="22">
        <f t="shared" si="31"/>
        <v>2023</v>
      </c>
      <c r="B2024" s="6" t="s">
        <v>5960</v>
      </c>
      <c r="C2024" s="6" t="s">
        <v>6123</v>
      </c>
      <c r="D2024" s="6" t="s">
        <v>6215</v>
      </c>
      <c r="E2024" s="6"/>
      <c r="F2024" s="6" t="s">
        <v>6197</v>
      </c>
      <c r="G2024" s="6" t="s">
        <v>24</v>
      </c>
      <c r="H2024" s="6" t="str">
        <f>IFERROR(VLOOKUP(Table2[[#This Row],[Ticket]],Okey!A:B,2,0),"")</f>
        <v>ok</v>
      </c>
      <c r="I2024" s="6" t="s">
        <v>3679</v>
      </c>
      <c r="J2024" s="6" t="str">
        <f>VLOOKUP(Table2[[#This Row],[Author]],People!A:B,2,0)</f>
        <v>EL</v>
      </c>
      <c r="K2024" s="6" t="s">
        <v>5965</v>
      </c>
      <c r="L2024" s="6"/>
      <c r="M2024" s="21" t="s">
        <v>1040</v>
      </c>
    </row>
    <row r="2025" spans="1:13" x14ac:dyDescent="0.25">
      <c r="A2025" s="23">
        <f t="shared" si="31"/>
        <v>2024</v>
      </c>
      <c r="B2025" s="7" t="s">
        <v>5960</v>
      </c>
      <c r="C2025" s="7" t="s">
        <v>6123</v>
      </c>
      <c r="D2025" s="7" t="s">
        <v>6216</v>
      </c>
      <c r="E2025" s="7"/>
      <c r="F2025" s="7" t="s">
        <v>6161</v>
      </c>
      <c r="G2025" s="7" t="s">
        <v>24</v>
      </c>
      <c r="H2025" s="7" t="str">
        <f>IFERROR(VLOOKUP(Table2[[#This Row],[Ticket]],Okey!A:B,2,0),"")</f>
        <v>ok</v>
      </c>
      <c r="I2025" s="7" t="s">
        <v>3679</v>
      </c>
      <c r="J2025" s="7" t="str">
        <f>VLOOKUP(Table2[[#This Row],[Author]],People!A:B,2,0)</f>
        <v>EL</v>
      </c>
      <c r="K2025" s="7" t="s">
        <v>5965</v>
      </c>
      <c r="L2025" s="7"/>
      <c r="M2025" s="16" t="s">
        <v>1040</v>
      </c>
    </row>
    <row r="2026" spans="1:13" x14ac:dyDescent="0.25">
      <c r="A2026" s="22">
        <f t="shared" si="31"/>
        <v>2025</v>
      </c>
      <c r="B2026" s="6" t="s">
        <v>5960</v>
      </c>
      <c r="C2026" s="6" t="s">
        <v>6123</v>
      </c>
      <c r="D2026" s="6" t="s">
        <v>6217</v>
      </c>
      <c r="E2026" s="6"/>
      <c r="F2026" s="6" t="s">
        <v>6197</v>
      </c>
      <c r="G2026" s="6" t="s">
        <v>24</v>
      </c>
      <c r="H2026" s="6" t="str">
        <f>IFERROR(VLOOKUP(Table2[[#This Row],[Ticket]],Okey!A:B,2,0),"")</f>
        <v>ok</v>
      </c>
      <c r="I2026" s="6" t="s">
        <v>3679</v>
      </c>
      <c r="J2026" s="6" t="str">
        <f>VLOOKUP(Table2[[#This Row],[Author]],People!A:B,2,0)</f>
        <v>EL</v>
      </c>
      <c r="K2026" s="6" t="s">
        <v>5965</v>
      </c>
      <c r="L2026" s="6"/>
      <c r="M2026" s="21" t="s">
        <v>1040</v>
      </c>
    </row>
    <row r="2027" spans="1:13" x14ac:dyDescent="0.25">
      <c r="A2027" s="23">
        <f t="shared" si="31"/>
        <v>2026</v>
      </c>
      <c r="B2027" s="7" t="s">
        <v>5960</v>
      </c>
      <c r="C2027" s="7" t="s">
        <v>6123</v>
      </c>
      <c r="D2027" s="7" t="s">
        <v>1112</v>
      </c>
      <c r="E2027" s="7"/>
      <c r="F2027" s="7" t="s">
        <v>6218</v>
      </c>
      <c r="G2027" s="7" t="s">
        <v>24</v>
      </c>
      <c r="H2027" s="7" t="str">
        <f>IFERROR(VLOOKUP(Table2[[#This Row],[Ticket]],Okey!A:B,2,0),"")</f>
        <v>ok</v>
      </c>
      <c r="I2027" s="7" t="s">
        <v>3679</v>
      </c>
      <c r="J2027" s="7" t="str">
        <f>VLOOKUP(Table2[[#This Row],[Author]],People!A:B,2,0)</f>
        <v>EL</v>
      </c>
      <c r="K2027" s="7" t="s">
        <v>5965</v>
      </c>
      <c r="L2027" s="7"/>
      <c r="M2027" s="16" t="s">
        <v>1040</v>
      </c>
    </row>
    <row r="2028" spans="1:13" x14ac:dyDescent="0.25">
      <c r="A2028" s="22">
        <f t="shared" si="31"/>
        <v>2027</v>
      </c>
      <c r="B2028" s="6" t="s">
        <v>5960</v>
      </c>
      <c r="C2028" s="6" t="s">
        <v>6123</v>
      </c>
      <c r="D2028" s="6" t="s">
        <v>6219</v>
      </c>
      <c r="E2028" s="6"/>
      <c r="F2028" s="6" t="s">
        <v>1142</v>
      </c>
      <c r="G2028" s="6" t="s">
        <v>24</v>
      </c>
      <c r="H2028" s="6" t="str">
        <f>IFERROR(VLOOKUP(Table2[[#This Row],[Ticket]],Okey!A:B,2,0),"")</f>
        <v>ok</v>
      </c>
      <c r="I2028" s="6" t="s">
        <v>3679</v>
      </c>
      <c r="J2028" s="6" t="str">
        <f>VLOOKUP(Table2[[#This Row],[Author]],People!A:B,2,0)</f>
        <v>EL</v>
      </c>
      <c r="K2028" s="6" t="s">
        <v>5965</v>
      </c>
      <c r="L2028" s="6"/>
      <c r="M2028" s="21" t="s">
        <v>1040</v>
      </c>
    </row>
    <row r="2029" spans="1:13" x14ac:dyDescent="0.25">
      <c r="A2029" s="23">
        <f t="shared" si="31"/>
        <v>2028</v>
      </c>
      <c r="B2029" s="7" t="s">
        <v>5960</v>
      </c>
      <c r="C2029" s="7" t="s">
        <v>6123</v>
      </c>
      <c r="D2029" s="7" t="s">
        <v>6220</v>
      </c>
      <c r="E2029" s="7"/>
      <c r="F2029" s="7" t="s">
        <v>6197</v>
      </c>
      <c r="G2029" s="7" t="s">
        <v>24</v>
      </c>
      <c r="H2029" s="7" t="str">
        <f>IFERROR(VLOOKUP(Table2[[#This Row],[Ticket]],Okey!A:B,2,0),"")</f>
        <v>ok</v>
      </c>
      <c r="I2029" s="7" t="s">
        <v>3679</v>
      </c>
      <c r="J2029" s="7" t="str">
        <f>VLOOKUP(Table2[[#This Row],[Author]],People!A:B,2,0)</f>
        <v>EL</v>
      </c>
      <c r="K2029" s="7" t="s">
        <v>5965</v>
      </c>
      <c r="L2029" s="7"/>
      <c r="M2029" s="16" t="s">
        <v>1040</v>
      </c>
    </row>
    <row r="2030" spans="1:13" x14ac:dyDescent="0.25">
      <c r="A2030" s="22">
        <f t="shared" si="31"/>
        <v>2029</v>
      </c>
      <c r="B2030" s="6" t="s">
        <v>5960</v>
      </c>
      <c r="C2030" s="6" t="s">
        <v>6123</v>
      </c>
      <c r="D2030" s="6" t="s">
        <v>6221</v>
      </c>
      <c r="E2030" s="6"/>
      <c r="F2030" s="6" t="s">
        <v>6197</v>
      </c>
      <c r="G2030" s="6" t="s">
        <v>24</v>
      </c>
      <c r="H2030" s="6" t="str">
        <f>IFERROR(VLOOKUP(Table2[[#This Row],[Ticket]],Okey!A:B,2,0),"")</f>
        <v>ok</v>
      </c>
      <c r="I2030" s="6" t="s">
        <v>3679</v>
      </c>
      <c r="J2030" s="6" t="str">
        <f>VLOOKUP(Table2[[#This Row],[Author]],People!A:B,2,0)</f>
        <v>EL</v>
      </c>
      <c r="K2030" s="6" t="s">
        <v>5965</v>
      </c>
      <c r="L2030" s="6"/>
      <c r="M2030" s="21" t="s">
        <v>1040</v>
      </c>
    </row>
    <row r="2031" spans="1:13" x14ac:dyDescent="0.25">
      <c r="A2031" s="23">
        <f t="shared" si="31"/>
        <v>2030</v>
      </c>
      <c r="B2031" s="7" t="s">
        <v>5960</v>
      </c>
      <c r="C2031" s="7" t="s">
        <v>6123</v>
      </c>
      <c r="D2031" s="7" t="s">
        <v>6222</v>
      </c>
      <c r="E2031" s="7"/>
      <c r="F2031" s="7" t="s">
        <v>6197</v>
      </c>
      <c r="G2031" s="7" t="s">
        <v>24</v>
      </c>
      <c r="H2031" s="7" t="str">
        <f>IFERROR(VLOOKUP(Table2[[#This Row],[Ticket]],Okey!A:B,2,0),"")</f>
        <v>ok</v>
      </c>
      <c r="I2031" s="7" t="s">
        <v>3679</v>
      </c>
      <c r="J2031" s="7" t="str">
        <f>VLOOKUP(Table2[[#This Row],[Author]],People!A:B,2,0)</f>
        <v>EL</v>
      </c>
      <c r="K2031" s="7" t="s">
        <v>5965</v>
      </c>
      <c r="L2031" s="7"/>
      <c r="M2031" s="16" t="s">
        <v>1040</v>
      </c>
    </row>
    <row r="2032" spans="1:13" x14ac:dyDescent="0.25">
      <c r="A2032" s="22">
        <f t="shared" si="31"/>
        <v>2031</v>
      </c>
      <c r="B2032" s="6" t="s">
        <v>5960</v>
      </c>
      <c r="C2032" s="6" t="s">
        <v>6123</v>
      </c>
      <c r="D2032" s="6" t="s">
        <v>1224</v>
      </c>
      <c r="E2032" s="6"/>
      <c r="F2032" s="6" t="s">
        <v>1142</v>
      </c>
      <c r="G2032" s="6" t="s">
        <v>24</v>
      </c>
      <c r="H2032" s="6" t="str">
        <f>IFERROR(VLOOKUP(Table2[[#This Row],[Ticket]],Okey!A:B,2,0),"")</f>
        <v>ok</v>
      </c>
      <c r="I2032" s="6" t="s">
        <v>3679</v>
      </c>
      <c r="J2032" s="6" t="str">
        <f>VLOOKUP(Table2[[#This Row],[Author]],People!A:B,2,0)</f>
        <v>EL</v>
      </c>
      <c r="K2032" s="6" t="s">
        <v>5965</v>
      </c>
      <c r="L2032" s="6"/>
      <c r="M2032" s="21" t="s">
        <v>1040</v>
      </c>
    </row>
    <row r="2033" spans="1:13" x14ac:dyDescent="0.25">
      <c r="A2033" s="23">
        <f t="shared" si="31"/>
        <v>2032</v>
      </c>
      <c r="B2033" s="7" t="s">
        <v>5960</v>
      </c>
      <c r="C2033" s="7" t="s">
        <v>6123</v>
      </c>
      <c r="D2033" s="7" t="s">
        <v>1225</v>
      </c>
      <c r="E2033" s="7"/>
      <c r="F2033" s="7" t="s">
        <v>1142</v>
      </c>
      <c r="G2033" s="7" t="s">
        <v>24</v>
      </c>
      <c r="H2033" s="7" t="str">
        <f>IFERROR(VLOOKUP(Table2[[#This Row],[Ticket]],Okey!A:B,2,0),"")</f>
        <v>ok</v>
      </c>
      <c r="I2033" s="7" t="s">
        <v>3679</v>
      </c>
      <c r="J2033" s="7" t="str">
        <f>VLOOKUP(Table2[[#This Row],[Author]],People!A:B,2,0)</f>
        <v>EL</v>
      </c>
      <c r="K2033" s="7" t="s">
        <v>5965</v>
      </c>
      <c r="L2033" s="7"/>
      <c r="M2033" s="16" t="s">
        <v>1040</v>
      </c>
    </row>
    <row r="2034" spans="1:13" x14ac:dyDescent="0.25">
      <c r="A2034" s="22">
        <f t="shared" si="31"/>
        <v>2033</v>
      </c>
      <c r="B2034" s="6" t="s">
        <v>5960</v>
      </c>
      <c r="C2034" s="6" t="s">
        <v>6123</v>
      </c>
      <c r="D2034" s="6" t="s">
        <v>1226</v>
      </c>
      <c r="E2034" s="6"/>
      <c r="F2034" s="6" t="s">
        <v>1142</v>
      </c>
      <c r="G2034" s="6" t="s">
        <v>24</v>
      </c>
      <c r="H2034" s="6" t="str">
        <f>IFERROR(VLOOKUP(Table2[[#This Row],[Ticket]],Okey!A:B,2,0),"")</f>
        <v>ok</v>
      </c>
      <c r="I2034" s="6" t="s">
        <v>3679</v>
      </c>
      <c r="J2034" s="6" t="str">
        <f>VLOOKUP(Table2[[#This Row],[Author]],People!A:B,2,0)</f>
        <v>EL</v>
      </c>
      <c r="K2034" s="6" t="s">
        <v>5965</v>
      </c>
      <c r="L2034" s="6"/>
      <c r="M2034" s="21" t="s">
        <v>1040</v>
      </c>
    </row>
    <row r="2035" spans="1:13" x14ac:dyDescent="0.25">
      <c r="A2035" s="23">
        <f t="shared" si="31"/>
        <v>2034</v>
      </c>
      <c r="B2035" s="7" t="s">
        <v>5960</v>
      </c>
      <c r="C2035" s="7" t="s">
        <v>6123</v>
      </c>
      <c r="D2035" s="7" t="s">
        <v>6223</v>
      </c>
      <c r="E2035" s="7"/>
      <c r="F2035" s="7" t="s">
        <v>1142</v>
      </c>
      <c r="G2035" s="7" t="s">
        <v>24</v>
      </c>
      <c r="H2035" s="7" t="str">
        <f>IFERROR(VLOOKUP(Table2[[#This Row],[Ticket]],Okey!A:B,2,0),"")</f>
        <v>ok</v>
      </c>
      <c r="I2035" s="7" t="s">
        <v>3679</v>
      </c>
      <c r="J2035" s="7" t="str">
        <f>VLOOKUP(Table2[[#This Row],[Author]],People!A:B,2,0)</f>
        <v>EL</v>
      </c>
      <c r="K2035" s="7" t="s">
        <v>5965</v>
      </c>
      <c r="L2035" s="7"/>
      <c r="M2035" s="16" t="s">
        <v>1040</v>
      </c>
    </row>
    <row r="2036" spans="1:13" x14ac:dyDescent="0.25">
      <c r="A2036" s="22">
        <f t="shared" si="31"/>
        <v>2035</v>
      </c>
      <c r="B2036" s="6" t="s">
        <v>5960</v>
      </c>
      <c r="C2036" s="6" t="s">
        <v>6123</v>
      </c>
      <c r="D2036" s="6" t="s">
        <v>1141</v>
      </c>
      <c r="E2036" s="6"/>
      <c r="F2036" s="6" t="s">
        <v>1154</v>
      </c>
      <c r="G2036" s="6" t="s">
        <v>24</v>
      </c>
      <c r="H2036" s="6" t="str">
        <f>IFERROR(VLOOKUP(Table2[[#This Row],[Ticket]],Okey!A:B,2,0),"")</f>
        <v>ok</v>
      </c>
      <c r="I2036" s="6" t="s">
        <v>3679</v>
      </c>
      <c r="J2036" s="6" t="str">
        <f>VLOOKUP(Table2[[#This Row],[Author]],People!A:B,2,0)</f>
        <v>EL</v>
      </c>
      <c r="K2036" s="6" t="s">
        <v>5965</v>
      </c>
      <c r="L2036" s="6"/>
      <c r="M2036" s="21" t="s">
        <v>1040</v>
      </c>
    </row>
    <row r="2037" spans="1:13" x14ac:dyDescent="0.25">
      <c r="A2037" s="23">
        <f t="shared" si="31"/>
        <v>2036</v>
      </c>
      <c r="B2037" s="7" t="s">
        <v>5960</v>
      </c>
      <c r="C2037" s="7" t="s">
        <v>6123</v>
      </c>
      <c r="D2037" s="7" t="s">
        <v>6224</v>
      </c>
      <c r="E2037" s="7"/>
      <c r="F2037" s="7" t="s">
        <v>1154</v>
      </c>
      <c r="G2037" s="7" t="s">
        <v>24</v>
      </c>
      <c r="H2037" s="7" t="str">
        <f>IFERROR(VLOOKUP(Table2[[#This Row],[Ticket]],Okey!A:B,2,0),"")</f>
        <v>ok</v>
      </c>
      <c r="I2037" s="7" t="s">
        <v>3679</v>
      </c>
      <c r="J2037" s="7" t="str">
        <f>VLOOKUP(Table2[[#This Row],[Author]],People!A:B,2,0)</f>
        <v>EL</v>
      </c>
      <c r="K2037" s="7" t="s">
        <v>5965</v>
      </c>
      <c r="L2037" s="7"/>
      <c r="M2037" s="16" t="s">
        <v>1040</v>
      </c>
    </row>
    <row r="2038" spans="1:13" x14ac:dyDescent="0.25">
      <c r="A2038" s="22">
        <f t="shared" si="31"/>
        <v>2037</v>
      </c>
      <c r="B2038" s="6" t="s">
        <v>5960</v>
      </c>
      <c r="C2038" s="6" t="s">
        <v>6123</v>
      </c>
      <c r="D2038" s="6" t="s">
        <v>1131</v>
      </c>
      <c r="E2038" s="6"/>
      <c r="F2038" s="6" t="s">
        <v>1365</v>
      </c>
      <c r="G2038" s="6" t="s">
        <v>24</v>
      </c>
      <c r="H2038" s="6" t="str">
        <f>IFERROR(VLOOKUP(Table2[[#This Row],[Ticket]],Okey!A:B,2,0),"")</f>
        <v>ok</v>
      </c>
      <c r="I2038" s="6" t="s">
        <v>3679</v>
      </c>
      <c r="J2038" s="6" t="str">
        <f>VLOOKUP(Table2[[#This Row],[Author]],People!A:B,2,0)</f>
        <v>EL</v>
      </c>
      <c r="K2038" s="6" t="s">
        <v>5965</v>
      </c>
      <c r="L2038" s="6"/>
      <c r="M2038" s="21" t="s">
        <v>1040</v>
      </c>
    </row>
    <row r="2039" spans="1:13" x14ac:dyDescent="0.25">
      <c r="A2039" s="23">
        <f t="shared" si="31"/>
        <v>2038</v>
      </c>
      <c r="B2039" s="7" t="s">
        <v>5960</v>
      </c>
      <c r="C2039" s="7" t="s">
        <v>6123</v>
      </c>
      <c r="D2039" s="7" t="s">
        <v>1136</v>
      </c>
      <c r="E2039" s="7"/>
      <c r="F2039" s="7" t="s">
        <v>1365</v>
      </c>
      <c r="G2039" s="7" t="s">
        <v>24</v>
      </c>
      <c r="H2039" s="7" t="str">
        <f>IFERROR(VLOOKUP(Table2[[#This Row],[Ticket]],Okey!A:B,2,0),"")</f>
        <v>ok</v>
      </c>
      <c r="I2039" s="7" t="s">
        <v>3679</v>
      </c>
      <c r="J2039" s="7" t="str">
        <f>VLOOKUP(Table2[[#This Row],[Author]],People!A:B,2,0)</f>
        <v>EL</v>
      </c>
      <c r="K2039" s="7" t="s">
        <v>5965</v>
      </c>
      <c r="L2039" s="7"/>
      <c r="M2039" s="16" t="s">
        <v>1040</v>
      </c>
    </row>
    <row r="2040" spans="1:13" x14ac:dyDescent="0.25">
      <c r="A2040" s="22">
        <f t="shared" si="31"/>
        <v>2039</v>
      </c>
      <c r="B2040" s="6" t="s">
        <v>5960</v>
      </c>
      <c r="C2040" s="6" t="s">
        <v>6123</v>
      </c>
      <c r="D2040" s="6" t="s">
        <v>6225</v>
      </c>
      <c r="E2040" s="6"/>
      <c r="F2040" s="6" t="s">
        <v>6226</v>
      </c>
      <c r="G2040" s="6" t="s">
        <v>24</v>
      </c>
      <c r="H2040" s="6" t="str">
        <f>IFERROR(VLOOKUP(Table2[[#This Row],[Ticket]],Okey!A:B,2,0),"")</f>
        <v>ok</v>
      </c>
      <c r="I2040" s="6" t="s">
        <v>3679</v>
      </c>
      <c r="J2040" s="6" t="str">
        <f>VLOOKUP(Table2[[#This Row],[Author]],People!A:B,2,0)</f>
        <v>EL</v>
      </c>
      <c r="K2040" s="6" t="s">
        <v>5965</v>
      </c>
      <c r="L2040" s="6"/>
      <c r="M2040" s="21" t="s">
        <v>1040</v>
      </c>
    </row>
    <row r="2041" spans="1:13" x14ac:dyDescent="0.25">
      <c r="A2041" s="23">
        <f t="shared" si="31"/>
        <v>2040</v>
      </c>
      <c r="B2041" s="7" t="s">
        <v>5960</v>
      </c>
      <c r="C2041" s="7" t="s">
        <v>6123</v>
      </c>
      <c r="D2041" s="7" t="s">
        <v>6227</v>
      </c>
      <c r="E2041" s="7"/>
      <c r="F2041" s="7" t="s">
        <v>6228</v>
      </c>
      <c r="G2041" s="7" t="s">
        <v>24</v>
      </c>
      <c r="H2041" s="7" t="str">
        <f>IFERROR(VLOOKUP(Table2[[#This Row],[Ticket]],Okey!A:B,2,0),"")</f>
        <v>ok</v>
      </c>
      <c r="I2041" s="7" t="s">
        <v>3679</v>
      </c>
      <c r="J2041" s="7" t="str">
        <f>VLOOKUP(Table2[[#This Row],[Author]],People!A:B,2,0)</f>
        <v>EL</v>
      </c>
      <c r="K2041" s="7" t="s">
        <v>5965</v>
      </c>
      <c r="L2041" s="7"/>
      <c r="M2041" s="16" t="s">
        <v>1040</v>
      </c>
    </row>
    <row r="2042" spans="1:13" x14ac:dyDescent="0.25">
      <c r="A2042" s="22">
        <f t="shared" si="31"/>
        <v>2041</v>
      </c>
      <c r="B2042" s="6" t="s">
        <v>5960</v>
      </c>
      <c r="C2042" s="6" t="s">
        <v>6123</v>
      </c>
      <c r="D2042" s="6" t="s">
        <v>6229</v>
      </c>
      <c r="E2042" s="6"/>
      <c r="F2042" s="6" t="s">
        <v>6227</v>
      </c>
      <c r="G2042" s="6" t="s">
        <v>24</v>
      </c>
      <c r="H2042" s="6" t="str">
        <f>IFERROR(VLOOKUP(Table2[[#This Row],[Ticket]],Okey!A:B,2,0),"")</f>
        <v>ok</v>
      </c>
      <c r="I2042" s="6" t="s">
        <v>3679</v>
      </c>
      <c r="J2042" s="6" t="str">
        <f>VLOOKUP(Table2[[#This Row],[Author]],People!A:B,2,0)</f>
        <v>EL</v>
      </c>
      <c r="K2042" s="6" t="s">
        <v>5965</v>
      </c>
      <c r="L2042" s="6"/>
      <c r="M2042" s="21" t="s">
        <v>1040</v>
      </c>
    </row>
    <row r="2043" spans="1:13" x14ac:dyDescent="0.25">
      <c r="A2043" s="23">
        <f t="shared" si="31"/>
        <v>2042</v>
      </c>
      <c r="B2043" s="7" t="s">
        <v>5960</v>
      </c>
      <c r="C2043" s="7" t="s">
        <v>6123</v>
      </c>
      <c r="D2043" s="7" t="s">
        <v>2481</v>
      </c>
      <c r="E2043" s="7"/>
      <c r="F2043" s="7" t="s">
        <v>6134</v>
      </c>
      <c r="G2043" s="7" t="s">
        <v>24</v>
      </c>
      <c r="H2043" s="7" t="str">
        <f>IFERROR(VLOOKUP(Table2[[#This Row],[Ticket]],Okey!A:B,2,0),"")</f>
        <v>ok</v>
      </c>
      <c r="I2043" s="7" t="s">
        <v>3679</v>
      </c>
      <c r="J2043" s="7" t="str">
        <f>VLOOKUP(Table2[[#This Row],[Author]],People!A:B,2,0)</f>
        <v>EL</v>
      </c>
      <c r="K2043" s="7" t="s">
        <v>5965</v>
      </c>
      <c r="L2043" s="7"/>
      <c r="M2043" s="16" t="s">
        <v>1040</v>
      </c>
    </row>
    <row r="2044" spans="1:13" x14ac:dyDescent="0.25">
      <c r="A2044" s="22">
        <f t="shared" si="31"/>
        <v>2043</v>
      </c>
      <c r="B2044" s="6" t="s">
        <v>5960</v>
      </c>
      <c r="C2044" s="6" t="s">
        <v>6123</v>
      </c>
      <c r="D2044" s="6" t="s">
        <v>6230</v>
      </c>
      <c r="E2044" s="6"/>
      <c r="F2044" s="6" t="s">
        <v>6143</v>
      </c>
      <c r="G2044" s="6" t="s">
        <v>24</v>
      </c>
      <c r="H2044" s="6" t="str">
        <f>IFERROR(VLOOKUP(Table2[[#This Row],[Ticket]],Okey!A:B,2,0),"")</f>
        <v>ok</v>
      </c>
      <c r="I2044" s="6" t="s">
        <v>3679</v>
      </c>
      <c r="J2044" s="6" t="str">
        <f>VLOOKUP(Table2[[#This Row],[Author]],People!A:B,2,0)</f>
        <v>EL</v>
      </c>
      <c r="K2044" s="6" t="s">
        <v>5965</v>
      </c>
      <c r="L2044" s="6"/>
      <c r="M2044" s="21" t="s">
        <v>1040</v>
      </c>
    </row>
    <row r="2045" spans="1:13" x14ac:dyDescent="0.25">
      <c r="A2045" s="23">
        <f t="shared" si="31"/>
        <v>2044</v>
      </c>
      <c r="B2045" s="7" t="s">
        <v>5960</v>
      </c>
      <c r="C2045" s="7" t="s">
        <v>6123</v>
      </c>
      <c r="D2045" s="7" t="s">
        <v>6231</v>
      </c>
      <c r="E2045" s="7"/>
      <c r="F2045" s="7" t="s">
        <v>1394</v>
      </c>
      <c r="G2045" s="7" t="s">
        <v>24</v>
      </c>
      <c r="H2045" s="7" t="str">
        <f>IFERROR(VLOOKUP(Table2[[#This Row],[Ticket]],Okey!A:B,2,0),"")</f>
        <v>ok</v>
      </c>
      <c r="I2045" s="7" t="s">
        <v>3679</v>
      </c>
      <c r="J2045" s="7" t="str">
        <f>VLOOKUP(Table2[[#This Row],[Author]],People!A:B,2,0)</f>
        <v>EL</v>
      </c>
      <c r="K2045" s="7" t="s">
        <v>5965</v>
      </c>
      <c r="L2045" s="7"/>
      <c r="M2045" s="16" t="s">
        <v>1040</v>
      </c>
    </row>
    <row r="2046" spans="1:13" x14ac:dyDescent="0.25">
      <c r="A2046" s="22">
        <f t="shared" si="31"/>
        <v>2045</v>
      </c>
      <c r="B2046" s="6" t="s">
        <v>5960</v>
      </c>
      <c r="C2046" s="6" t="s">
        <v>6123</v>
      </c>
      <c r="D2046" s="6" t="s">
        <v>6232</v>
      </c>
      <c r="E2046" s="6"/>
      <c r="F2046" s="6" t="s">
        <v>1394</v>
      </c>
      <c r="G2046" s="6" t="s">
        <v>24</v>
      </c>
      <c r="H2046" s="6" t="str">
        <f>IFERROR(VLOOKUP(Table2[[#This Row],[Ticket]],Okey!A:B,2,0),"")</f>
        <v>ok</v>
      </c>
      <c r="I2046" s="6" t="s">
        <v>3679</v>
      </c>
      <c r="J2046" s="6" t="str">
        <f>VLOOKUP(Table2[[#This Row],[Author]],People!A:B,2,0)</f>
        <v>EL</v>
      </c>
      <c r="K2046" s="6" t="s">
        <v>5965</v>
      </c>
      <c r="L2046" s="6"/>
      <c r="M2046" s="21" t="s">
        <v>1040</v>
      </c>
    </row>
    <row r="2047" spans="1:13" x14ac:dyDescent="0.25">
      <c r="A2047" s="23">
        <f t="shared" si="31"/>
        <v>2046</v>
      </c>
      <c r="B2047" s="7" t="s">
        <v>5960</v>
      </c>
      <c r="C2047" s="7" t="s">
        <v>6123</v>
      </c>
      <c r="D2047" s="7" t="s">
        <v>6233</v>
      </c>
      <c r="E2047" s="7"/>
      <c r="F2047" s="7" t="s">
        <v>1394</v>
      </c>
      <c r="G2047" s="7" t="s">
        <v>24</v>
      </c>
      <c r="H2047" s="7" t="str">
        <f>IFERROR(VLOOKUP(Table2[[#This Row],[Ticket]],Okey!A:B,2,0),"")</f>
        <v>ok</v>
      </c>
      <c r="I2047" s="7" t="s">
        <v>3679</v>
      </c>
      <c r="J2047" s="7" t="str">
        <f>VLOOKUP(Table2[[#This Row],[Author]],People!A:B,2,0)</f>
        <v>EL</v>
      </c>
      <c r="K2047" s="7" t="s">
        <v>5965</v>
      </c>
      <c r="L2047" s="7"/>
      <c r="M2047" s="16" t="s">
        <v>1040</v>
      </c>
    </row>
    <row r="2048" spans="1:13" x14ac:dyDescent="0.25">
      <c r="A2048" s="22">
        <f t="shared" si="31"/>
        <v>2047</v>
      </c>
      <c r="B2048" s="6" t="s">
        <v>5960</v>
      </c>
      <c r="C2048" s="6" t="s">
        <v>6123</v>
      </c>
      <c r="D2048" s="6" t="s">
        <v>6234</v>
      </c>
      <c r="E2048" s="6"/>
      <c r="F2048" s="6" t="s">
        <v>6150</v>
      </c>
      <c r="G2048" s="6" t="s">
        <v>24</v>
      </c>
      <c r="H2048" s="6" t="str">
        <f>IFERROR(VLOOKUP(Table2[[#This Row],[Ticket]],Okey!A:B,2,0),"")</f>
        <v>ok</v>
      </c>
      <c r="I2048" s="6" t="s">
        <v>3679</v>
      </c>
      <c r="J2048" s="6" t="str">
        <f>VLOOKUP(Table2[[#This Row],[Author]],People!A:B,2,0)</f>
        <v>EL</v>
      </c>
      <c r="K2048" s="6" t="s">
        <v>5965</v>
      </c>
      <c r="L2048" s="6"/>
      <c r="M2048" s="21" t="s">
        <v>1040</v>
      </c>
    </row>
    <row r="2049" spans="1:13" x14ac:dyDescent="0.25">
      <c r="A2049" s="23">
        <f t="shared" si="31"/>
        <v>2048</v>
      </c>
      <c r="B2049" s="7" t="s">
        <v>5960</v>
      </c>
      <c r="C2049" s="7" t="s">
        <v>6123</v>
      </c>
      <c r="D2049" s="7" t="s">
        <v>6235</v>
      </c>
      <c r="E2049" s="7"/>
      <c r="F2049" s="7" t="s">
        <v>6141</v>
      </c>
      <c r="G2049" s="7" t="s">
        <v>24</v>
      </c>
      <c r="H2049" s="7" t="str">
        <f>IFERROR(VLOOKUP(Table2[[#This Row],[Ticket]],Okey!A:B,2,0),"")</f>
        <v>ok</v>
      </c>
      <c r="I2049" s="7" t="s">
        <v>3679</v>
      </c>
      <c r="J2049" s="7" t="str">
        <f>VLOOKUP(Table2[[#This Row],[Author]],People!A:B,2,0)</f>
        <v>EL</v>
      </c>
      <c r="K2049" s="7" t="s">
        <v>5965</v>
      </c>
      <c r="L2049" s="7"/>
      <c r="M2049" s="16" t="s">
        <v>1040</v>
      </c>
    </row>
    <row r="2050" spans="1:13" x14ac:dyDescent="0.25">
      <c r="A2050" s="22">
        <f t="shared" si="31"/>
        <v>2049</v>
      </c>
      <c r="B2050" s="6" t="s">
        <v>5960</v>
      </c>
      <c r="C2050" s="6" t="s">
        <v>6123</v>
      </c>
      <c r="D2050" s="6" t="s">
        <v>6236</v>
      </c>
      <c r="E2050" s="6"/>
      <c r="F2050" s="6" t="s">
        <v>6237</v>
      </c>
      <c r="G2050" s="6" t="s">
        <v>24</v>
      </c>
      <c r="H2050" s="6" t="str">
        <f>IFERROR(VLOOKUP(Table2[[#This Row],[Ticket]],Okey!A:B,2,0),"")</f>
        <v>ok</v>
      </c>
      <c r="I2050" s="6" t="s">
        <v>3679</v>
      </c>
      <c r="J2050" s="6" t="str">
        <f>VLOOKUP(Table2[[#This Row],[Author]],People!A:B,2,0)</f>
        <v>EL</v>
      </c>
      <c r="K2050" s="6" t="s">
        <v>5965</v>
      </c>
      <c r="L2050" s="6"/>
      <c r="M2050" s="21" t="s">
        <v>1040</v>
      </c>
    </row>
    <row r="2051" spans="1:13" x14ac:dyDescent="0.25">
      <c r="A2051" s="23">
        <f t="shared" ref="A2051:A2114" si="32">1+A2050</f>
        <v>2050</v>
      </c>
      <c r="B2051" s="7" t="s">
        <v>5960</v>
      </c>
      <c r="C2051" s="7" t="s">
        <v>6123</v>
      </c>
      <c r="D2051" s="7" t="s">
        <v>6238</v>
      </c>
      <c r="E2051" s="7"/>
      <c r="F2051" s="7" t="s">
        <v>6239</v>
      </c>
      <c r="G2051" s="7" t="s">
        <v>24</v>
      </c>
      <c r="H2051" s="7" t="str">
        <f>IFERROR(VLOOKUP(Table2[[#This Row],[Ticket]],Okey!A:B,2,0),"")</f>
        <v>ok</v>
      </c>
      <c r="I2051" s="7" t="s">
        <v>3679</v>
      </c>
      <c r="J2051" s="7" t="str">
        <f>VLOOKUP(Table2[[#This Row],[Author]],People!A:B,2,0)</f>
        <v>EL</v>
      </c>
      <c r="K2051" s="7" t="s">
        <v>5965</v>
      </c>
      <c r="L2051" s="7"/>
      <c r="M2051" s="16" t="s">
        <v>1040</v>
      </c>
    </row>
    <row r="2052" spans="1:13" x14ac:dyDescent="0.25">
      <c r="A2052" s="22">
        <f t="shared" si="32"/>
        <v>2051</v>
      </c>
      <c r="B2052" s="6" t="s">
        <v>5960</v>
      </c>
      <c r="C2052" s="6" t="s">
        <v>6123</v>
      </c>
      <c r="D2052" s="6" t="s">
        <v>6240</v>
      </c>
      <c r="E2052" s="6"/>
      <c r="F2052" s="6" t="s">
        <v>6141</v>
      </c>
      <c r="G2052" s="6" t="s">
        <v>24</v>
      </c>
      <c r="H2052" s="6" t="str">
        <f>IFERROR(VLOOKUP(Table2[[#This Row],[Ticket]],Okey!A:B,2,0),"")</f>
        <v>ok</v>
      </c>
      <c r="I2052" s="6" t="s">
        <v>3679</v>
      </c>
      <c r="J2052" s="6" t="str">
        <f>VLOOKUP(Table2[[#This Row],[Author]],People!A:B,2,0)</f>
        <v>EL</v>
      </c>
      <c r="K2052" s="6" t="s">
        <v>5965</v>
      </c>
      <c r="L2052" s="6"/>
      <c r="M2052" s="21" t="s">
        <v>1040</v>
      </c>
    </row>
    <row r="2053" spans="1:13" x14ac:dyDescent="0.25">
      <c r="A2053" s="23">
        <f t="shared" si="32"/>
        <v>2052</v>
      </c>
      <c r="B2053" s="7" t="s">
        <v>5960</v>
      </c>
      <c r="C2053" s="7" t="s">
        <v>6123</v>
      </c>
      <c r="D2053" s="7" t="s">
        <v>6241</v>
      </c>
      <c r="E2053" s="7"/>
      <c r="F2053" s="7" t="s">
        <v>6130</v>
      </c>
      <c r="G2053" s="7" t="s">
        <v>24</v>
      </c>
      <c r="H2053" s="7" t="str">
        <f>IFERROR(VLOOKUP(Table2[[#This Row],[Ticket]],Okey!A:B,2,0),"")</f>
        <v>ok</v>
      </c>
      <c r="I2053" s="7" t="s">
        <v>3679</v>
      </c>
      <c r="J2053" s="7" t="str">
        <f>VLOOKUP(Table2[[#This Row],[Author]],People!A:B,2,0)</f>
        <v>EL</v>
      </c>
      <c r="K2053" s="7" t="s">
        <v>5965</v>
      </c>
      <c r="L2053" s="7"/>
      <c r="M2053" s="16" t="s">
        <v>1040</v>
      </c>
    </row>
    <row r="2054" spans="1:13" x14ac:dyDescent="0.25">
      <c r="A2054" s="22">
        <f t="shared" si="32"/>
        <v>2053</v>
      </c>
      <c r="B2054" s="6" t="s">
        <v>5960</v>
      </c>
      <c r="C2054" s="6" t="s">
        <v>6123</v>
      </c>
      <c r="D2054" s="6" t="s">
        <v>6242</v>
      </c>
      <c r="E2054" s="6"/>
      <c r="F2054" s="6" t="s">
        <v>6152</v>
      </c>
      <c r="G2054" s="6" t="s">
        <v>24</v>
      </c>
      <c r="H2054" s="6" t="str">
        <f>IFERROR(VLOOKUP(Table2[[#This Row],[Ticket]],Okey!A:B,2,0),"")</f>
        <v>ok</v>
      </c>
      <c r="I2054" s="6" t="s">
        <v>3679</v>
      </c>
      <c r="J2054" s="6" t="str">
        <f>VLOOKUP(Table2[[#This Row],[Author]],People!A:B,2,0)</f>
        <v>EL</v>
      </c>
      <c r="K2054" s="6" t="s">
        <v>5965</v>
      </c>
      <c r="L2054" s="6"/>
      <c r="M2054" s="21" t="s">
        <v>1040</v>
      </c>
    </row>
    <row r="2055" spans="1:13" x14ac:dyDescent="0.25">
      <c r="A2055" s="23">
        <f t="shared" si="32"/>
        <v>2054</v>
      </c>
      <c r="B2055" s="7" t="s">
        <v>5960</v>
      </c>
      <c r="C2055" s="7" t="s">
        <v>5978</v>
      </c>
      <c r="D2055" s="7" t="s">
        <v>6243</v>
      </c>
      <c r="E2055" s="7"/>
      <c r="F2055" s="7" t="s">
        <v>6244</v>
      </c>
      <c r="G2055" s="7" t="s">
        <v>24</v>
      </c>
      <c r="H2055" s="7" t="str">
        <f>IFERROR(VLOOKUP(Table2[[#This Row],[Ticket]],Okey!A:B,2,0),"")</f>
        <v>ok</v>
      </c>
      <c r="I2055" s="7" t="s">
        <v>3679</v>
      </c>
      <c r="J2055" s="7" t="str">
        <f>VLOOKUP(Table2[[#This Row],[Author]],People!A:B,2,0)</f>
        <v>EL</v>
      </c>
      <c r="K2055" s="7" t="s">
        <v>5965</v>
      </c>
      <c r="L2055" s="7"/>
      <c r="M2055" s="16" t="s">
        <v>1040</v>
      </c>
    </row>
    <row r="2056" spans="1:13" x14ac:dyDescent="0.25">
      <c r="A2056" s="22">
        <f t="shared" si="32"/>
        <v>2055</v>
      </c>
      <c r="B2056" s="6" t="s">
        <v>5960</v>
      </c>
      <c r="C2056" s="6" t="s">
        <v>5978</v>
      </c>
      <c r="D2056" s="6" t="s">
        <v>6245</v>
      </c>
      <c r="E2056" s="6"/>
      <c r="F2056" s="6" t="s">
        <v>6246</v>
      </c>
      <c r="G2056" s="6" t="s">
        <v>24</v>
      </c>
      <c r="H2056" s="6" t="str">
        <f>IFERROR(VLOOKUP(Table2[[#This Row],[Ticket]],Okey!A:B,2,0),"")</f>
        <v>ok</v>
      </c>
      <c r="I2056" s="6" t="s">
        <v>3679</v>
      </c>
      <c r="J2056" s="6" t="str">
        <f>VLOOKUP(Table2[[#This Row],[Author]],People!A:B,2,0)</f>
        <v>EL</v>
      </c>
      <c r="K2056" s="6" t="s">
        <v>5965</v>
      </c>
      <c r="L2056" s="6"/>
      <c r="M2056" s="21" t="s">
        <v>1040</v>
      </c>
    </row>
    <row r="2057" spans="1:13" x14ac:dyDescent="0.25">
      <c r="A2057" s="23">
        <f t="shared" si="32"/>
        <v>2056</v>
      </c>
      <c r="B2057" s="7" t="s">
        <v>5960</v>
      </c>
      <c r="C2057" s="7" t="s">
        <v>5978</v>
      </c>
      <c r="D2057" s="7" t="s">
        <v>6247</v>
      </c>
      <c r="E2057" s="7"/>
      <c r="F2057" s="7" t="s">
        <v>6248</v>
      </c>
      <c r="G2057" s="7" t="s">
        <v>24</v>
      </c>
      <c r="H2057" s="7" t="str">
        <f>IFERROR(VLOOKUP(Table2[[#This Row],[Ticket]],Okey!A:B,2,0),"")</f>
        <v>ok</v>
      </c>
      <c r="I2057" s="7" t="s">
        <v>3679</v>
      </c>
      <c r="J2057" s="7" t="str">
        <f>VLOOKUP(Table2[[#This Row],[Author]],People!A:B,2,0)</f>
        <v>EL</v>
      </c>
      <c r="K2057" s="7" t="s">
        <v>5965</v>
      </c>
      <c r="L2057" s="7"/>
      <c r="M2057" s="16" t="s">
        <v>1040</v>
      </c>
    </row>
    <row r="2058" spans="1:13" x14ac:dyDescent="0.25">
      <c r="A2058" s="22">
        <f t="shared" si="32"/>
        <v>2057</v>
      </c>
      <c r="B2058" s="6" t="s">
        <v>5960</v>
      </c>
      <c r="C2058" s="6" t="s">
        <v>5978</v>
      </c>
      <c r="D2058" s="6" t="s">
        <v>6249</v>
      </c>
      <c r="E2058" s="6"/>
      <c r="F2058" s="6" t="s">
        <v>6250</v>
      </c>
      <c r="G2058" s="6" t="s">
        <v>24</v>
      </c>
      <c r="H2058" s="6" t="str">
        <f>IFERROR(VLOOKUP(Table2[[#This Row],[Ticket]],Okey!A:B,2,0),"")</f>
        <v>ok</v>
      </c>
      <c r="I2058" s="6" t="s">
        <v>3679</v>
      </c>
      <c r="J2058" s="6" t="str">
        <f>VLOOKUP(Table2[[#This Row],[Author]],People!A:B,2,0)</f>
        <v>EL</v>
      </c>
      <c r="K2058" s="6" t="s">
        <v>5965</v>
      </c>
      <c r="L2058" s="6"/>
      <c r="M2058" s="21" t="s">
        <v>1040</v>
      </c>
    </row>
    <row r="2059" spans="1:13" x14ac:dyDescent="0.25">
      <c r="A2059" s="23">
        <f t="shared" si="32"/>
        <v>2058</v>
      </c>
      <c r="B2059" s="7" t="s">
        <v>5960</v>
      </c>
      <c r="C2059" s="7" t="s">
        <v>5978</v>
      </c>
      <c r="D2059" s="7" t="s">
        <v>6251</v>
      </c>
      <c r="E2059" s="7"/>
      <c r="F2059" s="7" t="s">
        <v>6250</v>
      </c>
      <c r="G2059" s="7" t="s">
        <v>24</v>
      </c>
      <c r="H2059" s="7" t="str">
        <f>IFERROR(VLOOKUP(Table2[[#This Row],[Ticket]],Okey!A:B,2,0),"")</f>
        <v>ok</v>
      </c>
      <c r="I2059" s="7" t="s">
        <v>3679</v>
      </c>
      <c r="J2059" s="7" t="str">
        <f>VLOOKUP(Table2[[#This Row],[Author]],People!A:B,2,0)</f>
        <v>EL</v>
      </c>
      <c r="K2059" s="7" t="s">
        <v>5965</v>
      </c>
      <c r="L2059" s="7"/>
      <c r="M2059" s="16" t="s">
        <v>1040</v>
      </c>
    </row>
    <row r="2060" spans="1:13" x14ac:dyDescent="0.25">
      <c r="A2060" s="22">
        <f t="shared" si="32"/>
        <v>2059</v>
      </c>
      <c r="B2060" s="6" t="s">
        <v>5960</v>
      </c>
      <c r="C2060" s="6" t="s">
        <v>5978</v>
      </c>
      <c r="D2060" s="6" t="s">
        <v>6252</v>
      </c>
      <c r="E2060" s="6"/>
      <c r="F2060" s="6" t="s">
        <v>6246</v>
      </c>
      <c r="G2060" s="6" t="s">
        <v>24</v>
      </c>
      <c r="H2060" s="6" t="str">
        <f>IFERROR(VLOOKUP(Table2[[#This Row],[Ticket]],Okey!A:B,2,0),"")</f>
        <v>ok</v>
      </c>
      <c r="I2060" s="6" t="s">
        <v>3679</v>
      </c>
      <c r="J2060" s="6" t="str">
        <f>VLOOKUP(Table2[[#This Row],[Author]],People!A:B,2,0)</f>
        <v>EL</v>
      </c>
      <c r="K2060" s="6" t="s">
        <v>5965</v>
      </c>
      <c r="L2060" s="6"/>
      <c r="M2060" s="21" t="s">
        <v>1040</v>
      </c>
    </row>
    <row r="2061" spans="1:13" x14ac:dyDescent="0.25">
      <c r="A2061" s="23">
        <f t="shared" si="32"/>
        <v>2060</v>
      </c>
      <c r="B2061" s="7" t="s">
        <v>5960</v>
      </c>
      <c r="C2061" s="7" t="s">
        <v>5978</v>
      </c>
      <c r="D2061" s="7" t="s">
        <v>6253</v>
      </c>
      <c r="E2061" s="7"/>
      <c r="F2061" s="7" t="s">
        <v>6246</v>
      </c>
      <c r="G2061" s="7" t="s">
        <v>24</v>
      </c>
      <c r="H2061" s="7" t="str">
        <f>IFERROR(VLOOKUP(Table2[[#This Row],[Ticket]],Okey!A:B,2,0),"")</f>
        <v>ok</v>
      </c>
      <c r="I2061" s="7" t="s">
        <v>3679</v>
      </c>
      <c r="J2061" s="7" t="str">
        <f>VLOOKUP(Table2[[#This Row],[Author]],People!A:B,2,0)</f>
        <v>EL</v>
      </c>
      <c r="K2061" s="7" t="s">
        <v>5965</v>
      </c>
      <c r="L2061" s="7"/>
      <c r="M2061" s="16" t="s">
        <v>1040</v>
      </c>
    </row>
    <row r="2062" spans="1:13" x14ac:dyDescent="0.25">
      <c r="A2062" s="22">
        <f t="shared" si="32"/>
        <v>2061</v>
      </c>
      <c r="B2062" s="6" t="s">
        <v>5960</v>
      </c>
      <c r="C2062" s="6" t="s">
        <v>5978</v>
      </c>
      <c r="D2062" s="6" t="s">
        <v>6254</v>
      </c>
      <c r="E2062" s="6"/>
      <c r="F2062" s="6" t="s">
        <v>6246</v>
      </c>
      <c r="G2062" s="6" t="s">
        <v>24</v>
      </c>
      <c r="H2062" s="6" t="str">
        <f>IFERROR(VLOOKUP(Table2[[#This Row],[Ticket]],Okey!A:B,2,0),"")</f>
        <v>ok</v>
      </c>
      <c r="I2062" s="6" t="s">
        <v>3679</v>
      </c>
      <c r="J2062" s="6" t="str">
        <f>VLOOKUP(Table2[[#This Row],[Author]],People!A:B,2,0)</f>
        <v>EL</v>
      </c>
      <c r="K2062" s="6" t="s">
        <v>5965</v>
      </c>
      <c r="L2062" s="6"/>
      <c r="M2062" s="21" t="s">
        <v>1040</v>
      </c>
    </row>
    <row r="2063" spans="1:13" x14ac:dyDescent="0.25">
      <c r="A2063" s="23">
        <f t="shared" si="32"/>
        <v>2062</v>
      </c>
      <c r="B2063" s="7" t="s">
        <v>5960</v>
      </c>
      <c r="C2063" s="7" t="s">
        <v>5978</v>
      </c>
      <c r="D2063" s="7" t="s">
        <v>6255</v>
      </c>
      <c r="E2063" s="7"/>
      <c r="F2063" s="7" t="s">
        <v>6246</v>
      </c>
      <c r="G2063" s="7" t="s">
        <v>24</v>
      </c>
      <c r="H2063" s="7" t="str">
        <f>IFERROR(VLOOKUP(Table2[[#This Row],[Ticket]],Okey!A:B,2,0),"")</f>
        <v>ok</v>
      </c>
      <c r="I2063" s="7" t="s">
        <v>3679</v>
      </c>
      <c r="J2063" s="7" t="str">
        <f>VLOOKUP(Table2[[#This Row],[Author]],People!A:B,2,0)</f>
        <v>EL</v>
      </c>
      <c r="K2063" s="7" t="s">
        <v>5965</v>
      </c>
      <c r="L2063" s="7"/>
      <c r="M2063" s="16" t="s">
        <v>1040</v>
      </c>
    </row>
    <row r="2064" spans="1:13" x14ac:dyDescent="0.25">
      <c r="A2064" s="22">
        <f t="shared" si="32"/>
        <v>2063</v>
      </c>
      <c r="B2064" s="6" t="s">
        <v>5960</v>
      </c>
      <c r="C2064" s="6" t="s">
        <v>5978</v>
      </c>
      <c r="D2064" s="6" t="s">
        <v>6256</v>
      </c>
      <c r="E2064" s="6"/>
      <c r="F2064" s="6" t="s">
        <v>6257</v>
      </c>
      <c r="G2064" s="6" t="s">
        <v>24</v>
      </c>
      <c r="H2064" s="6" t="str">
        <f>IFERROR(VLOOKUP(Table2[[#This Row],[Ticket]],Okey!A:B,2,0),"")</f>
        <v>ok</v>
      </c>
      <c r="I2064" s="6" t="s">
        <v>3679</v>
      </c>
      <c r="J2064" s="6" t="str">
        <f>VLOOKUP(Table2[[#This Row],[Author]],People!A:B,2,0)</f>
        <v>EL</v>
      </c>
      <c r="K2064" s="6" t="s">
        <v>5965</v>
      </c>
      <c r="L2064" s="6"/>
      <c r="M2064" s="21" t="s">
        <v>1040</v>
      </c>
    </row>
    <row r="2065" spans="1:13" x14ac:dyDescent="0.25">
      <c r="A2065" s="23">
        <f t="shared" si="32"/>
        <v>2064</v>
      </c>
      <c r="B2065" s="7" t="s">
        <v>5960</v>
      </c>
      <c r="C2065" s="7" t="s">
        <v>5978</v>
      </c>
      <c r="D2065" s="7" t="s">
        <v>6258</v>
      </c>
      <c r="E2065" s="7"/>
      <c r="F2065" s="7" t="s">
        <v>2547</v>
      </c>
      <c r="G2065" s="7" t="s">
        <v>24</v>
      </c>
      <c r="H2065" s="7" t="str">
        <f>IFERROR(VLOOKUP(Table2[[#This Row],[Ticket]],Okey!A:B,2,0),"")</f>
        <v>ok</v>
      </c>
      <c r="I2065" s="7" t="s">
        <v>3679</v>
      </c>
      <c r="J2065" s="7" t="str">
        <f>VLOOKUP(Table2[[#This Row],[Author]],People!A:B,2,0)</f>
        <v>EL</v>
      </c>
      <c r="K2065" s="7" t="s">
        <v>5965</v>
      </c>
      <c r="L2065" s="7"/>
      <c r="M2065" s="16" t="s">
        <v>1040</v>
      </c>
    </row>
    <row r="2066" spans="1:13" x14ac:dyDescent="0.25">
      <c r="A2066" s="22">
        <f t="shared" si="32"/>
        <v>2065</v>
      </c>
      <c r="B2066" s="6" t="s">
        <v>5960</v>
      </c>
      <c r="C2066" s="6" t="s">
        <v>5978</v>
      </c>
      <c r="D2066" s="6" t="s">
        <v>2549</v>
      </c>
      <c r="E2066" s="6"/>
      <c r="F2066" s="6" t="s">
        <v>2545</v>
      </c>
      <c r="G2066" s="6" t="s">
        <v>24</v>
      </c>
      <c r="H2066" s="6" t="str">
        <f>IFERROR(VLOOKUP(Table2[[#This Row],[Ticket]],Okey!A:B,2,0),"")</f>
        <v>ok</v>
      </c>
      <c r="I2066" s="6" t="s">
        <v>3679</v>
      </c>
      <c r="J2066" s="6" t="str">
        <f>VLOOKUP(Table2[[#This Row],[Author]],People!A:B,2,0)</f>
        <v>EL</v>
      </c>
      <c r="K2066" s="6" t="s">
        <v>5965</v>
      </c>
      <c r="L2066" s="6"/>
      <c r="M2066" s="21" t="s">
        <v>1040</v>
      </c>
    </row>
    <row r="2067" spans="1:13" x14ac:dyDescent="0.25">
      <c r="A2067" s="23">
        <f t="shared" si="32"/>
        <v>2066</v>
      </c>
      <c r="B2067" s="7" t="s">
        <v>5960</v>
      </c>
      <c r="C2067" s="7" t="s">
        <v>5978</v>
      </c>
      <c r="D2067" s="7" t="s">
        <v>2734</v>
      </c>
      <c r="E2067" s="7"/>
      <c r="F2067" s="7" t="s">
        <v>2549</v>
      </c>
      <c r="G2067" s="7" t="s">
        <v>24</v>
      </c>
      <c r="H2067" s="7" t="str">
        <f>IFERROR(VLOOKUP(Table2[[#This Row],[Ticket]],Okey!A:B,2,0),"")</f>
        <v>ok</v>
      </c>
      <c r="I2067" s="7" t="s">
        <v>3679</v>
      </c>
      <c r="J2067" s="7" t="str">
        <f>VLOOKUP(Table2[[#This Row],[Author]],People!A:B,2,0)</f>
        <v>EL</v>
      </c>
      <c r="K2067" s="7" t="s">
        <v>5965</v>
      </c>
      <c r="L2067" s="7"/>
      <c r="M2067" s="16" t="s">
        <v>1040</v>
      </c>
    </row>
    <row r="2068" spans="1:13" x14ac:dyDescent="0.25">
      <c r="A2068" s="22">
        <f t="shared" si="32"/>
        <v>2067</v>
      </c>
      <c r="B2068" s="6" t="s">
        <v>5960</v>
      </c>
      <c r="C2068" s="6" t="s">
        <v>5978</v>
      </c>
      <c r="D2068" s="6" t="s">
        <v>2735</v>
      </c>
      <c r="E2068" s="6"/>
      <c r="F2068" s="6" t="s">
        <v>2549</v>
      </c>
      <c r="G2068" s="6" t="s">
        <v>24</v>
      </c>
      <c r="H2068" s="6" t="str">
        <f>IFERROR(VLOOKUP(Table2[[#This Row],[Ticket]],Okey!A:B,2,0),"")</f>
        <v>ok</v>
      </c>
      <c r="I2068" s="6" t="s">
        <v>3679</v>
      </c>
      <c r="J2068" s="6" t="str">
        <f>VLOOKUP(Table2[[#This Row],[Author]],People!A:B,2,0)</f>
        <v>EL</v>
      </c>
      <c r="K2068" s="6" t="s">
        <v>5965</v>
      </c>
      <c r="L2068" s="6"/>
      <c r="M2068" s="21" t="s">
        <v>1040</v>
      </c>
    </row>
    <row r="2069" spans="1:13" x14ac:dyDescent="0.25">
      <c r="A2069" s="23">
        <f t="shared" si="32"/>
        <v>2068</v>
      </c>
      <c r="B2069" s="7" t="s">
        <v>5960</v>
      </c>
      <c r="C2069" s="7" t="s">
        <v>5978</v>
      </c>
      <c r="D2069" s="7" t="s">
        <v>2736</v>
      </c>
      <c r="E2069" s="7"/>
      <c r="F2069" s="7" t="s">
        <v>2549</v>
      </c>
      <c r="G2069" s="7" t="s">
        <v>24</v>
      </c>
      <c r="H2069" s="7" t="str">
        <f>IFERROR(VLOOKUP(Table2[[#This Row],[Ticket]],Okey!A:B,2,0),"")</f>
        <v>ok</v>
      </c>
      <c r="I2069" s="7" t="s">
        <v>3679</v>
      </c>
      <c r="J2069" s="7" t="str">
        <f>VLOOKUP(Table2[[#This Row],[Author]],People!A:B,2,0)</f>
        <v>EL</v>
      </c>
      <c r="K2069" s="7" t="s">
        <v>5965</v>
      </c>
      <c r="L2069" s="7"/>
      <c r="M2069" s="16" t="s">
        <v>1040</v>
      </c>
    </row>
    <row r="2070" spans="1:13" x14ac:dyDescent="0.25">
      <c r="A2070" s="22">
        <f t="shared" si="32"/>
        <v>2069</v>
      </c>
      <c r="B2070" s="6" t="s">
        <v>5960</v>
      </c>
      <c r="C2070" s="6" t="s">
        <v>5978</v>
      </c>
      <c r="D2070" s="6" t="s">
        <v>2551</v>
      </c>
      <c r="E2070" s="6"/>
      <c r="F2070" s="6" t="s">
        <v>2549</v>
      </c>
      <c r="G2070" s="6" t="s">
        <v>24</v>
      </c>
      <c r="H2070" s="6" t="str">
        <f>IFERROR(VLOOKUP(Table2[[#This Row],[Ticket]],Okey!A:B,2,0),"")</f>
        <v>ok</v>
      </c>
      <c r="I2070" s="6" t="s">
        <v>3679</v>
      </c>
      <c r="J2070" s="6" t="str">
        <f>VLOOKUP(Table2[[#This Row],[Author]],People!A:B,2,0)</f>
        <v>EL</v>
      </c>
      <c r="K2070" s="6" t="s">
        <v>5965</v>
      </c>
      <c r="L2070" s="6"/>
      <c r="M2070" s="21" t="s">
        <v>1040</v>
      </c>
    </row>
    <row r="2071" spans="1:13" x14ac:dyDescent="0.25">
      <c r="A2071" s="23">
        <f t="shared" si="32"/>
        <v>2070</v>
      </c>
      <c r="B2071" s="7" t="s">
        <v>5960</v>
      </c>
      <c r="C2071" s="7" t="s">
        <v>6259</v>
      </c>
      <c r="D2071" s="7" t="s">
        <v>6024</v>
      </c>
      <c r="E2071" s="7"/>
      <c r="F2071" s="7" t="s">
        <v>6021</v>
      </c>
      <c r="G2071" s="7" t="s">
        <v>24</v>
      </c>
      <c r="H2071" s="7" t="str">
        <f>IFERROR(VLOOKUP(Table2[[#This Row],[Ticket]],Okey!A:B,2,0),"")</f>
        <v>ok</v>
      </c>
      <c r="I2071" s="7" t="s">
        <v>3679</v>
      </c>
      <c r="J2071" s="7" t="str">
        <f>VLOOKUP(Table2[[#This Row],[Author]],People!A:B,2,0)</f>
        <v>EL</v>
      </c>
      <c r="K2071" s="7" t="s">
        <v>5965</v>
      </c>
      <c r="L2071" s="7"/>
      <c r="M2071" s="16" t="s">
        <v>1040</v>
      </c>
    </row>
    <row r="2072" spans="1:13" x14ac:dyDescent="0.25">
      <c r="A2072" s="22">
        <f t="shared" si="32"/>
        <v>2071</v>
      </c>
      <c r="B2072" s="6" t="s">
        <v>5960</v>
      </c>
      <c r="C2072" s="6" t="s">
        <v>6259</v>
      </c>
      <c r="D2072" s="6" t="s">
        <v>6062</v>
      </c>
      <c r="E2072" s="6"/>
      <c r="F2072" s="6" t="s">
        <v>6061</v>
      </c>
      <c r="G2072" s="6" t="s">
        <v>24</v>
      </c>
      <c r="H2072" s="6" t="str">
        <f>IFERROR(VLOOKUP(Table2[[#This Row],[Ticket]],Okey!A:B,2,0),"")</f>
        <v>ok</v>
      </c>
      <c r="I2072" s="6" t="s">
        <v>3679</v>
      </c>
      <c r="J2072" s="6" t="str">
        <f>VLOOKUP(Table2[[#This Row],[Author]],People!A:B,2,0)</f>
        <v>EL</v>
      </c>
      <c r="K2072" s="6" t="s">
        <v>5965</v>
      </c>
      <c r="L2072" s="6"/>
      <c r="M2072" s="21" t="s">
        <v>1040</v>
      </c>
    </row>
    <row r="2073" spans="1:13" x14ac:dyDescent="0.25">
      <c r="A2073" s="23">
        <f t="shared" si="32"/>
        <v>2072</v>
      </c>
      <c r="B2073" s="7" t="s">
        <v>5960</v>
      </c>
      <c r="C2073" s="7" t="s">
        <v>6259</v>
      </c>
      <c r="D2073" s="7" t="s">
        <v>6039</v>
      </c>
      <c r="E2073" s="7"/>
      <c r="F2073" s="7" t="s">
        <v>6038</v>
      </c>
      <c r="G2073" s="7" t="s">
        <v>24</v>
      </c>
      <c r="H2073" s="7" t="str">
        <f>IFERROR(VLOOKUP(Table2[[#This Row],[Ticket]],Okey!A:B,2,0),"")</f>
        <v>ok</v>
      </c>
      <c r="I2073" s="7" t="s">
        <v>3679</v>
      </c>
      <c r="J2073" s="7" t="str">
        <f>VLOOKUP(Table2[[#This Row],[Author]],People!A:B,2,0)</f>
        <v>EL</v>
      </c>
      <c r="K2073" s="7" t="s">
        <v>5965</v>
      </c>
      <c r="L2073" s="7"/>
      <c r="M2073" s="16" t="s">
        <v>1040</v>
      </c>
    </row>
    <row r="2074" spans="1:13" x14ac:dyDescent="0.25">
      <c r="A2074" s="22">
        <f t="shared" si="32"/>
        <v>2073</v>
      </c>
      <c r="B2074" s="6" t="s">
        <v>5960</v>
      </c>
      <c r="C2074" s="6" t="s">
        <v>6259</v>
      </c>
      <c r="D2074" s="6" t="s">
        <v>6063</v>
      </c>
      <c r="E2074" s="6"/>
      <c r="F2074" s="6" t="s">
        <v>6061</v>
      </c>
      <c r="G2074" s="6" t="s">
        <v>24</v>
      </c>
      <c r="H2074" s="6" t="str">
        <f>IFERROR(VLOOKUP(Table2[[#This Row],[Ticket]],Okey!A:B,2,0),"")</f>
        <v>ok</v>
      </c>
      <c r="I2074" s="6" t="s">
        <v>3679</v>
      </c>
      <c r="J2074" s="6" t="str">
        <f>VLOOKUP(Table2[[#This Row],[Author]],People!A:B,2,0)</f>
        <v>EL</v>
      </c>
      <c r="K2074" s="6" t="s">
        <v>5965</v>
      </c>
      <c r="L2074" s="6"/>
      <c r="M2074" s="21" t="s">
        <v>1040</v>
      </c>
    </row>
    <row r="2075" spans="1:13" x14ac:dyDescent="0.25">
      <c r="A2075" s="23">
        <f t="shared" si="32"/>
        <v>2074</v>
      </c>
      <c r="B2075" s="7" t="s">
        <v>5960</v>
      </c>
      <c r="C2075" s="7" t="s">
        <v>6259</v>
      </c>
      <c r="D2075" s="7" t="s">
        <v>6031</v>
      </c>
      <c r="E2075" s="7"/>
      <c r="F2075" s="7" t="s">
        <v>6030</v>
      </c>
      <c r="G2075" s="7" t="s">
        <v>24</v>
      </c>
      <c r="H2075" s="7" t="str">
        <f>IFERROR(VLOOKUP(Table2[[#This Row],[Ticket]],Okey!A:B,2,0),"")</f>
        <v>ok</v>
      </c>
      <c r="I2075" s="7" t="s">
        <v>3679</v>
      </c>
      <c r="J2075" s="7" t="str">
        <f>VLOOKUP(Table2[[#This Row],[Author]],People!A:B,2,0)</f>
        <v>EL</v>
      </c>
      <c r="K2075" s="7" t="s">
        <v>5965</v>
      </c>
      <c r="L2075" s="7"/>
      <c r="M2075" s="16" t="s">
        <v>1040</v>
      </c>
    </row>
    <row r="2076" spans="1:13" x14ac:dyDescent="0.25">
      <c r="A2076" s="22">
        <f t="shared" si="32"/>
        <v>2075</v>
      </c>
      <c r="B2076" s="6" t="s">
        <v>5960</v>
      </c>
      <c r="C2076" s="6" t="s">
        <v>6259</v>
      </c>
      <c r="D2076" s="6" t="s">
        <v>6052</v>
      </c>
      <c r="E2076" s="6"/>
      <c r="F2076" s="6" t="s">
        <v>6051</v>
      </c>
      <c r="G2076" s="6" t="s">
        <v>24</v>
      </c>
      <c r="H2076" s="6" t="str">
        <f>IFERROR(VLOOKUP(Table2[[#This Row],[Ticket]],Okey!A:B,2,0),"")</f>
        <v>ok</v>
      </c>
      <c r="I2076" s="6" t="s">
        <v>3679</v>
      </c>
      <c r="J2076" s="6" t="str">
        <f>VLOOKUP(Table2[[#This Row],[Author]],People!A:B,2,0)</f>
        <v>EL</v>
      </c>
      <c r="K2076" s="6" t="s">
        <v>5965</v>
      </c>
      <c r="L2076" s="6"/>
      <c r="M2076" s="21" t="s">
        <v>1040</v>
      </c>
    </row>
    <row r="2077" spans="1:13" x14ac:dyDescent="0.25">
      <c r="A2077" s="23">
        <f t="shared" si="32"/>
        <v>2076</v>
      </c>
      <c r="B2077" s="7" t="s">
        <v>5960</v>
      </c>
      <c r="C2077" s="7" t="s">
        <v>6259</v>
      </c>
      <c r="D2077" s="7" t="s">
        <v>6086</v>
      </c>
      <c r="E2077" s="7"/>
      <c r="F2077" s="7" t="s">
        <v>6085</v>
      </c>
      <c r="G2077" s="7" t="s">
        <v>24</v>
      </c>
      <c r="H2077" s="7" t="str">
        <f>IFERROR(VLOOKUP(Table2[[#This Row],[Ticket]],Okey!A:B,2,0),"")</f>
        <v>ok</v>
      </c>
      <c r="I2077" s="7" t="s">
        <v>3679</v>
      </c>
      <c r="J2077" s="7" t="str">
        <f>VLOOKUP(Table2[[#This Row],[Author]],People!A:B,2,0)</f>
        <v>EL</v>
      </c>
      <c r="K2077" s="7" t="s">
        <v>5965</v>
      </c>
      <c r="L2077" s="7"/>
      <c r="M2077" s="16" t="s">
        <v>1040</v>
      </c>
    </row>
    <row r="2078" spans="1:13" x14ac:dyDescent="0.25">
      <c r="A2078" s="22">
        <f t="shared" si="32"/>
        <v>2077</v>
      </c>
      <c r="B2078" s="6" t="s">
        <v>5960</v>
      </c>
      <c r="C2078" s="6" t="s">
        <v>6259</v>
      </c>
      <c r="D2078" s="6" t="s">
        <v>6079</v>
      </c>
      <c r="E2078" s="6"/>
      <c r="F2078" s="6" t="s">
        <v>6078</v>
      </c>
      <c r="G2078" s="6" t="s">
        <v>24</v>
      </c>
      <c r="H2078" s="6" t="str">
        <f>IFERROR(VLOOKUP(Table2[[#This Row],[Ticket]],Okey!A:B,2,0),"")</f>
        <v>ok</v>
      </c>
      <c r="I2078" s="6" t="s">
        <v>3679</v>
      </c>
      <c r="J2078" s="6" t="str">
        <f>VLOOKUP(Table2[[#This Row],[Author]],People!A:B,2,0)</f>
        <v>EL</v>
      </c>
      <c r="K2078" s="6" t="s">
        <v>5965</v>
      </c>
      <c r="L2078" s="6"/>
      <c r="M2078" s="21" t="s">
        <v>1040</v>
      </c>
    </row>
    <row r="2079" spans="1:13" x14ac:dyDescent="0.25">
      <c r="A2079" s="23">
        <f t="shared" si="32"/>
        <v>2078</v>
      </c>
      <c r="B2079" s="7" t="s">
        <v>5960</v>
      </c>
      <c r="C2079" s="7" t="s">
        <v>6259</v>
      </c>
      <c r="D2079" s="7" t="s">
        <v>6087</v>
      </c>
      <c r="E2079" s="7"/>
      <c r="F2079" s="7" t="s">
        <v>6085</v>
      </c>
      <c r="G2079" s="7" t="s">
        <v>24</v>
      </c>
      <c r="H2079" s="7" t="str">
        <f>IFERROR(VLOOKUP(Table2[[#This Row],[Ticket]],Okey!A:B,2,0),"")</f>
        <v>ok</v>
      </c>
      <c r="I2079" s="7" t="s">
        <v>3679</v>
      </c>
      <c r="J2079" s="7" t="str">
        <f>VLOOKUP(Table2[[#This Row],[Author]],People!A:B,2,0)</f>
        <v>EL</v>
      </c>
      <c r="K2079" s="7" t="s">
        <v>5965</v>
      </c>
      <c r="L2079" s="7"/>
      <c r="M2079" s="16" t="s">
        <v>1040</v>
      </c>
    </row>
    <row r="2080" spans="1:13" x14ac:dyDescent="0.25">
      <c r="A2080" s="22">
        <f t="shared" si="32"/>
        <v>2079</v>
      </c>
      <c r="B2080" s="6" t="s">
        <v>5960</v>
      </c>
      <c r="C2080" s="6" t="s">
        <v>6259</v>
      </c>
      <c r="D2080" s="6" t="s">
        <v>6080</v>
      </c>
      <c r="E2080" s="6"/>
      <c r="F2080" s="6" t="s">
        <v>6078</v>
      </c>
      <c r="G2080" s="6" t="s">
        <v>24</v>
      </c>
      <c r="H2080" s="6" t="str">
        <f>IFERROR(VLOOKUP(Table2[[#This Row],[Ticket]],Okey!A:B,2,0),"")</f>
        <v>ok</v>
      </c>
      <c r="I2080" s="6" t="s">
        <v>3679</v>
      </c>
      <c r="J2080" s="6" t="str">
        <f>VLOOKUP(Table2[[#This Row],[Author]],People!A:B,2,0)</f>
        <v>EL</v>
      </c>
      <c r="K2080" s="6" t="s">
        <v>5965</v>
      </c>
      <c r="L2080" s="6"/>
      <c r="M2080" s="21" t="s">
        <v>1040</v>
      </c>
    </row>
    <row r="2081" spans="1:13" x14ac:dyDescent="0.25">
      <c r="A2081" s="23">
        <f t="shared" si="32"/>
        <v>2080</v>
      </c>
      <c r="B2081" s="7" t="s">
        <v>5960</v>
      </c>
      <c r="C2081" s="7" t="s">
        <v>6259</v>
      </c>
      <c r="D2081" s="7" t="s">
        <v>6081</v>
      </c>
      <c r="E2081" s="7"/>
      <c r="F2081" s="7" t="s">
        <v>6078</v>
      </c>
      <c r="G2081" s="7" t="s">
        <v>24</v>
      </c>
      <c r="H2081" s="7" t="str">
        <f>IFERROR(VLOOKUP(Table2[[#This Row],[Ticket]],Okey!A:B,2,0),"")</f>
        <v>ok</v>
      </c>
      <c r="I2081" s="7" t="s">
        <v>3679</v>
      </c>
      <c r="J2081" s="7" t="str">
        <f>VLOOKUP(Table2[[#This Row],[Author]],People!A:B,2,0)</f>
        <v>EL</v>
      </c>
      <c r="K2081" s="7" t="s">
        <v>5965</v>
      </c>
      <c r="L2081" s="7"/>
      <c r="M2081" s="16" t="s">
        <v>1040</v>
      </c>
    </row>
    <row r="2082" spans="1:13" x14ac:dyDescent="0.25">
      <c r="A2082" s="22">
        <f t="shared" si="32"/>
        <v>2081</v>
      </c>
      <c r="B2082" s="6" t="s">
        <v>5960</v>
      </c>
      <c r="C2082" s="6" t="s">
        <v>6259</v>
      </c>
      <c r="D2082" s="6" t="s">
        <v>6088</v>
      </c>
      <c r="E2082" s="6"/>
      <c r="F2082" s="6" t="s">
        <v>6085</v>
      </c>
      <c r="G2082" s="6" t="s">
        <v>24</v>
      </c>
      <c r="H2082" s="6" t="str">
        <f>IFERROR(VLOOKUP(Table2[[#This Row],[Ticket]],Okey!A:B,2,0),"")</f>
        <v>ok</v>
      </c>
      <c r="I2082" s="6" t="s">
        <v>3679</v>
      </c>
      <c r="J2082" s="6" t="str">
        <f>VLOOKUP(Table2[[#This Row],[Author]],People!A:B,2,0)</f>
        <v>EL</v>
      </c>
      <c r="K2082" s="6" t="s">
        <v>5965</v>
      </c>
      <c r="L2082" s="6"/>
      <c r="M2082" s="21" t="s">
        <v>1040</v>
      </c>
    </row>
    <row r="2083" spans="1:13" x14ac:dyDescent="0.25">
      <c r="A2083" s="23">
        <f t="shared" si="32"/>
        <v>2082</v>
      </c>
      <c r="B2083" s="7" t="s">
        <v>5960</v>
      </c>
      <c r="C2083" s="7" t="s">
        <v>6259</v>
      </c>
      <c r="D2083" s="7" t="s">
        <v>6093</v>
      </c>
      <c r="E2083" s="7"/>
      <c r="F2083" s="7" t="s">
        <v>6092</v>
      </c>
      <c r="G2083" s="7" t="s">
        <v>24</v>
      </c>
      <c r="H2083" s="7" t="str">
        <f>IFERROR(VLOOKUP(Table2[[#This Row],[Ticket]],Okey!A:B,2,0),"")</f>
        <v>ok</v>
      </c>
      <c r="I2083" s="7" t="s">
        <v>3679</v>
      </c>
      <c r="J2083" s="7" t="str">
        <f>VLOOKUP(Table2[[#This Row],[Author]],People!A:B,2,0)</f>
        <v>EL</v>
      </c>
      <c r="K2083" s="7" t="s">
        <v>5965</v>
      </c>
      <c r="L2083" s="7"/>
      <c r="M2083" s="16" t="s">
        <v>1040</v>
      </c>
    </row>
    <row r="2084" spans="1:13" x14ac:dyDescent="0.25">
      <c r="A2084" s="22">
        <f t="shared" si="32"/>
        <v>2083</v>
      </c>
      <c r="B2084" s="6" t="s">
        <v>5960</v>
      </c>
      <c r="C2084" s="6" t="s">
        <v>6259</v>
      </c>
      <c r="D2084" s="6" t="s">
        <v>6091</v>
      </c>
      <c r="E2084" s="6"/>
      <c r="F2084" s="6" t="s">
        <v>6090</v>
      </c>
      <c r="G2084" s="6" t="s">
        <v>24</v>
      </c>
      <c r="H2084" s="6" t="str">
        <f>IFERROR(VLOOKUP(Table2[[#This Row],[Ticket]],Okey!A:B,2,0),"")</f>
        <v>ok</v>
      </c>
      <c r="I2084" s="6" t="s">
        <v>3679</v>
      </c>
      <c r="J2084" s="6" t="str">
        <f>VLOOKUP(Table2[[#This Row],[Author]],People!A:B,2,0)</f>
        <v>EL</v>
      </c>
      <c r="K2084" s="6" t="s">
        <v>5965</v>
      </c>
      <c r="L2084" s="6"/>
      <c r="M2084" s="21" t="s">
        <v>1040</v>
      </c>
    </row>
    <row r="2085" spans="1:13" x14ac:dyDescent="0.25">
      <c r="A2085" s="23">
        <f t="shared" si="32"/>
        <v>2084</v>
      </c>
      <c r="B2085" s="7" t="s">
        <v>5960</v>
      </c>
      <c r="C2085" s="7" t="s">
        <v>6259</v>
      </c>
      <c r="D2085" s="7" t="s">
        <v>6094</v>
      </c>
      <c r="E2085" s="7"/>
      <c r="F2085" s="7" t="s">
        <v>6092</v>
      </c>
      <c r="G2085" s="7" t="s">
        <v>24</v>
      </c>
      <c r="H2085" s="7" t="str">
        <f>IFERROR(VLOOKUP(Table2[[#This Row],[Ticket]],Okey!A:B,2,0),"")</f>
        <v>ok</v>
      </c>
      <c r="I2085" s="7" t="s">
        <v>3679</v>
      </c>
      <c r="J2085" s="7" t="str">
        <f>VLOOKUP(Table2[[#This Row],[Author]],People!A:B,2,0)</f>
        <v>EL</v>
      </c>
      <c r="K2085" s="7" t="s">
        <v>5965</v>
      </c>
      <c r="L2085" s="7"/>
      <c r="M2085" s="16" t="s">
        <v>1040</v>
      </c>
    </row>
    <row r="2086" spans="1:13" x14ac:dyDescent="0.25">
      <c r="A2086" s="22">
        <f t="shared" si="32"/>
        <v>2085</v>
      </c>
      <c r="B2086" s="6" t="s">
        <v>5960</v>
      </c>
      <c r="C2086" s="6" t="s">
        <v>6259</v>
      </c>
      <c r="D2086" s="6" t="s">
        <v>6089</v>
      </c>
      <c r="E2086" s="6"/>
      <c r="F2086" s="6" t="s">
        <v>6085</v>
      </c>
      <c r="G2086" s="6" t="s">
        <v>24</v>
      </c>
      <c r="H2086" s="6" t="str">
        <f>IFERROR(VLOOKUP(Table2[[#This Row],[Ticket]],Okey!A:B,2,0),"")</f>
        <v>ok</v>
      </c>
      <c r="I2086" s="6" t="s">
        <v>3679</v>
      </c>
      <c r="J2086" s="6" t="str">
        <f>VLOOKUP(Table2[[#This Row],[Author]],People!A:B,2,0)</f>
        <v>EL</v>
      </c>
      <c r="K2086" s="6" t="s">
        <v>5965</v>
      </c>
      <c r="L2086" s="6"/>
      <c r="M2086" s="21" t="s">
        <v>1040</v>
      </c>
    </row>
    <row r="2087" spans="1:13" x14ac:dyDescent="0.25">
      <c r="A2087" s="23">
        <f t="shared" si="32"/>
        <v>2086</v>
      </c>
      <c r="B2087" s="7" t="s">
        <v>5960</v>
      </c>
      <c r="C2087" s="7" t="s">
        <v>6259</v>
      </c>
      <c r="D2087" s="7" t="s">
        <v>6082</v>
      </c>
      <c r="E2087" s="7"/>
      <c r="F2087" s="7" t="s">
        <v>6078</v>
      </c>
      <c r="G2087" s="7" t="s">
        <v>24</v>
      </c>
      <c r="H2087" s="7" t="str">
        <f>IFERROR(VLOOKUP(Table2[[#This Row],[Ticket]],Okey!A:B,2,0),"")</f>
        <v>ok</v>
      </c>
      <c r="I2087" s="7" t="s">
        <v>3679</v>
      </c>
      <c r="J2087" s="7" t="str">
        <f>VLOOKUP(Table2[[#This Row],[Author]],People!A:B,2,0)</f>
        <v>EL</v>
      </c>
      <c r="K2087" s="7" t="s">
        <v>5965</v>
      </c>
      <c r="L2087" s="7"/>
      <c r="M2087" s="16" t="s">
        <v>1040</v>
      </c>
    </row>
    <row r="2088" spans="1:13" x14ac:dyDescent="0.25">
      <c r="A2088" s="22">
        <f t="shared" si="32"/>
        <v>2087</v>
      </c>
      <c r="B2088" s="6" t="s">
        <v>5960</v>
      </c>
      <c r="C2088" s="6" t="s">
        <v>6259</v>
      </c>
      <c r="D2088" s="6" t="s">
        <v>6083</v>
      </c>
      <c r="E2088" s="6"/>
      <c r="F2088" s="6" t="s">
        <v>6078</v>
      </c>
      <c r="G2088" s="6" t="s">
        <v>24</v>
      </c>
      <c r="H2088" s="6" t="str">
        <f>IFERROR(VLOOKUP(Table2[[#This Row],[Ticket]],Okey!A:B,2,0),"")</f>
        <v>ok</v>
      </c>
      <c r="I2088" s="6" t="s">
        <v>3679</v>
      </c>
      <c r="J2088" s="6" t="str">
        <f>VLOOKUP(Table2[[#This Row],[Author]],People!A:B,2,0)</f>
        <v>EL</v>
      </c>
      <c r="K2088" s="6" t="s">
        <v>5965</v>
      </c>
      <c r="L2088" s="6"/>
      <c r="M2088" s="21" t="s">
        <v>1040</v>
      </c>
    </row>
    <row r="2089" spans="1:13" x14ac:dyDescent="0.25">
      <c r="A2089" s="23">
        <f t="shared" si="32"/>
        <v>2088</v>
      </c>
      <c r="B2089" s="7" t="s">
        <v>5960</v>
      </c>
      <c r="C2089" s="7" t="s">
        <v>6259</v>
      </c>
      <c r="D2089" s="7" t="s">
        <v>6053</v>
      </c>
      <c r="E2089" s="7"/>
      <c r="F2089" s="7" t="s">
        <v>6051</v>
      </c>
      <c r="G2089" s="7" t="s">
        <v>24</v>
      </c>
      <c r="H2089" s="7" t="str">
        <f>IFERROR(VLOOKUP(Table2[[#This Row],[Ticket]],Okey!A:B,2,0),"")</f>
        <v>ok</v>
      </c>
      <c r="I2089" s="7" t="s">
        <v>3679</v>
      </c>
      <c r="J2089" s="7" t="str">
        <f>VLOOKUP(Table2[[#This Row],[Author]],People!A:B,2,0)</f>
        <v>EL</v>
      </c>
      <c r="K2089" s="7" t="s">
        <v>5965</v>
      </c>
      <c r="L2089" s="7"/>
      <c r="M2089" s="16" t="s">
        <v>1040</v>
      </c>
    </row>
    <row r="2090" spans="1:13" x14ac:dyDescent="0.25">
      <c r="A2090" s="22">
        <f t="shared" si="32"/>
        <v>2089</v>
      </c>
      <c r="B2090" s="6" t="s">
        <v>5960</v>
      </c>
      <c r="C2090" s="6" t="s">
        <v>6259</v>
      </c>
      <c r="D2090" s="6" t="s">
        <v>6032</v>
      </c>
      <c r="E2090" s="6"/>
      <c r="F2090" s="6" t="s">
        <v>6030</v>
      </c>
      <c r="G2090" s="6" t="s">
        <v>24</v>
      </c>
      <c r="H2090" s="6" t="str">
        <f>IFERROR(VLOOKUP(Table2[[#This Row],[Ticket]],Okey!A:B,2,0),"")</f>
        <v>ok</v>
      </c>
      <c r="I2090" s="6" t="s">
        <v>3679</v>
      </c>
      <c r="J2090" s="6" t="str">
        <f>VLOOKUP(Table2[[#This Row],[Author]],People!A:B,2,0)</f>
        <v>EL</v>
      </c>
      <c r="K2090" s="6" t="s">
        <v>5965</v>
      </c>
      <c r="L2090" s="6"/>
      <c r="M2090" s="21" t="s">
        <v>1040</v>
      </c>
    </row>
    <row r="2091" spans="1:13" x14ac:dyDescent="0.25">
      <c r="A2091" s="23">
        <f t="shared" si="32"/>
        <v>2090</v>
      </c>
      <c r="B2091" s="7" t="s">
        <v>5960</v>
      </c>
      <c r="C2091" s="7" t="s">
        <v>6259</v>
      </c>
      <c r="D2091" s="7" t="s">
        <v>6033</v>
      </c>
      <c r="E2091" s="7"/>
      <c r="F2091" s="7" t="s">
        <v>6030</v>
      </c>
      <c r="G2091" s="7" t="s">
        <v>24</v>
      </c>
      <c r="H2091" s="7" t="str">
        <f>IFERROR(VLOOKUP(Table2[[#This Row],[Ticket]],Okey!A:B,2,0),"")</f>
        <v>ok</v>
      </c>
      <c r="I2091" s="7" t="s">
        <v>3679</v>
      </c>
      <c r="J2091" s="7" t="str">
        <f>VLOOKUP(Table2[[#This Row],[Author]],People!A:B,2,0)</f>
        <v>EL</v>
      </c>
      <c r="K2091" s="7" t="s">
        <v>5965</v>
      </c>
      <c r="L2091" s="7"/>
      <c r="M2091" s="16" t="s">
        <v>1040</v>
      </c>
    </row>
    <row r="2092" spans="1:13" x14ac:dyDescent="0.25">
      <c r="A2092" s="22">
        <f t="shared" si="32"/>
        <v>2091</v>
      </c>
      <c r="B2092" s="6" t="s">
        <v>5960</v>
      </c>
      <c r="C2092" s="6" t="s">
        <v>6259</v>
      </c>
      <c r="D2092" s="6" t="s">
        <v>6023</v>
      </c>
      <c r="E2092" s="6"/>
      <c r="F2092" s="6" t="s">
        <v>6021</v>
      </c>
      <c r="G2092" s="6" t="s">
        <v>24</v>
      </c>
      <c r="H2092" s="6" t="str">
        <f>IFERROR(VLOOKUP(Table2[[#This Row],[Ticket]],Okey!A:B,2,0),"")</f>
        <v>ok</v>
      </c>
      <c r="I2092" s="6" t="s">
        <v>3679</v>
      </c>
      <c r="J2092" s="6" t="str">
        <f>VLOOKUP(Table2[[#This Row],[Author]],People!A:B,2,0)</f>
        <v>EL</v>
      </c>
      <c r="K2092" s="6" t="s">
        <v>5965</v>
      </c>
      <c r="L2092" s="6"/>
      <c r="M2092" s="21" t="s">
        <v>1040</v>
      </c>
    </row>
    <row r="2093" spans="1:13" x14ac:dyDescent="0.25">
      <c r="A2093" s="23">
        <f t="shared" si="32"/>
        <v>2092</v>
      </c>
      <c r="B2093" s="7" t="s">
        <v>5960</v>
      </c>
      <c r="C2093" s="7" t="s">
        <v>6259</v>
      </c>
      <c r="D2093" s="7" t="s">
        <v>6025</v>
      </c>
      <c r="E2093" s="7"/>
      <c r="F2093" s="7" t="s">
        <v>6021</v>
      </c>
      <c r="G2093" s="7" t="s">
        <v>24</v>
      </c>
      <c r="H2093" s="7" t="str">
        <f>IFERROR(VLOOKUP(Table2[[#This Row],[Ticket]],Okey!A:B,2,0),"")</f>
        <v>ok</v>
      </c>
      <c r="I2093" s="7" t="s">
        <v>3679</v>
      </c>
      <c r="J2093" s="7" t="str">
        <f>VLOOKUP(Table2[[#This Row],[Author]],People!A:B,2,0)</f>
        <v>EL</v>
      </c>
      <c r="K2093" s="7" t="s">
        <v>5965</v>
      </c>
      <c r="L2093" s="7"/>
      <c r="M2093" s="16" t="s">
        <v>1040</v>
      </c>
    </row>
    <row r="2094" spans="1:13" x14ac:dyDescent="0.25">
      <c r="A2094" s="22">
        <f t="shared" si="32"/>
        <v>2093</v>
      </c>
      <c r="B2094" s="6" t="s">
        <v>5960</v>
      </c>
      <c r="C2094" s="6" t="s">
        <v>6259</v>
      </c>
      <c r="D2094" s="6" t="s">
        <v>6026</v>
      </c>
      <c r="E2094" s="6"/>
      <c r="F2094" s="6" t="s">
        <v>6021</v>
      </c>
      <c r="G2094" s="6" t="s">
        <v>24</v>
      </c>
      <c r="H2094" s="6" t="str">
        <f>IFERROR(VLOOKUP(Table2[[#This Row],[Ticket]],Okey!A:B,2,0),"")</f>
        <v>ok</v>
      </c>
      <c r="I2094" s="6" t="s">
        <v>3679</v>
      </c>
      <c r="J2094" s="6" t="str">
        <f>VLOOKUP(Table2[[#This Row],[Author]],People!A:B,2,0)</f>
        <v>MGF</v>
      </c>
      <c r="K2094" s="6" t="s">
        <v>5965</v>
      </c>
      <c r="L2094" s="6"/>
      <c r="M2094" s="21" t="s">
        <v>1040</v>
      </c>
    </row>
    <row r="2095" spans="1:13" x14ac:dyDescent="0.25">
      <c r="A2095" s="23">
        <f t="shared" si="32"/>
        <v>2094</v>
      </c>
      <c r="B2095" s="7" t="s">
        <v>5960</v>
      </c>
      <c r="C2095" s="7" t="s">
        <v>6259</v>
      </c>
      <c r="D2095" s="7" t="s">
        <v>6027</v>
      </c>
      <c r="E2095" s="7"/>
      <c r="F2095" s="7" t="s">
        <v>6021</v>
      </c>
      <c r="G2095" s="7" t="s">
        <v>24</v>
      </c>
      <c r="H2095" s="7" t="str">
        <f>IFERROR(VLOOKUP(Table2[[#This Row],[Ticket]],Okey!A:B,2,0),"")</f>
        <v>ok</v>
      </c>
      <c r="I2095" s="7" t="s">
        <v>3679</v>
      </c>
      <c r="J2095" s="7" t="str">
        <f>VLOOKUP(Table2[[#This Row],[Author]],People!A:B,2,0)</f>
        <v>MGF</v>
      </c>
      <c r="K2095" s="7" t="s">
        <v>5965</v>
      </c>
      <c r="L2095" s="7"/>
      <c r="M2095" s="16" t="s">
        <v>1040</v>
      </c>
    </row>
    <row r="2096" spans="1:13" x14ac:dyDescent="0.25">
      <c r="A2096" s="22">
        <f t="shared" si="32"/>
        <v>2095</v>
      </c>
      <c r="B2096" s="6" t="s">
        <v>5960</v>
      </c>
      <c r="C2096" s="6" t="s">
        <v>6259</v>
      </c>
      <c r="D2096" s="6" t="s">
        <v>6028</v>
      </c>
      <c r="E2096" s="6"/>
      <c r="F2096" s="6" t="s">
        <v>6021</v>
      </c>
      <c r="G2096" s="6" t="s">
        <v>24</v>
      </c>
      <c r="H2096" s="6" t="str">
        <f>IFERROR(VLOOKUP(Table2[[#This Row],[Ticket]],Okey!A:B,2,0),"")</f>
        <v>ok</v>
      </c>
      <c r="I2096" s="6" t="s">
        <v>3679</v>
      </c>
      <c r="J2096" s="6" t="str">
        <f>VLOOKUP(Table2[[#This Row],[Author]],People!A:B,2,0)</f>
        <v>MGF</v>
      </c>
      <c r="K2096" s="6" t="s">
        <v>5965</v>
      </c>
      <c r="L2096" s="6"/>
      <c r="M2096" s="21" t="s">
        <v>1040</v>
      </c>
    </row>
    <row r="2097" spans="1:13" x14ac:dyDescent="0.25">
      <c r="A2097" s="23">
        <f t="shared" si="32"/>
        <v>2096</v>
      </c>
      <c r="B2097" s="7" t="s">
        <v>5960</v>
      </c>
      <c r="C2097" s="7" t="s">
        <v>6259</v>
      </c>
      <c r="D2097" s="7" t="s">
        <v>6029</v>
      </c>
      <c r="E2097" s="7"/>
      <c r="F2097" s="7" t="s">
        <v>6021</v>
      </c>
      <c r="G2097" s="7" t="s">
        <v>24</v>
      </c>
      <c r="H2097" s="7" t="str">
        <f>IFERROR(VLOOKUP(Table2[[#This Row],[Ticket]],Okey!A:B,2,0),"")</f>
        <v>ok</v>
      </c>
      <c r="I2097" s="7" t="s">
        <v>3679</v>
      </c>
      <c r="J2097" s="7" t="str">
        <f>VLOOKUP(Table2[[#This Row],[Author]],People!A:B,2,0)</f>
        <v>MGF</v>
      </c>
      <c r="K2097" s="7" t="s">
        <v>5965</v>
      </c>
      <c r="L2097" s="7"/>
      <c r="M2097" s="16" t="s">
        <v>1040</v>
      </c>
    </row>
    <row r="2098" spans="1:13" x14ac:dyDescent="0.25">
      <c r="A2098" s="22">
        <f t="shared" si="32"/>
        <v>2097</v>
      </c>
      <c r="B2098" s="6" t="s">
        <v>5960</v>
      </c>
      <c r="C2098" s="6" t="s">
        <v>6259</v>
      </c>
      <c r="D2098" s="6" t="s">
        <v>6040</v>
      </c>
      <c r="E2098" s="6"/>
      <c r="F2098" s="6" t="s">
        <v>6038</v>
      </c>
      <c r="G2098" s="6" t="s">
        <v>24</v>
      </c>
      <c r="H2098" s="6" t="str">
        <f>IFERROR(VLOOKUP(Table2[[#This Row],[Ticket]],Okey!A:B,2,0),"")</f>
        <v>ok</v>
      </c>
      <c r="I2098" s="6" t="s">
        <v>3679</v>
      </c>
      <c r="J2098" s="6" t="str">
        <f>VLOOKUP(Table2[[#This Row],[Author]],People!A:B,2,0)</f>
        <v>MGF</v>
      </c>
      <c r="K2098" s="6" t="s">
        <v>5965</v>
      </c>
      <c r="L2098" s="6"/>
      <c r="M2098" s="21" t="s">
        <v>1040</v>
      </c>
    </row>
    <row r="2099" spans="1:13" x14ac:dyDescent="0.25">
      <c r="A2099" s="23">
        <f t="shared" si="32"/>
        <v>2098</v>
      </c>
      <c r="B2099" s="7" t="s">
        <v>5960</v>
      </c>
      <c r="C2099" s="7" t="s">
        <v>6259</v>
      </c>
      <c r="D2099" s="7" t="s">
        <v>6041</v>
      </c>
      <c r="E2099" s="7"/>
      <c r="F2099" s="7" t="s">
        <v>6038</v>
      </c>
      <c r="G2099" s="7" t="s">
        <v>24</v>
      </c>
      <c r="H2099" s="7" t="str">
        <f>IFERROR(VLOOKUP(Table2[[#This Row],[Ticket]],Okey!A:B,2,0),"")</f>
        <v>ok</v>
      </c>
      <c r="I2099" s="7" t="s">
        <v>3679</v>
      </c>
      <c r="J2099" s="7" t="str">
        <f>VLOOKUP(Table2[[#This Row],[Author]],People!A:B,2,0)</f>
        <v>MGF</v>
      </c>
      <c r="K2099" s="7" t="s">
        <v>5965</v>
      </c>
      <c r="L2099" s="7"/>
      <c r="M2099" s="16" t="s">
        <v>1040</v>
      </c>
    </row>
    <row r="2100" spans="1:13" x14ac:dyDescent="0.25">
      <c r="A2100" s="22">
        <f t="shared" si="32"/>
        <v>2099</v>
      </c>
      <c r="B2100" s="6" t="s">
        <v>5960</v>
      </c>
      <c r="C2100" s="6" t="s">
        <v>6259</v>
      </c>
      <c r="D2100" s="6" t="s">
        <v>6042</v>
      </c>
      <c r="E2100" s="6"/>
      <c r="F2100" s="6" t="s">
        <v>6038</v>
      </c>
      <c r="G2100" s="6" t="s">
        <v>24</v>
      </c>
      <c r="H2100" s="6" t="str">
        <f>IFERROR(VLOOKUP(Table2[[#This Row],[Ticket]],Okey!A:B,2,0),"")</f>
        <v>ok</v>
      </c>
      <c r="I2100" s="6" t="s">
        <v>3679</v>
      </c>
      <c r="J2100" s="6" t="str">
        <f>VLOOKUP(Table2[[#This Row],[Author]],People!A:B,2,0)</f>
        <v>MGF</v>
      </c>
      <c r="K2100" s="6" t="s">
        <v>5965</v>
      </c>
      <c r="L2100" s="6"/>
      <c r="M2100" s="21" t="s">
        <v>1040</v>
      </c>
    </row>
    <row r="2101" spans="1:13" x14ac:dyDescent="0.25">
      <c r="A2101" s="23">
        <f t="shared" si="32"/>
        <v>2100</v>
      </c>
      <c r="B2101" s="7" t="s">
        <v>5960</v>
      </c>
      <c r="C2101" s="7" t="s">
        <v>6259</v>
      </c>
      <c r="D2101" s="7" t="s">
        <v>6043</v>
      </c>
      <c r="E2101" s="7"/>
      <c r="F2101" s="7" t="s">
        <v>6038</v>
      </c>
      <c r="G2101" s="7" t="s">
        <v>24</v>
      </c>
      <c r="H2101" s="7" t="str">
        <f>IFERROR(VLOOKUP(Table2[[#This Row],[Ticket]],Okey!A:B,2,0),"")</f>
        <v>ok</v>
      </c>
      <c r="I2101" s="7" t="s">
        <v>3679</v>
      </c>
      <c r="J2101" s="7" t="str">
        <f>VLOOKUP(Table2[[#This Row],[Author]],People!A:B,2,0)</f>
        <v>MGF</v>
      </c>
      <c r="K2101" s="7" t="s">
        <v>5965</v>
      </c>
      <c r="L2101" s="7"/>
      <c r="M2101" s="16" t="s">
        <v>1040</v>
      </c>
    </row>
    <row r="2102" spans="1:13" x14ac:dyDescent="0.25">
      <c r="A2102" s="22">
        <f t="shared" si="32"/>
        <v>2101</v>
      </c>
      <c r="B2102" s="6" t="s">
        <v>5960</v>
      </c>
      <c r="C2102" s="6" t="s">
        <v>6259</v>
      </c>
      <c r="D2102" s="6" t="s">
        <v>6044</v>
      </c>
      <c r="E2102" s="6"/>
      <c r="F2102" s="6" t="s">
        <v>6038</v>
      </c>
      <c r="G2102" s="6" t="s">
        <v>24</v>
      </c>
      <c r="H2102" s="6" t="str">
        <f>IFERROR(VLOOKUP(Table2[[#This Row],[Ticket]],Okey!A:B,2,0),"")</f>
        <v>ok</v>
      </c>
      <c r="I2102" s="6" t="s">
        <v>3679</v>
      </c>
      <c r="J2102" s="6" t="str">
        <f>VLOOKUP(Table2[[#This Row],[Author]],People!A:B,2,0)</f>
        <v>MGF</v>
      </c>
      <c r="K2102" s="6" t="s">
        <v>5965</v>
      </c>
      <c r="L2102" s="6"/>
      <c r="M2102" s="21" t="s">
        <v>1040</v>
      </c>
    </row>
    <row r="2103" spans="1:13" x14ac:dyDescent="0.25">
      <c r="A2103" s="23">
        <f t="shared" si="32"/>
        <v>2102</v>
      </c>
      <c r="B2103" s="7" t="s">
        <v>5960</v>
      </c>
      <c r="C2103" s="7" t="s">
        <v>6259</v>
      </c>
      <c r="D2103" s="7" t="s">
        <v>6045</v>
      </c>
      <c r="E2103" s="7"/>
      <c r="F2103" s="7" t="s">
        <v>6038</v>
      </c>
      <c r="G2103" s="7" t="s">
        <v>24</v>
      </c>
      <c r="H2103" s="7" t="str">
        <f>IFERROR(VLOOKUP(Table2[[#This Row],[Ticket]],Okey!A:B,2,0),"")</f>
        <v>ok</v>
      </c>
      <c r="I2103" s="7" t="s">
        <v>3679</v>
      </c>
      <c r="J2103" s="7" t="str">
        <f>VLOOKUP(Table2[[#This Row],[Author]],People!A:B,2,0)</f>
        <v>EL</v>
      </c>
      <c r="K2103" s="7" t="s">
        <v>5965</v>
      </c>
      <c r="L2103" s="7"/>
      <c r="M2103" s="16" t="s">
        <v>1040</v>
      </c>
    </row>
    <row r="2104" spans="1:13" x14ac:dyDescent="0.25">
      <c r="A2104" s="22">
        <f t="shared" si="32"/>
        <v>2103</v>
      </c>
      <c r="B2104" s="6" t="s">
        <v>5960</v>
      </c>
      <c r="C2104" s="6" t="s">
        <v>6259</v>
      </c>
      <c r="D2104" s="6" t="s">
        <v>6046</v>
      </c>
      <c r="E2104" s="6"/>
      <c r="F2104" s="6" t="s">
        <v>6038</v>
      </c>
      <c r="G2104" s="6" t="s">
        <v>24</v>
      </c>
      <c r="H2104" s="6" t="str">
        <f>IFERROR(VLOOKUP(Table2[[#This Row],[Ticket]],Okey!A:B,2,0),"")</f>
        <v>ok</v>
      </c>
      <c r="I2104" s="6" t="s">
        <v>3679</v>
      </c>
      <c r="J2104" s="6" t="str">
        <f>VLOOKUP(Table2[[#This Row],[Author]],People!A:B,2,0)</f>
        <v>EL</v>
      </c>
      <c r="K2104" s="6" t="s">
        <v>5965</v>
      </c>
      <c r="L2104" s="6"/>
      <c r="M2104" s="21" t="s">
        <v>1040</v>
      </c>
    </row>
    <row r="2105" spans="1:13" x14ac:dyDescent="0.25">
      <c r="A2105" s="23">
        <f t="shared" si="32"/>
        <v>2104</v>
      </c>
      <c r="B2105" s="7" t="s">
        <v>5960</v>
      </c>
      <c r="C2105" s="7" t="s">
        <v>6259</v>
      </c>
      <c r="D2105" s="7" t="s">
        <v>6047</v>
      </c>
      <c r="E2105" s="7"/>
      <c r="F2105" s="7" t="s">
        <v>6038</v>
      </c>
      <c r="G2105" s="7" t="s">
        <v>24</v>
      </c>
      <c r="H2105" s="7" t="str">
        <f>IFERROR(VLOOKUP(Table2[[#This Row],[Ticket]],Okey!A:B,2,0),"")</f>
        <v>ok</v>
      </c>
      <c r="I2105" s="7" t="s">
        <v>3679</v>
      </c>
      <c r="J2105" s="7" t="str">
        <f>VLOOKUP(Table2[[#This Row],[Author]],People!A:B,2,0)</f>
        <v>EL</v>
      </c>
      <c r="K2105" s="7" t="s">
        <v>5965</v>
      </c>
      <c r="L2105" s="7"/>
      <c r="M2105" s="16" t="s">
        <v>1040</v>
      </c>
    </row>
    <row r="2106" spans="1:13" x14ac:dyDescent="0.25">
      <c r="A2106" s="22">
        <f t="shared" si="32"/>
        <v>2105</v>
      </c>
      <c r="B2106" s="6" t="s">
        <v>5960</v>
      </c>
      <c r="C2106" s="6" t="s">
        <v>6259</v>
      </c>
      <c r="D2106" s="6" t="s">
        <v>6048</v>
      </c>
      <c r="E2106" s="6"/>
      <c r="F2106" s="6" t="s">
        <v>6038</v>
      </c>
      <c r="G2106" s="6" t="s">
        <v>24</v>
      </c>
      <c r="H2106" s="6" t="str">
        <f>IFERROR(VLOOKUP(Table2[[#This Row],[Ticket]],Okey!A:B,2,0),"")</f>
        <v>ok</v>
      </c>
      <c r="I2106" s="6" t="s">
        <v>3679</v>
      </c>
      <c r="J2106" s="6" t="str">
        <f>VLOOKUP(Table2[[#This Row],[Author]],People!A:B,2,0)</f>
        <v>EL</v>
      </c>
      <c r="K2106" s="6" t="s">
        <v>5965</v>
      </c>
      <c r="L2106" s="6"/>
      <c r="M2106" s="21" t="s">
        <v>1040</v>
      </c>
    </row>
    <row r="2107" spans="1:13" x14ac:dyDescent="0.25">
      <c r="A2107" s="23">
        <f t="shared" si="32"/>
        <v>2106</v>
      </c>
      <c r="B2107" s="7" t="s">
        <v>5960</v>
      </c>
      <c r="C2107" s="7" t="s">
        <v>6259</v>
      </c>
      <c r="D2107" s="7" t="s">
        <v>6065</v>
      </c>
      <c r="E2107" s="7"/>
      <c r="F2107" s="7" t="s">
        <v>6061</v>
      </c>
      <c r="G2107" s="7" t="s">
        <v>24</v>
      </c>
      <c r="H2107" s="7" t="str">
        <f>IFERROR(VLOOKUP(Table2[[#This Row],[Ticket]],Okey!A:B,2,0),"")</f>
        <v>ok</v>
      </c>
      <c r="I2107" s="7" t="s">
        <v>3679</v>
      </c>
      <c r="J2107" s="7" t="str">
        <f>VLOOKUP(Table2[[#This Row],[Author]],People!A:B,2,0)</f>
        <v>LS</v>
      </c>
      <c r="K2107" s="7" t="s">
        <v>5965</v>
      </c>
      <c r="L2107" s="7"/>
      <c r="M2107" s="16" t="s">
        <v>1040</v>
      </c>
    </row>
    <row r="2108" spans="1:13" x14ac:dyDescent="0.25">
      <c r="A2108" s="22">
        <f t="shared" si="32"/>
        <v>2107</v>
      </c>
      <c r="B2108" s="6" t="s">
        <v>5960</v>
      </c>
      <c r="C2108" s="6" t="s">
        <v>6259</v>
      </c>
      <c r="D2108" s="6" t="s">
        <v>6049</v>
      </c>
      <c r="E2108" s="6"/>
      <c r="F2108" s="6" t="s">
        <v>6038</v>
      </c>
      <c r="G2108" s="6" t="s">
        <v>24</v>
      </c>
      <c r="H2108" s="6" t="str">
        <f>IFERROR(VLOOKUP(Table2[[#This Row],[Ticket]],Okey!A:B,2,0),"")</f>
        <v>ok</v>
      </c>
      <c r="I2108" s="6" t="s">
        <v>3679</v>
      </c>
      <c r="J2108" s="6" t="str">
        <f>VLOOKUP(Table2[[#This Row],[Author]],People!A:B,2,0)</f>
        <v>MGF</v>
      </c>
      <c r="K2108" s="6" t="s">
        <v>5965</v>
      </c>
      <c r="L2108" s="6"/>
      <c r="M2108" s="21" t="s">
        <v>1040</v>
      </c>
    </row>
    <row r="2109" spans="1:13" x14ac:dyDescent="0.25">
      <c r="A2109" s="23">
        <f t="shared" si="32"/>
        <v>2108</v>
      </c>
      <c r="B2109" s="7" t="s">
        <v>5960</v>
      </c>
      <c r="C2109" s="7" t="s">
        <v>6259</v>
      </c>
      <c r="D2109" s="7" t="s">
        <v>6054</v>
      </c>
      <c r="E2109" s="7"/>
      <c r="F2109" s="7" t="s">
        <v>6051</v>
      </c>
      <c r="G2109" s="7" t="s">
        <v>24</v>
      </c>
      <c r="H2109" s="7" t="str">
        <f>IFERROR(VLOOKUP(Table2[[#This Row],[Ticket]],Okey!A:B,2,0),"")</f>
        <v>ok</v>
      </c>
      <c r="I2109" s="7" t="s">
        <v>3679</v>
      </c>
      <c r="J2109" s="7" t="str">
        <f>VLOOKUP(Table2[[#This Row],[Author]],People!A:B,2,0)</f>
        <v>MGF</v>
      </c>
      <c r="K2109" s="7" t="s">
        <v>5965</v>
      </c>
      <c r="L2109" s="7"/>
      <c r="M2109" s="16" t="s">
        <v>1040</v>
      </c>
    </row>
    <row r="2110" spans="1:13" x14ac:dyDescent="0.25">
      <c r="A2110" s="22">
        <f t="shared" si="32"/>
        <v>2109</v>
      </c>
      <c r="B2110" s="6" t="s">
        <v>5960</v>
      </c>
      <c r="C2110" s="6" t="s">
        <v>6259</v>
      </c>
      <c r="D2110" s="6" t="s">
        <v>6055</v>
      </c>
      <c r="E2110" s="6"/>
      <c r="F2110" s="6" t="s">
        <v>6051</v>
      </c>
      <c r="G2110" s="6" t="s">
        <v>24</v>
      </c>
      <c r="H2110" s="6" t="str">
        <f>IFERROR(VLOOKUP(Table2[[#This Row],[Ticket]],Okey!A:B,2,0),"")</f>
        <v>ok</v>
      </c>
      <c r="I2110" s="6" t="s">
        <v>3679</v>
      </c>
      <c r="J2110" s="6" t="str">
        <f>VLOOKUP(Table2[[#This Row],[Author]],People!A:B,2,0)</f>
        <v>MGF</v>
      </c>
      <c r="K2110" s="6" t="s">
        <v>5965</v>
      </c>
      <c r="L2110" s="6"/>
      <c r="M2110" s="21" t="s">
        <v>1040</v>
      </c>
    </row>
    <row r="2111" spans="1:13" x14ac:dyDescent="0.25">
      <c r="A2111" s="23">
        <f t="shared" si="32"/>
        <v>2110</v>
      </c>
      <c r="B2111" s="7" t="s">
        <v>5960</v>
      </c>
      <c r="C2111" s="7" t="s">
        <v>6259</v>
      </c>
      <c r="D2111" s="7" t="s">
        <v>6057</v>
      </c>
      <c r="E2111" s="7"/>
      <c r="F2111" s="7" t="s">
        <v>6056</v>
      </c>
      <c r="G2111" s="7" t="s">
        <v>24</v>
      </c>
      <c r="H2111" s="7" t="str">
        <f>IFERROR(VLOOKUP(Table2[[#This Row],[Ticket]],Okey!A:B,2,0),"")</f>
        <v>ok</v>
      </c>
      <c r="I2111" s="7" t="s">
        <v>3679</v>
      </c>
      <c r="J2111" s="7" t="str">
        <f>VLOOKUP(Table2[[#This Row],[Author]],People!A:B,2,0)</f>
        <v>MGF</v>
      </c>
      <c r="K2111" s="7" t="s">
        <v>5965</v>
      </c>
      <c r="L2111" s="7"/>
      <c r="M2111" s="16" t="s">
        <v>1040</v>
      </c>
    </row>
    <row r="2112" spans="1:13" x14ac:dyDescent="0.25">
      <c r="A2112" s="22">
        <f t="shared" si="32"/>
        <v>2111</v>
      </c>
      <c r="B2112" s="6" t="s">
        <v>5960</v>
      </c>
      <c r="C2112" s="6" t="s">
        <v>6259</v>
      </c>
      <c r="D2112" s="6" t="s">
        <v>6058</v>
      </c>
      <c r="E2112" s="6"/>
      <c r="F2112" s="6" t="s">
        <v>6056</v>
      </c>
      <c r="G2112" s="6" t="s">
        <v>24</v>
      </c>
      <c r="H2112" s="6" t="str">
        <f>IFERROR(VLOOKUP(Table2[[#This Row],[Ticket]],Okey!A:B,2,0),"")</f>
        <v>ok</v>
      </c>
      <c r="I2112" s="6" t="s">
        <v>3679</v>
      </c>
      <c r="J2112" s="6" t="str">
        <f>VLOOKUP(Table2[[#This Row],[Author]],People!A:B,2,0)</f>
        <v>MGF</v>
      </c>
      <c r="K2112" s="6" t="s">
        <v>5965</v>
      </c>
      <c r="L2112" s="6"/>
      <c r="M2112" s="21" t="s">
        <v>1040</v>
      </c>
    </row>
    <row r="2113" spans="1:13" x14ac:dyDescent="0.25">
      <c r="A2113" s="23">
        <f t="shared" si="32"/>
        <v>2112</v>
      </c>
      <c r="B2113" s="7" t="s">
        <v>5960</v>
      </c>
      <c r="C2113" s="7" t="s">
        <v>6259</v>
      </c>
      <c r="D2113" s="7" t="s">
        <v>6066</v>
      </c>
      <c r="E2113" s="7"/>
      <c r="F2113" s="7" t="s">
        <v>6061</v>
      </c>
      <c r="G2113" s="7" t="s">
        <v>24</v>
      </c>
      <c r="H2113" s="7" t="str">
        <f>IFERROR(VLOOKUP(Table2[[#This Row],[Ticket]],Okey!A:B,2,0),"")</f>
        <v>ok</v>
      </c>
      <c r="I2113" s="7" t="s">
        <v>3679</v>
      </c>
      <c r="J2113" s="7" t="str">
        <f>VLOOKUP(Table2[[#This Row],[Author]],People!A:B,2,0)</f>
        <v>MGF</v>
      </c>
      <c r="K2113" s="7" t="s">
        <v>5965</v>
      </c>
      <c r="L2113" s="7"/>
      <c r="M2113" s="16" t="s">
        <v>1040</v>
      </c>
    </row>
    <row r="2114" spans="1:13" x14ac:dyDescent="0.25">
      <c r="A2114" s="22">
        <f t="shared" si="32"/>
        <v>2113</v>
      </c>
      <c r="B2114" s="6" t="s">
        <v>5960</v>
      </c>
      <c r="C2114" s="6" t="s">
        <v>6259</v>
      </c>
      <c r="D2114" s="6" t="s">
        <v>6064</v>
      </c>
      <c r="E2114" s="6"/>
      <c r="F2114" s="6" t="s">
        <v>6061</v>
      </c>
      <c r="G2114" s="6" t="s">
        <v>24</v>
      </c>
      <c r="H2114" s="6" t="str">
        <f>IFERROR(VLOOKUP(Table2[[#This Row],[Ticket]],Okey!A:B,2,0),"")</f>
        <v>ok</v>
      </c>
      <c r="I2114" s="6" t="s">
        <v>3679</v>
      </c>
      <c r="J2114" s="6" t="str">
        <f>VLOOKUP(Table2[[#This Row],[Author]],People!A:B,2,0)</f>
        <v>MGF</v>
      </c>
      <c r="K2114" s="6" t="s">
        <v>5965</v>
      </c>
      <c r="L2114" s="6"/>
      <c r="M2114" s="21" t="s">
        <v>1040</v>
      </c>
    </row>
    <row r="2115" spans="1:13" x14ac:dyDescent="0.25">
      <c r="A2115" s="23">
        <f t="shared" ref="A2115:A2178" si="33">1+A2114</f>
        <v>2114</v>
      </c>
      <c r="B2115" s="7" t="s">
        <v>5960</v>
      </c>
      <c r="C2115" s="7" t="s">
        <v>6259</v>
      </c>
      <c r="D2115" s="7" t="s">
        <v>6059</v>
      </c>
      <c r="E2115" s="7"/>
      <c r="F2115" s="7" t="s">
        <v>6056</v>
      </c>
      <c r="G2115" s="7" t="s">
        <v>24</v>
      </c>
      <c r="H2115" s="7" t="str">
        <f>IFERROR(VLOOKUP(Table2[[#This Row],[Ticket]],Okey!A:B,2,0),"")</f>
        <v>ok</v>
      </c>
      <c r="I2115" s="7" t="s">
        <v>3679</v>
      </c>
      <c r="J2115" s="7" t="str">
        <f>VLOOKUP(Table2[[#This Row],[Author]],People!A:B,2,0)</f>
        <v>MGF</v>
      </c>
      <c r="K2115" s="7" t="s">
        <v>5965</v>
      </c>
      <c r="L2115" s="7"/>
      <c r="M2115" s="16" t="s">
        <v>1040</v>
      </c>
    </row>
    <row r="2116" spans="1:13" x14ac:dyDescent="0.25">
      <c r="A2116" s="22">
        <f t="shared" si="33"/>
        <v>2115</v>
      </c>
      <c r="B2116" s="6" t="s">
        <v>5960</v>
      </c>
      <c r="C2116" s="6" t="s">
        <v>6259</v>
      </c>
      <c r="D2116" s="6" t="s">
        <v>6037</v>
      </c>
      <c r="E2116" s="6"/>
      <c r="F2116" s="6" t="s">
        <v>6036</v>
      </c>
      <c r="G2116" s="6" t="s">
        <v>24</v>
      </c>
      <c r="H2116" s="6" t="str">
        <f>IFERROR(VLOOKUP(Table2[[#This Row],[Ticket]],Okey!A:B,2,0),"")</f>
        <v>ok</v>
      </c>
      <c r="I2116" s="6" t="s">
        <v>3679</v>
      </c>
      <c r="J2116" s="6" t="str">
        <f>VLOOKUP(Table2[[#This Row],[Author]],People!A:B,2,0)</f>
        <v>MGF</v>
      </c>
      <c r="K2116" s="6" t="s">
        <v>5965</v>
      </c>
      <c r="L2116" s="6"/>
      <c r="M2116" s="21" t="s">
        <v>1040</v>
      </c>
    </row>
    <row r="2117" spans="1:13" x14ac:dyDescent="0.25">
      <c r="A2117" s="23">
        <f t="shared" si="33"/>
        <v>2116</v>
      </c>
      <c r="B2117" s="7" t="s">
        <v>5960</v>
      </c>
      <c r="C2117" s="7" t="s">
        <v>6259</v>
      </c>
      <c r="D2117" s="7" t="s">
        <v>6060</v>
      </c>
      <c r="E2117" s="7"/>
      <c r="F2117" s="7" t="s">
        <v>6056</v>
      </c>
      <c r="G2117" s="7" t="s">
        <v>24</v>
      </c>
      <c r="H2117" s="7" t="str">
        <f>IFERROR(VLOOKUP(Table2[[#This Row],[Ticket]],Okey!A:B,2,0),"")</f>
        <v>ok</v>
      </c>
      <c r="I2117" s="7" t="s">
        <v>3679</v>
      </c>
      <c r="J2117" s="7" t="str">
        <f>VLOOKUP(Table2[[#This Row],[Author]],People!A:B,2,0)</f>
        <v>MGF</v>
      </c>
      <c r="K2117" s="7" t="s">
        <v>5965</v>
      </c>
      <c r="L2117" s="7"/>
      <c r="M2117" s="16" t="s">
        <v>1040</v>
      </c>
    </row>
    <row r="2118" spans="1:13" x14ac:dyDescent="0.25">
      <c r="A2118" s="22">
        <f t="shared" si="33"/>
        <v>2117</v>
      </c>
      <c r="B2118" s="6" t="s">
        <v>5960</v>
      </c>
      <c r="C2118" s="6" t="s">
        <v>6259</v>
      </c>
      <c r="D2118" s="6" t="s">
        <v>6034</v>
      </c>
      <c r="E2118" s="6"/>
      <c r="F2118" s="6" t="s">
        <v>6030</v>
      </c>
      <c r="G2118" s="6" t="s">
        <v>24</v>
      </c>
      <c r="H2118" s="6" t="str">
        <f>IFERROR(VLOOKUP(Table2[[#This Row],[Ticket]],Okey!A:B,2,0),"")</f>
        <v>ok</v>
      </c>
      <c r="I2118" s="6" t="s">
        <v>3679</v>
      </c>
      <c r="J2118" s="6" t="str">
        <f>VLOOKUP(Table2[[#This Row],[Author]],People!A:B,2,0)</f>
        <v>MGF</v>
      </c>
      <c r="K2118" s="6" t="s">
        <v>5965</v>
      </c>
      <c r="L2118" s="6"/>
      <c r="M2118" s="21" t="s">
        <v>1040</v>
      </c>
    </row>
    <row r="2119" spans="1:13" x14ac:dyDescent="0.25">
      <c r="A2119" s="23">
        <f t="shared" si="33"/>
        <v>2118</v>
      </c>
      <c r="B2119" s="7" t="s">
        <v>5960</v>
      </c>
      <c r="C2119" s="7" t="s">
        <v>6259</v>
      </c>
      <c r="D2119" s="7" t="s">
        <v>6035</v>
      </c>
      <c r="E2119" s="7"/>
      <c r="F2119" s="7" t="s">
        <v>6030</v>
      </c>
      <c r="G2119" s="7" t="s">
        <v>24</v>
      </c>
      <c r="H2119" s="7" t="str">
        <f>IFERROR(VLOOKUP(Table2[[#This Row],[Ticket]],Okey!A:B,2,0),"")</f>
        <v>ok</v>
      </c>
      <c r="I2119" s="7" t="s">
        <v>3679</v>
      </c>
      <c r="J2119" s="7" t="str">
        <f>VLOOKUP(Table2[[#This Row],[Author]],People!A:B,2,0)</f>
        <v>MGF</v>
      </c>
      <c r="K2119" s="7" t="s">
        <v>5965</v>
      </c>
      <c r="L2119" s="7"/>
      <c r="M2119" s="16" t="s">
        <v>1040</v>
      </c>
    </row>
    <row r="2120" spans="1:13" x14ac:dyDescent="0.25">
      <c r="A2120" s="22">
        <f t="shared" si="33"/>
        <v>2119</v>
      </c>
      <c r="B2120" s="6" t="s">
        <v>5960</v>
      </c>
      <c r="C2120" s="6" t="s">
        <v>6259</v>
      </c>
      <c r="D2120" s="6" t="s">
        <v>6067</v>
      </c>
      <c r="E2120" s="6"/>
      <c r="F2120" s="6" t="s">
        <v>6061</v>
      </c>
      <c r="G2120" s="6" t="s">
        <v>24</v>
      </c>
      <c r="H2120" s="6" t="str">
        <f>IFERROR(VLOOKUP(Table2[[#This Row],[Ticket]],Okey!A:B,2,0),"")</f>
        <v>ok</v>
      </c>
      <c r="I2120" s="6" t="s">
        <v>3679</v>
      </c>
      <c r="J2120" s="6" t="str">
        <f>VLOOKUP(Table2[[#This Row],[Author]],People!A:B,2,0)</f>
        <v>MGF</v>
      </c>
      <c r="K2120" s="6" t="s">
        <v>5965</v>
      </c>
      <c r="L2120" s="6"/>
      <c r="M2120" s="21" t="s">
        <v>1040</v>
      </c>
    </row>
    <row r="2121" spans="1:13" x14ac:dyDescent="0.25">
      <c r="A2121" s="23">
        <f t="shared" si="33"/>
        <v>2120</v>
      </c>
      <c r="B2121" s="7" t="s">
        <v>5960</v>
      </c>
      <c r="C2121" s="7" t="s">
        <v>6259</v>
      </c>
      <c r="D2121" s="7" t="s">
        <v>6068</v>
      </c>
      <c r="E2121" s="7"/>
      <c r="F2121" s="7" t="s">
        <v>6061</v>
      </c>
      <c r="G2121" s="7" t="s">
        <v>24</v>
      </c>
      <c r="H2121" s="7" t="str">
        <f>IFERROR(VLOOKUP(Table2[[#This Row],[Ticket]],Okey!A:B,2,0),"")</f>
        <v>ok</v>
      </c>
      <c r="I2121" s="7" t="s">
        <v>3679</v>
      </c>
      <c r="J2121" s="7" t="str">
        <f>VLOOKUP(Table2[[#This Row],[Author]],People!A:B,2,0)</f>
        <v>MGF</v>
      </c>
      <c r="K2121" s="7" t="s">
        <v>5965</v>
      </c>
      <c r="L2121" s="7"/>
      <c r="M2121" s="16" t="s">
        <v>1040</v>
      </c>
    </row>
    <row r="2122" spans="1:13" x14ac:dyDescent="0.25">
      <c r="A2122" s="22">
        <f t="shared" si="33"/>
        <v>2121</v>
      </c>
      <c r="B2122" s="6" t="s">
        <v>5960</v>
      </c>
      <c r="C2122" s="6" t="s">
        <v>6259</v>
      </c>
      <c r="D2122" s="6" t="s">
        <v>6069</v>
      </c>
      <c r="E2122" s="6"/>
      <c r="F2122" s="6" t="s">
        <v>6061</v>
      </c>
      <c r="G2122" s="6" t="s">
        <v>24</v>
      </c>
      <c r="H2122" s="6" t="str">
        <f>IFERROR(VLOOKUP(Table2[[#This Row],[Ticket]],Okey!A:B,2,0),"")</f>
        <v>ok</v>
      </c>
      <c r="I2122" s="6" t="s">
        <v>3679</v>
      </c>
      <c r="J2122" s="6" t="str">
        <f>VLOOKUP(Table2[[#This Row],[Author]],People!A:B,2,0)</f>
        <v>MGF</v>
      </c>
      <c r="K2122" s="6" t="s">
        <v>5965</v>
      </c>
      <c r="L2122" s="6"/>
      <c r="M2122" s="21" t="s">
        <v>1040</v>
      </c>
    </row>
    <row r="2123" spans="1:13" x14ac:dyDescent="0.25">
      <c r="A2123" s="23">
        <f t="shared" si="33"/>
        <v>2122</v>
      </c>
      <c r="B2123" s="7" t="s">
        <v>5960</v>
      </c>
      <c r="C2123" s="7" t="s">
        <v>6259</v>
      </c>
      <c r="D2123" s="7" t="s">
        <v>6050</v>
      </c>
      <c r="E2123" s="7"/>
      <c r="F2123" s="7" t="s">
        <v>6038</v>
      </c>
      <c r="G2123" s="7" t="s">
        <v>24</v>
      </c>
      <c r="H2123" s="7" t="str">
        <f>IFERROR(VLOOKUP(Table2[[#This Row],[Ticket]],Okey!A:B,2,0),"")</f>
        <v>ok</v>
      </c>
      <c r="I2123" s="7" t="s">
        <v>3679</v>
      </c>
      <c r="J2123" s="7" t="str">
        <f>VLOOKUP(Table2[[#This Row],[Author]],People!A:B,2,0)</f>
        <v>MGF</v>
      </c>
      <c r="K2123" s="7" t="s">
        <v>5965</v>
      </c>
      <c r="L2123" s="7"/>
      <c r="M2123" s="16" t="s">
        <v>1040</v>
      </c>
    </row>
    <row r="2124" spans="1:13" x14ac:dyDescent="0.25">
      <c r="A2124" s="22">
        <f t="shared" si="33"/>
        <v>2123</v>
      </c>
      <c r="B2124" s="6" t="s">
        <v>5960</v>
      </c>
      <c r="C2124" s="6" t="s">
        <v>6259</v>
      </c>
      <c r="D2124" s="6" t="s">
        <v>6084</v>
      </c>
      <c r="E2124" s="6"/>
      <c r="F2124" s="6" t="s">
        <v>6078</v>
      </c>
      <c r="G2124" s="6" t="s">
        <v>24</v>
      </c>
      <c r="H2124" s="6" t="str">
        <f>IFERROR(VLOOKUP(Table2[[#This Row],[Ticket]],Okey!A:B,2,0),"")</f>
        <v>ok</v>
      </c>
      <c r="I2124" s="6" t="s">
        <v>3679</v>
      </c>
      <c r="J2124" s="6" t="str">
        <f>VLOOKUP(Table2[[#This Row],[Author]],People!A:B,2,0)</f>
        <v>MGF</v>
      </c>
      <c r="K2124" s="6" t="s">
        <v>5965</v>
      </c>
      <c r="L2124" s="6"/>
      <c r="M2124" s="21" t="s">
        <v>1040</v>
      </c>
    </row>
    <row r="2125" spans="1:13" x14ac:dyDescent="0.25">
      <c r="A2125" s="23">
        <f t="shared" si="33"/>
        <v>2124</v>
      </c>
      <c r="B2125" s="7" t="s">
        <v>5960</v>
      </c>
      <c r="C2125" s="7" t="s">
        <v>6259</v>
      </c>
      <c r="D2125" s="7" t="s">
        <v>6071</v>
      </c>
      <c r="E2125" s="7"/>
      <c r="F2125" s="7" t="s">
        <v>6070</v>
      </c>
      <c r="G2125" s="7" t="s">
        <v>24</v>
      </c>
      <c r="H2125" s="7" t="str">
        <f>IFERROR(VLOOKUP(Table2[[#This Row],[Ticket]],Okey!A:B,2,0),"")</f>
        <v>ok</v>
      </c>
      <c r="I2125" s="7" t="s">
        <v>3679</v>
      </c>
      <c r="J2125" s="7" t="str">
        <f>VLOOKUP(Table2[[#This Row],[Author]],People!A:B,2,0)</f>
        <v>MGF</v>
      </c>
      <c r="K2125" s="7" t="s">
        <v>5965</v>
      </c>
      <c r="L2125" s="7"/>
      <c r="M2125" s="16" t="s">
        <v>1040</v>
      </c>
    </row>
    <row r="2126" spans="1:13" x14ac:dyDescent="0.25">
      <c r="A2126" s="22">
        <f t="shared" si="33"/>
        <v>2125</v>
      </c>
      <c r="B2126" s="6" t="s">
        <v>5960</v>
      </c>
      <c r="C2126" s="6" t="s">
        <v>6259</v>
      </c>
      <c r="D2126" s="6" t="s">
        <v>6072</v>
      </c>
      <c r="E2126" s="6"/>
      <c r="F2126" s="6" t="s">
        <v>6070</v>
      </c>
      <c r="G2126" s="6" t="s">
        <v>24</v>
      </c>
      <c r="H2126" s="6" t="str">
        <f>IFERROR(VLOOKUP(Table2[[#This Row],[Ticket]],Okey!A:B,2,0),"")</f>
        <v>ok</v>
      </c>
      <c r="I2126" s="6" t="s">
        <v>3679</v>
      </c>
      <c r="J2126" s="6" t="str">
        <f>VLOOKUP(Table2[[#This Row],[Author]],People!A:B,2,0)</f>
        <v>MGF</v>
      </c>
      <c r="K2126" s="6" t="s">
        <v>5965</v>
      </c>
      <c r="L2126" s="6"/>
      <c r="M2126" s="21" t="s">
        <v>1040</v>
      </c>
    </row>
    <row r="2127" spans="1:13" x14ac:dyDescent="0.25">
      <c r="A2127" s="23">
        <f t="shared" si="33"/>
        <v>2126</v>
      </c>
      <c r="B2127" s="7" t="s">
        <v>5960</v>
      </c>
      <c r="C2127" s="7" t="s">
        <v>6259</v>
      </c>
      <c r="D2127" s="7" t="s">
        <v>6073</v>
      </c>
      <c r="E2127" s="7"/>
      <c r="F2127" s="7" t="s">
        <v>6070</v>
      </c>
      <c r="G2127" s="7" t="s">
        <v>24</v>
      </c>
      <c r="H2127" s="7" t="str">
        <f>IFERROR(VLOOKUP(Table2[[#This Row],[Ticket]],Okey!A:B,2,0),"")</f>
        <v>ok</v>
      </c>
      <c r="I2127" s="7" t="s">
        <v>3679</v>
      </c>
      <c r="J2127" s="7" t="str">
        <f>VLOOKUP(Table2[[#This Row],[Author]],People!A:B,2,0)</f>
        <v>MGF</v>
      </c>
      <c r="K2127" s="7" t="s">
        <v>5965</v>
      </c>
      <c r="L2127" s="7"/>
      <c r="M2127" s="16" t="s">
        <v>1040</v>
      </c>
    </row>
    <row r="2128" spans="1:13" x14ac:dyDescent="0.25">
      <c r="A2128" s="22">
        <f t="shared" si="33"/>
        <v>2127</v>
      </c>
      <c r="B2128" s="6" t="s">
        <v>5960</v>
      </c>
      <c r="C2128" s="6" t="s">
        <v>6259</v>
      </c>
      <c r="D2128" s="6" t="s">
        <v>6074</v>
      </c>
      <c r="E2128" s="6"/>
      <c r="F2128" s="6" t="s">
        <v>6070</v>
      </c>
      <c r="G2128" s="6" t="s">
        <v>24</v>
      </c>
      <c r="H2128" s="6" t="str">
        <f>IFERROR(VLOOKUP(Table2[[#This Row],[Ticket]],Okey!A:B,2,0),"")</f>
        <v>ok</v>
      </c>
      <c r="I2128" s="6" t="s">
        <v>3679</v>
      </c>
      <c r="J2128" s="6" t="str">
        <f>VLOOKUP(Table2[[#This Row],[Author]],People!A:B,2,0)</f>
        <v>MGF</v>
      </c>
      <c r="K2128" s="6" t="s">
        <v>5965</v>
      </c>
      <c r="L2128" s="6"/>
      <c r="M2128" s="21" t="s">
        <v>1040</v>
      </c>
    </row>
    <row r="2129" spans="1:13" x14ac:dyDescent="0.25">
      <c r="A2129" s="23">
        <f t="shared" si="33"/>
        <v>2128</v>
      </c>
      <c r="B2129" s="7" t="s">
        <v>5960</v>
      </c>
      <c r="C2129" s="7" t="s">
        <v>6259</v>
      </c>
      <c r="D2129" s="7" t="s">
        <v>6075</v>
      </c>
      <c r="E2129" s="7"/>
      <c r="F2129" s="7" t="s">
        <v>6070</v>
      </c>
      <c r="G2129" s="7" t="s">
        <v>24</v>
      </c>
      <c r="H2129" s="7" t="str">
        <f>IFERROR(VLOOKUP(Table2[[#This Row],[Ticket]],Okey!A:B,2,0),"")</f>
        <v>ok</v>
      </c>
      <c r="I2129" s="7" t="s">
        <v>3679</v>
      </c>
      <c r="J2129" s="7" t="str">
        <f>VLOOKUP(Table2[[#This Row],[Author]],People!A:B,2,0)</f>
        <v>MGF</v>
      </c>
      <c r="K2129" s="7" t="s">
        <v>5965</v>
      </c>
      <c r="L2129" s="7"/>
      <c r="M2129" s="16" t="s">
        <v>1040</v>
      </c>
    </row>
    <row r="2130" spans="1:13" x14ac:dyDescent="0.25">
      <c r="A2130" s="22">
        <f t="shared" si="33"/>
        <v>2129</v>
      </c>
      <c r="B2130" s="6" t="s">
        <v>5960</v>
      </c>
      <c r="C2130" s="6" t="s">
        <v>6259</v>
      </c>
      <c r="D2130" s="6" t="s">
        <v>6076</v>
      </c>
      <c r="E2130" s="6"/>
      <c r="F2130" s="6" t="s">
        <v>6070</v>
      </c>
      <c r="G2130" s="6" t="s">
        <v>24</v>
      </c>
      <c r="H2130" s="6" t="str">
        <f>IFERROR(VLOOKUP(Table2[[#This Row],[Ticket]],Okey!A:B,2,0),"")</f>
        <v>ok</v>
      </c>
      <c r="I2130" s="6" t="s">
        <v>3679</v>
      </c>
      <c r="J2130" s="6" t="str">
        <f>VLOOKUP(Table2[[#This Row],[Author]],People!A:B,2,0)</f>
        <v>MGF</v>
      </c>
      <c r="K2130" s="6" t="s">
        <v>5965</v>
      </c>
      <c r="L2130" s="6"/>
      <c r="M2130" s="21" t="s">
        <v>1040</v>
      </c>
    </row>
    <row r="2131" spans="1:13" x14ac:dyDescent="0.25">
      <c r="A2131" s="23">
        <f t="shared" si="33"/>
        <v>2130</v>
      </c>
      <c r="B2131" s="7" t="s">
        <v>5960</v>
      </c>
      <c r="C2131" s="7" t="s">
        <v>6259</v>
      </c>
      <c r="D2131" s="7" t="s">
        <v>6077</v>
      </c>
      <c r="E2131" s="7"/>
      <c r="F2131" s="7" t="s">
        <v>6070</v>
      </c>
      <c r="G2131" s="7" t="s">
        <v>24</v>
      </c>
      <c r="H2131" s="7" t="str">
        <f>IFERROR(VLOOKUP(Table2[[#This Row],[Ticket]],Okey!A:B,2,0),"")</f>
        <v>ok</v>
      </c>
      <c r="I2131" s="7" t="s">
        <v>3679</v>
      </c>
      <c r="J2131" s="7" t="str">
        <f>VLOOKUP(Table2[[#This Row],[Author]],People!A:B,2,0)</f>
        <v>MGF</v>
      </c>
      <c r="K2131" s="7" t="s">
        <v>5965</v>
      </c>
      <c r="L2131" s="7"/>
      <c r="M2131" s="16" t="s">
        <v>1040</v>
      </c>
    </row>
    <row r="2132" spans="1:13" x14ac:dyDescent="0.25">
      <c r="A2132" s="22">
        <f t="shared" si="33"/>
        <v>2131</v>
      </c>
      <c r="B2132" s="6" t="s">
        <v>5960</v>
      </c>
      <c r="C2132" s="6" t="s">
        <v>6259</v>
      </c>
      <c r="D2132" s="6" t="s">
        <v>6096</v>
      </c>
      <c r="E2132" s="6"/>
      <c r="F2132" s="6" t="s">
        <v>6095</v>
      </c>
      <c r="G2132" s="6" t="s">
        <v>24</v>
      </c>
      <c r="H2132" s="6" t="str">
        <f>IFERROR(VLOOKUP(Table2[[#This Row],[Ticket]],Okey!A:B,2,0),"")</f>
        <v>ok</v>
      </c>
      <c r="I2132" s="6" t="s">
        <v>3679</v>
      </c>
      <c r="J2132" s="6" t="str">
        <f>VLOOKUP(Table2[[#This Row],[Author]],People!A:B,2,0)</f>
        <v>MGF</v>
      </c>
      <c r="K2132" s="6" t="s">
        <v>5965</v>
      </c>
      <c r="L2132" s="6"/>
      <c r="M2132" s="21" t="s">
        <v>1040</v>
      </c>
    </row>
    <row r="2133" spans="1:13" x14ac:dyDescent="0.25">
      <c r="A2133" s="23">
        <f t="shared" si="33"/>
        <v>2132</v>
      </c>
      <c r="B2133" s="7" t="s">
        <v>5960</v>
      </c>
      <c r="C2133" s="7" t="s">
        <v>6259</v>
      </c>
      <c r="D2133" s="7" t="s">
        <v>6097</v>
      </c>
      <c r="E2133" s="7"/>
      <c r="F2133" s="7" t="s">
        <v>6095</v>
      </c>
      <c r="G2133" s="7" t="s">
        <v>24</v>
      </c>
      <c r="H2133" s="7" t="str">
        <f>IFERROR(VLOOKUP(Table2[[#This Row],[Ticket]],Okey!A:B,2,0),"")</f>
        <v>ok</v>
      </c>
      <c r="I2133" s="7" t="s">
        <v>3679</v>
      </c>
      <c r="J2133" s="7" t="str">
        <f>VLOOKUP(Table2[[#This Row],[Author]],People!A:B,2,0)</f>
        <v>MGF</v>
      </c>
      <c r="K2133" s="7" t="s">
        <v>5965</v>
      </c>
      <c r="L2133" s="7"/>
      <c r="M2133" s="16" t="s">
        <v>1040</v>
      </c>
    </row>
    <row r="2134" spans="1:13" x14ac:dyDescent="0.25">
      <c r="A2134" s="22">
        <f t="shared" si="33"/>
        <v>2133</v>
      </c>
      <c r="B2134" s="6" t="s">
        <v>5960</v>
      </c>
      <c r="C2134" s="6" t="s">
        <v>6259</v>
      </c>
      <c r="D2134" s="6" t="s">
        <v>6098</v>
      </c>
      <c r="E2134" s="6"/>
      <c r="F2134" s="6" t="s">
        <v>6095</v>
      </c>
      <c r="G2134" s="6" t="s">
        <v>24</v>
      </c>
      <c r="H2134" s="6" t="str">
        <f>IFERROR(VLOOKUP(Table2[[#This Row],[Ticket]],Okey!A:B,2,0),"")</f>
        <v>ok</v>
      </c>
      <c r="I2134" s="6" t="s">
        <v>3679</v>
      </c>
      <c r="J2134" s="6" t="str">
        <f>VLOOKUP(Table2[[#This Row],[Author]],People!A:B,2,0)</f>
        <v>MGF</v>
      </c>
      <c r="K2134" s="6" t="s">
        <v>5965</v>
      </c>
      <c r="L2134" s="6"/>
      <c r="M2134" s="21" t="s">
        <v>1040</v>
      </c>
    </row>
    <row r="2135" spans="1:13" x14ac:dyDescent="0.25">
      <c r="A2135" s="23">
        <f t="shared" si="33"/>
        <v>2134</v>
      </c>
      <c r="B2135" s="7" t="s">
        <v>5960</v>
      </c>
      <c r="C2135" s="7" t="s">
        <v>6259</v>
      </c>
      <c r="D2135" s="7" t="s">
        <v>6099</v>
      </c>
      <c r="E2135" s="7"/>
      <c r="F2135" s="7" t="s">
        <v>6095</v>
      </c>
      <c r="G2135" s="7" t="s">
        <v>24</v>
      </c>
      <c r="H2135" s="7" t="str">
        <f>IFERROR(VLOOKUP(Table2[[#This Row],[Ticket]],Okey!A:B,2,0),"")</f>
        <v>ok</v>
      </c>
      <c r="I2135" s="7" t="s">
        <v>3679</v>
      </c>
      <c r="J2135" s="7" t="str">
        <f>VLOOKUP(Table2[[#This Row],[Author]],People!A:B,2,0)</f>
        <v>MGF</v>
      </c>
      <c r="K2135" s="7" t="s">
        <v>5965</v>
      </c>
      <c r="L2135" s="7"/>
      <c r="M2135" s="16" t="s">
        <v>1040</v>
      </c>
    </row>
    <row r="2136" spans="1:13" x14ac:dyDescent="0.25">
      <c r="A2136" s="22">
        <f t="shared" si="33"/>
        <v>2135</v>
      </c>
      <c r="B2136" s="6" t="s">
        <v>5960</v>
      </c>
      <c r="C2136" s="6" t="s">
        <v>6259</v>
      </c>
      <c r="D2136" s="6" t="s">
        <v>6100</v>
      </c>
      <c r="E2136" s="6"/>
      <c r="F2136" s="6" t="s">
        <v>6095</v>
      </c>
      <c r="G2136" s="6" t="s">
        <v>24</v>
      </c>
      <c r="H2136" s="6" t="str">
        <f>IFERROR(VLOOKUP(Table2[[#This Row],[Ticket]],Okey!A:B,2,0),"")</f>
        <v>ok</v>
      </c>
      <c r="I2136" s="6" t="s">
        <v>3679</v>
      </c>
      <c r="J2136" s="6" t="str">
        <f>VLOOKUP(Table2[[#This Row],[Author]],People!A:B,2,0)</f>
        <v>MGF</v>
      </c>
      <c r="K2136" s="6" t="s">
        <v>5965</v>
      </c>
      <c r="L2136" s="6"/>
      <c r="M2136" s="21" t="s">
        <v>1040</v>
      </c>
    </row>
    <row r="2137" spans="1:13" x14ac:dyDescent="0.25">
      <c r="A2137" s="23">
        <f t="shared" si="33"/>
        <v>2136</v>
      </c>
      <c r="B2137" s="7" t="s">
        <v>5960</v>
      </c>
      <c r="C2137" s="7" t="s">
        <v>6259</v>
      </c>
      <c r="D2137" s="7" t="s">
        <v>6101</v>
      </c>
      <c r="E2137" s="7"/>
      <c r="F2137" s="7" t="s">
        <v>6095</v>
      </c>
      <c r="G2137" s="7" t="s">
        <v>24</v>
      </c>
      <c r="H2137" s="7" t="str">
        <f>IFERROR(VLOOKUP(Table2[[#This Row],[Ticket]],Okey!A:B,2,0),"")</f>
        <v>ok</v>
      </c>
      <c r="I2137" s="7" t="s">
        <v>3679</v>
      </c>
      <c r="J2137" s="7" t="str">
        <f>VLOOKUP(Table2[[#This Row],[Author]],People!A:B,2,0)</f>
        <v>MGF</v>
      </c>
      <c r="K2137" s="7" t="s">
        <v>5965</v>
      </c>
      <c r="L2137" s="7"/>
      <c r="M2137" s="16" t="s">
        <v>1040</v>
      </c>
    </row>
    <row r="2138" spans="1:13" x14ac:dyDescent="0.25">
      <c r="A2138" s="22">
        <f t="shared" si="33"/>
        <v>2137</v>
      </c>
      <c r="B2138" s="6" t="s">
        <v>5960</v>
      </c>
      <c r="C2138" s="6" t="s">
        <v>6259</v>
      </c>
      <c r="D2138" s="6" t="s">
        <v>6103</v>
      </c>
      <c r="E2138" s="6"/>
      <c r="F2138" s="6" t="s">
        <v>6102</v>
      </c>
      <c r="G2138" s="6" t="s">
        <v>24</v>
      </c>
      <c r="H2138" s="6" t="str">
        <f>IFERROR(VLOOKUP(Table2[[#This Row],[Ticket]],Okey!A:B,2,0),"")</f>
        <v>ok</v>
      </c>
      <c r="I2138" s="6" t="s">
        <v>3679</v>
      </c>
      <c r="J2138" s="6" t="str">
        <f>VLOOKUP(Table2[[#This Row],[Author]],People!A:B,2,0)</f>
        <v>MGF</v>
      </c>
      <c r="K2138" s="6" t="s">
        <v>5965</v>
      </c>
      <c r="L2138" s="6"/>
      <c r="M2138" s="21" t="s">
        <v>1040</v>
      </c>
    </row>
    <row r="2139" spans="1:13" x14ac:dyDescent="0.25">
      <c r="A2139" s="23">
        <f t="shared" si="33"/>
        <v>2138</v>
      </c>
      <c r="B2139" s="7" t="s">
        <v>5960</v>
      </c>
      <c r="C2139" s="7" t="s">
        <v>6259</v>
      </c>
      <c r="D2139" s="7" t="s">
        <v>6104</v>
      </c>
      <c r="E2139" s="7"/>
      <c r="F2139" s="7" t="s">
        <v>6102</v>
      </c>
      <c r="G2139" s="7" t="s">
        <v>24</v>
      </c>
      <c r="H2139" s="7" t="str">
        <f>IFERROR(VLOOKUP(Table2[[#This Row],[Ticket]],Okey!A:B,2,0),"")</f>
        <v>ok</v>
      </c>
      <c r="I2139" s="7" t="s">
        <v>3679</v>
      </c>
      <c r="J2139" s="7" t="str">
        <f>VLOOKUP(Table2[[#This Row],[Author]],People!A:B,2,0)</f>
        <v>MGF</v>
      </c>
      <c r="K2139" s="7" t="s">
        <v>5965</v>
      </c>
      <c r="L2139" s="7"/>
      <c r="M2139" s="16" t="s">
        <v>1040</v>
      </c>
    </row>
    <row r="2140" spans="1:13" x14ac:dyDescent="0.25">
      <c r="A2140" s="22">
        <f t="shared" si="33"/>
        <v>2139</v>
      </c>
      <c r="B2140" s="6" t="s">
        <v>5960</v>
      </c>
      <c r="C2140" s="6" t="s">
        <v>6259</v>
      </c>
      <c r="D2140" s="6" t="s">
        <v>6105</v>
      </c>
      <c r="E2140" s="6"/>
      <c r="F2140" s="6" t="s">
        <v>6102</v>
      </c>
      <c r="G2140" s="6" t="s">
        <v>24</v>
      </c>
      <c r="H2140" s="6" t="str">
        <f>IFERROR(VLOOKUP(Table2[[#This Row],[Ticket]],Okey!A:B,2,0),"")</f>
        <v>ok</v>
      </c>
      <c r="I2140" s="6" t="s">
        <v>3679</v>
      </c>
      <c r="J2140" s="6" t="str">
        <f>VLOOKUP(Table2[[#This Row],[Author]],People!A:B,2,0)</f>
        <v>MGF</v>
      </c>
      <c r="K2140" s="6" t="s">
        <v>5965</v>
      </c>
      <c r="L2140" s="6"/>
      <c r="M2140" s="21" t="s">
        <v>1040</v>
      </c>
    </row>
    <row r="2141" spans="1:13" x14ac:dyDescent="0.25">
      <c r="A2141" s="23">
        <f t="shared" si="33"/>
        <v>2140</v>
      </c>
      <c r="B2141" s="7" t="s">
        <v>5960</v>
      </c>
      <c r="C2141" s="7" t="s">
        <v>5992</v>
      </c>
      <c r="D2141" s="7" t="s">
        <v>6260</v>
      </c>
      <c r="E2141" s="7" t="s">
        <v>6261</v>
      </c>
      <c r="F2141" s="7" t="s">
        <v>6262</v>
      </c>
      <c r="G2141" s="7" t="s">
        <v>18</v>
      </c>
      <c r="H2141" s="7" t="str">
        <f>IFERROR(VLOOKUP(Table2[[#This Row],[Ticket]],Okey!A:B,2,0),"")</f>
        <v>ok</v>
      </c>
      <c r="I2141" s="7" t="s">
        <v>3679</v>
      </c>
      <c r="J2141" s="7" t="str">
        <f>VLOOKUP(Table2[[#This Row],[Author]],People!A:B,2,0)</f>
        <v>MGF</v>
      </c>
      <c r="K2141" s="7" t="s">
        <v>5965</v>
      </c>
      <c r="L2141" s="7"/>
      <c r="M2141" s="16" t="s">
        <v>5995</v>
      </c>
    </row>
    <row r="2142" spans="1:13" x14ac:dyDescent="0.25">
      <c r="A2142" s="22">
        <f t="shared" si="33"/>
        <v>2141</v>
      </c>
      <c r="B2142" s="6" t="s">
        <v>5960</v>
      </c>
      <c r="C2142" s="6" t="s">
        <v>5992</v>
      </c>
      <c r="D2142" s="6" t="s">
        <v>961</v>
      </c>
      <c r="E2142" s="6" t="s">
        <v>6263</v>
      </c>
      <c r="F2142" s="6" t="s">
        <v>775</v>
      </c>
      <c r="G2142" s="6" t="s">
        <v>18</v>
      </c>
      <c r="H2142" s="6" t="str">
        <f>IFERROR(VLOOKUP(Table2[[#This Row],[Ticket]],Okey!A:B,2,0),"")</f>
        <v>ok</v>
      </c>
      <c r="I2142" s="6" t="s">
        <v>3679</v>
      </c>
      <c r="J2142" s="6" t="str">
        <f>VLOOKUP(Table2[[#This Row],[Author]],People!A:B,2,0)</f>
        <v>MGF</v>
      </c>
      <c r="K2142" s="6" t="s">
        <v>5965</v>
      </c>
      <c r="L2142" s="6"/>
      <c r="M2142" s="21" t="s">
        <v>5995</v>
      </c>
    </row>
    <row r="2143" spans="1:13" x14ac:dyDescent="0.25">
      <c r="A2143" s="23">
        <f t="shared" si="33"/>
        <v>2142</v>
      </c>
      <c r="B2143" s="7" t="s">
        <v>5960</v>
      </c>
      <c r="C2143" s="7" t="s">
        <v>5992</v>
      </c>
      <c r="D2143" s="7" t="s">
        <v>963</v>
      </c>
      <c r="E2143" s="7" t="s">
        <v>6264</v>
      </c>
      <c r="F2143" s="7" t="s">
        <v>775</v>
      </c>
      <c r="G2143" s="7" t="s">
        <v>18</v>
      </c>
      <c r="H2143" s="7" t="str">
        <f>IFERROR(VLOOKUP(Table2[[#This Row],[Ticket]],Okey!A:B,2,0),"")</f>
        <v>ok</v>
      </c>
      <c r="I2143" s="7" t="s">
        <v>3679</v>
      </c>
      <c r="J2143" s="7" t="str">
        <f>VLOOKUP(Table2[[#This Row],[Author]],People!A:B,2,0)</f>
        <v>MGF</v>
      </c>
      <c r="K2143" s="7" t="s">
        <v>5965</v>
      </c>
      <c r="L2143" s="7"/>
      <c r="M2143" s="16" t="s">
        <v>5995</v>
      </c>
    </row>
    <row r="2144" spans="1:13" x14ac:dyDescent="0.25">
      <c r="A2144" s="22">
        <f t="shared" si="33"/>
        <v>2143</v>
      </c>
      <c r="B2144" s="6" t="s">
        <v>5960</v>
      </c>
      <c r="C2144" s="6" t="s">
        <v>5992</v>
      </c>
      <c r="D2144" s="6" t="s">
        <v>6265</v>
      </c>
      <c r="E2144" s="6" t="s">
        <v>6266</v>
      </c>
      <c r="F2144" s="6" t="s">
        <v>775</v>
      </c>
      <c r="G2144" s="6" t="s">
        <v>18</v>
      </c>
      <c r="H2144" s="6" t="str">
        <f>IFERROR(VLOOKUP(Table2[[#This Row],[Ticket]],Okey!A:B,2,0),"")</f>
        <v>ok</v>
      </c>
      <c r="I2144" s="6" t="s">
        <v>3679</v>
      </c>
      <c r="J2144" s="6" t="str">
        <f>VLOOKUP(Table2[[#This Row],[Author]],People!A:B,2,0)</f>
        <v>MGF</v>
      </c>
      <c r="K2144" s="6" t="s">
        <v>5965</v>
      </c>
      <c r="L2144" s="6"/>
      <c r="M2144" s="21" t="s">
        <v>5995</v>
      </c>
    </row>
    <row r="2145" spans="1:13" x14ac:dyDescent="0.25">
      <c r="A2145" s="23">
        <f t="shared" si="33"/>
        <v>2144</v>
      </c>
      <c r="B2145" s="7" t="s">
        <v>5960</v>
      </c>
      <c r="C2145" s="7" t="s">
        <v>5992</v>
      </c>
      <c r="D2145" s="7" t="s">
        <v>6267</v>
      </c>
      <c r="E2145" s="7" t="s">
        <v>6268</v>
      </c>
      <c r="F2145" s="7" t="s">
        <v>6269</v>
      </c>
      <c r="G2145" s="7" t="s">
        <v>18</v>
      </c>
      <c r="H2145" s="7" t="str">
        <f>IFERROR(VLOOKUP(Table2[[#This Row],[Ticket]],Okey!A:B,2,0),"")</f>
        <v>ok</v>
      </c>
      <c r="I2145" s="7" t="s">
        <v>3679</v>
      </c>
      <c r="J2145" s="7" t="str">
        <f>VLOOKUP(Table2[[#This Row],[Author]],People!A:B,2,0)</f>
        <v>MGF</v>
      </c>
      <c r="K2145" s="7" t="s">
        <v>5965</v>
      </c>
      <c r="L2145" s="7"/>
      <c r="M2145" s="16" t="s">
        <v>5995</v>
      </c>
    </row>
    <row r="2146" spans="1:13" x14ac:dyDescent="0.25">
      <c r="A2146" s="22">
        <f t="shared" si="33"/>
        <v>2145</v>
      </c>
      <c r="B2146" s="6" t="s">
        <v>5960</v>
      </c>
      <c r="C2146" s="6" t="s">
        <v>5992</v>
      </c>
      <c r="D2146" s="6" t="s">
        <v>6270</v>
      </c>
      <c r="E2146" s="6" t="s">
        <v>6271</v>
      </c>
      <c r="F2146" s="6" t="s">
        <v>6269</v>
      </c>
      <c r="G2146" s="6" t="s">
        <v>18</v>
      </c>
      <c r="H2146" s="6" t="str">
        <f>IFERROR(VLOOKUP(Table2[[#This Row],[Ticket]],Okey!A:B,2,0),"")</f>
        <v>ok</v>
      </c>
      <c r="I2146" s="6" t="s">
        <v>3679</v>
      </c>
      <c r="J2146" s="6" t="str">
        <f>VLOOKUP(Table2[[#This Row],[Author]],People!A:B,2,0)</f>
        <v>MGF</v>
      </c>
      <c r="K2146" s="6" t="s">
        <v>5965</v>
      </c>
      <c r="L2146" s="6"/>
      <c r="M2146" s="21" t="s">
        <v>5995</v>
      </c>
    </row>
    <row r="2147" spans="1:13" x14ac:dyDescent="0.25">
      <c r="A2147" s="23">
        <f t="shared" si="33"/>
        <v>2146</v>
      </c>
      <c r="B2147" s="7" t="s">
        <v>5960</v>
      </c>
      <c r="C2147" s="7" t="s">
        <v>5992</v>
      </c>
      <c r="D2147" s="7" t="s">
        <v>965</v>
      </c>
      <c r="E2147" s="7" t="s">
        <v>6272</v>
      </c>
      <c r="F2147" s="7" t="s">
        <v>760</v>
      </c>
      <c r="G2147" s="7" t="s">
        <v>18</v>
      </c>
      <c r="H2147" s="7" t="str">
        <f>IFERROR(VLOOKUP(Table2[[#This Row],[Ticket]],Okey!A:B,2,0),"")</f>
        <v>ok</v>
      </c>
      <c r="I2147" s="7" t="s">
        <v>3679</v>
      </c>
      <c r="J2147" s="7" t="str">
        <f>VLOOKUP(Table2[[#This Row],[Author]],People!A:B,2,0)</f>
        <v>MGF</v>
      </c>
      <c r="K2147" s="7" t="s">
        <v>5965</v>
      </c>
      <c r="L2147" s="7"/>
      <c r="M2147" s="16" t="s">
        <v>5995</v>
      </c>
    </row>
    <row r="2148" spans="1:13" x14ac:dyDescent="0.25">
      <c r="A2148" s="22">
        <f t="shared" si="33"/>
        <v>2147</v>
      </c>
      <c r="B2148" s="6" t="s">
        <v>5960</v>
      </c>
      <c r="C2148" s="6" t="s">
        <v>5992</v>
      </c>
      <c r="D2148" s="6" t="s">
        <v>967</v>
      </c>
      <c r="E2148" s="6" t="s">
        <v>6273</v>
      </c>
      <c r="F2148" s="6" t="s">
        <v>760</v>
      </c>
      <c r="G2148" s="6" t="s">
        <v>18</v>
      </c>
      <c r="H2148" s="6" t="str">
        <f>IFERROR(VLOOKUP(Table2[[#This Row],[Ticket]],Okey!A:B,2,0),"")</f>
        <v>ok</v>
      </c>
      <c r="I2148" s="6" t="s">
        <v>3679</v>
      </c>
      <c r="J2148" s="6" t="str">
        <f>VLOOKUP(Table2[[#This Row],[Author]],People!A:B,2,0)</f>
        <v>MGF</v>
      </c>
      <c r="K2148" s="6" t="s">
        <v>5965</v>
      </c>
      <c r="L2148" s="6"/>
      <c r="M2148" s="21" t="s">
        <v>5995</v>
      </c>
    </row>
    <row r="2149" spans="1:13" x14ac:dyDescent="0.25">
      <c r="A2149" s="23">
        <f t="shared" si="33"/>
        <v>2148</v>
      </c>
      <c r="B2149" s="7" t="s">
        <v>5960</v>
      </c>
      <c r="C2149" s="7" t="s">
        <v>5992</v>
      </c>
      <c r="D2149" s="7" t="s">
        <v>6274</v>
      </c>
      <c r="E2149" s="7" t="s">
        <v>6275</v>
      </c>
      <c r="F2149" s="7"/>
      <c r="G2149" s="7" t="s">
        <v>63</v>
      </c>
      <c r="H2149" s="7" t="str">
        <f>IFERROR(VLOOKUP(Table2[[#This Row],[Ticket]],Okey!A:B,2,0),"")</f>
        <v>ok</v>
      </c>
      <c r="I2149" s="7" t="s">
        <v>3679</v>
      </c>
      <c r="J2149" s="7" t="str">
        <f>VLOOKUP(Table2[[#This Row],[Author]],People!A:B,2,0)</f>
        <v>MGF</v>
      </c>
      <c r="K2149" s="7" t="s">
        <v>5965</v>
      </c>
      <c r="L2149" s="7"/>
      <c r="M2149" s="16" t="s">
        <v>5995</v>
      </c>
    </row>
    <row r="2150" spans="1:13" x14ac:dyDescent="0.25">
      <c r="A2150" s="22">
        <f t="shared" si="33"/>
        <v>2149</v>
      </c>
      <c r="B2150" s="6" t="s">
        <v>5960</v>
      </c>
      <c r="C2150" s="6" t="s">
        <v>5992</v>
      </c>
      <c r="D2150" s="6" t="s">
        <v>6276</v>
      </c>
      <c r="E2150" s="6" t="s">
        <v>6277</v>
      </c>
      <c r="F2150" s="6"/>
      <c r="G2150" s="6" t="s">
        <v>63</v>
      </c>
      <c r="H2150" s="6" t="str">
        <f>IFERROR(VLOOKUP(Table2[[#This Row],[Ticket]],Okey!A:B,2,0),"")</f>
        <v>ok</v>
      </c>
      <c r="I2150" s="6" t="s">
        <v>3679</v>
      </c>
      <c r="J2150" s="6" t="str">
        <f>VLOOKUP(Table2[[#This Row],[Author]],People!A:B,2,0)</f>
        <v>MGF</v>
      </c>
      <c r="K2150" s="6" t="s">
        <v>5965</v>
      </c>
      <c r="L2150" s="6"/>
      <c r="M2150" s="21" t="s">
        <v>5995</v>
      </c>
    </row>
    <row r="2151" spans="1:13" x14ac:dyDescent="0.25">
      <c r="A2151" s="23">
        <f t="shared" si="33"/>
        <v>2150</v>
      </c>
      <c r="B2151" s="7" t="s">
        <v>5960</v>
      </c>
      <c r="C2151" s="7" t="s">
        <v>5992</v>
      </c>
      <c r="D2151" s="7" t="s">
        <v>6278</v>
      </c>
      <c r="E2151" s="7" t="s">
        <v>6279</v>
      </c>
      <c r="F2151" s="7"/>
      <c r="G2151" s="7" t="s">
        <v>63</v>
      </c>
      <c r="H2151" s="7" t="str">
        <f>IFERROR(VLOOKUP(Table2[[#This Row],[Ticket]],Okey!A:B,2,0),"")</f>
        <v>ok</v>
      </c>
      <c r="I2151" s="7" t="s">
        <v>3679</v>
      </c>
      <c r="J2151" s="7" t="str">
        <f>VLOOKUP(Table2[[#This Row],[Author]],People!A:B,2,0)</f>
        <v>MGF</v>
      </c>
      <c r="K2151" s="7" t="s">
        <v>5965</v>
      </c>
      <c r="L2151" s="7"/>
      <c r="M2151" s="16" t="s">
        <v>5995</v>
      </c>
    </row>
    <row r="2152" spans="1:13" x14ac:dyDescent="0.25">
      <c r="A2152" s="22">
        <f t="shared" si="33"/>
        <v>2151</v>
      </c>
      <c r="B2152" s="6" t="s">
        <v>5960</v>
      </c>
      <c r="C2152" s="6" t="s">
        <v>5992</v>
      </c>
      <c r="D2152" s="6" t="s">
        <v>6280</v>
      </c>
      <c r="E2152" s="6" t="s">
        <v>6281</v>
      </c>
      <c r="F2152" s="6"/>
      <c r="G2152" s="6" t="s">
        <v>63</v>
      </c>
      <c r="H2152" s="6" t="str">
        <f>IFERROR(VLOOKUP(Table2[[#This Row],[Ticket]],Okey!A:B,2,0),"")</f>
        <v>ok</v>
      </c>
      <c r="I2152" s="6" t="s">
        <v>3679</v>
      </c>
      <c r="J2152" s="6" t="str">
        <f>VLOOKUP(Table2[[#This Row],[Author]],People!A:B,2,0)</f>
        <v>MGF</v>
      </c>
      <c r="K2152" s="6" t="s">
        <v>5965</v>
      </c>
      <c r="L2152" s="6"/>
      <c r="M2152" s="21" t="s">
        <v>5995</v>
      </c>
    </row>
    <row r="2153" spans="1:13" x14ac:dyDescent="0.25">
      <c r="A2153" s="23">
        <f t="shared" si="33"/>
        <v>2152</v>
      </c>
      <c r="B2153" s="7" t="s">
        <v>5960</v>
      </c>
      <c r="C2153" s="7" t="s">
        <v>5992</v>
      </c>
      <c r="D2153" s="7" t="s">
        <v>6282</v>
      </c>
      <c r="E2153" s="7" t="s">
        <v>6283</v>
      </c>
      <c r="F2153" s="7"/>
      <c r="G2153" s="7" t="s">
        <v>63</v>
      </c>
      <c r="H2153" s="7" t="str">
        <f>IFERROR(VLOOKUP(Table2[[#This Row],[Ticket]],Okey!A:B,2,0),"")</f>
        <v>ok</v>
      </c>
      <c r="I2153" s="7" t="s">
        <v>3679</v>
      </c>
      <c r="J2153" s="7" t="str">
        <f>VLOOKUP(Table2[[#This Row],[Author]],People!A:B,2,0)</f>
        <v>MGF</v>
      </c>
      <c r="K2153" s="7" t="s">
        <v>5965</v>
      </c>
      <c r="L2153" s="7"/>
      <c r="M2153" s="16" t="s">
        <v>5995</v>
      </c>
    </row>
    <row r="2154" spans="1:13" x14ac:dyDescent="0.25">
      <c r="A2154" s="22">
        <f t="shared" si="33"/>
        <v>2153</v>
      </c>
      <c r="B2154" s="6" t="s">
        <v>5960</v>
      </c>
      <c r="C2154" s="6" t="s">
        <v>5992</v>
      </c>
      <c r="D2154" s="6" t="s">
        <v>6284</v>
      </c>
      <c r="E2154" s="6" t="s">
        <v>6285</v>
      </c>
      <c r="F2154" s="6"/>
      <c r="G2154" s="6" t="s">
        <v>63</v>
      </c>
      <c r="H2154" s="6" t="str">
        <f>IFERROR(VLOOKUP(Table2[[#This Row],[Ticket]],Okey!A:B,2,0),"")</f>
        <v>ok</v>
      </c>
      <c r="I2154" s="6" t="s">
        <v>3679</v>
      </c>
      <c r="J2154" s="6" t="str">
        <f>VLOOKUP(Table2[[#This Row],[Author]],People!A:B,2,0)</f>
        <v>MGF</v>
      </c>
      <c r="K2154" s="6" t="s">
        <v>5965</v>
      </c>
      <c r="L2154" s="6"/>
      <c r="M2154" s="21" t="s">
        <v>5995</v>
      </c>
    </row>
    <row r="2155" spans="1:13" x14ac:dyDescent="0.25">
      <c r="A2155" s="23">
        <f t="shared" si="33"/>
        <v>2154</v>
      </c>
      <c r="B2155" s="7" t="s">
        <v>5960</v>
      </c>
      <c r="C2155" s="7" t="s">
        <v>5992</v>
      </c>
      <c r="D2155" s="7" t="s">
        <v>6286</v>
      </c>
      <c r="E2155" s="7" t="s">
        <v>6287</v>
      </c>
      <c r="F2155" s="7"/>
      <c r="G2155" s="7" t="s">
        <v>63</v>
      </c>
      <c r="H2155" s="7" t="str">
        <f>IFERROR(VLOOKUP(Table2[[#This Row],[Ticket]],Okey!A:B,2,0),"")</f>
        <v>ok</v>
      </c>
      <c r="I2155" s="7" t="s">
        <v>3679</v>
      </c>
      <c r="J2155" s="7" t="str">
        <f>VLOOKUP(Table2[[#This Row],[Author]],People!A:B,2,0)</f>
        <v>MGF</v>
      </c>
      <c r="K2155" s="7" t="s">
        <v>5965</v>
      </c>
      <c r="L2155" s="7"/>
      <c r="M2155" s="16" t="s">
        <v>5995</v>
      </c>
    </row>
    <row r="2156" spans="1:13" x14ac:dyDescent="0.25">
      <c r="A2156" s="22">
        <f t="shared" si="33"/>
        <v>2155</v>
      </c>
      <c r="B2156" s="6" t="s">
        <v>5960</v>
      </c>
      <c r="C2156" s="6" t="s">
        <v>5992</v>
      </c>
      <c r="D2156" s="6" t="s">
        <v>6288</v>
      </c>
      <c r="E2156" s="6" t="s">
        <v>6289</v>
      </c>
      <c r="F2156" s="6"/>
      <c r="G2156" s="6" t="s">
        <v>63</v>
      </c>
      <c r="H2156" s="6" t="str">
        <f>IFERROR(VLOOKUP(Table2[[#This Row],[Ticket]],Okey!A:B,2,0),"")</f>
        <v>ok</v>
      </c>
      <c r="I2156" s="6" t="s">
        <v>3679</v>
      </c>
      <c r="J2156" s="6" t="str">
        <f>VLOOKUP(Table2[[#This Row],[Author]],People!A:B,2,0)</f>
        <v>MGF</v>
      </c>
      <c r="K2156" s="6" t="s">
        <v>5965</v>
      </c>
      <c r="L2156" s="6"/>
      <c r="M2156" s="21" t="s">
        <v>5995</v>
      </c>
    </row>
    <row r="2157" spans="1:13" x14ac:dyDescent="0.25">
      <c r="A2157" s="23">
        <f t="shared" si="33"/>
        <v>2156</v>
      </c>
      <c r="B2157" s="7" t="s">
        <v>5960</v>
      </c>
      <c r="C2157" s="7" t="s">
        <v>5992</v>
      </c>
      <c r="D2157" s="7" t="s">
        <v>2404</v>
      </c>
      <c r="E2157" s="7" t="s">
        <v>6290</v>
      </c>
      <c r="F2157" s="7"/>
      <c r="G2157" s="7" t="s">
        <v>63</v>
      </c>
      <c r="H2157" s="7" t="str">
        <f>IFERROR(VLOOKUP(Table2[[#This Row],[Ticket]],Okey!A:B,2,0),"")</f>
        <v>ok</v>
      </c>
      <c r="I2157" s="7" t="s">
        <v>3679</v>
      </c>
      <c r="J2157" s="7" t="str">
        <f>VLOOKUP(Table2[[#This Row],[Author]],People!A:B,2,0)</f>
        <v>MGF</v>
      </c>
      <c r="K2157" s="7" t="s">
        <v>5965</v>
      </c>
      <c r="L2157" s="7"/>
      <c r="M2157" s="16" t="s">
        <v>5995</v>
      </c>
    </row>
    <row r="2158" spans="1:13" x14ac:dyDescent="0.25">
      <c r="A2158" s="22">
        <f t="shared" si="33"/>
        <v>2157</v>
      </c>
      <c r="B2158" s="6" t="s">
        <v>5960</v>
      </c>
      <c r="C2158" s="6" t="s">
        <v>5992</v>
      </c>
      <c r="D2158" s="6" t="s">
        <v>6291</v>
      </c>
      <c r="E2158" s="6" t="s">
        <v>6292</v>
      </c>
      <c r="F2158" s="6"/>
      <c r="G2158" s="6" t="s">
        <v>63</v>
      </c>
      <c r="H2158" s="6" t="str">
        <f>IFERROR(VLOOKUP(Table2[[#This Row],[Ticket]],Okey!A:B,2,0),"")</f>
        <v>ok</v>
      </c>
      <c r="I2158" s="6" t="s">
        <v>3679</v>
      </c>
      <c r="J2158" s="6" t="str">
        <f>VLOOKUP(Table2[[#This Row],[Author]],People!A:B,2,0)</f>
        <v>MGF</v>
      </c>
      <c r="K2158" s="6" t="s">
        <v>5965</v>
      </c>
      <c r="L2158" s="6"/>
      <c r="M2158" s="21" t="s">
        <v>5995</v>
      </c>
    </row>
    <row r="2159" spans="1:13" x14ac:dyDescent="0.25">
      <c r="A2159" s="23">
        <f t="shared" si="33"/>
        <v>2158</v>
      </c>
      <c r="B2159" s="7" t="s">
        <v>5960</v>
      </c>
      <c r="C2159" s="7" t="s">
        <v>5992</v>
      </c>
      <c r="D2159" s="7" t="s">
        <v>770</v>
      </c>
      <c r="E2159" s="7" t="s">
        <v>6293</v>
      </c>
      <c r="F2159" s="7"/>
      <c r="G2159" s="7" t="s">
        <v>63</v>
      </c>
      <c r="H2159" s="7" t="str">
        <f>IFERROR(VLOOKUP(Table2[[#This Row],[Ticket]],Okey!A:B,2,0),"")</f>
        <v>ok</v>
      </c>
      <c r="I2159" s="7" t="s">
        <v>3679</v>
      </c>
      <c r="J2159" s="7" t="str">
        <f>VLOOKUP(Table2[[#This Row],[Author]],People!A:B,2,0)</f>
        <v>MGF</v>
      </c>
      <c r="K2159" s="7" t="s">
        <v>5965</v>
      </c>
      <c r="L2159" s="7"/>
      <c r="M2159" s="16" t="s">
        <v>5995</v>
      </c>
    </row>
    <row r="2160" spans="1:13" x14ac:dyDescent="0.25">
      <c r="A2160" s="22">
        <f t="shared" si="33"/>
        <v>2159</v>
      </c>
      <c r="B2160" s="6" t="s">
        <v>5960</v>
      </c>
      <c r="C2160" s="6" t="s">
        <v>6294</v>
      </c>
      <c r="D2160" s="6" t="s">
        <v>558</v>
      </c>
      <c r="E2160" s="6" t="s">
        <v>6295</v>
      </c>
      <c r="F2160" s="6" t="s">
        <v>452</v>
      </c>
      <c r="G2160" s="6" t="s">
        <v>18</v>
      </c>
      <c r="H2160" s="6" t="str">
        <f>IFERROR(VLOOKUP(Table2[[#This Row],[Ticket]],Okey!A:B,2,0),"")</f>
        <v>ok</v>
      </c>
      <c r="I2160" s="6" t="s">
        <v>3679</v>
      </c>
      <c r="J2160" s="6" t="str">
        <f>VLOOKUP(Table2[[#This Row],[Author]],People!A:B,2,0)</f>
        <v>MGF</v>
      </c>
      <c r="K2160" s="6" t="s">
        <v>5965</v>
      </c>
      <c r="L2160" s="6"/>
      <c r="M2160" s="21" t="s">
        <v>3984</v>
      </c>
    </row>
    <row r="2161" spans="1:13" x14ac:dyDescent="0.25">
      <c r="A2161" s="23">
        <f t="shared" si="33"/>
        <v>2160</v>
      </c>
      <c r="B2161" s="7" t="s">
        <v>5960</v>
      </c>
      <c r="C2161" s="7" t="s">
        <v>6294</v>
      </c>
      <c r="D2161" s="7" t="s">
        <v>2342</v>
      </c>
      <c r="E2161" s="7" t="s">
        <v>6296</v>
      </c>
      <c r="F2161" s="7" t="s">
        <v>452</v>
      </c>
      <c r="G2161" s="7" t="s">
        <v>18</v>
      </c>
      <c r="H2161" s="7" t="str">
        <f>IFERROR(VLOOKUP(Table2[[#This Row],[Ticket]],Okey!A:B,2,0),"")</f>
        <v>ok</v>
      </c>
      <c r="I2161" s="7" t="s">
        <v>3679</v>
      </c>
      <c r="J2161" s="7" t="str">
        <f>VLOOKUP(Table2[[#This Row],[Author]],People!A:B,2,0)</f>
        <v>MGF</v>
      </c>
      <c r="K2161" s="7" t="s">
        <v>5965</v>
      </c>
      <c r="L2161" s="7"/>
      <c r="M2161" s="16" t="s">
        <v>3984</v>
      </c>
    </row>
    <row r="2162" spans="1:13" x14ac:dyDescent="0.25">
      <c r="A2162" s="22">
        <f t="shared" si="33"/>
        <v>2161</v>
      </c>
      <c r="B2162" s="6" t="s">
        <v>5960</v>
      </c>
      <c r="C2162" s="6" t="s">
        <v>6294</v>
      </c>
      <c r="D2162" s="6" t="s">
        <v>482</v>
      </c>
      <c r="E2162" s="6" t="s">
        <v>6297</v>
      </c>
      <c r="F2162" s="6" t="s">
        <v>452</v>
      </c>
      <c r="G2162" s="6" t="s">
        <v>496</v>
      </c>
      <c r="H2162" s="6" t="str">
        <f>IFERROR(VLOOKUP(Table2[[#This Row],[Ticket]],Okey!A:B,2,0),"")</f>
        <v>ok</v>
      </c>
      <c r="I2162" s="6" t="s">
        <v>3679</v>
      </c>
      <c r="J2162" s="6" t="str">
        <f>VLOOKUP(Table2[[#This Row],[Author]],People!A:B,2,0)</f>
        <v>HC</v>
      </c>
      <c r="K2162" s="6" t="s">
        <v>5965</v>
      </c>
      <c r="L2162" s="6"/>
      <c r="M2162" s="21" t="s">
        <v>3984</v>
      </c>
    </row>
    <row r="2163" spans="1:13" x14ac:dyDescent="0.25">
      <c r="A2163" s="23">
        <f t="shared" si="33"/>
        <v>2162</v>
      </c>
      <c r="B2163" s="7" t="s">
        <v>5960</v>
      </c>
      <c r="C2163" s="7" t="s">
        <v>6294</v>
      </c>
      <c r="D2163" s="7" t="s">
        <v>377</v>
      </c>
      <c r="E2163" s="7" t="s">
        <v>6298</v>
      </c>
      <c r="F2163" s="7" t="s">
        <v>452</v>
      </c>
      <c r="G2163" s="7" t="s">
        <v>496</v>
      </c>
      <c r="H2163" s="7" t="str">
        <f>IFERROR(VLOOKUP(Table2[[#This Row],[Ticket]],Okey!A:B,2,0),"")</f>
        <v>ok</v>
      </c>
      <c r="I2163" s="7" t="s">
        <v>3679</v>
      </c>
      <c r="J2163" s="7" t="str">
        <f>VLOOKUP(Table2[[#This Row],[Author]],People!A:B,2,0)</f>
        <v>MGF</v>
      </c>
      <c r="K2163" s="7" t="s">
        <v>5965</v>
      </c>
      <c r="L2163" s="7"/>
      <c r="M2163" s="16" t="s">
        <v>3984</v>
      </c>
    </row>
    <row r="2164" spans="1:13" x14ac:dyDescent="0.25">
      <c r="A2164" s="22">
        <f t="shared" si="33"/>
        <v>2163</v>
      </c>
      <c r="B2164" s="6" t="s">
        <v>5960</v>
      </c>
      <c r="C2164" s="6" t="s">
        <v>6294</v>
      </c>
      <c r="D2164" s="6" t="s">
        <v>4693</v>
      </c>
      <c r="E2164" s="6" t="s">
        <v>6299</v>
      </c>
      <c r="F2164" s="6" t="s">
        <v>452</v>
      </c>
      <c r="G2164" s="6" t="s">
        <v>496</v>
      </c>
      <c r="H2164" s="6" t="str">
        <f>IFERROR(VLOOKUP(Table2[[#This Row],[Ticket]],Okey!A:B,2,0),"")</f>
        <v>ok</v>
      </c>
      <c r="I2164" s="6" t="s">
        <v>3679</v>
      </c>
      <c r="J2164" s="6" t="str">
        <f>VLOOKUP(Table2[[#This Row],[Author]],People!A:B,2,0)</f>
        <v>MGF</v>
      </c>
      <c r="K2164" s="6" t="s">
        <v>5965</v>
      </c>
      <c r="L2164" s="6"/>
      <c r="M2164" s="21" t="s">
        <v>3984</v>
      </c>
    </row>
    <row r="2165" spans="1:13" x14ac:dyDescent="0.25">
      <c r="A2165" s="23">
        <f t="shared" si="33"/>
        <v>2164</v>
      </c>
      <c r="B2165" s="7" t="s">
        <v>5960</v>
      </c>
      <c r="C2165" s="7" t="s">
        <v>6294</v>
      </c>
      <c r="D2165" s="7" t="s">
        <v>4118</v>
      </c>
      <c r="E2165" s="7" t="s">
        <v>4119</v>
      </c>
      <c r="F2165" s="7" t="s">
        <v>700</v>
      </c>
      <c r="G2165" s="7" t="s">
        <v>496</v>
      </c>
      <c r="H2165" s="7" t="str">
        <f>IFERROR(VLOOKUP(Table2[[#This Row],[Ticket]],Okey!A:B,2,0),"")</f>
        <v>ok</v>
      </c>
      <c r="I2165" s="7" t="s">
        <v>3679</v>
      </c>
      <c r="J2165" s="7" t="str">
        <f>VLOOKUP(Table2[[#This Row],[Author]],People!A:B,2,0)</f>
        <v>MGF</v>
      </c>
      <c r="K2165" s="7" t="s">
        <v>5965</v>
      </c>
      <c r="L2165" s="7"/>
      <c r="M2165" s="16" t="s">
        <v>3984</v>
      </c>
    </row>
    <row r="2166" spans="1:13" x14ac:dyDescent="0.25">
      <c r="A2166" s="22">
        <f t="shared" si="33"/>
        <v>2165</v>
      </c>
      <c r="B2166" s="6" t="s">
        <v>5960</v>
      </c>
      <c r="C2166" s="6" t="s">
        <v>6294</v>
      </c>
      <c r="D2166" s="6" t="s">
        <v>4120</v>
      </c>
      <c r="E2166" s="6" t="s">
        <v>4121</v>
      </c>
      <c r="F2166" s="6" t="s">
        <v>700</v>
      </c>
      <c r="G2166" s="6" t="s">
        <v>496</v>
      </c>
      <c r="H2166" s="6" t="str">
        <f>IFERROR(VLOOKUP(Table2[[#This Row],[Ticket]],Okey!A:B,2,0),"")</f>
        <v>ok</v>
      </c>
      <c r="I2166" s="6" t="s">
        <v>3679</v>
      </c>
      <c r="J2166" s="6" t="str">
        <f>VLOOKUP(Table2[[#This Row],[Author]],People!A:B,2,0)</f>
        <v>MGF</v>
      </c>
      <c r="K2166" s="6" t="s">
        <v>5965</v>
      </c>
      <c r="L2166" s="6"/>
      <c r="M2166" s="21" t="s">
        <v>3984</v>
      </c>
    </row>
    <row r="2167" spans="1:13" x14ac:dyDescent="0.25">
      <c r="A2167" s="23">
        <f t="shared" si="33"/>
        <v>2166</v>
      </c>
      <c r="B2167" s="7" t="s">
        <v>5960</v>
      </c>
      <c r="C2167" s="7" t="s">
        <v>6294</v>
      </c>
      <c r="D2167" s="7" t="s">
        <v>4122</v>
      </c>
      <c r="E2167" s="7" t="s">
        <v>4123</v>
      </c>
      <c r="F2167" s="7" t="s">
        <v>700</v>
      </c>
      <c r="G2167" s="7" t="s">
        <v>496</v>
      </c>
      <c r="H2167" s="7" t="str">
        <f>IFERROR(VLOOKUP(Table2[[#This Row],[Ticket]],Okey!A:B,2,0),"")</f>
        <v>ok</v>
      </c>
      <c r="I2167" s="7" t="s">
        <v>3679</v>
      </c>
      <c r="J2167" s="7" t="str">
        <f>VLOOKUP(Table2[[#This Row],[Author]],People!A:B,2,0)</f>
        <v>MGF</v>
      </c>
      <c r="K2167" s="7" t="s">
        <v>5965</v>
      </c>
      <c r="L2167" s="7"/>
      <c r="M2167" s="16" t="s">
        <v>3984</v>
      </c>
    </row>
    <row r="2168" spans="1:13" x14ac:dyDescent="0.25">
      <c r="A2168" s="22">
        <f t="shared" si="33"/>
        <v>2167</v>
      </c>
      <c r="B2168" s="6" t="s">
        <v>5960</v>
      </c>
      <c r="C2168" s="6" t="s">
        <v>6300</v>
      </c>
      <c r="D2168" s="6" t="s">
        <v>6301</v>
      </c>
      <c r="E2168" s="6" t="s">
        <v>6302</v>
      </c>
      <c r="F2168" s="6" t="s">
        <v>778</v>
      </c>
      <c r="G2168" s="6" t="s">
        <v>18</v>
      </c>
      <c r="H2168" s="6" t="str">
        <f>IFERROR(VLOOKUP(Table2[[#This Row],[Ticket]],Okey!A:B,2,0),"")</f>
        <v>ok</v>
      </c>
      <c r="I2168" s="6" t="s">
        <v>3679</v>
      </c>
      <c r="J2168" s="6" t="str">
        <f>VLOOKUP(Table2[[#This Row],[Author]],People!A:B,2,0)</f>
        <v>MGF</v>
      </c>
      <c r="K2168" s="6"/>
      <c r="L2168" s="6"/>
      <c r="M2168" s="21" t="s">
        <v>5995</v>
      </c>
    </row>
    <row r="2169" spans="1:13" x14ac:dyDescent="0.25">
      <c r="A2169" s="23">
        <f t="shared" si="33"/>
        <v>2168</v>
      </c>
      <c r="B2169" s="7" t="s">
        <v>5960</v>
      </c>
      <c r="C2169" s="7" t="s">
        <v>6300</v>
      </c>
      <c r="D2169" s="7" t="s">
        <v>770</v>
      </c>
      <c r="E2169" s="7" t="s">
        <v>6303</v>
      </c>
      <c r="F2169" s="7" t="s">
        <v>6304</v>
      </c>
      <c r="G2169" s="7" t="s">
        <v>496</v>
      </c>
      <c r="H2169" s="7" t="str">
        <f>IFERROR(VLOOKUP(Table2[[#This Row],[Ticket]],Okey!A:B,2,0),"")</f>
        <v>ok</v>
      </c>
      <c r="I2169" s="7" t="s">
        <v>3679</v>
      </c>
      <c r="J2169" s="7" t="str">
        <f>VLOOKUP(Table2[[#This Row],[Author]],People!A:B,2,0)</f>
        <v>MGF</v>
      </c>
      <c r="K2169" s="7"/>
      <c r="L2169" s="7"/>
      <c r="M2169" s="16" t="s">
        <v>5995</v>
      </c>
    </row>
    <row r="2170" spans="1:13" x14ac:dyDescent="0.25">
      <c r="A2170" s="22">
        <f t="shared" si="33"/>
        <v>2169</v>
      </c>
      <c r="B2170" s="6" t="s">
        <v>5960</v>
      </c>
      <c r="C2170" s="6" t="s">
        <v>6300</v>
      </c>
      <c r="D2170" s="6" t="s">
        <v>6305</v>
      </c>
      <c r="E2170" s="6" t="s">
        <v>6306</v>
      </c>
      <c r="F2170" s="6" t="s">
        <v>6301</v>
      </c>
      <c r="G2170" s="6" t="s">
        <v>18</v>
      </c>
      <c r="H2170" s="6" t="str">
        <f>IFERROR(VLOOKUP(Table2[[#This Row],[Ticket]],Okey!A:B,2,0),"")</f>
        <v>ok</v>
      </c>
      <c r="I2170" s="6" t="s">
        <v>3679</v>
      </c>
      <c r="J2170" s="6" t="str">
        <f>VLOOKUP(Table2[[#This Row],[Author]],People!A:B,2,0)</f>
        <v>MGF</v>
      </c>
      <c r="K2170" s="6"/>
      <c r="L2170" s="6"/>
      <c r="M2170" s="21" t="s">
        <v>5995</v>
      </c>
    </row>
    <row r="2171" spans="1:13" x14ac:dyDescent="0.25">
      <c r="A2171" s="23">
        <f t="shared" si="33"/>
        <v>2170</v>
      </c>
      <c r="B2171" s="7" t="s">
        <v>5960</v>
      </c>
      <c r="C2171" s="7" t="s">
        <v>6300</v>
      </c>
      <c r="D2171" s="7" t="s">
        <v>6307</v>
      </c>
      <c r="E2171" s="7" t="s">
        <v>6308</v>
      </c>
      <c r="F2171" s="7" t="s">
        <v>6301</v>
      </c>
      <c r="G2171" s="7" t="s">
        <v>18</v>
      </c>
      <c r="H2171" s="7" t="str">
        <f>IFERROR(VLOOKUP(Table2[[#This Row],[Ticket]],Okey!A:B,2,0),"")</f>
        <v>ok</v>
      </c>
      <c r="I2171" s="7" t="s">
        <v>3679</v>
      </c>
      <c r="J2171" s="7" t="str">
        <f>VLOOKUP(Table2[[#This Row],[Author]],People!A:B,2,0)</f>
        <v>MGF</v>
      </c>
      <c r="K2171" s="7"/>
      <c r="L2171" s="7"/>
      <c r="M2171" s="16" t="s">
        <v>5995</v>
      </c>
    </row>
    <row r="2172" spans="1:13" x14ac:dyDescent="0.25">
      <c r="A2172" s="22">
        <f t="shared" si="33"/>
        <v>2171</v>
      </c>
      <c r="B2172" s="6" t="s">
        <v>5960</v>
      </c>
      <c r="C2172" s="6" t="s">
        <v>6300</v>
      </c>
      <c r="D2172" s="6" t="s">
        <v>6309</v>
      </c>
      <c r="E2172" s="6" t="s">
        <v>6310</v>
      </c>
      <c r="F2172" s="6" t="s">
        <v>6301</v>
      </c>
      <c r="G2172" s="6" t="s">
        <v>18</v>
      </c>
      <c r="H2172" s="6" t="str">
        <f>IFERROR(VLOOKUP(Table2[[#This Row],[Ticket]],Okey!A:B,2,0),"")</f>
        <v>ok</v>
      </c>
      <c r="I2172" s="6" t="s">
        <v>3679</v>
      </c>
      <c r="J2172" s="6" t="str">
        <f>VLOOKUP(Table2[[#This Row],[Author]],People!A:B,2,0)</f>
        <v>MGF</v>
      </c>
      <c r="K2172" s="6"/>
      <c r="L2172" s="6"/>
      <c r="M2172" s="21" t="s">
        <v>5995</v>
      </c>
    </row>
    <row r="2173" spans="1:13" x14ac:dyDescent="0.25">
      <c r="A2173" s="23">
        <f t="shared" si="33"/>
        <v>2172</v>
      </c>
      <c r="B2173" s="7" t="s">
        <v>5960</v>
      </c>
      <c r="C2173" s="7" t="s">
        <v>6300</v>
      </c>
      <c r="D2173" s="7" t="s">
        <v>6311</v>
      </c>
      <c r="E2173" s="7" t="s">
        <v>6312</v>
      </c>
      <c r="F2173" s="7" t="s">
        <v>6301</v>
      </c>
      <c r="G2173" s="7" t="s">
        <v>18</v>
      </c>
      <c r="H2173" s="7" t="str">
        <f>IFERROR(VLOOKUP(Table2[[#This Row],[Ticket]],Okey!A:B,2,0),"")</f>
        <v>ok</v>
      </c>
      <c r="I2173" s="7" t="s">
        <v>3679</v>
      </c>
      <c r="J2173" s="7" t="str">
        <f>VLOOKUP(Table2[[#This Row],[Author]],People!A:B,2,0)</f>
        <v>MGF</v>
      </c>
      <c r="K2173" s="7"/>
      <c r="L2173" s="7"/>
      <c r="M2173" s="16" t="s">
        <v>5995</v>
      </c>
    </row>
    <row r="2174" spans="1:13" x14ac:dyDescent="0.25">
      <c r="A2174" s="22">
        <f t="shared" si="33"/>
        <v>2173</v>
      </c>
      <c r="B2174" s="6" t="s">
        <v>5960</v>
      </c>
      <c r="C2174" s="6" t="s">
        <v>6001</v>
      </c>
      <c r="D2174" s="6" t="s">
        <v>61</v>
      </c>
      <c r="E2174" s="6" t="s">
        <v>6313</v>
      </c>
      <c r="F2174" s="6" t="s">
        <v>220</v>
      </c>
      <c r="G2174" s="6" t="s">
        <v>18</v>
      </c>
      <c r="H2174" s="6" t="str">
        <f>IFERROR(VLOOKUP(Table2[[#This Row],[Ticket]],Okey!A:B,2,0),"")</f>
        <v>ok</v>
      </c>
      <c r="I2174" s="6" t="s">
        <v>3679</v>
      </c>
      <c r="J2174" s="6" t="str">
        <f>VLOOKUP(Table2[[#This Row],[Author]],People!A:B,2,0)</f>
        <v>MGF</v>
      </c>
      <c r="K2174" s="6"/>
      <c r="L2174" s="6"/>
      <c r="M2174" s="21" t="s">
        <v>40</v>
      </c>
    </row>
    <row r="2175" spans="1:13" x14ac:dyDescent="0.25">
      <c r="A2175" s="23">
        <f t="shared" si="33"/>
        <v>2174</v>
      </c>
      <c r="B2175" s="7" t="s">
        <v>5960</v>
      </c>
      <c r="C2175" s="7" t="s">
        <v>6001</v>
      </c>
      <c r="D2175" s="7" t="s">
        <v>208</v>
      </c>
      <c r="E2175" s="7" t="s">
        <v>6314</v>
      </c>
      <c r="F2175" s="7" t="s">
        <v>314</v>
      </c>
      <c r="G2175" s="7" t="s">
        <v>18</v>
      </c>
      <c r="H2175" s="7" t="str">
        <f>IFERROR(VLOOKUP(Table2[[#This Row],[Ticket]],Okey!A:B,2,0),"")</f>
        <v>ok</v>
      </c>
      <c r="I2175" s="7" t="s">
        <v>3679</v>
      </c>
      <c r="J2175" s="7" t="str">
        <f>VLOOKUP(Table2[[#This Row],[Author]],People!A:B,2,0)</f>
        <v>MGF</v>
      </c>
      <c r="K2175" s="7"/>
      <c r="L2175" s="7"/>
      <c r="M2175" s="16" t="s">
        <v>40</v>
      </c>
    </row>
    <row r="2176" spans="1:13" x14ac:dyDescent="0.25">
      <c r="A2176" s="22">
        <f t="shared" si="33"/>
        <v>2175</v>
      </c>
      <c r="B2176" s="6" t="s">
        <v>5960</v>
      </c>
      <c r="C2176" s="6" t="s">
        <v>6001</v>
      </c>
      <c r="D2176" s="6" t="s">
        <v>6315</v>
      </c>
      <c r="E2176" s="6" t="s">
        <v>6316</v>
      </c>
      <c r="F2176" s="6" t="s">
        <v>6002</v>
      </c>
      <c r="G2176" s="6" t="s">
        <v>18</v>
      </c>
      <c r="H2176" s="6" t="str">
        <f>IFERROR(VLOOKUP(Table2[[#This Row],[Ticket]],Okey!A:B,2,0),"")</f>
        <v>ok</v>
      </c>
      <c r="I2176" s="6" t="s">
        <v>3679</v>
      </c>
      <c r="J2176" s="6" t="str">
        <f>VLOOKUP(Table2[[#This Row],[Author]],People!A:B,2,0)</f>
        <v>HC</v>
      </c>
      <c r="K2176" s="6"/>
      <c r="L2176" s="6"/>
      <c r="M2176" s="21" t="s">
        <v>40</v>
      </c>
    </row>
    <row r="2177" spans="1:13" x14ac:dyDescent="0.25">
      <c r="A2177" s="23">
        <f t="shared" si="33"/>
        <v>2176</v>
      </c>
      <c r="B2177" s="7" t="s">
        <v>5960</v>
      </c>
      <c r="C2177" s="7" t="s">
        <v>6001</v>
      </c>
      <c r="D2177" s="7" t="s">
        <v>200</v>
      </c>
      <c r="E2177" s="7" t="s">
        <v>6317</v>
      </c>
      <c r="F2177" s="7" t="s">
        <v>236</v>
      </c>
      <c r="G2177" s="7" t="s">
        <v>18</v>
      </c>
      <c r="H2177" s="7" t="str">
        <f>IFERROR(VLOOKUP(Table2[[#This Row],[Ticket]],Okey!A:B,2,0),"")</f>
        <v>ok</v>
      </c>
      <c r="I2177" s="7" t="s">
        <v>3679</v>
      </c>
      <c r="J2177" s="7" t="str">
        <f>VLOOKUP(Table2[[#This Row],[Author]],People!A:B,2,0)</f>
        <v>HC</v>
      </c>
      <c r="K2177" s="7"/>
      <c r="L2177" s="7"/>
      <c r="M2177" s="16" t="s">
        <v>40</v>
      </c>
    </row>
    <row r="2178" spans="1:13" x14ac:dyDescent="0.25">
      <c r="A2178" s="22">
        <f t="shared" si="33"/>
        <v>2177</v>
      </c>
      <c r="B2178" s="6" t="s">
        <v>5960</v>
      </c>
      <c r="C2178" s="6" t="s">
        <v>6001</v>
      </c>
      <c r="D2178" s="6" t="s">
        <v>6318</v>
      </c>
      <c r="E2178" s="6" t="s">
        <v>6319</v>
      </c>
      <c r="F2178" s="6" t="s">
        <v>6320</v>
      </c>
      <c r="G2178" s="6" t="s">
        <v>18</v>
      </c>
      <c r="H2178" s="6" t="str">
        <f>IFERROR(VLOOKUP(Table2[[#This Row],[Ticket]],Okey!A:B,2,0),"")</f>
        <v>ok</v>
      </c>
      <c r="I2178" s="6" t="s">
        <v>3679</v>
      </c>
      <c r="J2178" s="6" t="str">
        <f>VLOOKUP(Table2[[#This Row],[Author]],People!A:B,2,0)</f>
        <v>HC</v>
      </c>
      <c r="K2178" s="6"/>
      <c r="L2178" s="6"/>
      <c r="M2178" s="21" t="s">
        <v>40</v>
      </c>
    </row>
    <row r="2179" spans="1:13" x14ac:dyDescent="0.25">
      <c r="A2179" s="23">
        <f t="shared" ref="A2179:A2209" si="34">1+A2178</f>
        <v>2178</v>
      </c>
      <c r="B2179" s="7" t="s">
        <v>5960</v>
      </c>
      <c r="C2179" s="7" t="s">
        <v>6001</v>
      </c>
      <c r="D2179" s="7" t="s">
        <v>6321</v>
      </c>
      <c r="E2179" s="7" t="s">
        <v>6322</v>
      </c>
      <c r="F2179" s="7" t="s">
        <v>6323</v>
      </c>
      <c r="G2179" s="7" t="s">
        <v>18</v>
      </c>
      <c r="H2179" s="7" t="str">
        <f>IFERROR(VLOOKUP(Table2[[#This Row],[Ticket]],Okey!A:B,2,0),"")</f>
        <v>ok</v>
      </c>
      <c r="I2179" s="7" t="s">
        <v>3679</v>
      </c>
      <c r="J2179" s="7" t="str">
        <f>VLOOKUP(Table2[[#This Row],[Author]],People!A:B,2,0)</f>
        <v>MGF</v>
      </c>
      <c r="K2179" s="7"/>
      <c r="L2179" s="7"/>
      <c r="M2179" s="16" t="s">
        <v>40</v>
      </c>
    </row>
    <row r="2180" spans="1:13" x14ac:dyDescent="0.25">
      <c r="A2180" s="22">
        <f t="shared" si="34"/>
        <v>2179</v>
      </c>
      <c r="B2180" s="6" t="s">
        <v>5960</v>
      </c>
      <c r="C2180" s="6" t="s">
        <v>6001</v>
      </c>
      <c r="D2180" s="6" t="s">
        <v>6324</v>
      </c>
      <c r="E2180" s="6" t="s">
        <v>6325</v>
      </c>
      <c r="F2180" s="6" t="s">
        <v>6326</v>
      </c>
      <c r="G2180" s="6" t="s">
        <v>18</v>
      </c>
      <c r="H2180" s="6" t="str">
        <f>IFERROR(VLOOKUP(Table2[[#This Row],[Ticket]],Okey!A:B,2,0),"")</f>
        <v>ok</v>
      </c>
      <c r="I2180" s="6" t="s">
        <v>3679</v>
      </c>
      <c r="J2180" s="6" t="str">
        <f>VLOOKUP(Table2[[#This Row],[Author]],People!A:B,2,0)</f>
        <v>MGF</v>
      </c>
      <c r="K2180" s="6"/>
      <c r="L2180" s="6"/>
      <c r="M2180" s="21" t="s">
        <v>40</v>
      </c>
    </row>
    <row r="2181" spans="1:13" x14ac:dyDescent="0.25">
      <c r="A2181" s="23">
        <f t="shared" si="34"/>
        <v>2180</v>
      </c>
      <c r="B2181" s="7" t="s">
        <v>5960</v>
      </c>
      <c r="C2181" s="7" t="s">
        <v>6001</v>
      </c>
      <c r="D2181" s="7" t="s">
        <v>6327</v>
      </c>
      <c r="E2181" s="7" t="s">
        <v>6328</v>
      </c>
      <c r="F2181" s="7" t="s">
        <v>6329</v>
      </c>
      <c r="G2181" s="7" t="s">
        <v>18</v>
      </c>
      <c r="H2181" s="7" t="str">
        <f>IFERROR(VLOOKUP(Table2[[#This Row],[Ticket]],Okey!A:B,2,0),"")</f>
        <v>ok</v>
      </c>
      <c r="I2181" s="7" t="s">
        <v>3679</v>
      </c>
      <c r="J2181" s="7" t="str">
        <f>VLOOKUP(Table2[[#This Row],[Author]],People!A:B,2,0)</f>
        <v>MGF</v>
      </c>
      <c r="K2181" s="7"/>
      <c r="L2181" s="7"/>
      <c r="M2181" s="16" t="s">
        <v>40</v>
      </c>
    </row>
    <row r="2182" spans="1:13" x14ac:dyDescent="0.25">
      <c r="A2182" s="22">
        <f t="shared" si="34"/>
        <v>2181</v>
      </c>
      <c r="B2182" s="6" t="s">
        <v>5960</v>
      </c>
      <c r="C2182" s="6" t="s">
        <v>6001</v>
      </c>
      <c r="D2182" s="6" t="s">
        <v>6330</v>
      </c>
      <c r="E2182" s="6" t="s">
        <v>6331</v>
      </c>
      <c r="F2182" s="6" t="s">
        <v>6332</v>
      </c>
      <c r="G2182" s="6" t="s">
        <v>18</v>
      </c>
      <c r="H2182" s="6" t="str">
        <f>IFERROR(VLOOKUP(Table2[[#This Row],[Ticket]],Okey!A:B,2,0),"")</f>
        <v>ok</v>
      </c>
      <c r="I2182" s="6" t="s">
        <v>3679</v>
      </c>
      <c r="J2182" s="6" t="str">
        <f>VLOOKUP(Table2[[#This Row],[Author]],People!A:B,2,0)</f>
        <v>MGF</v>
      </c>
      <c r="K2182" s="6"/>
      <c r="L2182" s="6"/>
      <c r="M2182" s="21" t="s">
        <v>40</v>
      </c>
    </row>
    <row r="2183" spans="1:13" x14ac:dyDescent="0.25">
      <c r="A2183" s="23">
        <f t="shared" si="34"/>
        <v>2182</v>
      </c>
      <c r="B2183" s="7" t="s">
        <v>5960</v>
      </c>
      <c r="C2183" s="7" t="s">
        <v>6333</v>
      </c>
      <c r="D2183" s="7" t="s">
        <v>486</v>
      </c>
      <c r="E2183" s="7" t="s">
        <v>6334</v>
      </c>
      <c r="F2183" s="7" t="s">
        <v>484</v>
      </c>
      <c r="G2183" s="7" t="s">
        <v>496</v>
      </c>
      <c r="H2183" s="7" t="str">
        <f>IFERROR(VLOOKUP(Table2[[#This Row],[Ticket]],Okey!A:B,2,0),"")</f>
        <v>ok</v>
      </c>
      <c r="I2183" s="7" t="s">
        <v>3679</v>
      </c>
      <c r="J2183" s="7" t="str">
        <f>VLOOKUP(Table2[[#This Row],[Author]],People!A:B,2,0)</f>
        <v>MGF</v>
      </c>
      <c r="K2183" s="7"/>
      <c r="L2183" s="7"/>
      <c r="M2183" s="16" t="s">
        <v>3984</v>
      </c>
    </row>
    <row r="2184" spans="1:13" x14ac:dyDescent="0.25">
      <c r="A2184" s="22">
        <f t="shared" si="34"/>
        <v>2183</v>
      </c>
      <c r="B2184" s="6" t="s">
        <v>5960</v>
      </c>
      <c r="C2184" s="6" t="s">
        <v>6333</v>
      </c>
      <c r="D2184" s="6" t="s">
        <v>707</v>
      </c>
      <c r="E2184" s="6" t="s">
        <v>708</v>
      </c>
      <c r="F2184" s="6" t="s">
        <v>4700</v>
      </c>
      <c r="G2184" s="6" t="s">
        <v>496</v>
      </c>
      <c r="H2184" s="6" t="str">
        <f>IFERROR(VLOOKUP(Table2[[#This Row],[Ticket]],Okey!A:B,2,0),"")</f>
        <v>ok</v>
      </c>
      <c r="I2184" s="6" t="s">
        <v>3679</v>
      </c>
      <c r="J2184" s="6" t="str">
        <f>VLOOKUP(Table2[[#This Row],[Author]],People!A:B,2,0)</f>
        <v>MGF</v>
      </c>
      <c r="K2184" s="6"/>
      <c r="L2184" s="6"/>
      <c r="M2184" s="21" t="s">
        <v>3984</v>
      </c>
    </row>
    <row r="2185" spans="1:13" x14ac:dyDescent="0.25">
      <c r="A2185" s="23">
        <f t="shared" si="34"/>
        <v>2184</v>
      </c>
      <c r="B2185" s="7" t="s">
        <v>5960</v>
      </c>
      <c r="C2185" s="7" t="s">
        <v>6333</v>
      </c>
      <c r="D2185" s="7" t="s">
        <v>524</v>
      </c>
      <c r="E2185" s="7" t="s">
        <v>6335</v>
      </c>
      <c r="F2185" s="7" t="s">
        <v>4705</v>
      </c>
      <c r="G2185" s="7" t="s">
        <v>496</v>
      </c>
      <c r="H2185" s="7" t="str">
        <f>IFERROR(VLOOKUP(Table2[[#This Row],[Ticket]],Okey!A:B,2,0),"")</f>
        <v>ok</v>
      </c>
      <c r="I2185" s="7" t="s">
        <v>3679</v>
      </c>
      <c r="J2185" s="7" t="str">
        <f>VLOOKUP(Table2[[#This Row],[Author]],People!A:B,2,0)</f>
        <v>MGF</v>
      </c>
      <c r="K2185" s="7"/>
      <c r="L2185" s="7"/>
      <c r="M2185" s="16" t="s">
        <v>3984</v>
      </c>
    </row>
    <row r="2186" spans="1:13" x14ac:dyDescent="0.25">
      <c r="A2186" s="22">
        <f t="shared" si="34"/>
        <v>2185</v>
      </c>
      <c r="B2186" s="6" t="s">
        <v>5960</v>
      </c>
      <c r="C2186" s="6" t="s">
        <v>6333</v>
      </c>
      <c r="D2186" s="6" t="s">
        <v>693</v>
      </c>
      <c r="E2186" s="6" t="s">
        <v>6336</v>
      </c>
      <c r="F2186" s="6" t="s">
        <v>524</v>
      </c>
      <c r="G2186" s="6" t="s">
        <v>496</v>
      </c>
      <c r="H2186" s="6" t="str">
        <f>IFERROR(VLOOKUP(Table2[[#This Row],[Ticket]],Okey!A:B,2,0),"")</f>
        <v>ok</v>
      </c>
      <c r="I2186" s="6" t="s">
        <v>3679</v>
      </c>
      <c r="J2186" s="6" t="str">
        <f>VLOOKUP(Table2[[#This Row],[Author]],People!A:B,2,0)</f>
        <v>HC</v>
      </c>
      <c r="K2186" s="6"/>
      <c r="L2186" s="6"/>
      <c r="M2186" s="21" t="s">
        <v>3984</v>
      </c>
    </row>
    <row r="2187" spans="1:13" x14ac:dyDescent="0.25">
      <c r="A2187" s="23">
        <f t="shared" si="34"/>
        <v>2186</v>
      </c>
      <c r="B2187" s="7" t="s">
        <v>5960</v>
      </c>
      <c r="C2187" s="7" t="s">
        <v>6333</v>
      </c>
      <c r="D2187" s="7" t="s">
        <v>695</v>
      </c>
      <c r="E2187" s="7" t="s">
        <v>6337</v>
      </c>
      <c r="F2187" s="7" t="s">
        <v>524</v>
      </c>
      <c r="G2187" s="7" t="s">
        <v>496</v>
      </c>
      <c r="H2187" s="7" t="str">
        <f>IFERROR(VLOOKUP(Table2[[#This Row],[Ticket]],Okey!A:B,2,0),"")</f>
        <v>ok</v>
      </c>
      <c r="I2187" s="7" t="s">
        <v>3679</v>
      </c>
      <c r="J2187" s="7" t="str">
        <f>VLOOKUP(Table2[[#This Row],[Author]],People!A:B,2,0)</f>
        <v>MGF</v>
      </c>
      <c r="K2187" s="7"/>
      <c r="L2187" s="7"/>
      <c r="M2187" s="16" t="s">
        <v>3984</v>
      </c>
    </row>
    <row r="2188" spans="1:13" x14ac:dyDescent="0.25">
      <c r="A2188" s="22">
        <f t="shared" si="34"/>
        <v>2187</v>
      </c>
      <c r="B2188" s="6" t="s">
        <v>5960</v>
      </c>
      <c r="C2188" s="6" t="s">
        <v>6333</v>
      </c>
      <c r="D2188" s="6" t="s">
        <v>4718</v>
      </c>
      <c r="E2188" s="6" t="s">
        <v>6338</v>
      </c>
      <c r="F2188" s="6" t="s">
        <v>517</v>
      </c>
      <c r="G2188" s="6" t="s">
        <v>496</v>
      </c>
      <c r="H2188" s="6" t="str">
        <f>IFERROR(VLOOKUP(Table2[[#This Row],[Ticket]],Okey!A:B,2,0),"")</f>
        <v>ok</v>
      </c>
      <c r="I2188" s="6" t="s">
        <v>3679</v>
      </c>
      <c r="J2188" s="6" t="str">
        <f>VLOOKUP(Table2[[#This Row],[Author]],People!A:B,2,0)</f>
        <v>MGF</v>
      </c>
      <c r="K2188" s="6"/>
      <c r="L2188" s="6"/>
      <c r="M2188" s="21" t="s">
        <v>3984</v>
      </c>
    </row>
    <row r="2189" spans="1:13" x14ac:dyDescent="0.25">
      <c r="A2189" s="23">
        <f t="shared" si="34"/>
        <v>2188</v>
      </c>
      <c r="B2189" s="7" t="s">
        <v>5960</v>
      </c>
      <c r="C2189" s="7" t="s">
        <v>6333</v>
      </c>
      <c r="D2189" s="7" t="s">
        <v>4720</v>
      </c>
      <c r="E2189" s="7" t="s">
        <v>6339</v>
      </c>
      <c r="F2189" s="7" t="s">
        <v>517</v>
      </c>
      <c r="G2189" s="7" t="s">
        <v>496</v>
      </c>
      <c r="H2189" s="7" t="str">
        <f>IFERROR(VLOOKUP(Table2[[#This Row],[Ticket]],Okey!A:B,2,0),"")</f>
        <v>ok</v>
      </c>
      <c r="I2189" s="7" t="s">
        <v>3679</v>
      </c>
      <c r="J2189" s="7" t="str">
        <f>VLOOKUP(Table2[[#This Row],[Author]],People!A:B,2,0)</f>
        <v>MGF</v>
      </c>
      <c r="K2189" s="7"/>
      <c r="L2189" s="7"/>
      <c r="M2189" s="16" t="s">
        <v>3984</v>
      </c>
    </row>
    <row r="2190" spans="1:13" x14ac:dyDescent="0.25">
      <c r="A2190" s="22">
        <f t="shared" si="34"/>
        <v>2189</v>
      </c>
      <c r="B2190" s="6" t="s">
        <v>5960</v>
      </c>
      <c r="C2190" s="6" t="s">
        <v>6333</v>
      </c>
      <c r="D2190" s="6" t="s">
        <v>386</v>
      </c>
      <c r="E2190" s="6" t="s">
        <v>6334</v>
      </c>
      <c r="F2190" s="6" t="s">
        <v>350</v>
      </c>
      <c r="G2190" s="6" t="s">
        <v>496</v>
      </c>
      <c r="H2190" s="6" t="str">
        <f>IFERROR(VLOOKUP(Table2[[#This Row],[Ticket]],Okey!A:B,2,0),"")</f>
        <v>ok</v>
      </c>
      <c r="I2190" s="6" t="s">
        <v>3679</v>
      </c>
      <c r="J2190" s="6" t="str">
        <f>VLOOKUP(Table2[[#This Row],[Author]],People!A:B,2,0)</f>
        <v>MGF</v>
      </c>
      <c r="K2190" s="6"/>
      <c r="L2190" s="6"/>
      <c r="M2190" s="21" t="s">
        <v>3984</v>
      </c>
    </row>
    <row r="2191" spans="1:13" x14ac:dyDescent="0.25">
      <c r="A2191" s="23">
        <f t="shared" si="34"/>
        <v>2190</v>
      </c>
      <c r="B2191" s="7" t="s">
        <v>5960</v>
      </c>
      <c r="C2191" s="7" t="s">
        <v>6333</v>
      </c>
      <c r="D2191" s="7" t="s">
        <v>358</v>
      </c>
      <c r="E2191" s="7" t="s">
        <v>6340</v>
      </c>
      <c r="F2191" s="7" t="s">
        <v>386</v>
      </c>
      <c r="G2191" s="7" t="s">
        <v>496</v>
      </c>
      <c r="H2191" s="7" t="str">
        <f>IFERROR(VLOOKUP(Table2[[#This Row],[Ticket]],Okey!A:B,2,0),"")</f>
        <v>ok</v>
      </c>
      <c r="I2191" s="7" t="s">
        <v>3679</v>
      </c>
      <c r="J2191" s="7" t="str">
        <f>VLOOKUP(Table2[[#This Row],[Author]],People!A:B,2,0)</f>
        <v>MGF</v>
      </c>
      <c r="K2191" s="7"/>
      <c r="L2191" s="7"/>
      <c r="M2191" s="16" t="s">
        <v>3984</v>
      </c>
    </row>
    <row r="2192" spans="1:13" x14ac:dyDescent="0.25">
      <c r="A2192" s="22">
        <f t="shared" si="34"/>
        <v>2191</v>
      </c>
      <c r="B2192" s="6" t="s">
        <v>5960</v>
      </c>
      <c r="C2192" s="6" t="s">
        <v>6333</v>
      </c>
      <c r="D2192" s="6" t="s">
        <v>359</v>
      </c>
      <c r="E2192" s="6" t="s">
        <v>6341</v>
      </c>
      <c r="F2192" s="6" t="s">
        <v>386</v>
      </c>
      <c r="G2192" s="6" t="s">
        <v>496</v>
      </c>
      <c r="H2192" s="6" t="str">
        <f>IFERROR(VLOOKUP(Table2[[#This Row],[Ticket]],Okey!A:B,2,0),"")</f>
        <v>ok</v>
      </c>
      <c r="I2192" s="6" t="s">
        <v>3679</v>
      </c>
      <c r="J2192" s="6" t="str">
        <f>VLOOKUP(Table2[[#This Row],[Author]],People!A:B,2,0)</f>
        <v>MGF</v>
      </c>
      <c r="K2192" s="6"/>
      <c r="L2192" s="6"/>
      <c r="M2192" s="21" t="s">
        <v>3984</v>
      </c>
    </row>
    <row r="2193" spans="1:13" x14ac:dyDescent="0.25">
      <c r="A2193" s="23">
        <f t="shared" si="34"/>
        <v>2192</v>
      </c>
      <c r="B2193" s="7" t="s">
        <v>5960</v>
      </c>
      <c r="C2193" s="7" t="s">
        <v>6333</v>
      </c>
      <c r="D2193" s="7" t="s">
        <v>595</v>
      </c>
      <c r="E2193" s="7" t="s">
        <v>6342</v>
      </c>
      <c r="F2193" s="7" t="s">
        <v>581</v>
      </c>
      <c r="G2193" s="7" t="s">
        <v>496</v>
      </c>
      <c r="H2193" s="7" t="str">
        <f>IFERROR(VLOOKUP(Table2[[#This Row],[Ticket]],Okey!A:B,2,0),"")</f>
        <v>ok</v>
      </c>
      <c r="I2193" s="7" t="s">
        <v>3679</v>
      </c>
      <c r="J2193" s="7" t="str">
        <f>VLOOKUP(Table2[[#This Row],[Author]],People!A:B,2,0)</f>
        <v>MGF</v>
      </c>
      <c r="K2193" s="7"/>
      <c r="L2193" s="7"/>
      <c r="M2193" s="16" t="s">
        <v>3984</v>
      </c>
    </row>
    <row r="2194" spans="1:13" x14ac:dyDescent="0.25">
      <c r="A2194" s="22">
        <f t="shared" si="34"/>
        <v>2193</v>
      </c>
      <c r="B2194" s="6" t="s">
        <v>5960</v>
      </c>
      <c r="C2194" s="6" t="s">
        <v>6333</v>
      </c>
      <c r="D2194" s="6" t="s">
        <v>474</v>
      </c>
      <c r="E2194" s="6" t="s">
        <v>4695</v>
      </c>
      <c r="F2194" s="6" t="s">
        <v>558</v>
      </c>
      <c r="G2194" s="6" t="s">
        <v>496</v>
      </c>
      <c r="H2194" s="6" t="str">
        <f>IFERROR(VLOOKUP(Table2[[#This Row],[Ticket]],Okey!A:B,2,0),"")</f>
        <v>ok</v>
      </c>
      <c r="I2194" s="6" t="s">
        <v>3679</v>
      </c>
      <c r="J2194" s="6" t="str">
        <f>VLOOKUP(Table2[[#This Row],[Author]],People!A:B,2,0)</f>
        <v>MGF</v>
      </c>
      <c r="K2194" s="6"/>
      <c r="L2194" s="6"/>
      <c r="M2194" s="21" t="s">
        <v>3984</v>
      </c>
    </row>
    <row r="2195" spans="1:13" x14ac:dyDescent="0.25">
      <c r="A2195" s="23">
        <f t="shared" si="34"/>
        <v>2194</v>
      </c>
      <c r="B2195" s="7" t="s">
        <v>5960</v>
      </c>
      <c r="C2195" s="7" t="s">
        <v>6333</v>
      </c>
      <c r="D2195" s="7" t="s">
        <v>482</v>
      </c>
      <c r="E2195" s="7" t="s">
        <v>6297</v>
      </c>
      <c r="F2195" s="7" t="s">
        <v>558</v>
      </c>
      <c r="G2195" s="7" t="s">
        <v>496</v>
      </c>
      <c r="H2195" s="7" t="str">
        <f>IFERROR(VLOOKUP(Table2[[#This Row],[Ticket]],Okey!A:B,2,0),"")</f>
        <v>ok</v>
      </c>
      <c r="I2195" s="7" t="s">
        <v>3679</v>
      </c>
      <c r="J2195" s="7" t="str">
        <f>VLOOKUP(Table2[[#This Row],[Author]],People!A:B,2,0)</f>
        <v>MGF</v>
      </c>
      <c r="K2195" s="7"/>
      <c r="L2195" s="7"/>
      <c r="M2195" s="16" t="s">
        <v>3984</v>
      </c>
    </row>
    <row r="2196" spans="1:13" x14ac:dyDescent="0.25">
      <c r="A2196" s="22">
        <f t="shared" si="34"/>
        <v>2195</v>
      </c>
      <c r="B2196" s="6" t="s">
        <v>5960</v>
      </c>
      <c r="C2196" s="6" t="s">
        <v>6333</v>
      </c>
      <c r="D2196" s="6" t="s">
        <v>377</v>
      </c>
      <c r="E2196" s="6" t="s">
        <v>6343</v>
      </c>
      <c r="F2196" s="6" t="s">
        <v>2342</v>
      </c>
      <c r="G2196" s="6" t="s">
        <v>496</v>
      </c>
      <c r="H2196" s="6" t="str">
        <f>IFERROR(VLOOKUP(Table2[[#This Row],[Ticket]],Okey!A:B,2,0),"")</f>
        <v>ok</v>
      </c>
      <c r="I2196" s="6" t="s">
        <v>3679</v>
      </c>
      <c r="J2196" s="6" t="str">
        <f>VLOOKUP(Table2[[#This Row],[Author]],People!A:B,2,0)</f>
        <v>MGF</v>
      </c>
      <c r="K2196" s="6"/>
      <c r="L2196" s="6"/>
      <c r="M2196" s="21" t="s">
        <v>3984</v>
      </c>
    </row>
    <row r="2197" spans="1:13" x14ac:dyDescent="0.25">
      <c r="A2197" s="23">
        <f t="shared" si="34"/>
        <v>2196</v>
      </c>
      <c r="B2197" s="7" t="s">
        <v>5960</v>
      </c>
      <c r="C2197" s="7" t="s">
        <v>6333</v>
      </c>
      <c r="D2197" s="7" t="s">
        <v>4693</v>
      </c>
      <c r="E2197" s="7" t="s">
        <v>6344</v>
      </c>
      <c r="F2197" s="7" t="s">
        <v>2342</v>
      </c>
      <c r="G2197" s="7" t="s">
        <v>496</v>
      </c>
      <c r="H2197" s="7" t="str">
        <f>IFERROR(VLOOKUP(Table2[[#This Row],[Ticket]],Okey!A:B,2,0),"")</f>
        <v>ok</v>
      </c>
      <c r="I2197" s="7" t="s">
        <v>3679</v>
      </c>
      <c r="J2197" s="7" t="str">
        <f>VLOOKUP(Table2[[#This Row],[Author]],People!A:B,2,0)</f>
        <v>MGF</v>
      </c>
      <c r="K2197" s="7"/>
      <c r="L2197" s="7"/>
      <c r="M2197" s="16" t="s">
        <v>3984</v>
      </c>
    </row>
    <row r="2198" spans="1:13" x14ac:dyDescent="0.25">
      <c r="A2198" s="22">
        <f t="shared" si="34"/>
        <v>2197</v>
      </c>
      <c r="B2198" s="6" t="s">
        <v>5960</v>
      </c>
      <c r="C2198" s="6" t="s">
        <v>5962</v>
      </c>
      <c r="D2198" s="6" t="s">
        <v>3960</v>
      </c>
      <c r="E2198" s="6" t="s">
        <v>6345</v>
      </c>
      <c r="F2198" s="6"/>
      <c r="G2198" s="6" t="s">
        <v>63</v>
      </c>
      <c r="H2198" s="6" t="str">
        <f>IFERROR(VLOOKUP(Table2[[#This Row],[Ticket]],Okey!A:B,2,0),"")</f>
        <v>ok</v>
      </c>
      <c r="I2198" s="6" t="s">
        <v>3679</v>
      </c>
      <c r="J2198" s="6" t="str">
        <f>VLOOKUP(Table2[[#This Row],[Author]],People!A:B,2,0)</f>
        <v>MGF</v>
      </c>
      <c r="K2198" s="6"/>
      <c r="L2198" s="6"/>
      <c r="M2198" s="21" t="s">
        <v>3963</v>
      </c>
    </row>
    <row r="2199" spans="1:13" x14ac:dyDescent="0.25">
      <c r="A2199" s="23">
        <f t="shared" si="34"/>
        <v>2198</v>
      </c>
      <c r="B2199" s="7" t="s">
        <v>5960</v>
      </c>
      <c r="C2199" s="7" t="s">
        <v>6346</v>
      </c>
      <c r="D2199" s="7" t="s">
        <v>6347</v>
      </c>
      <c r="E2199" s="7" t="s">
        <v>6348</v>
      </c>
      <c r="F2199" s="7" t="s">
        <v>4913</v>
      </c>
      <c r="G2199" s="7" t="s">
        <v>18</v>
      </c>
      <c r="H2199" s="7" t="str">
        <f>IFERROR(VLOOKUP(Table2[[#This Row],[Ticket]],Okey!A:B,2,0),"")</f>
        <v>ok</v>
      </c>
      <c r="I2199" s="7" t="s">
        <v>3679</v>
      </c>
      <c r="J2199" s="7" t="str">
        <f>VLOOKUP(Table2[[#This Row],[Author]],People!A:B,2,0)</f>
        <v>MGF</v>
      </c>
      <c r="K2199" s="7"/>
      <c r="L2199" s="7"/>
      <c r="M2199" s="16" t="s">
        <v>3963</v>
      </c>
    </row>
    <row r="2200" spans="1:13" x14ac:dyDescent="0.25">
      <c r="A2200" s="22">
        <f t="shared" si="34"/>
        <v>2199</v>
      </c>
      <c r="B2200" s="6" t="s">
        <v>5960</v>
      </c>
      <c r="C2200" s="6" t="s">
        <v>6346</v>
      </c>
      <c r="D2200" s="6" t="s">
        <v>6349</v>
      </c>
      <c r="E2200" s="6" t="s">
        <v>6350</v>
      </c>
      <c r="F2200" s="6" t="s">
        <v>4915</v>
      </c>
      <c r="G2200" s="6" t="s">
        <v>18</v>
      </c>
      <c r="H2200" s="6" t="str">
        <f>IFERROR(VLOOKUP(Table2[[#This Row],[Ticket]],Okey!A:B,2,0),"")</f>
        <v>ok</v>
      </c>
      <c r="I2200" s="6" t="s">
        <v>3679</v>
      </c>
      <c r="J2200" s="6" t="str">
        <f>VLOOKUP(Table2[[#This Row],[Author]],People!A:B,2,0)</f>
        <v>MGF</v>
      </c>
      <c r="K2200" s="6"/>
      <c r="L2200" s="6"/>
      <c r="M2200" s="21" t="s">
        <v>3963</v>
      </c>
    </row>
    <row r="2201" spans="1:13" x14ac:dyDescent="0.25">
      <c r="A2201" s="23">
        <f t="shared" si="34"/>
        <v>2200</v>
      </c>
      <c r="B2201" s="7" t="s">
        <v>5960</v>
      </c>
      <c r="C2201" s="7" t="s">
        <v>6346</v>
      </c>
      <c r="D2201" s="7" t="s">
        <v>6351</v>
      </c>
      <c r="E2201" s="7" t="s">
        <v>6352</v>
      </c>
      <c r="F2201" s="7" t="s">
        <v>6349</v>
      </c>
      <c r="G2201" s="7" t="s">
        <v>18</v>
      </c>
      <c r="H2201" s="7" t="str">
        <f>IFERROR(VLOOKUP(Table2[[#This Row],[Ticket]],Okey!A:B,2,0),"")</f>
        <v>ok</v>
      </c>
      <c r="I2201" s="7" t="s">
        <v>3679</v>
      </c>
      <c r="J2201" s="7" t="str">
        <f>VLOOKUP(Table2[[#This Row],[Author]],People!A:B,2,0)</f>
        <v>MGF</v>
      </c>
      <c r="K2201" s="7"/>
      <c r="L2201" s="7"/>
      <c r="M2201" s="16" t="s">
        <v>3963</v>
      </c>
    </row>
    <row r="2202" spans="1:13" x14ac:dyDescent="0.25">
      <c r="A2202" s="22">
        <f t="shared" si="34"/>
        <v>2201</v>
      </c>
      <c r="B2202" s="6" t="s">
        <v>5960</v>
      </c>
      <c r="C2202" s="6" t="s">
        <v>6346</v>
      </c>
      <c r="D2202" s="6" t="s">
        <v>6353</v>
      </c>
      <c r="E2202" s="6" t="s">
        <v>6354</v>
      </c>
      <c r="F2202" s="6" t="s">
        <v>6349</v>
      </c>
      <c r="G2202" s="6" t="s">
        <v>18</v>
      </c>
      <c r="H2202" s="6" t="str">
        <f>IFERROR(VLOOKUP(Table2[[#This Row],[Ticket]],Okey!A:B,2,0),"")</f>
        <v>ok</v>
      </c>
      <c r="I2202" s="6" t="s">
        <v>3679</v>
      </c>
      <c r="J2202" s="6" t="str">
        <f>VLOOKUP(Table2[[#This Row],[Author]],People!A:B,2,0)</f>
        <v>MGF</v>
      </c>
      <c r="K2202" s="6"/>
      <c r="L2202" s="6"/>
      <c r="M2202" s="21" t="s">
        <v>3963</v>
      </c>
    </row>
    <row r="2203" spans="1:13" x14ac:dyDescent="0.25">
      <c r="A2203" s="23">
        <f t="shared" si="34"/>
        <v>2202</v>
      </c>
      <c r="B2203" s="7" t="s">
        <v>5960</v>
      </c>
      <c r="C2203" s="7" t="s">
        <v>6346</v>
      </c>
      <c r="D2203" s="7" t="s">
        <v>6355</v>
      </c>
      <c r="E2203" s="7" t="s">
        <v>6356</v>
      </c>
      <c r="F2203" s="7" t="s">
        <v>6349</v>
      </c>
      <c r="G2203" s="7" t="s">
        <v>18</v>
      </c>
      <c r="H2203" s="7" t="str">
        <f>IFERROR(VLOOKUP(Table2[[#This Row],[Ticket]],Okey!A:B,2,0),"")</f>
        <v>ok</v>
      </c>
      <c r="I2203" s="7" t="s">
        <v>3679</v>
      </c>
      <c r="J2203" s="7" t="str">
        <f>VLOOKUP(Table2[[#This Row],[Author]],People!A:B,2,0)</f>
        <v>MGF</v>
      </c>
      <c r="K2203" s="7"/>
      <c r="L2203" s="7"/>
      <c r="M2203" s="16" t="s">
        <v>3963</v>
      </c>
    </row>
    <row r="2204" spans="1:13" x14ac:dyDescent="0.25">
      <c r="A2204" s="22">
        <f t="shared" si="34"/>
        <v>2203</v>
      </c>
      <c r="B2204" s="6" t="s">
        <v>5960</v>
      </c>
      <c r="C2204" s="6" t="s">
        <v>6346</v>
      </c>
      <c r="D2204" s="6" t="s">
        <v>6357</v>
      </c>
      <c r="E2204" s="6" t="s">
        <v>6358</v>
      </c>
      <c r="F2204" s="6" t="s">
        <v>6349</v>
      </c>
      <c r="G2204" s="6" t="s">
        <v>18</v>
      </c>
      <c r="H2204" s="6" t="str">
        <f>IFERROR(VLOOKUP(Table2[[#This Row],[Ticket]],Okey!A:B,2,0),"")</f>
        <v>ok</v>
      </c>
      <c r="I2204" s="6" t="s">
        <v>3679</v>
      </c>
      <c r="J2204" s="6" t="str">
        <f>VLOOKUP(Table2[[#This Row],[Author]],People!A:B,2,0)</f>
        <v>MGF</v>
      </c>
      <c r="K2204" s="6"/>
      <c r="L2204" s="6"/>
      <c r="M2204" s="21" t="s">
        <v>3963</v>
      </c>
    </row>
    <row r="2205" spans="1:13" x14ac:dyDescent="0.25">
      <c r="A2205" s="23">
        <f t="shared" si="34"/>
        <v>2204</v>
      </c>
      <c r="B2205" s="7" t="s">
        <v>5960</v>
      </c>
      <c r="C2205" s="7" t="s">
        <v>6346</v>
      </c>
      <c r="D2205" s="7" t="s">
        <v>6359</v>
      </c>
      <c r="E2205" s="7" t="s">
        <v>6360</v>
      </c>
      <c r="F2205" s="7" t="s">
        <v>6347</v>
      </c>
      <c r="G2205" s="7" t="s">
        <v>18</v>
      </c>
      <c r="H2205" s="7" t="str">
        <f>IFERROR(VLOOKUP(Table2[[#This Row],[Ticket]],Okey!A:B,2,0),"")</f>
        <v>ok</v>
      </c>
      <c r="I2205" s="7" t="s">
        <v>3679</v>
      </c>
      <c r="J2205" s="7" t="str">
        <f>VLOOKUP(Table2[[#This Row],[Author]],People!A:B,2,0)</f>
        <v>MGF</v>
      </c>
      <c r="K2205" s="7"/>
      <c r="L2205" s="7"/>
      <c r="M2205" s="16" t="s">
        <v>3963</v>
      </c>
    </row>
    <row r="2206" spans="1:13" x14ac:dyDescent="0.25">
      <c r="A2206" s="22">
        <f t="shared" si="34"/>
        <v>2205</v>
      </c>
      <c r="B2206" s="6" t="s">
        <v>5960</v>
      </c>
      <c r="C2206" s="6" t="s">
        <v>6346</v>
      </c>
      <c r="D2206" s="6" t="s">
        <v>6361</v>
      </c>
      <c r="E2206" s="6" t="s">
        <v>6362</v>
      </c>
      <c r="F2206" s="6" t="s">
        <v>6359</v>
      </c>
      <c r="G2206" s="6" t="s">
        <v>18</v>
      </c>
      <c r="H2206" s="6" t="str">
        <f>IFERROR(VLOOKUP(Table2[[#This Row],[Ticket]],Okey!A:B,2,0),"")</f>
        <v>ok</v>
      </c>
      <c r="I2206" s="6" t="s">
        <v>3679</v>
      </c>
      <c r="J2206" s="6" t="str">
        <f>VLOOKUP(Table2[[#This Row],[Author]],People!A:B,2,0)</f>
        <v>MGF</v>
      </c>
      <c r="K2206" s="6"/>
      <c r="L2206" s="6"/>
      <c r="M2206" s="21" t="s">
        <v>3963</v>
      </c>
    </row>
    <row r="2207" spans="1:13" x14ac:dyDescent="0.25">
      <c r="A2207" s="23">
        <f t="shared" si="34"/>
        <v>2206</v>
      </c>
      <c r="B2207" s="7" t="s">
        <v>5960</v>
      </c>
      <c r="C2207" s="7" t="s">
        <v>6346</v>
      </c>
      <c r="D2207" s="7" t="s">
        <v>6363</v>
      </c>
      <c r="E2207" s="7" t="s">
        <v>6364</v>
      </c>
      <c r="F2207" s="7" t="s">
        <v>6359</v>
      </c>
      <c r="G2207" s="7" t="s">
        <v>18</v>
      </c>
      <c r="H2207" s="7" t="str">
        <f>IFERROR(VLOOKUP(Table2[[#This Row],[Ticket]],Okey!A:B,2,0),"")</f>
        <v>ok</v>
      </c>
      <c r="I2207" s="7" t="s">
        <v>3679</v>
      </c>
      <c r="J2207" s="7" t="str">
        <f>VLOOKUP(Table2[[#This Row],[Author]],People!A:B,2,0)</f>
        <v>MGF</v>
      </c>
      <c r="K2207" s="7"/>
      <c r="L2207" s="7"/>
      <c r="M2207" s="16" t="s">
        <v>3963</v>
      </c>
    </row>
    <row r="2208" spans="1:13" x14ac:dyDescent="0.25">
      <c r="A2208" s="22">
        <f t="shared" si="34"/>
        <v>2207</v>
      </c>
      <c r="B2208" s="6" t="s">
        <v>5960</v>
      </c>
      <c r="C2208" s="6" t="s">
        <v>6346</v>
      </c>
      <c r="D2208" s="6" t="s">
        <v>6365</v>
      </c>
      <c r="E2208" s="6" t="s">
        <v>6366</v>
      </c>
      <c r="F2208" s="6" t="s">
        <v>6359</v>
      </c>
      <c r="G2208" s="6" t="s">
        <v>18</v>
      </c>
      <c r="H2208" s="6" t="str">
        <f>IFERROR(VLOOKUP(Table2[[#This Row],[Ticket]],Okey!A:B,2,0),"")</f>
        <v>ok</v>
      </c>
      <c r="I2208" s="6" t="s">
        <v>3679</v>
      </c>
      <c r="J2208" s="6" t="str">
        <f>VLOOKUP(Table2[[#This Row],[Author]],People!A:B,2,0)</f>
        <v>MGF</v>
      </c>
      <c r="K2208" s="6"/>
      <c r="L2208" s="6"/>
      <c r="M2208" s="21" t="s">
        <v>3963</v>
      </c>
    </row>
    <row r="2209" spans="1:13" x14ac:dyDescent="0.25">
      <c r="A2209" s="23">
        <f t="shared" si="34"/>
        <v>2208</v>
      </c>
      <c r="B2209" s="7" t="s">
        <v>5960</v>
      </c>
      <c r="C2209" s="7" t="s">
        <v>6346</v>
      </c>
      <c r="D2209" s="7" t="s">
        <v>6367</v>
      </c>
      <c r="E2209" s="7" t="s">
        <v>6368</v>
      </c>
      <c r="F2209" s="7" t="s">
        <v>6359</v>
      </c>
      <c r="G2209" s="7" t="s">
        <v>18</v>
      </c>
      <c r="H2209" s="7" t="str">
        <f>IFERROR(VLOOKUP(Table2[[#This Row],[Ticket]],Okey!A:B,2,0),"")</f>
        <v>ok</v>
      </c>
      <c r="I2209" s="7" t="s">
        <v>3679</v>
      </c>
      <c r="J2209" s="7" t="str">
        <f>VLOOKUP(Table2[[#This Row],[Author]],People!A:B,2,0)</f>
        <v>MGF</v>
      </c>
      <c r="K2209" s="7"/>
      <c r="L2209" s="7"/>
      <c r="M2209" s="16" t="s">
        <v>3963</v>
      </c>
    </row>
    <row r="2210" spans="1:13" x14ac:dyDescent="0.25">
      <c r="A2210" s="22">
        <f>+A2209+1</f>
        <v>2209</v>
      </c>
      <c r="B2210" s="6" t="s">
        <v>5960</v>
      </c>
      <c r="C2210" s="6" t="s">
        <v>6369</v>
      </c>
      <c r="D2210" s="6" t="s">
        <v>683</v>
      </c>
      <c r="E2210" s="6" t="s">
        <v>684</v>
      </c>
      <c r="F2210" s="6"/>
      <c r="G2210" s="6" t="s">
        <v>63</v>
      </c>
      <c r="H2210" s="6" t="str">
        <f>IFERROR(VLOOKUP(Table2[[#This Row],[Ticket]],Okey!A:B,2,0),"")</f>
        <v>ok</v>
      </c>
      <c r="I2210" s="6" t="s">
        <v>3679</v>
      </c>
      <c r="J2210" s="6" t="str">
        <f>VLOOKUP(Table2[[#This Row],[Author]],People!A:B,2,0)</f>
        <v>MGF</v>
      </c>
      <c r="K2210" s="6"/>
      <c r="L2210" s="6"/>
      <c r="M2210" s="21" t="s">
        <v>329</v>
      </c>
    </row>
    <row r="2211" spans="1:13" x14ac:dyDescent="0.25">
      <c r="A2211" s="23">
        <f t="shared" ref="A2211:A2274" si="35">1+A2210</f>
        <v>2210</v>
      </c>
      <c r="B2211" s="7" t="s">
        <v>5960</v>
      </c>
      <c r="C2211" s="7" t="s">
        <v>6369</v>
      </c>
      <c r="D2211" s="7" t="s">
        <v>3744</v>
      </c>
      <c r="E2211" s="7" t="s">
        <v>6370</v>
      </c>
      <c r="F2211" s="7"/>
      <c r="G2211" s="7" t="s">
        <v>63</v>
      </c>
      <c r="H2211" s="7" t="str">
        <f>IFERROR(VLOOKUP(Table2[[#This Row],[Ticket]],Okey!A:B,2,0),"")</f>
        <v>ok</v>
      </c>
      <c r="I2211" s="7" t="s">
        <v>3679</v>
      </c>
      <c r="J2211" s="7" t="str">
        <f>VLOOKUP(Table2[[#This Row],[Author]],People!A:B,2,0)</f>
        <v>MGF</v>
      </c>
      <c r="K2211" s="7"/>
      <c r="L2211" s="7"/>
      <c r="M2211" s="16" t="s">
        <v>329</v>
      </c>
    </row>
    <row r="2212" spans="1:13" x14ac:dyDescent="0.25">
      <c r="A2212" s="22">
        <f t="shared" si="35"/>
        <v>2211</v>
      </c>
      <c r="B2212" s="6" t="s">
        <v>5960</v>
      </c>
      <c r="C2212" s="6" t="s">
        <v>6369</v>
      </c>
      <c r="D2212" s="6" t="s">
        <v>22</v>
      </c>
      <c r="E2212" s="6" t="s">
        <v>719</v>
      </c>
      <c r="F2212" s="6"/>
      <c r="G2212" s="6" t="s">
        <v>63</v>
      </c>
      <c r="H2212" s="6" t="str">
        <f>IFERROR(VLOOKUP(Table2[[#This Row],[Ticket]],Okey!A:B,2,0),"")</f>
        <v>ok</v>
      </c>
      <c r="I2212" s="6" t="s">
        <v>3679</v>
      </c>
      <c r="J2212" s="6" t="str">
        <f>VLOOKUP(Table2[[#This Row],[Author]],People!A:B,2,0)</f>
        <v>MGF</v>
      </c>
      <c r="K2212" s="6"/>
      <c r="L2212" s="6"/>
      <c r="M2212" s="21" t="s">
        <v>329</v>
      </c>
    </row>
    <row r="2213" spans="1:13" x14ac:dyDescent="0.25">
      <c r="A2213" s="23">
        <f t="shared" si="35"/>
        <v>2212</v>
      </c>
      <c r="B2213" s="7" t="s">
        <v>5960</v>
      </c>
      <c r="C2213" s="7" t="s">
        <v>6369</v>
      </c>
      <c r="D2213" s="7" t="s">
        <v>3805</v>
      </c>
      <c r="E2213" s="7" t="s">
        <v>6371</v>
      </c>
      <c r="F2213" s="7"/>
      <c r="G2213" s="7" t="s">
        <v>63</v>
      </c>
      <c r="H2213" s="7" t="str">
        <f>IFERROR(VLOOKUP(Table2[[#This Row],[Ticket]],Okey!A:B,2,0),"")</f>
        <v>ok</v>
      </c>
      <c r="I2213" s="7" t="s">
        <v>3679</v>
      </c>
      <c r="J2213" s="7" t="str">
        <f>VLOOKUP(Table2[[#This Row],[Author]],People!A:B,2,0)</f>
        <v>MGF</v>
      </c>
      <c r="K2213" s="7"/>
      <c r="L2213" s="7"/>
      <c r="M2213" s="16" t="s">
        <v>329</v>
      </c>
    </row>
    <row r="2214" spans="1:13" x14ac:dyDescent="0.25">
      <c r="A2214" s="22">
        <f t="shared" si="35"/>
        <v>2213</v>
      </c>
      <c r="B2214" s="6" t="s">
        <v>5960</v>
      </c>
      <c r="C2214" s="6" t="s">
        <v>6369</v>
      </c>
      <c r="D2214" s="6" t="s">
        <v>3807</v>
      </c>
      <c r="E2214" s="6" t="s">
        <v>6372</v>
      </c>
      <c r="F2214" s="6"/>
      <c r="G2214" s="6" t="s">
        <v>63</v>
      </c>
      <c r="H2214" s="6" t="str">
        <f>IFERROR(VLOOKUP(Table2[[#This Row],[Ticket]],Okey!A:B,2,0),"")</f>
        <v>ok</v>
      </c>
      <c r="I2214" s="6" t="s">
        <v>3679</v>
      </c>
      <c r="J2214" s="6" t="str">
        <f>VLOOKUP(Table2[[#This Row],[Author]],People!A:B,2,0)</f>
        <v>MGF</v>
      </c>
      <c r="K2214" s="6"/>
      <c r="L2214" s="6"/>
      <c r="M2214" s="21" t="s">
        <v>329</v>
      </c>
    </row>
    <row r="2215" spans="1:13" x14ac:dyDescent="0.25">
      <c r="A2215" s="23">
        <f t="shared" si="35"/>
        <v>2214</v>
      </c>
      <c r="B2215" s="7" t="s">
        <v>5960</v>
      </c>
      <c r="C2215" s="7" t="s">
        <v>6373</v>
      </c>
      <c r="D2215" s="7" t="s">
        <v>6374</v>
      </c>
      <c r="E2215" s="7" t="s">
        <v>6375</v>
      </c>
      <c r="F2215" s="7" t="s">
        <v>2372</v>
      </c>
      <c r="G2215" s="7" t="s">
        <v>18</v>
      </c>
      <c r="H2215" s="7" t="str">
        <f>IFERROR(VLOOKUP(Table2[[#This Row],[Ticket]],Okey!A:B,2,0),"")</f>
        <v>ok</v>
      </c>
      <c r="I2215" s="7" t="s">
        <v>3679</v>
      </c>
      <c r="J2215" s="7" t="str">
        <f>VLOOKUP(Table2[[#This Row],[Author]],People!A:B,2,0)</f>
        <v>MGF</v>
      </c>
      <c r="K2215" s="7"/>
      <c r="L2215" s="7"/>
      <c r="M2215" s="16" t="s">
        <v>4887</v>
      </c>
    </row>
    <row r="2216" spans="1:13" x14ac:dyDescent="0.25">
      <c r="A2216" s="22">
        <f t="shared" si="35"/>
        <v>2215</v>
      </c>
      <c r="B2216" s="6" t="s">
        <v>5960</v>
      </c>
      <c r="C2216" s="6" t="s">
        <v>6373</v>
      </c>
      <c r="D2216" s="6" t="s">
        <v>6376</v>
      </c>
      <c r="E2216" s="6" t="s">
        <v>6377</v>
      </c>
      <c r="F2216" s="6" t="s">
        <v>2372</v>
      </c>
      <c r="G2216" s="6" t="s">
        <v>18</v>
      </c>
      <c r="H2216" s="6" t="str">
        <f>IFERROR(VLOOKUP(Table2[[#This Row],[Ticket]],Okey!A:B,2,0),"")</f>
        <v>ok</v>
      </c>
      <c r="I2216" s="6" t="s">
        <v>3679</v>
      </c>
      <c r="J2216" s="6" t="str">
        <f>VLOOKUP(Table2[[#This Row],[Author]],People!A:B,2,0)</f>
        <v>MGF</v>
      </c>
      <c r="K2216" s="6"/>
      <c r="L2216" s="6"/>
      <c r="M2216" s="21" t="s">
        <v>4887</v>
      </c>
    </row>
    <row r="2217" spans="1:13" x14ac:dyDescent="0.25">
      <c r="A2217" s="23">
        <f t="shared" si="35"/>
        <v>2216</v>
      </c>
      <c r="B2217" s="7" t="s">
        <v>5960</v>
      </c>
      <c r="C2217" s="7" t="s">
        <v>6373</v>
      </c>
      <c r="D2217" s="7" t="s">
        <v>6378</v>
      </c>
      <c r="E2217" s="7" t="s">
        <v>6379</v>
      </c>
      <c r="F2217" s="7" t="s">
        <v>6380</v>
      </c>
      <c r="G2217" s="7" t="s">
        <v>18</v>
      </c>
      <c r="H2217" s="7" t="str">
        <f>IFERROR(VLOOKUP(Table2[[#This Row],[Ticket]],Okey!A:B,2,0),"")</f>
        <v>ok</v>
      </c>
      <c r="I2217" s="7" t="s">
        <v>3679</v>
      </c>
      <c r="J2217" s="7" t="str">
        <f>VLOOKUP(Table2[[#This Row],[Author]],People!A:B,2,0)</f>
        <v>MGF</v>
      </c>
      <c r="K2217" s="7"/>
      <c r="L2217" s="7"/>
      <c r="M2217" s="16" t="s">
        <v>4887</v>
      </c>
    </row>
    <row r="2218" spans="1:13" x14ac:dyDescent="0.25">
      <c r="A2218" s="22">
        <f t="shared" si="35"/>
        <v>2217</v>
      </c>
      <c r="B2218" s="6" t="s">
        <v>5960</v>
      </c>
      <c r="C2218" s="6" t="s">
        <v>6373</v>
      </c>
      <c r="D2218" s="6" t="s">
        <v>6381</v>
      </c>
      <c r="E2218" s="6" t="s">
        <v>6382</v>
      </c>
      <c r="F2218" s="6" t="s">
        <v>6383</v>
      </c>
      <c r="G2218" s="6" t="s">
        <v>18</v>
      </c>
      <c r="H2218" s="6" t="str">
        <f>IFERROR(VLOOKUP(Table2[[#This Row],[Ticket]],Okey!A:B,2,0),"")</f>
        <v>ok</v>
      </c>
      <c r="I2218" s="6" t="s">
        <v>3679</v>
      </c>
      <c r="J2218" s="6" t="str">
        <f>VLOOKUP(Table2[[#This Row],[Author]],People!A:B,2,0)</f>
        <v>MGF</v>
      </c>
      <c r="K2218" s="6"/>
      <c r="L2218" s="6"/>
      <c r="M2218" s="21" t="s">
        <v>4887</v>
      </c>
    </row>
    <row r="2219" spans="1:13" x14ac:dyDescent="0.25">
      <c r="A2219" s="23">
        <f t="shared" si="35"/>
        <v>2218</v>
      </c>
      <c r="B2219" s="7" t="s">
        <v>5960</v>
      </c>
      <c r="C2219" s="7" t="s">
        <v>6373</v>
      </c>
      <c r="D2219" s="7" t="s">
        <v>6384</v>
      </c>
      <c r="E2219" s="7" t="s">
        <v>6385</v>
      </c>
      <c r="F2219" s="7" t="s">
        <v>4888</v>
      </c>
      <c r="G2219" s="7" t="s">
        <v>18</v>
      </c>
      <c r="H2219" s="7" t="str">
        <f>IFERROR(VLOOKUP(Table2[[#This Row],[Ticket]],Okey!A:B,2,0),"")</f>
        <v>ok</v>
      </c>
      <c r="I2219" s="7" t="s">
        <v>3679</v>
      </c>
      <c r="J2219" s="7" t="str">
        <f>VLOOKUP(Table2[[#This Row],[Author]],People!A:B,2,0)</f>
        <v>MGF</v>
      </c>
      <c r="K2219" s="7"/>
      <c r="L2219" s="7"/>
      <c r="M2219" s="16" t="s">
        <v>4887</v>
      </c>
    </row>
    <row r="2220" spans="1:13" x14ac:dyDescent="0.25">
      <c r="A2220" s="22">
        <f t="shared" si="35"/>
        <v>2219</v>
      </c>
      <c r="B2220" s="6" t="s">
        <v>5960</v>
      </c>
      <c r="C2220" s="6" t="s">
        <v>6373</v>
      </c>
      <c r="D2220" s="6" t="s">
        <v>6386</v>
      </c>
      <c r="E2220" s="6" t="s">
        <v>6385</v>
      </c>
      <c r="F2220" s="6" t="s">
        <v>4889</v>
      </c>
      <c r="G2220" s="6" t="s">
        <v>18</v>
      </c>
      <c r="H2220" s="6" t="str">
        <f>IFERROR(VLOOKUP(Table2[[#This Row],[Ticket]],Okey!A:B,2,0),"")</f>
        <v>ok</v>
      </c>
      <c r="I2220" s="6" t="s">
        <v>3679</v>
      </c>
      <c r="J2220" s="6" t="str">
        <f>VLOOKUP(Table2[[#This Row],[Author]],People!A:B,2,0)</f>
        <v>MGF</v>
      </c>
      <c r="K2220" s="6"/>
      <c r="L2220" s="6"/>
      <c r="M2220" s="21" t="s">
        <v>4887</v>
      </c>
    </row>
    <row r="2221" spans="1:13" x14ac:dyDescent="0.25">
      <c r="A2221" s="23">
        <f t="shared" si="35"/>
        <v>2220</v>
      </c>
      <c r="B2221" s="7" t="s">
        <v>5960</v>
      </c>
      <c r="C2221" s="7" t="s">
        <v>6373</v>
      </c>
      <c r="D2221" s="7" t="s">
        <v>6387</v>
      </c>
      <c r="E2221" s="7" t="s">
        <v>6388</v>
      </c>
      <c r="F2221" s="7" t="s">
        <v>6374</v>
      </c>
      <c r="G2221" s="7" t="s">
        <v>18</v>
      </c>
      <c r="H2221" s="7" t="str">
        <f>IFERROR(VLOOKUP(Table2[[#This Row],[Ticket]],Okey!A:B,2,0),"")</f>
        <v>ok</v>
      </c>
      <c r="I2221" s="7" t="s">
        <v>3679</v>
      </c>
      <c r="J2221" s="7" t="str">
        <f>VLOOKUP(Table2[[#This Row],[Author]],People!A:B,2,0)</f>
        <v>MGF</v>
      </c>
      <c r="K2221" s="7"/>
      <c r="L2221" s="7"/>
      <c r="M2221" s="16" t="s">
        <v>4887</v>
      </c>
    </row>
    <row r="2222" spans="1:13" x14ac:dyDescent="0.25">
      <c r="A2222" s="22">
        <f t="shared" si="35"/>
        <v>2221</v>
      </c>
      <c r="B2222" s="6" t="s">
        <v>5960</v>
      </c>
      <c r="C2222" s="6" t="s">
        <v>6373</v>
      </c>
      <c r="D2222" s="6" t="s">
        <v>6389</v>
      </c>
      <c r="E2222" s="6" t="s">
        <v>6388</v>
      </c>
      <c r="F2222" s="6" t="s">
        <v>6390</v>
      </c>
      <c r="G2222" s="6" t="s">
        <v>18</v>
      </c>
      <c r="H2222" s="6" t="str">
        <f>IFERROR(VLOOKUP(Table2[[#This Row],[Ticket]],Okey!A:B,2,0),"")</f>
        <v>ok</v>
      </c>
      <c r="I2222" s="6" t="s">
        <v>3679</v>
      </c>
      <c r="J2222" s="6" t="str">
        <f>VLOOKUP(Table2[[#This Row],[Author]],People!A:B,2,0)</f>
        <v>MGF</v>
      </c>
      <c r="K2222" s="6"/>
      <c r="L2222" s="6"/>
      <c r="M2222" s="21" t="s">
        <v>4887</v>
      </c>
    </row>
    <row r="2223" spans="1:13" x14ac:dyDescent="0.25">
      <c r="A2223" s="23">
        <f t="shared" si="35"/>
        <v>2222</v>
      </c>
      <c r="B2223" s="7" t="s">
        <v>5960</v>
      </c>
      <c r="C2223" s="7" t="s">
        <v>6373</v>
      </c>
      <c r="D2223" s="7" t="s">
        <v>6390</v>
      </c>
      <c r="E2223" s="7" t="s">
        <v>2375</v>
      </c>
      <c r="F2223" s="7" t="s">
        <v>6391</v>
      </c>
      <c r="G2223" s="7" t="s">
        <v>18</v>
      </c>
      <c r="H2223" s="7" t="str">
        <f>IFERROR(VLOOKUP(Table2[[#This Row],[Ticket]],Okey!A:B,2,0),"")</f>
        <v>ok</v>
      </c>
      <c r="I2223" s="7" t="s">
        <v>3679</v>
      </c>
      <c r="J2223" s="7" t="str">
        <f>VLOOKUP(Table2[[#This Row],[Author]],People!A:B,2,0)</f>
        <v>MGF</v>
      </c>
      <c r="K2223" s="7"/>
      <c r="L2223" s="7"/>
      <c r="M2223" s="16" t="s">
        <v>4887</v>
      </c>
    </row>
    <row r="2224" spans="1:13" x14ac:dyDescent="0.25">
      <c r="A2224" s="22">
        <f t="shared" si="35"/>
        <v>2223</v>
      </c>
      <c r="B2224" s="6" t="s">
        <v>5960</v>
      </c>
      <c r="C2224" s="6" t="s">
        <v>6373</v>
      </c>
      <c r="D2224" s="6" t="s">
        <v>6391</v>
      </c>
      <c r="E2224" s="6" t="s">
        <v>4890</v>
      </c>
      <c r="F2224" s="6" t="s">
        <v>6387</v>
      </c>
      <c r="G2224" s="6" t="s">
        <v>18</v>
      </c>
      <c r="H2224" s="6" t="str">
        <f>IFERROR(VLOOKUP(Table2[[#This Row],[Ticket]],Okey!A:B,2,0),"")</f>
        <v>ok</v>
      </c>
      <c r="I2224" s="6" t="s">
        <v>3679</v>
      </c>
      <c r="J2224" s="6" t="str">
        <f>VLOOKUP(Table2[[#This Row],[Author]],People!A:B,2,0)</f>
        <v>MGF</v>
      </c>
      <c r="K2224" s="6"/>
      <c r="L2224" s="6"/>
      <c r="M2224" s="21" t="s">
        <v>4887</v>
      </c>
    </row>
    <row r="2225" spans="1:13" x14ac:dyDescent="0.25">
      <c r="A2225" s="23">
        <f t="shared" si="35"/>
        <v>2224</v>
      </c>
      <c r="B2225" s="7" t="s">
        <v>5960</v>
      </c>
      <c r="C2225" s="7" t="s">
        <v>6373</v>
      </c>
      <c r="D2225" s="7" t="s">
        <v>6392</v>
      </c>
      <c r="E2225" s="7" t="s">
        <v>2375</v>
      </c>
      <c r="F2225" s="7" t="s">
        <v>6389</v>
      </c>
      <c r="G2225" s="7" t="s">
        <v>18</v>
      </c>
      <c r="H2225" s="7" t="str">
        <f>IFERROR(VLOOKUP(Table2[[#This Row],[Ticket]],Okey!A:B,2,0),"")</f>
        <v>ok</v>
      </c>
      <c r="I2225" s="7" t="s">
        <v>3679</v>
      </c>
      <c r="J2225" s="7" t="str">
        <f>VLOOKUP(Table2[[#This Row],[Author]],People!A:B,2,0)</f>
        <v>MGF</v>
      </c>
      <c r="K2225" s="7"/>
      <c r="L2225" s="7"/>
      <c r="M2225" s="16" t="s">
        <v>4887</v>
      </c>
    </row>
    <row r="2226" spans="1:13" x14ac:dyDescent="0.25">
      <c r="A2226" s="22">
        <f t="shared" si="35"/>
        <v>2225</v>
      </c>
      <c r="B2226" s="6" t="s">
        <v>5960</v>
      </c>
      <c r="C2226" s="6" t="s">
        <v>6373</v>
      </c>
      <c r="D2226" s="6" t="s">
        <v>6393</v>
      </c>
      <c r="E2226" s="6" t="s">
        <v>4890</v>
      </c>
      <c r="F2226" s="6" t="s">
        <v>6389</v>
      </c>
      <c r="G2226" s="6" t="s">
        <v>18</v>
      </c>
      <c r="H2226" s="6" t="str">
        <f>IFERROR(VLOOKUP(Table2[[#This Row],[Ticket]],Okey!A:B,2,0),"")</f>
        <v>ok</v>
      </c>
      <c r="I2226" s="6" t="s">
        <v>3679</v>
      </c>
      <c r="J2226" s="6" t="str">
        <f>VLOOKUP(Table2[[#This Row],[Author]],People!A:B,2,0)</f>
        <v>MGF</v>
      </c>
      <c r="K2226" s="6"/>
      <c r="L2226" s="6"/>
      <c r="M2226" s="21" t="s">
        <v>4887</v>
      </c>
    </row>
    <row r="2227" spans="1:13" x14ac:dyDescent="0.25">
      <c r="A2227" s="23">
        <f t="shared" si="35"/>
        <v>2226</v>
      </c>
      <c r="B2227" s="7" t="s">
        <v>5960</v>
      </c>
      <c r="C2227" s="7" t="s">
        <v>6373</v>
      </c>
      <c r="D2227" s="7" t="s">
        <v>6394</v>
      </c>
      <c r="E2227" s="7" t="s">
        <v>6377</v>
      </c>
      <c r="F2227" s="7" t="s">
        <v>6376</v>
      </c>
      <c r="G2227" s="7" t="s">
        <v>18</v>
      </c>
      <c r="H2227" s="7" t="str">
        <f>IFERROR(VLOOKUP(Table2[[#This Row],[Ticket]],Okey!A:B,2,0),"")</f>
        <v>ok</v>
      </c>
      <c r="I2227" s="7" t="s">
        <v>3679</v>
      </c>
      <c r="J2227" s="7" t="str">
        <f>VLOOKUP(Table2[[#This Row],[Author]],People!A:B,2,0)</f>
        <v>MGF</v>
      </c>
      <c r="K2227" s="7"/>
      <c r="L2227" s="7"/>
      <c r="M2227" s="16" t="s">
        <v>4887</v>
      </c>
    </row>
    <row r="2228" spans="1:13" x14ac:dyDescent="0.25">
      <c r="A2228" s="22">
        <f t="shared" si="35"/>
        <v>2227</v>
      </c>
      <c r="B2228" s="6" t="s">
        <v>5960</v>
      </c>
      <c r="C2228" s="6" t="s">
        <v>6373</v>
      </c>
      <c r="D2228" s="6" t="s">
        <v>6395</v>
      </c>
      <c r="E2228" s="6" t="s">
        <v>6377</v>
      </c>
      <c r="F2228" s="6" t="s">
        <v>6392</v>
      </c>
      <c r="G2228" s="6" t="s">
        <v>18</v>
      </c>
      <c r="H2228" s="6" t="str">
        <f>IFERROR(VLOOKUP(Table2[[#This Row],[Ticket]],Okey!A:B,2,0),"")</f>
        <v>ok</v>
      </c>
      <c r="I2228" s="6" t="s">
        <v>3679</v>
      </c>
      <c r="J2228" s="6" t="str">
        <f>VLOOKUP(Table2[[#This Row],[Author]],People!A:B,2,0)</f>
        <v>MGF</v>
      </c>
      <c r="K2228" s="6"/>
      <c r="L2228" s="6"/>
      <c r="M2228" s="21" t="s">
        <v>4887</v>
      </c>
    </row>
    <row r="2229" spans="1:13" x14ac:dyDescent="0.25">
      <c r="A2229" s="23">
        <f t="shared" si="35"/>
        <v>2228</v>
      </c>
      <c r="B2229" s="7" t="s">
        <v>5960</v>
      </c>
      <c r="C2229" s="7" t="s">
        <v>6373</v>
      </c>
      <c r="D2229" s="7" t="s">
        <v>6396</v>
      </c>
      <c r="E2229" s="7" t="s">
        <v>6397</v>
      </c>
      <c r="F2229" s="7"/>
      <c r="G2229" s="7" t="s">
        <v>63</v>
      </c>
      <c r="H2229" s="7" t="str">
        <f>IFERROR(VLOOKUP(Table2[[#This Row],[Ticket]],Okey!A:B,2,0),"")</f>
        <v>ok</v>
      </c>
      <c r="I2229" s="7" t="s">
        <v>3679</v>
      </c>
      <c r="J2229" s="7" t="str">
        <f>VLOOKUP(Table2[[#This Row],[Author]],People!A:B,2,0)</f>
        <v>MGF</v>
      </c>
      <c r="K2229" s="7"/>
      <c r="L2229" s="7"/>
      <c r="M2229" s="16" t="s">
        <v>4887</v>
      </c>
    </row>
    <row r="2230" spans="1:13" x14ac:dyDescent="0.25">
      <c r="A2230" s="22">
        <f t="shared" si="35"/>
        <v>2229</v>
      </c>
      <c r="B2230" s="6" t="s">
        <v>5960</v>
      </c>
      <c r="C2230" s="6" t="s">
        <v>6373</v>
      </c>
      <c r="D2230" s="6" t="s">
        <v>2382</v>
      </c>
      <c r="E2230" s="6" t="s">
        <v>6398</v>
      </c>
      <c r="F2230" s="6"/>
      <c r="G2230" s="6" t="s">
        <v>63</v>
      </c>
      <c r="H2230" s="6" t="str">
        <f>IFERROR(VLOOKUP(Table2[[#This Row],[Ticket]],Okey!A:B,2,0),"")</f>
        <v>ok</v>
      </c>
      <c r="I2230" s="6" t="s">
        <v>3679</v>
      </c>
      <c r="J2230" s="6" t="str">
        <f>VLOOKUP(Table2[[#This Row],[Author]],People!A:B,2,0)</f>
        <v>MGF</v>
      </c>
      <c r="K2230" s="6"/>
      <c r="L2230" s="6"/>
      <c r="M2230" s="21" t="s">
        <v>4887</v>
      </c>
    </row>
    <row r="2231" spans="1:13" x14ac:dyDescent="0.25">
      <c r="A2231" s="23">
        <f t="shared" si="35"/>
        <v>2230</v>
      </c>
      <c r="B2231" s="7" t="s">
        <v>5960</v>
      </c>
      <c r="C2231" s="7" t="s">
        <v>6373</v>
      </c>
      <c r="D2231" s="7" t="s">
        <v>2378</v>
      </c>
      <c r="E2231" s="7" t="s">
        <v>6399</v>
      </c>
      <c r="F2231" s="7"/>
      <c r="G2231" s="7" t="s">
        <v>63</v>
      </c>
      <c r="H2231" s="7" t="str">
        <f>IFERROR(VLOOKUP(Table2[[#This Row],[Ticket]],Okey!A:B,2,0),"")</f>
        <v>ok</v>
      </c>
      <c r="I2231" s="7" t="s">
        <v>3679</v>
      </c>
      <c r="J2231" s="7" t="str">
        <f>VLOOKUP(Table2[[#This Row],[Author]],People!A:B,2,0)</f>
        <v>MGF</v>
      </c>
      <c r="K2231" s="7"/>
      <c r="L2231" s="7"/>
      <c r="M2231" s="16" t="s">
        <v>4887</v>
      </c>
    </row>
    <row r="2232" spans="1:13" x14ac:dyDescent="0.25">
      <c r="A2232" s="22">
        <f t="shared" si="35"/>
        <v>2231</v>
      </c>
      <c r="B2232" s="6" t="s">
        <v>5960</v>
      </c>
      <c r="C2232" s="6" t="s">
        <v>6373</v>
      </c>
      <c r="D2232" s="6" t="s">
        <v>6400</v>
      </c>
      <c r="E2232" s="6" t="s">
        <v>6401</v>
      </c>
      <c r="F2232" s="6"/>
      <c r="G2232" s="6" t="s">
        <v>63</v>
      </c>
      <c r="H2232" s="6" t="str">
        <f>IFERROR(VLOOKUP(Table2[[#This Row],[Ticket]],Okey!A:B,2,0),"")</f>
        <v>ok</v>
      </c>
      <c r="I2232" s="6" t="s">
        <v>3679</v>
      </c>
      <c r="J2232" s="6" t="str">
        <f>VLOOKUP(Table2[[#This Row],[Author]],People!A:B,2,0)</f>
        <v>MGF</v>
      </c>
      <c r="K2232" s="6"/>
      <c r="L2232" s="6"/>
      <c r="M2232" s="21" t="s">
        <v>4887</v>
      </c>
    </row>
    <row r="2233" spans="1:13" x14ac:dyDescent="0.25">
      <c r="A2233" s="23">
        <f t="shared" si="35"/>
        <v>2232</v>
      </c>
      <c r="B2233" s="7" t="s">
        <v>5960</v>
      </c>
      <c r="C2233" s="7" t="s">
        <v>6373</v>
      </c>
      <c r="D2233" s="7" t="s">
        <v>2380</v>
      </c>
      <c r="E2233" s="7" t="s">
        <v>6402</v>
      </c>
      <c r="F2233" s="7"/>
      <c r="G2233" s="7" t="s">
        <v>63</v>
      </c>
      <c r="H2233" s="7" t="str">
        <f>IFERROR(VLOOKUP(Table2[[#This Row],[Ticket]],Okey!A:B,2,0),"")</f>
        <v>ok</v>
      </c>
      <c r="I2233" s="7" t="s">
        <v>3679</v>
      </c>
      <c r="J2233" s="7" t="str">
        <f>VLOOKUP(Table2[[#This Row],[Author]],People!A:B,2,0)</f>
        <v>MGF</v>
      </c>
      <c r="K2233" s="7"/>
      <c r="L2233" s="7"/>
      <c r="M2233" s="16" t="s">
        <v>4887</v>
      </c>
    </row>
    <row r="2234" spans="1:13" x14ac:dyDescent="0.25">
      <c r="A2234" s="22">
        <f t="shared" si="35"/>
        <v>2233</v>
      </c>
      <c r="B2234" s="6" t="s">
        <v>5960</v>
      </c>
      <c r="C2234" s="6" t="s">
        <v>6373</v>
      </c>
      <c r="D2234" s="6" t="s">
        <v>6403</v>
      </c>
      <c r="E2234" s="6" t="s">
        <v>6404</v>
      </c>
      <c r="F2234" s="6"/>
      <c r="G2234" s="6" t="s">
        <v>63</v>
      </c>
      <c r="H2234" s="6" t="str">
        <f>IFERROR(VLOOKUP(Table2[[#This Row],[Ticket]],Okey!A:B,2,0),"")</f>
        <v>ok</v>
      </c>
      <c r="I2234" s="6" t="s">
        <v>3679</v>
      </c>
      <c r="J2234" s="6" t="str">
        <f>VLOOKUP(Table2[[#This Row],[Author]],People!A:B,2,0)</f>
        <v>MGF</v>
      </c>
      <c r="K2234" s="6"/>
      <c r="L2234" s="6"/>
      <c r="M2234" s="21" t="s">
        <v>4887</v>
      </c>
    </row>
    <row r="2235" spans="1:13" x14ac:dyDescent="0.25">
      <c r="A2235" s="23">
        <f t="shared" si="35"/>
        <v>2234</v>
      </c>
      <c r="B2235" s="7" t="s">
        <v>5960</v>
      </c>
      <c r="C2235" s="7" t="s">
        <v>6373</v>
      </c>
      <c r="D2235" s="7" t="s">
        <v>2387</v>
      </c>
      <c r="E2235" s="7" t="s">
        <v>6398</v>
      </c>
      <c r="F2235" s="7"/>
      <c r="G2235" s="7" t="s">
        <v>63</v>
      </c>
      <c r="H2235" s="7" t="str">
        <f>IFERROR(VLOOKUP(Table2[[#This Row],[Ticket]],Okey!A:B,2,0),"")</f>
        <v>ok</v>
      </c>
      <c r="I2235" s="7" t="s">
        <v>3679</v>
      </c>
      <c r="J2235" s="7" t="str">
        <f>VLOOKUP(Table2[[#This Row],[Author]],People!A:B,2,0)</f>
        <v>MGF</v>
      </c>
      <c r="K2235" s="7"/>
      <c r="L2235" s="7"/>
      <c r="M2235" s="16" t="s">
        <v>4887</v>
      </c>
    </row>
    <row r="2236" spans="1:13" x14ac:dyDescent="0.25">
      <c r="A2236" s="22">
        <f t="shared" si="35"/>
        <v>2235</v>
      </c>
      <c r="B2236" s="6" t="s">
        <v>5960</v>
      </c>
      <c r="C2236" s="6" t="s">
        <v>6373</v>
      </c>
      <c r="D2236" s="6" t="s">
        <v>6405</v>
      </c>
      <c r="E2236" s="6" t="s">
        <v>6399</v>
      </c>
      <c r="F2236" s="6"/>
      <c r="G2236" s="6" t="s">
        <v>63</v>
      </c>
      <c r="H2236" s="6" t="str">
        <f>IFERROR(VLOOKUP(Table2[[#This Row],[Ticket]],Okey!A:B,2,0),"")</f>
        <v>ok</v>
      </c>
      <c r="I2236" s="6" t="s">
        <v>3679</v>
      </c>
      <c r="J2236" s="6" t="str">
        <f>VLOOKUP(Table2[[#This Row],[Author]],People!A:B,2,0)</f>
        <v>MGF</v>
      </c>
      <c r="K2236" s="6"/>
      <c r="L2236" s="6"/>
      <c r="M2236" s="21" t="s">
        <v>4887</v>
      </c>
    </row>
    <row r="2237" spans="1:13" x14ac:dyDescent="0.25">
      <c r="A2237" s="23">
        <f t="shared" si="35"/>
        <v>2236</v>
      </c>
      <c r="B2237" s="7" t="s">
        <v>5960</v>
      </c>
      <c r="C2237" s="7" t="s">
        <v>6373</v>
      </c>
      <c r="D2237" s="7" t="s">
        <v>6406</v>
      </c>
      <c r="E2237" s="7" t="s">
        <v>6401</v>
      </c>
      <c r="F2237" s="7"/>
      <c r="G2237" s="7" t="s">
        <v>63</v>
      </c>
      <c r="H2237" s="7" t="str">
        <f>IFERROR(VLOOKUP(Table2[[#This Row],[Ticket]],Okey!A:B,2,0),"")</f>
        <v>ok</v>
      </c>
      <c r="I2237" s="7" t="s">
        <v>3679</v>
      </c>
      <c r="J2237" s="7" t="str">
        <f>VLOOKUP(Table2[[#This Row],[Author]],People!A:B,2,0)</f>
        <v>MGF</v>
      </c>
      <c r="K2237" s="7"/>
      <c r="L2237" s="7"/>
      <c r="M2237" s="16" t="s">
        <v>4887</v>
      </c>
    </row>
    <row r="2238" spans="1:13" x14ac:dyDescent="0.25">
      <c r="A2238" s="22">
        <f t="shared" si="35"/>
        <v>2237</v>
      </c>
      <c r="B2238" s="6" t="s">
        <v>5960</v>
      </c>
      <c r="C2238" s="6" t="s">
        <v>6373</v>
      </c>
      <c r="D2238" s="6" t="s">
        <v>6407</v>
      </c>
      <c r="E2238" s="6" t="s">
        <v>6402</v>
      </c>
      <c r="F2238" s="6"/>
      <c r="G2238" s="6" t="s">
        <v>63</v>
      </c>
      <c r="H2238" s="6" t="str">
        <f>IFERROR(VLOOKUP(Table2[[#This Row],[Ticket]],Okey!A:B,2,0),"")</f>
        <v>ok</v>
      </c>
      <c r="I2238" s="6" t="s">
        <v>3679</v>
      </c>
      <c r="J2238" s="6" t="str">
        <f>VLOOKUP(Table2[[#This Row],[Author]],People!A:B,2,0)</f>
        <v>MGF</v>
      </c>
      <c r="K2238" s="6"/>
      <c r="L2238" s="6"/>
      <c r="M2238" s="21" t="s">
        <v>4887</v>
      </c>
    </row>
    <row r="2239" spans="1:13" x14ac:dyDescent="0.25">
      <c r="A2239" s="23">
        <f t="shared" si="35"/>
        <v>2238</v>
      </c>
      <c r="B2239" s="7" t="s">
        <v>5960</v>
      </c>
      <c r="C2239" s="7" t="s">
        <v>6373</v>
      </c>
      <c r="D2239" s="7" t="s">
        <v>6408</v>
      </c>
      <c r="E2239" s="7" t="s">
        <v>6404</v>
      </c>
      <c r="F2239" s="7"/>
      <c r="G2239" s="7" t="s">
        <v>63</v>
      </c>
      <c r="H2239" s="7" t="str">
        <f>IFERROR(VLOOKUP(Table2[[#This Row],[Ticket]],Okey!A:B,2,0),"")</f>
        <v>ok</v>
      </c>
      <c r="I2239" s="7" t="s">
        <v>3679</v>
      </c>
      <c r="J2239" s="7" t="str">
        <f>VLOOKUP(Table2[[#This Row],[Author]],People!A:B,2,0)</f>
        <v>MGF</v>
      </c>
      <c r="K2239" s="7"/>
      <c r="L2239" s="7"/>
      <c r="M2239" s="16" t="s">
        <v>4887</v>
      </c>
    </row>
    <row r="2240" spans="1:13" x14ac:dyDescent="0.25">
      <c r="A2240" s="22">
        <f t="shared" si="35"/>
        <v>2239</v>
      </c>
      <c r="B2240" s="6" t="s">
        <v>5960</v>
      </c>
      <c r="C2240" s="6" t="s">
        <v>6373</v>
      </c>
      <c r="D2240" s="6" t="s">
        <v>2388</v>
      </c>
      <c r="E2240" s="6" t="s">
        <v>6398</v>
      </c>
      <c r="F2240" s="6"/>
      <c r="G2240" s="6" t="s">
        <v>63</v>
      </c>
      <c r="H2240" s="6" t="str">
        <f>IFERROR(VLOOKUP(Table2[[#This Row],[Ticket]],Okey!A:B,2,0),"")</f>
        <v>ok</v>
      </c>
      <c r="I2240" s="6" t="s">
        <v>3679</v>
      </c>
      <c r="J2240" s="6" t="str">
        <f>VLOOKUP(Table2[[#This Row],[Author]],People!A:B,2,0)</f>
        <v>MGF</v>
      </c>
      <c r="K2240" s="6"/>
      <c r="L2240" s="6"/>
      <c r="M2240" s="21" t="s">
        <v>4887</v>
      </c>
    </row>
    <row r="2241" spans="1:13" x14ac:dyDescent="0.25">
      <c r="A2241" s="23">
        <f t="shared" si="35"/>
        <v>2240</v>
      </c>
      <c r="B2241" s="7" t="s">
        <v>5960</v>
      </c>
      <c r="C2241" s="7" t="s">
        <v>6373</v>
      </c>
      <c r="D2241" s="7" t="s">
        <v>6409</v>
      </c>
      <c r="E2241" s="7" t="s">
        <v>6388</v>
      </c>
      <c r="F2241" s="7"/>
      <c r="G2241" s="7" t="s">
        <v>63</v>
      </c>
      <c r="H2241" s="7" t="str">
        <f>IFERROR(VLOOKUP(Table2[[#This Row],[Ticket]],Okey!A:B,2,0),"")</f>
        <v>ok</v>
      </c>
      <c r="I2241" s="7" t="s">
        <v>3679</v>
      </c>
      <c r="J2241" s="7" t="str">
        <f>VLOOKUP(Table2[[#This Row],[Author]],People!A:B,2,0)</f>
        <v>MGF</v>
      </c>
      <c r="K2241" s="7"/>
      <c r="L2241" s="7"/>
      <c r="M2241" s="16" t="s">
        <v>4887</v>
      </c>
    </row>
    <row r="2242" spans="1:13" x14ac:dyDescent="0.25">
      <c r="A2242" s="22">
        <f t="shared" si="35"/>
        <v>2241</v>
      </c>
      <c r="B2242" s="6" t="s">
        <v>5960</v>
      </c>
      <c r="C2242" s="6" t="s">
        <v>6373</v>
      </c>
      <c r="D2242" s="6" t="s">
        <v>6410</v>
      </c>
      <c r="E2242" s="6" t="s">
        <v>6401</v>
      </c>
      <c r="F2242" s="6"/>
      <c r="G2242" s="6" t="s">
        <v>63</v>
      </c>
      <c r="H2242" s="6" t="str">
        <f>IFERROR(VLOOKUP(Table2[[#This Row],[Ticket]],Okey!A:B,2,0),"")</f>
        <v>ok</v>
      </c>
      <c r="I2242" s="6" t="s">
        <v>3679</v>
      </c>
      <c r="J2242" s="6" t="str">
        <f>VLOOKUP(Table2[[#This Row],[Author]],People!A:B,2,0)</f>
        <v>MGF</v>
      </c>
      <c r="K2242" s="6"/>
      <c r="L2242" s="6"/>
      <c r="M2242" s="21" t="s">
        <v>4887</v>
      </c>
    </row>
    <row r="2243" spans="1:13" x14ac:dyDescent="0.25">
      <c r="A2243" s="23">
        <f t="shared" si="35"/>
        <v>2242</v>
      </c>
      <c r="B2243" s="7" t="s">
        <v>5960</v>
      </c>
      <c r="C2243" s="7" t="s">
        <v>6373</v>
      </c>
      <c r="D2243" s="7" t="s">
        <v>6411</v>
      </c>
      <c r="E2243" s="7" t="s">
        <v>6401</v>
      </c>
      <c r="F2243" s="7"/>
      <c r="G2243" s="7" t="s">
        <v>63</v>
      </c>
      <c r="H2243" s="7" t="str">
        <f>IFERROR(VLOOKUP(Table2[[#This Row],[Ticket]],Okey!A:B,2,0),"")</f>
        <v>ok</v>
      </c>
      <c r="I2243" s="7" t="s">
        <v>3679</v>
      </c>
      <c r="J2243" s="7" t="str">
        <f>VLOOKUP(Table2[[#This Row],[Author]],People!A:B,2,0)</f>
        <v>MGF</v>
      </c>
      <c r="K2243" s="7"/>
      <c r="L2243" s="7"/>
      <c r="M2243" s="16" t="s">
        <v>4887</v>
      </c>
    </row>
    <row r="2244" spans="1:13" x14ac:dyDescent="0.25">
      <c r="A2244" s="22">
        <f t="shared" si="35"/>
        <v>2243</v>
      </c>
      <c r="B2244" s="6" t="s">
        <v>5960</v>
      </c>
      <c r="C2244" s="6" t="s">
        <v>6373</v>
      </c>
      <c r="D2244" s="6" t="s">
        <v>6412</v>
      </c>
      <c r="E2244" s="6" t="s">
        <v>6388</v>
      </c>
      <c r="F2244" s="6"/>
      <c r="G2244" s="6" t="s">
        <v>63</v>
      </c>
      <c r="H2244" s="6" t="str">
        <f>IFERROR(VLOOKUP(Table2[[#This Row],[Ticket]],Okey!A:B,2,0),"")</f>
        <v>ok</v>
      </c>
      <c r="I2244" s="6" t="s">
        <v>3679</v>
      </c>
      <c r="J2244" s="6" t="str">
        <f>VLOOKUP(Table2[[#This Row],[Author]],People!A:B,2,0)</f>
        <v>MGF</v>
      </c>
      <c r="K2244" s="6"/>
      <c r="L2244" s="6"/>
      <c r="M2244" s="21" t="s">
        <v>4887</v>
      </c>
    </row>
    <row r="2245" spans="1:13" x14ac:dyDescent="0.25">
      <c r="A2245" s="23">
        <f t="shared" si="35"/>
        <v>2244</v>
      </c>
      <c r="B2245" s="7" t="s">
        <v>5960</v>
      </c>
      <c r="C2245" s="7" t="s">
        <v>6373</v>
      </c>
      <c r="D2245" s="7" t="s">
        <v>2389</v>
      </c>
      <c r="E2245" s="7" t="s">
        <v>6398</v>
      </c>
      <c r="F2245" s="7"/>
      <c r="G2245" s="7" t="s">
        <v>63</v>
      </c>
      <c r="H2245" s="7" t="str">
        <f>IFERROR(VLOOKUP(Table2[[#This Row],[Ticket]],Okey!A:B,2,0),"")</f>
        <v>ok</v>
      </c>
      <c r="I2245" s="7" t="s">
        <v>3679</v>
      </c>
      <c r="J2245" s="7" t="str">
        <f>VLOOKUP(Table2[[#This Row],[Author]],People!A:B,2,0)</f>
        <v>MGF</v>
      </c>
      <c r="K2245" s="7"/>
      <c r="L2245" s="7"/>
      <c r="M2245" s="16" t="s">
        <v>4887</v>
      </c>
    </row>
    <row r="2246" spans="1:13" x14ac:dyDescent="0.25">
      <c r="A2246" s="22">
        <f t="shared" si="35"/>
        <v>2245</v>
      </c>
      <c r="B2246" s="6" t="s">
        <v>5960</v>
      </c>
      <c r="C2246" s="6" t="s">
        <v>6373</v>
      </c>
      <c r="D2246" s="6" t="s">
        <v>6413</v>
      </c>
      <c r="E2246" s="6" t="s">
        <v>6401</v>
      </c>
      <c r="F2246" s="6"/>
      <c r="G2246" s="6" t="s">
        <v>63</v>
      </c>
      <c r="H2246" s="6" t="str">
        <f>IFERROR(VLOOKUP(Table2[[#This Row],[Ticket]],Okey!A:B,2,0),"")</f>
        <v>ok</v>
      </c>
      <c r="I2246" s="6" t="s">
        <v>3679</v>
      </c>
      <c r="J2246" s="6" t="str">
        <f>VLOOKUP(Table2[[#This Row],[Author]],People!A:B,2,0)</f>
        <v>MGF</v>
      </c>
      <c r="K2246" s="6"/>
      <c r="L2246" s="6"/>
      <c r="M2246" s="21" t="s">
        <v>4887</v>
      </c>
    </row>
    <row r="2247" spans="1:13" x14ac:dyDescent="0.25">
      <c r="A2247" s="23">
        <f t="shared" si="35"/>
        <v>2246</v>
      </c>
      <c r="B2247" s="7" t="s">
        <v>5960</v>
      </c>
      <c r="C2247" s="7" t="s">
        <v>6373</v>
      </c>
      <c r="D2247" s="7" t="s">
        <v>6414</v>
      </c>
      <c r="E2247" s="7" t="s">
        <v>6388</v>
      </c>
      <c r="F2247" s="7"/>
      <c r="G2247" s="7" t="s">
        <v>63</v>
      </c>
      <c r="H2247" s="7" t="str">
        <f>IFERROR(VLOOKUP(Table2[[#This Row],[Ticket]],Okey!A:B,2,0),"")</f>
        <v>ok</v>
      </c>
      <c r="I2247" s="7" t="s">
        <v>3679</v>
      </c>
      <c r="J2247" s="7" t="str">
        <f>VLOOKUP(Table2[[#This Row],[Author]],People!A:B,2,0)</f>
        <v>MGF</v>
      </c>
      <c r="K2247" s="7"/>
      <c r="L2247" s="7"/>
      <c r="M2247" s="16" t="s">
        <v>4887</v>
      </c>
    </row>
    <row r="2248" spans="1:13" x14ac:dyDescent="0.25">
      <c r="A2248" s="22">
        <f t="shared" si="35"/>
        <v>2247</v>
      </c>
      <c r="B2248" s="6" t="s">
        <v>5960</v>
      </c>
      <c r="C2248" s="6" t="s">
        <v>6373</v>
      </c>
      <c r="D2248" s="6" t="s">
        <v>2390</v>
      </c>
      <c r="E2248" s="6" t="s">
        <v>6398</v>
      </c>
      <c r="F2248" s="6"/>
      <c r="G2248" s="6" t="s">
        <v>63</v>
      </c>
      <c r="H2248" s="6" t="str">
        <f>IFERROR(VLOOKUP(Table2[[#This Row],[Ticket]],Okey!A:B,2,0),"")</f>
        <v>ok</v>
      </c>
      <c r="I2248" s="6" t="s">
        <v>3679</v>
      </c>
      <c r="J2248" s="6" t="str">
        <f>VLOOKUP(Table2[[#This Row],[Author]],People!A:B,2,0)</f>
        <v>MGF</v>
      </c>
      <c r="K2248" s="6"/>
      <c r="L2248" s="6"/>
      <c r="M2248" s="21" t="s">
        <v>4887</v>
      </c>
    </row>
    <row r="2249" spans="1:13" x14ac:dyDescent="0.25">
      <c r="A2249" s="23">
        <f t="shared" si="35"/>
        <v>2248</v>
      </c>
      <c r="B2249" s="7" t="s">
        <v>5960</v>
      </c>
      <c r="C2249" s="7" t="s">
        <v>6373</v>
      </c>
      <c r="D2249" s="7" t="s">
        <v>6415</v>
      </c>
      <c r="E2249" s="7" t="s">
        <v>6401</v>
      </c>
      <c r="F2249" s="7"/>
      <c r="G2249" s="7" t="s">
        <v>63</v>
      </c>
      <c r="H2249" s="7" t="str">
        <f>IFERROR(VLOOKUP(Table2[[#This Row],[Ticket]],Okey!A:B,2,0),"")</f>
        <v>ok</v>
      </c>
      <c r="I2249" s="7" t="s">
        <v>3679</v>
      </c>
      <c r="J2249" s="7" t="str">
        <f>VLOOKUP(Table2[[#This Row],[Author]],People!A:B,2,0)</f>
        <v>MGF</v>
      </c>
      <c r="K2249" s="7"/>
      <c r="L2249" s="7"/>
      <c r="M2249" s="16" t="s">
        <v>4887</v>
      </c>
    </row>
    <row r="2250" spans="1:13" x14ac:dyDescent="0.25">
      <c r="A2250" s="22">
        <f t="shared" si="35"/>
        <v>2249</v>
      </c>
      <c r="B2250" s="6" t="s">
        <v>5960</v>
      </c>
      <c r="C2250" s="6" t="s">
        <v>6373</v>
      </c>
      <c r="D2250" s="6" t="s">
        <v>6416</v>
      </c>
      <c r="E2250" s="6" t="s">
        <v>6388</v>
      </c>
      <c r="F2250" s="6"/>
      <c r="G2250" s="6" t="s">
        <v>63</v>
      </c>
      <c r="H2250" s="6" t="str">
        <f>IFERROR(VLOOKUP(Table2[[#This Row],[Ticket]],Okey!A:B,2,0),"")</f>
        <v>ok</v>
      </c>
      <c r="I2250" s="6" t="s">
        <v>3679</v>
      </c>
      <c r="J2250" s="6" t="str">
        <f>VLOOKUP(Table2[[#This Row],[Author]],People!A:B,2,0)</f>
        <v>MGF</v>
      </c>
      <c r="K2250" s="6"/>
      <c r="L2250" s="6"/>
      <c r="M2250" s="21" t="s">
        <v>4887</v>
      </c>
    </row>
    <row r="2251" spans="1:13" x14ac:dyDescent="0.25">
      <c r="A2251" s="23">
        <f t="shared" si="35"/>
        <v>2250</v>
      </c>
      <c r="B2251" s="7" t="s">
        <v>5960</v>
      </c>
      <c r="C2251" s="7" t="s">
        <v>6373</v>
      </c>
      <c r="D2251" s="7" t="s">
        <v>2391</v>
      </c>
      <c r="E2251" s="7" t="s">
        <v>6398</v>
      </c>
      <c r="F2251" s="7"/>
      <c r="G2251" s="7" t="s">
        <v>63</v>
      </c>
      <c r="H2251" s="7" t="str">
        <f>IFERROR(VLOOKUP(Table2[[#This Row],[Ticket]],Okey!A:B,2,0),"")</f>
        <v>ok</v>
      </c>
      <c r="I2251" s="7" t="s">
        <v>3679</v>
      </c>
      <c r="J2251" s="7" t="str">
        <f>VLOOKUP(Table2[[#This Row],[Author]],People!A:B,2,0)</f>
        <v>MGF</v>
      </c>
      <c r="K2251" s="7"/>
      <c r="L2251" s="7"/>
      <c r="M2251" s="16" t="s">
        <v>4887</v>
      </c>
    </row>
    <row r="2252" spans="1:13" x14ac:dyDescent="0.25">
      <c r="A2252" s="22">
        <f t="shared" si="35"/>
        <v>2251</v>
      </c>
      <c r="B2252" s="6" t="s">
        <v>5960</v>
      </c>
      <c r="C2252" s="6" t="s">
        <v>6373</v>
      </c>
      <c r="D2252" s="6" t="s">
        <v>6417</v>
      </c>
      <c r="E2252" s="6" t="s">
        <v>6418</v>
      </c>
      <c r="F2252" s="6"/>
      <c r="G2252" s="6" t="s">
        <v>63</v>
      </c>
      <c r="H2252" s="6" t="str">
        <f>IFERROR(VLOOKUP(Table2[[#This Row],[Ticket]],Okey!A:B,2,0),"")</f>
        <v>ok</v>
      </c>
      <c r="I2252" s="6" t="s">
        <v>3679</v>
      </c>
      <c r="J2252" s="6" t="str">
        <f>VLOOKUP(Table2[[#This Row],[Author]],People!A:B,2,0)</f>
        <v>MGF</v>
      </c>
      <c r="K2252" s="6"/>
      <c r="L2252" s="6"/>
      <c r="M2252" s="21" t="s">
        <v>4887</v>
      </c>
    </row>
    <row r="2253" spans="1:13" x14ac:dyDescent="0.25">
      <c r="A2253" s="23">
        <f t="shared" si="35"/>
        <v>2252</v>
      </c>
      <c r="B2253" s="7" t="s">
        <v>5960</v>
      </c>
      <c r="C2253" s="7" t="s">
        <v>6373</v>
      </c>
      <c r="D2253" s="7" t="s">
        <v>6419</v>
      </c>
      <c r="E2253" s="7" t="s">
        <v>6418</v>
      </c>
      <c r="F2253" s="7"/>
      <c r="G2253" s="7" t="s">
        <v>63</v>
      </c>
      <c r="H2253" s="7" t="str">
        <f>IFERROR(VLOOKUP(Table2[[#This Row],[Ticket]],Okey!A:B,2,0),"")</f>
        <v>ok</v>
      </c>
      <c r="I2253" s="7" t="s">
        <v>3679</v>
      </c>
      <c r="J2253" s="7" t="str">
        <f>VLOOKUP(Table2[[#This Row],[Author]],People!A:B,2,0)</f>
        <v>MGF</v>
      </c>
      <c r="K2253" s="7"/>
      <c r="L2253" s="7"/>
      <c r="M2253" s="16" t="s">
        <v>4887</v>
      </c>
    </row>
    <row r="2254" spans="1:13" x14ac:dyDescent="0.25">
      <c r="A2254" s="22">
        <f t="shared" si="35"/>
        <v>2253</v>
      </c>
      <c r="B2254" s="6" t="s">
        <v>5960</v>
      </c>
      <c r="C2254" s="6" t="s">
        <v>6373</v>
      </c>
      <c r="D2254" s="6" t="s">
        <v>6420</v>
      </c>
      <c r="E2254" s="6" t="s">
        <v>6418</v>
      </c>
      <c r="F2254" s="6"/>
      <c r="G2254" s="6" t="s">
        <v>63</v>
      </c>
      <c r="H2254" s="6" t="str">
        <f>IFERROR(VLOOKUP(Table2[[#This Row],[Ticket]],Okey!A:B,2,0),"")</f>
        <v>ok</v>
      </c>
      <c r="I2254" s="6" t="s">
        <v>3679</v>
      </c>
      <c r="J2254" s="6" t="str">
        <f>VLOOKUP(Table2[[#This Row],[Author]],People!A:B,2,0)</f>
        <v>HC</v>
      </c>
      <c r="K2254" s="6"/>
      <c r="L2254" s="6"/>
      <c r="M2254" s="21" t="s">
        <v>4887</v>
      </c>
    </row>
    <row r="2255" spans="1:13" x14ac:dyDescent="0.25">
      <c r="A2255" s="23">
        <f t="shared" si="35"/>
        <v>2254</v>
      </c>
      <c r="B2255" s="7" t="s">
        <v>5960</v>
      </c>
      <c r="C2255" s="7" t="s">
        <v>6421</v>
      </c>
      <c r="D2255" s="7" t="s">
        <v>316</v>
      </c>
      <c r="E2255" s="7" t="s">
        <v>6422</v>
      </c>
      <c r="F2255" s="7" t="s">
        <v>2404</v>
      </c>
      <c r="G2255" s="7" t="s">
        <v>18</v>
      </c>
      <c r="H2255" s="7" t="str">
        <f>IFERROR(VLOOKUP(Table2[[#This Row],[Ticket]],Okey!A:B,2,0),"")</f>
        <v>ok</v>
      </c>
      <c r="I2255" s="7" t="s">
        <v>3679</v>
      </c>
      <c r="J2255" s="7" t="str">
        <f>VLOOKUP(Table2[[#This Row],[Author]],People!A:B,2,0)</f>
        <v>LS</v>
      </c>
      <c r="K2255" s="7" t="s">
        <v>5965</v>
      </c>
      <c r="L2255" s="7"/>
      <c r="M2255" s="16" t="s">
        <v>40</v>
      </c>
    </row>
    <row r="2256" spans="1:13" x14ac:dyDescent="0.25">
      <c r="A2256" s="22">
        <f t="shared" si="35"/>
        <v>2255</v>
      </c>
      <c r="B2256" s="6" t="s">
        <v>5960</v>
      </c>
      <c r="C2256" s="6" t="s">
        <v>6421</v>
      </c>
      <c r="D2256" s="6" t="s">
        <v>257</v>
      </c>
      <c r="E2256" s="6" t="s">
        <v>6423</v>
      </c>
      <c r="F2256" s="6" t="s">
        <v>246</v>
      </c>
      <c r="G2256" s="6" t="s">
        <v>18</v>
      </c>
      <c r="H2256" s="6" t="str">
        <f>IFERROR(VLOOKUP(Table2[[#This Row],[Ticket]],Okey!A:B,2,0),"")</f>
        <v>ok</v>
      </c>
      <c r="I2256" s="6" t="s">
        <v>3679</v>
      </c>
      <c r="J2256" s="6" t="str">
        <f>VLOOKUP(Table2[[#This Row],[Author]],People!A:B,2,0)</f>
        <v>LS</v>
      </c>
      <c r="K2256" s="6" t="s">
        <v>5965</v>
      </c>
      <c r="L2256" s="6"/>
      <c r="M2256" s="21" t="s">
        <v>40</v>
      </c>
    </row>
    <row r="2257" spans="1:13" x14ac:dyDescent="0.25">
      <c r="A2257" s="23">
        <f t="shared" si="35"/>
        <v>2256</v>
      </c>
      <c r="B2257" s="7" t="s">
        <v>5960</v>
      </c>
      <c r="C2257" s="7" t="s">
        <v>6421</v>
      </c>
      <c r="D2257" s="7" t="s">
        <v>258</v>
      </c>
      <c r="E2257" s="7" t="s">
        <v>6424</v>
      </c>
      <c r="F2257" s="7" t="s">
        <v>246</v>
      </c>
      <c r="G2257" s="7" t="s">
        <v>18</v>
      </c>
      <c r="H2257" s="7" t="str">
        <f>IFERROR(VLOOKUP(Table2[[#This Row],[Ticket]],Okey!A:B,2,0),"")</f>
        <v>ok</v>
      </c>
      <c r="I2257" s="7" t="s">
        <v>3679</v>
      </c>
      <c r="J2257" s="7" t="str">
        <f>VLOOKUP(Table2[[#This Row],[Author]],People!A:B,2,0)</f>
        <v>LS</v>
      </c>
      <c r="K2257" s="7" t="s">
        <v>5965</v>
      </c>
      <c r="L2257" s="7"/>
      <c r="M2257" s="16" t="s">
        <v>40</v>
      </c>
    </row>
    <row r="2258" spans="1:13" x14ac:dyDescent="0.25">
      <c r="A2258" s="22">
        <f t="shared" si="35"/>
        <v>2257</v>
      </c>
      <c r="B2258" s="6" t="s">
        <v>5960</v>
      </c>
      <c r="C2258" s="6" t="s">
        <v>6421</v>
      </c>
      <c r="D2258" s="6" t="s">
        <v>88</v>
      </c>
      <c r="E2258" s="6" t="s">
        <v>6423</v>
      </c>
      <c r="F2258" s="6" t="s">
        <v>257</v>
      </c>
      <c r="G2258" s="6" t="s">
        <v>18</v>
      </c>
      <c r="H2258" s="6" t="str">
        <f>IFERROR(VLOOKUP(Table2[[#This Row],[Ticket]],Okey!A:B,2,0),"")</f>
        <v>ok</v>
      </c>
      <c r="I2258" s="6" t="s">
        <v>3679</v>
      </c>
      <c r="J2258" s="6" t="str">
        <f>VLOOKUP(Table2[[#This Row],[Author]],People!A:B,2,0)</f>
        <v>LS</v>
      </c>
      <c r="K2258" s="6" t="s">
        <v>5965</v>
      </c>
      <c r="L2258" s="6"/>
      <c r="M2258" s="21" t="s">
        <v>40</v>
      </c>
    </row>
    <row r="2259" spans="1:13" x14ac:dyDescent="0.25">
      <c r="A2259" s="23">
        <f t="shared" si="35"/>
        <v>2258</v>
      </c>
      <c r="B2259" s="7" t="s">
        <v>5960</v>
      </c>
      <c r="C2259" s="7" t="s">
        <v>6421</v>
      </c>
      <c r="D2259" s="7" t="s">
        <v>90</v>
      </c>
      <c r="E2259" s="7" t="s">
        <v>6424</v>
      </c>
      <c r="F2259" s="7" t="s">
        <v>258</v>
      </c>
      <c r="G2259" s="7" t="s">
        <v>18</v>
      </c>
      <c r="H2259" s="7" t="str">
        <f>IFERROR(VLOOKUP(Table2[[#This Row],[Ticket]],Okey!A:B,2,0),"")</f>
        <v>ok</v>
      </c>
      <c r="I2259" s="7" t="s">
        <v>3679</v>
      </c>
      <c r="J2259" s="7" t="str">
        <f>VLOOKUP(Table2[[#This Row],[Author]],People!A:B,2,0)</f>
        <v>LS</v>
      </c>
      <c r="K2259" s="7" t="s">
        <v>5965</v>
      </c>
      <c r="L2259" s="7"/>
      <c r="M2259" s="16" t="s">
        <v>40</v>
      </c>
    </row>
    <row r="2260" spans="1:13" x14ac:dyDescent="0.25">
      <c r="A2260" s="22">
        <f t="shared" si="35"/>
        <v>2259</v>
      </c>
      <c r="B2260" s="6" t="s">
        <v>5960</v>
      </c>
      <c r="C2260" s="6" t="s">
        <v>6421</v>
      </c>
      <c r="D2260" s="6" t="s">
        <v>317</v>
      </c>
      <c r="E2260" s="6" t="s">
        <v>6425</v>
      </c>
      <c r="F2260" s="6" t="s">
        <v>316</v>
      </c>
      <c r="G2260" s="6" t="s">
        <v>18</v>
      </c>
      <c r="H2260" s="6" t="str">
        <f>IFERROR(VLOOKUP(Table2[[#This Row],[Ticket]],Okey!A:B,2,0),"")</f>
        <v>ok</v>
      </c>
      <c r="I2260" s="6" t="s">
        <v>3679</v>
      </c>
      <c r="J2260" s="6" t="str">
        <f>VLOOKUP(Table2[[#This Row],[Author]],People!A:B,2,0)</f>
        <v>LS</v>
      </c>
      <c r="K2260" s="6" t="s">
        <v>5965</v>
      </c>
      <c r="L2260" s="6"/>
      <c r="M2260" s="21" t="s">
        <v>40</v>
      </c>
    </row>
    <row r="2261" spans="1:13" x14ac:dyDescent="0.25">
      <c r="A2261" s="23">
        <f t="shared" si="35"/>
        <v>2260</v>
      </c>
      <c r="B2261" s="7" t="s">
        <v>5960</v>
      </c>
      <c r="C2261" s="7" t="s">
        <v>6421</v>
      </c>
      <c r="D2261" s="7" t="s">
        <v>212</v>
      </c>
      <c r="E2261" s="7" t="s">
        <v>6422</v>
      </c>
      <c r="F2261" s="7" t="s">
        <v>316</v>
      </c>
      <c r="G2261" s="7" t="s">
        <v>18</v>
      </c>
      <c r="H2261" s="7" t="str">
        <f>IFERROR(VLOOKUP(Table2[[#This Row],[Ticket]],Okey!A:B,2,0),"")</f>
        <v>ok</v>
      </c>
      <c r="I2261" s="7" t="s">
        <v>3679</v>
      </c>
      <c r="J2261" s="7" t="str">
        <f>VLOOKUP(Table2[[#This Row],[Author]],People!A:B,2,0)</f>
        <v>LS</v>
      </c>
      <c r="K2261" s="7" t="s">
        <v>5965</v>
      </c>
      <c r="L2261" s="7"/>
      <c r="M2261" s="16" t="s">
        <v>40</v>
      </c>
    </row>
    <row r="2262" spans="1:13" x14ac:dyDescent="0.25">
      <c r="A2262" s="22">
        <f t="shared" si="35"/>
        <v>2261</v>
      </c>
      <c r="B2262" s="6" t="s">
        <v>5960</v>
      </c>
      <c r="C2262" s="6" t="s">
        <v>6421</v>
      </c>
      <c r="D2262" s="6" t="s">
        <v>318</v>
      </c>
      <c r="E2262" s="6" t="s">
        <v>6426</v>
      </c>
      <c r="F2262" s="6" t="s">
        <v>317</v>
      </c>
      <c r="G2262" s="6" t="s">
        <v>18</v>
      </c>
      <c r="H2262" s="6" t="str">
        <f>IFERROR(VLOOKUP(Table2[[#This Row],[Ticket]],Okey!A:B,2,0),"")</f>
        <v>ok</v>
      </c>
      <c r="I2262" s="6" t="s">
        <v>3679</v>
      </c>
      <c r="J2262" s="6" t="str">
        <f>VLOOKUP(Table2[[#This Row],[Author]],People!A:B,2,0)</f>
        <v>LS</v>
      </c>
      <c r="K2262" s="6" t="s">
        <v>5965</v>
      </c>
      <c r="L2262" s="6"/>
      <c r="M2262" s="21" t="s">
        <v>40</v>
      </c>
    </row>
    <row r="2263" spans="1:13" x14ac:dyDescent="0.25">
      <c r="A2263" s="23">
        <f t="shared" si="35"/>
        <v>2262</v>
      </c>
      <c r="B2263" s="7" t="s">
        <v>5960</v>
      </c>
      <c r="C2263" s="7" t="s">
        <v>6421</v>
      </c>
      <c r="D2263" s="7" t="s">
        <v>319</v>
      </c>
      <c r="E2263" s="7" t="s">
        <v>6427</v>
      </c>
      <c r="F2263" s="7" t="s">
        <v>317</v>
      </c>
      <c r="G2263" s="7" t="s">
        <v>18</v>
      </c>
      <c r="H2263" s="7" t="str">
        <f>IFERROR(VLOOKUP(Table2[[#This Row],[Ticket]],Okey!A:B,2,0),"")</f>
        <v>ok</v>
      </c>
      <c r="I2263" s="7" t="s">
        <v>3679</v>
      </c>
      <c r="J2263" s="7" t="str">
        <f>VLOOKUP(Table2[[#This Row],[Author]],People!A:B,2,0)</f>
        <v>LS</v>
      </c>
      <c r="K2263" s="7" t="s">
        <v>5965</v>
      </c>
      <c r="L2263" s="7"/>
      <c r="M2263" s="16" t="s">
        <v>40</v>
      </c>
    </row>
    <row r="2264" spans="1:13" x14ac:dyDescent="0.25">
      <c r="A2264" s="22">
        <f t="shared" si="35"/>
        <v>2263</v>
      </c>
      <c r="B2264" s="6" t="s">
        <v>5960</v>
      </c>
      <c r="C2264" s="6" t="s">
        <v>6421</v>
      </c>
      <c r="D2264" s="6" t="s">
        <v>214</v>
      </c>
      <c r="E2264" s="6" t="s">
        <v>6425</v>
      </c>
      <c r="F2264" s="6" t="s">
        <v>317</v>
      </c>
      <c r="G2264" s="6" t="s">
        <v>18</v>
      </c>
      <c r="H2264" s="6" t="str">
        <f>IFERROR(VLOOKUP(Table2[[#This Row],[Ticket]],Okey!A:B,2,0),"")</f>
        <v>ok</v>
      </c>
      <c r="I2264" s="6" t="s">
        <v>3679</v>
      </c>
      <c r="J2264" s="6" t="str">
        <f>VLOOKUP(Table2[[#This Row],[Author]],People!A:B,2,0)</f>
        <v>LS</v>
      </c>
      <c r="K2264" s="6" t="s">
        <v>5965</v>
      </c>
      <c r="L2264" s="6"/>
      <c r="M2264" s="21" t="s">
        <v>40</v>
      </c>
    </row>
    <row r="2265" spans="1:13" x14ac:dyDescent="0.25">
      <c r="A2265" s="23">
        <f t="shared" si="35"/>
        <v>2264</v>
      </c>
      <c r="B2265" s="7" t="s">
        <v>5960</v>
      </c>
      <c r="C2265" s="7" t="s">
        <v>6421</v>
      </c>
      <c r="D2265" s="7" t="s">
        <v>216</v>
      </c>
      <c r="E2265" s="7" t="s">
        <v>6426</v>
      </c>
      <c r="F2265" s="7" t="s">
        <v>318</v>
      </c>
      <c r="G2265" s="7" t="s">
        <v>18</v>
      </c>
      <c r="H2265" s="7" t="str">
        <f>IFERROR(VLOOKUP(Table2[[#This Row],[Ticket]],Okey!A:B,2,0),"")</f>
        <v>ok</v>
      </c>
      <c r="I2265" s="7" t="s">
        <v>3679</v>
      </c>
      <c r="J2265" s="7" t="str">
        <f>VLOOKUP(Table2[[#This Row],[Author]],People!A:B,2,0)</f>
        <v>LS</v>
      </c>
      <c r="K2265" s="7" t="s">
        <v>5965</v>
      </c>
      <c r="L2265" s="7"/>
      <c r="M2265" s="16" t="s">
        <v>40</v>
      </c>
    </row>
    <row r="2266" spans="1:13" x14ac:dyDescent="0.25">
      <c r="A2266" s="22">
        <f t="shared" si="35"/>
        <v>2265</v>
      </c>
      <c r="B2266" s="6" t="s">
        <v>5960</v>
      </c>
      <c r="C2266" s="6" t="s">
        <v>6421</v>
      </c>
      <c r="D2266" s="6" t="s">
        <v>218</v>
      </c>
      <c r="E2266" s="6" t="s">
        <v>6427</v>
      </c>
      <c r="F2266" s="6" t="s">
        <v>319</v>
      </c>
      <c r="G2266" s="6" t="s">
        <v>18</v>
      </c>
      <c r="H2266" s="6" t="str">
        <f>IFERROR(VLOOKUP(Table2[[#This Row],[Ticket]],Okey!A:B,2,0),"")</f>
        <v>ok</v>
      </c>
      <c r="I2266" s="6" t="s">
        <v>3679</v>
      </c>
      <c r="J2266" s="6" t="str">
        <f>VLOOKUP(Table2[[#This Row],[Author]],People!A:B,2,0)</f>
        <v>LS</v>
      </c>
      <c r="K2266" s="6" t="s">
        <v>5965</v>
      </c>
      <c r="L2266" s="6"/>
      <c r="M2266" s="21" t="s">
        <v>40</v>
      </c>
    </row>
    <row r="2267" spans="1:13" x14ac:dyDescent="0.25">
      <c r="A2267" s="23">
        <f t="shared" si="35"/>
        <v>2266</v>
      </c>
      <c r="B2267" s="7" t="s">
        <v>5960</v>
      </c>
      <c r="C2267" s="7" t="s">
        <v>6421</v>
      </c>
      <c r="D2267" s="7" t="s">
        <v>252</v>
      </c>
      <c r="E2267" s="7" t="s">
        <v>6428</v>
      </c>
      <c r="F2267" s="7"/>
      <c r="G2267" s="7" t="s">
        <v>63</v>
      </c>
      <c r="H2267" s="7" t="str">
        <f>IFERROR(VLOOKUP(Table2[[#This Row],[Ticket]],Okey!A:B,2,0),"")</f>
        <v>ok</v>
      </c>
      <c r="I2267" s="7" t="s">
        <v>3679</v>
      </c>
      <c r="J2267" s="7" t="str">
        <f>VLOOKUP(Table2[[#This Row],[Author]],People!A:B,2,0)</f>
        <v>LS</v>
      </c>
      <c r="K2267" s="7" t="s">
        <v>5965</v>
      </c>
      <c r="L2267" s="7"/>
      <c r="M2267" s="16" t="s">
        <v>40</v>
      </c>
    </row>
    <row r="2268" spans="1:13" x14ac:dyDescent="0.25">
      <c r="A2268" s="22">
        <f t="shared" si="35"/>
        <v>2267</v>
      </c>
      <c r="B2268" s="6" t="s">
        <v>5960</v>
      </c>
      <c r="C2268" s="6" t="s">
        <v>6005</v>
      </c>
      <c r="D2268" s="6" t="s">
        <v>6429</v>
      </c>
      <c r="E2268" s="34" t="s">
        <v>6430</v>
      </c>
      <c r="F2268" s="6" t="s">
        <v>605</v>
      </c>
      <c r="G2268" s="6" t="s">
        <v>496</v>
      </c>
      <c r="H2268" s="6" t="str">
        <f>IFERROR(VLOOKUP(Table2[[#This Row],[Ticket]],Okey!A:B,2,0),"")</f>
        <v>ok</v>
      </c>
      <c r="I2268" s="6" t="s">
        <v>3679</v>
      </c>
      <c r="J2268" s="6" t="str">
        <f>VLOOKUP(Table2[[#This Row],[Author]],People!A:B,2,0)</f>
        <v>LS</v>
      </c>
      <c r="K2268" s="6" t="s">
        <v>6006</v>
      </c>
      <c r="L2268" s="6"/>
      <c r="M2268" s="21" t="s">
        <v>3984</v>
      </c>
    </row>
    <row r="2269" spans="1:13" x14ac:dyDescent="0.25">
      <c r="A2269" s="23">
        <f t="shared" si="35"/>
        <v>2268</v>
      </c>
      <c r="B2269" s="7" t="s">
        <v>5960</v>
      </c>
      <c r="C2269" s="7" t="s">
        <v>6005</v>
      </c>
      <c r="D2269" s="7" t="s">
        <v>6431</v>
      </c>
      <c r="E2269" s="32" t="s">
        <v>6432</v>
      </c>
      <c r="F2269" s="7" t="s">
        <v>605</v>
      </c>
      <c r="G2269" s="7" t="s">
        <v>496</v>
      </c>
      <c r="H2269" s="7" t="str">
        <f>IFERROR(VLOOKUP(Table2[[#This Row],[Ticket]],Okey!A:B,2,0),"")</f>
        <v>ok</v>
      </c>
      <c r="I2269" s="7" t="s">
        <v>3679</v>
      </c>
      <c r="J2269" s="7" t="str">
        <f>VLOOKUP(Table2[[#This Row],[Author]],People!A:B,2,0)</f>
        <v>LS</v>
      </c>
      <c r="K2269" s="7" t="s">
        <v>6006</v>
      </c>
      <c r="L2269" s="7"/>
      <c r="M2269" s="16" t="s">
        <v>3984</v>
      </c>
    </row>
    <row r="2270" spans="1:13" x14ac:dyDescent="0.25">
      <c r="A2270" s="22">
        <f t="shared" si="35"/>
        <v>2269</v>
      </c>
      <c r="B2270" s="6" t="s">
        <v>5960</v>
      </c>
      <c r="C2270" s="6" t="s">
        <v>6433</v>
      </c>
      <c r="D2270" s="6" t="s">
        <v>644</v>
      </c>
      <c r="E2270" s="6" t="s">
        <v>6434</v>
      </c>
      <c r="F2270" s="6" t="s">
        <v>6435</v>
      </c>
      <c r="G2270" s="6" t="s">
        <v>18</v>
      </c>
      <c r="H2270" s="6" t="str">
        <f>IFERROR(VLOOKUP(Table2[[#This Row],[Ticket]],Okey!A:B,2,0),"")</f>
        <v>ok</v>
      </c>
      <c r="I2270" s="6" t="s">
        <v>3679</v>
      </c>
      <c r="J2270" s="6" t="str">
        <f>VLOOKUP(Table2[[#This Row],[Author]],People!A:B,2,0)</f>
        <v>LS</v>
      </c>
      <c r="K2270" s="6" t="s">
        <v>5965</v>
      </c>
      <c r="L2270" s="6"/>
      <c r="M2270" s="21" t="s">
        <v>322</v>
      </c>
    </row>
    <row r="2271" spans="1:13" x14ac:dyDescent="0.25">
      <c r="A2271" s="23">
        <f t="shared" si="35"/>
        <v>2270</v>
      </c>
      <c r="B2271" s="7" t="s">
        <v>5960</v>
      </c>
      <c r="C2271" s="7" t="s">
        <v>6433</v>
      </c>
      <c r="D2271" s="7" t="s">
        <v>646</v>
      </c>
      <c r="E2271" s="7" t="s">
        <v>6436</v>
      </c>
      <c r="F2271" s="7" t="s">
        <v>640</v>
      </c>
      <c r="G2271" s="7" t="s">
        <v>18</v>
      </c>
      <c r="H2271" s="7" t="str">
        <f>IFERROR(VLOOKUP(Table2[[#This Row],[Ticket]],Okey!A:B,2,0),"")</f>
        <v>ok</v>
      </c>
      <c r="I2271" s="7" t="s">
        <v>3679</v>
      </c>
      <c r="J2271" s="7" t="str">
        <f>VLOOKUP(Table2[[#This Row],[Author]],People!A:B,2,0)</f>
        <v>LS</v>
      </c>
      <c r="K2271" s="7" t="s">
        <v>5965</v>
      </c>
      <c r="L2271" s="7"/>
      <c r="M2271" s="16" t="s">
        <v>322</v>
      </c>
    </row>
    <row r="2272" spans="1:13" x14ac:dyDescent="0.25">
      <c r="A2272" s="22">
        <f t="shared" si="35"/>
        <v>2271</v>
      </c>
      <c r="B2272" s="6" t="s">
        <v>5960</v>
      </c>
      <c r="C2272" s="6" t="s">
        <v>6437</v>
      </c>
      <c r="D2272" s="6" t="s">
        <v>6403</v>
      </c>
      <c r="E2272" s="6" t="s">
        <v>6438</v>
      </c>
      <c r="F2272" s="6"/>
      <c r="G2272" s="6" t="s">
        <v>63</v>
      </c>
      <c r="H2272" s="6" t="str">
        <f>IFERROR(VLOOKUP(Table2[[#This Row],[Ticket]],Okey!A:B,2,0),"")</f>
        <v>ok</v>
      </c>
      <c r="I2272" s="6" t="s">
        <v>3679</v>
      </c>
      <c r="J2272" s="6" t="str">
        <f>VLOOKUP(Table2[[#This Row],[Author]],People!A:B,2,0)</f>
        <v>LS</v>
      </c>
      <c r="K2272" s="6" t="s">
        <v>5965</v>
      </c>
      <c r="L2272" s="6"/>
      <c r="M2272" s="21" t="s">
        <v>4887</v>
      </c>
    </row>
    <row r="2273" spans="1:13" x14ac:dyDescent="0.25">
      <c r="A2273" s="23">
        <f t="shared" si="35"/>
        <v>2272</v>
      </c>
      <c r="B2273" s="7" t="s">
        <v>5960</v>
      </c>
      <c r="C2273" s="7" t="s">
        <v>6437</v>
      </c>
      <c r="D2273" s="7" t="s">
        <v>6408</v>
      </c>
      <c r="E2273" s="7" t="s">
        <v>6438</v>
      </c>
      <c r="F2273" s="7"/>
      <c r="G2273" s="7" t="s">
        <v>63</v>
      </c>
      <c r="H2273" s="7" t="str">
        <f>IFERROR(VLOOKUP(Table2[[#This Row],[Ticket]],Okey!A:B,2,0),"")</f>
        <v>ok</v>
      </c>
      <c r="I2273" s="7" t="s">
        <v>3679</v>
      </c>
      <c r="J2273" s="7" t="str">
        <f>VLOOKUP(Table2[[#This Row],[Author]],People!A:B,2,0)</f>
        <v>LS</v>
      </c>
      <c r="K2273" s="7" t="s">
        <v>5965</v>
      </c>
      <c r="L2273" s="7"/>
      <c r="M2273" s="16" t="s">
        <v>4887</v>
      </c>
    </row>
    <row r="2274" spans="1:13" x14ac:dyDescent="0.25">
      <c r="A2274" s="22">
        <f t="shared" si="35"/>
        <v>2273</v>
      </c>
      <c r="B2274" s="6" t="s">
        <v>5960</v>
      </c>
      <c r="C2274" s="6" t="s">
        <v>6007</v>
      </c>
      <c r="D2274" s="6" t="s">
        <v>6431</v>
      </c>
      <c r="E2274" s="6" t="s">
        <v>6432</v>
      </c>
      <c r="F2274" s="6" t="s">
        <v>5099</v>
      </c>
      <c r="G2274" s="6" t="s">
        <v>496</v>
      </c>
      <c r="H2274" s="6" t="str">
        <f>IFERROR(VLOOKUP(Table2[[#This Row],[Ticket]],Okey!A:B,2,0),"")</f>
        <v>ok</v>
      </c>
      <c r="I2274" s="6" t="s">
        <v>3679</v>
      </c>
      <c r="J2274" s="6" t="str">
        <f>VLOOKUP(Table2[[#This Row],[Author]],People!A:B,2,0)</f>
        <v>LS</v>
      </c>
      <c r="K2274" s="6" t="s">
        <v>5965</v>
      </c>
      <c r="L2274" s="6"/>
      <c r="M2274" s="21" t="s">
        <v>3984</v>
      </c>
    </row>
    <row r="2275" spans="1:13" x14ac:dyDescent="0.25">
      <c r="A2275" s="23">
        <f t="shared" ref="A2275:A2338" si="36">1+A2274</f>
        <v>2274</v>
      </c>
      <c r="B2275" s="7" t="s">
        <v>5960</v>
      </c>
      <c r="C2275" s="7" t="s">
        <v>6007</v>
      </c>
      <c r="D2275" s="7" t="s">
        <v>6429</v>
      </c>
      <c r="E2275" s="7" t="s">
        <v>6430</v>
      </c>
      <c r="F2275" s="7" t="s">
        <v>6009</v>
      </c>
      <c r="G2275" s="7" t="s">
        <v>496</v>
      </c>
      <c r="H2275" s="7" t="str">
        <f>IFERROR(VLOOKUP(Table2[[#This Row],[Ticket]],Okey!A:B,2,0),"")</f>
        <v>ok</v>
      </c>
      <c r="I2275" s="7" t="s">
        <v>3679</v>
      </c>
      <c r="J2275" s="7" t="str">
        <f>VLOOKUP(Table2[[#This Row],[Author]],People!A:B,2,0)</f>
        <v>LS</v>
      </c>
      <c r="K2275" s="7" t="s">
        <v>5965</v>
      </c>
      <c r="L2275" s="7"/>
      <c r="M2275" s="16" t="s">
        <v>3984</v>
      </c>
    </row>
    <row r="2276" spans="1:13" x14ac:dyDescent="0.25">
      <c r="A2276" s="22">
        <f t="shared" si="36"/>
        <v>2275</v>
      </c>
      <c r="B2276" s="6" t="s">
        <v>5960</v>
      </c>
      <c r="C2276" s="6" t="s">
        <v>6439</v>
      </c>
      <c r="D2276" s="6" t="s">
        <v>348</v>
      </c>
      <c r="E2276" s="34" t="s">
        <v>6440</v>
      </c>
      <c r="F2276" s="6" t="s">
        <v>478</v>
      </c>
      <c r="G2276" s="6" t="s">
        <v>18</v>
      </c>
      <c r="H2276" s="6" t="str">
        <f>IFERROR(VLOOKUP(Table2[[#This Row],[Ticket]],Okey!A:B,2,0),"")</f>
        <v>ok</v>
      </c>
      <c r="I2276" s="6" t="s">
        <v>3679</v>
      </c>
      <c r="J2276" s="6" t="str">
        <f>VLOOKUP(Table2[[#This Row],[Author]],People!A:B,2,0)</f>
        <v>LS</v>
      </c>
      <c r="K2276" s="6" t="s">
        <v>5965</v>
      </c>
      <c r="L2276" s="6"/>
      <c r="M2276" s="21" t="s">
        <v>3984</v>
      </c>
    </row>
    <row r="2277" spans="1:13" x14ac:dyDescent="0.25">
      <c r="A2277" s="23">
        <f t="shared" si="36"/>
        <v>2276</v>
      </c>
      <c r="B2277" s="7" t="s">
        <v>5960</v>
      </c>
      <c r="C2277" s="7" t="s">
        <v>6439</v>
      </c>
      <c r="D2277" s="32" t="s">
        <v>352</v>
      </c>
      <c r="E2277" s="7" t="s">
        <v>4454</v>
      </c>
      <c r="F2277" s="7" t="s">
        <v>478</v>
      </c>
      <c r="G2277" s="7" t="s">
        <v>496</v>
      </c>
      <c r="H2277" s="7" t="str">
        <f>IFERROR(VLOOKUP(Table2[[#This Row],[Ticket]],Okey!A:B,2,0),"")</f>
        <v>ok</v>
      </c>
      <c r="I2277" s="7" t="s">
        <v>3679</v>
      </c>
      <c r="J2277" s="7" t="str">
        <f>VLOOKUP(Table2[[#This Row],[Author]],People!A:B,2,0)</f>
        <v>LS</v>
      </c>
      <c r="K2277" s="7" t="s">
        <v>5965</v>
      </c>
      <c r="L2277" s="7"/>
      <c r="M2277" s="16" t="s">
        <v>3984</v>
      </c>
    </row>
    <row r="2278" spans="1:13" x14ac:dyDescent="0.25">
      <c r="A2278" s="22">
        <f t="shared" si="36"/>
        <v>2277</v>
      </c>
      <c r="B2278" s="6" t="s">
        <v>5960</v>
      </c>
      <c r="C2278" s="6" t="s">
        <v>6439</v>
      </c>
      <c r="D2278" s="34" t="s">
        <v>353</v>
      </c>
      <c r="E2278" s="6" t="s">
        <v>6441</v>
      </c>
      <c r="F2278" s="6" t="s">
        <v>478</v>
      </c>
      <c r="G2278" s="6" t="s">
        <v>496</v>
      </c>
      <c r="H2278" s="6" t="str">
        <f>IFERROR(VLOOKUP(Table2[[#This Row],[Ticket]],Okey!A:B,2,0),"")</f>
        <v>ok</v>
      </c>
      <c r="I2278" s="6" t="s">
        <v>3679</v>
      </c>
      <c r="J2278" s="6" t="str">
        <f>VLOOKUP(Table2[[#This Row],[Author]],People!A:B,2,0)</f>
        <v>LS</v>
      </c>
      <c r="K2278" s="6" t="s">
        <v>5965</v>
      </c>
      <c r="L2278" s="6"/>
      <c r="M2278" s="21" t="s">
        <v>3984</v>
      </c>
    </row>
    <row r="2279" spans="1:13" x14ac:dyDescent="0.25">
      <c r="A2279" s="23">
        <f t="shared" si="36"/>
        <v>2278</v>
      </c>
      <c r="B2279" s="7" t="s">
        <v>5960</v>
      </c>
      <c r="C2279" s="7" t="s">
        <v>6442</v>
      </c>
      <c r="D2279" s="7" t="s">
        <v>6443</v>
      </c>
      <c r="E2279" s="7" t="s">
        <v>6444</v>
      </c>
      <c r="F2279" s="7" t="s">
        <v>589</v>
      </c>
      <c r="G2279" s="7" t="s">
        <v>496</v>
      </c>
      <c r="H2279" s="7" t="str">
        <f>IFERROR(VLOOKUP(Table2[[#This Row],[Ticket]],Okey!A:B,2,0),"")</f>
        <v>ok</v>
      </c>
      <c r="I2279" s="7" t="s">
        <v>3679</v>
      </c>
      <c r="J2279" s="7" t="str">
        <f>VLOOKUP(Table2[[#This Row],[Author]],People!A:B,2,0)</f>
        <v>LS</v>
      </c>
      <c r="K2279" s="7" t="s">
        <v>5965</v>
      </c>
      <c r="L2279" s="7"/>
      <c r="M2279" s="16" t="s">
        <v>3984</v>
      </c>
    </row>
    <row r="2280" spans="1:13" x14ac:dyDescent="0.25">
      <c r="A2280" s="22">
        <f t="shared" si="36"/>
        <v>2279</v>
      </c>
      <c r="B2280" s="6" t="s">
        <v>5960</v>
      </c>
      <c r="C2280" s="6" t="s">
        <v>6442</v>
      </c>
      <c r="D2280" s="6" t="s">
        <v>3721</v>
      </c>
      <c r="E2280" s="6" t="s">
        <v>493</v>
      </c>
      <c r="F2280" s="6" t="s">
        <v>563</v>
      </c>
      <c r="G2280" s="6" t="s">
        <v>496</v>
      </c>
      <c r="H2280" s="6" t="str">
        <f>IFERROR(VLOOKUP(Table2[[#This Row],[Ticket]],Okey!A:B,2,0),"")</f>
        <v>ok</v>
      </c>
      <c r="I2280" s="6" t="s">
        <v>3679</v>
      </c>
      <c r="J2280" s="6" t="str">
        <f>VLOOKUP(Table2[[#This Row],[Author]],People!A:B,2,0)</f>
        <v>LS</v>
      </c>
      <c r="K2280" s="6" t="s">
        <v>5965</v>
      </c>
      <c r="L2280" s="6"/>
      <c r="M2280" s="21" t="s">
        <v>3984</v>
      </c>
    </row>
    <row r="2281" spans="1:13" x14ac:dyDescent="0.25">
      <c r="A2281" s="23">
        <f t="shared" si="36"/>
        <v>2280</v>
      </c>
      <c r="B2281" s="7" t="s">
        <v>5960</v>
      </c>
      <c r="C2281" s="7" t="s">
        <v>5964</v>
      </c>
      <c r="D2281" s="7" t="s">
        <v>6022</v>
      </c>
      <c r="E2281" s="7" t="s">
        <v>6445</v>
      </c>
      <c r="F2281" s="7" t="s">
        <v>1315</v>
      </c>
      <c r="G2281" s="7" t="s">
        <v>18</v>
      </c>
      <c r="H2281" s="7" t="str">
        <f>IFERROR(VLOOKUP(Table2[[#This Row],[Ticket]],Okey!A:B,2,0),"")</f>
        <v>ok</v>
      </c>
      <c r="I2281" s="7" t="s">
        <v>3679</v>
      </c>
      <c r="J2281" s="7" t="str">
        <f>VLOOKUP(Table2[[#This Row],[Author]],People!A:B,2,0)</f>
        <v>LS</v>
      </c>
      <c r="K2281" s="7" t="s">
        <v>5965</v>
      </c>
      <c r="L2281" s="7"/>
      <c r="M2281" s="16" t="s">
        <v>1040</v>
      </c>
    </row>
    <row r="2282" spans="1:13" x14ac:dyDescent="0.25">
      <c r="A2282" s="22">
        <f t="shared" si="36"/>
        <v>2281</v>
      </c>
      <c r="B2282" s="6" t="s">
        <v>5960</v>
      </c>
      <c r="C2282" s="6" t="s">
        <v>5964</v>
      </c>
      <c r="D2282" s="6" t="s">
        <v>1064</v>
      </c>
      <c r="E2282" s="6" t="s">
        <v>6446</v>
      </c>
      <c r="F2282" s="6" t="s">
        <v>6447</v>
      </c>
      <c r="G2282" s="6" t="s">
        <v>18</v>
      </c>
      <c r="H2282" s="6" t="str">
        <f>IFERROR(VLOOKUP(Table2[[#This Row],[Ticket]],Okey!A:B,2,0),"")</f>
        <v>ok</v>
      </c>
      <c r="I2282" s="6" t="s">
        <v>3679</v>
      </c>
      <c r="J2282" s="6" t="str">
        <f>VLOOKUP(Table2[[#This Row],[Author]],People!A:B,2,0)</f>
        <v>LS</v>
      </c>
      <c r="K2282" s="6" t="s">
        <v>5965</v>
      </c>
      <c r="L2282" s="6"/>
      <c r="M2282" s="21" t="s">
        <v>1040</v>
      </c>
    </row>
    <row r="2283" spans="1:13" x14ac:dyDescent="0.25">
      <c r="A2283" s="23">
        <f t="shared" si="36"/>
        <v>2282</v>
      </c>
      <c r="B2283" s="7" t="s">
        <v>5960</v>
      </c>
      <c r="C2283" s="7" t="s">
        <v>5964</v>
      </c>
      <c r="D2283" s="7" t="s">
        <v>6448</v>
      </c>
      <c r="E2283" s="7" t="s">
        <v>6449</v>
      </c>
      <c r="F2283" s="7" t="s">
        <v>6450</v>
      </c>
      <c r="G2283" s="7" t="s">
        <v>18</v>
      </c>
      <c r="H2283" s="7" t="str">
        <f>IFERROR(VLOOKUP(Table2[[#This Row],[Ticket]],Okey!A:B,2,0),"")</f>
        <v>ok</v>
      </c>
      <c r="I2283" s="7" t="s">
        <v>3679</v>
      </c>
      <c r="J2283" s="7" t="str">
        <f>VLOOKUP(Table2[[#This Row],[Author]],People!A:B,2,0)</f>
        <v>LS</v>
      </c>
      <c r="K2283" s="7" t="s">
        <v>5965</v>
      </c>
      <c r="L2283" s="7"/>
      <c r="M2283" s="16" t="s">
        <v>1040</v>
      </c>
    </row>
    <row r="2284" spans="1:13" x14ac:dyDescent="0.25">
      <c r="A2284" s="22">
        <f t="shared" si="36"/>
        <v>2283</v>
      </c>
      <c r="B2284" s="6" t="s">
        <v>5960</v>
      </c>
      <c r="C2284" s="6" t="s">
        <v>5964</v>
      </c>
      <c r="D2284" s="6" t="s">
        <v>1100</v>
      </c>
      <c r="E2284" s="6" t="s">
        <v>6451</v>
      </c>
      <c r="F2284" s="6" t="s">
        <v>1096</v>
      </c>
      <c r="G2284" s="6" t="s">
        <v>18</v>
      </c>
      <c r="H2284" s="6" t="str">
        <f>IFERROR(VLOOKUP(Table2[[#This Row],[Ticket]],Okey!A:B,2,0),"")</f>
        <v>ok</v>
      </c>
      <c r="I2284" s="6" t="s">
        <v>3679</v>
      </c>
      <c r="J2284" s="6" t="str">
        <f>VLOOKUP(Table2[[#This Row],[Author]],People!A:B,2,0)</f>
        <v>LS</v>
      </c>
      <c r="K2284" s="6" t="s">
        <v>5965</v>
      </c>
      <c r="L2284" s="6"/>
      <c r="M2284" s="21" t="s">
        <v>1040</v>
      </c>
    </row>
    <row r="2285" spans="1:13" x14ac:dyDescent="0.25">
      <c r="A2285" s="23">
        <f t="shared" si="36"/>
        <v>2284</v>
      </c>
      <c r="B2285" s="7" t="s">
        <v>5960</v>
      </c>
      <c r="C2285" s="7" t="s">
        <v>5964</v>
      </c>
      <c r="D2285" s="7" t="s">
        <v>6452</v>
      </c>
      <c r="E2285" s="7" t="s">
        <v>6453</v>
      </c>
      <c r="F2285" s="7" t="s">
        <v>6454</v>
      </c>
      <c r="G2285" s="7" t="s">
        <v>18</v>
      </c>
      <c r="H2285" s="7" t="str">
        <f>IFERROR(VLOOKUP(Table2[[#This Row],[Ticket]],Okey!A:B,2,0),"")</f>
        <v>ok</v>
      </c>
      <c r="I2285" s="7" t="s">
        <v>3679</v>
      </c>
      <c r="J2285" s="7" t="str">
        <f>VLOOKUP(Table2[[#This Row],[Author]],People!A:B,2,0)</f>
        <v>LS</v>
      </c>
      <c r="K2285" s="7" t="s">
        <v>5965</v>
      </c>
      <c r="L2285" s="7"/>
      <c r="M2285" s="16" t="s">
        <v>1040</v>
      </c>
    </row>
    <row r="2286" spans="1:13" x14ac:dyDescent="0.25">
      <c r="A2286" s="22">
        <f t="shared" si="36"/>
        <v>2285</v>
      </c>
      <c r="B2286" s="6" t="s">
        <v>5960</v>
      </c>
      <c r="C2286" s="6" t="s">
        <v>5964</v>
      </c>
      <c r="D2286" s="6" t="s">
        <v>6455</v>
      </c>
      <c r="E2286" s="6" t="s">
        <v>6456</v>
      </c>
      <c r="F2286" s="6" t="s">
        <v>4586</v>
      </c>
      <c r="G2286" s="6" t="s">
        <v>18</v>
      </c>
      <c r="H2286" s="6" t="str">
        <f>IFERROR(VLOOKUP(Table2[[#This Row],[Ticket]],Okey!A:B,2,0),"")</f>
        <v>ok</v>
      </c>
      <c r="I2286" s="6" t="s">
        <v>3679</v>
      </c>
      <c r="J2286" s="6" t="str">
        <f>VLOOKUP(Table2[[#This Row],[Author]],People!A:B,2,0)</f>
        <v>LS</v>
      </c>
      <c r="K2286" s="6" t="s">
        <v>5965</v>
      </c>
      <c r="L2286" s="6"/>
      <c r="M2286" s="21" t="s">
        <v>1040</v>
      </c>
    </row>
    <row r="2287" spans="1:13" x14ac:dyDescent="0.25">
      <c r="A2287" s="23">
        <f t="shared" si="36"/>
        <v>2286</v>
      </c>
      <c r="B2287" s="7" t="s">
        <v>5960</v>
      </c>
      <c r="C2287" s="7" t="s">
        <v>5964</v>
      </c>
      <c r="D2287" s="7" t="s">
        <v>6457</v>
      </c>
      <c r="E2287" s="7" t="s">
        <v>6458</v>
      </c>
      <c r="F2287" s="7" t="s">
        <v>4586</v>
      </c>
      <c r="G2287" s="7" t="s">
        <v>18</v>
      </c>
      <c r="H2287" s="7" t="str">
        <f>IFERROR(VLOOKUP(Table2[[#This Row],[Ticket]],Okey!A:B,2,0),"")</f>
        <v>ok</v>
      </c>
      <c r="I2287" s="7" t="s">
        <v>3679</v>
      </c>
      <c r="J2287" s="7" t="str">
        <f>VLOOKUP(Table2[[#This Row],[Author]],People!A:B,2,0)</f>
        <v>LS</v>
      </c>
      <c r="K2287" s="7" t="s">
        <v>5965</v>
      </c>
      <c r="L2287" s="7"/>
      <c r="M2287" s="16" t="s">
        <v>1040</v>
      </c>
    </row>
    <row r="2288" spans="1:13" x14ac:dyDescent="0.25">
      <c r="A2288" s="22">
        <f t="shared" si="36"/>
        <v>2287</v>
      </c>
      <c r="B2288" s="6" t="s">
        <v>5960</v>
      </c>
      <c r="C2288" s="6" t="s">
        <v>5964</v>
      </c>
      <c r="D2288" s="6" t="s">
        <v>6459</v>
      </c>
      <c r="E2288" s="6" t="s">
        <v>6460</v>
      </c>
      <c r="F2288" s="6" t="s">
        <v>4614</v>
      </c>
      <c r="G2288" s="6" t="s">
        <v>18</v>
      </c>
      <c r="H2288" s="6" t="str">
        <f>IFERROR(VLOOKUP(Table2[[#This Row],[Ticket]],Okey!A:B,2,0),"")</f>
        <v>ok</v>
      </c>
      <c r="I2288" s="6" t="s">
        <v>3679</v>
      </c>
      <c r="J2288" s="6" t="str">
        <f>VLOOKUP(Table2[[#This Row],[Author]],People!A:B,2,0)</f>
        <v>LS</v>
      </c>
      <c r="K2288" s="6" t="s">
        <v>5965</v>
      </c>
      <c r="L2288" s="6"/>
      <c r="M2288" s="21" t="s">
        <v>1040</v>
      </c>
    </row>
    <row r="2289" spans="1:13" x14ac:dyDescent="0.25">
      <c r="A2289" s="23">
        <f t="shared" si="36"/>
        <v>2288</v>
      </c>
      <c r="B2289" s="7" t="s">
        <v>5960</v>
      </c>
      <c r="C2289" s="7" t="s">
        <v>5964</v>
      </c>
      <c r="D2289" s="7" t="s">
        <v>6461</v>
      </c>
      <c r="E2289" s="7" t="s">
        <v>6462</v>
      </c>
      <c r="F2289" s="7" t="s">
        <v>1326</v>
      </c>
      <c r="G2289" s="7" t="s">
        <v>18</v>
      </c>
      <c r="H2289" s="7" t="str">
        <f>IFERROR(VLOOKUP(Table2[[#This Row],[Ticket]],Okey!A:B,2,0),"")</f>
        <v>ok</v>
      </c>
      <c r="I2289" s="7" t="s">
        <v>3679</v>
      </c>
      <c r="J2289" s="7" t="str">
        <f>VLOOKUP(Table2[[#This Row],[Author]],People!A:B,2,0)</f>
        <v>LS</v>
      </c>
      <c r="K2289" s="7" t="s">
        <v>5965</v>
      </c>
      <c r="L2289" s="7"/>
      <c r="M2289" s="16" t="s">
        <v>1040</v>
      </c>
    </row>
    <row r="2290" spans="1:13" x14ac:dyDescent="0.25">
      <c r="A2290" s="22">
        <f t="shared" si="36"/>
        <v>2289</v>
      </c>
      <c r="B2290" s="6" t="s">
        <v>5960</v>
      </c>
      <c r="C2290" s="6" t="s">
        <v>5964</v>
      </c>
      <c r="D2290" s="6" t="s">
        <v>6463</v>
      </c>
      <c r="E2290" s="6" t="s">
        <v>6464</v>
      </c>
      <c r="F2290" s="6"/>
      <c r="G2290" s="6" t="s">
        <v>63</v>
      </c>
      <c r="H2290" s="6" t="str">
        <f>IFERROR(VLOOKUP(Table2[[#This Row],[Ticket]],Okey!A:B,2,0),"")</f>
        <v>ok</v>
      </c>
      <c r="I2290" s="6" t="s">
        <v>3679</v>
      </c>
      <c r="J2290" s="6" t="str">
        <f>VLOOKUP(Table2[[#This Row],[Author]],People!A:B,2,0)</f>
        <v>LS</v>
      </c>
      <c r="K2290" s="6" t="s">
        <v>5965</v>
      </c>
      <c r="L2290" s="6"/>
      <c r="M2290" s="21" t="s">
        <v>1040</v>
      </c>
    </row>
    <row r="2291" spans="1:13" x14ac:dyDescent="0.25">
      <c r="A2291" s="23">
        <f t="shared" si="36"/>
        <v>2290</v>
      </c>
      <c r="B2291" s="7" t="s">
        <v>5960</v>
      </c>
      <c r="C2291" s="7" t="s">
        <v>5964</v>
      </c>
      <c r="D2291" s="7" t="s">
        <v>6465</v>
      </c>
      <c r="E2291" s="7" t="s">
        <v>6466</v>
      </c>
      <c r="F2291" s="7"/>
      <c r="G2291" s="7" t="s">
        <v>63</v>
      </c>
      <c r="H2291" s="7" t="str">
        <f>IFERROR(VLOOKUP(Table2[[#This Row],[Ticket]],Okey!A:B,2,0),"")</f>
        <v>ok</v>
      </c>
      <c r="I2291" s="7" t="s">
        <v>3679</v>
      </c>
      <c r="J2291" s="7" t="str">
        <f>VLOOKUP(Table2[[#This Row],[Author]],People!A:B,2,0)</f>
        <v>LS</v>
      </c>
      <c r="K2291" s="7" t="s">
        <v>5965</v>
      </c>
      <c r="L2291" s="7"/>
      <c r="M2291" s="16" t="s">
        <v>1040</v>
      </c>
    </row>
    <row r="2292" spans="1:13" x14ac:dyDescent="0.25">
      <c r="A2292" s="22">
        <f t="shared" si="36"/>
        <v>2291</v>
      </c>
      <c r="B2292" s="6" t="s">
        <v>5960</v>
      </c>
      <c r="C2292" s="6" t="s">
        <v>5964</v>
      </c>
      <c r="D2292" s="6" t="s">
        <v>1096</v>
      </c>
      <c r="E2292" s="6" t="s">
        <v>6467</v>
      </c>
      <c r="F2292" s="6"/>
      <c r="G2292" s="6" t="s">
        <v>63</v>
      </c>
      <c r="H2292" s="6" t="str">
        <f>IFERROR(VLOOKUP(Table2[[#This Row],[Ticket]],Okey!A:B,2,0),"")</f>
        <v>ok</v>
      </c>
      <c r="I2292" s="6" t="s">
        <v>3679</v>
      </c>
      <c r="J2292" s="6" t="str">
        <f>VLOOKUP(Table2[[#This Row],[Author]],People!A:B,2,0)</f>
        <v>LS</v>
      </c>
      <c r="K2292" s="6" t="s">
        <v>5965</v>
      </c>
      <c r="L2292" s="6"/>
      <c r="M2292" s="21" t="s">
        <v>1040</v>
      </c>
    </row>
    <row r="2293" spans="1:13" x14ac:dyDescent="0.25">
      <c r="A2293" s="23">
        <f t="shared" si="36"/>
        <v>2292</v>
      </c>
      <c r="B2293" s="7" t="s">
        <v>5960</v>
      </c>
      <c r="C2293" s="7" t="s">
        <v>5964</v>
      </c>
      <c r="D2293" s="7" t="s">
        <v>6468</v>
      </c>
      <c r="E2293" s="7" t="s">
        <v>6469</v>
      </c>
      <c r="F2293" s="7"/>
      <c r="G2293" s="7" t="s">
        <v>63</v>
      </c>
      <c r="H2293" s="7" t="str">
        <f>IFERROR(VLOOKUP(Table2[[#This Row],[Ticket]],Okey!A:B,2,0),"")</f>
        <v>ok</v>
      </c>
      <c r="I2293" s="7" t="s">
        <v>3679</v>
      </c>
      <c r="J2293" s="7" t="str">
        <f>VLOOKUP(Table2[[#This Row],[Author]],People!A:B,2,0)</f>
        <v>LS</v>
      </c>
      <c r="K2293" s="7" t="s">
        <v>5965</v>
      </c>
      <c r="L2293" s="7"/>
      <c r="M2293" s="16" t="s">
        <v>1040</v>
      </c>
    </row>
    <row r="2294" spans="1:13" x14ac:dyDescent="0.25">
      <c r="A2294" s="22">
        <f t="shared" si="36"/>
        <v>2293</v>
      </c>
      <c r="B2294" s="6" t="s">
        <v>5960</v>
      </c>
      <c r="C2294" s="6" t="s">
        <v>5964</v>
      </c>
      <c r="D2294" s="6" t="s">
        <v>6470</v>
      </c>
      <c r="E2294" s="6" t="s">
        <v>6471</v>
      </c>
      <c r="F2294" s="6"/>
      <c r="G2294" s="6" t="s">
        <v>63</v>
      </c>
      <c r="H2294" s="6" t="str">
        <f>IFERROR(VLOOKUP(Table2[[#This Row],[Ticket]],Okey!A:B,2,0),"")</f>
        <v>ok</v>
      </c>
      <c r="I2294" s="6" t="s">
        <v>3679</v>
      </c>
      <c r="J2294" s="6" t="str">
        <f>VLOOKUP(Table2[[#This Row],[Author]],People!A:B,2,0)</f>
        <v>LS</v>
      </c>
      <c r="K2294" s="6" t="s">
        <v>5965</v>
      </c>
      <c r="L2294" s="6"/>
      <c r="M2294" s="21" t="s">
        <v>1040</v>
      </c>
    </row>
    <row r="2295" spans="1:13" x14ac:dyDescent="0.25">
      <c r="A2295" s="23">
        <f t="shared" si="36"/>
        <v>2294</v>
      </c>
      <c r="B2295" s="7" t="s">
        <v>5960</v>
      </c>
      <c r="C2295" s="7" t="s">
        <v>5964</v>
      </c>
      <c r="D2295" s="7" t="s">
        <v>6472</v>
      </c>
      <c r="E2295" s="7" t="s">
        <v>6473</v>
      </c>
      <c r="F2295" s="7"/>
      <c r="G2295" s="7" t="s">
        <v>63</v>
      </c>
      <c r="H2295" s="7" t="str">
        <f>IFERROR(VLOOKUP(Table2[[#This Row],[Ticket]],Okey!A:B,2,0),"")</f>
        <v>ok</v>
      </c>
      <c r="I2295" s="7" t="s">
        <v>3679</v>
      </c>
      <c r="J2295" s="7" t="str">
        <f>VLOOKUP(Table2[[#This Row],[Author]],People!A:B,2,0)</f>
        <v>LS</v>
      </c>
      <c r="K2295" s="7" t="s">
        <v>5965</v>
      </c>
      <c r="L2295" s="7"/>
      <c r="M2295" s="16" t="s">
        <v>1040</v>
      </c>
    </row>
    <row r="2296" spans="1:13" x14ac:dyDescent="0.25">
      <c r="A2296" s="22">
        <f t="shared" si="36"/>
        <v>2295</v>
      </c>
      <c r="B2296" s="6" t="s">
        <v>5960</v>
      </c>
      <c r="C2296" s="6" t="s">
        <v>5964</v>
      </c>
      <c r="D2296" s="6" t="s">
        <v>6474</v>
      </c>
      <c r="E2296" s="6" t="s">
        <v>6475</v>
      </c>
      <c r="F2296" s="6"/>
      <c r="G2296" s="6" t="s">
        <v>63</v>
      </c>
      <c r="H2296" s="6" t="str">
        <f>IFERROR(VLOOKUP(Table2[[#This Row],[Ticket]],Okey!A:B,2,0),"")</f>
        <v>ok</v>
      </c>
      <c r="I2296" s="6" t="s">
        <v>3679</v>
      </c>
      <c r="J2296" s="6" t="str">
        <f>VLOOKUP(Table2[[#This Row],[Author]],People!A:B,2,0)</f>
        <v>LS</v>
      </c>
      <c r="K2296" s="6" t="s">
        <v>5965</v>
      </c>
      <c r="L2296" s="6"/>
      <c r="M2296" s="21" t="s">
        <v>1040</v>
      </c>
    </row>
    <row r="2297" spans="1:13" x14ac:dyDescent="0.25">
      <c r="A2297" s="23">
        <f t="shared" si="36"/>
        <v>2296</v>
      </c>
      <c r="B2297" s="7" t="s">
        <v>5960</v>
      </c>
      <c r="C2297" s="7" t="s">
        <v>5964</v>
      </c>
      <c r="D2297" s="7" t="s">
        <v>6476</v>
      </c>
      <c r="E2297" s="7" t="s">
        <v>6477</v>
      </c>
      <c r="F2297" s="7"/>
      <c r="G2297" s="7" t="s">
        <v>63</v>
      </c>
      <c r="H2297" s="7" t="str">
        <f>IFERROR(VLOOKUP(Table2[[#This Row],[Ticket]],Okey!A:B,2,0),"")</f>
        <v>ok</v>
      </c>
      <c r="I2297" s="7" t="s">
        <v>3679</v>
      </c>
      <c r="J2297" s="7" t="str">
        <f>VLOOKUP(Table2[[#This Row],[Author]],People!A:B,2,0)</f>
        <v>LS</v>
      </c>
      <c r="K2297" s="7" t="s">
        <v>5965</v>
      </c>
      <c r="L2297" s="7"/>
      <c r="M2297" s="16" t="s">
        <v>1040</v>
      </c>
    </row>
    <row r="2298" spans="1:13" x14ac:dyDescent="0.25">
      <c r="A2298" s="22">
        <f t="shared" si="36"/>
        <v>2297</v>
      </c>
      <c r="B2298" s="6" t="s">
        <v>5960</v>
      </c>
      <c r="C2298" s="6" t="s">
        <v>5964</v>
      </c>
      <c r="D2298" s="6" t="s">
        <v>1423</v>
      </c>
      <c r="E2298" s="6" t="s">
        <v>6478</v>
      </c>
      <c r="F2298" s="6"/>
      <c r="G2298" s="6" t="s">
        <v>63</v>
      </c>
      <c r="H2298" s="6" t="str">
        <f>IFERROR(VLOOKUP(Table2[[#This Row],[Ticket]],Okey!A:B,2,0),"")</f>
        <v>ok</v>
      </c>
      <c r="I2298" s="6" t="s">
        <v>3679</v>
      </c>
      <c r="J2298" s="6" t="str">
        <f>VLOOKUP(Table2[[#This Row],[Author]],People!A:B,2,0)</f>
        <v>LS</v>
      </c>
      <c r="K2298" s="6" t="s">
        <v>5965</v>
      </c>
      <c r="L2298" s="6"/>
      <c r="M2298" s="21" t="s">
        <v>1040</v>
      </c>
    </row>
    <row r="2299" spans="1:13" x14ac:dyDescent="0.25">
      <c r="A2299" s="23">
        <f t="shared" si="36"/>
        <v>2298</v>
      </c>
      <c r="B2299" s="7" t="s">
        <v>5960</v>
      </c>
      <c r="C2299" s="7" t="s">
        <v>5964</v>
      </c>
      <c r="D2299" s="7" t="s">
        <v>6479</v>
      </c>
      <c r="E2299" s="7" t="s">
        <v>6480</v>
      </c>
      <c r="F2299" s="7"/>
      <c r="G2299" s="7" t="s">
        <v>63</v>
      </c>
      <c r="H2299" s="7" t="str">
        <f>IFERROR(VLOOKUP(Table2[[#This Row],[Ticket]],Okey!A:B,2,0),"")</f>
        <v>ok</v>
      </c>
      <c r="I2299" s="7" t="s">
        <v>3679</v>
      </c>
      <c r="J2299" s="7" t="str">
        <f>VLOOKUP(Table2[[#This Row],[Author]],People!A:B,2,0)</f>
        <v>LS</v>
      </c>
      <c r="K2299" s="7" t="s">
        <v>5965</v>
      </c>
      <c r="L2299" s="7"/>
      <c r="M2299" s="16" t="s">
        <v>1040</v>
      </c>
    </row>
    <row r="2300" spans="1:13" x14ac:dyDescent="0.25">
      <c r="A2300" s="22">
        <f t="shared" si="36"/>
        <v>2299</v>
      </c>
      <c r="B2300" s="6" t="s">
        <v>5960</v>
      </c>
      <c r="C2300" s="6" t="s">
        <v>5964</v>
      </c>
      <c r="D2300" s="6" t="s">
        <v>6122</v>
      </c>
      <c r="E2300" s="6" t="s">
        <v>6481</v>
      </c>
      <c r="F2300" s="6"/>
      <c r="G2300" s="6" t="s">
        <v>63</v>
      </c>
      <c r="H2300" s="6" t="str">
        <f>IFERROR(VLOOKUP(Table2[[#This Row],[Ticket]],Okey!A:B,2,0),"")</f>
        <v>ok</v>
      </c>
      <c r="I2300" s="6" t="s">
        <v>3679</v>
      </c>
      <c r="J2300" s="6" t="str">
        <f>VLOOKUP(Table2[[#This Row],[Author]],People!A:B,2,0)</f>
        <v>LS</v>
      </c>
      <c r="K2300" s="6" t="s">
        <v>5965</v>
      </c>
      <c r="L2300" s="6"/>
      <c r="M2300" s="21" t="s">
        <v>1040</v>
      </c>
    </row>
    <row r="2301" spans="1:13" x14ac:dyDescent="0.25">
      <c r="A2301" s="23">
        <f t="shared" si="36"/>
        <v>2300</v>
      </c>
      <c r="B2301" s="7" t="s">
        <v>5960</v>
      </c>
      <c r="C2301" s="7" t="s">
        <v>6123</v>
      </c>
      <c r="D2301" s="7" t="s">
        <v>6482</v>
      </c>
      <c r="E2301" s="7" t="s">
        <v>6483</v>
      </c>
      <c r="F2301" s="7" t="s">
        <v>1412</v>
      </c>
      <c r="G2301" s="7" t="s">
        <v>18</v>
      </c>
      <c r="H2301" s="7" t="str">
        <f>IFERROR(VLOOKUP(Table2[[#This Row],[Ticket]],Okey!A:B,2,0),"")</f>
        <v>ok</v>
      </c>
      <c r="I2301" s="7" t="s">
        <v>3679</v>
      </c>
      <c r="J2301" s="7" t="str">
        <f>VLOOKUP(Table2[[#This Row],[Author]],People!A:B,2,0)</f>
        <v>LS</v>
      </c>
      <c r="K2301" s="7" t="s">
        <v>5965</v>
      </c>
      <c r="L2301" s="7"/>
      <c r="M2301" s="16" t="s">
        <v>1040</v>
      </c>
    </row>
    <row r="2302" spans="1:13" x14ac:dyDescent="0.25">
      <c r="A2302" s="22">
        <f t="shared" si="36"/>
        <v>2301</v>
      </c>
      <c r="B2302" s="6" t="s">
        <v>5960</v>
      </c>
      <c r="C2302" s="6" t="s">
        <v>6123</v>
      </c>
      <c r="D2302" s="6" t="s">
        <v>6484</v>
      </c>
      <c r="E2302" s="6" t="s">
        <v>6485</v>
      </c>
      <c r="F2302" s="6" t="s">
        <v>1412</v>
      </c>
      <c r="G2302" s="6" t="s">
        <v>18</v>
      </c>
      <c r="H2302" s="6" t="str">
        <f>IFERROR(VLOOKUP(Table2[[#This Row],[Ticket]],Okey!A:B,2,0),"")</f>
        <v>ok</v>
      </c>
      <c r="I2302" s="6" t="s">
        <v>3679</v>
      </c>
      <c r="J2302" s="6" t="str">
        <f>VLOOKUP(Table2[[#This Row],[Author]],People!A:B,2,0)</f>
        <v>LS</v>
      </c>
      <c r="K2302" s="6" t="s">
        <v>5965</v>
      </c>
      <c r="L2302" s="6"/>
      <c r="M2302" s="21" t="s">
        <v>1040</v>
      </c>
    </row>
    <row r="2303" spans="1:13" x14ac:dyDescent="0.25">
      <c r="A2303" s="23">
        <f t="shared" si="36"/>
        <v>2302</v>
      </c>
      <c r="B2303" s="7" t="s">
        <v>5960</v>
      </c>
      <c r="C2303" s="7" t="s">
        <v>6123</v>
      </c>
      <c r="D2303" s="7" t="s">
        <v>6486</v>
      </c>
      <c r="E2303" s="7" t="s">
        <v>6487</v>
      </c>
      <c r="F2303" s="7" t="s">
        <v>1412</v>
      </c>
      <c r="G2303" s="7" t="s">
        <v>18</v>
      </c>
      <c r="H2303" s="7" t="str">
        <f>IFERROR(VLOOKUP(Table2[[#This Row],[Ticket]],Okey!A:B,2,0),"")</f>
        <v>ok</v>
      </c>
      <c r="I2303" s="7" t="s">
        <v>3679</v>
      </c>
      <c r="J2303" s="7" t="str">
        <f>VLOOKUP(Table2[[#This Row],[Author]],People!A:B,2,0)</f>
        <v>LS</v>
      </c>
      <c r="K2303" s="7" t="s">
        <v>5965</v>
      </c>
      <c r="L2303" s="7"/>
      <c r="M2303" s="16" t="s">
        <v>1040</v>
      </c>
    </row>
    <row r="2304" spans="1:13" x14ac:dyDescent="0.25">
      <c r="A2304" s="22">
        <f t="shared" si="36"/>
        <v>2303</v>
      </c>
      <c r="B2304" s="6" t="s">
        <v>5960</v>
      </c>
      <c r="C2304" s="6" t="s">
        <v>6123</v>
      </c>
      <c r="D2304" s="6" t="s">
        <v>6488</v>
      </c>
      <c r="E2304" s="6" t="s">
        <v>6489</v>
      </c>
      <c r="F2304" s="6" t="s">
        <v>1412</v>
      </c>
      <c r="G2304" s="6" t="s">
        <v>18</v>
      </c>
      <c r="H2304" s="6" t="str">
        <f>IFERROR(VLOOKUP(Table2[[#This Row],[Ticket]],Okey!A:B,2,0),"")</f>
        <v>ok</v>
      </c>
      <c r="I2304" s="6" t="s">
        <v>3679</v>
      </c>
      <c r="J2304" s="6" t="str">
        <f>VLOOKUP(Table2[[#This Row],[Author]],People!A:B,2,0)</f>
        <v>LS</v>
      </c>
      <c r="K2304" s="6" t="s">
        <v>5965</v>
      </c>
      <c r="L2304" s="6"/>
      <c r="M2304" s="21" t="s">
        <v>1040</v>
      </c>
    </row>
    <row r="2305" spans="1:13" x14ac:dyDescent="0.25">
      <c r="A2305" s="23">
        <f t="shared" si="36"/>
        <v>2304</v>
      </c>
      <c r="B2305" s="7" t="s">
        <v>5960</v>
      </c>
      <c r="C2305" s="7" t="s">
        <v>6123</v>
      </c>
      <c r="D2305" s="7" t="s">
        <v>6490</v>
      </c>
      <c r="E2305" s="7" t="s">
        <v>6491</v>
      </c>
      <c r="F2305" s="7" t="s">
        <v>6492</v>
      </c>
      <c r="G2305" s="7" t="s">
        <v>18</v>
      </c>
      <c r="H2305" s="7" t="str">
        <f>IFERROR(VLOOKUP(Table2[[#This Row],[Ticket]],Okey!A:B,2,0),"")</f>
        <v>ok</v>
      </c>
      <c r="I2305" s="7" t="s">
        <v>3679</v>
      </c>
      <c r="J2305" s="7" t="str">
        <f>VLOOKUP(Table2[[#This Row],[Author]],People!A:B,2,0)</f>
        <v>LS</v>
      </c>
      <c r="K2305" s="7" t="s">
        <v>5965</v>
      </c>
      <c r="L2305" s="7"/>
      <c r="M2305" s="16" t="s">
        <v>1040</v>
      </c>
    </row>
    <row r="2306" spans="1:13" x14ac:dyDescent="0.25">
      <c r="A2306" s="22">
        <f t="shared" si="36"/>
        <v>2305</v>
      </c>
      <c r="B2306" s="6" t="s">
        <v>5960</v>
      </c>
      <c r="C2306" s="6" t="s">
        <v>6123</v>
      </c>
      <c r="D2306" s="6" t="s">
        <v>6493</v>
      </c>
      <c r="E2306" s="6" t="s">
        <v>6494</v>
      </c>
      <c r="F2306" s="6" t="s">
        <v>6492</v>
      </c>
      <c r="G2306" s="6" t="s">
        <v>18</v>
      </c>
      <c r="H2306" s="6" t="str">
        <f>IFERROR(VLOOKUP(Table2[[#This Row],[Ticket]],Okey!A:B,2,0),"")</f>
        <v>ok</v>
      </c>
      <c r="I2306" s="6" t="s">
        <v>3679</v>
      </c>
      <c r="J2306" s="6" t="str">
        <f>VLOOKUP(Table2[[#This Row],[Author]],People!A:B,2,0)</f>
        <v>LS</v>
      </c>
      <c r="K2306" s="6" t="s">
        <v>5965</v>
      </c>
      <c r="L2306" s="6"/>
      <c r="M2306" s="21" t="s">
        <v>1040</v>
      </c>
    </row>
    <row r="2307" spans="1:13" x14ac:dyDescent="0.25">
      <c r="A2307" s="23">
        <f t="shared" si="36"/>
        <v>2306</v>
      </c>
      <c r="B2307" s="7" t="s">
        <v>5960</v>
      </c>
      <c r="C2307" s="7" t="s">
        <v>6123</v>
      </c>
      <c r="D2307" s="7" t="s">
        <v>6495</v>
      </c>
      <c r="E2307" s="7" t="s">
        <v>6496</v>
      </c>
      <c r="F2307" s="7" t="s">
        <v>6492</v>
      </c>
      <c r="G2307" s="7" t="s">
        <v>18</v>
      </c>
      <c r="H2307" s="7" t="str">
        <f>IFERROR(VLOOKUP(Table2[[#This Row],[Ticket]],Okey!A:B,2,0),"")</f>
        <v>ok</v>
      </c>
      <c r="I2307" s="7" t="s">
        <v>3679</v>
      </c>
      <c r="J2307" s="7" t="str">
        <f>VLOOKUP(Table2[[#This Row],[Author]],People!A:B,2,0)</f>
        <v>LS</v>
      </c>
      <c r="K2307" s="7" t="s">
        <v>5965</v>
      </c>
      <c r="L2307" s="7"/>
      <c r="M2307" s="16" t="s">
        <v>1040</v>
      </c>
    </row>
    <row r="2308" spans="1:13" x14ac:dyDescent="0.25">
      <c r="A2308" s="22">
        <f t="shared" si="36"/>
        <v>2307</v>
      </c>
      <c r="B2308" s="6" t="s">
        <v>5960</v>
      </c>
      <c r="C2308" s="6" t="s">
        <v>6123</v>
      </c>
      <c r="D2308" s="6" t="s">
        <v>6497</v>
      </c>
      <c r="E2308" s="6" t="s">
        <v>6498</v>
      </c>
      <c r="F2308" s="6" t="s">
        <v>6492</v>
      </c>
      <c r="G2308" s="6" t="s">
        <v>18</v>
      </c>
      <c r="H2308" s="6" t="str">
        <f>IFERROR(VLOOKUP(Table2[[#This Row],[Ticket]],Okey!A:B,2,0),"")</f>
        <v>ok</v>
      </c>
      <c r="I2308" s="6" t="s">
        <v>3679</v>
      </c>
      <c r="J2308" s="6" t="str">
        <f>VLOOKUP(Table2[[#This Row],[Author]],People!A:B,2,0)</f>
        <v>LS</v>
      </c>
      <c r="K2308" s="6" t="s">
        <v>5965</v>
      </c>
      <c r="L2308" s="6"/>
      <c r="M2308" s="21" t="s">
        <v>1040</v>
      </c>
    </row>
    <row r="2309" spans="1:13" x14ac:dyDescent="0.25">
      <c r="A2309" s="23">
        <f t="shared" si="36"/>
        <v>2308</v>
      </c>
      <c r="B2309" s="7" t="s">
        <v>5960</v>
      </c>
      <c r="C2309" s="7" t="s">
        <v>6123</v>
      </c>
      <c r="D2309" s="7" t="s">
        <v>6499</v>
      </c>
      <c r="E2309" s="7" t="s">
        <v>6500</v>
      </c>
      <c r="F2309" s="7" t="s">
        <v>6501</v>
      </c>
      <c r="G2309" s="7" t="s">
        <v>18</v>
      </c>
      <c r="H2309" s="7" t="str">
        <f>IFERROR(VLOOKUP(Table2[[#This Row],[Ticket]],Okey!A:B,2,0),"")</f>
        <v>ok</v>
      </c>
      <c r="I2309" s="7" t="s">
        <v>3679</v>
      </c>
      <c r="J2309" s="7" t="str">
        <f>VLOOKUP(Table2[[#This Row],[Author]],People!A:B,2,0)</f>
        <v>LS</v>
      </c>
      <c r="K2309" s="7" t="s">
        <v>5965</v>
      </c>
      <c r="L2309" s="7"/>
      <c r="M2309" s="16" t="s">
        <v>1040</v>
      </c>
    </row>
    <row r="2310" spans="1:13" x14ac:dyDescent="0.25">
      <c r="A2310" s="22">
        <f t="shared" si="36"/>
        <v>2309</v>
      </c>
      <c r="B2310" s="6" t="s">
        <v>5960</v>
      </c>
      <c r="C2310" s="6" t="s">
        <v>6123</v>
      </c>
      <c r="D2310" s="6" t="s">
        <v>6502</v>
      </c>
      <c r="E2310" s="6" t="s">
        <v>6503</v>
      </c>
      <c r="F2310" s="6" t="s">
        <v>6501</v>
      </c>
      <c r="G2310" s="6" t="s">
        <v>18</v>
      </c>
      <c r="H2310" s="6" t="str">
        <f>IFERROR(VLOOKUP(Table2[[#This Row],[Ticket]],Okey!A:B,2,0),"")</f>
        <v>ok</v>
      </c>
      <c r="I2310" s="6" t="s">
        <v>3679</v>
      </c>
      <c r="J2310" s="6" t="str">
        <f>VLOOKUP(Table2[[#This Row],[Author]],People!A:B,2,0)</f>
        <v>LS</v>
      </c>
      <c r="K2310" s="6" t="s">
        <v>5965</v>
      </c>
      <c r="L2310" s="6"/>
      <c r="M2310" s="21" t="s">
        <v>1040</v>
      </c>
    </row>
    <row r="2311" spans="1:13" x14ac:dyDescent="0.25">
      <c r="A2311" s="23">
        <f t="shared" si="36"/>
        <v>2310</v>
      </c>
      <c r="B2311" s="7" t="s">
        <v>5960</v>
      </c>
      <c r="C2311" s="7" t="s">
        <v>6123</v>
      </c>
      <c r="D2311" s="7" t="s">
        <v>6504</v>
      </c>
      <c r="E2311" s="7" t="s">
        <v>6505</v>
      </c>
      <c r="F2311" s="7" t="s">
        <v>6501</v>
      </c>
      <c r="G2311" s="7" t="s">
        <v>18</v>
      </c>
      <c r="H2311" s="7" t="str">
        <f>IFERROR(VLOOKUP(Table2[[#This Row],[Ticket]],Okey!A:B,2,0),"")</f>
        <v>ok</v>
      </c>
      <c r="I2311" s="7" t="s">
        <v>3679</v>
      </c>
      <c r="J2311" s="7" t="str">
        <f>VLOOKUP(Table2[[#This Row],[Author]],People!A:B,2,0)</f>
        <v>LS</v>
      </c>
      <c r="K2311" s="7" t="s">
        <v>5965</v>
      </c>
      <c r="L2311" s="7"/>
      <c r="M2311" s="16" t="s">
        <v>1040</v>
      </c>
    </row>
    <row r="2312" spans="1:13" x14ac:dyDescent="0.25">
      <c r="A2312" s="22">
        <f t="shared" si="36"/>
        <v>2311</v>
      </c>
      <c r="B2312" s="6" t="s">
        <v>5960</v>
      </c>
      <c r="C2312" s="6" t="s">
        <v>6123</v>
      </c>
      <c r="D2312" s="6" t="s">
        <v>6506</v>
      </c>
      <c r="E2312" s="6" t="s">
        <v>6507</v>
      </c>
      <c r="F2312" s="6" t="s">
        <v>6508</v>
      </c>
      <c r="G2312" s="6" t="s">
        <v>18</v>
      </c>
      <c r="H2312" s="6" t="str">
        <f>IFERROR(VLOOKUP(Table2[[#This Row],[Ticket]],Okey!A:B,2,0),"")</f>
        <v>ok</v>
      </c>
      <c r="I2312" s="6" t="s">
        <v>3679</v>
      </c>
      <c r="J2312" s="6" t="str">
        <f>VLOOKUP(Table2[[#This Row],[Author]],People!A:B,2,0)</f>
        <v>LS</v>
      </c>
      <c r="K2312" s="6" t="s">
        <v>5965</v>
      </c>
      <c r="L2312" s="6"/>
      <c r="M2312" s="21" t="s">
        <v>1040</v>
      </c>
    </row>
    <row r="2313" spans="1:13" x14ac:dyDescent="0.25">
      <c r="A2313" s="23">
        <f t="shared" si="36"/>
        <v>2312</v>
      </c>
      <c r="B2313" s="7" t="s">
        <v>5960</v>
      </c>
      <c r="C2313" s="7" t="s">
        <v>6123</v>
      </c>
      <c r="D2313" s="7" t="s">
        <v>6509</v>
      </c>
      <c r="E2313" s="7" t="s">
        <v>6510</v>
      </c>
      <c r="F2313" s="7" t="s">
        <v>6508</v>
      </c>
      <c r="G2313" s="7" t="s">
        <v>18</v>
      </c>
      <c r="H2313" s="7" t="str">
        <f>IFERROR(VLOOKUP(Table2[[#This Row],[Ticket]],Okey!A:B,2,0),"")</f>
        <v>ok</v>
      </c>
      <c r="I2313" s="7" t="s">
        <v>3679</v>
      </c>
      <c r="J2313" s="7" t="str">
        <f>VLOOKUP(Table2[[#This Row],[Author]],People!A:B,2,0)</f>
        <v>LS</v>
      </c>
      <c r="K2313" s="7" t="s">
        <v>5965</v>
      </c>
      <c r="L2313" s="7"/>
      <c r="M2313" s="16" t="s">
        <v>1040</v>
      </c>
    </row>
    <row r="2314" spans="1:13" x14ac:dyDescent="0.25">
      <c r="A2314" s="22">
        <f t="shared" si="36"/>
        <v>2313</v>
      </c>
      <c r="B2314" s="6" t="s">
        <v>5960</v>
      </c>
      <c r="C2314" s="6" t="s">
        <v>6123</v>
      </c>
      <c r="D2314" s="6" t="s">
        <v>6511</v>
      </c>
      <c r="E2314" s="6" t="s">
        <v>6512</v>
      </c>
      <c r="F2314" s="6" t="s">
        <v>6508</v>
      </c>
      <c r="G2314" s="6" t="s">
        <v>18</v>
      </c>
      <c r="H2314" s="6" t="str">
        <f>IFERROR(VLOOKUP(Table2[[#This Row],[Ticket]],Okey!A:B,2,0),"")</f>
        <v>ok</v>
      </c>
      <c r="I2314" s="6" t="s">
        <v>3679</v>
      </c>
      <c r="J2314" s="6" t="str">
        <f>VLOOKUP(Table2[[#This Row],[Author]],People!A:B,2,0)</f>
        <v>LS</v>
      </c>
      <c r="K2314" s="6" t="s">
        <v>5965</v>
      </c>
      <c r="L2314" s="6"/>
      <c r="M2314" s="21" t="s">
        <v>1040</v>
      </c>
    </row>
    <row r="2315" spans="1:13" x14ac:dyDescent="0.25">
      <c r="A2315" s="23">
        <f t="shared" si="36"/>
        <v>2314</v>
      </c>
      <c r="B2315" s="7" t="s">
        <v>5960</v>
      </c>
      <c r="C2315" s="7" t="s">
        <v>6123</v>
      </c>
      <c r="D2315" s="7" t="s">
        <v>6513</v>
      </c>
      <c r="E2315" s="7" t="s">
        <v>6514</v>
      </c>
      <c r="F2315" s="7" t="s">
        <v>6515</v>
      </c>
      <c r="G2315" s="7" t="s">
        <v>18</v>
      </c>
      <c r="H2315" s="7" t="str">
        <f>IFERROR(VLOOKUP(Table2[[#This Row],[Ticket]],Okey!A:B,2,0),"")</f>
        <v>ok</v>
      </c>
      <c r="I2315" s="7" t="s">
        <v>3679</v>
      </c>
      <c r="J2315" s="7" t="str">
        <f>VLOOKUP(Table2[[#This Row],[Author]],People!A:B,2,0)</f>
        <v>LS</v>
      </c>
      <c r="K2315" s="7" t="s">
        <v>5965</v>
      </c>
      <c r="L2315" s="7"/>
      <c r="M2315" s="16" t="s">
        <v>1040</v>
      </c>
    </row>
    <row r="2316" spans="1:13" x14ac:dyDescent="0.25">
      <c r="A2316" s="22">
        <f t="shared" si="36"/>
        <v>2315</v>
      </c>
      <c r="B2316" s="6" t="s">
        <v>5960</v>
      </c>
      <c r="C2316" s="6" t="s">
        <v>6123</v>
      </c>
      <c r="D2316" s="6" t="s">
        <v>6516</v>
      </c>
      <c r="E2316" s="6" t="s">
        <v>6517</v>
      </c>
      <c r="F2316" s="6" t="s">
        <v>6515</v>
      </c>
      <c r="G2316" s="6" t="s">
        <v>18</v>
      </c>
      <c r="H2316" s="6" t="str">
        <f>IFERROR(VLOOKUP(Table2[[#This Row],[Ticket]],Okey!A:B,2,0),"")</f>
        <v>ok</v>
      </c>
      <c r="I2316" s="6" t="s">
        <v>3679</v>
      </c>
      <c r="J2316" s="6" t="str">
        <f>VLOOKUP(Table2[[#This Row],[Author]],People!A:B,2,0)</f>
        <v>LS</v>
      </c>
      <c r="K2316" s="6" t="s">
        <v>5965</v>
      </c>
      <c r="L2316" s="6"/>
      <c r="M2316" s="21" t="s">
        <v>1040</v>
      </c>
    </row>
    <row r="2317" spans="1:13" x14ac:dyDescent="0.25">
      <c r="A2317" s="23">
        <f t="shared" si="36"/>
        <v>2316</v>
      </c>
      <c r="B2317" s="7" t="s">
        <v>5960</v>
      </c>
      <c r="C2317" s="7" t="s">
        <v>6123</v>
      </c>
      <c r="D2317" s="7" t="s">
        <v>6518</v>
      </c>
      <c r="E2317" s="7" t="s">
        <v>6519</v>
      </c>
      <c r="F2317" s="7" t="s">
        <v>6515</v>
      </c>
      <c r="G2317" s="7" t="s">
        <v>18</v>
      </c>
      <c r="H2317" s="7" t="str">
        <f>IFERROR(VLOOKUP(Table2[[#This Row],[Ticket]],Okey!A:B,2,0),"")</f>
        <v>ok</v>
      </c>
      <c r="I2317" s="7" t="s">
        <v>3679</v>
      </c>
      <c r="J2317" s="7" t="str">
        <f>VLOOKUP(Table2[[#This Row],[Author]],People!A:B,2,0)</f>
        <v>LS</v>
      </c>
      <c r="K2317" s="7" t="s">
        <v>5965</v>
      </c>
      <c r="L2317" s="7"/>
      <c r="M2317" s="16" t="s">
        <v>1040</v>
      </c>
    </row>
    <row r="2318" spans="1:13" x14ac:dyDescent="0.25">
      <c r="A2318" s="22">
        <f t="shared" si="36"/>
        <v>2317</v>
      </c>
      <c r="B2318" s="6" t="s">
        <v>5960</v>
      </c>
      <c r="C2318" s="6" t="s">
        <v>6123</v>
      </c>
      <c r="D2318" s="6" t="s">
        <v>6520</v>
      </c>
      <c r="E2318" s="6" t="s">
        <v>6521</v>
      </c>
      <c r="F2318" s="6" t="s">
        <v>6515</v>
      </c>
      <c r="G2318" s="6" t="s">
        <v>18</v>
      </c>
      <c r="H2318" s="6" t="str">
        <f>IFERROR(VLOOKUP(Table2[[#This Row],[Ticket]],Okey!A:B,2,0),"")</f>
        <v>ok</v>
      </c>
      <c r="I2318" s="6" t="s">
        <v>3679</v>
      </c>
      <c r="J2318" s="6" t="str">
        <f>VLOOKUP(Table2[[#This Row],[Author]],People!A:B,2,0)</f>
        <v>LS</v>
      </c>
      <c r="K2318" s="6" t="s">
        <v>5965</v>
      </c>
      <c r="L2318" s="6"/>
      <c r="M2318" s="21" t="s">
        <v>1040</v>
      </c>
    </row>
    <row r="2319" spans="1:13" x14ac:dyDescent="0.25">
      <c r="A2319" s="23">
        <f t="shared" si="36"/>
        <v>2318</v>
      </c>
      <c r="B2319" s="7" t="s">
        <v>5960</v>
      </c>
      <c r="C2319" s="7" t="s">
        <v>6123</v>
      </c>
      <c r="D2319" s="7" t="s">
        <v>6522</v>
      </c>
      <c r="E2319" s="7" t="s">
        <v>6523</v>
      </c>
      <c r="F2319" s="7" t="s">
        <v>6515</v>
      </c>
      <c r="G2319" s="7" t="s">
        <v>18</v>
      </c>
      <c r="H2319" s="7" t="str">
        <f>IFERROR(VLOOKUP(Table2[[#This Row],[Ticket]],Okey!A:B,2,0),"")</f>
        <v>ok</v>
      </c>
      <c r="I2319" s="7" t="s">
        <v>3679</v>
      </c>
      <c r="J2319" s="7" t="str">
        <f>VLOOKUP(Table2[[#This Row],[Author]],People!A:B,2,0)</f>
        <v>LS</v>
      </c>
      <c r="K2319" s="7" t="s">
        <v>5965</v>
      </c>
      <c r="L2319" s="7"/>
      <c r="M2319" s="16" t="s">
        <v>1040</v>
      </c>
    </row>
    <row r="2320" spans="1:13" x14ac:dyDescent="0.25">
      <c r="A2320" s="22">
        <f t="shared" si="36"/>
        <v>2319</v>
      </c>
      <c r="B2320" s="6" t="s">
        <v>5960</v>
      </c>
      <c r="C2320" s="6" t="s">
        <v>6123</v>
      </c>
      <c r="D2320" s="6" t="s">
        <v>1262</v>
      </c>
      <c r="E2320" s="6" t="s">
        <v>6524</v>
      </c>
      <c r="F2320" s="6" t="s">
        <v>1376</v>
      </c>
      <c r="G2320" s="6" t="s">
        <v>18</v>
      </c>
      <c r="H2320" s="6" t="str">
        <f>IFERROR(VLOOKUP(Table2[[#This Row],[Ticket]],Okey!A:B,2,0),"")</f>
        <v>ok</v>
      </c>
      <c r="I2320" s="6" t="s">
        <v>3679</v>
      </c>
      <c r="J2320" s="6" t="str">
        <f>VLOOKUP(Table2[[#This Row],[Author]],People!A:B,2,0)</f>
        <v>LS</v>
      </c>
      <c r="K2320" s="6" t="s">
        <v>5965</v>
      </c>
      <c r="L2320" s="6"/>
      <c r="M2320" s="21" t="s">
        <v>1040</v>
      </c>
    </row>
    <row r="2321" spans="1:13" x14ac:dyDescent="0.25">
      <c r="A2321" s="23">
        <f t="shared" si="36"/>
        <v>2320</v>
      </c>
      <c r="B2321" s="7" t="s">
        <v>5960</v>
      </c>
      <c r="C2321" s="7" t="s">
        <v>6123</v>
      </c>
      <c r="D2321" s="7" t="s">
        <v>1255</v>
      </c>
      <c r="E2321" s="7" t="s">
        <v>6525</v>
      </c>
      <c r="F2321" s="7" t="s">
        <v>1376</v>
      </c>
      <c r="G2321" s="7" t="s">
        <v>18</v>
      </c>
      <c r="H2321" s="7" t="str">
        <f>IFERROR(VLOOKUP(Table2[[#This Row],[Ticket]],Okey!A:B,2,0),"")</f>
        <v>ok</v>
      </c>
      <c r="I2321" s="7" t="s">
        <v>3679</v>
      </c>
      <c r="J2321" s="7" t="str">
        <f>VLOOKUP(Table2[[#This Row],[Author]],People!A:B,2,0)</f>
        <v>LS</v>
      </c>
      <c r="K2321" s="7" t="s">
        <v>5965</v>
      </c>
      <c r="L2321" s="7"/>
      <c r="M2321" s="16" t="s">
        <v>1040</v>
      </c>
    </row>
    <row r="2322" spans="1:13" x14ac:dyDescent="0.25">
      <c r="A2322" s="22">
        <f t="shared" si="36"/>
        <v>2321</v>
      </c>
      <c r="B2322" s="6" t="s">
        <v>5960</v>
      </c>
      <c r="C2322" s="6" t="s">
        <v>6123</v>
      </c>
      <c r="D2322" s="6" t="s">
        <v>6134</v>
      </c>
      <c r="E2322" s="6" t="s">
        <v>6526</v>
      </c>
      <c r="F2322" s="6" t="s">
        <v>2511</v>
      </c>
      <c r="G2322" s="6" t="s">
        <v>18</v>
      </c>
      <c r="H2322" s="6" t="str">
        <f>IFERROR(VLOOKUP(Table2[[#This Row],[Ticket]],Okey!A:B,2,0),"")</f>
        <v>ok</v>
      </c>
      <c r="I2322" s="6" t="s">
        <v>3679</v>
      </c>
      <c r="J2322" s="6" t="str">
        <f>VLOOKUP(Table2[[#This Row],[Author]],People!A:B,2,0)</f>
        <v>LS</v>
      </c>
      <c r="K2322" s="6" t="s">
        <v>5965</v>
      </c>
      <c r="L2322" s="6"/>
      <c r="M2322" s="21" t="s">
        <v>1040</v>
      </c>
    </row>
    <row r="2323" spans="1:13" x14ac:dyDescent="0.25">
      <c r="A2323" s="23">
        <f t="shared" si="36"/>
        <v>2322</v>
      </c>
      <c r="B2323" s="7" t="s">
        <v>5960</v>
      </c>
      <c r="C2323" s="7" t="s">
        <v>6123</v>
      </c>
      <c r="D2323" s="7" t="s">
        <v>6527</v>
      </c>
      <c r="E2323" s="7" t="s">
        <v>6528</v>
      </c>
      <c r="F2323" s="7" t="s">
        <v>2511</v>
      </c>
      <c r="G2323" s="7" t="s">
        <v>18</v>
      </c>
      <c r="H2323" s="7" t="str">
        <f>IFERROR(VLOOKUP(Table2[[#This Row],[Ticket]],Okey!A:B,2,0),"")</f>
        <v>ok</v>
      </c>
      <c r="I2323" s="7" t="s">
        <v>3679</v>
      </c>
      <c r="J2323" s="7" t="str">
        <f>VLOOKUP(Table2[[#This Row],[Author]],People!A:B,2,0)</f>
        <v>LS</v>
      </c>
      <c r="K2323" s="7" t="s">
        <v>5965</v>
      </c>
      <c r="L2323" s="7"/>
      <c r="M2323" s="16" t="s">
        <v>1040</v>
      </c>
    </row>
    <row r="2324" spans="1:13" x14ac:dyDescent="0.25">
      <c r="A2324" s="22">
        <f t="shared" si="36"/>
        <v>2323</v>
      </c>
      <c r="B2324" s="6" t="s">
        <v>5960</v>
      </c>
      <c r="C2324" s="6" t="s">
        <v>6123</v>
      </c>
      <c r="D2324" s="6" t="s">
        <v>6145</v>
      </c>
      <c r="E2324" s="6" t="s">
        <v>6529</v>
      </c>
      <c r="F2324" s="6" t="s">
        <v>6530</v>
      </c>
      <c r="G2324" s="6" t="s">
        <v>18</v>
      </c>
      <c r="H2324" s="6" t="str">
        <f>IFERROR(VLOOKUP(Table2[[#This Row],[Ticket]],Okey!A:B,2,0),"")</f>
        <v>ok</v>
      </c>
      <c r="I2324" s="6" t="s">
        <v>3679</v>
      </c>
      <c r="J2324" s="6" t="str">
        <f>VLOOKUP(Table2[[#This Row],[Author]],People!A:B,2,0)</f>
        <v>LS</v>
      </c>
      <c r="K2324" s="6" t="s">
        <v>5965</v>
      </c>
      <c r="L2324" s="6"/>
      <c r="M2324" s="21" t="s">
        <v>1040</v>
      </c>
    </row>
    <row r="2325" spans="1:13" x14ac:dyDescent="0.25">
      <c r="A2325" s="23">
        <f t="shared" si="36"/>
        <v>2324</v>
      </c>
      <c r="B2325" s="7" t="s">
        <v>5960</v>
      </c>
      <c r="C2325" s="7" t="s">
        <v>6123</v>
      </c>
      <c r="D2325" s="7" t="s">
        <v>6148</v>
      </c>
      <c r="E2325" s="7" t="s">
        <v>6531</v>
      </c>
      <c r="F2325" s="7" t="s">
        <v>6530</v>
      </c>
      <c r="G2325" s="7" t="s">
        <v>18</v>
      </c>
      <c r="H2325" s="7" t="str">
        <f>IFERROR(VLOOKUP(Table2[[#This Row],[Ticket]],Okey!A:B,2,0),"")</f>
        <v>ok</v>
      </c>
      <c r="I2325" s="7" t="s">
        <v>3679</v>
      </c>
      <c r="J2325" s="7" t="str">
        <f>VLOOKUP(Table2[[#This Row],[Author]],People!A:B,2,0)</f>
        <v>LS</v>
      </c>
      <c r="K2325" s="7" t="s">
        <v>5965</v>
      </c>
      <c r="L2325" s="7"/>
      <c r="M2325" s="16" t="s">
        <v>1040</v>
      </c>
    </row>
    <row r="2326" spans="1:13" x14ac:dyDescent="0.25">
      <c r="A2326" s="22">
        <f t="shared" si="36"/>
        <v>2325</v>
      </c>
      <c r="B2326" s="6" t="s">
        <v>5960</v>
      </c>
      <c r="C2326" s="6" t="s">
        <v>6123</v>
      </c>
      <c r="D2326" s="6" t="s">
        <v>6176</v>
      </c>
      <c r="E2326" s="6" t="s">
        <v>6532</v>
      </c>
      <c r="F2326" s="6" t="s">
        <v>6530</v>
      </c>
      <c r="G2326" s="6" t="s">
        <v>18</v>
      </c>
      <c r="H2326" s="6" t="str">
        <f>IFERROR(VLOOKUP(Table2[[#This Row],[Ticket]],Okey!A:B,2,0),"")</f>
        <v>ok</v>
      </c>
      <c r="I2326" s="6" t="s">
        <v>3679</v>
      </c>
      <c r="J2326" s="6" t="str">
        <f>VLOOKUP(Table2[[#This Row],[Author]],People!A:B,2,0)</f>
        <v>LS</v>
      </c>
      <c r="K2326" s="6" t="s">
        <v>5965</v>
      </c>
      <c r="L2326" s="6"/>
      <c r="M2326" s="21" t="s">
        <v>1040</v>
      </c>
    </row>
    <row r="2327" spans="1:13" x14ac:dyDescent="0.25">
      <c r="A2327" s="23">
        <f t="shared" si="36"/>
        <v>2326</v>
      </c>
      <c r="B2327" s="7" t="s">
        <v>5960</v>
      </c>
      <c r="C2327" s="7" t="s">
        <v>6123</v>
      </c>
      <c r="D2327" s="7" t="s">
        <v>6533</v>
      </c>
      <c r="E2327" s="7" t="s">
        <v>6534</v>
      </c>
      <c r="F2327" s="7" t="s">
        <v>6530</v>
      </c>
      <c r="G2327" s="7" t="s">
        <v>18</v>
      </c>
      <c r="H2327" s="7" t="str">
        <f>IFERROR(VLOOKUP(Table2[[#This Row],[Ticket]],Okey!A:B,2,0),"")</f>
        <v>ok</v>
      </c>
      <c r="I2327" s="7" t="s">
        <v>3679</v>
      </c>
      <c r="J2327" s="7" t="str">
        <f>VLOOKUP(Table2[[#This Row],[Author]],People!A:B,2,0)</f>
        <v>LS</v>
      </c>
      <c r="K2327" s="7" t="s">
        <v>5965</v>
      </c>
      <c r="L2327" s="7"/>
      <c r="M2327" s="16" t="s">
        <v>1040</v>
      </c>
    </row>
    <row r="2328" spans="1:13" x14ac:dyDescent="0.25">
      <c r="A2328" s="22">
        <f t="shared" si="36"/>
        <v>2327</v>
      </c>
      <c r="B2328" s="6" t="s">
        <v>5960</v>
      </c>
      <c r="C2328" s="6" t="s">
        <v>6123</v>
      </c>
      <c r="D2328" s="6" t="s">
        <v>6535</v>
      </c>
      <c r="E2328" s="6" t="s">
        <v>6536</v>
      </c>
      <c r="F2328" s="6" t="s">
        <v>2526</v>
      </c>
      <c r="G2328" s="6" t="s">
        <v>18</v>
      </c>
      <c r="H2328" s="6" t="str">
        <f>IFERROR(VLOOKUP(Table2[[#This Row],[Ticket]],Okey!A:B,2,0),"")</f>
        <v>ok</v>
      </c>
      <c r="I2328" s="6" t="s">
        <v>3679</v>
      </c>
      <c r="J2328" s="6" t="str">
        <f>VLOOKUP(Table2[[#This Row],[Author]],People!A:B,2,0)</f>
        <v>LS</v>
      </c>
      <c r="K2328" s="6" t="s">
        <v>5965</v>
      </c>
      <c r="L2328" s="6"/>
      <c r="M2328" s="21" t="s">
        <v>1040</v>
      </c>
    </row>
    <row r="2329" spans="1:13" x14ac:dyDescent="0.25">
      <c r="A2329" s="23">
        <f t="shared" si="36"/>
        <v>2328</v>
      </c>
      <c r="B2329" s="7" t="s">
        <v>5960</v>
      </c>
      <c r="C2329" s="7" t="s">
        <v>6123</v>
      </c>
      <c r="D2329" s="7" t="s">
        <v>1113</v>
      </c>
      <c r="E2329" s="7" t="s">
        <v>6537</v>
      </c>
      <c r="F2329" s="7" t="s">
        <v>6218</v>
      </c>
      <c r="G2329" s="7" t="s">
        <v>18</v>
      </c>
      <c r="H2329" s="7" t="str">
        <f>IFERROR(VLOOKUP(Table2[[#This Row],[Ticket]],Okey!A:B,2,0),"")</f>
        <v>ok</v>
      </c>
      <c r="I2329" s="7" t="s">
        <v>3679</v>
      </c>
      <c r="J2329" s="7" t="str">
        <f>VLOOKUP(Table2[[#This Row],[Author]],People!A:B,2,0)</f>
        <v>LS</v>
      </c>
      <c r="K2329" s="7" t="s">
        <v>5965</v>
      </c>
      <c r="L2329" s="7"/>
      <c r="M2329" s="16" t="s">
        <v>1040</v>
      </c>
    </row>
    <row r="2330" spans="1:13" x14ac:dyDescent="0.25">
      <c r="A2330" s="22">
        <f t="shared" si="36"/>
        <v>2329</v>
      </c>
      <c r="B2330" s="6" t="s">
        <v>5960</v>
      </c>
      <c r="C2330" s="6" t="s">
        <v>6123</v>
      </c>
      <c r="D2330" s="6" t="s">
        <v>6201</v>
      </c>
      <c r="E2330" s="6" t="s">
        <v>6538</v>
      </c>
      <c r="F2330" s="6" t="s">
        <v>6195</v>
      </c>
      <c r="G2330" s="6" t="s">
        <v>18</v>
      </c>
      <c r="H2330" s="6" t="str">
        <f>IFERROR(VLOOKUP(Table2[[#This Row],[Ticket]],Okey!A:B,2,0),"")</f>
        <v>ok</v>
      </c>
      <c r="I2330" s="6" t="s">
        <v>3679</v>
      </c>
      <c r="J2330" s="6" t="str">
        <f>VLOOKUP(Table2[[#This Row],[Author]],People!A:B,2,0)</f>
        <v>LS</v>
      </c>
      <c r="K2330" s="6" t="s">
        <v>5965</v>
      </c>
      <c r="L2330" s="6"/>
      <c r="M2330" s="21" t="s">
        <v>1040</v>
      </c>
    </row>
    <row r="2331" spans="1:13" x14ac:dyDescent="0.25">
      <c r="A2331" s="23">
        <f t="shared" si="36"/>
        <v>2330</v>
      </c>
      <c r="B2331" s="7" t="s">
        <v>5960</v>
      </c>
      <c r="C2331" s="7" t="s">
        <v>6123</v>
      </c>
      <c r="D2331" s="7" t="s">
        <v>1376</v>
      </c>
      <c r="E2331" s="7" t="s">
        <v>6539</v>
      </c>
      <c r="F2331" s="7" t="s">
        <v>6540</v>
      </c>
      <c r="G2331" s="7" t="s">
        <v>18</v>
      </c>
      <c r="H2331" s="7" t="str">
        <f>IFERROR(VLOOKUP(Table2[[#This Row],[Ticket]],Okey!A:B,2,0),"")</f>
        <v>ok</v>
      </c>
      <c r="I2331" s="7" t="s">
        <v>3679</v>
      </c>
      <c r="J2331" s="7" t="str">
        <f>VLOOKUP(Table2[[#This Row],[Author]],People!A:B,2,0)</f>
        <v>LS</v>
      </c>
      <c r="K2331" s="7" t="s">
        <v>5965</v>
      </c>
      <c r="L2331" s="7"/>
      <c r="M2331" s="16" t="s">
        <v>1040</v>
      </c>
    </row>
    <row r="2332" spans="1:13" x14ac:dyDescent="0.25">
      <c r="A2332" s="22">
        <f t="shared" si="36"/>
        <v>2331</v>
      </c>
      <c r="B2332" s="6" t="s">
        <v>5960</v>
      </c>
      <c r="C2332" s="6" t="s">
        <v>6123</v>
      </c>
      <c r="D2332" s="6" t="s">
        <v>6541</v>
      </c>
      <c r="E2332" s="6" t="s">
        <v>6542</v>
      </c>
      <c r="F2332" s="6" t="s">
        <v>6540</v>
      </c>
      <c r="G2332" s="6" t="s">
        <v>18</v>
      </c>
      <c r="H2332" s="6" t="str">
        <f>IFERROR(VLOOKUP(Table2[[#This Row],[Ticket]],Okey!A:B,2,0),"")</f>
        <v>ok</v>
      </c>
      <c r="I2332" s="6" t="s">
        <v>3679</v>
      </c>
      <c r="J2332" s="6" t="str">
        <f>VLOOKUP(Table2[[#This Row],[Author]],People!A:B,2,0)</f>
        <v>LS</v>
      </c>
      <c r="K2332" s="6" t="s">
        <v>5965</v>
      </c>
      <c r="L2332" s="6"/>
      <c r="M2332" s="21" t="s">
        <v>1040</v>
      </c>
    </row>
    <row r="2333" spans="1:13" x14ac:dyDescent="0.25">
      <c r="A2333" s="23">
        <f t="shared" si="36"/>
        <v>2332</v>
      </c>
      <c r="B2333" s="7" t="s">
        <v>5960</v>
      </c>
      <c r="C2333" s="7" t="s">
        <v>6123</v>
      </c>
      <c r="D2333" s="7" t="s">
        <v>1272</v>
      </c>
      <c r="E2333" s="7" t="s">
        <v>6543</v>
      </c>
      <c r="F2333" s="7" t="s">
        <v>6161</v>
      </c>
      <c r="G2333" s="7" t="s">
        <v>18</v>
      </c>
      <c r="H2333" s="7" t="str">
        <f>IFERROR(VLOOKUP(Table2[[#This Row],[Ticket]],Okey!A:B,2,0),"")</f>
        <v>ok</v>
      </c>
      <c r="I2333" s="7" t="s">
        <v>3679</v>
      </c>
      <c r="J2333" s="7" t="str">
        <f>VLOOKUP(Table2[[#This Row],[Author]],People!A:B,2,0)</f>
        <v>LS</v>
      </c>
      <c r="K2333" s="7" t="s">
        <v>5965</v>
      </c>
      <c r="L2333" s="7"/>
      <c r="M2333" s="16" t="s">
        <v>1040</v>
      </c>
    </row>
    <row r="2334" spans="1:13" x14ac:dyDescent="0.25">
      <c r="A2334" s="22">
        <f t="shared" si="36"/>
        <v>2333</v>
      </c>
      <c r="B2334" s="6" t="s">
        <v>5960</v>
      </c>
      <c r="C2334" s="6" t="s">
        <v>6123</v>
      </c>
      <c r="D2334" s="6" t="s">
        <v>6544</v>
      </c>
      <c r="E2334" s="6" t="s">
        <v>6545</v>
      </c>
      <c r="F2334" s="6" t="s">
        <v>6158</v>
      </c>
      <c r="G2334" s="6" t="s">
        <v>18</v>
      </c>
      <c r="H2334" s="6" t="str">
        <f>IFERROR(VLOOKUP(Table2[[#This Row],[Ticket]],Okey!A:B,2,0),"")</f>
        <v>ok</v>
      </c>
      <c r="I2334" s="6" t="s">
        <v>3679</v>
      </c>
      <c r="J2334" s="6" t="str">
        <f>VLOOKUP(Table2[[#This Row],[Author]],People!A:B,2,0)</f>
        <v>LS</v>
      </c>
      <c r="K2334" s="6" t="s">
        <v>5965</v>
      </c>
      <c r="L2334" s="6"/>
      <c r="M2334" s="21" t="s">
        <v>1040</v>
      </c>
    </row>
    <row r="2335" spans="1:13" x14ac:dyDescent="0.25">
      <c r="A2335" s="23">
        <f t="shared" si="36"/>
        <v>2334</v>
      </c>
      <c r="B2335" s="7" t="s">
        <v>5960</v>
      </c>
      <c r="C2335" s="7" t="s">
        <v>6123</v>
      </c>
      <c r="D2335" s="7" t="s">
        <v>1412</v>
      </c>
      <c r="E2335" s="7" t="s">
        <v>6546</v>
      </c>
      <c r="F2335" s="7" t="s">
        <v>6158</v>
      </c>
      <c r="G2335" s="7" t="s">
        <v>18</v>
      </c>
      <c r="H2335" s="7" t="str">
        <f>IFERROR(VLOOKUP(Table2[[#This Row],[Ticket]],Okey!A:B,2,0),"")</f>
        <v>ok</v>
      </c>
      <c r="I2335" s="7" t="s">
        <v>3679</v>
      </c>
      <c r="J2335" s="7" t="str">
        <f>VLOOKUP(Table2[[#This Row],[Author]],People!A:B,2,0)</f>
        <v>LS</v>
      </c>
      <c r="K2335" s="7" t="s">
        <v>5965</v>
      </c>
      <c r="L2335" s="7"/>
      <c r="M2335" s="16" t="s">
        <v>1040</v>
      </c>
    </row>
    <row r="2336" spans="1:13" x14ac:dyDescent="0.25">
      <c r="A2336" s="22">
        <f t="shared" si="36"/>
        <v>2335</v>
      </c>
      <c r="B2336" s="6" t="s">
        <v>5960</v>
      </c>
      <c r="C2336" s="6" t="s">
        <v>6123</v>
      </c>
      <c r="D2336" s="6" t="s">
        <v>6547</v>
      </c>
      <c r="E2336" s="6" t="s">
        <v>6548</v>
      </c>
      <c r="F2336" s="6" t="s">
        <v>6158</v>
      </c>
      <c r="G2336" s="6" t="s">
        <v>18</v>
      </c>
      <c r="H2336" s="6" t="str">
        <f>IFERROR(VLOOKUP(Table2[[#This Row],[Ticket]],Okey!A:B,2,0),"")</f>
        <v>ok</v>
      </c>
      <c r="I2336" s="6" t="s">
        <v>3679</v>
      </c>
      <c r="J2336" s="6" t="str">
        <f>VLOOKUP(Table2[[#This Row],[Author]],People!A:B,2,0)</f>
        <v>LS</v>
      </c>
      <c r="K2336" s="6" t="s">
        <v>5965</v>
      </c>
      <c r="L2336" s="6"/>
      <c r="M2336" s="21" t="s">
        <v>1040</v>
      </c>
    </row>
    <row r="2337" spans="1:13" x14ac:dyDescent="0.25">
      <c r="A2337" s="23">
        <f t="shared" si="36"/>
        <v>2336</v>
      </c>
      <c r="B2337" s="7" t="s">
        <v>5960</v>
      </c>
      <c r="C2337" s="7" t="s">
        <v>6123</v>
      </c>
      <c r="D2337" s="7" t="s">
        <v>6549</v>
      </c>
      <c r="E2337" s="7" t="s">
        <v>6550</v>
      </c>
      <c r="F2337" s="7" t="s">
        <v>6551</v>
      </c>
      <c r="G2337" s="7" t="s">
        <v>18</v>
      </c>
      <c r="H2337" s="7" t="str">
        <f>IFERROR(VLOOKUP(Table2[[#This Row],[Ticket]],Okey!A:B,2,0),"")</f>
        <v>ok</v>
      </c>
      <c r="I2337" s="7" t="s">
        <v>3679</v>
      </c>
      <c r="J2337" s="7" t="str">
        <f>VLOOKUP(Table2[[#This Row],[Author]],People!A:B,2,0)</f>
        <v>LS</v>
      </c>
      <c r="K2337" s="7" t="s">
        <v>5965</v>
      </c>
      <c r="L2337" s="7"/>
      <c r="M2337" s="16" t="s">
        <v>1040</v>
      </c>
    </row>
    <row r="2338" spans="1:13" x14ac:dyDescent="0.25">
      <c r="A2338" s="22">
        <f t="shared" si="36"/>
        <v>2337</v>
      </c>
      <c r="B2338" s="6" t="s">
        <v>5960</v>
      </c>
      <c r="C2338" s="6" t="s">
        <v>6123</v>
      </c>
      <c r="D2338" s="6" t="s">
        <v>6552</v>
      </c>
      <c r="E2338" s="6" t="s">
        <v>6553</v>
      </c>
      <c r="F2338" s="6" t="s">
        <v>6551</v>
      </c>
      <c r="G2338" s="6" t="s">
        <v>18</v>
      </c>
      <c r="H2338" s="6" t="str">
        <f>IFERROR(VLOOKUP(Table2[[#This Row],[Ticket]],Okey!A:B,2,0),"")</f>
        <v>ok</v>
      </c>
      <c r="I2338" s="6" t="s">
        <v>3679</v>
      </c>
      <c r="J2338" s="6" t="str">
        <f>VLOOKUP(Table2[[#This Row],[Author]],People!A:B,2,0)</f>
        <v>LS</v>
      </c>
      <c r="K2338" s="6" t="s">
        <v>5965</v>
      </c>
      <c r="L2338" s="6"/>
      <c r="M2338" s="21" t="s">
        <v>1040</v>
      </c>
    </row>
    <row r="2339" spans="1:13" x14ac:dyDescent="0.25">
      <c r="A2339" s="23">
        <f t="shared" ref="A2339:A2402" si="37">1+A2338</f>
        <v>2338</v>
      </c>
      <c r="B2339" s="7" t="s">
        <v>5960</v>
      </c>
      <c r="C2339" s="7" t="s">
        <v>6123</v>
      </c>
      <c r="D2339" s="7" t="s">
        <v>6554</v>
      </c>
      <c r="E2339" s="7" t="s">
        <v>6555</v>
      </c>
      <c r="F2339" s="7" t="s">
        <v>6551</v>
      </c>
      <c r="G2339" s="7" t="s">
        <v>18</v>
      </c>
      <c r="H2339" s="7" t="str">
        <f>IFERROR(VLOOKUP(Table2[[#This Row],[Ticket]],Okey!A:B,2,0),"")</f>
        <v>ok</v>
      </c>
      <c r="I2339" s="7" t="s">
        <v>3679</v>
      </c>
      <c r="J2339" s="7" t="str">
        <f>VLOOKUP(Table2[[#This Row],[Author]],People!A:B,2,0)</f>
        <v>LS</v>
      </c>
      <c r="K2339" s="7" t="s">
        <v>5965</v>
      </c>
      <c r="L2339" s="7"/>
      <c r="M2339" s="16" t="s">
        <v>1040</v>
      </c>
    </row>
    <row r="2340" spans="1:13" x14ac:dyDescent="0.25">
      <c r="A2340" s="22">
        <f t="shared" si="37"/>
        <v>2339</v>
      </c>
      <c r="B2340" s="6" t="s">
        <v>5960</v>
      </c>
      <c r="C2340" s="6" t="s">
        <v>6123</v>
      </c>
      <c r="D2340" s="6" t="s">
        <v>6556</v>
      </c>
      <c r="E2340" s="6" t="s">
        <v>6557</v>
      </c>
      <c r="F2340" s="6" t="s">
        <v>6551</v>
      </c>
      <c r="G2340" s="6" t="s">
        <v>18</v>
      </c>
      <c r="H2340" s="6" t="str">
        <f>IFERROR(VLOOKUP(Table2[[#This Row],[Ticket]],Okey!A:B,2,0),"")</f>
        <v>ok</v>
      </c>
      <c r="I2340" s="6" t="s">
        <v>3679</v>
      </c>
      <c r="J2340" s="6" t="str">
        <f>VLOOKUP(Table2[[#This Row],[Author]],People!A:B,2,0)</f>
        <v>LS</v>
      </c>
      <c r="K2340" s="6" t="s">
        <v>5965</v>
      </c>
      <c r="L2340" s="6"/>
      <c r="M2340" s="21" t="s">
        <v>1040</v>
      </c>
    </row>
    <row r="2341" spans="1:13" x14ac:dyDescent="0.25">
      <c r="A2341" s="23">
        <f t="shared" si="37"/>
        <v>2340</v>
      </c>
      <c r="B2341" s="7" t="s">
        <v>5960</v>
      </c>
      <c r="C2341" s="7" t="s">
        <v>6123</v>
      </c>
      <c r="D2341" s="7" t="s">
        <v>6558</v>
      </c>
      <c r="E2341" s="7" t="s">
        <v>6559</v>
      </c>
      <c r="F2341" s="7" t="s">
        <v>6560</v>
      </c>
      <c r="G2341" s="7" t="s">
        <v>18</v>
      </c>
      <c r="H2341" s="7" t="str">
        <f>IFERROR(VLOOKUP(Table2[[#This Row],[Ticket]],Okey!A:B,2,0),"")</f>
        <v>ok</v>
      </c>
      <c r="I2341" s="7" t="s">
        <v>3679</v>
      </c>
      <c r="J2341" s="7" t="str">
        <f>VLOOKUP(Table2[[#This Row],[Author]],People!A:B,2,0)</f>
        <v>LS</v>
      </c>
      <c r="K2341" s="7" t="s">
        <v>5965</v>
      </c>
      <c r="L2341" s="7"/>
      <c r="M2341" s="16" t="s">
        <v>1040</v>
      </c>
    </row>
    <row r="2342" spans="1:13" x14ac:dyDescent="0.25">
      <c r="A2342" s="22">
        <f t="shared" si="37"/>
        <v>2341</v>
      </c>
      <c r="B2342" s="6" t="s">
        <v>5960</v>
      </c>
      <c r="C2342" s="6" t="s">
        <v>6123</v>
      </c>
      <c r="D2342" s="6" t="s">
        <v>6561</v>
      </c>
      <c r="E2342" s="6" t="s">
        <v>6562</v>
      </c>
      <c r="F2342" s="6" t="s">
        <v>6560</v>
      </c>
      <c r="G2342" s="6" t="s">
        <v>18</v>
      </c>
      <c r="H2342" s="6" t="str">
        <f>IFERROR(VLOOKUP(Table2[[#This Row],[Ticket]],Okey!A:B,2,0),"")</f>
        <v>ok</v>
      </c>
      <c r="I2342" s="6" t="s">
        <v>3679</v>
      </c>
      <c r="J2342" s="6" t="str">
        <f>VLOOKUP(Table2[[#This Row],[Author]],People!A:B,2,0)</f>
        <v>LS</v>
      </c>
      <c r="K2342" s="6" t="s">
        <v>5965</v>
      </c>
      <c r="L2342" s="6"/>
      <c r="M2342" s="21" t="s">
        <v>1040</v>
      </c>
    </row>
    <row r="2343" spans="1:13" x14ac:dyDescent="0.25">
      <c r="A2343" s="23">
        <f t="shared" si="37"/>
        <v>2342</v>
      </c>
      <c r="B2343" s="7" t="s">
        <v>5960</v>
      </c>
      <c r="C2343" s="7" t="s">
        <v>6123</v>
      </c>
      <c r="D2343" s="7" t="s">
        <v>6563</v>
      </c>
      <c r="E2343" s="7" t="s">
        <v>6564</v>
      </c>
      <c r="F2343" s="7" t="s">
        <v>1380</v>
      </c>
      <c r="G2343" s="7" t="s">
        <v>18</v>
      </c>
      <c r="H2343" s="7" t="str">
        <f>IFERROR(VLOOKUP(Table2[[#This Row],[Ticket]],Okey!A:B,2,0),"")</f>
        <v>ok</v>
      </c>
      <c r="I2343" s="7" t="s">
        <v>3679</v>
      </c>
      <c r="J2343" s="7" t="str">
        <f>VLOOKUP(Table2[[#This Row],[Author]],People!A:B,2,0)</f>
        <v>LS</v>
      </c>
      <c r="K2343" s="7" t="s">
        <v>5965</v>
      </c>
      <c r="L2343" s="7"/>
      <c r="M2343" s="16" t="s">
        <v>1040</v>
      </c>
    </row>
    <row r="2344" spans="1:13" x14ac:dyDescent="0.25">
      <c r="A2344" s="22">
        <f t="shared" si="37"/>
        <v>2343</v>
      </c>
      <c r="B2344" s="6" t="s">
        <v>5960</v>
      </c>
      <c r="C2344" s="6" t="s">
        <v>6123</v>
      </c>
      <c r="D2344" s="6" t="s">
        <v>6565</v>
      </c>
      <c r="E2344" s="6" t="s">
        <v>6566</v>
      </c>
      <c r="F2344" s="6" t="s">
        <v>1380</v>
      </c>
      <c r="G2344" s="6" t="s">
        <v>18</v>
      </c>
      <c r="H2344" s="6" t="str">
        <f>IFERROR(VLOOKUP(Table2[[#This Row],[Ticket]],Okey!A:B,2,0),"")</f>
        <v>ok</v>
      </c>
      <c r="I2344" s="6" t="s">
        <v>3679</v>
      </c>
      <c r="J2344" s="6" t="str">
        <f>VLOOKUP(Table2[[#This Row],[Author]],People!A:B,2,0)</f>
        <v>LS</v>
      </c>
      <c r="K2344" s="6" t="s">
        <v>5965</v>
      </c>
      <c r="L2344" s="6"/>
      <c r="M2344" s="21" t="s">
        <v>1040</v>
      </c>
    </row>
    <row r="2345" spans="1:13" x14ac:dyDescent="0.25">
      <c r="A2345" s="23">
        <f t="shared" si="37"/>
        <v>2344</v>
      </c>
      <c r="B2345" s="7" t="s">
        <v>5960</v>
      </c>
      <c r="C2345" s="7" t="s">
        <v>6123</v>
      </c>
      <c r="D2345" s="7" t="s">
        <v>6567</v>
      </c>
      <c r="E2345" s="7" t="s">
        <v>6568</v>
      </c>
      <c r="F2345" s="7" t="s">
        <v>1380</v>
      </c>
      <c r="G2345" s="7" t="s">
        <v>18</v>
      </c>
      <c r="H2345" s="7" t="str">
        <f>IFERROR(VLOOKUP(Table2[[#This Row],[Ticket]],Okey!A:B,2,0),"")</f>
        <v>ok</v>
      </c>
      <c r="I2345" s="7" t="s">
        <v>3679</v>
      </c>
      <c r="J2345" s="7" t="str">
        <f>VLOOKUP(Table2[[#This Row],[Author]],People!A:B,2,0)</f>
        <v>LS</v>
      </c>
      <c r="K2345" s="7" t="s">
        <v>5965</v>
      </c>
      <c r="L2345" s="7"/>
      <c r="M2345" s="16" t="s">
        <v>1040</v>
      </c>
    </row>
    <row r="2346" spans="1:13" x14ac:dyDescent="0.25">
      <c r="A2346" s="22">
        <f t="shared" si="37"/>
        <v>2345</v>
      </c>
      <c r="B2346" s="6" t="s">
        <v>5960</v>
      </c>
      <c r="C2346" s="6" t="s">
        <v>6123</v>
      </c>
      <c r="D2346" s="6" t="s">
        <v>6569</v>
      </c>
      <c r="E2346" s="6" t="s">
        <v>6570</v>
      </c>
      <c r="F2346" s="6" t="s">
        <v>1380</v>
      </c>
      <c r="G2346" s="6" t="s">
        <v>18</v>
      </c>
      <c r="H2346" s="6" t="str">
        <f>IFERROR(VLOOKUP(Table2[[#This Row],[Ticket]],Okey!A:B,2,0),"")</f>
        <v>ok</v>
      </c>
      <c r="I2346" s="6" t="s">
        <v>3679</v>
      </c>
      <c r="J2346" s="6" t="str">
        <f>VLOOKUP(Table2[[#This Row],[Author]],People!A:B,2,0)</f>
        <v>LS</v>
      </c>
      <c r="K2346" s="6" t="s">
        <v>5965</v>
      </c>
      <c r="L2346" s="6"/>
      <c r="M2346" s="21" t="s">
        <v>1040</v>
      </c>
    </row>
    <row r="2347" spans="1:13" x14ac:dyDescent="0.25">
      <c r="A2347" s="23">
        <f t="shared" si="37"/>
        <v>2346</v>
      </c>
      <c r="B2347" s="7" t="s">
        <v>5960</v>
      </c>
      <c r="C2347" s="7" t="s">
        <v>6123</v>
      </c>
      <c r="D2347" s="7" t="s">
        <v>6571</v>
      </c>
      <c r="E2347" s="7" t="s">
        <v>6572</v>
      </c>
      <c r="F2347" s="7" t="s">
        <v>1380</v>
      </c>
      <c r="G2347" s="7" t="s">
        <v>18</v>
      </c>
      <c r="H2347" s="7" t="str">
        <f>IFERROR(VLOOKUP(Table2[[#This Row],[Ticket]],Okey!A:B,2,0),"")</f>
        <v>ok</v>
      </c>
      <c r="I2347" s="7" t="s">
        <v>3679</v>
      </c>
      <c r="J2347" s="7" t="str">
        <f>VLOOKUP(Table2[[#This Row],[Author]],People!A:B,2,0)</f>
        <v>LS</v>
      </c>
      <c r="K2347" s="7" t="s">
        <v>5965</v>
      </c>
      <c r="L2347" s="7"/>
      <c r="M2347" s="16" t="s">
        <v>1040</v>
      </c>
    </row>
    <row r="2348" spans="1:13" x14ac:dyDescent="0.25">
      <c r="A2348" s="22">
        <f t="shared" si="37"/>
        <v>2347</v>
      </c>
      <c r="B2348" s="6" t="s">
        <v>5960</v>
      </c>
      <c r="C2348" s="6" t="s">
        <v>6123</v>
      </c>
      <c r="D2348" s="6" t="s">
        <v>6573</v>
      </c>
      <c r="E2348" s="6" t="s">
        <v>6574</v>
      </c>
      <c r="F2348" s="6" t="s">
        <v>1380</v>
      </c>
      <c r="G2348" s="6" t="s">
        <v>18</v>
      </c>
      <c r="H2348" s="6" t="str">
        <f>IFERROR(VLOOKUP(Table2[[#This Row],[Ticket]],Okey!A:B,2,0),"")</f>
        <v>ok</v>
      </c>
      <c r="I2348" s="6" t="s">
        <v>3679</v>
      </c>
      <c r="J2348" s="6" t="str">
        <f>VLOOKUP(Table2[[#This Row],[Author]],People!A:B,2,0)</f>
        <v>LS</v>
      </c>
      <c r="K2348" s="6" t="s">
        <v>5965</v>
      </c>
      <c r="L2348" s="6"/>
      <c r="M2348" s="21" t="s">
        <v>1040</v>
      </c>
    </row>
    <row r="2349" spans="1:13" x14ac:dyDescent="0.25">
      <c r="A2349" s="23">
        <f t="shared" si="37"/>
        <v>2348</v>
      </c>
      <c r="B2349" s="7" t="s">
        <v>5960</v>
      </c>
      <c r="C2349" s="7" t="s">
        <v>6123</v>
      </c>
      <c r="D2349" s="7" t="s">
        <v>6575</v>
      </c>
      <c r="E2349" s="7" t="s">
        <v>6576</v>
      </c>
      <c r="F2349" s="7" t="s">
        <v>1385</v>
      </c>
      <c r="G2349" s="7" t="s">
        <v>18</v>
      </c>
      <c r="H2349" s="7" t="str">
        <f>IFERROR(VLOOKUP(Table2[[#This Row],[Ticket]],Okey!A:B,2,0),"")</f>
        <v>ok</v>
      </c>
      <c r="I2349" s="7" t="s">
        <v>3679</v>
      </c>
      <c r="J2349" s="7" t="str">
        <f>VLOOKUP(Table2[[#This Row],[Author]],People!A:B,2,0)</f>
        <v>LS</v>
      </c>
      <c r="K2349" s="7" t="s">
        <v>5965</v>
      </c>
      <c r="L2349" s="7"/>
      <c r="M2349" s="16" t="s">
        <v>1040</v>
      </c>
    </row>
    <row r="2350" spans="1:13" x14ac:dyDescent="0.25">
      <c r="A2350" s="22">
        <f t="shared" si="37"/>
        <v>2349</v>
      </c>
      <c r="B2350" s="6" t="s">
        <v>5960</v>
      </c>
      <c r="C2350" s="6" t="s">
        <v>6123</v>
      </c>
      <c r="D2350" s="6" t="s">
        <v>6577</v>
      </c>
      <c r="E2350" s="6" t="s">
        <v>6578</v>
      </c>
      <c r="F2350" s="6" t="s">
        <v>1385</v>
      </c>
      <c r="G2350" s="6" t="s">
        <v>18</v>
      </c>
      <c r="H2350" s="6" t="str">
        <f>IFERROR(VLOOKUP(Table2[[#This Row],[Ticket]],Okey!A:B,2,0),"")</f>
        <v>ok</v>
      </c>
      <c r="I2350" s="6" t="s">
        <v>3679</v>
      </c>
      <c r="J2350" s="6" t="str">
        <f>VLOOKUP(Table2[[#This Row],[Author]],People!A:B,2,0)</f>
        <v>LS</v>
      </c>
      <c r="K2350" s="6" t="s">
        <v>5965</v>
      </c>
      <c r="L2350" s="6"/>
      <c r="M2350" s="21" t="s">
        <v>1040</v>
      </c>
    </row>
    <row r="2351" spans="1:13" x14ac:dyDescent="0.25">
      <c r="A2351" s="23">
        <f t="shared" si="37"/>
        <v>2350</v>
      </c>
      <c r="B2351" s="7" t="s">
        <v>5960</v>
      </c>
      <c r="C2351" s="7" t="s">
        <v>6123</v>
      </c>
      <c r="D2351" s="7" t="s">
        <v>6579</v>
      </c>
      <c r="E2351" s="7" t="s">
        <v>6580</v>
      </c>
      <c r="F2351" s="7" t="s">
        <v>1385</v>
      </c>
      <c r="G2351" s="7" t="s">
        <v>18</v>
      </c>
      <c r="H2351" s="7" t="str">
        <f>IFERROR(VLOOKUP(Table2[[#This Row],[Ticket]],Okey!A:B,2,0),"")</f>
        <v>ok</v>
      </c>
      <c r="I2351" s="7" t="s">
        <v>3679</v>
      </c>
      <c r="J2351" s="7" t="str">
        <f>VLOOKUP(Table2[[#This Row],[Author]],People!A:B,2,0)</f>
        <v>LS</v>
      </c>
      <c r="K2351" s="7" t="s">
        <v>5965</v>
      </c>
      <c r="L2351" s="7"/>
      <c r="M2351" s="16" t="s">
        <v>1040</v>
      </c>
    </row>
    <row r="2352" spans="1:13" x14ac:dyDescent="0.25">
      <c r="A2352" s="22">
        <f t="shared" si="37"/>
        <v>2351</v>
      </c>
      <c r="B2352" s="6" t="s">
        <v>5960</v>
      </c>
      <c r="C2352" s="6" t="s">
        <v>6123</v>
      </c>
      <c r="D2352" s="6" t="s">
        <v>6581</v>
      </c>
      <c r="E2352" s="6" t="s">
        <v>6582</v>
      </c>
      <c r="F2352" s="6" t="s">
        <v>1385</v>
      </c>
      <c r="G2352" s="6" t="s">
        <v>18</v>
      </c>
      <c r="H2352" s="6" t="str">
        <f>IFERROR(VLOOKUP(Table2[[#This Row],[Ticket]],Okey!A:B,2,0),"")</f>
        <v>ok</v>
      </c>
      <c r="I2352" s="6" t="s">
        <v>3679</v>
      </c>
      <c r="J2352" s="6" t="str">
        <f>VLOOKUP(Table2[[#This Row],[Author]],People!A:B,2,0)</f>
        <v>LS</v>
      </c>
      <c r="K2352" s="6" t="s">
        <v>5965</v>
      </c>
      <c r="L2352" s="6"/>
      <c r="M2352" s="21" t="s">
        <v>1040</v>
      </c>
    </row>
    <row r="2353" spans="1:13" x14ac:dyDescent="0.25">
      <c r="A2353" s="23">
        <f t="shared" si="37"/>
        <v>2352</v>
      </c>
      <c r="B2353" s="7" t="s">
        <v>5960</v>
      </c>
      <c r="C2353" s="7" t="s">
        <v>6123</v>
      </c>
      <c r="D2353" s="7" t="s">
        <v>6226</v>
      </c>
      <c r="E2353" s="7" t="s">
        <v>6583</v>
      </c>
      <c r="F2353" s="7" t="s">
        <v>1385</v>
      </c>
      <c r="G2353" s="7" t="s">
        <v>18</v>
      </c>
      <c r="H2353" s="7" t="str">
        <f>IFERROR(VLOOKUP(Table2[[#This Row],[Ticket]],Okey!A:B,2,0),"")</f>
        <v>ok</v>
      </c>
      <c r="I2353" s="7" t="s">
        <v>3679</v>
      </c>
      <c r="J2353" s="7" t="str">
        <f>VLOOKUP(Table2[[#This Row],[Author]],People!A:B,2,0)</f>
        <v>LS</v>
      </c>
      <c r="K2353" s="7" t="s">
        <v>5965</v>
      </c>
      <c r="L2353" s="7"/>
      <c r="M2353" s="16" t="s">
        <v>1040</v>
      </c>
    </row>
    <row r="2354" spans="1:13" x14ac:dyDescent="0.25">
      <c r="A2354" s="22">
        <f t="shared" si="37"/>
        <v>2353</v>
      </c>
      <c r="B2354" s="6" t="s">
        <v>5960</v>
      </c>
      <c r="C2354" s="6" t="s">
        <v>6123</v>
      </c>
      <c r="D2354" s="6" t="s">
        <v>6584</v>
      </c>
      <c r="E2354" s="6" t="s">
        <v>6585</v>
      </c>
      <c r="F2354" s="6" t="s">
        <v>1394</v>
      </c>
      <c r="G2354" s="6" t="s">
        <v>18</v>
      </c>
      <c r="H2354" s="6" t="str">
        <f>IFERROR(VLOOKUP(Table2[[#This Row],[Ticket]],Okey!A:B,2,0),"")</f>
        <v>ok</v>
      </c>
      <c r="I2354" s="6" t="s">
        <v>3679</v>
      </c>
      <c r="J2354" s="6" t="str">
        <f>VLOOKUP(Table2[[#This Row],[Author]],People!A:B,2,0)</f>
        <v>LS</v>
      </c>
      <c r="K2354" s="6" t="s">
        <v>5965</v>
      </c>
      <c r="L2354" s="6"/>
      <c r="M2354" s="21" t="s">
        <v>1040</v>
      </c>
    </row>
    <row r="2355" spans="1:13" x14ac:dyDescent="0.25">
      <c r="A2355" s="23">
        <f t="shared" si="37"/>
        <v>2354</v>
      </c>
      <c r="B2355" s="7" t="s">
        <v>5960</v>
      </c>
      <c r="C2355" s="7" t="s">
        <v>6123</v>
      </c>
      <c r="D2355" s="7" t="s">
        <v>6586</v>
      </c>
      <c r="E2355" s="7" t="s">
        <v>6587</v>
      </c>
      <c r="F2355" s="7" t="s">
        <v>1394</v>
      </c>
      <c r="G2355" s="7" t="s">
        <v>18</v>
      </c>
      <c r="H2355" s="7" t="str">
        <f>IFERROR(VLOOKUP(Table2[[#This Row],[Ticket]],Okey!A:B,2,0),"")</f>
        <v>ok</v>
      </c>
      <c r="I2355" s="7" t="s">
        <v>3679</v>
      </c>
      <c r="J2355" s="7" t="str">
        <f>VLOOKUP(Table2[[#This Row],[Author]],People!A:B,2,0)</f>
        <v>LS</v>
      </c>
      <c r="K2355" s="7" t="s">
        <v>5965</v>
      </c>
      <c r="L2355" s="7"/>
      <c r="M2355" s="16" t="s">
        <v>1040</v>
      </c>
    </row>
    <row r="2356" spans="1:13" x14ac:dyDescent="0.25">
      <c r="A2356" s="22">
        <f t="shared" si="37"/>
        <v>2355</v>
      </c>
      <c r="B2356" s="6" t="s">
        <v>5960</v>
      </c>
      <c r="C2356" s="6" t="s">
        <v>6123</v>
      </c>
      <c r="D2356" s="6" t="s">
        <v>6588</v>
      </c>
      <c r="E2356" s="6" t="s">
        <v>6589</v>
      </c>
      <c r="F2356" s="6" t="s">
        <v>1394</v>
      </c>
      <c r="G2356" s="6" t="s">
        <v>18</v>
      </c>
      <c r="H2356" s="6" t="str">
        <f>IFERROR(VLOOKUP(Table2[[#This Row],[Ticket]],Okey!A:B,2,0),"")</f>
        <v>ok</v>
      </c>
      <c r="I2356" s="6" t="s">
        <v>3679</v>
      </c>
      <c r="J2356" s="6" t="str">
        <f>VLOOKUP(Table2[[#This Row],[Author]],People!A:B,2,0)</f>
        <v>LS</v>
      </c>
      <c r="K2356" s="6" t="s">
        <v>5965</v>
      </c>
      <c r="L2356" s="6"/>
      <c r="M2356" s="21" t="s">
        <v>1040</v>
      </c>
    </row>
    <row r="2357" spans="1:13" x14ac:dyDescent="0.25">
      <c r="A2357" s="23">
        <f t="shared" si="37"/>
        <v>2356</v>
      </c>
      <c r="B2357" s="7" t="s">
        <v>5960</v>
      </c>
      <c r="C2357" s="7" t="s">
        <v>6123</v>
      </c>
      <c r="D2357" s="7" t="s">
        <v>6590</v>
      </c>
      <c r="E2357" s="7" t="s">
        <v>6591</v>
      </c>
      <c r="F2357" s="7" t="s">
        <v>1394</v>
      </c>
      <c r="G2357" s="7" t="s">
        <v>18</v>
      </c>
      <c r="H2357" s="7" t="str">
        <f>IFERROR(VLOOKUP(Table2[[#This Row],[Ticket]],Okey!A:B,2,0),"")</f>
        <v>ok</v>
      </c>
      <c r="I2357" s="7" t="s">
        <v>3679</v>
      </c>
      <c r="J2357" s="7" t="str">
        <f>VLOOKUP(Table2[[#This Row],[Author]],People!A:B,2,0)</f>
        <v>LS</v>
      </c>
      <c r="K2357" s="7" t="s">
        <v>5965</v>
      </c>
      <c r="L2357" s="7"/>
      <c r="M2357" s="16" t="s">
        <v>1040</v>
      </c>
    </row>
    <row r="2358" spans="1:13" x14ac:dyDescent="0.25">
      <c r="A2358" s="22">
        <f t="shared" si="37"/>
        <v>2357</v>
      </c>
      <c r="B2358" s="6" t="s">
        <v>5960</v>
      </c>
      <c r="C2358" s="6" t="s">
        <v>6123</v>
      </c>
      <c r="D2358" s="6" t="s">
        <v>6592</v>
      </c>
      <c r="E2358" s="6" t="s">
        <v>6593</v>
      </c>
      <c r="F2358" s="6" t="s">
        <v>1394</v>
      </c>
      <c r="G2358" s="6" t="s">
        <v>18</v>
      </c>
      <c r="H2358" s="6" t="str">
        <f>IFERROR(VLOOKUP(Table2[[#This Row],[Ticket]],Okey!A:B,2,0),"")</f>
        <v>ok</v>
      </c>
      <c r="I2358" s="6" t="s">
        <v>3679</v>
      </c>
      <c r="J2358" s="6" t="str">
        <f>VLOOKUP(Table2[[#This Row],[Author]],People!A:B,2,0)</f>
        <v>LS</v>
      </c>
      <c r="K2358" s="6" t="s">
        <v>5965</v>
      </c>
      <c r="L2358" s="6"/>
      <c r="M2358" s="21" t="s">
        <v>1040</v>
      </c>
    </row>
    <row r="2359" spans="1:13" x14ac:dyDescent="0.25">
      <c r="A2359" s="23">
        <f t="shared" si="37"/>
        <v>2358</v>
      </c>
      <c r="B2359" s="7" t="s">
        <v>5960</v>
      </c>
      <c r="C2359" s="7" t="s">
        <v>6123</v>
      </c>
      <c r="D2359" s="7" t="s">
        <v>6594</v>
      </c>
      <c r="E2359" s="7" t="s">
        <v>6595</v>
      </c>
      <c r="F2359" s="7" t="s">
        <v>1394</v>
      </c>
      <c r="G2359" s="7" t="s">
        <v>18</v>
      </c>
      <c r="H2359" s="7" t="str">
        <f>IFERROR(VLOOKUP(Table2[[#This Row],[Ticket]],Okey!A:B,2,0),"")</f>
        <v>ok</v>
      </c>
      <c r="I2359" s="7" t="s">
        <v>3679</v>
      </c>
      <c r="J2359" s="7" t="str">
        <f>VLOOKUP(Table2[[#This Row],[Author]],People!A:B,2,0)</f>
        <v>LS</v>
      </c>
      <c r="K2359" s="7" t="s">
        <v>5965</v>
      </c>
      <c r="L2359" s="7"/>
      <c r="M2359" s="16" t="s">
        <v>1040</v>
      </c>
    </row>
    <row r="2360" spans="1:13" x14ac:dyDescent="0.25">
      <c r="A2360" s="22">
        <f t="shared" si="37"/>
        <v>2359</v>
      </c>
      <c r="B2360" s="6" t="s">
        <v>5960</v>
      </c>
      <c r="C2360" s="6" t="s">
        <v>6123</v>
      </c>
      <c r="D2360" s="6" t="s">
        <v>6596</v>
      </c>
      <c r="E2360" s="6" t="s">
        <v>6597</v>
      </c>
      <c r="F2360" s="6" t="s">
        <v>1405</v>
      </c>
      <c r="G2360" s="6" t="s">
        <v>18</v>
      </c>
      <c r="H2360" s="6" t="str">
        <f>IFERROR(VLOOKUP(Table2[[#This Row],[Ticket]],Okey!A:B,2,0),"")</f>
        <v>ok</v>
      </c>
      <c r="I2360" s="6" t="s">
        <v>3679</v>
      </c>
      <c r="J2360" s="6" t="str">
        <f>VLOOKUP(Table2[[#This Row],[Author]],People!A:B,2,0)</f>
        <v>LS</v>
      </c>
      <c r="K2360" s="6" t="s">
        <v>5965</v>
      </c>
      <c r="L2360" s="6"/>
      <c r="M2360" s="21" t="s">
        <v>1040</v>
      </c>
    </row>
    <row r="2361" spans="1:13" x14ac:dyDescent="0.25">
      <c r="A2361" s="23">
        <f t="shared" si="37"/>
        <v>2360</v>
      </c>
      <c r="B2361" s="7" t="s">
        <v>5960</v>
      </c>
      <c r="C2361" s="7" t="s">
        <v>6123</v>
      </c>
      <c r="D2361" s="7" t="s">
        <v>6598</v>
      </c>
      <c r="E2361" s="7" t="s">
        <v>6599</v>
      </c>
      <c r="F2361" s="7" t="s">
        <v>1405</v>
      </c>
      <c r="G2361" s="7" t="s">
        <v>18</v>
      </c>
      <c r="H2361" s="7" t="str">
        <f>IFERROR(VLOOKUP(Table2[[#This Row],[Ticket]],Okey!A:B,2,0),"")</f>
        <v>ok</v>
      </c>
      <c r="I2361" s="7" t="s">
        <v>3679</v>
      </c>
      <c r="J2361" s="7" t="str">
        <f>VLOOKUP(Table2[[#This Row],[Author]],People!A:B,2,0)</f>
        <v>LS</v>
      </c>
      <c r="K2361" s="7" t="s">
        <v>5965</v>
      </c>
      <c r="L2361" s="7"/>
      <c r="M2361" s="16" t="s">
        <v>1040</v>
      </c>
    </row>
    <row r="2362" spans="1:13" x14ac:dyDescent="0.25">
      <c r="A2362" s="22">
        <f t="shared" si="37"/>
        <v>2361</v>
      </c>
      <c r="B2362" s="6" t="s">
        <v>5960</v>
      </c>
      <c r="C2362" s="6" t="s">
        <v>6123</v>
      </c>
      <c r="D2362" s="6" t="s">
        <v>6600</v>
      </c>
      <c r="E2362" s="6" t="s">
        <v>6601</v>
      </c>
      <c r="F2362" s="6" t="s">
        <v>1405</v>
      </c>
      <c r="G2362" s="6" t="s">
        <v>18</v>
      </c>
      <c r="H2362" s="6" t="str">
        <f>IFERROR(VLOOKUP(Table2[[#This Row],[Ticket]],Okey!A:B,2,0),"")</f>
        <v>ok</v>
      </c>
      <c r="I2362" s="6" t="s">
        <v>3679</v>
      </c>
      <c r="J2362" s="6" t="str">
        <f>VLOOKUP(Table2[[#This Row],[Author]],People!A:B,2,0)</f>
        <v>LS</v>
      </c>
      <c r="K2362" s="6" t="s">
        <v>5965</v>
      </c>
      <c r="L2362" s="6"/>
      <c r="M2362" s="21" t="s">
        <v>1040</v>
      </c>
    </row>
    <row r="2363" spans="1:13" x14ac:dyDescent="0.25">
      <c r="A2363" s="23">
        <f t="shared" si="37"/>
        <v>2362</v>
      </c>
      <c r="B2363" s="7" t="s">
        <v>5960</v>
      </c>
      <c r="C2363" s="7" t="s">
        <v>6123</v>
      </c>
      <c r="D2363" s="7" t="s">
        <v>6602</v>
      </c>
      <c r="E2363" s="7" t="s">
        <v>6603</v>
      </c>
      <c r="F2363" s="7" t="s">
        <v>1405</v>
      </c>
      <c r="G2363" s="7" t="s">
        <v>18</v>
      </c>
      <c r="H2363" s="7" t="str">
        <f>IFERROR(VLOOKUP(Table2[[#This Row],[Ticket]],Okey!A:B,2,0),"")</f>
        <v>ok</v>
      </c>
      <c r="I2363" s="7" t="s">
        <v>3679</v>
      </c>
      <c r="J2363" s="7" t="str">
        <f>VLOOKUP(Table2[[#This Row],[Author]],People!A:B,2,0)</f>
        <v>LS</v>
      </c>
      <c r="K2363" s="7" t="s">
        <v>5965</v>
      </c>
      <c r="L2363" s="7"/>
      <c r="M2363" s="16" t="s">
        <v>1040</v>
      </c>
    </row>
    <row r="2364" spans="1:13" x14ac:dyDescent="0.25">
      <c r="A2364" s="22">
        <f t="shared" si="37"/>
        <v>2363</v>
      </c>
      <c r="B2364" s="6" t="s">
        <v>5960</v>
      </c>
      <c r="C2364" s="6" t="s">
        <v>6123</v>
      </c>
      <c r="D2364" s="6" t="s">
        <v>6604</v>
      </c>
      <c r="E2364" s="6" t="s">
        <v>6605</v>
      </c>
      <c r="F2364" s="6" t="s">
        <v>1405</v>
      </c>
      <c r="G2364" s="6" t="s">
        <v>18</v>
      </c>
      <c r="H2364" s="6" t="str">
        <f>IFERROR(VLOOKUP(Table2[[#This Row],[Ticket]],Okey!A:B,2,0),"")</f>
        <v>ok</v>
      </c>
      <c r="I2364" s="6" t="s">
        <v>3679</v>
      </c>
      <c r="J2364" s="6" t="str">
        <f>VLOOKUP(Table2[[#This Row],[Author]],People!A:B,2,0)</f>
        <v>LS</v>
      </c>
      <c r="K2364" s="6" t="s">
        <v>5965</v>
      </c>
      <c r="L2364" s="6"/>
      <c r="M2364" s="21" t="s">
        <v>1040</v>
      </c>
    </row>
    <row r="2365" spans="1:13" x14ac:dyDescent="0.25">
      <c r="A2365" s="23">
        <f t="shared" si="37"/>
        <v>2364</v>
      </c>
      <c r="B2365" s="7" t="s">
        <v>5960</v>
      </c>
      <c r="C2365" s="7" t="s">
        <v>6123</v>
      </c>
      <c r="D2365" s="7" t="s">
        <v>6606</v>
      </c>
      <c r="E2365" s="7" t="s">
        <v>6607</v>
      </c>
      <c r="F2365" s="7" t="s">
        <v>1405</v>
      </c>
      <c r="G2365" s="7" t="s">
        <v>18</v>
      </c>
      <c r="H2365" s="7" t="str">
        <f>IFERROR(VLOOKUP(Table2[[#This Row],[Ticket]],Okey!A:B,2,0),"")</f>
        <v>ok</v>
      </c>
      <c r="I2365" s="7" t="s">
        <v>3679</v>
      </c>
      <c r="J2365" s="7" t="str">
        <f>VLOOKUP(Table2[[#This Row],[Author]],People!A:B,2,0)</f>
        <v>LS</v>
      </c>
      <c r="K2365" s="7" t="s">
        <v>5965</v>
      </c>
      <c r="L2365" s="7"/>
      <c r="M2365" s="16" t="s">
        <v>1040</v>
      </c>
    </row>
    <row r="2366" spans="1:13" x14ac:dyDescent="0.25">
      <c r="A2366" s="22">
        <f t="shared" si="37"/>
        <v>2365</v>
      </c>
      <c r="B2366" s="6" t="s">
        <v>5960</v>
      </c>
      <c r="C2366" s="6" t="s">
        <v>6123</v>
      </c>
      <c r="D2366" s="6" t="s">
        <v>6608</v>
      </c>
      <c r="E2366" s="6" t="s">
        <v>6609</v>
      </c>
      <c r="F2366" s="6" t="s">
        <v>1405</v>
      </c>
      <c r="G2366" s="6" t="s">
        <v>18</v>
      </c>
      <c r="H2366" s="6" t="str">
        <f>IFERROR(VLOOKUP(Table2[[#This Row],[Ticket]],Okey!A:B,2,0),"")</f>
        <v>ok</v>
      </c>
      <c r="I2366" s="6" t="s">
        <v>3679</v>
      </c>
      <c r="J2366" s="6" t="str">
        <f>VLOOKUP(Table2[[#This Row],[Author]],People!A:B,2,0)</f>
        <v>LS</v>
      </c>
      <c r="K2366" s="6" t="s">
        <v>5965</v>
      </c>
      <c r="L2366" s="6"/>
      <c r="M2366" s="21" t="s">
        <v>1040</v>
      </c>
    </row>
    <row r="2367" spans="1:13" x14ac:dyDescent="0.25">
      <c r="A2367" s="23">
        <f t="shared" si="37"/>
        <v>2366</v>
      </c>
      <c r="B2367" s="7" t="s">
        <v>5960</v>
      </c>
      <c r="C2367" s="7" t="s">
        <v>6123</v>
      </c>
      <c r="D2367" s="7" t="s">
        <v>6610</v>
      </c>
      <c r="E2367" s="7" t="s">
        <v>6611</v>
      </c>
      <c r="F2367" s="7" t="s">
        <v>1405</v>
      </c>
      <c r="G2367" s="7" t="s">
        <v>18</v>
      </c>
      <c r="H2367" s="7" t="str">
        <f>IFERROR(VLOOKUP(Table2[[#This Row],[Ticket]],Okey!A:B,2,0),"")</f>
        <v>ok</v>
      </c>
      <c r="I2367" s="7" t="s">
        <v>3679</v>
      </c>
      <c r="J2367" s="7" t="str">
        <f>VLOOKUP(Table2[[#This Row],[Author]],People!A:B,2,0)</f>
        <v>LS</v>
      </c>
      <c r="K2367" s="7" t="s">
        <v>5965</v>
      </c>
      <c r="L2367" s="7"/>
      <c r="M2367" s="16" t="s">
        <v>1040</v>
      </c>
    </row>
    <row r="2368" spans="1:13" x14ac:dyDescent="0.25">
      <c r="A2368" s="22">
        <f t="shared" si="37"/>
        <v>2367</v>
      </c>
      <c r="B2368" s="6" t="s">
        <v>5960</v>
      </c>
      <c r="C2368" s="6" t="s">
        <v>6123</v>
      </c>
      <c r="D2368" s="6" t="s">
        <v>6150</v>
      </c>
      <c r="E2368" s="6" t="s">
        <v>6612</v>
      </c>
      <c r="F2368" s="6" t="s">
        <v>6613</v>
      </c>
      <c r="G2368" s="6" t="s">
        <v>18</v>
      </c>
      <c r="H2368" s="6" t="str">
        <f>IFERROR(VLOOKUP(Table2[[#This Row],[Ticket]],Okey!A:B,2,0),"")</f>
        <v>ok</v>
      </c>
      <c r="I2368" s="6" t="s">
        <v>3679</v>
      </c>
      <c r="J2368" s="6" t="str">
        <f>VLOOKUP(Table2[[#This Row],[Author]],People!A:B,2,0)</f>
        <v>LS</v>
      </c>
      <c r="K2368" s="6" t="s">
        <v>5965</v>
      </c>
      <c r="L2368" s="6"/>
      <c r="M2368" s="21" t="s">
        <v>1040</v>
      </c>
    </row>
    <row r="2369" spans="1:13" x14ac:dyDescent="0.25">
      <c r="A2369" s="23">
        <f t="shared" si="37"/>
        <v>2368</v>
      </c>
      <c r="B2369" s="7" t="s">
        <v>5960</v>
      </c>
      <c r="C2369" s="7" t="s">
        <v>6123</v>
      </c>
      <c r="D2369" s="7" t="s">
        <v>6156</v>
      </c>
      <c r="E2369" s="7" t="s">
        <v>6614</v>
      </c>
      <c r="F2369" s="7" t="s">
        <v>6613</v>
      </c>
      <c r="G2369" s="7" t="s">
        <v>18</v>
      </c>
      <c r="H2369" s="7" t="str">
        <f>IFERROR(VLOOKUP(Table2[[#This Row],[Ticket]],Okey!A:B,2,0),"")</f>
        <v>ok</v>
      </c>
      <c r="I2369" s="7" t="s">
        <v>3679</v>
      </c>
      <c r="J2369" s="7" t="str">
        <f>VLOOKUP(Table2[[#This Row],[Author]],People!A:B,2,0)</f>
        <v>LS</v>
      </c>
      <c r="K2369" s="7" t="s">
        <v>5965</v>
      </c>
      <c r="L2369" s="7"/>
      <c r="M2369" s="16" t="s">
        <v>1040</v>
      </c>
    </row>
    <row r="2370" spans="1:13" x14ac:dyDescent="0.25">
      <c r="A2370" s="22">
        <f t="shared" si="37"/>
        <v>2369</v>
      </c>
      <c r="B2370" s="6" t="s">
        <v>5960</v>
      </c>
      <c r="C2370" s="6" t="s">
        <v>6123</v>
      </c>
      <c r="D2370" s="6" t="s">
        <v>6615</v>
      </c>
      <c r="E2370" s="6" t="s">
        <v>6616</v>
      </c>
      <c r="F2370" s="6" t="s">
        <v>6613</v>
      </c>
      <c r="G2370" s="6" t="s">
        <v>18</v>
      </c>
      <c r="H2370" s="6" t="str">
        <f>IFERROR(VLOOKUP(Table2[[#This Row],[Ticket]],Okey!A:B,2,0),"")</f>
        <v>ok</v>
      </c>
      <c r="I2370" s="6" t="s">
        <v>3679</v>
      </c>
      <c r="J2370" s="6" t="str">
        <f>VLOOKUP(Table2[[#This Row],[Author]],People!A:B,2,0)</f>
        <v>LS</v>
      </c>
      <c r="K2370" s="6" t="s">
        <v>5965</v>
      </c>
      <c r="L2370" s="6"/>
      <c r="M2370" s="21" t="s">
        <v>1040</v>
      </c>
    </row>
    <row r="2371" spans="1:13" x14ac:dyDescent="0.25">
      <c r="A2371" s="23">
        <f t="shared" si="37"/>
        <v>2370</v>
      </c>
      <c r="B2371" s="7" t="s">
        <v>5960</v>
      </c>
      <c r="C2371" s="7" t="s">
        <v>6123</v>
      </c>
      <c r="D2371" s="7" t="s">
        <v>6141</v>
      </c>
      <c r="E2371" s="7" t="s">
        <v>6617</v>
      </c>
      <c r="F2371" s="7" t="s">
        <v>6134</v>
      </c>
      <c r="G2371" s="7" t="s">
        <v>18</v>
      </c>
      <c r="H2371" s="7" t="str">
        <f>IFERROR(VLOOKUP(Table2[[#This Row],[Ticket]],Okey!A:B,2,0),"")</f>
        <v>ok</v>
      </c>
      <c r="I2371" s="7" t="s">
        <v>3679</v>
      </c>
      <c r="J2371" s="7" t="str">
        <f>VLOOKUP(Table2[[#This Row],[Author]],People!A:B,2,0)</f>
        <v>LS</v>
      </c>
      <c r="K2371" s="7" t="s">
        <v>5965</v>
      </c>
      <c r="L2371" s="7"/>
      <c r="M2371" s="16" t="s">
        <v>1040</v>
      </c>
    </row>
    <row r="2372" spans="1:13" x14ac:dyDescent="0.25">
      <c r="A2372" s="22">
        <f t="shared" si="37"/>
        <v>2371</v>
      </c>
      <c r="B2372" s="6" t="s">
        <v>5960</v>
      </c>
      <c r="C2372" s="6" t="s">
        <v>6123</v>
      </c>
      <c r="D2372" s="6" t="s">
        <v>6139</v>
      </c>
      <c r="E2372" s="6" t="s">
        <v>6618</v>
      </c>
      <c r="F2372" s="6" t="s">
        <v>6134</v>
      </c>
      <c r="G2372" s="6" t="s">
        <v>18</v>
      </c>
      <c r="H2372" s="6" t="str">
        <f>IFERROR(VLOOKUP(Table2[[#This Row],[Ticket]],Okey!A:B,2,0),"")</f>
        <v>ok</v>
      </c>
      <c r="I2372" s="6" t="s">
        <v>3679</v>
      </c>
      <c r="J2372" s="6" t="str">
        <f>VLOOKUP(Table2[[#This Row],[Author]],People!A:B,2,0)</f>
        <v>LS</v>
      </c>
      <c r="K2372" s="6" t="s">
        <v>5965</v>
      </c>
      <c r="L2372" s="6"/>
      <c r="M2372" s="21" t="s">
        <v>1040</v>
      </c>
    </row>
    <row r="2373" spans="1:13" x14ac:dyDescent="0.25">
      <c r="A2373" s="23">
        <f t="shared" si="37"/>
        <v>2372</v>
      </c>
      <c r="B2373" s="7" t="s">
        <v>5960</v>
      </c>
      <c r="C2373" s="7" t="s">
        <v>6123</v>
      </c>
      <c r="D2373" s="7" t="s">
        <v>6137</v>
      </c>
      <c r="E2373" s="7" t="s">
        <v>6619</v>
      </c>
      <c r="F2373" s="7" t="s">
        <v>6134</v>
      </c>
      <c r="G2373" s="7" t="s">
        <v>18</v>
      </c>
      <c r="H2373" s="7" t="str">
        <f>IFERROR(VLOOKUP(Table2[[#This Row],[Ticket]],Okey!A:B,2,0),"")</f>
        <v>ok</v>
      </c>
      <c r="I2373" s="7" t="s">
        <v>3679</v>
      </c>
      <c r="J2373" s="7" t="str">
        <f>VLOOKUP(Table2[[#This Row],[Author]],People!A:B,2,0)</f>
        <v>LS</v>
      </c>
      <c r="K2373" s="7" t="s">
        <v>5965</v>
      </c>
      <c r="L2373" s="7"/>
      <c r="M2373" s="16" t="s">
        <v>1040</v>
      </c>
    </row>
    <row r="2374" spans="1:13" x14ac:dyDescent="0.25">
      <c r="A2374" s="22">
        <f t="shared" si="37"/>
        <v>2373</v>
      </c>
      <c r="B2374" s="6" t="s">
        <v>5960</v>
      </c>
      <c r="C2374" s="6" t="s">
        <v>6123</v>
      </c>
      <c r="D2374" s="6" t="s">
        <v>6125</v>
      </c>
      <c r="E2374" s="6" t="s">
        <v>6620</v>
      </c>
      <c r="F2374" s="6" t="s">
        <v>6134</v>
      </c>
      <c r="G2374" s="6" t="s">
        <v>18</v>
      </c>
      <c r="H2374" s="6" t="str">
        <f>IFERROR(VLOOKUP(Table2[[#This Row],[Ticket]],Okey!A:B,2,0),"")</f>
        <v>ok</v>
      </c>
      <c r="I2374" s="6" t="s">
        <v>3679</v>
      </c>
      <c r="J2374" s="6" t="str">
        <f>VLOOKUP(Table2[[#This Row],[Author]],People!A:B,2,0)</f>
        <v>LS</v>
      </c>
      <c r="K2374" s="6" t="s">
        <v>5965</v>
      </c>
      <c r="L2374" s="6"/>
      <c r="M2374" s="21" t="s">
        <v>1040</v>
      </c>
    </row>
    <row r="2375" spans="1:13" x14ac:dyDescent="0.25">
      <c r="A2375" s="23">
        <f t="shared" si="37"/>
        <v>2374</v>
      </c>
      <c r="B2375" s="7" t="s">
        <v>5960</v>
      </c>
      <c r="C2375" s="7" t="s">
        <v>6123</v>
      </c>
      <c r="D2375" s="7" t="s">
        <v>6152</v>
      </c>
      <c r="E2375" s="7" t="s">
        <v>6621</v>
      </c>
      <c r="F2375" s="7" t="s">
        <v>6134</v>
      </c>
      <c r="G2375" s="7" t="s">
        <v>18</v>
      </c>
      <c r="H2375" s="7" t="str">
        <f>IFERROR(VLOOKUP(Table2[[#This Row],[Ticket]],Okey!A:B,2,0),"")</f>
        <v>ok</v>
      </c>
      <c r="I2375" s="7" t="s">
        <v>3679</v>
      </c>
      <c r="J2375" s="7" t="str">
        <f>VLOOKUP(Table2[[#This Row],[Author]],People!A:B,2,0)</f>
        <v>LS</v>
      </c>
      <c r="K2375" s="7" t="s">
        <v>5965</v>
      </c>
      <c r="L2375" s="7"/>
      <c r="M2375" s="16" t="s">
        <v>1040</v>
      </c>
    </row>
    <row r="2376" spans="1:13" x14ac:dyDescent="0.25">
      <c r="A2376" s="22">
        <f t="shared" si="37"/>
        <v>2375</v>
      </c>
      <c r="B2376" s="6" t="s">
        <v>5960</v>
      </c>
      <c r="C2376" s="6" t="s">
        <v>6123</v>
      </c>
      <c r="D2376" s="6" t="s">
        <v>6130</v>
      </c>
      <c r="E2376" s="6" t="s">
        <v>6622</v>
      </c>
      <c r="F2376" s="6" t="s">
        <v>6134</v>
      </c>
      <c r="G2376" s="6" t="s">
        <v>18</v>
      </c>
      <c r="H2376" s="6" t="str">
        <f>IFERROR(VLOOKUP(Table2[[#This Row],[Ticket]],Okey!A:B,2,0),"")</f>
        <v>ok</v>
      </c>
      <c r="I2376" s="6" t="s">
        <v>3679</v>
      </c>
      <c r="J2376" s="6" t="str">
        <f>VLOOKUP(Table2[[#This Row],[Author]],People!A:B,2,0)</f>
        <v>LS</v>
      </c>
      <c r="K2376" s="6" t="s">
        <v>5965</v>
      </c>
      <c r="L2376" s="6"/>
      <c r="M2376" s="21" t="s">
        <v>1040</v>
      </c>
    </row>
    <row r="2377" spans="1:13" x14ac:dyDescent="0.25">
      <c r="A2377" s="23">
        <f t="shared" si="37"/>
        <v>2376</v>
      </c>
      <c r="B2377" s="7" t="s">
        <v>5960</v>
      </c>
      <c r="C2377" s="7" t="s">
        <v>6123</v>
      </c>
      <c r="D2377" s="7" t="s">
        <v>6143</v>
      </c>
      <c r="E2377" s="7" t="s">
        <v>6623</v>
      </c>
      <c r="F2377" s="7" t="s">
        <v>6134</v>
      </c>
      <c r="G2377" s="7" t="s">
        <v>18</v>
      </c>
      <c r="H2377" s="7" t="str">
        <f>IFERROR(VLOOKUP(Table2[[#This Row],[Ticket]],Okey!A:B,2,0),"")</f>
        <v>ok</v>
      </c>
      <c r="I2377" s="7" t="s">
        <v>3679</v>
      </c>
      <c r="J2377" s="7" t="str">
        <f>VLOOKUP(Table2[[#This Row],[Author]],People!A:B,2,0)</f>
        <v>LS</v>
      </c>
      <c r="K2377" s="7" t="s">
        <v>5965</v>
      </c>
      <c r="L2377" s="7"/>
      <c r="M2377" s="16" t="s">
        <v>1040</v>
      </c>
    </row>
    <row r="2378" spans="1:13" x14ac:dyDescent="0.25">
      <c r="A2378" s="22">
        <f t="shared" si="37"/>
        <v>2377</v>
      </c>
      <c r="B2378" s="6" t="s">
        <v>5960</v>
      </c>
      <c r="C2378" s="6" t="s">
        <v>6123</v>
      </c>
      <c r="D2378" s="6" t="s">
        <v>6624</v>
      </c>
      <c r="E2378" s="6" t="s">
        <v>6625</v>
      </c>
      <c r="F2378" s="6" t="s">
        <v>6134</v>
      </c>
      <c r="G2378" s="6" t="s">
        <v>18</v>
      </c>
      <c r="H2378" s="6" t="str">
        <f>IFERROR(VLOOKUP(Table2[[#This Row],[Ticket]],Okey!A:B,2,0),"")</f>
        <v>ok</v>
      </c>
      <c r="I2378" s="6" t="s">
        <v>3679</v>
      </c>
      <c r="J2378" s="6" t="str">
        <f>VLOOKUP(Table2[[#This Row],[Author]],People!A:B,2,0)</f>
        <v>LS</v>
      </c>
      <c r="K2378" s="6" t="s">
        <v>5965</v>
      </c>
      <c r="L2378" s="6"/>
      <c r="M2378" s="21" t="s">
        <v>1040</v>
      </c>
    </row>
    <row r="2379" spans="1:13" x14ac:dyDescent="0.25">
      <c r="A2379" s="23">
        <f t="shared" si="37"/>
        <v>2378</v>
      </c>
      <c r="B2379" s="7" t="s">
        <v>5960</v>
      </c>
      <c r="C2379" s="7" t="s">
        <v>6123</v>
      </c>
      <c r="D2379" s="7" t="s">
        <v>6626</v>
      </c>
      <c r="E2379" s="7" t="s">
        <v>6478</v>
      </c>
      <c r="F2379" s="7" t="s">
        <v>6134</v>
      </c>
      <c r="G2379" s="7" t="s">
        <v>18</v>
      </c>
      <c r="H2379" s="7" t="str">
        <f>IFERROR(VLOOKUP(Table2[[#This Row],[Ticket]],Okey!A:B,2,0),"")</f>
        <v>ok</v>
      </c>
      <c r="I2379" s="7" t="s">
        <v>3679</v>
      </c>
      <c r="J2379" s="7" t="str">
        <f>VLOOKUP(Table2[[#This Row],[Author]],People!A:B,2,0)</f>
        <v>LS</v>
      </c>
      <c r="K2379" s="7" t="s">
        <v>5965</v>
      </c>
      <c r="L2379" s="7"/>
      <c r="M2379" s="16" t="s">
        <v>1040</v>
      </c>
    </row>
    <row r="2380" spans="1:13" x14ac:dyDescent="0.25">
      <c r="A2380" s="22">
        <f t="shared" si="37"/>
        <v>2379</v>
      </c>
      <c r="B2380" s="6" t="s">
        <v>5960</v>
      </c>
      <c r="C2380" s="6" t="s">
        <v>6123</v>
      </c>
      <c r="D2380" s="6" t="s">
        <v>2482</v>
      </c>
      <c r="E2380" s="6" t="s">
        <v>6627</v>
      </c>
      <c r="F2380" s="6" t="s">
        <v>6134</v>
      </c>
      <c r="G2380" s="6" t="s">
        <v>18</v>
      </c>
      <c r="H2380" s="6" t="str">
        <f>IFERROR(VLOOKUP(Table2[[#This Row],[Ticket]],Okey!A:B,2,0),"")</f>
        <v>ok</v>
      </c>
      <c r="I2380" s="6" t="s">
        <v>3679</v>
      </c>
      <c r="J2380" s="6" t="str">
        <f>VLOOKUP(Table2[[#This Row],[Author]],People!A:B,2,0)</f>
        <v>LS</v>
      </c>
      <c r="K2380" s="6" t="s">
        <v>5965</v>
      </c>
      <c r="L2380" s="6"/>
      <c r="M2380" s="21" t="s">
        <v>1040</v>
      </c>
    </row>
    <row r="2381" spans="1:13" x14ac:dyDescent="0.25">
      <c r="A2381" s="23">
        <f t="shared" si="37"/>
        <v>2380</v>
      </c>
      <c r="B2381" s="7" t="s">
        <v>5960</v>
      </c>
      <c r="C2381" s="7" t="s">
        <v>6123</v>
      </c>
      <c r="D2381" s="7" t="s">
        <v>6515</v>
      </c>
      <c r="E2381" s="7" t="s">
        <v>6628</v>
      </c>
      <c r="F2381" s="7" t="s">
        <v>6527</v>
      </c>
      <c r="G2381" s="7" t="s">
        <v>18</v>
      </c>
      <c r="H2381" s="7" t="str">
        <f>IFERROR(VLOOKUP(Table2[[#This Row],[Ticket]],Okey!A:B,2,0),"")</f>
        <v>ok</v>
      </c>
      <c r="I2381" s="7" t="s">
        <v>3679</v>
      </c>
      <c r="J2381" s="7" t="str">
        <f>VLOOKUP(Table2[[#This Row],[Author]],People!A:B,2,0)</f>
        <v>LS</v>
      </c>
      <c r="K2381" s="7" t="s">
        <v>5965</v>
      </c>
      <c r="L2381" s="7"/>
      <c r="M2381" s="16" t="s">
        <v>1040</v>
      </c>
    </row>
    <row r="2382" spans="1:13" x14ac:dyDescent="0.25">
      <c r="A2382" s="22">
        <f t="shared" si="37"/>
        <v>2381</v>
      </c>
      <c r="B2382" s="6" t="s">
        <v>5960</v>
      </c>
      <c r="C2382" s="6" t="s">
        <v>6123</v>
      </c>
      <c r="D2382" s="6" t="s">
        <v>6492</v>
      </c>
      <c r="E2382" s="6" t="s">
        <v>6629</v>
      </c>
      <c r="F2382" s="6" t="s">
        <v>6527</v>
      </c>
      <c r="G2382" s="6" t="s">
        <v>18</v>
      </c>
      <c r="H2382" s="6" t="str">
        <f>IFERROR(VLOOKUP(Table2[[#This Row],[Ticket]],Okey!A:B,2,0),"")</f>
        <v>ok</v>
      </c>
      <c r="I2382" s="6" t="s">
        <v>3679</v>
      </c>
      <c r="J2382" s="6" t="str">
        <f>VLOOKUP(Table2[[#This Row],[Author]],People!A:B,2,0)</f>
        <v>LS</v>
      </c>
      <c r="K2382" s="6" t="s">
        <v>5965</v>
      </c>
      <c r="L2382" s="6"/>
      <c r="M2382" s="21" t="s">
        <v>1040</v>
      </c>
    </row>
    <row r="2383" spans="1:13" x14ac:dyDescent="0.25">
      <c r="A2383" s="23">
        <f t="shared" si="37"/>
        <v>2382</v>
      </c>
      <c r="B2383" s="7" t="s">
        <v>5960</v>
      </c>
      <c r="C2383" s="7" t="s">
        <v>6123</v>
      </c>
      <c r="D2383" s="7" t="s">
        <v>6508</v>
      </c>
      <c r="E2383" s="7" t="s">
        <v>6630</v>
      </c>
      <c r="F2383" s="7" t="s">
        <v>6527</v>
      </c>
      <c r="G2383" s="7" t="s">
        <v>18</v>
      </c>
      <c r="H2383" s="7" t="str">
        <f>IFERROR(VLOOKUP(Table2[[#This Row],[Ticket]],Okey!A:B,2,0),"")</f>
        <v>ok</v>
      </c>
      <c r="I2383" s="7" t="s">
        <v>3679</v>
      </c>
      <c r="J2383" s="7" t="str">
        <f>VLOOKUP(Table2[[#This Row],[Author]],People!A:B,2,0)</f>
        <v>LS</v>
      </c>
      <c r="K2383" s="7" t="s">
        <v>5965</v>
      </c>
      <c r="L2383" s="7"/>
      <c r="M2383" s="16" t="s">
        <v>1040</v>
      </c>
    </row>
    <row r="2384" spans="1:13" x14ac:dyDescent="0.25">
      <c r="A2384" s="22">
        <f t="shared" si="37"/>
        <v>2383</v>
      </c>
      <c r="B2384" s="6" t="s">
        <v>5960</v>
      </c>
      <c r="C2384" s="6" t="s">
        <v>6123</v>
      </c>
      <c r="D2384" s="6" t="s">
        <v>6501</v>
      </c>
      <c r="E2384" s="6" t="s">
        <v>6631</v>
      </c>
      <c r="F2384" s="6" t="s">
        <v>6527</v>
      </c>
      <c r="G2384" s="6" t="s">
        <v>18</v>
      </c>
      <c r="H2384" s="6" t="str">
        <f>IFERROR(VLOOKUP(Table2[[#This Row],[Ticket]],Okey!A:B,2,0),"")</f>
        <v>ok</v>
      </c>
      <c r="I2384" s="6" t="s">
        <v>3679</v>
      </c>
      <c r="J2384" s="6" t="str">
        <f>VLOOKUP(Table2[[#This Row],[Author]],People!A:B,2,0)</f>
        <v>LS</v>
      </c>
      <c r="K2384" s="6" t="s">
        <v>5965</v>
      </c>
      <c r="L2384" s="6"/>
      <c r="M2384" s="21" t="s">
        <v>1040</v>
      </c>
    </row>
    <row r="2385" spans="1:13" x14ac:dyDescent="0.25">
      <c r="A2385" s="23">
        <f t="shared" si="37"/>
        <v>2384</v>
      </c>
      <c r="B2385" s="7" t="s">
        <v>5960</v>
      </c>
      <c r="C2385" s="7" t="s">
        <v>6123</v>
      </c>
      <c r="D2385" s="7" t="s">
        <v>6239</v>
      </c>
      <c r="E2385" s="7" t="s">
        <v>6632</v>
      </c>
      <c r="F2385" s="7" t="s">
        <v>6141</v>
      </c>
      <c r="G2385" s="7" t="s">
        <v>18</v>
      </c>
      <c r="H2385" s="7" t="str">
        <f>IFERROR(VLOOKUP(Table2[[#This Row],[Ticket]],Okey!A:B,2,0),"")</f>
        <v>ok</v>
      </c>
      <c r="I2385" s="7" t="s">
        <v>3679</v>
      </c>
      <c r="J2385" s="7" t="str">
        <f>VLOOKUP(Table2[[#This Row],[Author]],People!A:B,2,0)</f>
        <v>LS</v>
      </c>
      <c r="K2385" s="7" t="s">
        <v>5965</v>
      </c>
      <c r="L2385" s="7"/>
      <c r="M2385" s="16" t="s">
        <v>1040</v>
      </c>
    </row>
    <row r="2386" spans="1:13" x14ac:dyDescent="0.25">
      <c r="A2386" s="22">
        <f t="shared" si="37"/>
        <v>2385</v>
      </c>
      <c r="B2386" s="6" t="s">
        <v>5960</v>
      </c>
      <c r="C2386" s="6" t="s">
        <v>6123</v>
      </c>
      <c r="D2386" s="6" t="s">
        <v>6633</v>
      </c>
      <c r="E2386" s="6" t="s">
        <v>6634</v>
      </c>
      <c r="F2386" s="6" t="s">
        <v>6125</v>
      </c>
      <c r="G2386" s="6" t="s">
        <v>496</v>
      </c>
      <c r="H2386" s="6" t="str">
        <f>IFERROR(VLOOKUP(Table2[[#This Row],[Ticket]],Okey!A:B,2,0),"")</f>
        <v>ok</v>
      </c>
      <c r="I2386" s="6" t="s">
        <v>3679</v>
      </c>
      <c r="J2386" s="6" t="str">
        <f>VLOOKUP(Table2[[#This Row],[Author]],People!A:B,2,0)</f>
        <v>LS</v>
      </c>
      <c r="K2386" s="6" t="s">
        <v>5965</v>
      </c>
      <c r="L2386" s="6"/>
      <c r="M2386" s="21" t="s">
        <v>1040</v>
      </c>
    </row>
    <row r="2387" spans="1:13" x14ac:dyDescent="0.25">
      <c r="A2387" s="23">
        <f t="shared" si="37"/>
        <v>2386</v>
      </c>
      <c r="B2387" s="7" t="s">
        <v>5960</v>
      </c>
      <c r="C2387" s="7" t="s">
        <v>6123</v>
      </c>
      <c r="D2387" s="7" t="s">
        <v>6635</v>
      </c>
      <c r="E2387" s="7" t="s">
        <v>6636</v>
      </c>
      <c r="F2387" s="7" t="s">
        <v>6501</v>
      </c>
      <c r="G2387" s="7" t="s">
        <v>496</v>
      </c>
      <c r="H2387" s="7" t="str">
        <f>IFERROR(VLOOKUP(Table2[[#This Row],[Ticket]],Okey!A:B,2,0),"")</f>
        <v>ok</v>
      </c>
      <c r="I2387" s="7" t="s">
        <v>3679</v>
      </c>
      <c r="J2387" s="7" t="str">
        <f>VLOOKUP(Table2[[#This Row],[Author]],People!A:B,2,0)</f>
        <v>LS</v>
      </c>
      <c r="K2387" s="7" t="s">
        <v>5965</v>
      </c>
      <c r="L2387" s="7"/>
      <c r="M2387" s="16" t="s">
        <v>1040</v>
      </c>
    </row>
    <row r="2388" spans="1:13" x14ac:dyDescent="0.25">
      <c r="A2388" s="22">
        <f t="shared" si="37"/>
        <v>2387</v>
      </c>
      <c r="B2388" s="6" t="s">
        <v>5960</v>
      </c>
      <c r="C2388" s="6" t="s">
        <v>6123</v>
      </c>
      <c r="D2388" s="6" t="s">
        <v>6637</v>
      </c>
      <c r="E2388" s="6" t="s">
        <v>6638</v>
      </c>
      <c r="F2388" s="6" t="s">
        <v>6508</v>
      </c>
      <c r="G2388" s="6" t="s">
        <v>496</v>
      </c>
      <c r="H2388" s="6" t="str">
        <f>IFERROR(VLOOKUP(Table2[[#This Row],[Ticket]],Okey!A:B,2,0),"")</f>
        <v>ok</v>
      </c>
      <c r="I2388" s="6" t="s">
        <v>3679</v>
      </c>
      <c r="J2388" s="6" t="str">
        <f>VLOOKUP(Table2[[#This Row],[Author]],People!A:B,2,0)</f>
        <v>LS</v>
      </c>
      <c r="K2388" s="6" t="s">
        <v>5965</v>
      </c>
      <c r="L2388" s="6"/>
      <c r="M2388" s="21" t="s">
        <v>1040</v>
      </c>
    </row>
    <row r="2389" spans="1:13" x14ac:dyDescent="0.25">
      <c r="A2389" s="23">
        <f t="shared" si="37"/>
        <v>2388</v>
      </c>
      <c r="B2389" s="7" t="s">
        <v>5960</v>
      </c>
      <c r="C2389" s="7" t="s">
        <v>6123</v>
      </c>
      <c r="D2389" s="7" t="s">
        <v>6639</v>
      </c>
      <c r="E2389" s="7" t="s">
        <v>6640</v>
      </c>
      <c r="F2389" s="7" t="s">
        <v>2482</v>
      </c>
      <c r="G2389" s="7" t="s">
        <v>496</v>
      </c>
      <c r="H2389" s="7" t="str">
        <f>IFERROR(VLOOKUP(Table2[[#This Row],[Ticket]],Okey!A:B,2,0),"")</f>
        <v>ok</v>
      </c>
      <c r="I2389" s="7" t="s">
        <v>3679</v>
      </c>
      <c r="J2389" s="7" t="str">
        <f>VLOOKUP(Table2[[#This Row],[Author]],People!A:B,2,0)</f>
        <v>LS</v>
      </c>
      <c r="K2389" s="7" t="s">
        <v>5965</v>
      </c>
      <c r="L2389" s="7"/>
      <c r="M2389" s="16" t="s">
        <v>1040</v>
      </c>
    </row>
    <row r="2390" spans="1:13" x14ac:dyDescent="0.25">
      <c r="A2390" s="22">
        <f t="shared" si="37"/>
        <v>2389</v>
      </c>
      <c r="B2390" s="6" t="s">
        <v>5960</v>
      </c>
      <c r="C2390" s="6" t="s">
        <v>6123</v>
      </c>
      <c r="D2390" s="6" t="s">
        <v>6641</v>
      </c>
      <c r="E2390" s="6" t="s">
        <v>6642</v>
      </c>
      <c r="F2390" s="6" t="s">
        <v>1372</v>
      </c>
      <c r="G2390" s="6" t="s">
        <v>496</v>
      </c>
      <c r="H2390" s="6" t="str">
        <f>IFERROR(VLOOKUP(Table2[[#This Row],[Ticket]],Okey!A:B,2,0),"")</f>
        <v>ok</v>
      </c>
      <c r="I2390" s="6" t="s">
        <v>3679</v>
      </c>
      <c r="J2390" s="6" t="str">
        <f>VLOOKUP(Table2[[#This Row],[Author]],People!A:B,2,0)</f>
        <v>LS</v>
      </c>
      <c r="K2390" s="6" t="s">
        <v>5965</v>
      </c>
      <c r="L2390" s="6"/>
      <c r="M2390" s="21" t="s">
        <v>1040</v>
      </c>
    </row>
    <row r="2391" spans="1:13" x14ac:dyDescent="0.25">
      <c r="A2391" s="23">
        <f t="shared" si="37"/>
        <v>2390</v>
      </c>
      <c r="B2391" s="7" t="s">
        <v>5960</v>
      </c>
      <c r="C2391" s="7" t="s">
        <v>6123</v>
      </c>
      <c r="D2391" s="7" t="s">
        <v>6643</v>
      </c>
      <c r="E2391" s="7" t="s">
        <v>6644</v>
      </c>
      <c r="F2391" s="7" t="s">
        <v>6130</v>
      </c>
      <c r="G2391" s="7" t="s">
        <v>496</v>
      </c>
      <c r="H2391" s="7" t="str">
        <f>IFERROR(VLOOKUP(Table2[[#This Row],[Ticket]],Okey!A:B,2,0),"")</f>
        <v>ok</v>
      </c>
      <c r="I2391" s="7" t="s">
        <v>3679</v>
      </c>
      <c r="J2391" s="7" t="str">
        <f>VLOOKUP(Table2[[#This Row],[Author]],People!A:B,2,0)</f>
        <v>LS</v>
      </c>
      <c r="K2391" s="7" t="s">
        <v>5965</v>
      </c>
      <c r="L2391" s="7"/>
      <c r="M2391" s="16" t="s">
        <v>1040</v>
      </c>
    </row>
    <row r="2392" spans="1:13" x14ac:dyDescent="0.25">
      <c r="A2392" s="22">
        <f t="shared" si="37"/>
        <v>2391</v>
      </c>
      <c r="B2392" s="6" t="s">
        <v>5960</v>
      </c>
      <c r="C2392" s="6" t="s">
        <v>6123</v>
      </c>
      <c r="D2392" s="6" t="s">
        <v>6530</v>
      </c>
      <c r="E2392" s="6" t="s">
        <v>6645</v>
      </c>
      <c r="F2392" s="6" t="s">
        <v>2511</v>
      </c>
      <c r="G2392" s="6" t="s">
        <v>496</v>
      </c>
      <c r="H2392" s="6" t="str">
        <f>IFERROR(VLOOKUP(Table2[[#This Row],[Ticket]],Okey!A:B,2,0),"")</f>
        <v>ok</v>
      </c>
      <c r="I2392" s="6" t="s">
        <v>3679</v>
      </c>
      <c r="J2392" s="6" t="str">
        <f>VLOOKUP(Table2[[#This Row],[Author]],People!A:B,2,0)</f>
        <v>LS</v>
      </c>
      <c r="K2392" s="6" t="s">
        <v>5965</v>
      </c>
      <c r="L2392" s="6"/>
      <c r="M2392" s="21" t="s">
        <v>1040</v>
      </c>
    </row>
    <row r="2393" spans="1:13" x14ac:dyDescent="0.25">
      <c r="A2393" s="23">
        <f t="shared" si="37"/>
        <v>2392</v>
      </c>
      <c r="B2393" s="7" t="s">
        <v>5960</v>
      </c>
      <c r="C2393" s="7" t="s">
        <v>6123</v>
      </c>
      <c r="D2393" s="7" t="s">
        <v>6613</v>
      </c>
      <c r="E2393" s="7" t="s">
        <v>6646</v>
      </c>
      <c r="F2393" s="7" t="s">
        <v>2511</v>
      </c>
      <c r="G2393" s="7" t="s">
        <v>496</v>
      </c>
      <c r="H2393" s="7" t="str">
        <f>IFERROR(VLOOKUP(Table2[[#This Row],[Ticket]],Okey!A:B,2,0),"")</f>
        <v>ok</v>
      </c>
      <c r="I2393" s="7" t="s">
        <v>3679</v>
      </c>
      <c r="J2393" s="7" t="str">
        <f>VLOOKUP(Table2[[#This Row],[Author]],People!A:B,2,0)</f>
        <v>LS</v>
      </c>
      <c r="K2393" s="7" t="s">
        <v>5965</v>
      </c>
      <c r="L2393" s="7"/>
      <c r="M2393" s="16" t="s">
        <v>1040</v>
      </c>
    </row>
    <row r="2394" spans="1:13" x14ac:dyDescent="0.25">
      <c r="A2394" s="22">
        <f t="shared" si="37"/>
        <v>2393</v>
      </c>
      <c r="B2394" s="6" t="s">
        <v>5960</v>
      </c>
      <c r="C2394" s="6" t="s">
        <v>6123</v>
      </c>
      <c r="D2394" s="6" t="s">
        <v>6158</v>
      </c>
      <c r="E2394" s="6" t="s">
        <v>6647</v>
      </c>
      <c r="F2394" s="6" t="s">
        <v>2511</v>
      </c>
      <c r="G2394" s="6" t="s">
        <v>496</v>
      </c>
      <c r="H2394" s="6" t="str">
        <f>IFERROR(VLOOKUP(Table2[[#This Row],[Ticket]],Okey!A:B,2,0),"")</f>
        <v>ok</v>
      </c>
      <c r="I2394" s="6" t="s">
        <v>3679</v>
      </c>
      <c r="J2394" s="6" t="str">
        <f>VLOOKUP(Table2[[#This Row],[Author]],People!A:B,2,0)</f>
        <v>LS</v>
      </c>
      <c r="K2394" s="6" t="s">
        <v>5965</v>
      </c>
      <c r="L2394" s="6"/>
      <c r="M2394" s="21" t="s">
        <v>1040</v>
      </c>
    </row>
    <row r="2395" spans="1:13" x14ac:dyDescent="0.25">
      <c r="A2395" s="23">
        <f t="shared" si="37"/>
        <v>2394</v>
      </c>
      <c r="B2395" s="7" t="s">
        <v>5960</v>
      </c>
      <c r="C2395" s="7" t="s">
        <v>6123</v>
      </c>
      <c r="D2395" s="7" t="s">
        <v>6132</v>
      </c>
      <c r="E2395" s="7" t="s">
        <v>6648</v>
      </c>
      <c r="F2395" s="7" t="s">
        <v>6530</v>
      </c>
      <c r="G2395" s="7" t="s">
        <v>496</v>
      </c>
      <c r="H2395" s="7" t="str">
        <f>IFERROR(VLOOKUP(Table2[[#This Row],[Ticket]],Okey!A:B,2,0),"")</f>
        <v>ok</v>
      </c>
      <c r="I2395" s="7" t="s">
        <v>3679</v>
      </c>
      <c r="J2395" s="7" t="str">
        <f>VLOOKUP(Table2[[#This Row],[Author]],People!A:B,2,0)</f>
        <v>LS</v>
      </c>
      <c r="K2395" s="7" t="s">
        <v>5965</v>
      </c>
      <c r="L2395" s="7"/>
      <c r="M2395" s="16" t="s">
        <v>1040</v>
      </c>
    </row>
    <row r="2396" spans="1:13" x14ac:dyDescent="0.25">
      <c r="A2396" s="22">
        <f t="shared" si="37"/>
        <v>2395</v>
      </c>
      <c r="B2396" s="6" t="s">
        <v>5960</v>
      </c>
      <c r="C2396" s="6" t="s">
        <v>6123</v>
      </c>
      <c r="D2396" s="6" t="s">
        <v>1380</v>
      </c>
      <c r="E2396" s="6" t="s">
        <v>6649</v>
      </c>
      <c r="F2396" s="6" t="s">
        <v>6158</v>
      </c>
      <c r="G2396" s="6" t="s">
        <v>496</v>
      </c>
      <c r="H2396" s="6" t="str">
        <f>IFERROR(VLOOKUP(Table2[[#This Row],[Ticket]],Okey!A:B,2,0),"")</f>
        <v>ok</v>
      </c>
      <c r="I2396" s="6" t="s">
        <v>3679</v>
      </c>
      <c r="J2396" s="6" t="str">
        <f>VLOOKUP(Table2[[#This Row],[Author]],People!A:B,2,0)</f>
        <v>LS</v>
      </c>
      <c r="K2396" s="6" t="s">
        <v>5965</v>
      </c>
      <c r="L2396" s="6"/>
      <c r="M2396" s="21" t="s">
        <v>1040</v>
      </c>
    </row>
    <row r="2397" spans="1:13" x14ac:dyDescent="0.25">
      <c r="A2397" s="23">
        <f t="shared" si="37"/>
        <v>2396</v>
      </c>
      <c r="B2397" s="7" t="s">
        <v>5960</v>
      </c>
      <c r="C2397" s="7" t="s">
        <v>6123</v>
      </c>
      <c r="D2397" s="7" t="s">
        <v>1385</v>
      </c>
      <c r="E2397" s="7" t="s">
        <v>6650</v>
      </c>
      <c r="F2397" s="7" t="s">
        <v>6158</v>
      </c>
      <c r="G2397" s="7" t="s">
        <v>496</v>
      </c>
      <c r="H2397" s="7" t="str">
        <f>IFERROR(VLOOKUP(Table2[[#This Row],[Ticket]],Okey!A:B,2,0),"")</f>
        <v>ok</v>
      </c>
      <c r="I2397" s="7" t="s">
        <v>3679</v>
      </c>
      <c r="J2397" s="7" t="str">
        <f>VLOOKUP(Table2[[#This Row],[Author]],People!A:B,2,0)</f>
        <v>LS</v>
      </c>
      <c r="K2397" s="7" t="s">
        <v>5965</v>
      </c>
      <c r="L2397" s="7"/>
      <c r="M2397" s="16" t="s">
        <v>1040</v>
      </c>
    </row>
    <row r="2398" spans="1:13" x14ac:dyDescent="0.25">
      <c r="A2398" s="22">
        <f t="shared" si="37"/>
        <v>2397</v>
      </c>
      <c r="B2398" s="6" t="s">
        <v>5960</v>
      </c>
      <c r="C2398" s="6" t="s">
        <v>6123</v>
      </c>
      <c r="D2398" s="6" t="s">
        <v>1405</v>
      </c>
      <c r="E2398" s="6" t="s">
        <v>6651</v>
      </c>
      <c r="F2398" s="6" t="s">
        <v>6158</v>
      </c>
      <c r="G2398" s="6" t="s">
        <v>496</v>
      </c>
      <c r="H2398" s="6" t="str">
        <f>IFERROR(VLOOKUP(Table2[[#This Row],[Ticket]],Okey!A:B,2,0),"")</f>
        <v>ok</v>
      </c>
      <c r="I2398" s="6" t="s">
        <v>3679</v>
      </c>
      <c r="J2398" s="6" t="str">
        <f>VLOOKUP(Table2[[#This Row],[Author]],People!A:B,2,0)</f>
        <v>LS</v>
      </c>
      <c r="K2398" s="6" t="s">
        <v>5965</v>
      </c>
      <c r="L2398" s="6"/>
      <c r="M2398" s="21" t="s">
        <v>1040</v>
      </c>
    </row>
    <row r="2399" spans="1:13" x14ac:dyDescent="0.25">
      <c r="A2399" s="23">
        <f t="shared" si="37"/>
        <v>2398</v>
      </c>
      <c r="B2399" s="7" t="s">
        <v>5960</v>
      </c>
      <c r="C2399" s="7" t="s">
        <v>6123</v>
      </c>
      <c r="D2399" s="7" t="s">
        <v>2480</v>
      </c>
      <c r="E2399" s="7" t="s">
        <v>6652</v>
      </c>
      <c r="F2399" s="7" t="s">
        <v>6158</v>
      </c>
      <c r="G2399" s="7" t="s">
        <v>496</v>
      </c>
      <c r="H2399" s="7" t="str">
        <f>IFERROR(VLOOKUP(Table2[[#This Row],[Ticket]],Okey!A:B,2,0),"")</f>
        <v>ok</v>
      </c>
      <c r="I2399" s="7" t="s">
        <v>3679</v>
      </c>
      <c r="J2399" s="7" t="str">
        <f>VLOOKUP(Table2[[#This Row],[Author]],People!A:B,2,0)</f>
        <v>LS</v>
      </c>
      <c r="K2399" s="7" t="s">
        <v>5965</v>
      </c>
      <c r="L2399" s="7"/>
      <c r="M2399" s="16" t="s">
        <v>1040</v>
      </c>
    </row>
    <row r="2400" spans="1:13" x14ac:dyDescent="0.25">
      <c r="A2400" s="22">
        <f t="shared" si="37"/>
        <v>2399</v>
      </c>
      <c r="B2400" s="6" t="s">
        <v>5960</v>
      </c>
      <c r="C2400" s="6" t="s">
        <v>6123</v>
      </c>
      <c r="D2400" s="6" t="s">
        <v>6653</v>
      </c>
      <c r="E2400" s="6" t="s">
        <v>6654</v>
      </c>
      <c r="F2400" s="6" t="s">
        <v>6134</v>
      </c>
      <c r="G2400" s="6" t="s">
        <v>496</v>
      </c>
      <c r="H2400" s="6" t="str">
        <f>IFERROR(VLOOKUP(Table2[[#This Row],[Ticket]],Okey!A:B,2,0),"")</f>
        <v>ok</v>
      </c>
      <c r="I2400" s="6" t="s">
        <v>3679</v>
      </c>
      <c r="J2400" s="6" t="str">
        <f>VLOOKUP(Table2[[#This Row],[Author]],People!A:B,2,0)</f>
        <v>LS</v>
      </c>
      <c r="K2400" s="6" t="s">
        <v>5965</v>
      </c>
      <c r="L2400" s="6"/>
      <c r="M2400" s="21" t="s">
        <v>1040</v>
      </c>
    </row>
    <row r="2401" spans="1:13" x14ac:dyDescent="0.25">
      <c r="A2401" s="23">
        <f t="shared" si="37"/>
        <v>2400</v>
      </c>
      <c r="B2401" s="7" t="s">
        <v>5960</v>
      </c>
      <c r="C2401" s="7" t="s">
        <v>6123</v>
      </c>
      <c r="D2401" s="7" t="s">
        <v>6655</v>
      </c>
      <c r="E2401" s="7" t="s">
        <v>6656</v>
      </c>
      <c r="F2401" s="7" t="s">
        <v>6134</v>
      </c>
      <c r="G2401" s="7" t="s">
        <v>496</v>
      </c>
      <c r="H2401" s="7" t="str">
        <f>IFERROR(VLOOKUP(Table2[[#This Row],[Ticket]],Okey!A:B,2,0),"")</f>
        <v>ok</v>
      </c>
      <c r="I2401" s="7" t="s">
        <v>3679</v>
      </c>
      <c r="J2401" s="7" t="str">
        <f>VLOOKUP(Table2[[#This Row],[Author]],People!A:B,2,0)</f>
        <v>LS</v>
      </c>
      <c r="K2401" s="7" t="s">
        <v>5965</v>
      </c>
      <c r="L2401" s="7"/>
      <c r="M2401" s="16" t="s">
        <v>1040</v>
      </c>
    </row>
    <row r="2402" spans="1:13" x14ac:dyDescent="0.25">
      <c r="A2402" s="22">
        <f t="shared" si="37"/>
        <v>2401</v>
      </c>
      <c r="B2402" s="6" t="s">
        <v>5960</v>
      </c>
      <c r="C2402" s="6" t="s">
        <v>6123</v>
      </c>
      <c r="D2402" s="6" t="s">
        <v>6551</v>
      </c>
      <c r="E2402" s="6" t="s">
        <v>6657</v>
      </c>
      <c r="F2402" s="6" t="s">
        <v>6527</v>
      </c>
      <c r="G2402" s="6" t="s">
        <v>496</v>
      </c>
      <c r="H2402" s="6" t="str">
        <f>IFERROR(VLOOKUP(Table2[[#This Row],[Ticket]],Okey!A:B,2,0),"")</f>
        <v>ok</v>
      </c>
      <c r="I2402" s="6" t="s">
        <v>3679</v>
      </c>
      <c r="J2402" s="6" t="str">
        <f>VLOOKUP(Table2[[#This Row],[Author]],People!A:B,2,0)</f>
        <v>LS</v>
      </c>
      <c r="K2402" s="6" t="s">
        <v>5965</v>
      </c>
      <c r="L2402" s="6"/>
      <c r="M2402" s="21" t="s">
        <v>1040</v>
      </c>
    </row>
    <row r="2403" spans="1:13" x14ac:dyDescent="0.25">
      <c r="A2403" s="23">
        <f t="shared" ref="A2403:A2466" si="38">1+A2402</f>
        <v>2402</v>
      </c>
      <c r="B2403" s="7" t="s">
        <v>5960</v>
      </c>
      <c r="C2403" s="7" t="s">
        <v>6123</v>
      </c>
      <c r="D2403" s="7" t="s">
        <v>6658</v>
      </c>
      <c r="E2403" s="7" t="s">
        <v>6659</v>
      </c>
      <c r="F2403" s="7" t="s">
        <v>6660</v>
      </c>
      <c r="G2403" s="7" t="s">
        <v>496</v>
      </c>
      <c r="H2403" s="7" t="str">
        <f>IFERROR(VLOOKUP(Table2[[#This Row],[Ticket]],Okey!A:B,2,0),"")</f>
        <v>ok</v>
      </c>
      <c r="I2403" s="7" t="s">
        <v>3679</v>
      </c>
      <c r="J2403" s="7" t="str">
        <f>VLOOKUP(Table2[[#This Row],[Author]],People!A:B,2,0)</f>
        <v>LS</v>
      </c>
      <c r="K2403" s="7" t="s">
        <v>5965</v>
      </c>
      <c r="L2403" s="7"/>
      <c r="M2403" s="16" t="s">
        <v>1040</v>
      </c>
    </row>
    <row r="2404" spans="1:13" x14ac:dyDescent="0.25">
      <c r="A2404" s="22">
        <f t="shared" si="38"/>
        <v>2403</v>
      </c>
      <c r="B2404" s="6" t="s">
        <v>5960</v>
      </c>
      <c r="C2404" s="6" t="s">
        <v>6123</v>
      </c>
      <c r="D2404" s="6" t="s">
        <v>6661</v>
      </c>
      <c r="E2404" s="6" t="s">
        <v>6662</v>
      </c>
      <c r="F2404" s="6" t="s">
        <v>6141</v>
      </c>
      <c r="G2404" s="6" t="s">
        <v>496</v>
      </c>
      <c r="H2404" s="6" t="str">
        <f>IFERROR(VLOOKUP(Table2[[#This Row],[Ticket]],Okey!A:B,2,0),"")</f>
        <v>ok</v>
      </c>
      <c r="I2404" s="6" t="s">
        <v>3679</v>
      </c>
      <c r="J2404" s="6" t="str">
        <f>VLOOKUP(Table2[[#This Row],[Author]],People!A:B,2,0)</f>
        <v>LS</v>
      </c>
      <c r="K2404" s="6" t="s">
        <v>5965</v>
      </c>
      <c r="L2404" s="6"/>
      <c r="M2404" s="21" t="s">
        <v>1040</v>
      </c>
    </row>
    <row r="2405" spans="1:13" x14ac:dyDescent="0.25">
      <c r="A2405" s="23">
        <f t="shared" si="38"/>
        <v>2404</v>
      </c>
      <c r="B2405" s="7" t="s">
        <v>5960</v>
      </c>
      <c r="C2405" s="7" t="s">
        <v>6123</v>
      </c>
      <c r="D2405" s="7" t="s">
        <v>6237</v>
      </c>
      <c r="E2405" s="7" t="s">
        <v>6663</v>
      </c>
      <c r="F2405" s="7" t="s">
        <v>6141</v>
      </c>
      <c r="G2405" s="7" t="s">
        <v>496</v>
      </c>
      <c r="H2405" s="7" t="str">
        <f>IFERROR(VLOOKUP(Table2[[#This Row],[Ticket]],Okey!A:B,2,0),"")</f>
        <v>ok</v>
      </c>
      <c r="I2405" s="7" t="s">
        <v>3679</v>
      </c>
      <c r="J2405" s="7" t="str">
        <f>VLOOKUP(Table2[[#This Row],[Author]],People!A:B,2,0)</f>
        <v>LS</v>
      </c>
      <c r="K2405" s="7" t="s">
        <v>5965</v>
      </c>
      <c r="L2405" s="7"/>
      <c r="M2405" s="16" t="s">
        <v>1040</v>
      </c>
    </row>
    <row r="2406" spans="1:13" x14ac:dyDescent="0.25">
      <c r="A2406" s="22">
        <f t="shared" si="38"/>
        <v>2405</v>
      </c>
      <c r="B2406" s="6" t="s">
        <v>5960</v>
      </c>
      <c r="C2406" s="6" t="s">
        <v>6123</v>
      </c>
      <c r="D2406" s="6" t="s">
        <v>6664</v>
      </c>
      <c r="E2406" s="6" t="s">
        <v>6665</v>
      </c>
      <c r="F2406" s="6" t="s">
        <v>6141</v>
      </c>
      <c r="G2406" s="6" t="s">
        <v>496</v>
      </c>
      <c r="H2406" s="6" t="str">
        <f>IFERROR(VLOOKUP(Table2[[#This Row],[Ticket]],Okey!A:B,2,0),"")</f>
        <v>ok</v>
      </c>
      <c r="I2406" s="6" t="s">
        <v>3679</v>
      </c>
      <c r="J2406" s="6" t="str">
        <f>VLOOKUP(Table2[[#This Row],[Author]],People!A:B,2,0)</f>
        <v>LS</v>
      </c>
      <c r="K2406" s="6" t="s">
        <v>5965</v>
      </c>
      <c r="L2406" s="6"/>
      <c r="M2406" s="21" t="s">
        <v>1040</v>
      </c>
    </row>
    <row r="2407" spans="1:13" x14ac:dyDescent="0.25">
      <c r="A2407" s="23">
        <f t="shared" si="38"/>
        <v>2406</v>
      </c>
      <c r="B2407" s="7" t="s">
        <v>5960</v>
      </c>
      <c r="C2407" s="7" t="s">
        <v>6123</v>
      </c>
      <c r="D2407" s="7" t="s">
        <v>6666</v>
      </c>
      <c r="E2407" s="7" t="s">
        <v>6667</v>
      </c>
      <c r="F2407" s="7" t="s">
        <v>6148</v>
      </c>
      <c r="G2407" s="7" t="s">
        <v>496</v>
      </c>
      <c r="H2407" s="7" t="str">
        <f>IFERROR(VLOOKUP(Table2[[#This Row],[Ticket]],Okey!A:B,2,0),"")</f>
        <v>ok</v>
      </c>
      <c r="I2407" s="7" t="s">
        <v>3679</v>
      </c>
      <c r="J2407" s="7" t="str">
        <f>VLOOKUP(Table2[[#This Row],[Author]],People!A:B,2,0)</f>
        <v>LS</v>
      </c>
      <c r="K2407" s="7" t="s">
        <v>5965</v>
      </c>
      <c r="L2407" s="7"/>
      <c r="M2407" s="16" t="s">
        <v>1040</v>
      </c>
    </row>
    <row r="2408" spans="1:13" x14ac:dyDescent="0.25">
      <c r="A2408" s="22">
        <f t="shared" si="38"/>
        <v>2407</v>
      </c>
      <c r="B2408" s="6" t="s">
        <v>5960</v>
      </c>
      <c r="C2408" s="6" t="s">
        <v>6123</v>
      </c>
      <c r="D2408" s="6" t="s">
        <v>6660</v>
      </c>
      <c r="E2408" s="6" t="s">
        <v>6668</v>
      </c>
      <c r="F2408" s="6"/>
      <c r="G2408" s="6" t="s">
        <v>63</v>
      </c>
      <c r="H2408" s="6" t="str">
        <f>IFERROR(VLOOKUP(Table2[[#This Row],[Ticket]],Okey!A:B,2,0),"")</f>
        <v>ok</v>
      </c>
      <c r="I2408" s="6" t="s">
        <v>3679</v>
      </c>
      <c r="J2408" s="6" t="str">
        <f>VLOOKUP(Table2[[#This Row],[Author]],People!A:B,2,0)</f>
        <v>LS</v>
      </c>
      <c r="K2408" s="6" t="s">
        <v>5965</v>
      </c>
      <c r="L2408" s="6"/>
      <c r="M2408" s="21" t="s">
        <v>1040</v>
      </c>
    </row>
    <row r="2409" spans="1:13" x14ac:dyDescent="0.25">
      <c r="A2409" s="23">
        <f t="shared" si="38"/>
        <v>2408</v>
      </c>
      <c r="B2409" s="7" t="s">
        <v>5960</v>
      </c>
      <c r="C2409" s="7" t="s">
        <v>6123</v>
      </c>
      <c r="D2409" s="7" t="s">
        <v>6669</v>
      </c>
      <c r="E2409" s="7" t="s">
        <v>6670</v>
      </c>
      <c r="F2409" s="7"/>
      <c r="G2409" s="7" t="s">
        <v>63</v>
      </c>
      <c r="H2409" s="7" t="str">
        <f>IFERROR(VLOOKUP(Table2[[#This Row],[Ticket]],Okey!A:B,2,0),"")</f>
        <v>ok</v>
      </c>
      <c r="I2409" s="7" t="s">
        <v>3679</v>
      </c>
      <c r="J2409" s="7" t="str">
        <f>VLOOKUP(Table2[[#This Row],[Author]],People!A:B,2,0)</f>
        <v>LS</v>
      </c>
      <c r="K2409" s="7" t="s">
        <v>5965</v>
      </c>
      <c r="L2409" s="7"/>
      <c r="M2409" s="16" t="s">
        <v>1040</v>
      </c>
    </row>
    <row r="2410" spans="1:13" x14ac:dyDescent="0.25">
      <c r="A2410" s="22">
        <f t="shared" si="38"/>
        <v>2409</v>
      </c>
      <c r="B2410" s="6" t="s">
        <v>5960</v>
      </c>
      <c r="C2410" s="6" t="s">
        <v>6123</v>
      </c>
      <c r="D2410" s="6" t="s">
        <v>6671</v>
      </c>
      <c r="E2410" s="6" t="s">
        <v>6672</v>
      </c>
      <c r="F2410" s="6"/>
      <c r="G2410" s="6" t="s">
        <v>63</v>
      </c>
      <c r="H2410" s="6" t="str">
        <f>IFERROR(VLOOKUP(Table2[[#This Row],[Ticket]],Okey!A:B,2,0),"")</f>
        <v>ok</v>
      </c>
      <c r="I2410" s="6" t="s">
        <v>3679</v>
      </c>
      <c r="J2410" s="6" t="str">
        <f>VLOOKUP(Table2[[#This Row],[Author]],People!A:B,2,0)</f>
        <v>LS</v>
      </c>
      <c r="K2410" s="6" t="s">
        <v>5965</v>
      </c>
      <c r="L2410" s="6"/>
      <c r="M2410" s="21" t="s">
        <v>1040</v>
      </c>
    </row>
    <row r="2411" spans="1:13" x14ac:dyDescent="0.25">
      <c r="A2411" s="23">
        <f t="shared" si="38"/>
        <v>2410</v>
      </c>
      <c r="B2411" s="7" t="s">
        <v>5960</v>
      </c>
      <c r="C2411" s="7" t="s">
        <v>6123</v>
      </c>
      <c r="D2411" s="7" t="s">
        <v>6673</v>
      </c>
      <c r="E2411" s="7" t="s">
        <v>6674</v>
      </c>
      <c r="F2411" s="7"/>
      <c r="G2411" s="7" t="s">
        <v>63</v>
      </c>
      <c r="H2411" s="7" t="str">
        <f>IFERROR(VLOOKUP(Table2[[#This Row],[Ticket]],Okey!A:B,2,0),"")</f>
        <v>ok</v>
      </c>
      <c r="I2411" s="7" t="s">
        <v>3679</v>
      </c>
      <c r="J2411" s="7" t="str">
        <f>VLOOKUP(Table2[[#This Row],[Author]],People!A:B,2,0)</f>
        <v>LS</v>
      </c>
      <c r="K2411" s="7" t="s">
        <v>5965</v>
      </c>
      <c r="L2411" s="7"/>
      <c r="M2411" s="16" t="s">
        <v>1040</v>
      </c>
    </row>
    <row r="2412" spans="1:13" x14ac:dyDescent="0.25">
      <c r="A2412" s="22">
        <f t="shared" si="38"/>
        <v>2411</v>
      </c>
      <c r="B2412" s="6" t="s">
        <v>5960</v>
      </c>
      <c r="C2412" s="6" t="s">
        <v>6123</v>
      </c>
      <c r="D2412" s="6" t="s">
        <v>6675</v>
      </c>
      <c r="E2412" s="6" t="s">
        <v>6676</v>
      </c>
      <c r="F2412" s="6"/>
      <c r="G2412" s="6" t="s">
        <v>63</v>
      </c>
      <c r="H2412" s="6" t="str">
        <f>IFERROR(VLOOKUP(Table2[[#This Row],[Ticket]],Okey!A:B,2,0),"")</f>
        <v>ok</v>
      </c>
      <c r="I2412" s="6" t="s">
        <v>3679</v>
      </c>
      <c r="J2412" s="6" t="str">
        <f>VLOOKUP(Table2[[#This Row],[Author]],People!A:B,2,0)</f>
        <v>LS</v>
      </c>
      <c r="K2412" s="6" t="s">
        <v>5965</v>
      </c>
      <c r="L2412" s="6"/>
      <c r="M2412" s="21" t="s">
        <v>1040</v>
      </c>
    </row>
    <row r="2413" spans="1:13" x14ac:dyDescent="0.25">
      <c r="A2413" s="23">
        <f t="shared" si="38"/>
        <v>2412</v>
      </c>
      <c r="B2413" s="7" t="s">
        <v>5960</v>
      </c>
      <c r="C2413" s="7" t="s">
        <v>6123</v>
      </c>
      <c r="D2413" s="7" t="s">
        <v>6677</v>
      </c>
      <c r="E2413" s="7" t="s">
        <v>6678</v>
      </c>
      <c r="F2413" s="7"/>
      <c r="G2413" s="7" t="s">
        <v>63</v>
      </c>
      <c r="H2413" s="7" t="str">
        <f>IFERROR(VLOOKUP(Table2[[#This Row],[Ticket]],Okey!A:B,2,0),"")</f>
        <v>ok</v>
      </c>
      <c r="I2413" s="7" t="s">
        <v>3679</v>
      </c>
      <c r="J2413" s="7" t="str">
        <f>VLOOKUP(Table2[[#This Row],[Author]],People!A:B,2,0)</f>
        <v>LS</v>
      </c>
      <c r="K2413" s="7" t="s">
        <v>5965</v>
      </c>
      <c r="L2413" s="7"/>
      <c r="M2413" s="16" t="s">
        <v>1040</v>
      </c>
    </row>
    <row r="2414" spans="1:13" x14ac:dyDescent="0.25">
      <c r="A2414" s="22">
        <f t="shared" si="38"/>
        <v>2413</v>
      </c>
      <c r="B2414" s="6" t="s">
        <v>5960</v>
      </c>
      <c r="C2414" s="6" t="s">
        <v>6123</v>
      </c>
      <c r="D2414" s="6" t="s">
        <v>6193</v>
      </c>
      <c r="E2414" s="6" t="s">
        <v>6679</v>
      </c>
      <c r="F2414" s="6"/>
      <c r="G2414" s="6" t="s">
        <v>63</v>
      </c>
      <c r="H2414" s="6" t="str">
        <f>IFERROR(VLOOKUP(Table2[[#This Row],[Ticket]],Okey!A:B,2,0),"")</f>
        <v>ok</v>
      </c>
      <c r="I2414" s="6" t="s">
        <v>3679</v>
      </c>
      <c r="J2414" s="6" t="str">
        <f>VLOOKUP(Table2[[#This Row],[Author]],People!A:B,2,0)</f>
        <v>LS</v>
      </c>
      <c r="K2414" s="6" t="s">
        <v>5965</v>
      </c>
      <c r="L2414" s="6"/>
      <c r="M2414" s="21" t="s">
        <v>1040</v>
      </c>
    </row>
    <row r="2415" spans="1:13" x14ac:dyDescent="0.25">
      <c r="A2415" s="23">
        <f t="shared" si="38"/>
        <v>2414</v>
      </c>
      <c r="B2415" s="7" t="s">
        <v>5960</v>
      </c>
      <c r="C2415" s="7" t="s">
        <v>6123</v>
      </c>
      <c r="D2415" s="7" t="s">
        <v>6680</v>
      </c>
      <c r="E2415" s="7" t="s">
        <v>6681</v>
      </c>
      <c r="F2415" s="7"/>
      <c r="G2415" s="7" t="s">
        <v>63</v>
      </c>
      <c r="H2415" s="7" t="str">
        <f>IFERROR(VLOOKUP(Table2[[#This Row],[Ticket]],Okey!A:B,2,0),"")</f>
        <v>ok</v>
      </c>
      <c r="I2415" s="7" t="s">
        <v>3679</v>
      </c>
      <c r="J2415" s="7" t="str">
        <f>VLOOKUP(Table2[[#This Row],[Author]],People!A:B,2,0)</f>
        <v>LS</v>
      </c>
      <c r="K2415" s="7" t="s">
        <v>5965</v>
      </c>
      <c r="L2415" s="7"/>
      <c r="M2415" s="16" t="s">
        <v>1040</v>
      </c>
    </row>
    <row r="2416" spans="1:13" x14ac:dyDescent="0.25">
      <c r="A2416" s="22">
        <f t="shared" si="38"/>
        <v>2415</v>
      </c>
      <c r="B2416" s="6" t="s">
        <v>5960</v>
      </c>
      <c r="C2416" s="6" t="s">
        <v>6123</v>
      </c>
      <c r="D2416" s="6" t="s">
        <v>6682</v>
      </c>
      <c r="E2416" s="6" t="s">
        <v>6683</v>
      </c>
      <c r="F2416" s="6"/>
      <c r="G2416" s="6" t="s">
        <v>63</v>
      </c>
      <c r="H2416" s="6" t="str">
        <f>IFERROR(VLOOKUP(Table2[[#This Row],[Ticket]],Okey!A:B,2,0),"")</f>
        <v>ok</v>
      </c>
      <c r="I2416" s="6" t="s">
        <v>3679</v>
      </c>
      <c r="J2416" s="6" t="str">
        <f>VLOOKUP(Table2[[#This Row],[Author]],People!A:B,2,0)</f>
        <v>LS</v>
      </c>
      <c r="K2416" s="6" t="s">
        <v>5965</v>
      </c>
      <c r="L2416" s="6"/>
      <c r="M2416" s="21" t="s">
        <v>1040</v>
      </c>
    </row>
    <row r="2417" spans="1:13" x14ac:dyDescent="0.25">
      <c r="A2417" s="23">
        <f t="shared" si="38"/>
        <v>2416</v>
      </c>
      <c r="B2417" s="7" t="s">
        <v>5960</v>
      </c>
      <c r="C2417" s="7" t="s">
        <v>6123</v>
      </c>
      <c r="D2417" s="7" t="s">
        <v>1660</v>
      </c>
      <c r="E2417" s="7" t="s">
        <v>6684</v>
      </c>
      <c r="F2417" s="7"/>
      <c r="G2417" s="7" t="s">
        <v>63</v>
      </c>
      <c r="H2417" s="7" t="str">
        <f>IFERROR(VLOOKUP(Table2[[#This Row],[Ticket]],Okey!A:B,2,0),"")</f>
        <v>ok</v>
      </c>
      <c r="I2417" s="7" t="s">
        <v>3679</v>
      </c>
      <c r="J2417" s="7" t="str">
        <f>VLOOKUP(Table2[[#This Row],[Author]],People!A:B,2,0)</f>
        <v>LS</v>
      </c>
      <c r="K2417" s="7" t="s">
        <v>5965</v>
      </c>
      <c r="L2417" s="7"/>
      <c r="M2417" s="16" t="s">
        <v>1040</v>
      </c>
    </row>
    <row r="2418" spans="1:13" x14ac:dyDescent="0.25">
      <c r="A2418" s="22">
        <f t="shared" si="38"/>
        <v>2417</v>
      </c>
      <c r="B2418" s="6" t="s">
        <v>5960</v>
      </c>
      <c r="C2418" s="6" t="s">
        <v>6123</v>
      </c>
      <c r="D2418" s="6" t="s">
        <v>1662</v>
      </c>
      <c r="E2418" s="6" t="s">
        <v>6685</v>
      </c>
      <c r="F2418" s="6"/>
      <c r="G2418" s="6" t="s">
        <v>63</v>
      </c>
      <c r="H2418" s="6" t="str">
        <f>IFERROR(VLOOKUP(Table2[[#This Row],[Ticket]],Okey!A:B,2,0),"")</f>
        <v>ok</v>
      </c>
      <c r="I2418" s="6" t="s">
        <v>3679</v>
      </c>
      <c r="J2418" s="6" t="str">
        <f>VLOOKUP(Table2[[#This Row],[Author]],People!A:B,2,0)</f>
        <v>LS</v>
      </c>
      <c r="K2418" s="6" t="s">
        <v>5965</v>
      </c>
      <c r="L2418" s="6"/>
      <c r="M2418" s="21" t="s">
        <v>1040</v>
      </c>
    </row>
    <row r="2419" spans="1:13" x14ac:dyDescent="0.25">
      <c r="A2419" s="23">
        <f t="shared" si="38"/>
        <v>2418</v>
      </c>
      <c r="B2419" s="7" t="s">
        <v>5960</v>
      </c>
      <c r="C2419" s="7" t="s">
        <v>6123</v>
      </c>
      <c r="D2419" s="7" t="s">
        <v>1664</v>
      </c>
      <c r="E2419" s="7" t="s">
        <v>6686</v>
      </c>
      <c r="F2419" s="7"/>
      <c r="G2419" s="7" t="s">
        <v>63</v>
      </c>
      <c r="H2419" s="7" t="str">
        <f>IFERROR(VLOOKUP(Table2[[#This Row],[Ticket]],Okey!A:B,2,0),"")</f>
        <v>ok</v>
      </c>
      <c r="I2419" s="7" t="s">
        <v>3679</v>
      </c>
      <c r="J2419" s="7" t="str">
        <f>VLOOKUP(Table2[[#This Row],[Author]],People!A:B,2,0)</f>
        <v>LS</v>
      </c>
      <c r="K2419" s="7" t="s">
        <v>5965</v>
      </c>
      <c r="L2419" s="7"/>
      <c r="M2419" s="16" t="s">
        <v>1040</v>
      </c>
    </row>
    <row r="2420" spans="1:13" x14ac:dyDescent="0.25">
      <c r="A2420" s="22">
        <f t="shared" si="38"/>
        <v>2419</v>
      </c>
      <c r="B2420" s="6" t="s">
        <v>5960</v>
      </c>
      <c r="C2420" s="6" t="s">
        <v>6123</v>
      </c>
      <c r="D2420" s="6" t="s">
        <v>6218</v>
      </c>
      <c r="E2420" s="6" t="s">
        <v>6687</v>
      </c>
      <c r="F2420" s="6"/>
      <c r="G2420" s="6" t="s">
        <v>63</v>
      </c>
      <c r="H2420" s="6" t="str">
        <f>IFERROR(VLOOKUP(Table2[[#This Row],[Ticket]],Okey!A:B,2,0),"")</f>
        <v>ok</v>
      </c>
      <c r="I2420" s="6" t="s">
        <v>3679</v>
      </c>
      <c r="J2420" s="6" t="str">
        <f>VLOOKUP(Table2[[#This Row],[Author]],People!A:B,2,0)</f>
        <v>LS</v>
      </c>
      <c r="K2420" s="6" t="s">
        <v>5965</v>
      </c>
      <c r="L2420" s="6"/>
      <c r="M2420" s="21" t="s">
        <v>1040</v>
      </c>
    </row>
    <row r="2421" spans="1:13" x14ac:dyDescent="0.25">
      <c r="A2421" s="23">
        <f t="shared" si="38"/>
        <v>2420</v>
      </c>
      <c r="B2421" s="7" t="s">
        <v>5960</v>
      </c>
      <c r="C2421" s="7" t="s">
        <v>6123</v>
      </c>
      <c r="D2421" s="7" t="s">
        <v>6195</v>
      </c>
      <c r="E2421" s="7" t="s">
        <v>6688</v>
      </c>
      <c r="F2421" s="7"/>
      <c r="G2421" s="7" t="s">
        <v>63</v>
      </c>
      <c r="H2421" s="7" t="str">
        <f>IFERROR(VLOOKUP(Table2[[#This Row],[Ticket]],Okey!A:B,2,0),"")</f>
        <v>ok</v>
      </c>
      <c r="I2421" s="7" t="s">
        <v>3679</v>
      </c>
      <c r="J2421" s="7" t="str">
        <f>VLOOKUP(Table2[[#This Row],[Author]],People!A:B,2,0)</f>
        <v>LS</v>
      </c>
      <c r="K2421" s="7" t="s">
        <v>5965</v>
      </c>
      <c r="L2421" s="7"/>
      <c r="M2421" s="16" t="s">
        <v>1040</v>
      </c>
    </row>
    <row r="2422" spans="1:13" x14ac:dyDescent="0.25">
      <c r="A2422" s="22">
        <f t="shared" si="38"/>
        <v>2421</v>
      </c>
      <c r="B2422" s="6" t="s">
        <v>5960</v>
      </c>
      <c r="C2422" s="6" t="s">
        <v>6123</v>
      </c>
      <c r="D2422" s="6" t="s">
        <v>2714</v>
      </c>
      <c r="E2422" s="6" t="s">
        <v>6689</v>
      </c>
      <c r="F2422" s="6"/>
      <c r="G2422" s="6" t="s">
        <v>63</v>
      </c>
      <c r="H2422" s="6" t="str">
        <f>IFERROR(VLOOKUP(Table2[[#This Row],[Ticket]],Okey!A:B,2,0),"")</f>
        <v>ok</v>
      </c>
      <c r="I2422" s="6" t="s">
        <v>3679</v>
      </c>
      <c r="J2422" s="6" t="str">
        <f>VLOOKUP(Table2[[#This Row],[Author]],People!A:B,2,0)</f>
        <v>LS</v>
      </c>
      <c r="K2422" s="6" t="s">
        <v>5965</v>
      </c>
      <c r="L2422" s="6"/>
      <c r="M2422" s="21" t="s">
        <v>1040</v>
      </c>
    </row>
    <row r="2423" spans="1:13" x14ac:dyDescent="0.25">
      <c r="A2423" s="23">
        <f t="shared" si="38"/>
        <v>2422</v>
      </c>
      <c r="B2423" s="7" t="s">
        <v>5960</v>
      </c>
      <c r="C2423" s="7" t="s">
        <v>6123</v>
      </c>
      <c r="D2423" s="7" t="s">
        <v>6197</v>
      </c>
      <c r="E2423" s="7" t="s">
        <v>6690</v>
      </c>
      <c r="F2423" s="7"/>
      <c r="G2423" s="7" t="s">
        <v>63</v>
      </c>
      <c r="H2423" s="7" t="str">
        <f>IFERROR(VLOOKUP(Table2[[#This Row],[Ticket]],Okey!A:B,2,0),"")</f>
        <v>ok</v>
      </c>
      <c r="I2423" s="7" t="s">
        <v>3679</v>
      </c>
      <c r="J2423" s="7" t="str">
        <f>VLOOKUP(Table2[[#This Row],[Author]],People!A:B,2,0)</f>
        <v>LS</v>
      </c>
      <c r="K2423" s="7" t="s">
        <v>5965</v>
      </c>
      <c r="L2423" s="7"/>
      <c r="M2423" s="16" t="s">
        <v>1040</v>
      </c>
    </row>
    <row r="2424" spans="1:13" x14ac:dyDescent="0.25">
      <c r="A2424" s="22">
        <f t="shared" si="38"/>
        <v>2423</v>
      </c>
      <c r="B2424" s="6" t="s">
        <v>5960</v>
      </c>
      <c r="C2424" s="6" t="s">
        <v>6123</v>
      </c>
      <c r="D2424" s="6" t="s">
        <v>6540</v>
      </c>
      <c r="E2424" s="6" t="s">
        <v>6691</v>
      </c>
      <c r="F2424" s="6"/>
      <c r="G2424" s="6" t="s">
        <v>63</v>
      </c>
      <c r="H2424" s="6" t="str">
        <f>IFERROR(VLOOKUP(Table2[[#This Row],[Ticket]],Okey!A:B,2,0),"")</f>
        <v>ok</v>
      </c>
      <c r="I2424" s="6" t="s">
        <v>3679</v>
      </c>
      <c r="J2424" s="6" t="str">
        <f>VLOOKUP(Table2[[#This Row],[Author]],People!A:B,2,0)</f>
        <v>LS</v>
      </c>
      <c r="K2424" s="6" t="s">
        <v>5965</v>
      </c>
      <c r="L2424" s="6"/>
      <c r="M2424" s="21" t="s">
        <v>1040</v>
      </c>
    </row>
    <row r="2425" spans="1:13" x14ac:dyDescent="0.25">
      <c r="A2425" s="23">
        <f t="shared" si="38"/>
        <v>2424</v>
      </c>
      <c r="B2425" s="7" t="s">
        <v>5960</v>
      </c>
      <c r="C2425" s="7" t="s">
        <v>6123</v>
      </c>
      <c r="D2425" s="7" t="s">
        <v>6161</v>
      </c>
      <c r="E2425" s="7" t="s">
        <v>6692</v>
      </c>
      <c r="F2425" s="7"/>
      <c r="G2425" s="7" t="s">
        <v>63</v>
      </c>
      <c r="H2425" s="7" t="str">
        <f>IFERROR(VLOOKUP(Table2[[#This Row],[Ticket]],Okey!A:B,2,0),"")</f>
        <v>ok</v>
      </c>
      <c r="I2425" s="7" t="s">
        <v>3679</v>
      </c>
      <c r="J2425" s="7" t="str">
        <f>VLOOKUP(Table2[[#This Row],[Author]],People!A:B,2,0)</f>
        <v>LS</v>
      </c>
      <c r="K2425" s="7" t="s">
        <v>5965</v>
      </c>
      <c r="L2425" s="7"/>
      <c r="M2425" s="16" t="s">
        <v>1040</v>
      </c>
    </row>
    <row r="2426" spans="1:13" x14ac:dyDescent="0.25">
      <c r="A2426" s="22">
        <f t="shared" si="38"/>
        <v>2425</v>
      </c>
      <c r="B2426" s="6" t="s">
        <v>5960</v>
      </c>
      <c r="C2426" s="6" t="s">
        <v>6123</v>
      </c>
      <c r="D2426" s="6" t="s">
        <v>6560</v>
      </c>
      <c r="E2426" s="6" t="s">
        <v>6693</v>
      </c>
      <c r="F2426" s="6"/>
      <c r="G2426" s="6" t="s">
        <v>63</v>
      </c>
      <c r="H2426" s="6" t="str">
        <f>IFERROR(VLOOKUP(Table2[[#This Row],[Ticket]],Okey!A:B,2,0),"")</f>
        <v>ok</v>
      </c>
      <c r="I2426" s="6" t="s">
        <v>3679</v>
      </c>
      <c r="J2426" s="6" t="str">
        <f>VLOOKUP(Table2[[#This Row],[Author]],People!A:B,2,0)</f>
        <v>LS</v>
      </c>
      <c r="K2426" s="6" t="s">
        <v>5965</v>
      </c>
      <c r="L2426" s="6"/>
      <c r="M2426" s="21" t="s">
        <v>1040</v>
      </c>
    </row>
    <row r="2427" spans="1:13" x14ac:dyDescent="0.25">
      <c r="A2427" s="23">
        <f t="shared" si="38"/>
        <v>2426</v>
      </c>
      <c r="B2427" s="7" t="s">
        <v>5960</v>
      </c>
      <c r="C2427" s="7" t="s">
        <v>6123</v>
      </c>
      <c r="D2427" s="7" t="s">
        <v>1269</v>
      </c>
      <c r="E2427" s="7" t="s">
        <v>6694</v>
      </c>
      <c r="F2427" s="7"/>
      <c r="G2427" s="7" t="s">
        <v>63</v>
      </c>
      <c r="H2427" s="7" t="str">
        <f>IFERROR(VLOOKUP(Table2[[#This Row],[Ticket]],Okey!A:B,2,0),"")</f>
        <v>ok</v>
      </c>
      <c r="I2427" s="7" t="s">
        <v>3679</v>
      </c>
      <c r="J2427" s="7" t="str">
        <f>VLOOKUP(Table2[[#This Row],[Author]],People!A:B,2,0)</f>
        <v>LS</v>
      </c>
      <c r="K2427" s="7" t="s">
        <v>5965</v>
      </c>
      <c r="L2427" s="7"/>
      <c r="M2427" s="16" t="s">
        <v>1040</v>
      </c>
    </row>
    <row r="2428" spans="1:13" x14ac:dyDescent="0.25">
      <c r="A2428" s="22">
        <f t="shared" si="38"/>
        <v>2427</v>
      </c>
      <c r="B2428" s="6" t="s">
        <v>5960</v>
      </c>
      <c r="C2428" s="6" t="s">
        <v>6123</v>
      </c>
      <c r="D2428" s="6" t="s">
        <v>1267</v>
      </c>
      <c r="E2428" s="6" t="s">
        <v>6695</v>
      </c>
      <c r="F2428" s="6"/>
      <c r="G2428" s="6" t="s">
        <v>63</v>
      </c>
      <c r="H2428" s="6" t="str">
        <f>IFERROR(VLOOKUP(Table2[[#This Row],[Ticket]],Okey!A:B,2,0),"")</f>
        <v>ok</v>
      </c>
      <c r="I2428" s="6" t="s">
        <v>3679</v>
      </c>
      <c r="J2428" s="6" t="str">
        <f>VLOOKUP(Table2[[#This Row],[Author]],People!A:B,2,0)</f>
        <v>LS</v>
      </c>
      <c r="K2428" s="6" t="s">
        <v>5965</v>
      </c>
      <c r="L2428" s="6"/>
      <c r="M2428" s="21" t="s">
        <v>1040</v>
      </c>
    </row>
    <row r="2429" spans="1:13" x14ac:dyDescent="0.25">
      <c r="A2429" s="23">
        <f t="shared" si="38"/>
        <v>2428</v>
      </c>
      <c r="B2429" s="7" t="s">
        <v>5960</v>
      </c>
      <c r="C2429" s="7" t="s">
        <v>6123</v>
      </c>
      <c r="D2429" s="7" t="s">
        <v>1265</v>
      </c>
      <c r="E2429" s="7" t="s">
        <v>6696</v>
      </c>
      <c r="F2429" s="7"/>
      <c r="G2429" s="7" t="s">
        <v>63</v>
      </c>
      <c r="H2429" s="7" t="str">
        <f>IFERROR(VLOOKUP(Table2[[#This Row],[Ticket]],Okey!A:B,2,0),"")</f>
        <v>ok</v>
      </c>
      <c r="I2429" s="7" t="s">
        <v>3679</v>
      </c>
      <c r="J2429" s="7" t="str">
        <f>VLOOKUP(Table2[[#This Row],[Author]],People!A:B,2,0)</f>
        <v>LS</v>
      </c>
      <c r="K2429" s="7" t="s">
        <v>5965</v>
      </c>
      <c r="L2429" s="7"/>
      <c r="M2429" s="16" t="s">
        <v>1040</v>
      </c>
    </row>
    <row r="2430" spans="1:13" x14ac:dyDescent="0.25">
      <c r="A2430" s="22">
        <f t="shared" si="38"/>
        <v>2429</v>
      </c>
      <c r="B2430" s="6" t="s">
        <v>5960</v>
      </c>
      <c r="C2430" s="6" t="s">
        <v>6123</v>
      </c>
      <c r="D2430" s="6" t="s">
        <v>6697</v>
      </c>
      <c r="E2430" s="6" t="s">
        <v>6698</v>
      </c>
      <c r="F2430" s="6"/>
      <c r="G2430" s="6" t="s">
        <v>63</v>
      </c>
      <c r="H2430" s="6" t="str">
        <f>IFERROR(VLOOKUP(Table2[[#This Row],[Ticket]],Okey!A:B,2,0),"")</f>
        <v>ok</v>
      </c>
      <c r="I2430" s="6" t="s">
        <v>3679</v>
      </c>
      <c r="J2430" s="6" t="str">
        <f>VLOOKUP(Table2[[#This Row],[Author]],People!A:B,2,0)</f>
        <v>LS</v>
      </c>
      <c r="K2430" s="6" t="s">
        <v>5965</v>
      </c>
      <c r="L2430" s="6"/>
      <c r="M2430" s="21" t="s">
        <v>1040</v>
      </c>
    </row>
    <row r="2431" spans="1:13" x14ac:dyDescent="0.25">
      <c r="A2431" s="23">
        <f t="shared" si="38"/>
        <v>2430</v>
      </c>
      <c r="B2431" s="7" t="s">
        <v>5960</v>
      </c>
      <c r="C2431" s="7" t="s">
        <v>6123</v>
      </c>
      <c r="D2431" s="7" t="s">
        <v>1372</v>
      </c>
      <c r="E2431" s="7" t="s">
        <v>6699</v>
      </c>
      <c r="F2431" s="7"/>
      <c r="G2431" s="7" t="s">
        <v>63</v>
      </c>
      <c r="H2431" s="7" t="str">
        <f>IFERROR(VLOOKUP(Table2[[#This Row],[Ticket]],Okey!A:B,2,0),"")</f>
        <v>ok</v>
      </c>
      <c r="I2431" s="7" t="s">
        <v>3679</v>
      </c>
      <c r="J2431" s="7" t="str">
        <f>VLOOKUP(Table2[[#This Row],[Author]],People!A:B,2,0)</f>
        <v>LS</v>
      </c>
      <c r="K2431" s="7" t="s">
        <v>5965</v>
      </c>
      <c r="L2431" s="7"/>
      <c r="M2431" s="16" t="s">
        <v>1040</v>
      </c>
    </row>
    <row r="2432" spans="1:13" x14ac:dyDescent="0.25">
      <c r="A2432" s="22">
        <f t="shared" si="38"/>
        <v>2431</v>
      </c>
      <c r="B2432" s="6" t="s">
        <v>5960</v>
      </c>
      <c r="C2432" s="6" t="s">
        <v>6123</v>
      </c>
      <c r="D2432" s="6" t="s">
        <v>6700</v>
      </c>
      <c r="E2432" s="6" t="s">
        <v>6701</v>
      </c>
      <c r="F2432" s="6"/>
      <c r="G2432" s="6" t="s">
        <v>63</v>
      </c>
      <c r="H2432" s="6" t="str">
        <f>IFERROR(VLOOKUP(Table2[[#This Row],[Ticket]],Okey!A:B,2,0),"")</f>
        <v>ok</v>
      </c>
      <c r="I2432" s="6" t="s">
        <v>3679</v>
      </c>
      <c r="J2432" s="6" t="str">
        <f>VLOOKUP(Table2[[#This Row],[Author]],People!A:B,2,0)</f>
        <v>LS</v>
      </c>
      <c r="K2432" s="6" t="s">
        <v>5965</v>
      </c>
      <c r="L2432" s="6"/>
      <c r="M2432" s="21" t="s">
        <v>1040</v>
      </c>
    </row>
    <row r="2433" spans="1:13" x14ac:dyDescent="0.25">
      <c r="A2433" s="23">
        <f t="shared" si="38"/>
        <v>2432</v>
      </c>
      <c r="B2433" s="7" t="s">
        <v>5960</v>
      </c>
      <c r="C2433" s="7" t="s">
        <v>6123</v>
      </c>
      <c r="D2433" s="7" t="s">
        <v>6702</v>
      </c>
      <c r="E2433" s="7" t="s">
        <v>6703</v>
      </c>
      <c r="F2433" s="7"/>
      <c r="G2433" s="7" t="s">
        <v>63</v>
      </c>
      <c r="H2433" s="7" t="str">
        <f>IFERROR(VLOOKUP(Table2[[#This Row],[Ticket]],Okey!A:B,2,0),"")</f>
        <v>ok</v>
      </c>
      <c r="I2433" s="7" t="s">
        <v>3679</v>
      </c>
      <c r="J2433" s="7" t="str">
        <f>VLOOKUP(Table2[[#This Row],[Author]],People!A:B,2,0)</f>
        <v>LS</v>
      </c>
      <c r="K2433" s="7" t="s">
        <v>5965</v>
      </c>
      <c r="L2433" s="7"/>
      <c r="M2433" s="16" t="s">
        <v>1040</v>
      </c>
    </row>
    <row r="2434" spans="1:13" x14ac:dyDescent="0.25">
      <c r="A2434" s="22">
        <f t="shared" si="38"/>
        <v>2433</v>
      </c>
      <c r="B2434" s="6" t="s">
        <v>5960</v>
      </c>
      <c r="C2434" s="6" t="s">
        <v>6123</v>
      </c>
      <c r="D2434" s="6" t="s">
        <v>6704</v>
      </c>
      <c r="E2434" s="6" t="s">
        <v>6705</v>
      </c>
      <c r="F2434" s="6"/>
      <c r="G2434" s="6" t="s">
        <v>63</v>
      </c>
      <c r="H2434" s="6" t="str">
        <f>IFERROR(VLOOKUP(Table2[[#This Row],[Ticket]],Okey!A:B,2,0),"")</f>
        <v>ok</v>
      </c>
      <c r="I2434" s="6" t="s">
        <v>3679</v>
      </c>
      <c r="J2434" s="6" t="str">
        <f>VLOOKUP(Table2[[#This Row],[Author]],People!A:B,2,0)</f>
        <v>LS</v>
      </c>
      <c r="K2434" s="6" t="s">
        <v>5965</v>
      </c>
      <c r="L2434" s="6"/>
      <c r="M2434" s="21" t="s">
        <v>1040</v>
      </c>
    </row>
    <row r="2435" spans="1:13" x14ac:dyDescent="0.25">
      <c r="A2435" s="23">
        <f t="shared" si="38"/>
        <v>2434</v>
      </c>
      <c r="B2435" s="7" t="s">
        <v>5960</v>
      </c>
      <c r="C2435" s="7" t="s">
        <v>6123</v>
      </c>
      <c r="D2435" s="7" t="s">
        <v>6706</v>
      </c>
      <c r="E2435" s="7" t="s">
        <v>6707</v>
      </c>
      <c r="F2435" s="7"/>
      <c r="G2435" s="7" t="s">
        <v>63</v>
      </c>
      <c r="H2435" s="7" t="str">
        <f>IFERROR(VLOOKUP(Table2[[#This Row],[Ticket]],Okey!A:B,2,0),"")</f>
        <v>ok</v>
      </c>
      <c r="I2435" s="7" t="s">
        <v>3679</v>
      </c>
      <c r="J2435" s="7" t="str">
        <f>VLOOKUP(Table2[[#This Row],[Author]],People!A:B,2,0)</f>
        <v>LS</v>
      </c>
      <c r="K2435" s="7" t="s">
        <v>5965</v>
      </c>
      <c r="L2435" s="7"/>
      <c r="M2435" s="16" t="s">
        <v>1040</v>
      </c>
    </row>
    <row r="2436" spans="1:13" x14ac:dyDescent="0.25">
      <c r="A2436" s="22">
        <f t="shared" si="38"/>
        <v>2435</v>
      </c>
      <c r="B2436" s="6" t="s">
        <v>5960</v>
      </c>
      <c r="C2436" s="6" t="s">
        <v>6123</v>
      </c>
      <c r="D2436" s="6" t="s">
        <v>6708</v>
      </c>
      <c r="E2436" s="6" t="s">
        <v>6709</v>
      </c>
      <c r="F2436" s="6"/>
      <c r="G2436" s="6" t="s">
        <v>63</v>
      </c>
      <c r="H2436" s="6" t="str">
        <f>IFERROR(VLOOKUP(Table2[[#This Row],[Ticket]],Okey!A:B,2,0),"")</f>
        <v>ok</v>
      </c>
      <c r="I2436" s="6" t="s">
        <v>3679</v>
      </c>
      <c r="J2436" s="6" t="str">
        <f>VLOOKUP(Table2[[#This Row],[Author]],People!A:B,2,0)</f>
        <v>LS</v>
      </c>
      <c r="K2436" s="6" t="s">
        <v>5965</v>
      </c>
      <c r="L2436" s="6"/>
      <c r="M2436" s="21" t="s">
        <v>1040</v>
      </c>
    </row>
    <row r="2437" spans="1:13" x14ac:dyDescent="0.25">
      <c r="A2437" s="23">
        <f t="shared" si="38"/>
        <v>2436</v>
      </c>
      <c r="B2437" s="7" t="s">
        <v>5960</v>
      </c>
      <c r="C2437" s="7" t="s">
        <v>6123</v>
      </c>
      <c r="D2437" s="7" t="s">
        <v>6710</v>
      </c>
      <c r="E2437" s="7" t="s">
        <v>6711</v>
      </c>
      <c r="F2437" s="7"/>
      <c r="G2437" s="7" t="s">
        <v>63</v>
      </c>
      <c r="H2437" s="7" t="str">
        <f>IFERROR(VLOOKUP(Table2[[#This Row],[Ticket]],Okey!A:B,2,0),"")</f>
        <v>ok</v>
      </c>
      <c r="I2437" s="7" t="s">
        <v>3679</v>
      </c>
      <c r="J2437" s="7" t="str">
        <f>VLOOKUP(Table2[[#This Row],[Author]],People!A:B,2,0)</f>
        <v>LS</v>
      </c>
      <c r="K2437" s="7" t="s">
        <v>5965</v>
      </c>
      <c r="L2437" s="7"/>
      <c r="M2437" s="16" t="s">
        <v>1040</v>
      </c>
    </row>
    <row r="2438" spans="1:13" x14ac:dyDescent="0.25">
      <c r="A2438" s="22">
        <f t="shared" si="38"/>
        <v>2437</v>
      </c>
      <c r="B2438" s="6" t="s">
        <v>5960</v>
      </c>
      <c r="C2438" s="6" t="s">
        <v>6123</v>
      </c>
      <c r="D2438" s="6" t="s">
        <v>6712</v>
      </c>
      <c r="E2438" s="6" t="s">
        <v>6713</v>
      </c>
      <c r="F2438" s="6"/>
      <c r="G2438" s="6" t="s">
        <v>63</v>
      </c>
      <c r="H2438" s="6" t="str">
        <f>IFERROR(VLOOKUP(Table2[[#This Row],[Ticket]],Okey!A:B,2,0),"")</f>
        <v>ok</v>
      </c>
      <c r="I2438" s="6" t="s">
        <v>3679</v>
      </c>
      <c r="J2438" s="6" t="str">
        <f>VLOOKUP(Table2[[#This Row],[Author]],People!A:B,2,0)</f>
        <v>LS</v>
      </c>
      <c r="K2438" s="6" t="s">
        <v>5965</v>
      </c>
      <c r="L2438" s="6"/>
      <c r="M2438" s="21" t="s">
        <v>1040</v>
      </c>
    </row>
    <row r="2439" spans="1:13" x14ac:dyDescent="0.25">
      <c r="A2439" s="23">
        <f t="shared" si="38"/>
        <v>2438</v>
      </c>
      <c r="B2439" s="7" t="s">
        <v>5960</v>
      </c>
      <c r="C2439" s="7" t="s">
        <v>6123</v>
      </c>
      <c r="D2439" s="7" t="s">
        <v>6714</v>
      </c>
      <c r="E2439" s="7" t="s">
        <v>6715</v>
      </c>
      <c r="F2439" s="7"/>
      <c r="G2439" s="7" t="s">
        <v>63</v>
      </c>
      <c r="H2439" s="7" t="str">
        <f>IFERROR(VLOOKUP(Table2[[#This Row],[Ticket]],Okey!A:B,2,0),"")</f>
        <v>ok</v>
      </c>
      <c r="I2439" s="7" t="s">
        <v>3679</v>
      </c>
      <c r="J2439" s="7" t="str">
        <f>VLOOKUP(Table2[[#This Row],[Author]],People!A:B,2,0)</f>
        <v>LS</v>
      </c>
      <c r="K2439" s="7" t="s">
        <v>5965</v>
      </c>
      <c r="L2439" s="7"/>
      <c r="M2439" s="16" t="s">
        <v>1040</v>
      </c>
    </row>
    <row r="2440" spans="1:13" x14ac:dyDescent="0.25">
      <c r="A2440" s="22">
        <f t="shared" si="38"/>
        <v>2439</v>
      </c>
      <c r="B2440" s="6" t="s">
        <v>5960</v>
      </c>
      <c r="C2440" s="6" t="s">
        <v>6123</v>
      </c>
      <c r="D2440" s="6" t="s">
        <v>6716</v>
      </c>
      <c r="E2440" s="6" t="s">
        <v>6717</v>
      </c>
      <c r="F2440" s="6"/>
      <c r="G2440" s="6" t="s">
        <v>63</v>
      </c>
      <c r="H2440" s="6" t="str">
        <f>IFERROR(VLOOKUP(Table2[[#This Row],[Ticket]],Okey!A:B,2,0),"")</f>
        <v>ok</v>
      </c>
      <c r="I2440" s="6" t="s">
        <v>3679</v>
      </c>
      <c r="J2440" s="6" t="str">
        <f>VLOOKUP(Table2[[#This Row],[Author]],People!A:B,2,0)</f>
        <v>LS</v>
      </c>
      <c r="K2440" s="6" t="s">
        <v>5965</v>
      </c>
      <c r="L2440" s="6"/>
      <c r="M2440" s="21" t="s">
        <v>1040</v>
      </c>
    </row>
    <row r="2441" spans="1:13" x14ac:dyDescent="0.25">
      <c r="A2441" s="23">
        <f t="shared" si="38"/>
        <v>2440</v>
      </c>
      <c r="B2441" s="7" t="s">
        <v>5960</v>
      </c>
      <c r="C2441" s="7" t="s">
        <v>6123</v>
      </c>
      <c r="D2441" s="7" t="s">
        <v>6718</v>
      </c>
      <c r="E2441" s="7" t="s">
        <v>6719</v>
      </c>
      <c r="F2441" s="7"/>
      <c r="G2441" s="7" t="s">
        <v>63</v>
      </c>
      <c r="H2441" s="7" t="str">
        <f>IFERROR(VLOOKUP(Table2[[#This Row],[Ticket]],Okey!A:B,2,0),"")</f>
        <v>ok</v>
      </c>
      <c r="I2441" s="7" t="s">
        <v>3679</v>
      </c>
      <c r="J2441" s="7" t="str">
        <f>VLOOKUP(Table2[[#This Row],[Author]],People!A:B,2,0)</f>
        <v>LS</v>
      </c>
      <c r="K2441" s="7" t="s">
        <v>5965</v>
      </c>
      <c r="L2441" s="7"/>
      <c r="M2441" s="16" t="s">
        <v>1040</v>
      </c>
    </row>
    <row r="2442" spans="1:13" x14ac:dyDescent="0.25">
      <c r="A2442" s="22">
        <f t="shared" si="38"/>
        <v>2441</v>
      </c>
      <c r="B2442" s="6" t="s">
        <v>5960</v>
      </c>
      <c r="C2442" s="6" t="s">
        <v>6123</v>
      </c>
      <c r="D2442" s="6" t="s">
        <v>6720</v>
      </c>
      <c r="E2442" s="6" t="s">
        <v>6721</v>
      </c>
      <c r="F2442" s="6"/>
      <c r="G2442" s="6" t="s">
        <v>63</v>
      </c>
      <c r="H2442" s="6" t="str">
        <f>IFERROR(VLOOKUP(Table2[[#This Row],[Ticket]],Okey!A:B,2,0),"")</f>
        <v>ok</v>
      </c>
      <c r="I2442" s="6" t="s">
        <v>3679</v>
      </c>
      <c r="J2442" s="6" t="str">
        <f>VLOOKUP(Table2[[#This Row],[Author]],People!A:B,2,0)</f>
        <v>LS</v>
      </c>
      <c r="K2442" s="6" t="s">
        <v>5965</v>
      </c>
      <c r="L2442" s="6"/>
      <c r="M2442" s="21" t="s">
        <v>1040</v>
      </c>
    </row>
    <row r="2443" spans="1:13" x14ac:dyDescent="0.25">
      <c r="A2443" s="23">
        <f t="shared" si="38"/>
        <v>2442</v>
      </c>
      <c r="B2443" s="7" t="s">
        <v>5960</v>
      </c>
      <c r="C2443" s="7" t="s">
        <v>6123</v>
      </c>
      <c r="D2443" s="7" t="s">
        <v>6722</v>
      </c>
      <c r="E2443" s="7" t="s">
        <v>6723</v>
      </c>
      <c r="F2443" s="7"/>
      <c r="G2443" s="7" t="s">
        <v>63</v>
      </c>
      <c r="H2443" s="7" t="str">
        <f>IFERROR(VLOOKUP(Table2[[#This Row],[Ticket]],Okey!A:B,2,0),"")</f>
        <v>ok</v>
      </c>
      <c r="I2443" s="7" t="s">
        <v>3679</v>
      </c>
      <c r="J2443" s="7" t="str">
        <f>VLOOKUP(Table2[[#This Row],[Author]],People!A:B,2,0)</f>
        <v>LS</v>
      </c>
      <c r="K2443" s="7" t="s">
        <v>5965</v>
      </c>
      <c r="L2443" s="7"/>
      <c r="M2443" s="16" t="s">
        <v>1040</v>
      </c>
    </row>
    <row r="2444" spans="1:13" x14ac:dyDescent="0.25">
      <c r="A2444" s="22">
        <f t="shared" si="38"/>
        <v>2443</v>
      </c>
      <c r="B2444" s="6" t="s">
        <v>5960</v>
      </c>
      <c r="C2444" s="6" t="s">
        <v>6123</v>
      </c>
      <c r="D2444" s="6" t="s">
        <v>6724</v>
      </c>
      <c r="E2444" s="6" t="s">
        <v>6725</v>
      </c>
      <c r="F2444" s="6"/>
      <c r="G2444" s="6" t="s">
        <v>63</v>
      </c>
      <c r="H2444" s="6" t="str">
        <f>IFERROR(VLOOKUP(Table2[[#This Row],[Ticket]],Okey!A:B,2,0),"")</f>
        <v>ok</v>
      </c>
      <c r="I2444" s="6" t="s">
        <v>3679</v>
      </c>
      <c r="J2444" s="6" t="str">
        <f>VLOOKUP(Table2[[#This Row],[Author]],People!A:B,2,0)</f>
        <v>LS</v>
      </c>
      <c r="K2444" s="6" t="s">
        <v>5965</v>
      </c>
      <c r="L2444" s="6"/>
      <c r="M2444" s="21" t="s">
        <v>1040</v>
      </c>
    </row>
    <row r="2445" spans="1:13" x14ac:dyDescent="0.25">
      <c r="A2445" s="23">
        <f t="shared" si="38"/>
        <v>2444</v>
      </c>
      <c r="B2445" s="7" t="s">
        <v>5960</v>
      </c>
      <c r="C2445" s="7" t="s">
        <v>6123</v>
      </c>
      <c r="D2445" s="7" t="s">
        <v>6726</v>
      </c>
      <c r="E2445" s="7" t="s">
        <v>6727</v>
      </c>
      <c r="F2445" s="7"/>
      <c r="G2445" s="7" t="s">
        <v>63</v>
      </c>
      <c r="H2445" s="7" t="str">
        <f>IFERROR(VLOOKUP(Table2[[#This Row],[Ticket]],Okey!A:B,2,0),"")</f>
        <v>ok</v>
      </c>
      <c r="I2445" s="7" t="s">
        <v>3679</v>
      </c>
      <c r="J2445" s="7" t="str">
        <f>VLOOKUP(Table2[[#This Row],[Author]],People!A:B,2,0)</f>
        <v>LS</v>
      </c>
      <c r="K2445" s="7" t="s">
        <v>5965</v>
      </c>
      <c r="L2445" s="7"/>
      <c r="M2445" s="16" t="s">
        <v>1040</v>
      </c>
    </row>
    <row r="2446" spans="1:13" x14ac:dyDescent="0.25">
      <c r="A2446" s="22">
        <f t="shared" si="38"/>
        <v>2445</v>
      </c>
      <c r="B2446" s="6" t="s">
        <v>5960</v>
      </c>
      <c r="C2446" s="6" t="s">
        <v>6123</v>
      </c>
      <c r="D2446" s="6" t="s">
        <v>6728</v>
      </c>
      <c r="E2446" s="6" t="s">
        <v>6729</v>
      </c>
      <c r="F2446" s="6"/>
      <c r="G2446" s="6" t="s">
        <v>63</v>
      </c>
      <c r="H2446" s="6" t="str">
        <f>IFERROR(VLOOKUP(Table2[[#This Row],[Ticket]],Okey!A:B,2,0),"")</f>
        <v>ok</v>
      </c>
      <c r="I2446" s="6" t="s">
        <v>3679</v>
      </c>
      <c r="J2446" s="6" t="str">
        <f>VLOOKUP(Table2[[#This Row],[Author]],People!A:B,2,0)</f>
        <v>LS</v>
      </c>
      <c r="K2446" s="6" t="s">
        <v>5965</v>
      </c>
      <c r="L2446" s="6"/>
      <c r="M2446" s="21" t="s">
        <v>1040</v>
      </c>
    </row>
    <row r="2447" spans="1:13" x14ac:dyDescent="0.25">
      <c r="A2447" s="23">
        <f t="shared" si="38"/>
        <v>2446</v>
      </c>
      <c r="B2447" s="7" t="s">
        <v>5960</v>
      </c>
      <c r="C2447" s="7" t="s">
        <v>6123</v>
      </c>
      <c r="D2447" s="7" t="s">
        <v>6730</v>
      </c>
      <c r="E2447" s="7" t="s">
        <v>6731</v>
      </c>
      <c r="F2447" s="7"/>
      <c r="G2447" s="7" t="s">
        <v>63</v>
      </c>
      <c r="H2447" s="7" t="str">
        <f>IFERROR(VLOOKUP(Table2[[#This Row],[Ticket]],Okey!A:B,2,0),"")</f>
        <v>ok</v>
      </c>
      <c r="I2447" s="7" t="s">
        <v>3679</v>
      </c>
      <c r="J2447" s="7" t="str">
        <f>VLOOKUP(Table2[[#This Row],[Author]],People!A:B,2,0)</f>
        <v>LS</v>
      </c>
      <c r="K2447" s="7" t="s">
        <v>5965</v>
      </c>
      <c r="L2447" s="7"/>
      <c r="M2447" s="16" t="s">
        <v>1040</v>
      </c>
    </row>
    <row r="2448" spans="1:13" x14ac:dyDescent="0.25">
      <c r="A2448" s="22">
        <f t="shared" si="38"/>
        <v>2447</v>
      </c>
      <c r="B2448" s="6" t="s">
        <v>5960</v>
      </c>
      <c r="C2448" s="6" t="s">
        <v>6123</v>
      </c>
      <c r="D2448" s="6" t="s">
        <v>6732</v>
      </c>
      <c r="E2448" s="6" t="s">
        <v>6733</v>
      </c>
      <c r="F2448" s="6"/>
      <c r="G2448" s="6" t="s">
        <v>63</v>
      </c>
      <c r="H2448" s="6" t="str">
        <f>IFERROR(VLOOKUP(Table2[[#This Row],[Ticket]],Okey!A:B,2,0),"")</f>
        <v>ok</v>
      </c>
      <c r="I2448" s="6" t="s">
        <v>3679</v>
      </c>
      <c r="J2448" s="6" t="str">
        <f>VLOOKUP(Table2[[#This Row],[Author]],People!A:B,2,0)</f>
        <v>LS</v>
      </c>
      <c r="K2448" s="6" t="s">
        <v>5965</v>
      </c>
      <c r="L2448" s="6"/>
      <c r="M2448" s="21" t="s">
        <v>1040</v>
      </c>
    </row>
    <row r="2449" spans="1:13" x14ac:dyDescent="0.25">
      <c r="A2449" s="23">
        <f t="shared" si="38"/>
        <v>2448</v>
      </c>
      <c r="B2449" s="7" t="s">
        <v>5960</v>
      </c>
      <c r="C2449" s="7" t="s">
        <v>5978</v>
      </c>
      <c r="D2449" s="7" t="s">
        <v>6734</v>
      </c>
      <c r="E2449" s="7" t="s">
        <v>6735</v>
      </c>
      <c r="F2449" s="7" t="s">
        <v>6736</v>
      </c>
      <c r="G2449" s="7" t="s">
        <v>18</v>
      </c>
      <c r="H2449" s="7" t="str">
        <f>IFERROR(VLOOKUP(Table2[[#This Row],[Ticket]],Okey!A:B,2,0),"")</f>
        <v>ok</v>
      </c>
      <c r="I2449" s="7" t="s">
        <v>3679</v>
      </c>
      <c r="J2449" s="7" t="str">
        <f>VLOOKUP(Table2[[#This Row],[Author]],People!A:B,2,0)</f>
        <v>LS</v>
      </c>
      <c r="K2449" s="7" t="s">
        <v>5965</v>
      </c>
      <c r="L2449" s="7"/>
      <c r="M2449" s="16" t="s">
        <v>1040</v>
      </c>
    </row>
    <row r="2450" spans="1:13" x14ac:dyDescent="0.25">
      <c r="A2450" s="22">
        <f t="shared" si="38"/>
        <v>2449</v>
      </c>
      <c r="B2450" s="6" t="s">
        <v>5960</v>
      </c>
      <c r="C2450" s="6" t="s">
        <v>5978</v>
      </c>
      <c r="D2450" s="6" t="s">
        <v>6246</v>
      </c>
      <c r="E2450" s="6" t="s">
        <v>6737</v>
      </c>
      <c r="F2450" s="6" t="s">
        <v>1043</v>
      </c>
      <c r="G2450" s="6" t="s">
        <v>18</v>
      </c>
      <c r="H2450" s="6" t="str">
        <f>IFERROR(VLOOKUP(Table2[[#This Row],[Ticket]],Okey!A:B,2,0),"")</f>
        <v>ok</v>
      </c>
      <c r="I2450" s="6" t="s">
        <v>3679</v>
      </c>
      <c r="J2450" s="6" t="str">
        <f>VLOOKUP(Table2[[#This Row],[Author]],People!A:B,2,0)</f>
        <v>LS</v>
      </c>
      <c r="K2450" s="6" t="s">
        <v>5965</v>
      </c>
      <c r="L2450" s="6"/>
      <c r="M2450" s="21" t="s">
        <v>1040</v>
      </c>
    </row>
    <row r="2451" spans="1:13" x14ac:dyDescent="0.25">
      <c r="A2451" s="23">
        <f t="shared" si="38"/>
        <v>2450</v>
      </c>
      <c r="B2451" s="7" t="s">
        <v>5960</v>
      </c>
      <c r="C2451" s="7" t="s">
        <v>5978</v>
      </c>
      <c r="D2451" s="7" t="s">
        <v>2545</v>
      </c>
      <c r="E2451" s="7" t="s">
        <v>6738</v>
      </c>
      <c r="F2451" s="7" t="s">
        <v>2722</v>
      </c>
      <c r="G2451" s="7" t="s">
        <v>18</v>
      </c>
      <c r="H2451" s="7" t="str">
        <f>IFERROR(VLOOKUP(Table2[[#This Row],[Ticket]],Okey!A:B,2,0),"")</f>
        <v>ok</v>
      </c>
      <c r="I2451" s="7" t="s">
        <v>3679</v>
      </c>
      <c r="J2451" s="7" t="str">
        <f>VLOOKUP(Table2[[#This Row],[Author]],People!A:B,2,0)</f>
        <v>LS</v>
      </c>
      <c r="K2451" s="7" t="s">
        <v>5965</v>
      </c>
      <c r="L2451" s="7"/>
      <c r="M2451" s="16" t="s">
        <v>1040</v>
      </c>
    </row>
    <row r="2452" spans="1:13" x14ac:dyDescent="0.25">
      <c r="A2452" s="22">
        <f t="shared" si="38"/>
        <v>2451</v>
      </c>
      <c r="B2452" s="6" t="s">
        <v>5960</v>
      </c>
      <c r="C2452" s="6" t="s">
        <v>5978</v>
      </c>
      <c r="D2452" s="6" t="s">
        <v>6248</v>
      </c>
      <c r="E2452" s="6" t="s">
        <v>6739</v>
      </c>
      <c r="F2452" s="6" t="s">
        <v>6740</v>
      </c>
      <c r="G2452" s="6" t="s">
        <v>18</v>
      </c>
      <c r="H2452" s="6" t="str">
        <f>IFERROR(VLOOKUP(Table2[[#This Row],[Ticket]],Okey!A:B,2,0),"")</f>
        <v>ok</v>
      </c>
      <c r="I2452" s="6" t="s">
        <v>3679</v>
      </c>
      <c r="J2452" s="6" t="str">
        <f>VLOOKUP(Table2[[#This Row],[Author]],People!A:B,2,0)</f>
        <v>LS</v>
      </c>
      <c r="K2452" s="6" t="s">
        <v>5965</v>
      </c>
      <c r="L2452" s="6"/>
      <c r="M2452" s="21" t="s">
        <v>1040</v>
      </c>
    </row>
    <row r="2453" spans="1:13" x14ac:dyDescent="0.25">
      <c r="A2453" s="23">
        <f t="shared" si="38"/>
        <v>2452</v>
      </c>
      <c r="B2453" s="7" t="s">
        <v>5960</v>
      </c>
      <c r="C2453" s="7" t="s">
        <v>5978</v>
      </c>
      <c r="D2453" s="7" t="s">
        <v>6250</v>
      </c>
      <c r="E2453" s="7" t="s">
        <v>6741</v>
      </c>
      <c r="F2453" s="7" t="s">
        <v>6742</v>
      </c>
      <c r="G2453" s="7" t="s">
        <v>18</v>
      </c>
      <c r="H2453" s="7" t="str">
        <f>IFERROR(VLOOKUP(Table2[[#This Row],[Ticket]],Okey!A:B,2,0),"")</f>
        <v>ok</v>
      </c>
      <c r="I2453" s="7" t="s">
        <v>3679</v>
      </c>
      <c r="J2453" s="7" t="str">
        <f>VLOOKUP(Table2[[#This Row],[Author]],People!A:B,2,0)</f>
        <v>LS</v>
      </c>
      <c r="K2453" s="7" t="s">
        <v>5965</v>
      </c>
      <c r="L2453" s="7"/>
      <c r="M2453" s="16" t="s">
        <v>1040</v>
      </c>
    </row>
    <row r="2454" spans="1:13" x14ac:dyDescent="0.25">
      <c r="A2454" s="22">
        <f t="shared" si="38"/>
        <v>2453</v>
      </c>
      <c r="B2454" s="6" t="s">
        <v>5960</v>
      </c>
      <c r="C2454" s="6" t="s">
        <v>5978</v>
      </c>
      <c r="D2454" s="6" t="s">
        <v>2547</v>
      </c>
      <c r="E2454" s="6" t="s">
        <v>6743</v>
      </c>
      <c r="F2454" s="6" t="s">
        <v>2545</v>
      </c>
      <c r="G2454" s="6" t="s">
        <v>496</v>
      </c>
      <c r="H2454" s="6" t="str">
        <f>IFERROR(VLOOKUP(Table2[[#This Row],[Ticket]],Okey!A:B,2,0),"")</f>
        <v>ok</v>
      </c>
      <c r="I2454" s="6" t="s">
        <v>3679</v>
      </c>
      <c r="J2454" s="6" t="str">
        <f>VLOOKUP(Table2[[#This Row],[Author]],People!A:B,2,0)</f>
        <v>LS</v>
      </c>
      <c r="K2454" s="6" t="s">
        <v>5965</v>
      </c>
      <c r="L2454" s="6"/>
      <c r="M2454" s="21" t="s">
        <v>1040</v>
      </c>
    </row>
    <row r="2455" spans="1:13" x14ac:dyDescent="0.25">
      <c r="A2455" s="23">
        <f t="shared" si="38"/>
        <v>2454</v>
      </c>
      <c r="B2455" s="7" t="s">
        <v>5960</v>
      </c>
      <c r="C2455" s="7" t="s">
        <v>5978</v>
      </c>
      <c r="D2455" s="7" t="s">
        <v>6736</v>
      </c>
      <c r="E2455" s="7" t="s">
        <v>6744</v>
      </c>
      <c r="F2455" s="7"/>
      <c r="G2455" s="7" t="s">
        <v>63</v>
      </c>
      <c r="H2455" s="7" t="str">
        <f>IFERROR(VLOOKUP(Table2[[#This Row],[Ticket]],Okey!A:B,2,0),"")</f>
        <v>ok</v>
      </c>
      <c r="I2455" s="7" t="s">
        <v>3679</v>
      </c>
      <c r="J2455" s="7" t="str">
        <f>VLOOKUP(Table2[[#This Row],[Author]],People!A:B,2,0)</f>
        <v>LS</v>
      </c>
      <c r="K2455" s="7" t="s">
        <v>5965</v>
      </c>
      <c r="L2455" s="7"/>
      <c r="M2455" s="16" t="s">
        <v>1040</v>
      </c>
    </row>
    <row r="2456" spans="1:13" x14ac:dyDescent="0.25">
      <c r="A2456" s="22">
        <f t="shared" si="38"/>
        <v>2455</v>
      </c>
      <c r="B2456" s="6" t="s">
        <v>5960</v>
      </c>
      <c r="C2456" s="6" t="s">
        <v>5978</v>
      </c>
      <c r="D2456" s="6" t="s">
        <v>6745</v>
      </c>
      <c r="E2456" s="6" t="s">
        <v>6746</v>
      </c>
      <c r="F2456" s="6"/>
      <c r="G2456" s="6" t="s">
        <v>63</v>
      </c>
      <c r="H2456" s="6" t="str">
        <f>IFERROR(VLOOKUP(Table2[[#This Row],[Ticket]],Okey!A:B,2,0),"")</f>
        <v>ok</v>
      </c>
      <c r="I2456" s="6" t="s">
        <v>3679</v>
      </c>
      <c r="J2456" s="6" t="str">
        <f>VLOOKUP(Table2[[#This Row],[Author]],People!A:B,2,0)</f>
        <v>LS</v>
      </c>
      <c r="K2456" s="6" t="s">
        <v>5965</v>
      </c>
      <c r="L2456" s="6"/>
      <c r="M2456" s="21" t="s">
        <v>1040</v>
      </c>
    </row>
    <row r="2457" spans="1:13" x14ac:dyDescent="0.25">
      <c r="A2457" s="23">
        <f t="shared" si="38"/>
        <v>2456</v>
      </c>
      <c r="B2457" s="7" t="s">
        <v>5960</v>
      </c>
      <c r="C2457" s="7" t="s">
        <v>5978</v>
      </c>
      <c r="D2457" s="7" t="s">
        <v>6244</v>
      </c>
      <c r="E2457" s="7" t="s">
        <v>6747</v>
      </c>
      <c r="F2457" s="7"/>
      <c r="G2457" s="7" t="s">
        <v>63</v>
      </c>
      <c r="H2457" s="7" t="str">
        <f>IFERROR(VLOOKUP(Table2[[#This Row],[Ticket]],Okey!A:B,2,0),"")</f>
        <v>ok</v>
      </c>
      <c r="I2457" s="7" t="s">
        <v>3679</v>
      </c>
      <c r="J2457" s="7" t="str">
        <f>VLOOKUP(Table2[[#This Row],[Author]],People!A:B,2,0)</f>
        <v>LS</v>
      </c>
      <c r="K2457" s="7" t="s">
        <v>5965</v>
      </c>
      <c r="L2457" s="7"/>
      <c r="M2457" s="16" t="s">
        <v>1040</v>
      </c>
    </row>
    <row r="2458" spans="1:13" x14ac:dyDescent="0.25">
      <c r="A2458" s="22">
        <f t="shared" si="38"/>
        <v>2457</v>
      </c>
      <c r="B2458" s="6" t="s">
        <v>5960</v>
      </c>
      <c r="C2458" s="6" t="s">
        <v>5978</v>
      </c>
      <c r="D2458" s="6" t="s">
        <v>6748</v>
      </c>
      <c r="E2458" s="6" t="s">
        <v>6749</v>
      </c>
      <c r="F2458" s="6"/>
      <c r="G2458" s="6" t="s">
        <v>63</v>
      </c>
      <c r="H2458" s="6" t="str">
        <f>IFERROR(VLOOKUP(Table2[[#This Row],[Ticket]],Okey!A:B,2,0),"")</f>
        <v>ok</v>
      </c>
      <c r="I2458" s="6" t="s">
        <v>3679</v>
      </c>
      <c r="J2458" s="6" t="str">
        <f>VLOOKUP(Table2[[#This Row],[Author]],People!A:B,2,0)</f>
        <v>LS</v>
      </c>
      <c r="K2458" s="6" t="s">
        <v>5965</v>
      </c>
      <c r="L2458" s="6"/>
      <c r="M2458" s="21" t="s">
        <v>1040</v>
      </c>
    </row>
    <row r="2459" spans="1:13" x14ac:dyDescent="0.25">
      <c r="A2459" s="23">
        <f t="shared" si="38"/>
        <v>2458</v>
      </c>
      <c r="B2459" s="7" t="s">
        <v>5960</v>
      </c>
      <c r="C2459" s="7" t="s">
        <v>5978</v>
      </c>
      <c r="D2459" s="7" t="s">
        <v>4645</v>
      </c>
      <c r="E2459" s="7" t="s">
        <v>6750</v>
      </c>
      <c r="F2459" s="7"/>
      <c r="G2459" s="7" t="s">
        <v>63</v>
      </c>
      <c r="H2459" s="7" t="str">
        <f>IFERROR(VLOOKUP(Table2[[#This Row],[Ticket]],Okey!A:B,2,0),"")</f>
        <v>ok</v>
      </c>
      <c r="I2459" s="7" t="s">
        <v>3679</v>
      </c>
      <c r="J2459" s="7" t="str">
        <f>VLOOKUP(Table2[[#This Row],[Author]],People!A:B,2,0)</f>
        <v>LS</v>
      </c>
      <c r="K2459" s="7" t="s">
        <v>5965</v>
      </c>
      <c r="L2459" s="7"/>
      <c r="M2459" s="16" t="s">
        <v>1040</v>
      </c>
    </row>
    <row r="2460" spans="1:13" x14ac:dyDescent="0.25">
      <c r="A2460" s="22">
        <f t="shared" si="38"/>
        <v>2459</v>
      </c>
      <c r="B2460" s="6" t="s">
        <v>5960</v>
      </c>
      <c r="C2460" s="6" t="s">
        <v>5978</v>
      </c>
      <c r="D2460" s="6" t="s">
        <v>2709</v>
      </c>
      <c r="E2460" s="6" t="s">
        <v>6751</v>
      </c>
      <c r="F2460" s="6"/>
      <c r="G2460" s="6" t="s">
        <v>63</v>
      </c>
      <c r="H2460" s="6" t="str">
        <f>IFERROR(VLOOKUP(Table2[[#This Row],[Ticket]],Okey!A:B,2,0),"")</f>
        <v>ok</v>
      </c>
      <c r="I2460" s="6" t="s">
        <v>3679</v>
      </c>
      <c r="J2460" s="6" t="str">
        <f>VLOOKUP(Table2[[#This Row],[Author]],People!A:B,2,0)</f>
        <v>LS</v>
      </c>
      <c r="K2460" s="6" t="s">
        <v>5965</v>
      </c>
      <c r="L2460" s="6"/>
      <c r="M2460" s="21" t="s">
        <v>1040</v>
      </c>
    </row>
    <row r="2461" spans="1:13" x14ac:dyDescent="0.25">
      <c r="A2461" s="23">
        <f t="shared" si="38"/>
        <v>2460</v>
      </c>
      <c r="B2461" s="7" t="s">
        <v>5960</v>
      </c>
      <c r="C2461" s="7" t="s">
        <v>5978</v>
      </c>
      <c r="D2461" s="7" t="s">
        <v>6752</v>
      </c>
      <c r="E2461" s="7" t="s">
        <v>6753</v>
      </c>
      <c r="F2461" s="7"/>
      <c r="G2461" s="7" t="s">
        <v>63</v>
      </c>
      <c r="H2461" s="7" t="str">
        <f>IFERROR(VLOOKUP(Table2[[#This Row],[Ticket]],Okey!A:B,2,0),"")</f>
        <v>ok</v>
      </c>
      <c r="I2461" s="7" t="s">
        <v>3679</v>
      </c>
      <c r="J2461" s="7" t="str">
        <f>VLOOKUP(Table2[[#This Row],[Author]],People!A:B,2,0)</f>
        <v>LS</v>
      </c>
      <c r="K2461" s="7" t="s">
        <v>5965</v>
      </c>
      <c r="L2461" s="7"/>
      <c r="M2461" s="16" t="s">
        <v>1040</v>
      </c>
    </row>
    <row r="2462" spans="1:13" x14ac:dyDescent="0.25">
      <c r="A2462" s="22">
        <f t="shared" si="38"/>
        <v>2461</v>
      </c>
      <c r="B2462" s="6" t="s">
        <v>5960</v>
      </c>
      <c r="C2462" s="6" t="s">
        <v>5978</v>
      </c>
      <c r="D2462" s="6" t="s">
        <v>6754</v>
      </c>
      <c r="E2462" s="6" t="s">
        <v>6755</v>
      </c>
      <c r="F2462" s="6"/>
      <c r="G2462" s="6" t="s">
        <v>63</v>
      </c>
      <c r="H2462" s="6" t="str">
        <f>IFERROR(VLOOKUP(Table2[[#This Row],[Ticket]],Okey!A:B,2,0),"")</f>
        <v>ok</v>
      </c>
      <c r="I2462" s="6" t="s">
        <v>3679</v>
      </c>
      <c r="J2462" s="6" t="str">
        <f>VLOOKUP(Table2[[#This Row],[Author]],People!A:B,2,0)</f>
        <v>LS</v>
      </c>
      <c r="K2462" s="6" t="s">
        <v>5965</v>
      </c>
      <c r="L2462" s="6"/>
      <c r="M2462" s="21" t="s">
        <v>1040</v>
      </c>
    </row>
    <row r="2463" spans="1:13" x14ac:dyDescent="0.25">
      <c r="A2463" s="23">
        <f t="shared" si="38"/>
        <v>2462</v>
      </c>
      <c r="B2463" s="7" t="s">
        <v>5960</v>
      </c>
      <c r="C2463" s="7" t="s">
        <v>5978</v>
      </c>
      <c r="D2463" s="7" t="s">
        <v>6756</v>
      </c>
      <c r="E2463" s="7" t="s">
        <v>6757</v>
      </c>
      <c r="F2463" s="7"/>
      <c r="G2463" s="7" t="s">
        <v>63</v>
      </c>
      <c r="H2463" s="7" t="str">
        <f>IFERROR(VLOOKUP(Table2[[#This Row],[Ticket]],Okey!A:B,2,0),"")</f>
        <v>ok</v>
      </c>
      <c r="I2463" s="7" t="s">
        <v>3679</v>
      </c>
      <c r="J2463" s="7" t="str">
        <f>VLOOKUP(Table2[[#This Row],[Author]],People!A:B,2,0)</f>
        <v>LS</v>
      </c>
      <c r="K2463" s="7" t="s">
        <v>5965</v>
      </c>
      <c r="L2463" s="7"/>
      <c r="M2463" s="16" t="s">
        <v>1040</v>
      </c>
    </row>
    <row r="2464" spans="1:13" x14ac:dyDescent="0.25">
      <c r="A2464" s="22">
        <f t="shared" si="38"/>
        <v>2463</v>
      </c>
      <c r="B2464" s="6" t="s">
        <v>5960</v>
      </c>
      <c r="C2464" s="6" t="s">
        <v>5978</v>
      </c>
      <c r="D2464" s="6" t="s">
        <v>6758</v>
      </c>
      <c r="E2464" s="6" t="s">
        <v>6759</v>
      </c>
      <c r="F2464" s="6"/>
      <c r="G2464" s="6" t="s">
        <v>63</v>
      </c>
      <c r="H2464" s="6" t="str">
        <f>IFERROR(VLOOKUP(Table2[[#This Row],[Ticket]],Okey!A:B,2,0),"")</f>
        <v>ok</v>
      </c>
      <c r="I2464" s="6" t="s">
        <v>3679</v>
      </c>
      <c r="J2464" s="6" t="str">
        <f>VLOOKUP(Table2[[#This Row],[Author]],People!A:B,2,0)</f>
        <v>LS</v>
      </c>
      <c r="K2464" s="6" t="s">
        <v>5965</v>
      </c>
      <c r="L2464" s="6"/>
      <c r="M2464" s="21" t="s">
        <v>1040</v>
      </c>
    </row>
    <row r="2465" spans="1:13" x14ac:dyDescent="0.25">
      <c r="A2465" s="23">
        <f t="shared" si="38"/>
        <v>2464</v>
      </c>
      <c r="B2465" s="7" t="s">
        <v>5960</v>
      </c>
      <c r="C2465" s="7" t="s">
        <v>5978</v>
      </c>
      <c r="D2465" s="7" t="s">
        <v>6760</v>
      </c>
      <c r="E2465" s="7" t="s">
        <v>6761</v>
      </c>
      <c r="F2465" s="7"/>
      <c r="G2465" s="7" t="s">
        <v>63</v>
      </c>
      <c r="H2465" s="7" t="str">
        <f>IFERROR(VLOOKUP(Table2[[#This Row],[Ticket]],Okey!A:B,2,0),"")</f>
        <v>ok</v>
      </c>
      <c r="I2465" s="7" t="s">
        <v>3679</v>
      </c>
      <c r="J2465" s="7" t="str">
        <f>VLOOKUP(Table2[[#This Row],[Author]],People!A:B,2,0)</f>
        <v>LS</v>
      </c>
      <c r="K2465" s="7" t="s">
        <v>5965</v>
      </c>
      <c r="L2465" s="7"/>
      <c r="M2465" s="16" t="s">
        <v>1040</v>
      </c>
    </row>
    <row r="2466" spans="1:13" x14ac:dyDescent="0.25">
      <c r="A2466" s="22">
        <f t="shared" si="38"/>
        <v>2465</v>
      </c>
      <c r="B2466" s="6" t="s">
        <v>5960</v>
      </c>
      <c r="C2466" s="6" t="s">
        <v>5978</v>
      </c>
      <c r="D2466" s="6" t="s">
        <v>6762</v>
      </c>
      <c r="E2466" s="6" t="s">
        <v>6763</v>
      </c>
      <c r="F2466" s="6"/>
      <c r="G2466" s="6" t="s">
        <v>63</v>
      </c>
      <c r="H2466" s="6" t="str">
        <f>IFERROR(VLOOKUP(Table2[[#This Row],[Ticket]],Okey!A:B,2,0),"")</f>
        <v>ok</v>
      </c>
      <c r="I2466" s="6" t="s">
        <v>3679</v>
      </c>
      <c r="J2466" s="6" t="str">
        <f>VLOOKUP(Table2[[#This Row],[Author]],People!A:B,2,0)</f>
        <v>LS</v>
      </c>
      <c r="K2466" s="6" t="s">
        <v>5965</v>
      </c>
      <c r="L2466" s="6"/>
      <c r="M2466" s="21" t="s">
        <v>1040</v>
      </c>
    </row>
    <row r="2467" spans="1:13" x14ac:dyDescent="0.25">
      <c r="A2467" s="23">
        <f t="shared" ref="A2467:A2530" si="39">1+A2466</f>
        <v>2466</v>
      </c>
      <c r="B2467" s="7" t="s">
        <v>5960</v>
      </c>
      <c r="C2467" s="7" t="s">
        <v>5978</v>
      </c>
      <c r="D2467" s="7" t="s">
        <v>6257</v>
      </c>
      <c r="E2467" s="7" t="s">
        <v>6764</v>
      </c>
      <c r="F2467" s="7"/>
      <c r="G2467" s="7" t="s">
        <v>63</v>
      </c>
      <c r="H2467" s="7" t="str">
        <f>IFERROR(VLOOKUP(Table2[[#This Row],[Ticket]],Okey!A:B,2,0),"")</f>
        <v>ok</v>
      </c>
      <c r="I2467" s="7" t="s">
        <v>3679</v>
      </c>
      <c r="J2467" s="7" t="str">
        <f>VLOOKUP(Table2[[#This Row],[Author]],People!A:B,2,0)</f>
        <v>LS</v>
      </c>
      <c r="K2467" s="7" t="s">
        <v>5965</v>
      </c>
      <c r="L2467" s="7"/>
      <c r="M2467" s="16" t="s">
        <v>1040</v>
      </c>
    </row>
    <row r="2468" spans="1:13" x14ac:dyDescent="0.25">
      <c r="A2468" s="22">
        <f t="shared" si="39"/>
        <v>2467</v>
      </c>
      <c r="B2468" s="6" t="s">
        <v>5960</v>
      </c>
      <c r="C2468" s="6" t="s">
        <v>6765</v>
      </c>
      <c r="D2468" s="6" t="s">
        <v>1751</v>
      </c>
      <c r="E2468" s="6" t="s">
        <v>6766</v>
      </c>
      <c r="F2468" s="6"/>
      <c r="G2468" s="6" t="s">
        <v>63</v>
      </c>
      <c r="H2468" s="6" t="str">
        <f>IFERROR(VLOOKUP(Table2[[#This Row],[Ticket]],Okey!A:B,2,0),"")</f>
        <v>ok</v>
      </c>
      <c r="I2468" s="6" t="s">
        <v>3679</v>
      </c>
      <c r="J2468" s="6" t="str">
        <f>VLOOKUP(Table2[[#This Row],[Author]],People!A:B,2,0)</f>
        <v>LS</v>
      </c>
      <c r="K2468" s="6" t="s">
        <v>5965</v>
      </c>
      <c r="L2468" s="6"/>
      <c r="M2468" s="21" t="s">
        <v>2804</v>
      </c>
    </row>
    <row r="2469" spans="1:13" x14ac:dyDescent="0.25">
      <c r="A2469" s="23">
        <f t="shared" si="39"/>
        <v>2468</v>
      </c>
      <c r="B2469" s="7" t="s">
        <v>5960</v>
      </c>
      <c r="C2469" s="7" t="s">
        <v>6765</v>
      </c>
      <c r="D2469" s="7" t="s">
        <v>6767</v>
      </c>
      <c r="E2469" s="7" t="s">
        <v>6768</v>
      </c>
      <c r="F2469" s="7"/>
      <c r="G2469" s="7" t="s">
        <v>63</v>
      </c>
      <c r="H2469" s="7" t="str">
        <f>IFERROR(VLOOKUP(Table2[[#This Row],[Ticket]],Okey!A:B,2,0),"")</f>
        <v>ok</v>
      </c>
      <c r="I2469" s="7" t="s">
        <v>3679</v>
      </c>
      <c r="J2469" s="7" t="str">
        <f>VLOOKUP(Table2[[#This Row],[Author]],People!A:B,2,0)</f>
        <v>LS</v>
      </c>
      <c r="K2469" s="7" t="s">
        <v>5965</v>
      </c>
      <c r="L2469" s="7"/>
      <c r="M2469" s="16" t="s">
        <v>2804</v>
      </c>
    </row>
    <row r="2470" spans="1:13" x14ac:dyDescent="0.25">
      <c r="A2470" s="22">
        <f t="shared" si="39"/>
        <v>2469</v>
      </c>
      <c r="B2470" s="6" t="s">
        <v>5960</v>
      </c>
      <c r="C2470" s="6" t="s">
        <v>6765</v>
      </c>
      <c r="D2470" s="6" t="s">
        <v>6769</v>
      </c>
      <c r="E2470" s="6" t="s">
        <v>6770</v>
      </c>
      <c r="F2470" s="6"/>
      <c r="G2470" s="6" t="s">
        <v>63</v>
      </c>
      <c r="H2470" s="6" t="str">
        <f>IFERROR(VLOOKUP(Table2[[#This Row],[Ticket]],Okey!A:B,2,0),"")</f>
        <v>ok</v>
      </c>
      <c r="I2470" s="6" t="s">
        <v>3679</v>
      </c>
      <c r="J2470" s="6" t="str">
        <f>VLOOKUP(Table2[[#This Row],[Author]],People!A:B,2,0)</f>
        <v>LS</v>
      </c>
      <c r="K2470" s="6" t="s">
        <v>5965</v>
      </c>
      <c r="L2470" s="6"/>
      <c r="M2470" s="21" t="s">
        <v>2804</v>
      </c>
    </row>
    <row r="2471" spans="1:13" x14ac:dyDescent="0.25">
      <c r="A2471" s="23">
        <f t="shared" si="39"/>
        <v>2470</v>
      </c>
      <c r="B2471" s="7" t="s">
        <v>5960</v>
      </c>
      <c r="C2471" s="7" t="s">
        <v>6765</v>
      </c>
      <c r="D2471" s="7" t="s">
        <v>6771</v>
      </c>
      <c r="E2471" s="7" t="s">
        <v>6772</v>
      </c>
      <c r="F2471" s="7"/>
      <c r="G2471" s="7" t="s">
        <v>63</v>
      </c>
      <c r="H2471" s="7" t="str">
        <f>IFERROR(VLOOKUP(Table2[[#This Row],[Ticket]],Okey!A:B,2,0),"")</f>
        <v>ok</v>
      </c>
      <c r="I2471" s="7" t="s">
        <v>3679</v>
      </c>
      <c r="J2471" s="7" t="str">
        <f>VLOOKUP(Table2[[#This Row],[Author]],People!A:B,2,0)</f>
        <v>LS</v>
      </c>
      <c r="K2471" s="7" t="s">
        <v>5965</v>
      </c>
      <c r="L2471" s="7"/>
      <c r="M2471" s="16" t="s">
        <v>2804</v>
      </c>
    </row>
    <row r="2472" spans="1:13" x14ac:dyDescent="0.25">
      <c r="A2472" s="22">
        <f t="shared" si="39"/>
        <v>2471</v>
      </c>
      <c r="B2472" s="6" t="s">
        <v>5960</v>
      </c>
      <c r="C2472" s="6" t="s">
        <v>6765</v>
      </c>
      <c r="D2472" s="6" t="s">
        <v>6773</v>
      </c>
      <c r="E2472" s="6" t="s">
        <v>6774</v>
      </c>
      <c r="F2472" s="6"/>
      <c r="G2472" s="6" t="s">
        <v>63</v>
      </c>
      <c r="H2472" s="6" t="str">
        <f>IFERROR(VLOOKUP(Table2[[#This Row],[Ticket]],Okey!A:B,2,0),"")</f>
        <v>ok</v>
      </c>
      <c r="I2472" s="6" t="s">
        <v>3679</v>
      </c>
      <c r="J2472" s="6" t="str">
        <f>VLOOKUP(Table2[[#This Row],[Author]],People!A:B,2,0)</f>
        <v>LS</v>
      </c>
      <c r="K2472" s="6" t="s">
        <v>5965</v>
      </c>
      <c r="L2472" s="6"/>
      <c r="M2472" s="21" t="s">
        <v>2804</v>
      </c>
    </row>
    <row r="2473" spans="1:13" x14ac:dyDescent="0.25">
      <c r="A2473" s="23">
        <f t="shared" si="39"/>
        <v>2472</v>
      </c>
      <c r="B2473" s="7" t="s">
        <v>5960</v>
      </c>
      <c r="C2473" s="7" t="s">
        <v>6765</v>
      </c>
      <c r="D2473" s="7" t="s">
        <v>6775</v>
      </c>
      <c r="E2473" s="7" t="s">
        <v>6776</v>
      </c>
      <c r="F2473" s="7"/>
      <c r="G2473" s="7" t="s">
        <v>63</v>
      </c>
      <c r="H2473" s="7" t="str">
        <f>IFERROR(VLOOKUP(Table2[[#This Row],[Ticket]],Okey!A:B,2,0),"")</f>
        <v>ok</v>
      </c>
      <c r="I2473" s="7" t="s">
        <v>3679</v>
      </c>
      <c r="J2473" s="7" t="str">
        <f>VLOOKUP(Table2[[#This Row],[Author]],People!A:B,2,0)</f>
        <v>LS</v>
      </c>
      <c r="K2473" s="7" t="s">
        <v>5965</v>
      </c>
      <c r="L2473" s="7"/>
      <c r="M2473" s="16" t="s">
        <v>2804</v>
      </c>
    </row>
    <row r="2474" spans="1:13" x14ac:dyDescent="0.25">
      <c r="A2474" s="22">
        <f t="shared" si="39"/>
        <v>2473</v>
      </c>
      <c r="B2474" s="6" t="s">
        <v>5960</v>
      </c>
      <c r="C2474" s="6" t="s">
        <v>6765</v>
      </c>
      <c r="D2474" s="6" t="s">
        <v>1980</v>
      </c>
      <c r="E2474" s="6" t="s">
        <v>6777</v>
      </c>
      <c r="F2474" s="6"/>
      <c r="G2474" s="6" t="s">
        <v>63</v>
      </c>
      <c r="H2474" s="6" t="str">
        <f>IFERROR(VLOOKUP(Table2[[#This Row],[Ticket]],Okey!A:B,2,0),"")</f>
        <v>ok</v>
      </c>
      <c r="I2474" s="6" t="s">
        <v>3679</v>
      </c>
      <c r="J2474" s="6" t="str">
        <f>VLOOKUP(Table2[[#This Row],[Author]],People!A:B,2,0)</f>
        <v>LS</v>
      </c>
      <c r="K2474" s="6" t="s">
        <v>5965</v>
      </c>
      <c r="L2474" s="6"/>
      <c r="M2474" s="21" t="s">
        <v>2804</v>
      </c>
    </row>
    <row r="2475" spans="1:13" x14ac:dyDescent="0.25">
      <c r="A2475" s="23">
        <f t="shared" si="39"/>
        <v>2474</v>
      </c>
      <c r="B2475" s="7" t="s">
        <v>5960</v>
      </c>
      <c r="C2475" s="7" t="s">
        <v>6765</v>
      </c>
      <c r="D2475" s="7" t="s">
        <v>6778</v>
      </c>
      <c r="E2475" s="7" t="s">
        <v>6779</v>
      </c>
      <c r="F2475" s="7"/>
      <c r="G2475" s="7" t="s">
        <v>63</v>
      </c>
      <c r="H2475" s="7" t="str">
        <f>IFERROR(VLOOKUP(Table2[[#This Row],[Ticket]],Okey!A:B,2,0),"")</f>
        <v>ok</v>
      </c>
      <c r="I2475" s="7" t="s">
        <v>3679</v>
      </c>
      <c r="J2475" s="7" t="str">
        <f>VLOOKUP(Table2[[#This Row],[Author]],People!A:B,2,0)</f>
        <v>LS</v>
      </c>
      <c r="K2475" s="7" t="s">
        <v>5965</v>
      </c>
      <c r="L2475" s="7"/>
      <c r="M2475" s="16" t="s">
        <v>2804</v>
      </c>
    </row>
    <row r="2476" spans="1:13" x14ac:dyDescent="0.25">
      <c r="A2476" s="22">
        <f t="shared" si="39"/>
        <v>2475</v>
      </c>
      <c r="B2476" s="6" t="s">
        <v>5960</v>
      </c>
      <c r="C2476" s="6" t="s">
        <v>6765</v>
      </c>
      <c r="D2476" s="6" t="s">
        <v>6780</v>
      </c>
      <c r="E2476" s="6" t="s">
        <v>6781</v>
      </c>
      <c r="F2476" s="6"/>
      <c r="G2476" s="6" t="s">
        <v>63</v>
      </c>
      <c r="H2476" s="6" t="str">
        <f>IFERROR(VLOOKUP(Table2[[#This Row],[Ticket]],Okey!A:B,2,0),"")</f>
        <v>ok</v>
      </c>
      <c r="I2476" s="6" t="s">
        <v>3679</v>
      </c>
      <c r="J2476" s="6" t="str">
        <f>VLOOKUP(Table2[[#This Row],[Author]],People!A:B,2,0)</f>
        <v>LS</v>
      </c>
      <c r="K2476" s="6" t="s">
        <v>5965</v>
      </c>
      <c r="L2476" s="6"/>
      <c r="M2476" s="21" t="s">
        <v>2804</v>
      </c>
    </row>
    <row r="2477" spans="1:13" x14ac:dyDescent="0.25">
      <c r="A2477" s="23">
        <f t="shared" si="39"/>
        <v>2476</v>
      </c>
      <c r="B2477" s="7" t="s">
        <v>5960</v>
      </c>
      <c r="C2477" s="7" t="s">
        <v>6765</v>
      </c>
      <c r="D2477" s="7" t="s">
        <v>6782</v>
      </c>
      <c r="E2477" s="7" t="s">
        <v>6783</v>
      </c>
      <c r="F2477" s="7"/>
      <c r="G2477" s="7" t="s">
        <v>63</v>
      </c>
      <c r="H2477" s="7" t="str">
        <f>IFERROR(VLOOKUP(Table2[[#This Row],[Ticket]],Okey!A:B,2,0),"")</f>
        <v>ok</v>
      </c>
      <c r="I2477" s="7" t="s">
        <v>3679</v>
      </c>
      <c r="J2477" s="7" t="str">
        <f>VLOOKUP(Table2[[#This Row],[Author]],People!A:B,2,0)</f>
        <v>LS</v>
      </c>
      <c r="K2477" s="7" t="s">
        <v>5965</v>
      </c>
      <c r="L2477" s="7"/>
      <c r="M2477" s="16" t="s">
        <v>2804</v>
      </c>
    </row>
    <row r="2478" spans="1:13" x14ac:dyDescent="0.25">
      <c r="A2478" s="22">
        <f t="shared" si="39"/>
        <v>2477</v>
      </c>
      <c r="B2478" s="6" t="s">
        <v>5960</v>
      </c>
      <c r="C2478" s="6" t="s">
        <v>6765</v>
      </c>
      <c r="D2478" s="6" t="s">
        <v>6784</v>
      </c>
      <c r="E2478" s="6" t="s">
        <v>6785</v>
      </c>
      <c r="F2478" s="6"/>
      <c r="G2478" s="6" t="s">
        <v>63</v>
      </c>
      <c r="H2478" s="6" t="str">
        <f>IFERROR(VLOOKUP(Table2[[#This Row],[Ticket]],Okey!A:B,2,0),"")</f>
        <v>ok</v>
      </c>
      <c r="I2478" s="6" t="s">
        <v>3679</v>
      </c>
      <c r="J2478" s="6" t="str">
        <f>VLOOKUP(Table2[[#This Row],[Author]],People!A:B,2,0)</f>
        <v>LS</v>
      </c>
      <c r="K2478" s="6" t="s">
        <v>5965</v>
      </c>
      <c r="L2478" s="6"/>
      <c r="M2478" s="21" t="s">
        <v>2804</v>
      </c>
    </row>
    <row r="2479" spans="1:13" x14ac:dyDescent="0.25">
      <c r="A2479" s="23">
        <f t="shared" si="39"/>
        <v>2478</v>
      </c>
      <c r="B2479" s="7" t="s">
        <v>5960</v>
      </c>
      <c r="C2479" s="7" t="s">
        <v>6765</v>
      </c>
      <c r="D2479" s="7" t="s">
        <v>6786</v>
      </c>
      <c r="E2479" s="7" t="s">
        <v>6787</v>
      </c>
      <c r="F2479" s="7"/>
      <c r="G2479" s="7" t="s">
        <v>63</v>
      </c>
      <c r="H2479" s="7" t="str">
        <f>IFERROR(VLOOKUP(Table2[[#This Row],[Ticket]],Okey!A:B,2,0),"")</f>
        <v>ok</v>
      </c>
      <c r="I2479" s="7" t="s">
        <v>3679</v>
      </c>
      <c r="J2479" s="7" t="str">
        <f>VLOOKUP(Table2[[#This Row],[Author]],People!A:B,2,0)</f>
        <v>LS</v>
      </c>
      <c r="K2479" s="7" t="s">
        <v>5965</v>
      </c>
      <c r="L2479" s="7"/>
      <c r="M2479" s="16" t="s">
        <v>2804</v>
      </c>
    </row>
    <row r="2480" spans="1:13" x14ac:dyDescent="0.25">
      <c r="A2480" s="22">
        <f t="shared" si="39"/>
        <v>2479</v>
      </c>
      <c r="B2480" s="6" t="s">
        <v>5960</v>
      </c>
      <c r="C2480" s="6" t="s">
        <v>6765</v>
      </c>
      <c r="D2480" s="6" t="s">
        <v>6788</v>
      </c>
      <c r="E2480" s="6" t="s">
        <v>6789</v>
      </c>
      <c r="F2480" s="6"/>
      <c r="G2480" s="6" t="s">
        <v>63</v>
      </c>
      <c r="H2480" s="6" t="str">
        <f>IFERROR(VLOOKUP(Table2[[#This Row],[Ticket]],Okey!A:B,2,0),"")</f>
        <v>ok</v>
      </c>
      <c r="I2480" s="6" t="s">
        <v>3679</v>
      </c>
      <c r="J2480" s="6" t="str">
        <f>VLOOKUP(Table2[[#This Row],[Author]],People!A:B,2,0)</f>
        <v>LS</v>
      </c>
      <c r="K2480" s="6" t="s">
        <v>5965</v>
      </c>
      <c r="L2480" s="6"/>
      <c r="M2480" s="21" t="s">
        <v>2804</v>
      </c>
    </row>
    <row r="2481" spans="1:13" x14ac:dyDescent="0.25">
      <c r="A2481" s="23">
        <f t="shared" si="39"/>
        <v>2480</v>
      </c>
      <c r="B2481" s="7" t="s">
        <v>5960</v>
      </c>
      <c r="C2481" s="7" t="s">
        <v>6765</v>
      </c>
      <c r="D2481" s="7" t="s">
        <v>1982</v>
      </c>
      <c r="E2481" s="7" t="s">
        <v>6790</v>
      </c>
      <c r="F2481" s="7"/>
      <c r="G2481" s="7" t="s">
        <v>63</v>
      </c>
      <c r="H2481" s="7" t="str">
        <f>IFERROR(VLOOKUP(Table2[[#This Row],[Ticket]],Okey!A:B,2,0),"")</f>
        <v>ok</v>
      </c>
      <c r="I2481" s="7" t="s">
        <v>3679</v>
      </c>
      <c r="J2481" s="7" t="str">
        <f>VLOOKUP(Table2[[#This Row],[Author]],People!A:B,2,0)</f>
        <v>LS</v>
      </c>
      <c r="K2481" s="7" t="s">
        <v>5965</v>
      </c>
      <c r="L2481" s="7"/>
      <c r="M2481" s="16" t="s">
        <v>2804</v>
      </c>
    </row>
    <row r="2482" spans="1:13" x14ac:dyDescent="0.25">
      <c r="A2482" s="22">
        <f t="shared" si="39"/>
        <v>2481</v>
      </c>
      <c r="B2482" s="6" t="s">
        <v>5960</v>
      </c>
      <c r="C2482" s="6" t="s">
        <v>6765</v>
      </c>
      <c r="D2482" s="6" t="s">
        <v>1984</v>
      </c>
      <c r="E2482" s="6" t="s">
        <v>6791</v>
      </c>
      <c r="F2482" s="6"/>
      <c r="G2482" s="6" t="s">
        <v>63</v>
      </c>
      <c r="H2482" s="6" t="str">
        <f>IFERROR(VLOOKUP(Table2[[#This Row],[Ticket]],Okey!A:B,2,0),"")</f>
        <v>ok</v>
      </c>
      <c r="I2482" s="6" t="s">
        <v>3679</v>
      </c>
      <c r="J2482" s="6" t="str">
        <f>VLOOKUP(Table2[[#This Row],[Author]],People!A:B,2,0)</f>
        <v>LS</v>
      </c>
      <c r="K2482" s="6" t="s">
        <v>5965</v>
      </c>
      <c r="L2482" s="6"/>
      <c r="M2482" s="21" t="s">
        <v>2804</v>
      </c>
    </row>
    <row r="2483" spans="1:13" x14ac:dyDescent="0.25">
      <c r="A2483" s="23">
        <f t="shared" si="39"/>
        <v>2482</v>
      </c>
      <c r="B2483" s="7" t="s">
        <v>5960</v>
      </c>
      <c r="C2483" s="7" t="s">
        <v>6765</v>
      </c>
      <c r="D2483" s="7" t="s">
        <v>1986</v>
      </c>
      <c r="E2483" s="7" t="s">
        <v>6792</v>
      </c>
      <c r="F2483" s="7"/>
      <c r="G2483" s="7" t="s">
        <v>63</v>
      </c>
      <c r="H2483" s="7" t="str">
        <f>IFERROR(VLOOKUP(Table2[[#This Row],[Ticket]],Okey!A:B,2,0),"")</f>
        <v>ok</v>
      </c>
      <c r="I2483" s="7" t="s">
        <v>3679</v>
      </c>
      <c r="J2483" s="7" t="str">
        <f>VLOOKUP(Table2[[#This Row],[Author]],People!A:B,2,0)</f>
        <v>LS</v>
      </c>
      <c r="K2483" s="7" t="s">
        <v>5965</v>
      </c>
      <c r="L2483" s="7"/>
      <c r="M2483" s="16" t="s">
        <v>2804</v>
      </c>
    </row>
    <row r="2484" spans="1:13" x14ac:dyDescent="0.25">
      <c r="A2484" s="22">
        <f t="shared" si="39"/>
        <v>2483</v>
      </c>
      <c r="B2484" s="6" t="s">
        <v>5960</v>
      </c>
      <c r="C2484" s="6" t="s">
        <v>6765</v>
      </c>
      <c r="D2484" s="6" t="s">
        <v>1988</v>
      </c>
      <c r="E2484" s="6" t="s">
        <v>6793</v>
      </c>
      <c r="F2484" s="6"/>
      <c r="G2484" s="6" t="s">
        <v>63</v>
      </c>
      <c r="H2484" s="6" t="str">
        <f>IFERROR(VLOOKUP(Table2[[#This Row],[Ticket]],Okey!A:B,2,0),"")</f>
        <v>ok</v>
      </c>
      <c r="I2484" s="6" t="s">
        <v>3679</v>
      </c>
      <c r="J2484" s="6" t="str">
        <f>VLOOKUP(Table2[[#This Row],[Author]],People!A:B,2,0)</f>
        <v>LS</v>
      </c>
      <c r="K2484" s="6" t="s">
        <v>5965</v>
      </c>
      <c r="L2484" s="6"/>
      <c r="M2484" s="21" t="s">
        <v>2804</v>
      </c>
    </row>
    <row r="2485" spans="1:13" x14ac:dyDescent="0.25">
      <c r="A2485" s="23">
        <f t="shared" si="39"/>
        <v>2484</v>
      </c>
      <c r="B2485" s="7" t="s">
        <v>5960</v>
      </c>
      <c r="C2485" s="7" t="s">
        <v>6765</v>
      </c>
      <c r="D2485" s="7" t="s">
        <v>1990</v>
      </c>
      <c r="E2485" s="7" t="s">
        <v>6794</v>
      </c>
      <c r="F2485" s="7"/>
      <c r="G2485" s="7" t="s">
        <v>63</v>
      </c>
      <c r="H2485" s="7" t="str">
        <f>IFERROR(VLOOKUP(Table2[[#This Row],[Ticket]],Okey!A:B,2,0),"")</f>
        <v>ok</v>
      </c>
      <c r="I2485" s="7" t="s">
        <v>3679</v>
      </c>
      <c r="J2485" s="7" t="str">
        <f>VLOOKUP(Table2[[#This Row],[Author]],People!A:B,2,0)</f>
        <v>LS</v>
      </c>
      <c r="K2485" s="7" t="s">
        <v>5965</v>
      </c>
      <c r="L2485" s="7"/>
      <c r="M2485" s="16" t="s">
        <v>2804</v>
      </c>
    </row>
    <row r="2486" spans="1:13" x14ac:dyDescent="0.25">
      <c r="A2486" s="22">
        <f t="shared" si="39"/>
        <v>2485</v>
      </c>
      <c r="B2486" s="6" t="s">
        <v>5960</v>
      </c>
      <c r="C2486" s="6" t="s">
        <v>6765</v>
      </c>
      <c r="D2486" s="6" t="s">
        <v>1992</v>
      </c>
      <c r="E2486" s="6" t="s">
        <v>6795</v>
      </c>
      <c r="F2486" s="6"/>
      <c r="G2486" s="6" t="s">
        <v>63</v>
      </c>
      <c r="H2486" s="6" t="str">
        <f>IFERROR(VLOOKUP(Table2[[#This Row],[Ticket]],Okey!A:B,2,0),"")</f>
        <v>ok</v>
      </c>
      <c r="I2486" s="6" t="s">
        <v>3679</v>
      </c>
      <c r="J2486" s="6" t="str">
        <f>VLOOKUP(Table2[[#This Row],[Author]],People!A:B,2,0)</f>
        <v>LS</v>
      </c>
      <c r="K2486" s="6" t="s">
        <v>5965</v>
      </c>
      <c r="L2486" s="6"/>
      <c r="M2486" s="21" t="s">
        <v>2804</v>
      </c>
    </row>
    <row r="2487" spans="1:13" x14ac:dyDescent="0.25">
      <c r="A2487" s="23">
        <f t="shared" si="39"/>
        <v>2486</v>
      </c>
      <c r="B2487" s="7" t="s">
        <v>5960</v>
      </c>
      <c r="C2487" s="7" t="s">
        <v>6765</v>
      </c>
      <c r="D2487" s="7" t="s">
        <v>6796</v>
      </c>
      <c r="E2487" s="7" t="s">
        <v>6797</v>
      </c>
      <c r="F2487" s="7"/>
      <c r="G2487" s="7" t="s">
        <v>63</v>
      </c>
      <c r="H2487" s="7" t="str">
        <f>IFERROR(VLOOKUP(Table2[[#This Row],[Ticket]],Okey!A:B,2,0),"")</f>
        <v>ok</v>
      </c>
      <c r="I2487" s="7" t="s">
        <v>3679</v>
      </c>
      <c r="J2487" s="7" t="str">
        <f>VLOOKUP(Table2[[#This Row],[Author]],People!A:B,2,0)</f>
        <v>LS</v>
      </c>
      <c r="K2487" s="7" t="s">
        <v>5965</v>
      </c>
      <c r="L2487" s="7"/>
      <c r="M2487" s="16" t="s">
        <v>2804</v>
      </c>
    </row>
    <row r="2488" spans="1:13" x14ac:dyDescent="0.25">
      <c r="A2488" s="22">
        <f t="shared" si="39"/>
        <v>2487</v>
      </c>
      <c r="B2488" s="6" t="s">
        <v>5960</v>
      </c>
      <c r="C2488" s="6" t="s">
        <v>6765</v>
      </c>
      <c r="D2488" s="6" t="s">
        <v>6798</v>
      </c>
      <c r="E2488" s="6" t="s">
        <v>6799</v>
      </c>
      <c r="F2488" s="6"/>
      <c r="G2488" s="6" t="s">
        <v>63</v>
      </c>
      <c r="H2488" s="6" t="str">
        <f>IFERROR(VLOOKUP(Table2[[#This Row],[Ticket]],Okey!A:B,2,0),"")</f>
        <v>ok</v>
      </c>
      <c r="I2488" s="6" t="s">
        <v>3679</v>
      </c>
      <c r="J2488" s="6" t="str">
        <f>VLOOKUP(Table2[[#This Row],[Author]],People!A:B,2,0)</f>
        <v>LS</v>
      </c>
      <c r="K2488" s="6" t="s">
        <v>5965</v>
      </c>
      <c r="L2488" s="6"/>
      <c r="M2488" s="21" t="s">
        <v>2804</v>
      </c>
    </row>
    <row r="2489" spans="1:13" x14ac:dyDescent="0.25">
      <c r="A2489" s="23">
        <f t="shared" si="39"/>
        <v>2488</v>
      </c>
      <c r="B2489" s="7" t="s">
        <v>5960</v>
      </c>
      <c r="C2489" s="7" t="s">
        <v>6765</v>
      </c>
      <c r="D2489" s="7" t="s">
        <v>6800</v>
      </c>
      <c r="E2489" s="7" t="s">
        <v>6801</v>
      </c>
      <c r="F2489" s="7"/>
      <c r="G2489" s="7" t="s">
        <v>63</v>
      </c>
      <c r="H2489" s="7" t="str">
        <f>IFERROR(VLOOKUP(Table2[[#This Row],[Ticket]],Okey!A:B,2,0),"")</f>
        <v>ok</v>
      </c>
      <c r="I2489" s="7" t="s">
        <v>3679</v>
      </c>
      <c r="J2489" s="7" t="str">
        <f>VLOOKUP(Table2[[#This Row],[Author]],People!A:B,2,0)</f>
        <v>LS</v>
      </c>
      <c r="K2489" s="7" t="s">
        <v>5965</v>
      </c>
      <c r="L2489" s="7"/>
      <c r="M2489" s="16" t="s">
        <v>2804</v>
      </c>
    </row>
    <row r="2490" spans="1:13" x14ac:dyDescent="0.25">
      <c r="A2490" s="22">
        <f t="shared" si="39"/>
        <v>2489</v>
      </c>
      <c r="B2490" s="6" t="s">
        <v>5960</v>
      </c>
      <c r="C2490" s="6" t="s">
        <v>6765</v>
      </c>
      <c r="D2490" s="6" t="s">
        <v>6802</v>
      </c>
      <c r="E2490" s="6" t="s">
        <v>6803</v>
      </c>
      <c r="F2490" s="6"/>
      <c r="G2490" s="6" t="s">
        <v>63</v>
      </c>
      <c r="H2490" s="6" t="str">
        <f>IFERROR(VLOOKUP(Table2[[#This Row],[Ticket]],Okey!A:B,2,0),"")</f>
        <v>ok</v>
      </c>
      <c r="I2490" s="6" t="s">
        <v>3679</v>
      </c>
      <c r="J2490" s="6" t="str">
        <f>VLOOKUP(Table2[[#This Row],[Author]],People!A:B,2,0)</f>
        <v>LS</v>
      </c>
      <c r="K2490" s="6" t="s">
        <v>5965</v>
      </c>
      <c r="L2490" s="6"/>
      <c r="M2490" s="21" t="s">
        <v>2804</v>
      </c>
    </row>
    <row r="2491" spans="1:13" x14ac:dyDescent="0.25">
      <c r="A2491" s="23">
        <f t="shared" si="39"/>
        <v>2490</v>
      </c>
      <c r="B2491" s="7" t="s">
        <v>5960</v>
      </c>
      <c r="C2491" s="7" t="s">
        <v>6765</v>
      </c>
      <c r="D2491" s="7" t="s">
        <v>6804</v>
      </c>
      <c r="E2491" s="7" t="s">
        <v>6805</v>
      </c>
      <c r="F2491" s="7"/>
      <c r="G2491" s="7" t="s">
        <v>63</v>
      </c>
      <c r="H2491" s="7" t="str">
        <f>IFERROR(VLOOKUP(Table2[[#This Row],[Ticket]],Okey!A:B,2,0),"")</f>
        <v>ok</v>
      </c>
      <c r="I2491" s="7" t="s">
        <v>3679</v>
      </c>
      <c r="J2491" s="7" t="str">
        <f>VLOOKUP(Table2[[#This Row],[Author]],People!A:B,2,0)</f>
        <v>LS</v>
      </c>
      <c r="K2491" s="7" t="s">
        <v>5965</v>
      </c>
      <c r="L2491" s="7"/>
      <c r="M2491" s="16" t="s">
        <v>2804</v>
      </c>
    </row>
    <row r="2492" spans="1:13" x14ac:dyDescent="0.25">
      <c r="A2492" s="22">
        <f t="shared" si="39"/>
        <v>2491</v>
      </c>
      <c r="B2492" s="6" t="s">
        <v>5960</v>
      </c>
      <c r="C2492" s="6" t="s">
        <v>6765</v>
      </c>
      <c r="D2492" s="6" t="s">
        <v>6806</v>
      </c>
      <c r="E2492" s="6" t="s">
        <v>6807</v>
      </c>
      <c r="F2492" s="6"/>
      <c r="G2492" s="6" t="s">
        <v>63</v>
      </c>
      <c r="H2492" s="6" t="str">
        <f>IFERROR(VLOOKUP(Table2[[#This Row],[Ticket]],Okey!A:B,2,0),"")</f>
        <v>ok</v>
      </c>
      <c r="I2492" s="6" t="s">
        <v>3679</v>
      </c>
      <c r="J2492" s="6" t="str">
        <f>VLOOKUP(Table2[[#This Row],[Author]],People!A:B,2,0)</f>
        <v>LS</v>
      </c>
      <c r="K2492" s="6" t="s">
        <v>5965</v>
      </c>
      <c r="L2492" s="6"/>
      <c r="M2492" s="21" t="s">
        <v>2804</v>
      </c>
    </row>
    <row r="2493" spans="1:13" x14ac:dyDescent="0.25">
      <c r="A2493" s="23">
        <f t="shared" si="39"/>
        <v>2492</v>
      </c>
      <c r="B2493" s="7" t="s">
        <v>5960</v>
      </c>
      <c r="C2493" s="7" t="s">
        <v>6765</v>
      </c>
      <c r="D2493" s="7" t="s">
        <v>1994</v>
      </c>
      <c r="E2493" s="7" t="s">
        <v>6808</v>
      </c>
      <c r="F2493" s="7"/>
      <c r="G2493" s="7" t="s">
        <v>63</v>
      </c>
      <c r="H2493" s="7" t="str">
        <f>IFERROR(VLOOKUP(Table2[[#This Row],[Ticket]],Okey!A:B,2,0),"")</f>
        <v>ok</v>
      </c>
      <c r="I2493" s="7" t="s">
        <v>3679</v>
      </c>
      <c r="J2493" s="7" t="str">
        <f>VLOOKUP(Table2[[#This Row],[Author]],People!A:B,2,0)</f>
        <v>LS</v>
      </c>
      <c r="K2493" s="7" t="s">
        <v>5965</v>
      </c>
      <c r="L2493" s="7"/>
      <c r="M2493" s="16" t="s">
        <v>2804</v>
      </c>
    </row>
    <row r="2494" spans="1:13" x14ac:dyDescent="0.25">
      <c r="A2494" s="22">
        <f t="shared" si="39"/>
        <v>2493</v>
      </c>
      <c r="B2494" s="6" t="s">
        <v>5960</v>
      </c>
      <c r="C2494" s="6" t="s">
        <v>6765</v>
      </c>
      <c r="D2494" s="6" t="s">
        <v>1996</v>
      </c>
      <c r="E2494" s="6" t="s">
        <v>6809</v>
      </c>
      <c r="F2494" s="6"/>
      <c r="G2494" s="6" t="s">
        <v>63</v>
      </c>
      <c r="H2494" s="6" t="str">
        <f>IFERROR(VLOOKUP(Table2[[#This Row],[Ticket]],Okey!A:B,2,0),"")</f>
        <v>ok</v>
      </c>
      <c r="I2494" s="6" t="s">
        <v>3679</v>
      </c>
      <c r="J2494" s="6" t="str">
        <f>VLOOKUP(Table2[[#This Row],[Author]],People!A:B,2,0)</f>
        <v>LS</v>
      </c>
      <c r="K2494" s="6" t="s">
        <v>5965</v>
      </c>
      <c r="L2494" s="6"/>
      <c r="M2494" s="21" t="s">
        <v>2804</v>
      </c>
    </row>
    <row r="2495" spans="1:13" x14ac:dyDescent="0.25">
      <c r="A2495" s="23">
        <f t="shared" si="39"/>
        <v>2494</v>
      </c>
      <c r="B2495" s="7" t="s">
        <v>5960</v>
      </c>
      <c r="C2495" s="7" t="s">
        <v>6765</v>
      </c>
      <c r="D2495" s="7" t="s">
        <v>1998</v>
      </c>
      <c r="E2495" s="7" t="s">
        <v>6810</v>
      </c>
      <c r="F2495" s="7"/>
      <c r="G2495" s="7" t="s">
        <v>63</v>
      </c>
      <c r="H2495" s="7" t="str">
        <f>IFERROR(VLOOKUP(Table2[[#This Row],[Ticket]],Okey!A:B,2,0),"")</f>
        <v>ok</v>
      </c>
      <c r="I2495" s="7" t="s">
        <v>3679</v>
      </c>
      <c r="J2495" s="7" t="str">
        <f>VLOOKUP(Table2[[#This Row],[Author]],People!A:B,2,0)</f>
        <v>LS</v>
      </c>
      <c r="K2495" s="7" t="s">
        <v>5965</v>
      </c>
      <c r="L2495" s="7"/>
      <c r="M2495" s="16" t="s">
        <v>2804</v>
      </c>
    </row>
    <row r="2496" spans="1:13" x14ac:dyDescent="0.25">
      <c r="A2496" s="22">
        <f t="shared" si="39"/>
        <v>2495</v>
      </c>
      <c r="B2496" s="6" t="s">
        <v>5960</v>
      </c>
      <c r="C2496" s="6" t="s">
        <v>6765</v>
      </c>
      <c r="D2496" s="6" t="s">
        <v>2000</v>
      </c>
      <c r="E2496" s="6" t="s">
        <v>6811</v>
      </c>
      <c r="F2496" s="6"/>
      <c r="G2496" s="6" t="s">
        <v>63</v>
      </c>
      <c r="H2496" s="6" t="str">
        <f>IFERROR(VLOOKUP(Table2[[#This Row],[Ticket]],Okey!A:B,2,0),"")</f>
        <v>ok</v>
      </c>
      <c r="I2496" s="6" t="s">
        <v>3679</v>
      </c>
      <c r="J2496" s="6" t="str">
        <f>VLOOKUP(Table2[[#This Row],[Author]],People!A:B,2,0)</f>
        <v>LS</v>
      </c>
      <c r="K2496" s="6" t="s">
        <v>5965</v>
      </c>
      <c r="L2496" s="6"/>
      <c r="M2496" s="21" t="s">
        <v>2804</v>
      </c>
    </row>
    <row r="2497" spans="1:13" x14ac:dyDescent="0.25">
      <c r="A2497" s="23">
        <f t="shared" si="39"/>
        <v>2496</v>
      </c>
      <c r="B2497" s="7" t="s">
        <v>5960</v>
      </c>
      <c r="C2497" s="7" t="s">
        <v>6765</v>
      </c>
      <c r="D2497" s="7" t="s">
        <v>2002</v>
      </c>
      <c r="E2497" s="7" t="s">
        <v>6812</v>
      </c>
      <c r="F2497" s="7"/>
      <c r="G2497" s="7" t="s">
        <v>63</v>
      </c>
      <c r="H2497" s="7" t="str">
        <f>IFERROR(VLOOKUP(Table2[[#This Row],[Ticket]],Okey!A:B,2,0),"")</f>
        <v>ok</v>
      </c>
      <c r="I2497" s="7" t="s">
        <v>3679</v>
      </c>
      <c r="J2497" s="7" t="str">
        <f>VLOOKUP(Table2[[#This Row],[Author]],People!A:B,2,0)</f>
        <v>LS</v>
      </c>
      <c r="K2497" s="7" t="s">
        <v>5965</v>
      </c>
      <c r="L2497" s="7"/>
      <c r="M2497" s="16" t="s">
        <v>2804</v>
      </c>
    </row>
    <row r="2498" spans="1:13" x14ac:dyDescent="0.25">
      <c r="A2498" s="22">
        <f t="shared" si="39"/>
        <v>2497</v>
      </c>
      <c r="B2498" s="6" t="s">
        <v>5960</v>
      </c>
      <c r="C2498" s="6" t="s">
        <v>6765</v>
      </c>
      <c r="D2498" s="6" t="s">
        <v>2004</v>
      </c>
      <c r="E2498" s="6" t="s">
        <v>6813</v>
      </c>
      <c r="F2498" s="6"/>
      <c r="G2498" s="6" t="s">
        <v>63</v>
      </c>
      <c r="H2498" s="6" t="str">
        <f>IFERROR(VLOOKUP(Table2[[#This Row],[Ticket]],Okey!A:B,2,0),"")</f>
        <v>ok</v>
      </c>
      <c r="I2498" s="6" t="s">
        <v>3679</v>
      </c>
      <c r="J2498" s="6" t="str">
        <f>VLOOKUP(Table2[[#This Row],[Author]],People!A:B,2,0)</f>
        <v>LS</v>
      </c>
      <c r="K2498" s="6" t="s">
        <v>5965</v>
      </c>
      <c r="L2498" s="6"/>
      <c r="M2498" s="21" t="s">
        <v>2804</v>
      </c>
    </row>
    <row r="2499" spans="1:13" x14ac:dyDescent="0.25">
      <c r="A2499" s="23">
        <f t="shared" si="39"/>
        <v>2498</v>
      </c>
      <c r="B2499" s="7" t="s">
        <v>5960</v>
      </c>
      <c r="C2499" s="7" t="s">
        <v>6765</v>
      </c>
      <c r="D2499" s="7" t="s">
        <v>2006</v>
      </c>
      <c r="E2499" s="7" t="s">
        <v>6814</v>
      </c>
      <c r="F2499" s="7"/>
      <c r="G2499" s="7" t="s">
        <v>63</v>
      </c>
      <c r="H2499" s="7" t="str">
        <f>IFERROR(VLOOKUP(Table2[[#This Row],[Ticket]],Okey!A:B,2,0),"")</f>
        <v>ok</v>
      </c>
      <c r="I2499" s="7" t="s">
        <v>3679</v>
      </c>
      <c r="J2499" s="7" t="str">
        <f>VLOOKUP(Table2[[#This Row],[Author]],People!A:B,2,0)</f>
        <v>LS</v>
      </c>
      <c r="K2499" s="7" t="s">
        <v>5965</v>
      </c>
      <c r="L2499" s="7"/>
      <c r="M2499" s="16" t="s">
        <v>2804</v>
      </c>
    </row>
    <row r="2500" spans="1:13" x14ac:dyDescent="0.25">
      <c r="A2500" s="22">
        <f t="shared" si="39"/>
        <v>2499</v>
      </c>
      <c r="B2500" s="6" t="s">
        <v>5960</v>
      </c>
      <c r="C2500" s="6" t="s">
        <v>6765</v>
      </c>
      <c r="D2500" s="6" t="s">
        <v>2008</v>
      </c>
      <c r="E2500" s="6" t="s">
        <v>6815</v>
      </c>
      <c r="F2500" s="6"/>
      <c r="G2500" s="6" t="s">
        <v>63</v>
      </c>
      <c r="H2500" s="6" t="str">
        <f>IFERROR(VLOOKUP(Table2[[#This Row],[Ticket]],Okey!A:B,2,0),"")</f>
        <v>ok</v>
      </c>
      <c r="I2500" s="6" t="s">
        <v>3679</v>
      </c>
      <c r="J2500" s="6" t="str">
        <f>VLOOKUP(Table2[[#This Row],[Author]],People!A:B,2,0)</f>
        <v>LS</v>
      </c>
      <c r="K2500" s="6" t="s">
        <v>5965</v>
      </c>
      <c r="L2500" s="6"/>
      <c r="M2500" s="21" t="s">
        <v>2804</v>
      </c>
    </row>
    <row r="2501" spans="1:13" x14ac:dyDescent="0.25">
      <c r="A2501" s="23">
        <f t="shared" si="39"/>
        <v>2500</v>
      </c>
      <c r="B2501" s="7" t="s">
        <v>5960</v>
      </c>
      <c r="C2501" s="7" t="s">
        <v>6765</v>
      </c>
      <c r="D2501" s="7" t="s">
        <v>1822</v>
      </c>
      <c r="E2501" s="7" t="s">
        <v>6816</v>
      </c>
      <c r="F2501" s="7"/>
      <c r="G2501" s="7" t="s">
        <v>63</v>
      </c>
      <c r="H2501" s="7" t="str">
        <f>IFERROR(VLOOKUP(Table2[[#This Row],[Ticket]],Okey!A:B,2,0),"")</f>
        <v>ok</v>
      </c>
      <c r="I2501" s="7" t="s">
        <v>3679</v>
      </c>
      <c r="J2501" s="7" t="str">
        <f>VLOOKUP(Table2[[#This Row],[Author]],People!A:B,2,0)</f>
        <v>LS</v>
      </c>
      <c r="K2501" s="7" t="s">
        <v>5965</v>
      </c>
      <c r="L2501" s="7"/>
      <c r="M2501" s="16" t="s">
        <v>2804</v>
      </c>
    </row>
    <row r="2502" spans="1:13" x14ac:dyDescent="0.25">
      <c r="A2502" s="22">
        <f t="shared" si="39"/>
        <v>2501</v>
      </c>
      <c r="B2502" s="6" t="s">
        <v>5960</v>
      </c>
      <c r="C2502" s="6" t="s">
        <v>6765</v>
      </c>
      <c r="D2502" s="6" t="s">
        <v>6817</v>
      </c>
      <c r="E2502" s="6" t="s">
        <v>6818</v>
      </c>
      <c r="F2502" s="6"/>
      <c r="G2502" s="6" t="s">
        <v>63</v>
      </c>
      <c r="H2502" s="6" t="str">
        <f>IFERROR(VLOOKUP(Table2[[#This Row],[Ticket]],Okey!A:B,2,0),"")</f>
        <v>ok</v>
      </c>
      <c r="I2502" s="6" t="s">
        <v>3679</v>
      </c>
      <c r="J2502" s="6" t="str">
        <f>VLOOKUP(Table2[[#This Row],[Author]],People!A:B,2,0)</f>
        <v>LS</v>
      </c>
      <c r="K2502" s="6" t="s">
        <v>5965</v>
      </c>
      <c r="L2502" s="6"/>
      <c r="M2502" s="21" t="s">
        <v>2804</v>
      </c>
    </row>
    <row r="2503" spans="1:13" x14ac:dyDescent="0.25">
      <c r="A2503" s="23">
        <f t="shared" si="39"/>
        <v>2502</v>
      </c>
      <c r="B2503" s="7" t="s">
        <v>5960</v>
      </c>
      <c r="C2503" s="7" t="s">
        <v>6765</v>
      </c>
      <c r="D2503" s="7" t="s">
        <v>2010</v>
      </c>
      <c r="E2503" s="7" t="s">
        <v>6819</v>
      </c>
      <c r="F2503" s="7"/>
      <c r="G2503" s="7" t="s">
        <v>63</v>
      </c>
      <c r="H2503" s="7" t="str">
        <f>IFERROR(VLOOKUP(Table2[[#This Row],[Ticket]],Okey!A:B,2,0),"")</f>
        <v>ok</v>
      </c>
      <c r="I2503" s="7" t="s">
        <v>3679</v>
      </c>
      <c r="J2503" s="7" t="str">
        <f>VLOOKUP(Table2[[#This Row],[Author]],People!A:B,2,0)</f>
        <v>LS</v>
      </c>
      <c r="K2503" s="7" t="s">
        <v>5965</v>
      </c>
      <c r="L2503" s="7"/>
      <c r="M2503" s="16" t="s">
        <v>2804</v>
      </c>
    </row>
    <row r="2504" spans="1:13" x14ac:dyDescent="0.25">
      <c r="A2504" s="22">
        <f t="shared" si="39"/>
        <v>2503</v>
      </c>
      <c r="B2504" s="6" t="s">
        <v>5960</v>
      </c>
      <c r="C2504" s="6" t="s">
        <v>6765</v>
      </c>
      <c r="D2504" s="6" t="s">
        <v>2012</v>
      </c>
      <c r="E2504" s="6" t="s">
        <v>6820</v>
      </c>
      <c r="F2504" s="6"/>
      <c r="G2504" s="6" t="s">
        <v>63</v>
      </c>
      <c r="H2504" s="6" t="str">
        <f>IFERROR(VLOOKUP(Table2[[#This Row],[Ticket]],Okey!A:B,2,0),"")</f>
        <v>ok</v>
      </c>
      <c r="I2504" s="6" t="s">
        <v>3679</v>
      </c>
      <c r="J2504" s="6" t="str">
        <f>VLOOKUP(Table2[[#This Row],[Author]],People!A:B,2,0)</f>
        <v>LS</v>
      </c>
      <c r="K2504" s="6" t="s">
        <v>5965</v>
      </c>
      <c r="L2504" s="6"/>
      <c r="M2504" s="21" t="s">
        <v>2804</v>
      </c>
    </row>
    <row r="2505" spans="1:13" x14ac:dyDescent="0.25">
      <c r="A2505" s="23">
        <f t="shared" si="39"/>
        <v>2504</v>
      </c>
      <c r="B2505" s="7" t="s">
        <v>5960</v>
      </c>
      <c r="C2505" s="7" t="s">
        <v>6765</v>
      </c>
      <c r="D2505" s="7" t="s">
        <v>2014</v>
      </c>
      <c r="E2505" s="7" t="s">
        <v>6821</v>
      </c>
      <c r="F2505" s="7"/>
      <c r="G2505" s="7" t="s">
        <v>63</v>
      </c>
      <c r="H2505" s="7" t="str">
        <f>IFERROR(VLOOKUP(Table2[[#This Row],[Ticket]],Okey!A:B,2,0),"")</f>
        <v>ok</v>
      </c>
      <c r="I2505" s="7" t="s">
        <v>3679</v>
      </c>
      <c r="J2505" s="7" t="str">
        <f>VLOOKUP(Table2[[#This Row],[Author]],People!A:B,2,0)</f>
        <v>LS</v>
      </c>
      <c r="K2505" s="7" t="s">
        <v>5965</v>
      </c>
      <c r="L2505" s="7"/>
      <c r="M2505" s="16" t="s">
        <v>2804</v>
      </c>
    </row>
    <row r="2506" spans="1:13" x14ac:dyDescent="0.25">
      <c r="A2506" s="22">
        <f t="shared" si="39"/>
        <v>2505</v>
      </c>
      <c r="B2506" s="6" t="s">
        <v>5960</v>
      </c>
      <c r="C2506" s="6" t="s">
        <v>6765</v>
      </c>
      <c r="D2506" s="6" t="s">
        <v>2016</v>
      </c>
      <c r="E2506" s="6" t="s">
        <v>6822</v>
      </c>
      <c r="F2506" s="6"/>
      <c r="G2506" s="6" t="s">
        <v>63</v>
      </c>
      <c r="H2506" s="6" t="str">
        <f>IFERROR(VLOOKUP(Table2[[#This Row],[Ticket]],Okey!A:B,2,0),"")</f>
        <v>ok</v>
      </c>
      <c r="I2506" s="6" t="s">
        <v>3679</v>
      </c>
      <c r="J2506" s="6" t="str">
        <f>VLOOKUP(Table2[[#This Row],[Author]],People!A:B,2,0)</f>
        <v>LS</v>
      </c>
      <c r="K2506" s="6" t="s">
        <v>5965</v>
      </c>
      <c r="L2506" s="6"/>
      <c r="M2506" s="21" t="s">
        <v>2804</v>
      </c>
    </row>
    <row r="2507" spans="1:13" x14ac:dyDescent="0.25">
      <c r="A2507" s="23">
        <f t="shared" si="39"/>
        <v>2506</v>
      </c>
      <c r="B2507" s="7" t="s">
        <v>5960</v>
      </c>
      <c r="C2507" s="7" t="s">
        <v>6765</v>
      </c>
      <c r="D2507" s="7" t="s">
        <v>2018</v>
      </c>
      <c r="E2507" s="7" t="s">
        <v>6823</v>
      </c>
      <c r="F2507" s="7"/>
      <c r="G2507" s="7" t="s">
        <v>63</v>
      </c>
      <c r="H2507" s="7" t="str">
        <f>IFERROR(VLOOKUP(Table2[[#This Row],[Ticket]],Okey!A:B,2,0),"")</f>
        <v>ok</v>
      </c>
      <c r="I2507" s="7" t="s">
        <v>3679</v>
      </c>
      <c r="J2507" s="7" t="str">
        <f>VLOOKUP(Table2[[#This Row],[Author]],People!A:B,2,0)</f>
        <v>LS</v>
      </c>
      <c r="K2507" s="7" t="s">
        <v>5965</v>
      </c>
      <c r="L2507" s="7"/>
      <c r="M2507" s="16" t="s">
        <v>2804</v>
      </c>
    </row>
    <row r="2508" spans="1:13" x14ac:dyDescent="0.25">
      <c r="A2508" s="22">
        <f t="shared" si="39"/>
        <v>2507</v>
      </c>
      <c r="B2508" s="6" t="s">
        <v>5960</v>
      </c>
      <c r="C2508" s="6" t="s">
        <v>6765</v>
      </c>
      <c r="D2508" s="6" t="s">
        <v>2020</v>
      </c>
      <c r="E2508" s="6" t="s">
        <v>6824</v>
      </c>
      <c r="F2508" s="6"/>
      <c r="G2508" s="6" t="s">
        <v>63</v>
      </c>
      <c r="H2508" s="6" t="str">
        <f>IFERROR(VLOOKUP(Table2[[#This Row],[Ticket]],Okey!A:B,2,0),"")</f>
        <v>ok</v>
      </c>
      <c r="I2508" s="6" t="s">
        <v>3679</v>
      </c>
      <c r="J2508" s="6" t="str">
        <f>VLOOKUP(Table2[[#This Row],[Author]],People!A:B,2,0)</f>
        <v>LS</v>
      </c>
      <c r="K2508" s="6" t="s">
        <v>5965</v>
      </c>
      <c r="L2508" s="6"/>
      <c r="M2508" s="21" t="s">
        <v>2804</v>
      </c>
    </row>
    <row r="2509" spans="1:13" x14ac:dyDescent="0.25">
      <c r="A2509" s="23">
        <f t="shared" si="39"/>
        <v>2508</v>
      </c>
      <c r="B2509" s="7" t="s">
        <v>5960</v>
      </c>
      <c r="C2509" s="7" t="s">
        <v>6765</v>
      </c>
      <c r="D2509" s="7" t="s">
        <v>3614</v>
      </c>
      <c r="E2509" s="7" t="s">
        <v>6825</v>
      </c>
      <c r="F2509" s="7"/>
      <c r="G2509" s="7" t="s">
        <v>63</v>
      </c>
      <c r="H2509" s="7" t="str">
        <f>IFERROR(VLOOKUP(Table2[[#This Row],[Ticket]],Okey!A:B,2,0),"")</f>
        <v>ok</v>
      </c>
      <c r="I2509" s="7" t="s">
        <v>3679</v>
      </c>
      <c r="J2509" s="7" t="str">
        <f>VLOOKUP(Table2[[#This Row],[Author]],People!A:B,2,0)</f>
        <v>LS</v>
      </c>
      <c r="K2509" s="7" t="s">
        <v>5965</v>
      </c>
      <c r="L2509" s="7"/>
      <c r="M2509" s="16" t="s">
        <v>2804</v>
      </c>
    </row>
    <row r="2510" spans="1:13" x14ac:dyDescent="0.25">
      <c r="A2510" s="22">
        <f t="shared" si="39"/>
        <v>2509</v>
      </c>
      <c r="B2510" s="6" t="s">
        <v>5960</v>
      </c>
      <c r="C2510" s="6" t="s">
        <v>6765</v>
      </c>
      <c r="D2510" s="6" t="s">
        <v>2833</v>
      </c>
      <c r="E2510" s="6" t="s">
        <v>2834</v>
      </c>
      <c r="F2510" s="6"/>
      <c r="G2510" s="6" t="s">
        <v>63</v>
      </c>
      <c r="H2510" s="6" t="str">
        <f>IFERROR(VLOOKUP(Table2[[#This Row],[Ticket]],Okey!A:B,2,0),"")</f>
        <v>ok</v>
      </c>
      <c r="I2510" s="6" t="s">
        <v>3679</v>
      </c>
      <c r="J2510" s="6" t="str">
        <f>VLOOKUP(Table2[[#This Row],[Author]],People!A:B,2,0)</f>
        <v>LS</v>
      </c>
      <c r="K2510" s="6" t="s">
        <v>5965</v>
      </c>
      <c r="L2510" s="6"/>
      <c r="M2510" s="21" t="s">
        <v>2804</v>
      </c>
    </row>
    <row r="2511" spans="1:13" x14ac:dyDescent="0.25">
      <c r="A2511" s="23">
        <f t="shared" si="39"/>
        <v>2510</v>
      </c>
      <c r="B2511" s="7" t="s">
        <v>5960</v>
      </c>
      <c r="C2511" s="7" t="s">
        <v>6765</v>
      </c>
      <c r="D2511" s="7" t="s">
        <v>2835</v>
      </c>
      <c r="E2511" s="7" t="s">
        <v>2836</v>
      </c>
      <c r="F2511" s="7"/>
      <c r="G2511" s="7" t="s">
        <v>63</v>
      </c>
      <c r="H2511" s="7" t="str">
        <f>IFERROR(VLOOKUP(Table2[[#This Row],[Ticket]],Okey!A:B,2,0),"")</f>
        <v>ok</v>
      </c>
      <c r="I2511" s="7" t="s">
        <v>3679</v>
      </c>
      <c r="J2511" s="7" t="str">
        <f>VLOOKUP(Table2[[#This Row],[Author]],People!A:B,2,0)</f>
        <v>LS</v>
      </c>
      <c r="K2511" s="7" t="s">
        <v>5965</v>
      </c>
      <c r="L2511" s="7"/>
      <c r="M2511" s="16" t="s">
        <v>2804</v>
      </c>
    </row>
    <row r="2512" spans="1:13" x14ac:dyDescent="0.25">
      <c r="A2512" s="22">
        <f t="shared" si="39"/>
        <v>2511</v>
      </c>
      <c r="B2512" s="6" t="s">
        <v>5960</v>
      </c>
      <c r="C2512" s="6" t="s">
        <v>6765</v>
      </c>
      <c r="D2512" s="6" t="s">
        <v>2837</v>
      </c>
      <c r="E2512" s="6" t="s">
        <v>2838</v>
      </c>
      <c r="F2512" s="6"/>
      <c r="G2512" s="6" t="s">
        <v>63</v>
      </c>
      <c r="H2512" s="6" t="str">
        <f>IFERROR(VLOOKUP(Table2[[#This Row],[Ticket]],Okey!A:B,2,0),"")</f>
        <v>ok</v>
      </c>
      <c r="I2512" s="6" t="s">
        <v>3679</v>
      </c>
      <c r="J2512" s="6" t="str">
        <f>VLOOKUP(Table2[[#This Row],[Author]],People!A:B,2,0)</f>
        <v>LS</v>
      </c>
      <c r="K2512" s="6" t="s">
        <v>5965</v>
      </c>
      <c r="L2512" s="6"/>
      <c r="M2512" s="21" t="s">
        <v>2804</v>
      </c>
    </row>
    <row r="2513" spans="1:13" x14ac:dyDescent="0.25">
      <c r="A2513" s="23">
        <f t="shared" si="39"/>
        <v>2512</v>
      </c>
      <c r="B2513" s="7" t="s">
        <v>5960</v>
      </c>
      <c r="C2513" s="7" t="s">
        <v>6765</v>
      </c>
      <c r="D2513" s="7" t="s">
        <v>2839</v>
      </c>
      <c r="E2513" s="7" t="s">
        <v>2840</v>
      </c>
      <c r="F2513" s="7"/>
      <c r="G2513" s="7" t="s">
        <v>63</v>
      </c>
      <c r="H2513" s="7" t="str">
        <f>IFERROR(VLOOKUP(Table2[[#This Row],[Ticket]],Okey!A:B,2,0),"")</f>
        <v>ok</v>
      </c>
      <c r="I2513" s="7" t="s">
        <v>3679</v>
      </c>
      <c r="J2513" s="7" t="str">
        <f>VLOOKUP(Table2[[#This Row],[Author]],People!A:B,2,0)</f>
        <v>LS</v>
      </c>
      <c r="K2513" s="7" t="s">
        <v>5965</v>
      </c>
      <c r="L2513" s="7"/>
      <c r="M2513" s="16" t="s">
        <v>2804</v>
      </c>
    </row>
    <row r="2514" spans="1:13" x14ac:dyDescent="0.25">
      <c r="A2514" s="22">
        <f t="shared" si="39"/>
        <v>2513</v>
      </c>
      <c r="B2514" s="6" t="s">
        <v>5960</v>
      </c>
      <c r="C2514" s="6" t="s">
        <v>6765</v>
      </c>
      <c r="D2514" s="6" t="s">
        <v>2841</v>
      </c>
      <c r="E2514" s="6" t="s">
        <v>2842</v>
      </c>
      <c r="F2514" s="6"/>
      <c r="G2514" s="6" t="s">
        <v>63</v>
      </c>
      <c r="H2514" s="6" t="str">
        <f>IFERROR(VLOOKUP(Table2[[#This Row],[Ticket]],Okey!A:B,2,0),"")</f>
        <v>ok</v>
      </c>
      <c r="I2514" s="6" t="s">
        <v>3679</v>
      </c>
      <c r="J2514" s="6" t="str">
        <f>VLOOKUP(Table2[[#This Row],[Author]],People!A:B,2,0)</f>
        <v>LS</v>
      </c>
      <c r="K2514" s="6" t="s">
        <v>5965</v>
      </c>
      <c r="L2514" s="6"/>
      <c r="M2514" s="21" t="s">
        <v>2804</v>
      </c>
    </row>
    <row r="2515" spans="1:13" x14ac:dyDescent="0.25">
      <c r="A2515" s="23">
        <f t="shared" si="39"/>
        <v>2514</v>
      </c>
      <c r="B2515" s="7" t="s">
        <v>5960</v>
      </c>
      <c r="C2515" s="7" t="s">
        <v>6765</v>
      </c>
      <c r="D2515" s="7" t="s">
        <v>2843</v>
      </c>
      <c r="E2515" s="7" t="s">
        <v>2844</v>
      </c>
      <c r="F2515" s="7"/>
      <c r="G2515" s="7" t="s">
        <v>63</v>
      </c>
      <c r="H2515" s="7" t="str">
        <f>IFERROR(VLOOKUP(Table2[[#This Row],[Ticket]],Okey!A:B,2,0),"")</f>
        <v>ok</v>
      </c>
      <c r="I2515" s="7" t="s">
        <v>3679</v>
      </c>
      <c r="J2515" s="7" t="str">
        <f>VLOOKUP(Table2[[#This Row],[Author]],People!A:B,2,0)</f>
        <v>LS</v>
      </c>
      <c r="K2515" s="7" t="s">
        <v>5965</v>
      </c>
      <c r="L2515" s="7"/>
      <c r="M2515" s="16" t="s">
        <v>2804</v>
      </c>
    </row>
    <row r="2516" spans="1:13" x14ac:dyDescent="0.25">
      <c r="A2516" s="22">
        <f t="shared" si="39"/>
        <v>2515</v>
      </c>
      <c r="B2516" s="6" t="s">
        <v>5960</v>
      </c>
      <c r="C2516" s="6" t="s">
        <v>6765</v>
      </c>
      <c r="D2516" s="6" t="s">
        <v>2845</v>
      </c>
      <c r="E2516" s="6" t="s">
        <v>2846</v>
      </c>
      <c r="F2516" s="6"/>
      <c r="G2516" s="6" t="s">
        <v>63</v>
      </c>
      <c r="H2516" s="6" t="str">
        <f>IFERROR(VLOOKUP(Table2[[#This Row],[Ticket]],Okey!A:B,2,0),"")</f>
        <v>ok</v>
      </c>
      <c r="I2516" s="6" t="s">
        <v>3679</v>
      </c>
      <c r="J2516" s="6" t="str">
        <f>VLOOKUP(Table2[[#This Row],[Author]],People!A:B,2,0)</f>
        <v>LS</v>
      </c>
      <c r="K2516" s="6" t="s">
        <v>5965</v>
      </c>
      <c r="L2516" s="6"/>
      <c r="M2516" s="21" t="s">
        <v>2804</v>
      </c>
    </row>
    <row r="2517" spans="1:13" x14ac:dyDescent="0.25">
      <c r="A2517" s="23">
        <f t="shared" si="39"/>
        <v>2516</v>
      </c>
      <c r="B2517" s="7" t="s">
        <v>5960</v>
      </c>
      <c r="C2517" s="7" t="s">
        <v>6765</v>
      </c>
      <c r="D2517" s="7" t="s">
        <v>2847</v>
      </c>
      <c r="E2517" s="7" t="s">
        <v>2848</v>
      </c>
      <c r="F2517" s="7"/>
      <c r="G2517" s="7" t="s">
        <v>63</v>
      </c>
      <c r="H2517" s="7" t="str">
        <f>IFERROR(VLOOKUP(Table2[[#This Row],[Ticket]],Okey!A:B,2,0),"")</f>
        <v>ok</v>
      </c>
      <c r="I2517" s="7" t="s">
        <v>3679</v>
      </c>
      <c r="J2517" s="7" t="str">
        <f>VLOOKUP(Table2[[#This Row],[Author]],People!A:B,2,0)</f>
        <v>LS</v>
      </c>
      <c r="K2517" s="7" t="s">
        <v>5965</v>
      </c>
      <c r="L2517" s="7"/>
      <c r="M2517" s="16" t="s">
        <v>2804</v>
      </c>
    </row>
    <row r="2518" spans="1:13" x14ac:dyDescent="0.25">
      <c r="A2518" s="22">
        <f t="shared" si="39"/>
        <v>2517</v>
      </c>
      <c r="B2518" s="6" t="s">
        <v>5960</v>
      </c>
      <c r="C2518" s="6" t="s">
        <v>6765</v>
      </c>
      <c r="D2518" s="6" t="s">
        <v>2849</v>
      </c>
      <c r="E2518" s="6" t="s">
        <v>2850</v>
      </c>
      <c r="F2518" s="6"/>
      <c r="G2518" s="6" t="s">
        <v>63</v>
      </c>
      <c r="H2518" s="6" t="str">
        <f>IFERROR(VLOOKUP(Table2[[#This Row],[Ticket]],Okey!A:B,2,0),"")</f>
        <v>ok</v>
      </c>
      <c r="I2518" s="6" t="s">
        <v>3679</v>
      </c>
      <c r="J2518" s="6" t="str">
        <f>VLOOKUP(Table2[[#This Row],[Author]],People!A:B,2,0)</f>
        <v>LS</v>
      </c>
      <c r="K2518" s="6" t="s">
        <v>5965</v>
      </c>
      <c r="L2518" s="6"/>
      <c r="M2518" s="21" t="s">
        <v>2804</v>
      </c>
    </row>
    <row r="2519" spans="1:13" x14ac:dyDescent="0.25">
      <c r="A2519" s="23">
        <f t="shared" si="39"/>
        <v>2518</v>
      </c>
      <c r="B2519" s="7" t="s">
        <v>5960</v>
      </c>
      <c r="C2519" s="7" t="s">
        <v>6765</v>
      </c>
      <c r="D2519" s="7" t="s">
        <v>2851</v>
      </c>
      <c r="E2519" s="7" t="s">
        <v>2852</v>
      </c>
      <c r="F2519" s="7"/>
      <c r="G2519" s="7" t="s">
        <v>63</v>
      </c>
      <c r="H2519" s="7" t="str">
        <f>IFERROR(VLOOKUP(Table2[[#This Row],[Ticket]],Okey!A:B,2,0),"")</f>
        <v>ok</v>
      </c>
      <c r="I2519" s="7" t="s">
        <v>3679</v>
      </c>
      <c r="J2519" s="7" t="str">
        <f>VLOOKUP(Table2[[#This Row],[Author]],People!A:B,2,0)</f>
        <v>LS</v>
      </c>
      <c r="K2519" s="7" t="s">
        <v>5965</v>
      </c>
      <c r="L2519" s="7"/>
      <c r="M2519" s="16" t="s">
        <v>2804</v>
      </c>
    </row>
    <row r="2520" spans="1:13" x14ac:dyDescent="0.25">
      <c r="A2520" s="22">
        <f t="shared" si="39"/>
        <v>2519</v>
      </c>
      <c r="B2520" s="6" t="s">
        <v>5960</v>
      </c>
      <c r="C2520" s="6" t="s">
        <v>6765</v>
      </c>
      <c r="D2520" s="6" t="s">
        <v>2853</v>
      </c>
      <c r="E2520" s="6" t="s">
        <v>2854</v>
      </c>
      <c r="F2520" s="6"/>
      <c r="G2520" s="6" t="s">
        <v>63</v>
      </c>
      <c r="H2520" s="6" t="str">
        <f>IFERROR(VLOOKUP(Table2[[#This Row],[Ticket]],Okey!A:B,2,0),"")</f>
        <v>ok</v>
      </c>
      <c r="I2520" s="6" t="s">
        <v>3679</v>
      </c>
      <c r="J2520" s="6" t="str">
        <f>VLOOKUP(Table2[[#This Row],[Author]],People!A:B,2,0)</f>
        <v>LS</v>
      </c>
      <c r="K2520" s="6" t="s">
        <v>5965</v>
      </c>
      <c r="L2520" s="6"/>
      <c r="M2520" s="21" t="s">
        <v>2804</v>
      </c>
    </row>
    <row r="2521" spans="1:13" x14ac:dyDescent="0.25">
      <c r="A2521" s="23">
        <f t="shared" si="39"/>
        <v>2520</v>
      </c>
      <c r="B2521" s="7" t="s">
        <v>5960</v>
      </c>
      <c r="C2521" s="7" t="s">
        <v>6765</v>
      </c>
      <c r="D2521" s="7" t="s">
        <v>2855</v>
      </c>
      <c r="E2521" s="7" t="s">
        <v>2856</v>
      </c>
      <c r="F2521" s="7"/>
      <c r="G2521" s="7" t="s">
        <v>63</v>
      </c>
      <c r="H2521" s="7" t="str">
        <f>IFERROR(VLOOKUP(Table2[[#This Row],[Ticket]],Okey!A:B,2,0),"")</f>
        <v>ok</v>
      </c>
      <c r="I2521" s="7" t="s">
        <v>3679</v>
      </c>
      <c r="J2521" s="7" t="str">
        <f>VLOOKUP(Table2[[#This Row],[Author]],People!A:B,2,0)</f>
        <v>LS</v>
      </c>
      <c r="K2521" s="7" t="s">
        <v>5965</v>
      </c>
      <c r="L2521" s="7"/>
      <c r="M2521" s="16" t="s">
        <v>2804</v>
      </c>
    </row>
    <row r="2522" spans="1:13" x14ac:dyDescent="0.25">
      <c r="A2522" s="22">
        <f t="shared" si="39"/>
        <v>2521</v>
      </c>
      <c r="B2522" s="6" t="s">
        <v>5960</v>
      </c>
      <c r="C2522" s="6" t="s">
        <v>6765</v>
      </c>
      <c r="D2522" s="6" t="s">
        <v>2857</v>
      </c>
      <c r="E2522" s="6" t="s">
        <v>2858</v>
      </c>
      <c r="F2522" s="6"/>
      <c r="G2522" s="6" t="s">
        <v>63</v>
      </c>
      <c r="H2522" s="6" t="str">
        <f>IFERROR(VLOOKUP(Table2[[#This Row],[Ticket]],Okey!A:B,2,0),"")</f>
        <v>ok</v>
      </c>
      <c r="I2522" s="6" t="s">
        <v>3679</v>
      </c>
      <c r="J2522" s="6" t="str">
        <f>VLOOKUP(Table2[[#This Row],[Author]],People!A:B,2,0)</f>
        <v>LS</v>
      </c>
      <c r="K2522" s="6" t="s">
        <v>5965</v>
      </c>
      <c r="L2522" s="6"/>
      <c r="M2522" s="21" t="s">
        <v>2804</v>
      </c>
    </row>
    <row r="2523" spans="1:13" x14ac:dyDescent="0.25">
      <c r="A2523" s="23">
        <f t="shared" si="39"/>
        <v>2522</v>
      </c>
      <c r="B2523" s="7" t="s">
        <v>5960</v>
      </c>
      <c r="C2523" s="7" t="s">
        <v>6765</v>
      </c>
      <c r="D2523" s="7" t="s">
        <v>2859</v>
      </c>
      <c r="E2523" s="7" t="s">
        <v>2860</v>
      </c>
      <c r="F2523" s="7"/>
      <c r="G2523" s="7" t="s">
        <v>63</v>
      </c>
      <c r="H2523" s="7" t="str">
        <f>IFERROR(VLOOKUP(Table2[[#This Row],[Ticket]],Okey!A:B,2,0),"")</f>
        <v>ok</v>
      </c>
      <c r="I2523" s="7" t="s">
        <v>3679</v>
      </c>
      <c r="J2523" s="7" t="str">
        <f>VLOOKUP(Table2[[#This Row],[Author]],People!A:B,2,0)</f>
        <v>LS</v>
      </c>
      <c r="K2523" s="7" t="s">
        <v>5965</v>
      </c>
      <c r="L2523" s="7"/>
      <c r="M2523" s="16" t="s">
        <v>2804</v>
      </c>
    </row>
    <row r="2524" spans="1:13" x14ac:dyDescent="0.25">
      <c r="A2524" s="22">
        <f t="shared" si="39"/>
        <v>2523</v>
      </c>
      <c r="B2524" s="6" t="s">
        <v>5960</v>
      </c>
      <c r="C2524" s="6" t="s">
        <v>6765</v>
      </c>
      <c r="D2524" s="6" t="s">
        <v>2861</v>
      </c>
      <c r="E2524" s="6" t="s">
        <v>2862</v>
      </c>
      <c r="F2524" s="6"/>
      <c r="G2524" s="6" t="s">
        <v>63</v>
      </c>
      <c r="H2524" s="6" t="str">
        <f>IFERROR(VLOOKUP(Table2[[#This Row],[Ticket]],Okey!A:B,2,0),"")</f>
        <v>ok</v>
      </c>
      <c r="I2524" s="6" t="s">
        <v>3679</v>
      </c>
      <c r="J2524" s="6" t="str">
        <f>VLOOKUP(Table2[[#This Row],[Author]],People!A:B,2,0)</f>
        <v>LS</v>
      </c>
      <c r="K2524" s="6" t="s">
        <v>5965</v>
      </c>
      <c r="L2524" s="6"/>
      <c r="M2524" s="21" t="s">
        <v>2804</v>
      </c>
    </row>
    <row r="2525" spans="1:13" x14ac:dyDescent="0.25">
      <c r="A2525" s="23">
        <f t="shared" si="39"/>
        <v>2524</v>
      </c>
      <c r="B2525" s="7" t="s">
        <v>5960</v>
      </c>
      <c r="C2525" s="7" t="s">
        <v>6765</v>
      </c>
      <c r="D2525" s="7" t="s">
        <v>2863</v>
      </c>
      <c r="E2525" s="7" t="s">
        <v>2864</v>
      </c>
      <c r="F2525" s="7"/>
      <c r="G2525" s="7" t="s">
        <v>63</v>
      </c>
      <c r="H2525" s="7" t="str">
        <f>IFERROR(VLOOKUP(Table2[[#This Row],[Ticket]],Okey!A:B,2,0),"")</f>
        <v>ok</v>
      </c>
      <c r="I2525" s="7" t="s">
        <v>3679</v>
      </c>
      <c r="J2525" s="7" t="str">
        <f>VLOOKUP(Table2[[#This Row],[Author]],People!A:B,2,0)</f>
        <v>LS</v>
      </c>
      <c r="K2525" s="7" t="s">
        <v>5965</v>
      </c>
      <c r="L2525" s="7"/>
      <c r="M2525" s="16" t="s">
        <v>2804</v>
      </c>
    </row>
    <row r="2526" spans="1:13" x14ac:dyDescent="0.25">
      <c r="A2526" s="22">
        <f t="shared" si="39"/>
        <v>2525</v>
      </c>
      <c r="B2526" s="6" t="s">
        <v>5960</v>
      </c>
      <c r="C2526" s="6" t="s">
        <v>6765</v>
      </c>
      <c r="D2526" s="6" t="s">
        <v>2865</v>
      </c>
      <c r="E2526" s="6" t="s">
        <v>2866</v>
      </c>
      <c r="F2526" s="6"/>
      <c r="G2526" s="6" t="s">
        <v>63</v>
      </c>
      <c r="H2526" s="6" t="str">
        <f>IFERROR(VLOOKUP(Table2[[#This Row],[Ticket]],Okey!A:B,2,0),"")</f>
        <v>ok</v>
      </c>
      <c r="I2526" s="6" t="s">
        <v>3679</v>
      </c>
      <c r="J2526" s="6" t="str">
        <f>VLOOKUP(Table2[[#This Row],[Author]],People!A:B,2,0)</f>
        <v>LS</v>
      </c>
      <c r="K2526" s="6" t="s">
        <v>5965</v>
      </c>
      <c r="L2526" s="6"/>
      <c r="M2526" s="21" t="s">
        <v>2804</v>
      </c>
    </row>
    <row r="2527" spans="1:13" x14ac:dyDescent="0.25">
      <c r="A2527" s="23">
        <f t="shared" si="39"/>
        <v>2526</v>
      </c>
      <c r="B2527" s="7" t="s">
        <v>5960</v>
      </c>
      <c r="C2527" s="7" t="s">
        <v>6765</v>
      </c>
      <c r="D2527" s="7" t="s">
        <v>2867</v>
      </c>
      <c r="E2527" s="7" t="s">
        <v>2868</v>
      </c>
      <c r="F2527" s="7"/>
      <c r="G2527" s="7" t="s">
        <v>63</v>
      </c>
      <c r="H2527" s="7" t="str">
        <f>IFERROR(VLOOKUP(Table2[[#This Row],[Ticket]],Okey!A:B,2,0),"")</f>
        <v>ok</v>
      </c>
      <c r="I2527" s="7" t="s">
        <v>3679</v>
      </c>
      <c r="J2527" s="7" t="str">
        <f>VLOOKUP(Table2[[#This Row],[Author]],People!A:B,2,0)</f>
        <v>LS</v>
      </c>
      <c r="K2527" s="7" t="s">
        <v>5965</v>
      </c>
      <c r="L2527" s="7"/>
      <c r="M2527" s="16" t="s">
        <v>2804</v>
      </c>
    </row>
    <row r="2528" spans="1:13" x14ac:dyDescent="0.25">
      <c r="A2528" s="22">
        <f t="shared" si="39"/>
        <v>2527</v>
      </c>
      <c r="B2528" s="6" t="s">
        <v>5960</v>
      </c>
      <c r="C2528" s="6" t="s">
        <v>6765</v>
      </c>
      <c r="D2528" s="6" t="s">
        <v>2869</v>
      </c>
      <c r="E2528" s="6" t="s">
        <v>2870</v>
      </c>
      <c r="F2528" s="6"/>
      <c r="G2528" s="6" t="s">
        <v>63</v>
      </c>
      <c r="H2528" s="6" t="str">
        <f>IFERROR(VLOOKUP(Table2[[#This Row],[Ticket]],Okey!A:B,2,0),"")</f>
        <v>ok</v>
      </c>
      <c r="I2528" s="6" t="s">
        <v>3679</v>
      </c>
      <c r="J2528" s="6" t="str">
        <f>VLOOKUP(Table2[[#This Row],[Author]],People!A:B,2,0)</f>
        <v>LS</v>
      </c>
      <c r="K2528" s="6" t="s">
        <v>5965</v>
      </c>
      <c r="L2528" s="6"/>
      <c r="M2528" s="21" t="s">
        <v>2804</v>
      </c>
    </row>
    <row r="2529" spans="1:13" x14ac:dyDescent="0.25">
      <c r="A2529" s="23">
        <f t="shared" si="39"/>
        <v>2528</v>
      </c>
      <c r="B2529" s="7" t="s">
        <v>5960</v>
      </c>
      <c r="C2529" s="7" t="s">
        <v>6765</v>
      </c>
      <c r="D2529" s="7" t="s">
        <v>2871</v>
      </c>
      <c r="E2529" s="7" t="s">
        <v>2872</v>
      </c>
      <c r="F2529" s="7"/>
      <c r="G2529" s="7" t="s">
        <v>63</v>
      </c>
      <c r="H2529" s="7" t="str">
        <f>IFERROR(VLOOKUP(Table2[[#This Row],[Ticket]],Okey!A:B,2,0),"")</f>
        <v>ok</v>
      </c>
      <c r="I2529" s="7" t="s">
        <v>3679</v>
      </c>
      <c r="J2529" s="7" t="str">
        <f>VLOOKUP(Table2[[#This Row],[Author]],People!A:B,2,0)</f>
        <v>LS</v>
      </c>
      <c r="K2529" s="7" t="s">
        <v>5965</v>
      </c>
      <c r="L2529" s="7"/>
      <c r="M2529" s="16" t="s">
        <v>2804</v>
      </c>
    </row>
    <row r="2530" spans="1:13" x14ac:dyDescent="0.25">
      <c r="A2530" s="22">
        <f t="shared" si="39"/>
        <v>2529</v>
      </c>
      <c r="B2530" s="6" t="s">
        <v>5960</v>
      </c>
      <c r="C2530" s="6" t="s">
        <v>6765</v>
      </c>
      <c r="D2530" s="6" t="s">
        <v>2889</v>
      </c>
      <c r="E2530" s="6" t="s">
        <v>2890</v>
      </c>
      <c r="F2530" s="6"/>
      <c r="G2530" s="6" t="s">
        <v>63</v>
      </c>
      <c r="H2530" s="6" t="str">
        <f>IFERROR(VLOOKUP(Table2[[#This Row],[Ticket]],Okey!A:B,2,0),"")</f>
        <v>ok</v>
      </c>
      <c r="I2530" s="6" t="s">
        <v>3679</v>
      </c>
      <c r="J2530" s="6" t="str">
        <f>VLOOKUP(Table2[[#This Row],[Author]],People!A:B,2,0)</f>
        <v>LS</v>
      </c>
      <c r="K2530" s="6" t="s">
        <v>5965</v>
      </c>
      <c r="L2530" s="6"/>
      <c r="M2530" s="21" t="s">
        <v>2804</v>
      </c>
    </row>
    <row r="2531" spans="1:13" x14ac:dyDescent="0.25">
      <c r="A2531" s="23">
        <f t="shared" ref="A2531:A2594" si="40">1+A2530</f>
        <v>2530</v>
      </c>
      <c r="B2531" s="7" t="s">
        <v>5960</v>
      </c>
      <c r="C2531" s="7" t="s">
        <v>6765</v>
      </c>
      <c r="D2531" s="7" t="s">
        <v>2891</v>
      </c>
      <c r="E2531" s="7" t="s">
        <v>2892</v>
      </c>
      <c r="F2531" s="7"/>
      <c r="G2531" s="7" t="s">
        <v>63</v>
      </c>
      <c r="H2531" s="7" t="str">
        <f>IFERROR(VLOOKUP(Table2[[#This Row],[Ticket]],Okey!A:B,2,0),"")</f>
        <v>ok</v>
      </c>
      <c r="I2531" s="7" t="s">
        <v>3679</v>
      </c>
      <c r="J2531" s="7" t="str">
        <f>VLOOKUP(Table2[[#This Row],[Author]],People!A:B,2,0)</f>
        <v>LS</v>
      </c>
      <c r="K2531" s="7" t="s">
        <v>5965</v>
      </c>
      <c r="L2531" s="7"/>
      <c r="M2531" s="16" t="s">
        <v>2804</v>
      </c>
    </row>
    <row r="2532" spans="1:13" x14ac:dyDescent="0.25">
      <c r="A2532" s="22">
        <f t="shared" si="40"/>
        <v>2531</v>
      </c>
      <c r="B2532" s="6" t="s">
        <v>5960</v>
      </c>
      <c r="C2532" s="6" t="s">
        <v>6765</v>
      </c>
      <c r="D2532" s="6" t="s">
        <v>2922</v>
      </c>
      <c r="E2532" s="6" t="s">
        <v>2923</v>
      </c>
      <c r="F2532" s="6"/>
      <c r="G2532" s="6" t="s">
        <v>63</v>
      </c>
      <c r="H2532" s="6" t="str">
        <f>IFERROR(VLOOKUP(Table2[[#This Row],[Ticket]],Okey!A:B,2,0),"")</f>
        <v>ok</v>
      </c>
      <c r="I2532" s="6" t="s">
        <v>3679</v>
      </c>
      <c r="J2532" s="6" t="str">
        <f>VLOOKUP(Table2[[#This Row],[Author]],People!A:B,2,0)</f>
        <v>LS</v>
      </c>
      <c r="K2532" s="6" t="s">
        <v>5965</v>
      </c>
      <c r="L2532" s="6"/>
      <c r="M2532" s="21" t="s">
        <v>2804</v>
      </c>
    </row>
    <row r="2533" spans="1:13" x14ac:dyDescent="0.25">
      <c r="A2533" s="23">
        <f t="shared" si="40"/>
        <v>2532</v>
      </c>
      <c r="B2533" s="7" t="s">
        <v>5960</v>
      </c>
      <c r="C2533" s="7" t="s">
        <v>6765</v>
      </c>
      <c r="D2533" s="7" t="s">
        <v>2927</v>
      </c>
      <c r="E2533" s="7" t="s">
        <v>2928</v>
      </c>
      <c r="F2533" s="7"/>
      <c r="G2533" s="7" t="s">
        <v>63</v>
      </c>
      <c r="H2533" s="7" t="str">
        <f>IFERROR(VLOOKUP(Table2[[#This Row],[Ticket]],Okey!A:B,2,0),"")</f>
        <v>ok</v>
      </c>
      <c r="I2533" s="7" t="s">
        <v>3679</v>
      </c>
      <c r="J2533" s="7" t="str">
        <f>VLOOKUP(Table2[[#This Row],[Author]],People!A:B,2,0)</f>
        <v>LS</v>
      </c>
      <c r="K2533" s="7" t="s">
        <v>5965</v>
      </c>
      <c r="L2533" s="7"/>
      <c r="M2533" s="16" t="s">
        <v>2804</v>
      </c>
    </row>
    <row r="2534" spans="1:13" x14ac:dyDescent="0.25">
      <c r="A2534" s="22">
        <f t="shared" si="40"/>
        <v>2533</v>
      </c>
      <c r="B2534" s="6" t="s">
        <v>5960</v>
      </c>
      <c r="C2534" s="6" t="s">
        <v>6765</v>
      </c>
      <c r="D2534" s="6" t="s">
        <v>2929</v>
      </c>
      <c r="E2534" s="6" t="s">
        <v>2930</v>
      </c>
      <c r="F2534" s="6"/>
      <c r="G2534" s="6" t="s">
        <v>63</v>
      </c>
      <c r="H2534" s="6" t="str">
        <f>IFERROR(VLOOKUP(Table2[[#This Row],[Ticket]],Okey!A:B,2,0),"")</f>
        <v>ok</v>
      </c>
      <c r="I2534" s="6" t="s">
        <v>3679</v>
      </c>
      <c r="J2534" s="6" t="str">
        <f>VLOOKUP(Table2[[#This Row],[Author]],People!A:B,2,0)</f>
        <v>LS</v>
      </c>
      <c r="K2534" s="6" t="s">
        <v>5965</v>
      </c>
      <c r="L2534" s="6"/>
      <c r="M2534" s="21" t="s">
        <v>2804</v>
      </c>
    </row>
    <row r="2535" spans="1:13" x14ac:dyDescent="0.25">
      <c r="A2535" s="23">
        <f t="shared" si="40"/>
        <v>2534</v>
      </c>
      <c r="B2535" s="7" t="s">
        <v>5960</v>
      </c>
      <c r="C2535" s="7" t="s">
        <v>6765</v>
      </c>
      <c r="D2535" s="7" t="s">
        <v>2931</v>
      </c>
      <c r="E2535" s="7" t="s">
        <v>2932</v>
      </c>
      <c r="F2535" s="7"/>
      <c r="G2535" s="7" t="s">
        <v>63</v>
      </c>
      <c r="H2535" s="7" t="str">
        <f>IFERROR(VLOOKUP(Table2[[#This Row],[Ticket]],Okey!A:B,2,0),"")</f>
        <v>ok</v>
      </c>
      <c r="I2535" s="7" t="s">
        <v>3679</v>
      </c>
      <c r="J2535" s="7" t="str">
        <f>VLOOKUP(Table2[[#This Row],[Author]],People!A:B,2,0)</f>
        <v>LS</v>
      </c>
      <c r="K2535" s="7" t="s">
        <v>5965</v>
      </c>
      <c r="L2535" s="7"/>
      <c r="M2535" s="16" t="s">
        <v>2804</v>
      </c>
    </row>
    <row r="2536" spans="1:13" x14ac:dyDescent="0.25">
      <c r="A2536" s="22">
        <f t="shared" si="40"/>
        <v>2535</v>
      </c>
      <c r="B2536" s="6" t="s">
        <v>5960</v>
      </c>
      <c r="C2536" s="6" t="s">
        <v>6765</v>
      </c>
      <c r="D2536" s="6" t="s">
        <v>2933</v>
      </c>
      <c r="E2536" s="6" t="s">
        <v>2934</v>
      </c>
      <c r="F2536" s="6"/>
      <c r="G2536" s="6" t="s">
        <v>63</v>
      </c>
      <c r="H2536" s="6" t="str">
        <f>IFERROR(VLOOKUP(Table2[[#This Row],[Ticket]],Okey!A:B,2,0),"")</f>
        <v>ok</v>
      </c>
      <c r="I2536" s="6" t="s">
        <v>3679</v>
      </c>
      <c r="J2536" s="6" t="str">
        <f>VLOOKUP(Table2[[#This Row],[Author]],People!A:B,2,0)</f>
        <v>LS</v>
      </c>
      <c r="K2536" s="6" t="s">
        <v>5965</v>
      </c>
      <c r="L2536" s="6"/>
      <c r="M2536" s="21" t="s">
        <v>2804</v>
      </c>
    </row>
    <row r="2537" spans="1:13" x14ac:dyDescent="0.25">
      <c r="A2537" s="23">
        <f t="shared" si="40"/>
        <v>2536</v>
      </c>
      <c r="B2537" s="7" t="s">
        <v>5960</v>
      </c>
      <c r="C2537" s="7" t="s">
        <v>6765</v>
      </c>
      <c r="D2537" s="7" t="s">
        <v>2935</v>
      </c>
      <c r="E2537" s="7" t="s">
        <v>2936</v>
      </c>
      <c r="F2537" s="7"/>
      <c r="G2537" s="7" t="s">
        <v>63</v>
      </c>
      <c r="H2537" s="7" t="str">
        <f>IFERROR(VLOOKUP(Table2[[#This Row],[Ticket]],Okey!A:B,2,0),"")</f>
        <v>ok</v>
      </c>
      <c r="I2537" s="7" t="s">
        <v>3679</v>
      </c>
      <c r="J2537" s="7" t="str">
        <f>VLOOKUP(Table2[[#This Row],[Author]],People!A:B,2,0)</f>
        <v>LS</v>
      </c>
      <c r="K2537" s="7" t="s">
        <v>5965</v>
      </c>
      <c r="L2537" s="7"/>
      <c r="M2537" s="16" t="s">
        <v>2804</v>
      </c>
    </row>
    <row r="2538" spans="1:13" x14ac:dyDescent="0.25">
      <c r="A2538" s="22">
        <f t="shared" si="40"/>
        <v>2537</v>
      </c>
      <c r="B2538" s="6" t="s">
        <v>5960</v>
      </c>
      <c r="C2538" s="6" t="s">
        <v>6765</v>
      </c>
      <c r="D2538" s="6" t="s">
        <v>2937</v>
      </c>
      <c r="E2538" s="6" t="s">
        <v>2938</v>
      </c>
      <c r="F2538" s="6"/>
      <c r="G2538" s="6" t="s">
        <v>63</v>
      </c>
      <c r="H2538" s="6" t="str">
        <f>IFERROR(VLOOKUP(Table2[[#This Row],[Ticket]],Okey!A:B,2,0),"")</f>
        <v>ok</v>
      </c>
      <c r="I2538" s="6" t="s">
        <v>3679</v>
      </c>
      <c r="J2538" s="6" t="str">
        <f>VLOOKUP(Table2[[#This Row],[Author]],People!A:B,2,0)</f>
        <v>LS</v>
      </c>
      <c r="K2538" s="6" t="s">
        <v>5965</v>
      </c>
      <c r="L2538" s="6"/>
      <c r="M2538" s="21" t="s">
        <v>2804</v>
      </c>
    </row>
    <row r="2539" spans="1:13" x14ac:dyDescent="0.25">
      <c r="A2539" s="23">
        <f t="shared" si="40"/>
        <v>2538</v>
      </c>
      <c r="B2539" s="7" t="s">
        <v>5960</v>
      </c>
      <c r="C2539" s="7" t="s">
        <v>6765</v>
      </c>
      <c r="D2539" s="7" t="s">
        <v>2939</v>
      </c>
      <c r="E2539" s="7" t="s">
        <v>2940</v>
      </c>
      <c r="F2539" s="7"/>
      <c r="G2539" s="7" t="s">
        <v>63</v>
      </c>
      <c r="H2539" s="7" t="str">
        <f>IFERROR(VLOOKUP(Table2[[#This Row],[Ticket]],Okey!A:B,2,0),"")</f>
        <v>ok</v>
      </c>
      <c r="I2539" s="7" t="s">
        <v>3679</v>
      </c>
      <c r="J2539" s="7" t="str">
        <f>VLOOKUP(Table2[[#This Row],[Author]],People!A:B,2,0)</f>
        <v>LS</v>
      </c>
      <c r="K2539" s="7" t="s">
        <v>5965</v>
      </c>
      <c r="L2539" s="7"/>
      <c r="M2539" s="16" t="s">
        <v>2804</v>
      </c>
    </row>
    <row r="2540" spans="1:13" x14ac:dyDescent="0.25">
      <c r="A2540" s="22">
        <f t="shared" si="40"/>
        <v>2539</v>
      </c>
      <c r="B2540" s="6" t="s">
        <v>5960</v>
      </c>
      <c r="C2540" s="6" t="s">
        <v>6765</v>
      </c>
      <c r="D2540" s="6" t="s">
        <v>2941</v>
      </c>
      <c r="E2540" s="6" t="s">
        <v>2942</v>
      </c>
      <c r="F2540" s="6"/>
      <c r="G2540" s="6" t="s">
        <v>63</v>
      </c>
      <c r="H2540" s="6" t="str">
        <f>IFERROR(VLOOKUP(Table2[[#This Row],[Ticket]],Okey!A:B,2,0),"")</f>
        <v>ok</v>
      </c>
      <c r="I2540" s="6" t="s">
        <v>3679</v>
      </c>
      <c r="J2540" s="6" t="str">
        <f>VLOOKUP(Table2[[#This Row],[Author]],People!A:B,2,0)</f>
        <v>LS</v>
      </c>
      <c r="K2540" s="6" t="s">
        <v>5965</v>
      </c>
      <c r="L2540" s="6"/>
      <c r="M2540" s="21" t="s">
        <v>2804</v>
      </c>
    </row>
    <row r="2541" spans="1:13" x14ac:dyDescent="0.25">
      <c r="A2541" s="23">
        <f t="shared" si="40"/>
        <v>2540</v>
      </c>
      <c r="B2541" s="7" t="s">
        <v>5960</v>
      </c>
      <c r="C2541" s="7" t="s">
        <v>6765</v>
      </c>
      <c r="D2541" s="7" t="s">
        <v>2943</v>
      </c>
      <c r="E2541" s="7" t="s">
        <v>2944</v>
      </c>
      <c r="F2541" s="7"/>
      <c r="G2541" s="7" t="s">
        <v>63</v>
      </c>
      <c r="H2541" s="7" t="str">
        <f>IFERROR(VLOOKUP(Table2[[#This Row],[Ticket]],Okey!A:B,2,0),"")</f>
        <v>ok</v>
      </c>
      <c r="I2541" s="7" t="s">
        <v>3679</v>
      </c>
      <c r="J2541" s="7" t="str">
        <f>VLOOKUP(Table2[[#This Row],[Author]],People!A:B,2,0)</f>
        <v>LS</v>
      </c>
      <c r="K2541" s="7" t="s">
        <v>5965</v>
      </c>
      <c r="L2541" s="7"/>
      <c r="M2541" s="16" t="s">
        <v>2804</v>
      </c>
    </row>
    <row r="2542" spans="1:13" x14ac:dyDescent="0.25">
      <c r="A2542" s="22">
        <f t="shared" si="40"/>
        <v>2541</v>
      </c>
      <c r="B2542" s="6" t="s">
        <v>5960</v>
      </c>
      <c r="C2542" s="6" t="s">
        <v>6765</v>
      </c>
      <c r="D2542" s="6" t="s">
        <v>2945</v>
      </c>
      <c r="E2542" s="6" t="s">
        <v>2946</v>
      </c>
      <c r="F2542" s="6"/>
      <c r="G2542" s="6" t="s">
        <v>63</v>
      </c>
      <c r="H2542" s="6" t="str">
        <f>IFERROR(VLOOKUP(Table2[[#This Row],[Ticket]],Okey!A:B,2,0),"")</f>
        <v>ok</v>
      </c>
      <c r="I2542" s="6" t="s">
        <v>3679</v>
      </c>
      <c r="J2542" s="6" t="str">
        <f>VLOOKUP(Table2[[#This Row],[Author]],People!A:B,2,0)</f>
        <v>LS</v>
      </c>
      <c r="K2542" s="6" t="s">
        <v>5965</v>
      </c>
      <c r="L2542" s="6"/>
      <c r="M2542" s="21" t="s">
        <v>2804</v>
      </c>
    </row>
    <row r="2543" spans="1:13" x14ac:dyDescent="0.25">
      <c r="A2543" s="23">
        <f t="shared" si="40"/>
        <v>2542</v>
      </c>
      <c r="B2543" s="7" t="s">
        <v>5960</v>
      </c>
      <c r="C2543" s="7" t="s">
        <v>6765</v>
      </c>
      <c r="D2543" s="7" t="s">
        <v>2947</v>
      </c>
      <c r="E2543" s="7" t="s">
        <v>2948</v>
      </c>
      <c r="F2543" s="7"/>
      <c r="G2543" s="7" t="s">
        <v>63</v>
      </c>
      <c r="H2543" s="7" t="str">
        <f>IFERROR(VLOOKUP(Table2[[#This Row],[Ticket]],Okey!A:B,2,0),"")</f>
        <v>ok</v>
      </c>
      <c r="I2543" s="7" t="s">
        <v>3679</v>
      </c>
      <c r="J2543" s="7" t="str">
        <f>VLOOKUP(Table2[[#This Row],[Author]],People!A:B,2,0)</f>
        <v>LS</v>
      </c>
      <c r="K2543" s="7" t="s">
        <v>5965</v>
      </c>
      <c r="L2543" s="7"/>
      <c r="M2543" s="16" t="s">
        <v>2804</v>
      </c>
    </row>
    <row r="2544" spans="1:13" x14ac:dyDescent="0.25">
      <c r="A2544" s="22">
        <f t="shared" si="40"/>
        <v>2543</v>
      </c>
      <c r="B2544" s="6" t="s">
        <v>5960</v>
      </c>
      <c r="C2544" s="6" t="s">
        <v>6765</v>
      </c>
      <c r="D2544" s="6" t="s">
        <v>2974</v>
      </c>
      <c r="E2544" s="6" t="s">
        <v>2975</v>
      </c>
      <c r="F2544" s="6"/>
      <c r="G2544" s="6" t="s">
        <v>63</v>
      </c>
      <c r="H2544" s="6" t="str">
        <f>IFERROR(VLOOKUP(Table2[[#This Row],[Ticket]],Okey!A:B,2,0),"")</f>
        <v>ok</v>
      </c>
      <c r="I2544" s="6" t="s">
        <v>3679</v>
      </c>
      <c r="J2544" s="6" t="str">
        <f>VLOOKUP(Table2[[#This Row],[Author]],People!A:B,2,0)</f>
        <v>LS</v>
      </c>
      <c r="K2544" s="6" t="s">
        <v>5965</v>
      </c>
      <c r="L2544" s="6"/>
      <c r="M2544" s="21" t="s">
        <v>2804</v>
      </c>
    </row>
    <row r="2545" spans="1:13" x14ac:dyDescent="0.25">
      <c r="A2545" s="23">
        <f t="shared" si="40"/>
        <v>2544</v>
      </c>
      <c r="B2545" s="7" t="s">
        <v>5960</v>
      </c>
      <c r="C2545" s="7" t="s">
        <v>6765</v>
      </c>
      <c r="D2545" s="7" t="s">
        <v>3001</v>
      </c>
      <c r="E2545" s="7" t="s">
        <v>3002</v>
      </c>
      <c r="F2545" s="7"/>
      <c r="G2545" s="7" t="s">
        <v>63</v>
      </c>
      <c r="H2545" s="7" t="str">
        <f>IFERROR(VLOOKUP(Table2[[#This Row],[Ticket]],Okey!A:B,2,0),"")</f>
        <v>ok</v>
      </c>
      <c r="I2545" s="7" t="s">
        <v>3679</v>
      </c>
      <c r="J2545" s="7" t="str">
        <f>VLOOKUP(Table2[[#This Row],[Author]],People!A:B,2,0)</f>
        <v>LS</v>
      </c>
      <c r="K2545" s="7" t="s">
        <v>5965</v>
      </c>
      <c r="L2545" s="7"/>
      <c r="M2545" s="16" t="s">
        <v>2804</v>
      </c>
    </row>
    <row r="2546" spans="1:13" x14ac:dyDescent="0.25">
      <c r="A2546" s="22">
        <f t="shared" si="40"/>
        <v>2545</v>
      </c>
      <c r="B2546" s="6" t="s">
        <v>5960</v>
      </c>
      <c r="C2546" s="6" t="s">
        <v>6765</v>
      </c>
      <c r="D2546" s="6" t="s">
        <v>3028</v>
      </c>
      <c r="E2546" s="6" t="s">
        <v>3029</v>
      </c>
      <c r="F2546" s="6"/>
      <c r="G2546" s="6" t="s">
        <v>63</v>
      </c>
      <c r="H2546" s="6" t="str">
        <f>IFERROR(VLOOKUP(Table2[[#This Row],[Ticket]],Okey!A:B,2,0),"")</f>
        <v>ok</v>
      </c>
      <c r="I2546" s="6" t="s">
        <v>3679</v>
      </c>
      <c r="J2546" s="6" t="str">
        <f>VLOOKUP(Table2[[#This Row],[Author]],People!A:B,2,0)</f>
        <v>LS</v>
      </c>
      <c r="K2546" s="6" t="s">
        <v>5965</v>
      </c>
      <c r="L2546" s="6"/>
      <c r="M2546" s="21" t="s">
        <v>2804</v>
      </c>
    </row>
    <row r="2547" spans="1:13" x14ac:dyDescent="0.25">
      <c r="A2547" s="23">
        <f t="shared" si="40"/>
        <v>2546</v>
      </c>
      <c r="B2547" s="7" t="s">
        <v>5960</v>
      </c>
      <c r="C2547" s="7" t="s">
        <v>6765</v>
      </c>
      <c r="D2547" s="7" t="s">
        <v>6826</v>
      </c>
      <c r="E2547" s="7" t="s">
        <v>6827</v>
      </c>
      <c r="F2547" s="7"/>
      <c r="G2547" s="7" t="s">
        <v>63</v>
      </c>
      <c r="H2547" s="7" t="str">
        <f>IFERROR(VLOOKUP(Table2[[#This Row],[Ticket]],Okey!A:B,2,0),"")</f>
        <v>ok</v>
      </c>
      <c r="I2547" s="7" t="s">
        <v>3679</v>
      </c>
      <c r="J2547" s="7" t="str">
        <f>VLOOKUP(Table2[[#This Row],[Author]],People!A:B,2,0)</f>
        <v>LS</v>
      </c>
      <c r="K2547" s="7" t="s">
        <v>5965</v>
      </c>
      <c r="L2547" s="7"/>
      <c r="M2547" s="16" t="s">
        <v>2804</v>
      </c>
    </row>
    <row r="2548" spans="1:13" x14ac:dyDescent="0.25">
      <c r="A2548" s="22">
        <f t="shared" si="40"/>
        <v>2547</v>
      </c>
      <c r="B2548" s="6" t="s">
        <v>5960</v>
      </c>
      <c r="C2548" s="6" t="s">
        <v>6765</v>
      </c>
      <c r="D2548" s="6" t="s">
        <v>6828</v>
      </c>
      <c r="E2548" s="6" t="s">
        <v>6829</v>
      </c>
      <c r="F2548" s="6"/>
      <c r="G2548" s="6" t="s">
        <v>63</v>
      </c>
      <c r="H2548" s="6" t="str">
        <f>IFERROR(VLOOKUP(Table2[[#This Row],[Ticket]],Okey!A:B,2,0),"")</f>
        <v>ok</v>
      </c>
      <c r="I2548" s="6" t="s">
        <v>3679</v>
      </c>
      <c r="J2548" s="6" t="str">
        <f>VLOOKUP(Table2[[#This Row],[Author]],People!A:B,2,0)</f>
        <v>LS</v>
      </c>
      <c r="K2548" s="6" t="s">
        <v>5965</v>
      </c>
      <c r="L2548" s="6"/>
      <c r="M2548" s="21" t="s">
        <v>2804</v>
      </c>
    </row>
    <row r="2549" spans="1:13" x14ac:dyDescent="0.25">
      <c r="A2549" s="23">
        <f t="shared" si="40"/>
        <v>2548</v>
      </c>
      <c r="B2549" s="7" t="s">
        <v>5960</v>
      </c>
      <c r="C2549" s="7" t="s">
        <v>6765</v>
      </c>
      <c r="D2549" s="7" t="s">
        <v>6830</v>
      </c>
      <c r="E2549" s="7" t="s">
        <v>6831</v>
      </c>
      <c r="F2549" s="7"/>
      <c r="G2549" s="7" t="s">
        <v>63</v>
      </c>
      <c r="H2549" s="7" t="str">
        <f>IFERROR(VLOOKUP(Table2[[#This Row],[Ticket]],Okey!A:B,2,0),"")</f>
        <v>ok</v>
      </c>
      <c r="I2549" s="7" t="s">
        <v>3679</v>
      </c>
      <c r="J2549" s="7" t="str">
        <f>VLOOKUP(Table2[[#This Row],[Author]],People!A:B,2,0)</f>
        <v>LS</v>
      </c>
      <c r="K2549" s="7" t="s">
        <v>5965</v>
      </c>
      <c r="L2549" s="7"/>
      <c r="M2549" s="16" t="s">
        <v>2804</v>
      </c>
    </row>
    <row r="2550" spans="1:13" x14ac:dyDescent="0.25">
      <c r="A2550" s="22">
        <f t="shared" si="40"/>
        <v>2549</v>
      </c>
      <c r="B2550" s="6" t="s">
        <v>5960</v>
      </c>
      <c r="C2550" s="6" t="s">
        <v>6765</v>
      </c>
      <c r="D2550" s="6" t="s">
        <v>2291</v>
      </c>
      <c r="E2550" s="6" t="s">
        <v>6832</v>
      </c>
      <c r="F2550" s="6"/>
      <c r="G2550" s="6" t="s">
        <v>63</v>
      </c>
      <c r="H2550" s="6" t="str">
        <f>IFERROR(VLOOKUP(Table2[[#This Row],[Ticket]],Okey!A:B,2,0),"")</f>
        <v>ok</v>
      </c>
      <c r="I2550" s="6" t="s">
        <v>3679</v>
      </c>
      <c r="J2550" s="6" t="str">
        <f>VLOOKUP(Table2[[#This Row],[Author]],People!A:B,2,0)</f>
        <v>LS</v>
      </c>
      <c r="K2550" s="6" t="s">
        <v>5965</v>
      </c>
      <c r="L2550" s="6"/>
      <c r="M2550" s="21" t="s">
        <v>2804</v>
      </c>
    </row>
    <row r="2551" spans="1:13" x14ac:dyDescent="0.25">
      <c r="A2551" s="23">
        <f t="shared" si="40"/>
        <v>2550</v>
      </c>
      <c r="B2551" s="7" t="s">
        <v>5960</v>
      </c>
      <c r="C2551" s="7" t="s">
        <v>6765</v>
      </c>
      <c r="D2551" s="7" t="s">
        <v>6833</v>
      </c>
      <c r="E2551" s="7" t="s">
        <v>6834</v>
      </c>
      <c r="F2551" s="7"/>
      <c r="G2551" s="7" t="s">
        <v>63</v>
      </c>
      <c r="H2551" s="7" t="str">
        <f>IFERROR(VLOOKUP(Table2[[#This Row],[Ticket]],Okey!A:B,2,0),"")</f>
        <v>ok</v>
      </c>
      <c r="I2551" s="7" t="s">
        <v>3679</v>
      </c>
      <c r="J2551" s="7" t="str">
        <f>VLOOKUP(Table2[[#This Row],[Author]],People!A:B,2,0)</f>
        <v>LS</v>
      </c>
      <c r="K2551" s="7" t="s">
        <v>5965</v>
      </c>
      <c r="L2551" s="7"/>
      <c r="M2551" s="16" t="s">
        <v>2804</v>
      </c>
    </row>
    <row r="2552" spans="1:13" x14ac:dyDescent="0.25">
      <c r="A2552" s="22">
        <f t="shared" si="40"/>
        <v>2551</v>
      </c>
      <c r="B2552" s="6" t="s">
        <v>5960</v>
      </c>
      <c r="C2552" s="6" t="s">
        <v>6765</v>
      </c>
      <c r="D2552" s="6" t="s">
        <v>6835</v>
      </c>
      <c r="E2552" s="6" t="s">
        <v>6836</v>
      </c>
      <c r="F2552" s="6"/>
      <c r="G2552" s="6" t="s">
        <v>63</v>
      </c>
      <c r="H2552" s="6" t="str">
        <f>IFERROR(VLOOKUP(Table2[[#This Row],[Ticket]],Okey!A:B,2,0),"")</f>
        <v>ok</v>
      </c>
      <c r="I2552" s="6" t="s">
        <v>3679</v>
      </c>
      <c r="J2552" s="6" t="str">
        <f>VLOOKUP(Table2[[#This Row],[Author]],People!A:B,2,0)</f>
        <v>LS</v>
      </c>
      <c r="K2552" s="6" t="s">
        <v>5965</v>
      </c>
      <c r="L2552" s="6"/>
      <c r="M2552" s="21" t="s">
        <v>2804</v>
      </c>
    </row>
    <row r="2553" spans="1:13" x14ac:dyDescent="0.25">
      <c r="A2553" s="23">
        <f t="shared" si="40"/>
        <v>2552</v>
      </c>
      <c r="B2553" s="7" t="s">
        <v>5960</v>
      </c>
      <c r="C2553" s="7" t="s">
        <v>6765</v>
      </c>
      <c r="D2553" s="7" t="s">
        <v>6837</v>
      </c>
      <c r="E2553" s="7" t="s">
        <v>6838</v>
      </c>
      <c r="F2553" s="7"/>
      <c r="G2553" s="7" t="s">
        <v>63</v>
      </c>
      <c r="H2553" s="7" t="str">
        <f>IFERROR(VLOOKUP(Table2[[#This Row],[Ticket]],Okey!A:B,2,0),"")</f>
        <v>ok</v>
      </c>
      <c r="I2553" s="7" t="s">
        <v>3679</v>
      </c>
      <c r="J2553" s="7" t="str">
        <f>VLOOKUP(Table2[[#This Row],[Author]],People!A:B,2,0)</f>
        <v>LS</v>
      </c>
      <c r="K2553" s="7" t="s">
        <v>5965</v>
      </c>
      <c r="L2553" s="7"/>
      <c r="M2553" s="16" t="s">
        <v>2804</v>
      </c>
    </row>
    <row r="2554" spans="1:13" x14ac:dyDescent="0.25">
      <c r="A2554" s="22">
        <f t="shared" si="40"/>
        <v>2553</v>
      </c>
      <c r="B2554" s="6" t="s">
        <v>5960</v>
      </c>
      <c r="C2554" s="6" t="s">
        <v>6765</v>
      </c>
      <c r="D2554" s="6" t="s">
        <v>6839</v>
      </c>
      <c r="E2554" s="6" t="s">
        <v>6840</v>
      </c>
      <c r="F2554" s="6"/>
      <c r="G2554" s="6" t="s">
        <v>63</v>
      </c>
      <c r="H2554" s="6" t="str">
        <f>IFERROR(VLOOKUP(Table2[[#This Row],[Ticket]],Okey!A:B,2,0),"")</f>
        <v>ok</v>
      </c>
      <c r="I2554" s="6" t="s">
        <v>3679</v>
      </c>
      <c r="J2554" s="6" t="str">
        <f>VLOOKUP(Table2[[#This Row],[Author]],People!A:B,2,0)</f>
        <v>LS</v>
      </c>
      <c r="K2554" s="6" t="s">
        <v>5965</v>
      </c>
      <c r="L2554" s="6"/>
      <c r="M2554" s="21" t="s">
        <v>2804</v>
      </c>
    </row>
    <row r="2555" spans="1:13" x14ac:dyDescent="0.25">
      <c r="A2555" s="23">
        <f t="shared" si="40"/>
        <v>2554</v>
      </c>
      <c r="B2555" s="7" t="s">
        <v>5960</v>
      </c>
      <c r="C2555" s="7" t="s">
        <v>6765</v>
      </c>
      <c r="D2555" s="7" t="s">
        <v>2422</v>
      </c>
      <c r="E2555" s="7" t="s">
        <v>6841</v>
      </c>
      <c r="F2555" s="7"/>
      <c r="G2555" s="7" t="s">
        <v>63</v>
      </c>
      <c r="H2555" s="7" t="str">
        <f>IFERROR(VLOOKUP(Table2[[#This Row],[Ticket]],Okey!A:B,2,0),"")</f>
        <v>ok</v>
      </c>
      <c r="I2555" s="7" t="s">
        <v>3679</v>
      </c>
      <c r="J2555" s="7" t="str">
        <f>VLOOKUP(Table2[[#This Row],[Author]],People!A:B,2,0)</f>
        <v>LS</v>
      </c>
      <c r="K2555" s="7" t="s">
        <v>5965</v>
      </c>
      <c r="L2555" s="7"/>
      <c r="M2555" s="16" t="s">
        <v>2804</v>
      </c>
    </row>
    <row r="2556" spans="1:13" x14ac:dyDescent="0.25">
      <c r="A2556" s="22">
        <f t="shared" si="40"/>
        <v>2555</v>
      </c>
      <c r="B2556" s="6" t="s">
        <v>5960</v>
      </c>
      <c r="C2556" s="6" t="s">
        <v>6765</v>
      </c>
      <c r="D2556" s="6" t="s">
        <v>6842</v>
      </c>
      <c r="E2556" s="6" t="s">
        <v>6843</v>
      </c>
      <c r="F2556" s="6"/>
      <c r="G2556" s="6" t="s">
        <v>63</v>
      </c>
      <c r="H2556" s="6" t="str">
        <f>IFERROR(VLOOKUP(Table2[[#This Row],[Ticket]],Okey!A:B,2,0),"")</f>
        <v>ok</v>
      </c>
      <c r="I2556" s="6" t="s">
        <v>3679</v>
      </c>
      <c r="J2556" s="6" t="str">
        <f>VLOOKUP(Table2[[#This Row],[Author]],People!A:B,2,0)</f>
        <v>LS</v>
      </c>
      <c r="K2556" s="6" t="s">
        <v>5965</v>
      </c>
      <c r="L2556" s="6"/>
      <c r="M2556" s="21" t="s">
        <v>2804</v>
      </c>
    </row>
    <row r="2557" spans="1:13" x14ac:dyDescent="0.25">
      <c r="A2557" s="23">
        <f t="shared" si="40"/>
        <v>2556</v>
      </c>
      <c r="B2557" s="7" t="s">
        <v>5960</v>
      </c>
      <c r="C2557" s="7" t="s">
        <v>6765</v>
      </c>
      <c r="D2557" s="7" t="s">
        <v>6844</v>
      </c>
      <c r="E2557" s="7" t="s">
        <v>6845</v>
      </c>
      <c r="F2557" s="7"/>
      <c r="G2557" s="7" t="s">
        <v>63</v>
      </c>
      <c r="H2557" s="7" t="str">
        <f>IFERROR(VLOOKUP(Table2[[#This Row],[Ticket]],Okey!A:B,2,0),"")</f>
        <v>ok</v>
      </c>
      <c r="I2557" s="7" t="s">
        <v>3679</v>
      </c>
      <c r="J2557" s="7" t="str">
        <f>VLOOKUP(Table2[[#This Row],[Author]],People!A:B,2,0)</f>
        <v>LS</v>
      </c>
      <c r="K2557" s="7" t="s">
        <v>5965</v>
      </c>
      <c r="L2557" s="7"/>
      <c r="M2557" s="16" t="s">
        <v>2804</v>
      </c>
    </row>
    <row r="2558" spans="1:13" x14ac:dyDescent="0.25">
      <c r="A2558" s="22">
        <f t="shared" si="40"/>
        <v>2557</v>
      </c>
      <c r="B2558" s="6" t="s">
        <v>5960</v>
      </c>
      <c r="C2558" s="6" t="s">
        <v>6765</v>
      </c>
      <c r="D2558" s="6" t="s">
        <v>5506</v>
      </c>
      <c r="E2558" s="6" t="s">
        <v>6846</v>
      </c>
      <c r="F2558" s="6"/>
      <c r="G2558" s="6" t="s">
        <v>63</v>
      </c>
      <c r="H2558" s="6" t="str">
        <f>IFERROR(VLOOKUP(Table2[[#This Row],[Ticket]],Okey!A:B,2,0),"")</f>
        <v>ok</v>
      </c>
      <c r="I2558" s="6" t="s">
        <v>3679</v>
      </c>
      <c r="J2558" s="6" t="str">
        <f>VLOOKUP(Table2[[#This Row],[Author]],People!A:B,2,0)</f>
        <v>LS</v>
      </c>
      <c r="K2558" s="6" t="s">
        <v>5965</v>
      </c>
      <c r="L2558" s="6"/>
      <c r="M2558" s="21" t="s">
        <v>2804</v>
      </c>
    </row>
    <row r="2559" spans="1:13" x14ac:dyDescent="0.25">
      <c r="A2559" s="23">
        <f t="shared" si="40"/>
        <v>2558</v>
      </c>
      <c r="B2559" s="7" t="s">
        <v>5960</v>
      </c>
      <c r="C2559" s="7" t="s">
        <v>6765</v>
      </c>
      <c r="D2559" s="7" t="s">
        <v>6847</v>
      </c>
      <c r="E2559" s="7" t="s">
        <v>6848</v>
      </c>
      <c r="F2559" s="7"/>
      <c r="G2559" s="7" t="s">
        <v>63</v>
      </c>
      <c r="H2559" s="7" t="str">
        <f>IFERROR(VLOOKUP(Table2[[#This Row],[Ticket]],Okey!A:B,2,0),"")</f>
        <v>ok</v>
      </c>
      <c r="I2559" s="7" t="s">
        <v>3679</v>
      </c>
      <c r="J2559" s="7" t="str">
        <f>VLOOKUP(Table2[[#This Row],[Author]],People!A:B,2,0)</f>
        <v>LS</v>
      </c>
      <c r="K2559" s="7" t="s">
        <v>5965</v>
      </c>
      <c r="L2559" s="7"/>
      <c r="M2559" s="16" t="s">
        <v>2804</v>
      </c>
    </row>
    <row r="2560" spans="1:13" x14ac:dyDescent="0.25">
      <c r="A2560" s="22">
        <f t="shared" si="40"/>
        <v>2559</v>
      </c>
      <c r="B2560" s="6" t="s">
        <v>5960</v>
      </c>
      <c r="C2560" s="6" t="s">
        <v>6765</v>
      </c>
      <c r="D2560" s="6" t="s">
        <v>6849</v>
      </c>
      <c r="E2560" s="6" t="s">
        <v>6850</v>
      </c>
      <c r="F2560" s="6"/>
      <c r="G2560" s="6" t="s">
        <v>63</v>
      </c>
      <c r="H2560" s="6" t="str">
        <f>IFERROR(VLOOKUP(Table2[[#This Row],[Ticket]],Okey!A:B,2,0),"")</f>
        <v>ok</v>
      </c>
      <c r="I2560" s="6" t="s">
        <v>3679</v>
      </c>
      <c r="J2560" s="6" t="str">
        <f>VLOOKUP(Table2[[#This Row],[Author]],People!A:B,2,0)</f>
        <v>LS</v>
      </c>
      <c r="K2560" s="6" t="s">
        <v>5965</v>
      </c>
      <c r="L2560" s="6"/>
      <c r="M2560" s="21" t="s">
        <v>2804</v>
      </c>
    </row>
    <row r="2561" spans="1:13" x14ac:dyDescent="0.25">
      <c r="A2561" s="23">
        <f t="shared" si="40"/>
        <v>2560</v>
      </c>
      <c r="B2561" s="7" t="s">
        <v>5960</v>
      </c>
      <c r="C2561" s="7" t="s">
        <v>6765</v>
      </c>
      <c r="D2561" s="7" t="s">
        <v>6851</v>
      </c>
      <c r="E2561" s="7" t="s">
        <v>6852</v>
      </c>
      <c r="F2561" s="7"/>
      <c r="G2561" s="7" t="s">
        <v>63</v>
      </c>
      <c r="H2561" s="7" t="str">
        <f>IFERROR(VLOOKUP(Table2[[#This Row],[Ticket]],Okey!A:B,2,0),"")</f>
        <v>ok</v>
      </c>
      <c r="I2561" s="7" t="s">
        <v>3679</v>
      </c>
      <c r="J2561" s="7" t="str">
        <f>VLOOKUP(Table2[[#This Row],[Author]],People!A:B,2,0)</f>
        <v>LS</v>
      </c>
      <c r="K2561" s="7" t="s">
        <v>5965</v>
      </c>
      <c r="L2561" s="7"/>
      <c r="M2561" s="16" t="s">
        <v>2804</v>
      </c>
    </row>
    <row r="2562" spans="1:13" x14ac:dyDescent="0.25">
      <c r="A2562" s="22">
        <f t="shared" si="40"/>
        <v>2561</v>
      </c>
      <c r="B2562" s="6" t="s">
        <v>5960</v>
      </c>
      <c r="C2562" s="6" t="s">
        <v>6765</v>
      </c>
      <c r="D2562" s="6" t="s">
        <v>6853</v>
      </c>
      <c r="E2562" s="6" t="s">
        <v>6854</v>
      </c>
      <c r="F2562" s="6"/>
      <c r="G2562" s="6" t="s">
        <v>63</v>
      </c>
      <c r="H2562" s="6" t="str">
        <f>IFERROR(VLOOKUP(Table2[[#This Row],[Ticket]],Okey!A:B,2,0),"")</f>
        <v>ok</v>
      </c>
      <c r="I2562" s="6" t="s">
        <v>3679</v>
      </c>
      <c r="J2562" s="6" t="str">
        <f>VLOOKUP(Table2[[#This Row],[Author]],People!A:B,2,0)</f>
        <v>LS</v>
      </c>
      <c r="K2562" s="6" t="s">
        <v>5965</v>
      </c>
      <c r="L2562" s="6"/>
      <c r="M2562" s="21" t="s">
        <v>2804</v>
      </c>
    </row>
    <row r="2563" spans="1:13" x14ac:dyDescent="0.25">
      <c r="A2563" s="23">
        <f t="shared" si="40"/>
        <v>2562</v>
      </c>
      <c r="B2563" s="7" t="s">
        <v>5960</v>
      </c>
      <c r="C2563" s="7" t="s">
        <v>6765</v>
      </c>
      <c r="D2563" s="7" t="s">
        <v>6855</v>
      </c>
      <c r="E2563" s="7" t="s">
        <v>6856</v>
      </c>
      <c r="F2563" s="7"/>
      <c r="G2563" s="7" t="s">
        <v>63</v>
      </c>
      <c r="H2563" s="7" t="str">
        <f>IFERROR(VLOOKUP(Table2[[#This Row],[Ticket]],Okey!A:B,2,0),"")</f>
        <v>ok</v>
      </c>
      <c r="I2563" s="7" t="s">
        <v>3679</v>
      </c>
      <c r="J2563" s="7" t="str">
        <f>VLOOKUP(Table2[[#This Row],[Author]],People!A:B,2,0)</f>
        <v>LS</v>
      </c>
      <c r="K2563" s="7" t="s">
        <v>5965</v>
      </c>
      <c r="L2563" s="7"/>
      <c r="M2563" s="16" t="s">
        <v>2804</v>
      </c>
    </row>
    <row r="2564" spans="1:13" x14ac:dyDescent="0.25">
      <c r="A2564" s="22">
        <f t="shared" si="40"/>
        <v>2563</v>
      </c>
      <c r="B2564" s="6" t="s">
        <v>5960</v>
      </c>
      <c r="C2564" s="6" t="s">
        <v>6765</v>
      </c>
      <c r="D2564" s="6" t="s">
        <v>6857</v>
      </c>
      <c r="E2564" s="6" t="s">
        <v>6858</v>
      </c>
      <c r="F2564" s="6"/>
      <c r="G2564" s="6" t="s">
        <v>63</v>
      </c>
      <c r="H2564" s="6" t="str">
        <f>IFERROR(VLOOKUP(Table2[[#This Row],[Ticket]],Okey!A:B,2,0),"")</f>
        <v>ok</v>
      </c>
      <c r="I2564" s="6" t="s">
        <v>3679</v>
      </c>
      <c r="J2564" s="6" t="str">
        <f>VLOOKUP(Table2[[#This Row],[Author]],People!A:B,2,0)</f>
        <v>LS</v>
      </c>
      <c r="K2564" s="6" t="s">
        <v>5965</v>
      </c>
      <c r="L2564" s="6"/>
      <c r="M2564" s="21" t="s">
        <v>2804</v>
      </c>
    </row>
    <row r="2565" spans="1:13" x14ac:dyDescent="0.25">
      <c r="A2565" s="23">
        <f t="shared" si="40"/>
        <v>2564</v>
      </c>
      <c r="B2565" s="7" t="s">
        <v>5960</v>
      </c>
      <c r="C2565" s="7" t="s">
        <v>6765</v>
      </c>
      <c r="D2565" s="7" t="s">
        <v>6859</v>
      </c>
      <c r="E2565" s="7" t="s">
        <v>6860</v>
      </c>
      <c r="F2565" s="7"/>
      <c r="G2565" s="7" t="s">
        <v>63</v>
      </c>
      <c r="H2565" s="7" t="str">
        <f>IFERROR(VLOOKUP(Table2[[#This Row],[Ticket]],Okey!A:B,2,0),"")</f>
        <v>ok</v>
      </c>
      <c r="I2565" s="7" t="s">
        <v>3679</v>
      </c>
      <c r="J2565" s="7" t="str">
        <f>VLOOKUP(Table2[[#This Row],[Author]],People!A:B,2,0)</f>
        <v>LS</v>
      </c>
      <c r="K2565" s="7" t="s">
        <v>5965</v>
      </c>
      <c r="L2565" s="7"/>
      <c r="M2565" s="16" t="s">
        <v>2804</v>
      </c>
    </row>
    <row r="2566" spans="1:13" x14ac:dyDescent="0.25">
      <c r="A2566" s="22">
        <f t="shared" si="40"/>
        <v>2565</v>
      </c>
      <c r="B2566" s="6" t="s">
        <v>5960</v>
      </c>
      <c r="C2566" s="6" t="s">
        <v>6765</v>
      </c>
      <c r="D2566" s="6" t="s">
        <v>6861</v>
      </c>
      <c r="E2566" s="6" t="s">
        <v>6862</v>
      </c>
      <c r="F2566" s="6"/>
      <c r="G2566" s="6" t="s">
        <v>63</v>
      </c>
      <c r="H2566" s="6" t="str">
        <f>IFERROR(VLOOKUP(Table2[[#This Row],[Ticket]],Okey!A:B,2,0),"")</f>
        <v>ok</v>
      </c>
      <c r="I2566" s="6" t="s">
        <v>3679</v>
      </c>
      <c r="J2566" s="6" t="str">
        <f>VLOOKUP(Table2[[#This Row],[Author]],People!A:B,2,0)</f>
        <v>LS</v>
      </c>
      <c r="K2566" s="6" t="s">
        <v>5965</v>
      </c>
      <c r="L2566" s="6"/>
      <c r="M2566" s="21" t="s">
        <v>2804</v>
      </c>
    </row>
    <row r="2567" spans="1:13" x14ac:dyDescent="0.25">
      <c r="A2567" s="23">
        <f t="shared" si="40"/>
        <v>2566</v>
      </c>
      <c r="B2567" s="7" t="s">
        <v>5960</v>
      </c>
      <c r="C2567" s="7" t="s">
        <v>6765</v>
      </c>
      <c r="D2567" s="7" t="s">
        <v>6863</v>
      </c>
      <c r="E2567" s="7" t="s">
        <v>6864</v>
      </c>
      <c r="F2567" s="7"/>
      <c r="G2567" s="7" t="s">
        <v>63</v>
      </c>
      <c r="H2567" s="7" t="str">
        <f>IFERROR(VLOOKUP(Table2[[#This Row],[Ticket]],Okey!A:B,2,0),"")</f>
        <v>ok</v>
      </c>
      <c r="I2567" s="7" t="s">
        <v>3679</v>
      </c>
      <c r="J2567" s="7" t="str">
        <f>VLOOKUP(Table2[[#This Row],[Author]],People!A:B,2,0)</f>
        <v>LS</v>
      </c>
      <c r="K2567" s="7" t="s">
        <v>5965</v>
      </c>
      <c r="L2567" s="7"/>
      <c r="M2567" s="16" t="s">
        <v>2804</v>
      </c>
    </row>
    <row r="2568" spans="1:13" x14ac:dyDescent="0.25">
      <c r="A2568" s="22">
        <f t="shared" si="40"/>
        <v>2567</v>
      </c>
      <c r="B2568" s="6" t="s">
        <v>5960</v>
      </c>
      <c r="C2568" s="6" t="s">
        <v>6765</v>
      </c>
      <c r="D2568" s="6" t="s">
        <v>6865</v>
      </c>
      <c r="E2568" s="6" t="s">
        <v>6866</v>
      </c>
      <c r="F2568" s="6"/>
      <c r="G2568" s="6" t="s">
        <v>63</v>
      </c>
      <c r="H2568" s="6" t="str">
        <f>IFERROR(VLOOKUP(Table2[[#This Row],[Ticket]],Okey!A:B,2,0),"")</f>
        <v>ok</v>
      </c>
      <c r="I2568" s="6" t="s">
        <v>3679</v>
      </c>
      <c r="J2568" s="6" t="str">
        <f>VLOOKUP(Table2[[#This Row],[Author]],People!A:B,2,0)</f>
        <v>LS</v>
      </c>
      <c r="K2568" s="6" t="s">
        <v>5965</v>
      </c>
      <c r="L2568" s="6"/>
      <c r="M2568" s="21" t="s">
        <v>2804</v>
      </c>
    </row>
    <row r="2569" spans="1:13" x14ac:dyDescent="0.25">
      <c r="A2569" s="23">
        <f t="shared" si="40"/>
        <v>2568</v>
      </c>
      <c r="B2569" s="7" t="s">
        <v>5960</v>
      </c>
      <c r="C2569" s="7" t="s">
        <v>6765</v>
      </c>
      <c r="D2569" s="7" t="s">
        <v>6867</v>
      </c>
      <c r="E2569" s="7" t="s">
        <v>6868</v>
      </c>
      <c r="F2569" s="7"/>
      <c r="G2569" s="7" t="s">
        <v>63</v>
      </c>
      <c r="H2569" s="7" t="str">
        <f>IFERROR(VLOOKUP(Table2[[#This Row],[Ticket]],Okey!A:B,2,0),"")</f>
        <v>ok</v>
      </c>
      <c r="I2569" s="7" t="s">
        <v>3679</v>
      </c>
      <c r="J2569" s="7" t="str">
        <f>VLOOKUP(Table2[[#This Row],[Author]],People!A:B,2,0)</f>
        <v>LS</v>
      </c>
      <c r="K2569" s="7" t="s">
        <v>5965</v>
      </c>
      <c r="L2569" s="7"/>
      <c r="M2569" s="16" t="s">
        <v>2804</v>
      </c>
    </row>
    <row r="2570" spans="1:13" x14ac:dyDescent="0.25">
      <c r="A2570" s="22">
        <f t="shared" si="40"/>
        <v>2569</v>
      </c>
      <c r="B2570" s="6" t="s">
        <v>5960</v>
      </c>
      <c r="C2570" s="6" t="s">
        <v>6765</v>
      </c>
      <c r="D2570" s="6" t="s">
        <v>6869</v>
      </c>
      <c r="E2570" s="6" t="s">
        <v>6870</v>
      </c>
      <c r="F2570" s="6"/>
      <c r="G2570" s="6" t="s">
        <v>63</v>
      </c>
      <c r="H2570" s="6" t="str">
        <f>IFERROR(VLOOKUP(Table2[[#This Row],[Ticket]],Okey!A:B,2,0),"")</f>
        <v>ok</v>
      </c>
      <c r="I2570" s="6" t="s">
        <v>3679</v>
      </c>
      <c r="J2570" s="6" t="str">
        <f>VLOOKUP(Table2[[#This Row],[Author]],People!A:B,2,0)</f>
        <v>LS</v>
      </c>
      <c r="K2570" s="6" t="s">
        <v>5965</v>
      </c>
      <c r="L2570" s="6"/>
      <c r="M2570" s="21" t="s">
        <v>2804</v>
      </c>
    </row>
    <row r="2571" spans="1:13" x14ac:dyDescent="0.25">
      <c r="A2571" s="23">
        <f t="shared" si="40"/>
        <v>2570</v>
      </c>
      <c r="B2571" s="7" t="s">
        <v>5960</v>
      </c>
      <c r="C2571" s="7" t="s">
        <v>6765</v>
      </c>
      <c r="D2571" s="7" t="s">
        <v>6871</v>
      </c>
      <c r="E2571" s="7" t="s">
        <v>6872</v>
      </c>
      <c r="F2571" s="7"/>
      <c r="G2571" s="7" t="s">
        <v>63</v>
      </c>
      <c r="H2571" s="7" t="str">
        <f>IFERROR(VLOOKUP(Table2[[#This Row],[Ticket]],Okey!A:B,2,0),"")</f>
        <v>ok</v>
      </c>
      <c r="I2571" s="7" t="s">
        <v>3679</v>
      </c>
      <c r="J2571" s="7" t="str">
        <f>VLOOKUP(Table2[[#This Row],[Author]],People!A:B,2,0)</f>
        <v>LS</v>
      </c>
      <c r="K2571" s="7" t="s">
        <v>5965</v>
      </c>
      <c r="L2571" s="7"/>
      <c r="M2571" s="16" t="s">
        <v>2804</v>
      </c>
    </row>
    <row r="2572" spans="1:13" x14ac:dyDescent="0.25">
      <c r="A2572" s="22">
        <f t="shared" si="40"/>
        <v>2571</v>
      </c>
      <c r="B2572" s="6" t="s">
        <v>5960</v>
      </c>
      <c r="C2572" s="6" t="s">
        <v>6765</v>
      </c>
      <c r="D2572" s="6" t="s">
        <v>6873</v>
      </c>
      <c r="E2572" s="6" t="s">
        <v>6874</v>
      </c>
      <c r="F2572" s="6"/>
      <c r="G2572" s="6" t="s">
        <v>63</v>
      </c>
      <c r="H2572" s="6" t="str">
        <f>IFERROR(VLOOKUP(Table2[[#This Row],[Ticket]],Okey!A:B,2,0),"")</f>
        <v>ok</v>
      </c>
      <c r="I2572" s="6" t="s">
        <v>3679</v>
      </c>
      <c r="J2572" s="6" t="str">
        <f>VLOOKUP(Table2[[#This Row],[Author]],People!A:B,2,0)</f>
        <v>LS</v>
      </c>
      <c r="K2572" s="6" t="s">
        <v>5965</v>
      </c>
      <c r="L2572" s="6"/>
      <c r="M2572" s="21" t="s">
        <v>2804</v>
      </c>
    </row>
    <row r="2573" spans="1:13" x14ac:dyDescent="0.25">
      <c r="A2573" s="23">
        <f t="shared" si="40"/>
        <v>2572</v>
      </c>
      <c r="B2573" s="7" t="s">
        <v>5960</v>
      </c>
      <c r="C2573" s="7" t="s">
        <v>6765</v>
      </c>
      <c r="D2573" s="7" t="s">
        <v>6875</v>
      </c>
      <c r="E2573" s="7" t="s">
        <v>6876</v>
      </c>
      <c r="F2573" s="7"/>
      <c r="G2573" s="7" t="s">
        <v>63</v>
      </c>
      <c r="H2573" s="7" t="str">
        <f>IFERROR(VLOOKUP(Table2[[#This Row],[Ticket]],Okey!A:B,2,0),"")</f>
        <v>ok</v>
      </c>
      <c r="I2573" s="7" t="s">
        <v>3679</v>
      </c>
      <c r="J2573" s="7" t="str">
        <f>VLOOKUP(Table2[[#This Row],[Author]],People!A:B,2,0)</f>
        <v>LS</v>
      </c>
      <c r="K2573" s="7" t="s">
        <v>5965</v>
      </c>
      <c r="L2573" s="7"/>
      <c r="M2573" s="16" t="s">
        <v>2804</v>
      </c>
    </row>
    <row r="2574" spans="1:13" x14ac:dyDescent="0.25">
      <c r="A2574" s="22">
        <f t="shared" si="40"/>
        <v>2573</v>
      </c>
      <c r="B2574" s="6" t="s">
        <v>5960</v>
      </c>
      <c r="C2574" s="6" t="s">
        <v>6765</v>
      </c>
      <c r="D2574" s="6" t="s">
        <v>6877</v>
      </c>
      <c r="E2574" s="6" t="s">
        <v>6878</v>
      </c>
      <c r="F2574" s="6"/>
      <c r="G2574" s="6" t="s">
        <v>63</v>
      </c>
      <c r="H2574" s="6" t="str">
        <f>IFERROR(VLOOKUP(Table2[[#This Row],[Ticket]],Okey!A:B,2,0),"")</f>
        <v>ok</v>
      </c>
      <c r="I2574" s="6" t="s">
        <v>3679</v>
      </c>
      <c r="J2574" s="6" t="str">
        <f>VLOOKUP(Table2[[#This Row],[Author]],People!A:B,2,0)</f>
        <v>LS</v>
      </c>
      <c r="K2574" s="6" t="s">
        <v>5965</v>
      </c>
      <c r="L2574" s="6"/>
      <c r="M2574" s="21" t="s">
        <v>2804</v>
      </c>
    </row>
    <row r="2575" spans="1:13" x14ac:dyDescent="0.25">
      <c r="A2575" s="23">
        <f t="shared" si="40"/>
        <v>2574</v>
      </c>
      <c r="B2575" s="7" t="s">
        <v>5960</v>
      </c>
      <c r="C2575" s="7" t="s">
        <v>6765</v>
      </c>
      <c r="D2575" s="7" t="s">
        <v>6879</v>
      </c>
      <c r="E2575" s="7" t="s">
        <v>6880</v>
      </c>
      <c r="F2575" s="7"/>
      <c r="G2575" s="7" t="s">
        <v>63</v>
      </c>
      <c r="H2575" s="7" t="str">
        <f>IFERROR(VLOOKUP(Table2[[#This Row],[Ticket]],Okey!A:B,2,0),"")</f>
        <v>ok</v>
      </c>
      <c r="I2575" s="7" t="s">
        <v>3679</v>
      </c>
      <c r="J2575" s="7" t="str">
        <f>VLOOKUP(Table2[[#This Row],[Author]],People!A:B,2,0)</f>
        <v>LS</v>
      </c>
      <c r="K2575" s="7" t="s">
        <v>5965</v>
      </c>
      <c r="L2575" s="7"/>
      <c r="M2575" s="16" t="s">
        <v>2804</v>
      </c>
    </row>
    <row r="2576" spans="1:13" x14ac:dyDescent="0.25">
      <c r="A2576" s="22">
        <f t="shared" si="40"/>
        <v>2575</v>
      </c>
      <c r="B2576" s="6" t="s">
        <v>5960</v>
      </c>
      <c r="C2576" s="6" t="s">
        <v>6765</v>
      </c>
      <c r="D2576" s="6" t="s">
        <v>6881</v>
      </c>
      <c r="E2576" s="6" t="s">
        <v>6882</v>
      </c>
      <c r="F2576" s="6"/>
      <c r="G2576" s="6" t="s">
        <v>63</v>
      </c>
      <c r="H2576" s="6" t="str">
        <f>IFERROR(VLOOKUP(Table2[[#This Row],[Ticket]],Okey!A:B,2,0),"")</f>
        <v>ok</v>
      </c>
      <c r="I2576" s="6" t="s">
        <v>3679</v>
      </c>
      <c r="J2576" s="6" t="str">
        <f>VLOOKUP(Table2[[#This Row],[Author]],People!A:B,2,0)</f>
        <v>LS</v>
      </c>
      <c r="K2576" s="6" t="s">
        <v>5965</v>
      </c>
      <c r="L2576" s="6"/>
      <c r="M2576" s="21" t="s">
        <v>2804</v>
      </c>
    </row>
    <row r="2577" spans="1:13" x14ac:dyDescent="0.25">
      <c r="A2577" s="23">
        <f t="shared" si="40"/>
        <v>2576</v>
      </c>
      <c r="B2577" s="7" t="s">
        <v>5960</v>
      </c>
      <c r="C2577" s="7" t="s">
        <v>6765</v>
      </c>
      <c r="D2577" s="7" t="s">
        <v>6883</v>
      </c>
      <c r="E2577" s="7" t="s">
        <v>6884</v>
      </c>
      <c r="F2577" s="7"/>
      <c r="G2577" s="7" t="s">
        <v>63</v>
      </c>
      <c r="H2577" s="7" t="str">
        <f>IFERROR(VLOOKUP(Table2[[#This Row],[Ticket]],Okey!A:B,2,0),"")</f>
        <v>ok</v>
      </c>
      <c r="I2577" s="7" t="s">
        <v>3679</v>
      </c>
      <c r="J2577" s="7" t="str">
        <f>VLOOKUP(Table2[[#This Row],[Author]],People!A:B,2,0)</f>
        <v>LS</v>
      </c>
      <c r="K2577" s="7" t="s">
        <v>5965</v>
      </c>
      <c r="L2577" s="7"/>
      <c r="M2577" s="16" t="s">
        <v>2804</v>
      </c>
    </row>
    <row r="2578" spans="1:13" x14ac:dyDescent="0.25">
      <c r="A2578" s="22">
        <f t="shared" si="40"/>
        <v>2577</v>
      </c>
      <c r="B2578" s="6" t="s">
        <v>5960</v>
      </c>
      <c r="C2578" s="6" t="s">
        <v>6765</v>
      </c>
      <c r="D2578" s="6" t="s">
        <v>6885</v>
      </c>
      <c r="E2578" s="6" t="s">
        <v>6886</v>
      </c>
      <c r="F2578" s="6"/>
      <c r="G2578" s="6" t="s">
        <v>63</v>
      </c>
      <c r="H2578" s="6" t="str">
        <f>IFERROR(VLOOKUP(Table2[[#This Row],[Ticket]],Okey!A:B,2,0),"")</f>
        <v>ok</v>
      </c>
      <c r="I2578" s="6" t="s">
        <v>3679</v>
      </c>
      <c r="J2578" s="6" t="str">
        <f>VLOOKUP(Table2[[#This Row],[Author]],People!A:B,2,0)</f>
        <v>LS</v>
      </c>
      <c r="K2578" s="6" t="s">
        <v>5965</v>
      </c>
      <c r="L2578" s="6"/>
      <c r="M2578" s="21" t="s">
        <v>2804</v>
      </c>
    </row>
    <row r="2579" spans="1:13" x14ac:dyDescent="0.25">
      <c r="A2579" s="23">
        <f t="shared" si="40"/>
        <v>2578</v>
      </c>
      <c r="B2579" s="7" t="s">
        <v>5960</v>
      </c>
      <c r="C2579" s="7" t="s">
        <v>6765</v>
      </c>
      <c r="D2579" s="7" t="s">
        <v>6887</v>
      </c>
      <c r="E2579" s="7" t="s">
        <v>6888</v>
      </c>
      <c r="F2579" s="7"/>
      <c r="G2579" s="7" t="s">
        <v>63</v>
      </c>
      <c r="H2579" s="7" t="str">
        <f>IFERROR(VLOOKUP(Table2[[#This Row],[Ticket]],Okey!A:B,2,0),"")</f>
        <v>ok</v>
      </c>
      <c r="I2579" s="7" t="s">
        <v>3679</v>
      </c>
      <c r="J2579" s="7" t="str">
        <f>VLOOKUP(Table2[[#This Row],[Author]],People!A:B,2,0)</f>
        <v>LS</v>
      </c>
      <c r="K2579" s="7" t="s">
        <v>5965</v>
      </c>
      <c r="L2579" s="7"/>
      <c r="M2579" s="16" t="s">
        <v>2804</v>
      </c>
    </row>
    <row r="2580" spans="1:13" x14ac:dyDescent="0.25">
      <c r="A2580" s="22">
        <f t="shared" si="40"/>
        <v>2579</v>
      </c>
      <c r="B2580" s="6" t="s">
        <v>5960</v>
      </c>
      <c r="C2580" s="6" t="s">
        <v>6765</v>
      </c>
      <c r="D2580" s="6" t="s">
        <v>6889</v>
      </c>
      <c r="E2580" s="6" t="s">
        <v>6890</v>
      </c>
      <c r="F2580" s="6"/>
      <c r="G2580" s="6" t="s">
        <v>63</v>
      </c>
      <c r="H2580" s="6" t="str">
        <f>IFERROR(VLOOKUP(Table2[[#This Row],[Ticket]],Okey!A:B,2,0),"")</f>
        <v>ok</v>
      </c>
      <c r="I2580" s="6" t="s">
        <v>3679</v>
      </c>
      <c r="J2580" s="6" t="str">
        <f>VLOOKUP(Table2[[#This Row],[Author]],People!A:B,2,0)</f>
        <v>LS</v>
      </c>
      <c r="K2580" s="6" t="s">
        <v>5965</v>
      </c>
      <c r="L2580" s="6"/>
      <c r="M2580" s="21" t="s">
        <v>2804</v>
      </c>
    </row>
    <row r="2581" spans="1:13" x14ac:dyDescent="0.25">
      <c r="A2581" s="23">
        <f t="shared" si="40"/>
        <v>2580</v>
      </c>
      <c r="B2581" s="7" t="s">
        <v>5960</v>
      </c>
      <c r="C2581" s="7" t="s">
        <v>6765</v>
      </c>
      <c r="D2581" s="7" t="s">
        <v>6891</v>
      </c>
      <c r="E2581" s="7" t="s">
        <v>6892</v>
      </c>
      <c r="F2581" s="7"/>
      <c r="G2581" s="7" t="s">
        <v>63</v>
      </c>
      <c r="H2581" s="7" t="str">
        <f>IFERROR(VLOOKUP(Table2[[#This Row],[Ticket]],Okey!A:B,2,0),"")</f>
        <v>ok</v>
      </c>
      <c r="I2581" s="7" t="s">
        <v>3679</v>
      </c>
      <c r="J2581" s="7" t="str">
        <f>VLOOKUP(Table2[[#This Row],[Author]],People!A:B,2,0)</f>
        <v>LS</v>
      </c>
      <c r="K2581" s="7" t="s">
        <v>5965</v>
      </c>
      <c r="L2581" s="7"/>
      <c r="M2581" s="16" t="s">
        <v>2804</v>
      </c>
    </row>
    <row r="2582" spans="1:13" x14ac:dyDescent="0.25">
      <c r="A2582" s="22">
        <f t="shared" si="40"/>
        <v>2581</v>
      </c>
      <c r="B2582" s="6" t="s">
        <v>5960</v>
      </c>
      <c r="C2582" s="6" t="s">
        <v>6765</v>
      </c>
      <c r="D2582" s="6" t="s">
        <v>6893</v>
      </c>
      <c r="E2582" s="6" t="s">
        <v>6894</v>
      </c>
      <c r="F2582" s="6"/>
      <c r="G2582" s="6" t="s">
        <v>63</v>
      </c>
      <c r="H2582" s="6" t="str">
        <f>IFERROR(VLOOKUP(Table2[[#This Row],[Ticket]],Okey!A:B,2,0),"")</f>
        <v>ok</v>
      </c>
      <c r="I2582" s="6" t="s">
        <v>3679</v>
      </c>
      <c r="J2582" s="6" t="str">
        <f>VLOOKUP(Table2[[#This Row],[Author]],People!A:B,2,0)</f>
        <v>LS</v>
      </c>
      <c r="K2582" s="6" t="s">
        <v>5965</v>
      </c>
      <c r="L2582" s="6"/>
      <c r="M2582" s="21" t="s">
        <v>2804</v>
      </c>
    </row>
    <row r="2583" spans="1:13" x14ac:dyDescent="0.25">
      <c r="A2583" s="23">
        <f t="shared" si="40"/>
        <v>2582</v>
      </c>
      <c r="B2583" s="7" t="s">
        <v>5960</v>
      </c>
      <c r="C2583" s="7" t="s">
        <v>6765</v>
      </c>
      <c r="D2583" s="7" t="s">
        <v>6895</v>
      </c>
      <c r="E2583" s="7" t="s">
        <v>6896</v>
      </c>
      <c r="F2583" s="7"/>
      <c r="G2583" s="7" t="s">
        <v>63</v>
      </c>
      <c r="H2583" s="7" t="str">
        <f>IFERROR(VLOOKUP(Table2[[#This Row],[Ticket]],Okey!A:B,2,0),"")</f>
        <v>ok</v>
      </c>
      <c r="I2583" s="7" t="s">
        <v>3679</v>
      </c>
      <c r="J2583" s="7" t="str">
        <f>VLOOKUP(Table2[[#This Row],[Author]],People!A:B,2,0)</f>
        <v>LS</v>
      </c>
      <c r="K2583" s="7" t="s">
        <v>5965</v>
      </c>
      <c r="L2583" s="7"/>
      <c r="M2583" s="16" t="s">
        <v>2804</v>
      </c>
    </row>
    <row r="2584" spans="1:13" x14ac:dyDescent="0.25">
      <c r="A2584" s="22">
        <f t="shared" si="40"/>
        <v>2583</v>
      </c>
      <c r="B2584" s="6" t="s">
        <v>5960</v>
      </c>
      <c r="C2584" s="6" t="s">
        <v>6765</v>
      </c>
      <c r="D2584" s="6" t="s">
        <v>6897</v>
      </c>
      <c r="E2584" s="6" t="s">
        <v>6898</v>
      </c>
      <c r="F2584" s="6"/>
      <c r="G2584" s="6" t="s">
        <v>63</v>
      </c>
      <c r="H2584" s="6" t="str">
        <f>IFERROR(VLOOKUP(Table2[[#This Row],[Ticket]],Okey!A:B,2,0),"")</f>
        <v>ok</v>
      </c>
      <c r="I2584" s="6" t="s">
        <v>3679</v>
      </c>
      <c r="J2584" s="6" t="str">
        <f>VLOOKUP(Table2[[#This Row],[Author]],People!A:B,2,0)</f>
        <v>LS</v>
      </c>
      <c r="K2584" s="6" t="s">
        <v>5965</v>
      </c>
      <c r="L2584" s="6"/>
      <c r="M2584" s="21" t="s">
        <v>2804</v>
      </c>
    </row>
    <row r="2585" spans="1:13" x14ac:dyDescent="0.25">
      <c r="A2585" s="23">
        <f t="shared" si="40"/>
        <v>2584</v>
      </c>
      <c r="B2585" s="7" t="s">
        <v>5960</v>
      </c>
      <c r="C2585" s="7" t="s">
        <v>6765</v>
      </c>
      <c r="D2585" s="7" t="s">
        <v>6899</v>
      </c>
      <c r="E2585" s="7" t="s">
        <v>6900</v>
      </c>
      <c r="F2585" s="7"/>
      <c r="G2585" s="7" t="s">
        <v>63</v>
      </c>
      <c r="H2585" s="7" t="str">
        <f>IFERROR(VLOOKUP(Table2[[#This Row],[Ticket]],Okey!A:B,2,0),"")</f>
        <v>ok</v>
      </c>
      <c r="I2585" s="7" t="s">
        <v>3679</v>
      </c>
      <c r="J2585" s="7" t="str">
        <f>VLOOKUP(Table2[[#This Row],[Author]],People!A:B,2,0)</f>
        <v>LS</v>
      </c>
      <c r="K2585" s="7" t="s">
        <v>5965</v>
      </c>
      <c r="L2585" s="7"/>
      <c r="M2585" s="16" t="s">
        <v>2804</v>
      </c>
    </row>
    <row r="2586" spans="1:13" x14ac:dyDescent="0.25">
      <c r="A2586" s="22">
        <f t="shared" si="40"/>
        <v>2585</v>
      </c>
      <c r="B2586" s="6" t="s">
        <v>5960</v>
      </c>
      <c r="C2586" s="6" t="s">
        <v>6765</v>
      </c>
      <c r="D2586" s="6" t="s">
        <v>6901</v>
      </c>
      <c r="E2586" s="6" t="s">
        <v>6902</v>
      </c>
      <c r="F2586" s="6"/>
      <c r="G2586" s="6" t="s">
        <v>63</v>
      </c>
      <c r="H2586" s="6" t="str">
        <f>IFERROR(VLOOKUP(Table2[[#This Row],[Ticket]],Okey!A:B,2,0),"")</f>
        <v>ok</v>
      </c>
      <c r="I2586" s="6" t="s">
        <v>3679</v>
      </c>
      <c r="J2586" s="6" t="str">
        <f>VLOOKUP(Table2[[#This Row],[Author]],People!A:B,2,0)</f>
        <v>LS</v>
      </c>
      <c r="K2586" s="6" t="s">
        <v>5965</v>
      </c>
      <c r="L2586" s="6"/>
      <c r="M2586" s="21" t="s">
        <v>2804</v>
      </c>
    </row>
    <row r="2587" spans="1:13" x14ac:dyDescent="0.25">
      <c r="A2587" s="23">
        <f t="shared" si="40"/>
        <v>2586</v>
      </c>
      <c r="B2587" s="7" t="s">
        <v>5960</v>
      </c>
      <c r="C2587" s="7" t="s">
        <v>6765</v>
      </c>
      <c r="D2587" s="7" t="s">
        <v>6903</v>
      </c>
      <c r="E2587" s="7" t="s">
        <v>6904</v>
      </c>
      <c r="F2587" s="7"/>
      <c r="G2587" s="7" t="s">
        <v>63</v>
      </c>
      <c r="H2587" s="7" t="str">
        <f>IFERROR(VLOOKUP(Table2[[#This Row],[Ticket]],Okey!A:B,2,0),"")</f>
        <v>ok</v>
      </c>
      <c r="I2587" s="7" t="s">
        <v>3679</v>
      </c>
      <c r="J2587" s="7" t="str">
        <f>VLOOKUP(Table2[[#This Row],[Author]],People!A:B,2,0)</f>
        <v>LS</v>
      </c>
      <c r="K2587" s="7" t="s">
        <v>5965</v>
      </c>
      <c r="L2587" s="7"/>
      <c r="M2587" s="16" t="s">
        <v>2804</v>
      </c>
    </row>
    <row r="2588" spans="1:13" x14ac:dyDescent="0.25">
      <c r="A2588" s="22">
        <f t="shared" si="40"/>
        <v>2587</v>
      </c>
      <c r="B2588" s="6" t="s">
        <v>5960</v>
      </c>
      <c r="C2588" s="6" t="s">
        <v>6765</v>
      </c>
      <c r="D2588" s="6" t="s">
        <v>6905</v>
      </c>
      <c r="E2588" s="6" t="s">
        <v>6906</v>
      </c>
      <c r="F2588" s="6"/>
      <c r="G2588" s="6" t="s">
        <v>63</v>
      </c>
      <c r="H2588" s="6" t="str">
        <f>IFERROR(VLOOKUP(Table2[[#This Row],[Ticket]],Okey!A:B,2,0),"")</f>
        <v>ok</v>
      </c>
      <c r="I2588" s="6" t="s">
        <v>3679</v>
      </c>
      <c r="J2588" s="6" t="str">
        <f>VLOOKUP(Table2[[#This Row],[Author]],People!A:B,2,0)</f>
        <v>LS</v>
      </c>
      <c r="K2588" s="6" t="s">
        <v>5965</v>
      </c>
      <c r="L2588" s="6"/>
      <c r="M2588" s="21" t="s">
        <v>2804</v>
      </c>
    </row>
    <row r="2589" spans="1:13" x14ac:dyDescent="0.25">
      <c r="A2589" s="23">
        <f t="shared" si="40"/>
        <v>2588</v>
      </c>
      <c r="B2589" s="7" t="s">
        <v>5960</v>
      </c>
      <c r="C2589" s="7" t="s">
        <v>6765</v>
      </c>
      <c r="D2589" s="7" t="s">
        <v>6907</v>
      </c>
      <c r="E2589" s="7" t="s">
        <v>6908</v>
      </c>
      <c r="F2589" s="7"/>
      <c r="G2589" s="7" t="s">
        <v>63</v>
      </c>
      <c r="H2589" s="7" t="str">
        <f>IFERROR(VLOOKUP(Table2[[#This Row],[Ticket]],Okey!A:B,2,0),"")</f>
        <v>ok</v>
      </c>
      <c r="I2589" s="7" t="s">
        <v>3679</v>
      </c>
      <c r="J2589" s="7" t="str">
        <f>VLOOKUP(Table2[[#This Row],[Author]],People!A:B,2,0)</f>
        <v>LS</v>
      </c>
      <c r="K2589" s="7" t="s">
        <v>5965</v>
      </c>
      <c r="L2589" s="7"/>
      <c r="M2589" s="16" t="s">
        <v>2804</v>
      </c>
    </row>
    <row r="2590" spans="1:13" x14ac:dyDescent="0.25">
      <c r="A2590" s="22">
        <f t="shared" si="40"/>
        <v>2589</v>
      </c>
      <c r="B2590" s="6" t="s">
        <v>5960</v>
      </c>
      <c r="C2590" s="6" t="s">
        <v>6765</v>
      </c>
      <c r="D2590" s="6" t="s">
        <v>6909</v>
      </c>
      <c r="E2590" s="6" t="s">
        <v>6910</v>
      </c>
      <c r="F2590" s="6"/>
      <c r="G2590" s="6" t="s">
        <v>63</v>
      </c>
      <c r="H2590" s="6" t="str">
        <f>IFERROR(VLOOKUP(Table2[[#This Row],[Ticket]],Okey!A:B,2,0),"")</f>
        <v>ok</v>
      </c>
      <c r="I2590" s="6" t="s">
        <v>3679</v>
      </c>
      <c r="J2590" s="6" t="str">
        <f>VLOOKUP(Table2[[#This Row],[Author]],People!A:B,2,0)</f>
        <v>LS</v>
      </c>
      <c r="K2590" s="6" t="s">
        <v>5965</v>
      </c>
      <c r="L2590" s="6"/>
      <c r="M2590" s="21" t="s">
        <v>2804</v>
      </c>
    </row>
    <row r="2591" spans="1:13" x14ac:dyDescent="0.25">
      <c r="A2591" s="23">
        <f t="shared" si="40"/>
        <v>2590</v>
      </c>
      <c r="B2591" s="7" t="s">
        <v>5960</v>
      </c>
      <c r="C2591" s="7" t="s">
        <v>6765</v>
      </c>
      <c r="D2591" s="7" t="s">
        <v>6911</v>
      </c>
      <c r="E2591" s="7" t="s">
        <v>6912</v>
      </c>
      <c r="F2591" s="7"/>
      <c r="G2591" s="7" t="s">
        <v>63</v>
      </c>
      <c r="H2591" s="7" t="str">
        <f>IFERROR(VLOOKUP(Table2[[#This Row],[Ticket]],Okey!A:B,2,0),"")</f>
        <v>ok</v>
      </c>
      <c r="I2591" s="7" t="s">
        <v>3679</v>
      </c>
      <c r="J2591" s="7" t="str">
        <f>VLOOKUP(Table2[[#This Row],[Author]],People!A:B,2,0)</f>
        <v>LS</v>
      </c>
      <c r="K2591" s="7" t="s">
        <v>5965</v>
      </c>
      <c r="L2591" s="7"/>
      <c r="M2591" s="16" t="s">
        <v>2804</v>
      </c>
    </row>
    <row r="2592" spans="1:13" x14ac:dyDescent="0.25">
      <c r="A2592" s="22">
        <f t="shared" si="40"/>
        <v>2591</v>
      </c>
      <c r="B2592" s="6" t="s">
        <v>5960</v>
      </c>
      <c r="C2592" s="6" t="s">
        <v>6765</v>
      </c>
      <c r="D2592" s="6" t="s">
        <v>2051</v>
      </c>
      <c r="E2592" s="6" t="s">
        <v>6913</v>
      </c>
      <c r="F2592" s="6"/>
      <c r="G2592" s="6" t="s">
        <v>63</v>
      </c>
      <c r="H2592" s="6" t="str">
        <f>IFERROR(VLOOKUP(Table2[[#This Row],[Ticket]],Okey!A:B,2,0),"")</f>
        <v>ok</v>
      </c>
      <c r="I2592" s="6" t="s">
        <v>3679</v>
      </c>
      <c r="J2592" s="6" t="str">
        <f>VLOOKUP(Table2[[#This Row],[Author]],People!A:B,2,0)</f>
        <v>LS</v>
      </c>
      <c r="K2592" s="6" t="s">
        <v>5965</v>
      </c>
      <c r="L2592" s="6"/>
      <c r="M2592" s="21" t="s">
        <v>2804</v>
      </c>
    </row>
    <row r="2593" spans="1:13" x14ac:dyDescent="0.25">
      <c r="A2593" s="23">
        <f t="shared" si="40"/>
        <v>2592</v>
      </c>
      <c r="B2593" s="7" t="s">
        <v>5960</v>
      </c>
      <c r="C2593" s="7" t="s">
        <v>6765</v>
      </c>
      <c r="D2593" s="7" t="s">
        <v>6914</v>
      </c>
      <c r="E2593" s="7" t="s">
        <v>6915</v>
      </c>
      <c r="F2593" s="7"/>
      <c r="G2593" s="7" t="s">
        <v>63</v>
      </c>
      <c r="H2593" s="7" t="str">
        <f>IFERROR(VLOOKUP(Table2[[#This Row],[Ticket]],Okey!A:B,2,0),"")</f>
        <v>ok</v>
      </c>
      <c r="I2593" s="7" t="s">
        <v>3679</v>
      </c>
      <c r="J2593" s="7" t="str">
        <f>VLOOKUP(Table2[[#This Row],[Author]],People!A:B,2,0)</f>
        <v>LS</v>
      </c>
      <c r="K2593" s="7" t="s">
        <v>5965</v>
      </c>
      <c r="L2593" s="7"/>
      <c r="M2593" s="16" t="s">
        <v>2804</v>
      </c>
    </row>
    <row r="2594" spans="1:13" x14ac:dyDescent="0.25">
      <c r="A2594" s="22">
        <f t="shared" si="40"/>
        <v>2593</v>
      </c>
      <c r="B2594" s="6" t="s">
        <v>5960</v>
      </c>
      <c r="C2594" s="6" t="s">
        <v>6765</v>
      </c>
      <c r="D2594" s="6" t="s">
        <v>6916</v>
      </c>
      <c r="E2594" s="6" t="s">
        <v>6917</v>
      </c>
      <c r="F2594" s="6"/>
      <c r="G2594" s="6" t="s">
        <v>63</v>
      </c>
      <c r="H2594" s="6" t="str">
        <f>IFERROR(VLOOKUP(Table2[[#This Row],[Ticket]],Okey!A:B,2,0),"")</f>
        <v>ok</v>
      </c>
      <c r="I2594" s="6" t="s">
        <v>3679</v>
      </c>
      <c r="J2594" s="6" t="str">
        <f>VLOOKUP(Table2[[#This Row],[Author]],People!A:B,2,0)</f>
        <v>LS</v>
      </c>
      <c r="K2594" s="6" t="s">
        <v>5965</v>
      </c>
      <c r="L2594" s="6"/>
      <c r="M2594" s="21" t="s">
        <v>2804</v>
      </c>
    </row>
    <row r="2595" spans="1:13" x14ac:dyDescent="0.25">
      <c r="A2595" s="23">
        <f t="shared" ref="A2595:A2658" si="41">1+A2594</f>
        <v>2594</v>
      </c>
      <c r="B2595" s="7" t="s">
        <v>5960</v>
      </c>
      <c r="C2595" s="7" t="s">
        <v>6765</v>
      </c>
      <c r="D2595" s="7" t="s">
        <v>6918</v>
      </c>
      <c r="E2595" s="7" t="s">
        <v>6919</v>
      </c>
      <c r="F2595" s="7"/>
      <c r="G2595" s="7" t="s">
        <v>63</v>
      </c>
      <c r="H2595" s="7" t="str">
        <f>IFERROR(VLOOKUP(Table2[[#This Row],[Ticket]],Okey!A:B,2,0),"")</f>
        <v>ok</v>
      </c>
      <c r="I2595" s="7" t="s">
        <v>3679</v>
      </c>
      <c r="J2595" s="7" t="str">
        <f>VLOOKUP(Table2[[#This Row],[Author]],People!A:B,2,0)</f>
        <v>LS</v>
      </c>
      <c r="K2595" s="7" t="s">
        <v>5965</v>
      </c>
      <c r="L2595" s="7"/>
      <c r="M2595" s="16" t="s">
        <v>2804</v>
      </c>
    </row>
    <row r="2596" spans="1:13" x14ac:dyDescent="0.25">
      <c r="A2596" s="22">
        <f t="shared" si="41"/>
        <v>2595</v>
      </c>
      <c r="B2596" s="6" t="s">
        <v>5960</v>
      </c>
      <c r="C2596" s="6" t="s">
        <v>6765</v>
      </c>
      <c r="D2596" s="6" t="s">
        <v>6920</v>
      </c>
      <c r="E2596" s="6" t="s">
        <v>6921</v>
      </c>
      <c r="F2596" s="6"/>
      <c r="G2596" s="6" t="s">
        <v>63</v>
      </c>
      <c r="H2596" s="6" t="str">
        <f>IFERROR(VLOOKUP(Table2[[#This Row],[Ticket]],Okey!A:B,2,0),"")</f>
        <v>ok</v>
      </c>
      <c r="I2596" s="6" t="s">
        <v>3679</v>
      </c>
      <c r="J2596" s="6" t="str">
        <f>VLOOKUP(Table2[[#This Row],[Author]],People!A:B,2,0)</f>
        <v>LS</v>
      </c>
      <c r="K2596" s="6" t="s">
        <v>5965</v>
      </c>
      <c r="L2596" s="6"/>
      <c r="M2596" s="21" t="s">
        <v>2804</v>
      </c>
    </row>
    <row r="2597" spans="1:13" x14ac:dyDescent="0.25">
      <c r="A2597" s="23">
        <f t="shared" si="41"/>
        <v>2596</v>
      </c>
      <c r="B2597" s="7" t="s">
        <v>5960</v>
      </c>
      <c r="C2597" s="7" t="s">
        <v>6765</v>
      </c>
      <c r="D2597" s="7" t="s">
        <v>6922</v>
      </c>
      <c r="E2597" s="7" t="s">
        <v>6923</v>
      </c>
      <c r="F2597" s="7"/>
      <c r="G2597" s="7" t="s">
        <v>63</v>
      </c>
      <c r="H2597" s="7" t="str">
        <f>IFERROR(VLOOKUP(Table2[[#This Row],[Ticket]],Okey!A:B,2,0),"")</f>
        <v>ok</v>
      </c>
      <c r="I2597" s="7" t="s">
        <v>3679</v>
      </c>
      <c r="J2597" s="7" t="str">
        <f>VLOOKUP(Table2[[#This Row],[Author]],People!A:B,2,0)</f>
        <v>LS</v>
      </c>
      <c r="K2597" s="7" t="s">
        <v>5965</v>
      </c>
      <c r="L2597" s="7"/>
      <c r="M2597" s="16" t="s">
        <v>2804</v>
      </c>
    </row>
    <row r="2598" spans="1:13" x14ac:dyDescent="0.25">
      <c r="A2598" s="22">
        <f t="shared" si="41"/>
        <v>2597</v>
      </c>
      <c r="B2598" s="6" t="s">
        <v>5960</v>
      </c>
      <c r="C2598" s="6" t="s">
        <v>6765</v>
      </c>
      <c r="D2598" s="6" t="s">
        <v>6924</v>
      </c>
      <c r="E2598" s="6" t="s">
        <v>6925</v>
      </c>
      <c r="F2598" s="6"/>
      <c r="G2598" s="6" t="s">
        <v>63</v>
      </c>
      <c r="H2598" s="6" t="str">
        <f>IFERROR(VLOOKUP(Table2[[#This Row],[Ticket]],Okey!A:B,2,0),"")</f>
        <v>ok</v>
      </c>
      <c r="I2598" s="6" t="s">
        <v>3679</v>
      </c>
      <c r="J2598" s="6" t="str">
        <f>VLOOKUP(Table2[[#This Row],[Author]],People!A:B,2,0)</f>
        <v>LS</v>
      </c>
      <c r="K2598" s="6" t="s">
        <v>5965</v>
      </c>
      <c r="L2598" s="6"/>
      <c r="M2598" s="21" t="s">
        <v>2804</v>
      </c>
    </row>
    <row r="2599" spans="1:13" x14ac:dyDescent="0.25">
      <c r="A2599" s="23">
        <f t="shared" si="41"/>
        <v>2598</v>
      </c>
      <c r="B2599" s="7" t="s">
        <v>5960</v>
      </c>
      <c r="C2599" s="7" t="s">
        <v>6765</v>
      </c>
      <c r="D2599" s="7" t="s">
        <v>6926</v>
      </c>
      <c r="E2599" s="7" t="s">
        <v>6927</v>
      </c>
      <c r="F2599" s="7"/>
      <c r="G2599" s="7" t="s">
        <v>63</v>
      </c>
      <c r="H2599" s="7" t="str">
        <f>IFERROR(VLOOKUP(Table2[[#This Row],[Ticket]],Okey!A:B,2,0),"")</f>
        <v>ok</v>
      </c>
      <c r="I2599" s="7" t="s">
        <v>3679</v>
      </c>
      <c r="J2599" s="7" t="str">
        <f>VLOOKUP(Table2[[#This Row],[Author]],People!A:B,2,0)</f>
        <v>LS</v>
      </c>
      <c r="K2599" s="7" t="s">
        <v>5965</v>
      </c>
      <c r="L2599" s="7"/>
      <c r="M2599" s="16" t="s">
        <v>2804</v>
      </c>
    </row>
    <row r="2600" spans="1:13" x14ac:dyDescent="0.25">
      <c r="A2600" s="22">
        <f t="shared" si="41"/>
        <v>2599</v>
      </c>
      <c r="B2600" s="6" t="s">
        <v>5960</v>
      </c>
      <c r="C2600" s="6" t="s">
        <v>6765</v>
      </c>
      <c r="D2600" s="6" t="s">
        <v>6928</v>
      </c>
      <c r="E2600" s="6" t="s">
        <v>6929</v>
      </c>
      <c r="F2600" s="6"/>
      <c r="G2600" s="6" t="s">
        <v>63</v>
      </c>
      <c r="H2600" s="6" t="str">
        <f>IFERROR(VLOOKUP(Table2[[#This Row],[Ticket]],Okey!A:B,2,0),"")</f>
        <v>ok</v>
      </c>
      <c r="I2600" s="6" t="s">
        <v>3679</v>
      </c>
      <c r="J2600" s="6" t="str">
        <f>VLOOKUP(Table2[[#This Row],[Author]],People!A:B,2,0)</f>
        <v>LS</v>
      </c>
      <c r="K2600" s="6" t="s">
        <v>5965</v>
      </c>
      <c r="L2600" s="6"/>
      <c r="M2600" s="21" t="s">
        <v>2804</v>
      </c>
    </row>
    <row r="2601" spans="1:13" x14ac:dyDescent="0.25">
      <c r="A2601" s="23">
        <f t="shared" si="41"/>
        <v>2600</v>
      </c>
      <c r="B2601" s="7" t="s">
        <v>5960</v>
      </c>
      <c r="C2601" s="7" t="s">
        <v>6765</v>
      </c>
      <c r="D2601" s="7" t="s">
        <v>6930</v>
      </c>
      <c r="E2601" s="7" t="s">
        <v>6931</v>
      </c>
      <c r="F2601" s="7"/>
      <c r="G2601" s="7" t="s">
        <v>63</v>
      </c>
      <c r="H2601" s="7" t="str">
        <f>IFERROR(VLOOKUP(Table2[[#This Row],[Ticket]],Okey!A:B,2,0),"")</f>
        <v>ok</v>
      </c>
      <c r="I2601" s="7" t="s">
        <v>3679</v>
      </c>
      <c r="J2601" s="7" t="str">
        <f>VLOOKUP(Table2[[#This Row],[Author]],People!A:B,2,0)</f>
        <v>LS</v>
      </c>
      <c r="K2601" s="7" t="s">
        <v>5965</v>
      </c>
      <c r="L2601" s="7"/>
      <c r="M2601" s="16" t="s">
        <v>2804</v>
      </c>
    </row>
    <row r="2602" spans="1:13" x14ac:dyDescent="0.25">
      <c r="A2602" s="22">
        <f t="shared" si="41"/>
        <v>2601</v>
      </c>
      <c r="B2602" s="6" t="s">
        <v>5960</v>
      </c>
      <c r="C2602" s="6" t="s">
        <v>6765</v>
      </c>
      <c r="D2602" s="6" t="s">
        <v>6932</v>
      </c>
      <c r="E2602" s="6" t="s">
        <v>6933</v>
      </c>
      <c r="F2602" s="6"/>
      <c r="G2602" s="6" t="s">
        <v>63</v>
      </c>
      <c r="H2602" s="6" t="str">
        <f>IFERROR(VLOOKUP(Table2[[#This Row],[Ticket]],Okey!A:B,2,0),"")</f>
        <v>ok</v>
      </c>
      <c r="I2602" s="6" t="s">
        <v>3679</v>
      </c>
      <c r="J2602" s="6" t="str">
        <f>VLOOKUP(Table2[[#This Row],[Author]],People!A:B,2,0)</f>
        <v>LS</v>
      </c>
      <c r="K2602" s="6" t="s">
        <v>5965</v>
      </c>
      <c r="L2602" s="6"/>
      <c r="M2602" s="21" t="s">
        <v>2804</v>
      </c>
    </row>
    <row r="2603" spans="1:13" x14ac:dyDescent="0.25">
      <c r="A2603" s="23">
        <f t="shared" si="41"/>
        <v>2602</v>
      </c>
      <c r="B2603" s="7" t="s">
        <v>5960</v>
      </c>
      <c r="C2603" s="7" t="s">
        <v>6765</v>
      </c>
      <c r="D2603" s="7" t="s">
        <v>6934</v>
      </c>
      <c r="E2603" s="7" t="s">
        <v>6935</v>
      </c>
      <c r="F2603" s="7"/>
      <c r="G2603" s="7" t="s">
        <v>63</v>
      </c>
      <c r="H2603" s="7" t="str">
        <f>IFERROR(VLOOKUP(Table2[[#This Row],[Ticket]],Okey!A:B,2,0),"")</f>
        <v>ok</v>
      </c>
      <c r="I2603" s="7" t="s">
        <v>3679</v>
      </c>
      <c r="J2603" s="7" t="str">
        <f>VLOOKUP(Table2[[#This Row],[Author]],People!A:B,2,0)</f>
        <v>LS</v>
      </c>
      <c r="K2603" s="7" t="s">
        <v>5965</v>
      </c>
      <c r="L2603" s="7"/>
      <c r="M2603" s="16" t="s">
        <v>2804</v>
      </c>
    </row>
    <row r="2604" spans="1:13" x14ac:dyDescent="0.25">
      <c r="A2604" s="22">
        <f t="shared" si="41"/>
        <v>2603</v>
      </c>
      <c r="B2604" s="6" t="s">
        <v>5960</v>
      </c>
      <c r="C2604" s="6" t="s">
        <v>6765</v>
      </c>
      <c r="D2604" s="6" t="s">
        <v>6936</v>
      </c>
      <c r="E2604" s="6" t="s">
        <v>6937</v>
      </c>
      <c r="F2604" s="6"/>
      <c r="G2604" s="6" t="s">
        <v>63</v>
      </c>
      <c r="H2604" s="6" t="str">
        <f>IFERROR(VLOOKUP(Table2[[#This Row],[Ticket]],Okey!A:B,2,0),"")</f>
        <v>ok</v>
      </c>
      <c r="I2604" s="6" t="s">
        <v>3679</v>
      </c>
      <c r="J2604" s="6" t="str">
        <f>VLOOKUP(Table2[[#This Row],[Author]],People!A:B,2,0)</f>
        <v>LS</v>
      </c>
      <c r="K2604" s="6" t="s">
        <v>5965</v>
      </c>
      <c r="L2604" s="6"/>
      <c r="M2604" s="21" t="s">
        <v>2804</v>
      </c>
    </row>
    <row r="2605" spans="1:13" x14ac:dyDescent="0.25">
      <c r="A2605" s="23">
        <f t="shared" si="41"/>
        <v>2604</v>
      </c>
      <c r="B2605" s="7" t="s">
        <v>5960</v>
      </c>
      <c r="C2605" s="7" t="s">
        <v>6765</v>
      </c>
      <c r="D2605" s="7" t="s">
        <v>6938</v>
      </c>
      <c r="E2605" s="7" t="s">
        <v>6939</v>
      </c>
      <c r="F2605" s="7"/>
      <c r="G2605" s="7" t="s">
        <v>63</v>
      </c>
      <c r="H2605" s="7" t="str">
        <f>IFERROR(VLOOKUP(Table2[[#This Row],[Ticket]],Okey!A:B,2,0),"")</f>
        <v>ok</v>
      </c>
      <c r="I2605" s="7" t="s">
        <v>3679</v>
      </c>
      <c r="J2605" s="7" t="str">
        <f>VLOOKUP(Table2[[#This Row],[Author]],People!A:B,2,0)</f>
        <v>LS</v>
      </c>
      <c r="K2605" s="7" t="s">
        <v>5965</v>
      </c>
      <c r="L2605" s="7"/>
      <c r="M2605" s="16" t="s">
        <v>2804</v>
      </c>
    </row>
    <row r="2606" spans="1:13" x14ac:dyDescent="0.25">
      <c r="A2606" s="22">
        <f t="shared" si="41"/>
        <v>2605</v>
      </c>
      <c r="B2606" s="6" t="s">
        <v>5960</v>
      </c>
      <c r="C2606" s="6" t="s">
        <v>6765</v>
      </c>
      <c r="D2606" s="6" t="s">
        <v>6940</v>
      </c>
      <c r="E2606" s="6" t="s">
        <v>6941</v>
      </c>
      <c r="F2606" s="6"/>
      <c r="G2606" s="6" t="s">
        <v>63</v>
      </c>
      <c r="H2606" s="6" t="str">
        <f>IFERROR(VLOOKUP(Table2[[#This Row],[Ticket]],Okey!A:B,2,0),"")</f>
        <v>ok</v>
      </c>
      <c r="I2606" s="6" t="s">
        <v>3679</v>
      </c>
      <c r="J2606" s="6" t="str">
        <f>VLOOKUP(Table2[[#This Row],[Author]],People!A:B,2,0)</f>
        <v>LS</v>
      </c>
      <c r="K2606" s="6" t="s">
        <v>5965</v>
      </c>
      <c r="L2606" s="6"/>
      <c r="M2606" s="21" t="s">
        <v>2804</v>
      </c>
    </row>
    <row r="2607" spans="1:13" x14ac:dyDescent="0.25">
      <c r="A2607" s="23">
        <f t="shared" si="41"/>
        <v>2606</v>
      </c>
      <c r="B2607" s="7" t="s">
        <v>5960</v>
      </c>
      <c r="C2607" s="7" t="s">
        <v>6765</v>
      </c>
      <c r="D2607" s="7" t="s">
        <v>6942</v>
      </c>
      <c r="E2607" s="7" t="s">
        <v>6943</v>
      </c>
      <c r="F2607" s="7"/>
      <c r="G2607" s="7" t="s">
        <v>63</v>
      </c>
      <c r="H2607" s="7" t="str">
        <f>IFERROR(VLOOKUP(Table2[[#This Row],[Ticket]],Okey!A:B,2,0),"")</f>
        <v>ok</v>
      </c>
      <c r="I2607" s="7" t="s">
        <v>3679</v>
      </c>
      <c r="J2607" s="7" t="str">
        <f>VLOOKUP(Table2[[#This Row],[Author]],People!A:B,2,0)</f>
        <v>LS</v>
      </c>
      <c r="K2607" s="7" t="s">
        <v>5965</v>
      </c>
      <c r="L2607" s="7"/>
      <c r="M2607" s="16" t="s">
        <v>2804</v>
      </c>
    </row>
    <row r="2608" spans="1:13" x14ac:dyDescent="0.25">
      <c r="A2608" s="22">
        <f t="shared" si="41"/>
        <v>2607</v>
      </c>
      <c r="B2608" s="6" t="s">
        <v>5960</v>
      </c>
      <c r="C2608" s="6" t="s">
        <v>6765</v>
      </c>
      <c r="D2608" s="6" t="s">
        <v>6944</v>
      </c>
      <c r="E2608" s="6" t="s">
        <v>6945</v>
      </c>
      <c r="F2608" s="6"/>
      <c r="G2608" s="6" t="s">
        <v>63</v>
      </c>
      <c r="H2608" s="6" t="str">
        <f>IFERROR(VLOOKUP(Table2[[#This Row],[Ticket]],Okey!A:B,2,0),"")</f>
        <v>ok</v>
      </c>
      <c r="I2608" s="6" t="s">
        <v>3679</v>
      </c>
      <c r="J2608" s="6" t="str">
        <f>VLOOKUP(Table2[[#This Row],[Author]],People!A:B,2,0)</f>
        <v>LS</v>
      </c>
      <c r="K2608" s="6" t="s">
        <v>5965</v>
      </c>
      <c r="L2608" s="6"/>
      <c r="M2608" s="21" t="s">
        <v>2804</v>
      </c>
    </row>
    <row r="2609" spans="1:13" x14ac:dyDescent="0.25">
      <c r="A2609" s="23">
        <f t="shared" si="41"/>
        <v>2608</v>
      </c>
      <c r="B2609" s="7" t="s">
        <v>5960</v>
      </c>
      <c r="C2609" s="7" t="s">
        <v>6765</v>
      </c>
      <c r="D2609" s="7" t="s">
        <v>6946</v>
      </c>
      <c r="E2609" s="7" t="s">
        <v>6947</v>
      </c>
      <c r="F2609" s="7"/>
      <c r="G2609" s="7" t="s">
        <v>63</v>
      </c>
      <c r="H2609" s="7" t="str">
        <f>IFERROR(VLOOKUP(Table2[[#This Row],[Ticket]],Okey!A:B,2,0),"")</f>
        <v>ok</v>
      </c>
      <c r="I2609" s="7" t="s">
        <v>3679</v>
      </c>
      <c r="J2609" s="7" t="str">
        <f>VLOOKUP(Table2[[#This Row],[Author]],People!A:B,2,0)</f>
        <v>LS</v>
      </c>
      <c r="K2609" s="7" t="s">
        <v>5965</v>
      </c>
      <c r="L2609" s="7"/>
      <c r="M2609" s="16" t="s">
        <v>2804</v>
      </c>
    </row>
    <row r="2610" spans="1:13" x14ac:dyDescent="0.25">
      <c r="A2610" s="22">
        <f t="shared" si="41"/>
        <v>2609</v>
      </c>
      <c r="B2610" s="6" t="s">
        <v>5960</v>
      </c>
      <c r="C2610" s="6" t="s">
        <v>6765</v>
      </c>
      <c r="D2610" s="6" t="s">
        <v>6948</v>
      </c>
      <c r="E2610" s="6" t="s">
        <v>6949</v>
      </c>
      <c r="F2610" s="6"/>
      <c r="G2610" s="6" t="s">
        <v>63</v>
      </c>
      <c r="H2610" s="6" t="str">
        <f>IFERROR(VLOOKUP(Table2[[#This Row],[Ticket]],Okey!A:B,2,0),"")</f>
        <v>ok</v>
      </c>
      <c r="I2610" s="6" t="s">
        <v>3679</v>
      </c>
      <c r="J2610" s="6" t="str">
        <f>VLOOKUP(Table2[[#This Row],[Author]],People!A:B,2,0)</f>
        <v>LS</v>
      </c>
      <c r="K2610" s="6" t="s">
        <v>5965</v>
      </c>
      <c r="L2610" s="6"/>
      <c r="M2610" s="21" t="s">
        <v>2804</v>
      </c>
    </row>
    <row r="2611" spans="1:13" x14ac:dyDescent="0.25">
      <c r="A2611" s="23">
        <f t="shared" si="41"/>
        <v>2610</v>
      </c>
      <c r="B2611" s="7" t="s">
        <v>5960</v>
      </c>
      <c r="C2611" s="7" t="s">
        <v>6765</v>
      </c>
      <c r="D2611" s="7" t="s">
        <v>6950</v>
      </c>
      <c r="E2611" s="7" t="s">
        <v>6951</v>
      </c>
      <c r="F2611" s="7"/>
      <c r="G2611" s="7" t="s">
        <v>63</v>
      </c>
      <c r="H2611" s="7" t="str">
        <f>IFERROR(VLOOKUP(Table2[[#This Row],[Ticket]],Okey!A:B,2,0),"")</f>
        <v>ok</v>
      </c>
      <c r="I2611" s="7" t="s">
        <v>3679</v>
      </c>
      <c r="J2611" s="7" t="str">
        <f>VLOOKUP(Table2[[#This Row],[Author]],People!A:B,2,0)</f>
        <v>LS</v>
      </c>
      <c r="K2611" s="7" t="s">
        <v>5965</v>
      </c>
      <c r="L2611" s="7"/>
      <c r="M2611" s="16" t="s">
        <v>2804</v>
      </c>
    </row>
    <row r="2612" spans="1:13" x14ac:dyDescent="0.25">
      <c r="A2612" s="22">
        <f t="shared" si="41"/>
        <v>2611</v>
      </c>
      <c r="B2612" s="6" t="s">
        <v>5960</v>
      </c>
      <c r="C2612" s="6" t="s">
        <v>6765</v>
      </c>
      <c r="D2612" s="6" t="s">
        <v>6952</v>
      </c>
      <c r="E2612" s="6" t="s">
        <v>6953</v>
      </c>
      <c r="F2612" s="6"/>
      <c r="G2612" s="6" t="s">
        <v>63</v>
      </c>
      <c r="H2612" s="6" t="str">
        <f>IFERROR(VLOOKUP(Table2[[#This Row],[Ticket]],Okey!A:B,2,0),"")</f>
        <v>ok</v>
      </c>
      <c r="I2612" s="6" t="s">
        <v>3679</v>
      </c>
      <c r="J2612" s="6" t="str">
        <f>VLOOKUP(Table2[[#This Row],[Author]],People!A:B,2,0)</f>
        <v>LS</v>
      </c>
      <c r="K2612" s="6" t="s">
        <v>5965</v>
      </c>
      <c r="L2612" s="6"/>
      <c r="M2612" s="21" t="s">
        <v>2804</v>
      </c>
    </row>
    <row r="2613" spans="1:13" x14ac:dyDescent="0.25">
      <c r="A2613" s="23">
        <f t="shared" si="41"/>
        <v>2612</v>
      </c>
      <c r="B2613" s="7" t="s">
        <v>5960</v>
      </c>
      <c r="C2613" s="7" t="s">
        <v>6765</v>
      </c>
      <c r="D2613" s="7" t="s">
        <v>6954</v>
      </c>
      <c r="E2613" s="7" t="s">
        <v>6955</v>
      </c>
      <c r="F2613" s="7"/>
      <c r="G2613" s="7" t="s">
        <v>63</v>
      </c>
      <c r="H2613" s="7" t="str">
        <f>IFERROR(VLOOKUP(Table2[[#This Row],[Ticket]],Okey!A:B,2,0),"")</f>
        <v>ok</v>
      </c>
      <c r="I2613" s="7" t="s">
        <v>3679</v>
      </c>
      <c r="J2613" s="7" t="str">
        <f>VLOOKUP(Table2[[#This Row],[Author]],People!A:B,2,0)</f>
        <v>LS</v>
      </c>
      <c r="K2613" s="7" t="s">
        <v>5965</v>
      </c>
      <c r="L2613" s="7"/>
      <c r="M2613" s="16" t="s">
        <v>2804</v>
      </c>
    </row>
    <row r="2614" spans="1:13" x14ac:dyDescent="0.25">
      <c r="A2614" s="22">
        <f t="shared" si="41"/>
        <v>2613</v>
      </c>
      <c r="B2614" s="6" t="s">
        <v>5960</v>
      </c>
      <c r="C2614" s="6" t="s">
        <v>6765</v>
      </c>
      <c r="D2614" s="6" t="s">
        <v>5898</v>
      </c>
      <c r="E2614" s="6" t="s">
        <v>6956</v>
      </c>
      <c r="F2614" s="6"/>
      <c r="G2614" s="6" t="s">
        <v>63</v>
      </c>
      <c r="H2614" s="6" t="str">
        <f>IFERROR(VLOOKUP(Table2[[#This Row],[Ticket]],Okey!A:B,2,0),"")</f>
        <v>ok</v>
      </c>
      <c r="I2614" s="6" t="s">
        <v>3679</v>
      </c>
      <c r="J2614" s="6" t="str">
        <f>VLOOKUP(Table2[[#This Row],[Author]],People!A:B,2,0)</f>
        <v>LS</v>
      </c>
      <c r="K2614" s="6" t="s">
        <v>5965</v>
      </c>
      <c r="L2614" s="6"/>
      <c r="M2614" s="21" t="s">
        <v>2804</v>
      </c>
    </row>
    <row r="2615" spans="1:13" x14ac:dyDescent="0.25">
      <c r="A2615" s="23">
        <f t="shared" si="41"/>
        <v>2614</v>
      </c>
      <c r="B2615" s="7" t="s">
        <v>5960</v>
      </c>
      <c r="C2615" s="7" t="s">
        <v>6765</v>
      </c>
      <c r="D2615" s="7" t="s">
        <v>2027</v>
      </c>
      <c r="E2615" s="7" t="s">
        <v>6957</v>
      </c>
      <c r="F2615" s="7"/>
      <c r="G2615" s="7" t="s">
        <v>63</v>
      </c>
      <c r="H2615" s="7" t="str">
        <f>IFERROR(VLOOKUP(Table2[[#This Row],[Ticket]],Okey!A:B,2,0),"")</f>
        <v>ok</v>
      </c>
      <c r="I2615" s="7" t="s">
        <v>3679</v>
      </c>
      <c r="J2615" s="7" t="str">
        <f>VLOOKUP(Table2[[#This Row],[Author]],People!A:B,2,0)</f>
        <v>LS</v>
      </c>
      <c r="K2615" s="7" t="s">
        <v>5965</v>
      </c>
      <c r="L2615" s="7"/>
      <c r="M2615" s="16" t="s">
        <v>2804</v>
      </c>
    </row>
    <row r="2616" spans="1:13" x14ac:dyDescent="0.25">
      <c r="A2616" s="22">
        <f t="shared" si="41"/>
        <v>2615</v>
      </c>
      <c r="B2616" s="6" t="s">
        <v>5960</v>
      </c>
      <c r="C2616" s="6" t="s">
        <v>6765</v>
      </c>
      <c r="D2616" s="6" t="s">
        <v>2029</v>
      </c>
      <c r="E2616" s="6" t="s">
        <v>6958</v>
      </c>
      <c r="F2616" s="6"/>
      <c r="G2616" s="6" t="s">
        <v>63</v>
      </c>
      <c r="H2616" s="6" t="str">
        <f>IFERROR(VLOOKUP(Table2[[#This Row],[Ticket]],Okey!A:B,2,0),"")</f>
        <v>ok</v>
      </c>
      <c r="I2616" s="6" t="s">
        <v>3679</v>
      </c>
      <c r="J2616" s="6" t="str">
        <f>VLOOKUP(Table2[[#This Row],[Author]],People!A:B,2,0)</f>
        <v>LS</v>
      </c>
      <c r="K2616" s="6" t="s">
        <v>5965</v>
      </c>
      <c r="L2616" s="6"/>
      <c r="M2616" s="21" t="s">
        <v>2804</v>
      </c>
    </row>
    <row r="2617" spans="1:13" x14ac:dyDescent="0.25">
      <c r="A2617" s="23">
        <f t="shared" si="41"/>
        <v>2616</v>
      </c>
      <c r="B2617" s="7" t="s">
        <v>5960</v>
      </c>
      <c r="C2617" s="7" t="s">
        <v>6765</v>
      </c>
      <c r="D2617" s="7" t="s">
        <v>6959</v>
      </c>
      <c r="E2617" s="7" t="s">
        <v>6960</v>
      </c>
      <c r="F2617" s="7"/>
      <c r="G2617" s="7" t="s">
        <v>63</v>
      </c>
      <c r="H2617" s="7" t="str">
        <f>IFERROR(VLOOKUP(Table2[[#This Row],[Ticket]],Okey!A:B,2,0),"")</f>
        <v>ok</v>
      </c>
      <c r="I2617" s="7" t="s">
        <v>3679</v>
      </c>
      <c r="J2617" s="7" t="str">
        <f>VLOOKUP(Table2[[#This Row],[Author]],People!A:B,2,0)</f>
        <v>LS</v>
      </c>
      <c r="K2617" s="7" t="s">
        <v>5965</v>
      </c>
      <c r="L2617" s="7"/>
      <c r="M2617" s="16" t="s">
        <v>2804</v>
      </c>
    </row>
    <row r="2618" spans="1:13" x14ac:dyDescent="0.25">
      <c r="A2618" s="22">
        <f t="shared" si="41"/>
        <v>2617</v>
      </c>
      <c r="B2618" s="6" t="s">
        <v>5960</v>
      </c>
      <c r="C2618" s="6" t="s">
        <v>6765</v>
      </c>
      <c r="D2618" s="6" t="s">
        <v>6961</v>
      </c>
      <c r="E2618" s="6" t="s">
        <v>6962</v>
      </c>
      <c r="F2618" s="6"/>
      <c r="G2618" s="6" t="s">
        <v>63</v>
      </c>
      <c r="H2618" s="6" t="str">
        <f>IFERROR(VLOOKUP(Table2[[#This Row],[Ticket]],Okey!A:B,2,0),"")</f>
        <v>ok</v>
      </c>
      <c r="I2618" s="6" t="s">
        <v>3679</v>
      </c>
      <c r="J2618" s="6" t="str">
        <f>VLOOKUP(Table2[[#This Row],[Author]],People!A:B,2,0)</f>
        <v>LS</v>
      </c>
      <c r="K2618" s="6" t="s">
        <v>5965</v>
      </c>
      <c r="L2618" s="6"/>
      <c r="M2618" s="21" t="s">
        <v>2804</v>
      </c>
    </row>
    <row r="2619" spans="1:13" x14ac:dyDescent="0.25">
      <c r="A2619" s="23">
        <f t="shared" si="41"/>
        <v>2618</v>
      </c>
      <c r="B2619" s="7" t="s">
        <v>5960</v>
      </c>
      <c r="C2619" s="7" t="s">
        <v>6765</v>
      </c>
      <c r="D2619" s="7" t="s">
        <v>6963</v>
      </c>
      <c r="E2619" s="7" t="s">
        <v>6964</v>
      </c>
      <c r="F2619" s="7"/>
      <c r="G2619" s="7" t="s">
        <v>63</v>
      </c>
      <c r="H2619" s="7" t="str">
        <f>IFERROR(VLOOKUP(Table2[[#This Row],[Ticket]],Okey!A:B,2,0),"")</f>
        <v>ok</v>
      </c>
      <c r="I2619" s="7" t="s">
        <v>3679</v>
      </c>
      <c r="J2619" s="7" t="str">
        <f>VLOOKUP(Table2[[#This Row],[Author]],People!A:B,2,0)</f>
        <v>LS</v>
      </c>
      <c r="K2619" s="7" t="s">
        <v>5965</v>
      </c>
      <c r="L2619" s="7"/>
      <c r="M2619" s="16" t="s">
        <v>2804</v>
      </c>
    </row>
    <row r="2620" spans="1:13" x14ac:dyDescent="0.25">
      <c r="A2620" s="22">
        <f t="shared" si="41"/>
        <v>2619</v>
      </c>
      <c r="B2620" s="6" t="s">
        <v>5960</v>
      </c>
      <c r="C2620" s="6" t="s">
        <v>6765</v>
      </c>
      <c r="D2620" s="6" t="s">
        <v>6965</v>
      </c>
      <c r="E2620" s="6" t="s">
        <v>6966</v>
      </c>
      <c r="F2620" s="6"/>
      <c r="G2620" s="6" t="s">
        <v>63</v>
      </c>
      <c r="H2620" s="6" t="str">
        <f>IFERROR(VLOOKUP(Table2[[#This Row],[Ticket]],Okey!A:B,2,0),"")</f>
        <v>ok</v>
      </c>
      <c r="I2620" s="6" t="s">
        <v>3679</v>
      </c>
      <c r="J2620" s="6" t="str">
        <f>VLOOKUP(Table2[[#This Row],[Author]],People!A:B,2,0)</f>
        <v>LS</v>
      </c>
      <c r="K2620" s="6" t="s">
        <v>5965</v>
      </c>
      <c r="L2620" s="6"/>
      <c r="M2620" s="21" t="s">
        <v>2804</v>
      </c>
    </row>
    <row r="2621" spans="1:13" x14ac:dyDescent="0.25">
      <c r="A2621" s="23">
        <f t="shared" si="41"/>
        <v>2620</v>
      </c>
      <c r="B2621" s="7" t="s">
        <v>5960</v>
      </c>
      <c r="C2621" s="7" t="s">
        <v>6765</v>
      </c>
      <c r="D2621" s="7" t="s">
        <v>6967</v>
      </c>
      <c r="E2621" s="7" t="s">
        <v>6968</v>
      </c>
      <c r="F2621" s="7"/>
      <c r="G2621" s="7" t="s">
        <v>63</v>
      </c>
      <c r="H2621" s="7" t="str">
        <f>IFERROR(VLOOKUP(Table2[[#This Row],[Ticket]],Okey!A:B,2,0),"")</f>
        <v>ok</v>
      </c>
      <c r="I2621" s="7" t="s">
        <v>3679</v>
      </c>
      <c r="J2621" s="7" t="str">
        <f>VLOOKUP(Table2[[#This Row],[Author]],People!A:B,2,0)</f>
        <v>LS</v>
      </c>
      <c r="K2621" s="7" t="s">
        <v>5965</v>
      </c>
      <c r="L2621" s="7"/>
      <c r="M2621" s="16" t="s">
        <v>2804</v>
      </c>
    </row>
    <row r="2622" spans="1:13" x14ac:dyDescent="0.25">
      <c r="A2622" s="22">
        <f t="shared" si="41"/>
        <v>2621</v>
      </c>
      <c r="B2622" s="6" t="s">
        <v>5960</v>
      </c>
      <c r="C2622" s="6" t="s">
        <v>6765</v>
      </c>
      <c r="D2622" s="6" t="s">
        <v>5215</v>
      </c>
      <c r="E2622" s="6" t="s">
        <v>6969</v>
      </c>
      <c r="F2622" s="6"/>
      <c r="G2622" s="6" t="s">
        <v>63</v>
      </c>
      <c r="H2622" s="6" t="str">
        <f>IFERROR(VLOOKUP(Table2[[#This Row],[Ticket]],Okey!A:B,2,0),"")</f>
        <v>ok</v>
      </c>
      <c r="I2622" s="6" t="s">
        <v>3679</v>
      </c>
      <c r="J2622" s="6" t="str">
        <f>VLOOKUP(Table2[[#This Row],[Author]],People!A:B,2,0)</f>
        <v>LS</v>
      </c>
      <c r="K2622" s="6" t="s">
        <v>5965</v>
      </c>
      <c r="L2622" s="6"/>
      <c r="M2622" s="21" t="s">
        <v>2804</v>
      </c>
    </row>
    <row r="2623" spans="1:13" x14ac:dyDescent="0.25">
      <c r="A2623" s="23">
        <f t="shared" si="41"/>
        <v>2622</v>
      </c>
      <c r="B2623" s="7" t="s">
        <v>5960</v>
      </c>
      <c r="C2623" s="7" t="s">
        <v>6765</v>
      </c>
      <c r="D2623" s="7" t="s">
        <v>6970</v>
      </c>
      <c r="E2623" s="7" t="s">
        <v>6969</v>
      </c>
      <c r="F2623" s="7"/>
      <c r="G2623" s="7" t="s">
        <v>63</v>
      </c>
      <c r="H2623" s="7" t="str">
        <f>IFERROR(VLOOKUP(Table2[[#This Row],[Ticket]],Okey!A:B,2,0),"")</f>
        <v>ok</v>
      </c>
      <c r="I2623" s="7" t="s">
        <v>3679</v>
      </c>
      <c r="J2623" s="7" t="str">
        <f>VLOOKUP(Table2[[#This Row],[Author]],People!A:B,2,0)</f>
        <v>LS</v>
      </c>
      <c r="K2623" s="7" t="s">
        <v>5965</v>
      </c>
      <c r="L2623" s="7"/>
      <c r="M2623" s="16" t="s">
        <v>2804</v>
      </c>
    </row>
    <row r="2624" spans="1:13" x14ac:dyDescent="0.25">
      <c r="A2624" s="22">
        <f t="shared" si="41"/>
        <v>2623</v>
      </c>
      <c r="B2624" s="6" t="s">
        <v>5960</v>
      </c>
      <c r="C2624" s="6" t="s">
        <v>6765</v>
      </c>
      <c r="D2624" s="6" t="s">
        <v>4826</v>
      </c>
      <c r="E2624" s="6" t="s">
        <v>6971</v>
      </c>
      <c r="F2624" s="6"/>
      <c r="G2624" s="6" t="s">
        <v>63</v>
      </c>
      <c r="H2624" s="6" t="str">
        <f>IFERROR(VLOOKUP(Table2[[#This Row],[Ticket]],Okey!A:B,2,0),"")</f>
        <v>ok</v>
      </c>
      <c r="I2624" s="6" t="s">
        <v>3679</v>
      </c>
      <c r="J2624" s="6" t="str">
        <f>VLOOKUP(Table2[[#This Row],[Author]],People!A:B,2,0)</f>
        <v>LS</v>
      </c>
      <c r="K2624" s="6" t="s">
        <v>5965</v>
      </c>
      <c r="L2624" s="6"/>
      <c r="M2624" s="21" t="s">
        <v>2804</v>
      </c>
    </row>
    <row r="2625" spans="1:13" x14ac:dyDescent="0.25">
      <c r="A2625" s="23">
        <f t="shared" si="41"/>
        <v>2624</v>
      </c>
      <c r="B2625" s="7" t="s">
        <v>5960</v>
      </c>
      <c r="C2625" s="7" t="s">
        <v>6765</v>
      </c>
      <c r="D2625" s="7" t="s">
        <v>4828</v>
      </c>
      <c r="E2625" s="7" t="s">
        <v>6972</v>
      </c>
      <c r="F2625" s="7"/>
      <c r="G2625" s="7" t="s">
        <v>63</v>
      </c>
      <c r="H2625" s="7" t="str">
        <f>IFERROR(VLOOKUP(Table2[[#This Row],[Ticket]],Okey!A:B,2,0),"")</f>
        <v>ok</v>
      </c>
      <c r="I2625" s="7" t="s">
        <v>3679</v>
      </c>
      <c r="J2625" s="7" t="str">
        <f>VLOOKUP(Table2[[#This Row],[Author]],People!A:B,2,0)</f>
        <v>LS</v>
      </c>
      <c r="K2625" s="7" t="s">
        <v>5965</v>
      </c>
      <c r="L2625" s="7"/>
      <c r="M2625" s="16" t="s">
        <v>2804</v>
      </c>
    </row>
    <row r="2626" spans="1:13" x14ac:dyDescent="0.25">
      <c r="A2626" s="22">
        <f t="shared" si="41"/>
        <v>2625</v>
      </c>
      <c r="B2626" s="6" t="s">
        <v>5960</v>
      </c>
      <c r="C2626" s="6" t="s">
        <v>6765</v>
      </c>
      <c r="D2626" s="6" t="s">
        <v>3056</v>
      </c>
      <c r="E2626" s="6" t="s">
        <v>3057</v>
      </c>
      <c r="F2626" s="6"/>
      <c r="G2626" s="6" t="s">
        <v>63</v>
      </c>
      <c r="H2626" s="6" t="str">
        <f>IFERROR(VLOOKUP(Table2[[#This Row],[Ticket]],Okey!A:B,2,0),"")</f>
        <v>ok</v>
      </c>
      <c r="I2626" s="6" t="s">
        <v>3679</v>
      </c>
      <c r="J2626" s="6" t="str">
        <f>VLOOKUP(Table2[[#This Row],[Author]],People!A:B,2,0)</f>
        <v>LS</v>
      </c>
      <c r="K2626" s="6" t="s">
        <v>5965</v>
      </c>
      <c r="L2626" s="6"/>
      <c r="M2626" s="21" t="s">
        <v>2804</v>
      </c>
    </row>
    <row r="2627" spans="1:13" x14ac:dyDescent="0.25">
      <c r="A2627" s="23">
        <f t="shared" si="41"/>
        <v>2626</v>
      </c>
      <c r="B2627" s="7" t="s">
        <v>5960</v>
      </c>
      <c r="C2627" s="7" t="s">
        <v>6765</v>
      </c>
      <c r="D2627" s="7" t="s">
        <v>3083</v>
      </c>
      <c r="E2627" s="7" t="s">
        <v>3084</v>
      </c>
      <c r="F2627" s="7"/>
      <c r="G2627" s="7" t="s">
        <v>63</v>
      </c>
      <c r="H2627" s="7" t="str">
        <f>IFERROR(VLOOKUP(Table2[[#This Row],[Ticket]],Okey!A:B,2,0),"")</f>
        <v>ok</v>
      </c>
      <c r="I2627" s="7" t="s">
        <v>3679</v>
      </c>
      <c r="J2627" s="7" t="str">
        <f>VLOOKUP(Table2[[#This Row],[Author]],People!A:B,2,0)</f>
        <v>LS</v>
      </c>
      <c r="K2627" s="7" t="s">
        <v>5965</v>
      </c>
      <c r="L2627" s="7"/>
      <c r="M2627" s="16" t="s">
        <v>2804</v>
      </c>
    </row>
    <row r="2628" spans="1:13" x14ac:dyDescent="0.25">
      <c r="A2628" s="22">
        <f t="shared" si="41"/>
        <v>2627</v>
      </c>
      <c r="B2628" s="6" t="s">
        <v>5960</v>
      </c>
      <c r="C2628" s="6" t="s">
        <v>6765</v>
      </c>
      <c r="D2628" s="6" t="s">
        <v>3110</v>
      </c>
      <c r="E2628" s="6" t="s">
        <v>3111</v>
      </c>
      <c r="F2628" s="6"/>
      <c r="G2628" s="6" t="s">
        <v>63</v>
      </c>
      <c r="H2628" s="6" t="str">
        <f>IFERROR(VLOOKUP(Table2[[#This Row],[Ticket]],Okey!A:B,2,0),"")</f>
        <v>ok</v>
      </c>
      <c r="I2628" s="6" t="s">
        <v>3679</v>
      </c>
      <c r="J2628" s="6" t="str">
        <f>VLOOKUP(Table2[[#This Row],[Author]],People!A:B,2,0)</f>
        <v>LS</v>
      </c>
      <c r="K2628" s="6" t="s">
        <v>5965</v>
      </c>
      <c r="L2628" s="6"/>
      <c r="M2628" s="21" t="s">
        <v>2804</v>
      </c>
    </row>
    <row r="2629" spans="1:13" x14ac:dyDescent="0.25">
      <c r="A2629" s="23">
        <f t="shared" si="41"/>
        <v>2628</v>
      </c>
      <c r="B2629" s="7" t="s">
        <v>5960</v>
      </c>
      <c r="C2629" s="7" t="s">
        <v>6765</v>
      </c>
      <c r="D2629" s="7" t="s">
        <v>3133</v>
      </c>
      <c r="E2629" s="7" t="s">
        <v>3134</v>
      </c>
      <c r="F2629" s="7"/>
      <c r="G2629" s="7" t="s">
        <v>63</v>
      </c>
      <c r="H2629" s="7" t="str">
        <f>IFERROR(VLOOKUP(Table2[[#This Row],[Ticket]],Okey!A:B,2,0),"")</f>
        <v>ok</v>
      </c>
      <c r="I2629" s="7" t="s">
        <v>3679</v>
      </c>
      <c r="J2629" s="7" t="str">
        <f>VLOOKUP(Table2[[#This Row],[Author]],People!A:B,2,0)</f>
        <v>LS</v>
      </c>
      <c r="K2629" s="7" t="s">
        <v>5965</v>
      </c>
      <c r="L2629" s="7"/>
      <c r="M2629" s="16" t="s">
        <v>2804</v>
      </c>
    </row>
    <row r="2630" spans="1:13" x14ac:dyDescent="0.25">
      <c r="A2630" s="22">
        <f t="shared" si="41"/>
        <v>2629</v>
      </c>
      <c r="B2630" s="6" t="s">
        <v>5960</v>
      </c>
      <c r="C2630" s="6" t="s">
        <v>6765</v>
      </c>
      <c r="D2630" s="6" t="s">
        <v>3144</v>
      </c>
      <c r="E2630" s="6" t="s">
        <v>3145</v>
      </c>
      <c r="F2630" s="6"/>
      <c r="G2630" s="6" t="s">
        <v>63</v>
      </c>
      <c r="H2630" s="6" t="str">
        <f>IFERROR(VLOOKUP(Table2[[#This Row],[Ticket]],Okey!A:B,2,0),"")</f>
        <v>ok</v>
      </c>
      <c r="I2630" s="6" t="s">
        <v>3679</v>
      </c>
      <c r="J2630" s="6" t="str">
        <f>VLOOKUP(Table2[[#This Row],[Author]],People!A:B,2,0)</f>
        <v>LS</v>
      </c>
      <c r="K2630" s="6" t="s">
        <v>5965</v>
      </c>
      <c r="L2630" s="6"/>
      <c r="M2630" s="21" t="s">
        <v>2804</v>
      </c>
    </row>
    <row r="2631" spans="1:13" x14ac:dyDescent="0.25">
      <c r="A2631" s="23">
        <f t="shared" si="41"/>
        <v>2630</v>
      </c>
      <c r="B2631" s="7" t="s">
        <v>5960</v>
      </c>
      <c r="C2631" s="7" t="s">
        <v>6765</v>
      </c>
      <c r="D2631" s="7" t="s">
        <v>3146</v>
      </c>
      <c r="E2631" s="7" t="s">
        <v>3147</v>
      </c>
      <c r="F2631" s="7"/>
      <c r="G2631" s="7" t="s">
        <v>63</v>
      </c>
      <c r="H2631" s="7" t="str">
        <f>IFERROR(VLOOKUP(Table2[[#This Row],[Ticket]],Okey!A:B,2,0),"")</f>
        <v>ok</v>
      </c>
      <c r="I2631" s="7" t="s">
        <v>3679</v>
      </c>
      <c r="J2631" s="7" t="str">
        <f>VLOOKUP(Table2[[#This Row],[Author]],People!A:B,2,0)</f>
        <v>LS</v>
      </c>
      <c r="K2631" s="7" t="s">
        <v>5965</v>
      </c>
      <c r="L2631" s="7"/>
      <c r="M2631" s="16" t="s">
        <v>2804</v>
      </c>
    </row>
    <row r="2632" spans="1:13" x14ac:dyDescent="0.25">
      <c r="A2632" s="22">
        <f t="shared" si="41"/>
        <v>2631</v>
      </c>
      <c r="B2632" s="6" t="s">
        <v>5960</v>
      </c>
      <c r="C2632" s="6" t="s">
        <v>6765</v>
      </c>
      <c r="D2632" s="6" t="s">
        <v>3148</v>
      </c>
      <c r="E2632" s="6" t="s">
        <v>3149</v>
      </c>
      <c r="F2632" s="6"/>
      <c r="G2632" s="6" t="s">
        <v>63</v>
      </c>
      <c r="H2632" s="6" t="str">
        <f>IFERROR(VLOOKUP(Table2[[#This Row],[Ticket]],Okey!A:B,2,0),"")</f>
        <v>ok</v>
      </c>
      <c r="I2632" s="6" t="s">
        <v>3679</v>
      </c>
      <c r="J2632" s="6" t="str">
        <f>VLOOKUP(Table2[[#This Row],[Author]],People!A:B,2,0)</f>
        <v>LS</v>
      </c>
      <c r="K2632" s="6" t="s">
        <v>5965</v>
      </c>
      <c r="L2632" s="6"/>
      <c r="M2632" s="21" t="s">
        <v>2804</v>
      </c>
    </row>
    <row r="2633" spans="1:13" x14ac:dyDescent="0.25">
      <c r="A2633" s="23">
        <f t="shared" si="41"/>
        <v>2632</v>
      </c>
      <c r="B2633" s="7" t="s">
        <v>5960</v>
      </c>
      <c r="C2633" s="7" t="s">
        <v>6765</v>
      </c>
      <c r="D2633" s="7" t="s">
        <v>3150</v>
      </c>
      <c r="E2633" s="7" t="s">
        <v>3151</v>
      </c>
      <c r="F2633" s="7"/>
      <c r="G2633" s="7" t="s">
        <v>63</v>
      </c>
      <c r="H2633" s="7" t="str">
        <f>IFERROR(VLOOKUP(Table2[[#This Row],[Ticket]],Okey!A:B,2,0),"")</f>
        <v>ok</v>
      </c>
      <c r="I2633" s="7" t="s">
        <v>3679</v>
      </c>
      <c r="J2633" s="7" t="str">
        <f>VLOOKUP(Table2[[#This Row],[Author]],People!A:B,2,0)</f>
        <v>LS</v>
      </c>
      <c r="K2633" s="7" t="s">
        <v>5965</v>
      </c>
      <c r="L2633" s="7"/>
      <c r="M2633" s="16" t="s">
        <v>2804</v>
      </c>
    </row>
    <row r="2634" spans="1:13" x14ac:dyDescent="0.25">
      <c r="A2634" s="22">
        <f t="shared" si="41"/>
        <v>2633</v>
      </c>
      <c r="B2634" s="6" t="s">
        <v>5960</v>
      </c>
      <c r="C2634" s="6" t="s">
        <v>6765</v>
      </c>
      <c r="D2634" s="6" t="s">
        <v>3152</v>
      </c>
      <c r="E2634" s="6" t="s">
        <v>3153</v>
      </c>
      <c r="F2634" s="6"/>
      <c r="G2634" s="6" t="s">
        <v>63</v>
      </c>
      <c r="H2634" s="6" t="str">
        <f>IFERROR(VLOOKUP(Table2[[#This Row],[Ticket]],Okey!A:B,2,0),"")</f>
        <v>ok</v>
      </c>
      <c r="I2634" s="6" t="s">
        <v>3679</v>
      </c>
      <c r="J2634" s="6" t="str">
        <f>VLOOKUP(Table2[[#This Row],[Author]],People!A:B,2,0)</f>
        <v>LS</v>
      </c>
      <c r="K2634" s="6" t="s">
        <v>5965</v>
      </c>
      <c r="L2634" s="6"/>
      <c r="M2634" s="21" t="s">
        <v>2804</v>
      </c>
    </row>
    <row r="2635" spans="1:13" x14ac:dyDescent="0.25">
      <c r="A2635" s="23">
        <f t="shared" si="41"/>
        <v>2634</v>
      </c>
      <c r="B2635" s="7" t="s">
        <v>5960</v>
      </c>
      <c r="C2635" s="7" t="s">
        <v>6765</v>
      </c>
      <c r="D2635" s="7" t="s">
        <v>3154</v>
      </c>
      <c r="E2635" s="7" t="s">
        <v>3155</v>
      </c>
      <c r="F2635" s="7"/>
      <c r="G2635" s="7" t="s">
        <v>63</v>
      </c>
      <c r="H2635" s="7" t="str">
        <f>IFERROR(VLOOKUP(Table2[[#This Row],[Ticket]],Okey!A:B,2,0),"")</f>
        <v>ok</v>
      </c>
      <c r="I2635" s="7" t="s">
        <v>3679</v>
      </c>
      <c r="J2635" s="7" t="str">
        <f>VLOOKUP(Table2[[#This Row],[Author]],People!A:B,2,0)</f>
        <v>LS</v>
      </c>
      <c r="K2635" s="7" t="s">
        <v>5965</v>
      </c>
      <c r="L2635" s="7"/>
      <c r="M2635" s="16" t="s">
        <v>2804</v>
      </c>
    </row>
    <row r="2636" spans="1:13" x14ac:dyDescent="0.25">
      <c r="A2636" s="22">
        <f t="shared" si="41"/>
        <v>2635</v>
      </c>
      <c r="B2636" s="6" t="s">
        <v>5960</v>
      </c>
      <c r="C2636" s="6" t="s">
        <v>6765</v>
      </c>
      <c r="D2636" s="6" t="s">
        <v>3156</v>
      </c>
      <c r="E2636" s="6" t="s">
        <v>3157</v>
      </c>
      <c r="F2636" s="6"/>
      <c r="G2636" s="6" t="s">
        <v>63</v>
      </c>
      <c r="H2636" s="6" t="str">
        <f>IFERROR(VLOOKUP(Table2[[#This Row],[Ticket]],Okey!A:B,2,0),"")</f>
        <v>ok</v>
      </c>
      <c r="I2636" s="6" t="s">
        <v>3679</v>
      </c>
      <c r="J2636" s="6" t="str">
        <f>VLOOKUP(Table2[[#This Row],[Author]],People!A:B,2,0)</f>
        <v>LS</v>
      </c>
      <c r="K2636" s="6" t="s">
        <v>5965</v>
      </c>
      <c r="L2636" s="6"/>
      <c r="M2636" s="21" t="s">
        <v>2804</v>
      </c>
    </row>
    <row r="2637" spans="1:13" x14ac:dyDescent="0.25">
      <c r="A2637" s="23">
        <f t="shared" si="41"/>
        <v>2636</v>
      </c>
      <c r="B2637" s="7" t="s">
        <v>5960</v>
      </c>
      <c r="C2637" s="7" t="s">
        <v>6765</v>
      </c>
      <c r="D2637" s="7" t="s">
        <v>3158</v>
      </c>
      <c r="E2637" s="7" t="s">
        <v>3159</v>
      </c>
      <c r="F2637" s="7"/>
      <c r="G2637" s="7" t="s">
        <v>63</v>
      </c>
      <c r="H2637" s="7" t="str">
        <f>IFERROR(VLOOKUP(Table2[[#This Row],[Ticket]],Okey!A:B,2,0),"")</f>
        <v>ok</v>
      </c>
      <c r="I2637" s="7" t="s">
        <v>3679</v>
      </c>
      <c r="J2637" s="7" t="str">
        <f>VLOOKUP(Table2[[#This Row],[Author]],People!A:B,2,0)</f>
        <v>LS</v>
      </c>
      <c r="K2637" s="7" t="s">
        <v>5965</v>
      </c>
      <c r="L2637" s="7"/>
      <c r="M2637" s="16" t="s">
        <v>2804</v>
      </c>
    </row>
    <row r="2638" spans="1:13" x14ac:dyDescent="0.25">
      <c r="A2638" s="22">
        <f t="shared" si="41"/>
        <v>2637</v>
      </c>
      <c r="B2638" s="6" t="s">
        <v>5960</v>
      </c>
      <c r="C2638" s="6" t="s">
        <v>6765</v>
      </c>
      <c r="D2638" s="6" t="s">
        <v>3178</v>
      </c>
      <c r="E2638" s="6" t="s">
        <v>3177</v>
      </c>
      <c r="F2638" s="6"/>
      <c r="G2638" s="6" t="s">
        <v>63</v>
      </c>
      <c r="H2638" s="6" t="str">
        <f>IFERROR(VLOOKUP(Table2[[#This Row],[Ticket]],Okey!A:B,2,0),"")</f>
        <v>ok</v>
      </c>
      <c r="I2638" s="6" t="s">
        <v>3679</v>
      </c>
      <c r="J2638" s="6" t="str">
        <f>VLOOKUP(Table2[[#This Row],[Author]],People!A:B,2,0)</f>
        <v>LS</v>
      </c>
      <c r="K2638" s="6" t="s">
        <v>5965</v>
      </c>
      <c r="L2638" s="6"/>
      <c r="M2638" s="21" t="s">
        <v>2804</v>
      </c>
    </row>
    <row r="2639" spans="1:13" x14ac:dyDescent="0.25">
      <c r="A2639" s="23">
        <f t="shared" si="41"/>
        <v>2638</v>
      </c>
      <c r="B2639" s="7" t="s">
        <v>5960</v>
      </c>
      <c r="C2639" s="7" t="s">
        <v>6765</v>
      </c>
      <c r="D2639" s="7" t="s">
        <v>1816</v>
      </c>
      <c r="E2639" s="7" t="s">
        <v>6973</v>
      </c>
      <c r="F2639" s="7"/>
      <c r="G2639" s="7" t="s">
        <v>63</v>
      </c>
      <c r="H2639" s="7" t="str">
        <f>IFERROR(VLOOKUP(Table2[[#This Row],[Ticket]],Okey!A:B,2,0),"")</f>
        <v>ok</v>
      </c>
      <c r="I2639" s="7" t="s">
        <v>3679</v>
      </c>
      <c r="J2639" s="7" t="str">
        <f>VLOOKUP(Table2[[#This Row],[Author]],People!A:B,2,0)</f>
        <v>LS</v>
      </c>
      <c r="K2639" s="7" t="s">
        <v>5965</v>
      </c>
      <c r="L2639" s="7"/>
      <c r="M2639" s="16" t="s">
        <v>2804</v>
      </c>
    </row>
    <row r="2640" spans="1:13" x14ac:dyDescent="0.25">
      <c r="A2640" s="22">
        <f t="shared" si="41"/>
        <v>2639</v>
      </c>
      <c r="B2640" s="6" t="s">
        <v>5960</v>
      </c>
      <c r="C2640" s="6" t="s">
        <v>6765</v>
      </c>
      <c r="D2640" s="6" t="s">
        <v>2050</v>
      </c>
      <c r="E2640" s="6" t="s">
        <v>6974</v>
      </c>
      <c r="F2640" s="6"/>
      <c r="G2640" s="6" t="s">
        <v>63</v>
      </c>
      <c r="H2640" s="6" t="str">
        <f>IFERROR(VLOOKUP(Table2[[#This Row],[Ticket]],Okey!A:B,2,0),"")</f>
        <v>ok</v>
      </c>
      <c r="I2640" s="6" t="s">
        <v>3679</v>
      </c>
      <c r="J2640" s="6" t="str">
        <f>VLOOKUP(Table2[[#This Row],[Author]],People!A:B,2,0)</f>
        <v>LS</v>
      </c>
      <c r="K2640" s="6" t="s">
        <v>5965</v>
      </c>
      <c r="L2640" s="6"/>
      <c r="M2640" s="21" t="s">
        <v>2804</v>
      </c>
    </row>
    <row r="2641" spans="1:13" x14ac:dyDescent="0.25">
      <c r="A2641" s="23">
        <f t="shared" si="41"/>
        <v>2640</v>
      </c>
      <c r="B2641" s="7" t="s">
        <v>5960</v>
      </c>
      <c r="C2641" s="7" t="s">
        <v>6765</v>
      </c>
      <c r="D2641" s="7" t="s">
        <v>6975</v>
      </c>
      <c r="E2641" s="7" t="s">
        <v>6976</v>
      </c>
      <c r="F2641" s="7"/>
      <c r="G2641" s="7" t="s">
        <v>63</v>
      </c>
      <c r="H2641" s="7" t="str">
        <f>IFERROR(VLOOKUP(Table2[[#This Row],[Ticket]],Okey!A:B,2,0),"")</f>
        <v>ok</v>
      </c>
      <c r="I2641" s="7" t="s">
        <v>3679</v>
      </c>
      <c r="J2641" s="7" t="str">
        <f>VLOOKUP(Table2[[#This Row],[Author]],People!A:B,2,0)</f>
        <v>LS</v>
      </c>
      <c r="K2641" s="7" t="s">
        <v>5965</v>
      </c>
      <c r="L2641" s="7"/>
      <c r="M2641" s="16" t="s">
        <v>2804</v>
      </c>
    </row>
    <row r="2642" spans="1:13" x14ac:dyDescent="0.25">
      <c r="A2642" s="22">
        <f t="shared" si="41"/>
        <v>2641</v>
      </c>
      <c r="B2642" s="6" t="s">
        <v>5960</v>
      </c>
      <c r="C2642" s="6" t="s">
        <v>6765</v>
      </c>
      <c r="D2642" s="6" t="s">
        <v>6977</v>
      </c>
      <c r="E2642" s="6" t="s">
        <v>6978</v>
      </c>
      <c r="F2642" s="6"/>
      <c r="G2642" s="6" t="s">
        <v>63</v>
      </c>
      <c r="H2642" s="6" t="str">
        <f>IFERROR(VLOOKUP(Table2[[#This Row],[Ticket]],Okey!A:B,2,0),"")</f>
        <v>ok</v>
      </c>
      <c r="I2642" s="6" t="s">
        <v>3679</v>
      </c>
      <c r="J2642" s="6" t="str">
        <f>VLOOKUP(Table2[[#This Row],[Author]],People!A:B,2,0)</f>
        <v>LS</v>
      </c>
      <c r="K2642" s="6" t="s">
        <v>5965</v>
      </c>
      <c r="L2642" s="6"/>
      <c r="M2642" s="21" t="s">
        <v>2804</v>
      </c>
    </row>
    <row r="2643" spans="1:13" x14ac:dyDescent="0.25">
      <c r="A2643" s="23">
        <f t="shared" si="41"/>
        <v>2642</v>
      </c>
      <c r="B2643" s="7" t="s">
        <v>5960</v>
      </c>
      <c r="C2643" s="7" t="s">
        <v>6765</v>
      </c>
      <c r="D2643" s="7" t="s">
        <v>6979</v>
      </c>
      <c r="E2643" s="7" t="s">
        <v>6980</v>
      </c>
      <c r="F2643" s="7"/>
      <c r="G2643" s="7" t="s">
        <v>63</v>
      </c>
      <c r="H2643" s="7" t="str">
        <f>IFERROR(VLOOKUP(Table2[[#This Row],[Ticket]],Okey!A:B,2,0),"")</f>
        <v>ok</v>
      </c>
      <c r="I2643" s="7" t="s">
        <v>3679</v>
      </c>
      <c r="J2643" s="7" t="str">
        <f>VLOOKUP(Table2[[#This Row],[Author]],People!A:B,2,0)</f>
        <v>LS</v>
      </c>
      <c r="K2643" s="7" t="s">
        <v>5965</v>
      </c>
      <c r="L2643" s="7"/>
      <c r="M2643" s="16" t="s">
        <v>2804</v>
      </c>
    </row>
    <row r="2644" spans="1:13" x14ac:dyDescent="0.25">
      <c r="A2644" s="22">
        <f t="shared" si="41"/>
        <v>2643</v>
      </c>
      <c r="B2644" s="6" t="s">
        <v>5960</v>
      </c>
      <c r="C2644" s="6" t="s">
        <v>6765</v>
      </c>
      <c r="D2644" s="6" t="s">
        <v>6981</v>
      </c>
      <c r="E2644" s="6" t="s">
        <v>6982</v>
      </c>
      <c r="F2644" s="6"/>
      <c r="G2644" s="6" t="s">
        <v>63</v>
      </c>
      <c r="H2644" s="6" t="str">
        <f>IFERROR(VLOOKUP(Table2[[#This Row],[Ticket]],Okey!A:B,2,0),"")</f>
        <v>ok</v>
      </c>
      <c r="I2644" s="6" t="s">
        <v>3679</v>
      </c>
      <c r="J2644" s="6" t="str">
        <f>VLOOKUP(Table2[[#This Row],[Author]],People!A:B,2,0)</f>
        <v>LS</v>
      </c>
      <c r="K2644" s="6" t="s">
        <v>5965</v>
      </c>
      <c r="L2644" s="6"/>
      <c r="M2644" s="21" t="s">
        <v>2804</v>
      </c>
    </row>
    <row r="2645" spans="1:13" x14ac:dyDescent="0.25">
      <c r="A2645" s="23">
        <f t="shared" si="41"/>
        <v>2644</v>
      </c>
      <c r="B2645" s="7" t="s">
        <v>5960</v>
      </c>
      <c r="C2645" s="7" t="s">
        <v>6765</v>
      </c>
      <c r="D2645" s="7" t="s">
        <v>2048</v>
      </c>
      <c r="E2645" s="7" t="s">
        <v>6983</v>
      </c>
      <c r="F2645" s="7"/>
      <c r="G2645" s="7" t="s">
        <v>63</v>
      </c>
      <c r="H2645" s="7" t="str">
        <f>IFERROR(VLOOKUP(Table2[[#This Row],[Ticket]],Okey!A:B,2,0),"")</f>
        <v>ok</v>
      </c>
      <c r="I2645" s="7" t="s">
        <v>3679</v>
      </c>
      <c r="J2645" s="7" t="str">
        <f>VLOOKUP(Table2[[#This Row],[Author]],People!A:B,2,0)</f>
        <v>LS</v>
      </c>
      <c r="K2645" s="7" t="s">
        <v>5965</v>
      </c>
      <c r="L2645" s="7"/>
      <c r="M2645" s="16" t="s">
        <v>2804</v>
      </c>
    </row>
    <row r="2646" spans="1:13" x14ac:dyDescent="0.25">
      <c r="A2646" s="22">
        <f t="shared" si="41"/>
        <v>2645</v>
      </c>
      <c r="B2646" s="6" t="s">
        <v>5960</v>
      </c>
      <c r="C2646" s="6" t="s">
        <v>6765</v>
      </c>
      <c r="D2646" s="6" t="s">
        <v>6984</v>
      </c>
      <c r="E2646" s="6" t="s">
        <v>6985</v>
      </c>
      <c r="F2646" s="6"/>
      <c r="G2646" s="6" t="s">
        <v>63</v>
      </c>
      <c r="H2646" s="6" t="str">
        <f>IFERROR(VLOOKUP(Table2[[#This Row],[Ticket]],Okey!A:B,2,0),"")</f>
        <v>ok</v>
      </c>
      <c r="I2646" s="6" t="s">
        <v>3679</v>
      </c>
      <c r="J2646" s="6" t="str">
        <f>VLOOKUP(Table2[[#This Row],[Author]],People!A:B,2,0)</f>
        <v>LS</v>
      </c>
      <c r="K2646" s="6" t="s">
        <v>5965</v>
      </c>
      <c r="L2646" s="6"/>
      <c r="M2646" s="21" t="s">
        <v>2804</v>
      </c>
    </row>
    <row r="2647" spans="1:13" x14ac:dyDescent="0.25">
      <c r="A2647" s="23">
        <f t="shared" si="41"/>
        <v>2646</v>
      </c>
      <c r="B2647" s="7" t="s">
        <v>5960</v>
      </c>
      <c r="C2647" s="7" t="s">
        <v>6765</v>
      </c>
      <c r="D2647" s="7" t="s">
        <v>6986</v>
      </c>
      <c r="E2647" s="7" t="s">
        <v>6987</v>
      </c>
      <c r="F2647" s="7"/>
      <c r="G2647" s="7" t="s">
        <v>63</v>
      </c>
      <c r="H2647" s="7" t="str">
        <f>IFERROR(VLOOKUP(Table2[[#This Row],[Ticket]],Okey!A:B,2,0),"")</f>
        <v>ok</v>
      </c>
      <c r="I2647" s="7" t="s">
        <v>3679</v>
      </c>
      <c r="J2647" s="7" t="str">
        <f>VLOOKUP(Table2[[#This Row],[Author]],People!A:B,2,0)</f>
        <v>LS</v>
      </c>
      <c r="K2647" s="7" t="s">
        <v>5965</v>
      </c>
      <c r="L2647" s="7"/>
      <c r="M2647" s="16" t="s">
        <v>2804</v>
      </c>
    </row>
    <row r="2648" spans="1:13" x14ac:dyDescent="0.25">
      <c r="A2648" s="22">
        <f t="shared" si="41"/>
        <v>2647</v>
      </c>
      <c r="B2648" s="6" t="s">
        <v>5960</v>
      </c>
      <c r="C2648" s="6" t="s">
        <v>6765</v>
      </c>
      <c r="D2648" s="6" t="s">
        <v>2025</v>
      </c>
      <c r="E2648" s="6" t="s">
        <v>6988</v>
      </c>
      <c r="F2648" s="6"/>
      <c r="G2648" s="6" t="s">
        <v>63</v>
      </c>
      <c r="H2648" s="6" t="str">
        <f>IFERROR(VLOOKUP(Table2[[#This Row],[Ticket]],Okey!A:B,2,0),"")</f>
        <v>ok</v>
      </c>
      <c r="I2648" s="6" t="s">
        <v>3679</v>
      </c>
      <c r="J2648" s="6" t="str">
        <f>VLOOKUP(Table2[[#This Row],[Author]],People!A:B,2,0)</f>
        <v>LS</v>
      </c>
      <c r="K2648" s="6" t="s">
        <v>5965</v>
      </c>
      <c r="L2648" s="6"/>
      <c r="M2648" s="21" t="s">
        <v>2804</v>
      </c>
    </row>
    <row r="2649" spans="1:13" x14ac:dyDescent="0.25">
      <c r="A2649" s="23">
        <f t="shared" si="41"/>
        <v>2648</v>
      </c>
      <c r="B2649" s="7" t="s">
        <v>5960</v>
      </c>
      <c r="C2649" s="7" t="s">
        <v>6765</v>
      </c>
      <c r="D2649" s="7" t="s">
        <v>2053</v>
      </c>
      <c r="E2649" s="7" t="s">
        <v>6989</v>
      </c>
      <c r="F2649" s="7"/>
      <c r="G2649" s="7" t="s">
        <v>63</v>
      </c>
      <c r="H2649" s="7" t="str">
        <f>IFERROR(VLOOKUP(Table2[[#This Row],[Ticket]],Okey!A:B,2,0),"")</f>
        <v>ok</v>
      </c>
      <c r="I2649" s="7" t="s">
        <v>3679</v>
      </c>
      <c r="J2649" s="7" t="str">
        <f>VLOOKUP(Table2[[#This Row],[Author]],People!A:B,2,0)</f>
        <v>LS</v>
      </c>
      <c r="K2649" s="7" t="s">
        <v>5965</v>
      </c>
      <c r="L2649" s="7"/>
      <c r="M2649" s="16" t="s">
        <v>2804</v>
      </c>
    </row>
    <row r="2650" spans="1:13" x14ac:dyDescent="0.25">
      <c r="A2650" s="22">
        <f t="shared" si="41"/>
        <v>2649</v>
      </c>
      <c r="B2650" s="6" t="s">
        <v>5960</v>
      </c>
      <c r="C2650" s="6" t="s">
        <v>6765</v>
      </c>
      <c r="D2650" s="6" t="s">
        <v>6990</v>
      </c>
      <c r="E2650" s="6" t="s">
        <v>6991</v>
      </c>
      <c r="F2650" s="6"/>
      <c r="G2650" s="6" t="s">
        <v>63</v>
      </c>
      <c r="H2650" s="6" t="str">
        <f>IFERROR(VLOOKUP(Table2[[#This Row],[Ticket]],Okey!A:B,2,0),"")</f>
        <v>ok</v>
      </c>
      <c r="I2650" s="6" t="s">
        <v>3679</v>
      </c>
      <c r="J2650" s="6" t="str">
        <f>VLOOKUP(Table2[[#This Row],[Author]],People!A:B,2,0)</f>
        <v>LS</v>
      </c>
      <c r="K2650" s="6" t="s">
        <v>5965</v>
      </c>
      <c r="L2650" s="6"/>
      <c r="M2650" s="21" t="s">
        <v>2804</v>
      </c>
    </row>
    <row r="2651" spans="1:13" x14ac:dyDescent="0.25">
      <c r="A2651" s="23">
        <f t="shared" si="41"/>
        <v>2650</v>
      </c>
      <c r="B2651" s="7" t="s">
        <v>5960</v>
      </c>
      <c r="C2651" s="7" t="s">
        <v>6765</v>
      </c>
      <c r="D2651" s="7" t="s">
        <v>6992</v>
      </c>
      <c r="E2651" s="7" t="s">
        <v>6993</v>
      </c>
      <c r="F2651" s="7"/>
      <c r="G2651" s="7" t="s">
        <v>63</v>
      </c>
      <c r="H2651" s="7" t="str">
        <f>IFERROR(VLOOKUP(Table2[[#This Row],[Ticket]],Okey!A:B,2,0),"")</f>
        <v>ok</v>
      </c>
      <c r="I2651" s="7" t="s">
        <v>3679</v>
      </c>
      <c r="J2651" s="7" t="str">
        <f>VLOOKUP(Table2[[#This Row],[Author]],People!A:B,2,0)</f>
        <v>LS</v>
      </c>
      <c r="K2651" s="7" t="s">
        <v>5965</v>
      </c>
      <c r="L2651" s="7"/>
      <c r="M2651" s="16" t="s">
        <v>2804</v>
      </c>
    </row>
    <row r="2652" spans="1:13" x14ac:dyDescent="0.25">
      <c r="A2652" s="22">
        <f t="shared" si="41"/>
        <v>2651</v>
      </c>
      <c r="B2652" s="6" t="s">
        <v>5960</v>
      </c>
      <c r="C2652" s="6" t="s">
        <v>6765</v>
      </c>
      <c r="D2652" s="6" t="s">
        <v>6994</v>
      </c>
      <c r="E2652" s="6" t="s">
        <v>6995</v>
      </c>
      <c r="F2652" s="6"/>
      <c r="G2652" s="6" t="s">
        <v>63</v>
      </c>
      <c r="H2652" s="6" t="str">
        <f>IFERROR(VLOOKUP(Table2[[#This Row],[Ticket]],Okey!A:B,2,0),"")</f>
        <v>ok</v>
      </c>
      <c r="I2652" s="6" t="s">
        <v>3679</v>
      </c>
      <c r="J2652" s="6" t="str">
        <f>VLOOKUP(Table2[[#This Row],[Author]],People!A:B,2,0)</f>
        <v>LS</v>
      </c>
      <c r="K2652" s="6" t="s">
        <v>5965</v>
      </c>
      <c r="L2652" s="6"/>
      <c r="M2652" s="21" t="s">
        <v>2804</v>
      </c>
    </row>
    <row r="2653" spans="1:13" x14ac:dyDescent="0.25">
      <c r="A2653" s="23">
        <f t="shared" si="41"/>
        <v>2652</v>
      </c>
      <c r="B2653" s="7" t="s">
        <v>5960</v>
      </c>
      <c r="C2653" s="7" t="s">
        <v>6765</v>
      </c>
      <c r="D2653" s="7" t="s">
        <v>4813</v>
      </c>
      <c r="E2653" s="7" t="s">
        <v>6996</v>
      </c>
      <c r="F2653" s="7"/>
      <c r="G2653" s="7" t="s">
        <v>63</v>
      </c>
      <c r="H2653" s="7" t="str">
        <f>IFERROR(VLOOKUP(Table2[[#This Row],[Ticket]],Okey!A:B,2,0),"")</f>
        <v>ok</v>
      </c>
      <c r="I2653" s="7" t="s">
        <v>3679</v>
      </c>
      <c r="J2653" s="7" t="str">
        <f>VLOOKUP(Table2[[#This Row],[Author]],People!A:B,2,0)</f>
        <v>LS</v>
      </c>
      <c r="K2653" s="7" t="s">
        <v>5965</v>
      </c>
      <c r="L2653" s="7"/>
      <c r="M2653" s="16" t="s">
        <v>2804</v>
      </c>
    </row>
    <row r="2654" spans="1:13" x14ac:dyDescent="0.25">
      <c r="A2654" s="22">
        <f t="shared" si="41"/>
        <v>2653</v>
      </c>
      <c r="B2654" s="6" t="s">
        <v>5960</v>
      </c>
      <c r="C2654" s="6" t="s">
        <v>6765</v>
      </c>
      <c r="D2654" s="6" t="s">
        <v>6997</v>
      </c>
      <c r="E2654" s="6" t="s">
        <v>6998</v>
      </c>
      <c r="F2654" s="6"/>
      <c r="G2654" s="6" t="s">
        <v>63</v>
      </c>
      <c r="H2654" s="6" t="str">
        <f>IFERROR(VLOOKUP(Table2[[#This Row],[Ticket]],Okey!A:B,2,0),"")</f>
        <v>ok</v>
      </c>
      <c r="I2654" s="6" t="s">
        <v>3679</v>
      </c>
      <c r="J2654" s="6" t="str">
        <f>VLOOKUP(Table2[[#This Row],[Author]],People!A:B,2,0)</f>
        <v>LS</v>
      </c>
      <c r="K2654" s="6" t="s">
        <v>5965</v>
      </c>
      <c r="L2654" s="6"/>
      <c r="M2654" s="21" t="s">
        <v>2804</v>
      </c>
    </row>
    <row r="2655" spans="1:13" x14ac:dyDescent="0.25">
      <c r="A2655" s="23">
        <f t="shared" si="41"/>
        <v>2654</v>
      </c>
      <c r="B2655" s="7" t="s">
        <v>5960</v>
      </c>
      <c r="C2655" s="7" t="s">
        <v>6765</v>
      </c>
      <c r="D2655" s="7" t="s">
        <v>6999</v>
      </c>
      <c r="E2655" s="7" t="s">
        <v>7000</v>
      </c>
      <c r="F2655" s="7"/>
      <c r="G2655" s="7" t="s">
        <v>63</v>
      </c>
      <c r="H2655" s="7" t="str">
        <f>IFERROR(VLOOKUP(Table2[[#This Row],[Ticket]],Okey!A:B,2,0),"")</f>
        <v>ok</v>
      </c>
      <c r="I2655" s="7" t="s">
        <v>3679</v>
      </c>
      <c r="J2655" s="7" t="str">
        <f>VLOOKUP(Table2[[#This Row],[Author]],People!A:B,2,0)</f>
        <v>LS</v>
      </c>
      <c r="K2655" s="7" t="s">
        <v>5965</v>
      </c>
      <c r="L2655" s="7"/>
      <c r="M2655" s="16" t="s">
        <v>2804</v>
      </c>
    </row>
    <row r="2656" spans="1:13" x14ac:dyDescent="0.25">
      <c r="A2656" s="22">
        <f t="shared" si="41"/>
        <v>2655</v>
      </c>
      <c r="B2656" s="6" t="s">
        <v>5960</v>
      </c>
      <c r="C2656" s="6" t="s">
        <v>6765</v>
      </c>
      <c r="D2656" s="6" t="s">
        <v>7001</v>
      </c>
      <c r="E2656" s="6" t="s">
        <v>7002</v>
      </c>
      <c r="F2656" s="6"/>
      <c r="G2656" s="6" t="s">
        <v>63</v>
      </c>
      <c r="H2656" s="6" t="str">
        <f>IFERROR(VLOOKUP(Table2[[#This Row],[Ticket]],Okey!A:B,2,0),"")</f>
        <v>ok</v>
      </c>
      <c r="I2656" s="6" t="s">
        <v>3679</v>
      </c>
      <c r="J2656" s="6" t="str">
        <f>VLOOKUP(Table2[[#This Row],[Author]],People!A:B,2,0)</f>
        <v>LS</v>
      </c>
      <c r="K2656" s="6" t="s">
        <v>5965</v>
      </c>
      <c r="L2656" s="6"/>
      <c r="M2656" s="21" t="s">
        <v>2804</v>
      </c>
    </row>
    <row r="2657" spans="1:13" x14ac:dyDescent="0.25">
      <c r="A2657" s="23">
        <f t="shared" si="41"/>
        <v>2656</v>
      </c>
      <c r="B2657" s="7" t="s">
        <v>5960</v>
      </c>
      <c r="C2657" s="7" t="s">
        <v>6765</v>
      </c>
      <c r="D2657" s="7" t="s">
        <v>4811</v>
      </c>
      <c r="E2657" s="7" t="s">
        <v>7003</v>
      </c>
      <c r="F2657" s="7"/>
      <c r="G2657" s="7" t="s">
        <v>63</v>
      </c>
      <c r="H2657" s="7" t="str">
        <f>IFERROR(VLOOKUP(Table2[[#This Row],[Ticket]],Okey!A:B,2,0),"")</f>
        <v>ok</v>
      </c>
      <c r="I2657" s="7" t="s">
        <v>3679</v>
      </c>
      <c r="J2657" s="7" t="str">
        <f>VLOOKUP(Table2[[#This Row],[Author]],People!A:B,2,0)</f>
        <v>LS</v>
      </c>
      <c r="K2657" s="7" t="s">
        <v>5965</v>
      </c>
      <c r="L2657" s="7"/>
      <c r="M2657" s="16" t="s">
        <v>2804</v>
      </c>
    </row>
    <row r="2658" spans="1:13" x14ac:dyDescent="0.25">
      <c r="A2658" s="22">
        <f t="shared" si="41"/>
        <v>2657</v>
      </c>
      <c r="B2658" s="6" t="s">
        <v>5960</v>
      </c>
      <c r="C2658" s="6" t="s">
        <v>6765</v>
      </c>
      <c r="D2658" s="6" t="s">
        <v>4835</v>
      </c>
      <c r="E2658" s="6" t="s">
        <v>7004</v>
      </c>
      <c r="F2658" s="6"/>
      <c r="G2658" s="6" t="s">
        <v>63</v>
      </c>
      <c r="H2658" s="6" t="str">
        <f>IFERROR(VLOOKUP(Table2[[#This Row],[Ticket]],Okey!A:B,2,0),"")</f>
        <v>ok</v>
      </c>
      <c r="I2658" s="6" t="s">
        <v>3679</v>
      </c>
      <c r="J2658" s="6" t="str">
        <f>VLOOKUP(Table2[[#This Row],[Author]],People!A:B,2,0)</f>
        <v>LS</v>
      </c>
      <c r="K2658" s="6" t="s">
        <v>5965</v>
      </c>
      <c r="L2658" s="6"/>
      <c r="M2658" s="21" t="s">
        <v>2804</v>
      </c>
    </row>
    <row r="2659" spans="1:13" x14ac:dyDescent="0.25">
      <c r="A2659" s="23">
        <f t="shared" ref="A2659:A2692" si="42">1+A2658</f>
        <v>2658</v>
      </c>
      <c r="B2659" s="7" t="s">
        <v>5960</v>
      </c>
      <c r="C2659" s="7" t="s">
        <v>6765</v>
      </c>
      <c r="D2659" s="7" t="s">
        <v>7005</v>
      </c>
      <c r="E2659" s="7" t="s">
        <v>7006</v>
      </c>
      <c r="F2659" s="7"/>
      <c r="G2659" s="7" t="s">
        <v>63</v>
      </c>
      <c r="H2659" s="7" t="str">
        <f>IFERROR(VLOOKUP(Table2[[#This Row],[Ticket]],Okey!A:B,2,0),"")</f>
        <v>ok</v>
      </c>
      <c r="I2659" s="7" t="s">
        <v>3679</v>
      </c>
      <c r="J2659" s="7" t="str">
        <f>VLOOKUP(Table2[[#This Row],[Author]],People!A:B,2,0)</f>
        <v>LS</v>
      </c>
      <c r="K2659" s="7" t="s">
        <v>5965</v>
      </c>
      <c r="L2659" s="7"/>
      <c r="M2659" s="16" t="s">
        <v>2804</v>
      </c>
    </row>
    <row r="2660" spans="1:13" x14ac:dyDescent="0.25">
      <c r="A2660" s="22">
        <f t="shared" si="42"/>
        <v>2659</v>
      </c>
      <c r="B2660" s="6" t="s">
        <v>5960</v>
      </c>
      <c r="C2660" s="6" t="s">
        <v>6765</v>
      </c>
      <c r="D2660" s="6" t="s">
        <v>7007</v>
      </c>
      <c r="E2660" s="6" t="s">
        <v>7008</v>
      </c>
      <c r="F2660" s="6"/>
      <c r="G2660" s="6" t="s">
        <v>63</v>
      </c>
      <c r="H2660" s="6" t="str">
        <f>IFERROR(VLOOKUP(Table2[[#This Row],[Ticket]],Okey!A:B,2,0),"")</f>
        <v>ok</v>
      </c>
      <c r="I2660" s="6" t="s">
        <v>3679</v>
      </c>
      <c r="J2660" s="6" t="str">
        <f>VLOOKUP(Table2[[#This Row],[Author]],People!A:B,2,0)</f>
        <v>LS</v>
      </c>
      <c r="K2660" s="6" t="s">
        <v>5965</v>
      </c>
      <c r="L2660" s="6"/>
      <c r="M2660" s="21" t="s">
        <v>2804</v>
      </c>
    </row>
    <row r="2661" spans="1:13" x14ac:dyDescent="0.25">
      <c r="A2661" s="23">
        <f t="shared" si="42"/>
        <v>2660</v>
      </c>
      <c r="B2661" s="7" t="s">
        <v>5960</v>
      </c>
      <c r="C2661" s="7" t="s">
        <v>6765</v>
      </c>
      <c r="D2661" s="7" t="s">
        <v>4836</v>
      </c>
      <c r="E2661" s="7" t="s">
        <v>7009</v>
      </c>
      <c r="F2661" s="7"/>
      <c r="G2661" s="7" t="s">
        <v>63</v>
      </c>
      <c r="H2661" s="7" t="str">
        <f>IFERROR(VLOOKUP(Table2[[#This Row],[Ticket]],Okey!A:B,2,0),"")</f>
        <v>ok</v>
      </c>
      <c r="I2661" s="7" t="s">
        <v>3679</v>
      </c>
      <c r="J2661" s="7" t="str">
        <f>VLOOKUP(Table2[[#This Row],[Author]],People!A:B,2,0)</f>
        <v>LS</v>
      </c>
      <c r="K2661" s="7" t="s">
        <v>5965</v>
      </c>
      <c r="L2661" s="7"/>
      <c r="M2661" s="16" t="s">
        <v>2804</v>
      </c>
    </row>
    <row r="2662" spans="1:13" x14ac:dyDescent="0.25">
      <c r="A2662" s="22">
        <f t="shared" si="42"/>
        <v>2661</v>
      </c>
      <c r="B2662" s="6" t="s">
        <v>5960</v>
      </c>
      <c r="C2662" s="6" t="s">
        <v>6765</v>
      </c>
      <c r="D2662" s="6" t="s">
        <v>2776</v>
      </c>
      <c r="E2662" s="6" t="s">
        <v>7010</v>
      </c>
      <c r="F2662" s="6"/>
      <c r="G2662" s="6" t="s">
        <v>63</v>
      </c>
      <c r="H2662" s="6" t="str">
        <f>IFERROR(VLOOKUP(Table2[[#This Row],[Ticket]],Okey!A:B,2,0),"")</f>
        <v>ok</v>
      </c>
      <c r="I2662" s="6" t="s">
        <v>3679</v>
      </c>
      <c r="J2662" s="6" t="str">
        <f>VLOOKUP(Table2[[#This Row],[Author]],People!A:B,2,0)</f>
        <v>LS</v>
      </c>
      <c r="K2662" s="6" t="s">
        <v>5965</v>
      </c>
      <c r="L2662" s="6"/>
      <c r="M2662" s="21" t="s">
        <v>2804</v>
      </c>
    </row>
    <row r="2663" spans="1:13" x14ac:dyDescent="0.25">
      <c r="A2663" s="23">
        <f t="shared" si="42"/>
        <v>2662</v>
      </c>
      <c r="B2663" s="7" t="s">
        <v>5960</v>
      </c>
      <c r="C2663" s="7" t="s">
        <v>6765</v>
      </c>
      <c r="D2663" s="7" t="s">
        <v>7011</v>
      </c>
      <c r="E2663" s="7" t="s">
        <v>7012</v>
      </c>
      <c r="F2663" s="7"/>
      <c r="G2663" s="7" t="s">
        <v>63</v>
      </c>
      <c r="H2663" s="7" t="str">
        <f>IFERROR(VLOOKUP(Table2[[#This Row],[Ticket]],Okey!A:B,2,0),"")</f>
        <v>ok</v>
      </c>
      <c r="I2663" s="7" t="s">
        <v>3679</v>
      </c>
      <c r="J2663" s="7" t="str">
        <f>VLOOKUP(Table2[[#This Row],[Author]],People!A:B,2,0)</f>
        <v>LS</v>
      </c>
      <c r="K2663" s="7" t="s">
        <v>5965</v>
      </c>
      <c r="L2663" s="7"/>
      <c r="M2663" s="16" t="s">
        <v>2804</v>
      </c>
    </row>
    <row r="2664" spans="1:13" x14ac:dyDescent="0.25">
      <c r="A2664" s="22">
        <f t="shared" si="42"/>
        <v>2663</v>
      </c>
      <c r="B2664" s="6" t="s">
        <v>5960</v>
      </c>
      <c r="C2664" s="6" t="s">
        <v>6765</v>
      </c>
      <c r="D2664" s="6" t="s">
        <v>3252</v>
      </c>
      <c r="E2664" s="6" t="s">
        <v>3253</v>
      </c>
      <c r="F2664" s="6"/>
      <c r="G2664" s="6" t="s">
        <v>63</v>
      </c>
      <c r="H2664" s="6" t="str">
        <f>IFERROR(VLOOKUP(Table2[[#This Row],[Ticket]],Okey!A:B,2,0),"")</f>
        <v>ok</v>
      </c>
      <c r="I2664" s="6" t="s">
        <v>3679</v>
      </c>
      <c r="J2664" s="6" t="str">
        <f>VLOOKUP(Table2[[#This Row],[Author]],People!A:B,2,0)</f>
        <v>LS</v>
      </c>
      <c r="K2664" s="6" t="s">
        <v>5965</v>
      </c>
      <c r="L2664" s="6"/>
      <c r="M2664" s="21" t="s">
        <v>2804</v>
      </c>
    </row>
    <row r="2665" spans="1:13" x14ac:dyDescent="0.25">
      <c r="A2665" s="23">
        <f t="shared" si="42"/>
        <v>2664</v>
      </c>
      <c r="B2665" s="7" t="s">
        <v>5960</v>
      </c>
      <c r="C2665" s="7" t="s">
        <v>6765</v>
      </c>
      <c r="D2665" s="7" t="s">
        <v>3419</v>
      </c>
      <c r="E2665" s="7" t="s">
        <v>3420</v>
      </c>
      <c r="F2665" s="7"/>
      <c r="G2665" s="7" t="s">
        <v>63</v>
      </c>
      <c r="H2665" s="7" t="str">
        <f>IFERROR(VLOOKUP(Table2[[#This Row],[Ticket]],Okey!A:B,2,0),"")</f>
        <v>ok</v>
      </c>
      <c r="I2665" s="7" t="s">
        <v>3679</v>
      </c>
      <c r="J2665" s="7" t="str">
        <f>VLOOKUP(Table2[[#This Row],[Author]],People!A:B,2,0)</f>
        <v>LS</v>
      </c>
      <c r="K2665" s="7" t="s">
        <v>5965</v>
      </c>
      <c r="L2665" s="7"/>
      <c r="M2665" s="16" t="s">
        <v>2804</v>
      </c>
    </row>
    <row r="2666" spans="1:13" x14ac:dyDescent="0.25">
      <c r="A2666" s="22">
        <f t="shared" si="42"/>
        <v>2665</v>
      </c>
      <c r="B2666" s="6" t="s">
        <v>5960</v>
      </c>
      <c r="C2666" s="6" t="s">
        <v>6765</v>
      </c>
      <c r="D2666" s="6" t="s">
        <v>3447</v>
      </c>
      <c r="E2666" s="6" t="s">
        <v>3448</v>
      </c>
      <c r="F2666" s="6"/>
      <c r="G2666" s="6" t="s">
        <v>63</v>
      </c>
      <c r="H2666" s="6" t="str">
        <f>IFERROR(VLOOKUP(Table2[[#This Row],[Ticket]],Okey!A:B,2,0),"")</f>
        <v>ok</v>
      </c>
      <c r="I2666" s="6" t="s">
        <v>3679</v>
      </c>
      <c r="J2666" s="6" t="str">
        <f>VLOOKUP(Table2[[#This Row],[Author]],People!A:B,2,0)</f>
        <v>LS</v>
      </c>
      <c r="K2666" s="6" t="s">
        <v>5965</v>
      </c>
      <c r="L2666" s="6"/>
      <c r="M2666" s="21" t="s">
        <v>2804</v>
      </c>
    </row>
    <row r="2667" spans="1:13" x14ac:dyDescent="0.25">
      <c r="A2667" s="23">
        <f t="shared" si="42"/>
        <v>2666</v>
      </c>
      <c r="B2667" s="7" t="s">
        <v>5960</v>
      </c>
      <c r="C2667" s="7" t="s">
        <v>6765</v>
      </c>
      <c r="D2667" s="7" t="s">
        <v>3475</v>
      </c>
      <c r="E2667" s="7" t="s">
        <v>3476</v>
      </c>
      <c r="F2667" s="7"/>
      <c r="G2667" s="7" t="s">
        <v>63</v>
      </c>
      <c r="H2667" s="7" t="str">
        <f>IFERROR(VLOOKUP(Table2[[#This Row],[Ticket]],Okey!A:B,2,0),"")</f>
        <v>ok</v>
      </c>
      <c r="I2667" s="7" t="s">
        <v>3679</v>
      </c>
      <c r="J2667" s="7" t="str">
        <f>VLOOKUP(Table2[[#This Row],[Author]],People!A:B,2,0)</f>
        <v>LS</v>
      </c>
      <c r="K2667" s="7" t="s">
        <v>5965</v>
      </c>
      <c r="L2667" s="7"/>
      <c r="M2667" s="16" t="s">
        <v>2804</v>
      </c>
    </row>
    <row r="2668" spans="1:13" x14ac:dyDescent="0.25">
      <c r="A2668" s="22">
        <f t="shared" si="42"/>
        <v>2667</v>
      </c>
      <c r="B2668" s="6" t="s">
        <v>5960</v>
      </c>
      <c r="C2668" s="6" t="s">
        <v>6765</v>
      </c>
      <c r="D2668" s="6" t="s">
        <v>3502</v>
      </c>
      <c r="E2668" s="6" t="s">
        <v>3503</v>
      </c>
      <c r="F2668" s="6"/>
      <c r="G2668" s="6" t="s">
        <v>63</v>
      </c>
      <c r="H2668" s="6" t="str">
        <f>IFERROR(VLOOKUP(Table2[[#This Row],[Ticket]],Okey!A:B,2,0),"")</f>
        <v>ok</v>
      </c>
      <c r="I2668" s="6" t="s">
        <v>3679</v>
      </c>
      <c r="J2668" s="6" t="str">
        <f>VLOOKUP(Table2[[#This Row],[Author]],People!A:B,2,0)</f>
        <v>LS</v>
      </c>
      <c r="K2668" s="6" t="s">
        <v>5965</v>
      </c>
      <c r="L2668" s="6"/>
      <c r="M2668" s="21" t="s">
        <v>2804</v>
      </c>
    </row>
    <row r="2669" spans="1:13" x14ac:dyDescent="0.25">
      <c r="A2669" s="23">
        <f t="shared" si="42"/>
        <v>2668</v>
      </c>
      <c r="B2669" s="7" t="s">
        <v>5960</v>
      </c>
      <c r="C2669" s="7" t="s">
        <v>6765</v>
      </c>
      <c r="D2669" s="7" t="s">
        <v>3530</v>
      </c>
      <c r="E2669" s="7" t="s">
        <v>3531</v>
      </c>
      <c r="F2669" s="7"/>
      <c r="G2669" s="7" t="s">
        <v>63</v>
      </c>
      <c r="H2669" s="7" t="str">
        <f>IFERROR(VLOOKUP(Table2[[#This Row],[Ticket]],Okey!A:B,2,0),"")</f>
        <v>ok</v>
      </c>
      <c r="I2669" s="7" t="s">
        <v>3679</v>
      </c>
      <c r="J2669" s="7" t="str">
        <f>VLOOKUP(Table2[[#This Row],[Author]],People!A:B,2,0)</f>
        <v>LS</v>
      </c>
      <c r="K2669" s="7" t="s">
        <v>5965</v>
      </c>
      <c r="L2669" s="7"/>
      <c r="M2669" s="16" t="s">
        <v>2804</v>
      </c>
    </row>
    <row r="2670" spans="1:13" x14ac:dyDescent="0.25">
      <c r="A2670" s="22">
        <f t="shared" si="42"/>
        <v>2669</v>
      </c>
      <c r="B2670" s="6" t="s">
        <v>5960</v>
      </c>
      <c r="C2670" s="6" t="s">
        <v>6765</v>
      </c>
      <c r="D2670" s="6" t="s">
        <v>3558</v>
      </c>
      <c r="E2670" s="6" t="s">
        <v>3559</v>
      </c>
      <c r="F2670" s="6"/>
      <c r="G2670" s="6" t="s">
        <v>63</v>
      </c>
      <c r="H2670" s="6" t="str">
        <f>IFERROR(VLOOKUP(Table2[[#This Row],[Ticket]],Okey!A:B,2,0),"")</f>
        <v>ok</v>
      </c>
      <c r="I2670" s="6" t="s">
        <v>3679</v>
      </c>
      <c r="J2670" s="6" t="str">
        <f>VLOOKUP(Table2[[#This Row],[Author]],People!A:B,2,0)</f>
        <v>LS</v>
      </c>
      <c r="K2670" s="6" t="s">
        <v>5965</v>
      </c>
      <c r="L2670" s="6"/>
      <c r="M2670" s="21" t="s">
        <v>2804</v>
      </c>
    </row>
    <row r="2671" spans="1:13" x14ac:dyDescent="0.25">
      <c r="A2671" s="23">
        <f t="shared" si="42"/>
        <v>2670</v>
      </c>
      <c r="B2671" s="7" t="s">
        <v>5960</v>
      </c>
      <c r="C2671" s="7" t="s">
        <v>6765</v>
      </c>
      <c r="D2671" s="7" t="s">
        <v>4816</v>
      </c>
      <c r="E2671" s="7" t="s">
        <v>7013</v>
      </c>
      <c r="F2671" s="7"/>
      <c r="G2671" s="7" t="s">
        <v>63</v>
      </c>
      <c r="H2671" s="7" t="str">
        <f>IFERROR(VLOOKUP(Table2[[#This Row],[Ticket]],Okey!A:B,2,0),"")</f>
        <v>ok</v>
      </c>
      <c r="I2671" s="7" t="s">
        <v>3679</v>
      </c>
      <c r="J2671" s="7" t="str">
        <f>VLOOKUP(Table2[[#This Row],[Author]],People!A:B,2,0)</f>
        <v>LS</v>
      </c>
      <c r="K2671" s="7" t="s">
        <v>5965</v>
      </c>
      <c r="L2671" s="7"/>
      <c r="M2671" s="16" t="s">
        <v>2804</v>
      </c>
    </row>
    <row r="2672" spans="1:13" x14ac:dyDescent="0.25">
      <c r="A2672" s="22">
        <f t="shared" si="42"/>
        <v>2671</v>
      </c>
      <c r="B2672" s="6" t="s">
        <v>5960</v>
      </c>
      <c r="C2672" s="6" t="s">
        <v>6765</v>
      </c>
      <c r="D2672" s="6" t="s">
        <v>7014</v>
      </c>
      <c r="E2672" s="6" t="s">
        <v>7015</v>
      </c>
      <c r="F2672" s="6"/>
      <c r="G2672" s="6" t="s">
        <v>63</v>
      </c>
      <c r="H2672" s="6" t="str">
        <f>IFERROR(VLOOKUP(Table2[[#This Row],[Ticket]],Okey!A:B,2,0),"")</f>
        <v>ok</v>
      </c>
      <c r="I2672" s="6" t="s">
        <v>3679</v>
      </c>
      <c r="J2672" s="6" t="str">
        <f>VLOOKUP(Table2[[#This Row],[Author]],People!A:B,2,0)</f>
        <v>LS</v>
      </c>
      <c r="K2672" s="6" t="s">
        <v>5965</v>
      </c>
      <c r="L2672" s="6"/>
      <c r="M2672" s="21" t="s">
        <v>2804</v>
      </c>
    </row>
    <row r="2673" spans="1:13" x14ac:dyDescent="0.25">
      <c r="A2673" s="23">
        <f t="shared" si="42"/>
        <v>2672</v>
      </c>
      <c r="B2673" s="7" t="s">
        <v>5960</v>
      </c>
      <c r="C2673" s="7" t="s">
        <v>6765</v>
      </c>
      <c r="D2673" s="7" t="s">
        <v>7016</v>
      </c>
      <c r="E2673" s="7" t="s">
        <v>7017</v>
      </c>
      <c r="F2673" s="7"/>
      <c r="G2673" s="7" t="s">
        <v>63</v>
      </c>
      <c r="H2673" s="7" t="str">
        <f>IFERROR(VLOOKUP(Table2[[#This Row],[Ticket]],Okey!A:B,2,0),"")</f>
        <v>ok</v>
      </c>
      <c r="I2673" s="7" t="s">
        <v>3679</v>
      </c>
      <c r="J2673" s="7" t="str">
        <f>VLOOKUP(Table2[[#This Row],[Author]],People!A:B,2,0)</f>
        <v>LS</v>
      </c>
      <c r="K2673" s="7" t="s">
        <v>5965</v>
      </c>
      <c r="L2673" s="7"/>
      <c r="M2673" s="16" t="s">
        <v>2804</v>
      </c>
    </row>
    <row r="2674" spans="1:13" x14ac:dyDescent="0.25">
      <c r="A2674" s="22">
        <f t="shared" si="42"/>
        <v>2673</v>
      </c>
      <c r="B2674" s="6" t="s">
        <v>5960</v>
      </c>
      <c r="C2674" s="6" t="s">
        <v>6765</v>
      </c>
      <c r="D2674" s="6" t="s">
        <v>7018</v>
      </c>
      <c r="E2674" s="6" t="s">
        <v>7019</v>
      </c>
      <c r="F2674" s="6"/>
      <c r="G2674" s="6" t="s">
        <v>63</v>
      </c>
      <c r="H2674" s="6" t="str">
        <f>IFERROR(VLOOKUP(Table2[[#This Row],[Ticket]],Okey!A:B,2,0),"")</f>
        <v>ok</v>
      </c>
      <c r="I2674" s="6" t="s">
        <v>3679</v>
      </c>
      <c r="J2674" s="6" t="str">
        <f>VLOOKUP(Table2[[#This Row],[Author]],People!A:B,2,0)</f>
        <v>LS</v>
      </c>
      <c r="K2674" s="6" t="s">
        <v>5965</v>
      </c>
      <c r="L2674" s="6"/>
      <c r="M2674" s="21" t="s">
        <v>2804</v>
      </c>
    </row>
    <row r="2675" spans="1:13" x14ac:dyDescent="0.25">
      <c r="A2675" s="23">
        <f t="shared" si="42"/>
        <v>2674</v>
      </c>
      <c r="B2675" s="7" t="s">
        <v>5960</v>
      </c>
      <c r="C2675" s="7" t="s">
        <v>6765</v>
      </c>
      <c r="D2675" s="7" t="s">
        <v>7020</v>
      </c>
      <c r="E2675" s="7" t="s">
        <v>7021</v>
      </c>
      <c r="F2675" s="7"/>
      <c r="G2675" s="7" t="s">
        <v>63</v>
      </c>
      <c r="H2675" s="7" t="str">
        <f>IFERROR(VLOOKUP(Table2[[#This Row],[Ticket]],Okey!A:B,2,0),"")</f>
        <v>ok</v>
      </c>
      <c r="I2675" s="7" t="s">
        <v>3679</v>
      </c>
      <c r="J2675" s="7" t="str">
        <f>VLOOKUP(Table2[[#This Row],[Author]],People!A:B,2,0)</f>
        <v>LS</v>
      </c>
      <c r="K2675" s="7" t="s">
        <v>5965</v>
      </c>
      <c r="L2675" s="7"/>
      <c r="M2675" s="16" t="s">
        <v>2804</v>
      </c>
    </row>
    <row r="2676" spans="1:13" x14ac:dyDescent="0.25">
      <c r="A2676" s="22">
        <f t="shared" si="42"/>
        <v>2675</v>
      </c>
      <c r="B2676" s="6" t="s">
        <v>5960</v>
      </c>
      <c r="C2676" s="6" t="s">
        <v>6765</v>
      </c>
      <c r="D2676" s="6" t="s">
        <v>7022</v>
      </c>
      <c r="E2676" s="6" t="s">
        <v>7023</v>
      </c>
      <c r="F2676" s="6"/>
      <c r="G2676" s="6" t="s">
        <v>63</v>
      </c>
      <c r="H2676" s="6" t="str">
        <f>IFERROR(VLOOKUP(Table2[[#This Row],[Ticket]],Okey!A:B,2,0),"")</f>
        <v>ok</v>
      </c>
      <c r="I2676" s="6" t="s">
        <v>3679</v>
      </c>
      <c r="J2676" s="6" t="str">
        <f>VLOOKUP(Table2[[#This Row],[Author]],People!A:B,2,0)</f>
        <v>LS</v>
      </c>
      <c r="K2676" s="6" t="s">
        <v>5965</v>
      </c>
      <c r="L2676" s="6"/>
      <c r="M2676" s="21" t="s">
        <v>2804</v>
      </c>
    </row>
    <row r="2677" spans="1:13" x14ac:dyDescent="0.25">
      <c r="A2677" s="23">
        <f t="shared" si="42"/>
        <v>2676</v>
      </c>
      <c r="B2677" s="7" t="s">
        <v>5960</v>
      </c>
      <c r="C2677" s="7" t="s">
        <v>6765</v>
      </c>
      <c r="D2677" s="7" t="s">
        <v>7024</v>
      </c>
      <c r="E2677" s="7" t="s">
        <v>7025</v>
      </c>
      <c r="F2677" s="7"/>
      <c r="G2677" s="7" t="s">
        <v>63</v>
      </c>
      <c r="H2677" s="7" t="str">
        <f>IFERROR(VLOOKUP(Table2[[#This Row],[Ticket]],Okey!A:B,2,0),"")</f>
        <v>ok</v>
      </c>
      <c r="I2677" s="7" t="s">
        <v>3679</v>
      </c>
      <c r="J2677" s="7" t="str">
        <f>VLOOKUP(Table2[[#This Row],[Author]],People!A:B,2,0)</f>
        <v>LS</v>
      </c>
      <c r="K2677" s="7" t="s">
        <v>5965</v>
      </c>
      <c r="L2677" s="7"/>
      <c r="M2677" s="16" t="s">
        <v>2804</v>
      </c>
    </row>
    <row r="2678" spans="1:13" x14ac:dyDescent="0.25">
      <c r="A2678" s="22">
        <f t="shared" si="42"/>
        <v>2677</v>
      </c>
      <c r="B2678" s="6" t="s">
        <v>5960</v>
      </c>
      <c r="C2678" s="6" t="s">
        <v>6765</v>
      </c>
      <c r="D2678" s="6" t="s">
        <v>4814</v>
      </c>
      <c r="E2678" s="6" t="s">
        <v>7026</v>
      </c>
      <c r="F2678" s="6"/>
      <c r="G2678" s="6" t="s">
        <v>63</v>
      </c>
      <c r="H2678" s="6" t="str">
        <f>IFERROR(VLOOKUP(Table2[[#This Row],[Ticket]],Okey!A:B,2,0),"")</f>
        <v>ok</v>
      </c>
      <c r="I2678" s="6" t="s">
        <v>3679</v>
      </c>
      <c r="J2678" s="6" t="str">
        <f>VLOOKUP(Table2[[#This Row],[Author]],People!A:B,2,0)</f>
        <v>LS</v>
      </c>
      <c r="K2678" s="6" t="s">
        <v>5965</v>
      </c>
      <c r="L2678" s="6"/>
      <c r="M2678" s="21" t="s">
        <v>2804</v>
      </c>
    </row>
    <row r="2679" spans="1:13" x14ac:dyDescent="0.25">
      <c r="A2679" s="23">
        <f t="shared" si="42"/>
        <v>2678</v>
      </c>
      <c r="B2679" s="7" t="s">
        <v>5960</v>
      </c>
      <c r="C2679" s="7" t="s">
        <v>6765</v>
      </c>
      <c r="D2679" s="7" t="s">
        <v>4817</v>
      </c>
      <c r="E2679" s="7" t="s">
        <v>7027</v>
      </c>
      <c r="F2679" s="7"/>
      <c r="G2679" s="7" t="s">
        <v>63</v>
      </c>
      <c r="H2679" s="7" t="str">
        <f>IFERROR(VLOOKUP(Table2[[#This Row],[Ticket]],Okey!A:B,2,0),"")</f>
        <v>ok</v>
      </c>
      <c r="I2679" s="7" t="s">
        <v>3679</v>
      </c>
      <c r="J2679" s="7" t="str">
        <f>VLOOKUP(Table2[[#This Row],[Author]],People!A:B,2,0)</f>
        <v>LS</v>
      </c>
      <c r="K2679" s="7" t="s">
        <v>5965</v>
      </c>
      <c r="L2679" s="7"/>
      <c r="M2679" s="16" t="s">
        <v>2804</v>
      </c>
    </row>
    <row r="2680" spans="1:13" x14ac:dyDescent="0.25">
      <c r="A2680" s="22">
        <f t="shared" si="42"/>
        <v>2679</v>
      </c>
      <c r="B2680" s="6" t="s">
        <v>5960</v>
      </c>
      <c r="C2680" s="6" t="s">
        <v>6765</v>
      </c>
      <c r="D2680" s="6" t="s">
        <v>2743</v>
      </c>
      <c r="E2680" s="6" t="s">
        <v>7028</v>
      </c>
      <c r="F2680" s="6"/>
      <c r="G2680" s="6" t="s">
        <v>63</v>
      </c>
      <c r="H2680" s="6" t="str">
        <f>IFERROR(VLOOKUP(Table2[[#This Row],[Ticket]],Okey!A:B,2,0),"")</f>
        <v>ok</v>
      </c>
      <c r="I2680" s="6" t="s">
        <v>3679</v>
      </c>
      <c r="J2680" s="6" t="str">
        <f>VLOOKUP(Table2[[#This Row],[Author]],People!A:B,2,0)</f>
        <v>LS</v>
      </c>
      <c r="K2680" s="6" t="s">
        <v>5965</v>
      </c>
      <c r="L2680" s="6"/>
      <c r="M2680" s="21" t="s">
        <v>2804</v>
      </c>
    </row>
    <row r="2681" spans="1:13" x14ac:dyDescent="0.25">
      <c r="A2681" s="23">
        <f t="shared" si="42"/>
        <v>2680</v>
      </c>
      <c r="B2681" s="7" t="s">
        <v>5960</v>
      </c>
      <c r="C2681" s="7" t="s">
        <v>6765</v>
      </c>
      <c r="D2681" s="7" t="s">
        <v>280</v>
      </c>
      <c r="E2681" s="7" t="s">
        <v>7029</v>
      </c>
      <c r="F2681" s="7"/>
      <c r="G2681" s="7" t="s">
        <v>63</v>
      </c>
      <c r="H2681" s="7" t="str">
        <f>IFERROR(VLOOKUP(Table2[[#This Row],[Ticket]],Okey!A:B,2,0),"")</f>
        <v>ok</v>
      </c>
      <c r="I2681" s="7" t="s">
        <v>3679</v>
      </c>
      <c r="J2681" s="7" t="str">
        <f>VLOOKUP(Table2[[#This Row],[Author]],People!A:B,2,0)</f>
        <v>LS</v>
      </c>
      <c r="K2681" s="7" t="s">
        <v>5965</v>
      </c>
      <c r="L2681" s="7"/>
      <c r="M2681" s="16" t="s">
        <v>2804</v>
      </c>
    </row>
    <row r="2682" spans="1:13" x14ac:dyDescent="0.25">
      <c r="A2682" s="22">
        <f t="shared" si="42"/>
        <v>2681</v>
      </c>
      <c r="B2682" s="6" t="s">
        <v>5960</v>
      </c>
      <c r="C2682" s="6" t="s">
        <v>6765</v>
      </c>
      <c r="D2682" s="6" t="s">
        <v>282</v>
      </c>
      <c r="E2682" s="6" t="s">
        <v>143</v>
      </c>
      <c r="F2682" s="6"/>
      <c r="G2682" s="6" t="s">
        <v>63</v>
      </c>
      <c r="H2682" s="6" t="str">
        <f>IFERROR(VLOOKUP(Table2[[#This Row],[Ticket]],Okey!A:B,2,0),"")</f>
        <v>ok</v>
      </c>
      <c r="I2682" s="6" t="s">
        <v>3679</v>
      </c>
      <c r="J2682" s="6" t="str">
        <f>VLOOKUP(Table2[[#This Row],[Author]],People!A:B,2,0)</f>
        <v>LS</v>
      </c>
      <c r="K2682" s="6" t="s">
        <v>5965</v>
      </c>
      <c r="L2682" s="6"/>
      <c r="M2682" s="21" t="s">
        <v>2804</v>
      </c>
    </row>
    <row r="2683" spans="1:13" x14ac:dyDescent="0.25">
      <c r="A2683" s="23">
        <f t="shared" si="42"/>
        <v>2682</v>
      </c>
      <c r="B2683" s="7" t="s">
        <v>5960</v>
      </c>
      <c r="C2683" s="7" t="s">
        <v>6765</v>
      </c>
      <c r="D2683" s="7" t="s">
        <v>284</v>
      </c>
      <c r="E2683" s="7" t="s">
        <v>147</v>
      </c>
      <c r="F2683" s="7"/>
      <c r="G2683" s="7" t="s">
        <v>63</v>
      </c>
      <c r="H2683" s="7" t="str">
        <f>IFERROR(VLOOKUP(Table2[[#This Row],[Ticket]],Okey!A:B,2,0),"")</f>
        <v>ok</v>
      </c>
      <c r="I2683" s="7" t="s">
        <v>3679</v>
      </c>
      <c r="J2683" s="7" t="str">
        <f>VLOOKUP(Table2[[#This Row],[Author]],People!A:B,2,0)</f>
        <v>LS</v>
      </c>
      <c r="K2683" s="7" t="s">
        <v>5965</v>
      </c>
      <c r="L2683" s="7"/>
      <c r="M2683" s="16" t="s">
        <v>2804</v>
      </c>
    </row>
    <row r="2684" spans="1:13" x14ac:dyDescent="0.25">
      <c r="A2684" s="22">
        <f t="shared" si="42"/>
        <v>2683</v>
      </c>
      <c r="B2684" s="6" t="s">
        <v>5960</v>
      </c>
      <c r="C2684" s="6" t="s">
        <v>6765</v>
      </c>
      <c r="D2684" s="6" t="s">
        <v>286</v>
      </c>
      <c r="E2684" s="6" t="s">
        <v>151</v>
      </c>
      <c r="F2684" s="6"/>
      <c r="G2684" s="6" t="s">
        <v>63</v>
      </c>
      <c r="H2684" s="6" t="str">
        <f>IFERROR(VLOOKUP(Table2[[#This Row],[Ticket]],Okey!A:B,2,0),"")</f>
        <v>ok</v>
      </c>
      <c r="I2684" s="6" t="s">
        <v>3679</v>
      </c>
      <c r="J2684" s="6" t="str">
        <f>VLOOKUP(Table2[[#This Row],[Author]],People!A:B,2,0)</f>
        <v>LS</v>
      </c>
      <c r="K2684" s="6" t="s">
        <v>5965</v>
      </c>
      <c r="L2684" s="6"/>
      <c r="M2684" s="21" t="s">
        <v>2804</v>
      </c>
    </row>
    <row r="2685" spans="1:13" x14ac:dyDescent="0.25">
      <c r="A2685" s="23">
        <f t="shared" si="42"/>
        <v>2684</v>
      </c>
      <c r="B2685" s="7" t="s">
        <v>5960</v>
      </c>
      <c r="C2685" s="7" t="s">
        <v>6765</v>
      </c>
      <c r="D2685" s="7" t="s">
        <v>287</v>
      </c>
      <c r="E2685" s="7" t="s">
        <v>7030</v>
      </c>
      <c r="F2685" s="7"/>
      <c r="G2685" s="7" t="s">
        <v>63</v>
      </c>
      <c r="H2685" s="7" t="str">
        <f>IFERROR(VLOOKUP(Table2[[#This Row],[Ticket]],Okey!A:B,2,0),"")</f>
        <v>ok</v>
      </c>
      <c r="I2685" s="7" t="s">
        <v>3679</v>
      </c>
      <c r="J2685" s="7" t="str">
        <f>VLOOKUP(Table2[[#This Row],[Author]],People!A:B,2,0)</f>
        <v>LS</v>
      </c>
      <c r="K2685" s="7" t="s">
        <v>5965</v>
      </c>
      <c r="L2685" s="7"/>
      <c r="M2685" s="16" t="s">
        <v>2804</v>
      </c>
    </row>
    <row r="2686" spans="1:13" x14ac:dyDescent="0.25">
      <c r="A2686" s="22">
        <f t="shared" si="42"/>
        <v>2685</v>
      </c>
      <c r="B2686" s="6" t="s">
        <v>5960</v>
      </c>
      <c r="C2686" s="6" t="s">
        <v>6765</v>
      </c>
      <c r="D2686" s="6" t="s">
        <v>288</v>
      </c>
      <c r="E2686" s="6" t="s">
        <v>155</v>
      </c>
      <c r="F2686" s="6"/>
      <c r="G2686" s="6" t="s">
        <v>63</v>
      </c>
      <c r="H2686" s="6" t="str">
        <f>IFERROR(VLOOKUP(Table2[[#This Row],[Ticket]],Okey!A:B,2,0),"")</f>
        <v>ok</v>
      </c>
      <c r="I2686" s="6" t="s">
        <v>3679</v>
      </c>
      <c r="J2686" s="6" t="str">
        <f>VLOOKUP(Table2[[#This Row],[Author]],People!A:B,2,0)</f>
        <v>LS</v>
      </c>
      <c r="K2686" s="6" t="s">
        <v>5965</v>
      </c>
      <c r="L2686" s="6"/>
      <c r="M2686" s="21" t="s">
        <v>2804</v>
      </c>
    </row>
    <row r="2687" spans="1:13" x14ac:dyDescent="0.25">
      <c r="A2687" s="23">
        <f t="shared" si="42"/>
        <v>2686</v>
      </c>
      <c r="B2687" s="7" t="s">
        <v>5960</v>
      </c>
      <c r="C2687" s="7" t="s">
        <v>6765</v>
      </c>
      <c r="D2687" s="7" t="s">
        <v>281</v>
      </c>
      <c r="E2687" s="7" t="s">
        <v>7031</v>
      </c>
      <c r="F2687" s="7"/>
      <c r="G2687" s="7" t="s">
        <v>63</v>
      </c>
      <c r="H2687" s="7" t="str">
        <f>IFERROR(VLOOKUP(Table2[[#This Row],[Ticket]],Okey!A:B,2,0),"")</f>
        <v>ok</v>
      </c>
      <c r="I2687" s="7" t="s">
        <v>3679</v>
      </c>
      <c r="J2687" s="7" t="str">
        <f>VLOOKUP(Table2[[#This Row],[Author]],People!A:B,2,0)</f>
        <v>LS</v>
      </c>
      <c r="K2687" s="7" t="s">
        <v>5965</v>
      </c>
      <c r="L2687" s="7"/>
      <c r="M2687" s="16" t="s">
        <v>2804</v>
      </c>
    </row>
    <row r="2688" spans="1:13" x14ac:dyDescent="0.25">
      <c r="A2688" s="22">
        <f t="shared" si="42"/>
        <v>2687</v>
      </c>
      <c r="B2688" s="6" t="s">
        <v>5960</v>
      </c>
      <c r="C2688" s="6" t="s">
        <v>6765</v>
      </c>
      <c r="D2688" s="6" t="s">
        <v>283</v>
      </c>
      <c r="E2688" s="6" t="s">
        <v>7032</v>
      </c>
      <c r="F2688" s="6"/>
      <c r="G2688" s="6" t="s">
        <v>63</v>
      </c>
      <c r="H2688" s="6" t="str">
        <f>IFERROR(VLOOKUP(Table2[[#This Row],[Ticket]],Okey!A:B,2,0),"")</f>
        <v>ok</v>
      </c>
      <c r="I2688" s="6" t="s">
        <v>3679</v>
      </c>
      <c r="J2688" s="6" t="str">
        <f>VLOOKUP(Table2[[#This Row],[Author]],People!A:B,2,0)</f>
        <v>LS</v>
      </c>
      <c r="K2688" s="6" t="s">
        <v>5965</v>
      </c>
      <c r="L2688" s="6"/>
      <c r="M2688" s="21" t="s">
        <v>2804</v>
      </c>
    </row>
    <row r="2689" spans="1:13" x14ac:dyDescent="0.25">
      <c r="A2689" s="23">
        <f t="shared" si="42"/>
        <v>2688</v>
      </c>
      <c r="B2689" s="7" t="s">
        <v>5960</v>
      </c>
      <c r="C2689" s="7" t="s">
        <v>6765</v>
      </c>
      <c r="D2689" s="7" t="s">
        <v>285</v>
      </c>
      <c r="E2689" s="7" t="s">
        <v>7033</v>
      </c>
      <c r="F2689" s="7"/>
      <c r="G2689" s="7" t="s">
        <v>63</v>
      </c>
      <c r="H2689" s="7" t="str">
        <f>IFERROR(VLOOKUP(Table2[[#This Row],[Ticket]],Okey!A:B,2,0),"")</f>
        <v>ok</v>
      </c>
      <c r="I2689" s="7" t="s">
        <v>3679</v>
      </c>
      <c r="J2689" s="7" t="str">
        <f>VLOOKUP(Table2[[#This Row],[Author]],People!A:B,2,0)</f>
        <v>LS</v>
      </c>
      <c r="K2689" s="7" t="s">
        <v>5965</v>
      </c>
      <c r="L2689" s="7"/>
      <c r="M2689" s="16" t="s">
        <v>2804</v>
      </c>
    </row>
    <row r="2690" spans="1:13" x14ac:dyDescent="0.25">
      <c r="A2690" s="22">
        <f t="shared" si="42"/>
        <v>2689</v>
      </c>
      <c r="B2690" s="6" t="s">
        <v>5960</v>
      </c>
      <c r="C2690" s="6" t="s">
        <v>6765</v>
      </c>
      <c r="D2690" s="6" t="s">
        <v>7034</v>
      </c>
      <c r="E2690" s="6" t="s">
        <v>7035</v>
      </c>
      <c r="F2690" s="6"/>
      <c r="G2690" s="6" t="s">
        <v>63</v>
      </c>
      <c r="H2690" s="6" t="str">
        <f>IFERROR(VLOOKUP(Table2[[#This Row],[Ticket]],Okey!A:B,2,0),"")</f>
        <v>ok</v>
      </c>
      <c r="I2690" s="6" t="s">
        <v>3679</v>
      </c>
      <c r="J2690" s="6" t="str">
        <f>VLOOKUP(Table2[[#This Row],[Author]],People!A:B,2,0)</f>
        <v>LS</v>
      </c>
      <c r="K2690" s="6" t="s">
        <v>5965</v>
      </c>
      <c r="L2690" s="6"/>
      <c r="M2690" s="21" t="s">
        <v>2804</v>
      </c>
    </row>
    <row r="2691" spans="1:13" x14ac:dyDescent="0.25">
      <c r="A2691" s="23">
        <f t="shared" si="42"/>
        <v>2690</v>
      </c>
      <c r="B2691" s="7" t="s">
        <v>5960</v>
      </c>
      <c r="C2691" s="7" t="s">
        <v>6765</v>
      </c>
      <c r="D2691" s="7" t="s">
        <v>7036</v>
      </c>
      <c r="E2691" s="7" t="s">
        <v>7037</v>
      </c>
      <c r="F2691" s="7"/>
      <c r="G2691" s="7" t="s">
        <v>63</v>
      </c>
      <c r="H2691" s="7" t="str">
        <f>IFERROR(VLOOKUP(Table2[[#This Row],[Ticket]],Okey!A:B,2,0),"")</f>
        <v>ok</v>
      </c>
      <c r="I2691" s="7" t="s">
        <v>3679</v>
      </c>
      <c r="J2691" s="7" t="str">
        <f>VLOOKUP(Table2[[#This Row],[Author]],People!A:B,2,0)</f>
        <v>LS</v>
      </c>
      <c r="K2691" s="7" t="s">
        <v>5965</v>
      </c>
      <c r="L2691" s="7"/>
      <c r="M2691" s="16" t="s">
        <v>2804</v>
      </c>
    </row>
    <row r="2692" spans="1:13" x14ac:dyDescent="0.25">
      <c r="A2692" s="22">
        <f t="shared" si="42"/>
        <v>2691</v>
      </c>
      <c r="B2692" s="6" t="s">
        <v>5960</v>
      </c>
      <c r="C2692" s="6" t="s">
        <v>6765</v>
      </c>
      <c r="D2692" s="6" t="s">
        <v>7038</v>
      </c>
      <c r="E2692" s="6" t="s">
        <v>7039</v>
      </c>
      <c r="F2692" s="6"/>
      <c r="G2692" s="6" t="s">
        <v>63</v>
      </c>
      <c r="H2692" s="6" t="str">
        <f>IFERROR(VLOOKUP(Table2[[#This Row],[Ticket]],Okey!A:B,2,0),"")</f>
        <v>ok</v>
      </c>
      <c r="I2692" s="6" t="s">
        <v>3679</v>
      </c>
      <c r="J2692" s="6" t="str">
        <f>VLOOKUP(Table2[[#This Row],[Author]],People!A:B,2,0)</f>
        <v>LS</v>
      </c>
      <c r="K2692" s="6" t="s">
        <v>5965</v>
      </c>
      <c r="L2692" s="6"/>
      <c r="M2692" s="21" t="s">
        <v>2804</v>
      </c>
    </row>
    <row r="2693" spans="1:13" x14ac:dyDescent="0.25">
      <c r="A2693" s="23">
        <f>1+A2692</f>
        <v>2692</v>
      </c>
      <c r="B2693" s="7" t="s">
        <v>5960</v>
      </c>
      <c r="C2693" s="7" t="s">
        <v>6765</v>
      </c>
      <c r="D2693" s="7" t="s">
        <v>7040</v>
      </c>
      <c r="E2693" s="7" t="s">
        <v>7041</v>
      </c>
      <c r="F2693" s="7"/>
      <c r="G2693" s="7" t="s">
        <v>63</v>
      </c>
      <c r="H2693" s="7" t="str">
        <f>IFERROR(VLOOKUP(Table2[[#This Row],[Ticket]],Okey!A:B,2,0),"")</f>
        <v>ok</v>
      </c>
      <c r="I2693" s="7" t="s">
        <v>3679</v>
      </c>
      <c r="J2693" s="7" t="str">
        <f>VLOOKUP(Table2[[#This Row],[Author]],People!A:B,2,0)</f>
        <v>LS</v>
      </c>
      <c r="K2693" s="7" t="s">
        <v>5965</v>
      </c>
      <c r="L2693" s="7"/>
      <c r="M2693" s="16" t="s">
        <v>2804</v>
      </c>
    </row>
    <row r="2694" spans="1:13" x14ac:dyDescent="0.25">
      <c r="A2694" s="22">
        <f t="shared" ref="A2694:A2704" si="43">1+A2693</f>
        <v>2693</v>
      </c>
      <c r="B2694" s="6" t="s">
        <v>5960</v>
      </c>
      <c r="C2694" s="6" t="s">
        <v>6765</v>
      </c>
      <c r="D2694" s="6" t="s">
        <v>7042</v>
      </c>
      <c r="E2694" s="6" t="s">
        <v>7043</v>
      </c>
      <c r="F2694" s="6"/>
      <c r="G2694" s="6" t="s">
        <v>63</v>
      </c>
      <c r="H2694" s="6" t="str">
        <f>IFERROR(VLOOKUP(Table2[[#This Row],[Ticket]],Okey!A:B,2,0),"")</f>
        <v>ok</v>
      </c>
      <c r="I2694" s="6" t="s">
        <v>3679</v>
      </c>
      <c r="J2694" s="6" t="str">
        <f>VLOOKUP(Table2[[#This Row],[Author]],People!A:B,2,0)</f>
        <v>LS</v>
      </c>
      <c r="K2694" s="6" t="s">
        <v>5965</v>
      </c>
      <c r="L2694" s="6"/>
      <c r="M2694" s="21" t="s">
        <v>2804</v>
      </c>
    </row>
    <row r="2695" spans="1:13" x14ac:dyDescent="0.25">
      <c r="A2695" s="23">
        <f t="shared" si="43"/>
        <v>2694</v>
      </c>
      <c r="B2695" s="7" t="s">
        <v>5960</v>
      </c>
      <c r="C2695" s="7" t="s">
        <v>6765</v>
      </c>
      <c r="D2695" s="7" t="s">
        <v>7044</v>
      </c>
      <c r="E2695" s="7" t="s">
        <v>7045</v>
      </c>
      <c r="F2695" s="7"/>
      <c r="G2695" s="7" t="s">
        <v>63</v>
      </c>
      <c r="H2695" s="7" t="str">
        <f>IFERROR(VLOOKUP(Table2[[#This Row],[Ticket]],Okey!A:B,2,0),"")</f>
        <v>ok</v>
      </c>
      <c r="I2695" s="7" t="s">
        <v>3679</v>
      </c>
      <c r="J2695" s="7" t="str">
        <f>VLOOKUP(Table2[[#This Row],[Author]],People!A:B,2,0)</f>
        <v>LS</v>
      </c>
      <c r="K2695" s="7" t="s">
        <v>5965</v>
      </c>
      <c r="L2695" s="7"/>
      <c r="M2695" s="16" t="s">
        <v>2804</v>
      </c>
    </row>
    <row r="2696" spans="1:13" x14ac:dyDescent="0.25">
      <c r="A2696" s="22">
        <f t="shared" si="43"/>
        <v>2695</v>
      </c>
      <c r="B2696" s="6" t="s">
        <v>5960</v>
      </c>
      <c r="C2696" s="6" t="s">
        <v>6765</v>
      </c>
      <c r="D2696" s="6" t="s">
        <v>2789</v>
      </c>
      <c r="E2696" s="6" t="s">
        <v>7046</v>
      </c>
      <c r="F2696" s="6"/>
      <c r="G2696" s="6" t="s">
        <v>63</v>
      </c>
      <c r="H2696" s="6" t="str">
        <f>IFERROR(VLOOKUP(Table2[[#This Row],[Ticket]],Okey!A:B,2,0),"")</f>
        <v>ok</v>
      </c>
      <c r="I2696" s="6" t="s">
        <v>3679</v>
      </c>
      <c r="J2696" s="6" t="str">
        <f>VLOOKUP(Table2[[#This Row],[Author]],People!A:B,2,0)</f>
        <v>LS</v>
      </c>
      <c r="K2696" s="6" t="s">
        <v>5965</v>
      </c>
      <c r="L2696" s="6"/>
      <c r="M2696" s="21" t="s">
        <v>2804</v>
      </c>
    </row>
    <row r="2697" spans="1:13" x14ac:dyDescent="0.25">
      <c r="A2697" s="23">
        <f t="shared" si="43"/>
        <v>2696</v>
      </c>
      <c r="B2697" s="7" t="s">
        <v>5960</v>
      </c>
      <c r="C2697" s="7" t="s">
        <v>6765</v>
      </c>
      <c r="D2697" s="7" t="s">
        <v>7047</v>
      </c>
      <c r="E2697" s="7" t="s">
        <v>7048</v>
      </c>
      <c r="F2697" s="7"/>
      <c r="G2697" s="7" t="s">
        <v>63</v>
      </c>
      <c r="H2697" s="7" t="str">
        <f>IFERROR(VLOOKUP(Table2[[#This Row],[Ticket]],Okey!A:B,2,0),"")</f>
        <v>ok</v>
      </c>
      <c r="I2697" s="7" t="s">
        <v>3679</v>
      </c>
      <c r="J2697" s="7" t="str">
        <f>VLOOKUP(Table2[[#This Row],[Author]],People!A:B,2,0)</f>
        <v>LS</v>
      </c>
      <c r="K2697" s="7" t="s">
        <v>5965</v>
      </c>
      <c r="L2697" s="7"/>
      <c r="M2697" s="16" t="s">
        <v>2804</v>
      </c>
    </row>
    <row r="2698" spans="1:13" x14ac:dyDescent="0.25">
      <c r="A2698" s="22">
        <f t="shared" si="43"/>
        <v>2697</v>
      </c>
      <c r="B2698" s="6" t="s">
        <v>5960</v>
      </c>
      <c r="C2698" s="6" t="s">
        <v>6765</v>
      </c>
      <c r="D2698" s="6" t="s">
        <v>7049</v>
      </c>
      <c r="E2698" s="6" t="s">
        <v>7050</v>
      </c>
      <c r="F2698" s="6"/>
      <c r="G2698" s="6" t="s">
        <v>63</v>
      </c>
      <c r="H2698" s="6" t="str">
        <f>IFERROR(VLOOKUP(Table2[[#This Row],[Ticket]],Okey!A:B,2,0),"")</f>
        <v>ok</v>
      </c>
      <c r="I2698" s="6" t="s">
        <v>3679</v>
      </c>
      <c r="J2698" s="6" t="str">
        <f>VLOOKUP(Table2[[#This Row],[Author]],People!A:B,2,0)</f>
        <v>LS</v>
      </c>
      <c r="K2698" s="6" t="s">
        <v>5965</v>
      </c>
      <c r="L2698" s="6"/>
      <c r="M2698" s="21" t="s">
        <v>2804</v>
      </c>
    </row>
    <row r="2699" spans="1:13" x14ac:dyDescent="0.25">
      <c r="A2699" s="23">
        <f t="shared" si="43"/>
        <v>2698</v>
      </c>
      <c r="B2699" s="7" t="s">
        <v>5960</v>
      </c>
      <c r="C2699" s="7" t="s">
        <v>6765</v>
      </c>
      <c r="D2699" s="7" t="s">
        <v>7051</v>
      </c>
      <c r="E2699" s="7" t="s">
        <v>7052</v>
      </c>
      <c r="F2699" s="7"/>
      <c r="G2699" s="7" t="s">
        <v>63</v>
      </c>
      <c r="H2699" s="7" t="str">
        <f>IFERROR(VLOOKUP(Table2[[#This Row],[Ticket]],Okey!A:B,2,0),"")</f>
        <v>ok</v>
      </c>
      <c r="I2699" s="7" t="s">
        <v>3679</v>
      </c>
      <c r="J2699" s="7" t="str">
        <f>VLOOKUP(Table2[[#This Row],[Author]],People!A:B,2,0)</f>
        <v>LS</v>
      </c>
      <c r="K2699" s="7" t="s">
        <v>5965</v>
      </c>
      <c r="L2699" s="7"/>
      <c r="M2699" s="16" t="s">
        <v>2804</v>
      </c>
    </row>
    <row r="2700" spans="1:13" x14ac:dyDescent="0.25">
      <c r="A2700" s="22">
        <f t="shared" si="43"/>
        <v>2699</v>
      </c>
      <c r="B2700" s="6" t="s">
        <v>5960</v>
      </c>
      <c r="C2700" s="6" t="s">
        <v>6765</v>
      </c>
      <c r="D2700" s="6" t="s">
        <v>7053</v>
      </c>
      <c r="E2700" s="6" t="s">
        <v>7054</v>
      </c>
      <c r="F2700" s="6"/>
      <c r="G2700" s="6" t="s">
        <v>63</v>
      </c>
      <c r="H2700" s="6" t="str">
        <f>IFERROR(VLOOKUP(Table2[[#This Row],[Ticket]],Okey!A:B,2,0),"")</f>
        <v>ok</v>
      </c>
      <c r="I2700" s="6" t="s">
        <v>3679</v>
      </c>
      <c r="J2700" s="6" t="str">
        <f>VLOOKUP(Table2[[#This Row],[Author]],People!A:B,2,0)</f>
        <v>LS</v>
      </c>
      <c r="K2700" s="6" t="s">
        <v>5965</v>
      </c>
      <c r="L2700" s="6"/>
      <c r="M2700" s="21" t="s">
        <v>2804</v>
      </c>
    </row>
    <row r="2701" spans="1:13" x14ac:dyDescent="0.25">
      <c r="A2701" s="23">
        <f t="shared" si="43"/>
        <v>2700</v>
      </c>
      <c r="B2701" s="7" t="s">
        <v>5960</v>
      </c>
      <c r="C2701" s="7" t="s">
        <v>6765</v>
      </c>
      <c r="D2701" s="7" t="s">
        <v>1976</v>
      </c>
      <c r="E2701" s="7" t="s">
        <v>7055</v>
      </c>
      <c r="F2701" s="7"/>
      <c r="G2701" s="7" t="s">
        <v>63</v>
      </c>
      <c r="H2701" s="7" t="str">
        <f>IFERROR(VLOOKUP(Table2[[#This Row],[Ticket]],Okey!A:B,2,0),"")</f>
        <v>ok</v>
      </c>
      <c r="I2701" s="7" t="s">
        <v>3679</v>
      </c>
      <c r="J2701" s="7" t="str">
        <f>VLOOKUP(Table2[[#This Row],[Author]],People!A:B,2,0)</f>
        <v>LS</v>
      </c>
      <c r="K2701" s="7" t="s">
        <v>5965</v>
      </c>
      <c r="L2701" s="7"/>
      <c r="M2701" s="16" t="s">
        <v>2804</v>
      </c>
    </row>
    <row r="2702" spans="1:13" x14ac:dyDescent="0.25">
      <c r="A2702" s="22">
        <f t="shared" si="43"/>
        <v>2701</v>
      </c>
      <c r="B2702" s="6" t="s">
        <v>5960</v>
      </c>
      <c r="C2702" s="6" t="s">
        <v>6765</v>
      </c>
      <c r="D2702" s="6" t="s">
        <v>1978</v>
      </c>
      <c r="E2702" s="6" t="s">
        <v>7056</v>
      </c>
      <c r="F2702" s="6"/>
      <c r="G2702" s="6" t="s">
        <v>63</v>
      </c>
      <c r="H2702" s="6" t="str">
        <f>IFERROR(VLOOKUP(Table2[[#This Row],[Ticket]],Okey!A:B,2,0),"")</f>
        <v>ok</v>
      </c>
      <c r="I2702" s="6" t="s">
        <v>3679</v>
      </c>
      <c r="J2702" s="6" t="str">
        <f>VLOOKUP(Table2[[#This Row],[Author]],People!A:B,2,0)</f>
        <v>LS</v>
      </c>
      <c r="K2702" s="6" t="s">
        <v>5965</v>
      </c>
      <c r="L2702" s="6"/>
      <c r="M2702" s="21" t="s">
        <v>2804</v>
      </c>
    </row>
    <row r="2703" spans="1:13" x14ac:dyDescent="0.25">
      <c r="A2703" s="23">
        <f t="shared" si="43"/>
        <v>2702</v>
      </c>
      <c r="B2703" s="7" t="s">
        <v>5960</v>
      </c>
      <c r="C2703" s="7" t="s">
        <v>6765</v>
      </c>
      <c r="D2703" s="7" t="s">
        <v>7057</v>
      </c>
      <c r="E2703" s="7" t="s">
        <v>7058</v>
      </c>
      <c r="F2703" s="7"/>
      <c r="G2703" s="7" t="s">
        <v>63</v>
      </c>
      <c r="H2703" s="7" t="str">
        <f>IFERROR(VLOOKUP(Table2[[#This Row],[Ticket]],Okey!A:B,2,0),"")</f>
        <v>ok</v>
      </c>
      <c r="I2703" s="7" t="s">
        <v>3679</v>
      </c>
      <c r="J2703" s="7" t="str">
        <f>VLOOKUP(Table2[[#This Row],[Author]],People!A:B,2,0)</f>
        <v>LS</v>
      </c>
      <c r="K2703" s="7" t="s">
        <v>5965</v>
      </c>
      <c r="L2703" s="7"/>
      <c r="M2703" s="16" t="s">
        <v>2804</v>
      </c>
    </row>
    <row r="2704" spans="1:13" x14ac:dyDescent="0.25">
      <c r="A2704" s="22">
        <f t="shared" si="43"/>
        <v>2703</v>
      </c>
      <c r="B2704" s="6" t="s">
        <v>5960</v>
      </c>
      <c r="C2704" s="6" t="s">
        <v>6765</v>
      </c>
      <c r="D2704" s="6" t="s">
        <v>7059</v>
      </c>
      <c r="E2704" s="6" t="s">
        <v>7060</v>
      </c>
      <c r="F2704" s="6"/>
      <c r="G2704" s="6" t="s">
        <v>63</v>
      </c>
      <c r="H2704" s="6" t="str">
        <f>IFERROR(VLOOKUP(Table2[[#This Row],[Ticket]],Okey!A:B,2,0),"")</f>
        <v>ok</v>
      </c>
      <c r="I2704" s="6" t="s">
        <v>3679</v>
      </c>
      <c r="J2704" s="6" t="str">
        <f>VLOOKUP(Table2[[#This Row],[Author]],People!A:B,2,0)</f>
        <v>LS</v>
      </c>
      <c r="K2704" s="6" t="s">
        <v>5965</v>
      </c>
      <c r="L2704" s="6"/>
      <c r="M2704" s="21" t="s">
        <v>2804</v>
      </c>
    </row>
    <row r="2705" spans="1:13" x14ac:dyDescent="0.25">
      <c r="A2705" s="23">
        <f>1+A2704</f>
        <v>2704</v>
      </c>
      <c r="B2705" s="7" t="s">
        <v>5960</v>
      </c>
      <c r="C2705" s="7" t="s">
        <v>6765</v>
      </c>
      <c r="D2705" s="7" t="s">
        <v>5570</v>
      </c>
      <c r="E2705" s="7"/>
      <c r="F2705" s="7" t="s">
        <v>1956</v>
      </c>
      <c r="G2705" s="7" t="s">
        <v>496</v>
      </c>
      <c r="H2705" s="7" t="str">
        <f>IFERROR(VLOOKUP(Table2[[#This Row],[Ticket]],Okey!A:B,2,0),"")</f>
        <v>ok</v>
      </c>
      <c r="I2705" s="7" t="s">
        <v>3679</v>
      </c>
      <c r="J2705" s="7" t="str">
        <f>VLOOKUP(Table2[[#This Row],[Author]],People!A:B,2,0)</f>
        <v>LS</v>
      </c>
      <c r="K2705" s="7" t="s">
        <v>5965</v>
      </c>
      <c r="L2705" s="7"/>
      <c r="M2705" s="16" t="s">
        <v>2804</v>
      </c>
    </row>
    <row r="2706" spans="1:13" x14ac:dyDescent="0.25">
      <c r="A2706" s="22">
        <f t="shared" ref="A2706:A2743" si="44">1+A2705</f>
        <v>2705</v>
      </c>
      <c r="B2706" s="6" t="s">
        <v>5960</v>
      </c>
      <c r="C2706" s="6" t="s">
        <v>6765</v>
      </c>
      <c r="D2706" s="6" t="s">
        <v>7061</v>
      </c>
      <c r="E2706" s="6" t="s">
        <v>7062</v>
      </c>
      <c r="F2706" s="6" t="s">
        <v>7047</v>
      </c>
      <c r="G2706" s="6" t="s">
        <v>18</v>
      </c>
      <c r="H2706" s="6" t="str">
        <f>IFERROR(VLOOKUP(Table2[[#This Row],[Ticket]],Okey!A:B,2,0),"")</f>
        <v>ok</v>
      </c>
      <c r="I2706" s="6" t="s">
        <v>3679</v>
      </c>
      <c r="J2706" s="6" t="str">
        <f>VLOOKUP(Table2[[#This Row],[Author]],People!A:B,2,0)</f>
        <v>LS</v>
      </c>
      <c r="K2706" s="6" t="s">
        <v>5965</v>
      </c>
      <c r="L2706" s="6"/>
      <c r="M2706" s="21" t="s">
        <v>2804</v>
      </c>
    </row>
    <row r="2707" spans="1:13" x14ac:dyDescent="0.25">
      <c r="A2707" s="23">
        <f t="shared" si="44"/>
        <v>2706</v>
      </c>
      <c r="B2707" s="7" t="s">
        <v>5960</v>
      </c>
      <c r="C2707" s="7" t="s">
        <v>6765</v>
      </c>
      <c r="D2707" s="7" t="s">
        <v>7063</v>
      </c>
      <c r="E2707" s="7" t="s">
        <v>7064</v>
      </c>
      <c r="F2707" s="7" t="s">
        <v>7047</v>
      </c>
      <c r="G2707" s="7" t="s">
        <v>18</v>
      </c>
      <c r="H2707" s="7" t="str">
        <f>IFERROR(VLOOKUP(Table2[[#This Row],[Ticket]],Okey!A:B,2,0),"")</f>
        <v>ok</v>
      </c>
      <c r="I2707" s="7" t="s">
        <v>3679</v>
      </c>
      <c r="J2707" s="7" t="str">
        <f>VLOOKUP(Table2[[#This Row],[Author]],People!A:B,2,0)</f>
        <v>LS</v>
      </c>
      <c r="K2707" s="7" t="s">
        <v>5965</v>
      </c>
      <c r="L2707" s="7"/>
      <c r="M2707" s="16" t="s">
        <v>2804</v>
      </c>
    </row>
    <row r="2708" spans="1:13" x14ac:dyDescent="0.25">
      <c r="A2708" s="22">
        <f t="shared" si="44"/>
        <v>2707</v>
      </c>
      <c r="B2708" s="6" t="s">
        <v>5960</v>
      </c>
      <c r="C2708" s="6" t="s">
        <v>6765</v>
      </c>
      <c r="D2708" s="6" t="s">
        <v>7065</v>
      </c>
      <c r="E2708" s="6" t="s">
        <v>7066</v>
      </c>
      <c r="F2708" s="6" t="s">
        <v>2789</v>
      </c>
      <c r="G2708" s="6" t="s">
        <v>18</v>
      </c>
      <c r="H2708" s="6" t="str">
        <f>IFERROR(VLOOKUP(Table2[[#This Row],[Ticket]],Okey!A:B,2,0),"")</f>
        <v>ok</v>
      </c>
      <c r="I2708" s="6" t="s">
        <v>3679</v>
      </c>
      <c r="J2708" s="6" t="str">
        <f>VLOOKUP(Table2[[#This Row],[Author]],People!A:B,2,0)</f>
        <v>LS</v>
      </c>
      <c r="K2708" s="6" t="s">
        <v>5965</v>
      </c>
      <c r="L2708" s="6"/>
      <c r="M2708" s="21" t="s">
        <v>2804</v>
      </c>
    </row>
    <row r="2709" spans="1:13" x14ac:dyDescent="0.25">
      <c r="A2709" s="23">
        <f t="shared" si="44"/>
        <v>2708</v>
      </c>
      <c r="B2709" s="7" t="s">
        <v>5960</v>
      </c>
      <c r="C2709" s="7" t="s">
        <v>6765</v>
      </c>
      <c r="D2709" s="7" t="s">
        <v>7067</v>
      </c>
      <c r="E2709" s="7" t="s">
        <v>7068</v>
      </c>
      <c r="F2709" s="7" t="s">
        <v>2789</v>
      </c>
      <c r="G2709" s="7" t="s">
        <v>18</v>
      </c>
      <c r="H2709" s="7" t="str">
        <f>IFERROR(VLOOKUP(Table2[[#This Row],[Ticket]],Okey!A:B,2,0),"")</f>
        <v>ok</v>
      </c>
      <c r="I2709" s="7" t="s">
        <v>3679</v>
      </c>
      <c r="J2709" s="7" t="str">
        <f>VLOOKUP(Table2[[#This Row],[Author]],People!A:B,2,0)</f>
        <v>LS</v>
      </c>
      <c r="K2709" s="7" t="s">
        <v>5965</v>
      </c>
      <c r="L2709" s="7"/>
      <c r="M2709" s="16" t="s">
        <v>2804</v>
      </c>
    </row>
    <row r="2710" spans="1:13" x14ac:dyDescent="0.25">
      <c r="A2710" s="22">
        <f t="shared" si="44"/>
        <v>2709</v>
      </c>
      <c r="B2710" s="6" t="s">
        <v>5960</v>
      </c>
      <c r="C2710" s="6" t="s">
        <v>6765</v>
      </c>
      <c r="D2710" s="6" t="s">
        <v>7069</v>
      </c>
      <c r="E2710" s="6" t="s">
        <v>7070</v>
      </c>
      <c r="F2710" s="6" t="s">
        <v>7049</v>
      </c>
      <c r="G2710" s="6" t="s">
        <v>18</v>
      </c>
      <c r="H2710" s="6" t="str">
        <f>IFERROR(VLOOKUP(Table2[[#This Row],[Ticket]],Okey!A:B,2,0),"")</f>
        <v>ok</v>
      </c>
      <c r="I2710" s="6" t="s">
        <v>3679</v>
      </c>
      <c r="J2710" s="6" t="str">
        <f>VLOOKUP(Table2[[#This Row],[Author]],People!A:B,2,0)</f>
        <v>LS</v>
      </c>
      <c r="K2710" s="6" t="s">
        <v>5965</v>
      </c>
      <c r="L2710" s="6"/>
      <c r="M2710" s="21" t="s">
        <v>2804</v>
      </c>
    </row>
    <row r="2711" spans="1:13" x14ac:dyDescent="0.25">
      <c r="A2711" s="23">
        <f t="shared" si="44"/>
        <v>2710</v>
      </c>
      <c r="B2711" s="7" t="s">
        <v>5960</v>
      </c>
      <c r="C2711" s="7" t="s">
        <v>6765</v>
      </c>
      <c r="D2711" s="7" t="s">
        <v>7071</v>
      </c>
      <c r="E2711" s="7" t="s">
        <v>7072</v>
      </c>
      <c r="F2711" s="7" t="s">
        <v>7049</v>
      </c>
      <c r="G2711" s="7" t="s">
        <v>18</v>
      </c>
      <c r="H2711" s="7" t="str">
        <f>IFERROR(VLOOKUP(Table2[[#This Row],[Ticket]],Okey!A:B,2,0),"")</f>
        <v>ok</v>
      </c>
      <c r="I2711" s="7" t="s">
        <v>3679</v>
      </c>
      <c r="J2711" s="7" t="str">
        <f>VLOOKUP(Table2[[#This Row],[Author]],People!A:B,2,0)</f>
        <v>LS</v>
      </c>
      <c r="K2711" s="7" t="s">
        <v>5965</v>
      </c>
      <c r="L2711" s="7"/>
      <c r="M2711" s="16" t="s">
        <v>2804</v>
      </c>
    </row>
    <row r="2712" spans="1:13" x14ac:dyDescent="0.25">
      <c r="A2712" s="22">
        <f t="shared" si="44"/>
        <v>2711</v>
      </c>
      <c r="B2712" s="6" t="s">
        <v>5960</v>
      </c>
      <c r="C2712" s="6" t="s">
        <v>6765</v>
      </c>
      <c r="D2712" s="6" t="s">
        <v>7073</v>
      </c>
      <c r="E2712" s="6" t="s">
        <v>7074</v>
      </c>
      <c r="F2712" s="6" t="s">
        <v>7051</v>
      </c>
      <c r="G2712" s="6" t="s">
        <v>18</v>
      </c>
      <c r="H2712" s="6" t="str">
        <f>IFERROR(VLOOKUP(Table2[[#This Row],[Ticket]],Okey!A:B,2,0),"")</f>
        <v>ok</v>
      </c>
      <c r="I2712" s="6" t="s">
        <v>3679</v>
      </c>
      <c r="J2712" s="6" t="str">
        <f>VLOOKUP(Table2[[#This Row],[Author]],People!A:B,2,0)</f>
        <v>LS</v>
      </c>
      <c r="K2712" s="6" t="s">
        <v>5965</v>
      </c>
      <c r="L2712" s="6"/>
      <c r="M2712" s="21" t="s">
        <v>2804</v>
      </c>
    </row>
    <row r="2713" spans="1:13" x14ac:dyDescent="0.25">
      <c r="A2713" s="23">
        <f t="shared" si="44"/>
        <v>2712</v>
      </c>
      <c r="B2713" s="7" t="s">
        <v>5960</v>
      </c>
      <c r="C2713" s="7" t="s">
        <v>6765</v>
      </c>
      <c r="D2713" s="7" t="s">
        <v>7075</v>
      </c>
      <c r="E2713" s="7" t="s">
        <v>7076</v>
      </c>
      <c r="F2713" s="7" t="s">
        <v>7051</v>
      </c>
      <c r="G2713" s="7" t="s">
        <v>18</v>
      </c>
      <c r="H2713" s="7" t="str">
        <f>IFERROR(VLOOKUP(Table2[[#This Row],[Ticket]],Okey!A:B,2,0),"")</f>
        <v>ok</v>
      </c>
      <c r="I2713" s="7" t="s">
        <v>3679</v>
      </c>
      <c r="J2713" s="7" t="str">
        <f>VLOOKUP(Table2[[#This Row],[Author]],People!A:B,2,0)</f>
        <v>LS</v>
      </c>
      <c r="K2713" s="7" t="s">
        <v>5965</v>
      </c>
      <c r="L2713" s="7"/>
      <c r="M2713" s="16" t="s">
        <v>2804</v>
      </c>
    </row>
    <row r="2714" spans="1:13" x14ac:dyDescent="0.25">
      <c r="A2714" s="22">
        <f t="shared" si="44"/>
        <v>2713</v>
      </c>
      <c r="B2714" s="6" t="s">
        <v>5960</v>
      </c>
      <c r="C2714" s="6" t="s">
        <v>6765</v>
      </c>
      <c r="D2714" s="6" t="s">
        <v>7077</v>
      </c>
      <c r="E2714" s="6" t="s">
        <v>7078</v>
      </c>
      <c r="F2714" s="6" t="s">
        <v>7053</v>
      </c>
      <c r="G2714" s="6" t="s">
        <v>18</v>
      </c>
      <c r="H2714" s="6" t="str">
        <f>IFERROR(VLOOKUP(Table2[[#This Row],[Ticket]],Okey!A:B,2,0),"")</f>
        <v>ok</v>
      </c>
      <c r="I2714" s="6" t="s">
        <v>3679</v>
      </c>
      <c r="J2714" s="6" t="str">
        <f>VLOOKUP(Table2[[#This Row],[Author]],People!A:B,2,0)</f>
        <v>LS</v>
      </c>
      <c r="K2714" s="6" t="s">
        <v>5965</v>
      </c>
      <c r="L2714" s="6"/>
      <c r="M2714" s="21" t="s">
        <v>2804</v>
      </c>
    </row>
    <row r="2715" spans="1:13" x14ac:dyDescent="0.25">
      <c r="A2715" s="23">
        <f t="shared" si="44"/>
        <v>2714</v>
      </c>
      <c r="B2715" s="7" t="s">
        <v>5960</v>
      </c>
      <c r="C2715" s="7" t="s">
        <v>6765</v>
      </c>
      <c r="D2715" s="7" t="s">
        <v>7079</v>
      </c>
      <c r="E2715" s="7" t="s">
        <v>7080</v>
      </c>
      <c r="F2715" s="7" t="s">
        <v>7053</v>
      </c>
      <c r="G2715" s="7" t="s">
        <v>18</v>
      </c>
      <c r="H2715" s="7" t="str">
        <f>IFERROR(VLOOKUP(Table2[[#This Row],[Ticket]],Okey!A:B,2,0),"")</f>
        <v>ok</v>
      </c>
      <c r="I2715" s="7" t="s">
        <v>3679</v>
      </c>
      <c r="J2715" s="7" t="str">
        <f>VLOOKUP(Table2[[#This Row],[Author]],People!A:B,2,0)</f>
        <v>LS</v>
      </c>
      <c r="K2715" s="7" t="s">
        <v>5965</v>
      </c>
      <c r="L2715" s="7"/>
      <c r="M2715" s="16" t="s">
        <v>2804</v>
      </c>
    </row>
    <row r="2716" spans="1:13" x14ac:dyDescent="0.25">
      <c r="A2716" s="22">
        <f t="shared" si="44"/>
        <v>2715</v>
      </c>
      <c r="B2716" s="6" t="s">
        <v>5960</v>
      </c>
      <c r="C2716" s="6" t="s">
        <v>6765</v>
      </c>
      <c r="D2716" s="6" t="s">
        <v>7081</v>
      </c>
      <c r="E2716" s="6" t="s">
        <v>7082</v>
      </c>
      <c r="F2716" s="6" t="s">
        <v>1978</v>
      </c>
      <c r="G2716" s="6" t="s">
        <v>18</v>
      </c>
      <c r="H2716" s="6" t="str">
        <f>IFERROR(VLOOKUP(Table2[[#This Row],[Ticket]],Okey!A:B,2,0),"")</f>
        <v>ok</v>
      </c>
      <c r="I2716" s="6" t="s">
        <v>3679</v>
      </c>
      <c r="J2716" s="6" t="str">
        <f>VLOOKUP(Table2[[#This Row],[Author]],People!A:B,2,0)</f>
        <v>LS</v>
      </c>
      <c r="K2716" s="6" t="s">
        <v>5965</v>
      </c>
      <c r="L2716" s="6"/>
      <c r="M2716" s="21" t="s">
        <v>2804</v>
      </c>
    </row>
    <row r="2717" spans="1:13" x14ac:dyDescent="0.25">
      <c r="A2717" s="23">
        <f t="shared" si="44"/>
        <v>2716</v>
      </c>
      <c r="B2717" s="7" t="s">
        <v>5960</v>
      </c>
      <c r="C2717" s="7" t="s">
        <v>6765</v>
      </c>
      <c r="D2717" s="7" t="s">
        <v>7083</v>
      </c>
      <c r="E2717" s="7" t="s">
        <v>7084</v>
      </c>
      <c r="F2717" s="7" t="s">
        <v>1978</v>
      </c>
      <c r="G2717" s="7" t="s">
        <v>18</v>
      </c>
      <c r="H2717" s="7" t="str">
        <f>IFERROR(VLOOKUP(Table2[[#This Row],[Ticket]],Okey!A:B,2,0),"")</f>
        <v>ok</v>
      </c>
      <c r="I2717" s="7" t="s">
        <v>3679</v>
      </c>
      <c r="J2717" s="7" t="str">
        <f>VLOOKUP(Table2[[#This Row],[Author]],People!A:B,2,0)</f>
        <v>LS</v>
      </c>
      <c r="K2717" s="7" t="s">
        <v>5965</v>
      </c>
      <c r="L2717" s="7"/>
      <c r="M2717" s="16" t="s">
        <v>2804</v>
      </c>
    </row>
    <row r="2718" spans="1:13" x14ac:dyDescent="0.25">
      <c r="A2718" s="22">
        <f t="shared" si="44"/>
        <v>2717</v>
      </c>
      <c r="B2718" s="6" t="s">
        <v>5960</v>
      </c>
      <c r="C2718" s="6" t="s">
        <v>6765</v>
      </c>
      <c r="D2718" s="6" t="s">
        <v>7085</v>
      </c>
      <c r="E2718" s="6" t="s">
        <v>7086</v>
      </c>
      <c r="F2718" s="6" t="s">
        <v>7057</v>
      </c>
      <c r="G2718" s="6" t="s">
        <v>18</v>
      </c>
      <c r="H2718" s="6" t="str">
        <f>IFERROR(VLOOKUP(Table2[[#This Row],[Ticket]],Okey!A:B,2,0),"")</f>
        <v>ok</v>
      </c>
      <c r="I2718" s="6" t="s">
        <v>3679</v>
      </c>
      <c r="J2718" s="6" t="str">
        <f>VLOOKUP(Table2[[#This Row],[Author]],People!A:B,2,0)</f>
        <v>LS</v>
      </c>
      <c r="K2718" s="6" t="s">
        <v>5965</v>
      </c>
      <c r="L2718" s="6"/>
      <c r="M2718" s="21" t="s">
        <v>2804</v>
      </c>
    </row>
    <row r="2719" spans="1:13" x14ac:dyDescent="0.25">
      <c r="A2719" s="23">
        <f t="shared" si="44"/>
        <v>2718</v>
      </c>
      <c r="B2719" s="7" t="s">
        <v>5960</v>
      </c>
      <c r="C2719" s="7" t="s">
        <v>6765</v>
      </c>
      <c r="D2719" s="7" t="s">
        <v>7087</v>
      </c>
      <c r="E2719" s="7" t="s">
        <v>7088</v>
      </c>
      <c r="F2719" s="7" t="s">
        <v>7057</v>
      </c>
      <c r="G2719" s="7" t="s">
        <v>18</v>
      </c>
      <c r="H2719" s="7" t="str">
        <f>IFERROR(VLOOKUP(Table2[[#This Row],[Ticket]],Okey!A:B,2,0),"")</f>
        <v>ok</v>
      </c>
      <c r="I2719" s="7" t="s">
        <v>3679</v>
      </c>
      <c r="J2719" s="7" t="str">
        <f>VLOOKUP(Table2[[#This Row],[Author]],People!A:B,2,0)</f>
        <v>LS</v>
      </c>
      <c r="K2719" s="7" t="s">
        <v>5965</v>
      </c>
      <c r="L2719" s="7"/>
      <c r="M2719" s="16" t="s">
        <v>2804</v>
      </c>
    </row>
    <row r="2720" spans="1:13" x14ac:dyDescent="0.25">
      <c r="A2720" s="22">
        <f t="shared" si="44"/>
        <v>2719</v>
      </c>
      <c r="B2720" s="6" t="s">
        <v>5960</v>
      </c>
      <c r="C2720" s="6" t="s">
        <v>6765</v>
      </c>
      <c r="D2720" s="6" t="s">
        <v>7089</v>
      </c>
      <c r="E2720" s="6" t="s">
        <v>7090</v>
      </c>
      <c r="F2720" s="6" t="s">
        <v>7059</v>
      </c>
      <c r="G2720" s="6" t="s">
        <v>18</v>
      </c>
      <c r="H2720" s="6" t="str">
        <f>IFERROR(VLOOKUP(Table2[[#This Row],[Ticket]],Okey!A:B,2,0),"")</f>
        <v>ok</v>
      </c>
      <c r="I2720" s="6" t="s">
        <v>3679</v>
      </c>
      <c r="J2720" s="6" t="str">
        <f>VLOOKUP(Table2[[#This Row],[Author]],People!A:B,2,0)</f>
        <v>LS</v>
      </c>
      <c r="K2720" s="6" t="s">
        <v>5965</v>
      </c>
      <c r="L2720" s="6"/>
      <c r="M2720" s="21" t="s">
        <v>2804</v>
      </c>
    </row>
    <row r="2721" spans="1:13" x14ac:dyDescent="0.25">
      <c r="A2721" s="23">
        <f t="shared" si="44"/>
        <v>2720</v>
      </c>
      <c r="B2721" s="7" t="s">
        <v>5960</v>
      </c>
      <c r="C2721" s="7" t="s">
        <v>6765</v>
      </c>
      <c r="D2721" s="7" t="s">
        <v>7091</v>
      </c>
      <c r="E2721" s="7" t="s">
        <v>7092</v>
      </c>
      <c r="F2721" s="7" t="s">
        <v>7059</v>
      </c>
      <c r="G2721" s="7" t="s">
        <v>18</v>
      </c>
      <c r="H2721" s="7" t="str">
        <f>IFERROR(VLOOKUP(Table2[[#This Row],[Ticket]],Okey!A:B,2,0),"")</f>
        <v>ok</v>
      </c>
      <c r="I2721" s="7" t="s">
        <v>3679</v>
      </c>
      <c r="J2721" s="7" t="str">
        <f>VLOOKUP(Table2[[#This Row],[Author]],People!A:B,2,0)</f>
        <v>LS</v>
      </c>
      <c r="K2721" s="7" t="s">
        <v>5965</v>
      </c>
      <c r="L2721" s="7"/>
      <c r="M2721" s="16" t="s">
        <v>2804</v>
      </c>
    </row>
    <row r="2722" spans="1:13" x14ac:dyDescent="0.25">
      <c r="A2722" s="22">
        <f t="shared" si="44"/>
        <v>2721</v>
      </c>
      <c r="B2722" s="6" t="s">
        <v>5960</v>
      </c>
      <c r="C2722" s="6" t="s">
        <v>6765</v>
      </c>
      <c r="D2722" s="6" t="s">
        <v>7093</v>
      </c>
      <c r="E2722" s="6" t="s">
        <v>7094</v>
      </c>
      <c r="F2722" s="6" t="s">
        <v>1976</v>
      </c>
      <c r="G2722" s="6" t="s">
        <v>18</v>
      </c>
      <c r="H2722" s="6" t="str">
        <f>IFERROR(VLOOKUP(Table2[[#This Row],[Ticket]],Okey!A:B,2,0),"")</f>
        <v>ok</v>
      </c>
      <c r="I2722" s="6" t="s">
        <v>3679</v>
      </c>
      <c r="J2722" s="6" t="str">
        <f>VLOOKUP(Table2[[#This Row],[Author]],People!A:B,2,0)</f>
        <v>LS</v>
      </c>
      <c r="K2722" s="6" t="s">
        <v>5965</v>
      </c>
      <c r="L2722" s="6"/>
      <c r="M2722" s="21" t="s">
        <v>2804</v>
      </c>
    </row>
    <row r="2723" spans="1:13" x14ac:dyDescent="0.25">
      <c r="A2723" s="23">
        <f t="shared" si="44"/>
        <v>2722</v>
      </c>
      <c r="B2723" s="7" t="s">
        <v>5960</v>
      </c>
      <c r="C2723" s="7" t="s">
        <v>6765</v>
      </c>
      <c r="D2723" s="7" t="s">
        <v>7095</v>
      </c>
      <c r="E2723" s="7" t="s">
        <v>7096</v>
      </c>
      <c r="F2723" s="7" t="s">
        <v>1976</v>
      </c>
      <c r="G2723" s="7" t="s">
        <v>18</v>
      </c>
      <c r="H2723" s="7" t="str">
        <f>IFERROR(VLOOKUP(Table2[[#This Row],[Ticket]],Okey!A:B,2,0),"")</f>
        <v>ok</v>
      </c>
      <c r="I2723" s="7" t="s">
        <v>3679</v>
      </c>
      <c r="J2723" s="7" t="str">
        <f>VLOOKUP(Table2[[#This Row],[Author]],People!A:B,2,0)</f>
        <v>LS</v>
      </c>
      <c r="K2723" s="7" t="s">
        <v>5965</v>
      </c>
      <c r="L2723" s="7"/>
      <c r="M2723" s="16" t="s">
        <v>2804</v>
      </c>
    </row>
    <row r="2724" spans="1:13" x14ac:dyDescent="0.25">
      <c r="A2724" s="22">
        <f t="shared" si="44"/>
        <v>2723</v>
      </c>
      <c r="B2724" s="6" t="s">
        <v>5960</v>
      </c>
      <c r="C2724" s="6" t="s">
        <v>6765</v>
      </c>
      <c r="D2724" s="6" t="s">
        <v>7097</v>
      </c>
      <c r="E2724" s="6" t="s">
        <v>7098</v>
      </c>
      <c r="F2724" s="6" t="s">
        <v>1940</v>
      </c>
      <c r="G2724" s="6" t="s">
        <v>18</v>
      </c>
      <c r="H2724" s="6" t="str">
        <f>IFERROR(VLOOKUP(Table2[[#This Row],[Ticket]],Okey!A:B,2,0),"")</f>
        <v>ok</v>
      </c>
      <c r="I2724" s="6" t="s">
        <v>3679</v>
      </c>
      <c r="J2724" s="6" t="str">
        <f>VLOOKUP(Table2[[#This Row],[Author]],People!A:B,2,0)</f>
        <v>LS</v>
      </c>
      <c r="K2724" s="6" t="s">
        <v>5965</v>
      </c>
      <c r="L2724" s="6"/>
      <c r="M2724" s="21" t="s">
        <v>2804</v>
      </c>
    </row>
    <row r="2725" spans="1:13" x14ac:dyDescent="0.25">
      <c r="A2725" s="23">
        <f t="shared" si="44"/>
        <v>2724</v>
      </c>
      <c r="B2725" s="7" t="s">
        <v>5960</v>
      </c>
      <c r="C2725" s="7" t="s">
        <v>6765</v>
      </c>
      <c r="D2725" s="7" t="s">
        <v>7099</v>
      </c>
      <c r="E2725" s="7" t="s">
        <v>7100</v>
      </c>
      <c r="F2725" s="7" t="s">
        <v>1940</v>
      </c>
      <c r="G2725" s="7" t="s">
        <v>18</v>
      </c>
      <c r="H2725" s="7" t="str">
        <f>IFERROR(VLOOKUP(Table2[[#This Row],[Ticket]],Okey!A:B,2,0),"")</f>
        <v>ok</v>
      </c>
      <c r="I2725" s="7" t="s">
        <v>3679</v>
      </c>
      <c r="J2725" s="7" t="str">
        <f>VLOOKUP(Table2[[#This Row],[Author]],People!A:B,2,0)</f>
        <v>LS</v>
      </c>
      <c r="K2725" s="7" t="s">
        <v>5965</v>
      </c>
      <c r="L2725" s="7"/>
      <c r="M2725" s="16" t="s">
        <v>2804</v>
      </c>
    </row>
    <row r="2726" spans="1:13" x14ac:dyDescent="0.25">
      <c r="A2726" s="22">
        <f t="shared" si="44"/>
        <v>2725</v>
      </c>
      <c r="B2726" s="6" t="s">
        <v>5960</v>
      </c>
      <c r="C2726" s="6" t="s">
        <v>6765</v>
      </c>
      <c r="D2726" s="6" t="s">
        <v>7101</v>
      </c>
      <c r="E2726" s="6" t="s">
        <v>7102</v>
      </c>
      <c r="F2726" s="6" t="s">
        <v>1940</v>
      </c>
      <c r="G2726" s="6" t="s">
        <v>18</v>
      </c>
      <c r="H2726" s="6" t="str">
        <f>IFERROR(VLOOKUP(Table2[[#This Row],[Ticket]],Okey!A:B,2,0),"")</f>
        <v>ok</v>
      </c>
      <c r="I2726" s="6" t="s">
        <v>3679</v>
      </c>
      <c r="J2726" s="6" t="str">
        <f>VLOOKUP(Table2[[#This Row],[Author]],People!A:B,2,0)</f>
        <v>LS</v>
      </c>
      <c r="K2726" s="6" t="s">
        <v>5965</v>
      </c>
      <c r="L2726" s="6"/>
      <c r="M2726" s="21" t="s">
        <v>2804</v>
      </c>
    </row>
    <row r="2727" spans="1:13" x14ac:dyDescent="0.25">
      <c r="A2727" s="23">
        <f t="shared" si="44"/>
        <v>2726</v>
      </c>
      <c r="B2727" s="7" t="s">
        <v>5960</v>
      </c>
      <c r="C2727" s="7" t="s">
        <v>6765</v>
      </c>
      <c r="D2727" s="7" t="s">
        <v>7103</v>
      </c>
      <c r="E2727" s="7" t="s">
        <v>7104</v>
      </c>
      <c r="F2727" s="7" t="s">
        <v>1940</v>
      </c>
      <c r="G2727" s="7" t="s">
        <v>18</v>
      </c>
      <c r="H2727" s="7" t="str">
        <f>IFERROR(VLOOKUP(Table2[[#This Row],[Ticket]],Okey!A:B,2,0),"")</f>
        <v>ok</v>
      </c>
      <c r="I2727" s="7" t="s">
        <v>3679</v>
      </c>
      <c r="J2727" s="7" t="str">
        <f>VLOOKUP(Table2[[#This Row],[Author]],People!A:B,2,0)</f>
        <v>LS</v>
      </c>
      <c r="K2727" s="7" t="s">
        <v>5965</v>
      </c>
      <c r="L2727" s="7"/>
      <c r="M2727" s="16" t="s">
        <v>2804</v>
      </c>
    </row>
    <row r="2728" spans="1:13" x14ac:dyDescent="0.25">
      <c r="A2728" s="22">
        <f t="shared" si="44"/>
        <v>2727</v>
      </c>
      <c r="B2728" s="6" t="s">
        <v>5960</v>
      </c>
      <c r="C2728" s="6" t="s">
        <v>6765</v>
      </c>
      <c r="D2728" s="6" t="s">
        <v>7105</v>
      </c>
      <c r="E2728" s="6" t="s">
        <v>7106</v>
      </c>
      <c r="F2728" s="6" t="s">
        <v>1940</v>
      </c>
      <c r="G2728" s="6" t="s">
        <v>18</v>
      </c>
      <c r="H2728" s="6" t="str">
        <f>IFERROR(VLOOKUP(Table2[[#This Row],[Ticket]],Okey!A:B,2,0),"")</f>
        <v>ok</v>
      </c>
      <c r="I2728" s="6" t="s">
        <v>3679</v>
      </c>
      <c r="J2728" s="6" t="str">
        <f>VLOOKUP(Table2[[#This Row],[Author]],People!A:B,2,0)</f>
        <v>LS</v>
      </c>
      <c r="K2728" s="6" t="s">
        <v>5965</v>
      </c>
      <c r="L2728" s="6"/>
      <c r="M2728" s="21" t="s">
        <v>2804</v>
      </c>
    </row>
    <row r="2729" spans="1:13" x14ac:dyDescent="0.25">
      <c r="A2729" s="23">
        <f t="shared" si="44"/>
        <v>2728</v>
      </c>
      <c r="B2729" s="7" t="s">
        <v>5960</v>
      </c>
      <c r="C2729" s="7" t="s">
        <v>6765</v>
      </c>
      <c r="D2729" s="7" t="s">
        <v>2757</v>
      </c>
      <c r="E2729" s="7" t="s">
        <v>7107</v>
      </c>
      <c r="F2729" s="7" t="s">
        <v>2750</v>
      </c>
      <c r="G2729" s="7" t="s">
        <v>18</v>
      </c>
      <c r="H2729" s="7" t="str">
        <f>IFERROR(VLOOKUP(Table2[[#This Row],[Ticket]],Okey!A:B,2,0),"")</f>
        <v>ok</v>
      </c>
      <c r="I2729" s="7" t="s">
        <v>3679</v>
      </c>
      <c r="J2729" s="7" t="str">
        <f>VLOOKUP(Table2[[#This Row],[Author]],People!A:B,2,0)</f>
        <v>LS</v>
      </c>
      <c r="K2729" s="7" t="s">
        <v>5965</v>
      </c>
      <c r="L2729" s="7"/>
      <c r="M2729" s="16" t="s">
        <v>2804</v>
      </c>
    </row>
    <row r="2730" spans="1:13" x14ac:dyDescent="0.25">
      <c r="A2730" s="22">
        <f t="shared" si="44"/>
        <v>2729</v>
      </c>
      <c r="B2730" s="6" t="s">
        <v>5960</v>
      </c>
      <c r="C2730" s="6" t="s">
        <v>6765</v>
      </c>
      <c r="D2730" s="6" t="s">
        <v>2759</v>
      </c>
      <c r="E2730" s="6" t="s">
        <v>7108</v>
      </c>
      <c r="F2730" s="6" t="s">
        <v>2750</v>
      </c>
      <c r="G2730" s="6" t="s">
        <v>18</v>
      </c>
      <c r="H2730" s="6" t="str">
        <f>IFERROR(VLOOKUP(Table2[[#This Row],[Ticket]],Okey!A:B,2,0),"")</f>
        <v>ok</v>
      </c>
      <c r="I2730" s="6" t="s">
        <v>3679</v>
      </c>
      <c r="J2730" s="6" t="str">
        <f>VLOOKUP(Table2[[#This Row],[Author]],People!A:B,2,0)</f>
        <v>LS</v>
      </c>
      <c r="K2730" s="6" t="s">
        <v>5965</v>
      </c>
      <c r="L2730" s="6"/>
      <c r="M2730" s="21" t="s">
        <v>2804</v>
      </c>
    </row>
    <row r="2731" spans="1:13" x14ac:dyDescent="0.25">
      <c r="A2731" s="23">
        <f t="shared" si="44"/>
        <v>2730</v>
      </c>
      <c r="B2731" s="7" t="s">
        <v>5960</v>
      </c>
      <c r="C2731" s="7" t="s">
        <v>6765</v>
      </c>
      <c r="D2731" s="7" t="s">
        <v>2761</v>
      </c>
      <c r="E2731" s="7" t="s">
        <v>7109</v>
      </c>
      <c r="F2731" s="7" t="s">
        <v>2750</v>
      </c>
      <c r="G2731" s="7" t="s">
        <v>18</v>
      </c>
      <c r="H2731" s="7" t="str">
        <f>IFERROR(VLOOKUP(Table2[[#This Row],[Ticket]],Okey!A:B,2,0),"")</f>
        <v>ok</v>
      </c>
      <c r="I2731" s="7" t="s">
        <v>3679</v>
      </c>
      <c r="J2731" s="7" t="str">
        <f>VLOOKUP(Table2[[#This Row],[Author]],People!A:B,2,0)</f>
        <v>LS</v>
      </c>
      <c r="K2731" s="7" t="s">
        <v>5965</v>
      </c>
      <c r="L2731" s="7"/>
      <c r="M2731" s="16" t="s">
        <v>2804</v>
      </c>
    </row>
    <row r="2732" spans="1:13" x14ac:dyDescent="0.25">
      <c r="A2732" s="22">
        <f t="shared" si="44"/>
        <v>2731</v>
      </c>
      <c r="B2732" s="6" t="s">
        <v>5960</v>
      </c>
      <c r="C2732" s="6" t="s">
        <v>6765</v>
      </c>
      <c r="D2732" s="6" t="s">
        <v>2763</v>
      </c>
      <c r="E2732" s="6" t="s">
        <v>7110</v>
      </c>
      <c r="F2732" s="6" t="s">
        <v>2750</v>
      </c>
      <c r="G2732" s="6" t="s">
        <v>18</v>
      </c>
      <c r="H2732" s="6" t="str">
        <f>IFERROR(VLOOKUP(Table2[[#This Row],[Ticket]],Okey!A:B,2,0),"")</f>
        <v>ok</v>
      </c>
      <c r="I2732" s="6" t="s">
        <v>3679</v>
      </c>
      <c r="J2732" s="6" t="str">
        <f>VLOOKUP(Table2[[#This Row],[Author]],People!A:B,2,0)</f>
        <v>LS</v>
      </c>
      <c r="K2732" s="6" t="s">
        <v>5965</v>
      </c>
      <c r="L2732" s="6"/>
      <c r="M2732" s="21" t="s">
        <v>2804</v>
      </c>
    </row>
    <row r="2733" spans="1:13" x14ac:dyDescent="0.25">
      <c r="A2733" s="23">
        <f t="shared" si="44"/>
        <v>2732</v>
      </c>
      <c r="B2733" s="7" t="s">
        <v>5960</v>
      </c>
      <c r="C2733" s="7" t="s">
        <v>6765</v>
      </c>
      <c r="D2733" s="7" t="s">
        <v>2765</v>
      </c>
      <c r="E2733" s="7" t="s">
        <v>7111</v>
      </c>
      <c r="F2733" s="7" t="s">
        <v>2750</v>
      </c>
      <c r="G2733" s="7" t="s">
        <v>18</v>
      </c>
      <c r="H2733" s="7" t="str">
        <f>IFERROR(VLOOKUP(Table2[[#This Row],[Ticket]],Okey!A:B,2,0),"")</f>
        <v>ok</v>
      </c>
      <c r="I2733" s="7" t="s">
        <v>3679</v>
      </c>
      <c r="J2733" s="7" t="str">
        <f>VLOOKUP(Table2[[#This Row],[Author]],People!A:B,2,0)</f>
        <v>LS</v>
      </c>
      <c r="K2733" s="7" t="s">
        <v>5965</v>
      </c>
      <c r="L2733" s="7"/>
      <c r="M2733" s="16" t="s">
        <v>2804</v>
      </c>
    </row>
    <row r="2734" spans="1:13" x14ac:dyDescent="0.25">
      <c r="A2734" s="22">
        <f t="shared" si="44"/>
        <v>2733</v>
      </c>
      <c r="B2734" s="6" t="s">
        <v>5960</v>
      </c>
      <c r="C2734" s="6" t="s">
        <v>6765</v>
      </c>
      <c r="D2734" s="6" t="s">
        <v>2767</v>
      </c>
      <c r="E2734" s="6" t="s">
        <v>7112</v>
      </c>
      <c r="F2734" s="6" t="s">
        <v>2750</v>
      </c>
      <c r="G2734" s="6" t="s">
        <v>18</v>
      </c>
      <c r="H2734" s="6" t="str">
        <f>IFERROR(VLOOKUP(Table2[[#This Row],[Ticket]],Okey!A:B,2,0),"")</f>
        <v>ok</v>
      </c>
      <c r="I2734" s="6" t="s">
        <v>3679</v>
      </c>
      <c r="J2734" s="6" t="str">
        <f>VLOOKUP(Table2[[#This Row],[Author]],People!A:B,2,0)</f>
        <v>LS</v>
      </c>
      <c r="K2734" s="6" t="s">
        <v>5965</v>
      </c>
      <c r="L2734" s="6"/>
      <c r="M2734" s="21" t="s">
        <v>2804</v>
      </c>
    </row>
    <row r="2735" spans="1:13" x14ac:dyDescent="0.25">
      <c r="A2735" s="23">
        <f t="shared" si="44"/>
        <v>2734</v>
      </c>
      <c r="B2735" s="7" t="s">
        <v>5960</v>
      </c>
      <c r="C2735" s="7" t="s">
        <v>6765</v>
      </c>
      <c r="D2735" s="7" t="s">
        <v>2769</v>
      </c>
      <c r="E2735" s="7" t="s">
        <v>7113</v>
      </c>
      <c r="F2735" s="7" t="s">
        <v>2750</v>
      </c>
      <c r="G2735" s="7" t="s">
        <v>18</v>
      </c>
      <c r="H2735" s="7" t="str">
        <f>IFERROR(VLOOKUP(Table2[[#This Row],[Ticket]],Okey!A:B,2,0),"")</f>
        <v>ok</v>
      </c>
      <c r="I2735" s="7" t="s">
        <v>3679</v>
      </c>
      <c r="J2735" s="7" t="str">
        <f>VLOOKUP(Table2[[#This Row],[Author]],People!A:B,2,0)</f>
        <v>LS</v>
      </c>
      <c r="K2735" s="7" t="s">
        <v>5965</v>
      </c>
      <c r="L2735" s="7"/>
      <c r="M2735" s="16" t="s">
        <v>2804</v>
      </c>
    </row>
    <row r="2736" spans="1:13" x14ac:dyDescent="0.25">
      <c r="A2736" s="22">
        <f t="shared" si="44"/>
        <v>2735</v>
      </c>
      <c r="B2736" s="6" t="s">
        <v>5960</v>
      </c>
      <c r="C2736" s="6" t="s">
        <v>6765</v>
      </c>
      <c r="D2736" s="6" t="s">
        <v>2771</v>
      </c>
      <c r="E2736" s="6" t="s">
        <v>7114</v>
      </c>
      <c r="F2736" s="6" t="s">
        <v>2750</v>
      </c>
      <c r="G2736" s="6" t="s">
        <v>18</v>
      </c>
      <c r="H2736" s="6" t="str">
        <f>IFERROR(VLOOKUP(Table2[[#This Row],[Ticket]],Okey!A:B,2,0),"")</f>
        <v>ok</v>
      </c>
      <c r="I2736" s="6" t="s">
        <v>3679</v>
      </c>
      <c r="J2736" s="6" t="str">
        <f>VLOOKUP(Table2[[#This Row],[Author]],People!A:B,2,0)</f>
        <v>LS</v>
      </c>
      <c r="K2736" s="6" t="s">
        <v>5965</v>
      </c>
      <c r="L2736" s="6"/>
      <c r="M2736" s="21" t="s">
        <v>2804</v>
      </c>
    </row>
    <row r="2737" spans="1:13" x14ac:dyDescent="0.25">
      <c r="A2737" s="23">
        <f t="shared" si="44"/>
        <v>2736</v>
      </c>
      <c r="B2737" s="7" t="s">
        <v>5960</v>
      </c>
      <c r="C2737" s="7" t="s">
        <v>6765</v>
      </c>
      <c r="D2737" s="7" t="s">
        <v>7115</v>
      </c>
      <c r="E2737" s="7" t="s">
        <v>7116</v>
      </c>
      <c r="F2737" s="7" t="s">
        <v>7117</v>
      </c>
      <c r="G2737" s="7" t="s">
        <v>18</v>
      </c>
      <c r="H2737" s="7" t="str">
        <f>IFERROR(VLOOKUP(Table2[[#This Row],[Ticket]],Okey!A:B,2,0),"")</f>
        <v>ok</v>
      </c>
      <c r="I2737" s="7" t="s">
        <v>3679</v>
      </c>
      <c r="J2737" s="7" t="str">
        <f>VLOOKUP(Table2[[#This Row],[Author]],People!A:B,2,0)</f>
        <v>LS</v>
      </c>
      <c r="K2737" s="7" t="s">
        <v>5965</v>
      </c>
      <c r="L2737" s="7"/>
      <c r="M2737" s="16" t="s">
        <v>2804</v>
      </c>
    </row>
    <row r="2738" spans="1:13" x14ac:dyDescent="0.25">
      <c r="A2738" s="22">
        <f t="shared" si="44"/>
        <v>2737</v>
      </c>
      <c r="B2738" s="6" t="s">
        <v>5960</v>
      </c>
      <c r="C2738" s="6" t="s">
        <v>6765</v>
      </c>
      <c r="D2738" s="6" t="s">
        <v>7118</v>
      </c>
      <c r="E2738" s="6" t="s">
        <v>7119</v>
      </c>
      <c r="F2738" s="6" t="s">
        <v>5857</v>
      </c>
      <c r="G2738" s="6" t="s">
        <v>18</v>
      </c>
      <c r="H2738" s="6" t="str">
        <f>IFERROR(VLOOKUP(Table2[[#This Row],[Ticket]],Okey!A:B,2,0),"")</f>
        <v>ok</v>
      </c>
      <c r="I2738" s="6" t="s">
        <v>3679</v>
      </c>
      <c r="J2738" s="6" t="str">
        <f>VLOOKUP(Table2[[#This Row],[Author]],People!A:B,2,0)</f>
        <v>LS</v>
      </c>
      <c r="K2738" s="6" t="s">
        <v>5965</v>
      </c>
      <c r="L2738" s="6"/>
      <c r="M2738" s="21" t="s">
        <v>2804</v>
      </c>
    </row>
    <row r="2739" spans="1:13" x14ac:dyDescent="0.25">
      <c r="A2739" s="23">
        <f t="shared" si="44"/>
        <v>2738</v>
      </c>
      <c r="B2739" s="7" t="s">
        <v>5960</v>
      </c>
      <c r="C2739" s="7" t="s">
        <v>6765</v>
      </c>
      <c r="D2739" s="7" t="s">
        <v>1956</v>
      </c>
      <c r="E2739" s="7" t="s">
        <v>7120</v>
      </c>
      <c r="F2739" s="7" t="s">
        <v>5568</v>
      </c>
      <c r="G2739" s="7" t="s">
        <v>18</v>
      </c>
      <c r="H2739" s="7" t="str">
        <f>IFERROR(VLOOKUP(Table2[[#This Row],[Ticket]],Okey!A:B,2,0),"")</f>
        <v>ok</v>
      </c>
      <c r="I2739" s="7" t="s">
        <v>3679</v>
      </c>
      <c r="J2739" s="7" t="str">
        <f>VLOOKUP(Table2[[#This Row],[Author]],People!A:B,2,0)</f>
        <v>LS</v>
      </c>
      <c r="K2739" s="7" t="s">
        <v>5965</v>
      </c>
      <c r="L2739" s="7"/>
      <c r="M2739" s="16" t="s">
        <v>2804</v>
      </c>
    </row>
    <row r="2740" spans="1:13" x14ac:dyDescent="0.25">
      <c r="A2740" s="22">
        <f t="shared" si="44"/>
        <v>2739</v>
      </c>
      <c r="B2740" s="6" t="s">
        <v>5960</v>
      </c>
      <c r="C2740" s="6" t="s">
        <v>6765</v>
      </c>
      <c r="D2740" s="6" t="s">
        <v>7121</v>
      </c>
      <c r="E2740" s="6" t="s">
        <v>7122</v>
      </c>
      <c r="F2740" s="6" t="s">
        <v>1956</v>
      </c>
      <c r="G2740" s="6" t="s">
        <v>18</v>
      </c>
      <c r="H2740" s="6" t="str">
        <f>IFERROR(VLOOKUP(Table2[[#This Row],[Ticket]],Okey!A:B,2,0),"")</f>
        <v>ok</v>
      </c>
      <c r="I2740" s="6" t="s">
        <v>3679</v>
      </c>
      <c r="J2740" s="6" t="str">
        <f>VLOOKUP(Table2[[#This Row],[Author]],People!A:B,2,0)</f>
        <v>LS</v>
      </c>
      <c r="K2740" s="6" t="s">
        <v>5965</v>
      </c>
      <c r="L2740" s="6"/>
      <c r="M2740" s="21" t="s">
        <v>2804</v>
      </c>
    </row>
    <row r="2741" spans="1:13" x14ac:dyDescent="0.25">
      <c r="A2741" s="23">
        <f t="shared" si="44"/>
        <v>2740</v>
      </c>
      <c r="B2741" s="7" t="s">
        <v>5960</v>
      </c>
      <c r="C2741" s="7" t="s">
        <v>6765</v>
      </c>
      <c r="D2741" s="7" t="s">
        <v>7123</v>
      </c>
      <c r="E2741" s="7" t="s">
        <v>7124</v>
      </c>
      <c r="F2741" s="7" t="s">
        <v>1956</v>
      </c>
      <c r="G2741" s="7" t="s">
        <v>18</v>
      </c>
      <c r="H2741" s="7" t="str">
        <f>IFERROR(VLOOKUP(Table2[[#This Row],[Ticket]],Okey!A:B,2,0),"")</f>
        <v>ok</v>
      </c>
      <c r="I2741" s="7" t="s">
        <v>3679</v>
      </c>
      <c r="J2741" s="7" t="str">
        <f>VLOOKUP(Table2[[#This Row],[Author]],People!A:B,2,0)</f>
        <v>LS</v>
      </c>
      <c r="K2741" s="7" t="s">
        <v>5965</v>
      </c>
      <c r="L2741" s="7"/>
      <c r="M2741" s="16" t="s">
        <v>2804</v>
      </c>
    </row>
    <row r="2742" spans="1:13" x14ac:dyDescent="0.25">
      <c r="A2742" s="22">
        <f t="shared" si="44"/>
        <v>2741</v>
      </c>
      <c r="B2742" s="6" t="s">
        <v>5960</v>
      </c>
      <c r="C2742" s="6" t="s">
        <v>6765</v>
      </c>
      <c r="D2742" s="6" t="s">
        <v>7125</v>
      </c>
      <c r="E2742" s="6" t="s">
        <v>7126</v>
      </c>
      <c r="F2742" s="6" t="s">
        <v>5568</v>
      </c>
      <c r="G2742" s="6" t="s">
        <v>18</v>
      </c>
      <c r="H2742" s="6" t="str">
        <f>IFERROR(VLOOKUP(Table2[[#This Row],[Ticket]],Okey!A:B,2,0),"")</f>
        <v>ok</v>
      </c>
      <c r="I2742" s="6" t="s">
        <v>3679</v>
      </c>
      <c r="J2742" s="6" t="str">
        <f>VLOOKUP(Table2[[#This Row],[Author]],People!A:B,2,0)</f>
        <v>LS</v>
      </c>
      <c r="K2742" s="6" t="s">
        <v>5965</v>
      </c>
      <c r="L2742" s="6"/>
      <c r="M2742" s="21" t="s">
        <v>2804</v>
      </c>
    </row>
    <row r="2743" spans="1:13" x14ac:dyDescent="0.25">
      <c r="A2743" s="23">
        <f t="shared" si="44"/>
        <v>2742</v>
      </c>
      <c r="B2743" s="7" t="s">
        <v>5960</v>
      </c>
      <c r="C2743" s="7" t="s">
        <v>6765</v>
      </c>
      <c r="D2743" s="7" t="s">
        <v>7127</v>
      </c>
      <c r="E2743" s="7" t="s">
        <v>7128</v>
      </c>
      <c r="F2743" s="7" t="s">
        <v>7125</v>
      </c>
      <c r="G2743" s="7" t="s">
        <v>18</v>
      </c>
      <c r="H2743" s="7" t="str">
        <f>IFERROR(VLOOKUP(Table2[[#This Row],[Ticket]],Okey!A:B,2,0),"")</f>
        <v>ok</v>
      </c>
      <c r="I2743" s="7" t="s">
        <v>3679</v>
      </c>
      <c r="J2743" s="7" t="str">
        <f>VLOOKUP(Table2[[#This Row],[Author]],People!A:B,2,0)</f>
        <v>LS</v>
      </c>
      <c r="K2743" s="7" t="s">
        <v>5965</v>
      </c>
      <c r="L2743" s="7"/>
      <c r="M2743" s="16" t="s">
        <v>2804</v>
      </c>
    </row>
    <row r="2744" spans="1:13" x14ac:dyDescent="0.25">
      <c r="A2744" s="22">
        <f>1+A2743</f>
        <v>2743</v>
      </c>
      <c r="B2744" s="6" t="s">
        <v>5960</v>
      </c>
      <c r="C2744" s="6" t="s">
        <v>6765</v>
      </c>
      <c r="D2744" s="6" t="s">
        <v>7129</v>
      </c>
      <c r="E2744" s="6"/>
      <c r="F2744" s="6"/>
      <c r="G2744" s="6" t="s">
        <v>328</v>
      </c>
      <c r="H2744" s="6" t="str">
        <f>IFERROR(VLOOKUP(Table2[[#This Row],[Ticket]],Okey!A:B,2,0),"")</f>
        <v>ok</v>
      </c>
      <c r="I2744" s="6" t="s">
        <v>3679</v>
      </c>
      <c r="J2744" s="6" t="str">
        <f>VLOOKUP(Table2[[#This Row],[Author]],People!A:B,2,0)</f>
        <v>LS</v>
      </c>
      <c r="K2744" s="6" t="s">
        <v>5965</v>
      </c>
      <c r="L2744" s="6"/>
      <c r="M2744" s="21" t="s">
        <v>2804</v>
      </c>
    </row>
    <row r="2745" spans="1:13" x14ac:dyDescent="0.25">
      <c r="A2745" s="23">
        <f>1+A2744</f>
        <v>2744</v>
      </c>
      <c r="B2745" s="7" t="s">
        <v>5960</v>
      </c>
      <c r="C2745" s="7" t="s">
        <v>6765</v>
      </c>
      <c r="D2745" s="7" t="s">
        <v>7130</v>
      </c>
      <c r="E2745" s="7"/>
      <c r="F2745" s="7"/>
      <c r="G2745" s="7" t="s">
        <v>328</v>
      </c>
      <c r="H2745" s="7" t="str">
        <f>IFERROR(VLOOKUP(Table2[[#This Row],[Ticket]],Okey!A:B,2,0),"")</f>
        <v>ok</v>
      </c>
      <c r="I2745" s="7" t="s">
        <v>3679</v>
      </c>
      <c r="J2745" s="7" t="str">
        <f>VLOOKUP(Table2[[#This Row],[Author]],People!A:B,2,0)</f>
        <v>LS</v>
      </c>
      <c r="K2745" s="7" t="s">
        <v>5965</v>
      </c>
      <c r="L2745" s="7"/>
      <c r="M2745" s="16" t="s">
        <v>2804</v>
      </c>
    </row>
    <row r="2746" spans="1:13" x14ac:dyDescent="0.25">
      <c r="A2746" s="22">
        <f t="shared" ref="A2746:A2770" si="45">1+A2745</f>
        <v>2745</v>
      </c>
      <c r="B2746" s="6" t="s">
        <v>5960</v>
      </c>
      <c r="C2746" s="6" t="s">
        <v>6765</v>
      </c>
      <c r="D2746" s="6" t="s">
        <v>7131</v>
      </c>
      <c r="E2746" s="6"/>
      <c r="F2746" s="6"/>
      <c r="G2746" s="6" t="s">
        <v>328</v>
      </c>
      <c r="H2746" s="6" t="str">
        <f>IFERROR(VLOOKUP(Table2[[#This Row],[Ticket]],Okey!A:B,2,0),"")</f>
        <v>ok</v>
      </c>
      <c r="I2746" s="6" t="s">
        <v>3679</v>
      </c>
      <c r="J2746" s="6" t="str">
        <f>VLOOKUP(Table2[[#This Row],[Author]],People!A:B,2,0)</f>
        <v>LS</v>
      </c>
      <c r="K2746" s="6" t="s">
        <v>5965</v>
      </c>
      <c r="L2746" s="6"/>
      <c r="M2746" s="21" t="s">
        <v>2804</v>
      </c>
    </row>
    <row r="2747" spans="1:13" x14ac:dyDescent="0.25">
      <c r="A2747" s="23">
        <f t="shared" si="45"/>
        <v>2746</v>
      </c>
      <c r="B2747" s="7" t="s">
        <v>5960</v>
      </c>
      <c r="C2747" s="7" t="s">
        <v>6765</v>
      </c>
      <c r="D2747" s="7" t="s">
        <v>7132</v>
      </c>
      <c r="E2747" s="7"/>
      <c r="F2747" s="7"/>
      <c r="G2747" s="7" t="s">
        <v>328</v>
      </c>
      <c r="H2747" s="7" t="str">
        <f>IFERROR(VLOOKUP(Table2[[#This Row],[Ticket]],Okey!A:B,2,0),"")</f>
        <v>ok</v>
      </c>
      <c r="I2747" s="7" t="s">
        <v>3679</v>
      </c>
      <c r="J2747" s="7" t="str">
        <f>VLOOKUP(Table2[[#This Row],[Author]],People!A:B,2,0)</f>
        <v>LS</v>
      </c>
      <c r="K2747" s="7" t="s">
        <v>5965</v>
      </c>
      <c r="L2747" s="7"/>
      <c r="M2747" s="16" t="s">
        <v>2804</v>
      </c>
    </row>
    <row r="2748" spans="1:13" x14ac:dyDescent="0.25">
      <c r="A2748" s="22">
        <f t="shared" si="45"/>
        <v>2747</v>
      </c>
      <c r="B2748" s="6" t="s">
        <v>5960</v>
      </c>
      <c r="C2748" s="6" t="s">
        <v>6765</v>
      </c>
      <c r="D2748" s="6" t="s">
        <v>7133</v>
      </c>
      <c r="E2748" s="6"/>
      <c r="F2748" s="6"/>
      <c r="G2748" s="6" t="s">
        <v>328</v>
      </c>
      <c r="H2748" s="6" t="str">
        <f>IFERROR(VLOOKUP(Table2[[#This Row],[Ticket]],Okey!A:B,2,0),"")</f>
        <v>ok</v>
      </c>
      <c r="I2748" s="6" t="s">
        <v>3679</v>
      </c>
      <c r="J2748" s="6" t="str">
        <f>VLOOKUP(Table2[[#This Row],[Author]],People!A:B,2,0)</f>
        <v>LS</v>
      </c>
      <c r="K2748" s="6" t="s">
        <v>5965</v>
      </c>
      <c r="L2748" s="6"/>
      <c r="M2748" s="21" t="s">
        <v>2804</v>
      </c>
    </row>
    <row r="2749" spans="1:13" x14ac:dyDescent="0.25">
      <c r="A2749" s="23">
        <f t="shared" si="45"/>
        <v>2748</v>
      </c>
      <c r="B2749" s="7" t="s">
        <v>5960</v>
      </c>
      <c r="C2749" s="7" t="s">
        <v>6765</v>
      </c>
      <c r="D2749" s="7" t="s">
        <v>7134</v>
      </c>
      <c r="E2749" s="7"/>
      <c r="F2749" s="7"/>
      <c r="G2749" s="7" t="s">
        <v>328</v>
      </c>
      <c r="H2749" s="7" t="str">
        <f>IFERROR(VLOOKUP(Table2[[#This Row],[Ticket]],Okey!A:B,2,0),"")</f>
        <v>ok</v>
      </c>
      <c r="I2749" s="7" t="s">
        <v>3679</v>
      </c>
      <c r="J2749" s="7" t="str">
        <f>VLOOKUP(Table2[[#This Row],[Author]],People!A:B,2,0)</f>
        <v>LS</v>
      </c>
      <c r="K2749" s="7" t="s">
        <v>5965</v>
      </c>
      <c r="L2749" s="7"/>
      <c r="M2749" s="16" t="s">
        <v>2804</v>
      </c>
    </row>
    <row r="2750" spans="1:13" x14ac:dyDescent="0.25">
      <c r="A2750" s="22">
        <f t="shared" si="45"/>
        <v>2749</v>
      </c>
      <c r="B2750" s="6" t="s">
        <v>5960</v>
      </c>
      <c r="C2750" s="6" t="s">
        <v>6765</v>
      </c>
      <c r="D2750" s="6" t="s">
        <v>7135</v>
      </c>
      <c r="E2750" s="6"/>
      <c r="F2750" s="6"/>
      <c r="G2750" s="6" t="s">
        <v>328</v>
      </c>
      <c r="H2750" s="6" t="str">
        <f>IFERROR(VLOOKUP(Table2[[#This Row],[Ticket]],Okey!A:B,2,0),"")</f>
        <v>ok</v>
      </c>
      <c r="I2750" s="6" t="s">
        <v>3679</v>
      </c>
      <c r="J2750" s="6" t="str">
        <f>VLOOKUP(Table2[[#This Row],[Author]],People!A:B,2,0)</f>
        <v>LS</v>
      </c>
      <c r="K2750" s="6" t="s">
        <v>5965</v>
      </c>
      <c r="L2750" s="6"/>
      <c r="M2750" s="21" t="s">
        <v>2804</v>
      </c>
    </row>
    <row r="2751" spans="1:13" x14ac:dyDescent="0.25">
      <c r="A2751" s="23">
        <f t="shared" si="45"/>
        <v>2750</v>
      </c>
      <c r="B2751" s="7" t="s">
        <v>5960</v>
      </c>
      <c r="C2751" s="7" t="s">
        <v>6765</v>
      </c>
      <c r="D2751" s="7" t="s">
        <v>4816</v>
      </c>
      <c r="E2751" s="7"/>
      <c r="F2751" s="7"/>
      <c r="G2751" s="7" t="s">
        <v>328</v>
      </c>
      <c r="H2751" s="7" t="str">
        <f>IFERROR(VLOOKUP(Table2[[#This Row],[Ticket]],Okey!A:B,2,0),"")</f>
        <v>ok</v>
      </c>
      <c r="I2751" s="7" t="s">
        <v>3679</v>
      </c>
      <c r="J2751" s="7" t="str">
        <f>VLOOKUP(Table2[[#This Row],[Author]],People!A:B,2,0)</f>
        <v>LS</v>
      </c>
      <c r="K2751" s="7" t="s">
        <v>5965</v>
      </c>
      <c r="L2751" s="7"/>
      <c r="M2751" s="16" t="s">
        <v>2804</v>
      </c>
    </row>
    <row r="2752" spans="1:13" x14ac:dyDescent="0.25">
      <c r="A2752" s="22">
        <f t="shared" si="45"/>
        <v>2751</v>
      </c>
      <c r="B2752" s="6" t="s">
        <v>5960</v>
      </c>
      <c r="C2752" s="6" t="s">
        <v>6765</v>
      </c>
      <c r="D2752" s="6" t="s">
        <v>7014</v>
      </c>
      <c r="E2752" s="6"/>
      <c r="F2752" s="6"/>
      <c r="G2752" s="6" t="s">
        <v>328</v>
      </c>
      <c r="H2752" s="6" t="str">
        <f>IFERROR(VLOOKUP(Table2[[#This Row],[Ticket]],Okey!A:B,2,0),"")</f>
        <v>ok</v>
      </c>
      <c r="I2752" s="6" t="s">
        <v>3679</v>
      </c>
      <c r="J2752" s="6" t="str">
        <f>VLOOKUP(Table2[[#This Row],[Author]],People!A:B,2,0)</f>
        <v>LS</v>
      </c>
      <c r="K2752" s="6" t="s">
        <v>5965</v>
      </c>
      <c r="L2752" s="6"/>
      <c r="M2752" s="21" t="s">
        <v>2804</v>
      </c>
    </row>
    <row r="2753" spans="1:13" x14ac:dyDescent="0.25">
      <c r="A2753" s="23">
        <f t="shared" si="45"/>
        <v>2752</v>
      </c>
      <c r="B2753" s="7" t="s">
        <v>5960</v>
      </c>
      <c r="C2753" s="7" t="s">
        <v>6765</v>
      </c>
      <c r="D2753" s="7" t="s">
        <v>7016</v>
      </c>
      <c r="E2753" s="7"/>
      <c r="F2753" s="7"/>
      <c r="G2753" s="7" t="s">
        <v>328</v>
      </c>
      <c r="H2753" s="7" t="str">
        <f>IFERROR(VLOOKUP(Table2[[#This Row],[Ticket]],Okey!A:B,2,0),"")</f>
        <v>ok</v>
      </c>
      <c r="I2753" s="7" t="s">
        <v>3679</v>
      </c>
      <c r="J2753" s="7" t="str">
        <f>VLOOKUP(Table2[[#This Row],[Author]],People!A:B,2,0)</f>
        <v>LS</v>
      </c>
      <c r="K2753" s="7" t="s">
        <v>5965</v>
      </c>
      <c r="L2753" s="7"/>
      <c r="M2753" s="16" t="s">
        <v>2804</v>
      </c>
    </row>
    <row r="2754" spans="1:13" x14ac:dyDescent="0.25">
      <c r="A2754" s="22">
        <f t="shared" si="45"/>
        <v>2753</v>
      </c>
      <c r="B2754" s="6" t="s">
        <v>5960</v>
      </c>
      <c r="C2754" s="6" t="s">
        <v>6765</v>
      </c>
      <c r="D2754" s="6" t="s">
        <v>7018</v>
      </c>
      <c r="E2754" s="6"/>
      <c r="F2754" s="6"/>
      <c r="G2754" s="6" t="s">
        <v>328</v>
      </c>
      <c r="H2754" s="6" t="str">
        <f>IFERROR(VLOOKUP(Table2[[#This Row],[Ticket]],Okey!A:B,2,0),"")</f>
        <v>ok</v>
      </c>
      <c r="I2754" s="6" t="s">
        <v>3679</v>
      </c>
      <c r="J2754" s="6" t="str">
        <f>VLOOKUP(Table2[[#This Row],[Author]],People!A:B,2,0)</f>
        <v>LS</v>
      </c>
      <c r="K2754" s="6" t="s">
        <v>5965</v>
      </c>
      <c r="L2754" s="6"/>
      <c r="M2754" s="21" t="s">
        <v>2804</v>
      </c>
    </row>
    <row r="2755" spans="1:13" x14ac:dyDescent="0.25">
      <c r="A2755" s="23">
        <f t="shared" si="45"/>
        <v>2754</v>
      </c>
      <c r="B2755" s="7" t="s">
        <v>5960</v>
      </c>
      <c r="C2755" s="7" t="s">
        <v>6765</v>
      </c>
      <c r="D2755" s="7" t="s">
        <v>7020</v>
      </c>
      <c r="E2755" s="7"/>
      <c r="F2755" s="7"/>
      <c r="G2755" s="7" t="s">
        <v>328</v>
      </c>
      <c r="H2755" s="7" t="str">
        <f>IFERROR(VLOOKUP(Table2[[#This Row],[Ticket]],Okey!A:B,2,0),"")</f>
        <v>ok</v>
      </c>
      <c r="I2755" s="7" t="s">
        <v>3679</v>
      </c>
      <c r="J2755" s="7" t="str">
        <f>VLOOKUP(Table2[[#This Row],[Author]],People!A:B,2,0)</f>
        <v>LS</v>
      </c>
      <c r="K2755" s="7" t="s">
        <v>5965</v>
      </c>
      <c r="L2755" s="7"/>
      <c r="M2755" s="16" t="s">
        <v>2804</v>
      </c>
    </row>
    <row r="2756" spans="1:13" x14ac:dyDescent="0.25">
      <c r="A2756" s="22">
        <f t="shared" si="45"/>
        <v>2755</v>
      </c>
      <c r="B2756" s="6" t="s">
        <v>5960</v>
      </c>
      <c r="C2756" s="6" t="s">
        <v>6765</v>
      </c>
      <c r="D2756" s="6" t="s">
        <v>7022</v>
      </c>
      <c r="E2756" s="6"/>
      <c r="F2756" s="6"/>
      <c r="G2756" s="6" t="s">
        <v>328</v>
      </c>
      <c r="H2756" s="6" t="str">
        <f>IFERROR(VLOOKUP(Table2[[#This Row],[Ticket]],Okey!A:B,2,0),"")</f>
        <v>ok</v>
      </c>
      <c r="I2756" s="6" t="s">
        <v>3679</v>
      </c>
      <c r="J2756" s="6" t="str">
        <f>VLOOKUP(Table2[[#This Row],[Author]],People!A:B,2,0)</f>
        <v>LS</v>
      </c>
      <c r="K2756" s="6" t="s">
        <v>5965</v>
      </c>
      <c r="L2756" s="6"/>
      <c r="M2756" s="21" t="s">
        <v>2804</v>
      </c>
    </row>
    <row r="2757" spans="1:13" x14ac:dyDescent="0.25">
      <c r="A2757" s="23">
        <f t="shared" si="45"/>
        <v>2756</v>
      </c>
      <c r="B2757" s="7" t="s">
        <v>5960</v>
      </c>
      <c r="C2757" s="7" t="s">
        <v>6765</v>
      </c>
      <c r="D2757" s="7" t="s">
        <v>7024</v>
      </c>
      <c r="E2757" s="7"/>
      <c r="F2757" s="7"/>
      <c r="G2757" s="7" t="s">
        <v>328</v>
      </c>
      <c r="H2757" s="7" t="str">
        <f>IFERROR(VLOOKUP(Table2[[#This Row],[Ticket]],Okey!A:B,2,0),"")</f>
        <v>ok</v>
      </c>
      <c r="I2757" s="7" t="s">
        <v>3679</v>
      </c>
      <c r="J2757" s="7" t="str">
        <f>VLOOKUP(Table2[[#This Row],[Author]],People!A:B,2,0)</f>
        <v>LS</v>
      </c>
      <c r="K2757" s="7" t="s">
        <v>5965</v>
      </c>
      <c r="L2757" s="7"/>
      <c r="M2757" s="16" t="s">
        <v>2804</v>
      </c>
    </row>
    <row r="2758" spans="1:13" x14ac:dyDescent="0.25">
      <c r="A2758" s="22">
        <f t="shared" si="45"/>
        <v>2757</v>
      </c>
      <c r="B2758" s="6" t="s">
        <v>5960</v>
      </c>
      <c r="C2758" s="6" t="s">
        <v>6765</v>
      </c>
      <c r="D2758" s="6" t="s">
        <v>4814</v>
      </c>
      <c r="E2758" s="6"/>
      <c r="F2758" s="6"/>
      <c r="G2758" s="6" t="s">
        <v>328</v>
      </c>
      <c r="H2758" s="6" t="str">
        <f>IFERROR(VLOOKUP(Table2[[#This Row],[Ticket]],Okey!A:B,2,0),"")</f>
        <v>ok</v>
      </c>
      <c r="I2758" s="6" t="s">
        <v>3679</v>
      </c>
      <c r="J2758" s="6" t="str">
        <f>VLOOKUP(Table2[[#This Row],[Author]],People!A:B,2,0)</f>
        <v>LS</v>
      </c>
      <c r="K2758" s="6" t="s">
        <v>5965</v>
      </c>
      <c r="L2758" s="6"/>
      <c r="M2758" s="21" t="s">
        <v>2804</v>
      </c>
    </row>
    <row r="2759" spans="1:13" x14ac:dyDescent="0.25">
      <c r="A2759" s="23">
        <f t="shared" si="45"/>
        <v>2758</v>
      </c>
      <c r="B2759" s="7" t="s">
        <v>5960</v>
      </c>
      <c r="C2759" s="7" t="s">
        <v>6765</v>
      </c>
      <c r="D2759" s="7" t="s">
        <v>4817</v>
      </c>
      <c r="E2759" s="7"/>
      <c r="F2759" s="7"/>
      <c r="G2759" s="7" t="s">
        <v>328</v>
      </c>
      <c r="H2759" s="7" t="str">
        <f>IFERROR(VLOOKUP(Table2[[#This Row],[Ticket]],Okey!A:B,2,0),"")</f>
        <v>ok</v>
      </c>
      <c r="I2759" s="7" t="s">
        <v>3679</v>
      </c>
      <c r="J2759" s="7" t="str">
        <f>VLOOKUP(Table2[[#This Row],[Author]],People!A:B,2,0)</f>
        <v>LS</v>
      </c>
      <c r="K2759" s="7" t="s">
        <v>5965</v>
      </c>
      <c r="L2759" s="7"/>
      <c r="M2759" s="16" t="s">
        <v>2804</v>
      </c>
    </row>
    <row r="2760" spans="1:13" x14ac:dyDescent="0.25">
      <c r="A2760" s="22">
        <f t="shared" si="45"/>
        <v>2759</v>
      </c>
      <c r="B2760" s="6" t="s">
        <v>5960</v>
      </c>
      <c r="C2760" s="6" t="s">
        <v>7136</v>
      </c>
      <c r="D2760" s="6" t="s">
        <v>2318</v>
      </c>
      <c r="E2760" s="6"/>
      <c r="F2760" s="6"/>
      <c r="G2760" s="6" t="s">
        <v>328</v>
      </c>
      <c r="H2760" s="6" t="str">
        <f>IFERROR(VLOOKUP(Table2[[#This Row],[Ticket]],Okey!A:B,2,0),"")</f>
        <v>ok</v>
      </c>
      <c r="I2760" s="6" t="s">
        <v>3679</v>
      </c>
      <c r="J2760" s="6" t="str">
        <f>VLOOKUP(Table2[[#This Row],[Author]],People!A:B,2,0)</f>
        <v>LS</v>
      </c>
      <c r="K2760" s="6"/>
      <c r="L2760" s="6"/>
      <c r="M2760" s="21" t="s">
        <v>1040</v>
      </c>
    </row>
    <row r="2761" spans="1:13" x14ac:dyDescent="0.25">
      <c r="A2761" s="23">
        <f t="shared" si="45"/>
        <v>2760</v>
      </c>
      <c r="B2761" s="7" t="s">
        <v>5960</v>
      </c>
      <c r="C2761" s="7" t="s">
        <v>7136</v>
      </c>
      <c r="D2761" s="7" t="s">
        <v>2320</v>
      </c>
      <c r="E2761" s="7"/>
      <c r="F2761" s="7"/>
      <c r="G2761" s="7" t="s">
        <v>328</v>
      </c>
      <c r="H2761" s="7" t="str">
        <f>IFERROR(VLOOKUP(Table2[[#This Row],[Ticket]],Okey!A:B,2,0),"")</f>
        <v>ok</v>
      </c>
      <c r="I2761" s="7" t="s">
        <v>3679</v>
      </c>
      <c r="J2761" s="7" t="str">
        <f>VLOOKUP(Table2[[#This Row],[Author]],People!A:B,2,0)</f>
        <v>LS</v>
      </c>
      <c r="K2761" s="7"/>
      <c r="L2761" s="7"/>
      <c r="M2761" s="16" t="s">
        <v>1040</v>
      </c>
    </row>
    <row r="2762" spans="1:13" x14ac:dyDescent="0.25">
      <c r="A2762" s="22">
        <f t="shared" si="45"/>
        <v>2761</v>
      </c>
      <c r="B2762" s="6" t="s">
        <v>5960</v>
      </c>
      <c r="C2762" s="6" t="s">
        <v>7136</v>
      </c>
      <c r="D2762" s="6" t="s">
        <v>2321</v>
      </c>
      <c r="E2762" s="6"/>
      <c r="F2762" s="6"/>
      <c r="G2762" s="6" t="s">
        <v>328</v>
      </c>
      <c r="H2762" s="6" t="str">
        <f>IFERROR(VLOOKUP(Table2[[#This Row],[Ticket]],Okey!A:B,2,0),"")</f>
        <v>ok</v>
      </c>
      <c r="I2762" s="6" t="s">
        <v>3679</v>
      </c>
      <c r="J2762" s="6" t="str">
        <f>VLOOKUP(Table2[[#This Row],[Author]],People!A:B,2,0)</f>
        <v>LS</v>
      </c>
      <c r="K2762" s="6"/>
      <c r="L2762" s="6"/>
      <c r="M2762" s="21" t="s">
        <v>1040</v>
      </c>
    </row>
    <row r="2763" spans="1:13" x14ac:dyDescent="0.25">
      <c r="A2763" s="23">
        <f t="shared" si="45"/>
        <v>2762</v>
      </c>
      <c r="B2763" s="7" t="s">
        <v>5960</v>
      </c>
      <c r="C2763" s="7" t="s">
        <v>7137</v>
      </c>
      <c r="D2763" s="7" t="s">
        <v>7138</v>
      </c>
      <c r="E2763" s="7" t="s">
        <v>7139</v>
      </c>
      <c r="F2763" s="10" t="s">
        <v>7140</v>
      </c>
      <c r="G2763" s="7" t="s">
        <v>18</v>
      </c>
      <c r="H2763" s="7" t="str">
        <f>IFERROR(VLOOKUP(Table2[[#This Row],[Ticket]],Okey!A:B,2,0),"")</f>
        <v>ok</v>
      </c>
      <c r="I2763" s="7" t="s">
        <v>3679</v>
      </c>
      <c r="J2763" s="7" t="str">
        <f>VLOOKUP(Table2[[#This Row],[Author]],People!A:B,2,0)</f>
        <v>LS</v>
      </c>
      <c r="K2763" s="7"/>
      <c r="L2763" s="7"/>
      <c r="M2763" s="16" t="s">
        <v>4148</v>
      </c>
    </row>
    <row r="2764" spans="1:13" x14ac:dyDescent="0.25">
      <c r="A2764" s="22">
        <f t="shared" si="45"/>
        <v>2763</v>
      </c>
      <c r="B2764" s="6" t="s">
        <v>5960</v>
      </c>
      <c r="C2764" s="6" t="s">
        <v>7137</v>
      </c>
      <c r="D2764" s="6" t="s">
        <v>7141</v>
      </c>
      <c r="E2764" s="6" t="s">
        <v>7142</v>
      </c>
      <c r="F2764" s="11" t="s">
        <v>7140</v>
      </c>
      <c r="G2764" s="6" t="s">
        <v>18</v>
      </c>
      <c r="H2764" s="6" t="str">
        <f>IFERROR(VLOOKUP(Table2[[#This Row],[Ticket]],Okey!A:B,2,0),"")</f>
        <v>ok</v>
      </c>
      <c r="I2764" s="6" t="s">
        <v>3679</v>
      </c>
      <c r="J2764" s="6" t="str">
        <f>VLOOKUP(Table2[[#This Row],[Author]],People!A:B,2,0)</f>
        <v>LS</v>
      </c>
      <c r="K2764" s="6"/>
      <c r="L2764" s="6"/>
      <c r="M2764" s="21" t="s">
        <v>4148</v>
      </c>
    </row>
    <row r="2765" spans="1:13" x14ac:dyDescent="0.25">
      <c r="A2765" s="23">
        <f t="shared" si="45"/>
        <v>2764</v>
      </c>
      <c r="B2765" s="7" t="s">
        <v>5960</v>
      </c>
      <c r="C2765" s="7" t="s">
        <v>7137</v>
      </c>
      <c r="D2765" s="7" t="s">
        <v>7143</v>
      </c>
      <c r="E2765" s="7" t="s">
        <v>7144</v>
      </c>
      <c r="F2765" s="7" t="s">
        <v>7141</v>
      </c>
      <c r="G2765" s="7" t="s">
        <v>18</v>
      </c>
      <c r="H2765" s="7" t="str">
        <f>IFERROR(VLOOKUP(Table2[[#This Row],[Ticket]],Okey!A:B,2,0),"")</f>
        <v>ok</v>
      </c>
      <c r="I2765" s="7" t="s">
        <v>3679</v>
      </c>
      <c r="J2765" s="7" t="str">
        <f>VLOOKUP(Table2[[#This Row],[Author]],People!A:B,2,0)</f>
        <v>LS</v>
      </c>
      <c r="K2765" s="7"/>
      <c r="L2765" s="7"/>
      <c r="M2765" s="16" t="s">
        <v>4148</v>
      </c>
    </row>
    <row r="2766" spans="1:13" x14ac:dyDescent="0.25">
      <c r="A2766" s="22">
        <f t="shared" si="45"/>
        <v>2765</v>
      </c>
      <c r="B2766" s="6" t="s">
        <v>5960</v>
      </c>
      <c r="C2766" s="6" t="s">
        <v>7137</v>
      </c>
      <c r="D2766" s="6" t="s">
        <v>7145</v>
      </c>
      <c r="E2766" s="6" t="s">
        <v>7146</v>
      </c>
      <c r="F2766" s="6" t="s">
        <v>7141</v>
      </c>
      <c r="G2766" s="6" t="s">
        <v>18</v>
      </c>
      <c r="H2766" s="6" t="str">
        <f>IFERROR(VLOOKUP(Table2[[#This Row],[Ticket]],Okey!A:B,2,0),"")</f>
        <v>ok</v>
      </c>
      <c r="I2766" s="6" t="s">
        <v>3679</v>
      </c>
      <c r="J2766" s="6" t="str">
        <f>VLOOKUP(Table2[[#This Row],[Author]],People!A:B,2,0)</f>
        <v>LS</v>
      </c>
      <c r="K2766" s="6"/>
      <c r="L2766" s="6"/>
      <c r="M2766" s="21" t="s">
        <v>4148</v>
      </c>
    </row>
    <row r="2767" spans="1:13" x14ac:dyDescent="0.25">
      <c r="A2767" s="23">
        <f t="shared" si="45"/>
        <v>2766</v>
      </c>
      <c r="B2767" s="7" t="s">
        <v>5960</v>
      </c>
      <c r="C2767" s="7" t="s">
        <v>7137</v>
      </c>
      <c r="D2767" s="7" t="s">
        <v>7147</v>
      </c>
      <c r="E2767" s="7" t="s">
        <v>7148</v>
      </c>
      <c r="F2767" s="7" t="s">
        <v>7141</v>
      </c>
      <c r="G2767" s="7" t="s">
        <v>18</v>
      </c>
      <c r="H2767" s="7" t="str">
        <f>IFERROR(VLOOKUP(Table2[[#This Row],[Ticket]],Okey!A:B,2,0),"")</f>
        <v>ok</v>
      </c>
      <c r="I2767" s="7" t="s">
        <v>3679</v>
      </c>
      <c r="J2767" s="7" t="str">
        <f>VLOOKUP(Table2[[#This Row],[Author]],People!A:B,2,0)</f>
        <v>LS</v>
      </c>
      <c r="K2767" s="7"/>
      <c r="L2767" s="7"/>
      <c r="M2767" s="16" t="s">
        <v>4148</v>
      </c>
    </row>
    <row r="2768" spans="1:13" x14ac:dyDescent="0.25">
      <c r="A2768" s="22">
        <f t="shared" si="45"/>
        <v>2767</v>
      </c>
      <c r="B2768" s="6" t="s">
        <v>5960</v>
      </c>
      <c r="C2768" s="6" t="s">
        <v>7137</v>
      </c>
      <c r="D2768" s="6" t="s">
        <v>7149</v>
      </c>
      <c r="E2768" s="6" t="s">
        <v>7150</v>
      </c>
      <c r="F2768" s="6" t="s">
        <v>7141</v>
      </c>
      <c r="G2768" s="6" t="s">
        <v>18</v>
      </c>
      <c r="H2768" s="6" t="str">
        <f>IFERROR(VLOOKUP(Table2[[#This Row],[Ticket]],Okey!A:B,2,0),"")</f>
        <v>ok</v>
      </c>
      <c r="I2768" s="6" t="s">
        <v>3679</v>
      </c>
      <c r="J2768" s="6" t="str">
        <f>VLOOKUP(Table2[[#This Row],[Author]],People!A:B,2,0)</f>
        <v>LS</v>
      </c>
      <c r="K2768" s="6"/>
      <c r="L2768" s="6"/>
      <c r="M2768" s="21" t="s">
        <v>4148</v>
      </c>
    </row>
    <row r="2769" spans="1:13" x14ac:dyDescent="0.25">
      <c r="A2769" s="23">
        <f t="shared" si="45"/>
        <v>2768</v>
      </c>
      <c r="B2769" s="7" t="s">
        <v>5960</v>
      </c>
      <c r="C2769" s="7" t="s">
        <v>7137</v>
      </c>
      <c r="D2769" s="7" t="s">
        <v>7151</v>
      </c>
      <c r="E2769" s="7" t="s">
        <v>7152</v>
      </c>
      <c r="F2769" s="7" t="s">
        <v>7141</v>
      </c>
      <c r="G2769" s="7" t="s">
        <v>18</v>
      </c>
      <c r="H2769" s="7" t="str">
        <f>IFERROR(VLOOKUP(Table2[[#This Row],[Ticket]],Okey!A:B,2,0),"")</f>
        <v>ok</v>
      </c>
      <c r="I2769" s="7" t="s">
        <v>3679</v>
      </c>
      <c r="J2769" s="7" t="str">
        <f>VLOOKUP(Table2[[#This Row],[Author]],People!A:B,2,0)</f>
        <v>LS</v>
      </c>
      <c r="K2769" s="7"/>
      <c r="L2769" s="7"/>
      <c r="M2769" s="16" t="s">
        <v>4148</v>
      </c>
    </row>
    <row r="2770" spans="1:13" x14ac:dyDescent="0.25">
      <c r="A2770" s="22">
        <f t="shared" si="45"/>
        <v>2769</v>
      </c>
      <c r="B2770" s="6" t="s">
        <v>5960</v>
      </c>
      <c r="C2770" s="6" t="s">
        <v>7137</v>
      </c>
      <c r="D2770" s="6" t="s">
        <v>7153</v>
      </c>
      <c r="E2770" s="6" t="s">
        <v>7154</v>
      </c>
      <c r="F2770" s="6" t="s">
        <v>7141</v>
      </c>
      <c r="G2770" s="6" t="s">
        <v>18</v>
      </c>
      <c r="H2770" s="6" t="str">
        <f>IFERROR(VLOOKUP(Table2[[#This Row],[Ticket]],Okey!A:B,2,0),"")</f>
        <v>ok</v>
      </c>
      <c r="I2770" s="6" t="s">
        <v>3679</v>
      </c>
      <c r="J2770" s="6" t="str">
        <f>VLOOKUP(Table2[[#This Row],[Author]],People!A:B,2,0)</f>
        <v>LS</v>
      </c>
      <c r="K2770" s="6"/>
      <c r="L2770" s="6"/>
      <c r="M2770" s="21" t="s">
        <v>4148</v>
      </c>
    </row>
    <row r="2771" spans="1:13" x14ac:dyDescent="0.25">
      <c r="A2771" s="23">
        <f>1+A2770</f>
        <v>2770</v>
      </c>
      <c r="B2771" s="7" t="s">
        <v>5960</v>
      </c>
      <c r="C2771" s="7" t="s">
        <v>7155</v>
      </c>
      <c r="D2771" s="31" t="s">
        <v>7156</v>
      </c>
      <c r="E2771" s="7"/>
      <c r="F2771" s="7" t="s">
        <v>7157</v>
      </c>
      <c r="G2771" s="7" t="s">
        <v>24</v>
      </c>
      <c r="H2771" s="7" t="str">
        <f>IFERROR(VLOOKUP(Table2[[#This Row],[Ticket]],Okey!A:B,2,0),"")</f>
        <v>ok</v>
      </c>
      <c r="I2771" s="7" t="s">
        <v>3679</v>
      </c>
      <c r="J2771" s="7" t="str">
        <f>VLOOKUP(Table2[[#This Row],[Author]],People!A:B,2,0)</f>
        <v>LS</v>
      </c>
      <c r="K2771" s="7"/>
      <c r="L2771" s="7"/>
      <c r="M2771" s="16" t="s">
        <v>1040</v>
      </c>
    </row>
    <row r="2772" spans="1:13" x14ac:dyDescent="0.25">
      <c r="A2772" s="22">
        <f t="shared" ref="A2772:A2782" si="46">1+A2771</f>
        <v>2771</v>
      </c>
      <c r="B2772" s="6" t="s">
        <v>5960</v>
      </c>
      <c r="C2772" s="6" t="s">
        <v>7158</v>
      </c>
      <c r="D2772" s="6" t="s">
        <v>2789</v>
      </c>
      <c r="E2772" s="6" t="s">
        <v>5566</v>
      </c>
      <c r="F2772" s="6"/>
      <c r="G2772" s="6" t="s">
        <v>63</v>
      </c>
      <c r="H2772" s="6" t="str">
        <f>IFERROR(VLOOKUP(Table2[[#This Row],[Ticket]],Okey!A:B,2,0),"")</f>
        <v>ok</v>
      </c>
      <c r="I2772" s="6" t="s">
        <v>3679</v>
      </c>
      <c r="J2772" s="6" t="str">
        <f>VLOOKUP(Table2[[#This Row],[Author]],People!A:B,2,0)</f>
        <v>LS</v>
      </c>
      <c r="K2772" s="6"/>
      <c r="L2772" s="6"/>
      <c r="M2772" s="21" t="s">
        <v>2804</v>
      </c>
    </row>
    <row r="2773" spans="1:13" x14ac:dyDescent="0.25">
      <c r="A2773" s="23">
        <f t="shared" si="46"/>
        <v>2772</v>
      </c>
      <c r="B2773" s="7" t="s">
        <v>5960</v>
      </c>
      <c r="C2773" s="7" t="s">
        <v>7158</v>
      </c>
      <c r="D2773" s="7" t="s">
        <v>1976</v>
      </c>
      <c r="E2773" s="7" t="s">
        <v>7159</v>
      </c>
      <c r="F2773" s="7"/>
      <c r="G2773" s="7" t="s">
        <v>63</v>
      </c>
      <c r="H2773" s="7" t="str">
        <f>IFERROR(VLOOKUP(Table2[[#This Row],[Ticket]],Okey!A:B,2,0),"")</f>
        <v>ok</v>
      </c>
      <c r="I2773" s="7" t="s">
        <v>3679</v>
      </c>
      <c r="J2773" s="7" t="str">
        <f>VLOOKUP(Table2[[#This Row],[Author]],People!A:B,2,0)</f>
        <v>LS</v>
      </c>
      <c r="K2773" s="7"/>
      <c r="L2773" s="7"/>
      <c r="M2773" s="16" t="s">
        <v>2804</v>
      </c>
    </row>
    <row r="2774" spans="1:13" x14ac:dyDescent="0.25">
      <c r="A2774" s="22">
        <f t="shared" si="46"/>
        <v>2773</v>
      </c>
      <c r="B2774" s="6" t="s">
        <v>5960</v>
      </c>
      <c r="C2774" s="6" t="s">
        <v>7158</v>
      </c>
      <c r="D2774" s="6" t="s">
        <v>1978</v>
      </c>
      <c r="E2774" s="6" t="s">
        <v>1979</v>
      </c>
      <c r="F2774" s="6"/>
      <c r="G2774" s="6" t="s">
        <v>63</v>
      </c>
      <c r="H2774" s="6" t="str">
        <f>IFERROR(VLOOKUP(Table2[[#This Row],[Ticket]],Okey!A:B,2,0),"")</f>
        <v>ok</v>
      </c>
      <c r="I2774" s="6" t="s">
        <v>3679</v>
      </c>
      <c r="J2774" s="6" t="str">
        <f>VLOOKUP(Table2[[#This Row],[Author]],People!A:B,2,0)</f>
        <v>LS</v>
      </c>
      <c r="K2774" s="6"/>
      <c r="L2774" s="6"/>
      <c r="M2774" s="21" t="s">
        <v>2804</v>
      </c>
    </row>
    <row r="2775" spans="1:13" x14ac:dyDescent="0.25">
      <c r="A2775" s="23">
        <f t="shared" si="46"/>
        <v>2774</v>
      </c>
      <c r="B2775" s="7" t="s">
        <v>5960</v>
      </c>
      <c r="C2775" s="7" t="s">
        <v>7158</v>
      </c>
      <c r="D2775" s="7" t="s">
        <v>1922</v>
      </c>
      <c r="E2775" s="7" t="s">
        <v>7160</v>
      </c>
      <c r="F2775" s="7"/>
      <c r="G2775" s="7" t="s">
        <v>63</v>
      </c>
      <c r="H2775" s="7" t="str">
        <f>IFERROR(VLOOKUP(Table2[[#This Row],[Ticket]],Okey!A:B,2,0),"")</f>
        <v>ok</v>
      </c>
      <c r="I2775" s="7" t="s">
        <v>3679</v>
      </c>
      <c r="J2775" s="7" t="str">
        <f>VLOOKUP(Table2[[#This Row],[Author]],People!A:B,2,0)</f>
        <v>LS</v>
      </c>
      <c r="K2775" s="7"/>
      <c r="L2775" s="7"/>
      <c r="M2775" s="16" t="s">
        <v>2804</v>
      </c>
    </row>
    <row r="2776" spans="1:13" x14ac:dyDescent="0.25">
      <c r="A2776" s="22">
        <f t="shared" si="46"/>
        <v>2775</v>
      </c>
      <c r="B2776" s="6" t="s">
        <v>5960</v>
      </c>
      <c r="C2776" s="6" t="s">
        <v>7158</v>
      </c>
      <c r="D2776" s="6" t="s">
        <v>7161</v>
      </c>
      <c r="E2776" s="6" t="s">
        <v>7162</v>
      </c>
      <c r="F2776" s="6"/>
      <c r="G2776" s="6" t="s">
        <v>63</v>
      </c>
      <c r="H2776" s="6" t="str">
        <f>IFERROR(VLOOKUP(Table2[[#This Row],[Ticket]],Okey!A:B,2,0),"")</f>
        <v>ok</v>
      </c>
      <c r="I2776" s="6" t="s">
        <v>3679</v>
      </c>
      <c r="J2776" s="6" t="str">
        <f>VLOOKUP(Table2[[#This Row],[Author]],People!A:B,2,0)</f>
        <v>LS</v>
      </c>
      <c r="K2776" s="6"/>
      <c r="L2776" s="6"/>
      <c r="M2776" s="21" t="s">
        <v>2804</v>
      </c>
    </row>
    <row r="2777" spans="1:13" x14ac:dyDescent="0.25">
      <c r="A2777" s="23">
        <f t="shared" si="46"/>
        <v>2776</v>
      </c>
      <c r="B2777" s="7" t="s">
        <v>5960</v>
      </c>
      <c r="C2777" s="7" t="s">
        <v>7158</v>
      </c>
      <c r="D2777" s="7" t="s">
        <v>4824</v>
      </c>
      <c r="E2777" s="7" t="s">
        <v>7163</v>
      </c>
      <c r="F2777" s="7"/>
      <c r="G2777" s="7" t="s">
        <v>63</v>
      </c>
      <c r="H2777" s="7" t="str">
        <f>IFERROR(VLOOKUP(Table2[[#This Row],[Ticket]],Okey!A:B,2,0),"")</f>
        <v>ok</v>
      </c>
      <c r="I2777" s="7" t="s">
        <v>3679</v>
      </c>
      <c r="J2777" s="7" t="str">
        <f>VLOOKUP(Table2[[#This Row],[Author]],People!A:B,2,0)</f>
        <v>LS</v>
      </c>
      <c r="K2777" s="7"/>
      <c r="L2777" s="7"/>
      <c r="M2777" s="16" t="s">
        <v>2804</v>
      </c>
    </row>
    <row r="2778" spans="1:13" x14ac:dyDescent="0.25">
      <c r="A2778" s="22">
        <f t="shared" si="46"/>
        <v>2777</v>
      </c>
      <c r="B2778" s="6" t="s">
        <v>5960</v>
      </c>
      <c r="C2778" s="6" t="s">
        <v>7158</v>
      </c>
      <c r="D2778" s="6" t="s">
        <v>4833</v>
      </c>
      <c r="E2778" s="6" t="s">
        <v>7164</v>
      </c>
      <c r="F2778" s="6"/>
      <c r="G2778" s="6" t="s">
        <v>63</v>
      </c>
      <c r="H2778" s="6" t="str">
        <f>IFERROR(VLOOKUP(Table2[[#This Row],[Ticket]],Okey!A:B,2,0),"")</f>
        <v>ok</v>
      </c>
      <c r="I2778" s="6" t="s">
        <v>3679</v>
      </c>
      <c r="J2778" s="6" t="str">
        <f>VLOOKUP(Table2[[#This Row],[Author]],People!A:B,2,0)</f>
        <v>LS</v>
      </c>
      <c r="K2778" s="6"/>
      <c r="L2778" s="6"/>
      <c r="M2778" s="21" t="s">
        <v>2804</v>
      </c>
    </row>
    <row r="2779" spans="1:13" x14ac:dyDescent="0.25">
      <c r="A2779" s="23">
        <f t="shared" si="46"/>
        <v>2778</v>
      </c>
      <c r="B2779" s="7" t="s">
        <v>5960</v>
      </c>
      <c r="C2779" s="7" t="s">
        <v>7158</v>
      </c>
      <c r="D2779" s="7" t="s">
        <v>4834</v>
      </c>
      <c r="E2779" s="7" t="s">
        <v>7165</v>
      </c>
      <c r="F2779" s="7"/>
      <c r="G2779" s="7" t="s">
        <v>63</v>
      </c>
      <c r="H2779" s="7" t="str">
        <f>IFERROR(VLOOKUP(Table2[[#This Row],[Ticket]],Okey!A:B,2,0),"")</f>
        <v>ok</v>
      </c>
      <c r="I2779" s="7" t="s">
        <v>3679</v>
      </c>
      <c r="J2779" s="7" t="str">
        <f>VLOOKUP(Table2[[#This Row],[Author]],People!A:B,2,0)</f>
        <v>LS</v>
      </c>
      <c r="K2779" s="7"/>
      <c r="L2779" s="7"/>
      <c r="M2779" s="16" t="s">
        <v>2804</v>
      </c>
    </row>
    <row r="2780" spans="1:13" x14ac:dyDescent="0.25">
      <c r="A2780" s="22">
        <f t="shared" si="46"/>
        <v>2779</v>
      </c>
      <c r="B2780" s="6" t="s">
        <v>5960</v>
      </c>
      <c r="C2780" s="6" t="s">
        <v>7158</v>
      </c>
      <c r="D2780" s="6" t="s">
        <v>2797</v>
      </c>
      <c r="E2780" s="6" t="s">
        <v>7166</v>
      </c>
      <c r="F2780" s="6"/>
      <c r="G2780" s="6" t="s">
        <v>63</v>
      </c>
      <c r="H2780" s="6" t="str">
        <f>IFERROR(VLOOKUP(Table2[[#This Row],[Ticket]],Okey!A:B,2,0),"")</f>
        <v>ok</v>
      </c>
      <c r="I2780" s="6" t="s">
        <v>3679</v>
      </c>
      <c r="J2780" s="6" t="str">
        <f>VLOOKUP(Table2[[#This Row],[Author]],People!A:B,2,0)</f>
        <v>LS</v>
      </c>
      <c r="K2780" s="6"/>
      <c r="L2780" s="6"/>
      <c r="M2780" s="21" t="s">
        <v>2804</v>
      </c>
    </row>
    <row r="2781" spans="1:13" x14ac:dyDescent="0.25">
      <c r="A2781" s="23">
        <f t="shared" si="46"/>
        <v>2780</v>
      </c>
      <c r="B2781" s="7" t="s">
        <v>5960</v>
      </c>
      <c r="C2781" s="7" t="s">
        <v>7158</v>
      </c>
      <c r="D2781" s="7" t="s">
        <v>7167</v>
      </c>
      <c r="E2781" s="7" t="s">
        <v>7168</v>
      </c>
      <c r="F2781" s="7"/>
      <c r="G2781" s="7" t="s">
        <v>63</v>
      </c>
      <c r="H2781" s="7" t="str">
        <f>IFERROR(VLOOKUP(Table2[[#This Row],[Ticket]],Okey!A:B,2,0),"")</f>
        <v>ok</v>
      </c>
      <c r="I2781" s="7" t="s">
        <v>3679</v>
      </c>
      <c r="J2781" s="7" t="str">
        <f>VLOOKUP(Table2[[#This Row],[Author]],People!A:B,2,0)</f>
        <v>LS</v>
      </c>
      <c r="K2781" s="7"/>
      <c r="L2781" s="7"/>
      <c r="M2781" s="16" t="s">
        <v>2804</v>
      </c>
    </row>
    <row r="2782" spans="1:13" x14ac:dyDescent="0.25">
      <c r="A2782" s="22">
        <f t="shared" si="46"/>
        <v>2781</v>
      </c>
      <c r="B2782" s="6" t="s">
        <v>5960</v>
      </c>
      <c r="C2782" s="6" t="s">
        <v>7158</v>
      </c>
      <c r="D2782" s="6" t="s">
        <v>5595</v>
      </c>
      <c r="E2782" s="6" t="s">
        <v>7169</v>
      </c>
      <c r="F2782" s="6"/>
      <c r="G2782" s="6" t="s">
        <v>63</v>
      </c>
      <c r="H2782" s="6" t="str">
        <f>IFERROR(VLOOKUP(Table2[[#This Row],[Ticket]],Okey!A:B,2,0),"")</f>
        <v>ok</v>
      </c>
      <c r="I2782" s="6" t="s">
        <v>3679</v>
      </c>
      <c r="J2782" s="6" t="str">
        <f>VLOOKUP(Table2[[#This Row],[Author]],People!A:B,2,0)</f>
        <v>LS</v>
      </c>
      <c r="K2782" s="6"/>
      <c r="L2782" s="6"/>
      <c r="M2782" s="21" t="s">
        <v>2804</v>
      </c>
    </row>
  </sheetData>
  <autoFilter ref="A1:M1" xr:uid="{C5387745-1C02-458F-BD62-88C17F3808A1}"/>
  <conditionalFormatting sqref="D1">
    <cfRule type="duplicateValues" dxfId="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D7BD-AEBA-48D4-8C57-784D30F7A2A4}">
  <sheetPr codeName="Sheet8"/>
  <dimension ref="A1:B5"/>
  <sheetViews>
    <sheetView workbookViewId="0">
      <selection activeCell="A18" sqref="A18"/>
    </sheetView>
  </sheetViews>
  <sheetFormatPr defaultRowHeight="15" x14ac:dyDescent="0.25"/>
  <sheetData>
    <row r="1" spans="1:2" x14ac:dyDescent="0.25">
      <c r="A1" t="s">
        <v>7174</v>
      </c>
      <c r="B1" t="s">
        <v>7175</v>
      </c>
    </row>
    <row r="2" spans="1:2" x14ac:dyDescent="0.25">
      <c r="A2" t="s">
        <v>7176</v>
      </c>
      <c r="B2" t="s">
        <v>7177</v>
      </c>
    </row>
    <row r="3" spans="1:2" x14ac:dyDescent="0.25">
      <c r="A3" t="s">
        <v>7178</v>
      </c>
      <c r="B3" t="s">
        <v>7179</v>
      </c>
    </row>
    <row r="4" spans="1:2" x14ac:dyDescent="0.25">
      <c r="A4" t="s">
        <v>7180</v>
      </c>
      <c r="B4" t="s">
        <v>7171</v>
      </c>
    </row>
    <row r="5" spans="1:2" x14ac:dyDescent="0.25">
      <c r="A5" t="s">
        <v>7181</v>
      </c>
      <c r="B5" t="s">
        <v>7182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9D32-4C7E-4030-8A60-5ED4E775B5CA}">
  <sheetPr codeName="Sheet9"/>
  <dimension ref="A1:B230"/>
  <sheetViews>
    <sheetView topLeftCell="A201" workbookViewId="0">
      <selection activeCell="F233" sqref="F233"/>
    </sheetView>
  </sheetViews>
  <sheetFormatPr defaultRowHeight="15" x14ac:dyDescent="0.25"/>
  <cols>
    <col min="1" max="1" width="10.140625" bestFit="1" customWidth="1"/>
  </cols>
  <sheetData>
    <row r="1" spans="1:2" x14ac:dyDescent="0.25">
      <c r="A1" t="s">
        <v>4852</v>
      </c>
      <c r="B1" t="s">
        <v>7183</v>
      </c>
    </row>
    <row r="2" spans="1:2" x14ac:dyDescent="0.25">
      <c r="A2" t="s">
        <v>4854</v>
      </c>
      <c r="B2" t="s">
        <v>7183</v>
      </c>
    </row>
    <row r="3" spans="1:2" x14ac:dyDescent="0.25">
      <c r="A3" t="s">
        <v>4871</v>
      </c>
      <c r="B3" t="s">
        <v>7183</v>
      </c>
    </row>
    <row r="4" spans="1:2" x14ac:dyDescent="0.25">
      <c r="A4" t="s">
        <v>4881</v>
      </c>
      <c r="B4" t="s">
        <v>7183</v>
      </c>
    </row>
    <row r="5" spans="1:2" x14ac:dyDescent="0.25">
      <c r="A5" t="s">
        <v>4883</v>
      </c>
      <c r="B5" t="s">
        <v>7183</v>
      </c>
    </row>
    <row r="6" spans="1:2" x14ac:dyDescent="0.25">
      <c r="A6" t="s">
        <v>4884</v>
      </c>
      <c r="B6" t="s">
        <v>7183</v>
      </c>
    </row>
    <row r="7" spans="1:2" x14ac:dyDescent="0.25">
      <c r="A7" t="s">
        <v>3677</v>
      </c>
      <c r="B7" t="s">
        <v>7183</v>
      </c>
    </row>
    <row r="8" spans="1:2" x14ac:dyDescent="0.25">
      <c r="A8" t="s">
        <v>3683</v>
      </c>
      <c r="B8" t="s">
        <v>7183</v>
      </c>
    </row>
    <row r="9" spans="1:2" x14ac:dyDescent="0.25">
      <c r="A9" t="s">
        <v>3725</v>
      </c>
      <c r="B9" t="s">
        <v>7183</v>
      </c>
    </row>
    <row r="10" spans="1:2" x14ac:dyDescent="0.25">
      <c r="A10" t="s">
        <v>3736</v>
      </c>
      <c r="B10" t="s">
        <v>7183</v>
      </c>
    </row>
    <row r="11" spans="1:2" x14ac:dyDescent="0.25">
      <c r="A11" t="s">
        <v>3959</v>
      </c>
      <c r="B11" t="s">
        <v>7183</v>
      </c>
    </row>
    <row r="12" spans="1:2" x14ac:dyDescent="0.25">
      <c r="A12" t="s">
        <v>3964</v>
      </c>
      <c r="B12" t="s">
        <v>7183</v>
      </c>
    </row>
    <row r="13" spans="1:2" x14ac:dyDescent="0.25">
      <c r="A13" t="s">
        <v>3981</v>
      </c>
      <c r="B13" t="s">
        <v>7183</v>
      </c>
    </row>
    <row r="14" spans="1:2" x14ac:dyDescent="0.25">
      <c r="A14" t="s">
        <v>4128</v>
      </c>
      <c r="B14" t="s">
        <v>7183</v>
      </c>
    </row>
    <row r="15" spans="1:2" x14ac:dyDescent="0.25">
      <c r="A15" t="s">
        <v>4135</v>
      </c>
      <c r="B15" t="s">
        <v>7183</v>
      </c>
    </row>
    <row r="16" spans="1:2" x14ac:dyDescent="0.25">
      <c r="A16" t="s">
        <v>4144</v>
      </c>
      <c r="B16" t="s">
        <v>7183</v>
      </c>
    </row>
    <row r="17" spans="1:2" x14ac:dyDescent="0.25">
      <c r="A17" t="s">
        <v>4204</v>
      </c>
      <c r="B17" t="s">
        <v>7183</v>
      </c>
    </row>
    <row r="18" spans="1:2" x14ac:dyDescent="0.25">
      <c r="A18" t="s">
        <v>4212</v>
      </c>
      <c r="B18" t="s">
        <v>7183</v>
      </c>
    </row>
    <row r="19" spans="1:2" x14ac:dyDescent="0.25">
      <c r="A19" t="s">
        <v>4223</v>
      </c>
      <c r="B19" t="s">
        <v>7183</v>
      </c>
    </row>
    <row r="20" spans="1:2" x14ac:dyDescent="0.25">
      <c r="A20" t="s">
        <v>4227</v>
      </c>
      <c r="B20" t="s">
        <v>7183</v>
      </c>
    </row>
    <row r="21" spans="1:2" x14ac:dyDescent="0.25">
      <c r="A21" t="s">
        <v>4240</v>
      </c>
      <c r="B21" t="s">
        <v>7183</v>
      </c>
    </row>
    <row r="22" spans="1:2" x14ac:dyDescent="0.25">
      <c r="A22" t="s">
        <v>4253</v>
      </c>
      <c r="B22" t="s">
        <v>7183</v>
      </c>
    </row>
    <row r="23" spans="1:2" x14ac:dyDescent="0.25">
      <c r="A23" t="s">
        <v>4260</v>
      </c>
      <c r="B23" t="s">
        <v>7183</v>
      </c>
    </row>
    <row r="24" spans="1:2" x14ac:dyDescent="0.25">
      <c r="A24" t="s">
        <v>4438</v>
      </c>
      <c r="B24" t="s">
        <v>7183</v>
      </c>
    </row>
    <row r="25" spans="1:2" x14ac:dyDescent="0.25">
      <c r="A25" t="s">
        <v>14</v>
      </c>
      <c r="B25" t="s">
        <v>7183</v>
      </c>
    </row>
    <row r="26" spans="1:2" x14ac:dyDescent="0.25">
      <c r="A26" t="s">
        <v>4443</v>
      </c>
      <c r="B26" t="s">
        <v>7183</v>
      </c>
    </row>
    <row r="27" spans="1:2" x14ac:dyDescent="0.25">
      <c r="A27" t="s">
        <v>4472</v>
      </c>
      <c r="B27" t="s">
        <v>7183</v>
      </c>
    </row>
    <row r="28" spans="1:2" x14ac:dyDescent="0.25">
      <c r="A28" t="s">
        <v>4480</v>
      </c>
      <c r="B28" t="s">
        <v>7183</v>
      </c>
    </row>
    <row r="29" spans="1:2" x14ac:dyDescent="0.25">
      <c r="A29" t="s">
        <v>4692</v>
      </c>
      <c r="B29" t="s">
        <v>7183</v>
      </c>
    </row>
    <row r="30" spans="1:2" x14ac:dyDescent="0.25">
      <c r="A30" t="s">
        <v>4732</v>
      </c>
      <c r="B30" t="s">
        <v>7183</v>
      </c>
    </row>
    <row r="31" spans="1:2" x14ac:dyDescent="0.25">
      <c r="A31" t="s">
        <v>4734</v>
      </c>
      <c r="B31" t="s">
        <v>7183</v>
      </c>
    </row>
    <row r="32" spans="1:2" x14ac:dyDescent="0.25">
      <c r="A32" t="s">
        <v>4810</v>
      </c>
      <c r="B32" t="s">
        <v>7183</v>
      </c>
    </row>
    <row r="33" spans="1:2" x14ac:dyDescent="0.25">
      <c r="A33" t="s">
        <v>4896</v>
      </c>
      <c r="B33" t="s">
        <v>7183</v>
      </c>
    </row>
    <row r="34" spans="1:2" x14ac:dyDescent="0.25">
      <c r="A34" t="s">
        <v>4891</v>
      </c>
      <c r="B34" t="s">
        <v>7183</v>
      </c>
    </row>
    <row r="35" spans="1:2" x14ac:dyDescent="0.25">
      <c r="A35" t="s">
        <v>4893</v>
      </c>
      <c r="B35" t="s">
        <v>7183</v>
      </c>
    </row>
    <row r="36" spans="1:2" x14ac:dyDescent="0.25">
      <c r="A36" t="s">
        <v>4901</v>
      </c>
      <c r="B36" t="s">
        <v>7183</v>
      </c>
    </row>
    <row r="37" spans="1:2" x14ac:dyDescent="0.25">
      <c r="A37" t="s">
        <v>4910</v>
      </c>
      <c r="B37" t="s">
        <v>7183</v>
      </c>
    </row>
    <row r="38" spans="1:2" x14ac:dyDescent="0.25">
      <c r="A38" t="s">
        <v>4923</v>
      </c>
      <c r="B38" t="s">
        <v>7183</v>
      </c>
    </row>
    <row r="39" spans="1:2" x14ac:dyDescent="0.25">
      <c r="A39" t="s">
        <v>5193</v>
      </c>
      <c r="B39" t="s">
        <v>7183</v>
      </c>
    </row>
    <row r="40" spans="1:2" x14ac:dyDescent="0.25">
      <c r="A40" t="s">
        <v>5198</v>
      </c>
      <c r="B40" t="s">
        <v>7183</v>
      </c>
    </row>
    <row r="41" spans="1:2" x14ac:dyDescent="0.25">
      <c r="A41" t="s">
        <v>4928</v>
      </c>
      <c r="B41" t="s">
        <v>7183</v>
      </c>
    </row>
    <row r="42" spans="1:2" x14ac:dyDescent="0.25">
      <c r="A42" t="s">
        <v>5200</v>
      </c>
      <c r="B42" t="s">
        <v>7183</v>
      </c>
    </row>
    <row r="43" spans="1:2" x14ac:dyDescent="0.25">
      <c r="A43" t="s">
        <v>5202</v>
      </c>
      <c r="B43" t="s">
        <v>7183</v>
      </c>
    </row>
    <row r="44" spans="1:2" x14ac:dyDescent="0.25">
      <c r="A44" t="s">
        <v>5206</v>
      </c>
      <c r="B44" t="s">
        <v>7183</v>
      </c>
    </row>
    <row r="45" spans="1:2" x14ac:dyDescent="0.25">
      <c r="A45" t="s">
        <v>5902</v>
      </c>
      <c r="B45" t="s">
        <v>7183</v>
      </c>
    </row>
    <row r="46" spans="1:2" x14ac:dyDescent="0.25">
      <c r="A46" t="s">
        <v>5904</v>
      </c>
      <c r="B46" t="s">
        <v>7183</v>
      </c>
    </row>
    <row r="47" spans="1:2" x14ac:dyDescent="0.25">
      <c r="A47" t="s">
        <v>5944</v>
      </c>
      <c r="B47" t="s">
        <v>7183</v>
      </c>
    </row>
    <row r="48" spans="1:2" x14ac:dyDescent="0.25">
      <c r="A48" s="6" t="s">
        <v>5991</v>
      </c>
      <c r="B48" t="s">
        <v>7183</v>
      </c>
    </row>
    <row r="49" spans="1:2" x14ac:dyDescent="0.25">
      <c r="A49" s="6" t="s">
        <v>6294</v>
      </c>
      <c r="B49" t="s">
        <v>7183</v>
      </c>
    </row>
    <row r="50" spans="1:2" x14ac:dyDescent="0.25">
      <c r="A50" s="6" t="s">
        <v>5992</v>
      </c>
      <c r="B50" t="s">
        <v>7183</v>
      </c>
    </row>
    <row r="51" spans="1:2" x14ac:dyDescent="0.25">
      <c r="A51" s="6" t="s">
        <v>5996</v>
      </c>
      <c r="B51" t="s">
        <v>7183</v>
      </c>
    </row>
    <row r="52" spans="1:2" x14ac:dyDescent="0.25">
      <c r="A52" s="6" t="s">
        <v>6001</v>
      </c>
      <c r="B52" t="s">
        <v>7183</v>
      </c>
    </row>
    <row r="53" spans="1:2" x14ac:dyDescent="0.25">
      <c r="A53" s="8" t="s">
        <v>6300</v>
      </c>
      <c r="B53" s="9" t="s">
        <v>7183</v>
      </c>
    </row>
    <row r="54" spans="1:2" x14ac:dyDescent="0.25">
      <c r="A54" s="8" t="s">
        <v>6003</v>
      </c>
      <c r="B54" s="9" t="s">
        <v>7183</v>
      </c>
    </row>
    <row r="55" spans="1:2" x14ac:dyDescent="0.25">
      <c r="A55" s="8" t="s">
        <v>6004</v>
      </c>
      <c r="B55" t="s">
        <v>7183</v>
      </c>
    </row>
    <row r="56" spans="1:2" x14ac:dyDescent="0.25">
      <c r="A56" s="8" t="s">
        <v>6346</v>
      </c>
      <c r="B56" t="s">
        <v>7183</v>
      </c>
    </row>
    <row r="57" spans="1:2" x14ac:dyDescent="0.25">
      <c r="A57" s="6" t="s">
        <v>6333</v>
      </c>
      <c r="B57" t="s">
        <v>7183</v>
      </c>
    </row>
    <row r="58" spans="1:2" x14ac:dyDescent="0.25">
      <c r="A58" s="6" t="s">
        <v>5961</v>
      </c>
      <c r="B58" t="s">
        <v>7183</v>
      </c>
    </row>
    <row r="59" spans="1:2" x14ac:dyDescent="0.25">
      <c r="A59" s="7" t="s">
        <v>5962</v>
      </c>
      <c r="B59" t="s">
        <v>7183</v>
      </c>
    </row>
    <row r="60" spans="1:2" x14ac:dyDescent="0.25">
      <c r="A60" s="2" t="s">
        <v>6369</v>
      </c>
      <c r="B60" t="s">
        <v>7183</v>
      </c>
    </row>
    <row r="61" spans="1:2" x14ac:dyDescent="0.25">
      <c r="A61" s="8" t="s">
        <v>6373</v>
      </c>
      <c r="B61" t="s">
        <v>641</v>
      </c>
    </row>
    <row r="62" spans="1:2" x14ac:dyDescent="0.25">
      <c r="A62" t="s">
        <v>6421</v>
      </c>
      <c r="B62" t="s">
        <v>641</v>
      </c>
    </row>
    <row r="63" spans="1:2" x14ac:dyDescent="0.25">
      <c r="A63" t="s">
        <v>6005</v>
      </c>
      <c r="B63" t="s">
        <v>641</v>
      </c>
    </row>
    <row r="64" spans="1:2" x14ac:dyDescent="0.25">
      <c r="A64" t="s">
        <v>6433</v>
      </c>
      <c r="B64" t="s">
        <v>641</v>
      </c>
    </row>
    <row r="65" spans="1:2" x14ac:dyDescent="0.25">
      <c r="A65" t="s">
        <v>6437</v>
      </c>
      <c r="B65" t="s">
        <v>641</v>
      </c>
    </row>
    <row r="66" spans="1:2" x14ac:dyDescent="0.25">
      <c r="A66" t="s">
        <v>6007</v>
      </c>
      <c r="B66" t="s">
        <v>641</v>
      </c>
    </row>
    <row r="67" spans="1:2" x14ac:dyDescent="0.25">
      <c r="A67" t="s">
        <v>6439</v>
      </c>
      <c r="B67" t="s">
        <v>641</v>
      </c>
    </row>
    <row r="68" spans="1:2" x14ac:dyDescent="0.25">
      <c r="A68" s="8" t="s">
        <v>6442</v>
      </c>
      <c r="B68" t="s">
        <v>641</v>
      </c>
    </row>
    <row r="69" spans="1:2" x14ac:dyDescent="0.25">
      <c r="A69" t="s">
        <v>5964</v>
      </c>
      <c r="B69" t="s">
        <v>641</v>
      </c>
    </row>
    <row r="70" spans="1:2" x14ac:dyDescent="0.25">
      <c r="A70" t="s">
        <v>5978</v>
      </c>
      <c r="B70" t="s">
        <v>641</v>
      </c>
    </row>
    <row r="71" spans="1:2" x14ac:dyDescent="0.25">
      <c r="A71" t="s">
        <v>6123</v>
      </c>
      <c r="B71" t="s">
        <v>641</v>
      </c>
    </row>
    <row r="72" spans="1:2" x14ac:dyDescent="0.25">
      <c r="A72" t="s">
        <v>6259</v>
      </c>
      <c r="B72" t="s">
        <v>641</v>
      </c>
    </row>
    <row r="73" spans="1:2" x14ac:dyDescent="0.25">
      <c r="A73" t="s">
        <v>6765</v>
      </c>
      <c r="B73" t="s">
        <v>641</v>
      </c>
    </row>
    <row r="74" spans="1:2" x14ac:dyDescent="0.25">
      <c r="A74" t="s">
        <v>7136</v>
      </c>
      <c r="B74" t="s">
        <v>641</v>
      </c>
    </row>
    <row r="75" spans="1:2" x14ac:dyDescent="0.25">
      <c r="A75" t="s">
        <v>7137</v>
      </c>
      <c r="B75" t="s">
        <v>641</v>
      </c>
    </row>
    <row r="76" spans="1:2" x14ac:dyDescent="0.25">
      <c r="A76" t="s">
        <v>7155</v>
      </c>
      <c r="B76" t="s">
        <v>641</v>
      </c>
    </row>
    <row r="77" spans="1:2" x14ac:dyDescent="0.25">
      <c r="A77" t="s">
        <v>7158</v>
      </c>
      <c r="B77" t="s">
        <v>641</v>
      </c>
    </row>
    <row r="78" spans="1:2" x14ac:dyDescent="0.25">
      <c r="A78" s="7" t="s">
        <v>26</v>
      </c>
      <c r="B78" t="s">
        <v>641</v>
      </c>
    </row>
    <row r="79" spans="1:2" x14ac:dyDescent="0.25">
      <c r="A79" s="6" t="s">
        <v>26</v>
      </c>
      <c r="B79" t="s">
        <v>641</v>
      </c>
    </row>
    <row r="80" spans="1:2" x14ac:dyDescent="0.25">
      <c r="A80" s="7" t="s">
        <v>33</v>
      </c>
      <c r="B80" t="s">
        <v>641</v>
      </c>
    </row>
    <row r="81" spans="1:2" x14ac:dyDescent="0.25">
      <c r="A81" s="6" t="s">
        <v>21</v>
      </c>
      <c r="B81" t="s">
        <v>641</v>
      </c>
    </row>
    <row r="82" spans="1:2" x14ac:dyDescent="0.25">
      <c r="A82" s="8" t="s">
        <v>36</v>
      </c>
      <c r="B82" t="s">
        <v>641</v>
      </c>
    </row>
    <row r="83" spans="1:2" x14ac:dyDescent="0.25">
      <c r="A83" s="8" t="s">
        <v>60</v>
      </c>
      <c r="B83" t="s">
        <v>641</v>
      </c>
    </row>
    <row r="84" spans="1:2" x14ac:dyDescent="0.25">
      <c r="A84" t="s">
        <v>320</v>
      </c>
      <c r="B84" t="s">
        <v>641</v>
      </c>
    </row>
    <row r="85" spans="1:2" x14ac:dyDescent="0.25">
      <c r="A85" t="s">
        <v>325</v>
      </c>
      <c r="B85" t="s">
        <v>641</v>
      </c>
    </row>
    <row r="86" spans="1:2" x14ac:dyDescent="0.25">
      <c r="A86" s="17" t="s">
        <v>632</v>
      </c>
      <c r="B86" t="s">
        <v>641</v>
      </c>
    </row>
    <row r="87" spans="1:2" x14ac:dyDescent="0.25">
      <c r="A87" s="7" t="s">
        <v>643</v>
      </c>
      <c r="B87" t="s">
        <v>641</v>
      </c>
    </row>
    <row r="88" spans="1:2" x14ac:dyDescent="0.25">
      <c r="A88" s="6" t="s">
        <v>648</v>
      </c>
      <c r="B88" t="s">
        <v>641</v>
      </c>
    </row>
    <row r="89" spans="1:2" x14ac:dyDescent="0.25">
      <c r="A89" s="6" t="s">
        <v>666</v>
      </c>
      <c r="B89" t="s">
        <v>641</v>
      </c>
    </row>
    <row r="90" spans="1:2" x14ac:dyDescent="0.25">
      <c r="A90" t="s">
        <v>682</v>
      </c>
      <c r="B90" t="s">
        <v>641</v>
      </c>
    </row>
    <row r="91" spans="1:2" x14ac:dyDescent="0.25">
      <c r="A91" t="s">
        <v>758</v>
      </c>
      <c r="B91" t="s">
        <v>641</v>
      </c>
    </row>
    <row r="92" spans="1:2" x14ac:dyDescent="0.25">
      <c r="A92" t="s">
        <v>1027</v>
      </c>
      <c r="B92" t="s">
        <v>641</v>
      </c>
    </row>
    <row r="93" spans="1:2" x14ac:dyDescent="0.25">
      <c r="A93" t="s">
        <v>1037</v>
      </c>
      <c r="B93" t="s">
        <v>641</v>
      </c>
    </row>
    <row r="94" spans="1:2" x14ac:dyDescent="0.25">
      <c r="A94" t="s">
        <v>1748</v>
      </c>
      <c r="B94" t="s">
        <v>641</v>
      </c>
    </row>
    <row r="95" spans="1:2" x14ac:dyDescent="0.25">
      <c r="A95" t="s">
        <v>2065</v>
      </c>
      <c r="B95" t="s">
        <v>641</v>
      </c>
    </row>
    <row r="96" spans="1:2" x14ac:dyDescent="0.25">
      <c r="A96" t="s">
        <v>2197</v>
      </c>
      <c r="B96" t="s">
        <v>641</v>
      </c>
    </row>
    <row r="97" spans="1:2" x14ac:dyDescent="0.25">
      <c r="A97" s="6" t="s">
        <v>1023</v>
      </c>
      <c r="B97" t="s">
        <v>641</v>
      </c>
    </row>
    <row r="98" spans="1:2" x14ac:dyDescent="0.25">
      <c r="A98" s="6" t="s">
        <v>2317</v>
      </c>
      <c r="B98" t="s">
        <v>641</v>
      </c>
    </row>
    <row r="99" spans="1:2" x14ac:dyDescent="0.25">
      <c r="A99" t="s">
        <v>2200</v>
      </c>
      <c r="B99" t="s">
        <v>641</v>
      </c>
    </row>
    <row r="100" spans="1:2" x14ac:dyDescent="0.25">
      <c r="A100" t="s">
        <v>2300</v>
      </c>
      <c r="B100" t="s">
        <v>641</v>
      </c>
    </row>
    <row r="101" spans="1:2" x14ac:dyDescent="0.25">
      <c r="A101" t="s">
        <v>2302</v>
      </c>
      <c r="B101" t="s">
        <v>641</v>
      </c>
    </row>
    <row r="102" spans="1:2" x14ac:dyDescent="0.25">
      <c r="A102" t="s">
        <v>2305</v>
      </c>
      <c r="B102" t="s">
        <v>641</v>
      </c>
    </row>
    <row r="103" spans="1:2" x14ac:dyDescent="0.25">
      <c r="A103" t="s">
        <v>2312</v>
      </c>
      <c r="B103" t="s">
        <v>641</v>
      </c>
    </row>
    <row r="104" spans="1:2" x14ac:dyDescent="0.25">
      <c r="A104" t="s">
        <v>2326</v>
      </c>
      <c r="B104" t="s">
        <v>641</v>
      </c>
    </row>
    <row r="105" spans="1:2" x14ac:dyDescent="0.25">
      <c r="A105" s="8" t="s">
        <v>2331</v>
      </c>
      <c r="B105" t="s">
        <v>641</v>
      </c>
    </row>
    <row r="106" spans="1:2" x14ac:dyDescent="0.25">
      <c r="A106" s="8" t="s">
        <v>2332</v>
      </c>
      <c r="B106" t="s">
        <v>641</v>
      </c>
    </row>
    <row r="107" spans="1:2" x14ac:dyDescent="0.25">
      <c r="A107" s="8" t="s">
        <v>2341</v>
      </c>
      <c r="B107" t="s">
        <v>641</v>
      </c>
    </row>
    <row r="108" spans="1:2" x14ac:dyDescent="0.25">
      <c r="A108" s="6" t="s">
        <v>2343</v>
      </c>
      <c r="B108" t="s">
        <v>641</v>
      </c>
    </row>
    <row r="109" spans="1:2" x14ac:dyDescent="0.25">
      <c r="A109" t="s">
        <v>2351</v>
      </c>
      <c r="B109" t="s">
        <v>641</v>
      </c>
    </row>
    <row r="110" spans="1:2" x14ac:dyDescent="0.25">
      <c r="A110" t="s">
        <v>2362</v>
      </c>
      <c r="B110" t="s">
        <v>641</v>
      </c>
    </row>
    <row r="111" spans="1:2" x14ac:dyDescent="0.25">
      <c r="A111" t="s">
        <v>2364</v>
      </c>
      <c r="B111" t="s">
        <v>641</v>
      </c>
    </row>
    <row r="112" spans="1:2" x14ac:dyDescent="0.25">
      <c r="A112" t="s">
        <v>2366</v>
      </c>
      <c r="B112" t="s">
        <v>641</v>
      </c>
    </row>
    <row r="113" spans="1:2" x14ac:dyDescent="0.25">
      <c r="A113" t="s">
        <v>2392</v>
      </c>
      <c r="B113" t="s">
        <v>641</v>
      </c>
    </row>
    <row r="114" spans="1:2" x14ac:dyDescent="0.25">
      <c r="A114" t="s">
        <v>2396</v>
      </c>
      <c r="B114" t="s">
        <v>641</v>
      </c>
    </row>
    <row r="115" spans="1:2" x14ac:dyDescent="0.25">
      <c r="A115" t="s">
        <v>2419</v>
      </c>
      <c r="B115" t="s">
        <v>641</v>
      </c>
    </row>
    <row r="116" spans="1:2" x14ac:dyDescent="0.25">
      <c r="A116" t="s">
        <v>2423</v>
      </c>
      <c r="B116" t="s">
        <v>641</v>
      </c>
    </row>
    <row r="117" spans="1:2" x14ac:dyDescent="0.25">
      <c r="A117" t="s">
        <v>2733</v>
      </c>
      <c r="B117" t="s">
        <v>641</v>
      </c>
    </row>
    <row r="118" spans="1:2" x14ac:dyDescent="0.25">
      <c r="A118" t="s">
        <v>2742</v>
      </c>
      <c r="B118" t="s">
        <v>641</v>
      </c>
    </row>
    <row r="119" spans="1:2" x14ac:dyDescent="0.25">
      <c r="A119" t="s">
        <v>2746</v>
      </c>
      <c r="B119" t="s">
        <v>641</v>
      </c>
    </row>
    <row r="120" spans="1:2" x14ac:dyDescent="0.25">
      <c r="A120" t="s">
        <v>2775</v>
      </c>
      <c r="B120" t="s">
        <v>641</v>
      </c>
    </row>
    <row r="121" spans="1:2" x14ac:dyDescent="0.25">
      <c r="A121" t="s">
        <v>2801</v>
      </c>
      <c r="B121" t="s">
        <v>641</v>
      </c>
    </row>
    <row r="122" spans="1:2" x14ac:dyDescent="0.25">
      <c r="A122" t="s">
        <v>2805</v>
      </c>
      <c r="B122" t="s">
        <v>641</v>
      </c>
    </row>
    <row r="123" spans="1:2" x14ac:dyDescent="0.25">
      <c r="A123" t="s">
        <v>3619</v>
      </c>
      <c r="B123" t="s">
        <v>641</v>
      </c>
    </row>
    <row r="124" spans="1:2" x14ac:dyDescent="0.25">
      <c r="A124" t="s">
        <v>3622</v>
      </c>
      <c r="B124" t="s">
        <v>641</v>
      </c>
    </row>
    <row r="125" spans="1:2" x14ac:dyDescent="0.25">
      <c r="A125" s="8" t="s">
        <v>7184</v>
      </c>
      <c r="B125" t="s">
        <v>641</v>
      </c>
    </row>
    <row r="126" spans="1:2" x14ac:dyDescent="0.25">
      <c r="A126" s="7" t="s">
        <v>3633</v>
      </c>
      <c r="B126" t="s">
        <v>641</v>
      </c>
    </row>
    <row r="127" spans="1:2" x14ac:dyDescent="0.25">
      <c r="A127" t="s">
        <v>3633</v>
      </c>
      <c r="B127" t="s">
        <v>641</v>
      </c>
    </row>
    <row r="128" spans="1:2" x14ac:dyDescent="0.25">
      <c r="A128" t="s">
        <v>3640</v>
      </c>
      <c r="B128" t="s">
        <v>641</v>
      </c>
    </row>
    <row r="129" spans="1:2" x14ac:dyDescent="0.25">
      <c r="A129" t="s">
        <v>3641</v>
      </c>
      <c r="B129" t="s">
        <v>641</v>
      </c>
    </row>
    <row r="130" spans="1:2" x14ac:dyDescent="0.25">
      <c r="A130" t="s">
        <v>3647</v>
      </c>
      <c r="B130" t="s">
        <v>641</v>
      </c>
    </row>
    <row r="131" spans="1:2" x14ac:dyDescent="0.25">
      <c r="A131" s="2" t="s">
        <v>7194</v>
      </c>
      <c r="B131" t="s">
        <v>641</v>
      </c>
    </row>
    <row r="132" spans="1:2" x14ac:dyDescent="0.25">
      <c r="A132" s="2" t="s">
        <v>7191</v>
      </c>
      <c r="B132" t="s">
        <v>641</v>
      </c>
    </row>
    <row r="133" spans="1:2" x14ac:dyDescent="0.25">
      <c r="A133" t="s">
        <v>7209</v>
      </c>
      <c r="B133" t="s">
        <v>641</v>
      </c>
    </row>
    <row r="134" spans="1:2" x14ac:dyDescent="0.25">
      <c r="A134" t="s">
        <v>7212</v>
      </c>
      <c r="B134" t="s">
        <v>641</v>
      </c>
    </row>
    <row r="135" spans="1:2" x14ac:dyDescent="0.25">
      <c r="A135" t="s">
        <v>7214</v>
      </c>
      <c r="B135" t="s">
        <v>641</v>
      </c>
    </row>
    <row r="136" spans="1:2" x14ac:dyDescent="0.25">
      <c r="A136" s="45" t="s">
        <v>7218</v>
      </c>
      <c r="B136" t="s">
        <v>641</v>
      </c>
    </row>
    <row r="137" spans="1:2" x14ac:dyDescent="0.25">
      <c r="A137" s="46" t="s">
        <v>7224</v>
      </c>
      <c r="B137" t="s">
        <v>641</v>
      </c>
    </row>
    <row r="138" spans="1:2" x14ac:dyDescent="0.25">
      <c r="A138" s="46" t="s">
        <v>637</v>
      </c>
      <c r="B138" t="s">
        <v>641</v>
      </c>
    </row>
    <row r="139" spans="1:2" x14ac:dyDescent="0.25">
      <c r="A139" t="s">
        <v>7240</v>
      </c>
      <c r="B139" t="s">
        <v>641</v>
      </c>
    </row>
    <row r="140" spans="1:2" x14ac:dyDescent="0.25">
      <c r="A140" s="46" t="s">
        <v>7228</v>
      </c>
      <c r="B140" t="s">
        <v>641</v>
      </c>
    </row>
    <row r="141" spans="1:2" x14ac:dyDescent="0.25">
      <c r="A141" s="45" t="s">
        <v>7239</v>
      </c>
      <c r="B141" t="s">
        <v>641</v>
      </c>
    </row>
    <row r="142" spans="1:2" x14ac:dyDescent="0.25">
      <c r="A142" s="45" t="s">
        <v>7321</v>
      </c>
      <c r="B142" t="s">
        <v>641</v>
      </c>
    </row>
    <row r="143" spans="1:2" x14ac:dyDescent="0.25">
      <c r="A143" s="46" t="s">
        <v>7323</v>
      </c>
      <c r="B143" t="s">
        <v>641</v>
      </c>
    </row>
    <row r="144" spans="1:2" x14ac:dyDescent="0.25">
      <c r="A144" s="45" t="s">
        <v>7324</v>
      </c>
      <c r="B144" t="s">
        <v>641</v>
      </c>
    </row>
    <row r="145" spans="1:2" x14ac:dyDescent="0.25">
      <c r="A145" s="46" t="s">
        <v>7622</v>
      </c>
      <c r="B145" s="50" t="s">
        <v>641</v>
      </c>
    </row>
    <row r="146" spans="1:2" x14ac:dyDescent="0.25">
      <c r="A146" t="s">
        <v>7953</v>
      </c>
      <c r="B146" s="50" t="s">
        <v>641</v>
      </c>
    </row>
    <row r="147" spans="1:2" x14ac:dyDescent="0.25">
      <c r="A147" t="s">
        <v>7967</v>
      </c>
      <c r="B147" s="50" t="s">
        <v>641</v>
      </c>
    </row>
    <row r="148" spans="1:2" x14ac:dyDescent="0.25">
      <c r="A148" t="s">
        <v>7969</v>
      </c>
      <c r="B148" s="50" t="s">
        <v>641</v>
      </c>
    </row>
    <row r="149" spans="1:2" x14ac:dyDescent="0.25">
      <c r="A149" s="8" t="s">
        <v>7971</v>
      </c>
      <c r="B149" s="52" t="s">
        <v>641</v>
      </c>
    </row>
    <row r="150" spans="1:2" x14ac:dyDescent="0.25">
      <c r="A150" s="8" t="s">
        <v>7985</v>
      </c>
      <c r="B150" s="52" t="s">
        <v>641</v>
      </c>
    </row>
    <row r="151" spans="1:2" x14ac:dyDescent="0.25">
      <c r="A151" t="s">
        <v>8018</v>
      </c>
      <c r="B151" s="52" t="s">
        <v>641</v>
      </c>
    </row>
    <row r="152" spans="1:2" x14ac:dyDescent="0.25">
      <c r="A152" t="s">
        <v>8019</v>
      </c>
      <c r="B152" s="52" t="s">
        <v>641</v>
      </c>
    </row>
    <row r="153" spans="1:2" x14ac:dyDescent="0.25">
      <c r="A153" t="s">
        <v>8023</v>
      </c>
      <c r="B153" s="52" t="s">
        <v>641</v>
      </c>
    </row>
    <row r="154" spans="1:2" x14ac:dyDescent="0.25">
      <c r="A154" t="s">
        <v>8024</v>
      </c>
      <c r="B154" s="52" t="s">
        <v>641</v>
      </c>
    </row>
    <row r="155" spans="1:2" x14ac:dyDescent="0.25">
      <c r="A155" t="s">
        <v>8028</v>
      </c>
      <c r="B155" s="54" t="s">
        <v>641</v>
      </c>
    </row>
    <row r="156" spans="1:2" x14ac:dyDescent="0.25">
      <c r="A156" t="s">
        <v>8029</v>
      </c>
      <c r="B156" s="54" t="s">
        <v>641</v>
      </c>
    </row>
    <row r="157" spans="1:2" x14ac:dyDescent="0.25">
      <c r="A157" t="s">
        <v>8030</v>
      </c>
      <c r="B157" s="54" t="s">
        <v>641</v>
      </c>
    </row>
    <row r="158" spans="1:2" x14ac:dyDescent="0.25">
      <c r="A158" t="s">
        <v>8035</v>
      </c>
      <c r="B158" s="54" t="s">
        <v>641</v>
      </c>
    </row>
    <row r="159" spans="1:2" x14ac:dyDescent="0.25">
      <c r="A159" t="s">
        <v>8036</v>
      </c>
      <c r="B159" s="54" t="s">
        <v>641</v>
      </c>
    </row>
    <row r="160" spans="1:2" x14ac:dyDescent="0.25">
      <c r="A160" t="s">
        <v>8042</v>
      </c>
      <c r="B160" s="54" t="s">
        <v>641</v>
      </c>
    </row>
    <row r="161" spans="1:2" x14ac:dyDescent="0.25">
      <c r="A161" s="46" t="s">
        <v>8053</v>
      </c>
      <c r="B161" s="57" t="s">
        <v>641</v>
      </c>
    </row>
    <row r="162" spans="1:2" x14ac:dyDescent="0.25">
      <c r="A162" s="45" t="s">
        <v>8054</v>
      </c>
      <c r="B162" s="57" t="s">
        <v>641</v>
      </c>
    </row>
    <row r="163" spans="1:2" x14ac:dyDescent="0.25">
      <c r="A163" s="8" t="s">
        <v>8058</v>
      </c>
      <c r="B163" s="66" t="s">
        <v>641</v>
      </c>
    </row>
    <row r="164" spans="1:2" x14ac:dyDescent="0.25">
      <c r="A164" s="8" t="s">
        <v>8059</v>
      </c>
      <c r="B164" s="66" t="s">
        <v>641</v>
      </c>
    </row>
    <row r="165" spans="1:2" x14ac:dyDescent="0.25">
      <c r="A165" s="45" t="s">
        <v>8062</v>
      </c>
      <c r="B165" s="66" t="s">
        <v>641</v>
      </c>
    </row>
    <row r="166" spans="1:2" x14ac:dyDescent="0.25">
      <c r="A166" t="s">
        <v>8062</v>
      </c>
      <c r="B166" s="66" t="s">
        <v>641</v>
      </c>
    </row>
    <row r="167" spans="1:2" x14ac:dyDescent="0.25">
      <c r="A167" t="s">
        <v>8060</v>
      </c>
      <c r="B167" s="66" t="s">
        <v>641</v>
      </c>
    </row>
    <row r="168" spans="1:2" x14ac:dyDescent="0.25">
      <c r="A168" s="45" t="s">
        <v>8063</v>
      </c>
      <c r="B168" s="66" t="s">
        <v>641</v>
      </c>
    </row>
    <row r="169" spans="1:2" x14ac:dyDescent="0.25">
      <c r="A169" t="s">
        <v>8065</v>
      </c>
      <c r="B169" s="66" t="s">
        <v>641</v>
      </c>
    </row>
    <row r="170" spans="1:2" x14ac:dyDescent="0.25">
      <c r="A170" t="s">
        <v>8066</v>
      </c>
      <c r="B170" s="66" t="s">
        <v>641</v>
      </c>
    </row>
    <row r="171" spans="1:2" x14ac:dyDescent="0.25">
      <c r="A171" t="s">
        <v>8069</v>
      </c>
      <c r="B171" s="66" t="s">
        <v>641</v>
      </c>
    </row>
    <row r="172" spans="1:2" x14ac:dyDescent="0.25">
      <c r="A172" t="s">
        <v>8070</v>
      </c>
      <c r="B172" s="66" t="s">
        <v>641</v>
      </c>
    </row>
    <row r="173" spans="1:2" x14ac:dyDescent="0.25">
      <c r="A173" t="s">
        <v>8072</v>
      </c>
      <c r="B173" s="69" t="s">
        <v>641</v>
      </c>
    </row>
    <row r="174" spans="1:2" x14ac:dyDescent="0.25">
      <c r="A174" t="s">
        <v>8081</v>
      </c>
      <c r="B174" s="69" t="s">
        <v>641</v>
      </c>
    </row>
    <row r="175" spans="1:2" x14ac:dyDescent="0.25">
      <c r="A175" t="s">
        <v>8085</v>
      </c>
      <c r="B175" s="69" t="s">
        <v>641</v>
      </c>
    </row>
    <row r="176" spans="1:2" x14ac:dyDescent="0.25">
      <c r="A176" t="s">
        <v>8086</v>
      </c>
      <c r="B176" s="69" t="s">
        <v>641</v>
      </c>
    </row>
    <row r="177" spans="1:2" x14ac:dyDescent="0.25">
      <c r="A177" t="s">
        <v>8135</v>
      </c>
      <c r="B177" t="s">
        <v>641</v>
      </c>
    </row>
    <row r="178" spans="1:2" x14ac:dyDescent="0.25">
      <c r="A178" t="s">
        <v>8136</v>
      </c>
      <c r="B178" t="s">
        <v>641</v>
      </c>
    </row>
    <row r="179" spans="1:2" x14ac:dyDescent="0.25">
      <c r="A179" s="46" t="s">
        <v>8140</v>
      </c>
      <c r="B179" s="70" t="s">
        <v>641</v>
      </c>
    </row>
    <row r="180" spans="1:2" x14ac:dyDescent="0.25">
      <c r="A180" t="s">
        <v>8302</v>
      </c>
      <c r="B180" t="s">
        <v>641</v>
      </c>
    </row>
    <row r="181" spans="1:2" x14ac:dyDescent="0.25">
      <c r="A181" t="s">
        <v>8319</v>
      </c>
      <c r="B181" t="s">
        <v>641</v>
      </c>
    </row>
    <row r="182" spans="1:2" x14ac:dyDescent="0.25">
      <c r="A182" t="s">
        <v>8333</v>
      </c>
      <c r="B182" t="s">
        <v>641</v>
      </c>
    </row>
    <row r="183" spans="1:2" x14ac:dyDescent="0.25">
      <c r="A183" t="s">
        <v>8334</v>
      </c>
      <c r="B183" t="s">
        <v>641</v>
      </c>
    </row>
    <row r="184" spans="1:2" x14ac:dyDescent="0.25">
      <c r="A184" t="s">
        <v>8338</v>
      </c>
      <c r="B184" t="s">
        <v>641</v>
      </c>
    </row>
    <row r="185" spans="1:2" x14ac:dyDescent="0.25">
      <c r="A185" t="s">
        <v>8343</v>
      </c>
      <c r="B185" t="s">
        <v>641</v>
      </c>
    </row>
    <row r="186" spans="1:2" x14ac:dyDescent="0.25">
      <c r="A186" s="8" t="s">
        <v>8362</v>
      </c>
      <c r="B186" s="75" t="s">
        <v>641</v>
      </c>
    </row>
    <row r="187" spans="1:2" x14ac:dyDescent="0.25">
      <c r="A187" s="8" t="s">
        <v>8394</v>
      </c>
      <c r="B187" s="75" t="s">
        <v>641</v>
      </c>
    </row>
    <row r="188" spans="1:2" x14ac:dyDescent="0.25">
      <c r="A188" s="8" t="s">
        <v>8396</v>
      </c>
      <c r="B188" s="75" t="s">
        <v>641</v>
      </c>
    </row>
    <row r="189" spans="1:2" x14ac:dyDescent="0.25">
      <c r="A189" s="8" t="s">
        <v>8395</v>
      </c>
      <c r="B189" s="75" t="s">
        <v>641</v>
      </c>
    </row>
    <row r="190" spans="1:2" x14ac:dyDescent="0.25">
      <c r="A190" t="s">
        <v>8383</v>
      </c>
      <c r="B190" s="75" t="s">
        <v>641</v>
      </c>
    </row>
    <row r="191" spans="1:2" x14ac:dyDescent="0.25">
      <c r="A191" t="s">
        <v>8386</v>
      </c>
      <c r="B191" s="75" t="s">
        <v>641</v>
      </c>
    </row>
    <row r="192" spans="1:2" x14ac:dyDescent="0.25">
      <c r="A192" t="s">
        <v>8400</v>
      </c>
      <c r="B192" s="75" t="s">
        <v>641</v>
      </c>
    </row>
    <row r="193" spans="1:2" x14ac:dyDescent="0.25">
      <c r="A193" s="45" t="s">
        <v>8406</v>
      </c>
      <c r="B193" s="75" t="s">
        <v>641</v>
      </c>
    </row>
    <row r="194" spans="1:2" x14ac:dyDescent="0.25">
      <c r="A194" s="46" t="s">
        <v>8410</v>
      </c>
      <c r="B194" s="75" t="s">
        <v>641</v>
      </c>
    </row>
    <row r="195" spans="1:2" x14ac:dyDescent="0.25">
      <c r="A195" t="s">
        <v>8425</v>
      </c>
      <c r="B195" s="75" t="s">
        <v>641</v>
      </c>
    </row>
    <row r="196" spans="1:2" x14ac:dyDescent="0.25">
      <c r="A196" t="s">
        <v>8424</v>
      </c>
      <c r="B196" s="75" t="s">
        <v>641</v>
      </c>
    </row>
    <row r="197" spans="1:2" x14ac:dyDescent="0.25">
      <c r="A197" t="s">
        <v>8426</v>
      </c>
      <c r="B197" s="75" t="s">
        <v>641</v>
      </c>
    </row>
    <row r="198" spans="1:2" x14ac:dyDescent="0.25">
      <c r="A198" t="s">
        <v>8434</v>
      </c>
      <c r="B198" s="75" t="s">
        <v>641</v>
      </c>
    </row>
    <row r="199" spans="1:2" x14ac:dyDescent="0.25">
      <c r="A199" s="45" t="s">
        <v>8435</v>
      </c>
      <c r="B199" s="75" t="s">
        <v>641</v>
      </c>
    </row>
    <row r="200" spans="1:2" x14ac:dyDescent="0.25">
      <c r="A200" s="46" t="s">
        <v>8437</v>
      </c>
      <c r="B200" s="75" t="s">
        <v>641</v>
      </c>
    </row>
    <row r="201" spans="1:2" x14ac:dyDescent="0.25">
      <c r="A201" s="45" t="s">
        <v>8442</v>
      </c>
      <c r="B201" s="75" t="s">
        <v>641</v>
      </c>
    </row>
    <row r="202" spans="1:2" x14ac:dyDescent="0.25">
      <c r="A202" t="s">
        <v>8443</v>
      </c>
      <c r="B202" s="77" t="s">
        <v>641</v>
      </c>
    </row>
    <row r="203" spans="1:2" x14ac:dyDescent="0.25">
      <c r="A203" t="s">
        <v>8530</v>
      </c>
      <c r="B203" s="77" t="s">
        <v>641</v>
      </c>
    </row>
    <row r="204" spans="1:2" x14ac:dyDescent="0.25">
      <c r="A204" t="s">
        <v>8498</v>
      </c>
      <c r="B204" s="77" t="s">
        <v>641</v>
      </c>
    </row>
    <row r="205" spans="1:2" x14ac:dyDescent="0.25">
      <c r="A205" t="s">
        <v>8512</v>
      </c>
      <c r="B205" s="77" t="s">
        <v>641</v>
      </c>
    </row>
    <row r="206" spans="1:2" x14ac:dyDescent="0.25">
      <c r="A206" t="s">
        <v>8529</v>
      </c>
      <c r="B206" s="77" t="s">
        <v>641</v>
      </c>
    </row>
    <row r="207" spans="1:2" x14ac:dyDescent="0.25">
      <c r="A207" t="s">
        <v>8607</v>
      </c>
      <c r="B207" s="77" t="s">
        <v>641</v>
      </c>
    </row>
    <row r="208" spans="1:2" x14ac:dyDescent="0.25">
      <c r="A208" s="46" t="s">
        <v>8509</v>
      </c>
      <c r="B208" s="77" t="s">
        <v>641</v>
      </c>
    </row>
    <row r="209" spans="1:2" x14ac:dyDescent="0.25">
      <c r="A209" t="s">
        <v>8615</v>
      </c>
      <c r="B209" s="77" t="s">
        <v>641</v>
      </c>
    </row>
    <row r="210" spans="1:2" x14ac:dyDescent="0.25">
      <c r="A210" t="s">
        <v>8677</v>
      </c>
      <c r="B210" s="77" t="s">
        <v>641</v>
      </c>
    </row>
    <row r="211" spans="1:2" x14ac:dyDescent="0.25">
      <c r="A211" s="8" t="s">
        <v>8705</v>
      </c>
      <c r="B211" s="83" t="s">
        <v>641</v>
      </c>
    </row>
    <row r="212" spans="1:2" x14ac:dyDescent="0.25">
      <c r="A212" s="8" t="s">
        <v>8848</v>
      </c>
      <c r="B212" s="83" t="s">
        <v>641</v>
      </c>
    </row>
    <row r="213" spans="1:2" x14ac:dyDescent="0.25">
      <c r="A213" t="s">
        <v>8857</v>
      </c>
      <c r="B213" s="100" t="s">
        <v>641</v>
      </c>
    </row>
    <row r="214" spans="1:2" x14ac:dyDescent="0.25">
      <c r="A214" t="s">
        <v>8858</v>
      </c>
      <c r="B214" s="100" t="s">
        <v>641</v>
      </c>
    </row>
    <row r="215" spans="1:2" x14ac:dyDescent="0.25">
      <c r="A215" t="s">
        <v>8861</v>
      </c>
      <c r="B215" s="100" t="s">
        <v>641</v>
      </c>
    </row>
    <row r="216" spans="1:2" x14ac:dyDescent="0.25">
      <c r="A216" t="s">
        <v>8862</v>
      </c>
      <c r="B216" s="100" t="s">
        <v>641</v>
      </c>
    </row>
    <row r="217" spans="1:2" x14ac:dyDescent="0.25">
      <c r="A217" s="8" t="s">
        <v>8864</v>
      </c>
      <c r="B217" s="105" t="s">
        <v>641</v>
      </c>
    </row>
    <row r="218" spans="1:2" x14ac:dyDescent="0.25">
      <c r="A218" s="8" t="s">
        <v>8871</v>
      </c>
      <c r="B218" s="105" t="s">
        <v>641</v>
      </c>
    </row>
    <row r="219" spans="1:2" x14ac:dyDescent="0.25">
      <c r="A219" s="8" t="s">
        <v>8872</v>
      </c>
      <c r="B219" s="105" t="s">
        <v>641</v>
      </c>
    </row>
    <row r="220" spans="1:2" x14ac:dyDescent="0.25">
      <c r="A220" s="8" t="s">
        <v>8873</v>
      </c>
      <c r="B220" s="105" t="s">
        <v>641</v>
      </c>
    </row>
    <row r="221" spans="1:2" x14ac:dyDescent="0.25">
      <c r="A221" s="8" t="s">
        <v>8881</v>
      </c>
      <c r="B221" s="105" t="s">
        <v>641</v>
      </c>
    </row>
    <row r="222" spans="1:2" x14ac:dyDescent="0.25">
      <c r="A222" s="8" t="s">
        <v>8885</v>
      </c>
      <c r="B222" s="105" t="s">
        <v>641</v>
      </c>
    </row>
    <row r="223" spans="1:2" x14ac:dyDescent="0.25">
      <c r="A223" s="8" t="s">
        <v>8903</v>
      </c>
      <c r="B223" s="105" t="s">
        <v>641</v>
      </c>
    </row>
    <row r="224" spans="1:2" x14ac:dyDescent="0.25">
      <c r="A224" s="8" t="s">
        <v>9003</v>
      </c>
      <c r="B224" s="105" t="s">
        <v>641</v>
      </c>
    </row>
    <row r="225" spans="1:2" x14ac:dyDescent="0.25">
      <c r="A225" s="8" t="s">
        <v>9005</v>
      </c>
      <c r="B225" s="105" t="s">
        <v>641</v>
      </c>
    </row>
    <row r="226" spans="1:2" x14ac:dyDescent="0.25">
      <c r="A226" s="8" t="s">
        <v>9009</v>
      </c>
      <c r="B226" s="105" t="s">
        <v>641</v>
      </c>
    </row>
    <row r="227" spans="1:2" x14ac:dyDescent="0.25">
      <c r="A227" s="8" t="s">
        <v>9017</v>
      </c>
      <c r="B227" s="105" t="s">
        <v>641</v>
      </c>
    </row>
    <row r="228" spans="1:2" x14ac:dyDescent="0.25">
      <c r="A228" s="8" t="s">
        <v>9021</v>
      </c>
      <c r="B228" s="105" t="s">
        <v>641</v>
      </c>
    </row>
    <row r="229" spans="1:2" x14ac:dyDescent="0.25">
      <c r="A229" s="8" t="s">
        <v>9050</v>
      </c>
      <c r="B229" s="105" t="s">
        <v>641</v>
      </c>
    </row>
    <row r="230" spans="1:2" x14ac:dyDescent="0.25">
      <c r="A230" s="8" t="s">
        <v>9052</v>
      </c>
      <c r="B230" s="105" t="s">
        <v>641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CA24D-C307-41E6-A45A-0006001DC922}">
  <dimension ref="A1:M2"/>
  <sheetViews>
    <sheetView workbookViewId="0">
      <selection activeCell="D2" sqref="D2"/>
    </sheetView>
  </sheetViews>
  <sheetFormatPr defaultRowHeight="15" x14ac:dyDescent="0.25"/>
  <cols>
    <col min="2" max="2" width="11.5703125" customWidth="1"/>
    <col min="8" max="8" width="9.85546875" customWidth="1"/>
    <col min="9" max="9" width="15.5703125" customWidth="1"/>
    <col min="11" max="11" width="12.7109375" customWidth="1"/>
    <col min="12" max="12" width="9.5703125" customWidth="1"/>
    <col min="13" max="13" width="9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3727</v>
      </c>
      <c r="B2" t="s">
        <v>2330</v>
      </c>
      <c r="C2" t="s">
        <v>8873</v>
      </c>
      <c r="D2" t="s">
        <v>434</v>
      </c>
      <c r="E2" t="s">
        <v>8878</v>
      </c>
      <c r="G2" t="s">
        <v>63</v>
      </c>
      <c r="H2" t="s">
        <v>9051</v>
      </c>
      <c r="J2" t="s">
        <v>7171</v>
      </c>
      <c r="K2" t="s">
        <v>9046</v>
      </c>
      <c r="L2" t="s">
        <v>9045</v>
      </c>
      <c r="M2" t="s">
        <v>329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CEF8-F14C-4A6C-A2BB-547C1E741E4C}">
  <sheetPr codeName="Sheet10" filterMode="1"/>
  <dimension ref="A1:H36"/>
  <sheetViews>
    <sheetView workbookViewId="0">
      <selection activeCell="E58" sqref="E58:E59"/>
    </sheetView>
  </sheetViews>
  <sheetFormatPr defaultRowHeight="15" x14ac:dyDescent="0.25"/>
  <cols>
    <col min="1" max="1" width="18" bestFit="1" customWidth="1"/>
    <col min="2" max="2" width="14.42578125" bestFit="1" customWidth="1"/>
    <col min="3" max="3" width="7.28515625" bestFit="1" customWidth="1"/>
    <col min="4" max="4" width="17.85546875" bestFit="1" customWidth="1"/>
    <col min="5" max="5" width="14.7109375" bestFit="1" customWidth="1"/>
    <col min="6" max="6" width="7" bestFit="1" customWidth="1"/>
    <col min="7" max="7" width="11" bestFit="1" customWidth="1"/>
    <col min="8" max="8" width="8.42578125" bestFit="1" customWidth="1"/>
    <col min="9" max="9" width="11.28515625" bestFit="1" customWidth="1"/>
  </cols>
  <sheetData>
    <row r="1" spans="1:8" x14ac:dyDescent="0.25">
      <c r="A1" s="1" t="s">
        <v>7</v>
      </c>
      <c r="B1" s="105"/>
      <c r="H1" t="s">
        <v>7185</v>
      </c>
    </row>
    <row r="3" spans="1:8" x14ac:dyDescent="0.25">
      <c r="A3" s="1" t="s">
        <v>7186</v>
      </c>
      <c r="B3" t="s">
        <v>7187</v>
      </c>
      <c r="C3" t="s">
        <v>7188</v>
      </c>
    </row>
    <row r="4" spans="1:8" x14ac:dyDescent="0.25">
      <c r="A4" s="2" t="s">
        <v>8864</v>
      </c>
      <c r="B4" s="101">
        <v>3</v>
      </c>
      <c r="C4" s="77" t="s">
        <v>641</v>
      </c>
    </row>
    <row r="5" spans="1:8" hidden="1" x14ac:dyDescent="0.25">
      <c r="A5" s="78" t="s">
        <v>19</v>
      </c>
      <c r="B5" s="101">
        <v>3</v>
      </c>
    </row>
    <row r="6" spans="1:8" x14ac:dyDescent="0.25">
      <c r="A6" s="2" t="s">
        <v>8871</v>
      </c>
      <c r="B6" s="101">
        <v>2</v>
      </c>
      <c r="C6" s="77" t="s">
        <v>641</v>
      </c>
    </row>
    <row r="7" spans="1:8" hidden="1" x14ac:dyDescent="0.25">
      <c r="A7" s="78" t="s">
        <v>19</v>
      </c>
      <c r="B7" s="101">
        <v>2</v>
      </c>
      <c r="C7" s="73"/>
    </row>
    <row r="8" spans="1:8" x14ac:dyDescent="0.25">
      <c r="A8" s="2" t="s">
        <v>8872</v>
      </c>
      <c r="B8" s="101">
        <v>7</v>
      </c>
      <c r="C8" s="52" t="s">
        <v>641</v>
      </c>
    </row>
    <row r="9" spans="1:8" hidden="1" x14ac:dyDescent="0.25">
      <c r="A9" s="78" t="s">
        <v>19</v>
      </c>
      <c r="B9" s="101">
        <v>7</v>
      </c>
    </row>
    <row r="10" spans="1:8" x14ac:dyDescent="0.25">
      <c r="A10" s="2" t="s">
        <v>8873</v>
      </c>
      <c r="B10" s="101">
        <v>7</v>
      </c>
      <c r="C10" s="105" t="s">
        <v>641</v>
      </c>
    </row>
    <row r="11" spans="1:8" hidden="1" x14ac:dyDescent="0.25">
      <c r="A11" s="78" t="s">
        <v>19</v>
      </c>
      <c r="B11" s="101">
        <v>6</v>
      </c>
      <c r="C11" s="73"/>
    </row>
    <row r="12" spans="1:8" hidden="1" x14ac:dyDescent="0.25">
      <c r="A12" s="78" t="s">
        <v>8046</v>
      </c>
      <c r="B12" s="101">
        <v>1</v>
      </c>
      <c r="C12" s="54"/>
    </row>
    <row r="13" spans="1:8" x14ac:dyDescent="0.25">
      <c r="A13" s="2" t="s">
        <v>8881</v>
      </c>
      <c r="B13" s="101">
        <v>3</v>
      </c>
      <c r="C13" s="73" t="s">
        <v>641</v>
      </c>
    </row>
    <row r="14" spans="1:8" hidden="1" x14ac:dyDescent="0.25">
      <c r="A14" s="78" t="s">
        <v>19</v>
      </c>
      <c r="B14" s="101">
        <v>3</v>
      </c>
      <c r="C14" s="54"/>
    </row>
    <row r="15" spans="1:8" x14ac:dyDescent="0.25">
      <c r="A15" s="2" t="s">
        <v>8885</v>
      </c>
      <c r="B15" s="101">
        <v>42</v>
      </c>
      <c r="C15" s="73" t="s">
        <v>641</v>
      </c>
    </row>
    <row r="16" spans="1:8" hidden="1" x14ac:dyDescent="0.25">
      <c r="A16" s="78" t="s">
        <v>19</v>
      </c>
      <c r="B16" s="101">
        <v>42</v>
      </c>
    </row>
    <row r="17" spans="1:3" x14ac:dyDescent="0.25">
      <c r="A17" s="2" t="s">
        <v>8903</v>
      </c>
      <c r="B17" s="101">
        <v>1</v>
      </c>
      <c r="C17" t="s">
        <v>641</v>
      </c>
    </row>
    <row r="18" spans="1:3" hidden="1" x14ac:dyDescent="0.25">
      <c r="A18" s="78" t="s">
        <v>19</v>
      </c>
      <c r="B18" s="101">
        <v>1</v>
      </c>
    </row>
    <row r="19" spans="1:3" x14ac:dyDescent="0.25">
      <c r="A19" s="2" t="s">
        <v>9003</v>
      </c>
      <c r="B19" s="101">
        <v>110</v>
      </c>
      <c r="C19" t="s">
        <v>641</v>
      </c>
    </row>
    <row r="20" spans="1:3" hidden="1" x14ac:dyDescent="0.25">
      <c r="A20" s="78" t="s">
        <v>19</v>
      </c>
      <c r="B20" s="101">
        <v>110</v>
      </c>
    </row>
    <row r="21" spans="1:3" x14ac:dyDescent="0.25">
      <c r="A21" s="2" t="s">
        <v>9005</v>
      </c>
      <c r="B21" s="101">
        <v>7</v>
      </c>
      <c r="C21" t="s">
        <v>641</v>
      </c>
    </row>
    <row r="22" spans="1:3" hidden="1" x14ac:dyDescent="0.25">
      <c r="A22" s="78" t="s">
        <v>19</v>
      </c>
      <c r="B22" s="101">
        <v>7</v>
      </c>
    </row>
    <row r="23" spans="1:3" x14ac:dyDescent="0.25">
      <c r="A23" s="2" t="s">
        <v>9009</v>
      </c>
      <c r="B23" s="101">
        <v>7</v>
      </c>
      <c r="C23" s="105" t="s">
        <v>641</v>
      </c>
    </row>
    <row r="24" spans="1:3" hidden="1" x14ac:dyDescent="0.25">
      <c r="A24" s="78" t="s">
        <v>19</v>
      </c>
      <c r="B24" s="101">
        <v>7</v>
      </c>
    </row>
    <row r="25" spans="1:3" x14ac:dyDescent="0.25">
      <c r="A25" s="2" t="s">
        <v>9017</v>
      </c>
      <c r="B25" s="101">
        <v>13</v>
      </c>
      <c r="C25" t="s">
        <v>641</v>
      </c>
    </row>
    <row r="26" spans="1:3" hidden="1" x14ac:dyDescent="0.25">
      <c r="A26" s="78" t="s">
        <v>19</v>
      </c>
      <c r="B26" s="101">
        <v>13</v>
      </c>
    </row>
    <row r="27" spans="1:3" x14ac:dyDescent="0.25">
      <c r="A27" s="2" t="s">
        <v>9021</v>
      </c>
      <c r="B27" s="101">
        <v>3</v>
      </c>
      <c r="C27" t="s">
        <v>641</v>
      </c>
    </row>
    <row r="28" spans="1:3" hidden="1" x14ac:dyDescent="0.25">
      <c r="A28" s="78" t="s">
        <v>19</v>
      </c>
      <c r="B28" s="101">
        <v>3</v>
      </c>
    </row>
    <row r="29" spans="1:3" x14ac:dyDescent="0.25">
      <c r="A29" s="2" t="s">
        <v>9050</v>
      </c>
      <c r="B29" s="101">
        <v>2</v>
      </c>
      <c r="C29" s="105" t="s">
        <v>641</v>
      </c>
    </row>
    <row r="30" spans="1:3" hidden="1" x14ac:dyDescent="0.25">
      <c r="A30" s="78" t="s">
        <v>19</v>
      </c>
      <c r="B30" s="101">
        <v>2</v>
      </c>
    </row>
    <row r="31" spans="1:3" x14ac:dyDescent="0.25">
      <c r="A31" s="2" t="s">
        <v>9052</v>
      </c>
      <c r="B31" s="101">
        <v>1</v>
      </c>
      <c r="C31" t="s">
        <v>641</v>
      </c>
    </row>
    <row r="32" spans="1:3" hidden="1" x14ac:dyDescent="0.25">
      <c r="A32" s="78" t="s">
        <v>19</v>
      </c>
      <c r="B32" s="101">
        <v>1</v>
      </c>
    </row>
    <row r="33" spans="1:2" hidden="1" x14ac:dyDescent="0.25">
      <c r="A33" s="2" t="s">
        <v>7189</v>
      </c>
      <c r="B33" s="101">
        <v>208</v>
      </c>
    </row>
    <row r="34" spans="1:2" hidden="1" x14ac:dyDescent="0.25"/>
    <row r="35" spans="1:2" hidden="1" x14ac:dyDescent="0.25"/>
    <row r="36" spans="1:2" hidden="1" x14ac:dyDescent="0.25"/>
  </sheetData>
  <autoFilter ref="A3:C36" xr:uid="{C4CDCEF8-F14C-4A6C-A2BB-547C1E741E4C}">
    <filterColumn colId="2">
      <customFilters>
        <customFilter operator="notEqual" val=" "/>
      </customFilters>
    </filterColumn>
  </autoFilter>
  <pageMargins left="0.7" right="0.7" top="0.75" bottom="0.75" header="0.3" footer="0.3"/>
  <pageSetup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4BFFC-7596-4422-B34C-DB11907B40B4}">
  <sheetPr codeName="Sheet11"/>
  <dimension ref="A2:Z11"/>
  <sheetViews>
    <sheetView workbookViewId="0">
      <selection activeCell="M14" sqref="M14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6.140625" bestFit="1" customWidth="1"/>
    <col min="4" max="4" width="5.140625" bestFit="1" customWidth="1"/>
    <col min="5" max="5" width="8.28515625" bestFit="1" customWidth="1"/>
    <col min="6" max="6" width="14.42578125" bestFit="1" customWidth="1"/>
    <col min="7" max="7" width="7.85546875" bestFit="1" customWidth="1"/>
    <col min="8" max="8" width="7" bestFit="1" customWidth="1"/>
    <col min="9" max="9" width="6.140625" bestFit="1" customWidth="1"/>
    <col min="10" max="10" width="5.140625" bestFit="1" customWidth="1"/>
    <col min="11" max="11" width="8.28515625" bestFit="1" customWidth="1"/>
    <col min="12" max="12" width="14.42578125" bestFit="1" customWidth="1"/>
    <col min="13" max="13" width="7.85546875" bestFit="1" customWidth="1"/>
    <col min="14" max="14" width="7" bestFit="1" customWidth="1"/>
    <col min="15" max="15" width="6.140625" bestFit="1" customWidth="1"/>
    <col min="16" max="16" width="5.140625" bestFit="1" customWidth="1"/>
    <col min="17" max="17" width="8.28515625" bestFit="1" customWidth="1"/>
    <col min="18" max="18" width="14.42578125" bestFit="1" customWidth="1"/>
    <col min="19" max="19" width="7.85546875" bestFit="1" customWidth="1"/>
    <col min="20" max="20" width="7" bestFit="1" customWidth="1"/>
    <col min="21" max="21" width="6.140625" bestFit="1" customWidth="1"/>
    <col min="22" max="22" width="5.140625" bestFit="1" customWidth="1"/>
    <col min="23" max="23" width="8.28515625" bestFit="1" customWidth="1"/>
    <col min="24" max="24" width="14.42578125" bestFit="1" customWidth="1"/>
    <col min="25" max="25" width="7.85546875" bestFit="1" customWidth="1"/>
    <col min="26" max="26" width="11.28515625" bestFit="1" customWidth="1"/>
  </cols>
  <sheetData>
    <row r="2" spans="1:26" x14ac:dyDescent="0.25">
      <c r="A2" s="1" t="s">
        <v>7</v>
      </c>
      <c r="B2" s="105" t="s">
        <v>8531</v>
      </c>
    </row>
    <row r="4" spans="1:26" x14ac:dyDescent="0.25">
      <c r="A4" s="1" t="s">
        <v>7187</v>
      </c>
      <c r="B4" s="1" t="s">
        <v>7190</v>
      </c>
    </row>
    <row r="5" spans="1:26" x14ac:dyDescent="0.25">
      <c r="B5" s="105" t="s">
        <v>13</v>
      </c>
      <c r="G5" s="105" t="s">
        <v>7603</v>
      </c>
      <c r="H5" s="105" t="s">
        <v>2330</v>
      </c>
      <c r="M5" s="105" t="s">
        <v>7604</v>
      </c>
      <c r="N5" s="105" t="s">
        <v>4851</v>
      </c>
      <c r="S5" s="105" t="s">
        <v>7968</v>
      </c>
      <c r="T5" s="105" t="s">
        <v>5960</v>
      </c>
      <c r="Y5" s="105" t="s">
        <v>8071</v>
      </c>
      <c r="Z5" s="105" t="s">
        <v>7189</v>
      </c>
    </row>
    <row r="6" spans="1:26" x14ac:dyDescent="0.25">
      <c r="A6" s="1" t="s">
        <v>7186</v>
      </c>
      <c r="B6" s="105" t="s">
        <v>328</v>
      </c>
      <c r="C6" s="105" t="s">
        <v>24</v>
      </c>
      <c r="D6" s="105" t="s">
        <v>18</v>
      </c>
      <c r="E6" s="105" t="s">
        <v>63</v>
      </c>
      <c r="F6" s="105" t="s">
        <v>496</v>
      </c>
      <c r="H6" s="105" t="s">
        <v>328</v>
      </c>
      <c r="I6" s="105" t="s">
        <v>24</v>
      </c>
      <c r="J6" s="105" t="s">
        <v>18</v>
      </c>
      <c r="K6" s="105" t="s">
        <v>63</v>
      </c>
      <c r="L6" s="105" t="s">
        <v>496</v>
      </c>
      <c r="N6" s="105" t="s">
        <v>328</v>
      </c>
      <c r="O6" s="105" t="s">
        <v>24</v>
      </c>
      <c r="P6" s="105" t="s">
        <v>18</v>
      </c>
      <c r="Q6" s="105" t="s">
        <v>63</v>
      </c>
      <c r="R6" s="105" t="s">
        <v>496</v>
      </c>
      <c r="T6" s="105" t="s">
        <v>328</v>
      </c>
      <c r="U6" s="105" t="s">
        <v>24</v>
      </c>
      <c r="V6" s="105" t="s">
        <v>18</v>
      </c>
      <c r="W6" s="105" t="s">
        <v>63</v>
      </c>
      <c r="X6" s="105" t="s">
        <v>496</v>
      </c>
    </row>
    <row r="7" spans="1:26" x14ac:dyDescent="0.25">
      <c r="A7" s="2" t="s">
        <v>7171</v>
      </c>
      <c r="B7" s="101">
        <v>50</v>
      </c>
      <c r="C7" s="101">
        <v>48</v>
      </c>
      <c r="D7" s="101">
        <v>192</v>
      </c>
      <c r="E7" s="101">
        <v>273</v>
      </c>
      <c r="F7" s="101">
        <v>116</v>
      </c>
      <c r="G7" s="101">
        <v>679</v>
      </c>
      <c r="H7" s="101">
        <v>5</v>
      </c>
      <c r="I7" s="101">
        <v>43</v>
      </c>
      <c r="J7" s="101">
        <v>20</v>
      </c>
      <c r="K7" s="101">
        <v>65</v>
      </c>
      <c r="L7" s="101">
        <v>7</v>
      </c>
      <c r="M7" s="101">
        <v>140</v>
      </c>
      <c r="N7" s="101"/>
      <c r="O7" s="101">
        <v>23</v>
      </c>
      <c r="P7" s="101">
        <v>29</v>
      </c>
      <c r="Q7" s="101">
        <v>46</v>
      </c>
      <c r="R7" s="101">
        <v>4</v>
      </c>
      <c r="S7" s="101">
        <v>102</v>
      </c>
      <c r="T7" s="101"/>
      <c r="U7" s="101">
        <v>15</v>
      </c>
      <c r="V7" s="101">
        <v>23</v>
      </c>
      <c r="W7" s="101">
        <v>54</v>
      </c>
      <c r="X7" s="101">
        <v>1</v>
      </c>
      <c r="Y7" s="101">
        <v>93</v>
      </c>
      <c r="Z7" s="101">
        <v>1014</v>
      </c>
    </row>
    <row r="8" spans="1:26" x14ac:dyDescent="0.25">
      <c r="A8" s="2" t="s">
        <v>635</v>
      </c>
      <c r="B8" s="101">
        <v>9</v>
      </c>
      <c r="C8" s="101">
        <v>374</v>
      </c>
      <c r="D8" s="101">
        <v>95</v>
      </c>
      <c r="E8" s="101">
        <v>164</v>
      </c>
      <c r="F8" s="101">
        <v>18</v>
      </c>
      <c r="G8" s="101">
        <v>660</v>
      </c>
      <c r="H8" s="101">
        <v>2</v>
      </c>
      <c r="I8" s="101">
        <v>77</v>
      </c>
      <c r="J8" s="101">
        <v>30</v>
      </c>
      <c r="K8" s="101">
        <v>96</v>
      </c>
      <c r="L8" s="101">
        <v>22</v>
      </c>
      <c r="M8" s="101">
        <v>227</v>
      </c>
      <c r="N8" s="101"/>
      <c r="O8" s="101">
        <v>403</v>
      </c>
      <c r="P8" s="101">
        <v>81</v>
      </c>
      <c r="Q8" s="101">
        <v>82</v>
      </c>
      <c r="R8" s="101"/>
      <c r="S8" s="101">
        <v>566</v>
      </c>
      <c r="T8" s="101"/>
      <c r="U8" s="101">
        <v>245</v>
      </c>
      <c r="V8" s="101">
        <v>20</v>
      </c>
      <c r="W8" s="101">
        <v>68</v>
      </c>
      <c r="X8" s="101">
        <v>4</v>
      </c>
      <c r="Y8" s="101">
        <v>337</v>
      </c>
      <c r="Z8" s="101">
        <v>1790</v>
      </c>
    </row>
    <row r="9" spans="1:26" x14ac:dyDescent="0.25">
      <c r="A9" s="2" t="s">
        <v>7172</v>
      </c>
      <c r="B9" s="101">
        <v>5</v>
      </c>
      <c r="C9" s="101">
        <v>1</v>
      </c>
      <c r="D9" s="101">
        <v>21</v>
      </c>
      <c r="E9" s="101">
        <v>14</v>
      </c>
      <c r="F9" s="101">
        <v>8</v>
      </c>
      <c r="G9" s="101">
        <v>49</v>
      </c>
      <c r="H9" s="101">
        <v>1</v>
      </c>
      <c r="I9" s="101">
        <v>1</v>
      </c>
      <c r="J9" s="101">
        <v>5</v>
      </c>
      <c r="K9" s="101">
        <v>12</v>
      </c>
      <c r="L9" s="101"/>
      <c r="M9" s="101">
        <v>19</v>
      </c>
      <c r="N9" s="101">
        <v>14</v>
      </c>
      <c r="O9" s="101">
        <v>8</v>
      </c>
      <c r="P9" s="101">
        <v>5</v>
      </c>
      <c r="Q9" s="101">
        <v>8</v>
      </c>
      <c r="R9" s="101">
        <v>1</v>
      </c>
      <c r="S9" s="101">
        <v>36</v>
      </c>
      <c r="T9" s="101">
        <v>7</v>
      </c>
      <c r="U9" s="101">
        <v>11</v>
      </c>
      <c r="V9" s="101">
        <v>3</v>
      </c>
      <c r="W9" s="101">
        <v>3</v>
      </c>
      <c r="X9" s="101"/>
      <c r="Y9" s="101">
        <v>24</v>
      </c>
      <c r="Z9" s="101">
        <v>128</v>
      </c>
    </row>
    <row r="10" spans="1:26" x14ac:dyDescent="0.25">
      <c r="A10" s="2" t="s">
        <v>7173</v>
      </c>
      <c r="B10" s="101">
        <v>14</v>
      </c>
      <c r="C10" s="101"/>
      <c r="D10" s="101">
        <v>105</v>
      </c>
      <c r="E10" s="101">
        <v>158</v>
      </c>
      <c r="F10" s="101">
        <v>22</v>
      </c>
      <c r="G10" s="101">
        <v>299</v>
      </c>
      <c r="H10" s="101">
        <v>20</v>
      </c>
      <c r="I10" s="101">
        <v>4</v>
      </c>
      <c r="J10" s="101">
        <v>26</v>
      </c>
      <c r="K10" s="101">
        <v>529</v>
      </c>
      <c r="L10" s="101">
        <v>4</v>
      </c>
      <c r="M10" s="101">
        <v>583</v>
      </c>
      <c r="N10" s="101"/>
      <c r="O10" s="101">
        <v>4</v>
      </c>
      <c r="P10" s="101">
        <v>15</v>
      </c>
      <c r="Q10" s="101">
        <v>1</v>
      </c>
      <c r="R10" s="101"/>
      <c r="S10" s="101">
        <v>20</v>
      </c>
      <c r="T10" s="101"/>
      <c r="U10" s="101">
        <v>67</v>
      </c>
      <c r="V10" s="101">
        <v>13</v>
      </c>
      <c r="W10" s="101">
        <v>3</v>
      </c>
      <c r="X10" s="101">
        <v>1</v>
      </c>
      <c r="Y10" s="101">
        <v>84</v>
      </c>
      <c r="Z10" s="101">
        <v>986</v>
      </c>
    </row>
    <row r="11" spans="1:26" x14ac:dyDescent="0.25">
      <c r="A11" s="2" t="s">
        <v>7189</v>
      </c>
      <c r="B11" s="101">
        <v>78</v>
      </c>
      <c r="C11" s="101">
        <v>423</v>
      </c>
      <c r="D11" s="101">
        <v>413</v>
      </c>
      <c r="E11" s="101">
        <v>609</v>
      </c>
      <c r="F11" s="101">
        <v>164</v>
      </c>
      <c r="G11" s="101">
        <v>1687</v>
      </c>
      <c r="H11" s="101">
        <v>28</v>
      </c>
      <c r="I11" s="101">
        <v>125</v>
      </c>
      <c r="J11" s="101">
        <v>81</v>
      </c>
      <c r="K11" s="101">
        <v>702</v>
      </c>
      <c r="L11" s="101">
        <v>33</v>
      </c>
      <c r="M11" s="101">
        <v>969</v>
      </c>
      <c r="N11" s="101">
        <v>14</v>
      </c>
      <c r="O11" s="101">
        <v>438</v>
      </c>
      <c r="P11" s="101">
        <v>130</v>
      </c>
      <c r="Q11" s="101">
        <v>137</v>
      </c>
      <c r="R11" s="101">
        <v>5</v>
      </c>
      <c r="S11" s="101">
        <v>724</v>
      </c>
      <c r="T11" s="101">
        <v>7</v>
      </c>
      <c r="U11" s="101">
        <v>338</v>
      </c>
      <c r="V11" s="101">
        <v>59</v>
      </c>
      <c r="W11" s="101">
        <v>128</v>
      </c>
      <c r="X11" s="101">
        <v>6</v>
      </c>
      <c r="Y11" s="101">
        <v>538</v>
      </c>
      <c r="Z11" s="101">
        <v>3918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STUCT1</vt:lpstr>
      <vt:lpstr>Sheet11</vt:lpstr>
      <vt:lpstr>Sheet10</vt:lpstr>
      <vt:lpstr>Sheet9</vt:lpstr>
      <vt:lpstr>Sheet7</vt:lpstr>
      <vt:lpstr>Sheet6</vt:lpstr>
      <vt:lpstr>Sheet5</vt:lpstr>
      <vt:lpstr>Sheet4</vt:lpstr>
      <vt:lpstr>Sheet3</vt:lpstr>
      <vt:lpstr>Sheet2</vt:lpstr>
      <vt:lpstr>Sheet1</vt:lpstr>
      <vt:lpstr>People</vt:lpstr>
      <vt:lpstr>2023</vt:lpstr>
      <vt:lpstr>Sectors</vt:lpstr>
      <vt:lpstr>Okey</vt:lpstr>
      <vt:lpstr>Sheet8</vt:lpstr>
      <vt:lpstr>Pvt</vt:lpstr>
      <vt:lpstr>KPI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Pierre Collado</dc:creator>
  <cp:keywords/>
  <dc:description/>
  <cp:lastModifiedBy>Pierre Collado</cp:lastModifiedBy>
  <cp:revision/>
  <dcterms:created xsi:type="dcterms:W3CDTF">2023-02-21T12:36:39Z</dcterms:created>
  <dcterms:modified xsi:type="dcterms:W3CDTF">2025-05-30T21:32:12Z</dcterms:modified>
  <cp:category/>
  <cp:contentStatus/>
</cp:coreProperties>
</file>