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E5ED45B6-52C0-4C3A-AFA3-78CC9759675E}" xr6:coauthVersionLast="47" xr6:coauthVersionMax="47" xr10:uidLastSave="{00000000-0000-0000-0000-000000000000}"/>
  <bookViews>
    <workbookView xWindow="28680" yWindow="-120" windowWidth="28110" windowHeight="1644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7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98" i="1" l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10" i="1" s="1"/>
  <c r="B5" i="1"/>
  <c r="B7" i="1"/>
  <c r="B2" i="1"/>
  <c r="B4" i="1"/>
  <c r="B6" i="1"/>
  <c r="B8" i="1"/>
  <c r="B3" i="1" l="1"/>
  <c r="B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<sst xmlns="http://schemas.openxmlformats.org/spreadsheetml/2006/main" count="13121" uniqueCount="3421">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</sst>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  <xf numFmtId="22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84.800397453706" createdVersion="7" refreshedVersion="8" minRefreshableVersion="3" recordCount="1293" xr:uid="{11839AE3-6158-4318-87AD-2C711D0BF451}">
  <cacheSource type="worksheet">
    <worksheetSource name="Proc"/>
  </cacheSource>
  <cacheFields count="19">
    <cacheField name="App" numFmtId="0">
      <sharedItems containsBlank="1" count="137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06T12:35:04"/>
    </cacheField>
    <cacheField name="DateMapped" numFmtId="14">
      <sharedItems containsNonDate="0" containsDate="1" containsString="0" containsBlank="1" minDate="2023-09-01T00:00:00" maxDate="2025-05-08T00:00:00"/>
    </cacheField>
    <cacheField name="DateClosed" numFmtId="14">
      <sharedItems containsNonDate="0" containsDate="1" containsString="0" containsBlank="1" minDate="2023-09-06T00:00:00" maxDate="2025-05-08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98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98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73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69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66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66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66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66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66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66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66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66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66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66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66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66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66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66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66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66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66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66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66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66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66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66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66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66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66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66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66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66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66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66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66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66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66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66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66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66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66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66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66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66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66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65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65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65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65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64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64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64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64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64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63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63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61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61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60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57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57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57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57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57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57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57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57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57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57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57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57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56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56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56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56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56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51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51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51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46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46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46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46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46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46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46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42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42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42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37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36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36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22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22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1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11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1"/>
    <x v="5"/>
    <s v="CSCALA_1042$RSCE"/>
    <s v="L000008473"/>
    <m/>
    <s v="Non-LFF"/>
    <s v=""/>
    <m/>
    <b v="0"/>
    <x v="2"/>
    <x v="2"/>
    <d v="2025-05-02T12:11:12"/>
    <m/>
    <m/>
    <x v="0"/>
    <n v="3"/>
    <s v="Noor Jahan Shahin"/>
    <m/>
  </r>
  <r>
    <x v="191"/>
    <x v="1"/>
    <x v="5"/>
    <s v="CTEMPLA_1000UY10120012"/>
    <s v="G000000339"/>
    <s v="G000000277"/>
    <s v="Non-LFF"/>
    <s v=""/>
    <m/>
    <b v="0"/>
    <x v="0"/>
    <x v="2"/>
    <d v="2025-05-05T10:27:28"/>
    <m/>
    <m/>
    <x v="0"/>
    <n v="2"/>
    <s v="Jay-R Lizardo"/>
    <m/>
  </r>
  <r>
    <x v="191"/>
    <x v="1"/>
    <x v="6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m/>
    <m/>
    <x v="0"/>
    <n v="2"/>
    <s v="Jay-R Lizardo"/>
    <m/>
  </r>
  <r>
    <x v="191"/>
    <x v="1"/>
    <x v="6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m/>
    <m/>
    <x v="0"/>
    <n v="2"/>
    <s v="Jay-R Lizardo"/>
    <m/>
  </r>
  <r>
    <x v="191"/>
    <x v="1"/>
    <x v="6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m/>
    <m/>
    <x v="0"/>
    <n v="2"/>
    <s v="Jay-R Lizardo"/>
    <m/>
  </r>
  <r>
    <x v="192"/>
    <x v="1"/>
    <x v="5"/>
    <s v="CNOW_7210$$$0000058205 MY RE COS Expenses"/>
    <s v="L000012908"/>
    <s v="L000010065 Other Supply Chain &amp; Distribution -G"/>
    <s v="Non-LFF"/>
    <s v=""/>
    <m/>
    <b v="0"/>
    <x v="2"/>
    <x v="2"/>
    <d v="2025-05-05T10:29:25"/>
    <m/>
    <m/>
    <x v="0"/>
    <n v="2"/>
    <s v="Ruby Grace Garcia"/>
    <m/>
  </r>
  <r>
    <x v="192"/>
    <x v="1"/>
    <x v="5"/>
    <s v="CNOW_7210$$$0000058208 MY SAFC COS Expenses"/>
    <s v="L000012908"/>
    <s v="L000010065 Other Supply Chain &amp; Distribution -G"/>
    <s v="Non-LFF"/>
    <s v=""/>
    <m/>
    <b v="0"/>
    <x v="2"/>
    <x v="2"/>
    <d v="2025-05-05T10:29:25"/>
    <m/>
    <m/>
    <x v="0"/>
    <n v="2"/>
    <s v="Ruby Grace Garcia"/>
    <m/>
  </r>
  <r>
    <x v="193"/>
    <x v="1"/>
    <x v="5"/>
    <s v="CPHOENX_01010000652050 LS-SC-DNDF Freight Services"/>
    <s v="L000009975"/>
    <s v="L000013693 SLS Tradeshows Team"/>
    <s v="Non-LFF"/>
    <s v=""/>
    <m/>
    <b v="0"/>
    <x v="2"/>
    <x v="2"/>
    <d v="2025-05-05T10:56:12"/>
    <m/>
    <m/>
    <x v="0"/>
    <n v="2"/>
    <s v="Ruby Grace Garcia"/>
    <m/>
  </r>
  <r>
    <x v="194"/>
    <x v="1"/>
    <x v="5"/>
    <s v="PLEAN_X310512SE5020201 Mavenclad Medical Non R&amp;D SE50 Medical E"/>
    <s v="H000000238"/>
    <s v="LEAN_X310512SE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SE5022201 Mavenclad Medical Non R&amp;D SE50 Medical C"/>
    <s v="H000000238"/>
    <s v="LEAN_X310512SE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SE5023201 Mavenclad Medical Non R&amp;D SE50 Other Med"/>
    <s v="H000000238"/>
    <s v="LEAN_X310512SE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SE5015201 Erbitux Commercial SE50 Other Promo and"/>
    <s v="H000000238"/>
    <s v="LEAN_X310101SE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SE5020201 Erbitux Medical Non R&amp;D SE50 Medical Edu"/>
    <s v="H000000238"/>
    <s v="LEAN_X310102SE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SE5022201 Erbitux Medical Non R&amp;D SE50 Medical Con"/>
    <s v="H000000238"/>
    <s v="LEAN_X310102SE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SE5020201 Fertility Medical Non R&amp;D SE50 Medical E"/>
    <s v="H000000238"/>
    <s v="LEAN_X310202SE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SE5022201 Fertility Medical Non R&amp;D SE50 Medical C"/>
    <s v="H000000238"/>
    <s v="LEAN_X310202SE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SE5023201 Fertility Medical Non R&amp;D SE50 Other Med"/>
    <s v="H000000238"/>
    <s v="LEAN_X310202SE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FI5030201 Cardio Commercial FI50 Other M&amp;S Registr"/>
    <s v="H000000220"/>
    <s v="LEAN_X310321FI503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FI5021201 Mavenclad Medical Non R&amp;D FI50 Medical D"/>
    <s v="H000000220"/>
    <s v="LEAN_X310512FI5021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FI5022201 Mavenclad Medical Non R&amp;D FI50 Medical C"/>
    <s v="H000000220"/>
    <s v="LEAN_X310512FI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FI5023201 Mavenclad Medical Non R&amp;D FI50 Other Med"/>
    <s v="H000000220"/>
    <s v="LEAN_X310512FI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FI5010201 Erbitux Commercial FI50 Promo Material G"/>
    <s v="H000000220"/>
    <s v="LEAN_X310101FI501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FI5011201 Erbitux Commercial FI50 Advertising Gene"/>
    <s v="H000000220"/>
    <s v="LEAN_X310101FI5011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FI5013201 Erbitux Commercial FI50 Congress &amp; Event"/>
    <s v="H000000220"/>
    <s v="LEAN_X310101FI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FI5015201 Erbitux Commercial FI50 Other Promo and"/>
    <s v="H000000220"/>
    <s v="LEAN_X310101FI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FI5030201 Erbitux Commercial FI50 Other M&amp;S Regist"/>
    <s v="H000000220"/>
    <s v="LEAN_X310101FI503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FI5020201 Erbitux Medical Non R&amp;D FI50 Medical Edu"/>
    <s v="H000000220"/>
    <s v="LEAN_X310102FI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FI5023201 Erbitux Medical Non R&amp;D FI50 Other Medic"/>
    <s v="H000000220"/>
    <s v="LEAN_X310102FI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FI5020201 Fertility Medical Non R&amp;D FI50 Medical E"/>
    <s v="H000000220"/>
    <s v="LEAN_X310202FI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FI5023201 Fertility Medical Non R&amp;D FI50 Other Med"/>
    <s v="H000000220"/>
    <s v="LEAN_X310202FI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DK5020201 Mavenclad Medical Non R&amp;D DK50 Medical E"/>
    <s v="H000000218"/>
    <s v="LEAN_X310512DK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DK5010201 Erbitux Commercial DK50 Promo Material G"/>
    <s v="H000000218"/>
    <s v="LEAN_X310101DK501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DK5013201 Erbitux Commercial DK50 Congress &amp; Event"/>
    <s v="H000000218"/>
    <s v="LEAN_X310101DK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DK5020201 Fertility Medical Non R&amp;D DK50 Medical E"/>
    <s v="H000000218"/>
    <s v="LEAN_X310202DK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DK5023201 Fertility Medical Non R&amp;D DK50 Other Med"/>
    <s v="H000000218"/>
    <s v="LEAN_X310202DK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NO5020201 Mavenclad Medical Non R&amp;D NO50 Medical E"/>
    <s v="H000000233"/>
    <s v="LEAN_X310512NO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NO5022201 Mavenclad Medical Non R&amp;D NO50 Medical C"/>
    <s v="H000000233"/>
    <s v="LEAN_X310512NO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NO5023201 Mavenclad Medical Non R&amp;D NO50 Other Med"/>
    <s v="H000000233"/>
    <s v="LEAN_X310512NO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ITEMPEU_009000002325 FR40IC1786SE3110250000 FR40399017 NORWAY"/>
    <s v="H000000233"/>
    <s v="TEMPEU_1000FR40399017_IO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NO5023201 Erbitux Medical Non R&amp;D NO50 Other Medic"/>
    <s v="H000000233"/>
    <s v="LEAN_X310102NO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NO5020201 Fertility Medical Non R&amp;D NO50 Medical E"/>
    <s v="H000000233"/>
    <s v="LEAN_X310202NO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NO5022201 Fertility Medical Non R&amp;D NO50 Medical C"/>
    <s v="H000000233"/>
    <s v="LEAN_X310202NO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NO5023201 Fertility Medical Non R&amp;D NO50 Other Med"/>
    <s v="H000000233"/>
    <s v="LEAN_X310202NO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EE5020201 Mavenclad Medical Non R&amp;D EE50 Medical E"/>
    <s v="H000000219"/>
    <s v="LEAN_X310512EE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EE5022201 Mavenclad Medical Non R&amp;D EE50 Medical C"/>
    <s v="H000000219"/>
    <s v="LEAN_X310512EE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EE5020201 Fertility Medical Non R&amp;D EE50 Medical E"/>
    <s v="H000000219"/>
    <s v="LEAN_X310202EE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EE5022201 Fertility Medical Non R&amp;D EE50 Medical C"/>
    <s v="H000000219"/>
    <s v="LEAN_X310202EE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EE5023201 Fertility Medical Non R&amp;D EE50 Other Med"/>
    <s v="H000000219"/>
    <s v="LEAN_X310202EE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LT5020201 Mavenclad Medical Non R&amp;D LT50 Medical E"/>
    <s v="H000000227"/>
    <s v="LEAN_X310512LT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LT5022201 Fertility Medical Non R&amp;D LT50 Medical C"/>
    <s v="H000000227"/>
    <s v="LEAN_X310202LT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LV5013201 Cardio Commercial LV50 Congress &amp; Events"/>
    <s v="H000000229"/>
    <s v="LEAN_X310321LV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LV5022201 Mavenclad Medical Non R&amp;D LV50 Medical C"/>
    <s v="H000000229"/>
    <s v="LEAN_X310512LV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LV5020201 Fertility Medical Non R&amp;D LV50 Medical E"/>
    <s v="H000000229"/>
    <s v="LEAN_X310202LV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LV5022201 Fertility Medical Non R&amp;D LV50 Medical C"/>
    <s v="H000000229"/>
    <s v="LEAN_X310202LV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31AT5013200 Tepmetko Sponsorings &amp; events"/>
    <s v="H000000211"/>
    <s v="LEAN_X310131AT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31AT5015200 Tepmetko Promo &amp; advertising"/>
    <s v="H000000211"/>
    <s v="LEAN_X310131AT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AT5011200 Cardio Advertising"/>
    <s v="H000000211"/>
    <s v="LEAN_X310321AT5011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AT5013200 Cardio Congresses &amp; events"/>
    <s v="H000000211"/>
    <s v="LEAN_X310321AT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AT5015200 Cardio Other promotion and advertising"/>
    <s v="H000000211"/>
    <s v="LEAN_X310321AT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AT5023200 Mavenclad Other medical activities (non-"/>
    <s v="H000000211"/>
    <s v="LEAN_X310512AT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AT5013200 Erbitux Sponsorings &amp; events"/>
    <s v="H000000211"/>
    <s v="LEAN_X310101AT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AT5015200 Erbitux Promo &amp; advertising"/>
    <s v="H000000211"/>
    <s v="LEAN_X310101AT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AT5023200 Erbitux Medical activities"/>
    <s v="H000000211"/>
    <s v="LEAN_X310102AT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AT5023201 Erbitux Medical congresses"/>
    <s v="H000000211"/>
    <s v="LEAN_X310102AT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AT5023200 Fertility Other medical activities (non-"/>
    <s v="H000000211"/>
    <s v="LEAN_X310202AT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2AT5020200 Cardio Medical education"/>
    <s v="H000000211"/>
    <s v="LEAN_X310322AT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2AT5022200 Cardio Medical consultants"/>
    <s v="H000000211"/>
    <s v="LEAN_X310322AT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2AT5023200 Cardio Other medical activities (non-R&amp;D"/>
    <s v="H000000211"/>
    <s v="LEAN_X310322AT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AT5013200 Thyroids Congresses &amp; events"/>
    <s v="H000000211"/>
    <s v="LEAN_X310331AT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AT5015200 Thyroids Other promotion and advertising"/>
    <s v="H000000211"/>
    <s v="LEAN_X310331AT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2AT5020200 Thyroids Medical education"/>
    <s v="H000000211"/>
    <s v="LEAN_X310332AT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2AT5022200 Thyroids Medical consultants"/>
    <s v="H000000211"/>
    <s v="LEAN_X310332AT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2AT5023200 Thyroids Other medical activities (non-R"/>
    <s v="H000000211"/>
    <s v="LEAN_X310332AT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0201 Cardio Commercial CZ50 Promo Material Ge"/>
    <s v="H000000217"/>
    <s v="LEAN_X310321CZ501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1201 Cardio Commercial CZ50 Advertising Gener"/>
    <s v="H000000217"/>
    <s v="LEAN_X310321CZ5011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3201 Cardio Commercial CZ50 Congress &amp; Events"/>
    <s v="H000000217"/>
    <s v="LEAN_X31032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3202 Cardio Commercial CZ50 Congress &amp; Events"/>
    <s v="H000000217"/>
    <s v="LEAN_X31032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3205 Cardio Commercial CZ50 Congress &amp; Events"/>
    <s v="H000000217"/>
    <s v="LEAN_X31032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5201 Cardio Commercial CZ50 Other Promo and A"/>
    <s v="H000000217"/>
    <s v="LEAN_X310321CZ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5205 Cardio Commercial CZ50 Other Promo and A"/>
    <s v="H000000217"/>
    <s v="LEAN_X310321CZ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30201 Cardio Commercial CZ50 Other M&amp;S Registr"/>
    <s v="H000000217"/>
    <s v="LEAN_X310321CZ503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CZ5020202 Mavenclad Medical Non R&amp;D CZ50 Medical E"/>
    <s v="H000000217"/>
    <s v="LEAN_X31051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CZ5020203 Mavenclad Medical Non R&amp;D CZ50 Medical E"/>
    <s v="H000000217"/>
    <s v="LEAN_X31051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CZ5021201 Mavenclad Medical Non R&amp;D CZ50 Medical D"/>
    <s v="H000000217"/>
    <s v="LEAN_X310512CZ5021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CZ5022201 Mavenclad Medical Non R&amp;D CZ50 Medical C"/>
    <s v="H000000217"/>
    <s v="LEAN_X310512CZ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0201 Erbitux Commercial CZ50 Promo Material G"/>
    <s v="H000000217"/>
    <s v="LEAN_X310101CZ501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3202 Erbitux Commercial CZ50 Congress &amp; Event"/>
    <s v="H000000217"/>
    <s v="LEAN_X31010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3203 Erbitux Commercial CZ50 Congress &amp; Event"/>
    <s v="H000000217"/>
    <s v="LEAN_X31010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3204 Erbitux Commercial CZ50 Congress &amp; Event"/>
    <s v="H000000217"/>
    <s v="LEAN_X31010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3205 Erbitux Commercial CZ50 Congress &amp; Event"/>
    <s v="H000000217"/>
    <s v="LEAN_X31010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5201 Erbitux Commercial CZ50 Other Promo and"/>
    <s v="H000000217"/>
    <s v="LEAN_X310101CZ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5205 Erbitux Commercial CZ50 Other Promo and"/>
    <s v="H000000217"/>
    <s v="LEAN_X310101CZ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30201 Erbitux Commercial CZ50 Other M&amp;S Regist"/>
    <s v="H000000217"/>
    <s v="LEAN_X310101CZ503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CZ5020201 Erbitux Medical Non R&amp;D CZ50 Medical Edu"/>
    <s v="H000000217"/>
    <s v="LEAN_X31010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CZ5020202 Erbitux Medical Non R&amp;D CZ50 Medical Edu"/>
    <s v="H000000217"/>
    <s v="LEAN_X31010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CZ5020203 Erbitux Medical Non R&amp;D CZ50 Medical Edu"/>
    <s v="H000000217"/>
    <s v="LEAN_X31010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CZ5020206 Erbitux Medical Non R&amp;D CZ50 Medical Edu"/>
    <s v="H000000217"/>
    <s v="LEAN_X31010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CZ5020202 Fertility Medical Non R&amp;D CZ50 Medical E"/>
    <s v="H000000217"/>
    <s v="LEAN_X31020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CZ5020206 Fertility Medical Non R&amp;D CZ50 Medical E"/>
    <s v="H000000217"/>
    <s v="LEAN_X31020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2CZ5020205 Cardio Medical Non R&amp;D CZ50 Medical Educ"/>
    <s v="H000000217"/>
    <s v="LEAN_X31032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11201 Thyro Commercial CZ50 Advertising Genera"/>
    <s v="H000000217"/>
    <s v="LEAN_X310331CZ5011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13201 Thyro Commercial CZ50 Congress &amp; Events"/>
    <s v="H000000217"/>
    <s v="LEAN_X31033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13202 Thyro Commercial CZ50 Congress &amp; Events"/>
    <s v="H000000217"/>
    <s v="LEAN_X31033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13205 Thyro Commercial CZ50 Congress &amp; Events"/>
    <s v="H000000217"/>
    <s v="LEAN_X31033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15201 Thyro Commercial CZ50 Other Promo and Ad"/>
    <s v="H000000217"/>
    <s v="LEAN_X310331CZ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15205 Thyro Commercial CZ50 Other Promo and Ad"/>
    <s v="H000000217"/>
    <s v="LEAN_X310331CZ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30201 Thyro Commercial CZ50 Other M&amp;S Registra"/>
    <s v="H000000217"/>
    <s v="LEAN_X310331CZ503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2CZ5020201 Thyro Medical Non R&amp;D CZ50 Medical Educa"/>
    <s v="H000000217"/>
    <s v="LEAN_X31033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2CZ5020205 Thyro Medical Non R&amp;D CZ50 Medical Educa"/>
    <s v="H000000217"/>
    <s v="LEAN_X310332CZ5020000"/>
    <s v="Non-LFF"/>
    <s v=""/>
    <m/>
    <b v="0"/>
    <x v="1"/>
    <x v="2"/>
    <d v="2025-05-05T16:52:04"/>
    <m/>
    <m/>
    <x v="0"/>
    <n v="2"/>
    <s v="Henry Ifurung Jr."/>
    <m/>
  </r>
  <r>
    <x v="195"/>
    <x v="1"/>
    <x v="5"/>
    <s v="CNOW_7210$$$0000051664 "/>
    <s v="G000000145 "/>
    <s v="DFLTPGCOH_BF-C4_002014"/>
    <s v="Non-LFF"/>
    <s v=""/>
    <m/>
    <b v="0"/>
    <x v="0"/>
    <x v="2"/>
    <d v="2025-05-06T12:35:04"/>
    <m/>
    <m/>
    <x v="0"/>
    <n v="1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9" firstHeaderRow="1" firstDataRow="1" firstDataCol="1" rowPageCount="1" colPageCount="1"/>
  <pivotFields count="19">
    <pivotField axis="axisRow" showAll="0" sortType="ascending">
      <items count="1378">
        <item m="1" x="762"/>
        <item x="0"/>
        <item m="1" x="832"/>
        <item m="1" x="1253"/>
        <item m="1" x="415"/>
        <item m="1" x="1270"/>
        <item m="1" x="792"/>
        <item m="1" x="882"/>
        <item m="1" x="1303"/>
        <item m="1" x="1097"/>
        <item m="1" x="785"/>
        <item m="1" x="1369"/>
        <item m="1" x="1115"/>
        <item m="1" x="1359"/>
        <item m="1" x="733"/>
        <item m="1" x="634"/>
        <item m="1" x="338"/>
        <item m="1" x="599"/>
        <item m="1" x="1323"/>
        <item m="1" x="391"/>
        <item m="1" x="699"/>
        <item m="1" x="1067"/>
        <item m="1" x="782"/>
        <item m="1" x="875"/>
        <item m="1" x="1171"/>
        <item m="1" x="1356"/>
        <item m="1" x="817"/>
        <item m="1" x="839"/>
        <item m="1" x="604"/>
        <item m="1" x="1005"/>
        <item m="1" x="764"/>
        <item m="1" x="1310"/>
        <item m="1" x="967"/>
        <item m="1" x="400"/>
        <item m="1" x="508"/>
        <item m="1" x="1295"/>
        <item m="1" x="1059"/>
        <item m="1" x="313"/>
        <item m="1" x="1145"/>
        <item m="1" x="811"/>
        <item m="1" x="1106"/>
        <item m="1" x="692"/>
        <item m="1" x="1044"/>
        <item m="1" x="303"/>
        <item m="1" x="333"/>
        <item m="1" x="1372"/>
        <item m="1" x="1051"/>
        <item m="1" x="1119"/>
        <item m="1" x="1226"/>
        <item m="1" x="995"/>
        <item m="1" x="1093"/>
        <item m="1" x="932"/>
        <item m="1" x="387"/>
        <item m="1" x="578"/>
        <item m="1" x="1354"/>
        <item m="1" x="922"/>
        <item m="1" x="1062"/>
        <item m="1" x="590"/>
        <item m="1" x="551"/>
        <item m="1" x="843"/>
        <item m="1" x="735"/>
        <item m="1" x="768"/>
        <item m="1" x="327"/>
        <item m="1" x="466"/>
        <item m="1" x="1128"/>
        <item m="1" x="1345"/>
        <item m="1" x="531"/>
        <item m="1" x="936"/>
        <item m="1" x="946"/>
        <item m="1" x="1123"/>
        <item m="1" x="1233"/>
        <item m="1" x="1111"/>
        <item m="1" x="406"/>
        <item m="1" x="1254"/>
        <item m="1" x="984"/>
        <item m="1" x="971"/>
        <item m="1" x="506"/>
        <item m="1" x="859"/>
        <item m="1" x="1206"/>
        <item m="1" x="324"/>
        <item m="1" x="903"/>
        <item m="1" x="1256"/>
        <item m="1" x="1094"/>
        <item m="1" x="829"/>
        <item m="1" x="871"/>
        <item m="1" x="752"/>
        <item m="1" x="987"/>
        <item m="1" x="799"/>
        <item m="1" x="1031"/>
        <item m="1" x="515"/>
        <item m="1" x="1344"/>
        <item m="1" x="869"/>
        <item m="1" x="1155"/>
        <item m="1" x="232"/>
        <item m="1" x="1360"/>
        <item m="1" x="896"/>
        <item m="1" x="1185"/>
        <item m="1" x="1098"/>
        <item m="1" x="876"/>
        <item m="1" x="386"/>
        <item m="1" x="393"/>
        <item m="1" x="433"/>
        <item m="1" x="615"/>
        <item m="1" x="1039"/>
        <item m="1" x="800"/>
        <item m="1" x="916"/>
        <item m="1" x="979"/>
        <item m="1" x="1126"/>
        <item m="1" x="1209"/>
        <item m="1" x="771"/>
        <item m="1" x="492"/>
        <item m="1" x="335"/>
        <item m="1" x="478"/>
        <item m="1" x="1353"/>
        <item m="1" x="510"/>
        <item m="1" x="1191"/>
        <item m="1" x="1120"/>
        <item m="1" x="738"/>
        <item m="1" x="810"/>
        <item m="1" x="676"/>
        <item m="1" x="933"/>
        <item m="1" x="1308"/>
        <item m="1" x="484"/>
        <item m="1" x="432"/>
        <item m="1" x="367"/>
        <item m="1" x="1033"/>
        <item m="1" x="1293"/>
        <item m="1" x="1221"/>
        <item m="1" x="878"/>
        <item m="1" x="402"/>
        <item m="1" x="1127"/>
        <item m="1" x="579"/>
        <item m="1" x="833"/>
        <item m="1" x="1008"/>
        <item m="1" x="1116"/>
        <item m="1" x="236"/>
        <item m="1" x="1065"/>
        <item m="1" x="1028"/>
        <item m="1" x="469"/>
        <item m="1" x="917"/>
        <item m="1" x="805"/>
        <item m="1" x="758"/>
        <item m="1" x="491"/>
        <item m="1" x="427"/>
        <item m="1" x="667"/>
        <item m="1" x="854"/>
        <item m="1" x="261"/>
        <item m="1" x="600"/>
        <item m="1" x="459"/>
        <item m="1" x="201"/>
        <item m="1" x="711"/>
        <item m="1" x="912"/>
        <item m="1" x="794"/>
        <item m="1" x="840"/>
        <item m="1" x="1159"/>
        <item m="1" x="741"/>
        <item m="1" x="1267"/>
        <item m="1" x="991"/>
        <item m="1" x="930"/>
        <item m="1" x="444"/>
        <item m="1" x="1077"/>
        <item m="1" x="1355"/>
        <item m="1" x="1043"/>
        <item m="1" x="1027"/>
        <item m="1" x="314"/>
        <item m="1" x="362"/>
        <item m="1" x="897"/>
        <item m="1" x="403"/>
        <item m="1" x="1340"/>
        <item m="1" x="1006"/>
        <item m="1" x="931"/>
        <item m="1" x="883"/>
        <item m="1" x="684"/>
        <item m="1" x="312"/>
        <item m="1" x="412"/>
        <item m="1" x="518"/>
        <item m="1" x="1251"/>
        <item m="1" x="1283"/>
        <item m="1" x="982"/>
        <item m="1" x="709"/>
        <item m="1" x="797"/>
        <item m="1" x="307"/>
        <item m="1" x="347"/>
        <item m="1" x="686"/>
        <item m="1" x="911"/>
        <item m="1" x="824"/>
        <item m="1" x="482"/>
        <item m="1" x="715"/>
        <item m="1" x="429"/>
        <item m="1" x="624"/>
        <item m="1" x="546"/>
        <item m="1" x="381"/>
        <item m="1" x="517"/>
        <item m="1" x="887"/>
        <item m="1" x="297"/>
        <item m="1" x="536"/>
        <item m="1" x="328"/>
        <item m="1" x="1021"/>
        <item m="1" x="1210"/>
        <item m="1" x="820"/>
        <item m="1" x="464"/>
        <item m="1" x="1114"/>
        <item m="1" x="959"/>
        <item m="1" x="476"/>
        <item m="1" x="477"/>
        <item m="1" x="662"/>
        <item m="1" x="352"/>
        <item m="1" x="541"/>
        <item m="1" x="336"/>
        <item m="1" x="522"/>
        <item m="1" x="1090"/>
        <item m="1" x="601"/>
        <item m="1" x="968"/>
        <item m="1" x="1018"/>
        <item m="1" x="1152"/>
        <item m="1" x="1156"/>
        <item m="1" x="873"/>
        <item m="1" x="714"/>
        <item m="1" x="753"/>
        <item m="1" x="1320"/>
        <item m="1" x="613"/>
        <item m="1" x="425"/>
        <item m="1" x="803"/>
        <item m="1" x="260"/>
        <item m="1" x="1324"/>
        <item m="1" x="787"/>
        <item m="1" x="221"/>
        <item m="1" x="1242"/>
        <item m="1" x="1285"/>
        <item m="1" x="1122"/>
        <item m="1" x="499"/>
        <item m="1" x="238"/>
        <item m="1" x="1172"/>
        <item m="1" x="563"/>
        <item m="1" x="199"/>
        <item m="1" x="1343"/>
        <item m="1" x="587"/>
        <item m="1" x="742"/>
        <item m="1" x="1187"/>
        <item m="1" x="274"/>
        <item m="1" x="1099"/>
        <item m="1" x="907"/>
        <item m="1" x="772"/>
        <item m="1" x="642"/>
        <item m="1" x="389"/>
        <item m="1" x="890"/>
        <item m="1" x="592"/>
        <item m="1" x="1130"/>
        <item m="1" x="452"/>
        <item m="1" x="1200"/>
        <item m="1" x="1207"/>
        <item m="1" x="891"/>
        <item m="1" x="1081"/>
        <item m="1" x="498"/>
        <item m="1" x="795"/>
        <item m="1" x="1084"/>
        <item m="1" x="668"/>
        <item m="1" x="958"/>
        <item m="1" x="597"/>
        <item m="1" x="382"/>
        <item m="1" x="586"/>
        <item m="1" x="1352"/>
        <item m="1" x="1294"/>
        <item m="1" x="439"/>
        <item m="1" x="1240"/>
        <item m="1" x="246"/>
        <item m="1" x="1262"/>
        <item m="1" x="281"/>
        <item m="1" x="583"/>
        <item m="1" x="681"/>
        <item m="1" x="628"/>
        <item m="1" x="1235"/>
        <item m="1" x="1138"/>
        <item m="1" x="379"/>
        <item m="1" x="949"/>
        <item m="1" x="1157"/>
        <item m="1" x="1291"/>
        <item m="1" x="1198"/>
        <item m="1" x="284"/>
        <item m="1" x="1364"/>
        <item m="1" x="435"/>
        <item m="1" x="716"/>
        <item m="1" x="1160"/>
        <item m="1" x="283"/>
        <item m="1" x="1219"/>
        <item m="1" x="448"/>
        <item m="1" x="1092"/>
        <item m="1" x="956"/>
        <item m="1" x="934"/>
        <item m="1" x="513"/>
        <item m="1" x="475"/>
        <item m="1" x="1287"/>
        <item m="1" x="228"/>
        <item m="1" x="410"/>
        <item m="1" x="1069"/>
        <item m="1" x="1180"/>
        <item m="1" x="1107"/>
        <item m="1" x="1311"/>
        <item m="1" x="815"/>
        <item m="1" x="442"/>
        <item m="1" x="562"/>
        <item m="1" x="881"/>
        <item m="1" x="623"/>
        <item m="1" x="951"/>
        <item m="1" x="564"/>
        <item m="1" x="366"/>
        <item m="1" x="1019"/>
        <item m="1" x="421"/>
        <item m="1" x="301"/>
        <item m="1" x="1153"/>
        <item m="1" x="1300"/>
        <item m="1" x="1001"/>
        <item m="1" x="266"/>
        <item m="1" x="1192"/>
        <item m="1" x="990"/>
        <item m="1" x="1100"/>
        <item m="1" x="1239"/>
        <item m="1" x="467"/>
        <item m="1" x="659"/>
        <item m="1" x="497"/>
        <item m="1" x="765"/>
        <item m="1" x="689"/>
        <item m="1" x="719"/>
        <item m="1" x="1255"/>
        <item m="1" x="701"/>
        <item m="1" x="904"/>
        <item m="1" x="436"/>
        <item m="1" x="635"/>
        <item m="1" x="609"/>
        <item m="1" x="952"/>
        <item m="1" x="855"/>
        <item m="1" x="1083"/>
        <item m="1" x="605"/>
        <item m="1" x="1241"/>
        <item m="1" x="443"/>
        <item m="1" x="369"/>
        <item m="1" x="625"/>
        <item m="1" x="1166"/>
        <item m="1" x="276"/>
        <item m="1" x="277"/>
        <item m="1" x="573"/>
        <item m="1" x="1246"/>
        <item m="1" x="640"/>
        <item m="1" x="285"/>
        <item m="1" x="445"/>
        <item m="1" x="687"/>
        <item m="1" x="998"/>
        <item m="1" x="970"/>
        <item m="1" x="641"/>
        <item m="1" x="222"/>
        <item m="1" x="360"/>
        <item m="1" x="572"/>
        <item m="1" x="460"/>
        <item m="1" x="217"/>
        <item m="1" x="1170"/>
        <item m="1" x="1299"/>
        <item m="1" x="769"/>
        <item m="1" x="1199"/>
        <item m="1" x="1259"/>
        <item m="1" x="282"/>
        <item m="1" x="1297"/>
        <item m="1" x="1035"/>
        <item m="1" x="458"/>
        <item m="1" x="644"/>
        <item m="1" x="548"/>
        <item m="1" x="910"/>
        <item m="1" x="481"/>
        <item m="1" x="697"/>
        <item m="1" x="992"/>
        <item m="1" x="1117"/>
        <item m="1" x="620"/>
        <item m="1" x="748"/>
        <item m="1" x="560"/>
        <item m="1" x="486"/>
        <item m="1" x="997"/>
        <item m="1" x="1112"/>
        <item m="1" x="1274"/>
        <item m="1" x="316"/>
        <item m="1" x="520"/>
        <item m="1" x="960"/>
        <item m="1" x="361"/>
        <item m="1" x="648"/>
        <item m="1" x="1029"/>
        <item m="1" x="294"/>
        <item m="1" x="504"/>
        <item m="1" x="614"/>
        <item m="1" x="1220"/>
        <item m="1" x="453"/>
        <item m="1" x="723"/>
        <item m="1" x="1276"/>
        <item m="1" x="404"/>
        <item m="1" x="593"/>
        <item m="1" x="781"/>
        <item m="1" x="1118"/>
        <item m="1" x="416"/>
        <item m="1" x="672"/>
        <item m="1" x="514"/>
        <item m="1" x="1010"/>
        <item m="1" x="1196"/>
        <item m="1" x="322"/>
        <item m="1" x="542"/>
        <item m="1" x="1278"/>
        <item m="1" x="1243"/>
        <item m="1" x="343"/>
        <item m="1" x="660"/>
        <item m="1" x="1184"/>
        <item m="1" x="1315"/>
        <item m="1" x="1186"/>
        <item m="1" x="1161"/>
        <item m="1" x="292"/>
        <item m="1" x="468"/>
        <item m="1" x="550"/>
        <item m="1" x="539"/>
        <item m="1" x="766"/>
        <item m="1" x="254"/>
        <item m="1" x="953"/>
        <item m="1" x="1024"/>
        <item m="1" x="206"/>
        <item m="1" x="1284"/>
        <item m="1" x="1146"/>
        <item m="1" x="1275"/>
        <item m="1" x="1305"/>
        <item m="1" x="1341"/>
        <item m="1" x="1279"/>
        <item m="1" x="643"/>
        <item m="1" x="1003"/>
        <item m="1" x="610"/>
        <item m="1" x="1016"/>
        <item m="1" x="981"/>
        <item m="1" x="419"/>
        <item m="1" x="457"/>
        <item m="1" x="595"/>
        <item m="1" x="1060"/>
        <item m="1" x="580"/>
        <item m="1" x="326"/>
        <item m="1" x="1325"/>
        <item m="1" x="1075"/>
        <item m="1" x="908"/>
        <item m="1" x="940"/>
        <item m="1" x="989"/>
        <item m="1" x="414"/>
        <item m="1" x="756"/>
        <item m="1" x="1101"/>
        <item m="1" x="252"/>
        <item m="1" x="495"/>
        <item m="1" x="395"/>
        <item m="1" x="392"/>
        <item m="1" x="396"/>
        <item m="1" x="197"/>
        <item m="1" x="418"/>
        <item m="1" x="1215"/>
        <item m="1" x="219"/>
        <item m="1" x="865"/>
        <item m="1" x="1302"/>
        <item m="1" x="1113"/>
        <item m="1" x="373"/>
        <item m="1" x="1373"/>
        <item m="1" x="302"/>
        <item m="1" x="669"/>
        <item m="1" x="892"/>
        <item m="1" x="348"/>
        <item m="1" x="801"/>
        <item m="1" x="961"/>
        <item m="1" x="1229"/>
        <item m="1" x="1131"/>
        <item m="1" x="210"/>
        <item m="1" x="893"/>
        <item m="1" x="293"/>
        <item m="1" x="529"/>
        <item m="1" x="501"/>
        <item m="1" x="263"/>
        <item m="1" x="856"/>
        <item m="1" x="863"/>
        <item m="1" x="963"/>
        <item m="1" x="712"/>
        <item m="1" x="1212"/>
        <item m="1" x="621"/>
        <item m="1" x="1331"/>
        <item m="1" x="966"/>
        <item m="1" x="857"/>
        <item m="1" x="521"/>
        <item m="1" x="929"/>
        <item m="1" x="1227"/>
        <item m="1" x="1292"/>
        <item m="1" x="1271"/>
        <item m="1" x="1201"/>
        <item m="1" x="950"/>
        <item m="1" x="1063"/>
        <item m="1" x="576"/>
        <item m="1" x="1025"/>
        <item m="1" x="850"/>
        <item m="1" x="809"/>
        <item m="1" x="807"/>
        <item m="1" x="808"/>
        <item m="1" x="505"/>
        <item m="1" x="549"/>
        <item m="1" x="1162"/>
        <item m="1" x="727"/>
        <item m="1" x="569"/>
        <item m="1" x="611"/>
        <item m="1" x="657"/>
        <item m="1" x="909"/>
        <item m="1" x="1247"/>
        <item m="1" x="1336"/>
        <item m="1" x="454"/>
        <item m="1" x="405"/>
        <item m="1" x="242"/>
        <item m="1" x="264"/>
        <item m="1" x="561"/>
        <item m="1" x="349"/>
        <item m="1" x="677"/>
        <item m="1" x="1213"/>
        <item m="1" x="554"/>
        <item m="1" x="346"/>
        <item m="1" x="1105"/>
        <item m="1" x="223"/>
        <item m="1" x="1231"/>
        <item m="1" x="1306"/>
        <item m="1" x="1370"/>
        <item m="1" x="1245"/>
        <item m="1" x="488"/>
        <item m="1" x="265"/>
        <item m="1" x="729"/>
        <item m="1" x="813"/>
        <item m="1" x="1009"/>
        <item m="1" x="977"/>
        <item m="1" x="1013"/>
        <item m="1" x="790"/>
        <item m="1" x="828"/>
        <item m="1" x="1269"/>
        <item m="1" x="1032"/>
        <item m="1" x="1002"/>
        <item m="1" x="941"/>
        <item m="1" x="1014"/>
        <item m="1" x="215"/>
        <item m="1" x="220"/>
        <item m="1" x="823"/>
        <item m="1" x="1208"/>
        <item m="1" x="778"/>
        <item m="1" x="1348"/>
        <item m="1" x="747"/>
        <item m="1" x="923"/>
        <item m="1" x="994"/>
        <item m="1" x="608"/>
        <item m="1" x="440"/>
        <item m="1" x="816"/>
        <item m="1" x="502"/>
        <item m="1" x="1357"/>
        <item m="1" x="1272"/>
        <item m="1" x="1085"/>
        <item m="1" x="342"/>
        <item m="1" x="269"/>
        <item m="1" x="842"/>
        <item m="1" x="1086"/>
        <item m="1" x="1375"/>
        <item m="1" x="721"/>
        <item m="1" x="1322"/>
        <item m="1" x="256"/>
        <item m="1" x="370"/>
        <item m="1" x="682"/>
        <item m="1" x="773"/>
        <item m="1" x="1202"/>
        <item m="1" x="526"/>
        <item m="1" x="1205"/>
        <item m="1" x="622"/>
        <item m="1" x="1194"/>
        <item m="1" x="1358"/>
        <item m="1" x="286"/>
        <item m="1" x="1342"/>
        <item m="1" x="233"/>
        <item m="1" x="1095"/>
        <item m="1" x="713"/>
        <item m="1" x="544"/>
        <item m="1" x="507"/>
        <item m="1" x="651"/>
        <item m="1" x="250"/>
        <item m="1" x="1335"/>
        <item m="1" x="334"/>
        <item m="1" x="355"/>
        <item m="1" x="1228"/>
        <item m="1" x="1307"/>
        <item m="1" x="821"/>
        <item m="1" x="962"/>
        <item m="1" x="663"/>
        <item m="1" x="776"/>
        <item m="1" x="925"/>
        <item m="1" x="1042"/>
        <item m="1" x="629"/>
        <item m="1" x="905"/>
        <item m="1" x="724"/>
        <item m="1" x="1361"/>
        <item m="1" x="214"/>
        <item m="1" x="653"/>
        <item m="1" x="594"/>
        <item m="1" x="555"/>
        <item m="1" x="1349"/>
        <item m="1" x="1167"/>
        <item m="1" x="1298"/>
        <item m="1" x="311"/>
        <item m="1" x="1309"/>
        <item m="1" x="1296"/>
        <item m="1" x="1173"/>
        <item m="1" x="408"/>
        <item m="1" x="777"/>
        <item m="1" x="870"/>
        <item m="1" x="616"/>
        <item m="1" x="1214"/>
        <item m="1" x="1000"/>
        <item m="1" x="1020"/>
        <item m="1" x="914"/>
        <item m="1" x="257"/>
        <item m="1" x="1087"/>
        <item m="1" x="1249"/>
        <item m="1" x="654"/>
        <item m="1" x="1368"/>
        <item m="1" x="862"/>
        <item m="1" x="449"/>
        <item m="1" x="582"/>
        <item m="1" x="618"/>
        <item m="1" x="1277"/>
        <item m="1" x="1261"/>
        <item m="1" x="321"/>
        <item m="1" x="323"/>
        <item m="1" x="237"/>
        <item m="1" x="1197"/>
        <item m="1" x="239"/>
        <item m="1" x="656"/>
        <item m="1" x="556"/>
        <item m="1" x="1012"/>
        <item m="1" x="955"/>
        <item m="1" x="1304"/>
        <item m="1" x="1236"/>
        <item m="1" x="728"/>
        <item m="1" x="942"/>
        <item m="1" x="1177"/>
        <item m="1" x="290"/>
        <item m="1" x="722"/>
        <item m="1" x="652"/>
        <item m="1" x="1346"/>
        <item m="1" x="1313"/>
        <item m="1" x="744"/>
        <item m="1" x="350"/>
        <item m="1" x="645"/>
        <item m="1" x="818"/>
        <item m="1" x="272"/>
        <item m="1" x="1108"/>
        <item m="1" x="702"/>
        <item m="1" x="512"/>
        <item m="1" x="606"/>
        <item m="1" x="1052"/>
        <item m="1" x="1351"/>
        <item m="1" x="430"/>
        <item m="1" x="1203"/>
        <item m="1" x="424"/>
        <item m="1" x="988"/>
        <item m="1" x="760"/>
        <item m="1" x="691"/>
        <item m="1" x="413"/>
        <item m="1" x="480"/>
        <item m="1" x="268"/>
        <item m="1" x="1068"/>
        <item m="1" x="581"/>
        <item m="1" x="305"/>
        <item m="1" x="919"/>
        <item m="1" x="1234"/>
        <item m="1" x="774"/>
        <item m="1" x="732"/>
        <item m="1" x="203"/>
        <item m="1" x="1339"/>
        <item m="1" x="589"/>
        <item m="1" x="649"/>
        <item m="1" x="1056"/>
        <item m="1" x="1333"/>
        <item m="1" x="1258"/>
        <item m="1" x="1109"/>
        <item m="1" x="1224"/>
        <item m="1" x="385"/>
        <item m="1" x="584"/>
        <item m="1" x="417"/>
        <item m="1" x="209"/>
        <item m="1" x="822"/>
        <item m="1" x="271"/>
        <item m="1" x="493"/>
        <item m="1" x="437"/>
        <item m="1" x="383"/>
        <item m="1" x="1338"/>
        <item m="1" x="434"/>
        <item m="1" x="1036"/>
        <item m="1" x="1248"/>
        <item m="1" x="374"/>
        <item m="1" x="278"/>
        <item m="1" x="1071"/>
        <item m="1" x="1047"/>
        <item m="1" x="1088"/>
        <item m="1" x="1007"/>
        <item m="1" x="351"/>
        <item m="1" x="707"/>
        <item m="1" x="975"/>
        <item m="1" x="1225"/>
        <item m="1" x="819"/>
        <item m="1" x="937"/>
        <item m="1" x="1281"/>
        <item m="1" x="693"/>
        <item m="1" x="537"/>
        <item m="1" x="770"/>
        <item m="1" x="717"/>
        <item m="1" x="647"/>
        <item m="1" x="1164"/>
        <item m="1" x="851"/>
        <item m="1" x="947"/>
        <item m="1" x="198"/>
        <item m="1" x="743"/>
        <item m="1" x="345"/>
        <item m="1" x="612"/>
        <item m="1" x="750"/>
        <item m="1" x="280"/>
        <item m="1" x="397"/>
        <item m="1" x="852"/>
        <item m="1" x="1049"/>
        <item m="1" x="1319"/>
        <item m="1" x="1362"/>
        <item m="1" x="972"/>
        <item m="1" x="320"/>
        <item m="1" x="248"/>
        <item m="1" x="834"/>
        <item m="1" x="456"/>
        <item m="1" x="730"/>
        <item m="1" x="358"/>
        <item m="1" x="461"/>
        <item m="1" x="888"/>
        <item m="1" x="1244"/>
        <item m="1" x="1175"/>
        <item m="1" x="591"/>
        <item m="1" x="626"/>
        <item m="1" x="902"/>
        <item m="1" x="1332"/>
        <item m="1" x="1058"/>
        <item m="1" x="224"/>
        <item m="1" x="1286"/>
        <item m="1" x="332"/>
        <item m="1" x="978"/>
        <item m="1" x="1023"/>
        <item m="1" x="1026"/>
        <item m="1" x="1366"/>
        <item m="1" x="259"/>
        <item m="1" x="1037"/>
        <item m="1" x="1134"/>
        <item m="1" x="906"/>
        <item m="1" x="1076"/>
        <item m="1" x="318"/>
        <item m="1" x="710"/>
        <item m="1" x="557"/>
        <item m="1" x="1169"/>
        <item m="1" x="1264"/>
        <item m="1" x="793"/>
        <item m="1" x="1232"/>
        <item m="1" x="1280"/>
        <item m="1" x="633"/>
        <item m="1" x="1136"/>
        <item m="1" x="999"/>
        <item m="1" x="1282"/>
        <item m="1" x="1326"/>
        <item m="1" x="1064"/>
        <item m="1" x="674"/>
        <item m="1" x="479"/>
        <item m="1" x="1314"/>
        <item m="1" x="861"/>
        <item m="1" x="835"/>
        <item m="1" x="844"/>
        <item m="1" x="1365"/>
        <item m="1" x="1089"/>
        <item m="1" x="784"/>
        <item m="1" x="1053"/>
        <item m="1" x="1030"/>
        <item m="1" x="646"/>
        <item m="1" x="547"/>
        <item m="1" x="1046"/>
        <item m="1" x="441"/>
        <item m="1" x="398"/>
        <item m="1" x="340"/>
        <item m="1" x="1327"/>
        <item m="1" x="943"/>
        <item m="1" x="678"/>
        <item m="1" x="759"/>
        <item m="1" x="240"/>
        <item m="1" x="1316"/>
        <item m="1" x="867"/>
        <item m="1" x="1015"/>
        <item m="1" x="463"/>
        <item m="1" x="1147"/>
        <item m="1" x="650"/>
        <item m="1" x="543"/>
        <item m="1" x="1371"/>
        <item m="1" x="673"/>
        <item m="1" x="1312"/>
        <item m="1" x="898"/>
        <item m="1" x="574"/>
        <item m="1" x="365"/>
        <item m="1" x="308"/>
        <item m="1" x="602"/>
        <item m="1" x="299"/>
        <item m="1" x="270"/>
        <item m="1" x="287"/>
        <item m="1" x="566"/>
        <item m="1" x="411"/>
        <item m="1" x="718"/>
        <item m="1" x="775"/>
        <item m="1" x="874"/>
        <item m="1" x="745"/>
        <item m="1" x="1078"/>
        <item m="1" x="1142"/>
        <item m="1" x="354"/>
        <item m="1" x="364"/>
        <item m="1" x="553"/>
        <item m="1" x="695"/>
        <item m="1" x="485"/>
        <item m="1" x="1038"/>
        <item m="1" x="788"/>
        <item m="1" x="705"/>
        <item m="1" x="838"/>
        <item m="1" x="1144"/>
        <item m="1" x="1082"/>
        <item m="1" x="1168"/>
        <item m="1" x="924"/>
        <item m="1" x="344"/>
        <item m="1" x="1350"/>
        <item m="1" x="763"/>
        <item m="1" x="378"/>
        <item m="1" x="202"/>
        <item m="1" x="1347"/>
        <item m="1" x="831"/>
        <item m="1" x="798"/>
        <item m="1" x="570"/>
        <item m="1" x="450"/>
        <item m="1" x="534"/>
        <item m="1" x="688"/>
        <item m="1" x="1263"/>
        <item m="1" x="1182"/>
        <item m="1" x="558"/>
        <item m="1" x="631"/>
        <item m="1" x="638"/>
        <item m="1" x="1176"/>
        <item m="1" x="779"/>
        <item m="1" x="251"/>
        <item m="1" x="812"/>
        <item m="1" x="1091"/>
        <item m="1" x="1217"/>
        <item m="1" x="1110"/>
        <item m="1" x="918"/>
        <item m="1" x="1216"/>
        <item m="1" x="230"/>
        <item m="1" x="1133"/>
        <item m="1" x="212"/>
        <item m="1" x="552"/>
        <item m="1" x="216"/>
        <item m="1" x="375"/>
        <item m="1" x="465"/>
        <item m="1" x="471"/>
        <item m="1" x="889"/>
        <item m="1" x="1143"/>
        <item m="1" x="670"/>
        <item m="1" x="241"/>
        <item m="1" x="447"/>
        <item m="1" x="235"/>
        <item m="1" x="1230"/>
        <item m="1" x="455"/>
        <item m="1" x="791"/>
        <item m="1" x="1250"/>
        <item m="1" x="577"/>
        <item m="1" x="519"/>
        <item m="1" x="915"/>
        <item m="1" x="472"/>
        <item m="1" x="780"/>
        <item m="1" x="1074"/>
        <item m="1" x="213"/>
        <item m="1" x="726"/>
        <item m="1" x="845"/>
        <item m="1" x="337"/>
        <item m="1" x="679"/>
        <item m="1" x="814"/>
        <item m="1" x="565"/>
        <item m="1" x="603"/>
        <item m="1" x="330"/>
        <item m="1" x="736"/>
        <item m="1" x="200"/>
        <item m="1" x="872"/>
        <item m="1" x="1265"/>
        <item m="1" x="986"/>
        <item m="1" x="980"/>
        <item m="1" x="879"/>
        <item m="1" x="205"/>
        <item m="1" x="1011"/>
        <item m="1" x="1054"/>
        <item m="1" x="860"/>
        <item m="1" x="204"/>
        <item m="1" x="1211"/>
        <item m="1" x="1178"/>
        <item m="1" x="208"/>
        <item m="1" x="487"/>
        <item m="1" x="877"/>
        <item m="1" x="1132"/>
        <item m="1" x="329"/>
        <item m="1" x="225"/>
        <item m="1" x="384"/>
        <item m="1" x="275"/>
        <item m="1" x="683"/>
        <item m="1" x="496"/>
        <item m="1" x="494"/>
        <item m="1" x="665"/>
        <item m="1" x="767"/>
        <item m="1" x="671"/>
        <item m="1" x="868"/>
        <item m="1" x="720"/>
        <item m="1" x="585"/>
        <item m="1" x="700"/>
        <item m="1" x="1193"/>
        <item m="1" x="1288"/>
        <item m="1" x="545"/>
        <item m="1" x="1268"/>
        <item m="1" x="310"/>
        <item m="1" x="1257"/>
        <item m="1" x="954"/>
        <item m="1" x="1125"/>
        <item m="1" x="1204"/>
        <item m="1" x="884"/>
        <item m="1" x="1096"/>
        <item m="1" x="388"/>
        <item m="1" x="371"/>
        <item m="1" x="993"/>
        <item m="1" x="965"/>
        <item m="1" x="527"/>
        <item m="1" x="1363"/>
        <item m="1" x="935"/>
        <item m="1" x="675"/>
        <item m="1" x="749"/>
        <item m="1" x="708"/>
        <item m="1" x="1218"/>
        <item m="1" x="1222"/>
        <item m="1" x="218"/>
        <item m="1" x="1102"/>
        <item m="1" x="1148"/>
        <item m="1" x="267"/>
        <item m="1" x="639"/>
        <item m="1" x="630"/>
        <item m="1" x="1137"/>
        <item m="1" x="836"/>
        <item m="1" x="1040"/>
        <item m="1" x="706"/>
        <item m="1" x="1057"/>
        <item m="1" x="245"/>
        <item m="1" x="368"/>
        <item m="1" x="1337"/>
        <item m="1" x="957"/>
        <item m="1" x="1329"/>
        <item m="1" x="249"/>
        <item m="1" x="509"/>
        <item m="1" x="325"/>
        <item m="1" x="258"/>
        <item m="1" x="273"/>
        <item m="1" x="825"/>
        <item m="1" x="858"/>
        <item m="1" x="530"/>
        <item m="1" x="948"/>
        <item m="1" x="1266"/>
        <item m="1" x="617"/>
        <item m="1" x="696"/>
        <item m="1" x="846"/>
        <item m="1" x="1334"/>
        <item m="1" x="511"/>
        <item m="1" x="523"/>
        <item m="1" x="533"/>
        <item m="1" x="1154"/>
        <item m="1" x="1290"/>
        <item m="1" x="207"/>
        <item m="1" x="1034"/>
        <item m="1" x="1330"/>
        <item m="1" x="431"/>
        <item m="1" x="746"/>
        <item m="1" x="1367"/>
        <item m="1" x="1273"/>
        <item m="1" x="420"/>
        <item m="1" x="532"/>
        <item m="1" x="619"/>
        <item m="1" x="944"/>
        <item m="1" x="1141"/>
        <item m="1" x="376"/>
        <item m="1" x="847"/>
        <item m="1" x="372"/>
        <item m="1" x="341"/>
        <item m="1" x="289"/>
        <item m="1" x="1260"/>
        <item m="1" x="853"/>
        <item m="1" x="1301"/>
        <item m="1" x="694"/>
        <item m="1" x="1318"/>
        <item m="1" x="1070"/>
        <item m="1" x="359"/>
        <item m="1" x="1174"/>
        <item m="1" x="1188"/>
        <item m="1" x="848"/>
        <item m="1" x="1223"/>
        <item m="1" x="1061"/>
        <item m="1" x="926"/>
        <item m="1" x="243"/>
        <item m="1" x="1072"/>
        <item m="1" x="804"/>
        <item m="1" x="737"/>
        <item m="1" x="1080"/>
        <item m="1" x="664"/>
        <item m="1" x="298"/>
        <item m="1" x="470"/>
        <item m="1" x="247"/>
        <item m="1" x="596"/>
        <item m="1" x="974"/>
        <item m="1" x="559"/>
        <item m="1" x="422"/>
        <item m="1" x="637"/>
        <item m="1" x="315"/>
        <item m="1" x="567"/>
        <item m="1" x="438"/>
        <item m="1" x="789"/>
        <item m="1" x="1376"/>
        <item m="1" x="830"/>
        <item m="1" x="426"/>
        <item m="1" x="703"/>
        <item m="1" x="409"/>
        <item m="1" x="462"/>
        <item m="1" x="754"/>
        <item m="1" x="1022"/>
        <item m="1" x="739"/>
        <item m="1" x="1189"/>
        <item m="1" x="751"/>
        <item m="1" x="985"/>
        <item m="1" x="300"/>
        <item m="1" x="783"/>
        <item m="1" x="423"/>
        <item m="1" x="353"/>
        <item m="1" x="1079"/>
        <item m="1" x="394"/>
        <item m="1" x="1103"/>
        <item m="1" x="295"/>
        <item m="1" x="920"/>
        <item m="1" x="927"/>
        <item m="1" x="331"/>
        <item m="1" x="849"/>
        <item m="1" x="227"/>
        <item m="1" x="1050"/>
        <item m="1" x="755"/>
        <item m="1" x="976"/>
        <item m="1" x="945"/>
        <item m="1" x="1165"/>
        <item m="1" x="938"/>
        <item m="1" x="516"/>
        <item m="1" x="1017"/>
        <item m="1" x="1151"/>
        <item m="1" x="841"/>
        <item m="1" x="973"/>
        <item m="1" x="306"/>
        <item m="1" x="1139"/>
        <item m="1" x="796"/>
        <item m="1" x="661"/>
        <item m="1" x="1045"/>
        <item m="1" x="571"/>
        <item m="1" x="894"/>
        <item m="1" x="428"/>
        <item m="1" x="524"/>
        <item m="1" x="921"/>
        <item m="1" x="690"/>
        <item m="1" x="234"/>
        <item m="1" x="568"/>
        <item m="1" x="1048"/>
        <item m="1" x="1150"/>
        <item m="1" x="253"/>
        <item m="1" x="538"/>
        <item m="1" x="473"/>
        <item m="1" x="806"/>
        <item m="1" x="899"/>
        <item m="1" x="339"/>
        <item m="1" x="1321"/>
        <item m="1" x="304"/>
        <item m="1" x="377"/>
        <item m="1" x="1158"/>
        <item m="1" x="666"/>
        <item m="1" x="680"/>
        <item m="1" x="734"/>
        <item m="1" x="309"/>
        <item m="1" x="588"/>
        <item m="1" x="983"/>
        <item m="1" x="895"/>
        <item m="1" x="685"/>
        <item m="1" x="632"/>
        <item m="1" x="262"/>
        <item m="1" x="500"/>
        <item m="1" x="964"/>
        <item m="1" x="598"/>
        <item m="1" x="761"/>
        <item m="1" x="698"/>
        <item m="1" x="880"/>
        <item m="1" x="244"/>
        <item m="1" x="725"/>
        <item m="1" x="399"/>
        <item m="1" x="802"/>
        <item m="1" x="928"/>
        <item m="1" x="1004"/>
        <item m="1" x="939"/>
        <item m="1" x="900"/>
        <item m="1" x="826"/>
        <item m="1" x="1237"/>
        <item m="1" x="1129"/>
        <item m="1" x="380"/>
        <item m="1" x="1121"/>
        <item m="1" x="575"/>
        <item m="1" x="885"/>
        <item m="1" x="291"/>
        <item m="1" x="864"/>
        <item m="1" x="731"/>
        <item m="1" x="1163"/>
        <item m="1" x="317"/>
        <item m="1" x="1374"/>
        <item m="1" x="356"/>
        <item m="1" x="296"/>
        <item m="1" x="866"/>
        <item m="1" x="1066"/>
        <item m="1" x="969"/>
        <item m="1" x="255"/>
        <item m="1" x="407"/>
        <item m="1" x="1195"/>
        <item m="1" x="1135"/>
        <item m="1" x="390"/>
        <item m="1" x="363"/>
        <item m="1" x="658"/>
        <item m="1" x="279"/>
        <item m="1" x="886"/>
        <item m="1" x="319"/>
        <item m="1" x="489"/>
        <item m="1" x="786"/>
        <item m="1" x="1317"/>
        <item m="1" x="357"/>
        <item m="1" x="627"/>
        <item m="1" x="474"/>
        <item m="1" x="636"/>
        <item m="1" x="1190"/>
        <item m="1" x="1073"/>
        <item m="1" x="535"/>
        <item m="1" x="288"/>
        <item m="1" x="1238"/>
        <item m="1" x="401"/>
        <item m="1" x="1183"/>
        <item m="1" x="740"/>
        <item m="1" x="1124"/>
        <item m="1" x="483"/>
        <item m="1" x="655"/>
        <item m="1" x="1140"/>
        <item m="1" x="1328"/>
        <item m="1" x="1104"/>
        <item m="1" x="503"/>
        <item m="1" x="446"/>
        <item m="1" x="1149"/>
        <item m="1" x="913"/>
        <item m="1" x="757"/>
        <item m="1" x="1181"/>
        <item m="1" x="229"/>
        <item m="1" x="226"/>
        <item m="1" x="901"/>
        <item m="1" x="1041"/>
        <item m="1" x="996"/>
        <item m="1" x="1179"/>
        <item m="1" x="704"/>
        <item m="1" x="451"/>
        <item m="1" x="525"/>
        <item m="1" x="1055"/>
        <item m="1" x="607"/>
        <item m="1" x="837"/>
        <item m="1" x="1252"/>
        <item m="1" x="490"/>
        <item m="1" x="827"/>
        <item m="1" x="211"/>
        <item m="1" x="5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m="1" x="528"/>
        <item m="1" x="1289"/>
        <item m="1" x="231"/>
        <item m="1" x="19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5">
    <i>
      <x/>
    </i>
    <i r="1">
      <x v="1367"/>
    </i>
    <i r="2">
      <x v="8"/>
    </i>
    <i r="1">
      <x v="1368"/>
    </i>
    <i r="2">
      <x v="8"/>
    </i>
    <i r="2">
      <x v="11"/>
    </i>
    <i r="1">
      <x v="1369"/>
    </i>
    <i r="2">
      <x v="8"/>
    </i>
    <i r="1">
      <x v="1370"/>
    </i>
    <i r="2">
      <x v="8"/>
    </i>
    <i r="1">
      <x v="1371"/>
    </i>
    <i r="2">
      <x v="8"/>
    </i>
    <i r="1">
      <x v="1372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14" totalsRowShown="0" totalsRowDxfId="24">
  <autoFilter ref="A1:C1114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298" totalsRowShown="0">
  <autoFilter ref="A1:S1298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5" totalsRowShown="0">
  <autoFilter ref="A1:B12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71">
        <v>110</v>
      </c>
      <c r="C5"/>
      <c r="D5"/>
      <c r="E5"/>
    </row>
    <row r="6" spans="1:6">
      <c r="A6" s="67" t="s">
        <v>3196</v>
      </c>
      <c r="B6" s="71">
        <v>1</v>
      </c>
      <c r="C6"/>
      <c r="D6"/>
      <c r="E6"/>
    </row>
    <row r="7" spans="1:6">
      <c r="A7" s="68" t="s">
        <v>370</v>
      </c>
      <c r="B7" s="71">
        <v>1</v>
      </c>
      <c r="C7"/>
      <c r="D7"/>
      <c r="E7"/>
    </row>
    <row r="8" spans="1:6">
      <c r="A8" s="67" t="s">
        <v>3205</v>
      </c>
      <c r="B8" s="71">
        <v>4</v>
      </c>
      <c r="C8" s="56"/>
      <c r="D8"/>
      <c r="E8"/>
    </row>
    <row r="9" spans="1:6">
      <c r="A9" s="68" t="s">
        <v>370</v>
      </c>
      <c r="B9" s="71">
        <v>1</v>
      </c>
      <c r="C9"/>
      <c r="D9"/>
    </row>
    <row r="10" spans="1:6">
      <c r="A10" s="68" t="s">
        <v>375</v>
      </c>
      <c r="B10" s="71">
        <v>3</v>
      </c>
      <c r="C10" s="53"/>
      <c r="D10"/>
    </row>
    <row r="11" spans="1:6">
      <c r="A11" s="67" t="s">
        <v>3206</v>
      </c>
      <c r="B11" s="71">
        <v>2</v>
      </c>
      <c r="C11"/>
      <c r="D11"/>
    </row>
    <row r="12" spans="1:6">
      <c r="A12" s="68" t="s">
        <v>370</v>
      </c>
      <c r="B12" s="71">
        <v>2</v>
      </c>
      <c r="C12"/>
      <c r="D12"/>
    </row>
    <row r="13" spans="1:6">
      <c r="A13" s="67" t="s">
        <v>3209</v>
      </c>
      <c r="B13" s="71">
        <v>1</v>
      </c>
      <c r="C13"/>
      <c r="D13"/>
    </row>
    <row r="14" spans="1:6">
      <c r="A14" s="68" t="s">
        <v>370</v>
      </c>
      <c r="B14" s="71">
        <v>1</v>
      </c>
      <c r="C14" s="53"/>
      <c r="D14"/>
    </row>
    <row r="15" spans="1:6">
      <c r="A15" s="67" t="s">
        <v>3212</v>
      </c>
      <c r="B15" s="71">
        <v>101</v>
      </c>
      <c r="C15"/>
      <c r="D15"/>
    </row>
    <row r="16" spans="1:6">
      <c r="A16" s="68" t="s">
        <v>370</v>
      </c>
      <c r="B16" s="71">
        <v>101</v>
      </c>
      <c r="C16"/>
      <c r="D16"/>
    </row>
    <row r="17" spans="1:4">
      <c r="A17" s="67" t="s">
        <v>3409</v>
      </c>
      <c r="B17" s="71">
        <v>1</v>
      </c>
      <c r="C17"/>
      <c r="D17"/>
    </row>
    <row r="18" spans="1:4">
      <c r="A18" s="68" t="s">
        <v>370</v>
      </c>
      <c r="B18" s="71">
        <v>1</v>
      </c>
      <c r="C18"/>
      <c r="D18"/>
    </row>
    <row r="19" spans="1:4">
      <c r="A19" s="17" t="s">
        <v>381</v>
      </c>
      <c r="B19" s="71">
        <v>110</v>
      </c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14"/>
  <sheetViews>
    <sheetView topLeftCell="A1085" workbookViewId="0">
      <selection activeCell="C1113" sqref="C1113:C111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298"/>
  <sheetViews>
    <sheetView tabSelected="1" topLeftCell="A1272" zoomScale="85" zoomScaleNormal="85" workbookViewId="0">
      <selection activeCell="D1284" sqref="D128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100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75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75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75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75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75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75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75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75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75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75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75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71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68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68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68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68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68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68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68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68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68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68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68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68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68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68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68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68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68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68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68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68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68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68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68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68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68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68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68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68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68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68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68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68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68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68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68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68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68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68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68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68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68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67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67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67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67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67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67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67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67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67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67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67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67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67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67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67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67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67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67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67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67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67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67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67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67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67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67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67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67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67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67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67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67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67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67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67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67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67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67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67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67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67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67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67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67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67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67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67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67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67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67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67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67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67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67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67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67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67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67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67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66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66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66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66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66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65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65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63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63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62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59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59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59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59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59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59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59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59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59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59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59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59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59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59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59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59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59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59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59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59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59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58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58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58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58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58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53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53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53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48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48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48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48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48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48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48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48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48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48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48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48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48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48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48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48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48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48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44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44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44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39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38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38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38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38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38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38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38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38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38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38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38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38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24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24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23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23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23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>
      <c r="A1185" t="s">
        <v>3196</v>
      </c>
      <c r="B1185" s="71" t="str">
        <f>IFERROR(VLOOKUP(Proc[[#This Row],[App]],Table2[],3,0),"open")</f>
        <v>open</v>
      </c>
      <c r="C1185" t="s">
        <v>370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/>
      <c r="O1185" s="81"/>
      <c r="P1185" s="82" t="str">
        <f ca="1">IF(Proc[[#This Row],[DaysAgeing]]&gt;5,"yep","on track")</f>
        <v>on track</v>
      </c>
      <c r="Q1185" s="3">
        <f ca="1">IF(Proc[[#This Row],[DateClosed]]="",ABS(NETWORKDAYS(Proc[[#This Row],[DateOpened]],TODAY()))-1,ABS(NETWORKDAYS(Proc[[#This Row],[DateOpened]],Proc[[#This Row],[DateClosed]]))-1)</f>
        <v>5</v>
      </c>
      <c r="R1185" s="82" t="s">
        <v>3199</v>
      </c>
      <c r="S1185" s="71"/>
    </row>
    <row r="1186" spans="1:19">
      <c r="A1186" t="s">
        <v>3205</v>
      </c>
      <c r="B1186" s="71" t="str">
        <f>IFERROR(VLOOKUP(Proc[[#This Row],[App]],Table2[],3,0),"open")</f>
        <v>open</v>
      </c>
      <c r="C1186" s="74" t="s">
        <v>370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/>
      <c r="O1186" s="81"/>
      <c r="P1186" s="82" t="str">
        <f ca="1">IF(Proc[[#This Row],[DaysAgeing]]&gt;5,"yep","on track")</f>
        <v>on track</v>
      </c>
      <c r="Q1186" s="3">
        <f ca="1">IF(Proc[[#This Row],[DateClosed]]="",ABS(NETWORKDAYS(Proc[[#This Row],[DateOpened]],TODAY()))-1,ABS(NETWORKDAYS(Proc[[#This Row],[DateOpened]],Proc[[#This Row],[DateClosed]]))-1)</f>
        <v>4</v>
      </c>
      <c r="R1186" s="82" t="s">
        <v>1530</v>
      </c>
      <c r="S1186" s="71"/>
    </row>
    <row r="1187" spans="1:19">
      <c r="A1187" s="74" t="s">
        <v>3205</v>
      </c>
      <c r="B1187" s="71" t="str">
        <f>IFERROR(VLOOKUP(Proc[[#This Row],[App]],Table2[],3,0),"open")</f>
        <v>open</v>
      </c>
      <c r="C1187" s="74" t="s">
        <v>375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/>
      <c r="O1187" s="81"/>
      <c r="P1187" s="82" t="str">
        <f ca="1">IF(Proc[[#This Row],[DaysAgeing]]&gt;5,"yep","on track")</f>
        <v>on track</v>
      </c>
      <c r="Q1187" s="3">
        <f ca="1">IF(Proc[[#This Row],[DateClosed]]="",ABS(NETWORKDAYS(Proc[[#This Row],[DateOpened]],TODAY()))-1,ABS(NETWORKDAYS(Proc[[#This Row],[DateOpened]],Proc[[#This Row],[DateClosed]]))-1)</f>
        <v>4</v>
      </c>
      <c r="R1187" s="82" t="s">
        <v>1530</v>
      </c>
      <c r="S1187" s="71"/>
    </row>
    <row r="1188" spans="1:19">
      <c r="A1188" s="74" t="s">
        <v>3205</v>
      </c>
      <c r="B1188" s="71" t="str">
        <f>IFERROR(VLOOKUP(Proc[[#This Row],[App]],Table2[],3,0),"open")</f>
        <v>open</v>
      </c>
      <c r="C1188" s="74" t="s">
        <v>375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/>
      <c r="O1188" s="81"/>
      <c r="P1188" s="82" t="str">
        <f ca="1">IF(Proc[[#This Row],[DaysAgeing]]&gt;5,"yep","on track")</f>
        <v>on track</v>
      </c>
      <c r="Q1188" s="3">
        <f ca="1">IF(Proc[[#This Row],[DateClosed]]="",ABS(NETWORKDAYS(Proc[[#This Row],[DateOpened]],TODAY()))-1,ABS(NETWORKDAYS(Proc[[#This Row],[DateOpened]],Proc[[#This Row],[DateClosed]]))-1)</f>
        <v>4</v>
      </c>
      <c r="R1188" s="82" t="s">
        <v>1530</v>
      </c>
      <c r="S1188" s="71"/>
    </row>
    <row r="1189" spans="1:19">
      <c r="A1189" s="74" t="s">
        <v>3205</v>
      </c>
      <c r="B1189" s="71" t="str">
        <f>IFERROR(VLOOKUP(Proc[[#This Row],[App]],Table2[],3,0),"open")</f>
        <v>open</v>
      </c>
      <c r="C1189" s="74" t="s">
        <v>375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/>
      <c r="O1189" s="81"/>
      <c r="P1189" s="82" t="str">
        <f ca="1">IF(Proc[[#This Row],[DaysAgeing]]&gt;5,"yep","on track")</f>
        <v>on track</v>
      </c>
      <c r="Q1189" s="3">
        <f ca="1">IF(Proc[[#This Row],[DateClosed]]="",ABS(NETWORKDAYS(Proc[[#This Row],[DateOpened]],TODAY()))-1,ABS(NETWORKDAYS(Proc[[#This Row],[DateOpened]],Proc[[#This Row],[DateClosed]]))-1)</f>
        <v>4</v>
      </c>
      <c r="R1189" s="82" t="s">
        <v>1530</v>
      </c>
      <c r="S1189" s="71"/>
    </row>
    <row r="1190" spans="1:19">
      <c r="A1190" t="s">
        <v>3206</v>
      </c>
      <c r="B1190" s="71" t="str">
        <f>IFERROR(VLOOKUP(Proc[[#This Row],[App]],Table2[],3,0),"open")</f>
        <v>open</v>
      </c>
      <c r="C1190" s="74" t="s">
        <v>370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/>
      <c r="O1190" s="81"/>
      <c r="P1190" s="82" t="str">
        <f ca="1">IF(Proc[[#This Row],[DaysAgeing]]&gt;5,"yep","on track")</f>
        <v>on track</v>
      </c>
      <c r="Q1190" s="3">
        <f ca="1">IF(Proc[[#This Row],[DateClosed]]="",ABS(NETWORKDAYS(Proc[[#This Row],[DateOpened]],TODAY()))-1,ABS(NETWORKDAYS(Proc[[#This Row],[DateOpened]],Proc[[#This Row],[DateClosed]]))-1)</f>
        <v>4</v>
      </c>
      <c r="R1190" s="82" t="s">
        <v>508</v>
      </c>
      <c r="S1190" s="71"/>
    </row>
    <row r="1191" spans="1:19">
      <c r="A1191" t="s">
        <v>3206</v>
      </c>
      <c r="B1191" s="71" t="str">
        <f>IFERROR(VLOOKUP(Proc[[#This Row],[App]],Table2[],3,0),"open")</f>
        <v>open</v>
      </c>
      <c r="C1191" s="74" t="s">
        <v>370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/>
      <c r="O1191" s="81"/>
      <c r="P1191" s="82" t="str">
        <f ca="1">IF(Proc[[#This Row],[DaysAgeing]]&gt;5,"yep","on track")</f>
        <v>on track</v>
      </c>
      <c r="Q1191" s="3">
        <f ca="1">IF(Proc[[#This Row],[DateClosed]]="",ABS(NETWORKDAYS(Proc[[#This Row],[DateOpened]],TODAY()))-1,ABS(NETWORKDAYS(Proc[[#This Row],[DateOpened]],Proc[[#This Row],[DateClosed]]))-1)</f>
        <v>4</v>
      </c>
      <c r="R1191" s="82" t="s">
        <v>508</v>
      </c>
      <c r="S1191" s="71"/>
    </row>
    <row r="1192" spans="1:19">
      <c r="A1192" t="s">
        <v>3209</v>
      </c>
      <c r="B1192" s="71" t="str">
        <f>IFERROR(VLOOKUP(Proc[[#This Row],[App]],Table2[],3,0),"open")</f>
        <v>open</v>
      </c>
      <c r="C1192" s="74" t="s">
        <v>370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/>
      <c r="O1192" s="81"/>
      <c r="P1192" s="82" t="str">
        <f ca="1">IF(Proc[[#This Row],[DaysAgeing]]&gt;5,"yep","on track")</f>
        <v>on track</v>
      </c>
      <c r="Q1192" s="3">
        <f ca="1">IF(Proc[[#This Row],[DateClosed]]="",ABS(NETWORKDAYS(Proc[[#This Row],[DateOpened]],TODAY()))-1,ABS(NETWORKDAYS(Proc[[#This Row],[DateOpened]],Proc[[#This Row],[DateClosed]]))-1)</f>
        <v>4</v>
      </c>
      <c r="R1192" s="82" t="s">
        <v>508</v>
      </c>
      <c r="S1192" s="71"/>
    </row>
    <row r="1193" spans="1:19">
      <c r="A1193" t="s">
        <v>3212</v>
      </c>
      <c r="B1193" s="71" t="str">
        <f>IFERROR(VLOOKUP(Proc[[#This Row],[App]],Table2[],3,0),"open")</f>
        <v>open</v>
      </c>
      <c r="C1193" s="74" t="s">
        <v>370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/>
      <c r="O1193" s="81"/>
      <c r="P1193" s="82" t="str">
        <f ca="1">IF(Proc[[#This Row],[DaysAgeing]]&gt;5,"yep","on track")</f>
        <v>on track</v>
      </c>
      <c r="Q1193" s="3">
        <f ca="1">IF(Proc[[#This Row],[DateClosed]]="",ABS(NETWORKDAYS(Proc[[#This Row],[DateOpened]],TODAY()))-1,ABS(NETWORKDAYS(Proc[[#This Row],[DateOpened]],Proc[[#This Row],[DateClosed]]))-1)</f>
        <v>4</v>
      </c>
      <c r="R1193" s="82" t="s">
        <v>411</v>
      </c>
      <c r="S1193" s="71"/>
    </row>
    <row r="1194" spans="1:19">
      <c r="A1194" s="74" t="s">
        <v>3212</v>
      </c>
      <c r="B1194" s="71" t="str">
        <f>IFERROR(VLOOKUP(Proc[[#This Row],[App]],Table2[],3,0),"open")</f>
        <v>open</v>
      </c>
      <c r="C1194" s="74" t="s">
        <v>370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/>
      <c r="O1194" s="81"/>
      <c r="P1194" s="82" t="str">
        <f ca="1">IF(Proc[[#This Row],[DaysAgeing]]&gt;5,"yep","on track")</f>
        <v>on track</v>
      </c>
      <c r="Q1194" s="3">
        <f ca="1">IF(Proc[[#This Row],[DateClosed]]="",ABS(NETWORKDAYS(Proc[[#This Row],[DateOpened]],TODAY()))-1,ABS(NETWORKDAYS(Proc[[#This Row],[DateOpened]],Proc[[#This Row],[DateClosed]]))-1)</f>
        <v>4</v>
      </c>
      <c r="R1194" s="82" t="s">
        <v>411</v>
      </c>
      <c r="S1194" s="71"/>
    </row>
    <row r="1195" spans="1:19">
      <c r="A1195" s="74" t="s">
        <v>3212</v>
      </c>
      <c r="B1195" s="71" t="str">
        <f>IFERROR(VLOOKUP(Proc[[#This Row],[App]],Table2[],3,0),"open")</f>
        <v>open</v>
      </c>
      <c r="C1195" s="74" t="s">
        <v>370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/>
      <c r="O1195" s="81"/>
      <c r="P1195" s="82" t="str">
        <f ca="1">IF(Proc[[#This Row],[DaysAgeing]]&gt;5,"yep","on track")</f>
        <v>on track</v>
      </c>
      <c r="Q1195" s="3">
        <f ca="1">IF(Proc[[#This Row],[DateClosed]]="",ABS(NETWORKDAYS(Proc[[#This Row],[DateOpened]],TODAY()))-1,ABS(NETWORKDAYS(Proc[[#This Row],[DateOpened]],Proc[[#This Row],[DateClosed]]))-1)</f>
        <v>4</v>
      </c>
      <c r="R1195" s="82" t="s">
        <v>411</v>
      </c>
      <c r="S1195" s="71"/>
    </row>
    <row r="1196" spans="1:19">
      <c r="A1196" s="74" t="s">
        <v>3212</v>
      </c>
      <c r="B1196" s="71" t="str">
        <f>IFERROR(VLOOKUP(Proc[[#This Row],[App]],Table2[],3,0),"open")</f>
        <v>open</v>
      </c>
      <c r="C1196" s="74" t="s">
        <v>370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/>
      <c r="O1196" s="81"/>
      <c r="P1196" s="82" t="str">
        <f ca="1">IF(Proc[[#This Row],[DaysAgeing]]&gt;5,"yep","on track")</f>
        <v>on track</v>
      </c>
      <c r="Q1196" s="3">
        <f ca="1">IF(Proc[[#This Row],[DateClosed]]="",ABS(NETWORKDAYS(Proc[[#This Row],[DateOpened]],TODAY()))-1,ABS(NETWORKDAYS(Proc[[#This Row],[DateOpened]],Proc[[#This Row],[DateClosed]]))-1)</f>
        <v>4</v>
      </c>
      <c r="R1196" s="82" t="s">
        <v>411</v>
      </c>
      <c r="S1196" s="71"/>
    </row>
    <row r="1197" spans="1:19">
      <c r="A1197" s="74" t="s">
        <v>3212</v>
      </c>
      <c r="B1197" s="71" t="str">
        <f>IFERROR(VLOOKUP(Proc[[#This Row],[App]],Table2[],3,0),"open")</f>
        <v>open</v>
      </c>
      <c r="C1197" s="74" t="s">
        <v>370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/>
      <c r="O1197" s="81"/>
      <c r="P1197" s="82" t="str">
        <f ca="1">IF(Proc[[#This Row],[DaysAgeing]]&gt;5,"yep","on track")</f>
        <v>on track</v>
      </c>
      <c r="Q1197" s="3">
        <f ca="1">IF(Proc[[#This Row],[DateClosed]]="",ABS(NETWORKDAYS(Proc[[#This Row],[DateOpened]],TODAY()))-1,ABS(NETWORKDAYS(Proc[[#This Row],[DateOpened]],Proc[[#This Row],[DateClosed]]))-1)</f>
        <v>4</v>
      </c>
      <c r="R1197" s="82" t="s">
        <v>411</v>
      </c>
      <c r="S1197" s="71"/>
    </row>
    <row r="1198" spans="1:19">
      <c r="A1198" s="74" t="s">
        <v>3212</v>
      </c>
      <c r="B1198" s="71" t="str">
        <f>IFERROR(VLOOKUP(Proc[[#This Row],[App]],Table2[],3,0),"open")</f>
        <v>open</v>
      </c>
      <c r="C1198" s="74" t="s">
        <v>370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/>
      <c r="O1198" s="81"/>
      <c r="P1198" s="82" t="str">
        <f ca="1">IF(Proc[[#This Row],[DaysAgeing]]&gt;5,"yep","on track")</f>
        <v>on track</v>
      </c>
      <c r="Q1198" s="3">
        <f ca="1">IF(Proc[[#This Row],[DateClosed]]="",ABS(NETWORKDAYS(Proc[[#This Row],[DateOpened]],TODAY()))-1,ABS(NETWORKDAYS(Proc[[#This Row],[DateOpened]],Proc[[#This Row],[DateClosed]]))-1)</f>
        <v>4</v>
      </c>
      <c r="R1198" s="82" t="s">
        <v>411</v>
      </c>
      <c r="S1198" s="71"/>
    </row>
    <row r="1199" spans="1:19">
      <c r="A1199" s="74" t="s">
        <v>3212</v>
      </c>
      <c r="B1199" s="71" t="str">
        <f>IFERROR(VLOOKUP(Proc[[#This Row],[App]],Table2[],3,0),"open")</f>
        <v>open</v>
      </c>
      <c r="C1199" s="74" t="s">
        <v>370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/>
      <c r="O1199" s="81"/>
      <c r="P1199" s="82" t="str">
        <f ca="1">IF(Proc[[#This Row],[DaysAgeing]]&gt;5,"yep","on track")</f>
        <v>on track</v>
      </c>
      <c r="Q1199" s="3">
        <f ca="1">IF(Proc[[#This Row],[DateClosed]]="",ABS(NETWORKDAYS(Proc[[#This Row],[DateOpened]],TODAY()))-1,ABS(NETWORKDAYS(Proc[[#This Row],[DateOpened]],Proc[[#This Row],[DateClosed]]))-1)</f>
        <v>4</v>
      </c>
      <c r="R1199" s="82" t="s">
        <v>411</v>
      </c>
      <c r="S1199" s="71"/>
    </row>
    <row r="1200" spans="1:19">
      <c r="A1200" s="74" t="s">
        <v>3212</v>
      </c>
      <c r="B1200" s="71" t="str">
        <f>IFERROR(VLOOKUP(Proc[[#This Row],[App]],Table2[],3,0),"open")</f>
        <v>open</v>
      </c>
      <c r="C1200" s="74" t="s">
        <v>370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/>
      <c r="O1200" s="81"/>
      <c r="P1200" s="82" t="str">
        <f ca="1">IF(Proc[[#This Row],[DaysAgeing]]&gt;5,"yep","on track")</f>
        <v>on track</v>
      </c>
      <c r="Q1200" s="3">
        <f ca="1">IF(Proc[[#This Row],[DateClosed]]="",ABS(NETWORKDAYS(Proc[[#This Row],[DateOpened]],TODAY()))-1,ABS(NETWORKDAYS(Proc[[#This Row],[DateOpened]],Proc[[#This Row],[DateClosed]]))-1)</f>
        <v>4</v>
      </c>
      <c r="R1200" s="82" t="s">
        <v>411</v>
      </c>
      <c r="S1200" s="71"/>
    </row>
    <row r="1201" spans="1:19">
      <c r="A1201" s="74" t="s">
        <v>3212</v>
      </c>
      <c r="B1201" s="71" t="str">
        <f>IFERROR(VLOOKUP(Proc[[#This Row],[App]],Table2[],3,0),"open")</f>
        <v>open</v>
      </c>
      <c r="C1201" s="74" t="s">
        <v>370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/>
      <c r="O1201" s="81"/>
      <c r="P1201" s="82" t="str">
        <f ca="1">IF(Proc[[#This Row],[DaysAgeing]]&gt;5,"yep","on track")</f>
        <v>on track</v>
      </c>
      <c r="Q1201" s="3">
        <f ca="1">IF(Proc[[#This Row],[DateClosed]]="",ABS(NETWORKDAYS(Proc[[#This Row],[DateOpened]],TODAY()))-1,ABS(NETWORKDAYS(Proc[[#This Row],[DateOpened]],Proc[[#This Row],[DateClosed]]))-1)</f>
        <v>4</v>
      </c>
      <c r="R1201" s="82" t="s">
        <v>411</v>
      </c>
      <c r="S1201" s="71"/>
    </row>
    <row r="1202" spans="1:19">
      <c r="A1202" s="74" t="s">
        <v>3212</v>
      </c>
      <c r="B1202" s="71" t="str">
        <f>IFERROR(VLOOKUP(Proc[[#This Row],[App]],Table2[],3,0),"open")</f>
        <v>open</v>
      </c>
      <c r="C1202" s="74" t="s">
        <v>370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/>
      <c r="O1202" s="81"/>
      <c r="P1202" s="82" t="str">
        <f ca="1">IF(Proc[[#This Row],[DaysAgeing]]&gt;5,"yep","on track")</f>
        <v>on track</v>
      </c>
      <c r="Q1202" s="3">
        <f ca="1">IF(Proc[[#This Row],[DateClosed]]="",ABS(NETWORKDAYS(Proc[[#This Row],[DateOpened]],TODAY()))-1,ABS(NETWORKDAYS(Proc[[#This Row],[DateOpened]],Proc[[#This Row],[DateClosed]]))-1)</f>
        <v>4</v>
      </c>
      <c r="R1202" s="82" t="s">
        <v>411</v>
      </c>
      <c r="S1202" s="71"/>
    </row>
    <row r="1203" spans="1:19">
      <c r="A1203" s="74" t="s">
        <v>3212</v>
      </c>
      <c r="B1203" s="71" t="str">
        <f>IFERROR(VLOOKUP(Proc[[#This Row],[App]],Table2[],3,0),"open")</f>
        <v>open</v>
      </c>
      <c r="C1203" s="74" t="s">
        <v>370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/>
      <c r="O1203" s="81"/>
      <c r="P1203" s="82" t="str">
        <f ca="1">IF(Proc[[#This Row],[DaysAgeing]]&gt;5,"yep","on track")</f>
        <v>on track</v>
      </c>
      <c r="Q1203" s="3">
        <f ca="1">IF(Proc[[#This Row],[DateClosed]]="",ABS(NETWORKDAYS(Proc[[#This Row],[DateOpened]],TODAY()))-1,ABS(NETWORKDAYS(Proc[[#This Row],[DateOpened]],Proc[[#This Row],[DateClosed]]))-1)</f>
        <v>4</v>
      </c>
      <c r="R1203" s="82" t="s">
        <v>411</v>
      </c>
      <c r="S1203" s="71"/>
    </row>
    <row r="1204" spans="1:19">
      <c r="A1204" s="74" t="s">
        <v>3212</v>
      </c>
      <c r="B1204" s="71" t="str">
        <f>IFERROR(VLOOKUP(Proc[[#This Row],[App]],Table2[],3,0),"open")</f>
        <v>open</v>
      </c>
      <c r="C1204" s="74" t="s">
        <v>370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/>
      <c r="O1204" s="81"/>
      <c r="P1204" s="82" t="str">
        <f ca="1">IF(Proc[[#This Row],[DaysAgeing]]&gt;5,"yep","on track")</f>
        <v>on track</v>
      </c>
      <c r="Q1204" s="3">
        <f ca="1">IF(Proc[[#This Row],[DateClosed]]="",ABS(NETWORKDAYS(Proc[[#This Row],[DateOpened]],TODAY()))-1,ABS(NETWORKDAYS(Proc[[#This Row],[DateOpened]],Proc[[#This Row],[DateClosed]]))-1)</f>
        <v>4</v>
      </c>
      <c r="R1204" s="82" t="s">
        <v>411</v>
      </c>
      <c r="S1204" s="71"/>
    </row>
    <row r="1205" spans="1:19">
      <c r="A1205" s="74" t="s">
        <v>3212</v>
      </c>
      <c r="B1205" s="71" t="str">
        <f>IFERROR(VLOOKUP(Proc[[#This Row],[App]],Table2[],3,0),"open")</f>
        <v>open</v>
      </c>
      <c r="C1205" s="74" t="s">
        <v>370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/>
      <c r="O1205" s="81"/>
      <c r="P1205" s="82" t="str">
        <f ca="1">IF(Proc[[#This Row],[DaysAgeing]]&gt;5,"yep","on track")</f>
        <v>on track</v>
      </c>
      <c r="Q1205" s="3">
        <f ca="1">IF(Proc[[#This Row],[DateClosed]]="",ABS(NETWORKDAYS(Proc[[#This Row],[DateOpened]],TODAY()))-1,ABS(NETWORKDAYS(Proc[[#This Row],[DateOpened]],Proc[[#This Row],[DateClosed]]))-1)</f>
        <v>4</v>
      </c>
      <c r="R1205" s="82" t="s">
        <v>411</v>
      </c>
      <c r="S1205" s="71"/>
    </row>
    <row r="1206" spans="1:19">
      <c r="A1206" s="74" t="s">
        <v>3212</v>
      </c>
      <c r="B1206" s="71" t="str">
        <f>IFERROR(VLOOKUP(Proc[[#This Row],[App]],Table2[],3,0),"open")</f>
        <v>open</v>
      </c>
      <c r="C1206" s="74" t="s">
        <v>370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/>
      <c r="O1206" s="81"/>
      <c r="P1206" s="82" t="str">
        <f ca="1">IF(Proc[[#This Row],[DaysAgeing]]&gt;5,"yep","on track")</f>
        <v>on track</v>
      </c>
      <c r="Q1206" s="3">
        <f ca="1">IF(Proc[[#This Row],[DateClosed]]="",ABS(NETWORKDAYS(Proc[[#This Row],[DateOpened]],TODAY()))-1,ABS(NETWORKDAYS(Proc[[#This Row],[DateOpened]],Proc[[#This Row],[DateClosed]]))-1)</f>
        <v>4</v>
      </c>
      <c r="R1206" s="82" t="s">
        <v>411</v>
      </c>
      <c r="S1206" s="71"/>
    </row>
    <row r="1207" spans="1:19">
      <c r="A1207" s="74" t="s">
        <v>3212</v>
      </c>
      <c r="B1207" s="71" t="str">
        <f>IFERROR(VLOOKUP(Proc[[#This Row],[App]],Table2[],3,0),"open")</f>
        <v>open</v>
      </c>
      <c r="C1207" s="74" t="s">
        <v>370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/>
      <c r="O1207" s="81"/>
      <c r="P1207" s="82" t="str">
        <f ca="1">IF(Proc[[#This Row],[DaysAgeing]]&gt;5,"yep","on track")</f>
        <v>on track</v>
      </c>
      <c r="Q1207" s="3">
        <f ca="1">IF(Proc[[#This Row],[DateClosed]]="",ABS(NETWORKDAYS(Proc[[#This Row],[DateOpened]],TODAY()))-1,ABS(NETWORKDAYS(Proc[[#This Row],[DateOpened]],Proc[[#This Row],[DateClosed]]))-1)</f>
        <v>4</v>
      </c>
      <c r="R1207" s="82" t="s">
        <v>411</v>
      </c>
      <c r="S1207" s="71"/>
    </row>
    <row r="1208" spans="1:19">
      <c r="A1208" s="74" t="s">
        <v>3212</v>
      </c>
      <c r="B1208" s="71" t="str">
        <f>IFERROR(VLOOKUP(Proc[[#This Row],[App]],Table2[],3,0),"open")</f>
        <v>open</v>
      </c>
      <c r="C1208" s="74" t="s">
        <v>370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/>
      <c r="O1208" s="81"/>
      <c r="P1208" s="82" t="str">
        <f ca="1">IF(Proc[[#This Row],[DaysAgeing]]&gt;5,"yep","on track")</f>
        <v>on track</v>
      </c>
      <c r="Q1208" s="3">
        <f ca="1">IF(Proc[[#This Row],[DateClosed]]="",ABS(NETWORKDAYS(Proc[[#This Row],[DateOpened]],TODAY()))-1,ABS(NETWORKDAYS(Proc[[#This Row],[DateOpened]],Proc[[#This Row],[DateClosed]]))-1)</f>
        <v>4</v>
      </c>
      <c r="R1208" s="82" t="s">
        <v>411</v>
      </c>
      <c r="S1208" s="71"/>
    </row>
    <row r="1209" spans="1:19">
      <c r="A1209" s="74" t="s">
        <v>3212</v>
      </c>
      <c r="B1209" s="71" t="str">
        <f>IFERROR(VLOOKUP(Proc[[#This Row],[App]],Table2[],3,0),"open")</f>
        <v>open</v>
      </c>
      <c r="C1209" s="74" t="s">
        <v>370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/>
      <c r="O1209" s="81"/>
      <c r="P1209" s="82" t="str">
        <f ca="1">IF(Proc[[#This Row],[DaysAgeing]]&gt;5,"yep","on track")</f>
        <v>on track</v>
      </c>
      <c r="Q1209" s="3">
        <f ca="1">IF(Proc[[#This Row],[DateClosed]]="",ABS(NETWORKDAYS(Proc[[#This Row],[DateOpened]],TODAY()))-1,ABS(NETWORKDAYS(Proc[[#This Row],[DateOpened]],Proc[[#This Row],[DateClosed]]))-1)</f>
        <v>4</v>
      </c>
      <c r="R1209" s="82" t="s">
        <v>411</v>
      </c>
      <c r="S1209" s="71"/>
    </row>
    <row r="1210" spans="1:19">
      <c r="A1210" s="74" t="s">
        <v>3212</v>
      </c>
      <c r="B1210" s="71" t="str">
        <f>IFERROR(VLOOKUP(Proc[[#This Row],[App]],Table2[],3,0),"open")</f>
        <v>open</v>
      </c>
      <c r="C1210" s="74" t="s">
        <v>370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/>
      <c r="O1210" s="81"/>
      <c r="P1210" s="82" t="str">
        <f ca="1">IF(Proc[[#This Row],[DaysAgeing]]&gt;5,"yep","on track")</f>
        <v>on track</v>
      </c>
      <c r="Q1210" s="3">
        <f ca="1">IF(Proc[[#This Row],[DateClosed]]="",ABS(NETWORKDAYS(Proc[[#This Row],[DateOpened]],TODAY()))-1,ABS(NETWORKDAYS(Proc[[#This Row],[DateOpened]],Proc[[#This Row],[DateClosed]]))-1)</f>
        <v>4</v>
      </c>
      <c r="R1210" s="82" t="s">
        <v>411</v>
      </c>
      <c r="S1210" s="71"/>
    </row>
    <row r="1211" spans="1:19">
      <c r="A1211" s="74" t="s">
        <v>3212</v>
      </c>
      <c r="B1211" s="71" t="str">
        <f>IFERROR(VLOOKUP(Proc[[#This Row],[App]],Table2[],3,0),"open")</f>
        <v>open</v>
      </c>
      <c r="C1211" s="74" t="s">
        <v>370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/>
      <c r="O1211" s="81"/>
      <c r="P1211" s="82" t="str">
        <f ca="1">IF(Proc[[#This Row],[DaysAgeing]]&gt;5,"yep","on track")</f>
        <v>on track</v>
      </c>
      <c r="Q1211" s="3">
        <f ca="1">IF(Proc[[#This Row],[DateClosed]]="",ABS(NETWORKDAYS(Proc[[#This Row],[DateOpened]],TODAY()))-1,ABS(NETWORKDAYS(Proc[[#This Row],[DateOpened]],Proc[[#This Row],[DateClosed]]))-1)</f>
        <v>4</v>
      </c>
      <c r="R1211" s="82" t="s">
        <v>411</v>
      </c>
      <c r="S1211" s="71"/>
    </row>
    <row r="1212" spans="1:19">
      <c r="A1212" s="74" t="s">
        <v>3212</v>
      </c>
      <c r="B1212" s="71" t="str">
        <f>IFERROR(VLOOKUP(Proc[[#This Row],[App]],Table2[],3,0),"open")</f>
        <v>open</v>
      </c>
      <c r="C1212" s="74" t="s">
        <v>370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/>
      <c r="O1212" s="81"/>
      <c r="P1212" s="82" t="str">
        <f ca="1">IF(Proc[[#This Row],[DaysAgeing]]&gt;5,"yep","on track")</f>
        <v>on track</v>
      </c>
      <c r="Q1212" s="3">
        <f ca="1">IF(Proc[[#This Row],[DateClosed]]="",ABS(NETWORKDAYS(Proc[[#This Row],[DateOpened]],TODAY()))-1,ABS(NETWORKDAYS(Proc[[#This Row],[DateOpened]],Proc[[#This Row],[DateClosed]]))-1)</f>
        <v>4</v>
      </c>
      <c r="R1212" s="82" t="s">
        <v>411</v>
      </c>
      <c r="S1212" s="71"/>
    </row>
    <row r="1213" spans="1:19">
      <c r="A1213" s="74" t="s">
        <v>3212</v>
      </c>
      <c r="B1213" s="71" t="str">
        <f>IFERROR(VLOOKUP(Proc[[#This Row],[App]],Table2[],3,0),"open")</f>
        <v>open</v>
      </c>
      <c r="C1213" s="74" t="s">
        <v>370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/>
      <c r="O1213" s="81"/>
      <c r="P1213" s="82" t="str">
        <f ca="1">IF(Proc[[#This Row],[DaysAgeing]]&gt;5,"yep","on track")</f>
        <v>on track</v>
      </c>
      <c r="Q1213" s="3">
        <f ca="1">IF(Proc[[#This Row],[DateClosed]]="",ABS(NETWORKDAYS(Proc[[#This Row],[DateOpened]],TODAY()))-1,ABS(NETWORKDAYS(Proc[[#This Row],[DateOpened]],Proc[[#This Row],[DateClosed]]))-1)</f>
        <v>4</v>
      </c>
      <c r="R1213" s="82" t="s">
        <v>411</v>
      </c>
      <c r="S1213" s="71"/>
    </row>
    <row r="1214" spans="1:19">
      <c r="A1214" s="74" t="s">
        <v>3212</v>
      </c>
      <c r="B1214" s="71" t="str">
        <f>IFERROR(VLOOKUP(Proc[[#This Row],[App]],Table2[],3,0),"open")</f>
        <v>open</v>
      </c>
      <c r="C1214" s="74" t="s">
        <v>370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/>
      <c r="O1214" s="81"/>
      <c r="P1214" s="82" t="str">
        <f ca="1">IF(Proc[[#This Row],[DaysAgeing]]&gt;5,"yep","on track")</f>
        <v>on track</v>
      </c>
      <c r="Q1214" s="3">
        <f ca="1">IF(Proc[[#This Row],[DateClosed]]="",ABS(NETWORKDAYS(Proc[[#This Row],[DateOpened]],TODAY()))-1,ABS(NETWORKDAYS(Proc[[#This Row],[DateOpened]],Proc[[#This Row],[DateClosed]]))-1)</f>
        <v>4</v>
      </c>
      <c r="R1214" s="82" t="s">
        <v>411</v>
      </c>
      <c r="S1214" s="71"/>
    </row>
    <row r="1215" spans="1:19">
      <c r="A1215" s="74" t="s">
        <v>3212</v>
      </c>
      <c r="B1215" s="71" t="str">
        <f>IFERROR(VLOOKUP(Proc[[#This Row],[App]],Table2[],3,0),"open")</f>
        <v>open</v>
      </c>
      <c r="C1215" s="74" t="s">
        <v>370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/>
      <c r="O1215" s="81"/>
      <c r="P1215" s="82" t="str">
        <f ca="1">IF(Proc[[#This Row],[DaysAgeing]]&gt;5,"yep","on track")</f>
        <v>on track</v>
      </c>
      <c r="Q1215" s="3">
        <f ca="1">IF(Proc[[#This Row],[DateClosed]]="",ABS(NETWORKDAYS(Proc[[#This Row],[DateOpened]],TODAY()))-1,ABS(NETWORKDAYS(Proc[[#This Row],[DateOpened]],Proc[[#This Row],[DateClosed]]))-1)</f>
        <v>4</v>
      </c>
      <c r="R1215" s="82" t="s">
        <v>411</v>
      </c>
      <c r="S1215" s="71"/>
    </row>
    <row r="1216" spans="1:19">
      <c r="A1216" s="74" t="s">
        <v>3212</v>
      </c>
      <c r="B1216" s="71" t="str">
        <f>IFERROR(VLOOKUP(Proc[[#This Row],[App]],Table2[],3,0),"open")</f>
        <v>open</v>
      </c>
      <c r="C1216" s="74" t="s">
        <v>370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/>
      <c r="O1216" s="81"/>
      <c r="P1216" s="82" t="str">
        <f ca="1">IF(Proc[[#This Row],[DaysAgeing]]&gt;5,"yep","on track")</f>
        <v>on track</v>
      </c>
      <c r="Q1216" s="3">
        <f ca="1">IF(Proc[[#This Row],[DateClosed]]="",ABS(NETWORKDAYS(Proc[[#This Row],[DateOpened]],TODAY()))-1,ABS(NETWORKDAYS(Proc[[#This Row],[DateOpened]],Proc[[#This Row],[DateClosed]]))-1)</f>
        <v>4</v>
      </c>
      <c r="R1216" s="82" t="s">
        <v>411</v>
      </c>
      <c r="S1216" s="71"/>
    </row>
    <row r="1217" spans="1:19">
      <c r="A1217" s="74" t="s">
        <v>3212</v>
      </c>
      <c r="B1217" s="71" t="str">
        <f>IFERROR(VLOOKUP(Proc[[#This Row],[App]],Table2[],3,0),"open")</f>
        <v>open</v>
      </c>
      <c r="C1217" s="74" t="s">
        <v>370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/>
      <c r="O1217" s="81"/>
      <c r="P1217" s="82" t="str">
        <f ca="1">IF(Proc[[#This Row],[DaysAgeing]]&gt;5,"yep","on track")</f>
        <v>on track</v>
      </c>
      <c r="Q1217" s="3">
        <f ca="1">IF(Proc[[#This Row],[DateClosed]]="",ABS(NETWORKDAYS(Proc[[#This Row],[DateOpened]],TODAY()))-1,ABS(NETWORKDAYS(Proc[[#This Row],[DateOpened]],Proc[[#This Row],[DateClosed]]))-1)</f>
        <v>4</v>
      </c>
      <c r="R1217" s="82" t="s">
        <v>411</v>
      </c>
      <c r="S1217" s="71"/>
    </row>
    <row r="1218" spans="1:19">
      <c r="A1218" s="74" t="s">
        <v>3212</v>
      </c>
      <c r="B1218" s="71" t="str">
        <f>IFERROR(VLOOKUP(Proc[[#This Row],[App]],Table2[],3,0),"open")</f>
        <v>open</v>
      </c>
      <c r="C1218" s="74" t="s">
        <v>370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/>
      <c r="O1218" s="81"/>
      <c r="P1218" s="82" t="str">
        <f ca="1">IF(Proc[[#This Row],[DaysAgeing]]&gt;5,"yep","on track")</f>
        <v>on track</v>
      </c>
      <c r="Q1218" s="3">
        <f ca="1">IF(Proc[[#This Row],[DateClosed]]="",ABS(NETWORKDAYS(Proc[[#This Row],[DateOpened]],TODAY()))-1,ABS(NETWORKDAYS(Proc[[#This Row],[DateOpened]],Proc[[#This Row],[DateClosed]]))-1)</f>
        <v>4</v>
      </c>
      <c r="R1218" s="82" t="s">
        <v>411</v>
      </c>
      <c r="S1218" s="71"/>
    </row>
    <row r="1219" spans="1:19">
      <c r="A1219" s="74" t="s">
        <v>3212</v>
      </c>
      <c r="B1219" s="71" t="str">
        <f>IFERROR(VLOOKUP(Proc[[#This Row],[App]],Table2[],3,0),"open")</f>
        <v>open</v>
      </c>
      <c r="C1219" s="74" t="s">
        <v>370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/>
      <c r="O1219" s="81"/>
      <c r="P1219" s="82" t="str">
        <f ca="1">IF(Proc[[#This Row],[DaysAgeing]]&gt;5,"yep","on track")</f>
        <v>on track</v>
      </c>
      <c r="Q1219" s="3">
        <f ca="1">IF(Proc[[#This Row],[DateClosed]]="",ABS(NETWORKDAYS(Proc[[#This Row],[DateOpened]],TODAY()))-1,ABS(NETWORKDAYS(Proc[[#This Row],[DateOpened]],Proc[[#This Row],[DateClosed]]))-1)</f>
        <v>4</v>
      </c>
      <c r="R1219" s="82" t="s">
        <v>411</v>
      </c>
      <c r="S1219" s="71"/>
    </row>
    <row r="1220" spans="1:19">
      <c r="A1220" s="74" t="s">
        <v>3212</v>
      </c>
      <c r="B1220" s="71" t="str">
        <f>IFERROR(VLOOKUP(Proc[[#This Row],[App]],Table2[],3,0),"open")</f>
        <v>open</v>
      </c>
      <c r="C1220" s="74" t="s">
        <v>370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/>
      <c r="O1220" s="81"/>
      <c r="P1220" s="82" t="str">
        <f ca="1">IF(Proc[[#This Row],[DaysAgeing]]&gt;5,"yep","on track")</f>
        <v>on track</v>
      </c>
      <c r="Q1220" s="3">
        <f ca="1">IF(Proc[[#This Row],[DateClosed]]="",ABS(NETWORKDAYS(Proc[[#This Row],[DateOpened]],TODAY()))-1,ABS(NETWORKDAYS(Proc[[#This Row],[DateOpened]],Proc[[#This Row],[DateClosed]]))-1)</f>
        <v>4</v>
      </c>
      <c r="R1220" s="82" t="s">
        <v>411</v>
      </c>
      <c r="S1220" s="71"/>
    </row>
    <row r="1221" spans="1:19">
      <c r="A1221" s="74" t="s">
        <v>3212</v>
      </c>
      <c r="B1221" s="71" t="str">
        <f>IFERROR(VLOOKUP(Proc[[#This Row],[App]],Table2[],3,0),"open")</f>
        <v>open</v>
      </c>
      <c r="C1221" s="74" t="s">
        <v>370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/>
      <c r="O1221" s="81"/>
      <c r="P1221" s="82" t="str">
        <f ca="1">IF(Proc[[#This Row],[DaysAgeing]]&gt;5,"yep","on track")</f>
        <v>on track</v>
      </c>
      <c r="Q1221" s="3">
        <f ca="1">IF(Proc[[#This Row],[DateClosed]]="",ABS(NETWORKDAYS(Proc[[#This Row],[DateOpened]],TODAY()))-1,ABS(NETWORKDAYS(Proc[[#This Row],[DateOpened]],Proc[[#This Row],[DateClosed]]))-1)</f>
        <v>4</v>
      </c>
      <c r="R1221" s="82" t="s">
        <v>411</v>
      </c>
      <c r="S1221" s="71"/>
    </row>
    <row r="1222" spans="1:19">
      <c r="A1222" s="74" t="s">
        <v>3212</v>
      </c>
      <c r="B1222" s="71" t="str">
        <f>IFERROR(VLOOKUP(Proc[[#This Row],[App]],Table2[],3,0),"open")</f>
        <v>open</v>
      </c>
      <c r="C1222" s="74" t="s">
        <v>370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/>
      <c r="O1222" s="81"/>
      <c r="P1222" s="82" t="str">
        <f ca="1">IF(Proc[[#This Row],[DaysAgeing]]&gt;5,"yep","on track")</f>
        <v>on track</v>
      </c>
      <c r="Q1222" s="3">
        <f ca="1">IF(Proc[[#This Row],[DateClosed]]="",ABS(NETWORKDAYS(Proc[[#This Row],[DateOpened]],TODAY()))-1,ABS(NETWORKDAYS(Proc[[#This Row],[DateOpened]],Proc[[#This Row],[DateClosed]]))-1)</f>
        <v>4</v>
      </c>
      <c r="R1222" s="82" t="s">
        <v>411</v>
      </c>
      <c r="S1222" s="71"/>
    </row>
    <row r="1223" spans="1:19">
      <c r="A1223" s="74" t="s">
        <v>3212</v>
      </c>
      <c r="B1223" s="71" t="str">
        <f>IFERROR(VLOOKUP(Proc[[#This Row],[App]],Table2[],3,0),"open")</f>
        <v>open</v>
      </c>
      <c r="C1223" s="74" t="s">
        <v>370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/>
      <c r="O1223" s="81"/>
      <c r="P1223" s="82" t="str">
        <f ca="1">IF(Proc[[#This Row],[DaysAgeing]]&gt;5,"yep","on track")</f>
        <v>on track</v>
      </c>
      <c r="Q1223" s="3">
        <f ca="1">IF(Proc[[#This Row],[DateClosed]]="",ABS(NETWORKDAYS(Proc[[#This Row],[DateOpened]],TODAY()))-1,ABS(NETWORKDAYS(Proc[[#This Row],[DateOpened]],Proc[[#This Row],[DateClosed]]))-1)</f>
        <v>4</v>
      </c>
      <c r="R1223" s="82" t="s">
        <v>411</v>
      </c>
      <c r="S1223" s="71"/>
    </row>
    <row r="1224" spans="1:19">
      <c r="A1224" s="74" t="s">
        <v>3212</v>
      </c>
      <c r="B1224" s="71" t="str">
        <f>IFERROR(VLOOKUP(Proc[[#This Row],[App]],Table2[],3,0),"open")</f>
        <v>open</v>
      </c>
      <c r="C1224" s="74" t="s">
        <v>370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/>
      <c r="O1224" s="81"/>
      <c r="P1224" s="82" t="str">
        <f ca="1">IF(Proc[[#This Row],[DaysAgeing]]&gt;5,"yep","on track")</f>
        <v>on track</v>
      </c>
      <c r="Q1224" s="3">
        <f ca="1">IF(Proc[[#This Row],[DateClosed]]="",ABS(NETWORKDAYS(Proc[[#This Row],[DateOpened]],TODAY()))-1,ABS(NETWORKDAYS(Proc[[#This Row],[DateOpened]],Proc[[#This Row],[DateClosed]]))-1)</f>
        <v>4</v>
      </c>
      <c r="R1224" s="82" t="s">
        <v>411</v>
      </c>
      <c r="S1224" s="71"/>
    </row>
    <row r="1225" spans="1:19">
      <c r="A1225" s="74" t="s">
        <v>3212</v>
      </c>
      <c r="B1225" s="71" t="str">
        <f>IFERROR(VLOOKUP(Proc[[#This Row],[App]],Table2[],3,0),"open")</f>
        <v>open</v>
      </c>
      <c r="C1225" s="74" t="s">
        <v>370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/>
      <c r="O1225" s="81"/>
      <c r="P1225" s="82" t="str">
        <f ca="1">IF(Proc[[#This Row],[DaysAgeing]]&gt;5,"yep","on track")</f>
        <v>on track</v>
      </c>
      <c r="Q1225" s="3">
        <f ca="1">IF(Proc[[#This Row],[DateClosed]]="",ABS(NETWORKDAYS(Proc[[#This Row],[DateOpened]],TODAY()))-1,ABS(NETWORKDAYS(Proc[[#This Row],[DateOpened]],Proc[[#This Row],[DateClosed]]))-1)</f>
        <v>4</v>
      </c>
      <c r="R1225" s="82" t="s">
        <v>411</v>
      </c>
      <c r="S1225" s="71"/>
    </row>
    <row r="1226" spans="1:19">
      <c r="A1226" s="74" t="s">
        <v>3212</v>
      </c>
      <c r="B1226" s="71" t="str">
        <f>IFERROR(VLOOKUP(Proc[[#This Row],[App]],Table2[],3,0),"open")</f>
        <v>open</v>
      </c>
      <c r="C1226" s="74" t="s">
        <v>370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/>
      <c r="O1226" s="81"/>
      <c r="P1226" s="82" t="str">
        <f ca="1">IF(Proc[[#This Row],[DaysAgeing]]&gt;5,"yep","on track")</f>
        <v>on track</v>
      </c>
      <c r="Q1226" s="3">
        <f ca="1">IF(Proc[[#This Row],[DateClosed]]="",ABS(NETWORKDAYS(Proc[[#This Row],[DateOpened]],TODAY()))-1,ABS(NETWORKDAYS(Proc[[#This Row],[DateOpened]],Proc[[#This Row],[DateClosed]]))-1)</f>
        <v>4</v>
      </c>
      <c r="R1226" s="82" t="s">
        <v>411</v>
      </c>
      <c r="S1226" s="71"/>
    </row>
    <row r="1227" spans="1:19">
      <c r="A1227" s="74" t="s">
        <v>3212</v>
      </c>
      <c r="B1227" s="71" t="str">
        <f>IFERROR(VLOOKUP(Proc[[#This Row],[App]],Table2[],3,0),"open")</f>
        <v>open</v>
      </c>
      <c r="C1227" s="74" t="s">
        <v>370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/>
      <c r="O1227" s="81"/>
      <c r="P1227" s="82" t="str">
        <f ca="1">IF(Proc[[#This Row],[DaysAgeing]]&gt;5,"yep","on track")</f>
        <v>on track</v>
      </c>
      <c r="Q1227" s="3">
        <f ca="1">IF(Proc[[#This Row],[DateClosed]]="",ABS(NETWORKDAYS(Proc[[#This Row],[DateOpened]],TODAY()))-1,ABS(NETWORKDAYS(Proc[[#This Row],[DateOpened]],Proc[[#This Row],[DateClosed]]))-1)</f>
        <v>4</v>
      </c>
      <c r="R1227" s="82" t="s">
        <v>411</v>
      </c>
      <c r="S1227" s="71"/>
    </row>
    <row r="1228" spans="1:19">
      <c r="A1228" s="74" t="s">
        <v>3212</v>
      </c>
      <c r="B1228" s="71" t="str">
        <f>IFERROR(VLOOKUP(Proc[[#This Row],[App]],Table2[],3,0),"open")</f>
        <v>open</v>
      </c>
      <c r="C1228" s="74" t="s">
        <v>370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/>
      <c r="O1228" s="81"/>
      <c r="P1228" s="82" t="str">
        <f ca="1">IF(Proc[[#This Row],[DaysAgeing]]&gt;5,"yep","on track")</f>
        <v>on track</v>
      </c>
      <c r="Q1228" s="3">
        <f ca="1">IF(Proc[[#This Row],[DateClosed]]="",ABS(NETWORKDAYS(Proc[[#This Row],[DateOpened]],TODAY()))-1,ABS(NETWORKDAYS(Proc[[#This Row],[DateOpened]],Proc[[#This Row],[DateClosed]]))-1)</f>
        <v>4</v>
      </c>
      <c r="R1228" s="82" t="s">
        <v>411</v>
      </c>
      <c r="S1228" s="71"/>
    </row>
    <row r="1229" spans="1:19">
      <c r="A1229" s="74" t="s">
        <v>3212</v>
      </c>
      <c r="B1229" s="71" t="str">
        <f>IFERROR(VLOOKUP(Proc[[#This Row],[App]],Table2[],3,0),"open")</f>
        <v>open</v>
      </c>
      <c r="C1229" s="74" t="s">
        <v>370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/>
      <c r="O1229" s="81"/>
      <c r="P1229" s="82" t="str">
        <f ca="1">IF(Proc[[#This Row],[DaysAgeing]]&gt;5,"yep","on track")</f>
        <v>on track</v>
      </c>
      <c r="Q1229" s="3">
        <f ca="1">IF(Proc[[#This Row],[DateClosed]]="",ABS(NETWORKDAYS(Proc[[#This Row],[DateOpened]],TODAY()))-1,ABS(NETWORKDAYS(Proc[[#This Row],[DateOpened]],Proc[[#This Row],[DateClosed]]))-1)</f>
        <v>4</v>
      </c>
      <c r="R1229" s="82" t="s">
        <v>411</v>
      </c>
      <c r="S1229" s="71"/>
    </row>
    <row r="1230" spans="1:19">
      <c r="A1230" s="74" t="s">
        <v>3212</v>
      </c>
      <c r="B1230" s="71" t="str">
        <f>IFERROR(VLOOKUP(Proc[[#This Row],[App]],Table2[],3,0),"open")</f>
        <v>open</v>
      </c>
      <c r="C1230" s="74" t="s">
        <v>370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/>
      <c r="O1230" s="81"/>
      <c r="P1230" s="82" t="str">
        <f ca="1">IF(Proc[[#This Row],[DaysAgeing]]&gt;5,"yep","on track")</f>
        <v>on track</v>
      </c>
      <c r="Q1230" s="3">
        <f ca="1">IF(Proc[[#This Row],[DateClosed]]="",ABS(NETWORKDAYS(Proc[[#This Row],[DateOpened]],TODAY()))-1,ABS(NETWORKDAYS(Proc[[#This Row],[DateOpened]],Proc[[#This Row],[DateClosed]]))-1)</f>
        <v>4</v>
      </c>
      <c r="R1230" s="82" t="s">
        <v>411</v>
      </c>
      <c r="S1230" s="71"/>
    </row>
    <row r="1231" spans="1:19">
      <c r="A1231" s="74" t="s">
        <v>3212</v>
      </c>
      <c r="B1231" s="71" t="str">
        <f>IFERROR(VLOOKUP(Proc[[#This Row],[App]],Table2[],3,0),"open")</f>
        <v>open</v>
      </c>
      <c r="C1231" s="74" t="s">
        <v>370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/>
      <c r="O1231" s="81"/>
      <c r="P1231" s="82" t="str">
        <f ca="1">IF(Proc[[#This Row],[DaysAgeing]]&gt;5,"yep","on track")</f>
        <v>on track</v>
      </c>
      <c r="Q1231" s="3">
        <f ca="1">IF(Proc[[#This Row],[DateClosed]]="",ABS(NETWORKDAYS(Proc[[#This Row],[DateOpened]],TODAY()))-1,ABS(NETWORKDAYS(Proc[[#This Row],[DateOpened]],Proc[[#This Row],[DateClosed]]))-1)</f>
        <v>4</v>
      </c>
      <c r="R1231" s="82" t="s">
        <v>411</v>
      </c>
      <c r="S1231" s="71"/>
    </row>
    <row r="1232" spans="1:19">
      <c r="A1232" s="74" t="s">
        <v>3212</v>
      </c>
      <c r="B1232" s="71" t="str">
        <f>IFERROR(VLOOKUP(Proc[[#This Row],[App]],Table2[],3,0),"open")</f>
        <v>open</v>
      </c>
      <c r="C1232" s="74" t="s">
        <v>370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/>
      <c r="O1232" s="81"/>
      <c r="P1232" s="82" t="str">
        <f ca="1">IF(Proc[[#This Row],[DaysAgeing]]&gt;5,"yep","on track")</f>
        <v>on track</v>
      </c>
      <c r="Q1232" s="3">
        <f ca="1">IF(Proc[[#This Row],[DateClosed]]="",ABS(NETWORKDAYS(Proc[[#This Row],[DateOpened]],TODAY()))-1,ABS(NETWORKDAYS(Proc[[#This Row],[DateOpened]],Proc[[#This Row],[DateClosed]]))-1)</f>
        <v>4</v>
      </c>
      <c r="R1232" s="82" t="s">
        <v>411</v>
      </c>
      <c r="S1232" s="71"/>
    </row>
    <row r="1233" spans="1:19">
      <c r="A1233" s="74" t="s">
        <v>3212</v>
      </c>
      <c r="B1233" s="71" t="str">
        <f>IFERROR(VLOOKUP(Proc[[#This Row],[App]],Table2[],3,0),"open")</f>
        <v>open</v>
      </c>
      <c r="C1233" s="74" t="s">
        <v>370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/>
      <c r="O1233" s="81"/>
      <c r="P1233" s="82" t="str">
        <f ca="1">IF(Proc[[#This Row],[DaysAgeing]]&gt;5,"yep","on track")</f>
        <v>on track</v>
      </c>
      <c r="Q1233" s="3">
        <f ca="1">IF(Proc[[#This Row],[DateClosed]]="",ABS(NETWORKDAYS(Proc[[#This Row],[DateOpened]],TODAY()))-1,ABS(NETWORKDAYS(Proc[[#This Row],[DateOpened]],Proc[[#This Row],[DateClosed]]))-1)</f>
        <v>4</v>
      </c>
      <c r="R1233" s="82" t="s">
        <v>411</v>
      </c>
      <c r="S1233" s="71"/>
    </row>
    <row r="1234" spans="1:19">
      <c r="A1234" s="74" t="s">
        <v>3212</v>
      </c>
      <c r="B1234" s="71" t="str">
        <f>IFERROR(VLOOKUP(Proc[[#This Row],[App]],Table2[],3,0),"open")</f>
        <v>open</v>
      </c>
      <c r="C1234" s="74" t="s">
        <v>370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/>
      <c r="O1234" s="81"/>
      <c r="P1234" s="82" t="str">
        <f ca="1">IF(Proc[[#This Row],[DaysAgeing]]&gt;5,"yep","on track")</f>
        <v>on track</v>
      </c>
      <c r="Q1234" s="3">
        <f ca="1">IF(Proc[[#This Row],[DateClosed]]="",ABS(NETWORKDAYS(Proc[[#This Row],[DateOpened]],TODAY()))-1,ABS(NETWORKDAYS(Proc[[#This Row],[DateOpened]],Proc[[#This Row],[DateClosed]]))-1)</f>
        <v>4</v>
      </c>
      <c r="R1234" s="82" t="s">
        <v>411</v>
      </c>
      <c r="S1234" s="71"/>
    </row>
    <row r="1235" spans="1:19">
      <c r="A1235" s="74" t="s">
        <v>3212</v>
      </c>
      <c r="B1235" s="71" t="str">
        <f>IFERROR(VLOOKUP(Proc[[#This Row],[App]],Table2[],3,0),"open")</f>
        <v>open</v>
      </c>
      <c r="C1235" s="74" t="s">
        <v>370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/>
      <c r="O1235" s="81"/>
      <c r="P1235" s="82" t="str">
        <f ca="1">IF(Proc[[#This Row],[DaysAgeing]]&gt;5,"yep","on track")</f>
        <v>on track</v>
      </c>
      <c r="Q1235" s="3">
        <f ca="1">IF(Proc[[#This Row],[DateClosed]]="",ABS(NETWORKDAYS(Proc[[#This Row],[DateOpened]],TODAY()))-1,ABS(NETWORKDAYS(Proc[[#This Row],[DateOpened]],Proc[[#This Row],[DateClosed]]))-1)</f>
        <v>4</v>
      </c>
      <c r="R1235" s="82" t="s">
        <v>411</v>
      </c>
      <c r="S1235" s="71"/>
    </row>
    <row r="1236" spans="1:19">
      <c r="A1236" s="74" t="s">
        <v>3212</v>
      </c>
      <c r="B1236" s="71" t="str">
        <f>IFERROR(VLOOKUP(Proc[[#This Row],[App]],Table2[],3,0),"open")</f>
        <v>open</v>
      </c>
      <c r="C1236" s="74" t="s">
        <v>370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/>
      <c r="O1236" s="81"/>
      <c r="P1236" s="82" t="str">
        <f ca="1">IF(Proc[[#This Row],[DaysAgeing]]&gt;5,"yep","on track")</f>
        <v>on track</v>
      </c>
      <c r="Q1236" s="3">
        <f ca="1">IF(Proc[[#This Row],[DateClosed]]="",ABS(NETWORKDAYS(Proc[[#This Row],[DateOpened]],TODAY()))-1,ABS(NETWORKDAYS(Proc[[#This Row],[DateOpened]],Proc[[#This Row],[DateClosed]]))-1)</f>
        <v>4</v>
      </c>
      <c r="R1236" s="82" t="s">
        <v>411</v>
      </c>
      <c r="S1236" s="71"/>
    </row>
    <row r="1237" spans="1:19">
      <c r="A1237" s="74" t="s">
        <v>3212</v>
      </c>
      <c r="B1237" s="71" t="str">
        <f>IFERROR(VLOOKUP(Proc[[#This Row],[App]],Table2[],3,0),"open")</f>
        <v>open</v>
      </c>
      <c r="C1237" s="74" t="s">
        <v>370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/>
      <c r="O1237" s="81"/>
      <c r="P1237" s="82" t="str">
        <f ca="1">IF(Proc[[#This Row],[DaysAgeing]]&gt;5,"yep","on track")</f>
        <v>on track</v>
      </c>
      <c r="Q1237" s="3">
        <f ca="1">IF(Proc[[#This Row],[DateClosed]]="",ABS(NETWORKDAYS(Proc[[#This Row],[DateOpened]],TODAY()))-1,ABS(NETWORKDAYS(Proc[[#This Row],[DateOpened]],Proc[[#This Row],[DateClosed]]))-1)</f>
        <v>4</v>
      </c>
      <c r="R1237" s="82" t="s">
        <v>411</v>
      </c>
      <c r="S1237" s="71"/>
    </row>
    <row r="1238" spans="1:19">
      <c r="A1238" s="74" t="s">
        <v>3212</v>
      </c>
      <c r="B1238" s="71" t="str">
        <f>IFERROR(VLOOKUP(Proc[[#This Row],[App]],Table2[],3,0),"open")</f>
        <v>open</v>
      </c>
      <c r="C1238" s="74" t="s">
        <v>370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/>
      <c r="O1238" s="81"/>
      <c r="P1238" s="82" t="str">
        <f ca="1">IF(Proc[[#This Row],[DaysAgeing]]&gt;5,"yep","on track")</f>
        <v>on track</v>
      </c>
      <c r="Q1238" s="3">
        <f ca="1">IF(Proc[[#This Row],[DateClosed]]="",ABS(NETWORKDAYS(Proc[[#This Row],[DateOpened]],TODAY()))-1,ABS(NETWORKDAYS(Proc[[#This Row],[DateOpened]],Proc[[#This Row],[DateClosed]]))-1)</f>
        <v>4</v>
      </c>
      <c r="R1238" s="82" t="s">
        <v>411</v>
      </c>
      <c r="S1238" s="71"/>
    </row>
    <row r="1239" spans="1:19">
      <c r="A1239" s="74" t="s">
        <v>3212</v>
      </c>
      <c r="B1239" s="71" t="str">
        <f>IFERROR(VLOOKUP(Proc[[#This Row],[App]],Table2[],3,0),"open")</f>
        <v>open</v>
      </c>
      <c r="C1239" s="74" t="s">
        <v>370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/>
      <c r="O1239" s="81"/>
      <c r="P1239" s="82" t="str">
        <f ca="1">IF(Proc[[#This Row],[DaysAgeing]]&gt;5,"yep","on track")</f>
        <v>on track</v>
      </c>
      <c r="Q1239" s="3">
        <f ca="1">IF(Proc[[#This Row],[DateClosed]]="",ABS(NETWORKDAYS(Proc[[#This Row],[DateOpened]],TODAY()))-1,ABS(NETWORKDAYS(Proc[[#This Row],[DateOpened]],Proc[[#This Row],[DateClosed]]))-1)</f>
        <v>4</v>
      </c>
      <c r="R1239" s="82" t="s">
        <v>411</v>
      </c>
      <c r="S1239" s="71"/>
    </row>
    <row r="1240" spans="1:19">
      <c r="A1240" s="74" t="s">
        <v>3212</v>
      </c>
      <c r="B1240" s="71" t="str">
        <f>IFERROR(VLOOKUP(Proc[[#This Row],[App]],Table2[],3,0),"open")</f>
        <v>open</v>
      </c>
      <c r="C1240" s="74" t="s">
        <v>370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/>
      <c r="O1240" s="81"/>
      <c r="P1240" s="82" t="str">
        <f ca="1">IF(Proc[[#This Row],[DaysAgeing]]&gt;5,"yep","on track")</f>
        <v>on track</v>
      </c>
      <c r="Q1240" s="3">
        <f ca="1">IF(Proc[[#This Row],[DateClosed]]="",ABS(NETWORKDAYS(Proc[[#This Row],[DateOpened]],TODAY()))-1,ABS(NETWORKDAYS(Proc[[#This Row],[DateOpened]],Proc[[#This Row],[DateClosed]]))-1)</f>
        <v>4</v>
      </c>
      <c r="R1240" s="82" t="s">
        <v>411</v>
      </c>
      <c r="S1240" s="71"/>
    </row>
    <row r="1241" spans="1:19">
      <c r="A1241" s="74" t="s">
        <v>3212</v>
      </c>
      <c r="B1241" s="71" t="str">
        <f>IFERROR(VLOOKUP(Proc[[#This Row],[App]],Table2[],3,0),"open")</f>
        <v>open</v>
      </c>
      <c r="C1241" s="74" t="s">
        <v>370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/>
      <c r="O1241" s="81"/>
      <c r="P1241" s="82" t="str">
        <f ca="1">IF(Proc[[#This Row],[DaysAgeing]]&gt;5,"yep","on track")</f>
        <v>on track</v>
      </c>
      <c r="Q1241" s="3">
        <f ca="1">IF(Proc[[#This Row],[DateClosed]]="",ABS(NETWORKDAYS(Proc[[#This Row],[DateOpened]],TODAY()))-1,ABS(NETWORKDAYS(Proc[[#This Row],[DateOpened]],Proc[[#This Row],[DateClosed]]))-1)</f>
        <v>4</v>
      </c>
      <c r="R1241" s="82" t="s">
        <v>411</v>
      </c>
      <c r="S1241" s="71"/>
    </row>
    <row r="1242" spans="1:19">
      <c r="A1242" s="74" t="s">
        <v>3212</v>
      </c>
      <c r="B1242" s="71" t="str">
        <f>IFERROR(VLOOKUP(Proc[[#This Row],[App]],Table2[],3,0),"open")</f>
        <v>open</v>
      </c>
      <c r="C1242" s="74" t="s">
        <v>370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/>
      <c r="O1242" s="81"/>
      <c r="P1242" s="82" t="str">
        <f ca="1">IF(Proc[[#This Row],[DaysAgeing]]&gt;5,"yep","on track")</f>
        <v>on track</v>
      </c>
      <c r="Q1242" s="3">
        <f ca="1">IF(Proc[[#This Row],[DateClosed]]="",ABS(NETWORKDAYS(Proc[[#This Row],[DateOpened]],TODAY()))-1,ABS(NETWORKDAYS(Proc[[#This Row],[DateOpened]],Proc[[#This Row],[DateClosed]]))-1)</f>
        <v>4</v>
      </c>
      <c r="R1242" s="82" t="s">
        <v>411</v>
      </c>
      <c r="S1242" s="71"/>
    </row>
    <row r="1243" spans="1:19">
      <c r="A1243" s="74" t="s">
        <v>3212</v>
      </c>
      <c r="B1243" s="71" t="str">
        <f>IFERROR(VLOOKUP(Proc[[#This Row],[App]],Table2[],3,0),"open")</f>
        <v>open</v>
      </c>
      <c r="C1243" s="74" t="s">
        <v>370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/>
      <c r="O1243" s="81"/>
      <c r="P1243" s="82" t="str">
        <f ca="1">IF(Proc[[#This Row],[DaysAgeing]]&gt;5,"yep","on track")</f>
        <v>on track</v>
      </c>
      <c r="Q1243" s="3">
        <f ca="1">IF(Proc[[#This Row],[DateClosed]]="",ABS(NETWORKDAYS(Proc[[#This Row],[DateOpened]],TODAY()))-1,ABS(NETWORKDAYS(Proc[[#This Row],[DateOpened]],Proc[[#This Row],[DateClosed]]))-1)</f>
        <v>4</v>
      </c>
      <c r="R1243" s="82" t="s">
        <v>411</v>
      </c>
      <c r="S1243" s="71"/>
    </row>
    <row r="1244" spans="1:19">
      <c r="A1244" s="74" t="s">
        <v>3212</v>
      </c>
      <c r="B1244" s="71" t="str">
        <f>IFERROR(VLOOKUP(Proc[[#This Row],[App]],Table2[],3,0),"open")</f>
        <v>open</v>
      </c>
      <c r="C1244" s="74" t="s">
        <v>370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/>
      <c r="O1244" s="81"/>
      <c r="P1244" s="82" t="str">
        <f ca="1">IF(Proc[[#This Row],[DaysAgeing]]&gt;5,"yep","on track")</f>
        <v>on track</v>
      </c>
      <c r="Q1244" s="3">
        <f ca="1">IF(Proc[[#This Row],[DateClosed]]="",ABS(NETWORKDAYS(Proc[[#This Row],[DateOpened]],TODAY()))-1,ABS(NETWORKDAYS(Proc[[#This Row],[DateOpened]],Proc[[#This Row],[DateClosed]]))-1)</f>
        <v>4</v>
      </c>
      <c r="R1244" s="82" t="s">
        <v>411</v>
      </c>
      <c r="S1244" s="71"/>
    </row>
    <row r="1245" spans="1:19">
      <c r="A1245" s="74" t="s">
        <v>3212</v>
      </c>
      <c r="B1245" s="71" t="str">
        <f>IFERROR(VLOOKUP(Proc[[#This Row],[App]],Table2[],3,0),"open")</f>
        <v>open</v>
      </c>
      <c r="C1245" s="74" t="s">
        <v>370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/>
      <c r="O1245" s="81"/>
      <c r="P1245" s="82" t="str">
        <f ca="1">IF(Proc[[#This Row],[DaysAgeing]]&gt;5,"yep","on track")</f>
        <v>on track</v>
      </c>
      <c r="Q1245" s="3">
        <f ca="1">IF(Proc[[#This Row],[DateClosed]]="",ABS(NETWORKDAYS(Proc[[#This Row],[DateOpened]],TODAY()))-1,ABS(NETWORKDAYS(Proc[[#This Row],[DateOpened]],Proc[[#This Row],[DateClosed]]))-1)</f>
        <v>4</v>
      </c>
      <c r="R1245" s="82" t="s">
        <v>411</v>
      </c>
      <c r="S1245" s="71"/>
    </row>
    <row r="1246" spans="1:19">
      <c r="A1246" s="74" t="s">
        <v>3212</v>
      </c>
      <c r="B1246" s="71" t="str">
        <f>IFERROR(VLOOKUP(Proc[[#This Row],[App]],Table2[],3,0),"open")</f>
        <v>open</v>
      </c>
      <c r="C1246" s="74" t="s">
        <v>370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/>
      <c r="O1246" s="81"/>
      <c r="P1246" s="82" t="str">
        <f ca="1">IF(Proc[[#This Row],[DaysAgeing]]&gt;5,"yep","on track")</f>
        <v>on track</v>
      </c>
      <c r="Q1246" s="3">
        <f ca="1">IF(Proc[[#This Row],[DateClosed]]="",ABS(NETWORKDAYS(Proc[[#This Row],[DateOpened]],TODAY()))-1,ABS(NETWORKDAYS(Proc[[#This Row],[DateOpened]],Proc[[#This Row],[DateClosed]]))-1)</f>
        <v>4</v>
      </c>
      <c r="R1246" s="82" t="s">
        <v>411</v>
      </c>
      <c r="S1246" s="71"/>
    </row>
    <row r="1247" spans="1:19">
      <c r="A1247" s="74" t="s">
        <v>3212</v>
      </c>
      <c r="B1247" s="71" t="str">
        <f>IFERROR(VLOOKUP(Proc[[#This Row],[App]],Table2[],3,0),"open")</f>
        <v>open</v>
      </c>
      <c r="C1247" s="74" t="s">
        <v>370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/>
      <c r="O1247" s="81"/>
      <c r="P1247" s="82" t="str">
        <f ca="1">IF(Proc[[#This Row],[DaysAgeing]]&gt;5,"yep","on track")</f>
        <v>on track</v>
      </c>
      <c r="Q1247" s="3">
        <f ca="1">IF(Proc[[#This Row],[DateClosed]]="",ABS(NETWORKDAYS(Proc[[#This Row],[DateOpened]],TODAY()))-1,ABS(NETWORKDAYS(Proc[[#This Row],[DateOpened]],Proc[[#This Row],[DateClosed]]))-1)</f>
        <v>4</v>
      </c>
      <c r="R1247" s="82" t="s">
        <v>411</v>
      </c>
      <c r="S1247" s="71"/>
    </row>
    <row r="1248" spans="1:19">
      <c r="A1248" s="74" t="s">
        <v>3212</v>
      </c>
      <c r="B1248" s="71" t="str">
        <f>IFERROR(VLOOKUP(Proc[[#This Row],[App]],Table2[],3,0),"open")</f>
        <v>open</v>
      </c>
      <c r="C1248" s="74" t="s">
        <v>370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/>
      <c r="O1248" s="81"/>
      <c r="P1248" s="82" t="str">
        <f ca="1">IF(Proc[[#This Row],[DaysAgeing]]&gt;5,"yep","on track")</f>
        <v>on track</v>
      </c>
      <c r="Q1248" s="3">
        <f ca="1">IF(Proc[[#This Row],[DateClosed]]="",ABS(NETWORKDAYS(Proc[[#This Row],[DateOpened]],TODAY()))-1,ABS(NETWORKDAYS(Proc[[#This Row],[DateOpened]],Proc[[#This Row],[DateClosed]]))-1)</f>
        <v>4</v>
      </c>
      <c r="R1248" s="82" t="s">
        <v>411</v>
      </c>
      <c r="S1248" s="71"/>
    </row>
    <row r="1249" spans="1:19">
      <c r="A1249" s="74" t="s">
        <v>3212</v>
      </c>
      <c r="B1249" s="71" t="str">
        <f>IFERROR(VLOOKUP(Proc[[#This Row],[App]],Table2[],3,0),"open")</f>
        <v>open</v>
      </c>
      <c r="C1249" s="74" t="s">
        <v>370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/>
      <c r="O1249" s="81"/>
      <c r="P1249" s="82" t="str">
        <f ca="1">IF(Proc[[#This Row],[DaysAgeing]]&gt;5,"yep","on track")</f>
        <v>on track</v>
      </c>
      <c r="Q1249" s="3">
        <f ca="1">IF(Proc[[#This Row],[DateClosed]]="",ABS(NETWORKDAYS(Proc[[#This Row],[DateOpened]],TODAY()))-1,ABS(NETWORKDAYS(Proc[[#This Row],[DateOpened]],Proc[[#This Row],[DateClosed]]))-1)</f>
        <v>4</v>
      </c>
      <c r="R1249" s="82" t="s">
        <v>411</v>
      </c>
      <c r="S1249" s="71"/>
    </row>
    <row r="1250" spans="1:19">
      <c r="A1250" s="74" t="s">
        <v>3212</v>
      </c>
      <c r="B1250" s="71" t="str">
        <f>IFERROR(VLOOKUP(Proc[[#This Row],[App]],Table2[],3,0),"open")</f>
        <v>open</v>
      </c>
      <c r="C1250" s="74" t="s">
        <v>370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/>
      <c r="O1250" s="81"/>
      <c r="P1250" s="82" t="str">
        <f ca="1">IF(Proc[[#This Row],[DaysAgeing]]&gt;5,"yep","on track")</f>
        <v>on track</v>
      </c>
      <c r="Q1250" s="3">
        <f ca="1">IF(Proc[[#This Row],[DateClosed]]="",ABS(NETWORKDAYS(Proc[[#This Row],[DateOpened]],TODAY()))-1,ABS(NETWORKDAYS(Proc[[#This Row],[DateOpened]],Proc[[#This Row],[DateClosed]]))-1)</f>
        <v>4</v>
      </c>
      <c r="R1250" s="82" t="s">
        <v>411</v>
      </c>
      <c r="S1250" s="71"/>
    </row>
    <row r="1251" spans="1:19">
      <c r="A1251" s="74" t="s">
        <v>3212</v>
      </c>
      <c r="B1251" s="71" t="str">
        <f>IFERROR(VLOOKUP(Proc[[#This Row],[App]],Table2[],3,0),"open")</f>
        <v>open</v>
      </c>
      <c r="C1251" s="74" t="s">
        <v>370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/>
      <c r="O1251" s="81"/>
      <c r="P1251" s="82" t="str">
        <f ca="1">IF(Proc[[#This Row],[DaysAgeing]]&gt;5,"yep","on track")</f>
        <v>on track</v>
      </c>
      <c r="Q1251" s="3">
        <f ca="1">IF(Proc[[#This Row],[DateClosed]]="",ABS(NETWORKDAYS(Proc[[#This Row],[DateOpened]],TODAY()))-1,ABS(NETWORKDAYS(Proc[[#This Row],[DateOpened]],Proc[[#This Row],[DateClosed]]))-1)</f>
        <v>4</v>
      </c>
      <c r="R1251" s="82" t="s">
        <v>411</v>
      </c>
      <c r="S1251" s="71"/>
    </row>
    <row r="1252" spans="1:19">
      <c r="A1252" s="74" t="s">
        <v>3212</v>
      </c>
      <c r="B1252" s="71" t="str">
        <f>IFERROR(VLOOKUP(Proc[[#This Row],[App]],Table2[],3,0),"open")</f>
        <v>open</v>
      </c>
      <c r="C1252" s="74" t="s">
        <v>370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/>
      <c r="O1252" s="81"/>
      <c r="P1252" s="82" t="str">
        <f ca="1">IF(Proc[[#This Row],[DaysAgeing]]&gt;5,"yep","on track")</f>
        <v>on track</v>
      </c>
      <c r="Q1252" s="3">
        <f ca="1">IF(Proc[[#This Row],[DateClosed]]="",ABS(NETWORKDAYS(Proc[[#This Row],[DateOpened]],TODAY()))-1,ABS(NETWORKDAYS(Proc[[#This Row],[DateOpened]],Proc[[#This Row],[DateClosed]]))-1)</f>
        <v>4</v>
      </c>
      <c r="R1252" s="82" t="s">
        <v>411</v>
      </c>
      <c r="S1252" s="71"/>
    </row>
    <row r="1253" spans="1:19">
      <c r="A1253" s="74" t="s">
        <v>3212</v>
      </c>
      <c r="B1253" s="71" t="str">
        <f>IFERROR(VLOOKUP(Proc[[#This Row],[App]],Table2[],3,0),"open")</f>
        <v>open</v>
      </c>
      <c r="C1253" s="74" t="s">
        <v>370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/>
      <c r="O1253" s="81"/>
      <c r="P1253" s="82" t="str">
        <f ca="1">IF(Proc[[#This Row],[DaysAgeing]]&gt;5,"yep","on track")</f>
        <v>on track</v>
      </c>
      <c r="Q1253" s="3">
        <f ca="1">IF(Proc[[#This Row],[DateClosed]]="",ABS(NETWORKDAYS(Proc[[#This Row],[DateOpened]],TODAY()))-1,ABS(NETWORKDAYS(Proc[[#This Row],[DateOpened]],Proc[[#This Row],[DateClosed]]))-1)</f>
        <v>4</v>
      </c>
      <c r="R1253" s="82" t="s">
        <v>411</v>
      </c>
      <c r="S1253" s="71"/>
    </row>
    <row r="1254" spans="1:19">
      <c r="A1254" s="74" t="s">
        <v>3212</v>
      </c>
      <c r="B1254" s="71" t="str">
        <f>IFERROR(VLOOKUP(Proc[[#This Row],[App]],Table2[],3,0),"open")</f>
        <v>open</v>
      </c>
      <c r="C1254" s="74" t="s">
        <v>370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/>
      <c r="O1254" s="81"/>
      <c r="P1254" s="82" t="str">
        <f ca="1">IF(Proc[[#This Row],[DaysAgeing]]&gt;5,"yep","on track")</f>
        <v>on track</v>
      </c>
      <c r="Q1254" s="3">
        <f ca="1">IF(Proc[[#This Row],[DateClosed]]="",ABS(NETWORKDAYS(Proc[[#This Row],[DateOpened]],TODAY()))-1,ABS(NETWORKDAYS(Proc[[#This Row],[DateOpened]],Proc[[#This Row],[DateClosed]]))-1)</f>
        <v>4</v>
      </c>
      <c r="R1254" s="82" t="s">
        <v>411</v>
      </c>
      <c r="S1254" s="71"/>
    </row>
    <row r="1255" spans="1:19">
      <c r="A1255" s="74" t="s">
        <v>3212</v>
      </c>
      <c r="B1255" s="71" t="str">
        <f>IFERROR(VLOOKUP(Proc[[#This Row],[App]],Table2[],3,0),"open")</f>
        <v>open</v>
      </c>
      <c r="C1255" s="74" t="s">
        <v>370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/>
      <c r="O1255" s="81"/>
      <c r="P1255" s="82" t="str">
        <f ca="1">IF(Proc[[#This Row],[DaysAgeing]]&gt;5,"yep","on track")</f>
        <v>on track</v>
      </c>
      <c r="Q1255" s="3">
        <f ca="1">IF(Proc[[#This Row],[DateClosed]]="",ABS(NETWORKDAYS(Proc[[#This Row],[DateOpened]],TODAY()))-1,ABS(NETWORKDAYS(Proc[[#This Row],[DateOpened]],Proc[[#This Row],[DateClosed]]))-1)</f>
        <v>4</v>
      </c>
      <c r="R1255" s="82" t="s">
        <v>411</v>
      </c>
      <c r="S1255" s="71"/>
    </row>
    <row r="1256" spans="1:19">
      <c r="A1256" s="74" t="s">
        <v>3212</v>
      </c>
      <c r="B1256" s="71" t="str">
        <f>IFERROR(VLOOKUP(Proc[[#This Row],[App]],Table2[],3,0),"open")</f>
        <v>open</v>
      </c>
      <c r="C1256" s="74" t="s">
        <v>370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/>
      <c r="O1256" s="81"/>
      <c r="P1256" s="82" t="str">
        <f ca="1">IF(Proc[[#This Row],[DaysAgeing]]&gt;5,"yep","on track")</f>
        <v>on track</v>
      </c>
      <c r="Q1256" s="3">
        <f ca="1">IF(Proc[[#This Row],[DateClosed]]="",ABS(NETWORKDAYS(Proc[[#This Row],[DateOpened]],TODAY()))-1,ABS(NETWORKDAYS(Proc[[#This Row],[DateOpened]],Proc[[#This Row],[DateClosed]]))-1)</f>
        <v>4</v>
      </c>
      <c r="R1256" s="82" t="s">
        <v>411</v>
      </c>
      <c r="S1256" s="71"/>
    </row>
    <row r="1257" spans="1:19">
      <c r="A1257" s="74" t="s">
        <v>3212</v>
      </c>
      <c r="B1257" s="71" t="str">
        <f>IFERROR(VLOOKUP(Proc[[#This Row],[App]],Table2[],3,0),"open")</f>
        <v>open</v>
      </c>
      <c r="C1257" s="74" t="s">
        <v>370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/>
      <c r="O1257" s="81"/>
      <c r="P1257" s="82" t="str">
        <f ca="1">IF(Proc[[#This Row],[DaysAgeing]]&gt;5,"yep","on track")</f>
        <v>on track</v>
      </c>
      <c r="Q1257" s="3">
        <f ca="1">IF(Proc[[#This Row],[DateClosed]]="",ABS(NETWORKDAYS(Proc[[#This Row],[DateOpened]],TODAY()))-1,ABS(NETWORKDAYS(Proc[[#This Row],[DateOpened]],Proc[[#This Row],[DateClosed]]))-1)</f>
        <v>4</v>
      </c>
      <c r="R1257" s="82" t="s">
        <v>411</v>
      </c>
      <c r="S1257" s="71"/>
    </row>
    <row r="1258" spans="1:19">
      <c r="A1258" s="74" t="s">
        <v>3212</v>
      </c>
      <c r="B1258" s="71" t="str">
        <f>IFERROR(VLOOKUP(Proc[[#This Row],[App]],Table2[],3,0),"open")</f>
        <v>open</v>
      </c>
      <c r="C1258" s="74" t="s">
        <v>370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/>
      <c r="O1258" s="81"/>
      <c r="P1258" s="82" t="str">
        <f ca="1">IF(Proc[[#This Row],[DaysAgeing]]&gt;5,"yep","on track")</f>
        <v>on track</v>
      </c>
      <c r="Q1258" s="3">
        <f ca="1">IF(Proc[[#This Row],[DateClosed]]="",ABS(NETWORKDAYS(Proc[[#This Row],[DateOpened]],TODAY()))-1,ABS(NETWORKDAYS(Proc[[#This Row],[DateOpened]],Proc[[#This Row],[DateClosed]]))-1)</f>
        <v>4</v>
      </c>
      <c r="R1258" s="82" t="s">
        <v>411</v>
      </c>
      <c r="S1258" s="71"/>
    </row>
    <row r="1259" spans="1:19">
      <c r="A1259" s="74" t="s">
        <v>3212</v>
      </c>
      <c r="B1259" s="71" t="str">
        <f>IFERROR(VLOOKUP(Proc[[#This Row],[App]],Table2[],3,0),"open")</f>
        <v>open</v>
      </c>
      <c r="C1259" s="74" t="s">
        <v>370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/>
      <c r="O1259" s="81"/>
      <c r="P1259" s="82" t="str">
        <f ca="1">IF(Proc[[#This Row],[DaysAgeing]]&gt;5,"yep","on track")</f>
        <v>on track</v>
      </c>
      <c r="Q1259" s="3">
        <f ca="1">IF(Proc[[#This Row],[DateClosed]]="",ABS(NETWORKDAYS(Proc[[#This Row],[DateOpened]],TODAY()))-1,ABS(NETWORKDAYS(Proc[[#This Row],[DateOpened]],Proc[[#This Row],[DateClosed]]))-1)</f>
        <v>4</v>
      </c>
      <c r="R1259" s="82" t="s">
        <v>411</v>
      </c>
      <c r="S1259" s="71"/>
    </row>
    <row r="1260" spans="1:19">
      <c r="A1260" s="74" t="s">
        <v>3212</v>
      </c>
      <c r="B1260" s="71" t="str">
        <f>IFERROR(VLOOKUP(Proc[[#This Row],[App]],Table2[],3,0),"open")</f>
        <v>open</v>
      </c>
      <c r="C1260" s="74" t="s">
        <v>370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/>
      <c r="O1260" s="81"/>
      <c r="P1260" s="82" t="str">
        <f ca="1">IF(Proc[[#This Row],[DaysAgeing]]&gt;5,"yep","on track")</f>
        <v>on track</v>
      </c>
      <c r="Q1260" s="3">
        <f ca="1">IF(Proc[[#This Row],[DateClosed]]="",ABS(NETWORKDAYS(Proc[[#This Row],[DateOpened]],TODAY()))-1,ABS(NETWORKDAYS(Proc[[#This Row],[DateOpened]],Proc[[#This Row],[DateClosed]]))-1)</f>
        <v>4</v>
      </c>
      <c r="R1260" s="82" t="s">
        <v>411</v>
      </c>
      <c r="S1260" s="71"/>
    </row>
    <row r="1261" spans="1:19">
      <c r="A1261" s="74" t="s">
        <v>3212</v>
      </c>
      <c r="B1261" s="71" t="str">
        <f>IFERROR(VLOOKUP(Proc[[#This Row],[App]],Table2[],3,0),"open")</f>
        <v>open</v>
      </c>
      <c r="C1261" s="74" t="s">
        <v>370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/>
      <c r="O1261" s="81"/>
      <c r="P1261" s="82" t="str">
        <f ca="1">IF(Proc[[#This Row],[DaysAgeing]]&gt;5,"yep","on track")</f>
        <v>on track</v>
      </c>
      <c r="Q1261" s="3">
        <f ca="1">IF(Proc[[#This Row],[DateClosed]]="",ABS(NETWORKDAYS(Proc[[#This Row],[DateOpened]],TODAY()))-1,ABS(NETWORKDAYS(Proc[[#This Row],[DateOpened]],Proc[[#This Row],[DateClosed]]))-1)</f>
        <v>4</v>
      </c>
      <c r="R1261" s="82" t="s">
        <v>411</v>
      </c>
      <c r="S1261" s="71"/>
    </row>
    <row r="1262" spans="1:19">
      <c r="A1262" s="74" t="s">
        <v>3212</v>
      </c>
      <c r="B1262" s="71" t="str">
        <f>IFERROR(VLOOKUP(Proc[[#This Row],[App]],Table2[],3,0),"open")</f>
        <v>open</v>
      </c>
      <c r="C1262" s="74" t="s">
        <v>370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/>
      <c r="O1262" s="81"/>
      <c r="P1262" s="82" t="str">
        <f ca="1">IF(Proc[[#This Row],[DaysAgeing]]&gt;5,"yep","on track")</f>
        <v>on track</v>
      </c>
      <c r="Q1262" s="3">
        <f ca="1">IF(Proc[[#This Row],[DateClosed]]="",ABS(NETWORKDAYS(Proc[[#This Row],[DateOpened]],TODAY()))-1,ABS(NETWORKDAYS(Proc[[#This Row],[DateOpened]],Proc[[#This Row],[DateClosed]]))-1)</f>
        <v>4</v>
      </c>
      <c r="R1262" s="82" t="s">
        <v>411</v>
      </c>
      <c r="S1262" s="71"/>
    </row>
    <row r="1263" spans="1:19">
      <c r="A1263" s="74" t="s">
        <v>3212</v>
      </c>
      <c r="B1263" s="71" t="str">
        <f>IFERROR(VLOOKUP(Proc[[#This Row],[App]],Table2[],3,0),"open")</f>
        <v>open</v>
      </c>
      <c r="C1263" s="74" t="s">
        <v>370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/>
      <c r="O1263" s="81"/>
      <c r="P1263" s="82" t="str">
        <f ca="1">IF(Proc[[#This Row],[DaysAgeing]]&gt;5,"yep","on track")</f>
        <v>on track</v>
      </c>
      <c r="Q1263" s="3">
        <f ca="1">IF(Proc[[#This Row],[DateClosed]]="",ABS(NETWORKDAYS(Proc[[#This Row],[DateOpened]],TODAY()))-1,ABS(NETWORKDAYS(Proc[[#This Row],[DateOpened]],Proc[[#This Row],[DateClosed]]))-1)</f>
        <v>4</v>
      </c>
      <c r="R1263" s="82" t="s">
        <v>411</v>
      </c>
      <c r="S1263" s="71"/>
    </row>
    <row r="1264" spans="1:19">
      <c r="A1264" s="74" t="s">
        <v>3212</v>
      </c>
      <c r="B1264" s="71" t="str">
        <f>IFERROR(VLOOKUP(Proc[[#This Row],[App]],Table2[],3,0),"open")</f>
        <v>open</v>
      </c>
      <c r="C1264" s="74" t="s">
        <v>370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/>
      <c r="O1264" s="81"/>
      <c r="P1264" s="82" t="str">
        <f ca="1">IF(Proc[[#This Row],[DaysAgeing]]&gt;5,"yep","on track")</f>
        <v>on track</v>
      </c>
      <c r="Q1264" s="3">
        <f ca="1">IF(Proc[[#This Row],[DateClosed]]="",ABS(NETWORKDAYS(Proc[[#This Row],[DateOpened]],TODAY()))-1,ABS(NETWORKDAYS(Proc[[#This Row],[DateOpened]],Proc[[#This Row],[DateClosed]]))-1)</f>
        <v>4</v>
      </c>
      <c r="R1264" s="82" t="s">
        <v>411</v>
      </c>
      <c r="S1264" s="71"/>
    </row>
    <row r="1265" spans="1:19">
      <c r="A1265" s="74" t="s">
        <v>3212</v>
      </c>
      <c r="B1265" s="71" t="str">
        <f>IFERROR(VLOOKUP(Proc[[#This Row],[App]],Table2[],3,0),"open")</f>
        <v>open</v>
      </c>
      <c r="C1265" s="74" t="s">
        <v>370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/>
      <c r="O1265" s="81"/>
      <c r="P1265" s="82" t="str">
        <f ca="1">IF(Proc[[#This Row],[DaysAgeing]]&gt;5,"yep","on track")</f>
        <v>on track</v>
      </c>
      <c r="Q1265" s="3">
        <f ca="1">IF(Proc[[#This Row],[DateClosed]]="",ABS(NETWORKDAYS(Proc[[#This Row],[DateOpened]],TODAY()))-1,ABS(NETWORKDAYS(Proc[[#This Row],[DateOpened]],Proc[[#This Row],[DateClosed]]))-1)</f>
        <v>4</v>
      </c>
      <c r="R1265" s="82" t="s">
        <v>411</v>
      </c>
      <c r="S1265" s="71"/>
    </row>
    <row r="1266" spans="1:19">
      <c r="A1266" s="74" t="s">
        <v>3212</v>
      </c>
      <c r="B1266" s="71" t="str">
        <f>IFERROR(VLOOKUP(Proc[[#This Row],[App]],Table2[],3,0),"open")</f>
        <v>open</v>
      </c>
      <c r="C1266" s="74" t="s">
        <v>370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/>
      <c r="O1266" s="81"/>
      <c r="P1266" s="82" t="str">
        <f ca="1">IF(Proc[[#This Row],[DaysAgeing]]&gt;5,"yep","on track")</f>
        <v>on track</v>
      </c>
      <c r="Q1266" s="3">
        <f ca="1">IF(Proc[[#This Row],[DateClosed]]="",ABS(NETWORKDAYS(Proc[[#This Row],[DateOpened]],TODAY()))-1,ABS(NETWORKDAYS(Proc[[#This Row],[DateOpened]],Proc[[#This Row],[DateClosed]]))-1)</f>
        <v>4</v>
      </c>
      <c r="R1266" s="82" t="s">
        <v>411</v>
      </c>
      <c r="S1266" s="71"/>
    </row>
    <row r="1267" spans="1:19">
      <c r="A1267" s="74" t="s">
        <v>3212</v>
      </c>
      <c r="B1267" s="71" t="str">
        <f>IFERROR(VLOOKUP(Proc[[#This Row],[App]],Table2[],3,0),"open")</f>
        <v>open</v>
      </c>
      <c r="C1267" s="74" t="s">
        <v>370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/>
      <c r="O1267" s="81"/>
      <c r="P1267" s="82" t="str">
        <f ca="1">IF(Proc[[#This Row],[DaysAgeing]]&gt;5,"yep","on track")</f>
        <v>on track</v>
      </c>
      <c r="Q1267" s="3">
        <f ca="1">IF(Proc[[#This Row],[DateClosed]]="",ABS(NETWORKDAYS(Proc[[#This Row],[DateOpened]],TODAY()))-1,ABS(NETWORKDAYS(Proc[[#This Row],[DateOpened]],Proc[[#This Row],[DateClosed]]))-1)</f>
        <v>4</v>
      </c>
      <c r="R1267" s="82" t="s">
        <v>411</v>
      </c>
      <c r="S1267" s="71"/>
    </row>
    <row r="1268" spans="1:19">
      <c r="A1268" s="74" t="s">
        <v>3212</v>
      </c>
      <c r="B1268" s="71" t="str">
        <f>IFERROR(VLOOKUP(Proc[[#This Row],[App]],Table2[],3,0),"open")</f>
        <v>open</v>
      </c>
      <c r="C1268" s="74" t="s">
        <v>370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/>
      <c r="O1268" s="81"/>
      <c r="P1268" s="82" t="str">
        <f ca="1">IF(Proc[[#This Row],[DaysAgeing]]&gt;5,"yep","on track")</f>
        <v>on track</v>
      </c>
      <c r="Q1268" s="3">
        <f ca="1">IF(Proc[[#This Row],[DateClosed]]="",ABS(NETWORKDAYS(Proc[[#This Row],[DateOpened]],TODAY()))-1,ABS(NETWORKDAYS(Proc[[#This Row],[DateOpened]],Proc[[#This Row],[DateClosed]]))-1)</f>
        <v>4</v>
      </c>
      <c r="R1268" s="82" t="s">
        <v>411</v>
      </c>
      <c r="S1268" s="71"/>
    </row>
    <row r="1269" spans="1:19">
      <c r="A1269" s="74" t="s">
        <v>3212</v>
      </c>
      <c r="B1269" s="71" t="str">
        <f>IFERROR(VLOOKUP(Proc[[#This Row],[App]],Table2[],3,0),"open")</f>
        <v>open</v>
      </c>
      <c r="C1269" s="74" t="s">
        <v>370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/>
      <c r="O1269" s="81"/>
      <c r="P1269" s="82" t="str">
        <f ca="1">IF(Proc[[#This Row],[DaysAgeing]]&gt;5,"yep","on track")</f>
        <v>on track</v>
      </c>
      <c r="Q1269" s="3">
        <f ca="1">IF(Proc[[#This Row],[DateClosed]]="",ABS(NETWORKDAYS(Proc[[#This Row],[DateOpened]],TODAY()))-1,ABS(NETWORKDAYS(Proc[[#This Row],[DateOpened]],Proc[[#This Row],[DateClosed]]))-1)</f>
        <v>4</v>
      </c>
      <c r="R1269" s="82" t="s">
        <v>411</v>
      </c>
      <c r="S1269" s="71"/>
    </row>
    <row r="1270" spans="1:19">
      <c r="A1270" s="74" t="s">
        <v>3212</v>
      </c>
      <c r="B1270" s="71" t="str">
        <f>IFERROR(VLOOKUP(Proc[[#This Row],[App]],Table2[],3,0),"open")</f>
        <v>open</v>
      </c>
      <c r="C1270" s="74" t="s">
        <v>370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/>
      <c r="O1270" s="81"/>
      <c r="P1270" s="82" t="str">
        <f ca="1">IF(Proc[[#This Row],[DaysAgeing]]&gt;5,"yep","on track")</f>
        <v>on track</v>
      </c>
      <c r="Q1270" s="3">
        <f ca="1">IF(Proc[[#This Row],[DateClosed]]="",ABS(NETWORKDAYS(Proc[[#This Row],[DateOpened]],TODAY()))-1,ABS(NETWORKDAYS(Proc[[#This Row],[DateOpened]],Proc[[#This Row],[DateClosed]]))-1)</f>
        <v>4</v>
      </c>
      <c r="R1270" s="82" t="s">
        <v>411</v>
      </c>
      <c r="S1270" s="71"/>
    </row>
    <row r="1271" spans="1:19">
      <c r="A1271" s="74" t="s">
        <v>3212</v>
      </c>
      <c r="B1271" s="71" t="str">
        <f>IFERROR(VLOOKUP(Proc[[#This Row],[App]],Table2[],3,0),"open")</f>
        <v>open</v>
      </c>
      <c r="C1271" s="74" t="s">
        <v>370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/>
      <c r="O1271" s="81"/>
      <c r="P1271" s="82" t="str">
        <f ca="1">IF(Proc[[#This Row],[DaysAgeing]]&gt;5,"yep","on track")</f>
        <v>on track</v>
      </c>
      <c r="Q1271" s="3">
        <f ca="1">IF(Proc[[#This Row],[DateClosed]]="",ABS(NETWORKDAYS(Proc[[#This Row],[DateOpened]],TODAY()))-1,ABS(NETWORKDAYS(Proc[[#This Row],[DateOpened]],Proc[[#This Row],[DateClosed]]))-1)</f>
        <v>4</v>
      </c>
      <c r="R1271" s="82" t="s">
        <v>411</v>
      </c>
      <c r="S1271" s="71"/>
    </row>
    <row r="1272" spans="1:19">
      <c r="A1272" s="74" t="s">
        <v>3212</v>
      </c>
      <c r="B1272" s="71" t="str">
        <f>IFERROR(VLOOKUP(Proc[[#This Row],[App]],Table2[],3,0),"open")</f>
        <v>open</v>
      </c>
      <c r="C1272" s="74" t="s">
        <v>370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/>
      <c r="O1272" s="81"/>
      <c r="P1272" s="82" t="str">
        <f ca="1">IF(Proc[[#This Row],[DaysAgeing]]&gt;5,"yep","on track")</f>
        <v>on track</v>
      </c>
      <c r="Q1272" s="3">
        <f ca="1">IF(Proc[[#This Row],[DateClosed]]="",ABS(NETWORKDAYS(Proc[[#This Row],[DateOpened]],TODAY()))-1,ABS(NETWORKDAYS(Proc[[#This Row],[DateOpened]],Proc[[#This Row],[DateClosed]]))-1)</f>
        <v>4</v>
      </c>
      <c r="R1272" s="82" t="s">
        <v>411</v>
      </c>
      <c r="S1272" s="71"/>
    </row>
    <row r="1273" spans="1:19">
      <c r="A1273" s="74" t="s">
        <v>3212</v>
      </c>
      <c r="B1273" s="71" t="str">
        <f>IFERROR(VLOOKUP(Proc[[#This Row],[App]],Table2[],3,0),"open")</f>
        <v>open</v>
      </c>
      <c r="C1273" s="74" t="s">
        <v>370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/>
      <c r="O1273" s="81"/>
      <c r="P1273" s="82" t="str">
        <f ca="1">IF(Proc[[#This Row],[DaysAgeing]]&gt;5,"yep","on track")</f>
        <v>on track</v>
      </c>
      <c r="Q1273" s="3">
        <f ca="1">IF(Proc[[#This Row],[DateClosed]]="",ABS(NETWORKDAYS(Proc[[#This Row],[DateOpened]],TODAY()))-1,ABS(NETWORKDAYS(Proc[[#This Row],[DateOpened]],Proc[[#This Row],[DateClosed]]))-1)</f>
        <v>4</v>
      </c>
      <c r="R1273" s="82" t="s">
        <v>411</v>
      </c>
      <c r="S1273" s="71"/>
    </row>
    <row r="1274" spans="1:19">
      <c r="A1274" s="74" t="s">
        <v>3212</v>
      </c>
      <c r="B1274" s="71" t="str">
        <f>IFERROR(VLOOKUP(Proc[[#This Row],[App]],Table2[],3,0),"open")</f>
        <v>open</v>
      </c>
      <c r="C1274" s="74" t="s">
        <v>370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/>
      <c r="O1274" s="81"/>
      <c r="P1274" s="82" t="str">
        <f ca="1">IF(Proc[[#This Row],[DaysAgeing]]&gt;5,"yep","on track")</f>
        <v>on track</v>
      </c>
      <c r="Q1274" s="3">
        <f ca="1">IF(Proc[[#This Row],[DateClosed]]="",ABS(NETWORKDAYS(Proc[[#This Row],[DateOpened]],TODAY()))-1,ABS(NETWORKDAYS(Proc[[#This Row],[DateOpened]],Proc[[#This Row],[DateClosed]]))-1)</f>
        <v>4</v>
      </c>
      <c r="R1274" s="82" t="s">
        <v>411</v>
      </c>
      <c r="S1274" s="71"/>
    </row>
    <row r="1275" spans="1:19">
      <c r="A1275" s="74" t="s">
        <v>3212</v>
      </c>
      <c r="B1275" s="71" t="str">
        <f>IFERROR(VLOOKUP(Proc[[#This Row],[App]],Table2[],3,0),"open")</f>
        <v>open</v>
      </c>
      <c r="C1275" s="74" t="s">
        <v>370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/>
      <c r="O1275" s="81"/>
      <c r="P1275" s="82" t="str">
        <f ca="1">IF(Proc[[#This Row],[DaysAgeing]]&gt;5,"yep","on track")</f>
        <v>on track</v>
      </c>
      <c r="Q1275" s="3">
        <f ca="1">IF(Proc[[#This Row],[DateClosed]]="",ABS(NETWORKDAYS(Proc[[#This Row],[DateOpened]],TODAY()))-1,ABS(NETWORKDAYS(Proc[[#This Row],[DateOpened]],Proc[[#This Row],[DateClosed]]))-1)</f>
        <v>4</v>
      </c>
      <c r="R1275" s="82" t="s">
        <v>411</v>
      </c>
      <c r="S1275" s="71"/>
    </row>
    <row r="1276" spans="1:19">
      <c r="A1276" s="74" t="s">
        <v>3212</v>
      </c>
      <c r="B1276" s="71" t="str">
        <f>IFERROR(VLOOKUP(Proc[[#This Row],[App]],Table2[],3,0),"open")</f>
        <v>open</v>
      </c>
      <c r="C1276" s="74" t="s">
        <v>370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/>
      <c r="O1276" s="81"/>
      <c r="P1276" s="82" t="str">
        <f ca="1">IF(Proc[[#This Row],[DaysAgeing]]&gt;5,"yep","on track")</f>
        <v>on track</v>
      </c>
      <c r="Q1276" s="3">
        <f ca="1">IF(Proc[[#This Row],[DateClosed]]="",ABS(NETWORKDAYS(Proc[[#This Row],[DateOpened]],TODAY()))-1,ABS(NETWORKDAYS(Proc[[#This Row],[DateOpened]],Proc[[#This Row],[DateClosed]]))-1)</f>
        <v>4</v>
      </c>
      <c r="R1276" s="82" t="s">
        <v>411</v>
      </c>
      <c r="S1276" s="71"/>
    </row>
    <row r="1277" spans="1:19">
      <c r="A1277" s="74" t="s">
        <v>3212</v>
      </c>
      <c r="B1277" s="71" t="str">
        <f>IFERROR(VLOOKUP(Proc[[#This Row],[App]],Table2[],3,0),"open")</f>
        <v>open</v>
      </c>
      <c r="C1277" s="74" t="s">
        <v>370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/>
      <c r="O1277" s="81"/>
      <c r="P1277" s="82" t="str">
        <f ca="1">IF(Proc[[#This Row],[DaysAgeing]]&gt;5,"yep","on track")</f>
        <v>on track</v>
      </c>
      <c r="Q1277" s="3">
        <f ca="1">IF(Proc[[#This Row],[DateClosed]]="",ABS(NETWORKDAYS(Proc[[#This Row],[DateOpened]],TODAY()))-1,ABS(NETWORKDAYS(Proc[[#This Row],[DateOpened]],Proc[[#This Row],[DateClosed]]))-1)</f>
        <v>4</v>
      </c>
      <c r="R1277" s="82" t="s">
        <v>411</v>
      </c>
      <c r="S1277" s="71"/>
    </row>
    <row r="1278" spans="1:19">
      <c r="A1278" s="74" t="s">
        <v>3212</v>
      </c>
      <c r="B1278" s="71" t="str">
        <f>IFERROR(VLOOKUP(Proc[[#This Row],[App]],Table2[],3,0),"open")</f>
        <v>open</v>
      </c>
      <c r="C1278" s="74" t="s">
        <v>370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/>
      <c r="O1278" s="81"/>
      <c r="P1278" s="82" t="str">
        <f ca="1">IF(Proc[[#This Row],[DaysAgeing]]&gt;5,"yep","on track")</f>
        <v>on track</v>
      </c>
      <c r="Q1278" s="3">
        <f ca="1">IF(Proc[[#This Row],[DateClosed]]="",ABS(NETWORKDAYS(Proc[[#This Row],[DateOpened]],TODAY()))-1,ABS(NETWORKDAYS(Proc[[#This Row],[DateOpened]],Proc[[#This Row],[DateClosed]]))-1)</f>
        <v>4</v>
      </c>
      <c r="R1278" s="82" t="s">
        <v>411</v>
      </c>
      <c r="S1278" s="71"/>
    </row>
    <row r="1279" spans="1:19">
      <c r="A1279" s="74" t="s">
        <v>3212</v>
      </c>
      <c r="B1279" s="71" t="str">
        <f>IFERROR(VLOOKUP(Proc[[#This Row],[App]],Table2[],3,0),"open")</f>
        <v>open</v>
      </c>
      <c r="C1279" s="74" t="s">
        <v>370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/>
      <c r="O1279" s="81"/>
      <c r="P1279" s="82" t="str">
        <f ca="1">IF(Proc[[#This Row],[DaysAgeing]]&gt;5,"yep","on track")</f>
        <v>on track</v>
      </c>
      <c r="Q1279" s="3">
        <f ca="1">IF(Proc[[#This Row],[DateClosed]]="",ABS(NETWORKDAYS(Proc[[#This Row],[DateOpened]],TODAY()))-1,ABS(NETWORKDAYS(Proc[[#This Row],[DateOpened]],Proc[[#This Row],[DateClosed]]))-1)</f>
        <v>4</v>
      </c>
      <c r="R1279" s="82" t="s">
        <v>411</v>
      </c>
      <c r="S1279" s="71"/>
    </row>
    <row r="1280" spans="1:19">
      <c r="A1280" s="74" t="s">
        <v>3212</v>
      </c>
      <c r="B1280" s="71" t="str">
        <f>IFERROR(VLOOKUP(Proc[[#This Row],[App]],Table2[],3,0),"open")</f>
        <v>open</v>
      </c>
      <c r="C1280" s="74" t="s">
        <v>370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/>
      <c r="O1280" s="81"/>
      <c r="P1280" s="82" t="str">
        <f ca="1">IF(Proc[[#This Row],[DaysAgeing]]&gt;5,"yep","on track")</f>
        <v>on track</v>
      </c>
      <c r="Q1280" s="3">
        <f ca="1">IF(Proc[[#This Row],[DateClosed]]="",ABS(NETWORKDAYS(Proc[[#This Row],[DateOpened]],TODAY()))-1,ABS(NETWORKDAYS(Proc[[#This Row],[DateOpened]],Proc[[#This Row],[DateClosed]]))-1)</f>
        <v>4</v>
      </c>
      <c r="R1280" s="82" t="s">
        <v>411</v>
      </c>
      <c r="S1280" s="71"/>
    </row>
    <row r="1281" spans="1:19">
      <c r="A1281" s="74" t="s">
        <v>3212</v>
      </c>
      <c r="B1281" s="71" t="str">
        <f>IFERROR(VLOOKUP(Proc[[#This Row],[App]],Table2[],3,0),"open")</f>
        <v>open</v>
      </c>
      <c r="C1281" s="74" t="s">
        <v>370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/>
      <c r="O1281" s="81"/>
      <c r="P1281" s="82" t="str">
        <f ca="1">IF(Proc[[#This Row],[DaysAgeing]]&gt;5,"yep","on track")</f>
        <v>on track</v>
      </c>
      <c r="Q1281" s="3">
        <f ca="1">IF(Proc[[#This Row],[DateClosed]]="",ABS(NETWORKDAYS(Proc[[#This Row],[DateOpened]],TODAY()))-1,ABS(NETWORKDAYS(Proc[[#This Row],[DateOpened]],Proc[[#This Row],[DateClosed]]))-1)</f>
        <v>4</v>
      </c>
      <c r="R1281" s="82" t="s">
        <v>411</v>
      </c>
      <c r="S1281" s="71"/>
    </row>
    <row r="1282" spans="1:19">
      <c r="A1282" s="74" t="s">
        <v>3212</v>
      </c>
      <c r="B1282" s="71" t="str">
        <f>IFERROR(VLOOKUP(Proc[[#This Row],[App]],Table2[],3,0),"open")</f>
        <v>open</v>
      </c>
      <c r="C1282" s="74" t="s">
        <v>370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/>
      <c r="O1282" s="81"/>
      <c r="P1282" s="82" t="str">
        <f ca="1">IF(Proc[[#This Row],[DaysAgeing]]&gt;5,"yep","on track")</f>
        <v>on track</v>
      </c>
      <c r="Q1282" s="3">
        <f ca="1">IF(Proc[[#This Row],[DateClosed]]="",ABS(NETWORKDAYS(Proc[[#This Row],[DateOpened]],TODAY()))-1,ABS(NETWORKDAYS(Proc[[#This Row],[DateOpened]],Proc[[#This Row],[DateClosed]]))-1)</f>
        <v>4</v>
      </c>
      <c r="R1282" s="82" t="s">
        <v>411</v>
      </c>
      <c r="S1282" s="71"/>
    </row>
    <row r="1283" spans="1:19">
      <c r="A1283" s="74" t="s">
        <v>3212</v>
      </c>
      <c r="B1283" s="71" t="str">
        <f>IFERROR(VLOOKUP(Proc[[#This Row],[App]],Table2[],3,0),"open")</f>
        <v>open</v>
      </c>
      <c r="C1283" s="74" t="s">
        <v>370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/>
      <c r="O1283" s="81"/>
      <c r="P1283" s="82" t="str">
        <f ca="1">IF(Proc[[#This Row],[DaysAgeing]]&gt;5,"yep","on track")</f>
        <v>on track</v>
      </c>
      <c r="Q1283" s="3">
        <f ca="1">IF(Proc[[#This Row],[DateClosed]]="",ABS(NETWORKDAYS(Proc[[#This Row],[DateOpened]],TODAY()))-1,ABS(NETWORKDAYS(Proc[[#This Row],[DateOpened]],Proc[[#This Row],[DateClosed]]))-1)</f>
        <v>4</v>
      </c>
      <c r="R1283" s="82" t="s">
        <v>411</v>
      </c>
      <c r="S1283" s="71"/>
    </row>
    <row r="1284" spans="1:19">
      <c r="A1284" s="74" t="s">
        <v>3212</v>
      </c>
      <c r="B1284" s="71" t="str">
        <f>IFERROR(VLOOKUP(Proc[[#This Row],[App]],Table2[],3,0),"open")</f>
        <v>open</v>
      </c>
      <c r="C1284" s="74" t="s">
        <v>370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/>
      <c r="O1284" s="81"/>
      <c r="P1284" s="82" t="str">
        <f ca="1">IF(Proc[[#This Row],[DaysAgeing]]&gt;5,"yep","on track")</f>
        <v>on track</v>
      </c>
      <c r="Q1284" s="3">
        <f ca="1">IF(Proc[[#This Row],[DateClosed]]="",ABS(NETWORKDAYS(Proc[[#This Row],[DateOpened]],TODAY()))-1,ABS(NETWORKDAYS(Proc[[#This Row],[DateOpened]],Proc[[#This Row],[DateClosed]]))-1)</f>
        <v>4</v>
      </c>
      <c r="R1284" s="82" t="s">
        <v>411</v>
      </c>
      <c r="S1284" s="71"/>
    </row>
    <row r="1285" spans="1:19">
      <c r="A1285" s="74" t="s">
        <v>3212</v>
      </c>
      <c r="B1285" s="71" t="str">
        <f>IFERROR(VLOOKUP(Proc[[#This Row],[App]],Table2[],3,0),"open")</f>
        <v>open</v>
      </c>
      <c r="C1285" s="74" t="s">
        <v>370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/>
      <c r="O1285" s="81"/>
      <c r="P1285" s="82" t="str">
        <f ca="1">IF(Proc[[#This Row],[DaysAgeing]]&gt;5,"yep","on track")</f>
        <v>on track</v>
      </c>
      <c r="Q1285" s="3">
        <f ca="1">IF(Proc[[#This Row],[DateClosed]]="",ABS(NETWORKDAYS(Proc[[#This Row],[DateOpened]],TODAY()))-1,ABS(NETWORKDAYS(Proc[[#This Row],[DateOpened]],Proc[[#This Row],[DateClosed]]))-1)</f>
        <v>4</v>
      </c>
      <c r="R1285" s="82" t="s">
        <v>411</v>
      </c>
      <c r="S1285" s="71"/>
    </row>
    <row r="1286" spans="1:19">
      <c r="A1286" s="74" t="s">
        <v>3212</v>
      </c>
      <c r="B1286" s="71" t="str">
        <f>IFERROR(VLOOKUP(Proc[[#This Row],[App]],Table2[],3,0),"open")</f>
        <v>open</v>
      </c>
      <c r="C1286" s="74" t="s">
        <v>370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/>
      <c r="O1286" s="81"/>
      <c r="P1286" s="82" t="str">
        <f ca="1">IF(Proc[[#This Row],[DaysAgeing]]&gt;5,"yep","on track")</f>
        <v>on track</v>
      </c>
      <c r="Q1286" s="3">
        <f ca="1">IF(Proc[[#This Row],[DateClosed]]="",ABS(NETWORKDAYS(Proc[[#This Row],[DateOpened]],TODAY()))-1,ABS(NETWORKDAYS(Proc[[#This Row],[DateOpened]],Proc[[#This Row],[DateClosed]]))-1)</f>
        <v>4</v>
      </c>
      <c r="R1286" s="82" t="s">
        <v>411</v>
      </c>
      <c r="S1286" s="71"/>
    </row>
    <row r="1287" spans="1:19">
      <c r="A1287" s="74" t="s">
        <v>3212</v>
      </c>
      <c r="B1287" s="71" t="str">
        <f>IFERROR(VLOOKUP(Proc[[#This Row],[App]],Table2[],3,0),"open")</f>
        <v>open</v>
      </c>
      <c r="C1287" s="74" t="s">
        <v>370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/>
      <c r="O1287" s="81"/>
      <c r="P1287" s="82" t="str">
        <f ca="1">IF(Proc[[#This Row],[DaysAgeing]]&gt;5,"yep","on track")</f>
        <v>on track</v>
      </c>
      <c r="Q1287" s="3">
        <f ca="1">IF(Proc[[#This Row],[DateClosed]]="",ABS(NETWORKDAYS(Proc[[#This Row],[DateOpened]],TODAY()))-1,ABS(NETWORKDAYS(Proc[[#This Row],[DateOpened]],Proc[[#This Row],[DateClosed]]))-1)</f>
        <v>4</v>
      </c>
      <c r="R1287" s="82" t="s">
        <v>411</v>
      </c>
      <c r="S1287" s="71"/>
    </row>
    <row r="1288" spans="1:19">
      <c r="A1288" s="74" t="s">
        <v>3212</v>
      </c>
      <c r="B1288" s="71" t="str">
        <f>IFERROR(VLOOKUP(Proc[[#This Row],[App]],Table2[],3,0),"open")</f>
        <v>open</v>
      </c>
      <c r="C1288" s="74" t="s">
        <v>370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/>
      <c r="O1288" s="81"/>
      <c r="P1288" s="82" t="str">
        <f ca="1">IF(Proc[[#This Row],[DaysAgeing]]&gt;5,"yep","on track")</f>
        <v>on track</v>
      </c>
      <c r="Q1288" s="3">
        <f ca="1">IF(Proc[[#This Row],[DateClosed]]="",ABS(NETWORKDAYS(Proc[[#This Row],[DateOpened]],TODAY()))-1,ABS(NETWORKDAYS(Proc[[#This Row],[DateOpened]],Proc[[#This Row],[DateClosed]]))-1)</f>
        <v>4</v>
      </c>
      <c r="R1288" s="82" t="s">
        <v>411</v>
      </c>
      <c r="S1288" s="71"/>
    </row>
    <row r="1289" spans="1:19">
      <c r="A1289" s="74" t="s">
        <v>3212</v>
      </c>
      <c r="B1289" s="71" t="str">
        <f>IFERROR(VLOOKUP(Proc[[#This Row],[App]],Table2[],3,0),"open")</f>
        <v>open</v>
      </c>
      <c r="C1289" s="74" t="s">
        <v>370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/>
      <c r="O1289" s="81"/>
      <c r="P1289" s="82" t="str">
        <f ca="1">IF(Proc[[#This Row],[DaysAgeing]]&gt;5,"yep","on track")</f>
        <v>on track</v>
      </c>
      <c r="Q1289" s="3">
        <f ca="1">IF(Proc[[#This Row],[DateClosed]]="",ABS(NETWORKDAYS(Proc[[#This Row],[DateOpened]],TODAY()))-1,ABS(NETWORKDAYS(Proc[[#This Row],[DateOpened]],Proc[[#This Row],[DateClosed]]))-1)</f>
        <v>4</v>
      </c>
      <c r="R1289" s="82" t="s">
        <v>411</v>
      </c>
      <c r="S1289" s="71"/>
    </row>
    <row r="1290" spans="1:19">
      <c r="A1290" s="74" t="s">
        <v>3212</v>
      </c>
      <c r="B1290" s="71" t="str">
        <f>IFERROR(VLOOKUP(Proc[[#This Row],[App]],Table2[],3,0),"open")</f>
        <v>open</v>
      </c>
      <c r="C1290" s="74" t="s">
        <v>370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/>
      <c r="O1290" s="81"/>
      <c r="P1290" s="82" t="str">
        <f ca="1">IF(Proc[[#This Row],[DaysAgeing]]&gt;5,"yep","on track")</f>
        <v>on track</v>
      </c>
      <c r="Q1290" s="3">
        <f ca="1">IF(Proc[[#This Row],[DateClosed]]="",ABS(NETWORKDAYS(Proc[[#This Row],[DateOpened]],TODAY()))-1,ABS(NETWORKDAYS(Proc[[#This Row],[DateOpened]],Proc[[#This Row],[DateClosed]]))-1)</f>
        <v>4</v>
      </c>
      <c r="R1290" s="82" t="s">
        <v>411</v>
      </c>
      <c r="S1290" s="71"/>
    </row>
    <row r="1291" spans="1:19">
      <c r="A1291" s="74" t="s">
        <v>3212</v>
      </c>
      <c r="B1291" s="71" t="str">
        <f>IFERROR(VLOOKUP(Proc[[#This Row],[App]],Table2[],3,0),"open")</f>
        <v>open</v>
      </c>
      <c r="C1291" s="74" t="s">
        <v>370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/>
      <c r="O1291" s="81"/>
      <c r="P1291" s="82" t="str">
        <f ca="1">IF(Proc[[#This Row],[DaysAgeing]]&gt;5,"yep","on track")</f>
        <v>on track</v>
      </c>
      <c r="Q1291" s="3">
        <f ca="1">IF(Proc[[#This Row],[DateClosed]]="",ABS(NETWORKDAYS(Proc[[#This Row],[DateOpened]],TODAY()))-1,ABS(NETWORKDAYS(Proc[[#This Row],[DateOpened]],Proc[[#This Row],[DateClosed]]))-1)</f>
        <v>4</v>
      </c>
      <c r="R1291" s="82" t="s">
        <v>411</v>
      </c>
      <c r="S1291" s="71"/>
    </row>
    <row r="1292" spans="1:19">
      <c r="A1292" s="74" t="s">
        <v>3212</v>
      </c>
      <c r="B1292" s="71" t="str">
        <f>IFERROR(VLOOKUP(Proc[[#This Row],[App]],Table2[],3,0),"open")</f>
        <v>open</v>
      </c>
      <c r="C1292" s="74" t="s">
        <v>370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/>
      <c r="O1292" s="81"/>
      <c r="P1292" s="82" t="str">
        <f ca="1">IF(Proc[[#This Row],[DaysAgeing]]&gt;5,"yep","on track")</f>
        <v>on track</v>
      </c>
      <c r="Q1292" s="3">
        <f ca="1">IF(Proc[[#This Row],[DateClosed]]="",ABS(NETWORKDAYS(Proc[[#This Row],[DateOpened]],TODAY()))-1,ABS(NETWORKDAYS(Proc[[#This Row],[DateOpened]],Proc[[#This Row],[DateClosed]]))-1)</f>
        <v>4</v>
      </c>
      <c r="R1292" s="82" t="s">
        <v>411</v>
      </c>
      <c r="S1292" s="71"/>
    </row>
    <row r="1293" spans="1:19">
      <c r="A1293" s="74" t="s">
        <v>3212</v>
      </c>
      <c r="B1293" s="71" t="str">
        <f>IFERROR(VLOOKUP(Proc[[#This Row],[App]],Table2[],3,0),"open")</f>
        <v>open</v>
      </c>
      <c r="C1293" s="74" t="s">
        <v>370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/>
      <c r="O1293" s="81"/>
      <c r="P1293" s="82" t="str">
        <f ca="1">IF(Proc[[#This Row],[DaysAgeing]]&gt;5,"yep","on track")</f>
        <v>on track</v>
      </c>
      <c r="Q1293" s="3">
        <f ca="1">IF(Proc[[#This Row],[DateClosed]]="",ABS(NETWORKDAYS(Proc[[#This Row],[DateOpened]],TODAY()))-1,ABS(NETWORKDAYS(Proc[[#This Row],[DateOpened]],Proc[[#This Row],[DateClosed]]))-1)</f>
        <v>4</v>
      </c>
      <c r="R1293" s="82" t="s">
        <v>411</v>
      </c>
      <c r="S1293" s="71"/>
    </row>
    <row r="1294" spans="1:19">
      <c r="A1294" t="s">
        <v>3409</v>
      </c>
      <c r="B1294" s="71" t="str">
        <f>IFERROR(VLOOKUP(Proc[[#This Row],[App]],Table2[],3,0),"open")</f>
        <v>open</v>
      </c>
      <c r="C1294" s="74" t="s">
        <v>370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/>
      <c r="O1294" s="81"/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3</v>
      </c>
      <c r="R1294" s="82" t="s">
        <v>538</v>
      </c>
      <c r="S1294" s="71"/>
    </row>
    <row r="1295" spans="1:19">
      <c r="A1295" t="s">
        <v>3411</v>
      </c>
      <c r="B1295" s="71" t="str">
        <f>IFERROR(VLOOKUP(Proc[[#This Row],[App]],Table2[],3,0),"open")</f>
        <v>open</v>
      </c>
      <c r="C1295" t="s">
        <v>370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/>
      <c r="O1295" s="81"/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1</v>
      </c>
      <c r="R1295" s="82" t="s">
        <v>1112</v>
      </c>
      <c r="S1295" s="71"/>
    </row>
    <row r="1296" spans="1:19">
      <c r="A1296" s="74" t="s">
        <v>3411</v>
      </c>
      <c r="B1296" s="71" t="str">
        <f>IFERROR(VLOOKUP(Proc[[#This Row],[App]],Table2[],3,0),"open")</f>
        <v>open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/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1</v>
      </c>
      <c r="R1296" s="82" t="s">
        <v>1112</v>
      </c>
      <c r="S1296" s="71"/>
    </row>
    <row r="1297" spans="1:19">
      <c r="A1297" t="s">
        <v>3414</v>
      </c>
      <c r="B1297" s="71" t="str">
        <f>IFERROR(VLOOKUP(Proc[[#This Row],[App]],Table2[],3,0),"open")</f>
        <v>open</v>
      </c>
      <c r="C1297" s="74" t="s">
        <v>370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/>
      <c r="O1297" s="81"/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1</v>
      </c>
      <c r="R1297" s="82" t="s">
        <v>1530</v>
      </c>
      <c r="S1297" s="71"/>
    </row>
    <row r="1298" spans="1:19">
      <c r="A1298" t="s">
        <v>3418</v>
      </c>
      <c r="B1298" s="71" t="str">
        <f>IFERROR(VLOOKUP(Proc[[#This Row],[App]],Table2[],3,0),"open")</f>
        <v>open</v>
      </c>
      <c r="C1298" s="74" t="s">
        <v>370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/>
      <c r="O1298" s="81"/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1</v>
      </c>
      <c r="R1298" s="82" t="s">
        <v>538</v>
      </c>
      <c r="S1298" s="71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G2:G1298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5"/>
  <sheetViews>
    <sheetView topLeftCell="A87" workbookViewId="0">
      <selection activeCell="B124" sqref="B124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2025-05-08T17:20:21Z</dcterms:modified>
  <cp:category/>
  <cp:contentStatus/>
</cp:coreProperties>
</file>