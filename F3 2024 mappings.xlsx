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71F9DB50-D299-4304-853D-E04BC87A26DD}" xr6:coauthVersionLast="47" xr6:coauthVersionMax="47" xr10:uidLastSave="{00000000-0000-0000-0000-000000000000}"/>
  <bookViews>
    <workbookView xWindow="1560" yWindow="1560" windowWidth="21600" windowHeight="1129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09" i="1" l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<sst xmlns="http://schemas.openxmlformats.org/spreadsheetml/2006/main" count="22117" uniqueCount="4306">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</sst>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31.875791782404" createdVersion="7" refreshedVersion="8" minRefreshableVersion="3" recordCount="2411" xr:uid="{11839AE3-6158-4318-87AD-2C711D0BF451}">
  <cacheSource type="worksheet">
    <worksheetSource name="Proc"/>
  </cacheSource>
  <cacheFields count="19">
    <cacheField name="App" numFmtId="0">
      <sharedItems containsBlank="1" count="144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20T12:12:54"/>
    </cacheField>
    <cacheField name="DateMapped" numFmtId="14">
      <sharedItems containsNonDate="0" containsDate="1" containsString="0" containsBlank="1" minDate="2023-09-01T00:00:00" maxDate="2025-06-24T00:00:00"/>
    </cacheField>
    <cacheField name="DateClosed" numFmtId="14">
      <sharedItems containsNonDate="0" containsDate="1" containsString="0" containsBlank="1" minDate="2023-09-06T00:00:00" maxDate="2025-06-2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1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3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0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0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99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9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9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9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9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9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9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9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9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9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9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99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9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9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9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9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9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99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9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9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9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9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9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9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9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99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99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9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9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9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9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9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9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99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9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9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9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9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9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9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9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9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9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9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9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9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9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9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9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9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96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9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9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9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90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90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90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9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9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9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9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9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8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8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8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7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7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7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7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7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7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7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7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7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7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6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69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5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5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5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5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5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4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2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2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2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2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2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2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14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14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0"/>
    <n v="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0"/>
    <n v="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0"/>
    <n v="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0"/>
    <n v="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0"/>
    <n v="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0"/>
    <n v="4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0"/>
    <n v="1"/>
    <s v="Erjo Miguel Tagle"/>
    <m/>
  </r>
  <r>
    <x v="265"/>
    <x v="1"/>
    <x v="5"/>
    <s v="ITEMPNA_009004000840 CA20IC1881SE3122112000"/>
    <s v="H000000974"/>
    <m/>
    <s v="Non-LFF"/>
    <s v=""/>
    <m/>
    <b v="0"/>
    <x v="1"/>
    <x v="3"/>
    <d v="2025-06-20T09:13:19"/>
    <m/>
    <m/>
    <x v="0"/>
    <n v="1"/>
    <s v="Erjo Miguel Tagle"/>
    <m/>
  </r>
  <r>
    <x v="265"/>
    <x v="1"/>
    <x v="5"/>
    <s v="ITEMPNA_009004001045 CA20IC1881SE3110250000A4"/>
    <s v="H000000974"/>
    <m/>
    <s v="Non-LFF"/>
    <s v=""/>
    <m/>
    <b v="0"/>
    <x v="1"/>
    <x v="3"/>
    <d v="2025-06-20T09:13:19"/>
    <m/>
    <m/>
    <x v="0"/>
    <n v="1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0"/>
    <n v="1"/>
    <s v="Erjo Miguel Tagl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9" firstHeaderRow="1" firstDataRow="1" firstDataCol="1" rowPageCount="1" colPageCount="1"/>
  <pivotFields count="19">
    <pivotField axis="axisRow" showAll="0" sortType="ascending">
      <items count="1448">
        <item sd="0" m="1" x="832"/>
        <item sd="0" x="0"/>
        <item sd="0" m="1" x="902"/>
        <item sd="0" m="1" x="1323"/>
        <item sd="0" m="1" x="485"/>
        <item sd="0" m="1" x="1340"/>
        <item sd="0" m="1" x="862"/>
        <item sd="0" m="1" x="952"/>
        <item sd="0" m="1" x="1373"/>
        <item sd="0" m="1" x="1167"/>
        <item sd="0" m="1" x="855"/>
        <item sd="0" m="1" x="1439"/>
        <item sd="0" m="1" x="1185"/>
        <item sd="0" m="1" x="1429"/>
        <item sd="0" m="1" x="803"/>
        <item sd="0" m="1" x="704"/>
        <item sd="0" m="1" x="408"/>
        <item sd="0" m="1" x="669"/>
        <item sd="0" m="1" x="1393"/>
        <item sd="0" m="1" x="461"/>
        <item sd="0" m="1" x="769"/>
        <item sd="0" m="1" x="1137"/>
        <item sd="0" m="1" x="852"/>
        <item sd="0" m="1" x="945"/>
        <item sd="0" m="1" x="1241"/>
        <item sd="0" m="1" x="1426"/>
        <item sd="0" m="1" x="887"/>
        <item sd="0" m="1" x="909"/>
        <item sd="0" m="1" x="674"/>
        <item sd="0" m="1" x="1075"/>
        <item sd="0" m="1" x="834"/>
        <item sd="0" m="1" x="1380"/>
        <item sd="0" m="1" x="1037"/>
        <item sd="0" m="1" x="470"/>
        <item sd="0" m="1" x="578"/>
        <item sd="0" m="1" x="1365"/>
        <item sd="0" m="1" x="1129"/>
        <item sd="0" m="1" x="383"/>
        <item sd="0" m="1" x="1215"/>
        <item sd="0" m="1" x="881"/>
        <item sd="0" m="1" x="1176"/>
        <item sd="0" m="1" x="762"/>
        <item sd="0" m="1" x="1114"/>
        <item sd="0" m="1" x="373"/>
        <item sd="0" m="1" x="403"/>
        <item sd="0" m="1" x="1442"/>
        <item sd="0" m="1" x="1121"/>
        <item sd="0" m="1" x="1189"/>
        <item sd="0" m="1" x="1296"/>
        <item sd="0" m="1" x="1065"/>
        <item sd="0" m="1" x="1163"/>
        <item sd="0" m="1" x="1002"/>
        <item sd="0" m="1" x="457"/>
        <item sd="0" m="1" x="648"/>
        <item sd="0" m="1" x="1424"/>
        <item sd="0" m="1" x="992"/>
        <item sd="0" m="1" x="1132"/>
        <item sd="0" m="1" x="660"/>
        <item sd="0" m="1" x="621"/>
        <item sd="0" m="1" x="913"/>
        <item sd="0" m="1" x="805"/>
        <item sd="0" m="1" x="838"/>
        <item sd="0" m="1" x="397"/>
        <item sd="0" m="1" x="536"/>
        <item sd="0" m="1" x="1198"/>
        <item sd="0" m="1" x="1415"/>
        <item sd="0" m="1" x="601"/>
        <item sd="0" m="1" x="1006"/>
        <item sd="0" m="1" x="1016"/>
        <item sd="0" m="1" x="1193"/>
        <item sd="0" m="1" x="1303"/>
        <item sd="0" m="1" x="1181"/>
        <item sd="0" m="1" x="476"/>
        <item sd="0" m="1" x="1324"/>
        <item sd="0" m="1" x="1054"/>
        <item sd="0" m="1" x="1041"/>
        <item sd="0" m="1" x="576"/>
        <item sd="0" m="1" x="929"/>
        <item sd="0" m="1" x="1276"/>
        <item sd="0" m="1" x="394"/>
        <item sd="0" m="1" x="973"/>
        <item sd="0" m="1" x="1326"/>
        <item sd="0" m="1" x="1164"/>
        <item sd="0" m="1" x="899"/>
        <item sd="0" m="1" x="941"/>
        <item sd="0" m="1" x="822"/>
        <item sd="0" m="1" x="1057"/>
        <item sd="0" m="1" x="869"/>
        <item sd="0" m="1" x="1101"/>
        <item sd="0" m="1" x="585"/>
        <item sd="0" m="1" x="1414"/>
        <item sd="0" m="1" x="939"/>
        <item sd="0" m="1" x="1225"/>
        <item sd="0" m="1" x="302"/>
        <item sd="0" m="1" x="1430"/>
        <item sd="0" m="1" x="966"/>
        <item sd="0" m="1" x="1255"/>
        <item sd="0" m="1" x="1168"/>
        <item sd="0" m="1" x="946"/>
        <item sd="0" m="1" x="456"/>
        <item sd="0" m="1" x="463"/>
        <item sd="0" m="1" x="503"/>
        <item sd="0" m="1" x="685"/>
        <item sd="0" m="1" x="1109"/>
        <item sd="0" m="1" x="870"/>
        <item sd="0" m="1" x="986"/>
        <item sd="0" m="1" x="1049"/>
        <item sd="0" m="1" x="1196"/>
        <item sd="0" m="1" x="1279"/>
        <item sd="0" m="1" x="841"/>
        <item sd="0" m="1" x="562"/>
        <item sd="0" m="1" x="405"/>
        <item sd="0" m="1" x="548"/>
        <item sd="0" m="1" x="1423"/>
        <item sd="0" m="1" x="580"/>
        <item sd="0" m="1" x="1261"/>
        <item sd="0" m="1" x="1190"/>
        <item sd="0" m="1" x="808"/>
        <item sd="0" m="1" x="880"/>
        <item sd="0" m="1" x="746"/>
        <item sd="0" m="1" x="1003"/>
        <item sd="0" m="1" x="1378"/>
        <item sd="0" m="1" x="554"/>
        <item sd="0" m="1" x="502"/>
        <item sd="0" m="1" x="437"/>
        <item sd="0" m="1" x="1103"/>
        <item sd="0" m="1" x="1363"/>
        <item sd="0" m="1" x="1291"/>
        <item sd="0" m="1" x="948"/>
        <item sd="0" m="1" x="472"/>
        <item sd="0" m="1" x="1197"/>
        <item sd="0" m="1" x="649"/>
        <item sd="0" m="1" x="903"/>
        <item sd="0" m="1" x="1078"/>
        <item sd="0" m="1" x="1186"/>
        <item sd="0" m="1" x="306"/>
        <item sd="0" m="1" x="1135"/>
        <item sd="0" m="1" x="1098"/>
        <item sd="0" m="1" x="539"/>
        <item sd="0" m="1" x="987"/>
        <item sd="0" m="1" x="875"/>
        <item sd="0" m="1" x="828"/>
        <item sd="0" m="1" x="561"/>
        <item sd="0" m="1" x="497"/>
        <item sd="0" m="1" x="737"/>
        <item sd="0" m="1" x="924"/>
        <item sd="0" m="1" x="331"/>
        <item sd="0" m="1" x="670"/>
        <item sd="0" m="1" x="529"/>
        <item sd="0" m="1" x="271"/>
        <item sd="0" m="1" x="781"/>
        <item sd="0" m="1" x="982"/>
        <item sd="0" m="1" x="864"/>
        <item sd="0" m="1" x="910"/>
        <item sd="0" m="1" x="1229"/>
        <item sd="0" m="1" x="811"/>
        <item sd="0" m="1" x="1337"/>
        <item sd="0" m="1" x="1061"/>
        <item sd="0" m="1" x="1000"/>
        <item sd="0" m="1" x="514"/>
        <item sd="0" m="1" x="1147"/>
        <item sd="0" m="1" x="1425"/>
        <item sd="0" m="1" x="1113"/>
        <item sd="0" m="1" x="1097"/>
        <item sd="0" m="1" x="384"/>
        <item sd="0" m="1" x="432"/>
        <item sd="0" m="1" x="967"/>
        <item sd="0" m="1" x="473"/>
        <item sd="0" m="1" x="1410"/>
        <item sd="0" m="1" x="1076"/>
        <item sd="0" m="1" x="1001"/>
        <item sd="0" m="1" x="953"/>
        <item sd="0" m="1" x="754"/>
        <item sd="0" m="1" x="382"/>
        <item sd="0" m="1" x="482"/>
        <item sd="0" m="1" x="588"/>
        <item sd="0" m="1" x="1321"/>
        <item sd="0" m="1" x="1353"/>
        <item sd="0" m="1" x="1052"/>
        <item sd="0" m="1" x="779"/>
        <item sd="0" m="1" x="867"/>
        <item sd="0" m="1" x="377"/>
        <item sd="0" m="1" x="417"/>
        <item sd="0" m="1" x="756"/>
        <item sd="0" m="1" x="981"/>
        <item sd="0" m="1" x="894"/>
        <item sd="0" m="1" x="552"/>
        <item sd="0" m="1" x="785"/>
        <item sd="0" m="1" x="499"/>
        <item sd="0" m="1" x="694"/>
        <item sd="0" m="1" x="616"/>
        <item sd="0" m="1" x="451"/>
        <item sd="0" m="1" x="587"/>
        <item sd="0" m="1" x="957"/>
        <item sd="0" m="1" x="367"/>
        <item sd="0" m="1" x="606"/>
        <item sd="0" m="1" x="398"/>
        <item sd="0" m="1" x="1091"/>
        <item sd="0" m="1" x="1280"/>
        <item sd="0" m="1" x="890"/>
        <item sd="0" m="1" x="534"/>
        <item sd="0" m="1" x="1184"/>
        <item sd="0" m="1" x="1029"/>
        <item sd="0" m="1" x="546"/>
        <item sd="0" m="1" x="547"/>
        <item sd="0" m="1" x="732"/>
        <item sd="0" m="1" x="422"/>
        <item sd="0" m="1" x="611"/>
        <item sd="0" m="1" x="406"/>
        <item sd="0" m="1" x="592"/>
        <item sd="0" m="1" x="1160"/>
        <item sd="0" m="1" x="671"/>
        <item sd="0" m="1" x="1038"/>
        <item sd="0" m="1" x="1088"/>
        <item sd="0" m="1" x="1222"/>
        <item sd="0" m="1" x="1226"/>
        <item sd="0" m="1" x="943"/>
        <item sd="0" m="1" x="784"/>
        <item sd="0" m="1" x="823"/>
        <item sd="0" m="1" x="1390"/>
        <item sd="0" m="1" x="683"/>
        <item sd="0" m="1" x="495"/>
        <item sd="0" m="1" x="873"/>
        <item sd="0" m="1" x="330"/>
        <item sd="0" m="1" x="1394"/>
        <item sd="0" m="1" x="857"/>
        <item sd="0" m="1" x="291"/>
        <item sd="0" m="1" x="1312"/>
        <item sd="0" m="1" x="1355"/>
        <item sd="0" m="1" x="1192"/>
        <item sd="0" m="1" x="569"/>
        <item sd="0" m="1" x="308"/>
        <item sd="0" m="1" x="1242"/>
        <item sd="0" m="1" x="633"/>
        <item sd="0" m="1" x="269"/>
        <item sd="0" m="1" x="1413"/>
        <item sd="0" m="1" x="657"/>
        <item sd="0" m="1" x="812"/>
        <item sd="0" m="1" x="1257"/>
        <item sd="0" m="1" x="344"/>
        <item sd="0" m="1" x="1169"/>
        <item sd="0" m="1" x="977"/>
        <item sd="0" m="1" x="842"/>
        <item sd="0" m="1" x="712"/>
        <item sd="0" m="1" x="459"/>
        <item sd="0" m="1" x="960"/>
        <item sd="0" m="1" x="662"/>
        <item sd="0" m="1" x="1200"/>
        <item sd="0" m="1" x="522"/>
        <item sd="0" m="1" x="1270"/>
        <item sd="0" m="1" x="1277"/>
        <item sd="0" m="1" x="961"/>
        <item sd="0" m="1" x="1151"/>
        <item sd="0" m="1" x="568"/>
        <item sd="0" m="1" x="865"/>
        <item sd="0" m="1" x="1154"/>
        <item sd="0" m="1" x="738"/>
        <item sd="0" m="1" x="1028"/>
        <item sd="0" m="1" x="667"/>
        <item sd="0" m="1" x="452"/>
        <item sd="0" m="1" x="656"/>
        <item sd="0" m="1" x="1422"/>
        <item sd="0" m="1" x="1364"/>
        <item sd="0" m="1" x="509"/>
        <item sd="0" m="1" x="1310"/>
        <item sd="0" m="1" x="316"/>
        <item sd="0" m="1" x="1332"/>
        <item sd="0" m="1" x="351"/>
        <item sd="0" m="1" x="653"/>
        <item sd="0" m="1" x="751"/>
        <item sd="0" m="1" x="698"/>
        <item sd="0" m="1" x="1305"/>
        <item sd="0" m="1" x="1208"/>
        <item sd="0" m="1" x="449"/>
        <item sd="0" m="1" x="1019"/>
        <item sd="0" m="1" x="1227"/>
        <item sd="0" m="1" x="1361"/>
        <item sd="0" m="1" x="1268"/>
        <item sd="0" m="1" x="354"/>
        <item sd="0" m="1" x="1434"/>
        <item sd="0" m="1" x="505"/>
        <item sd="0" m="1" x="786"/>
        <item sd="0" m="1" x="1230"/>
        <item sd="0" m="1" x="353"/>
        <item sd="0" m="1" x="1289"/>
        <item sd="0" m="1" x="518"/>
        <item sd="0" m="1" x="1162"/>
        <item sd="0" m="1" x="1026"/>
        <item sd="0" m="1" x="1004"/>
        <item sd="0" m="1" x="583"/>
        <item sd="0" m="1" x="545"/>
        <item sd="0" m="1" x="1357"/>
        <item sd="0" m="1" x="298"/>
        <item sd="0" m="1" x="480"/>
        <item sd="0" m="1" x="1139"/>
        <item sd="0" m="1" x="1250"/>
        <item sd="0" m="1" x="1177"/>
        <item sd="0" m="1" x="1381"/>
        <item sd="0" m="1" x="885"/>
        <item sd="0" m="1" x="512"/>
        <item sd="0" m="1" x="632"/>
        <item sd="0" m="1" x="951"/>
        <item sd="0" m="1" x="693"/>
        <item sd="0" m="1" x="1021"/>
        <item sd="0" m="1" x="634"/>
        <item sd="0" m="1" x="436"/>
        <item sd="0" m="1" x="1089"/>
        <item sd="0" m="1" x="491"/>
        <item sd="0" m="1" x="371"/>
        <item sd="0" m="1" x="1223"/>
        <item sd="0" m="1" x="1370"/>
        <item sd="0" m="1" x="1071"/>
        <item sd="0" m="1" x="336"/>
        <item sd="0" m="1" x="1262"/>
        <item sd="0" m="1" x="1060"/>
        <item sd="0" m="1" x="1170"/>
        <item sd="0" m="1" x="1309"/>
        <item sd="0" m="1" x="537"/>
        <item sd="0" m="1" x="729"/>
        <item sd="0" m="1" x="567"/>
        <item sd="0" m="1" x="835"/>
        <item sd="0" m="1" x="759"/>
        <item sd="0" m="1" x="789"/>
        <item sd="0" m="1" x="1325"/>
        <item sd="0" m="1" x="771"/>
        <item sd="0" m="1" x="974"/>
        <item sd="0" m="1" x="506"/>
        <item sd="0" m="1" x="705"/>
        <item sd="0" m="1" x="679"/>
        <item sd="0" m="1" x="1022"/>
        <item sd="0" m="1" x="925"/>
        <item sd="0" m="1" x="1153"/>
        <item sd="0" m="1" x="675"/>
        <item sd="0" m="1" x="1311"/>
        <item sd="0" m="1" x="513"/>
        <item sd="0" m="1" x="439"/>
        <item sd="0" m="1" x="695"/>
        <item sd="0" m="1" x="1236"/>
        <item sd="0" m="1" x="346"/>
        <item sd="0" m="1" x="347"/>
        <item sd="0" m="1" x="643"/>
        <item sd="0" m="1" x="1316"/>
        <item sd="0" m="1" x="710"/>
        <item sd="0" m="1" x="355"/>
        <item sd="0" m="1" x="515"/>
        <item sd="0" m="1" x="757"/>
        <item sd="0" m="1" x="1068"/>
        <item sd="0" m="1" x="1040"/>
        <item sd="0" m="1" x="711"/>
        <item sd="0" m="1" x="292"/>
        <item sd="0" m="1" x="430"/>
        <item sd="0" m="1" x="642"/>
        <item sd="0" m="1" x="530"/>
        <item sd="0" m="1" x="287"/>
        <item sd="0" m="1" x="1240"/>
        <item sd="0" m="1" x="1369"/>
        <item sd="0" m="1" x="839"/>
        <item sd="0" m="1" x="1269"/>
        <item sd="0" m="1" x="1329"/>
        <item sd="0" m="1" x="352"/>
        <item sd="0" m="1" x="1367"/>
        <item sd="0" m="1" x="1105"/>
        <item sd="0" m="1" x="528"/>
        <item sd="0" m="1" x="714"/>
        <item sd="0" m="1" x="618"/>
        <item sd="0" m="1" x="980"/>
        <item sd="0" m="1" x="551"/>
        <item sd="0" m="1" x="767"/>
        <item sd="0" m="1" x="1062"/>
        <item sd="0" m="1" x="1187"/>
        <item sd="0" m="1" x="690"/>
        <item sd="0" m="1" x="818"/>
        <item sd="0" m="1" x="630"/>
        <item sd="0" m="1" x="556"/>
        <item sd="0" m="1" x="1067"/>
        <item sd="0" m="1" x="1182"/>
        <item sd="0" m="1" x="1344"/>
        <item sd="0" m="1" x="386"/>
        <item sd="0" m="1" x="590"/>
        <item sd="0" m="1" x="1030"/>
        <item sd="0" m="1" x="431"/>
        <item sd="0" m="1" x="718"/>
        <item sd="0" m="1" x="1099"/>
        <item sd="0" m="1" x="364"/>
        <item sd="0" m="1" x="574"/>
        <item sd="0" m="1" x="684"/>
        <item sd="0" m="1" x="1290"/>
        <item sd="0" m="1" x="523"/>
        <item sd="0" m="1" x="793"/>
        <item sd="0" m="1" x="1346"/>
        <item sd="0" m="1" x="474"/>
        <item sd="0" m="1" x="663"/>
        <item sd="0" m="1" x="851"/>
        <item sd="0" m="1" x="1188"/>
        <item sd="0" m="1" x="486"/>
        <item sd="0" m="1" x="742"/>
        <item sd="0" m="1" x="584"/>
        <item sd="0" m="1" x="1080"/>
        <item sd="0" m="1" x="1266"/>
        <item sd="0" m="1" x="392"/>
        <item sd="0" m="1" x="612"/>
        <item sd="0" m="1" x="1348"/>
        <item sd="0" m="1" x="1313"/>
        <item sd="0" m="1" x="413"/>
        <item sd="0" m="1" x="730"/>
        <item sd="0" m="1" x="1254"/>
        <item sd="0" m="1" x="1385"/>
        <item sd="0" m="1" x="1256"/>
        <item sd="0" m="1" x="1231"/>
        <item sd="0" m="1" x="362"/>
        <item sd="0" m="1" x="538"/>
        <item sd="0" m="1" x="620"/>
        <item sd="0" m="1" x="609"/>
        <item sd="0" m="1" x="836"/>
        <item sd="0" m="1" x="324"/>
        <item sd="0" m="1" x="1023"/>
        <item sd="0" m="1" x="1094"/>
        <item sd="0" m="1" x="276"/>
        <item sd="0" m="1" x="1354"/>
        <item sd="0" m="1" x="1216"/>
        <item sd="0" m="1" x="1345"/>
        <item sd="0" m="1" x="1375"/>
        <item sd="0" m="1" x="1411"/>
        <item sd="0" m="1" x="1349"/>
        <item sd="0" m="1" x="713"/>
        <item sd="0" m="1" x="1073"/>
        <item sd="0" m="1" x="680"/>
        <item sd="0" m="1" x="1086"/>
        <item sd="0" m="1" x="1051"/>
        <item sd="0" m="1" x="489"/>
        <item sd="0" m="1" x="527"/>
        <item sd="0" m="1" x="665"/>
        <item sd="0" m="1" x="1130"/>
        <item sd="0" m="1" x="650"/>
        <item sd="0" m="1" x="396"/>
        <item sd="0" m="1" x="1395"/>
        <item sd="0" m="1" x="1145"/>
        <item sd="0" m="1" x="978"/>
        <item sd="0" m="1" x="1010"/>
        <item sd="0" m="1" x="1059"/>
        <item sd="0" m="1" x="484"/>
        <item sd="0" m="1" x="826"/>
        <item sd="0" m="1" x="1171"/>
        <item sd="0" m="1" x="322"/>
        <item sd="0" m="1" x="565"/>
        <item sd="0" m="1" x="465"/>
        <item sd="0" m="1" x="462"/>
        <item sd="0" m="1" x="466"/>
        <item sd="0" m="1" x="267"/>
        <item sd="0" m="1" x="488"/>
        <item sd="0" m="1" x="1285"/>
        <item sd="0" m="1" x="289"/>
        <item sd="0" m="1" x="935"/>
        <item sd="0" m="1" x="1372"/>
        <item sd="0" m="1" x="1183"/>
        <item sd="0" m="1" x="443"/>
        <item sd="0" m="1" x="1443"/>
        <item sd="0" m="1" x="372"/>
        <item sd="0" m="1" x="739"/>
        <item sd="0" m="1" x="962"/>
        <item sd="0" m="1" x="418"/>
        <item sd="0" m="1" x="871"/>
        <item sd="0" m="1" x="1031"/>
        <item sd="0" m="1" x="1299"/>
        <item sd="0" m="1" x="1201"/>
        <item sd="0" m="1" x="280"/>
        <item sd="0" m="1" x="963"/>
        <item sd="0" m="1" x="363"/>
        <item sd="0" m="1" x="599"/>
        <item sd="0" m="1" x="571"/>
        <item sd="0" m="1" x="333"/>
        <item sd="0" m="1" x="926"/>
        <item sd="0" m="1" x="933"/>
        <item sd="0" m="1" x="1033"/>
        <item sd="0" m="1" x="782"/>
        <item sd="0" m="1" x="1282"/>
        <item sd="0" m="1" x="691"/>
        <item sd="0" m="1" x="1401"/>
        <item sd="0" m="1" x="1036"/>
        <item sd="0" m="1" x="927"/>
        <item sd="0" m="1" x="591"/>
        <item sd="0" m="1" x="999"/>
        <item sd="0" m="1" x="1297"/>
        <item sd="0" m="1" x="1362"/>
        <item sd="0" m="1" x="1341"/>
        <item sd="0" m="1" x="1271"/>
        <item sd="0" m="1" x="1020"/>
        <item sd="0" m="1" x="1133"/>
        <item sd="0" m="1" x="646"/>
        <item sd="0" m="1" x="1095"/>
        <item sd="0" m="1" x="920"/>
        <item sd="0" m="1" x="879"/>
        <item sd="0" m="1" x="877"/>
        <item sd="0" m="1" x="878"/>
        <item sd="0" m="1" x="575"/>
        <item sd="0" m="1" x="619"/>
        <item sd="0" m="1" x="1232"/>
        <item sd="0" m="1" x="797"/>
        <item sd="0" m="1" x="639"/>
        <item sd="0" m="1" x="681"/>
        <item sd="0" m="1" x="727"/>
        <item sd="0" m="1" x="979"/>
        <item sd="0" m="1" x="1317"/>
        <item sd="0" m="1" x="1406"/>
        <item sd="0" m="1" x="524"/>
        <item sd="0" m="1" x="475"/>
        <item sd="0" m="1" x="312"/>
        <item sd="0" m="1" x="334"/>
        <item sd="0" m="1" x="631"/>
        <item sd="0" m="1" x="419"/>
        <item sd="0" m="1" x="747"/>
        <item sd="0" m="1" x="1283"/>
        <item sd="0" m="1" x="624"/>
        <item sd="0" m="1" x="416"/>
        <item sd="0" m="1" x="1175"/>
        <item sd="0" m="1" x="293"/>
        <item sd="0" m="1" x="1301"/>
        <item sd="0" m="1" x="1376"/>
        <item sd="0" m="1" x="1440"/>
        <item sd="0" m="1" x="1315"/>
        <item sd="0" m="1" x="558"/>
        <item sd="0" m="1" x="335"/>
        <item sd="0" m="1" x="799"/>
        <item sd="0" m="1" x="883"/>
        <item sd="0" m="1" x="1079"/>
        <item sd="0" m="1" x="1047"/>
        <item sd="0" m="1" x="1083"/>
        <item sd="0" m="1" x="860"/>
        <item sd="0" m="1" x="898"/>
        <item sd="0" m="1" x="1339"/>
        <item sd="0" m="1" x="1102"/>
        <item sd="0" m="1" x="1072"/>
        <item sd="0" m="1" x="1011"/>
        <item sd="0" m="1" x="1084"/>
        <item sd="0" m="1" x="285"/>
        <item sd="0" m="1" x="290"/>
        <item sd="0" m="1" x="893"/>
        <item sd="0" m="1" x="1278"/>
        <item sd="0" m="1" x="848"/>
        <item sd="0" m="1" x="1418"/>
        <item sd="0" m="1" x="817"/>
        <item sd="0" m="1" x="993"/>
        <item sd="0" m="1" x="1064"/>
        <item sd="0" m="1" x="678"/>
        <item sd="0" m="1" x="510"/>
        <item sd="0" m="1" x="886"/>
        <item sd="0" m="1" x="572"/>
        <item sd="0" m="1" x="1427"/>
        <item sd="0" m="1" x="1342"/>
        <item sd="0" m="1" x="1155"/>
        <item sd="0" m="1" x="412"/>
        <item sd="0" m="1" x="339"/>
        <item sd="0" m="1" x="912"/>
        <item sd="0" m="1" x="1156"/>
        <item sd="0" m="1" x="1445"/>
        <item sd="0" m="1" x="791"/>
        <item sd="0" m="1" x="1392"/>
        <item sd="0" m="1" x="326"/>
        <item sd="0" m="1" x="440"/>
        <item sd="0" m="1" x="752"/>
        <item sd="0" m="1" x="843"/>
        <item sd="0" m="1" x="1272"/>
        <item sd="0" m="1" x="596"/>
        <item sd="0" m="1" x="1275"/>
        <item sd="0" m="1" x="692"/>
        <item sd="0" m="1" x="1264"/>
        <item sd="0" m="1" x="1428"/>
        <item sd="0" m="1" x="356"/>
        <item sd="0" m="1" x="1412"/>
        <item sd="0" m="1" x="303"/>
        <item sd="0" m="1" x="1165"/>
        <item sd="0" m="1" x="783"/>
        <item sd="0" m="1" x="614"/>
        <item sd="0" m="1" x="577"/>
        <item sd="0" m="1" x="721"/>
        <item sd="0" m="1" x="320"/>
        <item sd="0" m="1" x="1405"/>
        <item sd="0" m="1" x="404"/>
        <item sd="0" m="1" x="425"/>
        <item sd="0" m="1" x="1298"/>
        <item sd="0" m="1" x="1377"/>
        <item sd="0" m="1" x="891"/>
        <item sd="0" m="1" x="1032"/>
        <item sd="0" m="1" x="733"/>
        <item sd="0" m="1" x="846"/>
        <item sd="0" m="1" x="995"/>
        <item sd="0" m="1" x="1112"/>
        <item sd="0" m="1" x="699"/>
        <item sd="0" m="1" x="975"/>
        <item sd="0" m="1" x="794"/>
        <item sd="0" m="1" x="1431"/>
        <item sd="0" m="1" x="284"/>
        <item sd="0" m="1" x="723"/>
        <item sd="0" m="1" x="664"/>
        <item sd="0" m="1" x="625"/>
        <item sd="0" m="1" x="1419"/>
        <item sd="0" m="1" x="1237"/>
        <item sd="0" m="1" x="1368"/>
        <item sd="0" m="1" x="381"/>
        <item sd="0" m="1" x="1379"/>
        <item sd="0" m="1" x="1366"/>
        <item sd="0" m="1" x="1243"/>
        <item sd="0" m="1" x="478"/>
        <item sd="0" m="1" x="847"/>
        <item sd="0" m="1" x="940"/>
        <item sd="0" m="1" x="686"/>
        <item sd="0" m="1" x="1284"/>
        <item sd="0" m="1" x="1070"/>
        <item sd="0" m="1" x="1090"/>
        <item sd="0" m="1" x="984"/>
        <item sd="0" m="1" x="327"/>
        <item sd="0" m="1" x="1157"/>
        <item sd="0" m="1" x="1319"/>
        <item sd="0" m="1" x="724"/>
        <item sd="0" m="1" x="1438"/>
        <item sd="0" m="1" x="932"/>
        <item sd="0" m="1" x="519"/>
        <item sd="0" m="1" x="652"/>
        <item sd="0" m="1" x="688"/>
        <item sd="0" m="1" x="1347"/>
        <item sd="0" m="1" x="1331"/>
        <item sd="0" m="1" x="391"/>
        <item sd="0" m="1" x="393"/>
        <item sd="0" m="1" x="307"/>
        <item sd="0" m="1" x="1267"/>
        <item sd="0" m="1" x="309"/>
        <item sd="0" m="1" x="726"/>
        <item sd="0" m="1" x="626"/>
        <item sd="0" m="1" x="1082"/>
        <item sd="0" m="1" x="1025"/>
        <item sd="0" m="1" x="1374"/>
        <item sd="0" m="1" x="1306"/>
        <item sd="0" m="1" x="798"/>
        <item sd="0" m="1" x="1012"/>
        <item sd="0" m="1" x="1247"/>
        <item sd="0" m="1" x="360"/>
        <item sd="0" m="1" x="792"/>
        <item sd="0" m="1" x="722"/>
        <item sd="0" m="1" x="1416"/>
        <item sd="0" m="1" x="1383"/>
        <item sd="0" m="1" x="814"/>
        <item sd="0" m="1" x="420"/>
        <item sd="0" m="1" x="715"/>
        <item sd="0" m="1" x="888"/>
        <item sd="0" m="1" x="342"/>
        <item sd="0" m="1" x="1178"/>
        <item sd="0" m="1" x="772"/>
        <item sd="0" m="1" x="582"/>
        <item sd="0" m="1" x="676"/>
        <item sd="0" m="1" x="1122"/>
        <item sd="0" m="1" x="1421"/>
        <item sd="0" m="1" x="500"/>
        <item sd="0" m="1" x="1273"/>
        <item sd="0" m="1" x="494"/>
        <item sd="0" m="1" x="1058"/>
        <item sd="0" m="1" x="830"/>
        <item sd="0" m="1" x="761"/>
        <item sd="0" m="1" x="483"/>
        <item sd="0" m="1" x="550"/>
        <item sd="0" m="1" x="338"/>
        <item sd="0" m="1" x="1138"/>
        <item sd="0" m="1" x="651"/>
        <item sd="0" m="1" x="375"/>
        <item sd="0" m="1" x="989"/>
        <item sd="0" m="1" x="1304"/>
        <item sd="0" m="1" x="844"/>
        <item sd="0" m="1" x="802"/>
        <item sd="0" m="1" x="273"/>
        <item sd="0" m="1" x="1409"/>
        <item sd="0" m="1" x="659"/>
        <item sd="0" m="1" x="719"/>
        <item sd="0" m="1" x="1126"/>
        <item sd="0" m="1" x="1403"/>
        <item sd="0" m="1" x="1328"/>
        <item sd="0" m="1" x="1179"/>
        <item sd="0" m="1" x="1294"/>
        <item sd="0" m="1" x="455"/>
        <item sd="0" m="1" x="654"/>
        <item sd="0" m="1" x="487"/>
        <item sd="0" m="1" x="279"/>
        <item sd="0" m="1" x="892"/>
        <item sd="0" m="1" x="341"/>
        <item sd="0" m="1" x="563"/>
        <item sd="0" m="1" x="507"/>
        <item sd="0" m="1" x="453"/>
        <item sd="0" m="1" x="1408"/>
        <item sd="0" m="1" x="504"/>
        <item sd="0" m="1" x="1106"/>
        <item sd="0" m="1" x="1318"/>
        <item sd="0" m="1" x="444"/>
        <item sd="0" m="1" x="348"/>
        <item sd="0" m="1" x="1141"/>
        <item sd="0" m="1" x="1117"/>
        <item sd="0" m="1" x="1158"/>
        <item sd="0" m="1" x="1077"/>
        <item sd="0" m="1" x="421"/>
        <item sd="0" m="1" x="777"/>
        <item sd="0" m="1" x="1045"/>
        <item sd="0" m="1" x="1295"/>
        <item sd="0" m="1" x="889"/>
        <item sd="0" m="1" x="1007"/>
        <item sd="0" m="1" x="1351"/>
        <item sd="0" m="1" x="763"/>
        <item sd="0" m="1" x="607"/>
        <item sd="0" m="1" x="840"/>
        <item sd="0" m="1" x="787"/>
        <item sd="0" m="1" x="717"/>
        <item sd="0" m="1" x="1234"/>
        <item sd="0" m="1" x="921"/>
        <item sd="0" m="1" x="1017"/>
        <item sd="0" m="1" x="268"/>
        <item sd="0" m="1" x="813"/>
        <item sd="0" m="1" x="415"/>
        <item sd="0" m="1" x="682"/>
        <item sd="0" m="1" x="820"/>
        <item sd="0" m="1" x="350"/>
        <item sd="0" m="1" x="467"/>
        <item sd="0" m="1" x="922"/>
        <item sd="0" m="1" x="1119"/>
        <item sd="0" m="1" x="1389"/>
        <item sd="0" m="1" x="1432"/>
        <item sd="0" m="1" x="1042"/>
        <item sd="0" m="1" x="390"/>
        <item sd="0" m="1" x="318"/>
        <item sd="0" m="1" x="904"/>
        <item sd="0" m="1" x="526"/>
        <item sd="0" m="1" x="800"/>
        <item sd="0" m="1" x="428"/>
        <item sd="0" m="1" x="531"/>
        <item sd="0" m="1" x="958"/>
        <item sd="0" m="1" x="1314"/>
        <item sd="0" m="1" x="1245"/>
        <item sd="0" m="1" x="661"/>
        <item sd="0" m="1" x="696"/>
        <item sd="0" m="1" x="972"/>
        <item sd="0" m="1" x="1402"/>
        <item sd="0" m="1" x="1128"/>
        <item sd="0" m="1" x="294"/>
        <item sd="0" m="1" x="1356"/>
        <item sd="0" m="1" x="402"/>
        <item sd="0" m="1" x="1048"/>
        <item sd="0" m="1" x="1093"/>
        <item sd="0" m="1" x="1096"/>
        <item sd="0" m="1" x="1436"/>
        <item sd="0" m="1" x="329"/>
        <item sd="0" m="1" x="1107"/>
        <item sd="0" m="1" x="1204"/>
        <item sd="0" m="1" x="976"/>
        <item sd="0" m="1" x="1146"/>
        <item sd="0" m="1" x="388"/>
        <item sd="0" m="1" x="780"/>
        <item sd="0" m="1" x="627"/>
        <item sd="0" m="1" x="1239"/>
        <item sd="0" m="1" x="1334"/>
        <item sd="0" m="1" x="863"/>
        <item sd="0" m="1" x="1302"/>
        <item sd="0" m="1" x="1350"/>
        <item sd="0" m="1" x="703"/>
        <item sd="0" m="1" x="1206"/>
        <item sd="0" m="1" x="1069"/>
        <item sd="0" m="1" x="1352"/>
        <item sd="0" m="1" x="1396"/>
        <item sd="0" m="1" x="1134"/>
        <item sd="0" m="1" x="744"/>
        <item sd="0" m="1" x="549"/>
        <item sd="0" m="1" x="1384"/>
        <item sd="0" m="1" x="931"/>
        <item sd="0" m="1" x="905"/>
        <item sd="0" m="1" x="914"/>
        <item sd="0" m="1" x="1435"/>
        <item sd="0" m="1" x="1159"/>
        <item sd="0" m="1" x="854"/>
        <item sd="0" m="1" x="1123"/>
        <item sd="0" m="1" x="1100"/>
        <item sd="0" m="1" x="716"/>
        <item sd="0" m="1" x="617"/>
        <item sd="0" m="1" x="1116"/>
        <item sd="0" m="1" x="511"/>
        <item sd="0" m="1" x="468"/>
        <item sd="0" m="1" x="410"/>
        <item sd="0" m="1" x="1397"/>
        <item sd="0" m="1" x="1013"/>
        <item sd="0" m="1" x="748"/>
        <item sd="0" m="1" x="829"/>
        <item sd="0" m="1" x="310"/>
        <item sd="0" m="1" x="1386"/>
        <item sd="0" m="1" x="937"/>
        <item sd="0" m="1" x="1085"/>
        <item sd="0" m="1" x="533"/>
        <item sd="0" m="1" x="1217"/>
        <item sd="0" m="1" x="720"/>
        <item sd="0" m="1" x="613"/>
        <item sd="0" m="1" x="1441"/>
        <item sd="0" m="1" x="743"/>
        <item sd="0" m="1" x="1382"/>
        <item sd="0" m="1" x="968"/>
        <item sd="0" m="1" x="644"/>
        <item sd="0" m="1" x="435"/>
        <item sd="0" m="1" x="378"/>
        <item sd="0" m="1" x="672"/>
        <item sd="0" m="1" x="369"/>
        <item sd="0" m="1" x="340"/>
        <item sd="0" m="1" x="357"/>
        <item sd="0" m="1" x="636"/>
        <item sd="0" m="1" x="481"/>
        <item sd="0" m="1" x="788"/>
        <item sd="0" m="1" x="845"/>
        <item sd="0" m="1" x="944"/>
        <item sd="0" m="1" x="815"/>
        <item sd="0" m="1" x="1148"/>
        <item sd="0" m="1" x="1212"/>
        <item sd="0" m="1" x="424"/>
        <item sd="0" m="1" x="434"/>
        <item sd="0" m="1" x="623"/>
        <item sd="0" m="1" x="765"/>
        <item sd="0" m="1" x="555"/>
        <item sd="0" m="1" x="1108"/>
        <item sd="0" m="1" x="858"/>
        <item sd="0" m="1" x="775"/>
        <item sd="0" m="1" x="908"/>
        <item sd="0" m="1" x="1214"/>
        <item sd="0" m="1" x="1152"/>
        <item sd="0" m="1" x="1238"/>
        <item sd="0" m="1" x="994"/>
        <item sd="0" m="1" x="414"/>
        <item sd="0" m="1" x="1420"/>
        <item sd="0" m="1" x="833"/>
        <item sd="0" m="1" x="448"/>
        <item sd="0" m="1" x="272"/>
        <item sd="0" m="1" x="1417"/>
        <item sd="0" m="1" x="901"/>
        <item sd="0" m="1" x="868"/>
        <item sd="0" m="1" x="640"/>
        <item sd="0" m="1" x="520"/>
        <item sd="0" m="1" x="604"/>
        <item sd="0" m="1" x="758"/>
        <item sd="0" m="1" x="1333"/>
        <item sd="0" m="1" x="1252"/>
        <item sd="0" m="1" x="628"/>
        <item sd="0" m="1" x="701"/>
        <item sd="0" m="1" x="708"/>
        <item sd="0" m="1" x="1246"/>
        <item sd="0" m="1" x="849"/>
        <item sd="0" m="1" x="321"/>
        <item sd="0" m="1" x="882"/>
        <item sd="0" m="1" x="1161"/>
        <item sd="0" m="1" x="1287"/>
        <item sd="0" m="1" x="1180"/>
        <item sd="0" m="1" x="988"/>
        <item sd="0" m="1" x="1286"/>
        <item sd="0" m="1" x="300"/>
        <item sd="0" m="1" x="1203"/>
        <item sd="0" m="1" x="282"/>
        <item sd="0" m="1" x="622"/>
        <item sd="0" m="1" x="286"/>
        <item sd="0" m="1" x="445"/>
        <item sd="0" m="1" x="535"/>
        <item sd="0" m="1" x="541"/>
        <item sd="0" m="1" x="959"/>
        <item sd="0" m="1" x="1213"/>
        <item sd="0" m="1" x="740"/>
        <item sd="0" m="1" x="311"/>
        <item sd="0" m="1" x="517"/>
        <item sd="0" m="1" x="305"/>
        <item sd="0" m="1" x="1300"/>
        <item sd="0" m="1" x="525"/>
        <item sd="0" m="1" x="861"/>
        <item sd="0" m="1" x="1320"/>
        <item sd="0" m="1" x="647"/>
        <item sd="0" m="1" x="589"/>
        <item sd="0" m="1" x="985"/>
        <item sd="0" m="1" x="542"/>
        <item sd="0" m="1" x="850"/>
        <item sd="0" m="1" x="1144"/>
        <item sd="0" m="1" x="283"/>
        <item sd="0" m="1" x="796"/>
        <item sd="0" m="1" x="915"/>
        <item sd="0" m="1" x="407"/>
        <item sd="0" m="1" x="749"/>
        <item sd="0" m="1" x="884"/>
        <item sd="0" m="1" x="635"/>
        <item sd="0" m="1" x="673"/>
        <item sd="0" m="1" x="400"/>
        <item sd="0" m="1" x="806"/>
        <item sd="0" m="1" x="270"/>
        <item sd="0" m="1" x="942"/>
        <item sd="0" m="1" x="1335"/>
        <item sd="0" m="1" x="1056"/>
        <item sd="0" m="1" x="1050"/>
        <item sd="0" m="1" x="949"/>
        <item sd="0" m="1" x="275"/>
        <item sd="0" m="1" x="1081"/>
        <item sd="0" m="1" x="1124"/>
        <item sd="0" m="1" x="930"/>
        <item sd="0" m="1" x="274"/>
        <item sd="0" m="1" x="1281"/>
        <item sd="0" m="1" x="1248"/>
        <item sd="0" m="1" x="278"/>
        <item sd="0" m="1" x="557"/>
        <item sd="0" m="1" x="947"/>
        <item sd="0" m="1" x="1202"/>
        <item sd="0" m="1" x="399"/>
        <item sd="0" m="1" x="295"/>
        <item sd="0" m="1" x="454"/>
        <item sd="0" m="1" x="345"/>
        <item sd="0" m="1" x="753"/>
        <item sd="0" m="1" x="566"/>
        <item sd="0" m="1" x="564"/>
        <item sd="0" m="1" x="735"/>
        <item sd="0" m="1" x="837"/>
        <item sd="0" m="1" x="741"/>
        <item sd="0" m="1" x="938"/>
        <item sd="0" m="1" x="790"/>
        <item sd="0" m="1" x="655"/>
        <item sd="0" m="1" x="770"/>
        <item sd="0" m="1" x="1263"/>
        <item sd="0" m="1" x="1358"/>
        <item sd="0" m="1" x="615"/>
        <item sd="0" m="1" x="1338"/>
        <item sd="0" m="1" x="380"/>
        <item sd="0" m="1" x="1327"/>
        <item sd="0" m="1" x="1024"/>
        <item sd="0" m="1" x="1195"/>
        <item sd="0" m="1" x="1274"/>
        <item sd="0" m="1" x="954"/>
        <item sd="0" m="1" x="1166"/>
        <item sd="0" m="1" x="458"/>
        <item sd="0" m="1" x="441"/>
        <item sd="0" m="1" x="1063"/>
        <item sd="0" m="1" x="1035"/>
        <item sd="0" m="1" x="597"/>
        <item sd="0" m="1" x="1433"/>
        <item sd="0" m="1" x="1005"/>
        <item sd="0" m="1" x="745"/>
        <item sd="0" m="1" x="819"/>
        <item sd="0" m="1" x="778"/>
        <item sd="0" m="1" x="1288"/>
        <item sd="0" m="1" x="1292"/>
        <item sd="0" m="1" x="288"/>
        <item sd="0" m="1" x="1172"/>
        <item sd="0" m="1" x="1218"/>
        <item sd="0" m="1" x="337"/>
        <item sd="0" m="1" x="709"/>
        <item sd="0" m="1" x="700"/>
        <item sd="0" m="1" x="1207"/>
        <item sd="0" m="1" x="906"/>
        <item sd="0" m="1" x="1110"/>
        <item sd="0" m="1" x="776"/>
        <item sd="0" m="1" x="1127"/>
        <item sd="0" m="1" x="315"/>
        <item sd="0" m="1" x="438"/>
        <item sd="0" m="1" x="1407"/>
        <item sd="0" m="1" x="1027"/>
        <item sd="0" m="1" x="1399"/>
        <item sd="0" m="1" x="319"/>
        <item sd="0" m="1" x="579"/>
        <item sd="0" m="1" x="395"/>
        <item sd="0" m="1" x="328"/>
        <item sd="0" m="1" x="343"/>
        <item sd="0" m="1" x="895"/>
        <item sd="0" m="1" x="928"/>
        <item sd="0" m="1" x="600"/>
        <item sd="0" m="1" x="1018"/>
        <item sd="0" m="1" x="1336"/>
        <item sd="0" m="1" x="687"/>
        <item sd="0" m="1" x="766"/>
        <item sd="0" m="1" x="916"/>
        <item sd="0" m="1" x="1404"/>
        <item sd="0" m="1" x="581"/>
        <item sd="0" m="1" x="593"/>
        <item sd="0" m="1" x="603"/>
        <item sd="0" m="1" x="1224"/>
        <item sd="0" m="1" x="1360"/>
        <item sd="0" m="1" x="277"/>
        <item sd="0" m="1" x="1104"/>
        <item sd="0" m="1" x="1400"/>
        <item sd="0" m="1" x="501"/>
        <item sd="0" m="1" x="816"/>
        <item sd="0" m="1" x="1437"/>
        <item sd="0" m="1" x="1343"/>
        <item sd="0" m="1" x="490"/>
        <item sd="0" m="1" x="602"/>
        <item sd="0" m="1" x="689"/>
        <item sd="0" m="1" x="1014"/>
        <item sd="0" m="1" x="1211"/>
        <item sd="0" m="1" x="446"/>
        <item sd="0" m="1" x="917"/>
        <item sd="0" m="1" x="442"/>
        <item sd="0" m="1" x="411"/>
        <item sd="0" m="1" x="359"/>
        <item sd="0" m="1" x="1330"/>
        <item sd="0" m="1" x="923"/>
        <item sd="0" m="1" x="1371"/>
        <item sd="0" m="1" x="764"/>
        <item sd="0" m="1" x="1388"/>
        <item sd="0" m="1" x="1140"/>
        <item sd="0" m="1" x="429"/>
        <item sd="0" m="1" x="1244"/>
        <item sd="0" m="1" x="1258"/>
        <item sd="0" m="1" x="918"/>
        <item sd="0" m="1" x="1293"/>
        <item sd="0" m="1" x="1131"/>
        <item sd="0" m="1" x="996"/>
        <item sd="0" m="1" x="313"/>
        <item sd="0" m="1" x="1142"/>
        <item sd="0" m="1" x="874"/>
        <item sd="0" m="1" x="807"/>
        <item sd="0" m="1" x="1150"/>
        <item sd="0" m="1" x="734"/>
        <item sd="0" m="1" x="368"/>
        <item sd="0" m="1" x="540"/>
        <item sd="0" m="1" x="317"/>
        <item sd="0" m="1" x="666"/>
        <item sd="0" m="1" x="1044"/>
        <item sd="0" m="1" x="629"/>
        <item sd="0" m="1" x="492"/>
        <item sd="0" m="1" x="707"/>
        <item sd="0" m="1" x="385"/>
        <item sd="0" m="1" x="637"/>
        <item sd="0" m="1" x="508"/>
        <item sd="0" m="1" x="859"/>
        <item sd="0" m="1" x="1446"/>
        <item sd="0" m="1" x="900"/>
        <item sd="0" m="1" x="496"/>
        <item sd="0" m="1" x="773"/>
        <item sd="0" m="1" x="479"/>
        <item sd="0" m="1" x="532"/>
        <item sd="0" m="1" x="824"/>
        <item sd="0" m="1" x="1092"/>
        <item sd="0" m="1" x="809"/>
        <item sd="0" m="1" x="1259"/>
        <item sd="0" m="1" x="821"/>
        <item sd="0" m="1" x="1055"/>
        <item sd="0" m="1" x="370"/>
        <item sd="0" m="1" x="853"/>
        <item sd="0" m="1" x="493"/>
        <item sd="0" m="1" x="423"/>
        <item sd="0" m="1" x="1149"/>
        <item sd="0" m="1" x="464"/>
        <item sd="0" m="1" x="1173"/>
        <item sd="0" m="1" x="365"/>
        <item sd="0" m="1" x="990"/>
        <item sd="0" m="1" x="997"/>
        <item sd="0" m="1" x="401"/>
        <item sd="0" m="1" x="919"/>
        <item sd="0" m="1" x="297"/>
        <item sd="0" m="1" x="1120"/>
        <item sd="0" m="1" x="825"/>
        <item sd="0" m="1" x="1046"/>
        <item sd="0" m="1" x="1015"/>
        <item sd="0" m="1" x="1235"/>
        <item sd="0" m="1" x="1008"/>
        <item sd="0" m="1" x="586"/>
        <item sd="0" m="1" x="1087"/>
        <item sd="0" m="1" x="1221"/>
        <item sd="0" m="1" x="911"/>
        <item sd="0" m="1" x="1043"/>
        <item sd="0" m="1" x="376"/>
        <item sd="0" m="1" x="1209"/>
        <item sd="0" m="1" x="866"/>
        <item sd="0" m="1" x="731"/>
        <item sd="0" m="1" x="1115"/>
        <item sd="0" m="1" x="641"/>
        <item sd="0" m="1" x="964"/>
        <item sd="0" m="1" x="498"/>
        <item sd="0" m="1" x="594"/>
        <item sd="0" m="1" x="991"/>
        <item sd="0" m="1" x="760"/>
        <item sd="0" m="1" x="304"/>
        <item sd="0" m="1" x="638"/>
        <item sd="0" m="1" x="1118"/>
        <item sd="0" m="1" x="1220"/>
        <item sd="0" m="1" x="323"/>
        <item sd="0" m="1" x="608"/>
        <item sd="0" m="1" x="543"/>
        <item sd="0" m="1" x="876"/>
        <item sd="0" m="1" x="969"/>
        <item sd="0" m="1" x="409"/>
        <item sd="0" m="1" x="1391"/>
        <item sd="0" m="1" x="374"/>
        <item sd="0" m="1" x="447"/>
        <item sd="0" m="1" x="1228"/>
        <item sd="0" m="1" x="736"/>
        <item sd="0" m="1" x="750"/>
        <item sd="0" m="1" x="804"/>
        <item sd="0" m="1" x="379"/>
        <item sd="0" m="1" x="658"/>
        <item sd="0" m="1" x="1053"/>
        <item sd="0" m="1" x="965"/>
        <item sd="0" m="1" x="755"/>
        <item sd="0" m="1" x="702"/>
        <item sd="0" m="1" x="332"/>
        <item sd="0" m="1" x="570"/>
        <item sd="0" m="1" x="1034"/>
        <item sd="0" m="1" x="668"/>
        <item sd="0" m="1" x="831"/>
        <item sd="0" m="1" x="768"/>
        <item sd="0" m="1" x="950"/>
        <item sd="0" m="1" x="314"/>
        <item sd="0" m="1" x="795"/>
        <item sd="0" m="1" x="469"/>
        <item sd="0" m="1" x="872"/>
        <item sd="0" m="1" x="998"/>
        <item sd="0" m="1" x="1074"/>
        <item sd="0" m="1" x="1009"/>
        <item sd="0" m="1" x="970"/>
        <item sd="0" m="1" x="896"/>
        <item sd="0" m="1" x="1307"/>
        <item sd="0" m="1" x="1199"/>
        <item sd="0" m="1" x="450"/>
        <item sd="0" m="1" x="1191"/>
        <item sd="0" m="1" x="645"/>
        <item sd="0" m="1" x="955"/>
        <item sd="0" m="1" x="361"/>
        <item sd="0" m="1" x="934"/>
        <item sd="0" m="1" x="801"/>
        <item sd="0" m="1" x="1233"/>
        <item sd="0" m="1" x="387"/>
        <item sd="0" m="1" x="1444"/>
        <item sd="0" m="1" x="426"/>
        <item sd="0" m="1" x="366"/>
        <item sd="0" m="1" x="936"/>
        <item sd="0" m="1" x="1136"/>
        <item sd="0" m="1" x="1039"/>
        <item sd="0" m="1" x="325"/>
        <item sd="0" m="1" x="477"/>
        <item sd="0" m="1" x="1265"/>
        <item sd="0" m="1" x="1205"/>
        <item sd="0" m="1" x="460"/>
        <item sd="0" m="1" x="433"/>
        <item sd="0" m="1" x="728"/>
        <item sd="0" m="1" x="349"/>
        <item sd="0" m="1" x="956"/>
        <item sd="0" m="1" x="389"/>
        <item sd="0" m="1" x="559"/>
        <item sd="0" m="1" x="856"/>
        <item sd="0" m="1" x="1387"/>
        <item sd="0" m="1" x="427"/>
        <item sd="0" m="1" x="697"/>
        <item sd="0" m="1" x="544"/>
        <item sd="0" m="1" x="706"/>
        <item sd="0" m="1" x="1260"/>
        <item sd="0" m="1" x="1143"/>
        <item sd="0" m="1" x="605"/>
        <item sd="0" m="1" x="358"/>
        <item sd="0" m="1" x="1308"/>
        <item sd="0" m="1" x="471"/>
        <item sd="0" m="1" x="1253"/>
        <item sd="0" m="1" x="810"/>
        <item sd="0" m="1" x="1194"/>
        <item sd="0" m="1" x="553"/>
        <item sd="0" m="1" x="725"/>
        <item sd="0" m="1" x="1210"/>
        <item sd="0" m="1" x="1398"/>
        <item sd="0" m="1" x="1174"/>
        <item sd="0" m="1" x="573"/>
        <item sd="0" m="1" x="516"/>
        <item sd="0" m="1" x="1219"/>
        <item sd="0" m="1" x="983"/>
        <item sd="0" m="1" x="827"/>
        <item sd="0" m="1" x="1251"/>
        <item sd="0" m="1" x="299"/>
        <item sd="0" m="1" x="296"/>
        <item sd="0" m="1" x="971"/>
        <item sd="0" m="1" x="1111"/>
        <item sd="0" m="1" x="1066"/>
        <item sd="0" m="1" x="1249"/>
        <item sd="0" m="1" x="774"/>
        <item sd="0" m="1" x="521"/>
        <item sd="0" m="1" x="595"/>
        <item sd="0" m="1" x="1125"/>
        <item sd="0" m="1" x="677"/>
        <item sd="0" m="1" x="907"/>
        <item sd="0" m="1" x="1322"/>
        <item sd="0" m="1" x="560"/>
        <item sd="0" m="1" x="897"/>
        <item sd="0" m="1" x="281"/>
        <item sd="0" m="1" x="61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sd="0" m="1" x="598"/>
        <item sd="0" m="1" x="1359"/>
        <item sd="0" m="1" x="301"/>
        <item sd="0" m="1" x="266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5">
    <i>
      <x/>
    </i>
    <i r="1">
      <x v="1442"/>
    </i>
    <i r="2">
      <x v="8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89" totalsRowShown="0" totalsRowDxfId="24">
  <autoFilter ref="A1:C1189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12" totalsRowShown="0">
  <autoFilter ref="A1:S2412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6">
        <v>644</v>
      </c>
    </row>
    <row r="5" spans="1:2">
      <c r="A5" s="67" t="s">
        <v>369</v>
      </c>
      <c r="B5" s="96">
        <v>607</v>
      </c>
    </row>
    <row r="6" spans="1:2">
      <c r="A6" s="67" t="s">
        <v>404</v>
      </c>
      <c r="B6" s="96"/>
    </row>
    <row r="7" spans="1:2">
      <c r="A7" s="67" t="s">
        <v>370</v>
      </c>
      <c r="B7" s="96"/>
    </row>
    <row r="8" spans="1:2">
      <c r="A8" s="67" t="s">
        <v>403</v>
      </c>
      <c r="B8" s="96"/>
    </row>
    <row r="9" spans="1:2">
      <c r="A9" s="67" t="s">
        <v>398</v>
      </c>
      <c r="B9" s="96"/>
    </row>
    <row r="10" spans="1:2">
      <c r="A10" s="67" t="s">
        <v>377</v>
      </c>
      <c r="B10" s="96">
        <v>37</v>
      </c>
    </row>
    <row r="11" spans="1:2">
      <c r="A11" s="67" t="s">
        <v>375</v>
      </c>
      <c r="B11" s="96"/>
    </row>
    <row r="12" spans="1:2">
      <c r="A12" s="67" t="s">
        <v>405</v>
      </c>
      <c r="B12" s="96"/>
    </row>
    <row r="13" spans="1:2">
      <c r="A13" s="67" t="s">
        <v>692</v>
      </c>
      <c r="B13" s="96"/>
    </row>
    <row r="14" spans="1:2">
      <c r="A14" s="17" t="s">
        <v>568</v>
      </c>
      <c r="B14" s="96">
        <v>731</v>
      </c>
    </row>
    <row r="15" spans="1:2">
      <c r="A15" s="67" t="s">
        <v>369</v>
      </c>
      <c r="B15" s="96">
        <v>713</v>
      </c>
    </row>
    <row r="16" spans="1:2">
      <c r="A16" s="67" t="s">
        <v>398</v>
      </c>
      <c r="B16" s="96">
        <v>13</v>
      </c>
    </row>
    <row r="17" spans="1:2">
      <c r="A17" s="67" t="s">
        <v>377</v>
      </c>
      <c r="B17" s="96">
        <v>5</v>
      </c>
    </row>
    <row r="18" spans="1:2">
      <c r="A18" s="17" t="s">
        <v>569</v>
      </c>
      <c r="B18" s="96">
        <v>902</v>
      </c>
    </row>
    <row r="19" spans="1:2">
      <c r="A19" s="67" t="s">
        <v>369</v>
      </c>
      <c r="B19" s="96">
        <v>884</v>
      </c>
    </row>
    <row r="20" spans="1:2">
      <c r="A20" s="67" t="s">
        <v>370</v>
      </c>
      <c r="B20" s="96">
        <v>3</v>
      </c>
    </row>
    <row r="21" spans="1:2">
      <c r="A21" s="67" t="s">
        <v>398</v>
      </c>
      <c r="B21" s="96">
        <v>8</v>
      </c>
    </row>
    <row r="22" spans="1:2">
      <c r="A22" s="67" t="s">
        <v>377</v>
      </c>
      <c r="B22" s="96">
        <v>7</v>
      </c>
    </row>
    <row r="23" spans="1:2">
      <c r="A23" s="17" t="s">
        <v>570</v>
      </c>
      <c r="B23" s="96">
        <v>125</v>
      </c>
    </row>
    <row r="24" spans="1:2">
      <c r="A24" s="67" t="s">
        <v>369</v>
      </c>
      <c r="B24" s="96">
        <v>125</v>
      </c>
    </row>
    <row r="25" spans="1:2">
      <c r="A25" s="17" t="s">
        <v>381</v>
      </c>
      <c r="B25" s="96">
        <v>2402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C8" sqref="C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6">
        <v>4</v>
      </c>
      <c r="C5"/>
      <c r="D5"/>
      <c r="E5"/>
    </row>
    <row r="6" spans="1:6">
      <c r="A6" s="67" t="s">
        <v>4304</v>
      </c>
      <c r="B6" s="96">
        <v>4</v>
      </c>
      <c r="C6"/>
      <c r="D6"/>
      <c r="E6"/>
    </row>
    <row r="7" spans="1:6">
      <c r="A7" s="68" t="s">
        <v>370</v>
      </c>
      <c r="B7" s="96">
        <v>3</v>
      </c>
      <c r="C7"/>
      <c r="D7"/>
      <c r="E7"/>
    </row>
    <row r="8" spans="1:6">
      <c r="A8" s="68" t="s">
        <v>377</v>
      </c>
      <c r="B8" s="96">
        <v>1</v>
      </c>
      <c r="C8" s="56"/>
      <c r="D8"/>
      <c r="E8"/>
    </row>
    <row r="9" spans="1:6">
      <c r="A9" s="17" t="s">
        <v>381</v>
      </c>
      <c r="B9" s="96">
        <v>4</v>
      </c>
      <c r="C9"/>
      <c r="D9"/>
    </row>
    <row r="10" spans="1:6"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89"/>
  <sheetViews>
    <sheetView topLeftCell="A1187" workbookViewId="0">
      <selection activeCell="C1188" sqref="C1188:C118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70" t="s">
        <v>4</v>
      </c>
    </row>
    <row r="982" spans="1:3">
      <c r="A982" t="s">
        <v>1822</v>
      </c>
      <c r="B982">
        <v>1</v>
      </c>
      <c r="C982" s="70" t="s">
        <v>4</v>
      </c>
    </row>
    <row r="983" spans="1:3">
      <c r="A983" t="s">
        <v>1819</v>
      </c>
      <c r="B983">
        <v>2</v>
      </c>
      <c r="C983" s="70" t="s">
        <v>4</v>
      </c>
    </row>
    <row r="984" spans="1:3">
      <c r="A984" t="s">
        <v>1824</v>
      </c>
      <c r="B984">
        <v>2</v>
      </c>
      <c r="C984" s="70" t="s">
        <v>4</v>
      </c>
    </row>
    <row r="985" spans="1:3">
      <c r="A985" t="s">
        <v>1826</v>
      </c>
      <c r="B985">
        <v>1</v>
      </c>
      <c r="C985" s="70" t="s">
        <v>4</v>
      </c>
    </row>
    <row r="986" spans="1:3">
      <c r="A986" t="s">
        <v>1665</v>
      </c>
      <c r="B986">
        <v>1</v>
      </c>
      <c r="C986" s="70" t="s">
        <v>4</v>
      </c>
    </row>
    <row r="987" spans="1:3">
      <c r="A987" t="s">
        <v>1839</v>
      </c>
      <c r="B987">
        <v>4</v>
      </c>
      <c r="C987" s="70" t="s">
        <v>4</v>
      </c>
    </row>
    <row r="988" spans="1:3">
      <c r="A988" t="s">
        <v>1841</v>
      </c>
      <c r="B988">
        <v>1</v>
      </c>
      <c r="C988" s="70" t="s">
        <v>4</v>
      </c>
    </row>
    <row r="989" spans="1:3">
      <c r="A989" t="s">
        <v>1832</v>
      </c>
      <c r="B989">
        <v>9</v>
      </c>
      <c r="C989" s="70" t="s">
        <v>4</v>
      </c>
    </row>
    <row r="990" spans="1:3">
      <c r="A990" t="s">
        <v>2025</v>
      </c>
      <c r="B990">
        <v>2</v>
      </c>
      <c r="C990" s="70" t="s">
        <v>4</v>
      </c>
    </row>
    <row r="991" spans="1:3">
      <c r="A991" t="s">
        <v>1998</v>
      </c>
      <c r="B991">
        <v>11</v>
      </c>
      <c r="C991" s="70" t="s">
        <v>4</v>
      </c>
    </row>
    <row r="992" spans="1:3">
      <c r="A992" t="s">
        <v>2009</v>
      </c>
      <c r="B992">
        <v>10</v>
      </c>
      <c r="C992" s="70" t="s">
        <v>4</v>
      </c>
    </row>
    <row r="993" spans="1:3">
      <c r="A993" t="s">
        <v>2003</v>
      </c>
      <c r="B993">
        <v>5</v>
      </c>
      <c r="C993" s="70" t="s">
        <v>4</v>
      </c>
    </row>
    <row r="994" spans="1:3">
      <c r="A994" t="s">
        <v>2026</v>
      </c>
      <c r="B994">
        <v>2</v>
      </c>
      <c r="C994" s="70" t="s">
        <v>4</v>
      </c>
    </row>
    <row r="995" spans="1:3">
      <c r="A995" t="s">
        <v>2031</v>
      </c>
      <c r="B995">
        <v>1</v>
      </c>
      <c r="C995" s="70" t="s">
        <v>4</v>
      </c>
    </row>
    <row r="996" spans="1:3">
      <c r="A996" t="s">
        <v>2048</v>
      </c>
      <c r="B996">
        <v>1</v>
      </c>
      <c r="C996" s="70" t="s">
        <v>4</v>
      </c>
    </row>
    <row r="997" spans="1:3">
      <c r="A997" t="s">
        <v>2045</v>
      </c>
      <c r="B997">
        <v>7</v>
      </c>
      <c r="C997" s="70" t="s">
        <v>4</v>
      </c>
    </row>
    <row r="998" spans="1:3">
      <c r="A998" t="s">
        <v>1717</v>
      </c>
      <c r="B998">
        <v>17</v>
      </c>
      <c r="C998" s="70" t="s">
        <v>4</v>
      </c>
    </row>
    <row r="999" spans="1:3">
      <c r="A999" t="s">
        <v>1831</v>
      </c>
      <c r="B999">
        <v>1</v>
      </c>
      <c r="C999" s="70" t="s">
        <v>4</v>
      </c>
    </row>
    <row r="1000" spans="1:3">
      <c r="A1000" t="s">
        <v>1843</v>
      </c>
      <c r="B1000">
        <v>98</v>
      </c>
      <c r="C1000" s="70" t="s">
        <v>4</v>
      </c>
    </row>
    <row r="1001" spans="1:3">
      <c r="A1001" t="s">
        <v>2034</v>
      </c>
      <c r="B1001">
        <v>1</v>
      </c>
      <c r="C1001" s="70" t="s">
        <v>4</v>
      </c>
    </row>
    <row r="1002" spans="1:3">
      <c r="A1002" t="s">
        <v>2051</v>
      </c>
      <c r="B1002">
        <v>1</v>
      </c>
      <c r="C1002" s="70" t="s">
        <v>4</v>
      </c>
    </row>
    <row r="1003" spans="1:3">
      <c r="A1003" t="s">
        <v>2062</v>
      </c>
      <c r="B1003">
        <v>9</v>
      </c>
      <c r="C1003" s="70" t="s">
        <v>4</v>
      </c>
    </row>
    <row r="1004" spans="1:3">
      <c r="A1004" t="s">
        <v>2080</v>
      </c>
      <c r="B1004">
        <v>4</v>
      </c>
      <c r="C1004" s="70" t="s">
        <v>4</v>
      </c>
    </row>
    <row r="1005" spans="1:3">
      <c r="A1005" t="s">
        <v>2088</v>
      </c>
      <c r="B1005">
        <v>3</v>
      </c>
      <c r="C1005" s="70" t="s">
        <v>4</v>
      </c>
    </row>
    <row r="1006" spans="1:3">
      <c r="A1006" t="s">
        <v>2176</v>
      </c>
      <c r="B1006">
        <v>14</v>
      </c>
      <c r="C1006" s="70" t="s">
        <v>4</v>
      </c>
    </row>
    <row r="1007" spans="1:3">
      <c r="A1007" t="s">
        <v>2096</v>
      </c>
      <c r="B1007">
        <v>46</v>
      </c>
      <c r="C1007" s="70" t="s">
        <v>4</v>
      </c>
    </row>
    <row r="1008" spans="1:3">
      <c r="A1008" t="s">
        <v>2197</v>
      </c>
      <c r="B1008">
        <v>15</v>
      </c>
      <c r="C1008" s="70" t="s">
        <v>4</v>
      </c>
    </row>
    <row r="1009" spans="1:3">
      <c r="A1009" t="s">
        <v>2064</v>
      </c>
      <c r="B1009">
        <v>1</v>
      </c>
      <c r="C1009" s="70" t="s">
        <v>4</v>
      </c>
    </row>
    <row r="1010" spans="1:3">
      <c r="A1010" t="s">
        <v>2198</v>
      </c>
      <c r="B1010">
        <v>1</v>
      </c>
      <c r="C1010" s="70" t="s">
        <v>4</v>
      </c>
    </row>
    <row r="1011" spans="1:3">
      <c r="A1011" t="s">
        <v>2201</v>
      </c>
      <c r="B1011">
        <v>4</v>
      </c>
      <c r="C1011" s="70" t="s">
        <v>4</v>
      </c>
    </row>
    <row r="1012" spans="1:3">
      <c r="A1012" t="s">
        <v>2209</v>
      </c>
      <c r="B1012">
        <v>1</v>
      </c>
      <c r="C1012" s="70" t="s">
        <v>4</v>
      </c>
    </row>
    <row r="1013" spans="1:3">
      <c r="A1013" t="s">
        <v>2210</v>
      </c>
      <c r="B1013">
        <v>1</v>
      </c>
      <c r="C1013" s="70" t="s">
        <v>4</v>
      </c>
    </row>
    <row r="1014" spans="1:3">
      <c r="A1014" t="s">
        <v>2216</v>
      </c>
      <c r="B1014">
        <v>2</v>
      </c>
      <c r="C1014" s="70" t="s">
        <v>4</v>
      </c>
    </row>
    <row r="1015" spans="1:3">
      <c r="A1015" t="s">
        <v>2217</v>
      </c>
      <c r="B1015">
        <v>1</v>
      </c>
      <c r="C1015" s="70" t="s">
        <v>4</v>
      </c>
    </row>
    <row r="1016" spans="1:3">
      <c r="A1016" t="s">
        <v>2279</v>
      </c>
      <c r="B1016">
        <v>8</v>
      </c>
      <c r="C1016" s="70" t="s">
        <v>4</v>
      </c>
    </row>
    <row r="1017" spans="1:3">
      <c r="A1017" t="s">
        <v>2266</v>
      </c>
      <c r="B1017">
        <v>2</v>
      </c>
      <c r="C1017" s="70" t="s">
        <v>4</v>
      </c>
    </row>
    <row r="1018" spans="1:3">
      <c r="A1018" t="s">
        <v>2264</v>
      </c>
      <c r="B1018">
        <v>1</v>
      </c>
      <c r="C1018" s="70" t="s">
        <v>4</v>
      </c>
    </row>
    <row r="1019" spans="1:3">
      <c r="A1019" t="s">
        <v>2261</v>
      </c>
      <c r="B1019">
        <v>11</v>
      </c>
      <c r="C1019" s="70" t="s">
        <v>4</v>
      </c>
    </row>
    <row r="1020" spans="1:3">
      <c r="A1020" t="s">
        <v>2244</v>
      </c>
      <c r="B1020">
        <v>22</v>
      </c>
      <c r="C1020" s="70" t="s">
        <v>4</v>
      </c>
    </row>
    <row r="1021" spans="1:3">
      <c r="A1021" t="s">
        <v>2305</v>
      </c>
      <c r="B1021">
        <v>5</v>
      </c>
      <c r="C1021" s="70" t="s">
        <v>4</v>
      </c>
    </row>
    <row r="1022" spans="1:3">
      <c r="A1022" t="s">
        <v>2311</v>
      </c>
      <c r="B1022">
        <v>1</v>
      </c>
      <c r="C1022" s="70" t="s">
        <v>4</v>
      </c>
    </row>
    <row r="1023" spans="1:3">
      <c r="A1023" t="s">
        <v>2281</v>
      </c>
      <c r="B1023">
        <v>18</v>
      </c>
      <c r="C1023" s="70" t="s">
        <v>4</v>
      </c>
    </row>
    <row r="1024" spans="1:3">
      <c r="A1024" t="s">
        <v>2378</v>
      </c>
      <c r="B1024">
        <v>18</v>
      </c>
      <c r="C1024" s="70" t="s">
        <v>4</v>
      </c>
    </row>
    <row r="1025" spans="1:3">
      <c r="A1025" t="s">
        <v>2344</v>
      </c>
      <c r="B1025">
        <v>6</v>
      </c>
      <c r="C1025" s="70" t="s">
        <v>4</v>
      </c>
    </row>
    <row r="1026" spans="1:3">
      <c r="A1026" t="s">
        <v>2348</v>
      </c>
      <c r="B1026">
        <v>3</v>
      </c>
      <c r="C1026" s="70" t="s">
        <v>4</v>
      </c>
    </row>
    <row r="1027" spans="1:3">
      <c r="A1027" t="s">
        <v>2313</v>
      </c>
      <c r="B1027">
        <v>1</v>
      </c>
      <c r="C1027" s="70" t="s">
        <v>4</v>
      </c>
    </row>
    <row r="1028" spans="1:3">
      <c r="A1028" t="s">
        <v>2379</v>
      </c>
      <c r="B1028">
        <v>2</v>
      </c>
      <c r="C1028" s="70" t="s">
        <v>4</v>
      </c>
    </row>
    <row r="1029" spans="1:3">
      <c r="A1029" t="s">
        <v>2384</v>
      </c>
      <c r="B1029">
        <v>2</v>
      </c>
      <c r="C1029" s="70" t="s">
        <v>4</v>
      </c>
    </row>
    <row r="1030" spans="1:3">
      <c r="A1030" t="s">
        <v>2389</v>
      </c>
      <c r="B1030">
        <v>1</v>
      </c>
      <c r="C1030" s="70" t="s">
        <v>4</v>
      </c>
    </row>
    <row r="1031" spans="1:3">
      <c r="A1031" t="s">
        <v>2388</v>
      </c>
      <c r="B1031">
        <v>1</v>
      </c>
      <c r="C1031" s="70" t="s">
        <v>4</v>
      </c>
    </row>
    <row r="1032" spans="1:3">
      <c r="A1032" t="s">
        <v>2414</v>
      </c>
      <c r="B1032">
        <v>4</v>
      </c>
      <c r="C1032" s="70" t="s">
        <v>4</v>
      </c>
    </row>
    <row r="1033" spans="1:3">
      <c r="A1033" t="s">
        <v>2403</v>
      </c>
      <c r="B1033">
        <v>1</v>
      </c>
      <c r="C1033" s="70" t="s">
        <v>4</v>
      </c>
    </row>
    <row r="1034" spans="1:3">
      <c r="A1034" t="s">
        <v>2401</v>
      </c>
      <c r="B1034">
        <v>1</v>
      </c>
      <c r="C1034" s="70" t="s">
        <v>4</v>
      </c>
    </row>
    <row r="1035" spans="1:3">
      <c r="A1035" t="s">
        <v>2420</v>
      </c>
      <c r="B1035">
        <v>9</v>
      </c>
      <c r="C1035" s="70" t="s">
        <v>4</v>
      </c>
    </row>
    <row r="1036" spans="1:3">
      <c r="A1036" t="s">
        <v>2435</v>
      </c>
      <c r="B1036">
        <v>1</v>
      </c>
      <c r="C1036" s="70" t="s">
        <v>4</v>
      </c>
    </row>
    <row r="1037" spans="1:3">
      <c r="A1037" s="74" t="s">
        <v>2446</v>
      </c>
      <c r="B1037" s="74">
        <v>1</v>
      </c>
      <c r="C1037" s="74" t="s">
        <v>4</v>
      </c>
    </row>
    <row r="1038" spans="1:3">
      <c r="A1038" t="s">
        <v>2439</v>
      </c>
      <c r="B1038">
        <v>1</v>
      </c>
      <c r="C1038" s="74" t="s">
        <v>4</v>
      </c>
    </row>
    <row r="1039" spans="1:3">
      <c r="A1039" t="s">
        <v>2396</v>
      </c>
      <c r="B1039">
        <v>4</v>
      </c>
      <c r="C1039" s="74" t="s">
        <v>4</v>
      </c>
    </row>
    <row r="1040" spans="1:3">
      <c r="A1040" t="s">
        <v>2464</v>
      </c>
      <c r="B1040">
        <v>1</v>
      </c>
      <c r="C1040" s="74" t="s">
        <v>4</v>
      </c>
    </row>
    <row r="1041" spans="1:3">
      <c r="A1041" t="s">
        <v>2465</v>
      </c>
      <c r="B1041">
        <v>1</v>
      </c>
      <c r="C1041" s="74" t="s">
        <v>4</v>
      </c>
    </row>
    <row r="1042" spans="1:3">
      <c r="A1042" t="s">
        <v>2469</v>
      </c>
      <c r="B1042">
        <v>1</v>
      </c>
      <c r="C1042" s="74" t="s">
        <v>4</v>
      </c>
    </row>
    <row r="1043" spans="1:3">
      <c r="A1043" t="s">
        <v>2471</v>
      </c>
      <c r="B1043">
        <v>1</v>
      </c>
      <c r="C1043" s="74" t="s">
        <v>4</v>
      </c>
    </row>
    <row r="1044" spans="1:3">
      <c r="A1044" t="s">
        <v>2307</v>
      </c>
      <c r="B1044">
        <v>1</v>
      </c>
      <c r="C1044" s="74" t="s">
        <v>4</v>
      </c>
    </row>
    <row r="1045" spans="1:3">
      <c r="A1045" t="s">
        <v>2459</v>
      </c>
      <c r="B1045">
        <v>11</v>
      </c>
      <c r="C1045" s="74" t="s">
        <v>4</v>
      </c>
    </row>
    <row r="1046" spans="1:3">
      <c r="A1046" t="s">
        <v>2460</v>
      </c>
      <c r="B1046">
        <v>2</v>
      </c>
      <c r="C1046" s="74" t="s">
        <v>4</v>
      </c>
    </row>
    <row r="1047" spans="1:3">
      <c r="A1047" t="s">
        <v>2475</v>
      </c>
      <c r="B1047">
        <v>1</v>
      </c>
      <c r="C1047" s="74" t="s">
        <v>4</v>
      </c>
    </row>
    <row r="1048" spans="1:3">
      <c r="A1048" t="s">
        <v>2441</v>
      </c>
      <c r="B1048">
        <v>1</v>
      </c>
      <c r="C1048" s="74" t="s">
        <v>4</v>
      </c>
    </row>
    <row r="1049" spans="1:3">
      <c r="A1049" t="s">
        <v>2488</v>
      </c>
      <c r="B1049">
        <v>3</v>
      </c>
      <c r="C1049" s="74" t="s">
        <v>4</v>
      </c>
    </row>
    <row r="1050" spans="1:3">
      <c r="A1050" t="s">
        <v>2478</v>
      </c>
      <c r="B1050">
        <v>4</v>
      </c>
      <c r="C1050" s="74" t="s">
        <v>4</v>
      </c>
    </row>
    <row r="1051" spans="1:3">
      <c r="A1051" t="s">
        <v>2497</v>
      </c>
      <c r="B1051">
        <v>4</v>
      </c>
      <c r="C1051" s="74" t="s">
        <v>4</v>
      </c>
    </row>
    <row r="1052" spans="1:3">
      <c r="A1052" t="s">
        <v>2525</v>
      </c>
      <c r="B1052">
        <v>10</v>
      </c>
      <c r="C1052" s="74" t="s">
        <v>4</v>
      </c>
    </row>
    <row r="1053" spans="1:3">
      <c r="A1053" t="s">
        <v>2523</v>
      </c>
      <c r="B1053">
        <v>8</v>
      </c>
      <c r="C1053" s="74" t="s">
        <v>4</v>
      </c>
    </row>
    <row r="1054" spans="1:3">
      <c r="A1054" t="s">
        <v>2510</v>
      </c>
      <c r="B1054">
        <v>2</v>
      </c>
      <c r="C1054" s="74" t="s">
        <v>4</v>
      </c>
    </row>
    <row r="1055" spans="1:3">
      <c r="A1055" t="s">
        <v>2507</v>
      </c>
      <c r="B1055">
        <v>1</v>
      </c>
      <c r="C1055" s="74" t="s">
        <v>4</v>
      </c>
    </row>
    <row r="1056" spans="1:3">
      <c r="A1056" t="s">
        <v>2498</v>
      </c>
      <c r="B1056">
        <v>6</v>
      </c>
      <c r="C1056" s="74" t="s">
        <v>4</v>
      </c>
    </row>
    <row r="1057" spans="1:3">
      <c r="A1057" t="s">
        <v>2556</v>
      </c>
      <c r="B1057">
        <v>2</v>
      </c>
      <c r="C1057" s="74" t="s">
        <v>4</v>
      </c>
    </row>
    <row r="1058" spans="1:3">
      <c r="A1058" t="s">
        <v>2554</v>
      </c>
      <c r="B1058">
        <v>1</v>
      </c>
      <c r="C1058" s="74" t="s">
        <v>4</v>
      </c>
    </row>
    <row r="1059" spans="1:3">
      <c r="A1059" t="s">
        <v>2553</v>
      </c>
      <c r="B1059">
        <v>1</v>
      </c>
      <c r="C1059" s="74" t="s">
        <v>4</v>
      </c>
    </row>
    <row r="1060" spans="1:3">
      <c r="A1060" t="s">
        <v>2550</v>
      </c>
      <c r="B1060">
        <v>1</v>
      </c>
      <c r="C1060" s="74" t="s">
        <v>4</v>
      </c>
    </row>
    <row r="1061" spans="1:3">
      <c r="A1061" t="s">
        <v>2547</v>
      </c>
      <c r="B1061">
        <v>1</v>
      </c>
      <c r="C1061" s="74" t="s">
        <v>4</v>
      </c>
    </row>
    <row r="1062" spans="1:3">
      <c r="A1062" t="s">
        <v>2544</v>
      </c>
      <c r="B1062">
        <v>1</v>
      </c>
      <c r="C1062" s="74" t="s">
        <v>4</v>
      </c>
    </row>
    <row r="1063" spans="1:3">
      <c r="A1063" t="s">
        <v>2541</v>
      </c>
      <c r="B1063">
        <v>1</v>
      </c>
      <c r="C1063" s="74" t="s">
        <v>4</v>
      </c>
    </row>
    <row r="1064" spans="1:3">
      <c r="A1064" t="s">
        <v>2562</v>
      </c>
      <c r="B1064">
        <v>1</v>
      </c>
      <c r="C1064" s="74" t="s">
        <v>4</v>
      </c>
    </row>
    <row r="1065" spans="1:3">
      <c r="A1065" t="s">
        <v>2333</v>
      </c>
      <c r="B1065">
        <v>19</v>
      </c>
      <c r="C1065" s="74" t="s">
        <v>4</v>
      </c>
    </row>
    <row r="1066" spans="1:3">
      <c r="A1066" t="s">
        <v>2602</v>
      </c>
      <c r="B1066">
        <v>1</v>
      </c>
      <c r="C1066" s="74" t="s">
        <v>4</v>
      </c>
    </row>
    <row r="1067" spans="1:3">
      <c r="A1067" t="s">
        <v>2573</v>
      </c>
      <c r="B1067">
        <v>1</v>
      </c>
      <c r="C1067" s="74" t="s">
        <v>4</v>
      </c>
    </row>
    <row r="1068" spans="1:3">
      <c r="A1068" t="s">
        <v>2568</v>
      </c>
      <c r="B1068">
        <v>1</v>
      </c>
      <c r="C1068" s="74" t="s">
        <v>4</v>
      </c>
    </row>
    <row r="1069" spans="1:3">
      <c r="A1069" t="s">
        <v>2566</v>
      </c>
      <c r="B1069">
        <v>1</v>
      </c>
      <c r="C1069" s="74" t="s">
        <v>4</v>
      </c>
    </row>
    <row r="1070" spans="1:3">
      <c r="A1070" t="s">
        <v>2564</v>
      </c>
      <c r="B1070">
        <v>1</v>
      </c>
      <c r="C1070" s="74" t="s">
        <v>4</v>
      </c>
    </row>
    <row r="1071" spans="1:3">
      <c r="A1071" t="s">
        <v>2571</v>
      </c>
      <c r="B1071">
        <v>8</v>
      </c>
      <c r="C1071" s="74" t="s">
        <v>4</v>
      </c>
    </row>
    <row r="1072" spans="1:3">
      <c r="A1072" t="s">
        <v>2594</v>
      </c>
      <c r="B1072">
        <v>3</v>
      </c>
      <c r="C1072" s="74" t="s">
        <v>4</v>
      </c>
    </row>
    <row r="1073" spans="1:3">
      <c r="A1073" t="s">
        <v>2584</v>
      </c>
      <c r="B1073">
        <v>4</v>
      </c>
      <c r="C1073" s="74" t="s">
        <v>4</v>
      </c>
    </row>
    <row r="1074" spans="1:3">
      <c r="A1074" t="s">
        <v>2583</v>
      </c>
      <c r="B1074">
        <v>4</v>
      </c>
      <c r="C1074" s="74" t="s">
        <v>4</v>
      </c>
    </row>
    <row r="1075" spans="1:3">
      <c r="A1075" t="s">
        <v>2577</v>
      </c>
      <c r="B1075">
        <v>1</v>
      </c>
      <c r="C1075" s="74" t="s">
        <v>4</v>
      </c>
    </row>
    <row r="1076" spans="1:3">
      <c r="A1076" t="s">
        <v>2595</v>
      </c>
      <c r="B1076">
        <v>1</v>
      </c>
      <c r="C1076" s="74" t="s">
        <v>4</v>
      </c>
    </row>
    <row r="1077" spans="1:3">
      <c r="A1077" t="s">
        <v>2608</v>
      </c>
      <c r="B1077">
        <v>5</v>
      </c>
      <c r="C1077" s="74" t="s">
        <v>4</v>
      </c>
    </row>
    <row r="1078" spans="1:3">
      <c r="A1078" t="s">
        <v>2604</v>
      </c>
      <c r="B1078">
        <v>2</v>
      </c>
      <c r="C1078" s="74" t="s">
        <v>4</v>
      </c>
    </row>
    <row r="1079" spans="1:3">
      <c r="A1079" t="s">
        <v>2619</v>
      </c>
      <c r="B1079">
        <v>1</v>
      </c>
      <c r="C1079" s="74" t="s">
        <v>4</v>
      </c>
    </row>
    <row r="1080" spans="1:3">
      <c r="A1080" t="s">
        <v>2621</v>
      </c>
      <c r="B1080">
        <v>2</v>
      </c>
      <c r="C1080" s="74" t="s">
        <v>4</v>
      </c>
    </row>
    <row r="1081" spans="1:3">
      <c r="A1081" t="s">
        <v>2633</v>
      </c>
      <c r="B1081">
        <v>29</v>
      </c>
      <c r="C1081" s="74" t="s">
        <v>4</v>
      </c>
    </row>
    <row r="1082" spans="1:3">
      <c r="A1082" t="s">
        <v>2626</v>
      </c>
      <c r="B1082">
        <v>2</v>
      </c>
      <c r="C1082" s="74" t="s">
        <v>4</v>
      </c>
    </row>
    <row r="1083" spans="1:3">
      <c r="A1083" s="74" t="s">
        <v>2673</v>
      </c>
      <c r="B1083" s="71">
        <v>3</v>
      </c>
      <c r="C1083" s="74" t="s">
        <v>4</v>
      </c>
    </row>
    <row r="1084" spans="1:3">
      <c r="A1084" t="s">
        <v>2622</v>
      </c>
      <c r="B1084">
        <v>2</v>
      </c>
      <c r="C1084" s="74" t="s">
        <v>4</v>
      </c>
    </row>
    <row r="1085" spans="1:3">
      <c r="A1085" t="s">
        <v>2670</v>
      </c>
      <c r="B1085">
        <v>1</v>
      </c>
      <c r="C1085" s="74" t="s">
        <v>4</v>
      </c>
    </row>
    <row r="1086" spans="1:3">
      <c r="A1086" t="s">
        <v>2674</v>
      </c>
      <c r="B1086">
        <v>1</v>
      </c>
      <c r="C1086" s="74" t="s">
        <v>4</v>
      </c>
    </row>
    <row r="1087" spans="1:3">
      <c r="A1087" t="s">
        <v>2667</v>
      </c>
      <c r="B1087">
        <v>1</v>
      </c>
      <c r="C1087" s="74" t="s">
        <v>4</v>
      </c>
    </row>
    <row r="1088" spans="1:3">
      <c r="A1088" t="s">
        <v>2663</v>
      </c>
      <c r="B1088">
        <v>2</v>
      </c>
      <c r="C1088" s="74" t="s">
        <v>4</v>
      </c>
    </row>
    <row r="1089" spans="1:3">
      <c r="A1089" t="s">
        <v>2675</v>
      </c>
      <c r="B1089">
        <v>1</v>
      </c>
      <c r="C1089" s="74" t="s">
        <v>4</v>
      </c>
    </row>
    <row r="1090" spans="1:3">
      <c r="A1090" t="s">
        <v>2661</v>
      </c>
      <c r="B1090">
        <v>1</v>
      </c>
      <c r="C1090" s="74" t="s">
        <v>4</v>
      </c>
    </row>
    <row r="1091" spans="1:3">
      <c r="A1091" t="s">
        <v>2676</v>
      </c>
      <c r="B1091">
        <v>1</v>
      </c>
      <c r="C1091" s="74" t="s">
        <v>4</v>
      </c>
    </row>
    <row r="1092" spans="1:3">
      <c r="A1092" t="s">
        <v>2692</v>
      </c>
      <c r="B1092">
        <v>2</v>
      </c>
      <c r="C1092" s="74" t="s">
        <v>4</v>
      </c>
    </row>
    <row r="1093" spans="1:3">
      <c r="A1093" t="s">
        <v>2688</v>
      </c>
      <c r="B1093">
        <v>1</v>
      </c>
      <c r="C1093" s="74" t="s">
        <v>4</v>
      </c>
    </row>
    <row r="1094" spans="1:3">
      <c r="A1094" t="s">
        <v>2711</v>
      </c>
      <c r="B1094">
        <v>15</v>
      </c>
      <c r="C1094" s="74" t="s">
        <v>4</v>
      </c>
    </row>
    <row r="1095" spans="1:3">
      <c r="A1095" t="s">
        <v>2715</v>
      </c>
      <c r="B1095">
        <v>52</v>
      </c>
      <c r="C1095" s="74" t="s">
        <v>4</v>
      </c>
    </row>
    <row r="1096" spans="1:3">
      <c r="A1096" t="s">
        <v>2795</v>
      </c>
      <c r="B1096">
        <v>2</v>
      </c>
      <c r="C1096" s="74" t="s">
        <v>4</v>
      </c>
    </row>
    <row r="1097" spans="1:3">
      <c r="A1097" t="s">
        <v>2789</v>
      </c>
      <c r="B1097">
        <v>1</v>
      </c>
      <c r="C1097" s="74" t="s">
        <v>4</v>
      </c>
    </row>
    <row r="1098" spans="1:3">
      <c r="A1098" t="s">
        <v>2780</v>
      </c>
      <c r="B1098">
        <v>8</v>
      </c>
      <c r="C1098" s="74" t="s">
        <v>4</v>
      </c>
    </row>
    <row r="1099" spans="1:3">
      <c r="A1099" t="s">
        <v>2801</v>
      </c>
      <c r="B1099">
        <v>10</v>
      </c>
      <c r="C1099" s="74" t="s">
        <v>4</v>
      </c>
    </row>
    <row r="1100" spans="1:3">
      <c r="A1100" t="s">
        <v>2820</v>
      </c>
      <c r="B1100">
        <v>1</v>
      </c>
      <c r="C1100" s="74" t="s">
        <v>4</v>
      </c>
    </row>
    <row r="1101" spans="1:3">
      <c r="A1101" t="s">
        <v>2800</v>
      </c>
      <c r="B1101">
        <v>1</v>
      </c>
      <c r="C1101" s="74" t="s">
        <v>4</v>
      </c>
    </row>
    <row r="1102" spans="1:3">
      <c r="A1102" t="s">
        <v>2796</v>
      </c>
      <c r="B1102">
        <v>1</v>
      </c>
      <c r="C1102" s="74" t="s">
        <v>4</v>
      </c>
    </row>
    <row r="1103" spans="1:3">
      <c r="A1103" t="s">
        <v>2830</v>
      </c>
      <c r="B1103">
        <v>3</v>
      </c>
      <c r="C1103" s="74" t="s">
        <v>4</v>
      </c>
    </row>
    <row r="1104" spans="1:3">
      <c r="A1104" t="s">
        <v>2827</v>
      </c>
      <c r="B1104">
        <v>4</v>
      </c>
      <c r="C1104" s="74" t="s">
        <v>4</v>
      </c>
    </row>
    <row r="1105" spans="1:3">
      <c r="A1105" t="s">
        <v>2852</v>
      </c>
      <c r="B1105">
        <v>1</v>
      </c>
      <c r="C1105" s="74" t="s">
        <v>4</v>
      </c>
    </row>
    <row r="1106" spans="1:3">
      <c r="A1106" t="s">
        <v>2844</v>
      </c>
      <c r="B1106">
        <v>1</v>
      </c>
      <c r="C1106" s="74" t="s">
        <v>4</v>
      </c>
    </row>
    <row r="1107" spans="1:3">
      <c r="A1107" t="s">
        <v>2832</v>
      </c>
      <c r="B1107">
        <v>7</v>
      </c>
      <c r="C1107" s="74" t="s">
        <v>4</v>
      </c>
    </row>
    <row r="1108" spans="1:3">
      <c r="A1108" t="s">
        <v>2847</v>
      </c>
      <c r="B1108">
        <v>4</v>
      </c>
      <c r="C1108" s="74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4" t="s">
        <v>4</v>
      </c>
    </row>
    <row r="1111" spans="1:3">
      <c r="A1111" t="s">
        <v>2867</v>
      </c>
      <c r="B1111">
        <v>1</v>
      </c>
      <c r="C1111" s="74" t="s">
        <v>4</v>
      </c>
    </row>
    <row r="1112" spans="1:3">
      <c r="A1112" t="s">
        <v>2869</v>
      </c>
      <c r="B1112">
        <v>1</v>
      </c>
      <c r="C1112" s="74" t="s">
        <v>4</v>
      </c>
    </row>
    <row r="1113" spans="1:3">
      <c r="A1113" t="s">
        <v>2885</v>
      </c>
      <c r="B1113">
        <v>8</v>
      </c>
      <c r="C1113" s="74" t="s">
        <v>4</v>
      </c>
    </row>
    <row r="1114" spans="1:3">
      <c r="A1114" t="s">
        <v>2872</v>
      </c>
      <c r="B1114">
        <v>1</v>
      </c>
      <c r="C1114" s="74" t="s">
        <v>4</v>
      </c>
    </row>
    <row r="1115" spans="1:3">
      <c r="A1115" t="s">
        <v>3014</v>
      </c>
      <c r="B1115">
        <v>1</v>
      </c>
      <c r="C1115" s="74" t="s">
        <v>4</v>
      </c>
    </row>
    <row r="1116" spans="1:3">
      <c r="A1116" t="s">
        <v>3022</v>
      </c>
      <c r="B1116">
        <v>1</v>
      </c>
      <c r="C1116" s="74" t="s">
        <v>4</v>
      </c>
    </row>
    <row r="1117" spans="1:3">
      <c r="A1117" t="s">
        <v>3019</v>
      </c>
      <c r="B1117">
        <v>1</v>
      </c>
      <c r="C1117" s="74" t="s">
        <v>4</v>
      </c>
    </row>
    <row r="1118" spans="1:3">
      <c r="A1118" t="s">
        <v>3016</v>
      </c>
      <c r="B1118">
        <v>2</v>
      </c>
      <c r="C1118" s="74" t="s">
        <v>4</v>
      </c>
    </row>
    <row r="1119" spans="1:3">
      <c r="A1119" t="s">
        <v>2888</v>
      </c>
      <c r="B1119">
        <v>1</v>
      </c>
      <c r="C1119" s="74" t="s">
        <v>4</v>
      </c>
    </row>
    <row r="1120" spans="1:3">
      <c r="A1120" t="s">
        <v>2896</v>
      </c>
      <c r="B1120">
        <v>4</v>
      </c>
      <c r="C1120" s="74" t="s">
        <v>4</v>
      </c>
    </row>
    <row r="1121" spans="1:3">
      <c r="A1121" t="s">
        <v>2897</v>
      </c>
      <c r="B1121">
        <v>2</v>
      </c>
      <c r="C1121" s="74" t="s">
        <v>4</v>
      </c>
    </row>
    <row r="1122" spans="1:3">
      <c r="A1122" t="s">
        <v>2899</v>
      </c>
      <c r="B1122">
        <v>1</v>
      </c>
      <c r="C1122" s="74" t="s">
        <v>4</v>
      </c>
    </row>
    <row r="1123" spans="1:3">
      <c r="A1123" t="s">
        <v>2901</v>
      </c>
      <c r="B1123">
        <v>101</v>
      </c>
      <c r="C1123" s="74" t="s">
        <v>4</v>
      </c>
    </row>
    <row r="1124" spans="1:3">
      <c r="A1124" t="s">
        <v>3084</v>
      </c>
      <c r="B1124">
        <v>17</v>
      </c>
      <c r="C1124" s="74" t="s">
        <v>4</v>
      </c>
    </row>
    <row r="1125" spans="1:3">
      <c r="A1125" t="s">
        <v>3085</v>
      </c>
      <c r="B1125">
        <v>1</v>
      </c>
      <c r="C1125" s="74" t="s">
        <v>4</v>
      </c>
    </row>
    <row r="1126" spans="1:3">
      <c r="A1126" t="s">
        <v>3066</v>
      </c>
      <c r="B1126">
        <v>36</v>
      </c>
      <c r="C1126" s="86" t="s">
        <v>4</v>
      </c>
    </row>
    <row r="1127" spans="1:3">
      <c r="A1127" t="s">
        <v>3086</v>
      </c>
      <c r="B1127">
        <v>78</v>
      </c>
      <c r="C1127" s="86" t="s">
        <v>4</v>
      </c>
    </row>
    <row r="1128" spans="1:3">
      <c r="A1128" t="s">
        <v>3183</v>
      </c>
      <c r="B1128">
        <v>2</v>
      </c>
      <c r="C1128" s="86" t="s">
        <v>4</v>
      </c>
    </row>
    <row r="1129" spans="1:3">
      <c r="A1129" t="s">
        <v>3189</v>
      </c>
      <c r="B1129">
        <v>1</v>
      </c>
      <c r="C1129" s="86" t="s">
        <v>4</v>
      </c>
    </row>
    <row r="1130" spans="1:3">
      <c r="A1130" t="s">
        <v>3192</v>
      </c>
      <c r="B1130">
        <v>20</v>
      </c>
      <c r="C1130" s="86" t="s">
        <v>4</v>
      </c>
    </row>
    <row r="1131" spans="1:3">
      <c r="A1131" t="s">
        <v>3256</v>
      </c>
      <c r="B1131">
        <v>2</v>
      </c>
      <c r="C1131" s="86" t="s">
        <v>4</v>
      </c>
    </row>
    <row r="1132" spans="1:3">
      <c r="A1132" t="s">
        <v>3229</v>
      </c>
      <c r="B1132">
        <v>19</v>
      </c>
      <c r="C1132" s="86" t="s">
        <v>4</v>
      </c>
    </row>
    <row r="1133" spans="1:3">
      <c r="A1133" t="s">
        <v>3202</v>
      </c>
      <c r="B1133">
        <v>23</v>
      </c>
      <c r="C1133" s="86" t="s">
        <v>4</v>
      </c>
    </row>
    <row r="1134" spans="1:3">
      <c r="A1134" t="s">
        <v>3268</v>
      </c>
      <c r="B1134">
        <v>11</v>
      </c>
      <c r="C1134" s="86" t="s">
        <v>4</v>
      </c>
    </row>
    <row r="1135" spans="1:3">
      <c r="A1135" t="s">
        <v>3261</v>
      </c>
      <c r="B1135">
        <v>3</v>
      </c>
      <c r="C1135" s="86" t="s">
        <v>4</v>
      </c>
    </row>
    <row r="1136" spans="1:3">
      <c r="A1136" t="s">
        <v>3290</v>
      </c>
      <c r="B1136">
        <v>1</v>
      </c>
      <c r="C1136" s="86" t="s">
        <v>4</v>
      </c>
    </row>
    <row r="1137" spans="1:3">
      <c r="A1137" t="s">
        <v>3293</v>
      </c>
      <c r="B1137">
        <v>1</v>
      </c>
      <c r="C1137" s="86" t="s">
        <v>4</v>
      </c>
    </row>
    <row r="1138" spans="1:3">
      <c r="A1138" t="s">
        <v>3327</v>
      </c>
      <c r="B1138">
        <v>28</v>
      </c>
      <c r="C1138" s="86" t="s">
        <v>4</v>
      </c>
    </row>
    <row r="1139" spans="1:3">
      <c r="A1139" t="s">
        <v>3328</v>
      </c>
      <c r="B1139">
        <v>1</v>
      </c>
      <c r="C1139" s="86" t="s">
        <v>4</v>
      </c>
    </row>
    <row r="1140" spans="1:3">
      <c r="A1140" t="s">
        <v>3298</v>
      </c>
      <c r="B1140">
        <v>1</v>
      </c>
      <c r="C1140" s="91" t="s">
        <v>4</v>
      </c>
    </row>
    <row r="1141" spans="1:3">
      <c r="A1141" t="s">
        <v>3346</v>
      </c>
      <c r="B1141">
        <v>3</v>
      </c>
      <c r="C1141" s="91" t="s">
        <v>4</v>
      </c>
    </row>
    <row r="1142" spans="1:3">
      <c r="A1142" t="s">
        <v>3356</v>
      </c>
      <c r="B1142">
        <v>1</v>
      </c>
      <c r="C1142" s="91" t="s">
        <v>4</v>
      </c>
    </row>
    <row r="1143" spans="1:3">
      <c r="A1143" t="s">
        <v>3358</v>
      </c>
      <c r="B1143">
        <v>4</v>
      </c>
      <c r="C1143" s="91" t="s">
        <v>4</v>
      </c>
    </row>
    <row r="1144" spans="1:3">
      <c r="A1144" t="s">
        <v>3332</v>
      </c>
      <c r="B1144">
        <v>1</v>
      </c>
      <c r="C1144" s="91" t="s">
        <v>4</v>
      </c>
    </row>
    <row r="1145" spans="1:3">
      <c r="A1145" t="s">
        <v>3333</v>
      </c>
      <c r="B1145">
        <v>10</v>
      </c>
      <c r="C1145" s="91" t="s">
        <v>4</v>
      </c>
    </row>
    <row r="1146" spans="1:3">
      <c r="A1146" t="s">
        <v>3369</v>
      </c>
      <c r="B1146">
        <v>2</v>
      </c>
      <c r="C1146" s="91" t="s">
        <v>4</v>
      </c>
    </row>
    <row r="1147" spans="1:3">
      <c r="A1147" t="s">
        <v>3375</v>
      </c>
      <c r="B1147">
        <v>1</v>
      </c>
      <c r="C1147" s="91" t="s">
        <v>4</v>
      </c>
    </row>
    <row r="1148" spans="1:3">
      <c r="A1148" t="s">
        <v>3385</v>
      </c>
      <c r="B1148">
        <v>9</v>
      </c>
      <c r="C1148" s="91" t="s">
        <v>4</v>
      </c>
    </row>
    <row r="1149" spans="1:3">
      <c r="A1149" t="s">
        <v>3396</v>
      </c>
      <c r="B1149">
        <v>55</v>
      </c>
      <c r="C1149" s="91" t="s">
        <v>4</v>
      </c>
    </row>
    <row r="1150" spans="1:3">
      <c r="A1150" t="s">
        <v>3404</v>
      </c>
      <c r="B1150">
        <v>1</v>
      </c>
      <c r="C1150" s="91" t="s">
        <v>4</v>
      </c>
    </row>
    <row r="1151" spans="1:3">
      <c r="A1151" t="s">
        <v>3381</v>
      </c>
      <c r="B1151">
        <v>2</v>
      </c>
      <c r="C1151" s="91" t="s">
        <v>4</v>
      </c>
    </row>
    <row r="1152" spans="1:3">
      <c r="A1152" t="s">
        <v>3376</v>
      </c>
      <c r="B1152">
        <v>1</v>
      </c>
      <c r="C1152" s="91" t="s">
        <v>4</v>
      </c>
    </row>
    <row r="1153" spans="1:3">
      <c r="A1153" t="s">
        <v>3405</v>
      </c>
      <c r="B1153">
        <v>112</v>
      </c>
      <c r="C1153" s="91" t="s">
        <v>4</v>
      </c>
    </row>
    <row r="1154" spans="1:3">
      <c r="A1154" t="s">
        <v>3548</v>
      </c>
      <c r="B1154">
        <v>7</v>
      </c>
      <c r="C1154" s="91" t="s">
        <v>4</v>
      </c>
    </row>
    <row r="1155" spans="1:3">
      <c r="A1155" t="s">
        <v>3560</v>
      </c>
      <c r="B1155">
        <v>8</v>
      </c>
      <c r="C1155" s="91" t="s">
        <v>4</v>
      </c>
    </row>
    <row r="1156" spans="1:3">
      <c r="A1156" t="s">
        <v>3569</v>
      </c>
      <c r="B1156">
        <v>5</v>
      </c>
      <c r="C1156" s="91" t="s">
        <v>4</v>
      </c>
    </row>
    <row r="1157" spans="1:3">
      <c r="A1157" t="s">
        <v>3576</v>
      </c>
      <c r="B1157">
        <v>14</v>
      </c>
      <c r="C1157" s="91" t="s">
        <v>4</v>
      </c>
    </row>
    <row r="1158" spans="1:3">
      <c r="A1158" t="s">
        <v>3600</v>
      </c>
      <c r="B1158">
        <v>3</v>
      </c>
      <c r="C1158" s="91" t="s">
        <v>4</v>
      </c>
    </row>
    <row r="1159" spans="1:3">
      <c r="A1159" t="s">
        <v>3348</v>
      </c>
      <c r="B1159">
        <v>6</v>
      </c>
      <c r="C1159" s="91" t="s">
        <v>4</v>
      </c>
    </row>
    <row r="1160" spans="1:3">
      <c r="A1160" t="s">
        <v>3621</v>
      </c>
      <c r="B1160">
        <v>1</v>
      </c>
      <c r="C1160" s="95" t="s">
        <v>4</v>
      </c>
    </row>
    <row r="1161" spans="1:3">
      <c r="A1161" t="s">
        <v>3601</v>
      </c>
      <c r="B1161">
        <v>6</v>
      </c>
      <c r="C1161" s="95" t="s">
        <v>4</v>
      </c>
    </row>
    <row r="1162" spans="1:3">
      <c r="A1162" t="s">
        <v>3625</v>
      </c>
      <c r="B1162">
        <v>2</v>
      </c>
      <c r="C1162" s="95" t="s">
        <v>4</v>
      </c>
    </row>
    <row r="1163" spans="1:3">
      <c r="A1163" t="s">
        <v>3609</v>
      </c>
      <c r="B1163">
        <v>5</v>
      </c>
      <c r="C1163" s="95" t="s">
        <v>4</v>
      </c>
    </row>
    <row r="1164" spans="1:3">
      <c r="A1164" t="s">
        <v>3620</v>
      </c>
      <c r="B1164">
        <v>1</v>
      </c>
      <c r="C1164" s="95" t="s">
        <v>4</v>
      </c>
    </row>
    <row r="1165" spans="1:3">
      <c r="A1165" t="s">
        <v>3628</v>
      </c>
      <c r="B1165">
        <v>6</v>
      </c>
      <c r="C1165" s="95" t="s">
        <v>4</v>
      </c>
    </row>
    <row r="1166" spans="1:3">
      <c r="A1166" t="s">
        <v>3639</v>
      </c>
      <c r="B1166">
        <v>1</v>
      </c>
      <c r="C1166" s="95" t="s">
        <v>4</v>
      </c>
    </row>
    <row r="1167" spans="1:3">
      <c r="A1167" t="s">
        <v>3641</v>
      </c>
      <c r="B1167">
        <v>98</v>
      </c>
      <c r="C1167" s="95" t="s">
        <v>4</v>
      </c>
    </row>
    <row r="1168" spans="1:3">
      <c r="A1168" t="s">
        <v>3748</v>
      </c>
      <c r="B1168">
        <v>319</v>
      </c>
      <c r="C1168" s="95" t="s">
        <v>4</v>
      </c>
    </row>
    <row r="1169" spans="1:3">
      <c r="A1169" t="s">
        <v>4075</v>
      </c>
      <c r="B1169">
        <v>1</v>
      </c>
      <c r="C1169" s="95" t="s">
        <v>4</v>
      </c>
    </row>
    <row r="1170" spans="1:3">
      <c r="A1170" t="s">
        <v>4077</v>
      </c>
      <c r="B1170">
        <v>5</v>
      </c>
      <c r="C1170" s="95" t="s">
        <v>4</v>
      </c>
    </row>
    <row r="1171" spans="1:3">
      <c r="A1171" t="s">
        <v>4084</v>
      </c>
      <c r="B1171">
        <v>7</v>
      </c>
      <c r="C1171" s="95" t="s">
        <v>4</v>
      </c>
    </row>
    <row r="1172" spans="1:3">
      <c r="A1172" t="s">
        <v>4093</v>
      </c>
      <c r="B1172">
        <v>1</v>
      </c>
      <c r="C1172" s="99" t="s">
        <v>4</v>
      </c>
    </row>
    <row r="1173" spans="1:3">
      <c r="A1173" t="s">
        <v>4098</v>
      </c>
      <c r="B1173">
        <v>1</v>
      </c>
      <c r="C1173" s="99" t="s">
        <v>4</v>
      </c>
    </row>
    <row r="1174" spans="1:3">
      <c r="A1174" t="s">
        <v>4116</v>
      </c>
      <c r="B1174">
        <v>8</v>
      </c>
      <c r="C1174" s="105" t="s">
        <v>4</v>
      </c>
    </row>
    <row r="1175" spans="1:3">
      <c r="A1175" t="s">
        <v>4119</v>
      </c>
      <c r="B1175">
        <v>1</v>
      </c>
      <c r="C1175" s="105" t="s">
        <v>4</v>
      </c>
    </row>
    <row r="1176" spans="1:3">
      <c r="A1176" t="s">
        <v>4124</v>
      </c>
      <c r="B1176">
        <v>1</v>
      </c>
      <c r="C1176" s="105" t="s">
        <v>4</v>
      </c>
    </row>
    <row r="1177" spans="1:3">
      <c r="A1177" t="s">
        <v>4099</v>
      </c>
      <c r="B1177">
        <v>1</v>
      </c>
      <c r="C1177" s="105" t="s">
        <v>4</v>
      </c>
    </row>
    <row r="1178" spans="1:3">
      <c r="A1178" t="s">
        <v>4104</v>
      </c>
      <c r="B1178">
        <v>2</v>
      </c>
      <c r="C1178" s="105" t="s">
        <v>4</v>
      </c>
    </row>
    <row r="1179" spans="1:3">
      <c r="A1179" t="s">
        <v>4120</v>
      </c>
      <c r="B1179">
        <v>2</v>
      </c>
      <c r="C1179" s="105" t="s">
        <v>4</v>
      </c>
    </row>
    <row r="1180" spans="1:3">
      <c r="A1180" t="s">
        <v>4134</v>
      </c>
      <c r="B1180">
        <v>7</v>
      </c>
      <c r="C1180" s="105" t="s">
        <v>4</v>
      </c>
    </row>
    <row r="1181" spans="1:3">
      <c r="A1181" t="s">
        <v>3292</v>
      </c>
      <c r="B1181">
        <v>4</v>
      </c>
      <c r="C1181" s="105" t="s">
        <v>4</v>
      </c>
    </row>
    <row r="1182" spans="1:3">
      <c r="A1182" t="s">
        <v>4140</v>
      </c>
      <c r="B1182">
        <v>35</v>
      </c>
      <c r="C1182" s="105" t="s">
        <v>4</v>
      </c>
    </row>
    <row r="1183" spans="1:3">
      <c r="A1183" t="s">
        <v>4181</v>
      </c>
      <c r="B1183">
        <v>1</v>
      </c>
      <c r="C1183" s="105" t="s">
        <v>4</v>
      </c>
    </row>
    <row r="1184" spans="1:3">
      <c r="A1184" t="s">
        <v>4188</v>
      </c>
      <c r="B1184">
        <v>5</v>
      </c>
      <c r="C1184" s="105" t="s">
        <v>4</v>
      </c>
    </row>
    <row r="1185" spans="1:3">
      <c r="A1185" t="s">
        <v>4189</v>
      </c>
      <c r="B1185">
        <v>82</v>
      </c>
      <c r="C1185" s="105" t="s">
        <v>4</v>
      </c>
    </row>
    <row r="1186" spans="1:3">
      <c r="A1186" t="s">
        <v>4288</v>
      </c>
      <c r="B1186">
        <v>14</v>
      </c>
      <c r="C1186" s="105" t="s">
        <v>4</v>
      </c>
    </row>
    <row r="1187" spans="1:3">
      <c r="A1187" t="s">
        <v>4291</v>
      </c>
      <c r="B1187">
        <v>1</v>
      </c>
      <c r="C1187" s="105" t="s">
        <v>4</v>
      </c>
    </row>
    <row r="1188" spans="1:3">
      <c r="A1188" t="s">
        <v>4294</v>
      </c>
      <c r="B1188">
        <v>1</v>
      </c>
      <c r="C1188" s="105" t="s">
        <v>4</v>
      </c>
    </row>
    <row r="1189" spans="1:3">
      <c r="A1189" t="s">
        <v>4295</v>
      </c>
      <c r="B1189">
        <v>1</v>
      </c>
      <c r="C1189" s="10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12"/>
  <sheetViews>
    <sheetView tabSelected="1" zoomScale="85" zoomScaleNormal="8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5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5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5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5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5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5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5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5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5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5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5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5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5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5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5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5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5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5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5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5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5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5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5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5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5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5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5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5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5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5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5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5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5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5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5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5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5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5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5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5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5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5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5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5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5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5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5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5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5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5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5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5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5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5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5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5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5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5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5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5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5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5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5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5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5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5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5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5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5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5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5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5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5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5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5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5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5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5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5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5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5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5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5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131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5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5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5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5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5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5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5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5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5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5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5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5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5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5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5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5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5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5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5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5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5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5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5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5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5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5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5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5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5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5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5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5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5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5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5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5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5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5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5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5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5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5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5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5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5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5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5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5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5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5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5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5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5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5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5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5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5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5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5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5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5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5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5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5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5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5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5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5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5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5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5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5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5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5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5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5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5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5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5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5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5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5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5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5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5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5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5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5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5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5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5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5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5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5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5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5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5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5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4" t="s">
        <v>1483</v>
      </c>
      <c r="E186" s="74" t="s">
        <v>1019</v>
      </c>
      <c r="F186" s="105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5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5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5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5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5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5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5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5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5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5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5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5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5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5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5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5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5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5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5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5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5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5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5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5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5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5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5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5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5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5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5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5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5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5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5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5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5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5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5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5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5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5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5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5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5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5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5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5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5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5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5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5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5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5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5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5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5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5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5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5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5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5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5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5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5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5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5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5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5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5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5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5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5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5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5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5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5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5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5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5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5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5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5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5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5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5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5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5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5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5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5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5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5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5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5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5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5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5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5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5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5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5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5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5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5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5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5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5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5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106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106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106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106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106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106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106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106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106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106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106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5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5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5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5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5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5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5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5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5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102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5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5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5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5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5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5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5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5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5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5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5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5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5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5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5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5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5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5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5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5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5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5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5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5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5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5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5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5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5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5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5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5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5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5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5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5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5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5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5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5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5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5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5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5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5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5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5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5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5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5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5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5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5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5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5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5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5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5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5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5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5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5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5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5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5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5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5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5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5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5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5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5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5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99</v>
      </c>
      <c r="R388" s="69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5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99</v>
      </c>
      <c r="R389" s="69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5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99</v>
      </c>
      <c r="R390" s="69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5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99</v>
      </c>
      <c r="R391" s="69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5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99</v>
      </c>
      <c r="R392" s="69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5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99</v>
      </c>
      <c r="R393" s="69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5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99</v>
      </c>
      <c r="R394" s="69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5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99</v>
      </c>
      <c r="R395" s="69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5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99</v>
      </c>
      <c r="R396" s="69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5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99</v>
      </c>
      <c r="R397" s="69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5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99</v>
      </c>
      <c r="R398" s="69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5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99</v>
      </c>
      <c r="R399" s="69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5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99</v>
      </c>
      <c r="R400" s="69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5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99</v>
      </c>
      <c r="R401" s="69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5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99</v>
      </c>
      <c r="R402" s="69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5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99</v>
      </c>
      <c r="R403" s="69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5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99</v>
      </c>
      <c r="R404" s="69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5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99</v>
      </c>
      <c r="R405" s="69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5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99</v>
      </c>
      <c r="R406" s="69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5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99</v>
      </c>
      <c r="R407" s="69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5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99</v>
      </c>
      <c r="R408" s="69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5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99</v>
      </c>
      <c r="R409" s="69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5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99</v>
      </c>
      <c r="R410" s="69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5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99</v>
      </c>
      <c r="R411" s="69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5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99</v>
      </c>
      <c r="R412" s="69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5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99</v>
      </c>
      <c r="R413" s="69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5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99</v>
      </c>
      <c r="R414" s="69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5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99</v>
      </c>
      <c r="R415" s="69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5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99</v>
      </c>
      <c r="R416" s="69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5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99</v>
      </c>
      <c r="R417" s="69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5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99</v>
      </c>
      <c r="R418" s="69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5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99</v>
      </c>
      <c r="R419" s="69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5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99</v>
      </c>
      <c r="R420" s="69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5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99</v>
      </c>
      <c r="R421" s="69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5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99</v>
      </c>
      <c r="R422" s="69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5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99</v>
      </c>
      <c r="R423" s="69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5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99</v>
      </c>
      <c r="R424" s="69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5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99</v>
      </c>
      <c r="R425" s="69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5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99</v>
      </c>
      <c r="R426" s="69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5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99</v>
      </c>
      <c r="R427" s="69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5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99</v>
      </c>
      <c r="R428" s="69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5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98</v>
      </c>
      <c r="R429" s="69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5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98</v>
      </c>
      <c r="R430" s="69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5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98</v>
      </c>
      <c r="R431" s="69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5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98</v>
      </c>
      <c r="R432" s="69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5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98</v>
      </c>
      <c r="R433" s="69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5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98</v>
      </c>
      <c r="R434" s="69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5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98</v>
      </c>
      <c r="R435" s="69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5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98</v>
      </c>
      <c r="R436" s="69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5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98</v>
      </c>
      <c r="R437" s="69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5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98</v>
      </c>
      <c r="R438" s="69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5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98</v>
      </c>
      <c r="R439" s="69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5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98</v>
      </c>
      <c r="R440" s="69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5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98</v>
      </c>
      <c r="R441" s="69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5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98</v>
      </c>
      <c r="R442" s="69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5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98</v>
      </c>
      <c r="R443" s="69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5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98</v>
      </c>
      <c r="R444" s="69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5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98</v>
      </c>
      <c r="R445" s="69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5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98</v>
      </c>
      <c r="R446" s="69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5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98</v>
      </c>
      <c r="R447" s="69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5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98</v>
      </c>
      <c r="R448" s="69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5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98</v>
      </c>
      <c r="R449" s="69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5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98</v>
      </c>
      <c r="R450" s="69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5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98</v>
      </c>
      <c r="R451" s="69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5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98</v>
      </c>
      <c r="R452" s="69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5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98</v>
      </c>
      <c r="R453" s="69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5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98</v>
      </c>
      <c r="R454" s="69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5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98</v>
      </c>
      <c r="R455" s="69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5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98</v>
      </c>
      <c r="R456" s="69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5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98</v>
      </c>
      <c r="R457" s="69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5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98</v>
      </c>
      <c r="R458" s="69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5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98</v>
      </c>
      <c r="R459" s="69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5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98</v>
      </c>
      <c r="R460" s="69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5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98</v>
      </c>
      <c r="R461" s="69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5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98</v>
      </c>
      <c r="R462" s="69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5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98</v>
      </c>
      <c r="R463" s="69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5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98</v>
      </c>
      <c r="R464" s="69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5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98</v>
      </c>
      <c r="R465" s="69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5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98</v>
      </c>
      <c r="R466" s="69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5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98</v>
      </c>
      <c r="R467" s="69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5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98</v>
      </c>
      <c r="R468" s="69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5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98</v>
      </c>
      <c r="R469" s="69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5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98</v>
      </c>
      <c r="R470" s="69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5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98</v>
      </c>
      <c r="R471" s="69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5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98</v>
      </c>
      <c r="R472" s="69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5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98</v>
      </c>
      <c r="R473" s="69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5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98</v>
      </c>
      <c r="R474" s="69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5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98</v>
      </c>
      <c r="R475" s="69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5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98</v>
      </c>
      <c r="R476" s="69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5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98</v>
      </c>
      <c r="R477" s="69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5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98</v>
      </c>
      <c r="R478" s="69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5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98</v>
      </c>
      <c r="R479" s="69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5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98</v>
      </c>
      <c r="R480" s="69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5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98</v>
      </c>
      <c r="R481" s="69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5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98</v>
      </c>
      <c r="R482" s="69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5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98</v>
      </c>
      <c r="R483" s="69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5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98</v>
      </c>
      <c r="R484" s="69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5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98</v>
      </c>
      <c r="R485" s="69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5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98</v>
      </c>
      <c r="R486" s="69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5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98</v>
      </c>
      <c r="R487" s="69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5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97</v>
      </c>
      <c r="R488" s="69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5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97</v>
      </c>
      <c r="R489" s="69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5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97</v>
      </c>
      <c r="R490" s="69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5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97</v>
      </c>
      <c r="R491" s="69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5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97</v>
      </c>
      <c r="R492" s="69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5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96</v>
      </c>
      <c r="R493" s="69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70" t="s">
        <v>377</v>
      </c>
      <c r="D494" t="s">
        <v>1820</v>
      </c>
      <c r="E494" t="s">
        <v>2046</v>
      </c>
      <c r="F494" s="105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96</v>
      </c>
      <c r="R494" s="69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5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5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94</v>
      </c>
      <c r="R496" s="69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70" t="s">
        <v>369</v>
      </c>
      <c r="D497" t="s">
        <v>528</v>
      </c>
      <c r="E497" t="s">
        <v>466</v>
      </c>
      <c r="F497" s="105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94</v>
      </c>
      <c r="R497" s="69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70" t="s">
        <v>369</v>
      </c>
      <c r="D498" t="s">
        <v>1827</v>
      </c>
      <c r="E498" s="70" t="s">
        <v>1828</v>
      </c>
      <c r="F498" s="105" t="s">
        <v>1828</v>
      </c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509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93</v>
      </c>
      <c r="R498" s="69" t="s">
        <v>1459</v>
      </c>
      <c r="S498" s="60"/>
    </row>
    <row r="499" spans="1:19" hidden="1">
      <c r="A499" t="s">
        <v>1831</v>
      </c>
      <c r="B499" s="71" t="str">
        <f>IFERROR(VLOOKUP(Proc[[#This Row],[App]],Table2[],3,0),"open")</f>
        <v>ok</v>
      </c>
      <c r="C499" s="70" t="s">
        <v>369</v>
      </c>
      <c r="D499" t="s">
        <v>1829</v>
      </c>
      <c r="E499" t="s">
        <v>1830</v>
      </c>
      <c r="F499" s="105" t="s">
        <v>1830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1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509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830</v>
      </c>
      <c r="S499" s="71"/>
    </row>
    <row r="500" spans="1:19" hidden="1">
      <c r="A500" t="s">
        <v>1832</v>
      </c>
      <c r="B500" s="71" t="str">
        <f>IFERROR(VLOOKUP(Proc[[#This Row],[App]],Table2[],3,0),"open")</f>
        <v>ok</v>
      </c>
      <c r="C500" s="70" t="s">
        <v>369</v>
      </c>
      <c r="D500" t="s">
        <v>1976</v>
      </c>
      <c r="E500" t="s">
        <v>1985</v>
      </c>
      <c r="F500" s="105" t="s">
        <v>1985</v>
      </c>
      <c r="G500" t="s">
        <v>400</v>
      </c>
      <c r="H500" s="71" t="str">
        <f>IF(Proc[[#This Row],[type]]="LFF (MDG-F)",MID(Proc[[#This Row],[Obj]],13,10),"")</f>
        <v/>
      </c>
      <c r="I500" t="s">
        <v>1834</v>
      </c>
      <c r="J500" s="71" t="b">
        <f>Proc[[#This Row],[Requested]]=Proc[[#This Row],[CurrentParent]]</f>
        <v>1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509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1833</v>
      </c>
      <c r="S500" s="71"/>
    </row>
    <row r="501" spans="1:19" hidden="1">
      <c r="A501" s="70" t="s">
        <v>1832</v>
      </c>
      <c r="B501" s="71" t="str">
        <f>IFERROR(VLOOKUP(Proc[[#This Row],[App]],Table2[],3,0),"open")</f>
        <v>ok</v>
      </c>
      <c r="C501" s="70" t="s">
        <v>369</v>
      </c>
      <c r="D501" t="s">
        <v>1977</v>
      </c>
      <c r="E501" s="70" t="s">
        <v>1985</v>
      </c>
      <c r="F501" s="105" t="s">
        <v>1985</v>
      </c>
      <c r="G501" s="70" t="s">
        <v>400</v>
      </c>
      <c r="H501" s="71" t="str">
        <f>IF(Proc[[#This Row],[type]]="LFF (MDG-F)",MID(Proc[[#This Row],[Obj]],13,10),"")</f>
        <v/>
      </c>
      <c r="I501" s="70" t="s">
        <v>1834</v>
      </c>
      <c r="J501" s="71" t="b">
        <f>Proc[[#This Row],[Requested]]=Proc[[#This Row],[CurrentParent]]</f>
        <v>1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509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1833</v>
      </c>
      <c r="S501" s="71"/>
    </row>
    <row r="502" spans="1:19" hidden="1">
      <c r="A502" s="70" t="s">
        <v>1832</v>
      </c>
      <c r="B502" s="71" t="str">
        <f>IFERROR(VLOOKUP(Proc[[#This Row],[App]],Table2[],3,0),"open")</f>
        <v>ok</v>
      </c>
      <c r="C502" s="70" t="s">
        <v>369</v>
      </c>
      <c r="D502" t="s">
        <v>1978</v>
      </c>
      <c r="E502" s="70" t="s">
        <v>1985</v>
      </c>
      <c r="F502" s="105" t="s">
        <v>1985</v>
      </c>
      <c r="G502" s="70" t="s">
        <v>400</v>
      </c>
      <c r="H502" s="71" t="str">
        <f>IF(Proc[[#This Row],[type]]="LFF (MDG-F)",MID(Proc[[#This Row],[Obj]],13,10),"")</f>
        <v/>
      </c>
      <c r="I502" s="70" t="s">
        <v>1834</v>
      </c>
      <c r="J502" s="71" t="b">
        <f>Proc[[#This Row],[Requested]]=Proc[[#This Row],[CurrentParent]]</f>
        <v>1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509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1833</v>
      </c>
      <c r="S502" s="71"/>
    </row>
    <row r="503" spans="1:19" hidden="1">
      <c r="A503" s="70" t="s">
        <v>1832</v>
      </c>
      <c r="B503" s="71" t="str">
        <f>IFERROR(VLOOKUP(Proc[[#This Row],[App]],Table2[],3,0),"open")</f>
        <v>ok</v>
      </c>
      <c r="C503" s="70" t="s">
        <v>369</v>
      </c>
      <c r="D503" t="s">
        <v>1979</v>
      </c>
      <c r="E503" t="s">
        <v>1986</v>
      </c>
      <c r="F503" s="105" t="s">
        <v>1986</v>
      </c>
      <c r="G503" s="70" t="s">
        <v>400</v>
      </c>
      <c r="H503" s="71" t="str">
        <f>IF(Proc[[#This Row],[type]]="LFF (MDG-F)",MID(Proc[[#This Row],[Obj]],13,10),"")</f>
        <v/>
      </c>
      <c r="I503" s="70" t="s">
        <v>1834</v>
      </c>
      <c r="J503" s="71" t="b">
        <f>Proc[[#This Row],[Requested]]=Proc[[#This Row],[CurrentParent]]</f>
        <v>1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509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1833</v>
      </c>
      <c r="S503" s="71"/>
    </row>
    <row r="504" spans="1:19" hidden="1">
      <c r="A504" s="70" t="s">
        <v>1832</v>
      </c>
      <c r="B504" s="71" t="str">
        <f>IFERROR(VLOOKUP(Proc[[#This Row],[App]],Table2[],3,0),"open")</f>
        <v>ok</v>
      </c>
      <c r="C504" s="70" t="s">
        <v>369</v>
      </c>
      <c r="D504" t="s">
        <v>1981</v>
      </c>
      <c r="E504" s="70" t="s">
        <v>1986</v>
      </c>
      <c r="F504" s="105" t="s">
        <v>1986</v>
      </c>
      <c r="G504" s="70" t="s">
        <v>400</v>
      </c>
      <c r="H504" s="71" t="str">
        <f>IF(Proc[[#This Row],[type]]="LFF (MDG-F)",MID(Proc[[#This Row],[Obj]],13,10),"")</f>
        <v/>
      </c>
      <c r="I504" s="70" t="s">
        <v>1834</v>
      </c>
      <c r="J504" s="71" t="b">
        <f>Proc[[#This Row],[Requested]]=Proc[[#This Row],[CurrentParent]]</f>
        <v>1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509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1833</v>
      </c>
      <c r="S504" s="71"/>
    </row>
    <row r="505" spans="1:19" hidden="1">
      <c r="A505" s="70" t="s">
        <v>1832</v>
      </c>
      <c r="B505" s="71" t="str">
        <f>IFERROR(VLOOKUP(Proc[[#This Row],[App]],Table2[],3,0),"open")</f>
        <v>ok</v>
      </c>
      <c r="C505" s="70" t="s">
        <v>369</v>
      </c>
      <c r="D505" t="s">
        <v>1980</v>
      </c>
      <c r="E505" s="70" t="s">
        <v>1986</v>
      </c>
      <c r="F505" s="105" t="s">
        <v>1986</v>
      </c>
      <c r="G505" s="70" t="s">
        <v>400</v>
      </c>
      <c r="H505" s="71" t="str">
        <f>IF(Proc[[#This Row],[type]]="LFF (MDG-F)",MID(Proc[[#This Row],[Obj]],13,10),"")</f>
        <v/>
      </c>
      <c r="I505" s="70" t="s">
        <v>1834</v>
      </c>
      <c r="J505" s="71" t="b">
        <f>Proc[[#This Row],[Requested]]=Proc[[#This Row],[CurrentParent]]</f>
        <v>1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509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1833</v>
      </c>
      <c r="S505" s="71"/>
    </row>
    <row r="506" spans="1:19" hidden="1">
      <c r="A506" s="70" t="s">
        <v>1832</v>
      </c>
      <c r="B506" s="71" t="str">
        <f>IFERROR(VLOOKUP(Proc[[#This Row],[App]],Table2[],3,0),"open")</f>
        <v>ok</v>
      </c>
      <c r="C506" s="70" t="s">
        <v>369</v>
      </c>
      <c r="D506" t="s">
        <v>1982</v>
      </c>
      <c r="E506" s="70" t="s">
        <v>1986</v>
      </c>
      <c r="F506" s="105" t="s">
        <v>1986</v>
      </c>
      <c r="G506" s="70" t="s">
        <v>400</v>
      </c>
      <c r="H506" s="71" t="str">
        <f>IF(Proc[[#This Row],[type]]="LFF (MDG-F)",MID(Proc[[#This Row],[Obj]],13,10),"")</f>
        <v/>
      </c>
      <c r="I506" s="70" t="s">
        <v>1834</v>
      </c>
      <c r="J506" s="71" t="b">
        <f>Proc[[#This Row],[Requested]]=Proc[[#This Row],[CurrentParent]]</f>
        <v>1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509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1833</v>
      </c>
      <c r="S506" s="71"/>
    </row>
    <row r="507" spans="1:19" hidden="1">
      <c r="A507" s="70" t="s">
        <v>1832</v>
      </c>
      <c r="B507" s="71" t="str">
        <f>IFERROR(VLOOKUP(Proc[[#This Row],[App]],Table2[],3,0),"open")</f>
        <v>ok</v>
      </c>
      <c r="C507" s="70" t="s">
        <v>369</v>
      </c>
      <c r="D507" t="s">
        <v>1983</v>
      </c>
      <c r="E507" s="70" t="s">
        <v>1986</v>
      </c>
      <c r="F507" s="105" t="s">
        <v>1986</v>
      </c>
      <c r="G507" s="70" t="s">
        <v>400</v>
      </c>
      <c r="H507" s="71" t="str">
        <f>IF(Proc[[#This Row],[type]]="LFF (MDG-F)",MID(Proc[[#This Row],[Obj]],13,10),"")</f>
        <v/>
      </c>
      <c r="I507" s="70" t="s">
        <v>1834</v>
      </c>
      <c r="J507" s="71" t="b">
        <f>Proc[[#This Row],[Requested]]=Proc[[#This Row],[CurrentParent]]</f>
        <v>1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509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1833</v>
      </c>
      <c r="S507" s="71"/>
    </row>
    <row r="508" spans="1:19" hidden="1">
      <c r="A508" s="70" t="s">
        <v>1832</v>
      </c>
      <c r="B508" s="71" t="str">
        <f>IFERROR(VLOOKUP(Proc[[#This Row],[App]],Table2[],3,0),"open")</f>
        <v>ok</v>
      </c>
      <c r="C508" s="70" t="s">
        <v>369</v>
      </c>
      <c r="D508" t="s">
        <v>1984</v>
      </c>
      <c r="E508" s="70" t="s">
        <v>1986</v>
      </c>
      <c r="F508" s="105" t="s">
        <v>1986</v>
      </c>
      <c r="G508" s="70" t="s">
        <v>400</v>
      </c>
      <c r="H508" s="71" t="str">
        <f>IF(Proc[[#This Row],[type]]="LFF (MDG-F)",MID(Proc[[#This Row],[Obj]],13,10),"")</f>
        <v/>
      </c>
      <c r="I508" s="70" t="s">
        <v>1834</v>
      </c>
      <c r="J508" s="71" t="b">
        <f>Proc[[#This Row],[Requested]]=Proc[[#This Row],[CurrentParent]]</f>
        <v>1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509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1833</v>
      </c>
      <c r="S508" s="71"/>
    </row>
    <row r="509" spans="1:19" hidden="1">
      <c r="A509" t="s">
        <v>1839</v>
      </c>
      <c r="B509" s="71" t="str">
        <f>IFERROR(VLOOKUP(Proc[[#This Row],[App]],Table2[],3,0),"open")</f>
        <v>ok</v>
      </c>
      <c r="C509" s="70" t="s">
        <v>369</v>
      </c>
      <c r="D509" t="s">
        <v>1835</v>
      </c>
      <c r="E509" t="s">
        <v>429</v>
      </c>
      <c r="F509" s="105" t="s">
        <v>429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1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509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1459</v>
      </c>
      <c r="S509" s="71"/>
    </row>
    <row r="510" spans="1:19" hidden="1">
      <c r="A510" s="70" t="s">
        <v>1839</v>
      </c>
      <c r="B510" s="71" t="str">
        <f>IFERROR(VLOOKUP(Proc[[#This Row],[App]],Table2[],3,0),"open")</f>
        <v>ok</v>
      </c>
      <c r="C510" s="70" t="s">
        <v>369</v>
      </c>
      <c r="D510" t="s">
        <v>1836</v>
      </c>
      <c r="E510" t="s">
        <v>1232</v>
      </c>
      <c r="F510" s="105" t="s">
        <v>1232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1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509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1459</v>
      </c>
      <c r="S510" s="71"/>
    </row>
    <row r="511" spans="1:19" hidden="1">
      <c r="A511" s="70" t="s">
        <v>1839</v>
      </c>
      <c r="B511" s="71" t="str">
        <f>IFERROR(VLOOKUP(Proc[[#This Row],[App]],Table2[],3,0),"open")</f>
        <v>ok</v>
      </c>
      <c r="C511" s="70" t="s">
        <v>369</v>
      </c>
      <c r="D511" t="s">
        <v>1837</v>
      </c>
      <c r="E511" t="s">
        <v>1232</v>
      </c>
      <c r="F511" s="105" t="s">
        <v>1232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1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509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1459</v>
      </c>
      <c r="S511" s="71"/>
    </row>
    <row r="512" spans="1:19" hidden="1">
      <c r="A512" s="70" t="s">
        <v>1839</v>
      </c>
      <c r="B512" s="71" t="str">
        <f>IFERROR(VLOOKUP(Proc[[#This Row],[App]],Table2[],3,0),"open")</f>
        <v>ok</v>
      </c>
      <c r="C512" s="70" t="s">
        <v>369</v>
      </c>
      <c r="D512" t="s">
        <v>1838</v>
      </c>
      <c r="E512" t="s">
        <v>1232</v>
      </c>
      <c r="F512" s="105" t="s">
        <v>1232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1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509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1459</v>
      </c>
      <c r="S512" s="71"/>
    </row>
    <row r="513" spans="1:19" hidden="1">
      <c r="A513" t="s">
        <v>1841</v>
      </c>
      <c r="B513" s="71" t="str">
        <f>IFERROR(VLOOKUP(Proc[[#This Row],[App]],Table2[],3,0),"open")</f>
        <v>ok</v>
      </c>
      <c r="C513" s="70" t="s">
        <v>369</v>
      </c>
      <c r="D513" t="s">
        <v>1840</v>
      </c>
      <c r="E513" t="s">
        <v>1842</v>
      </c>
      <c r="F513" s="105" t="s">
        <v>1842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1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509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1459</v>
      </c>
      <c r="S513" s="71"/>
    </row>
    <row r="514" spans="1:19" hidden="1">
      <c r="A514" t="s">
        <v>1843</v>
      </c>
      <c r="B514" s="71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5" t="s">
        <v>1942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1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509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515</v>
      </c>
      <c r="S514" s="71"/>
    </row>
    <row r="515" spans="1:19" hidden="1">
      <c r="A515" s="70" t="s">
        <v>1843</v>
      </c>
      <c r="B515" s="71" t="str">
        <f>IFERROR(VLOOKUP(Proc[[#This Row],[App]],Table2[],3,0),"open")</f>
        <v>ok</v>
      </c>
      <c r="C515" s="70" t="s">
        <v>369</v>
      </c>
      <c r="D515" t="s">
        <v>1845</v>
      </c>
      <c r="E515" t="s">
        <v>1943</v>
      </c>
      <c r="F515" s="105" t="s">
        <v>1943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1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509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515</v>
      </c>
      <c r="S515" s="71"/>
    </row>
    <row r="516" spans="1:19" hidden="1">
      <c r="A516" s="70" t="s">
        <v>1843</v>
      </c>
      <c r="B516" s="71" t="str">
        <f>IFERROR(VLOOKUP(Proc[[#This Row],[App]],Table2[],3,0),"open")</f>
        <v>ok</v>
      </c>
      <c r="C516" s="70" t="s">
        <v>369</v>
      </c>
      <c r="D516" t="s">
        <v>1846</v>
      </c>
      <c r="E516" t="s">
        <v>1943</v>
      </c>
      <c r="F516" s="105" t="s">
        <v>1943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1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509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515</v>
      </c>
      <c r="S516" s="71"/>
    </row>
    <row r="517" spans="1:19" hidden="1">
      <c r="A517" s="70" t="s">
        <v>1843</v>
      </c>
      <c r="B517" s="71" t="str">
        <f>IFERROR(VLOOKUP(Proc[[#This Row],[App]],Table2[],3,0),"open")</f>
        <v>ok</v>
      </c>
      <c r="C517" s="70" t="s">
        <v>369</v>
      </c>
      <c r="D517" t="s">
        <v>1847</v>
      </c>
      <c r="E517" t="s">
        <v>1944</v>
      </c>
      <c r="F517" s="105" t="s">
        <v>1944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1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509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515</v>
      </c>
      <c r="S517" s="71"/>
    </row>
    <row r="518" spans="1:19" hidden="1">
      <c r="A518" s="70" t="s">
        <v>1843</v>
      </c>
      <c r="B518" s="71" t="str">
        <f>IFERROR(VLOOKUP(Proc[[#This Row],[App]],Table2[],3,0),"open")</f>
        <v>ok</v>
      </c>
      <c r="C518" s="70" t="s">
        <v>369</v>
      </c>
      <c r="D518" t="s">
        <v>1848</v>
      </c>
      <c r="E518" t="s">
        <v>1944</v>
      </c>
      <c r="F518" s="105" t="s">
        <v>1944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1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509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515</v>
      </c>
      <c r="S518" s="71"/>
    </row>
    <row r="519" spans="1:19" hidden="1">
      <c r="A519" s="70" t="s">
        <v>1843</v>
      </c>
      <c r="B519" s="71" t="str">
        <f>IFERROR(VLOOKUP(Proc[[#This Row],[App]],Table2[],3,0),"open")</f>
        <v>ok</v>
      </c>
      <c r="C519" s="70" t="s">
        <v>369</v>
      </c>
      <c r="D519" t="s">
        <v>1849</v>
      </c>
      <c r="E519" t="s">
        <v>1945</v>
      </c>
      <c r="F519" s="105" t="s">
        <v>1945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1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509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515</v>
      </c>
      <c r="S519" s="71"/>
    </row>
    <row r="520" spans="1:19" hidden="1">
      <c r="A520" s="70" t="s">
        <v>1843</v>
      </c>
      <c r="B520" s="71" t="str">
        <f>IFERROR(VLOOKUP(Proc[[#This Row],[App]],Table2[],3,0),"open")</f>
        <v>ok</v>
      </c>
      <c r="C520" s="70" t="s">
        <v>369</v>
      </c>
      <c r="D520" t="s">
        <v>1850</v>
      </c>
      <c r="E520" t="s">
        <v>1946</v>
      </c>
      <c r="F520" s="105" t="s">
        <v>1946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1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509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515</v>
      </c>
      <c r="S520" s="71"/>
    </row>
    <row r="521" spans="1:19" hidden="1">
      <c r="A521" s="70" t="s">
        <v>1843</v>
      </c>
      <c r="B521" s="71" t="str">
        <f>IFERROR(VLOOKUP(Proc[[#This Row],[App]],Table2[],3,0),"open")</f>
        <v>ok</v>
      </c>
      <c r="C521" s="70" t="s">
        <v>369</v>
      </c>
      <c r="D521" t="s">
        <v>1851</v>
      </c>
      <c r="E521" t="s">
        <v>1946</v>
      </c>
      <c r="F521" s="105" t="s">
        <v>1946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1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509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515</v>
      </c>
      <c r="S521" s="71"/>
    </row>
    <row r="522" spans="1:19" hidden="1">
      <c r="A522" s="70" t="s">
        <v>1843</v>
      </c>
      <c r="B522" s="71" t="str">
        <f>IFERROR(VLOOKUP(Proc[[#This Row],[App]],Table2[],3,0),"open")</f>
        <v>ok</v>
      </c>
      <c r="C522" s="70" t="s">
        <v>369</v>
      </c>
      <c r="D522" t="s">
        <v>1852</v>
      </c>
      <c r="E522" t="s">
        <v>1947</v>
      </c>
      <c r="F522" s="105" t="s">
        <v>1947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1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509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515</v>
      </c>
      <c r="S522" s="71"/>
    </row>
    <row r="523" spans="1:19" hidden="1">
      <c r="A523" s="70" t="s">
        <v>1843</v>
      </c>
      <c r="B523" s="71" t="str">
        <f>IFERROR(VLOOKUP(Proc[[#This Row],[App]],Table2[],3,0),"open")</f>
        <v>ok</v>
      </c>
      <c r="C523" s="70" t="s">
        <v>369</v>
      </c>
      <c r="D523" t="s">
        <v>1853</v>
      </c>
      <c r="E523" t="s">
        <v>1946</v>
      </c>
      <c r="F523" s="105" t="s">
        <v>1946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1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509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515</v>
      </c>
      <c r="S523" s="71"/>
    </row>
    <row r="524" spans="1:19" hidden="1">
      <c r="A524" s="70" t="s">
        <v>1843</v>
      </c>
      <c r="B524" s="71" t="str">
        <f>IFERROR(VLOOKUP(Proc[[#This Row],[App]],Table2[],3,0),"open")</f>
        <v>ok</v>
      </c>
      <c r="C524" s="70" t="s">
        <v>369</v>
      </c>
      <c r="D524" t="s">
        <v>1854</v>
      </c>
      <c r="E524" t="s">
        <v>1946</v>
      </c>
      <c r="F524" s="105" t="s">
        <v>1946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1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509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515</v>
      </c>
      <c r="S524" s="71"/>
    </row>
    <row r="525" spans="1:19" hidden="1">
      <c r="A525" s="70" t="s">
        <v>1843</v>
      </c>
      <c r="B525" s="71" t="str">
        <f>IFERROR(VLOOKUP(Proc[[#This Row],[App]],Table2[],3,0),"open")</f>
        <v>ok</v>
      </c>
      <c r="C525" s="70" t="s">
        <v>369</v>
      </c>
      <c r="D525" t="s">
        <v>1855</v>
      </c>
      <c r="E525" t="s">
        <v>1946</v>
      </c>
      <c r="F525" s="105" t="s">
        <v>1946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1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509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515</v>
      </c>
      <c r="S525" s="71"/>
    </row>
    <row r="526" spans="1:19" hidden="1">
      <c r="A526" s="70" t="s">
        <v>1843</v>
      </c>
      <c r="B526" s="71" t="str">
        <f>IFERROR(VLOOKUP(Proc[[#This Row],[App]],Table2[],3,0),"open")</f>
        <v>ok</v>
      </c>
      <c r="C526" s="70" t="s">
        <v>369</v>
      </c>
      <c r="D526" t="s">
        <v>1856</v>
      </c>
      <c r="E526" t="s">
        <v>1948</v>
      </c>
      <c r="F526" s="105" t="s">
        <v>1948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1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509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515</v>
      </c>
      <c r="S526" s="71"/>
    </row>
    <row r="527" spans="1:19" hidden="1">
      <c r="A527" s="70" t="s">
        <v>1843</v>
      </c>
      <c r="B527" s="71" t="str">
        <f>IFERROR(VLOOKUP(Proc[[#This Row],[App]],Table2[],3,0),"open")</f>
        <v>ok</v>
      </c>
      <c r="C527" s="70" t="s">
        <v>369</v>
      </c>
      <c r="D527" t="s">
        <v>1857</v>
      </c>
      <c r="E527" t="s">
        <v>1948</v>
      </c>
      <c r="F527" s="105" t="s">
        <v>1948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1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509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515</v>
      </c>
      <c r="S527" s="71"/>
    </row>
    <row r="528" spans="1:19" hidden="1">
      <c r="A528" s="70" t="s">
        <v>1843</v>
      </c>
      <c r="B528" s="71" t="str">
        <f>IFERROR(VLOOKUP(Proc[[#This Row],[App]],Table2[],3,0),"open")</f>
        <v>ok</v>
      </c>
      <c r="C528" s="70" t="s">
        <v>369</v>
      </c>
      <c r="D528" t="s">
        <v>1858</v>
      </c>
      <c r="E528" t="s">
        <v>1949</v>
      </c>
      <c r="F528" s="105" t="s">
        <v>1949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1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509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515</v>
      </c>
      <c r="S528" s="71"/>
    </row>
    <row r="529" spans="1:19" hidden="1">
      <c r="A529" s="70" t="s">
        <v>1843</v>
      </c>
      <c r="B529" s="71" t="str">
        <f>IFERROR(VLOOKUP(Proc[[#This Row],[App]],Table2[],3,0),"open")</f>
        <v>ok</v>
      </c>
      <c r="C529" s="70" t="s">
        <v>369</v>
      </c>
      <c r="D529" t="s">
        <v>1859</v>
      </c>
      <c r="E529" t="s">
        <v>1948</v>
      </c>
      <c r="F529" s="105" t="s">
        <v>1948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1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509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515</v>
      </c>
      <c r="S529" s="71"/>
    </row>
    <row r="530" spans="1:19" hidden="1">
      <c r="A530" s="70" t="s">
        <v>1843</v>
      </c>
      <c r="B530" s="71" t="str">
        <f>IFERROR(VLOOKUP(Proc[[#This Row],[App]],Table2[],3,0),"open")</f>
        <v>ok</v>
      </c>
      <c r="C530" s="70" t="s">
        <v>369</v>
      </c>
      <c r="D530" t="s">
        <v>1860</v>
      </c>
      <c r="E530" t="s">
        <v>1950</v>
      </c>
      <c r="F530" s="105" t="s">
        <v>1950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1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509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515</v>
      </c>
      <c r="S530" s="71"/>
    </row>
    <row r="531" spans="1:19" hidden="1">
      <c r="A531" s="70" t="s">
        <v>1843</v>
      </c>
      <c r="B531" s="71" t="str">
        <f>IFERROR(VLOOKUP(Proc[[#This Row],[App]],Table2[],3,0),"open")</f>
        <v>ok</v>
      </c>
      <c r="C531" s="70" t="s">
        <v>369</v>
      </c>
      <c r="D531" t="s">
        <v>1861</v>
      </c>
      <c r="E531" t="s">
        <v>1951</v>
      </c>
      <c r="F531" s="105" t="s">
        <v>1951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1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509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515</v>
      </c>
      <c r="S531" s="71"/>
    </row>
    <row r="532" spans="1:19" hidden="1">
      <c r="A532" s="70" t="s">
        <v>1843</v>
      </c>
      <c r="B532" s="71" t="str">
        <f>IFERROR(VLOOKUP(Proc[[#This Row],[App]],Table2[],3,0),"open")</f>
        <v>ok</v>
      </c>
      <c r="C532" s="70" t="s">
        <v>369</v>
      </c>
      <c r="D532" t="s">
        <v>1862</v>
      </c>
      <c r="E532" t="s">
        <v>1951</v>
      </c>
      <c r="F532" s="105" t="s">
        <v>1951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1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509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515</v>
      </c>
      <c r="S532" s="71"/>
    </row>
    <row r="533" spans="1:19" hidden="1">
      <c r="A533" s="70" t="s">
        <v>1843</v>
      </c>
      <c r="B533" s="71" t="str">
        <f>IFERROR(VLOOKUP(Proc[[#This Row],[App]],Table2[],3,0),"open")</f>
        <v>ok</v>
      </c>
      <c r="C533" s="70" t="s">
        <v>369</v>
      </c>
      <c r="D533" t="s">
        <v>1863</v>
      </c>
      <c r="E533" t="s">
        <v>1951</v>
      </c>
      <c r="F533" s="105" t="s">
        <v>1951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1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509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515</v>
      </c>
      <c r="S533" s="71"/>
    </row>
    <row r="534" spans="1:19" hidden="1">
      <c r="A534" s="70" t="s">
        <v>1843</v>
      </c>
      <c r="B534" s="71" t="str">
        <f>IFERROR(VLOOKUP(Proc[[#This Row],[App]],Table2[],3,0),"open")</f>
        <v>ok</v>
      </c>
      <c r="C534" s="70" t="s">
        <v>369</v>
      </c>
      <c r="D534" t="s">
        <v>1864</v>
      </c>
      <c r="E534" t="s">
        <v>1951</v>
      </c>
      <c r="F534" s="105" t="s">
        <v>1951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1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509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515</v>
      </c>
      <c r="S534" s="71"/>
    </row>
    <row r="535" spans="1:19" hidden="1">
      <c r="A535" s="70" t="s">
        <v>1843</v>
      </c>
      <c r="B535" s="71" t="str">
        <f>IFERROR(VLOOKUP(Proc[[#This Row],[App]],Table2[],3,0),"open")</f>
        <v>ok</v>
      </c>
      <c r="C535" s="70" t="s">
        <v>369</v>
      </c>
      <c r="D535" t="s">
        <v>1865</v>
      </c>
      <c r="E535" t="s">
        <v>1951</v>
      </c>
      <c r="F535" s="105" t="s">
        <v>1951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1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509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515</v>
      </c>
      <c r="S535" s="71"/>
    </row>
    <row r="536" spans="1:19" hidden="1">
      <c r="A536" s="70" t="s">
        <v>1843</v>
      </c>
      <c r="B536" s="71" t="str">
        <f>IFERROR(VLOOKUP(Proc[[#This Row],[App]],Table2[],3,0),"open")</f>
        <v>ok</v>
      </c>
      <c r="C536" s="70" t="s">
        <v>369</v>
      </c>
      <c r="D536" t="s">
        <v>1866</v>
      </c>
      <c r="E536" t="s">
        <v>1952</v>
      </c>
      <c r="F536" s="105" t="s">
        <v>1952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1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509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515</v>
      </c>
      <c r="S536" s="71"/>
    </row>
    <row r="537" spans="1:19" hidden="1">
      <c r="A537" s="70" t="s">
        <v>1843</v>
      </c>
      <c r="B537" s="71" t="str">
        <f>IFERROR(VLOOKUP(Proc[[#This Row],[App]],Table2[],3,0),"open")</f>
        <v>ok</v>
      </c>
      <c r="C537" s="70" t="s">
        <v>369</v>
      </c>
      <c r="D537" t="s">
        <v>1867</v>
      </c>
      <c r="E537" t="s">
        <v>1952</v>
      </c>
      <c r="F537" s="105" t="s">
        <v>1952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1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509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515</v>
      </c>
      <c r="S537" s="71"/>
    </row>
    <row r="538" spans="1:19" hidden="1">
      <c r="A538" s="70" t="s">
        <v>1843</v>
      </c>
      <c r="B538" s="71" t="str">
        <f>IFERROR(VLOOKUP(Proc[[#This Row],[App]],Table2[],3,0),"open")</f>
        <v>ok</v>
      </c>
      <c r="C538" s="70" t="s">
        <v>369</v>
      </c>
      <c r="D538" t="s">
        <v>1868</v>
      </c>
      <c r="E538" t="s">
        <v>1952</v>
      </c>
      <c r="F538" s="105" t="s">
        <v>1952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1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509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515</v>
      </c>
      <c r="S538" s="71"/>
    </row>
    <row r="539" spans="1:19" hidden="1">
      <c r="A539" s="70" t="s">
        <v>1843</v>
      </c>
      <c r="B539" s="71" t="str">
        <f>IFERROR(VLOOKUP(Proc[[#This Row],[App]],Table2[],3,0),"open")</f>
        <v>ok</v>
      </c>
      <c r="C539" s="70" t="s">
        <v>369</v>
      </c>
      <c r="D539" t="s">
        <v>1869</v>
      </c>
      <c r="E539" t="s">
        <v>1952</v>
      </c>
      <c r="F539" s="105" t="s">
        <v>1952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1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509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515</v>
      </c>
      <c r="S539" s="71"/>
    </row>
    <row r="540" spans="1:19" hidden="1">
      <c r="A540" s="70" t="s">
        <v>1843</v>
      </c>
      <c r="B540" s="71" t="str">
        <f>IFERROR(VLOOKUP(Proc[[#This Row],[App]],Table2[],3,0),"open")</f>
        <v>ok</v>
      </c>
      <c r="C540" s="70" t="s">
        <v>377</v>
      </c>
      <c r="D540" t="s">
        <v>1870</v>
      </c>
      <c r="E540" t="s">
        <v>1952</v>
      </c>
      <c r="F540" s="105" t="s">
        <v>1952</v>
      </c>
      <c r="G540" t="s">
        <v>400</v>
      </c>
      <c r="H540" s="71" t="str">
        <f>IF(Proc[[#This Row],[type]]="LFF (MDG-F)",MID(Proc[[#This Row],[Obj]],13,10),"")</f>
        <v/>
      </c>
      <c r="I540" t="s">
        <v>1975</v>
      </c>
      <c r="J540" s="71" t="b">
        <f>Proc[[#This Row],[Requested]]=Proc[[#This Row],[CurrentParent]]</f>
        <v>1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509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515</v>
      </c>
      <c r="S540" s="71"/>
    </row>
    <row r="541" spans="1:19" hidden="1">
      <c r="A541" s="70" t="s">
        <v>1843</v>
      </c>
      <c r="B541" s="71" t="str">
        <f>IFERROR(VLOOKUP(Proc[[#This Row],[App]],Table2[],3,0),"open")</f>
        <v>ok</v>
      </c>
      <c r="C541" s="70" t="s">
        <v>369</v>
      </c>
      <c r="D541" t="s">
        <v>1871</v>
      </c>
      <c r="E541" t="s">
        <v>1952</v>
      </c>
      <c r="F541" s="105" t="s">
        <v>1952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1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509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515</v>
      </c>
      <c r="S541" s="71"/>
    </row>
    <row r="542" spans="1:19" hidden="1">
      <c r="A542" s="70" t="s">
        <v>1843</v>
      </c>
      <c r="B542" s="71" t="str">
        <f>IFERROR(VLOOKUP(Proc[[#This Row],[App]],Table2[],3,0),"open")</f>
        <v>ok</v>
      </c>
      <c r="C542" s="70" t="s">
        <v>369</v>
      </c>
      <c r="D542" t="s">
        <v>1872</v>
      </c>
      <c r="E542" t="s">
        <v>1953</v>
      </c>
      <c r="F542" s="105" t="s">
        <v>1953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1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509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515</v>
      </c>
      <c r="S542" s="71"/>
    </row>
    <row r="543" spans="1:19" hidden="1">
      <c r="A543" s="70" t="s">
        <v>1843</v>
      </c>
      <c r="B543" s="71" t="str">
        <f>IFERROR(VLOOKUP(Proc[[#This Row],[App]],Table2[],3,0),"open")</f>
        <v>ok</v>
      </c>
      <c r="C543" s="70" t="s">
        <v>369</v>
      </c>
      <c r="D543" t="s">
        <v>1873</v>
      </c>
      <c r="E543" t="s">
        <v>1953</v>
      </c>
      <c r="F543" s="105" t="s">
        <v>1953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1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509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515</v>
      </c>
      <c r="S543" s="71"/>
    </row>
    <row r="544" spans="1:19" hidden="1">
      <c r="A544" s="70" t="s">
        <v>1843</v>
      </c>
      <c r="B544" s="71" t="str">
        <f>IFERROR(VLOOKUP(Proc[[#This Row],[App]],Table2[],3,0),"open")</f>
        <v>ok</v>
      </c>
      <c r="C544" s="70" t="s">
        <v>369</v>
      </c>
      <c r="D544" t="s">
        <v>1874</v>
      </c>
      <c r="E544" t="s">
        <v>1953</v>
      </c>
      <c r="F544" s="105" t="s">
        <v>1953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1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509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515</v>
      </c>
      <c r="S544" s="71"/>
    </row>
    <row r="545" spans="1:19" hidden="1">
      <c r="A545" s="70" t="s">
        <v>1843</v>
      </c>
      <c r="B545" s="71" t="str">
        <f>IFERROR(VLOOKUP(Proc[[#This Row],[App]],Table2[],3,0),"open")</f>
        <v>ok</v>
      </c>
      <c r="C545" s="70" t="s">
        <v>369</v>
      </c>
      <c r="D545" t="s">
        <v>1875</v>
      </c>
      <c r="E545" t="s">
        <v>1953</v>
      </c>
      <c r="F545" s="105" t="s">
        <v>1953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1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509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515</v>
      </c>
      <c r="S545" s="71"/>
    </row>
    <row r="546" spans="1:19" hidden="1">
      <c r="A546" s="70" t="s">
        <v>1843</v>
      </c>
      <c r="B546" s="71" t="str">
        <f>IFERROR(VLOOKUP(Proc[[#This Row],[App]],Table2[],3,0),"open")</f>
        <v>ok</v>
      </c>
      <c r="C546" s="70" t="s">
        <v>369</v>
      </c>
      <c r="D546" t="s">
        <v>1876</v>
      </c>
      <c r="E546" t="s">
        <v>1953</v>
      </c>
      <c r="F546" s="105" t="s">
        <v>1953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1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509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515</v>
      </c>
      <c r="S546" s="71"/>
    </row>
    <row r="547" spans="1:19" hidden="1">
      <c r="A547" s="70" t="s">
        <v>1843</v>
      </c>
      <c r="B547" s="71" t="str">
        <f>IFERROR(VLOOKUP(Proc[[#This Row],[App]],Table2[],3,0),"open")</f>
        <v>ok</v>
      </c>
      <c r="C547" s="70" t="s">
        <v>369</v>
      </c>
      <c r="D547" t="s">
        <v>1877</v>
      </c>
      <c r="E547" t="s">
        <v>1953</v>
      </c>
      <c r="F547" s="105" t="s">
        <v>1953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1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509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515</v>
      </c>
      <c r="S547" s="71"/>
    </row>
    <row r="548" spans="1:19" hidden="1">
      <c r="A548" s="70" t="s">
        <v>1843</v>
      </c>
      <c r="B548" s="71" t="str">
        <f>IFERROR(VLOOKUP(Proc[[#This Row],[App]],Table2[],3,0),"open")</f>
        <v>ok</v>
      </c>
      <c r="C548" s="70" t="s">
        <v>369</v>
      </c>
      <c r="D548" t="s">
        <v>1878</v>
      </c>
      <c r="E548" t="s">
        <v>1953</v>
      </c>
      <c r="F548" s="105" t="s">
        <v>1953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1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509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515</v>
      </c>
      <c r="S548" s="71"/>
    </row>
    <row r="549" spans="1:19" hidden="1">
      <c r="A549" s="70" t="s">
        <v>1843</v>
      </c>
      <c r="B549" s="71" t="str">
        <f>IFERROR(VLOOKUP(Proc[[#This Row],[App]],Table2[],3,0),"open")</f>
        <v>ok</v>
      </c>
      <c r="C549" s="70" t="s">
        <v>369</v>
      </c>
      <c r="D549" t="s">
        <v>1879</v>
      </c>
      <c r="E549" t="s">
        <v>1954</v>
      </c>
      <c r="F549" s="105" t="s">
        <v>1954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1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509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515</v>
      </c>
      <c r="S549" s="71"/>
    </row>
    <row r="550" spans="1:19" hidden="1">
      <c r="A550" s="70" t="s">
        <v>1843</v>
      </c>
      <c r="B550" s="71" t="str">
        <f>IFERROR(VLOOKUP(Proc[[#This Row],[App]],Table2[],3,0),"open")</f>
        <v>ok</v>
      </c>
      <c r="C550" s="70" t="s">
        <v>369</v>
      </c>
      <c r="D550" t="s">
        <v>1880</v>
      </c>
      <c r="E550" t="s">
        <v>1954</v>
      </c>
      <c r="F550" s="105" t="s">
        <v>1954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1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509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515</v>
      </c>
      <c r="S550" s="71"/>
    </row>
    <row r="551" spans="1:19" hidden="1">
      <c r="A551" s="70" t="s">
        <v>1843</v>
      </c>
      <c r="B551" s="71" t="str">
        <f>IFERROR(VLOOKUP(Proc[[#This Row],[App]],Table2[],3,0),"open")</f>
        <v>ok</v>
      </c>
      <c r="C551" s="70" t="s">
        <v>369</v>
      </c>
      <c r="D551" t="s">
        <v>1881</v>
      </c>
      <c r="E551" t="s">
        <v>1954</v>
      </c>
      <c r="F551" s="105" t="s">
        <v>1954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1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509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515</v>
      </c>
      <c r="S551" s="71"/>
    </row>
    <row r="552" spans="1:19" hidden="1">
      <c r="A552" s="70" t="s">
        <v>1843</v>
      </c>
      <c r="B552" s="71" t="str">
        <f>IFERROR(VLOOKUP(Proc[[#This Row],[App]],Table2[],3,0),"open")</f>
        <v>ok</v>
      </c>
      <c r="C552" s="70" t="s">
        <v>369</v>
      </c>
      <c r="D552" t="s">
        <v>1882</v>
      </c>
      <c r="E552" t="s">
        <v>1954</v>
      </c>
      <c r="F552" s="105" t="s">
        <v>1954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1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509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515</v>
      </c>
      <c r="S552" s="71"/>
    </row>
    <row r="553" spans="1:19" hidden="1">
      <c r="A553" s="70" t="s">
        <v>1843</v>
      </c>
      <c r="B553" s="71" t="str">
        <f>IFERROR(VLOOKUP(Proc[[#This Row],[App]],Table2[],3,0),"open")</f>
        <v>ok</v>
      </c>
      <c r="C553" s="70" t="s">
        <v>369</v>
      </c>
      <c r="D553" t="s">
        <v>1883</v>
      </c>
      <c r="E553" t="s">
        <v>1954</v>
      </c>
      <c r="F553" s="105" t="s">
        <v>1954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1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509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515</v>
      </c>
      <c r="S553" s="71"/>
    </row>
    <row r="554" spans="1:19" hidden="1">
      <c r="A554" s="70" t="s">
        <v>1843</v>
      </c>
      <c r="B554" s="71" t="str">
        <f>IFERROR(VLOOKUP(Proc[[#This Row],[App]],Table2[],3,0),"open")</f>
        <v>ok</v>
      </c>
      <c r="C554" s="70" t="s">
        <v>369</v>
      </c>
      <c r="D554" t="s">
        <v>1884</v>
      </c>
      <c r="E554" t="s">
        <v>1954</v>
      </c>
      <c r="F554" s="105" t="s">
        <v>1954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1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509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515</v>
      </c>
      <c r="S554" s="71"/>
    </row>
    <row r="555" spans="1:19" hidden="1">
      <c r="A555" s="70" t="s">
        <v>1843</v>
      </c>
      <c r="B555" s="71" t="str">
        <f>IFERROR(VLOOKUP(Proc[[#This Row],[App]],Table2[],3,0),"open")</f>
        <v>ok</v>
      </c>
      <c r="C555" s="70" t="s">
        <v>369</v>
      </c>
      <c r="D555" t="s">
        <v>1885</v>
      </c>
      <c r="E555" t="s">
        <v>1954</v>
      </c>
      <c r="F555" s="105" t="s">
        <v>1954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1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509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515</v>
      </c>
      <c r="S555" s="71"/>
    </row>
    <row r="556" spans="1:19" hidden="1">
      <c r="A556" s="70" t="s">
        <v>1843</v>
      </c>
      <c r="B556" s="71" t="str">
        <f>IFERROR(VLOOKUP(Proc[[#This Row],[App]],Table2[],3,0),"open")</f>
        <v>ok</v>
      </c>
      <c r="C556" s="70" t="s">
        <v>369</v>
      </c>
      <c r="D556" t="s">
        <v>1886</v>
      </c>
      <c r="E556" t="s">
        <v>1954</v>
      </c>
      <c r="F556" s="105" t="s">
        <v>1954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1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509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515</v>
      </c>
      <c r="S556" s="71"/>
    </row>
    <row r="557" spans="1:19" hidden="1">
      <c r="A557" s="70" t="s">
        <v>1843</v>
      </c>
      <c r="B557" s="71" t="str">
        <f>IFERROR(VLOOKUP(Proc[[#This Row],[App]],Table2[],3,0),"open")</f>
        <v>ok</v>
      </c>
      <c r="C557" s="70" t="s">
        <v>369</v>
      </c>
      <c r="D557" t="s">
        <v>1887</v>
      </c>
      <c r="E557" t="s">
        <v>1954</v>
      </c>
      <c r="F557" s="105" t="s">
        <v>1954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1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509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515</v>
      </c>
      <c r="S557" s="71"/>
    </row>
    <row r="558" spans="1:19" hidden="1">
      <c r="A558" s="70" t="s">
        <v>1843</v>
      </c>
      <c r="B558" s="71" t="str">
        <f>IFERROR(VLOOKUP(Proc[[#This Row],[App]],Table2[],3,0),"open")</f>
        <v>ok</v>
      </c>
      <c r="C558" s="70" t="s">
        <v>369</v>
      </c>
      <c r="D558" t="s">
        <v>1888</v>
      </c>
      <c r="E558" t="s">
        <v>1954</v>
      </c>
      <c r="F558" s="105" t="s">
        <v>1954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1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509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515</v>
      </c>
      <c r="S558" s="71"/>
    </row>
    <row r="559" spans="1:19" hidden="1">
      <c r="A559" s="70" t="s">
        <v>1843</v>
      </c>
      <c r="B559" s="71" t="str">
        <f>IFERROR(VLOOKUP(Proc[[#This Row],[App]],Table2[],3,0),"open")</f>
        <v>ok</v>
      </c>
      <c r="C559" s="70" t="s">
        <v>369</v>
      </c>
      <c r="D559" t="s">
        <v>1889</v>
      </c>
      <c r="E559" t="s">
        <v>1954</v>
      </c>
      <c r="F559" s="105" t="s">
        <v>1954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1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509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515</v>
      </c>
      <c r="S559" s="71"/>
    </row>
    <row r="560" spans="1:19" hidden="1">
      <c r="A560" s="70" t="s">
        <v>1843</v>
      </c>
      <c r="B560" s="71" t="str">
        <f>IFERROR(VLOOKUP(Proc[[#This Row],[App]],Table2[],3,0),"open")</f>
        <v>ok</v>
      </c>
      <c r="C560" s="70" t="s">
        <v>369</v>
      </c>
      <c r="D560" t="s">
        <v>1890</v>
      </c>
      <c r="E560" t="s">
        <v>1955</v>
      </c>
      <c r="F560" s="105" t="s">
        <v>1955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1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509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515</v>
      </c>
      <c r="S560" s="71"/>
    </row>
    <row r="561" spans="1:19" hidden="1">
      <c r="A561" s="70" t="s">
        <v>1843</v>
      </c>
      <c r="B561" s="71" t="str">
        <f>IFERROR(VLOOKUP(Proc[[#This Row],[App]],Table2[],3,0),"open")</f>
        <v>ok</v>
      </c>
      <c r="C561" s="70" t="s">
        <v>369</v>
      </c>
      <c r="D561" t="s">
        <v>1891</v>
      </c>
      <c r="E561" t="s">
        <v>1955</v>
      </c>
      <c r="F561" s="105" t="s">
        <v>1955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1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509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515</v>
      </c>
      <c r="S561" s="71"/>
    </row>
    <row r="562" spans="1:19" hidden="1">
      <c r="A562" s="70" t="s">
        <v>1843</v>
      </c>
      <c r="B562" s="71" t="str">
        <f>IFERROR(VLOOKUP(Proc[[#This Row],[App]],Table2[],3,0),"open")</f>
        <v>ok</v>
      </c>
      <c r="C562" s="70" t="s">
        <v>369</v>
      </c>
      <c r="D562" t="s">
        <v>1892</v>
      </c>
      <c r="E562" t="s">
        <v>1955</v>
      </c>
      <c r="F562" s="105" t="s">
        <v>1955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1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509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515</v>
      </c>
      <c r="S562" s="71"/>
    </row>
    <row r="563" spans="1:19" hidden="1">
      <c r="A563" s="70" t="s">
        <v>1843</v>
      </c>
      <c r="B563" s="71" t="str">
        <f>IFERROR(VLOOKUP(Proc[[#This Row],[App]],Table2[],3,0),"open")</f>
        <v>ok</v>
      </c>
      <c r="C563" s="70" t="s">
        <v>369</v>
      </c>
      <c r="D563" t="s">
        <v>1893</v>
      </c>
      <c r="E563" t="s">
        <v>1955</v>
      </c>
      <c r="F563" s="105" t="s">
        <v>1955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1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509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515</v>
      </c>
      <c r="S563" s="71"/>
    </row>
    <row r="564" spans="1:19" hidden="1">
      <c r="A564" s="70" t="s">
        <v>1843</v>
      </c>
      <c r="B564" s="71" t="str">
        <f>IFERROR(VLOOKUP(Proc[[#This Row],[App]],Table2[],3,0),"open")</f>
        <v>ok</v>
      </c>
      <c r="C564" s="70" t="s">
        <v>369</v>
      </c>
      <c r="D564" t="s">
        <v>1894</v>
      </c>
      <c r="E564" t="s">
        <v>1955</v>
      </c>
      <c r="F564" s="105" t="s">
        <v>1955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1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509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515</v>
      </c>
      <c r="S564" s="71"/>
    </row>
    <row r="565" spans="1:19" hidden="1">
      <c r="A565" s="70" t="s">
        <v>1843</v>
      </c>
      <c r="B565" s="71" t="str">
        <f>IFERROR(VLOOKUP(Proc[[#This Row],[App]],Table2[],3,0),"open")</f>
        <v>ok</v>
      </c>
      <c r="C565" s="70" t="s">
        <v>369</v>
      </c>
      <c r="D565" t="s">
        <v>1895</v>
      </c>
      <c r="E565" t="s">
        <v>1956</v>
      </c>
      <c r="F565" s="105" t="s">
        <v>1956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1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509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515</v>
      </c>
      <c r="S565" s="71"/>
    </row>
    <row r="566" spans="1:19" hidden="1">
      <c r="A566" s="70" t="s">
        <v>1843</v>
      </c>
      <c r="B566" s="71" t="str">
        <f>IFERROR(VLOOKUP(Proc[[#This Row],[App]],Table2[],3,0),"open")</f>
        <v>ok</v>
      </c>
      <c r="C566" s="70" t="s">
        <v>369</v>
      </c>
      <c r="D566" t="s">
        <v>1896</v>
      </c>
      <c r="E566" t="s">
        <v>1956</v>
      </c>
      <c r="F566" s="105" t="s">
        <v>1956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1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509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515</v>
      </c>
      <c r="S566" s="71"/>
    </row>
    <row r="567" spans="1:19" hidden="1">
      <c r="A567" s="70" t="s">
        <v>1843</v>
      </c>
      <c r="B567" s="71" t="str">
        <f>IFERROR(VLOOKUP(Proc[[#This Row],[App]],Table2[],3,0),"open")</f>
        <v>ok</v>
      </c>
      <c r="C567" s="70" t="s">
        <v>369</v>
      </c>
      <c r="D567" t="s">
        <v>1897</v>
      </c>
      <c r="E567" t="s">
        <v>1956</v>
      </c>
      <c r="F567" s="105" t="s">
        <v>1956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1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509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515</v>
      </c>
      <c r="S567" s="71"/>
    </row>
    <row r="568" spans="1:19" hidden="1">
      <c r="A568" s="70" t="s">
        <v>1843</v>
      </c>
      <c r="B568" s="71" t="str">
        <f>IFERROR(VLOOKUP(Proc[[#This Row],[App]],Table2[],3,0),"open")</f>
        <v>ok</v>
      </c>
      <c r="C568" s="70" t="s">
        <v>369</v>
      </c>
      <c r="D568" t="s">
        <v>1898</v>
      </c>
      <c r="E568" t="s">
        <v>1956</v>
      </c>
      <c r="F568" s="105" t="s">
        <v>1956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1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509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515</v>
      </c>
      <c r="S568" s="71"/>
    </row>
    <row r="569" spans="1:19" hidden="1">
      <c r="A569" s="70" t="s">
        <v>1843</v>
      </c>
      <c r="B569" s="71" t="str">
        <f>IFERROR(VLOOKUP(Proc[[#This Row],[App]],Table2[],3,0),"open")</f>
        <v>ok</v>
      </c>
      <c r="C569" s="70" t="s">
        <v>369</v>
      </c>
      <c r="D569" t="s">
        <v>1899</v>
      </c>
      <c r="E569" t="s">
        <v>1956</v>
      </c>
      <c r="F569" s="105" t="s">
        <v>1956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1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509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515</v>
      </c>
      <c r="S569" s="71"/>
    </row>
    <row r="570" spans="1:19" hidden="1">
      <c r="A570" s="70" t="s">
        <v>1843</v>
      </c>
      <c r="B570" s="71" t="str">
        <f>IFERROR(VLOOKUP(Proc[[#This Row],[App]],Table2[],3,0),"open")</f>
        <v>ok</v>
      </c>
      <c r="C570" s="70" t="s">
        <v>369</v>
      </c>
      <c r="D570" t="s">
        <v>1900</v>
      </c>
      <c r="E570" t="s">
        <v>1956</v>
      </c>
      <c r="F570" s="105" t="s">
        <v>1956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1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509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515</v>
      </c>
      <c r="S570" s="71"/>
    </row>
    <row r="571" spans="1:19" hidden="1">
      <c r="A571" s="70" t="s">
        <v>1843</v>
      </c>
      <c r="B571" s="71" t="str">
        <f>IFERROR(VLOOKUP(Proc[[#This Row],[App]],Table2[],3,0),"open")</f>
        <v>ok</v>
      </c>
      <c r="C571" s="70" t="s">
        <v>369</v>
      </c>
      <c r="D571" t="s">
        <v>1901</v>
      </c>
      <c r="E571" t="s">
        <v>1956</v>
      </c>
      <c r="F571" s="105" t="s">
        <v>1956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1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509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515</v>
      </c>
      <c r="S571" s="71"/>
    </row>
    <row r="572" spans="1:19" hidden="1">
      <c r="A572" s="70" t="s">
        <v>1843</v>
      </c>
      <c r="B572" s="71" t="str">
        <f>IFERROR(VLOOKUP(Proc[[#This Row],[App]],Table2[],3,0),"open")</f>
        <v>ok</v>
      </c>
      <c r="C572" s="70" t="s">
        <v>369</v>
      </c>
      <c r="D572" t="s">
        <v>1902</v>
      </c>
      <c r="E572" t="s">
        <v>1956</v>
      </c>
      <c r="F572" s="105" t="s">
        <v>1956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1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509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515</v>
      </c>
      <c r="S572" s="71"/>
    </row>
    <row r="573" spans="1:19" hidden="1">
      <c r="A573" s="70" t="s">
        <v>1843</v>
      </c>
      <c r="B573" s="71" t="str">
        <f>IFERROR(VLOOKUP(Proc[[#This Row],[App]],Table2[],3,0),"open")</f>
        <v>ok</v>
      </c>
      <c r="C573" s="70" t="s">
        <v>369</v>
      </c>
      <c r="D573" t="s">
        <v>1903</v>
      </c>
      <c r="E573" t="s">
        <v>1956</v>
      </c>
      <c r="F573" s="105" t="s">
        <v>1956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1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509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515</v>
      </c>
      <c r="S573" s="71"/>
    </row>
    <row r="574" spans="1:19" hidden="1">
      <c r="A574" s="70" t="s">
        <v>1843</v>
      </c>
      <c r="B574" s="71" t="str">
        <f>IFERROR(VLOOKUP(Proc[[#This Row],[App]],Table2[],3,0),"open")</f>
        <v>ok</v>
      </c>
      <c r="C574" s="70" t="s">
        <v>369</v>
      </c>
      <c r="D574" t="s">
        <v>1904</v>
      </c>
      <c r="E574" t="s">
        <v>1956</v>
      </c>
      <c r="F574" s="105" t="s">
        <v>1956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1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509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515</v>
      </c>
      <c r="S574" s="71"/>
    </row>
    <row r="575" spans="1:19" hidden="1">
      <c r="A575" s="70" t="s">
        <v>1843</v>
      </c>
      <c r="B575" s="71" t="str">
        <f>IFERROR(VLOOKUP(Proc[[#This Row],[App]],Table2[],3,0),"open")</f>
        <v>ok</v>
      </c>
      <c r="C575" s="70" t="s">
        <v>369</v>
      </c>
      <c r="D575" t="s">
        <v>1905</v>
      </c>
      <c r="E575" t="s">
        <v>1956</v>
      </c>
      <c r="F575" s="105" t="s">
        <v>1956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1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509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515</v>
      </c>
      <c r="S575" s="71"/>
    </row>
    <row r="576" spans="1:19" hidden="1">
      <c r="A576" s="70" t="s">
        <v>1843</v>
      </c>
      <c r="B576" s="71" t="str">
        <f>IFERROR(VLOOKUP(Proc[[#This Row],[App]],Table2[],3,0),"open")</f>
        <v>ok</v>
      </c>
      <c r="C576" s="70" t="s">
        <v>369</v>
      </c>
      <c r="D576" t="s">
        <v>1906</v>
      </c>
      <c r="E576" t="s">
        <v>1956</v>
      </c>
      <c r="F576" s="105" t="s">
        <v>1956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1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509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515</v>
      </c>
      <c r="S576" s="71"/>
    </row>
    <row r="577" spans="1:19" hidden="1">
      <c r="A577" s="70" t="s">
        <v>1843</v>
      </c>
      <c r="B577" s="71" t="str">
        <f>IFERROR(VLOOKUP(Proc[[#This Row],[App]],Table2[],3,0),"open")</f>
        <v>ok</v>
      </c>
      <c r="C577" s="70" t="s">
        <v>369</v>
      </c>
      <c r="D577" t="s">
        <v>1907</v>
      </c>
      <c r="E577" t="s">
        <v>1956</v>
      </c>
      <c r="F577" s="105" t="s">
        <v>1956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1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509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515</v>
      </c>
      <c r="S577" s="71"/>
    </row>
    <row r="578" spans="1:19" hidden="1">
      <c r="A578" s="70" t="s">
        <v>1843</v>
      </c>
      <c r="B578" s="71" t="str">
        <f>IFERROR(VLOOKUP(Proc[[#This Row],[App]],Table2[],3,0),"open")</f>
        <v>ok</v>
      </c>
      <c r="C578" s="70" t="s">
        <v>377</v>
      </c>
      <c r="D578" t="s">
        <v>1908</v>
      </c>
      <c r="E578" t="s">
        <v>1956</v>
      </c>
      <c r="F578" s="105" t="s">
        <v>1956</v>
      </c>
      <c r="G578" t="s">
        <v>400</v>
      </c>
      <c r="H578" s="71" t="str">
        <f>IF(Proc[[#This Row],[type]]="LFF (MDG-F)",MID(Proc[[#This Row],[Obj]],13,10),"")</f>
        <v/>
      </c>
      <c r="I578" s="70" t="s">
        <v>1975</v>
      </c>
      <c r="J578" s="71" t="b">
        <f>Proc[[#This Row],[Requested]]=Proc[[#This Row],[CurrentParent]]</f>
        <v>1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509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515</v>
      </c>
      <c r="S578" s="71"/>
    </row>
    <row r="579" spans="1:19" hidden="1">
      <c r="A579" s="70" t="s">
        <v>1843</v>
      </c>
      <c r="B579" s="71" t="str">
        <f>IFERROR(VLOOKUP(Proc[[#This Row],[App]],Table2[],3,0),"open")</f>
        <v>ok</v>
      </c>
      <c r="C579" s="70" t="s">
        <v>369</v>
      </c>
      <c r="D579" t="s">
        <v>1909</v>
      </c>
      <c r="E579" t="s">
        <v>1956</v>
      </c>
      <c r="F579" s="105" t="s">
        <v>1956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1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509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515</v>
      </c>
      <c r="S579" s="71"/>
    </row>
    <row r="580" spans="1:19" hidden="1">
      <c r="A580" s="70" t="s">
        <v>1843</v>
      </c>
      <c r="B580" s="71" t="str">
        <f>IFERROR(VLOOKUP(Proc[[#This Row],[App]],Table2[],3,0),"open")</f>
        <v>ok</v>
      </c>
      <c r="C580" s="70" t="s">
        <v>369</v>
      </c>
      <c r="D580" t="s">
        <v>1910</v>
      </c>
      <c r="E580" t="s">
        <v>1957</v>
      </c>
      <c r="F580" s="105" t="s">
        <v>1957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1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509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515</v>
      </c>
      <c r="S580" s="71"/>
    </row>
    <row r="581" spans="1:19" hidden="1">
      <c r="A581" s="70" t="s">
        <v>1843</v>
      </c>
      <c r="B581" s="71" t="str">
        <f>IFERROR(VLOOKUP(Proc[[#This Row],[App]],Table2[],3,0),"open")</f>
        <v>ok</v>
      </c>
      <c r="C581" s="70" t="s">
        <v>369</v>
      </c>
      <c r="D581" t="s">
        <v>1911</v>
      </c>
      <c r="E581" t="s">
        <v>1957</v>
      </c>
      <c r="F581" s="105" t="s">
        <v>1957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1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509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515</v>
      </c>
      <c r="S581" s="71"/>
    </row>
    <row r="582" spans="1:19" hidden="1">
      <c r="A582" s="70" t="s">
        <v>1843</v>
      </c>
      <c r="B582" s="71" t="str">
        <f>IFERROR(VLOOKUP(Proc[[#This Row],[App]],Table2[],3,0),"open")</f>
        <v>ok</v>
      </c>
      <c r="C582" s="70" t="s">
        <v>369</v>
      </c>
      <c r="D582" t="s">
        <v>1912</v>
      </c>
      <c r="E582" t="s">
        <v>1957</v>
      </c>
      <c r="F582" s="105" t="s">
        <v>1957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1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509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515</v>
      </c>
      <c r="S582" s="71"/>
    </row>
    <row r="583" spans="1:19" hidden="1">
      <c r="A583" s="70" t="s">
        <v>1843</v>
      </c>
      <c r="B583" s="71" t="str">
        <f>IFERROR(VLOOKUP(Proc[[#This Row],[App]],Table2[],3,0),"open")</f>
        <v>ok</v>
      </c>
      <c r="C583" s="70" t="s">
        <v>369</v>
      </c>
      <c r="D583" t="s">
        <v>1913</v>
      </c>
      <c r="E583" t="s">
        <v>1958</v>
      </c>
      <c r="F583" s="105" t="s">
        <v>1958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1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509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515</v>
      </c>
      <c r="S583" s="71"/>
    </row>
    <row r="584" spans="1:19" hidden="1">
      <c r="A584" s="70" t="s">
        <v>1843</v>
      </c>
      <c r="B584" s="71" t="str">
        <f>IFERROR(VLOOKUP(Proc[[#This Row],[App]],Table2[],3,0),"open")</f>
        <v>ok</v>
      </c>
      <c r="C584" s="70" t="s">
        <v>369</v>
      </c>
      <c r="D584" t="s">
        <v>1914</v>
      </c>
      <c r="E584" t="s">
        <v>1959</v>
      </c>
      <c r="F584" s="105" t="s">
        <v>1959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1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509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515</v>
      </c>
      <c r="S584" s="71"/>
    </row>
    <row r="585" spans="1:19" hidden="1">
      <c r="A585" s="70" t="s">
        <v>1843</v>
      </c>
      <c r="B585" s="71" t="str">
        <f>IFERROR(VLOOKUP(Proc[[#This Row],[App]],Table2[],3,0),"open")</f>
        <v>ok</v>
      </c>
      <c r="C585" s="70" t="s">
        <v>369</v>
      </c>
      <c r="D585" t="s">
        <v>1915</v>
      </c>
      <c r="E585" t="s">
        <v>1960</v>
      </c>
      <c r="F585" s="105" t="s">
        <v>1960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1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509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515</v>
      </c>
      <c r="S585" s="71"/>
    </row>
    <row r="586" spans="1:19" hidden="1">
      <c r="A586" s="70" t="s">
        <v>1843</v>
      </c>
      <c r="B586" s="71" t="str">
        <f>IFERROR(VLOOKUP(Proc[[#This Row],[App]],Table2[],3,0),"open")</f>
        <v>ok</v>
      </c>
      <c r="C586" s="70" t="s">
        <v>369</v>
      </c>
      <c r="D586" t="s">
        <v>1916</v>
      </c>
      <c r="E586" t="s">
        <v>1961</v>
      </c>
      <c r="F586" s="105" t="s">
        <v>1961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1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509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515</v>
      </c>
      <c r="S586" s="71"/>
    </row>
    <row r="587" spans="1:19" hidden="1">
      <c r="A587" s="70" t="s">
        <v>1843</v>
      </c>
      <c r="B587" s="71" t="str">
        <f>IFERROR(VLOOKUP(Proc[[#This Row],[App]],Table2[],3,0),"open")</f>
        <v>ok</v>
      </c>
      <c r="C587" s="70" t="s">
        <v>369</v>
      </c>
      <c r="D587" t="s">
        <v>1917</v>
      </c>
      <c r="E587" t="s">
        <v>1961</v>
      </c>
      <c r="F587" s="105" t="s">
        <v>1961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1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509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515</v>
      </c>
      <c r="S587" s="71"/>
    </row>
    <row r="588" spans="1:19" hidden="1">
      <c r="A588" s="70" t="s">
        <v>1843</v>
      </c>
      <c r="B588" s="71" t="str">
        <f>IFERROR(VLOOKUP(Proc[[#This Row],[App]],Table2[],3,0),"open")</f>
        <v>ok</v>
      </c>
      <c r="C588" s="70" t="s">
        <v>369</v>
      </c>
      <c r="D588" t="s">
        <v>1918</v>
      </c>
      <c r="E588" t="s">
        <v>1960</v>
      </c>
      <c r="F588" s="105" t="s">
        <v>1960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1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509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515</v>
      </c>
      <c r="S588" s="71"/>
    </row>
    <row r="589" spans="1:19" hidden="1">
      <c r="A589" s="70" t="s">
        <v>1843</v>
      </c>
      <c r="B589" s="71" t="str">
        <f>IFERROR(VLOOKUP(Proc[[#This Row],[App]],Table2[],3,0),"open")</f>
        <v>ok</v>
      </c>
      <c r="C589" s="70" t="s">
        <v>369</v>
      </c>
      <c r="D589" t="s">
        <v>1919</v>
      </c>
      <c r="E589" t="s">
        <v>1945</v>
      </c>
      <c r="F589" s="105" t="s">
        <v>1945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1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509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515</v>
      </c>
      <c r="S589" s="71"/>
    </row>
    <row r="590" spans="1:19" hidden="1">
      <c r="A590" s="70" t="s">
        <v>1843</v>
      </c>
      <c r="B590" s="71" t="str">
        <f>IFERROR(VLOOKUP(Proc[[#This Row],[App]],Table2[],3,0),"open")</f>
        <v>ok</v>
      </c>
      <c r="C590" s="70" t="s">
        <v>369</v>
      </c>
      <c r="D590" t="s">
        <v>1920</v>
      </c>
      <c r="E590" t="s">
        <v>1945</v>
      </c>
      <c r="F590" s="105" t="s">
        <v>1945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1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509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515</v>
      </c>
      <c r="S590" s="71"/>
    </row>
    <row r="591" spans="1:19" hidden="1">
      <c r="A591" s="70" t="s">
        <v>1843</v>
      </c>
      <c r="B591" s="71" t="str">
        <f>IFERROR(VLOOKUP(Proc[[#This Row],[App]],Table2[],3,0),"open")</f>
        <v>ok</v>
      </c>
      <c r="C591" s="70" t="s">
        <v>369</v>
      </c>
      <c r="D591" t="s">
        <v>1921</v>
      </c>
      <c r="E591" t="s">
        <v>1962</v>
      </c>
      <c r="F591" s="105" t="s">
        <v>1962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1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509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515</v>
      </c>
      <c r="S591" s="71"/>
    </row>
    <row r="592" spans="1:19" hidden="1">
      <c r="A592" s="70" t="s">
        <v>1843</v>
      </c>
      <c r="B592" s="71" t="str">
        <f>IFERROR(VLOOKUP(Proc[[#This Row],[App]],Table2[],3,0),"open")</f>
        <v>ok</v>
      </c>
      <c r="C592" s="70" t="s">
        <v>369</v>
      </c>
      <c r="D592" t="s">
        <v>1922</v>
      </c>
      <c r="E592" t="s">
        <v>1963</v>
      </c>
      <c r="F592" s="105" t="s">
        <v>1963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1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509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515</v>
      </c>
      <c r="S592" s="71"/>
    </row>
    <row r="593" spans="1:19" hidden="1">
      <c r="A593" s="70" t="s">
        <v>1843</v>
      </c>
      <c r="B593" s="71" t="str">
        <f>IFERROR(VLOOKUP(Proc[[#This Row],[App]],Table2[],3,0),"open")</f>
        <v>ok</v>
      </c>
      <c r="C593" s="70" t="s">
        <v>369</v>
      </c>
      <c r="D593" t="s">
        <v>1923</v>
      </c>
      <c r="E593" t="s">
        <v>1964</v>
      </c>
      <c r="F593" s="105" t="s">
        <v>1964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1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509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515</v>
      </c>
      <c r="S593" s="71"/>
    </row>
    <row r="594" spans="1:19" hidden="1">
      <c r="A594" s="70" t="s">
        <v>1843</v>
      </c>
      <c r="B594" s="71" t="str">
        <f>IFERROR(VLOOKUP(Proc[[#This Row],[App]],Table2[],3,0),"open")</f>
        <v>ok</v>
      </c>
      <c r="C594" s="70" t="s">
        <v>369</v>
      </c>
      <c r="D594" t="s">
        <v>1924</v>
      </c>
      <c r="E594" t="s">
        <v>1964</v>
      </c>
      <c r="F594" s="105" t="s">
        <v>1964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1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509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515</v>
      </c>
      <c r="S594" s="71"/>
    </row>
    <row r="595" spans="1:19" hidden="1">
      <c r="A595" s="70" t="s">
        <v>1843</v>
      </c>
      <c r="B595" s="71" t="str">
        <f>IFERROR(VLOOKUP(Proc[[#This Row],[App]],Table2[],3,0),"open")</f>
        <v>ok</v>
      </c>
      <c r="C595" s="70" t="s">
        <v>369</v>
      </c>
      <c r="D595" t="s">
        <v>1925</v>
      </c>
      <c r="E595" t="s">
        <v>1965</v>
      </c>
      <c r="F595" s="105" t="s">
        <v>1965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1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509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515</v>
      </c>
      <c r="S595" s="71"/>
    </row>
    <row r="596" spans="1:19" hidden="1">
      <c r="A596" s="70" t="s">
        <v>1843</v>
      </c>
      <c r="B596" s="71" t="str">
        <f>IFERROR(VLOOKUP(Proc[[#This Row],[App]],Table2[],3,0),"open")</f>
        <v>ok</v>
      </c>
      <c r="C596" s="70" t="s">
        <v>369</v>
      </c>
      <c r="D596" t="s">
        <v>1926</v>
      </c>
      <c r="E596" t="s">
        <v>1966</v>
      </c>
      <c r="F596" s="105" t="s">
        <v>1966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1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509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515</v>
      </c>
      <c r="S596" s="71"/>
    </row>
    <row r="597" spans="1:19" hidden="1">
      <c r="A597" s="70" t="s">
        <v>1843</v>
      </c>
      <c r="B597" s="71" t="str">
        <f>IFERROR(VLOOKUP(Proc[[#This Row],[App]],Table2[],3,0),"open")</f>
        <v>ok</v>
      </c>
      <c r="C597" s="70" t="s">
        <v>369</v>
      </c>
      <c r="D597" t="s">
        <v>1927</v>
      </c>
      <c r="E597" t="s">
        <v>1967</v>
      </c>
      <c r="F597" s="105" t="s">
        <v>1967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1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509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515</v>
      </c>
      <c r="S597" s="71"/>
    </row>
    <row r="598" spans="1:19" hidden="1">
      <c r="A598" s="70" t="s">
        <v>1843</v>
      </c>
      <c r="B598" s="71" t="str">
        <f>IFERROR(VLOOKUP(Proc[[#This Row],[App]],Table2[],3,0),"open")</f>
        <v>ok</v>
      </c>
      <c r="C598" s="70" t="s">
        <v>369</v>
      </c>
      <c r="D598" t="s">
        <v>1928</v>
      </c>
      <c r="E598" t="s">
        <v>1967</v>
      </c>
      <c r="F598" s="105" t="s">
        <v>1967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1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509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515</v>
      </c>
      <c r="S598" s="71"/>
    </row>
    <row r="599" spans="1:19" hidden="1">
      <c r="A599" s="70" t="s">
        <v>1843</v>
      </c>
      <c r="B599" s="71" t="str">
        <f>IFERROR(VLOOKUP(Proc[[#This Row],[App]],Table2[],3,0),"open")</f>
        <v>ok</v>
      </c>
      <c r="C599" s="70" t="s">
        <v>369</v>
      </c>
      <c r="D599" t="s">
        <v>1929</v>
      </c>
      <c r="E599" t="s">
        <v>1967</v>
      </c>
      <c r="F599" s="105" t="s">
        <v>1967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1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509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515</v>
      </c>
      <c r="S599" s="71"/>
    </row>
    <row r="600" spans="1:19" hidden="1">
      <c r="A600" s="70" t="s">
        <v>1843</v>
      </c>
      <c r="B600" s="71" t="str">
        <f>IFERROR(VLOOKUP(Proc[[#This Row],[App]],Table2[],3,0),"open")</f>
        <v>ok</v>
      </c>
      <c r="C600" s="70" t="s">
        <v>369</v>
      </c>
      <c r="D600" t="s">
        <v>1930</v>
      </c>
      <c r="E600" t="s">
        <v>1968</v>
      </c>
      <c r="F600" s="105" t="s">
        <v>1968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1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509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515</v>
      </c>
      <c r="S600" s="71"/>
    </row>
    <row r="601" spans="1:19" hidden="1">
      <c r="A601" s="70" t="s">
        <v>1843</v>
      </c>
      <c r="B601" s="71" t="str">
        <f>IFERROR(VLOOKUP(Proc[[#This Row],[App]],Table2[],3,0),"open")</f>
        <v>ok</v>
      </c>
      <c r="C601" s="70" t="s">
        <v>369</v>
      </c>
      <c r="D601" t="s">
        <v>1931</v>
      </c>
      <c r="E601" t="s">
        <v>1967</v>
      </c>
      <c r="F601" s="105" t="s">
        <v>1967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1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509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515</v>
      </c>
      <c r="S601" s="71"/>
    </row>
    <row r="602" spans="1:19" hidden="1">
      <c r="A602" s="70" t="s">
        <v>1843</v>
      </c>
      <c r="B602" s="71" t="str">
        <f>IFERROR(VLOOKUP(Proc[[#This Row],[App]],Table2[],3,0),"open")</f>
        <v>ok</v>
      </c>
      <c r="C602" s="70" t="s">
        <v>369</v>
      </c>
      <c r="D602" t="s">
        <v>1932</v>
      </c>
      <c r="E602" t="s">
        <v>1967</v>
      </c>
      <c r="F602" s="105" t="s">
        <v>1967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1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509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515</v>
      </c>
      <c r="S602" s="71"/>
    </row>
    <row r="603" spans="1:19" hidden="1">
      <c r="A603" s="70" t="s">
        <v>1843</v>
      </c>
      <c r="B603" s="71" t="str">
        <f>IFERROR(VLOOKUP(Proc[[#This Row],[App]],Table2[],3,0),"open")</f>
        <v>ok</v>
      </c>
      <c r="C603" s="70" t="s">
        <v>369</v>
      </c>
      <c r="D603" t="s">
        <v>1933</v>
      </c>
      <c r="E603" t="s">
        <v>1969</v>
      </c>
      <c r="F603" s="105" t="s">
        <v>1969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1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509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515</v>
      </c>
      <c r="S603" s="71"/>
    </row>
    <row r="604" spans="1:19" hidden="1">
      <c r="A604" s="70" t="s">
        <v>1843</v>
      </c>
      <c r="B604" s="71" t="str">
        <f>IFERROR(VLOOKUP(Proc[[#This Row],[App]],Table2[],3,0),"open")</f>
        <v>ok</v>
      </c>
      <c r="C604" s="70" t="s">
        <v>369</v>
      </c>
      <c r="D604" t="s">
        <v>1934</v>
      </c>
      <c r="E604" t="s">
        <v>1970</v>
      </c>
      <c r="F604" s="105" t="s">
        <v>1970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1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509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515</v>
      </c>
      <c r="S604" s="71"/>
    </row>
    <row r="605" spans="1:19" hidden="1">
      <c r="A605" s="70" t="s">
        <v>1843</v>
      </c>
      <c r="B605" s="71" t="str">
        <f>IFERROR(VLOOKUP(Proc[[#This Row],[App]],Table2[],3,0),"open")</f>
        <v>ok</v>
      </c>
      <c r="C605" s="70" t="s">
        <v>369</v>
      </c>
      <c r="D605" t="s">
        <v>1935</v>
      </c>
      <c r="E605" t="s">
        <v>1971</v>
      </c>
      <c r="F605" s="105" t="s">
        <v>1971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1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509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515</v>
      </c>
      <c r="S605" s="71"/>
    </row>
    <row r="606" spans="1:19" hidden="1">
      <c r="A606" s="70" t="s">
        <v>1843</v>
      </c>
      <c r="B606" s="71" t="str">
        <f>IFERROR(VLOOKUP(Proc[[#This Row],[App]],Table2[],3,0),"open")</f>
        <v>ok</v>
      </c>
      <c r="C606" s="70" t="s">
        <v>369</v>
      </c>
      <c r="D606" t="s">
        <v>1936</v>
      </c>
      <c r="E606" t="s">
        <v>1972</v>
      </c>
      <c r="F606" s="105" t="s">
        <v>1972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1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509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515</v>
      </c>
      <c r="S606" s="71"/>
    </row>
    <row r="607" spans="1:19" hidden="1">
      <c r="A607" s="70" t="s">
        <v>1843</v>
      </c>
      <c r="B607" s="71" t="str">
        <f>IFERROR(VLOOKUP(Proc[[#This Row],[App]],Table2[],3,0),"open")</f>
        <v>ok</v>
      </c>
      <c r="C607" s="70" t="s">
        <v>369</v>
      </c>
      <c r="D607" t="s">
        <v>1937</v>
      </c>
      <c r="E607" t="s">
        <v>1973</v>
      </c>
      <c r="F607" s="105" t="s">
        <v>1973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1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509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515</v>
      </c>
      <c r="S607" s="71"/>
    </row>
    <row r="608" spans="1:19" hidden="1">
      <c r="A608" s="70" t="s">
        <v>1843</v>
      </c>
      <c r="B608" s="71" t="str">
        <f>IFERROR(VLOOKUP(Proc[[#This Row],[App]],Table2[],3,0),"open")</f>
        <v>ok</v>
      </c>
      <c r="C608" s="70" t="s">
        <v>369</v>
      </c>
      <c r="D608" t="s">
        <v>1938</v>
      </c>
      <c r="E608" t="s">
        <v>1973</v>
      </c>
      <c r="F608" s="105" t="s">
        <v>1973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1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509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515</v>
      </c>
      <c r="S608" s="71"/>
    </row>
    <row r="609" spans="1:19" hidden="1">
      <c r="A609" s="70" t="s">
        <v>1843</v>
      </c>
      <c r="B609" s="71" t="str">
        <f>IFERROR(VLOOKUP(Proc[[#This Row],[App]],Table2[],3,0),"open")</f>
        <v>ok</v>
      </c>
      <c r="C609" s="70" t="s">
        <v>369</v>
      </c>
      <c r="D609" t="s">
        <v>1939</v>
      </c>
      <c r="E609" t="s">
        <v>1973</v>
      </c>
      <c r="F609" s="105" t="s">
        <v>1973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1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509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515</v>
      </c>
      <c r="S609" s="71"/>
    </row>
    <row r="610" spans="1:19" hidden="1">
      <c r="A610" s="70" t="s">
        <v>1843</v>
      </c>
      <c r="B610" s="71" t="str">
        <f>IFERROR(VLOOKUP(Proc[[#This Row],[App]],Table2[],3,0),"open")</f>
        <v>ok</v>
      </c>
      <c r="C610" s="70" t="s">
        <v>369</v>
      </c>
      <c r="D610" t="s">
        <v>1940</v>
      </c>
      <c r="E610" t="s">
        <v>1973</v>
      </c>
      <c r="F610" s="105" t="s">
        <v>1973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1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509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515</v>
      </c>
      <c r="S610" s="71"/>
    </row>
    <row r="611" spans="1:19" hidden="1">
      <c r="A611" s="70" t="s">
        <v>1843</v>
      </c>
      <c r="B611" s="71" t="str">
        <f>IFERROR(VLOOKUP(Proc[[#This Row],[App]],Table2[],3,0),"open")</f>
        <v>ok</v>
      </c>
      <c r="C611" s="70" t="s">
        <v>369</v>
      </c>
      <c r="D611" t="s">
        <v>1941</v>
      </c>
      <c r="E611" t="s">
        <v>1973</v>
      </c>
      <c r="F611" s="105" t="s">
        <v>1973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1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509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515</v>
      </c>
      <c r="S611" s="71"/>
    </row>
    <row r="612" spans="1:19" hidden="1">
      <c r="A612" t="s">
        <v>1998</v>
      </c>
      <c r="B612" s="71" t="str">
        <f>IFERROR(VLOOKUP(Proc[[#This Row],[App]],Table2[],3,0),"open")</f>
        <v>ok</v>
      </c>
      <c r="C612" s="70" t="s">
        <v>377</v>
      </c>
      <c r="D612" t="s">
        <v>1987</v>
      </c>
      <c r="E612" t="s">
        <v>735</v>
      </c>
      <c r="F612" s="105" t="s">
        <v>735</v>
      </c>
      <c r="G612" t="s">
        <v>406</v>
      </c>
      <c r="H612" s="71" t="str">
        <f>IF(Proc[[#This Row],[type]]="LFF (MDG-F)",MID(Proc[[#This Row],[Obj]],13,10),"")</f>
        <v>US20Z01000</v>
      </c>
      <c r="I612" t="s">
        <v>822</v>
      </c>
      <c r="J612" s="71" t="b">
        <f>Proc[[#This Row],[Requested]]=Proc[[#This Row],[CurrentParent]]</f>
        <v>1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509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90</v>
      </c>
      <c r="R612" s="72" t="s">
        <v>1076</v>
      </c>
      <c r="S612" s="71"/>
    </row>
    <row r="613" spans="1:19" hidden="1">
      <c r="A613" s="70" t="s">
        <v>1998</v>
      </c>
      <c r="B613" s="71" t="str">
        <f>IFERROR(VLOOKUP(Proc[[#This Row],[App]],Table2[],3,0),"open")</f>
        <v>ok</v>
      </c>
      <c r="C613" s="70" t="s">
        <v>377</v>
      </c>
      <c r="D613" t="s">
        <v>1988</v>
      </c>
      <c r="E613" t="s">
        <v>735</v>
      </c>
      <c r="F613" s="105" t="s">
        <v>735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822</v>
      </c>
      <c r="J613" s="71" t="b">
        <f>Proc[[#This Row],[Requested]]=Proc[[#This Row],[CurrentParent]]</f>
        <v>1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509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90</v>
      </c>
      <c r="R613" s="72" t="s">
        <v>1076</v>
      </c>
      <c r="S613" s="71"/>
    </row>
    <row r="614" spans="1:19" hidden="1">
      <c r="A614" s="70" t="s">
        <v>1998</v>
      </c>
      <c r="B614" s="71" t="str">
        <f>IFERROR(VLOOKUP(Proc[[#This Row],[App]],Table2[],3,0),"open")</f>
        <v>ok</v>
      </c>
      <c r="C614" s="70" t="s">
        <v>377</v>
      </c>
      <c r="D614" t="s">
        <v>1989</v>
      </c>
      <c r="E614" t="s">
        <v>735</v>
      </c>
      <c r="F614" s="105" t="s">
        <v>735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822</v>
      </c>
      <c r="J614" s="71" t="b">
        <f>Proc[[#This Row],[Requested]]=Proc[[#This Row],[CurrentParent]]</f>
        <v>1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509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90</v>
      </c>
      <c r="R614" s="72" t="s">
        <v>1076</v>
      </c>
      <c r="S614" s="71"/>
    </row>
    <row r="615" spans="1:19" hidden="1">
      <c r="A615" s="70" t="s">
        <v>1998</v>
      </c>
      <c r="B615" s="71" t="str">
        <f>IFERROR(VLOOKUP(Proc[[#This Row],[App]],Table2[],3,0),"open")</f>
        <v>ok</v>
      </c>
      <c r="C615" s="70" t="s">
        <v>377</v>
      </c>
      <c r="D615" t="s">
        <v>1990</v>
      </c>
      <c r="E615" t="s">
        <v>735</v>
      </c>
      <c r="F615" s="105" t="s">
        <v>735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822</v>
      </c>
      <c r="J615" s="71" t="b">
        <f>Proc[[#This Row],[Requested]]=Proc[[#This Row],[CurrentParent]]</f>
        <v>1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509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90</v>
      </c>
      <c r="R615" s="72" t="s">
        <v>1076</v>
      </c>
      <c r="S615" s="71"/>
    </row>
    <row r="616" spans="1:19" hidden="1">
      <c r="A616" s="70" t="s">
        <v>1998</v>
      </c>
      <c r="B616" s="71" t="str">
        <f>IFERROR(VLOOKUP(Proc[[#This Row],[App]],Table2[],3,0),"open")</f>
        <v>ok</v>
      </c>
      <c r="C616" s="70" t="s">
        <v>377</v>
      </c>
      <c r="D616" t="s">
        <v>1991</v>
      </c>
      <c r="E616" t="s">
        <v>1999</v>
      </c>
      <c r="F616" s="105" t="s">
        <v>1999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2220</v>
      </c>
      <c r="J616" s="71" t="b">
        <f>Proc[[#This Row],[Requested]]=Proc[[#This Row],[CurrentParent]]</f>
        <v>1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509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90</v>
      </c>
      <c r="R616" s="72" t="s">
        <v>1076</v>
      </c>
      <c r="S616" s="71"/>
    </row>
    <row r="617" spans="1:19" hidden="1">
      <c r="A617" s="70" t="s">
        <v>1998</v>
      </c>
      <c r="B617" s="71" t="str">
        <f>IFERROR(VLOOKUP(Proc[[#This Row],[App]],Table2[],3,0),"open")</f>
        <v>ok</v>
      </c>
      <c r="C617" s="70" t="s">
        <v>377</v>
      </c>
      <c r="D617" t="s">
        <v>1992</v>
      </c>
      <c r="E617" t="s">
        <v>1999</v>
      </c>
      <c r="F617" s="105" t="s">
        <v>1999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2220</v>
      </c>
      <c r="J617" s="71" t="b">
        <f>Proc[[#This Row],[Requested]]=Proc[[#This Row],[CurrentParent]]</f>
        <v>1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509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90</v>
      </c>
      <c r="R617" s="72" t="s">
        <v>1076</v>
      </c>
      <c r="S617" s="71"/>
    </row>
    <row r="618" spans="1:19" hidden="1">
      <c r="A618" s="70" t="s">
        <v>1998</v>
      </c>
      <c r="B618" s="71" t="str">
        <f>IFERROR(VLOOKUP(Proc[[#This Row],[App]],Table2[],3,0),"open")</f>
        <v>ok</v>
      </c>
      <c r="C618" s="70" t="s">
        <v>377</v>
      </c>
      <c r="D618" t="s">
        <v>1993</v>
      </c>
      <c r="E618" t="s">
        <v>1018</v>
      </c>
      <c r="F618" s="105" t="s">
        <v>1018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2220</v>
      </c>
      <c r="J618" s="71" t="b">
        <f>Proc[[#This Row],[Requested]]=Proc[[#This Row],[CurrentParent]]</f>
        <v>1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509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90</v>
      </c>
      <c r="R618" s="72" t="s">
        <v>1076</v>
      </c>
      <c r="S618" s="71"/>
    </row>
    <row r="619" spans="1:19" hidden="1">
      <c r="A619" s="70" t="s">
        <v>1998</v>
      </c>
      <c r="B619" s="71" t="str">
        <f>IFERROR(VLOOKUP(Proc[[#This Row],[App]],Table2[],3,0),"open")</f>
        <v>ok</v>
      </c>
      <c r="C619" s="70" t="s">
        <v>369</v>
      </c>
      <c r="D619" t="s">
        <v>1994</v>
      </c>
      <c r="E619" t="s">
        <v>2000</v>
      </c>
      <c r="F619" s="105" t="s">
        <v>2000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1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509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90</v>
      </c>
      <c r="R619" s="72" t="s">
        <v>1076</v>
      </c>
      <c r="S619" s="71"/>
    </row>
    <row r="620" spans="1:19" hidden="1">
      <c r="A620" s="70" t="s">
        <v>1998</v>
      </c>
      <c r="B620" s="71" t="str">
        <f>IFERROR(VLOOKUP(Proc[[#This Row],[App]],Table2[],3,0),"open")</f>
        <v>ok</v>
      </c>
      <c r="C620" s="70" t="s">
        <v>369</v>
      </c>
      <c r="D620" t="s">
        <v>1995</v>
      </c>
      <c r="E620" t="s">
        <v>2000</v>
      </c>
      <c r="F620" s="105" t="s">
        <v>2000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1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509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90</v>
      </c>
      <c r="R620" s="72" t="s">
        <v>1076</v>
      </c>
      <c r="S620" s="71"/>
    </row>
    <row r="621" spans="1:19" hidden="1">
      <c r="A621" s="70" t="s">
        <v>1998</v>
      </c>
      <c r="B621" s="71" t="str">
        <f>IFERROR(VLOOKUP(Proc[[#This Row],[App]],Table2[],3,0),"open")</f>
        <v>ok</v>
      </c>
      <c r="C621" s="70" t="s">
        <v>369</v>
      </c>
      <c r="D621" t="s">
        <v>1996</v>
      </c>
      <c r="E621" t="s">
        <v>2001</v>
      </c>
      <c r="F621" s="105" t="s">
        <v>2001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1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509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90</v>
      </c>
      <c r="R621" s="72" t="s">
        <v>1076</v>
      </c>
      <c r="S621" s="71"/>
    </row>
    <row r="622" spans="1:19" hidden="1">
      <c r="A622" s="70" t="s">
        <v>1998</v>
      </c>
      <c r="B622" s="71" t="str">
        <f>IFERROR(VLOOKUP(Proc[[#This Row],[App]],Table2[],3,0),"open")</f>
        <v>ok</v>
      </c>
      <c r="C622" s="70" t="s">
        <v>369</v>
      </c>
      <c r="D622" t="s">
        <v>1997</v>
      </c>
      <c r="E622" t="s">
        <v>2002</v>
      </c>
      <c r="F622" s="105" t="s">
        <v>2002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1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509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90</v>
      </c>
      <c r="R622" s="72" t="s">
        <v>1076</v>
      </c>
      <c r="S622" s="71"/>
    </row>
    <row r="623" spans="1:19" hidden="1">
      <c r="A623" t="s">
        <v>2009</v>
      </c>
      <c r="B623" s="71" t="str">
        <f>IFERROR(VLOOKUP(Proc[[#This Row],[App]],Table2[],3,0),"open")</f>
        <v>ok</v>
      </c>
      <c r="C623" s="70" t="s">
        <v>369</v>
      </c>
      <c r="D623" t="s">
        <v>2010</v>
      </c>
      <c r="E623" t="s">
        <v>2016</v>
      </c>
      <c r="F623" s="105" t="s">
        <v>2016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1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509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90</v>
      </c>
      <c r="R623" s="72" t="s">
        <v>1001</v>
      </c>
      <c r="S623" s="71"/>
    </row>
    <row r="624" spans="1:19" hidden="1">
      <c r="A624" s="70" t="s">
        <v>2009</v>
      </c>
      <c r="B624" s="71" t="str">
        <f>IFERROR(VLOOKUP(Proc[[#This Row],[App]],Table2[],3,0),"open")</f>
        <v>ok</v>
      </c>
      <c r="C624" s="70" t="s">
        <v>369</v>
      </c>
      <c r="D624" t="s">
        <v>2011</v>
      </c>
      <c r="E624" t="s">
        <v>1604</v>
      </c>
      <c r="F624" s="105" t="s">
        <v>1604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1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509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90</v>
      </c>
      <c r="R624" s="72" t="s">
        <v>1001</v>
      </c>
      <c r="S624" s="71"/>
    </row>
    <row r="625" spans="1:19" hidden="1">
      <c r="A625" s="70" t="s">
        <v>2009</v>
      </c>
      <c r="B625" s="71" t="str">
        <f>IFERROR(VLOOKUP(Proc[[#This Row],[App]],Table2[],3,0),"open")</f>
        <v>ok</v>
      </c>
      <c r="C625" s="70" t="s">
        <v>369</v>
      </c>
      <c r="D625" t="s">
        <v>2012</v>
      </c>
      <c r="E625" t="s">
        <v>2017</v>
      </c>
      <c r="F625" s="105" t="s">
        <v>2017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1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509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90</v>
      </c>
      <c r="R625" s="72" t="s">
        <v>1001</v>
      </c>
      <c r="S625" s="71"/>
    </row>
    <row r="626" spans="1:19" hidden="1">
      <c r="A626" s="70" t="s">
        <v>2009</v>
      </c>
      <c r="B626" s="71" t="str">
        <f>IFERROR(VLOOKUP(Proc[[#This Row],[App]],Table2[],3,0),"open")</f>
        <v>ok</v>
      </c>
      <c r="C626" s="70" t="s">
        <v>369</v>
      </c>
      <c r="D626" t="s">
        <v>2013</v>
      </c>
      <c r="E626" t="s">
        <v>2018</v>
      </c>
      <c r="F626" s="105" t="s">
        <v>2018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1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509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90</v>
      </c>
      <c r="R626" s="72" t="s">
        <v>1001</v>
      </c>
      <c r="S626" s="71"/>
    </row>
    <row r="627" spans="1:19" hidden="1">
      <c r="A627" s="70" t="s">
        <v>2009</v>
      </c>
      <c r="B627" s="71" t="str">
        <f>IFERROR(VLOOKUP(Proc[[#This Row],[App]],Table2[],3,0),"open")</f>
        <v>ok</v>
      </c>
      <c r="C627" s="70" t="s">
        <v>369</v>
      </c>
      <c r="D627" t="s">
        <v>2014</v>
      </c>
      <c r="E627" t="s">
        <v>2018</v>
      </c>
      <c r="F627" s="105" t="s">
        <v>2018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1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509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90</v>
      </c>
      <c r="R627" s="72" t="s">
        <v>1001</v>
      </c>
      <c r="S627" s="71"/>
    </row>
    <row r="628" spans="1:19" hidden="1">
      <c r="A628" t="s">
        <v>2009</v>
      </c>
      <c r="B628" s="71" t="str">
        <f>IFERROR(VLOOKUP(Proc[[#This Row],[App]],Table2[],3,0),"open")</f>
        <v>ok</v>
      </c>
      <c r="C628" s="70" t="s">
        <v>369</v>
      </c>
      <c r="D628" t="s">
        <v>2015</v>
      </c>
      <c r="E628" t="s">
        <v>2018</v>
      </c>
      <c r="F628" s="105" t="s">
        <v>2018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1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509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90</v>
      </c>
      <c r="R628" s="72" t="s">
        <v>1001</v>
      </c>
      <c r="S628" s="71"/>
    </row>
    <row r="629" spans="1:19" hidden="1">
      <c r="A629" s="70" t="s">
        <v>2009</v>
      </c>
      <c r="B629" s="71" t="str">
        <f>IFERROR(VLOOKUP(Proc[[#This Row],[App]],Table2[],3,0),"open")</f>
        <v>ok</v>
      </c>
      <c r="C629" s="70" t="s">
        <v>369</v>
      </c>
      <c r="D629" t="s">
        <v>1592</v>
      </c>
      <c r="E629" t="s">
        <v>2019</v>
      </c>
      <c r="F629" s="105" t="s">
        <v>2019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1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509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90</v>
      </c>
      <c r="R629" s="72" t="s">
        <v>1001</v>
      </c>
      <c r="S629" s="71"/>
    </row>
    <row r="630" spans="1:19" hidden="1">
      <c r="A630" s="70" t="s">
        <v>2009</v>
      </c>
      <c r="B630" s="71" t="str">
        <f>IFERROR(VLOOKUP(Proc[[#This Row],[App]],Table2[],3,0),"open")</f>
        <v>ok</v>
      </c>
      <c r="C630" s="70" t="s">
        <v>369</v>
      </c>
      <c r="D630" t="s">
        <v>1598</v>
      </c>
      <c r="E630" t="s">
        <v>2019</v>
      </c>
      <c r="F630" s="105" t="s">
        <v>2019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1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509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90</v>
      </c>
      <c r="R630" s="72" t="s">
        <v>1001</v>
      </c>
      <c r="S630" s="71"/>
    </row>
    <row r="631" spans="1:19" hidden="1">
      <c r="A631" s="70" t="s">
        <v>2009</v>
      </c>
      <c r="B631" s="71" t="str">
        <f>IFERROR(VLOOKUP(Proc[[#This Row],[App]],Table2[],3,0),"open")</f>
        <v>ok</v>
      </c>
      <c r="C631" s="70" t="s">
        <v>369</v>
      </c>
      <c r="D631" t="s">
        <v>1593</v>
      </c>
      <c r="E631" t="s">
        <v>2020</v>
      </c>
      <c r="F631" s="105" t="s">
        <v>2020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1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509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90</v>
      </c>
      <c r="R631" s="72" t="s">
        <v>1001</v>
      </c>
      <c r="S631" s="71"/>
    </row>
    <row r="632" spans="1:19" hidden="1">
      <c r="A632" s="70" t="s">
        <v>2009</v>
      </c>
      <c r="B632" s="71" t="str">
        <f>IFERROR(VLOOKUP(Proc[[#This Row],[App]],Table2[],3,0),"open")</f>
        <v>ok</v>
      </c>
      <c r="C632" s="70" t="s">
        <v>369</v>
      </c>
      <c r="D632" t="s">
        <v>1599</v>
      </c>
      <c r="E632" t="s">
        <v>2020</v>
      </c>
      <c r="F632" s="105" t="s">
        <v>2020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1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509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90</v>
      </c>
      <c r="R632" s="72" t="s">
        <v>1001</v>
      </c>
      <c r="S632" s="71"/>
    </row>
    <row r="633" spans="1:19" hidden="1">
      <c r="A633" s="70" t="s">
        <v>2025</v>
      </c>
      <c r="B633" s="71" t="str">
        <f>IFERROR(VLOOKUP(Proc[[#This Row],[App]],Table2[],3,0),"open")</f>
        <v>ok</v>
      </c>
      <c r="C633" s="70" t="s">
        <v>369</v>
      </c>
      <c r="D633" t="s">
        <v>2021</v>
      </c>
      <c r="E633" t="s">
        <v>2023</v>
      </c>
      <c r="F633" s="105" t="s">
        <v>2023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1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509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515</v>
      </c>
      <c r="S633" s="71"/>
    </row>
    <row r="634" spans="1:19" hidden="1">
      <c r="A634" s="70" t="s">
        <v>2025</v>
      </c>
      <c r="B634" s="71" t="str">
        <f>IFERROR(VLOOKUP(Proc[[#This Row],[App]],Table2[],3,0),"open")</f>
        <v>ok</v>
      </c>
      <c r="C634" s="70" t="s">
        <v>369</v>
      </c>
      <c r="D634" t="s">
        <v>2022</v>
      </c>
      <c r="E634" t="s">
        <v>2024</v>
      </c>
      <c r="F634" s="105" t="s">
        <v>2024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1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509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515</v>
      </c>
      <c r="S634" s="71"/>
    </row>
    <row r="635" spans="1:19" hidden="1">
      <c r="A635" s="70" t="s">
        <v>2003</v>
      </c>
      <c r="B635" s="71" t="str">
        <f>IFERROR(VLOOKUP(Proc[[#This Row],[App]],Table2[],3,0),"open")</f>
        <v>ok</v>
      </c>
      <c r="C635" s="70" t="s">
        <v>369</v>
      </c>
      <c r="D635" t="s">
        <v>2004</v>
      </c>
      <c r="E635" t="s">
        <v>1522</v>
      </c>
      <c r="F635" s="105" t="s">
        <v>1522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1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509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89</v>
      </c>
      <c r="R635" s="72" t="s">
        <v>830</v>
      </c>
      <c r="S635" s="71"/>
    </row>
    <row r="636" spans="1:19" hidden="1">
      <c r="A636" s="70" t="s">
        <v>2003</v>
      </c>
      <c r="B636" s="71" t="str">
        <f>IFERROR(VLOOKUP(Proc[[#This Row],[App]],Table2[],3,0),"open")</f>
        <v>ok</v>
      </c>
      <c r="C636" s="70" t="s">
        <v>369</v>
      </c>
      <c r="D636" t="s">
        <v>2005</v>
      </c>
      <c r="E636" t="s">
        <v>1522</v>
      </c>
      <c r="F636" s="105" t="s">
        <v>1522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1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509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89</v>
      </c>
      <c r="R636" s="72" t="s">
        <v>830</v>
      </c>
      <c r="S636" s="71"/>
    </row>
    <row r="637" spans="1:19" hidden="1">
      <c r="A637" s="70" t="s">
        <v>2003</v>
      </c>
      <c r="B637" s="71" t="str">
        <f>IFERROR(VLOOKUP(Proc[[#This Row],[App]],Table2[],3,0),"open")</f>
        <v>ok</v>
      </c>
      <c r="C637" s="70" t="s">
        <v>369</v>
      </c>
      <c r="D637" t="s">
        <v>2006</v>
      </c>
      <c r="E637" t="s">
        <v>1522</v>
      </c>
      <c r="F637" s="105" t="s">
        <v>1522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1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509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89</v>
      </c>
      <c r="R637" s="72" t="s">
        <v>830</v>
      </c>
      <c r="S637" s="71"/>
    </row>
    <row r="638" spans="1:19" hidden="1">
      <c r="A638" t="s">
        <v>2003</v>
      </c>
      <c r="B638" s="71" t="str">
        <f>IFERROR(VLOOKUP(Proc[[#This Row],[App]],Table2[],3,0),"open")</f>
        <v>ok</v>
      </c>
      <c r="C638" s="70" t="s">
        <v>369</v>
      </c>
      <c r="D638" t="s">
        <v>2007</v>
      </c>
      <c r="E638" t="s">
        <v>1522</v>
      </c>
      <c r="F638" s="105" t="s">
        <v>1522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1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509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89</v>
      </c>
      <c r="R638" s="72" t="s">
        <v>830</v>
      </c>
      <c r="S638" s="71"/>
    </row>
    <row r="639" spans="1:19" hidden="1">
      <c r="A639" t="s">
        <v>2003</v>
      </c>
      <c r="B639" s="71" t="str">
        <f>IFERROR(VLOOKUP(Proc[[#This Row],[App]],Table2[],3,0),"open")</f>
        <v>ok</v>
      </c>
      <c r="C639" s="70" t="s">
        <v>369</v>
      </c>
      <c r="D639" t="s">
        <v>2008</v>
      </c>
      <c r="E639" t="s">
        <v>1522</v>
      </c>
      <c r="F639" s="105" t="s">
        <v>1522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1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509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89</v>
      </c>
      <c r="R639" s="72" t="s">
        <v>830</v>
      </c>
      <c r="S639" s="71"/>
    </row>
    <row r="640" spans="1:19" hidden="1">
      <c r="A640" t="s">
        <v>2026</v>
      </c>
      <c r="B640" s="71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5" t="s">
        <v>2029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1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509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549</v>
      </c>
      <c r="S640" s="71"/>
    </row>
    <row r="641" spans="1:19" hidden="1">
      <c r="A641" s="70" t="s">
        <v>2026</v>
      </c>
      <c r="B641" s="71" t="str">
        <f>IFERROR(VLOOKUP(Proc[[#This Row],[App]],Table2[],3,0),"open")</f>
        <v>ok</v>
      </c>
      <c r="C641" s="70" t="s">
        <v>369</v>
      </c>
      <c r="D641" t="s">
        <v>2028</v>
      </c>
      <c r="E641" t="s">
        <v>2030</v>
      </c>
      <c r="F641" s="105" t="s">
        <v>2030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1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509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549</v>
      </c>
      <c r="S641" s="71"/>
    </row>
    <row r="642" spans="1:19" hidden="1">
      <c r="A642" t="s">
        <v>2031</v>
      </c>
      <c r="B642" s="71" t="str">
        <f>IFERROR(VLOOKUP(Proc[[#This Row],[App]],Table2[],3,0),"open")</f>
        <v>ok</v>
      </c>
      <c r="C642" t="s">
        <v>369</v>
      </c>
      <c r="D642" s="70" t="s">
        <v>1820</v>
      </c>
      <c r="E642" s="70" t="s">
        <v>2046</v>
      </c>
      <c r="F642" s="105" t="s">
        <v>2046</v>
      </c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1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509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515</v>
      </c>
      <c r="S642" s="71"/>
    </row>
    <row r="643" spans="1:19" hidden="1">
      <c r="A643" t="s">
        <v>2048</v>
      </c>
      <c r="B643" s="71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5" t="s">
        <v>2049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1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509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515</v>
      </c>
      <c r="S643" s="71"/>
    </row>
    <row r="644" spans="1:19" hidden="1">
      <c r="A644" t="s">
        <v>2045</v>
      </c>
      <c r="B644" s="71" t="str">
        <f>IFERROR(VLOOKUP(Proc[[#This Row],[App]],Table2[],3,0),"open")</f>
        <v>ok</v>
      </c>
      <c r="C644" s="70" t="s">
        <v>369</v>
      </c>
      <c r="D644" t="s">
        <v>2035</v>
      </c>
      <c r="E644" t="s">
        <v>2041</v>
      </c>
      <c r="F644" s="105" t="s">
        <v>2041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1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509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1076</v>
      </c>
      <c r="S644" s="71"/>
    </row>
    <row r="645" spans="1:19" hidden="1">
      <c r="A645" s="70" t="s">
        <v>2045</v>
      </c>
      <c r="B645" s="71" t="str">
        <f>IFERROR(VLOOKUP(Proc[[#This Row],[App]],Table2[],3,0),"open")</f>
        <v>ok</v>
      </c>
      <c r="C645" s="70" t="s">
        <v>369</v>
      </c>
      <c r="D645" t="s">
        <v>1550</v>
      </c>
      <c r="E645" t="s">
        <v>418</v>
      </c>
      <c r="F645" s="105" t="s">
        <v>418</v>
      </c>
      <c r="G645" s="70" t="s">
        <v>400</v>
      </c>
      <c r="H645" s="71" t="str">
        <f>IF(Proc[[#This Row],[type]]="LFF (MDG-F)",MID(Proc[[#This Row],[Obj]],13,10),"")</f>
        <v/>
      </c>
      <c r="I645" t="s">
        <v>2050</v>
      </c>
      <c r="J645" s="71" t="b">
        <f>Proc[[#This Row],[Requested]]=Proc[[#This Row],[CurrentParent]]</f>
        <v>1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509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1076</v>
      </c>
      <c r="S645" s="71"/>
    </row>
    <row r="646" spans="1:19" hidden="1">
      <c r="A646" s="70" t="s">
        <v>2045</v>
      </c>
      <c r="B646" s="71" t="str">
        <f>IFERROR(VLOOKUP(Proc[[#This Row],[App]],Table2[],3,0),"open")</f>
        <v>ok</v>
      </c>
      <c r="C646" s="70" t="s">
        <v>369</v>
      </c>
      <c r="D646" t="s">
        <v>2036</v>
      </c>
      <c r="E646" t="s">
        <v>2042</v>
      </c>
      <c r="F646" s="105" t="s">
        <v>2042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1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509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1076</v>
      </c>
      <c r="S646" s="71"/>
    </row>
    <row r="647" spans="1:19" hidden="1">
      <c r="A647" s="70" t="s">
        <v>2045</v>
      </c>
      <c r="B647" s="71" t="str">
        <f>IFERROR(VLOOKUP(Proc[[#This Row],[App]],Table2[],3,0),"open")</f>
        <v>ok</v>
      </c>
      <c r="C647" s="70" t="s">
        <v>369</v>
      </c>
      <c r="D647" t="s">
        <v>2037</v>
      </c>
      <c r="E647" t="s">
        <v>2042</v>
      </c>
      <c r="F647" s="105" t="s">
        <v>2042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1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509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1076</v>
      </c>
      <c r="S647" s="71"/>
    </row>
    <row r="648" spans="1:19" hidden="1">
      <c r="A648" s="70" t="s">
        <v>2045</v>
      </c>
      <c r="B648" s="71" t="str">
        <f>IFERROR(VLOOKUP(Proc[[#This Row],[App]],Table2[],3,0),"open")</f>
        <v>ok</v>
      </c>
      <c r="C648" s="70" t="s">
        <v>369</v>
      </c>
      <c r="D648" t="s">
        <v>2038</v>
      </c>
      <c r="E648" t="s">
        <v>2043</v>
      </c>
      <c r="F648" s="105" t="s">
        <v>2043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1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509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1076</v>
      </c>
      <c r="S648" s="71"/>
    </row>
    <row r="649" spans="1:19" hidden="1">
      <c r="A649" s="70" t="s">
        <v>2045</v>
      </c>
      <c r="B649" s="71" t="str">
        <f>IFERROR(VLOOKUP(Proc[[#This Row],[App]],Table2[],3,0),"open")</f>
        <v>ok</v>
      </c>
      <c r="C649" s="70" t="s">
        <v>369</v>
      </c>
      <c r="D649" t="s">
        <v>2039</v>
      </c>
      <c r="E649" t="s">
        <v>2043</v>
      </c>
      <c r="F649" s="105" t="s">
        <v>2043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1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509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1076</v>
      </c>
      <c r="S649" s="71"/>
    </row>
    <row r="650" spans="1:19" hidden="1">
      <c r="A650" s="70" t="s">
        <v>2045</v>
      </c>
      <c r="B650" s="71" t="str">
        <f>IFERROR(VLOOKUP(Proc[[#This Row],[App]],Table2[],3,0),"open")</f>
        <v>ok</v>
      </c>
      <c r="C650" s="70" t="s">
        <v>369</v>
      </c>
      <c r="D650" t="s">
        <v>2040</v>
      </c>
      <c r="E650" t="s">
        <v>2044</v>
      </c>
      <c r="F650" s="105" t="s">
        <v>2044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1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509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1076</v>
      </c>
      <c r="S650" s="71"/>
    </row>
    <row r="651" spans="1:19" hidden="1">
      <c r="A651" t="s">
        <v>2034</v>
      </c>
      <c r="B651" s="71" t="str">
        <f>IFERROR(VLOOKUP(Proc[[#This Row],[App]],Table2[],3,0),"open")</f>
        <v>ok</v>
      </c>
      <c r="C651" s="70" t="s">
        <v>369</v>
      </c>
      <c r="D651" t="s">
        <v>2032</v>
      </c>
      <c r="E651" t="s">
        <v>2033</v>
      </c>
      <c r="F651" s="105" t="s">
        <v>2033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1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509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1833</v>
      </c>
      <c r="S651" s="71"/>
    </row>
    <row r="652" spans="1:19" hidden="1">
      <c r="A652" t="s">
        <v>2051</v>
      </c>
      <c r="B652" s="71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5" t="s">
        <v>466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1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509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410</v>
      </c>
      <c r="S652" s="71"/>
    </row>
    <row r="653" spans="1:19" hidden="1">
      <c r="A653" t="s">
        <v>2062</v>
      </c>
      <c r="B653" s="71" t="str">
        <f>IFERROR(VLOOKUP(Proc[[#This Row],[App]],Table2[],3,0),"open")</f>
        <v>ok</v>
      </c>
      <c r="C653" s="70" t="s">
        <v>369</v>
      </c>
      <c r="D653" t="s">
        <v>2053</v>
      </c>
      <c r="E653" t="s">
        <v>2418</v>
      </c>
      <c r="F653" s="105" t="s">
        <v>2418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1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830</v>
      </c>
      <c r="S653" s="71"/>
    </row>
    <row r="654" spans="1:19" hidden="1">
      <c r="A654" s="70" t="s">
        <v>2062</v>
      </c>
      <c r="B654" s="71" t="str">
        <f>IFERROR(VLOOKUP(Proc[[#This Row],[App]],Table2[],3,0),"open")</f>
        <v>ok</v>
      </c>
      <c r="C654" s="70" t="s">
        <v>369</v>
      </c>
      <c r="D654" t="s">
        <v>2054</v>
      </c>
      <c r="E654" t="s">
        <v>2418</v>
      </c>
      <c r="F654" s="105" t="s">
        <v>2418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1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830</v>
      </c>
      <c r="S654" s="71"/>
    </row>
    <row r="655" spans="1:19" hidden="1">
      <c r="A655" s="70" t="s">
        <v>2062</v>
      </c>
      <c r="B655" s="71" t="str">
        <f>IFERROR(VLOOKUP(Proc[[#This Row],[App]],Table2[],3,0),"open")</f>
        <v>ok</v>
      </c>
      <c r="C655" s="70" t="s">
        <v>369</v>
      </c>
      <c r="D655" t="s">
        <v>2055</v>
      </c>
      <c r="E655" t="s">
        <v>1233</v>
      </c>
      <c r="F655" s="105" t="s">
        <v>1233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1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830</v>
      </c>
      <c r="S655" s="71"/>
    </row>
    <row r="656" spans="1:19" hidden="1">
      <c r="A656" s="70" t="s">
        <v>2062</v>
      </c>
      <c r="B656" s="71" t="str">
        <f>IFERROR(VLOOKUP(Proc[[#This Row],[App]],Table2[],3,0),"open")</f>
        <v>ok</v>
      </c>
      <c r="C656" s="70" t="s">
        <v>369</v>
      </c>
      <c r="D656" t="s">
        <v>2056</v>
      </c>
      <c r="E656" t="s">
        <v>2063</v>
      </c>
      <c r="F656" s="105" t="s">
        <v>2063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1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830</v>
      </c>
      <c r="S656" s="71"/>
    </row>
    <row r="657" spans="1:19" hidden="1">
      <c r="A657" s="70" t="s">
        <v>2062</v>
      </c>
      <c r="B657" s="71" t="str">
        <f>IFERROR(VLOOKUP(Proc[[#This Row],[App]],Table2[],3,0),"open")</f>
        <v>ok</v>
      </c>
      <c r="C657" s="70" t="s">
        <v>369</v>
      </c>
      <c r="D657" t="s">
        <v>2057</v>
      </c>
      <c r="E657" t="s">
        <v>2063</v>
      </c>
      <c r="F657" s="105" t="s">
        <v>2063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1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830</v>
      </c>
      <c r="S657" s="71"/>
    </row>
    <row r="658" spans="1:19" hidden="1">
      <c r="A658" s="70" t="s">
        <v>2062</v>
      </c>
      <c r="B658" s="71" t="str">
        <f>IFERROR(VLOOKUP(Proc[[#This Row],[App]],Table2[],3,0),"open")</f>
        <v>ok</v>
      </c>
      <c r="C658" s="70" t="s">
        <v>369</v>
      </c>
      <c r="D658" t="s">
        <v>2058</v>
      </c>
      <c r="E658" t="s">
        <v>2063</v>
      </c>
      <c r="F658" s="105" t="s">
        <v>2063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1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830</v>
      </c>
      <c r="S658" s="71"/>
    </row>
    <row r="659" spans="1:19" hidden="1">
      <c r="A659" s="70" t="s">
        <v>2062</v>
      </c>
      <c r="B659" s="71" t="str">
        <f>IFERROR(VLOOKUP(Proc[[#This Row],[App]],Table2[],3,0),"open")</f>
        <v>ok</v>
      </c>
      <c r="C659" s="70" t="s">
        <v>369</v>
      </c>
      <c r="D659" t="s">
        <v>2059</v>
      </c>
      <c r="E659" t="s">
        <v>2063</v>
      </c>
      <c r="F659" s="105" t="s">
        <v>2063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1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830</v>
      </c>
      <c r="S659" s="71"/>
    </row>
    <row r="660" spans="1:19" hidden="1">
      <c r="A660" s="70" t="s">
        <v>2062</v>
      </c>
      <c r="B660" s="71" t="str">
        <f>IFERROR(VLOOKUP(Proc[[#This Row],[App]],Table2[],3,0),"open")</f>
        <v>ok</v>
      </c>
      <c r="C660" s="70" t="s">
        <v>369</v>
      </c>
      <c r="D660" t="s">
        <v>2060</v>
      </c>
      <c r="E660" t="s">
        <v>2063</v>
      </c>
      <c r="F660" s="105" t="s">
        <v>2063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1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830</v>
      </c>
      <c r="S660" s="71"/>
    </row>
    <row r="661" spans="1:19" hidden="1">
      <c r="A661" s="70" t="s">
        <v>2062</v>
      </c>
      <c r="B661" s="71" t="str">
        <f>IFERROR(VLOOKUP(Proc[[#This Row],[App]],Table2[],3,0),"open")</f>
        <v>ok</v>
      </c>
      <c r="C661" s="70" t="s">
        <v>369</v>
      </c>
      <c r="D661" t="s">
        <v>2061</v>
      </c>
      <c r="E661" t="s">
        <v>2063</v>
      </c>
      <c r="F661" s="105" t="s">
        <v>2063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1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830</v>
      </c>
      <c r="S661" s="71"/>
    </row>
    <row r="662" spans="1:19" hidden="1">
      <c r="A662" t="s">
        <v>2080</v>
      </c>
      <c r="B662" s="71" t="str">
        <f>IFERROR(VLOOKUP(Proc[[#This Row],[App]],Table2[],3,0),"open")</f>
        <v>ok</v>
      </c>
      <c r="C662" s="70" t="s">
        <v>369</v>
      </c>
      <c r="D662" t="s">
        <v>2081</v>
      </c>
      <c r="E662" t="s">
        <v>2085</v>
      </c>
      <c r="F662" s="105" t="s">
        <v>2085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1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494</v>
      </c>
      <c r="S662" s="71"/>
    </row>
    <row r="663" spans="1:19" hidden="1">
      <c r="A663" s="70" t="s">
        <v>2080</v>
      </c>
      <c r="B663" s="71" t="str">
        <f>IFERROR(VLOOKUP(Proc[[#This Row],[App]],Table2[],3,0),"open")</f>
        <v>ok</v>
      </c>
      <c r="C663" s="70" t="s">
        <v>369</v>
      </c>
      <c r="D663" t="s">
        <v>2082</v>
      </c>
      <c r="E663" t="s">
        <v>2086</v>
      </c>
      <c r="F663" s="105" t="s">
        <v>2086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1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494</v>
      </c>
      <c r="S663" s="71"/>
    </row>
    <row r="664" spans="1:19" hidden="1">
      <c r="A664" s="70" t="s">
        <v>2080</v>
      </c>
      <c r="B664" s="71" t="str">
        <f>IFERROR(VLOOKUP(Proc[[#This Row],[App]],Table2[],3,0),"open")</f>
        <v>ok</v>
      </c>
      <c r="C664" s="70" t="s">
        <v>369</v>
      </c>
      <c r="D664" t="s">
        <v>2083</v>
      </c>
      <c r="E664" t="s">
        <v>2086</v>
      </c>
      <c r="F664" s="105" t="s">
        <v>2086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1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494</v>
      </c>
      <c r="S664" s="71"/>
    </row>
    <row r="665" spans="1:19" hidden="1">
      <c r="A665" s="70" t="s">
        <v>2080</v>
      </c>
      <c r="B665" s="71" t="str">
        <f>IFERROR(VLOOKUP(Proc[[#This Row],[App]],Table2[],3,0),"open")</f>
        <v>ok</v>
      </c>
      <c r="C665" s="70" t="s">
        <v>369</v>
      </c>
      <c r="D665" t="s">
        <v>2084</v>
      </c>
      <c r="E665" t="s">
        <v>2086</v>
      </c>
      <c r="F665" s="105" t="s">
        <v>2086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1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494</v>
      </c>
      <c r="S665" s="71"/>
    </row>
    <row r="666" spans="1:19" hidden="1">
      <c r="A666" s="70" t="s">
        <v>2064</v>
      </c>
      <c r="B666" s="71" t="str">
        <f>IFERROR(VLOOKUP(Proc[[#This Row],[App]],Table2[],3,0),"open")</f>
        <v>ok</v>
      </c>
      <c r="C666" s="70" t="s">
        <v>369</v>
      </c>
      <c r="D666" t="s">
        <v>2065</v>
      </c>
      <c r="E666" t="s">
        <v>2075</v>
      </c>
      <c r="F666" s="105" t="s">
        <v>2075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2076</v>
      </c>
      <c r="J666" s="71" t="b">
        <f>Proc[[#This Row],[Requested]]=Proc[[#This Row],[CurrentParent]]</f>
        <v>1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515</v>
      </c>
      <c r="S666" s="71"/>
    </row>
    <row r="667" spans="1:19" hidden="1">
      <c r="A667" s="70" t="s">
        <v>2064</v>
      </c>
      <c r="B667" s="71" t="str">
        <f>IFERROR(VLOOKUP(Proc[[#This Row],[App]],Table2[],3,0),"open")</f>
        <v>ok</v>
      </c>
      <c r="C667" s="70" t="s">
        <v>369</v>
      </c>
      <c r="D667" t="s">
        <v>2066</v>
      </c>
      <c r="E667" t="s">
        <v>2075</v>
      </c>
      <c r="F667" s="105" t="s">
        <v>2075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2077</v>
      </c>
      <c r="J667" s="71" t="b">
        <f>Proc[[#This Row],[Requested]]=Proc[[#This Row],[CurrentParent]]</f>
        <v>1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515</v>
      </c>
      <c r="S667" s="71"/>
    </row>
    <row r="668" spans="1:19" hidden="1">
      <c r="A668" s="70" t="s">
        <v>2064</v>
      </c>
      <c r="B668" s="71" t="str">
        <f>IFERROR(VLOOKUP(Proc[[#This Row],[App]],Table2[],3,0),"open")</f>
        <v>ok</v>
      </c>
      <c r="C668" s="70" t="s">
        <v>369</v>
      </c>
      <c r="D668" t="s">
        <v>2067</v>
      </c>
      <c r="E668" t="s">
        <v>2075</v>
      </c>
      <c r="F668" s="105" t="s">
        <v>2075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2087</v>
      </c>
      <c r="J668" s="71" t="b">
        <f>Proc[[#This Row],[Requested]]=Proc[[#This Row],[CurrentParent]]</f>
        <v>1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515</v>
      </c>
      <c r="S668" s="71"/>
    </row>
    <row r="669" spans="1:19" hidden="1">
      <c r="A669" s="70" t="s">
        <v>2064</v>
      </c>
      <c r="B669" s="71" t="str">
        <f>IFERROR(VLOOKUP(Proc[[#This Row],[App]],Table2[],3,0),"open")</f>
        <v>ok</v>
      </c>
      <c r="C669" s="70" t="s">
        <v>369</v>
      </c>
      <c r="D669" t="s">
        <v>2068</v>
      </c>
      <c r="E669" t="s">
        <v>2075</v>
      </c>
      <c r="F669" s="105" t="s">
        <v>2075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2078</v>
      </c>
      <c r="J669" s="71" t="b">
        <f>Proc[[#This Row],[Requested]]=Proc[[#This Row],[CurrentParent]]</f>
        <v>1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515</v>
      </c>
      <c r="S669" s="71"/>
    </row>
    <row r="670" spans="1:19" hidden="1">
      <c r="A670" s="70" t="s">
        <v>2064</v>
      </c>
      <c r="B670" s="71" t="str">
        <f>IFERROR(VLOOKUP(Proc[[#This Row],[App]],Table2[],3,0),"open")</f>
        <v>ok</v>
      </c>
      <c r="C670" s="70" t="s">
        <v>369</v>
      </c>
      <c r="D670" t="s">
        <v>2069</v>
      </c>
      <c r="E670" t="s">
        <v>2075</v>
      </c>
      <c r="F670" s="105" t="s">
        <v>2075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2079</v>
      </c>
      <c r="J670" s="71" t="b">
        <f>Proc[[#This Row],[Requested]]=Proc[[#This Row],[CurrentParent]]</f>
        <v>1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515</v>
      </c>
      <c r="S670" s="71"/>
    </row>
    <row r="671" spans="1:19" hidden="1">
      <c r="A671" s="70" t="s">
        <v>2064</v>
      </c>
      <c r="B671" s="71" t="str">
        <f>IFERROR(VLOOKUP(Proc[[#This Row],[App]],Table2[],3,0),"open")</f>
        <v>ok</v>
      </c>
      <c r="C671" s="70" t="s">
        <v>369</v>
      </c>
      <c r="D671" t="s">
        <v>2070</v>
      </c>
      <c r="E671" t="s">
        <v>2075</v>
      </c>
      <c r="F671" s="105" t="s">
        <v>2075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1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515</v>
      </c>
      <c r="S671" s="71"/>
    </row>
    <row r="672" spans="1:19" hidden="1">
      <c r="A672" s="70" t="s">
        <v>2064</v>
      </c>
      <c r="B672" s="71" t="str">
        <f>IFERROR(VLOOKUP(Proc[[#This Row],[App]],Table2[],3,0),"open")</f>
        <v>ok</v>
      </c>
      <c r="C672" s="70" t="s">
        <v>369</v>
      </c>
      <c r="D672" t="s">
        <v>2071</v>
      </c>
      <c r="E672" t="s">
        <v>2075</v>
      </c>
      <c r="F672" s="105" t="s">
        <v>2075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1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515</v>
      </c>
      <c r="S672" s="71"/>
    </row>
    <row r="673" spans="1:19" hidden="1">
      <c r="A673" s="70" t="s">
        <v>2064</v>
      </c>
      <c r="B673" s="71" t="str">
        <f>IFERROR(VLOOKUP(Proc[[#This Row],[App]],Table2[],3,0),"open")</f>
        <v>ok</v>
      </c>
      <c r="C673" s="70" t="s">
        <v>369</v>
      </c>
      <c r="D673" t="s">
        <v>2072</v>
      </c>
      <c r="E673" t="s">
        <v>2075</v>
      </c>
      <c r="F673" s="105" t="s">
        <v>2075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1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515</v>
      </c>
      <c r="S673" s="71"/>
    </row>
    <row r="674" spans="1:19" hidden="1">
      <c r="A674" t="s">
        <v>2064</v>
      </c>
      <c r="B674" s="71" t="str">
        <f>IFERROR(VLOOKUP(Proc[[#This Row],[App]],Table2[],3,0),"open")</f>
        <v>ok</v>
      </c>
      <c r="C674" s="70" t="s">
        <v>369</v>
      </c>
      <c r="D674" t="s">
        <v>2073</v>
      </c>
      <c r="E674" t="s">
        <v>2075</v>
      </c>
      <c r="F674" s="105" t="s">
        <v>2075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1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515</v>
      </c>
      <c r="S674" s="71"/>
    </row>
    <row r="675" spans="1:19" hidden="1">
      <c r="A675" s="70" t="s">
        <v>2064</v>
      </c>
      <c r="B675" s="71" t="str">
        <f>IFERROR(VLOOKUP(Proc[[#This Row],[App]],Table2[],3,0),"open")</f>
        <v>ok</v>
      </c>
      <c r="C675" s="70" t="s">
        <v>369</v>
      </c>
      <c r="D675" t="s">
        <v>2074</v>
      </c>
      <c r="E675" t="s">
        <v>2075</v>
      </c>
      <c r="F675" s="105" t="s">
        <v>2075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1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515</v>
      </c>
      <c r="S675" s="71"/>
    </row>
    <row r="676" spans="1:19" hidden="1">
      <c r="A676" t="s">
        <v>2176</v>
      </c>
      <c r="B676" s="71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5" t="s">
        <v>2161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1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478</v>
      </c>
      <c r="S676" s="71"/>
    </row>
    <row r="677" spans="1:19" hidden="1">
      <c r="A677" s="70" t="s">
        <v>2176</v>
      </c>
      <c r="B677" s="71" t="str">
        <f>IFERROR(VLOOKUP(Proc[[#This Row],[App]],Table2[],3,0),"open")</f>
        <v>ok</v>
      </c>
      <c r="C677" s="70" t="s">
        <v>369</v>
      </c>
      <c r="D677" t="s">
        <v>2162</v>
      </c>
      <c r="E677" t="s">
        <v>2161</v>
      </c>
      <c r="F677" s="105" t="s">
        <v>2161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1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478</v>
      </c>
      <c r="S677" s="71"/>
    </row>
    <row r="678" spans="1:19" hidden="1">
      <c r="A678" s="70" t="s">
        <v>2176</v>
      </c>
      <c r="B678" s="71" t="str">
        <f>IFERROR(VLOOKUP(Proc[[#This Row],[App]],Table2[],3,0),"open")</f>
        <v>ok</v>
      </c>
      <c r="C678" s="70" t="s">
        <v>369</v>
      </c>
      <c r="D678" t="s">
        <v>2163</v>
      </c>
      <c r="E678" t="s">
        <v>2161</v>
      </c>
      <c r="F678" s="105" t="s">
        <v>2161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1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478</v>
      </c>
      <c r="S678" s="71"/>
    </row>
    <row r="679" spans="1:19" hidden="1">
      <c r="A679" t="s">
        <v>2176</v>
      </c>
      <c r="B679" s="71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5" t="s">
        <v>2161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1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478</v>
      </c>
      <c r="S679" s="71"/>
    </row>
    <row r="680" spans="1:19" hidden="1">
      <c r="A680" s="70" t="s">
        <v>2176</v>
      </c>
      <c r="B680" s="71" t="str">
        <f>IFERROR(VLOOKUP(Proc[[#This Row],[App]],Table2[],3,0),"open")</f>
        <v>ok</v>
      </c>
      <c r="C680" s="70" t="s">
        <v>369</v>
      </c>
      <c r="D680" t="s">
        <v>2165</v>
      </c>
      <c r="E680" t="s">
        <v>2161</v>
      </c>
      <c r="F680" s="105" t="s">
        <v>2161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1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478</v>
      </c>
      <c r="S680" s="71"/>
    </row>
    <row r="681" spans="1:19" hidden="1">
      <c r="A681" s="70" t="s">
        <v>2176</v>
      </c>
      <c r="B681" s="71" t="str">
        <f>IFERROR(VLOOKUP(Proc[[#This Row],[App]],Table2[],3,0),"open")</f>
        <v>ok</v>
      </c>
      <c r="C681" s="70" t="s">
        <v>369</v>
      </c>
      <c r="D681" t="s">
        <v>2166</v>
      </c>
      <c r="E681" t="s">
        <v>2161</v>
      </c>
      <c r="F681" s="105" t="s">
        <v>2161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1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478</v>
      </c>
      <c r="S681" s="71"/>
    </row>
    <row r="682" spans="1:19" hidden="1">
      <c r="A682" s="70" t="s">
        <v>2176</v>
      </c>
      <c r="B682" s="71" t="str">
        <f>IFERROR(VLOOKUP(Proc[[#This Row],[App]],Table2[],3,0),"open")</f>
        <v>ok</v>
      </c>
      <c r="C682" s="70" t="s">
        <v>369</v>
      </c>
      <c r="D682" t="s">
        <v>2167</v>
      </c>
      <c r="E682" t="s">
        <v>2161</v>
      </c>
      <c r="F682" s="105" t="s">
        <v>2161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1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478</v>
      </c>
      <c r="S682" s="71"/>
    </row>
    <row r="683" spans="1:19" hidden="1">
      <c r="A683" s="70" t="s">
        <v>2176</v>
      </c>
      <c r="B683" s="71" t="str">
        <f>IFERROR(VLOOKUP(Proc[[#This Row],[App]],Table2[],3,0),"open")</f>
        <v>ok</v>
      </c>
      <c r="C683" s="70" t="s">
        <v>369</v>
      </c>
      <c r="D683" t="s">
        <v>2168</v>
      </c>
      <c r="E683" t="s">
        <v>2161</v>
      </c>
      <c r="F683" s="105" t="s">
        <v>2161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1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478</v>
      </c>
      <c r="S683" s="71"/>
    </row>
    <row r="684" spans="1:19" hidden="1">
      <c r="A684" s="70" t="s">
        <v>2176</v>
      </c>
      <c r="B684" s="71" t="str">
        <f>IFERROR(VLOOKUP(Proc[[#This Row],[App]],Table2[],3,0),"open")</f>
        <v>ok</v>
      </c>
      <c r="C684" s="70" t="s">
        <v>369</v>
      </c>
      <c r="D684" t="s">
        <v>2169</v>
      </c>
      <c r="E684" t="s">
        <v>2161</v>
      </c>
      <c r="F684" s="105" t="s">
        <v>2161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1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478</v>
      </c>
      <c r="S684" s="71"/>
    </row>
    <row r="685" spans="1:19" hidden="1">
      <c r="A685" s="70" t="s">
        <v>2176</v>
      </c>
      <c r="B685" s="71" t="str">
        <f>IFERROR(VLOOKUP(Proc[[#This Row],[App]],Table2[],3,0),"open")</f>
        <v>ok</v>
      </c>
      <c r="C685" s="70" t="s">
        <v>369</v>
      </c>
      <c r="D685" t="s">
        <v>2170</v>
      </c>
      <c r="E685" t="s">
        <v>2161</v>
      </c>
      <c r="F685" s="105" t="s">
        <v>2161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1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478</v>
      </c>
      <c r="S685" s="71"/>
    </row>
    <row r="686" spans="1:19" hidden="1">
      <c r="A686" s="70" t="s">
        <v>2176</v>
      </c>
      <c r="B686" s="71" t="str">
        <f>IFERROR(VLOOKUP(Proc[[#This Row],[App]],Table2[],3,0),"open")</f>
        <v>ok</v>
      </c>
      <c r="C686" s="70" t="s">
        <v>369</v>
      </c>
      <c r="D686" t="s">
        <v>2171</v>
      </c>
      <c r="E686" t="s">
        <v>2161</v>
      </c>
      <c r="F686" s="105" t="s">
        <v>2161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1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478</v>
      </c>
      <c r="S686" s="71"/>
    </row>
    <row r="687" spans="1:19" hidden="1">
      <c r="A687" s="70" t="s">
        <v>2176</v>
      </c>
      <c r="B687" s="71" t="str">
        <f>IFERROR(VLOOKUP(Proc[[#This Row],[App]],Table2[],3,0),"open")</f>
        <v>ok</v>
      </c>
      <c r="C687" s="70" t="s">
        <v>369</v>
      </c>
      <c r="D687" t="s">
        <v>2172</v>
      </c>
      <c r="E687" t="s">
        <v>2161</v>
      </c>
      <c r="F687" s="105" t="s">
        <v>2161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1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478</v>
      </c>
      <c r="S687" s="71"/>
    </row>
    <row r="688" spans="1:19" hidden="1">
      <c r="A688" s="70" t="s">
        <v>2176</v>
      </c>
      <c r="B688" s="71" t="str">
        <f>IFERROR(VLOOKUP(Proc[[#This Row],[App]],Table2[],3,0),"open")</f>
        <v>ok</v>
      </c>
      <c r="C688" s="70" t="s">
        <v>369</v>
      </c>
      <c r="D688" t="s">
        <v>2173</v>
      </c>
      <c r="E688" t="s">
        <v>2174</v>
      </c>
      <c r="F688" s="105" t="s">
        <v>2174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1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478</v>
      </c>
      <c r="S688" s="71"/>
    </row>
    <row r="689" spans="1:19" hidden="1">
      <c r="A689" s="70" t="s">
        <v>2176</v>
      </c>
      <c r="B689" s="71" t="str">
        <f>IFERROR(VLOOKUP(Proc[[#This Row],[App]],Table2[],3,0),"open")</f>
        <v>ok</v>
      </c>
      <c r="C689" s="70" t="s">
        <v>369</v>
      </c>
      <c r="D689" t="s">
        <v>2175</v>
      </c>
      <c r="E689" t="s">
        <v>2174</v>
      </c>
      <c r="F689" s="105" t="s">
        <v>2174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1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478</v>
      </c>
      <c r="S689" s="71"/>
    </row>
    <row r="690" spans="1:19" hidden="1">
      <c r="A690" s="70" t="s">
        <v>2096</v>
      </c>
      <c r="B690" s="71" t="str">
        <f>IFERROR(VLOOKUP(Proc[[#This Row],[App]],Table2[],3,0),"open")</f>
        <v>ok</v>
      </c>
      <c r="C690" s="70" t="s">
        <v>369</v>
      </c>
      <c r="D690" t="s">
        <v>2097</v>
      </c>
      <c r="E690" t="s">
        <v>2098</v>
      </c>
      <c r="F690" s="105" t="s">
        <v>2098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1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478</v>
      </c>
      <c r="S690" s="71"/>
    </row>
    <row r="691" spans="1:19" hidden="1">
      <c r="A691" s="70" t="s">
        <v>2096</v>
      </c>
      <c r="B691" s="71" t="str">
        <f>IFERROR(VLOOKUP(Proc[[#This Row],[App]],Table2[],3,0),"open")</f>
        <v>ok</v>
      </c>
      <c r="C691" s="70" t="s">
        <v>369</v>
      </c>
      <c r="D691" t="s">
        <v>2099</v>
      </c>
      <c r="E691" t="s">
        <v>2100</v>
      </c>
      <c r="F691" s="105" t="s">
        <v>2100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1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478</v>
      </c>
      <c r="S691" s="71"/>
    </row>
    <row r="692" spans="1:19" hidden="1">
      <c r="A692" s="70" t="s">
        <v>2096</v>
      </c>
      <c r="B692" s="71" t="str">
        <f>IFERROR(VLOOKUP(Proc[[#This Row],[App]],Table2[],3,0),"open")</f>
        <v>ok</v>
      </c>
      <c r="C692" s="70" t="s">
        <v>369</v>
      </c>
      <c r="D692" t="s">
        <v>2101</v>
      </c>
      <c r="E692" t="s">
        <v>2100</v>
      </c>
      <c r="F692" s="105" t="s">
        <v>2100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1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478</v>
      </c>
      <c r="S692" s="71"/>
    </row>
    <row r="693" spans="1:19" hidden="1">
      <c r="A693" s="70" t="s">
        <v>2096</v>
      </c>
      <c r="B693" s="71" t="str">
        <f>IFERROR(VLOOKUP(Proc[[#This Row],[App]],Table2[],3,0),"open")</f>
        <v>ok</v>
      </c>
      <c r="C693" s="70" t="s">
        <v>369</v>
      </c>
      <c r="D693" t="s">
        <v>2102</v>
      </c>
      <c r="E693" t="s">
        <v>2103</v>
      </c>
      <c r="F693" s="105" t="s">
        <v>2103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1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478</v>
      </c>
      <c r="S693" s="71"/>
    </row>
    <row r="694" spans="1:19" hidden="1">
      <c r="A694" s="70" t="s">
        <v>2096</v>
      </c>
      <c r="B694" s="71" t="str">
        <f>IFERROR(VLOOKUP(Proc[[#This Row],[App]],Table2[],3,0),"open")</f>
        <v>ok</v>
      </c>
      <c r="C694" s="70" t="s">
        <v>369</v>
      </c>
      <c r="D694" t="s">
        <v>2104</v>
      </c>
      <c r="E694" t="s">
        <v>2105</v>
      </c>
      <c r="F694" s="105" t="s">
        <v>2105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1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478</v>
      </c>
      <c r="S694" s="71"/>
    </row>
    <row r="695" spans="1:19" hidden="1">
      <c r="A695" s="70" t="s">
        <v>2096</v>
      </c>
      <c r="B695" s="71" t="str">
        <f>IFERROR(VLOOKUP(Proc[[#This Row],[App]],Table2[],3,0),"open")</f>
        <v>ok</v>
      </c>
      <c r="C695" s="70" t="s">
        <v>369</v>
      </c>
      <c r="D695" t="s">
        <v>2106</v>
      </c>
      <c r="E695" t="s">
        <v>2105</v>
      </c>
      <c r="F695" s="105" t="s">
        <v>2105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1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478</v>
      </c>
      <c r="S695" s="71"/>
    </row>
    <row r="696" spans="1:19" hidden="1">
      <c r="A696" s="70" t="s">
        <v>2096</v>
      </c>
      <c r="B696" s="71" t="str">
        <f>IFERROR(VLOOKUP(Proc[[#This Row],[App]],Table2[],3,0),"open")</f>
        <v>ok</v>
      </c>
      <c r="C696" s="70" t="s">
        <v>369</v>
      </c>
      <c r="D696" t="s">
        <v>2107</v>
      </c>
      <c r="E696" t="s">
        <v>2103</v>
      </c>
      <c r="F696" s="105" t="s">
        <v>2103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1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478</v>
      </c>
      <c r="S696" s="71"/>
    </row>
    <row r="697" spans="1:19" hidden="1">
      <c r="A697" s="70" t="s">
        <v>2096</v>
      </c>
      <c r="B697" s="71" t="str">
        <f>IFERROR(VLOOKUP(Proc[[#This Row],[App]],Table2[],3,0),"open")</f>
        <v>ok</v>
      </c>
      <c r="C697" s="70" t="s">
        <v>369</v>
      </c>
      <c r="D697" t="s">
        <v>2108</v>
      </c>
      <c r="E697" t="s">
        <v>2109</v>
      </c>
      <c r="F697" s="105" t="s">
        <v>2109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1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478</v>
      </c>
      <c r="S697" s="71"/>
    </row>
    <row r="698" spans="1:19" hidden="1">
      <c r="A698" s="70" t="s">
        <v>2096</v>
      </c>
      <c r="B698" s="71" t="str">
        <f>IFERROR(VLOOKUP(Proc[[#This Row],[App]],Table2[],3,0),"open")</f>
        <v>ok</v>
      </c>
      <c r="C698" s="70" t="s">
        <v>369</v>
      </c>
      <c r="D698" t="s">
        <v>2110</v>
      </c>
      <c r="E698" t="s">
        <v>2109</v>
      </c>
      <c r="F698" s="105" t="s">
        <v>2109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1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478</v>
      </c>
      <c r="S698" s="71"/>
    </row>
    <row r="699" spans="1:19" hidden="1">
      <c r="A699" s="70" t="s">
        <v>2096</v>
      </c>
      <c r="B699" s="71" t="str">
        <f>IFERROR(VLOOKUP(Proc[[#This Row],[App]],Table2[],3,0),"open")</f>
        <v>ok</v>
      </c>
      <c r="C699" s="70" t="s">
        <v>369</v>
      </c>
      <c r="D699" t="s">
        <v>2111</v>
      </c>
      <c r="E699" t="s">
        <v>2109</v>
      </c>
      <c r="F699" s="105" t="s">
        <v>2109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1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478</v>
      </c>
      <c r="S699" s="71"/>
    </row>
    <row r="700" spans="1:19" hidden="1">
      <c r="A700" s="70" t="s">
        <v>2096</v>
      </c>
      <c r="B700" s="71" t="str">
        <f>IFERROR(VLOOKUP(Proc[[#This Row],[App]],Table2[],3,0),"open")</f>
        <v>ok</v>
      </c>
      <c r="C700" s="70" t="s">
        <v>369</v>
      </c>
      <c r="D700" t="s">
        <v>2112</v>
      </c>
      <c r="E700" t="s">
        <v>2109</v>
      </c>
      <c r="F700" s="105" t="s">
        <v>2109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1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478</v>
      </c>
      <c r="S700" s="71"/>
    </row>
    <row r="701" spans="1:19" hidden="1">
      <c r="A701" s="70" t="s">
        <v>2096</v>
      </c>
      <c r="B701" s="71" t="str">
        <f>IFERROR(VLOOKUP(Proc[[#This Row],[App]],Table2[],3,0),"open")</f>
        <v>ok</v>
      </c>
      <c r="C701" s="70" t="s">
        <v>369</v>
      </c>
      <c r="D701" t="s">
        <v>2113</v>
      </c>
      <c r="E701" t="s">
        <v>2109</v>
      </c>
      <c r="F701" s="105" t="s">
        <v>2109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1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478</v>
      </c>
      <c r="S701" s="71"/>
    </row>
    <row r="702" spans="1:19" hidden="1">
      <c r="A702" s="70" t="s">
        <v>2096</v>
      </c>
      <c r="B702" s="71" t="str">
        <f>IFERROR(VLOOKUP(Proc[[#This Row],[App]],Table2[],3,0),"open")</f>
        <v>ok</v>
      </c>
      <c r="C702" s="70" t="s">
        <v>369</v>
      </c>
      <c r="D702" t="s">
        <v>2114</v>
      </c>
      <c r="E702" t="s">
        <v>2109</v>
      </c>
      <c r="F702" s="105" t="s">
        <v>2109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1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478</v>
      </c>
      <c r="S702" s="71"/>
    </row>
    <row r="703" spans="1:19" hidden="1">
      <c r="A703" s="70" t="s">
        <v>2096</v>
      </c>
      <c r="B703" s="71" t="str">
        <f>IFERROR(VLOOKUP(Proc[[#This Row],[App]],Table2[],3,0),"open")</f>
        <v>ok</v>
      </c>
      <c r="C703" s="70" t="s">
        <v>369</v>
      </c>
      <c r="D703" t="s">
        <v>2115</v>
      </c>
      <c r="E703" t="s">
        <v>2109</v>
      </c>
      <c r="F703" s="105" t="s">
        <v>2109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1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478</v>
      </c>
      <c r="S703" s="71"/>
    </row>
    <row r="704" spans="1:19" hidden="1">
      <c r="A704" s="70" t="s">
        <v>2096</v>
      </c>
      <c r="B704" s="71" t="str">
        <f>IFERROR(VLOOKUP(Proc[[#This Row],[App]],Table2[],3,0),"open")</f>
        <v>ok</v>
      </c>
      <c r="C704" s="70" t="s">
        <v>369</v>
      </c>
      <c r="D704" t="s">
        <v>2116</v>
      </c>
      <c r="E704" t="s">
        <v>2117</v>
      </c>
      <c r="F704" s="105" t="s">
        <v>2117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1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478</v>
      </c>
      <c r="S704" s="71"/>
    </row>
    <row r="705" spans="1:19" hidden="1">
      <c r="A705" s="70" t="s">
        <v>2096</v>
      </c>
      <c r="B705" s="71" t="str">
        <f>IFERROR(VLOOKUP(Proc[[#This Row],[App]],Table2[],3,0),"open")</f>
        <v>ok</v>
      </c>
      <c r="C705" s="70" t="s">
        <v>369</v>
      </c>
      <c r="D705" t="s">
        <v>2118</v>
      </c>
      <c r="E705" t="s">
        <v>2119</v>
      </c>
      <c r="F705" s="105" t="s">
        <v>2119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1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478</v>
      </c>
      <c r="S705" s="71"/>
    </row>
    <row r="706" spans="1:19" hidden="1">
      <c r="A706" s="70" t="s">
        <v>2096</v>
      </c>
      <c r="B706" s="71" t="str">
        <f>IFERROR(VLOOKUP(Proc[[#This Row],[App]],Table2[],3,0),"open")</f>
        <v>ok</v>
      </c>
      <c r="C706" s="70" t="s">
        <v>369</v>
      </c>
      <c r="D706" t="s">
        <v>2120</v>
      </c>
      <c r="E706" t="s">
        <v>2121</v>
      </c>
      <c r="F706" s="105" t="s">
        <v>2121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1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478</v>
      </c>
      <c r="S706" s="71"/>
    </row>
    <row r="707" spans="1:19" hidden="1">
      <c r="A707" s="70" t="s">
        <v>2096</v>
      </c>
      <c r="B707" s="71" t="str">
        <f>IFERROR(VLOOKUP(Proc[[#This Row],[App]],Table2[],3,0),"open")</f>
        <v>ok</v>
      </c>
      <c r="C707" s="70" t="s">
        <v>369</v>
      </c>
      <c r="D707" t="s">
        <v>2122</v>
      </c>
      <c r="E707" t="s">
        <v>2123</v>
      </c>
      <c r="F707" s="105" t="s">
        <v>2123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1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478</v>
      </c>
      <c r="S707" s="71"/>
    </row>
    <row r="708" spans="1:19" hidden="1">
      <c r="A708" s="70" t="s">
        <v>2096</v>
      </c>
      <c r="B708" s="71" t="str">
        <f>IFERROR(VLOOKUP(Proc[[#This Row],[App]],Table2[],3,0),"open")</f>
        <v>ok</v>
      </c>
      <c r="C708" s="70" t="s">
        <v>369</v>
      </c>
      <c r="D708" t="s">
        <v>2124</v>
      </c>
      <c r="E708" t="s">
        <v>2123</v>
      </c>
      <c r="F708" s="105" t="s">
        <v>2123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1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478</v>
      </c>
      <c r="S708" s="71"/>
    </row>
    <row r="709" spans="1:19" hidden="1">
      <c r="A709" s="70" t="s">
        <v>2096</v>
      </c>
      <c r="B709" s="71" t="str">
        <f>IFERROR(VLOOKUP(Proc[[#This Row],[App]],Table2[],3,0),"open")</f>
        <v>ok</v>
      </c>
      <c r="C709" s="70" t="s">
        <v>369</v>
      </c>
      <c r="D709" t="s">
        <v>2125</v>
      </c>
      <c r="E709" t="s">
        <v>2119</v>
      </c>
      <c r="F709" s="105" t="s">
        <v>2119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1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478</v>
      </c>
      <c r="S709" s="71"/>
    </row>
    <row r="710" spans="1:19" hidden="1">
      <c r="A710" s="70" t="s">
        <v>2096</v>
      </c>
      <c r="B710" s="71" t="str">
        <f>IFERROR(VLOOKUP(Proc[[#This Row],[App]],Table2[],3,0),"open")</f>
        <v>ok</v>
      </c>
      <c r="C710" s="70" t="s">
        <v>369</v>
      </c>
      <c r="D710" t="s">
        <v>2126</v>
      </c>
      <c r="E710" t="s">
        <v>2119</v>
      </c>
      <c r="F710" s="105" t="s">
        <v>2119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1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478</v>
      </c>
      <c r="S710" s="71"/>
    </row>
    <row r="711" spans="1:19" hidden="1">
      <c r="A711" s="70" t="s">
        <v>2096</v>
      </c>
      <c r="B711" s="71" t="str">
        <f>IFERROR(VLOOKUP(Proc[[#This Row],[App]],Table2[],3,0),"open")</f>
        <v>ok</v>
      </c>
      <c r="C711" s="70" t="s">
        <v>369</v>
      </c>
      <c r="D711" t="s">
        <v>2127</v>
      </c>
      <c r="E711" t="s">
        <v>2119</v>
      </c>
      <c r="F711" s="105" t="s">
        <v>2119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1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478</v>
      </c>
      <c r="S711" s="71"/>
    </row>
    <row r="712" spans="1:19" hidden="1">
      <c r="A712" s="70" t="s">
        <v>2096</v>
      </c>
      <c r="B712" s="71" t="str">
        <f>IFERROR(VLOOKUP(Proc[[#This Row],[App]],Table2[],3,0),"open")</f>
        <v>ok</v>
      </c>
      <c r="C712" s="70" t="s">
        <v>369</v>
      </c>
      <c r="D712" t="s">
        <v>2128</v>
      </c>
      <c r="E712" t="s">
        <v>2103</v>
      </c>
      <c r="F712" s="105" t="s">
        <v>2103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1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478</v>
      </c>
      <c r="S712" s="71"/>
    </row>
    <row r="713" spans="1:19" hidden="1">
      <c r="A713" s="70" t="s">
        <v>2096</v>
      </c>
      <c r="B713" s="71" t="str">
        <f>IFERROR(VLOOKUP(Proc[[#This Row],[App]],Table2[],3,0),"open")</f>
        <v>ok</v>
      </c>
      <c r="C713" s="70" t="s">
        <v>369</v>
      </c>
      <c r="D713" t="s">
        <v>2129</v>
      </c>
      <c r="E713" t="s">
        <v>2130</v>
      </c>
      <c r="F713" s="105" t="s">
        <v>2130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1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478</v>
      </c>
      <c r="S713" s="71"/>
    </row>
    <row r="714" spans="1:19" hidden="1">
      <c r="A714" s="70" t="s">
        <v>2096</v>
      </c>
      <c r="B714" s="71" t="str">
        <f>IFERROR(VLOOKUP(Proc[[#This Row],[App]],Table2[],3,0),"open")</f>
        <v>ok</v>
      </c>
      <c r="C714" s="70" t="s">
        <v>369</v>
      </c>
      <c r="D714" t="s">
        <v>2131</v>
      </c>
      <c r="E714" t="s">
        <v>2132</v>
      </c>
      <c r="F714" s="105" t="s">
        <v>2132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1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478</v>
      </c>
      <c r="S714" s="71"/>
    </row>
    <row r="715" spans="1:19" hidden="1">
      <c r="A715" s="70" t="s">
        <v>2096</v>
      </c>
      <c r="B715" s="71" t="str">
        <f>IFERROR(VLOOKUP(Proc[[#This Row],[App]],Table2[],3,0),"open")</f>
        <v>ok</v>
      </c>
      <c r="C715" s="70" t="s">
        <v>369</v>
      </c>
      <c r="D715" t="s">
        <v>2133</v>
      </c>
      <c r="E715" t="s">
        <v>2132</v>
      </c>
      <c r="F715" s="105" t="s">
        <v>2132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1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478</v>
      </c>
      <c r="S715" s="71"/>
    </row>
    <row r="716" spans="1:19" hidden="1">
      <c r="A716" s="70" t="s">
        <v>2096</v>
      </c>
      <c r="B716" s="71" t="str">
        <f>IFERROR(VLOOKUP(Proc[[#This Row],[App]],Table2[],3,0),"open")</f>
        <v>ok</v>
      </c>
      <c r="C716" s="70" t="s">
        <v>369</v>
      </c>
      <c r="D716" t="s">
        <v>2134</v>
      </c>
      <c r="E716" t="s">
        <v>2132</v>
      </c>
      <c r="F716" s="105" t="s">
        <v>2132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1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478</v>
      </c>
      <c r="S716" s="71"/>
    </row>
    <row r="717" spans="1:19" hidden="1">
      <c r="A717" s="70" t="s">
        <v>2096</v>
      </c>
      <c r="B717" s="71" t="str">
        <f>IFERROR(VLOOKUP(Proc[[#This Row],[App]],Table2[],3,0),"open")</f>
        <v>ok</v>
      </c>
      <c r="C717" s="70" t="s">
        <v>369</v>
      </c>
      <c r="D717" t="s">
        <v>2135</v>
      </c>
      <c r="E717" t="s">
        <v>2132</v>
      </c>
      <c r="F717" s="105" t="s">
        <v>2132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1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478</v>
      </c>
      <c r="S717" s="71"/>
    </row>
    <row r="718" spans="1:19" hidden="1">
      <c r="A718" s="70" t="s">
        <v>2096</v>
      </c>
      <c r="B718" s="71" t="str">
        <f>IFERROR(VLOOKUP(Proc[[#This Row],[App]],Table2[],3,0),"open")</f>
        <v>ok</v>
      </c>
      <c r="C718" s="70" t="s">
        <v>369</v>
      </c>
      <c r="D718" t="s">
        <v>2136</v>
      </c>
      <c r="E718" t="s">
        <v>2132</v>
      </c>
      <c r="F718" s="105" t="s">
        <v>2132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1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478</v>
      </c>
      <c r="S718" s="71"/>
    </row>
    <row r="719" spans="1:19" hidden="1">
      <c r="A719" s="70" t="s">
        <v>2096</v>
      </c>
      <c r="B719" s="71" t="str">
        <f>IFERROR(VLOOKUP(Proc[[#This Row],[App]],Table2[],3,0),"open")</f>
        <v>ok</v>
      </c>
      <c r="C719" s="70" t="s">
        <v>369</v>
      </c>
      <c r="D719" t="s">
        <v>2137</v>
      </c>
      <c r="E719" t="s">
        <v>2132</v>
      </c>
      <c r="F719" s="105" t="s">
        <v>2132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1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478</v>
      </c>
      <c r="S719" s="71"/>
    </row>
    <row r="720" spans="1:19" hidden="1">
      <c r="A720" s="70" t="s">
        <v>2096</v>
      </c>
      <c r="B720" s="71" t="str">
        <f>IFERROR(VLOOKUP(Proc[[#This Row],[App]],Table2[],3,0),"open")</f>
        <v>ok</v>
      </c>
      <c r="C720" s="70" t="s">
        <v>369</v>
      </c>
      <c r="D720" t="s">
        <v>2138</v>
      </c>
      <c r="E720" t="s">
        <v>2139</v>
      </c>
      <c r="F720" s="105" t="s">
        <v>2139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1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478</v>
      </c>
      <c r="S720" s="71"/>
    </row>
    <row r="721" spans="1:19" hidden="1">
      <c r="A721" s="70" t="s">
        <v>2096</v>
      </c>
      <c r="B721" s="71" t="str">
        <f>IFERROR(VLOOKUP(Proc[[#This Row],[App]],Table2[],3,0),"open")</f>
        <v>ok</v>
      </c>
      <c r="C721" s="70" t="s">
        <v>369</v>
      </c>
      <c r="D721" t="s">
        <v>2140</v>
      </c>
      <c r="E721" t="s">
        <v>2139</v>
      </c>
      <c r="F721" s="105" t="s">
        <v>2139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1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478</v>
      </c>
      <c r="S721" s="71"/>
    </row>
    <row r="722" spans="1:19" hidden="1">
      <c r="A722" s="70" t="s">
        <v>2096</v>
      </c>
      <c r="B722" s="71" t="str">
        <f>IFERROR(VLOOKUP(Proc[[#This Row],[App]],Table2[],3,0),"open")</f>
        <v>ok</v>
      </c>
      <c r="C722" s="70" t="s">
        <v>369</v>
      </c>
      <c r="D722" t="s">
        <v>2141</v>
      </c>
      <c r="E722" t="s">
        <v>2142</v>
      </c>
      <c r="F722" s="105" t="s">
        <v>2142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1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478</v>
      </c>
      <c r="S722" s="71"/>
    </row>
    <row r="723" spans="1:19" hidden="1">
      <c r="A723" s="70" t="s">
        <v>2096</v>
      </c>
      <c r="B723" s="71" t="str">
        <f>IFERROR(VLOOKUP(Proc[[#This Row],[App]],Table2[],3,0),"open")</f>
        <v>ok</v>
      </c>
      <c r="C723" s="70" t="s">
        <v>369</v>
      </c>
      <c r="D723" t="s">
        <v>2143</v>
      </c>
      <c r="E723" t="s">
        <v>2144</v>
      </c>
      <c r="F723" s="105" t="s">
        <v>2144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1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478</v>
      </c>
      <c r="S723" s="71"/>
    </row>
    <row r="724" spans="1:19" hidden="1">
      <c r="A724" s="70" t="s">
        <v>2096</v>
      </c>
      <c r="B724" s="71" t="str">
        <f>IFERROR(VLOOKUP(Proc[[#This Row],[App]],Table2[],3,0),"open")</f>
        <v>ok</v>
      </c>
      <c r="C724" s="70" t="s">
        <v>369</v>
      </c>
      <c r="D724" t="s">
        <v>2145</v>
      </c>
      <c r="E724" t="s">
        <v>2144</v>
      </c>
      <c r="F724" s="105" t="s">
        <v>2144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1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478</v>
      </c>
      <c r="S724" s="71"/>
    </row>
    <row r="725" spans="1:19" hidden="1">
      <c r="A725" t="s">
        <v>2096</v>
      </c>
      <c r="B725" s="71" t="str">
        <f>IFERROR(VLOOKUP(Proc[[#This Row],[App]],Table2[],3,0),"open")</f>
        <v>ok</v>
      </c>
      <c r="C725" s="70" t="s">
        <v>369</v>
      </c>
      <c r="D725" t="s">
        <v>2146</v>
      </c>
      <c r="E725" t="s">
        <v>2144</v>
      </c>
      <c r="F725" s="105" t="s">
        <v>2144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1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478</v>
      </c>
      <c r="S725" s="71"/>
    </row>
    <row r="726" spans="1:19" hidden="1">
      <c r="A726" s="70" t="s">
        <v>2096</v>
      </c>
      <c r="B726" s="71" t="str">
        <f>IFERROR(VLOOKUP(Proc[[#This Row],[App]],Table2[],3,0),"open")</f>
        <v>ok</v>
      </c>
      <c r="C726" s="70" t="s">
        <v>369</v>
      </c>
      <c r="D726" t="s">
        <v>2147</v>
      </c>
      <c r="E726" t="s">
        <v>2144</v>
      </c>
      <c r="F726" s="105" t="s">
        <v>2144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1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478</v>
      </c>
      <c r="S726" s="71"/>
    </row>
    <row r="727" spans="1:19" hidden="1">
      <c r="A727" s="70" t="s">
        <v>2096</v>
      </c>
      <c r="B727" s="71" t="str">
        <f>IFERROR(VLOOKUP(Proc[[#This Row],[App]],Table2[],3,0),"open")</f>
        <v>ok</v>
      </c>
      <c r="C727" s="70" t="s">
        <v>369</v>
      </c>
      <c r="D727" t="s">
        <v>2148</v>
      </c>
      <c r="E727" t="s">
        <v>2149</v>
      </c>
      <c r="F727" s="105" t="s">
        <v>2149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1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478</v>
      </c>
      <c r="S727" s="71"/>
    </row>
    <row r="728" spans="1:19" hidden="1">
      <c r="A728" s="70" t="s">
        <v>2096</v>
      </c>
      <c r="B728" s="71" t="str">
        <f>IFERROR(VLOOKUP(Proc[[#This Row],[App]],Table2[],3,0),"open")</f>
        <v>ok</v>
      </c>
      <c r="C728" s="70" t="s">
        <v>369</v>
      </c>
      <c r="D728" t="s">
        <v>2150</v>
      </c>
      <c r="E728" t="s">
        <v>2144</v>
      </c>
      <c r="F728" s="105" t="s">
        <v>2144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1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478</v>
      </c>
      <c r="S728" s="71"/>
    </row>
    <row r="729" spans="1:19" hidden="1">
      <c r="A729" s="70" t="s">
        <v>2096</v>
      </c>
      <c r="B729" s="71" t="str">
        <f>IFERROR(VLOOKUP(Proc[[#This Row],[App]],Table2[],3,0),"open")</f>
        <v>ok</v>
      </c>
      <c r="C729" s="70" t="s">
        <v>369</v>
      </c>
      <c r="D729" t="s">
        <v>2151</v>
      </c>
      <c r="E729" t="s">
        <v>2144</v>
      </c>
      <c r="F729" s="105" t="s">
        <v>2144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1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478</v>
      </c>
      <c r="S729" s="71"/>
    </row>
    <row r="730" spans="1:19" hidden="1">
      <c r="A730" s="70" t="s">
        <v>2096</v>
      </c>
      <c r="B730" s="71" t="str">
        <f>IFERROR(VLOOKUP(Proc[[#This Row],[App]],Table2[],3,0),"open")</f>
        <v>ok</v>
      </c>
      <c r="C730" s="70" t="s">
        <v>369</v>
      </c>
      <c r="D730" t="s">
        <v>2152</v>
      </c>
      <c r="E730" t="s">
        <v>2144</v>
      </c>
      <c r="F730" s="105" t="s">
        <v>2144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1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478</v>
      </c>
      <c r="S730" s="71"/>
    </row>
    <row r="731" spans="1:19" hidden="1">
      <c r="A731" s="70" t="s">
        <v>2096</v>
      </c>
      <c r="B731" s="71" t="str">
        <f>IFERROR(VLOOKUP(Proc[[#This Row],[App]],Table2[],3,0),"open")</f>
        <v>ok</v>
      </c>
      <c r="C731" s="70" t="s">
        <v>369</v>
      </c>
      <c r="D731" t="s">
        <v>2153</v>
      </c>
      <c r="E731" t="s">
        <v>2103</v>
      </c>
      <c r="F731" s="105" t="s">
        <v>2103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1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478</v>
      </c>
      <c r="S731" s="71"/>
    </row>
    <row r="732" spans="1:19" hidden="1">
      <c r="A732" s="70" t="s">
        <v>2096</v>
      </c>
      <c r="B732" s="71" t="str">
        <f>IFERROR(VLOOKUP(Proc[[#This Row],[App]],Table2[],3,0),"open")</f>
        <v>ok</v>
      </c>
      <c r="C732" s="70" t="s">
        <v>369</v>
      </c>
      <c r="D732" t="s">
        <v>2154</v>
      </c>
      <c r="E732" t="s">
        <v>2155</v>
      </c>
      <c r="F732" s="105" t="s">
        <v>2155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1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478</v>
      </c>
      <c r="S732" s="71"/>
    </row>
    <row r="733" spans="1:19" hidden="1">
      <c r="A733" s="70" t="s">
        <v>2096</v>
      </c>
      <c r="B733" s="71" t="str">
        <f>IFERROR(VLOOKUP(Proc[[#This Row],[App]],Table2[],3,0),"open")</f>
        <v>ok</v>
      </c>
      <c r="C733" s="70" t="s">
        <v>369</v>
      </c>
      <c r="D733" t="s">
        <v>2156</v>
      </c>
      <c r="E733" t="s">
        <v>2144</v>
      </c>
      <c r="F733" s="105" t="s">
        <v>2144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1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478</v>
      </c>
      <c r="S733" s="71"/>
    </row>
    <row r="734" spans="1:19" hidden="1">
      <c r="A734" s="70" t="s">
        <v>2096</v>
      </c>
      <c r="B734" s="71" t="str">
        <f>IFERROR(VLOOKUP(Proc[[#This Row],[App]],Table2[],3,0),"open")</f>
        <v>ok</v>
      </c>
      <c r="C734" s="70" t="s">
        <v>369</v>
      </c>
      <c r="D734" t="s">
        <v>2157</v>
      </c>
      <c r="E734" t="s">
        <v>2144</v>
      </c>
      <c r="F734" s="105" t="s">
        <v>2144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1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478</v>
      </c>
      <c r="S734" s="71"/>
    </row>
    <row r="735" spans="1:19" hidden="1">
      <c r="A735" s="70" t="s">
        <v>2096</v>
      </c>
      <c r="B735" s="71" t="str">
        <f>IFERROR(VLOOKUP(Proc[[#This Row],[App]],Table2[],3,0),"open")</f>
        <v>ok</v>
      </c>
      <c r="C735" s="70" t="s">
        <v>369</v>
      </c>
      <c r="D735" t="s">
        <v>2158</v>
      </c>
      <c r="E735" t="s">
        <v>2159</v>
      </c>
      <c r="F735" s="105" t="s">
        <v>2159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1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478</v>
      </c>
      <c r="S735" s="71"/>
    </row>
    <row r="736" spans="1:19" hidden="1">
      <c r="A736" s="70" t="s">
        <v>2088</v>
      </c>
      <c r="B736" s="71" t="str">
        <f>IFERROR(VLOOKUP(Proc[[#This Row],[App]],Table2[],3,0),"open")</f>
        <v>ok</v>
      </c>
      <c r="C736" s="70" t="s">
        <v>369</v>
      </c>
      <c r="D736" t="s">
        <v>2089</v>
      </c>
      <c r="E736" t="s">
        <v>2092</v>
      </c>
      <c r="F736" s="105" t="s">
        <v>2092</v>
      </c>
      <c r="G736" s="70" t="s">
        <v>400</v>
      </c>
      <c r="H736" s="71" t="str">
        <f>IF(Proc[[#This Row],[type]]="LFF (MDG-F)",MID(Proc[[#This Row],[Obj]],13,10),"")</f>
        <v/>
      </c>
      <c r="I736" t="s">
        <v>2095</v>
      </c>
      <c r="J736" s="71" t="b">
        <f>Proc[[#This Row],[Requested]]=Proc[[#This Row],[CurrentParent]]</f>
        <v>1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84</v>
      </c>
      <c r="R736" s="72" t="s">
        <v>484</v>
      </c>
      <c r="S736" s="71"/>
    </row>
    <row r="737" spans="1:19" hidden="1">
      <c r="A737" s="70" t="s">
        <v>2088</v>
      </c>
      <c r="B737" s="71" t="str">
        <f>IFERROR(VLOOKUP(Proc[[#This Row],[App]],Table2[],3,0),"open")</f>
        <v>ok</v>
      </c>
      <c r="C737" s="70" t="s">
        <v>369</v>
      </c>
      <c r="D737" t="s">
        <v>2090</v>
      </c>
      <c r="E737" t="s">
        <v>2093</v>
      </c>
      <c r="F737" s="105" t="s">
        <v>2093</v>
      </c>
      <c r="G737" s="70" t="s">
        <v>400</v>
      </c>
      <c r="H737" s="71" t="str">
        <f>IF(Proc[[#This Row],[type]]="LFF (MDG-F)",MID(Proc[[#This Row],[Obj]],13,10),"")</f>
        <v/>
      </c>
      <c r="I737" t="s">
        <v>2095</v>
      </c>
      <c r="J737" s="71" t="b">
        <f>Proc[[#This Row],[Requested]]=Proc[[#This Row],[CurrentParent]]</f>
        <v>1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84</v>
      </c>
      <c r="R737" s="72" t="s">
        <v>484</v>
      </c>
      <c r="S737" s="71"/>
    </row>
    <row r="738" spans="1:19" hidden="1">
      <c r="A738" s="70" t="s">
        <v>2088</v>
      </c>
      <c r="B738" s="71" t="str">
        <f>IFERROR(VLOOKUP(Proc[[#This Row],[App]],Table2[],3,0),"open")</f>
        <v>ok</v>
      </c>
      <c r="C738" s="70" t="s">
        <v>369</v>
      </c>
      <c r="D738" t="s">
        <v>2091</v>
      </c>
      <c r="E738" t="s">
        <v>2094</v>
      </c>
      <c r="F738" s="105" t="s">
        <v>2094</v>
      </c>
      <c r="G738" s="70" t="s">
        <v>400</v>
      </c>
      <c r="H738" s="71" t="str">
        <f>IF(Proc[[#This Row],[type]]="LFF (MDG-F)",MID(Proc[[#This Row],[Obj]],13,10),"")</f>
        <v/>
      </c>
      <c r="I738" t="s">
        <v>2095</v>
      </c>
      <c r="J738" s="71" t="b">
        <f>Proc[[#This Row],[Requested]]=Proc[[#This Row],[CurrentParent]]</f>
        <v>1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84</v>
      </c>
      <c r="R738" s="72" t="s">
        <v>484</v>
      </c>
      <c r="S738" s="71"/>
    </row>
    <row r="739" spans="1:19" hidden="1">
      <c r="A739" t="s">
        <v>2197</v>
      </c>
      <c r="B739" s="71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5" t="s">
        <v>2178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1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972</v>
      </c>
      <c r="S739" s="71"/>
    </row>
    <row r="740" spans="1:19" hidden="1">
      <c r="A740" s="70" t="s">
        <v>2197</v>
      </c>
      <c r="B740" s="71" t="str">
        <f>IFERROR(VLOOKUP(Proc[[#This Row],[App]],Table2[],3,0),"open")</f>
        <v>ok</v>
      </c>
      <c r="C740" s="70" t="s">
        <v>369</v>
      </c>
      <c r="D740" t="s">
        <v>2179</v>
      </c>
      <c r="E740" t="s">
        <v>2178</v>
      </c>
      <c r="F740" s="105" t="s">
        <v>2178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1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972</v>
      </c>
      <c r="S740" s="71"/>
    </row>
    <row r="741" spans="1:19" hidden="1">
      <c r="A741" s="70" t="s">
        <v>2197</v>
      </c>
      <c r="B741" s="71" t="str">
        <f>IFERROR(VLOOKUP(Proc[[#This Row],[App]],Table2[],3,0),"open")</f>
        <v>ok</v>
      </c>
      <c r="C741" s="70" t="s">
        <v>369</v>
      </c>
      <c r="D741" t="s">
        <v>2179</v>
      </c>
      <c r="E741" t="s">
        <v>2178</v>
      </c>
      <c r="F741" s="105" t="s">
        <v>2178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1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972</v>
      </c>
      <c r="S741" s="71"/>
    </row>
    <row r="742" spans="1:19" hidden="1">
      <c r="A742" s="70" t="s">
        <v>2197</v>
      </c>
      <c r="B742" s="71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5" t="s">
        <v>1232</v>
      </c>
      <c r="G742" s="70" t="s">
        <v>400</v>
      </c>
      <c r="H742" s="71" t="str">
        <f>IF(Proc[[#This Row],[type]]="LFF (MDG-F)",MID(Proc[[#This Row],[Obj]],13,10),"")</f>
        <v/>
      </c>
      <c r="I742" t="s">
        <v>1198</v>
      </c>
      <c r="J742" s="71" t="b">
        <f>Proc[[#This Row],[Requested]]=Proc[[#This Row],[CurrentParent]]</f>
        <v>1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972</v>
      </c>
      <c r="S742" s="71"/>
    </row>
    <row r="743" spans="1:19" hidden="1">
      <c r="A743" s="70" t="s">
        <v>2197</v>
      </c>
      <c r="B743" s="71" t="str">
        <f>IFERROR(VLOOKUP(Proc[[#This Row],[App]],Table2[],3,0),"open")</f>
        <v>ok</v>
      </c>
      <c r="C743" s="70" t="s">
        <v>369</v>
      </c>
      <c r="D743" t="s">
        <v>2181</v>
      </c>
      <c r="E743" t="s">
        <v>1232</v>
      </c>
      <c r="F743" s="105" t="s">
        <v>1232</v>
      </c>
      <c r="G743" s="70" t="s">
        <v>400</v>
      </c>
      <c r="H743" s="71" t="str">
        <f>IF(Proc[[#This Row],[type]]="LFF (MDG-F)",MID(Proc[[#This Row],[Obj]],13,10),"")</f>
        <v/>
      </c>
      <c r="I743" s="70" t="s">
        <v>1198</v>
      </c>
      <c r="J743" s="71" t="b">
        <f>Proc[[#This Row],[Requested]]=Proc[[#This Row],[CurrentParent]]</f>
        <v>1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972</v>
      </c>
      <c r="S743" s="71"/>
    </row>
    <row r="744" spans="1:19" hidden="1">
      <c r="A744" s="70" t="s">
        <v>2197</v>
      </c>
      <c r="B744" s="71" t="str">
        <f>IFERROR(VLOOKUP(Proc[[#This Row],[App]],Table2[],3,0),"open")</f>
        <v>ok</v>
      </c>
      <c r="C744" s="70" t="s">
        <v>369</v>
      </c>
      <c r="D744" t="s">
        <v>2182</v>
      </c>
      <c r="E744" t="s">
        <v>1232</v>
      </c>
      <c r="F744" s="105" t="s">
        <v>1232</v>
      </c>
      <c r="G744" s="70" t="s">
        <v>400</v>
      </c>
      <c r="H744" s="71" t="str">
        <f>IF(Proc[[#This Row],[type]]="LFF (MDG-F)",MID(Proc[[#This Row],[Obj]],13,10),"")</f>
        <v/>
      </c>
      <c r="I744" s="70" t="s">
        <v>1198</v>
      </c>
      <c r="J744" s="71" t="b">
        <f>Proc[[#This Row],[Requested]]=Proc[[#This Row],[CurrentParent]]</f>
        <v>1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972</v>
      </c>
      <c r="S744" s="71"/>
    </row>
    <row r="745" spans="1:19" hidden="1">
      <c r="A745" s="70" t="s">
        <v>2197</v>
      </c>
      <c r="B745" s="71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5" t="s">
        <v>2184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1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972</v>
      </c>
      <c r="S745" s="71"/>
    </row>
    <row r="746" spans="1:19" hidden="1">
      <c r="A746" s="70" t="s">
        <v>2197</v>
      </c>
      <c r="B746" s="71" t="str">
        <f>IFERROR(VLOOKUP(Proc[[#This Row],[App]],Table2[],3,0),"open")</f>
        <v>ok</v>
      </c>
      <c r="C746" s="70" t="s">
        <v>369</v>
      </c>
      <c r="D746" t="s">
        <v>2185</v>
      </c>
      <c r="E746" t="s">
        <v>2186</v>
      </c>
      <c r="F746" s="105" t="s">
        <v>2186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1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972</v>
      </c>
      <c r="S746" s="71"/>
    </row>
    <row r="747" spans="1:19" hidden="1">
      <c r="A747" s="70" t="s">
        <v>2197</v>
      </c>
      <c r="B747" s="71" t="str">
        <f>IFERROR(VLOOKUP(Proc[[#This Row],[App]],Table2[],3,0),"open")</f>
        <v>ok</v>
      </c>
      <c r="C747" s="70" t="s">
        <v>369</v>
      </c>
      <c r="D747" t="s">
        <v>2187</v>
      </c>
      <c r="E747" t="s">
        <v>652</v>
      </c>
      <c r="F747" s="105" t="s">
        <v>652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1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972</v>
      </c>
      <c r="S747" s="71"/>
    </row>
    <row r="748" spans="1:19" hidden="1">
      <c r="A748" s="70" t="s">
        <v>2197</v>
      </c>
      <c r="B748" s="71" t="str">
        <f>IFERROR(VLOOKUP(Proc[[#This Row],[App]],Table2[],3,0),"open")</f>
        <v>ok</v>
      </c>
      <c r="C748" s="70" t="s">
        <v>369</v>
      </c>
      <c r="D748" t="s">
        <v>2188</v>
      </c>
      <c r="E748" t="s">
        <v>652</v>
      </c>
      <c r="F748" s="105" t="s">
        <v>652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1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972</v>
      </c>
      <c r="S748" s="71"/>
    </row>
    <row r="749" spans="1:19" hidden="1">
      <c r="A749" s="70" t="s">
        <v>2197</v>
      </c>
      <c r="B749" s="71" t="str">
        <f>IFERROR(VLOOKUP(Proc[[#This Row],[App]],Table2[],3,0),"open")</f>
        <v>ok</v>
      </c>
      <c r="C749" s="70" t="s">
        <v>369</v>
      </c>
      <c r="D749" t="s">
        <v>2189</v>
      </c>
      <c r="E749" t="s">
        <v>652</v>
      </c>
      <c r="F749" s="105" t="s">
        <v>652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1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972</v>
      </c>
      <c r="S749" s="71"/>
    </row>
    <row r="750" spans="1:19" hidden="1">
      <c r="A750" s="70" t="s">
        <v>2197</v>
      </c>
      <c r="B750" s="71" t="str">
        <f>IFERROR(VLOOKUP(Proc[[#This Row],[App]],Table2[],3,0),"open")</f>
        <v>ok</v>
      </c>
      <c r="C750" s="70" t="s">
        <v>369</v>
      </c>
      <c r="D750" t="s">
        <v>2190</v>
      </c>
      <c r="E750" t="s">
        <v>2191</v>
      </c>
      <c r="F750" s="105" t="s">
        <v>2191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1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972</v>
      </c>
      <c r="S750" s="71"/>
    </row>
    <row r="751" spans="1:19" hidden="1">
      <c r="A751" s="70" t="s">
        <v>2197</v>
      </c>
      <c r="B751" s="71" t="str">
        <f>IFERROR(VLOOKUP(Proc[[#This Row],[App]],Table2[],3,0),"open")</f>
        <v>ok</v>
      </c>
      <c r="C751" s="70" t="s">
        <v>369</v>
      </c>
      <c r="D751" t="s">
        <v>2192</v>
      </c>
      <c r="E751" t="s">
        <v>2193</v>
      </c>
      <c r="F751" s="105" t="s">
        <v>2193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1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972</v>
      </c>
      <c r="S751" s="71"/>
    </row>
    <row r="752" spans="1:19" hidden="1">
      <c r="A752" s="70" t="s">
        <v>2197</v>
      </c>
      <c r="B752" s="71" t="str">
        <f>IFERROR(VLOOKUP(Proc[[#This Row],[App]],Table2[],3,0),"open")</f>
        <v>ok</v>
      </c>
      <c r="C752" s="70" t="s">
        <v>369</v>
      </c>
      <c r="D752" t="s">
        <v>2194</v>
      </c>
      <c r="E752" t="s">
        <v>2193</v>
      </c>
      <c r="F752" s="105" t="s">
        <v>2193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1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972</v>
      </c>
      <c r="S752" s="71"/>
    </row>
    <row r="753" spans="1:19" hidden="1">
      <c r="A753" s="70" t="s">
        <v>2197</v>
      </c>
      <c r="B753" s="71" t="str">
        <f>IFERROR(VLOOKUP(Proc[[#This Row],[App]],Table2[],3,0),"open")</f>
        <v>ok</v>
      </c>
      <c r="C753" s="70" t="s">
        <v>369</v>
      </c>
      <c r="D753" t="s">
        <v>2195</v>
      </c>
      <c r="E753" t="s">
        <v>2196</v>
      </c>
      <c r="F753" s="105" t="s">
        <v>2196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1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972</v>
      </c>
      <c r="S753" s="71"/>
    </row>
    <row r="754" spans="1:19" hidden="1">
      <c r="A754" t="s">
        <v>2209</v>
      </c>
      <c r="B754" s="71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5" t="s">
        <v>2208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1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830</v>
      </c>
      <c r="S754" s="71"/>
    </row>
    <row r="755" spans="1:19" hidden="1">
      <c r="A755" t="s">
        <v>2210</v>
      </c>
      <c r="B755" s="71" t="str">
        <f>IFERROR(VLOOKUP(Proc[[#This Row],[App]],Table2[],3,0),"open")</f>
        <v>ok</v>
      </c>
      <c r="C755" s="70" t="s">
        <v>369</v>
      </c>
      <c r="D755" t="s">
        <v>2211</v>
      </c>
      <c r="E755" t="s">
        <v>2212</v>
      </c>
      <c r="F755" s="105" t="s">
        <v>2212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1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1076</v>
      </c>
      <c r="S755" s="71"/>
    </row>
    <row r="756" spans="1:19" hidden="1">
      <c r="A756" s="70" t="s">
        <v>2201</v>
      </c>
      <c r="B756" s="71" t="str">
        <f>IFERROR(VLOOKUP(Proc[[#This Row],[App]],Table2[],3,0),"open")</f>
        <v>ok</v>
      </c>
      <c r="C756" s="70" t="s">
        <v>369</v>
      </c>
      <c r="D756" t="s">
        <v>2213</v>
      </c>
      <c r="E756" t="s">
        <v>523</v>
      </c>
      <c r="F756" s="105" t="s">
        <v>523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1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972</v>
      </c>
      <c r="S756" s="71"/>
    </row>
    <row r="757" spans="1:19" hidden="1">
      <c r="A757" s="70" t="s">
        <v>2201</v>
      </c>
      <c r="B757" s="71" t="str">
        <f>IFERROR(VLOOKUP(Proc[[#This Row],[App]],Table2[],3,0),"open")</f>
        <v>ok</v>
      </c>
      <c r="C757" s="70" t="s">
        <v>369</v>
      </c>
      <c r="D757" t="s">
        <v>2203</v>
      </c>
      <c r="E757" t="s">
        <v>2205</v>
      </c>
      <c r="F757" s="105" t="s">
        <v>2205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1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972</v>
      </c>
      <c r="S757" s="71"/>
    </row>
    <row r="758" spans="1:19" hidden="1">
      <c r="A758" s="70" t="s">
        <v>2201</v>
      </c>
      <c r="B758" s="71" t="str">
        <f>IFERROR(VLOOKUP(Proc[[#This Row],[App]],Table2[],3,0),"open")</f>
        <v>ok</v>
      </c>
      <c r="C758" s="70" t="s">
        <v>369</v>
      </c>
      <c r="D758" t="s">
        <v>2204</v>
      </c>
      <c r="E758" t="s">
        <v>2206</v>
      </c>
      <c r="F758" s="105" t="s">
        <v>2206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1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972</v>
      </c>
      <c r="S758" s="71"/>
    </row>
    <row r="759" spans="1:19" hidden="1">
      <c r="A759" t="s">
        <v>2201</v>
      </c>
      <c r="B759" s="71" t="str">
        <f>IFERROR(VLOOKUP(Proc[[#This Row],[App]],Table2[],3,0),"open")</f>
        <v>ok</v>
      </c>
      <c r="C759" s="70" t="s">
        <v>369</v>
      </c>
      <c r="D759" s="70" t="s">
        <v>2202</v>
      </c>
      <c r="E759" t="s">
        <v>2205</v>
      </c>
      <c r="F759" s="105" t="s">
        <v>2205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1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972</v>
      </c>
      <c r="S759" s="71"/>
    </row>
    <row r="760" spans="1:19" hidden="1">
      <c r="A760" t="s">
        <v>2198</v>
      </c>
      <c r="B760" s="71" t="str">
        <f>IFERROR(VLOOKUP(Proc[[#This Row],[App]],Table2[],3,0),"open")</f>
        <v>ok</v>
      </c>
      <c r="C760" s="70" t="s">
        <v>369</v>
      </c>
      <c r="D760" t="s">
        <v>2199</v>
      </c>
      <c r="E760" t="s">
        <v>2200</v>
      </c>
      <c r="F760" s="105" t="s">
        <v>2200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1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972</v>
      </c>
      <c r="S760" s="71"/>
    </row>
    <row r="761" spans="1:19" hidden="1">
      <c r="A761" t="s">
        <v>2217</v>
      </c>
      <c r="B761" s="71" t="str">
        <f>IFERROR(VLOOKUP(Proc[[#This Row],[App]],Table2[],3,0),"open")</f>
        <v>ok</v>
      </c>
      <c r="C761" s="70" t="s">
        <v>369</v>
      </c>
      <c r="D761" t="s">
        <v>2218</v>
      </c>
      <c r="E761" t="s">
        <v>2219</v>
      </c>
      <c r="F761" s="105" t="s">
        <v>2219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1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1076</v>
      </c>
      <c r="S761" s="71"/>
    </row>
    <row r="762" spans="1:19" hidden="1">
      <c r="A762" t="s">
        <v>2216</v>
      </c>
      <c r="B762" s="71" t="str">
        <f>IFERROR(VLOOKUP(Proc[[#This Row],[App]],Table2[],3,0),"open")</f>
        <v>ok</v>
      </c>
      <c r="C762" s="70" t="s">
        <v>369</v>
      </c>
      <c r="D762" t="s">
        <v>2214</v>
      </c>
      <c r="E762" t="s">
        <v>413</v>
      </c>
      <c r="F762" s="105" t="s">
        <v>413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1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515</v>
      </c>
      <c r="S762" s="71"/>
    </row>
    <row r="763" spans="1:19" hidden="1">
      <c r="A763" t="s">
        <v>2216</v>
      </c>
      <c r="B763" s="71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5" t="s">
        <v>413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1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515</v>
      </c>
      <c r="S763" s="71"/>
    </row>
    <row r="764" spans="1:19" hidden="1">
      <c r="A764" t="s">
        <v>2279</v>
      </c>
      <c r="B764" s="71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5" t="s">
        <v>2269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1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738</v>
      </c>
      <c r="S764" s="71"/>
    </row>
    <row r="765" spans="1:19" hidden="1">
      <c r="A765" s="70" t="s">
        <v>2279</v>
      </c>
      <c r="B765" s="71" t="str">
        <f>IFERROR(VLOOKUP(Proc[[#This Row],[App]],Table2[],3,0),"open")</f>
        <v>ok</v>
      </c>
      <c r="C765" s="70" t="s">
        <v>369</v>
      </c>
      <c r="D765" t="s">
        <v>2270</v>
      </c>
      <c r="E765" t="s">
        <v>2269</v>
      </c>
      <c r="F765" s="105" t="s">
        <v>2269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1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738</v>
      </c>
      <c r="S765" s="71"/>
    </row>
    <row r="766" spans="1:19" hidden="1">
      <c r="A766" s="70" t="s">
        <v>2279</v>
      </c>
      <c r="B766" s="71" t="str">
        <f>IFERROR(VLOOKUP(Proc[[#This Row],[App]],Table2[],3,0),"open")</f>
        <v>ok</v>
      </c>
      <c r="C766" s="70" t="s">
        <v>369</v>
      </c>
      <c r="D766" t="s">
        <v>2271</v>
      </c>
      <c r="E766" t="s">
        <v>2269</v>
      </c>
      <c r="F766" s="105" t="s">
        <v>2269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1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738</v>
      </c>
      <c r="S766" s="71"/>
    </row>
    <row r="767" spans="1:19" hidden="1">
      <c r="A767" s="70" t="s">
        <v>2279</v>
      </c>
      <c r="B767" s="71" t="str">
        <f>IFERROR(VLOOKUP(Proc[[#This Row],[App]],Table2[],3,0),"open")</f>
        <v>ok</v>
      </c>
      <c r="C767" s="70" t="s">
        <v>369</v>
      </c>
      <c r="D767" t="s">
        <v>2272</v>
      </c>
      <c r="E767" t="s">
        <v>2269</v>
      </c>
      <c r="F767" s="105" t="s">
        <v>2269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1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738</v>
      </c>
      <c r="S767" s="71"/>
    </row>
    <row r="768" spans="1:19" hidden="1">
      <c r="A768" s="70" t="s">
        <v>2279</v>
      </c>
      <c r="B768" s="71" t="str">
        <f>IFERROR(VLOOKUP(Proc[[#This Row],[App]],Table2[],3,0),"open")</f>
        <v>ok</v>
      </c>
      <c r="C768" s="70" t="s">
        <v>369</v>
      </c>
      <c r="D768" t="s">
        <v>2273</v>
      </c>
      <c r="E768" t="s">
        <v>2274</v>
      </c>
      <c r="F768" s="105" t="s">
        <v>2274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1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738</v>
      </c>
      <c r="S768" s="71"/>
    </row>
    <row r="769" spans="1:19" hidden="1">
      <c r="A769" s="70" t="s">
        <v>2279</v>
      </c>
      <c r="B769" s="71" t="str">
        <f>IFERROR(VLOOKUP(Proc[[#This Row],[App]],Table2[],3,0),"open")</f>
        <v>ok</v>
      </c>
      <c r="C769" s="70" t="s">
        <v>369</v>
      </c>
      <c r="D769" t="s">
        <v>2275</v>
      </c>
      <c r="E769" t="s">
        <v>2274</v>
      </c>
      <c r="F769" s="105" t="s">
        <v>2274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1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738</v>
      </c>
      <c r="S769" s="71"/>
    </row>
    <row r="770" spans="1:19" hidden="1">
      <c r="A770" s="70" t="s">
        <v>2279</v>
      </c>
      <c r="B770" s="71" t="str">
        <f>IFERROR(VLOOKUP(Proc[[#This Row],[App]],Table2[],3,0),"open")</f>
        <v>ok</v>
      </c>
      <c r="C770" s="70" t="s">
        <v>369</v>
      </c>
      <c r="D770" t="s">
        <v>2276</v>
      </c>
      <c r="E770" t="s">
        <v>2274</v>
      </c>
      <c r="F770" s="105" t="s">
        <v>2274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1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738</v>
      </c>
      <c r="S770" s="71"/>
    </row>
    <row r="771" spans="1:19" hidden="1">
      <c r="A771" s="70" t="s">
        <v>2279</v>
      </c>
      <c r="B771" s="71" t="str">
        <f>IFERROR(VLOOKUP(Proc[[#This Row],[App]],Table2[],3,0),"open")</f>
        <v>ok</v>
      </c>
      <c r="C771" s="70" t="s">
        <v>369</v>
      </c>
      <c r="D771" t="s">
        <v>2277</v>
      </c>
      <c r="E771" t="s">
        <v>2278</v>
      </c>
      <c r="F771" s="105" t="s">
        <v>2278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1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738</v>
      </c>
      <c r="S771" s="71"/>
    </row>
    <row r="772" spans="1:19" hidden="1">
      <c r="A772" s="70" t="s">
        <v>2266</v>
      </c>
      <c r="B772" s="71" t="str">
        <f>IFERROR(VLOOKUP(Proc[[#This Row],[App]],Table2[],3,0),"open")</f>
        <v>ok</v>
      </c>
      <c r="C772" s="70" t="s">
        <v>369</v>
      </c>
      <c r="D772" t="s">
        <v>1745</v>
      </c>
      <c r="E772" t="s">
        <v>493</v>
      </c>
      <c r="F772" s="105" t="s">
        <v>493</v>
      </c>
      <c r="G772" s="70" t="s">
        <v>400</v>
      </c>
      <c r="H772" s="71" t="str">
        <f>IF(Proc[[#This Row],[type]]="LFF (MDG-F)",MID(Proc[[#This Row],[Obj]],13,10),"")</f>
        <v/>
      </c>
      <c r="I772" t="s">
        <v>1198</v>
      </c>
      <c r="J772" s="71" t="b">
        <f>Proc[[#This Row],[Requested]]=Proc[[#This Row],[CurrentParent]]</f>
        <v>1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478</v>
      </c>
      <c r="S772" s="71"/>
    </row>
    <row r="773" spans="1:19" hidden="1">
      <c r="A773" s="70" t="s">
        <v>2266</v>
      </c>
      <c r="B773" s="71" t="str">
        <f>IFERROR(VLOOKUP(Proc[[#This Row],[App]],Table2[],3,0),"open")</f>
        <v>ok</v>
      </c>
      <c r="C773" s="70" t="s">
        <v>369</v>
      </c>
      <c r="D773" t="s">
        <v>2265</v>
      </c>
      <c r="E773" t="s">
        <v>2267</v>
      </c>
      <c r="F773" s="105" t="s">
        <v>2267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1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478</v>
      </c>
      <c r="S773" s="71"/>
    </row>
    <row r="774" spans="1:19" hidden="1">
      <c r="A774" s="70" t="s">
        <v>2264</v>
      </c>
      <c r="B774" s="71" t="str">
        <f>IFERROR(VLOOKUP(Proc[[#This Row],[App]],Table2[],3,0),"open")</f>
        <v>ok</v>
      </c>
      <c r="C774" s="70" t="s">
        <v>369</v>
      </c>
      <c r="D774" t="s">
        <v>2262</v>
      </c>
      <c r="E774" t="s">
        <v>540</v>
      </c>
      <c r="F774" s="105" t="s">
        <v>540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1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2263</v>
      </c>
      <c r="S774" s="71"/>
    </row>
    <row r="775" spans="1:19" hidden="1">
      <c r="A775" s="70" t="s">
        <v>2261</v>
      </c>
      <c r="B775" s="71" t="str">
        <f>IFERROR(VLOOKUP(Proc[[#This Row],[App]],Table2[],3,0),"open")</f>
        <v>ok</v>
      </c>
      <c r="C775" s="70" t="s">
        <v>369</v>
      </c>
      <c r="D775" t="s">
        <v>2245</v>
      </c>
      <c r="E775" t="s">
        <v>2246</v>
      </c>
      <c r="F775" s="105" t="s">
        <v>2246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1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1013</v>
      </c>
      <c r="S775" s="71"/>
    </row>
    <row r="776" spans="1:19" hidden="1">
      <c r="A776" s="70" t="s">
        <v>2261</v>
      </c>
      <c r="B776" s="71" t="str">
        <f>IFERROR(VLOOKUP(Proc[[#This Row],[App]],Table2[],3,0),"open")</f>
        <v>ok</v>
      </c>
      <c r="C776" s="70" t="s">
        <v>369</v>
      </c>
      <c r="D776" t="s">
        <v>2247</v>
      </c>
      <c r="E776" t="s">
        <v>2248</v>
      </c>
      <c r="F776" s="105" t="s">
        <v>2248</v>
      </c>
      <c r="G776" s="70" t="s">
        <v>400</v>
      </c>
      <c r="H776" s="71" t="str">
        <f>IF(Proc[[#This Row],[type]]="LFF (MDG-F)",MID(Proc[[#This Row],[Obj]],13,10),"")</f>
        <v/>
      </c>
      <c r="I776" t="s">
        <v>2280</v>
      </c>
      <c r="J776" s="71" t="b">
        <f>Proc[[#This Row],[Requested]]=Proc[[#This Row],[CurrentParent]]</f>
        <v>1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1013</v>
      </c>
      <c r="S776" s="71"/>
    </row>
    <row r="777" spans="1:19" hidden="1">
      <c r="A777" s="70" t="s">
        <v>2261</v>
      </c>
      <c r="B777" s="71" t="str">
        <f>IFERROR(VLOOKUP(Proc[[#This Row],[App]],Table2[],3,0),"open")</f>
        <v>ok</v>
      </c>
      <c r="C777" s="70" t="s">
        <v>369</v>
      </c>
      <c r="D777" t="s">
        <v>2249</v>
      </c>
      <c r="E777" t="s">
        <v>2250</v>
      </c>
      <c r="F777" s="105" t="s">
        <v>2250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1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1013</v>
      </c>
      <c r="S777" s="71"/>
    </row>
    <row r="778" spans="1:19" hidden="1">
      <c r="A778" s="70" t="s">
        <v>2261</v>
      </c>
      <c r="B778" s="71" t="str">
        <f>IFERROR(VLOOKUP(Proc[[#This Row],[App]],Table2[],3,0),"open")</f>
        <v>ok</v>
      </c>
      <c r="C778" s="70" t="s">
        <v>369</v>
      </c>
      <c r="D778" t="s">
        <v>2251</v>
      </c>
      <c r="E778" t="s">
        <v>2250</v>
      </c>
      <c r="F778" s="105" t="s">
        <v>2250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1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1013</v>
      </c>
      <c r="S778" s="71"/>
    </row>
    <row r="779" spans="1:19" hidden="1">
      <c r="A779" s="70" t="s">
        <v>2261</v>
      </c>
      <c r="B779" s="71" t="str">
        <f>IFERROR(VLOOKUP(Proc[[#This Row],[App]],Table2[],3,0),"open")</f>
        <v>ok</v>
      </c>
      <c r="C779" s="70" t="s">
        <v>369</v>
      </c>
      <c r="D779" t="s">
        <v>2252</v>
      </c>
      <c r="E779" t="s">
        <v>2250</v>
      </c>
      <c r="F779" s="105" t="s">
        <v>2250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1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1013</v>
      </c>
      <c r="S779" s="71"/>
    </row>
    <row r="780" spans="1:19" hidden="1">
      <c r="A780" s="70" t="s">
        <v>2261</v>
      </c>
      <c r="B780" s="71" t="str">
        <f>IFERROR(VLOOKUP(Proc[[#This Row],[App]],Table2[],3,0),"open")</f>
        <v>ok</v>
      </c>
      <c r="C780" s="70" t="s">
        <v>369</v>
      </c>
      <c r="D780" t="s">
        <v>2253</v>
      </c>
      <c r="E780" t="s">
        <v>2250</v>
      </c>
      <c r="F780" s="105" t="s">
        <v>2250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1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1013</v>
      </c>
      <c r="S780" s="71"/>
    </row>
    <row r="781" spans="1:19" hidden="1">
      <c r="A781" s="70" t="s">
        <v>2261</v>
      </c>
      <c r="B781" s="71" t="str">
        <f>IFERROR(VLOOKUP(Proc[[#This Row],[App]],Table2[],3,0),"open")</f>
        <v>ok</v>
      </c>
      <c r="C781" s="70" t="s">
        <v>369</v>
      </c>
      <c r="D781" t="s">
        <v>2254</v>
      </c>
      <c r="E781" t="s">
        <v>2255</v>
      </c>
      <c r="F781" s="105" t="s">
        <v>2255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1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1013</v>
      </c>
      <c r="S781" s="71"/>
    </row>
    <row r="782" spans="1:19" hidden="1">
      <c r="A782" s="70" t="s">
        <v>2261</v>
      </c>
      <c r="B782" s="71" t="str">
        <f>IFERROR(VLOOKUP(Proc[[#This Row],[App]],Table2[],3,0),"open")</f>
        <v>ok</v>
      </c>
      <c r="C782" s="70" t="s">
        <v>369</v>
      </c>
      <c r="D782" t="s">
        <v>2256</v>
      </c>
      <c r="E782" t="s">
        <v>2257</v>
      </c>
      <c r="F782" s="105" t="s">
        <v>2257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1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1013</v>
      </c>
      <c r="S782" s="71"/>
    </row>
    <row r="783" spans="1:19" hidden="1">
      <c r="A783" s="70" t="s">
        <v>2261</v>
      </c>
      <c r="B783" s="71" t="str">
        <f>IFERROR(VLOOKUP(Proc[[#This Row],[App]],Table2[],3,0),"open")</f>
        <v>ok</v>
      </c>
      <c r="C783" s="70" t="s">
        <v>369</v>
      </c>
      <c r="D783" t="s">
        <v>2258</v>
      </c>
      <c r="E783" t="s">
        <v>2248</v>
      </c>
      <c r="F783" s="105" t="s">
        <v>2248</v>
      </c>
      <c r="G783" s="70" t="s">
        <v>400</v>
      </c>
      <c r="H783" s="71" t="str">
        <f>IF(Proc[[#This Row],[type]]="LFF (MDG-F)",MID(Proc[[#This Row],[Obj]],13,10),"")</f>
        <v/>
      </c>
      <c r="I783" t="s">
        <v>2280</v>
      </c>
      <c r="J783" s="71" t="b">
        <f>Proc[[#This Row],[Requested]]=Proc[[#This Row],[CurrentParent]]</f>
        <v>1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1013</v>
      </c>
      <c r="S783" s="71"/>
    </row>
    <row r="784" spans="1:19" hidden="1">
      <c r="A784" s="70" t="s">
        <v>2261</v>
      </c>
      <c r="B784" s="71" t="str">
        <f>IFERROR(VLOOKUP(Proc[[#This Row],[App]],Table2[],3,0),"open")</f>
        <v>ok</v>
      </c>
      <c r="C784" s="70" t="s">
        <v>369</v>
      </c>
      <c r="D784" t="s">
        <v>2259</v>
      </c>
      <c r="E784" t="s">
        <v>2250</v>
      </c>
      <c r="F784" s="105" t="s">
        <v>2250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1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1013</v>
      </c>
      <c r="S784" s="71"/>
    </row>
    <row r="785" spans="1:19" hidden="1">
      <c r="A785" s="70" t="s">
        <v>2261</v>
      </c>
      <c r="B785" s="71" t="str">
        <f>IFERROR(VLOOKUP(Proc[[#This Row],[App]],Table2[],3,0),"open")</f>
        <v>ok</v>
      </c>
      <c r="C785" s="70" t="s">
        <v>369</v>
      </c>
      <c r="D785" t="s">
        <v>2260</v>
      </c>
      <c r="E785" t="s">
        <v>2250</v>
      </c>
      <c r="F785" s="105" t="s">
        <v>2250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1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1013</v>
      </c>
      <c r="S785" s="71"/>
    </row>
    <row r="786" spans="1:19" hidden="1">
      <c r="A786" t="s">
        <v>2244</v>
      </c>
      <c r="B786" s="71" t="str">
        <f>IFERROR(VLOOKUP(Proc[[#This Row],[App]],Table2[],3,0),"open")</f>
        <v>ok</v>
      </c>
      <c r="C786" s="70" t="s">
        <v>369</v>
      </c>
      <c r="D786" t="s">
        <v>2221</v>
      </c>
      <c r="E786" t="s">
        <v>2222</v>
      </c>
      <c r="F786" s="105" t="s">
        <v>2222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1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1013</v>
      </c>
      <c r="S786" s="71"/>
    </row>
    <row r="787" spans="1:19" hidden="1">
      <c r="A787" s="70" t="s">
        <v>2244</v>
      </c>
      <c r="B787" s="71" t="str">
        <f>IFERROR(VLOOKUP(Proc[[#This Row],[App]],Table2[],3,0),"open")</f>
        <v>ok</v>
      </c>
      <c r="C787" s="70" t="s">
        <v>369</v>
      </c>
      <c r="D787" t="s">
        <v>2223</v>
      </c>
      <c r="E787" t="s">
        <v>2224</v>
      </c>
      <c r="F787" s="105" t="s">
        <v>2224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1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1013</v>
      </c>
      <c r="S787" s="71"/>
    </row>
    <row r="788" spans="1:19" hidden="1">
      <c r="A788" s="70" t="s">
        <v>2244</v>
      </c>
      <c r="B788" s="71" t="str">
        <f>IFERROR(VLOOKUP(Proc[[#This Row],[App]],Table2[],3,0),"open")</f>
        <v>ok</v>
      </c>
      <c r="C788" s="70" t="s">
        <v>369</v>
      </c>
      <c r="D788" t="s">
        <v>2225</v>
      </c>
      <c r="E788" t="s">
        <v>2224</v>
      </c>
      <c r="F788" s="105" t="s">
        <v>2224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1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1013</v>
      </c>
      <c r="S788" s="71"/>
    </row>
    <row r="789" spans="1:19" hidden="1">
      <c r="A789" s="70" t="s">
        <v>2244</v>
      </c>
      <c r="B789" s="71" t="str">
        <f>IFERROR(VLOOKUP(Proc[[#This Row],[App]],Table2[],3,0),"open")</f>
        <v>ok</v>
      </c>
      <c r="C789" s="70" t="s">
        <v>369</v>
      </c>
      <c r="D789" t="s">
        <v>2226</v>
      </c>
      <c r="E789" t="s">
        <v>2224</v>
      </c>
      <c r="F789" s="105" t="s">
        <v>2224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1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1013</v>
      </c>
      <c r="S789" s="71"/>
    </row>
    <row r="790" spans="1:19" hidden="1">
      <c r="A790" s="70" t="s">
        <v>2244</v>
      </c>
      <c r="B790" s="71" t="str">
        <f>IFERROR(VLOOKUP(Proc[[#This Row],[App]],Table2[],3,0),"open")</f>
        <v>ok</v>
      </c>
      <c r="C790" s="70" t="s">
        <v>369</v>
      </c>
      <c r="D790" t="s">
        <v>2227</v>
      </c>
      <c r="E790" t="s">
        <v>2224</v>
      </c>
      <c r="F790" s="105" t="s">
        <v>2224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1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1013</v>
      </c>
      <c r="S790" s="71"/>
    </row>
    <row r="791" spans="1:19" hidden="1">
      <c r="A791" s="70" t="s">
        <v>2244</v>
      </c>
      <c r="B791" s="71" t="str">
        <f>IFERROR(VLOOKUP(Proc[[#This Row],[App]],Table2[],3,0),"open")</f>
        <v>ok</v>
      </c>
      <c r="C791" s="70" t="s">
        <v>369</v>
      </c>
      <c r="D791" t="s">
        <v>2228</v>
      </c>
      <c r="E791" t="s">
        <v>2224</v>
      </c>
      <c r="F791" s="105" t="s">
        <v>2224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1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1013</v>
      </c>
      <c r="S791" s="71"/>
    </row>
    <row r="792" spans="1:19" hidden="1">
      <c r="A792" s="70" t="s">
        <v>2244</v>
      </c>
      <c r="B792" s="71" t="str">
        <f>IFERROR(VLOOKUP(Proc[[#This Row],[App]],Table2[],3,0),"open")</f>
        <v>ok</v>
      </c>
      <c r="C792" s="70" t="s">
        <v>369</v>
      </c>
      <c r="D792" t="s">
        <v>2229</v>
      </c>
      <c r="E792" t="s">
        <v>2224</v>
      </c>
      <c r="F792" s="105" t="s">
        <v>2224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1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1013</v>
      </c>
      <c r="S792" s="71"/>
    </row>
    <row r="793" spans="1:19" hidden="1">
      <c r="A793" s="70" t="s">
        <v>2244</v>
      </c>
      <c r="B793" s="71" t="str">
        <f>IFERROR(VLOOKUP(Proc[[#This Row],[App]],Table2[],3,0),"open")</f>
        <v>ok</v>
      </c>
      <c r="C793" s="70" t="s">
        <v>369</v>
      </c>
      <c r="D793" t="s">
        <v>2230</v>
      </c>
      <c r="E793" t="s">
        <v>2224</v>
      </c>
      <c r="F793" s="105" t="s">
        <v>2224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1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1013</v>
      </c>
      <c r="S793" s="71"/>
    </row>
    <row r="794" spans="1:19" hidden="1">
      <c r="A794" s="70" t="s">
        <v>2244</v>
      </c>
      <c r="B794" s="71" t="str">
        <f>IFERROR(VLOOKUP(Proc[[#This Row],[App]],Table2[],3,0),"open")</f>
        <v>ok</v>
      </c>
      <c r="C794" s="70" t="s">
        <v>369</v>
      </c>
      <c r="D794" t="s">
        <v>2231</v>
      </c>
      <c r="E794" t="s">
        <v>2224</v>
      </c>
      <c r="F794" s="105" t="s">
        <v>2224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1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1013</v>
      </c>
      <c r="S794" s="71"/>
    </row>
    <row r="795" spans="1:19" hidden="1">
      <c r="A795" s="70" t="s">
        <v>2244</v>
      </c>
      <c r="B795" s="71" t="str">
        <f>IFERROR(VLOOKUP(Proc[[#This Row],[App]],Table2[],3,0),"open")</f>
        <v>ok</v>
      </c>
      <c r="C795" s="70" t="s">
        <v>369</v>
      </c>
      <c r="D795" t="s">
        <v>2232</v>
      </c>
      <c r="E795" t="s">
        <v>2224</v>
      </c>
      <c r="F795" s="105" t="s">
        <v>2224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1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1013</v>
      </c>
      <c r="S795" s="71"/>
    </row>
    <row r="796" spans="1:19" hidden="1">
      <c r="A796" s="70" t="s">
        <v>2244</v>
      </c>
      <c r="B796" s="71" t="str">
        <f>IFERROR(VLOOKUP(Proc[[#This Row],[App]],Table2[],3,0),"open")</f>
        <v>ok</v>
      </c>
      <c r="C796" s="70" t="s">
        <v>369</v>
      </c>
      <c r="D796" t="s">
        <v>2233</v>
      </c>
      <c r="E796" t="s">
        <v>2224</v>
      </c>
      <c r="F796" s="105" t="s">
        <v>2224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1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1013</v>
      </c>
      <c r="S796" s="71"/>
    </row>
    <row r="797" spans="1:19" hidden="1">
      <c r="A797" t="s">
        <v>2244</v>
      </c>
      <c r="B797" s="71" t="str">
        <f>IFERROR(VLOOKUP(Proc[[#This Row],[App]],Table2[],3,0),"open")</f>
        <v>ok</v>
      </c>
      <c r="C797" s="70" t="s">
        <v>369</v>
      </c>
      <c r="D797" t="s">
        <v>2234</v>
      </c>
      <c r="E797" t="s">
        <v>2224</v>
      </c>
      <c r="F797" s="105" t="s">
        <v>2224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1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1013</v>
      </c>
      <c r="S797" s="71"/>
    </row>
    <row r="798" spans="1:19" hidden="1">
      <c r="A798" t="s">
        <v>2244</v>
      </c>
      <c r="B798" s="71" t="str">
        <f>IFERROR(VLOOKUP(Proc[[#This Row],[App]],Table2[],3,0),"open")</f>
        <v>ok</v>
      </c>
      <c r="C798" s="70" t="s">
        <v>369</v>
      </c>
      <c r="D798" t="s">
        <v>2235</v>
      </c>
      <c r="E798" t="s">
        <v>2224</v>
      </c>
      <c r="F798" s="105" t="s">
        <v>2224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1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1013</v>
      </c>
      <c r="S798" s="71"/>
    </row>
    <row r="799" spans="1:19" hidden="1">
      <c r="A799" s="70" t="s">
        <v>2244</v>
      </c>
      <c r="B799" s="71" t="str">
        <f>IFERROR(VLOOKUP(Proc[[#This Row],[App]],Table2[],3,0),"open")</f>
        <v>ok</v>
      </c>
      <c r="C799" s="70" t="s">
        <v>369</v>
      </c>
      <c r="D799" t="s">
        <v>2236</v>
      </c>
      <c r="E799" t="s">
        <v>2224</v>
      </c>
      <c r="F799" s="105" t="s">
        <v>2224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1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1013</v>
      </c>
      <c r="S799" s="71"/>
    </row>
    <row r="800" spans="1:19" hidden="1">
      <c r="A800" t="s">
        <v>2244</v>
      </c>
      <c r="B800" s="71" t="str">
        <f>IFERROR(VLOOKUP(Proc[[#This Row],[App]],Table2[],3,0),"open")</f>
        <v>ok</v>
      </c>
      <c r="C800" s="70" t="s">
        <v>369</v>
      </c>
      <c r="D800" t="s">
        <v>2237</v>
      </c>
      <c r="E800" t="s">
        <v>2224</v>
      </c>
      <c r="F800" s="105" t="s">
        <v>2224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1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1013</v>
      </c>
      <c r="S800" s="71"/>
    </row>
    <row r="801" spans="1:19" hidden="1">
      <c r="A801" s="70" t="s">
        <v>2244</v>
      </c>
      <c r="B801" s="71" t="str">
        <f>IFERROR(VLOOKUP(Proc[[#This Row],[App]],Table2[],3,0),"open")</f>
        <v>ok</v>
      </c>
      <c r="C801" s="70" t="s">
        <v>369</v>
      </c>
      <c r="D801" t="s">
        <v>2238</v>
      </c>
      <c r="E801" t="s">
        <v>2224</v>
      </c>
      <c r="F801" s="105" t="s">
        <v>2224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1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1013</v>
      </c>
      <c r="S801" s="71"/>
    </row>
    <row r="802" spans="1:19" hidden="1">
      <c r="A802" s="70" t="s">
        <v>2244</v>
      </c>
      <c r="B802" s="71" t="str">
        <f>IFERROR(VLOOKUP(Proc[[#This Row],[App]],Table2[],3,0),"open")</f>
        <v>ok</v>
      </c>
      <c r="C802" s="70" t="s">
        <v>369</v>
      </c>
      <c r="D802" t="s">
        <v>2239</v>
      </c>
      <c r="E802" t="s">
        <v>2224</v>
      </c>
      <c r="F802" s="105" t="s">
        <v>2224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1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1013</v>
      </c>
      <c r="S802" s="71"/>
    </row>
    <row r="803" spans="1:19" hidden="1">
      <c r="A803" s="70" t="s">
        <v>2244</v>
      </c>
      <c r="B803" s="71" t="str">
        <f>IFERROR(VLOOKUP(Proc[[#This Row],[App]],Table2[],3,0),"open")</f>
        <v>ok</v>
      </c>
      <c r="C803" s="70" t="s">
        <v>369</v>
      </c>
      <c r="D803" t="s">
        <v>2115</v>
      </c>
      <c r="E803" t="s">
        <v>2222</v>
      </c>
      <c r="F803" s="105" t="s">
        <v>2222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1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1013</v>
      </c>
      <c r="S803" s="71"/>
    </row>
    <row r="804" spans="1:19" hidden="1">
      <c r="A804" s="70" t="s">
        <v>2244</v>
      </c>
      <c r="B804" s="71" t="str">
        <f>IFERROR(VLOOKUP(Proc[[#This Row],[App]],Table2[],3,0),"open")</f>
        <v>ok</v>
      </c>
      <c r="C804" s="70" t="s">
        <v>369</v>
      </c>
      <c r="D804" t="s">
        <v>2240</v>
      </c>
      <c r="E804" t="s">
        <v>2224</v>
      </c>
      <c r="F804" s="105" t="s">
        <v>2224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1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1013</v>
      </c>
      <c r="S804" s="71"/>
    </row>
    <row r="805" spans="1:19" hidden="1">
      <c r="A805" s="70" t="s">
        <v>2244</v>
      </c>
      <c r="B805" s="71" t="str">
        <f>IFERROR(VLOOKUP(Proc[[#This Row],[App]],Table2[],3,0),"open")</f>
        <v>ok</v>
      </c>
      <c r="C805" s="70" t="s">
        <v>369</v>
      </c>
      <c r="D805" t="s">
        <v>2241</v>
      </c>
      <c r="E805" t="s">
        <v>2224</v>
      </c>
      <c r="F805" s="105" t="s">
        <v>2224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1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1013</v>
      </c>
      <c r="S805" s="71"/>
    </row>
    <row r="806" spans="1:19" hidden="1">
      <c r="A806" s="70" t="s">
        <v>2244</v>
      </c>
      <c r="B806" s="71" t="str">
        <f>IFERROR(VLOOKUP(Proc[[#This Row],[App]],Table2[],3,0),"open")</f>
        <v>ok</v>
      </c>
      <c r="C806" s="70" t="s">
        <v>369</v>
      </c>
      <c r="D806" t="s">
        <v>2242</v>
      </c>
      <c r="E806" t="s">
        <v>2224</v>
      </c>
      <c r="F806" s="105" t="s">
        <v>2224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1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1013</v>
      </c>
      <c r="S806" s="71"/>
    </row>
    <row r="807" spans="1:19" hidden="1">
      <c r="A807" s="70" t="s">
        <v>2244</v>
      </c>
      <c r="B807" s="71" t="str">
        <f>IFERROR(VLOOKUP(Proc[[#This Row],[App]],Table2[],3,0),"open")</f>
        <v>ok</v>
      </c>
      <c r="C807" s="70" t="s">
        <v>369</v>
      </c>
      <c r="D807" t="s">
        <v>2243</v>
      </c>
      <c r="E807" t="s">
        <v>2224</v>
      </c>
      <c r="F807" s="105" t="s">
        <v>2224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1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1013</v>
      </c>
      <c r="S807" s="71"/>
    </row>
    <row r="808" spans="1:19" hidden="1">
      <c r="A808" t="s">
        <v>2305</v>
      </c>
      <c r="B808" s="71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5" t="s">
        <v>631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1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549</v>
      </c>
      <c r="S808" s="71"/>
    </row>
    <row r="809" spans="1:19" hidden="1">
      <c r="A809" s="70" t="s">
        <v>2305</v>
      </c>
      <c r="B809" s="71" t="str">
        <f>IFERROR(VLOOKUP(Proc[[#This Row],[App]],Table2[],3,0),"open")</f>
        <v>ok</v>
      </c>
      <c r="C809" s="70" t="s">
        <v>369</v>
      </c>
      <c r="D809" t="s">
        <v>2301</v>
      </c>
      <c r="E809" t="s">
        <v>631</v>
      </c>
      <c r="F809" s="105" t="s">
        <v>631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1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549</v>
      </c>
      <c r="S809" s="71"/>
    </row>
    <row r="810" spans="1:19" hidden="1">
      <c r="A810" s="70" t="s">
        <v>2305</v>
      </c>
      <c r="B810" s="71" t="str">
        <f>IFERROR(VLOOKUP(Proc[[#This Row],[App]],Table2[],3,0),"open")</f>
        <v>ok</v>
      </c>
      <c r="C810" s="70" t="s">
        <v>369</v>
      </c>
      <c r="D810" t="s">
        <v>2302</v>
      </c>
      <c r="E810" t="s">
        <v>631</v>
      </c>
      <c r="F810" s="105" t="s">
        <v>631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1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549</v>
      </c>
      <c r="S810" s="71"/>
    </row>
    <row r="811" spans="1:19" hidden="1">
      <c r="A811" s="70" t="s">
        <v>2305</v>
      </c>
      <c r="B811" s="71" t="str">
        <f>IFERROR(VLOOKUP(Proc[[#This Row],[App]],Table2[],3,0),"open")</f>
        <v>ok</v>
      </c>
      <c r="C811" s="70" t="s">
        <v>369</v>
      </c>
      <c r="D811" t="s">
        <v>2303</v>
      </c>
      <c r="E811" t="s">
        <v>631</v>
      </c>
      <c r="F811" s="105" t="s">
        <v>631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1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549</v>
      </c>
      <c r="S811" s="71"/>
    </row>
    <row r="812" spans="1:19" hidden="1">
      <c r="A812" s="70" t="s">
        <v>2305</v>
      </c>
      <c r="B812" s="71" t="str">
        <f>IFERROR(VLOOKUP(Proc[[#This Row],[App]],Table2[],3,0),"open")</f>
        <v>ok</v>
      </c>
      <c r="C812" s="70" t="s">
        <v>369</v>
      </c>
      <c r="D812" t="s">
        <v>2304</v>
      </c>
      <c r="E812" t="s">
        <v>631</v>
      </c>
      <c r="F812" s="105" t="s">
        <v>631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1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549</v>
      </c>
      <c r="S812" s="71"/>
    </row>
    <row r="813" spans="1:19" hidden="1">
      <c r="A813" s="70" t="s">
        <v>2281</v>
      </c>
      <c r="B813" s="71" t="str">
        <f>IFERROR(VLOOKUP(Proc[[#This Row],[App]],Table2[],3,0),"open")</f>
        <v>ok</v>
      </c>
      <c r="C813" s="70" t="s">
        <v>369</v>
      </c>
      <c r="D813" t="s">
        <v>2282</v>
      </c>
      <c r="E813" t="s">
        <v>631</v>
      </c>
      <c r="F813" s="105" t="s">
        <v>631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1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549</v>
      </c>
      <c r="S813" s="71"/>
    </row>
    <row r="814" spans="1:19" hidden="1">
      <c r="A814" s="70" t="s">
        <v>2281</v>
      </c>
      <c r="B814" s="71" t="str">
        <f>IFERROR(VLOOKUP(Proc[[#This Row],[App]],Table2[],3,0),"open")</f>
        <v>ok</v>
      </c>
      <c r="C814" s="70" t="s">
        <v>377</v>
      </c>
      <c r="D814" t="s">
        <v>2283</v>
      </c>
      <c r="E814" t="s">
        <v>631</v>
      </c>
      <c r="F814" s="105" t="s">
        <v>631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446</v>
      </c>
      <c r="J814" s="71" t="b">
        <f>Proc[[#This Row],[Requested]]=Proc[[#This Row],[CurrentParent]]</f>
        <v>1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549</v>
      </c>
      <c r="S814" s="71"/>
    </row>
    <row r="815" spans="1:19" hidden="1">
      <c r="A815" s="70" t="s">
        <v>2281</v>
      </c>
      <c r="B815" s="71" t="str">
        <f>IFERROR(VLOOKUP(Proc[[#This Row],[App]],Table2[],3,0),"open")</f>
        <v>ok</v>
      </c>
      <c r="C815" s="70" t="s">
        <v>377</v>
      </c>
      <c r="D815" t="s">
        <v>2284</v>
      </c>
      <c r="E815" t="s">
        <v>631</v>
      </c>
      <c r="F815" s="105" t="s">
        <v>631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446</v>
      </c>
      <c r="J815" s="71" t="b">
        <f>Proc[[#This Row],[Requested]]=Proc[[#This Row],[CurrentParent]]</f>
        <v>1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549</v>
      </c>
      <c r="S815" s="71"/>
    </row>
    <row r="816" spans="1:19" hidden="1">
      <c r="A816" s="70" t="s">
        <v>2281</v>
      </c>
      <c r="B816" s="71" t="str">
        <f>IFERROR(VLOOKUP(Proc[[#This Row],[App]],Table2[],3,0),"open")</f>
        <v>ok</v>
      </c>
      <c r="C816" s="70" t="s">
        <v>377</v>
      </c>
      <c r="D816" t="s">
        <v>2285</v>
      </c>
      <c r="E816" t="s">
        <v>631</v>
      </c>
      <c r="F816" s="105" t="s">
        <v>631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446</v>
      </c>
      <c r="J816" s="71" t="b">
        <f>Proc[[#This Row],[Requested]]=Proc[[#This Row],[CurrentParent]]</f>
        <v>1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549</v>
      </c>
      <c r="S816" s="71"/>
    </row>
    <row r="817" spans="1:19" hidden="1">
      <c r="A817" s="70" t="s">
        <v>2281</v>
      </c>
      <c r="B817" s="71" t="str">
        <f>IFERROR(VLOOKUP(Proc[[#This Row],[App]],Table2[],3,0),"open")</f>
        <v>ok</v>
      </c>
      <c r="C817" s="70" t="s">
        <v>369</v>
      </c>
      <c r="D817" t="s">
        <v>2286</v>
      </c>
      <c r="E817" t="s">
        <v>631</v>
      </c>
      <c r="F817" s="105" t="s">
        <v>631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1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549</v>
      </c>
      <c r="S817" s="71"/>
    </row>
    <row r="818" spans="1:19" hidden="1">
      <c r="A818" s="70" t="s">
        <v>2281</v>
      </c>
      <c r="B818" s="71" t="str">
        <f>IFERROR(VLOOKUP(Proc[[#This Row],[App]],Table2[],3,0),"open")</f>
        <v>ok</v>
      </c>
      <c r="C818" s="70" t="s">
        <v>369</v>
      </c>
      <c r="D818" t="s">
        <v>2287</v>
      </c>
      <c r="E818" t="s">
        <v>631</v>
      </c>
      <c r="F818" s="105" t="s">
        <v>631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1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549</v>
      </c>
      <c r="S818" s="71"/>
    </row>
    <row r="819" spans="1:19" hidden="1">
      <c r="A819" s="70" t="s">
        <v>2281</v>
      </c>
      <c r="B819" s="71" t="str">
        <f>IFERROR(VLOOKUP(Proc[[#This Row],[App]],Table2[],3,0),"open")</f>
        <v>ok</v>
      </c>
      <c r="C819" s="70" t="s">
        <v>369</v>
      </c>
      <c r="D819" t="s">
        <v>2288</v>
      </c>
      <c r="E819" t="s">
        <v>631</v>
      </c>
      <c r="F819" s="105" t="s">
        <v>631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1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549</v>
      </c>
      <c r="S819" s="71"/>
    </row>
    <row r="820" spans="1:19" hidden="1">
      <c r="A820" s="70" t="s">
        <v>2281</v>
      </c>
      <c r="B820" s="71" t="str">
        <f>IFERROR(VLOOKUP(Proc[[#This Row],[App]],Table2[],3,0),"open")</f>
        <v>ok</v>
      </c>
      <c r="C820" s="70" t="s">
        <v>369</v>
      </c>
      <c r="D820" t="s">
        <v>2289</v>
      </c>
      <c r="E820" t="s">
        <v>631</v>
      </c>
      <c r="F820" s="105" t="s">
        <v>631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1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549</v>
      </c>
      <c r="S820" s="71"/>
    </row>
    <row r="821" spans="1:19" hidden="1">
      <c r="A821" s="70" t="s">
        <v>2281</v>
      </c>
      <c r="B821" s="71" t="str">
        <f>IFERROR(VLOOKUP(Proc[[#This Row],[App]],Table2[],3,0),"open")</f>
        <v>ok</v>
      </c>
      <c r="C821" s="70" t="s">
        <v>369</v>
      </c>
      <c r="D821" t="s">
        <v>2290</v>
      </c>
      <c r="E821" t="s">
        <v>631</v>
      </c>
      <c r="F821" s="105" t="s">
        <v>631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1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549</v>
      </c>
      <c r="S821" s="71"/>
    </row>
    <row r="822" spans="1:19" hidden="1">
      <c r="A822" s="70" t="s">
        <v>2281</v>
      </c>
      <c r="B822" s="71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5" t="s">
        <v>631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1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549</v>
      </c>
      <c r="S822" s="71"/>
    </row>
    <row r="823" spans="1:19" hidden="1">
      <c r="A823" s="70" t="s">
        <v>2281</v>
      </c>
      <c r="B823" s="71" t="str">
        <f>IFERROR(VLOOKUP(Proc[[#This Row],[App]],Table2[],3,0),"open")</f>
        <v>ok</v>
      </c>
      <c r="C823" s="70" t="s">
        <v>369</v>
      </c>
      <c r="D823" t="s">
        <v>2292</v>
      </c>
      <c r="E823" t="s">
        <v>631</v>
      </c>
      <c r="F823" s="105" t="s">
        <v>631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1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549</v>
      </c>
      <c r="S823" s="71"/>
    </row>
    <row r="824" spans="1:19" hidden="1">
      <c r="A824" s="70" t="s">
        <v>2281</v>
      </c>
      <c r="B824" s="71" t="str">
        <f>IFERROR(VLOOKUP(Proc[[#This Row],[App]],Table2[],3,0),"open")</f>
        <v>ok</v>
      </c>
      <c r="C824" s="70" t="s">
        <v>369</v>
      </c>
      <c r="D824" t="s">
        <v>2293</v>
      </c>
      <c r="E824" t="s">
        <v>631</v>
      </c>
      <c r="F824" s="105" t="s">
        <v>631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1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549</v>
      </c>
      <c r="S824" s="71"/>
    </row>
    <row r="825" spans="1:19" hidden="1">
      <c r="A825" s="70" t="s">
        <v>2281</v>
      </c>
      <c r="B825" s="71" t="str">
        <f>IFERROR(VLOOKUP(Proc[[#This Row],[App]],Table2[],3,0),"open")</f>
        <v>ok</v>
      </c>
      <c r="C825" s="70" t="s">
        <v>369</v>
      </c>
      <c r="D825" t="s">
        <v>2294</v>
      </c>
      <c r="E825" t="s">
        <v>631</v>
      </c>
      <c r="F825" s="105" t="s">
        <v>631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1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549</v>
      </c>
      <c r="S825" s="71"/>
    </row>
    <row r="826" spans="1:19" hidden="1">
      <c r="A826" t="s">
        <v>2281</v>
      </c>
      <c r="B826" s="71" t="str">
        <f>IFERROR(VLOOKUP(Proc[[#This Row],[App]],Table2[],3,0),"open")</f>
        <v>ok</v>
      </c>
      <c r="C826" s="70" t="s">
        <v>369</v>
      </c>
      <c r="D826" t="s">
        <v>2295</v>
      </c>
      <c r="E826" t="s">
        <v>631</v>
      </c>
      <c r="F826" s="105" t="s">
        <v>631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1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549</v>
      </c>
      <c r="S826" s="71"/>
    </row>
    <row r="827" spans="1:19" hidden="1">
      <c r="A827" s="70" t="s">
        <v>2281</v>
      </c>
      <c r="B827" s="71" t="str">
        <f>IFERROR(VLOOKUP(Proc[[#This Row],[App]],Table2[],3,0),"open")</f>
        <v>ok</v>
      </c>
      <c r="C827" s="70" t="s">
        <v>377</v>
      </c>
      <c r="D827" t="s">
        <v>2296</v>
      </c>
      <c r="E827" t="s">
        <v>631</v>
      </c>
      <c r="F827" s="105" t="s">
        <v>631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446</v>
      </c>
      <c r="J827" s="71" t="b">
        <f>Proc[[#This Row],[Requested]]=Proc[[#This Row],[CurrentParent]]</f>
        <v>1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549</v>
      </c>
      <c r="S827" s="71"/>
    </row>
    <row r="828" spans="1:19" hidden="1">
      <c r="A828" s="70" t="s">
        <v>2281</v>
      </c>
      <c r="B828" s="71" t="str">
        <f>IFERROR(VLOOKUP(Proc[[#This Row],[App]],Table2[],3,0),"open")</f>
        <v>ok</v>
      </c>
      <c r="C828" s="70" t="s">
        <v>377</v>
      </c>
      <c r="D828" t="s">
        <v>2297</v>
      </c>
      <c r="E828" t="s">
        <v>631</v>
      </c>
      <c r="F828" s="105" t="s">
        <v>631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446</v>
      </c>
      <c r="J828" s="71" t="b">
        <f>Proc[[#This Row],[Requested]]=Proc[[#This Row],[CurrentParent]]</f>
        <v>1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549</v>
      </c>
      <c r="S828" s="71"/>
    </row>
    <row r="829" spans="1:19" hidden="1">
      <c r="A829" s="70" t="s">
        <v>2281</v>
      </c>
      <c r="B829" s="71" t="str">
        <f>IFERROR(VLOOKUP(Proc[[#This Row],[App]],Table2[],3,0),"open")</f>
        <v>ok</v>
      </c>
      <c r="C829" s="70" t="s">
        <v>377</v>
      </c>
      <c r="D829" t="s">
        <v>2298</v>
      </c>
      <c r="E829" t="s">
        <v>631</v>
      </c>
      <c r="F829" s="105" t="s">
        <v>631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446</v>
      </c>
      <c r="J829" s="71" t="b">
        <f>Proc[[#This Row],[Requested]]=Proc[[#This Row],[CurrentParent]]</f>
        <v>1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549</v>
      </c>
      <c r="S829" s="71"/>
    </row>
    <row r="830" spans="1:19" hidden="1">
      <c r="A830" s="70" t="s">
        <v>2281</v>
      </c>
      <c r="B830" s="71" t="str">
        <f>IFERROR(VLOOKUP(Proc[[#This Row],[App]],Table2[],3,0),"open")</f>
        <v>ok</v>
      </c>
      <c r="C830" s="70" t="s">
        <v>377</v>
      </c>
      <c r="D830" t="s">
        <v>2299</v>
      </c>
      <c r="E830" t="s">
        <v>631</v>
      </c>
      <c r="F830" s="105" t="s">
        <v>631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446</v>
      </c>
      <c r="J830" s="71" t="b">
        <f>Proc[[#This Row],[Requested]]=Proc[[#This Row],[CurrentParent]]</f>
        <v>1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549</v>
      </c>
      <c r="S830" s="71"/>
    </row>
    <row r="831" spans="1:19" hidden="1">
      <c r="A831" t="s">
        <v>2311</v>
      </c>
      <c r="B831" s="71" t="str">
        <f>IFERROR(VLOOKUP(Proc[[#This Row],[App]],Table2[],3,0),"open")</f>
        <v>ok</v>
      </c>
      <c r="C831" s="70" t="s">
        <v>369</v>
      </c>
      <c r="D831" t="s">
        <v>2309</v>
      </c>
      <c r="E831" t="s">
        <v>2310</v>
      </c>
      <c r="F831" s="105" t="s">
        <v>2310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1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1076</v>
      </c>
      <c r="S831" s="71"/>
    </row>
    <row r="832" spans="1:19" hidden="1">
      <c r="A832" t="s">
        <v>2388</v>
      </c>
      <c r="B832" s="71" t="str">
        <f>IFERROR(VLOOKUP(Proc[[#This Row],[App]],Table2[],3,0),"open")</f>
        <v>ok</v>
      </c>
      <c r="C832" s="70" t="s">
        <v>369</v>
      </c>
      <c r="D832" t="s">
        <v>2386</v>
      </c>
      <c r="E832" t="s">
        <v>2387</v>
      </c>
      <c r="F832" s="105" t="s">
        <v>2387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1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484</v>
      </c>
      <c r="S832" s="71"/>
    </row>
    <row r="833" spans="1:19" hidden="1">
      <c r="A833" t="s">
        <v>2307</v>
      </c>
      <c r="B833" s="71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5" t="s">
        <v>2308</v>
      </c>
      <c r="G833" s="70" t="s">
        <v>406</v>
      </c>
      <c r="H833" s="71" t="str">
        <f>IF(Proc[[#This Row],[type]]="LFF (MDG-F)",MID(Proc[[#This Row],[Obj]],13,10),"")</f>
        <v>DE10698316</v>
      </c>
      <c r="J833" s="71" t="b">
        <f>Proc[[#This Row],[Requested]]=Proc[[#This Row],[CurrentParent]]</f>
        <v>1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530</v>
      </c>
      <c r="S833" s="71"/>
    </row>
    <row r="834" spans="1:19" hidden="1">
      <c r="A834" t="s">
        <v>2378</v>
      </c>
      <c r="B834" s="71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5" t="s">
        <v>2367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1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489</v>
      </c>
      <c r="S834" s="71"/>
    </row>
    <row r="835" spans="1:19" hidden="1">
      <c r="A835" t="s">
        <v>2378</v>
      </c>
      <c r="B835" s="71" t="str">
        <f>IFERROR(VLOOKUP(Proc[[#This Row],[App]],Table2[],3,0),"open")</f>
        <v>ok</v>
      </c>
      <c r="C835" s="70" t="s">
        <v>369</v>
      </c>
      <c r="D835" t="s">
        <v>2350</v>
      </c>
      <c r="E835" t="s">
        <v>2368</v>
      </c>
      <c r="F835" s="105" t="s">
        <v>2368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1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489</v>
      </c>
      <c r="S835" s="71"/>
    </row>
    <row r="836" spans="1:19" hidden="1">
      <c r="A836" t="s">
        <v>2378</v>
      </c>
      <c r="B836" s="71" t="str">
        <f>IFERROR(VLOOKUP(Proc[[#This Row],[App]],Table2[],3,0),"open")</f>
        <v>ok</v>
      </c>
      <c r="C836" s="70" t="s">
        <v>369</v>
      </c>
      <c r="D836" t="s">
        <v>2351</v>
      </c>
      <c r="E836" t="s">
        <v>2369</v>
      </c>
      <c r="F836" s="105" t="s">
        <v>2369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1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489</v>
      </c>
      <c r="S836" s="71"/>
    </row>
    <row r="837" spans="1:19" hidden="1">
      <c r="A837" t="s">
        <v>2378</v>
      </c>
      <c r="B837" s="71" t="str">
        <f>IFERROR(VLOOKUP(Proc[[#This Row],[App]],Table2[],3,0),"open")</f>
        <v>ok</v>
      </c>
      <c r="C837" s="70" t="s">
        <v>369</v>
      </c>
      <c r="D837" t="s">
        <v>2352</v>
      </c>
      <c r="E837" t="s">
        <v>2369</v>
      </c>
      <c r="F837" s="105" t="s">
        <v>2369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1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489</v>
      </c>
      <c r="S837" s="71"/>
    </row>
    <row r="838" spans="1:19" hidden="1">
      <c r="A838" t="s">
        <v>2378</v>
      </c>
      <c r="B838" s="71" t="str">
        <f>IFERROR(VLOOKUP(Proc[[#This Row],[App]],Table2[],3,0),"open")</f>
        <v>ok</v>
      </c>
      <c r="C838" s="70" t="s">
        <v>369</v>
      </c>
      <c r="D838" t="s">
        <v>2353</v>
      </c>
      <c r="E838" t="s">
        <v>2370</v>
      </c>
      <c r="F838" s="105" t="s">
        <v>2370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1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489</v>
      </c>
      <c r="S838" s="71"/>
    </row>
    <row r="839" spans="1:19" hidden="1">
      <c r="A839" t="s">
        <v>2378</v>
      </c>
      <c r="B839" s="71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5" t="s">
        <v>2371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1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489</v>
      </c>
      <c r="S839" s="71"/>
    </row>
    <row r="840" spans="1:19" hidden="1">
      <c r="A840" t="s">
        <v>2378</v>
      </c>
      <c r="B840" s="71" t="str">
        <f>IFERROR(VLOOKUP(Proc[[#This Row],[App]],Table2[],3,0),"open")</f>
        <v>ok</v>
      </c>
      <c r="C840" s="70" t="s">
        <v>369</v>
      </c>
      <c r="D840" t="s">
        <v>2355</v>
      </c>
      <c r="E840" t="s">
        <v>2372</v>
      </c>
      <c r="F840" s="105" t="s">
        <v>2372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1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489</v>
      </c>
      <c r="S840" s="71"/>
    </row>
    <row r="841" spans="1:19" hidden="1">
      <c r="A841" t="s">
        <v>2378</v>
      </c>
      <c r="B841" s="71" t="str">
        <f>IFERROR(VLOOKUP(Proc[[#This Row],[App]],Table2[],3,0),"open")</f>
        <v>ok</v>
      </c>
      <c r="C841" s="70" t="s">
        <v>369</v>
      </c>
      <c r="D841" t="s">
        <v>2356</v>
      </c>
      <c r="E841" t="s">
        <v>2373</v>
      </c>
      <c r="F841" s="105" t="s">
        <v>2373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1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489</v>
      </c>
      <c r="S841" s="71"/>
    </row>
    <row r="842" spans="1:19" hidden="1">
      <c r="A842" t="s">
        <v>2378</v>
      </c>
      <c r="B842" s="71" t="str">
        <f>IFERROR(VLOOKUP(Proc[[#This Row],[App]],Table2[],3,0),"open")</f>
        <v>ok</v>
      </c>
      <c r="C842" s="70" t="s">
        <v>369</v>
      </c>
      <c r="D842" t="s">
        <v>2357</v>
      </c>
      <c r="E842" t="s">
        <v>2373</v>
      </c>
      <c r="F842" s="105" t="s">
        <v>2373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1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489</v>
      </c>
      <c r="S842" s="71"/>
    </row>
    <row r="843" spans="1:19" hidden="1">
      <c r="A843" t="s">
        <v>2378</v>
      </c>
      <c r="B843" s="71" t="str">
        <f>IFERROR(VLOOKUP(Proc[[#This Row],[App]],Table2[],3,0),"open")</f>
        <v>ok</v>
      </c>
      <c r="C843" s="70" t="s">
        <v>369</v>
      </c>
      <c r="D843" t="s">
        <v>2358</v>
      </c>
      <c r="E843" t="s">
        <v>2373</v>
      </c>
      <c r="F843" s="105" t="s">
        <v>2373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1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489</v>
      </c>
      <c r="S843" s="71"/>
    </row>
    <row r="844" spans="1:19" hidden="1">
      <c r="A844" t="s">
        <v>2378</v>
      </c>
      <c r="B844" s="71" t="str">
        <f>IFERROR(VLOOKUP(Proc[[#This Row],[App]],Table2[],3,0),"open")</f>
        <v>ok</v>
      </c>
      <c r="C844" s="70" t="s">
        <v>369</v>
      </c>
      <c r="D844" t="s">
        <v>2359</v>
      </c>
      <c r="E844" t="s">
        <v>2374</v>
      </c>
      <c r="F844" s="105" t="s">
        <v>2374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1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489</v>
      </c>
      <c r="S844" s="71"/>
    </row>
    <row r="845" spans="1:19" hidden="1">
      <c r="A845" t="s">
        <v>2378</v>
      </c>
      <c r="B845" s="71" t="str">
        <f>IFERROR(VLOOKUP(Proc[[#This Row],[App]],Table2[],3,0),"open")</f>
        <v>ok</v>
      </c>
      <c r="C845" s="70" t="s">
        <v>369</v>
      </c>
      <c r="D845" t="s">
        <v>2360</v>
      </c>
      <c r="E845" t="s">
        <v>2375</v>
      </c>
      <c r="F845" s="105" t="s">
        <v>2375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1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489</v>
      </c>
      <c r="S845" s="71"/>
    </row>
    <row r="846" spans="1:19" hidden="1">
      <c r="A846" t="s">
        <v>2378</v>
      </c>
      <c r="B846" s="71" t="str">
        <f>IFERROR(VLOOKUP(Proc[[#This Row],[App]],Table2[],3,0),"open")</f>
        <v>ok</v>
      </c>
      <c r="C846" s="70" t="s">
        <v>369</v>
      </c>
      <c r="D846" t="s">
        <v>2361</v>
      </c>
      <c r="E846" t="s">
        <v>2375</v>
      </c>
      <c r="F846" s="105" t="s">
        <v>2375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1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489</v>
      </c>
      <c r="S846" s="71"/>
    </row>
    <row r="847" spans="1:19" hidden="1">
      <c r="A847" t="s">
        <v>2378</v>
      </c>
      <c r="B847" s="71" t="str">
        <f>IFERROR(VLOOKUP(Proc[[#This Row],[App]],Table2[],3,0),"open")</f>
        <v>ok</v>
      </c>
      <c r="C847" s="70" t="s">
        <v>369</v>
      </c>
      <c r="D847" t="s">
        <v>2362</v>
      </c>
      <c r="E847" t="s">
        <v>2375</v>
      </c>
      <c r="F847" s="105" t="s">
        <v>2375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1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489</v>
      </c>
      <c r="S847" s="71"/>
    </row>
    <row r="848" spans="1:19" hidden="1">
      <c r="A848" t="s">
        <v>2378</v>
      </c>
      <c r="B848" s="71" t="str">
        <f>IFERROR(VLOOKUP(Proc[[#This Row],[App]],Table2[],3,0),"open")</f>
        <v>ok</v>
      </c>
      <c r="C848" s="70" t="s">
        <v>369</v>
      </c>
      <c r="D848" t="s">
        <v>2363</v>
      </c>
      <c r="E848" t="s">
        <v>2376</v>
      </c>
      <c r="F848" s="105" t="s">
        <v>2376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1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489</v>
      </c>
      <c r="S848" s="71"/>
    </row>
    <row r="849" spans="1:19" hidden="1">
      <c r="A849" t="s">
        <v>2378</v>
      </c>
      <c r="B849" s="71" t="str">
        <f>IFERROR(VLOOKUP(Proc[[#This Row],[App]],Table2[],3,0),"open")</f>
        <v>ok</v>
      </c>
      <c r="C849" s="70" t="s">
        <v>369</v>
      </c>
      <c r="D849" t="s">
        <v>2364</v>
      </c>
      <c r="E849" t="s">
        <v>2376</v>
      </c>
      <c r="F849" s="105" t="s">
        <v>2376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1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489</v>
      </c>
      <c r="S849" s="71"/>
    </row>
    <row r="850" spans="1:19" hidden="1">
      <c r="A850" t="s">
        <v>2378</v>
      </c>
      <c r="B850" s="71" t="str">
        <f>IFERROR(VLOOKUP(Proc[[#This Row],[App]],Table2[],3,0),"open")</f>
        <v>ok</v>
      </c>
      <c r="C850" s="70" t="s">
        <v>369</v>
      </c>
      <c r="D850" t="s">
        <v>2365</v>
      </c>
      <c r="E850" t="s">
        <v>2377</v>
      </c>
      <c r="F850" s="105" t="s">
        <v>2377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1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489</v>
      </c>
      <c r="S850" s="71"/>
    </row>
    <row r="851" spans="1:19" hidden="1">
      <c r="A851" t="s">
        <v>2378</v>
      </c>
      <c r="B851" s="71" t="str">
        <f>IFERROR(VLOOKUP(Proc[[#This Row],[App]],Table2[],3,0),"open")</f>
        <v>ok</v>
      </c>
      <c r="C851" s="70" t="s">
        <v>369</v>
      </c>
      <c r="D851" t="s">
        <v>2366</v>
      </c>
      <c r="E851" t="s">
        <v>2377</v>
      </c>
      <c r="F851" s="105" t="s">
        <v>2377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1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489</v>
      </c>
      <c r="S851" s="71"/>
    </row>
    <row r="852" spans="1:19" hidden="1">
      <c r="A852" t="s">
        <v>2348</v>
      </c>
      <c r="B852" s="71" t="str">
        <f>IFERROR(VLOOKUP(Proc[[#This Row],[App]],Table2[],3,0),"open")</f>
        <v>ok</v>
      </c>
      <c r="C852" s="70" t="s">
        <v>369</v>
      </c>
      <c r="D852" t="s">
        <v>2345</v>
      </c>
      <c r="E852" t="s">
        <v>631</v>
      </c>
      <c r="F852" s="105" t="s">
        <v>631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1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549</v>
      </c>
      <c r="S852" s="71"/>
    </row>
    <row r="853" spans="1:19" hidden="1">
      <c r="A853" t="s">
        <v>2348</v>
      </c>
      <c r="B853" s="71" t="str">
        <f>IFERROR(VLOOKUP(Proc[[#This Row],[App]],Table2[],3,0),"open")</f>
        <v>ok</v>
      </c>
      <c r="C853" s="70" t="s">
        <v>377</v>
      </c>
      <c r="D853" t="s">
        <v>2346</v>
      </c>
      <c r="E853" t="s">
        <v>631</v>
      </c>
      <c r="F853" s="105" t="s">
        <v>631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446</v>
      </c>
      <c r="J853" s="71" t="b">
        <f>Proc[[#This Row],[Requested]]=Proc[[#This Row],[CurrentParent]]</f>
        <v>1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549</v>
      </c>
      <c r="S853" s="71"/>
    </row>
    <row r="854" spans="1:19" hidden="1">
      <c r="A854" s="70" t="s">
        <v>2348</v>
      </c>
      <c r="B854" s="71" t="str">
        <f>IFERROR(VLOOKUP(Proc[[#This Row],[App]],Table2[],3,0),"open")</f>
        <v>ok</v>
      </c>
      <c r="C854" s="70" t="s">
        <v>377</v>
      </c>
      <c r="D854" t="s">
        <v>2347</v>
      </c>
      <c r="E854" t="s">
        <v>631</v>
      </c>
      <c r="F854" s="105" t="s">
        <v>631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446</v>
      </c>
      <c r="J854" s="71" t="b">
        <f>Proc[[#This Row],[Requested]]=Proc[[#This Row],[CurrentParent]]</f>
        <v>1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549</v>
      </c>
      <c r="S854" s="71"/>
    </row>
    <row r="855" spans="1:19" hidden="1">
      <c r="A855" s="70" t="s">
        <v>2344</v>
      </c>
      <c r="B855" s="71" t="str">
        <f>IFERROR(VLOOKUP(Proc[[#This Row],[App]],Table2[],3,0),"open")</f>
        <v>ok</v>
      </c>
      <c r="C855" s="70" t="s">
        <v>377</v>
      </c>
      <c r="D855" t="s">
        <v>2337</v>
      </c>
      <c r="E855" t="s">
        <v>2338</v>
      </c>
      <c r="F855" s="105" t="s">
        <v>2338</v>
      </c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1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415</v>
      </c>
      <c r="S855" s="71"/>
    </row>
    <row r="856" spans="1:19" hidden="1">
      <c r="A856" s="70" t="s">
        <v>2344</v>
      </c>
      <c r="B856" s="71" t="str">
        <f>IFERROR(VLOOKUP(Proc[[#This Row],[App]],Table2[],3,0),"open")</f>
        <v>ok</v>
      </c>
      <c r="C856" s="70" t="s">
        <v>377</v>
      </c>
      <c r="D856" t="s">
        <v>2339</v>
      </c>
      <c r="E856" t="s">
        <v>2338</v>
      </c>
      <c r="F856" s="105" t="s">
        <v>2338</v>
      </c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1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415</v>
      </c>
      <c r="S856" s="71"/>
    </row>
    <row r="857" spans="1:19" hidden="1">
      <c r="A857" s="70" t="s">
        <v>2344</v>
      </c>
      <c r="B857" s="71" t="str">
        <f>IFERROR(VLOOKUP(Proc[[#This Row],[App]],Table2[],3,0),"open")</f>
        <v>ok</v>
      </c>
      <c r="C857" s="70" t="s">
        <v>377</v>
      </c>
      <c r="D857" t="s">
        <v>2340</v>
      </c>
      <c r="E857" t="s">
        <v>2338</v>
      </c>
      <c r="F857" s="105" t="s">
        <v>2338</v>
      </c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1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415</v>
      </c>
      <c r="S857" s="71"/>
    </row>
    <row r="858" spans="1:19" hidden="1">
      <c r="A858" s="70" t="s">
        <v>2344</v>
      </c>
      <c r="B858" s="71" t="str">
        <f>IFERROR(VLOOKUP(Proc[[#This Row],[App]],Table2[],3,0),"open")</f>
        <v>ok</v>
      </c>
      <c r="C858" s="70" t="s">
        <v>369</v>
      </c>
      <c r="D858" t="s">
        <v>2341</v>
      </c>
      <c r="E858" t="s">
        <v>2338</v>
      </c>
      <c r="F858" s="105" t="s">
        <v>2338</v>
      </c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1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415</v>
      </c>
      <c r="S858" s="71"/>
    </row>
    <row r="859" spans="1:19" hidden="1">
      <c r="A859" t="s">
        <v>2344</v>
      </c>
      <c r="B859" s="71" t="str">
        <f>IFERROR(VLOOKUP(Proc[[#This Row],[App]],Table2[],3,0),"open")</f>
        <v>ok</v>
      </c>
      <c r="C859" s="70" t="s">
        <v>369</v>
      </c>
      <c r="D859" t="s">
        <v>2342</v>
      </c>
      <c r="E859" t="s">
        <v>2338</v>
      </c>
      <c r="F859" s="105" t="s">
        <v>2338</v>
      </c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1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415</v>
      </c>
      <c r="S859" s="71"/>
    </row>
    <row r="860" spans="1:19" hidden="1">
      <c r="A860" t="s">
        <v>2344</v>
      </c>
      <c r="B860" s="71" t="str">
        <f>IFERROR(VLOOKUP(Proc[[#This Row],[App]],Table2[],3,0),"open")</f>
        <v>ok</v>
      </c>
      <c r="C860" s="70" t="s">
        <v>369</v>
      </c>
      <c r="D860" t="s">
        <v>2343</v>
      </c>
      <c r="E860" t="s">
        <v>2338</v>
      </c>
      <c r="F860" s="105" t="s">
        <v>2338</v>
      </c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1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415</v>
      </c>
      <c r="S860" s="71"/>
    </row>
    <row r="861" spans="1:19" hidden="1">
      <c r="A861" t="s">
        <v>2333</v>
      </c>
      <c r="B861" s="71" t="str">
        <f>IFERROR(VLOOKUP(Proc[[#This Row],[App]],Table2[],3,0),"open")</f>
        <v>ok</v>
      </c>
      <c r="C861" s="70" t="s">
        <v>369</v>
      </c>
      <c r="D861" t="s">
        <v>2314</v>
      </c>
      <c r="E861" t="s">
        <v>662</v>
      </c>
      <c r="F861" s="105" t="s">
        <v>662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b">
        <f>Proc[[#This Row],[Requested]]=Proc[[#This Row],[CurrentParent]]</f>
        <v>1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79</v>
      </c>
      <c r="R861" s="72" t="s">
        <v>1459</v>
      </c>
      <c r="S861" s="71"/>
    </row>
    <row r="862" spans="1:19" hidden="1">
      <c r="A862" t="s">
        <v>2333</v>
      </c>
      <c r="B862" s="71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5" t="s">
        <v>427</v>
      </c>
      <c r="G862" s="70" t="s">
        <v>400</v>
      </c>
      <c r="H862" s="71" t="str">
        <f>IF(Proc[[#This Row],[type]]="LFF (MDG-F)",MID(Proc[[#This Row],[Obj]],13,10),"")</f>
        <v/>
      </c>
      <c r="J862" s="71" t="b">
        <f>Proc[[#This Row],[Requested]]=Proc[[#This Row],[CurrentParent]]</f>
        <v>1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79</v>
      </c>
      <c r="R862" s="72" t="s">
        <v>1459</v>
      </c>
      <c r="S862" s="71"/>
    </row>
    <row r="863" spans="1:19" hidden="1">
      <c r="A863" s="70" t="s">
        <v>2333</v>
      </c>
      <c r="B863" s="71" t="str">
        <f>IFERROR(VLOOKUP(Proc[[#This Row],[App]],Table2[],3,0),"open")</f>
        <v>ok</v>
      </c>
      <c r="C863" s="70" t="s">
        <v>369</v>
      </c>
      <c r="D863" t="s">
        <v>2316</v>
      </c>
      <c r="E863" t="s">
        <v>662</v>
      </c>
      <c r="F863" s="105" t="s">
        <v>662</v>
      </c>
      <c r="G863" s="70" t="s">
        <v>400</v>
      </c>
      <c r="H863" s="71" t="str">
        <f>IF(Proc[[#This Row],[type]]="LFF (MDG-F)",MID(Proc[[#This Row],[Obj]],13,10),"")</f>
        <v/>
      </c>
      <c r="J863" s="71" t="b">
        <f>Proc[[#This Row],[Requested]]=Proc[[#This Row],[CurrentParent]]</f>
        <v>1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79</v>
      </c>
      <c r="R863" s="72" t="s">
        <v>1459</v>
      </c>
      <c r="S863" s="71"/>
    </row>
    <row r="864" spans="1:19" hidden="1">
      <c r="A864" s="70" t="s">
        <v>2333</v>
      </c>
      <c r="B864" s="71" t="str">
        <f>IFERROR(VLOOKUP(Proc[[#This Row],[App]],Table2[],3,0),"open")</f>
        <v>ok</v>
      </c>
      <c r="C864" s="70" t="s">
        <v>369</v>
      </c>
      <c r="D864" t="s">
        <v>2317</v>
      </c>
      <c r="E864" t="s">
        <v>1458</v>
      </c>
      <c r="F864" s="105" t="s">
        <v>1458</v>
      </c>
      <c r="G864" s="70" t="s">
        <v>406</v>
      </c>
      <c r="H864" s="71" t="str">
        <f>IF(Proc[[#This Row],[type]]="LFF (MDG-F)",MID(Proc[[#This Row],[Obj]],13,10),"")</f>
        <v>DE10513301</v>
      </c>
      <c r="J864" s="71" t="b">
        <f>Proc[[#This Row],[Requested]]=Proc[[#This Row],[CurrentParent]]</f>
        <v>1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79</v>
      </c>
      <c r="R864" s="72" t="s">
        <v>1459</v>
      </c>
      <c r="S864" s="71"/>
    </row>
    <row r="865" spans="1:19" hidden="1">
      <c r="A865" s="70" t="s">
        <v>2333</v>
      </c>
      <c r="B865" s="71" t="str">
        <f>IFERROR(VLOOKUP(Proc[[#This Row],[App]],Table2[],3,0),"open")</f>
        <v>ok</v>
      </c>
      <c r="C865" s="70" t="s">
        <v>369</v>
      </c>
      <c r="D865" t="s">
        <v>2318</v>
      </c>
      <c r="E865" t="s">
        <v>2334</v>
      </c>
      <c r="F865" s="105" t="s">
        <v>2334</v>
      </c>
      <c r="G865" s="70" t="s">
        <v>406</v>
      </c>
      <c r="H865" s="71" t="str">
        <f>IF(Proc[[#This Row],[type]]="LFF (MDG-F)",MID(Proc[[#This Row],[Obj]],13,10),"")</f>
        <v>DE10533004</v>
      </c>
      <c r="J865" s="71" t="b">
        <f>Proc[[#This Row],[Requested]]=Proc[[#This Row],[CurrentParent]]</f>
        <v>1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79</v>
      </c>
      <c r="R865" s="72" t="s">
        <v>1459</v>
      </c>
      <c r="S865" s="71"/>
    </row>
    <row r="866" spans="1:19" hidden="1">
      <c r="A866" s="70" t="s">
        <v>2333</v>
      </c>
      <c r="B866" s="71" t="str">
        <f>IFERROR(VLOOKUP(Proc[[#This Row],[App]],Table2[],3,0),"open")</f>
        <v>ok</v>
      </c>
      <c r="C866" s="70" t="s">
        <v>369</v>
      </c>
      <c r="D866" t="s">
        <v>2319</v>
      </c>
      <c r="E866" t="s">
        <v>430</v>
      </c>
      <c r="F866" s="105" t="s">
        <v>430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2575</v>
      </c>
      <c r="J866" s="71" t="b">
        <f>Proc[[#This Row],[Requested]]=Proc[[#This Row],[CurrentParent]]</f>
        <v>1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1459</v>
      </c>
      <c r="S866" s="71"/>
    </row>
    <row r="867" spans="1:19" hidden="1">
      <c r="A867" s="70" t="s">
        <v>2333</v>
      </c>
      <c r="B867" s="71" t="str">
        <f>IFERROR(VLOOKUP(Proc[[#This Row],[App]],Table2[],3,0),"open")</f>
        <v>ok</v>
      </c>
      <c r="C867" s="70" t="s">
        <v>369</v>
      </c>
      <c r="D867" t="s">
        <v>2320</v>
      </c>
      <c r="E867" t="s">
        <v>2335</v>
      </c>
      <c r="F867" s="105" t="s">
        <v>2335</v>
      </c>
      <c r="G867" s="70" t="s">
        <v>406</v>
      </c>
      <c r="H867" s="71" t="str">
        <f>IF(Proc[[#This Row],[type]]="LFF (MDG-F)",MID(Proc[[#This Row],[Obj]],13,10),"")</f>
        <v>VN50GIT050</v>
      </c>
      <c r="J867" s="71" t="b">
        <f>Proc[[#This Row],[Requested]]=Proc[[#This Row],[CurrentParent]]</f>
        <v>1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79</v>
      </c>
      <c r="R867" s="72" t="s">
        <v>1459</v>
      </c>
      <c r="S867" s="71"/>
    </row>
    <row r="868" spans="1:19" hidden="1">
      <c r="A868" s="70" t="s">
        <v>2333</v>
      </c>
      <c r="B868" s="71" t="str">
        <f>IFERROR(VLOOKUP(Proc[[#This Row],[App]],Table2[],3,0),"open")</f>
        <v>ok</v>
      </c>
      <c r="C868" s="70" t="s">
        <v>369</v>
      </c>
      <c r="D868" t="s">
        <v>2321</v>
      </c>
      <c r="E868" t="s">
        <v>427</v>
      </c>
      <c r="F868" s="105" t="s">
        <v>427</v>
      </c>
      <c r="G868" s="70" t="s">
        <v>406</v>
      </c>
      <c r="H868" s="71" t="str">
        <f>IF(Proc[[#This Row],[type]]="LFF (MDG-F)",MID(Proc[[#This Row],[Obj]],13,10),"")</f>
        <v>ZA50GIT11B</v>
      </c>
      <c r="J868" s="71" t="b">
        <f>Proc[[#This Row],[Requested]]=Proc[[#This Row],[CurrentParent]]</f>
        <v>1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79</v>
      </c>
      <c r="R868" s="72" t="s">
        <v>1459</v>
      </c>
      <c r="S868" s="71"/>
    </row>
    <row r="869" spans="1:19" hidden="1">
      <c r="A869" s="70" t="s">
        <v>2333</v>
      </c>
      <c r="B869" s="71" t="str">
        <f>IFERROR(VLOOKUP(Proc[[#This Row],[App]],Table2[],3,0),"open")</f>
        <v>ok</v>
      </c>
      <c r="C869" s="70" t="s">
        <v>369</v>
      </c>
      <c r="D869" t="s">
        <v>2322</v>
      </c>
      <c r="E869" t="s">
        <v>1458</v>
      </c>
      <c r="F869" s="105" t="s">
        <v>1458</v>
      </c>
      <c r="G869" s="70" t="s">
        <v>406</v>
      </c>
      <c r="H869" s="71" t="str">
        <f>IF(Proc[[#This Row],[type]]="LFF (MDG-F)",MID(Proc[[#This Row],[Obj]],13,10),"")</f>
        <v>US10GIT044</v>
      </c>
      <c r="J869" s="71" t="b">
        <f>Proc[[#This Row],[Requested]]=Proc[[#This Row],[CurrentParent]]</f>
        <v>1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79</v>
      </c>
      <c r="R869" s="72" t="s">
        <v>1459</v>
      </c>
      <c r="S869" s="71"/>
    </row>
    <row r="870" spans="1:19" hidden="1">
      <c r="A870" s="70" t="s">
        <v>2333</v>
      </c>
      <c r="B870" s="71" t="str">
        <f>IFERROR(VLOOKUP(Proc[[#This Row],[App]],Table2[],3,0),"open")</f>
        <v>ok</v>
      </c>
      <c r="C870" s="70" t="s">
        <v>369</v>
      </c>
      <c r="D870" t="s">
        <v>2323</v>
      </c>
      <c r="E870" t="s">
        <v>1458</v>
      </c>
      <c r="F870" s="105" t="s">
        <v>1458</v>
      </c>
      <c r="G870" s="70" t="s">
        <v>400</v>
      </c>
      <c r="H870" s="71"/>
      <c r="J870" s="71" t="b">
        <f>Proc[[#This Row],[Requested]]=Proc[[#This Row],[CurrentParent]]</f>
        <v>1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79</v>
      </c>
      <c r="R870" s="72" t="s">
        <v>1459</v>
      </c>
      <c r="S870" s="71"/>
    </row>
    <row r="871" spans="1:19" hidden="1">
      <c r="A871" s="70" t="s">
        <v>2333</v>
      </c>
      <c r="B871" s="71" t="str">
        <f>IFERROR(VLOOKUP(Proc[[#This Row],[App]],Table2[],3,0),"open")</f>
        <v>ok</v>
      </c>
      <c r="C871" s="70" t="s">
        <v>369</v>
      </c>
      <c r="D871" t="s">
        <v>2324</v>
      </c>
      <c r="E871" t="s">
        <v>429</v>
      </c>
      <c r="F871" s="105" t="s">
        <v>429</v>
      </c>
      <c r="G871" s="70" t="s">
        <v>400</v>
      </c>
      <c r="H871" s="71" t="str">
        <f>IF(Proc[[#This Row],[type]]="LFF (MDG-F)",MID(Proc[[#This Row],[Obj]],13,10),"")</f>
        <v/>
      </c>
      <c r="J871" s="71" t="b">
        <f>Proc[[#This Row],[Requested]]=Proc[[#This Row],[CurrentParent]]</f>
        <v>1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79</v>
      </c>
      <c r="R871" s="72" t="s">
        <v>1459</v>
      </c>
      <c r="S871" s="71"/>
    </row>
    <row r="872" spans="1:19" hidden="1">
      <c r="A872" s="70" t="s">
        <v>2333</v>
      </c>
      <c r="B872" s="71" t="str">
        <f>IFERROR(VLOOKUP(Proc[[#This Row],[App]],Table2[],3,0),"open")</f>
        <v>ok</v>
      </c>
      <c r="C872" s="70" t="s">
        <v>369</v>
      </c>
      <c r="D872" t="s">
        <v>2325</v>
      </c>
      <c r="E872" t="s">
        <v>1232</v>
      </c>
      <c r="F872" s="105" t="s">
        <v>1232</v>
      </c>
      <c r="G872" s="70" t="s">
        <v>400</v>
      </c>
      <c r="H872" s="71" t="str">
        <f>IF(Proc[[#This Row],[type]]="LFF (MDG-F)",MID(Proc[[#This Row],[Obj]],13,10),"")</f>
        <v/>
      </c>
      <c r="J872" s="71" t="b">
        <f>Proc[[#This Row],[Requested]]=Proc[[#This Row],[CurrentParent]]</f>
        <v>1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79</v>
      </c>
      <c r="R872" s="72" t="s">
        <v>1459</v>
      </c>
      <c r="S872" s="71"/>
    </row>
    <row r="873" spans="1:19" hidden="1">
      <c r="A873" s="70" t="s">
        <v>2333</v>
      </c>
      <c r="B873" s="71" t="str">
        <f>IFERROR(VLOOKUP(Proc[[#This Row],[App]],Table2[],3,0),"open")</f>
        <v>ok</v>
      </c>
      <c r="C873" s="70" t="s">
        <v>369</v>
      </c>
      <c r="D873" t="s">
        <v>2326</v>
      </c>
      <c r="E873" t="s">
        <v>1232</v>
      </c>
      <c r="F873" s="105" t="s">
        <v>1232</v>
      </c>
      <c r="G873" s="70" t="s">
        <v>400</v>
      </c>
      <c r="H873" s="71" t="str">
        <f>IF(Proc[[#This Row],[type]]="LFF (MDG-F)",MID(Proc[[#This Row],[Obj]],13,10),"")</f>
        <v/>
      </c>
      <c r="J873" s="71" t="b">
        <f>Proc[[#This Row],[Requested]]=Proc[[#This Row],[CurrentParent]]</f>
        <v>1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79</v>
      </c>
      <c r="R873" s="72" t="s">
        <v>1459</v>
      </c>
      <c r="S873" s="71"/>
    </row>
    <row r="874" spans="1:19" hidden="1">
      <c r="A874" s="70" t="s">
        <v>2333</v>
      </c>
      <c r="B874" s="71" t="str">
        <f>IFERROR(VLOOKUP(Proc[[#This Row],[App]],Table2[],3,0),"open")</f>
        <v>ok</v>
      </c>
      <c r="C874" s="70" t="s">
        <v>369</v>
      </c>
      <c r="D874" t="s">
        <v>2327</v>
      </c>
      <c r="E874" t="s">
        <v>429</v>
      </c>
      <c r="F874" s="105" t="s">
        <v>429</v>
      </c>
      <c r="G874" s="70" t="s">
        <v>400</v>
      </c>
      <c r="H874" s="71" t="str">
        <f>IF(Proc[[#This Row],[type]]="LFF (MDG-F)",MID(Proc[[#This Row],[Obj]],13,10),"")</f>
        <v/>
      </c>
      <c r="J874" s="71" t="b">
        <f>Proc[[#This Row],[Requested]]=Proc[[#This Row],[CurrentParent]]</f>
        <v>1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79</v>
      </c>
      <c r="R874" s="72" t="s">
        <v>1459</v>
      </c>
      <c r="S874" s="71"/>
    </row>
    <row r="875" spans="1:19" hidden="1">
      <c r="A875" s="70" t="s">
        <v>2333</v>
      </c>
      <c r="B875" s="71" t="str">
        <f>IFERROR(VLOOKUP(Proc[[#This Row],[App]],Table2[],3,0),"open")</f>
        <v>ok</v>
      </c>
      <c r="C875" s="70" t="s">
        <v>369</v>
      </c>
      <c r="D875" t="s">
        <v>2328</v>
      </c>
      <c r="E875" t="s">
        <v>1458</v>
      </c>
      <c r="F875" s="105" t="s">
        <v>1458</v>
      </c>
      <c r="G875" s="70" t="s">
        <v>400</v>
      </c>
      <c r="H875" s="71" t="str">
        <f>IF(Proc[[#This Row],[type]]="LFF (MDG-F)",MID(Proc[[#This Row],[Obj]],13,10),"")</f>
        <v/>
      </c>
      <c r="J875" s="71" t="b">
        <f>Proc[[#This Row],[Requested]]=Proc[[#This Row],[CurrentParent]]</f>
        <v>1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79</v>
      </c>
      <c r="R875" s="72" t="s">
        <v>1459</v>
      </c>
      <c r="S875" s="71"/>
    </row>
    <row r="876" spans="1:19" hidden="1">
      <c r="A876" s="70" t="s">
        <v>2333</v>
      </c>
      <c r="B876" s="71" t="str">
        <f>IFERROR(VLOOKUP(Proc[[#This Row],[App]],Table2[],3,0),"open")</f>
        <v>ok</v>
      </c>
      <c r="C876" s="70" t="s">
        <v>369</v>
      </c>
      <c r="D876" t="s">
        <v>2329</v>
      </c>
      <c r="E876" t="s">
        <v>1458</v>
      </c>
      <c r="F876" s="105" t="s">
        <v>1458</v>
      </c>
      <c r="G876" s="70" t="s">
        <v>400</v>
      </c>
      <c r="H876" s="71" t="str">
        <f>IF(Proc[[#This Row],[type]]="LFF (MDG-F)",MID(Proc[[#This Row],[Obj]],13,10),"")</f>
        <v/>
      </c>
      <c r="J876" s="71" t="b">
        <f>Proc[[#This Row],[Requested]]=Proc[[#This Row],[CurrentParent]]</f>
        <v>1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79</v>
      </c>
      <c r="R876" s="72" t="s">
        <v>1459</v>
      </c>
      <c r="S876" s="71"/>
    </row>
    <row r="877" spans="1:19" hidden="1">
      <c r="A877" s="70" t="s">
        <v>2333</v>
      </c>
      <c r="B877" s="71" t="str">
        <f>IFERROR(VLOOKUP(Proc[[#This Row],[App]],Table2[],3,0),"open")</f>
        <v>ok</v>
      </c>
      <c r="C877" s="70" t="s">
        <v>369</v>
      </c>
      <c r="D877" t="s">
        <v>2330</v>
      </c>
      <c r="E877" t="s">
        <v>424</v>
      </c>
      <c r="F877" s="105" t="s">
        <v>424</v>
      </c>
      <c r="G877" s="70" t="s">
        <v>400</v>
      </c>
      <c r="H877" s="71" t="str">
        <f>IF(Proc[[#This Row],[type]]="LFF (MDG-F)",MID(Proc[[#This Row],[Obj]],13,10),"")</f>
        <v/>
      </c>
      <c r="J877" s="71" t="b">
        <f>Proc[[#This Row],[Requested]]=Proc[[#This Row],[CurrentParent]]</f>
        <v>1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79</v>
      </c>
      <c r="R877" s="72" t="s">
        <v>1459</v>
      </c>
      <c r="S877" s="71"/>
    </row>
    <row r="878" spans="1:19" hidden="1">
      <c r="A878" s="70" t="s">
        <v>2333</v>
      </c>
      <c r="B878" s="71" t="str">
        <f>IFERROR(VLOOKUP(Proc[[#This Row],[App]],Table2[],3,0),"open")</f>
        <v>ok</v>
      </c>
      <c r="C878" s="70" t="s">
        <v>369</v>
      </c>
      <c r="D878" t="s">
        <v>2331</v>
      </c>
      <c r="E878" t="s">
        <v>2336</v>
      </c>
      <c r="F878" s="105" t="s">
        <v>2336</v>
      </c>
      <c r="G878" s="70" t="s">
        <v>400</v>
      </c>
      <c r="H878" s="71" t="str">
        <f>IF(Proc[[#This Row],[type]]="LFF (MDG-F)",MID(Proc[[#This Row],[Obj]],13,10),"")</f>
        <v/>
      </c>
      <c r="J878" s="71" t="b">
        <f>Proc[[#This Row],[Requested]]=Proc[[#This Row],[CurrentParent]]</f>
        <v>1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79</v>
      </c>
      <c r="R878" s="72" t="s">
        <v>1459</v>
      </c>
      <c r="S878" s="71"/>
    </row>
    <row r="879" spans="1:19" hidden="1">
      <c r="A879" s="70" t="s">
        <v>2333</v>
      </c>
      <c r="B879" s="71" t="str">
        <f>IFERROR(VLOOKUP(Proc[[#This Row],[App]],Table2[],3,0),"open")</f>
        <v>ok</v>
      </c>
      <c r="C879" s="70" t="s">
        <v>369</v>
      </c>
      <c r="D879" t="s">
        <v>2332</v>
      </c>
      <c r="E879" t="s">
        <v>1458</v>
      </c>
      <c r="F879" s="105" t="s">
        <v>1458</v>
      </c>
      <c r="G879" s="70" t="s">
        <v>400</v>
      </c>
      <c r="H879" s="71" t="str">
        <f>IF(Proc[[#This Row],[type]]="LFF (MDG-F)",MID(Proc[[#This Row],[Obj]],13,10),"")</f>
        <v/>
      </c>
      <c r="J879" s="71" t="b">
        <f>Proc[[#This Row],[Requested]]=Proc[[#This Row],[CurrentParent]]</f>
        <v>1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79</v>
      </c>
      <c r="R879" s="72" t="s">
        <v>1459</v>
      </c>
      <c r="S879" s="71"/>
    </row>
    <row r="880" spans="1:19" hidden="1">
      <c r="A880" t="s">
        <v>2313</v>
      </c>
      <c r="B880" s="71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5" t="s">
        <v>1588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1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549</v>
      </c>
      <c r="S880" s="71"/>
    </row>
    <row r="881" spans="1:19" hidden="1">
      <c r="A881" s="70" t="s">
        <v>2379</v>
      </c>
      <c r="B881" s="71" t="str">
        <f>IFERROR(VLOOKUP(Proc[[#This Row],[App]],Table2[],3,0),"open")</f>
        <v>ok</v>
      </c>
      <c r="C881" s="70" t="s">
        <v>369</v>
      </c>
      <c r="D881" t="s">
        <v>2380</v>
      </c>
      <c r="E881" t="s">
        <v>1458</v>
      </c>
      <c r="F881" s="105" t="s">
        <v>1458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1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1459</v>
      </c>
      <c r="S881" s="71"/>
    </row>
    <row r="882" spans="1:19" hidden="1">
      <c r="A882" t="s">
        <v>2379</v>
      </c>
      <c r="B882" s="71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5" t="s">
        <v>1458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1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1459</v>
      </c>
      <c r="S882" s="71"/>
    </row>
    <row r="883" spans="1:19" hidden="1">
      <c r="A883" s="70" t="s">
        <v>2441</v>
      </c>
      <c r="B883" s="71" t="str">
        <f>IFERROR(VLOOKUP(Proc[[#This Row],[App]],Table2[],3,0),"open")</f>
        <v>ok</v>
      </c>
      <c r="C883" s="70" t="s">
        <v>369</v>
      </c>
      <c r="D883" t="s">
        <v>2442</v>
      </c>
      <c r="E883" t="s">
        <v>2443</v>
      </c>
      <c r="F883" s="105" t="s">
        <v>2443</v>
      </c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1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2444</v>
      </c>
      <c r="S883" s="71"/>
    </row>
    <row r="884" spans="1:19" hidden="1">
      <c r="A884" t="s">
        <v>2384</v>
      </c>
      <c r="B884" s="71" t="str">
        <f>IFERROR(VLOOKUP(Proc[[#This Row],[App]],Table2[],3,0),"open")</f>
        <v>ok</v>
      </c>
      <c r="C884" s="70" t="s">
        <v>398</v>
      </c>
      <c r="D884" t="s">
        <v>2382</v>
      </c>
      <c r="E884" t="s">
        <v>2377</v>
      </c>
      <c r="F884" s="105" t="s">
        <v>2377</v>
      </c>
      <c r="G884" s="70" t="s">
        <v>400</v>
      </c>
      <c r="H884" s="71" t="str">
        <f>IF(Proc[[#This Row],[type]]="LFF (MDG-F)",MID(Proc[[#This Row],[Obj]],13,10),"")</f>
        <v/>
      </c>
      <c r="I884" t="s">
        <v>1198</v>
      </c>
      <c r="J884" s="71" t="b">
        <f>Proc[[#This Row],[Requested]]=Proc[[#This Row],[CurrentParent]]</f>
        <v>1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972</v>
      </c>
      <c r="S884" s="71"/>
    </row>
    <row r="885" spans="1:19" hidden="1">
      <c r="A885" t="s">
        <v>2384</v>
      </c>
      <c r="B885" s="71" t="str">
        <f>IFERROR(VLOOKUP(Proc[[#This Row],[App]],Table2[],3,0),"open")</f>
        <v>ok</v>
      </c>
      <c r="C885" s="70" t="s">
        <v>369</v>
      </c>
      <c r="D885" t="s">
        <v>2383</v>
      </c>
      <c r="E885" t="s">
        <v>2385</v>
      </c>
      <c r="F885" s="105" t="s">
        <v>2385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1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972</v>
      </c>
      <c r="S885" s="71"/>
    </row>
    <row r="886" spans="1:19" hidden="1">
      <c r="A886" t="s">
        <v>2396</v>
      </c>
      <c r="B886" s="71" t="str">
        <f>IFERROR(VLOOKUP(Proc[[#This Row],[App]],Table2[],3,0),"open")</f>
        <v>ok</v>
      </c>
      <c r="C886" s="70" t="s">
        <v>369</v>
      </c>
      <c r="D886" t="s">
        <v>2392</v>
      </c>
      <c r="E886" t="s">
        <v>2397</v>
      </c>
      <c r="F886" s="105" t="s">
        <v>2397</v>
      </c>
      <c r="G886" s="70" t="s">
        <v>406</v>
      </c>
      <c r="H886" s="71" t="str">
        <f>IF(Proc[[#This Row],[type]]="LFF (MDG-F)",MID(Proc[[#This Row],[Obj]],13,10),"")</f>
        <v>CH65R00044</v>
      </c>
      <c r="J886" s="71" t="b">
        <f>Proc[[#This Row],[Requested]]=Proc[[#This Row],[CurrentParent]]</f>
        <v>1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75</v>
      </c>
      <c r="R886" s="72" t="s">
        <v>2400</v>
      </c>
      <c r="S886" s="71"/>
    </row>
    <row r="887" spans="1:19" hidden="1">
      <c r="A887" s="70" t="s">
        <v>2396</v>
      </c>
      <c r="B887" s="71" t="str">
        <f>IFERROR(VLOOKUP(Proc[[#This Row],[App]],Table2[],3,0),"open")</f>
        <v>ok</v>
      </c>
      <c r="C887" s="70" t="s">
        <v>369</v>
      </c>
      <c r="D887" t="s">
        <v>2393</v>
      </c>
      <c r="E887" t="s">
        <v>2398</v>
      </c>
      <c r="F887" s="105" t="s">
        <v>2398</v>
      </c>
      <c r="G887" s="70" t="s">
        <v>406</v>
      </c>
      <c r="H887" s="71" t="str">
        <f>IF(Proc[[#This Row],[type]]="LFF (MDG-F)",MID(Proc[[#This Row],[Obj]],13,10),"")</f>
        <v>CH65R00045</v>
      </c>
      <c r="J887" s="71" t="b">
        <f>Proc[[#This Row],[Requested]]=Proc[[#This Row],[CurrentParent]]</f>
        <v>1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75</v>
      </c>
      <c r="R887" s="72" t="s">
        <v>2400</v>
      </c>
      <c r="S887" s="71"/>
    </row>
    <row r="888" spans="1:19" hidden="1">
      <c r="A888" s="70" t="s">
        <v>2396</v>
      </c>
      <c r="B888" s="71" t="str">
        <f>IFERROR(VLOOKUP(Proc[[#This Row],[App]],Table2[],3,0),"open")</f>
        <v>ok</v>
      </c>
      <c r="C888" s="70" t="s">
        <v>369</v>
      </c>
      <c r="D888" t="s">
        <v>2394</v>
      </c>
      <c r="E888" t="s">
        <v>2399</v>
      </c>
      <c r="F888" s="105" t="s">
        <v>2399</v>
      </c>
      <c r="G888" s="70" t="s">
        <v>406</v>
      </c>
      <c r="H888" s="71" t="str">
        <f>IF(Proc[[#This Row],[type]]="LFF (MDG-F)",MID(Proc[[#This Row],[Obj]],13,10),"")</f>
        <v>CH65R00046</v>
      </c>
      <c r="J888" s="71" t="b">
        <f>Proc[[#This Row],[Requested]]=Proc[[#This Row],[CurrentParent]]</f>
        <v>1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75</v>
      </c>
      <c r="R888" s="72" t="s">
        <v>2400</v>
      </c>
      <c r="S888" s="71"/>
    </row>
    <row r="889" spans="1:19" hidden="1">
      <c r="A889" s="70" t="s">
        <v>2396</v>
      </c>
      <c r="B889" s="71" t="str">
        <f>IFERROR(VLOOKUP(Proc[[#This Row],[App]],Table2[],3,0),"open")</f>
        <v>ok</v>
      </c>
      <c r="C889" s="70" t="s">
        <v>369</v>
      </c>
      <c r="D889" t="s">
        <v>2395</v>
      </c>
      <c r="E889" t="s">
        <v>2419</v>
      </c>
      <c r="F889" s="105" t="s">
        <v>2419</v>
      </c>
      <c r="G889" s="70" t="s">
        <v>406</v>
      </c>
      <c r="H889" s="71" t="str">
        <f>IF(Proc[[#This Row],[type]]="LFF (MDG-F)",MID(Proc[[#This Row],[Obj]],13,10),"")</f>
        <v>CH65R00054</v>
      </c>
      <c r="J889" s="71" t="b">
        <f>Proc[[#This Row],[Requested]]=Proc[[#This Row],[CurrentParent]]</f>
        <v>1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2400</v>
      </c>
      <c r="S889" s="71"/>
    </row>
    <row r="890" spans="1:19" hidden="1">
      <c r="A890" t="s">
        <v>2389</v>
      </c>
      <c r="B890" s="71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5" t="s">
        <v>2391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1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2400</v>
      </c>
      <c r="S890" s="71"/>
    </row>
    <row r="891" spans="1:19" hidden="1">
      <c r="A891" t="s">
        <v>2414</v>
      </c>
      <c r="B891" s="71" t="str">
        <f>IFERROR(VLOOKUP(Proc[[#This Row],[App]],Table2[],3,0),"open")</f>
        <v>ok</v>
      </c>
      <c r="C891" s="70" t="s">
        <v>369</v>
      </c>
      <c r="D891" t="s">
        <v>2406</v>
      </c>
      <c r="E891" t="s">
        <v>2410</v>
      </c>
      <c r="F891" s="105" t="s">
        <v>2410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1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830</v>
      </c>
      <c r="S891" s="71"/>
    </row>
    <row r="892" spans="1:19" hidden="1">
      <c r="A892" t="s">
        <v>2414</v>
      </c>
      <c r="B892" s="71" t="str">
        <f>IFERROR(VLOOKUP(Proc[[#This Row],[App]],Table2[],3,0),"open")</f>
        <v>ok</v>
      </c>
      <c r="C892" s="70" t="s">
        <v>369</v>
      </c>
      <c r="D892" t="s">
        <v>2407</v>
      </c>
      <c r="E892" t="s">
        <v>2411</v>
      </c>
      <c r="F892" s="105" t="s">
        <v>2411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1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830</v>
      </c>
      <c r="S892" s="71"/>
    </row>
    <row r="893" spans="1:19" hidden="1">
      <c r="A893" s="70" t="s">
        <v>2414</v>
      </c>
      <c r="B893" s="71" t="str">
        <f>IFERROR(VLOOKUP(Proc[[#This Row],[App]],Table2[],3,0),"open")</f>
        <v>ok</v>
      </c>
      <c r="C893" s="70" t="s">
        <v>369</v>
      </c>
      <c r="D893" t="s">
        <v>2408</v>
      </c>
      <c r="E893" t="s">
        <v>2412</v>
      </c>
      <c r="F893" s="105" t="s">
        <v>2412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1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830</v>
      </c>
      <c r="S893" s="71"/>
    </row>
    <row r="894" spans="1:19" hidden="1">
      <c r="A894" s="70" t="s">
        <v>2414</v>
      </c>
      <c r="B894" s="71" t="str">
        <f>IFERROR(VLOOKUP(Proc[[#This Row],[App]],Table2[],3,0),"open")</f>
        <v>ok</v>
      </c>
      <c r="C894" s="70" t="s">
        <v>369</v>
      </c>
      <c r="D894" t="s">
        <v>2409</v>
      </c>
      <c r="E894" t="s">
        <v>2413</v>
      </c>
      <c r="F894" s="105" t="s">
        <v>2413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1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830</v>
      </c>
      <c r="S894" s="71"/>
    </row>
    <row r="895" spans="1:19" hidden="1">
      <c r="A895" s="70" t="s">
        <v>2403</v>
      </c>
      <c r="B895" s="71" t="str">
        <f>IFERROR(VLOOKUP(Proc[[#This Row],[App]],Table2[],3,0),"open")</f>
        <v>ok</v>
      </c>
      <c r="C895" s="70" t="s">
        <v>369</v>
      </c>
      <c r="D895" t="s">
        <v>2404</v>
      </c>
      <c r="E895" t="s">
        <v>413</v>
      </c>
      <c r="F895" s="105" t="s">
        <v>413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1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515</v>
      </c>
      <c r="S895" s="71"/>
    </row>
    <row r="896" spans="1:19" hidden="1">
      <c r="A896" t="s">
        <v>2401</v>
      </c>
      <c r="B896" s="71" t="str">
        <f>IFERROR(VLOOKUP(Proc[[#This Row],[App]],Table2[],3,0),"open")</f>
        <v>ok</v>
      </c>
      <c r="C896" s="70" t="s">
        <v>369</v>
      </c>
      <c r="D896" t="s">
        <v>2402</v>
      </c>
      <c r="E896" t="s">
        <v>2415</v>
      </c>
      <c r="F896" s="105" t="s">
        <v>2415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1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515</v>
      </c>
      <c r="S896" s="71"/>
    </row>
    <row r="897" spans="1:19" hidden="1">
      <c r="A897" s="70" t="s">
        <v>2420</v>
      </c>
      <c r="B897" s="71" t="str">
        <f>IFERROR(VLOOKUP(Proc[[#This Row],[App]],Table2[],3,0),"open")</f>
        <v>ok</v>
      </c>
      <c r="C897" s="70" t="s">
        <v>369</v>
      </c>
      <c r="D897" t="s">
        <v>2421</v>
      </c>
      <c r="E897" t="s">
        <v>2430</v>
      </c>
      <c r="F897" s="105" t="s">
        <v>2430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1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1076</v>
      </c>
      <c r="S897" s="71"/>
    </row>
    <row r="898" spans="1:19" hidden="1">
      <c r="A898" s="70" t="s">
        <v>2420</v>
      </c>
      <c r="B898" s="71" t="str">
        <f>IFERROR(VLOOKUP(Proc[[#This Row],[App]],Table2[],3,0),"open")</f>
        <v>ok</v>
      </c>
      <c r="C898" s="70" t="s">
        <v>369</v>
      </c>
      <c r="D898" t="s">
        <v>2422</v>
      </c>
      <c r="E898" t="s">
        <v>2430</v>
      </c>
      <c r="F898" s="105" t="s">
        <v>2430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1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1076</v>
      </c>
      <c r="S898" s="71"/>
    </row>
    <row r="899" spans="1:19" hidden="1">
      <c r="A899" s="70" t="s">
        <v>2420</v>
      </c>
      <c r="B899" s="71" t="str">
        <f>IFERROR(VLOOKUP(Proc[[#This Row],[App]],Table2[],3,0),"open")</f>
        <v>ok</v>
      </c>
      <c r="C899" s="70" t="s">
        <v>369</v>
      </c>
      <c r="D899" t="s">
        <v>2423</v>
      </c>
      <c r="E899" t="s">
        <v>418</v>
      </c>
      <c r="F899" s="105" t="s">
        <v>418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1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1076</v>
      </c>
      <c r="S899" s="71"/>
    </row>
    <row r="900" spans="1:19" hidden="1">
      <c r="A900" s="70" t="s">
        <v>2420</v>
      </c>
      <c r="B900" s="71" t="str">
        <f>IFERROR(VLOOKUP(Proc[[#This Row],[App]],Table2[],3,0),"open")</f>
        <v>ok</v>
      </c>
      <c r="C900" s="70" t="s">
        <v>369</v>
      </c>
      <c r="D900" t="s">
        <v>2424</v>
      </c>
      <c r="E900" t="s">
        <v>418</v>
      </c>
      <c r="F900" s="105" t="s">
        <v>418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1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1076</v>
      </c>
      <c r="S900" s="71"/>
    </row>
    <row r="901" spans="1:19" hidden="1">
      <c r="A901" s="70" t="s">
        <v>2420</v>
      </c>
      <c r="B901" s="71" t="str">
        <f>IFERROR(VLOOKUP(Proc[[#This Row],[App]],Table2[],3,0),"open")</f>
        <v>ok</v>
      </c>
      <c r="C901" s="70" t="s">
        <v>369</v>
      </c>
      <c r="D901" t="s">
        <v>2425</v>
      </c>
      <c r="E901" t="s">
        <v>2431</v>
      </c>
      <c r="F901" s="105" t="s">
        <v>2431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1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1076</v>
      </c>
      <c r="S901" s="71"/>
    </row>
    <row r="902" spans="1:19" hidden="1">
      <c r="A902" s="70" t="s">
        <v>2420</v>
      </c>
      <c r="B902" s="71" t="str">
        <f>IFERROR(VLOOKUP(Proc[[#This Row],[App]],Table2[],3,0),"open")</f>
        <v>ok</v>
      </c>
      <c r="C902" s="70" t="s">
        <v>369</v>
      </c>
      <c r="D902" t="s">
        <v>2426</v>
      </c>
      <c r="E902" t="s">
        <v>2432</v>
      </c>
      <c r="F902" s="105" t="s">
        <v>2432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1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1076</v>
      </c>
      <c r="S902" s="71"/>
    </row>
    <row r="903" spans="1:19" hidden="1">
      <c r="A903" s="70" t="s">
        <v>2420</v>
      </c>
      <c r="B903" s="71" t="str">
        <f>IFERROR(VLOOKUP(Proc[[#This Row],[App]],Table2[],3,0),"open")</f>
        <v>ok</v>
      </c>
      <c r="C903" s="70" t="s">
        <v>369</v>
      </c>
      <c r="D903" t="s">
        <v>2427</v>
      </c>
      <c r="E903" t="s">
        <v>2430</v>
      </c>
      <c r="F903" s="105" t="s">
        <v>2430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1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1076</v>
      </c>
      <c r="S903" s="71"/>
    </row>
    <row r="904" spans="1:19" hidden="1">
      <c r="A904" s="70" t="s">
        <v>2420</v>
      </c>
      <c r="B904" s="71" t="str">
        <f>IFERROR(VLOOKUP(Proc[[#This Row],[App]],Table2[],3,0),"open")</f>
        <v>ok</v>
      </c>
      <c r="C904" s="70" t="s">
        <v>369</v>
      </c>
      <c r="D904" t="s">
        <v>2428</v>
      </c>
      <c r="E904" t="s">
        <v>2430</v>
      </c>
      <c r="F904" s="105" t="s">
        <v>2430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1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1076</v>
      </c>
      <c r="S904" s="71"/>
    </row>
    <row r="905" spans="1:19" hidden="1">
      <c r="A905" t="s">
        <v>2420</v>
      </c>
      <c r="B905" s="71" t="str">
        <f>IFERROR(VLOOKUP(Proc[[#This Row],[App]],Table2[],3,0),"open")</f>
        <v>ok</v>
      </c>
      <c r="C905" s="70" t="s">
        <v>369</v>
      </c>
      <c r="D905" t="s">
        <v>2429</v>
      </c>
      <c r="E905" t="s">
        <v>2430</v>
      </c>
      <c r="F905" s="105" t="s">
        <v>2430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1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1076</v>
      </c>
      <c r="S905" s="71"/>
    </row>
    <row r="906" spans="1:19" hidden="1">
      <c r="A906" t="s">
        <v>2435</v>
      </c>
      <c r="B906" s="71" t="str">
        <f>IFERROR(VLOOKUP(Proc[[#This Row],[App]],Table2[],3,0),"open")</f>
        <v>ok</v>
      </c>
      <c r="C906" s="70" t="s">
        <v>369</v>
      </c>
      <c r="D906" t="s">
        <v>2433</v>
      </c>
      <c r="E906" t="s">
        <v>2434</v>
      </c>
      <c r="F906" s="105" t="s">
        <v>2434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1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2436</v>
      </c>
      <c r="S906" s="71"/>
    </row>
    <row r="907" spans="1:19" hidden="1">
      <c r="A907" t="s">
        <v>2446</v>
      </c>
      <c r="B907" s="71" t="str">
        <f>IFERROR(VLOOKUP(Proc[[#This Row],[App]],Table2[],3,0),"open")</f>
        <v>ok</v>
      </c>
      <c r="C907" t="s">
        <v>369</v>
      </c>
      <c r="D907" s="75" t="s">
        <v>2445</v>
      </c>
      <c r="E907" t="s">
        <v>540</v>
      </c>
      <c r="F907" s="74" t="s">
        <v>540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70</v>
      </c>
      <c r="R907" s="72" t="s">
        <v>515</v>
      </c>
      <c r="S907" s="71"/>
    </row>
    <row r="908" spans="1:19" hidden="1">
      <c r="A908" t="s">
        <v>2439</v>
      </c>
      <c r="B908" s="71" t="str">
        <f>IFERROR(VLOOKUP(Proc[[#This Row],[App]],Table2[],3,0),"open")</f>
        <v>ok</v>
      </c>
      <c r="C908" t="s">
        <v>369</v>
      </c>
      <c r="D908" s="74" t="s">
        <v>2437</v>
      </c>
      <c r="E908" t="s">
        <v>2438</v>
      </c>
      <c r="F908" s="105" t="s">
        <v>2438</v>
      </c>
      <c r="G908" t="s">
        <v>400</v>
      </c>
      <c r="H908" s="71" t="str">
        <f>IF(Proc[[#This Row],[type]]="LFF (MDG-F)",MID(Proc[[#This Row],[Obj]],13,10),"")</f>
        <v/>
      </c>
      <c r="J908" s="71" t="b">
        <f>Proc[[#This Row],[Requested]]=Proc[[#This Row],[CurrentParent]]</f>
        <v>1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69</v>
      </c>
      <c r="R908" s="72" t="s">
        <v>2440</v>
      </c>
      <c r="S908" s="71"/>
    </row>
    <row r="909" spans="1:19" hidden="1">
      <c r="A909" t="s">
        <v>2459</v>
      </c>
      <c r="B909" s="71" t="str">
        <f>IFERROR(VLOOKUP(Proc[[#This Row],[App]],Table2[],3,0),"open")</f>
        <v>ok</v>
      </c>
      <c r="C909" s="74" t="s">
        <v>398</v>
      </c>
      <c r="D909" t="s">
        <v>2447</v>
      </c>
      <c r="E909" t="s">
        <v>2458</v>
      </c>
      <c r="F909" s="105" t="s">
        <v>2458</v>
      </c>
      <c r="G909" t="s">
        <v>406</v>
      </c>
      <c r="H909" s="71" t="str">
        <f>IF(Proc[[#This Row],[type]]="LFF (MDG-F)",MID(Proc[[#This Row],[Obj]],13,10),"")</f>
        <v>2148TASA01</v>
      </c>
      <c r="I909" t="s">
        <v>2474</v>
      </c>
      <c r="J909" s="71" t="b">
        <f>Proc[[#This Row],[Requested]]=Proc[[#This Row],[CurrentParent]]</f>
        <v>1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69</v>
      </c>
      <c r="R909" s="72" t="s">
        <v>830</v>
      </c>
      <c r="S909" s="71"/>
    </row>
    <row r="910" spans="1:19" hidden="1">
      <c r="A910" s="74" t="s">
        <v>2459</v>
      </c>
      <c r="B910" s="71" t="str">
        <f>IFERROR(VLOOKUP(Proc[[#This Row],[App]],Table2[],3,0),"open")</f>
        <v>ok</v>
      </c>
      <c r="C910" s="74" t="s">
        <v>398</v>
      </c>
      <c r="D910" t="s">
        <v>2448</v>
      </c>
      <c r="E910" t="s">
        <v>2458</v>
      </c>
      <c r="F910" s="105" t="s">
        <v>2458</v>
      </c>
      <c r="G910" s="74" t="s">
        <v>406</v>
      </c>
      <c r="H910" s="71" t="str">
        <f>IF(Proc[[#This Row],[type]]="LFF (MDG-F)",MID(Proc[[#This Row],[Obj]],13,10),"")</f>
        <v>2148TASA99</v>
      </c>
      <c r="I910" s="74" t="s">
        <v>2474</v>
      </c>
      <c r="J910" s="71" t="b">
        <f>Proc[[#This Row],[Requested]]=Proc[[#This Row],[CurrentParent]]</f>
        <v>1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69</v>
      </c>
      <c r="R910" s="72" t="s">
        <v>830</v>
      </c>
      <c r="S910" s="71"/>
    </row>
    <row r="911" spans="1:19" hidden="1">
      <c r="A911" s="74" t="s">
        <v>2459</v>
      </c>
      <c r="B911" s="71" t="str">
        <f>IFERROR(VLOOKUP(Proc[[#This Row],[App]],Table2[],3,0),"open")</f>
        <v>ok</v>
      </c>
      <c r="C911" s="74" t="s">
        <v>398</v>
      </c>
      <c r="D911" t="s">
        <v>2449</v>
      </c>
      <c r="E911" t="s">
        <v>2458</v>
      </c>
      <c r="F911" s="105" t="s">
        <v>2458</v>
      </c>
      <c r="G911" s="74" t="s">
        <v>406</v>
      </c>
      <c r="H911" s="71" t="str">
        <f>IF(Proc[[#This Row],[type]]="LFF (MDG-F)",MID(Proc[[#This Row],[Obj]],13,10),"")</f>
        <v>2148TASB00</v>
      </c>
      <c r="I911" s="74" t="s">
        <v>2474</v>
      </c>
      <c r="J911" s="71" t="b">
        <f>Proc[[#This Row],[Requested]]=Proc[[#This Row],[CurrentParent]]</f>
        <v>1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69</v>
      </c>
      <c r="R911" s="72" t="s">
        <v>830</v>
      </c>
      <c r="S911" s="71"/>
    </row>
    <row r="912" spans="1:19" hidden="1">
      <c r="A912" s="74" t="s">
        <v>2459</v>
      </c>
      <c r="B912" s="71" t="str">
        <f>IFERROR(VLOOKUP(Proc[[#This Row],[App]],Table2[],3,0),"open")</f>
        <v>ok</v>
      </c>
      <c r="C912" s="74" t="s">
        <v>398</v>
      </c>
      <c r="D912" t="s">
        <v>2450</v>
      </c>
      <c r="E912" t="s">
        <v>2458</v>
      </c>
      <c r="F912" s="105" t="s">
        <v>2458</v>
      </c>
      <c r="G912" s="74" t="s">
        <v>406</v>
      </c>
      <c r="H912" s="71" t="str">
        <f>IF(Proc[[#This Row],[type]]="LFF (MDG-F)",MID(Proc[[#This Row],[Obj]],13,10),"")</f>
        <v>2148TASB01</v>
      </c>
      <c r="I912" s="74" t="s">
        <v>2474</v>
      </c>
      <c r="J912" s="71" t="b">
        <f>Proc[[#This Row],[Requested]]=Proc[[#This Row],[CurrentParent]]</f>
        <v>1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69</v>
      </c>
      <c r="R912" s="72" t="s">
        <v>830</v>
      </c>
      <c r="S912" s="71"/>
    </row>
    <row r="913" spans="1:19" hidden="1">
      <c r="A913" s="74" t="s">
        <v>2459</v>
      </c>
      <c r="B913" s="71" t="str">
        <f>IFERROR(VLOOKUP(Proc[[#This Row],[App]],Table2[],3,0),"open")</f>
        <v>ok</v>
      </c>
      <c r="C913" s="74" t="s">
        <v>398</v>
      </c>
      <c r="D913" t="s">
        <v>2451</v>
      </c>
      <c r="E913" t="s">
        <v>2458</v>
      </c>
      <c r="F913" s="105" t="s">
        <v>2458</v>
      </c>
      <c r="G913" s="74" t="s">
        <v>406</v>
      </c>
      <c r="H913" s="71" t="str">
        <f>IF(Proc[[#This Row],[type]]="LFF (MDG-F)",MID(Proc[[#This Row],[Obj]],13,10),"")</f>
        <v>2148TASB99</v>
      </c>
      <c r="I913" s="74" t="s">
        <v>2474</v>
      </c>
      <c r="J913" s="71" t="b">
        <f>Proc[[#This Row],[Requested]]=Proc[[#This Row],[CurrentParent]]</f>
        <v>1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69</v>
      </c>
      <c r="R913" s="72" t="s">
        <v>830</v>
      </c>
      <c r="S913" s="71"/>
    </row>
    <row r="914" spans="1:19" hidden="1">
      <c r="A914" s="74" t="s">
        <v>2459</v>
      </c>
      <c r="B914" s="71" t="str">
        <f>IFERROR(VLOOKUP(Proc[[#This Row],[App]],Table2[],3,0),"open")</f>
        <v>ok</v>
      </c>
      <c r="C914" s="74" t="s">
        <v>398</v>
      </c>
      <c r="D914" t="s">
        <v>2452</v>
      </c>
      <c r="E914" t="s">
        <v>2458</v>
      </c>
      <c r="F914" s="105" t="s">
        <v>2458</v>
      </c>
      <c r="G914" s="74" t="s">
        <v>406</v>
      </c>
      <c r="H914" s="71" t="str">
        <f>IF(Proc[[#This Row],[type]]="LFF (MDG-F)",MID(Proc[[#This Row],[Obj]],13,10),"")</f>
        <v>2148TBSZ20</v>
      </c>
      <c r="I914" s="74" t="s">
        <v>2474</v>
      </c>
      <c r="J914" s="71" t="b">
        <f>Proc[[#This Row],[Requested]]=Proc[[#This Row],[CurrentParent]]</f>
        <v>1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69</v>
      </c>
      <c r="R914" s="72" t="s">
        <v>830</v>
      </c>
      <c r="S914" s="71"/>
    </row>
    <row r="915" spans="1:19" hidden="1">
      <c r="A915" s="74" t="s">
        <v>2459</v>
      </c>
      <c r="B915" s="71" t="str">
        <f>IFERROR(VLOOKUP(Proc[[#This Row],[App]],Table2[],3,0),"open")</f>
        <v>ok</v>
      </c>
      <c r="C915" s="74" t="s">
        <v>398</v>
      </c>
      <c r="D915" t="s">
        <v>2453</v>
      </c>
      <c r="E915" t="s">
        <v>2458</v>
      </c>
      <c r="F915" s="105" t="s">
        <v>2458</v>
      </c>
      <c r="G915" s="74" t="s">
        <v>406</v>
      </c>
      <c r="H915" s="71" t="str">
        <f>IF(Proc[[#This Row],[type]]="LFF (MDG-F)",MID(Proc[[#This Row],[Obj]],13,10),"")</f>
        <v>2148TBSZ21</v>
      </c>
      <c r="I915" s="74" t="s">
        <v>2474</v>
      </c>
      <c r="J915" s="71" t="b">
        <f>Proc[[#This Row],[Requested]]=Proc[[#This Row],[CurrentParent]]</f>
        <v>1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69</v>
      </c>
      <c r="R915" s="72" t="s">
        <v>830</v>
      </c>
      <c r="S915" s="71"/>
    </row>
    <row r="916" spans="1:19" hidden="1">
      <c r="A916" s="74" t="s">
        <v>2459</v>
      </c>
      <c r="B916" s="71" t="str">
        <f>IFERROR(VLOOKUP(Proc[[#This Row],[App]],Table2[],3,0),"open")</f>
        <v>ok</v>
      </c>
      <c r="C916" s="74" t="s">
        <v>398</v>
      </c>
      <c r="D916" t="s">
        <v>2454</v>
      </c>
      <c r="E916" t="s">
        <v>2458</v>
      </c>
      <c r="F916" s="105" t="s">
        <v>2458</v>
      </c>
      <c r="G916" s="74" t="s">
        <v>406</v>
      </c>
      <c r="H916" s="71" t="str">
        <f>IF(Proc[[#This Row],[type]]="LFF (MDG-F)",MID(Proc[[#This Row],[Obj]],13,10),"")</f>
        <v>2148TFSZ64</v>
      </c>
      <c r="I916" s="74" t="s">
        <v>2474</v>
      </c>
      <c r="J916" s="71" t="b">
        <f>Proc[[#This Row],[Requested]]=Proc[[#This Row],[CurrentParent]]</f>
        <v>1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69</v>
      </c>
      <c r="R916" s="72" t="s">
        <v>830</v>
      </c>
      <c r="S916" s="71"/>
    </row>
    <row r="917" spans="1:19" hidden="1">
      <c r="A917" s="74" t="s">
        <v>2459</v>
      </c>
      <c r="B917" s="71" t="str">
        <f>IFERROR(VLOOKUP(Proc[[#This Row],[App]],Table2[],3,0),"open")</f>
        <v>ok</v>
      </c>
      <c r="C917" s="74" t="s">
        <v>398</v>
      </c>
      <c r="D917" t="s">
        <v>2455</v>
      </c>
      <c r="E917" t="s">
        <v>2458</v>
      </c>
      <c r="F917" s="105" t="s">
        <v>2458</v>
      </c>
      <c r="G917" s="74" t="s">
        <v>406</v>
      </c>
      <c r="H917" s="71" t="str">
        <f>IF(Proc[[#This Row],[type]]="LFF (MDG-F)",MID(Proc[[#This Row],[Obj]],13,10),"")</f>
        <v>2148TKSZ70</v>
      </c>
      <c r="I917" s="74" t="s">
        <v>2474</v>
      </c>
      <c r="J917" s="71" t="b">
        <f>Proc[[#This Row],[Requested]]=Proc[[#This Row],[CurrentParent]]</f>
        <v>1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69</v>
      </c>
      <c r="R917" s="72" t="s">
        <v>830</v>
      </c>
      <c r="S917" s="71"/>
    </row>
    <row r="918" spans="1:19" hidden="1">
      <c r="A918" s="74" t="s">
        <v>2459</v>
      </c>
      <c r="B918" s="71" t="str">
        <f>IFERROR(VLOOKUP(Proc[[#This Row],[App]],Table2[],3,0),"open")</f>
        <v>ok</v>
      </c>
      <c r="C918" s="74" t="s">
        <v>398</v>
      </c>
      <c r="D918" t="s">
        <v>2456</v>
      </c>
      <c r="E918" t="s">
        <v>2458</v>
      </c>
      <c r="F918" s="105" t="s">
        <v>2458</v>
      </c>
      <c r="G918" s="74" t="s">
        <v>406</v>
      </c>
      <c r="H918" s="71" t="str">
        <f>IF(Proc[[#This Row],[type]]="LFF (MDG-F)",MID(Proc[[#This Row],[Obj]],13,10),"")</f>
        <v>2148TQSZ91</v>
      </c>
      <c r="I918" s="74" t="s">
        <v>2474</v>
      </c>
      <c r="J918" s="71" t="b">
        <f>Proc[[#This Row],[Requested]]=Proc[[#This Row],[CurrentParent]]</f>
        <v>1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69</v>
      </c>
      <c r="R918" s="72" t="s">
        <v>830</v>
      </c>
      <c r="S918" s="71"/>
    </row>
    <row r="919" spans="1:19" hidden="1">
      <c r="A919" s="74" t="s">
        <v>2459</v>
      </c>
      <c r="B919" s="71" t="str">
        <f>IFERROR(VLOOKUP(Proc[[#This Row],[App]],Table2[],3,0),"open")</f>
        <v>ok</v>
      </c>
      <c r="C919" s="74" t="s">
        <v>398</v>
      </c>
      <c r="D919" t="s">
        <v>2457</v>
      </c>
      <c r="E919" t="s">
        <v>2458</v>
      </c>
      <c r="F919" s="105" t="s">
        <v>2458</v>
      </c>
      <c r="G919" s="74" t="s">
        <v>406</v>
      </c>
      <c r="H919" s="71" t="str">
        <f>IF(Proc[[#This Row],[type]]="LFF (MDG-F)",MID(Proc[[#This Row],[Obj]],13,10),"")</f>
        <v>2148TQSZ92</v>
      </c>
      <c r="I919" s="74" t="s">
        <v>2474</v>
      </c>
      <c r="J919" s="71" t="b">
        <f>Proc[[#This Row],[Requested]]=Proc[[#This Row],[CurrentParent]]</f>
        <v>1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69</v>
      </c>
      <c r="R919" s="72" t="s">
        <v>830</v>
      </c>
      <c r="S919" s="71"/>
    </row>
    <row r="920" spans="1:19" hidden="1">
      <c r="A920" t="s">
        <v>2460</v>
      </c>
      <c r="B920" s="71" t="str">
        <f>IFERROR(VLOOKUP(Proc[[#This Row],[App]],Table2[],3,0),"open")</f>
        <v>ok</v>
      </c>
      <c r="C920" s="74" t="s">
        <v>369</v>
      </c>
      <c r="D920" t="s">
        <v>2461</v>
      </c>
      <c r="E920" t="s">
        <v>2463</v>
      </c>
      <c r="F920" s="105" t="s">
        <v>2463</v>
      </c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1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972</v>
      </c>
      <c r="S920" s="71"/>
    </row>
    <row r="921" spans="1:19" hidden="1">
      <c r="A921" s="74" t="s">
        <v>2460</v>
      </c>
      <c r="B921" s="71" t="str">
        <f>IFERROR(VLOOKUP(Proc[[#This Row],[App]],Table2[],3,0),"open")</f>
        <v>ok</v>
      </c>
      <c r="C921" s="74" t="s">
        <v>369</v>
      </c>
      <c r="D921" t="s">
        <v>2462</v>
      </c>
      <c r="E921" t="s">
        <v>977</v>
      </c>
      <c r="F921" s="105" t="s">
        <v>977</v>
      </c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1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972</v>
      </c>
      <c r="S921" s="71"/>
    </row>
    <row r="922" spans="1:19" hidden="1">
      <c r="A922" t="s">
        <v>2464</v>
      </c>
      <c r="B922" s="71" t="str">
        <f>IFERROR(VLOOKUP(Proc[[#This Row],[App]],Table2[],3,0),"open")</f>
        <v>ok</v>
      </c>
      <c r="C922" s="74" t="s">
        <v>369</v>
      </c>
      <c r="D922" t="s">
        <v>2306</v>
      </c>
      <c r="E922" s="74" t="s">
        <v>2308</v>
      </c>
      <c r="F922" s="105" t="s">
        <v>2308</v>
      </c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1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515</v>
      </c>
      <c r="S922" s="71"/>
    </row>
    <row r="923" spans="1:19" hidden="1">
      <c r="A923" t="s">
        <v>2465</v>
      </c>
      <c r="B923" s="71" t="str">
        <f>IFERROR(VLOOKUP(Proc[[#This Row],[App]],Table2[],3,0),"open")</f>
        <v>ok</v>
      </c>
      <c r="C923" s="74" t="s">
        <v>369</v>
      </c>
      <c r="D923" t="s">
        <v>2466</v>
      </c>
      <c r="E923" t="s">
        <v>2467</v>
      </c>
      <c r="F923" s="105" t="s">
        <v>2467</v>
      </c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1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1076</v>
      </c>
      <c r="S923" s="71"/>
    </row>
    <row r="924" spans="1:19" hidden="1">
      <c r="A924" t="s">
        <v>2469</v>
      </c>
      <c r="B924" s="71" t="str">
        <f>IFERROR(VLOOKUP(Proc[[#This Row],[App]],Table2[],3,0),"open")</f>
        <v>ok</v>
      </c>
      <c r="C924" s="74" t="s">
        <v>369</v>
      </c>
      <c r="D924" t="s">
        <v>2468</v>
      </c>
      <c r="E924" s="74" t="s">
        <v>2470</v>
      </c>
      <c r="F924" s="105" t="s">
        <v>2470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1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1076</v>
      </c>
      <c r="S924" s="71"/>
    </row>
    <row r="925" spans="1:19" hidden="1">
      <c r="A925" t="s">
        <v>2471</v>
      </c>
      <c r="B925" s="71" t="str">
        <f>IFERROR(VLOOKUP(Proc[[#This Row],[App]],Table2[],3,0),"open")</f>
        <v>ok</v>
      </c>
      <c r="C925" s="74" t="s">
        <v>369</v>
      </c>
      <c r="D925" t="s">
        <v>2472</v>
      </c>
      <c r="E925" t="s">
        <v>2473</v>
      </c>
      <c r="F925" s="105" t="s">
        <v>2473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1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1076</v>
      </c>
      <c r="S925" s="71"/>
    </row>
    <row r="926" spans="1:19" hidden="1">
      <c r="A926" t="s">
        <v>2478</v>
      </c>
      <c r="B926" s="71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5" t="s">
        <v>2482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2483</v>
      </c>
      <c r="J926" s="71" t="b">
        <f>Proc[[#This Row],[Requested]]=Proc[[#This Row],[CurrentParent]]</f>
        <v>1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1076</v>
      </c>
      <c r="S926" s="71"/>
    </row>
    <row r="927" spans="1:19" hidden="1">
      <c r="A927" t="s">
        <v>2478</v>
      </c>
      <c r="B927" s="71" t="str">
        <f>IFERROR(VLOOKUP(Proc[[#This Row],[App]],Table2[],3,0),"open")</f>
        <v>ok</v>
      </c>
      <c r="C927" s="74" t="s">
        <v>369</v>
      </c>
      <c r="D927" t="s">
        <v>2480</v>
      </c>
      <c r="E927" t="s">
        <v>2044</v>
      </c>
      <c r="F927" s="105" t="s">
        <v>2044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1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1076</v>
      </c>
      <c r="S927" s="71"/>
    </row>
    <row r="928" spans="1:19" hidden="1">
      <c r="A928" s="74" t="s">
        <v>2478</v>
      </c>
      <c r="B928" s="71" t="str">
        <f>IFERROR(VLOOKUP(Proc[[#This Row],[App]],Table2[],3,0),"open")</f>
        <v>ok</v>
      </c>
      <c r="C928" s="74" t="s">
        <v>369</v>
      </c>
      <c r="D928" t="s">
        <v>2040</v>
      </c>
      <c r="E928" t="s">
        <v>1249</v>
      </c>
      <c r="F928" s="105" t="s">
        <v>1249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1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1076</v>
      </c>
      <c r="S928" s="71"/>
    </row>
    <row r="929" spans="1:19" hidden="1">
      <c r="A929" s="74" t="s">
        <v>2478</v>
      </c>
      <c r="B929" s="71" t="str">
        <f>IFERROR(VLOOKUP(Proc[[#This Row],[App]],Table2[],3,0),"open")</f>
        <v>ok</v>
      </c>
      <c r="C929" s="74" t="s">
        <v>369</v>
      </c>
      <c r="D929" t="s">
        <v>2481</v>
      </c>
      <c r="E929" t="s">
        <v>2044</v>
      </c>
      <c r="F929" s="105" t="s">
        <v>2044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1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1076</v>
      </c>
      <c r="S929" s="71"/>
    </row>
    <row r="930" spans="1:19" hidden="1">
      <c r="A930" s="74" t="s">
        <v>2475</v>
      </c>
      <c r="B930" s="71" t="str">
        <f>IFERROR(VLOOKUP(Proc[[#This Row],[App]],Table2[],3,0),"open")</f>
        <v>ok</v>
      </c>
      <c r="C930" s="74" t="s">
        <v>369</v>
      </c>
      <c r="D930" t="s">
        <v>2476</v>
      </c>
      <c r="E930" t="s">
        <v>2477</v>
      </c>
      <c r="F930" s="105" t="s">
        <v>2477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1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515</v>
      </c>
      <c r="S930" s="71"/>
    </row>
    <row r="931" spans="1:19" hidden="1">
      <c r="A931" t="s">
        <v>2488</v>
      </c>
      <c r="B931" s="71" t="str">
        <f>IFERROR(VLOOKUP(Proc[[#This Row],[App]],Table2[],3,0),"open")</f>
        <v>ok</v>
      </c>
      <c r="C931" s="74" t="s">
        <v>369</v>
      </c>
      <c r="D931" t="s">
        <v>2484</v>
      </c>
      <c r="E931" t="s">
        <v>2487</v>
      </c>
      <c r="F931" s="105" t="s">
        <v>2487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1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972</v>
      </c>
      <c r="S931" s="71"/>
    </row>
    <row r="932" spans="1:19" hidden="1">
      <c r="A932" s="74" t="s">
        <v>2488</v>
      </c>
      <c r="B932" s="71" t="str">
        <f>IFERROR(VLOOKUP(Proc[[#This Row],[App]],Table2[],3,0),"open")</f>
        <v>ok</v>
      </c>
      <c r="C932" s="74" t="s">
        <v>369</v>
      </c>
      <c r="D932" t="s">
        <v>2485</v>
      </c>
      <c r="E932" t="s">
        <v>2377</v>
      </c>
      <c r="F932" s="105" t="s">
        <v>2377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1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972</v>
      </c>
      <c r="S932" s="71"/>
    </row>
    <row r="933" spans="1:19" hidden="1">
      <c r="A933" s="74" t="s">
        <v>2488</v>
      </c>
      <c r="B933" s="71" t="str">
        <f>IFERROR(VLOOKUP(Proc[[#This Row],[App]],Table2[],3,0),"open")</f>
        <v>ok</v>
      </c>
      <c r="C933" s="74" t="s">
        <v>369</v>
      </c>
      <c r="D933" t="s">
        <v>2486</v>
      </c>
      <c r="E933" t="s">
        <v>1361</v>
      </c>
      <c r="F933" s="105" t="s">
        <v>1361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1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972</v>
      </c>
      <c r="S933" s="71"/>
    </row>
    <row r="934" spans="1:19" hidden="1">
      <c r="A934" t="s">
        <v>2497</v>
      </c>
      <c r="B934" s="71" t="str">
        <f>IFERROR(VLOOKUP(Proc[[#This Row],[App]],Table2[],3,0),"open")</f>
        <v>ok</v>
      </c>
      <c r="C934" s="74" t="s">
        <v>369</v>
      </c>
      <c r="D934" t="s">
        <v>2489</v>
      </c>
      <c r="E934" t="s">
        <v>2493</v>
      </c>
      <c r="F934" s="105" t="s">
        <v>2493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1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489</v>
      </c>
      <c r="S934" s="71"/>
    </row>
    <row r="935" spans="1:19" hidden="1">
      <c r="A935" s="74" t="s">
        <v>2497</v>
      </c>
      <c r="B935" s="71" t="str">
        <f>IFERROR(VLOOKUP(Proc[[#This Row],[App]],Table2[],3,0),"open")</f>
        <v>ok</v>
      </c>
      <c r="C935" s="74" t="s">
        <v>369</v>
      </c>
      <c r="D935" t="s">
        <v>2490</v>
      </c>
      <c r="E935" t="s">
        <v>2494</v>
      </c>
      <c r="F935" s="105" t="s">
        <v>2494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1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489</v>
      </c>
      <c r="S935" s="71"/>
    </row>
    <row r="936" spans="1:19" hidden="1">
      <c r="A936" s="74" t="s">
        <v>2497</v>
      </c>
      <c r="B936" s="71" t="str">
        <f>IFERROR(VLOOKUP(Proc[[#This Row],[App]],Table2[],3,0),"open")</f>
        <v>ok</v>
      </c>
      <c r="C936" s="74" t="s">
        <v>369</v>
      </c>
      <c r="D936" t="s">
        <v>2491</v>
      </c>
      <c r="E936" t="s">
        <v>2495</v>
      </c>
      <c r="F936" s="105" t="s">
        <v>2495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1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489</v>
      </c>
      <c r="S936" s="71"/>
    </row>
    <row r="937" spans="1:19" hidden="1">
      <c r="A937" s="74" t="s">
        <v>2497</v>
      </c>
      <c r="B937" s="71" t="str">
        <f>IFERROR(VLOOKUP(Proc[[#This Row],[App]],Table2[],3,0),"open")</f>
        <v>ok</v>
      </c>
      <c r="C937" s="74" t="s">
        <v>369</v>
      </c>
      <c r="D937" t="s">
        <v>2492</v>
      </c>
      <c r="E937" t="s">
        <v>2496</v>
      </c>
      <c r="F937" s="105" t="s">
        <v>2496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1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489</v>
      </c>
      <c r="S937" s="71"/>
    </row>
    <row r="938" spans="1:19" hidden="1">
      <c r="A938" t="s">
        <v>2523</v>
      </c>
      <c r="B938" s="71" t="str">
        <f>IFERROR(VLOOKUP(Proc[[#This Row],[App]],Table2[],3,0),"open")</f>
        <v>ok</v>
      </c>
      <c r="C938" s="74" t="s">
        <v>369</v>
      </c>
      <c r="D938" t="s">
        <v>2513</v>
      </c>
      <c r="E938" t="s">
        <v>2522</v>
      </c>
      <c r="F938" s="105" t="s">
        <v>2522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1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2524</v>
      </c>
      <c r="S938" s="71"/>
    </row>
    <row r="939" spans="1:19" hidden="1">
      <c r="A939" s="74" t="s">
        <v>2523</v>
      </c>
      <c r="B939" s="71" t="str">
        <f>IFERROR(VLOOKUP(Proc[[#This Row],[App]],Table2[],3,0),"open")</f>
        <v>ok</v>
      </c>
      <c r="C939" s="74" t="s">
        <v>369</v>
      </c>
      <c r="D939" t="s">
        <v>2514</v>
      </c>
      <c r="E939" t="s">
        <v>2522</v>
      </c>
      <c r="F939" s="105" t="s">
        <v>2522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1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2524</v>
      </c>
      <c r="S939" s="71"/>
    </row>
    <row r="940" spans="1:19" hidden="1">
      <c r="A940" s="74" t="s">
        <v>2523</v>
      </c>
      <c r="B940" s="71" t="str">
        <f>IFERROR(VLOOKUP(Proc[[#This Row],[App]],Table2[],3,0),"open")</f>
        <v>ok</v>
      </c>
      <c r="C940" s="74" t="s">
        <v>369</v>
      </c>
      <c r="D940" t="s">
        <v>2515</v>
      </c>
      <c r="E940" t="s">
        <v>2522</v>
      </c>
      <c r="F940" s="105" t="s">
        <v>2522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1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2524</v>
      </c>
      <c r="S940" s="71"/>
    </row>
    <row r="941" spans="1:19" hidden="1">
      <c r="A941" s="74" t="s">
        <v>2523</v>
      </c>
      <c r="B941" s="71" t="str">
        <f>IFERROR(VLOOKUP(Proc[[#This Row],[App]],Table2[],3,0),"open")</f>
        <v>ok</v>
      </c>
      <c r="C941" s="74" t="s">
        <v>369</v>
      </c>
      <c r="D941" t="s">
        <v>2516</v>
      </c>
      <c r="E941" t="s">
        <v>2522</v>
      </c>
      <c r="F941" s="105" t="s">
        <v>2522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1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2524</v>
      </c>
      <c r="S941" s="71"/>
    </row>
    <row r="942" spans="1:19" hidden="1">
      <c r="A942" s="74" t="s">
        <v>2523</v>
      </c>
      <c r="B942" s="71" t="str">
        <f>IFERROR(VLOOKUP(Proc[[#This Row],[App]],Table2[],3,0),"open")</f>
        <v>ok</v>
      </c>
      <c r="C942" s="74" t="s">
        <v>369</v>
      </c>
      <c r="D942" t="s">
        <v>2517</v>
      </c>
      <c r="E942" t="s">
        <v>2522</v>
      </c>
      <c r="F942" s="105" t="s">
        <v>2522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1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2524</v>
      </c>
      <c r="S942" s="71"/>
    </row>
    <row r="943" spans="1:19" hidden="1">
      <c r="A943" s="74" t="s">
        <v>2523</v>
      </c>
      <c r="B943" s="71" t="str">
        <f>IFERROR(VLOOKUP(Proc[[#This Row],[App]],Table2[],3,0),"open")</f>
        <v>ok</v>
      </c>
      <c r="C943" s="74" t="s">
        <v>369</v>
      </c>
      <c r="D943" t="s">
        <v>2518</v>
      </c>
      <c r="E943" t="s">
        <v>2522</v>
      </c>
      <c r="F943" s="105" t="s">
        <v>2522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1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2524</v>
      </c>
      <c r="S943" s="71"/>
    </row>
    <row r="944" spans="1:19" hidden="1">
      <c r="A944" t="s">
        <v>2523</v>
      </c>
      <c r="B944" s="71" t="str">
        <f>IFERROR(VLOOKUP(Proc[[#This Row],[App]],Table2[],3,0),"open")</f>
        <v>ok</v>
      </c>
      <c r="C944" s="74" t="s">
        <v>369</v>
      </c>
      <c r="D944" t="s">
        <v>2519</v>
      </c>
      <c r="E944" t="s">
        <v>2522</v>
      </c>
      <c r="F944" s="105" t="s">
        <v>2522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1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2524</v>
      </c>
      <c r="S944" s="71"/>
    </row>
    <row r="945" spans="1:19" hidden="1">
      <c r="A945" t="s">
        <v>2523</v>
      </c>
      <c r="B945" s="71" t="str">
        <f>IFERROR(VLOOKUP(Proc[[#This Row],[App]],Table2[],3,0),"open")</f>
        <v>ok</v>
      </c>
      <c r="C945" s="74" t="s">
        <v>369</v>
      </c>
      <c r="D945" t="s">
        <v>2520</v>
      </c>
      <c r="E945" t="s">
        <v>2522</v>
      </c>
      <c r="F945" s="105" t="s">
        <v>2522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1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2524</v>
      </c>
      <c r="S945" s="71"/>
    </row>
    <row r="946" spans="1:19" hidden="1">
      <c r="A946" s="74" t="s">
        <v>2510</v>
      </c>
      <c r="B946" s="71" t="str">
        <f>IFERROR(VLOOKUP(Proc[[#This Row],[App]],Table2[],3,0),"open")</f>
        <v>ok</v>
      </c>
      <c r="C946" s="74" t="s">
        <v>369</v>
      </c>
      <c r="D946" t="s">
        <v>2511</v>
      </c>
      <c r="E946" t="s">
        <v>476</v>
      </c>
      <c r="F946" s="105" t="s">
        <v>476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1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515</v>
      </c>
      <c r="S946" s="71"/>
    </row>
    <row r="947" spans="1:19" hidden="1">
      <c r="A947" t="s">
        <v>2510</v>
      </c>
      <c r="B947" s="71" t="str">
        <f>IFERROR(VLOOKUP(Proc[[#This Row],[App]],Table2[],3,0),"open")</f>
        <v>ok</v>
      </c>
      <c r="C947" s="74" t="s">
        <v>369</v>
      </c>
      <c r="D947" t="s">
        <v>2512</v>
      </c>
      <c r="E947" t="s">
        <v>2417</v>
      </c>
      <c r="F947" s="105" t="s">
        <v>2417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1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515</v>
      </c>
      <c r="S947" s="71"/>
    </row>
    <row r="948" spans="1:19" hidden="1">
      <c r="A948" s="74" t="s">
        <v>2507</v>
      </c>
      <c r="B948" s="71" t="str">
        <f>IFERROR(VLOOKUP(Proc[[#This Row],[App]],Table2[],3,0),"open")</f>
        <v>ok</v>
      </c>
      <c r="C948" s="74" t="s">
        <v>369</v>
      </c>
      <c r="D948" t="s">
        <v>2508</v>
      </c>
      <c r="E948" t="s">
        <v>2509</v>
      </c>
      <c r="F948" s="105" t="s">
        <v>2509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1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549</v>
      </c>
      <c r="S948" s="71"/>
    </row>
    <row r="949" spans="1:19" hidden="1">
      <c r="A949" s="74" t="s">
        <v>2498</v>
      </c>
      <c r="B949" s="71" t="str">
        <f>IFERROR(VLOOKUP(Proc[[#This Row],[App]],Table2[],3,0),"open")</f>
        <v>ok</v>
      </c>
      <c r="C949" s="74" t="s">
        <v>369</v>
      </c>
      <c r="D949" t="s">
        <v>2499</v>
      </c>
      <c r="E949" t="s">
        <v>2417</v>
      </c>
      <c r="F949" s="105" t="s">
        <v>2417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1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515</v>
      </c>
      <c r="S949" s="71"/>
    </row>
    <row r="950" spans="1:19" hidden="1">
      <c r="A950" s="74" t="s">
        <v>2498</v>
      </c>
      <c r="B950" s="71" t="str">
        <f>IFERROR(VLOOKUP(Proc[[#This Row],[App]],Table2[],3,0),"open")</f>
        <v>ok</v>
      </c>
      <c r="C950" s="74" t="s">
        <v>369</v>
      </c>
      <c r="D950" t="s">
        <v>2500</v>
      </c>
      <c r="E950" t="s">
        <v>2417</v>
      </c>
      <c r="F950" s="105" t="s">
        <v>2417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1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515</v>
      </c>
      <c r="S950" s="71"/>
    </row>
    <row r="951" spans="1:19" hidden="1">
      <c r="A951" s="74" t="s">
        <v>2498</v>
      </c>
      <c r="B951" s="71" t="str">
        <f>IFERROR(VLOOKUP(Proc[[#This Row],[App]],Table2[],3,0),"open")</f>
        <v>ok</v>
      </c>
      <c r="C951" s="74" t="s">
        <v>369</v>
      </c>
      <c r="D951" t="s">
        <v>2501</v>
      </c>
      <c r="E951" t="s">
        <v>2417</v>
      </c>
      <c r="F951" s="105" t="s">
        <v>2417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1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515</v>
      </c>
      <c r="S951" s="71"/>
    </row>
    <row r="952" spans="1:19" hidden="1">
      <c r="A952" s="74" t="s">
        <v>2498</v>
      </c>
      <c r="B952" s="71" t="str">
        <f>IFERROR(VLOOKUP(Proc[[#This Row],[App]],Table2[],3,0),"open")</f>
        <v>ok</v>
      </c>
      <c r="C952" s="74" t="s">
        <v>369</v>
      </c>
      <c r="D952" t="s">
        <v>2502</v>
      </c>
      <c r="E952" t="s">
        <v>2417</v>
      </c>
      <c r="F952" s="105" t="s">
        <v>2417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1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515</v>
      </c>
      <c r="S952" s="71"/>
    </row>
    <row r="953" spans="1:19" hidden="1">
      <c r="A953" s="74" t="s">
        <v>2498</v>
      </c>
      <c r="B953" s="71" t="str">
        <f>IFERROR(VLOOKUP(Proc[[#This Row],[App]],Table2[],3,0),"open")</f>
        <v>ok</v>
      </c>
      <c r="C953" s="74" t="s">
        <v>369</v>
      </c>
      <c r="D953" t="s">
        <v>2503</v>
      </c>
      <c r="E953" t="s">
        <v>2417</v>
      </c>
      <c r="F953" s="105" t="s">
        <v>2417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1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515</v>
      </c>
      <c r="S953" s="71"/>
    </row>
    <row r="954" spans="1:19" hidden="1">
      <c r="A954" s="74" t="s">
        <v>2498</v>
      </c>
      <c r="B954" s="71" t="str">
        <f>IFERROR(VLOOKUP(Proc[[#This Row],[App]],Table2[],3,0),"open")</f>
        <v>ok</v>
      </c>
      <c r="C954" s="74" t="s">
        <v>369</v>
      </c>
      <c r="D954" t="s">
        <v>2504</v>
      </c>
      <c r="E954" t="s">
        <v>2417</v>
      </c>
      <c r="F954" s="105" t="s">
        <v>2417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1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515</v>
      </c>
      <c r="S954" s="71"/>
    </row>
    <row r="955" spans="1:19" hidden="1">
      <c r="A955" t="s">
        <v>2525</v>
      </c>
      <c r="B955" s="71" t="str">
        <f>IFERROR(VLOOKUP(Proc[[#This Row],[App]],Table2[],3,0),"open")</f>
        <v>ok</v>
      </c>
      <c r="C955" s="74" t="s">
        <v>369</v>
      </c>
      <c r="D955" t="s">
        <v>2526</v>
      </c>
      <c r="E955" t="s">
        <v>2536</v>
      </c>
      <c r="F955" s="105" t="s">
        <v>2536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1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972</v>
      </c>
      <c r="S955" s="71"/>
    </row>
    <row r="956" spans="1:19" hidden="1">
      <c r="A956" s="74" t="s">
        <v>2525</v>
      </c>
      <c r="B956" s="71" t="str">
        <f>IFERROR(VLOOKUP(Proc[[#This Row],[App]],Table2[],3,0),"open")</f>
        <v>ok</v>
      </c>
      <c r="C956" s="74" t="s">
        <v>369</v>
      </c>
      <c r="D956" t="s">
        <v>2527</v>
      </c>
      <c r="E956" t="s">
        <v>2537</v>
      </c>
      <c r="F956" s="105" t="s">
        <v>2537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1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972</v>
      </c>
      <c r="S956" s="71"/>
    </row>
    <row r="957" spans="1:19" hidden="1">
      <c r="A957" s="74" t="s">
        <v>2525</v>
      </c>
      <c r="B957" s="71" t="str">
        <f>IFERROR(VLOOKUP(Proc[[#This Row],[App]],Table2[],3,0),"open")</f>
        <v>ok</v>
      </c>
      <c r="C957" s="74" t="s">
        <v>369</v>
      </c>
      <c r="D957" t="s">
        <v>2528</v>
      </c>
      <c r="E957" t="s">
        <v>1974</v>
      </c>
      <c r="F957" s="105" t="s">
        <v>1974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1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972</v>
      </c>
      <c r="S957" s="71"/>
    </row>
    <row r="958" spans="1:19" hidden="1">
      <c r="A958" s="74" t="s">
        <v>2525</v>
      </c>
      <c r="B958" s="71" t="str">
        <f>IFERROR(VLOOKUP(Proc[[#This Row],[App]],Table2[],3,0),"open")</f>
        <v>ok</v>
      </c>
      <c r="C958" s="74" t="s">
        <v>369</v>
      </c>
      <c r="D958" t="s">
        <v>2529</v>
      </c>
      <c r="E958" t="s">
        <v>1716</v>
      </c>
      <c r="F958" s="105" t="s">
        <v>1716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1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972</v>
      </c>
      <c r="S958" s="71"/>
    </row>
    <row r="959" spans="1:19" hidden="1">
      <c r="A959" s="74" t="s">
        <v>2525</v>
      </c>
      <c r="B959" s="71" t="str">
        <f>IFERROR(VLOOKUP(Proc[[#This Row],[App]],Table2[],3,0),"open")</f>
        <v>ok</v>
      </c>
      <c r="C959" s="74" t="s">
        <v>369</v>
      </c>
      <c r="D959" t="s">
        <v>2530</v>
      </c>
      <c r="E959" t="s">
        <v>1716</v>
      </c>
      <c r="F959" s="105" t="s">
        <v>1716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1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972</v>
      </c>
      <c r="S959" s="71"/>
    </row>
    <row r="960" spans="1:19" hidden="1">
      <c r="A960" s="74" t="s">
        <v>2525</v>
      </c>
      <c r="B960" s="71" t="str">
        <f>IFERROR(VLOOKUP(Proc[[#This Row],[App]],Table2[],3,0),"open")</f>
        <v>ok</v>
      </c>
      <c r="C960" s="74" t="s">
        <v>369</v>
      </c>
      <c r="D960" t="s">
        <v>2531</v>
      </c>
      <c r="E960" t="s">
        <v>2538</v>
      </c>
      <c r="F960" s="105" t="s">
        <v>2538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1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972</v>
      </c>
      <c r="S960" s="71"/>
    </row>
    <row r="961" spans="1:19" hidden="1">
      <c r="A961" s="74" t="s">
        <v>2525</v>
      </c>
      <c r="B961" s="71" t="str">
        <f>IFERROR(VLOOKUP(Proc[[#This Row],[App]],Table2[],3,0),"open")</f>
        <v>ok</v>
      </c>
      <c r="C961" s="74" t="s">
        <v>369</v>
      </c>
      <c r="D961" t="s">
        <v>2532</v>
      </c>
      <c r="E961" t="s">
        <v>774</v>
      </c>
      <c r="F961" s="105" t="s">
        <v>774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1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972</v>
      </c>
      <c r="S961" s="71"/>
    </row>
    <row r="962" spans="1:19" hidden="1">
      <c r="A962" s="74" t="s">
        <v>2525</v>
      </c>
      <c r="B962" s="71" t="str">
        <f>IFERROR(VLOOKUP(Proc[[#This Row],[App]],Table2[],3,0),"open")</f>
        <v>ok</v>
      </c>
      <c r="C962" s="74" t="s">
        <v>369</v>
      </c>
      <c r="D962" t="s">
        <v>2533</v>
      </c>
      <c r="E962" t="s">
        <v>2539</v>
      </c>
      <c r="F962" s="105" t="s">
        <v>2539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1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972</v>
      </c>
      <c r="S962" s="71"/>
    </row>
    <row r="963" spans="1:19" hidden="1">
      <c r="A963" s="74" t="s">
        <v>2525</v>
      </c>
      <c r="B963" s="71" t="str">
        <f>IFERROR(VLOOKUP(Proc[[#This Row],[App]],Table2[],3,0),"open")</f>
        <v>ok</v>
      </c>
      <c r="C963" s="74" t="s">
        <v>369</v>
      </c>
      <c r="D963" t="s">
        <v>2534</v>
      </c>
      <c r="E963" t="s">
        <v>774</v>
      </c>
      <c r="F963" s="105" t="s">
        <v>774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1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972</v>
      </c>
      <c r="S963" s="71"/>
    </row>
    <row r="964" spans="1:19" hidden="1">
      <c r="A964" s="74" t="s">
        <v>2525</v>
      </c>
      <c r="B964" s="71" t="str">
        <f>IFERROR(VLOOKUP(Proc[[#This Row],[App]],Table2[],3,0),"open")</f>
        <v>ok</v>
      </c>
      <c r="C964" s="74" t="s">
        <v>369</v>
      </c>
      <c r="D964" t="s">
        <v>2535</v>
      </c>
      <c r="E964" t="s">
        <v>2540</v>
      </c>
      <c r="F964" s="105" t="s">
        <v>2540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1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972</v>
      </c>
      <c r="S964" s="71"/>
    </row>
    <row r="965" spans="1:19" hidden="1">
      <c r="A965" t="s">
        <v>2602</v>
      </c>
      <c r="B965" s="71" t="str">
        <f>IFERROR(VLOOKUP(Proc[[#This Row],[App]],Table2[],3,0),"open")</f>
        <v>ok</v>
      </c>
      <c r="C965" s="74" t="s">
        <v>369</v>
      </c>
      <c r="D965" t="s">
        <v>2603</v>
      </c>
      <c r="E965" t="s">
        <v>476</v>
      </c>
      <c r="F965" s="105" t="s">
        <v>476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1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530</v>
      </c>
      <c r="S965" s="71"/>
    </row>
    <row r="966" spans="1:19" hidden="1">
      <c r="A966" t="s">
        <v>2573</v>
      </c>
      <c r="B966" s="71" t="str">
        <f>IFERROR(VLOOKUP(Proc[[#This Row],[App]],Table2[],3,0),"open")</f>
        <v>ok</v>
      </c>
      <c r="C966" s="74" t="s">
        <v>369</v>
      </c>
      <c r="D966" s="45" t="s">
        <v>2572</v>
      </c>
      <c r="E966" t="s">
        <v>540</v>
      </c>
      <c r="F966" s="105" t="s">
        <v>540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2574</v>
      </c>
      <c r="J966" s="71" t="b">
        <f>Proc[[#This Row],[Requested]]=Proc[[#This Row],[CurrentParent]]</f>
        <v>1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530</v>
      </c>
      <c r="S966" s="71"/>
    </row>
    <row r="967" spans="1:19" hidden="1">
      <c r="A967" t="s">
        <v>2556</v>
      </c>
      <c r="B967" s="71" t="str">
        <f>IFERROR(VLOOKUP(Proc[[#This Row],[App]],Table2[],3,0),"open")</f>
        <v>ok</v>
      </c>
      <c r="C967" s="74" t="s">
        <v>369</v>
      </c>
      <c r="D967" t="s">
        <v>2557</v>
      </c>
      <c r="E967" t="s">
        <v>2559</v>
      </c>
      <c r="F967" s="105" t="s">
        <v>2559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1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530</v>
      </c>
      <c r="S967" s="71"/>
    </row>
    <row r="968" spans="1:19" hidden="1">
      <c r="A968" t="s">
        <v>2556</v>
      </c>
      <c r="B968" s="71" t="str">
        <f>IFERROR(VLOOKUP(Proc[[#This Row],[App]],Table2[],3,0),"open")</f>
        <v>ok</v>
      </c>
      <c r="C968" s="74" t="s">
        <v>369</v>
      </c>
      <c r="D968" t="s">
        <v>2558</v>
      </c>
      <c r="E968" t="s">
        <v>2559</v>
      </c>
      <c r="F968" s="105" t="s">
        <v>2559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1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530</v>
      </c>
      <c r="S968" s="71"/>
    </row>
    <row r="969" spans="1:19" hidden="1">
      <c r="A969" t="s">
        <v>2619</v>
      </c>
      <c r="B969" s="71" t="str">
        <f>IFERROR(VLOOKUP(Proc[[#This Row],[App]],Table2[],3,0),"open")</f>
        <v>ok</v>
      </c>
      <c r="C969" s="74" t="s">
        <v>369</v>
      </c>
      <c r="D969" t="s">
        <v>2618</v>
      </c>
      <c r="E969" t="s">
        <v>2559</v>
      </c>
      <c r="F969" s="105" t="s">
        <v>2559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1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2563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530</v>
      </c>
      <c r="S969" s="71"/>
    </row>
    <row r="970" spans="1:19" hidden="1">
      <c r="A970" t="s">
        <v>2554</v>
      </c>
      <c r="B970" s="71" t="str">
        <f>IFERROR(VLOOKUP(Proc[[#This Row],[App]],Table2[],3,0),"open")</f>
        <v>ok</v>
      </c>
      <c r="C970" s="74" t="s">
        <v>369</v>
      </c>
      <c r="D970" s="77" t="s">
        <v>2555</v>
      </c>
      <c r="E970" t="s">
        <v>476</v>
      </c>
      <c r="F970" s="105" t="s">
        <v>476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1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530</v>
      </c>
      <c r="S970" s="71"/>
    </row>
    <row r="971" spans="1:19" hidden="1">
      <c r="A971" t="s">
        <v>2553</v>
      </c>
      <c r="B971" s="71" t="str">
        <f>IFERROR(VLOOKUP(Proc[[#This Row],[App]],Table2[],3,0),"open")</f>
        <v>ok</v>
      </c>
      <c r="C971" s="74" t="s">
        <v>369</v>
      </c>
      <c r="D971" t="s">
        <v>2551</v>
      </c>
      <c r="E971" t="s">
        <v>476</v>
      </c>
      <c r="F971" s="105" t="s">
        <v>476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1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530</v>
      </c>
      <c r="S971" s="71"/>
    </row>
    <row r="972" spans="1:19" hidden="1">
      <c r="A972" t="s">
        <v>2550</v>
      </c>
      <c r="B972" s="71" t="str">
        <f>IFERROR(VLOOKUP(Proc[[#This Row],[App]],Table2[],3,0),"open")</f>
        <v>ok</v>
      </c>
      <c r="C972" s="74" t="s">
        <v>369</v>
      </c>
      <c r="D972" t="s">
        <v>2549</v>
      </c>
      <c r="E972" s="74" t="s">
        <v>476</v>
      </c>
      <c r="F972" s="105" t="s">
        <v>476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1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530</v>
      </c>
      <c r="S972" s="71"/>
    </row>
    <row r="973" spans="1:19" hidden="1">
      <c r="A973" t="s">
        <v>2547</v>
      </c>
      <c r="B973" s="71" t="str">
        <f>IFERROR(VLOOKUP(Proc[[#This Row],[App]],Table2[],3,0),"open")</f>
        <v>ok</v>
      </c>
      <c r="C973" s="74" t="s">
        <v>369</v>
      </c>
      <c r="D973" t="s">
        <v>2548</v>
      </c>
      <c r="E973" t="s">
        <v>476</v>
      </c>
      <c r="F973" s="105" t="s">
        <v>476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1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530</v>
      </c>
      <c r="S973" s="71"/>
    </row>
    <row r="974" spans="1:19" hidden="1">
      <c r="A974" t="s">
        <v>2544</v>
      </c>
      <c r="B974" s="71" t="str">
        <f>IFERROR(VLOOKUP(Proc[[#This Row],[App]],Table2[],3,0),"open")</f>
        <v>ok</v>
      </c>
      <c r="C974" s="74" t="s">
        <v>369</v>
      </c>
      <c r="D974" t="s">
        <v>2545</v>
      </c>
      <c r="E974" t="s">
        <v>2546</v>
      </c>
      <c r="F974" s="105" t="s">
        <v>2546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1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530</v>
      </c>
      <c r="S974" s="71"/>
    </row>
    <row r="975" spans="1:19" hidden="1">
      <c r="A975" t="s">
        <v>2541</v>
      </c>
      <c r="B975" s="71" t="str">
        <f>IFERROR(VLOOKUP(Proc[[#This Row],[App]],Table2[],3,0),"open")</f>
        <v>ok</v>
      </c>
      <c r="C975" s="74" t="s">
        <v>369</v>
      </c>
      <c r="D975" t="s">
        <v>2542</v>
      </c>
      <c r="E975" t="s">
        <v>2543</v>
      </c>
      <c r="F975" s="105" t="s">
        <v>2543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1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1076</v>
      </c>
      <c r="S975" s="71"/>
    </row>
    <row r="976" spans="1:19" hidden="1">
      <c r="A976" t="s">
        <v>2562</v>
      </c>
      <c r="B976" s="71" t="str">
        <f>IFERROR(VLOOKUP(Proc[[#This Row],[App]],Table2[],3,0),"open")</f>
        <v>ok</v>
      </c>
      <c r="C976" s="74" t="s">
        <v>369</v>
      </c>
      <c r="D976" t="s">
        <v>2560</v>
      </c>
      <c r="E976" t="s">
        <v>2561</v>
      </c>
      <c r="F976" s="105" t="s">
        <v>2561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1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477</v>
      </c>
      <c r="S976" s="71"/>
    </row>
    <row r="977" spans="1:19" hidden="1">
      <c r="A977" t="s">
        <v>2568</v>
      </c>
      <c r="B977" s="71" t="str">
        <f>IFERROR(VLOOKUP(Proc[[#This Row],[App]],Table2[],3,0),"open")</f>
        <v>ok</v>
      </c>
      <c r="C977" s="74" t="s">
        <v>369</v>
      </c>
      <c r="D977" t="s">
        <v>2569</v>
      </c>
      <c r="E977" t="s">
        <v>2570</v>
      </c>
      <c r="F977" s="105" t="s">
        <v>2570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2574</v>
      </c>
      <c r="J977" s="71" t="b">
        <f>Proc[[#This Row],[Requested]]=Proc[[#This Row],[CurrentParent]]</f>
        <v>1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1459</v>
      </c>
      <c r="S977" s="71"/>
    </row>
    <row r="978" spans="1:19" hidden="1">
      <c r="A978" s="74" t="s">
        <v>2566</v>
      </c>
      <c r="B978" s="71" t="str">
        <f>IFERROR(VLOOKUP(Proc[[#This Row],[App]],Table2[],3,0),"open")</f>
        <v>ok</v>
      </c>
      <c r="C978" s="74" t="s">
        <v>369</v>
      </c>
      <c r="D978" t="s">
        <v>2567</v>
      </c>
      <c r="E978" t="s">
        <v>474</v>
      </c>
      <c r="F978" s="105" t="s">
        <v>474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1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530</v>
      </c>
      <c r="S978" s="71"/>
    </row>
    <row r="979" spans="1:19" hidden="1">
      <c r="A979" s="74" t="s">
        <v>2564</v>
      </c>
      <c r="B979" s="71" t="str">
        <f>IFERROR(VLOOKUP(Proc[[#This Row],[App]],Table2[],3,0),"open")</f>
        <v>ok</v>
      </c>
      <c r="C979" s="74" t="s">
        <v>369</v>
      </c>
      <c r="D979" t="s">
        <v>2565</v>
      </c>
      <c r="E979" t="s">
        <v>2552</v>
      </c>
      <c r="F979" s="105" t="s">
        <v>2552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1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515</v>
      </c>
      <c r="S979" s="71"/>
    </row>
    <row r="980" spans="1:19" hidden="1">
      <c r="A980" s="74" t="s">
        <v>2571</v>
      </c>
      <c r="B980" s="71" t="str">
        <f>IFERROR(VLOOKUP(Proc[[#This Row],[App]],Table2[],3,0),"open")</f>
        <v>ok</v>
      </c>
      <c r="C980" s="74" t="s">
        <v>369</v>
      </c>
      <c r="D980" t="s">
        <v>2513</v>
      </c>
      <c r="E980" t="s">
        <v>2521</v>
      </c>
      <c r="F980" s="105" t="s">
        <v>2521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2574</v>
      </c>
      <c r="J980" s="71" t="b">
        <f>Proc[[#This Row],[Requested]]=Proc[[#This Row],[CurrentParent]]</f>
        <v>1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2524</v>
      </c>
      <c r="S980" s="71"/>
    </row>
    <row r="981" spans="1:19" hidden="1">
      <c r="A981" s="74" t="s">
        <v>2571</v>
      </c>
      <c r="B981" s="71" t="str">
        <f>IFERROR(VLOOKUP(Proc[[#This Row],[App]],Table2[],3,0),"open")</f>
        <v>ok</v>
      </c>
      <c r="C981" s="74" t="s">
        <v>369</v>
      </c>
      <c r="D981" t="s">
        <v>2514</v>
      </c>
      <c r="E981" t="s">
        <v>2521</v>
      </c>
      <c r="F981" s="105" t="s">
        <v>2521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2574</v>
      </c>
      <c r="J981" s="71" t="b">
        <f>Proc[[#This Row],[Requested]]=Proc[[#This Row],[CurrentParent]]</f>
        <v>1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2524</v>
      </c>
      <c r="S981" s="71"/>
    </row>
    <row r="982" spans="1:19" hidden="1">
      <c r="A982" s="74" t="s">
        <v>2571</v>
      </c>
      <c r="B982" s="71" t="str">
        <f>IFERROR(VLOOKUP(Proc[[#This Row],[App]],Table2[],3,0),"open")</f>
        <v>ok</v>
      </c>
      <c r="C982" s="74" t="s">
        <v>369</v>
      </c>
      <c r="D982" t="s">
        <v>2515</v>
      </c>
      <c r="E982" t="s">
        <v>2521</v>
      </c>
      <c r="F982" s="105" t="s">
        <v>2521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2574</v>
      </c>
      <c r="J982" s="71" t="b">
        <f>Proc[[#This Row],[Requested]]=Proc[[#This Row],[CurrentParent]]</f>
        <v>1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2524</v>
      </c>
      <c r="S982" s="71"/>
    </row>
    <row r="983" spans="1:19" hidden="1">
      <c r="A983" s="74" t="s">
        <v>2571</v>
      </c>
      <c r="B983" s="71" t="str">
        <f>IFERROR(VLOOKUP(Proc[[#This Row],[App]],Table2[],3,0),"open")</f>
        <v>ok</v>
      </c>
      <c r="C983" s="74" t="s">
        <v>369</v>
      </c>
      <c r="D983" t="s">
        <v>2516</v>
      </c>
      <c r="E983" t="s">
        <v>2521</v>
      </c>
      <c r="F983" s="105" t="s">
        <v>2521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2574</v>
      </c>
      <c r="J983" s="71" t="b">
        <f>Proc[[#This Row],[Requested]]=Proc[[#This Row],[CurrentParent]]</f>
        <v>1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2524</v>
      </c>
      <c r="S983" s="71"/>
    </row>
    <row r="984" spans="1:19" hidden="1">
      <c r="A984" s="74" t="s">
        <v>2571</v>
      </c>
      <c r="B984" s="71" t="str">
        <f>IFERROR(VLOOKUP(Proc[[#This Row],[App]],Table2[],3,0),"open")</f>
        <v>ok</v>
      </c>
      <c r="C984" s="74" t="s">
        <v>369</v>
      </c>
      <c r="D984" t="s">
        <v>2517</v>
      </c>
      <c r="E984" t="s">
        <v>2521</v>
      </c>
      <c r="F984" s="105" t="s">
        <v>2521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2574</v>
      </c>
      <c r="J984" s="71" t="b">
        <f>Proc[[#This Row],[Requested]]=Proc[[#This Row],[CurrentParent]]</f>
        <v>1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2524</v>
      </c>
      <c r="S984" s="71"/>
    </row>
    <row r="985" spans="1:19" hidden="1">
      <c r="A985" t="s">
        <v>2571</v>
      </c>
      <c r="B985" s="71" t="str">
        <f>IFERROR(VLOOKUP(Proc[[#This Row],[App]],Table2[],3,0),"open")</f>
        <v>ok</v>
      </c>
      <c r="C985" s="74" t="s">
        <v>369</v>
      </c>
      <c r="D985" s="74" t="s">
        <v>2518</v>
      </c>
      <c r="E985" t="s">
        <v>2521</v>
      </c>
      <c r="F985" s="105" t="s">
        <v>2521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2574</v>
      </c>
      <c r="J985" s="71" t="b">
        <f>Proc[[#This Row],[Requested]]=Proc[[#This Row],[CurrentParent]]</f>
        <v>1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2524</v>
      </c>
      <c r="S985" s="71"/>
    </row>
    <row r="986" spans="1:19" hidden="1">
      <c r="A986" t="s">
        <v>2571</v>
      </c>
      <c r="B986" s="71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5" t="s">
        <v>2521</v>
      </c>
      <c r="G986" t="s">
        <v>406</v>
      </c>
      <c r="H986" s="71" t="str">
        <f>IF(Proc[[#This Row],[type]]="LFF (MDG-F)",MID(Proc[[#This Row],[Obj]],13,10),"")</f>
        <v>IT50C03007</v>
      </c>
      <c r="I986" t="s">
        <v>2574</v>
      </c>
      <c r="J986" s="71" t="b">
        <f>Proc[[#This Row],[Requested]]=Proc[[#This Row],[CurrentParent]]</f>
        <v>1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2524</v>
      </c>
      <c r="S986" s="71"/>
    </row>
    <row r="987" spans="1:19" hidden="1">
      <c r="A987" t="s">
        <v>2571</v>
      </c>
      <c r="B987" s="71" t="str">
        <f>IFERROR(VLOOKUP(Proc[[#This Row],[App]],Table2[],3,0),"open")</f>
        <v>ok</v>
      </c>
      <c r="C987" s="74" t="s">
        <v>369</v>
      </c>
      <c r="D987" t="s">
        <v>2520</v>
      </c>
      <c r="E987" t="s">
        <v>2521</v>
      </c>
      <c r="F987" s="105" t="s">
        <v>2521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2574</v>
      </c>
      <c r="J987" s="71" t="b">
        <f>Proc[[#This Row],[Requested]]=Proc[[#This Row],[CurrentParent]]</f>
        <v>1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2524</v>
      </c>
      <c r="S987" s="71"/>
    </row>
    <row r="988" spans="1:19" hidden="1">
      <c r="A988" s="74" t="s">
        <v>2594</v>
      </c>
      <c r="B988" s="71" t="str">
        <f>IFERROR(VLOOKUP(Proc[[#This Row],[App]],Table2[],3,0),"open")</f>
        <v>ok</v>
      </c>
      <c r="C988" s="74" t="s">
        <v>369</v>
      </c>
      <c r="D988" t="s">
        <v>2589</v>
      </c>
      <c r="E988" t="s">
        <v>2592</v>
      </c>
      <c r="F988" s="105" t="s">
        <v>2592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1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972</v>
      </c>
      <c r="S988" s="71"/>
    </row>
    <row r="989" spans="1:19" hidden="1">
      <c r="A989" s="74" t="s">
        <v>2594</v>
      </c>
      <c r="B989" s="71" t="str">
        <f>IFERROR(VLOOKUP(Proc[[#This Row],[App]],Table2[],3,0),"open")</f>
        <v>ok</v>
      </c>
      <c r="C989" s="74" t="s">
        <v>369</v>
      </c>
      <c r="D989" t="s">
        <v>2590</v>
      </c>
      <c r="E989" t="s">
        <v>2593</v>
      </c>
      <c r="F989" s="105" t="s">
        <v>2593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1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972</v>
      </c>
      <c r="S989" s="71"/>
    </row>
    <row r="990" spans="1:19" hidden="1">
      <c r="A990" s="74" t="s">
        <v>2594</v>
      </c>
      <c r="B990" s="71" t="str">
        <f>IFERROR(VLOOKUP(Proc[[#This Row],[App]],Table2[],3,0),"open")</f>
        <v>ok</v>
      </c>
      <c r="C990" s="74" t="s">
        <v>369</v>
      </c>
      <c r="D990" t="s">
        <v>2591</v>
      </c>
      <c r="E990" t="s">
        <v>652</v>
      </c>
      <c r="F990" s="105" t="s">
        <v>652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1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972</v>
      </c>
      <c r="S990" s="71"/>
    </row>
    <row r="991" spans="1:19" hidden="1">
      <c r="A991" t="s">
        <v>2584</v>
      </c>
      <c r="B991" s="71" t="str">
        <f>IFERROR(VLOOKUP(Proc[[#This Row],[App]],Table2[],3,0),"open")</f>
        <v>ok</v>
      </c>
      <c r="C991" s="74" t="s">
        <v>369</v>
      </c>
      <c r="D991" t="s">
        <v>2585</v>
      </c>
      <c r="E991" t="s">
        <v>2598</v>
      </c>
      <c r="F991" s="105" t="s">
        <v>2598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1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489</v>
      </c>
      <c r="S991" s="71"/>
    </row>
    <row r="992" spans="1:19" hidden="1">
      <c r="A992" s="74" t="s">
        <v>2584</v>
      </c>
      <c r="B992" s="71" t="str">
        <f>IFERROR(VLOOKUP(Proc[[#This Row],[App]],Table2[],3,0),"open")</f>
        <v>ok</v>
      </c>
      <c r="C992" s="74" t="s">
        <v>369</v>
      </c>
      <c r="D992" t="s">
        <v>2586</v>
      </c>
      <c r="E992" t="s">
        <v>2599</v>
      </c>
      <c r="F992" s="105" t="s">
        <v>2599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1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489</v>
      </c>
      <c r="S992" s="71"/>
    </row>
    <row r="993" spans="1:19" hidden="1">
      <c r="A993" s="74" t="s">
        <v>2584</v>
      </c>
      <c r="B993" s="71" t="str">
        <f>IFERROR(VLOOKUP(Proc[[#This Row],[App]],Table2[],3,0),"open")</f>
        <v>ok</v>
      </c>
      <c r="C993" s="74" t="s">
        <v>369</v>
      </c>
      <c r="D993" t="s">
        <v>2587</v>
      </c>
      <c r="E993" t="s">
        <v>2600</v>
      </c>
      <c r="F993" s="105" t="s">
        <v>2600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1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489</v>
      </c>
      <c r="S993" s="71"/>
    </row>
    <row r="994" spans="1:19" hidden="1">
      <c r="A994" s="74" t="s">
        <v>2584</v>
      </c>
      <c r="B994" s="71" t="str">
        <f>IFERROR(VLOOKUP(Proc[[#This Row],[App]],Table2[],3,0),"open")</f>
        <v>ok</v>
      </c>
      <c r="C994" s="74" t="s">
        <v>369</v>
      </c>
      <c r="D994" t="s">
        <v>2588</v>
      </c>
      <c r="E994" t="s">
        <v>2496</v>
      </c>
      <c r="F994" s="105" t="s">
        <v>2496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1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489</v>
      </c>
      <c r="S994" s="71"/>
    </row>
    <row r="995" spans="1:19" hidden="1">
      <c r="A995" t="s">
        <v>2583</v>
      </c>
      <c r="B995" s="71" t="str">
        <f>IFERROR(VLOOKUP(Proc[[#This Row],[App]],Table2[],3,0),"open")</f>
        <v>ok</v>
      </c>
      <c r="C995" s="74" t="s">
        <v>369</v>
      </c>
      <c r="D995" t="s">
        <v>2578</v>
      </c>
      <c r="E995" t="s">
        <v>2596</v>
      </c>
      <c r="F995" s="105" t="s">
        <v>2596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1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489</v>
      </c>
      <c r="S995" s="71"/>
    </row>
    <row r="996" spans="1:19" hidden="1">
      <c r="A996" s="74" t="s">
        <v>2583</v>
      </c>
      <c r="B996" s="71" t="str">
        <f>IFERROR(VLOOKUP(Proc[[#This Row],[App]],Table2[],3,0),"open")</f>
        <v>ok</v>
      </c>
      <c r="C996" s="74" t="s">
        <v>369</v>
      </c>
      <c r="D996" t="s">
        <v>2579</v>
      </c>
      <c r="E996" t="s">
        <v>2597</v>
      </c>
      <c r="F996" s="105" t="s">
        <v>2597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1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489</v>
      </c>
      <c r="S996" s="71"/>
    </row>
    <row r="997" spans="1:19" hidden="1">
      <c r="A997" s="74" t="s">
        <v>2583</v>
      </c>
      <c r="B997" s="71" t="str">
        <f>IFERROR(VLOOKUP(Proc[[#This Row],[App]],Table2[],3,0),"open")</f>
        <v>ok</v>
      </c>
      <c r="C997" s="74" t="s">
        <v>369</v>
      </c>
      <c r="D997" t="s">
        <v>2580</v>
      </c>
      <c r="E997" t="s">
        <v>2597</v>
      </c>
      <c r="F997" s="105" t="s">
        <v>2597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1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489</v>
      </c>
      <c r="S997" s="71"/>
    </row>
    <row r="998" spans="1:19" hidden="1">
      <c r="A998" t="s">
        <v>2583</v>
      </c>
      <c r="B998" s="71" t="str">
        <f>IFERROR(VLOOKUP(Proc[[#This Row],[App]],Table2[],3,0),"open")</f>
        <v>ok</v>
      </c>
      <c r="C998" s="74" t="s">
        <v>369</v>
      </c>
      <c r="D998" t="s">
        <v>2581</v>
      </c>
      <c r="E998" t="s">
        <v>2582</v>
      </c>
      <c r="F998" s="105" t="s">
        <v>2582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1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489</v>
      </c>
      <c r="S998" s="71"/>
    </row>
    <row r="999" spans="1:19" hidden="1">
      <c r="A999" t="s">
        <v>2577</v>
      </c>
      <c r="B999" s="71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5" t="s">
        <v>617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1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515</v>
      </c>
      <c r="S999" s="71"/>
    </row>
    <row r="1000" spans="1:19" hidden="1">
      <c r="A1000" t="s">
        <v>2595</v>
      </c>
      <c r="B1000" s="71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5" t="s">
        <v>2405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1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515</v>
      </c>
      <c r="S1000" s="71"/>
    </row>
    <row r="1001" spans="1:19" hidden="1">
      <c r="A1001" s="74" t="s">
        <v>2608</v>
      </c>
      <c r="B1001" s="71" t="str">
        <f>IFERROR(VLOOKUP(Proc[[#This Row],[App]],Table2[],3,0),"open")</f>
        <v>ok</v>
      </c>
      <c r="C1001" s="74" t="s">
        <v>369</v>
      </c>
      <c r="D1001" t="s">
        <v>2609</v>
      </c>
      <c r="E1001" t="s">
        <v>427</v>
      </c>
      <c r="F1001" s="105" t="s">
        <v>427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1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2563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1459</v>
      </c>
      <c r="S1001" s="71"/>
    </row>
    <row r="1002" spans="1:19" hidden="1">
      <c r="A1002" t="s">
        <v>2608</v>
      </c>
      <c r="B1002" s="71" t="str">
        <f>IFERROR(VLOOKUP(Proc[[#This Row],[App]],Table2[],3,0),"open")</f>
        <v>ok</v>
      </c>
      <c r="C1002" s="74" t="s">
        <v>369</v>
      </c>
      <c r="D1002" t="s">
        <v>2610</v>
      </c>
      <c r="E1002" t="s">
        <v>2614</v>
      </c>
      <c r="F1002" s="105" t="s">
        <v>2614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2617</v>
      </c>
      <c r="J1002" s="71" t="b">
        <f>Proc[[#This Row],[Requested]]=Proc[[#This Row],[CurrentParent]]</f>
        <v>1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2563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1459</v>
      </c>
      <c r="S1002" s="71"/>
    </row>
    <row r="1003" spans="1:19" hidden="1">
      <c r="A1003" s="74" t="s">
        <v>2608</v>
      </c>
      <c r="B1003" s="71" t="str">
        <f>IFERROR(VLOOKUP(Proc[[#This Row],[App]],Table2[],3,0),"open")</f>
        <v>ok</v>
      </c>
      <c r="C1003" s="74" t="s">
        <v>369</v>
      </c>
      <c r="D1003" t="s">
        <v>2611</v>
      </c>
      <c r="E1003" t="s">
        <v>2615</v>
      </c>
      <c r="F1003" s="105" t="s">
        <v>2615</v>
      </c>
      <c r="G1003" t="s">
        <v>406</v>
      </c>
      <c r="H1003" s="71" t="str">
        <f>IF(Proc[[#This Row],[type]]="LFF (MDG-F)",MID(Proc[[#This Row],[Obj]],13,10),"")</f>
        <v>DE10GIT705</v>
      </c>
      <c r="I1003" t="s">
        <v>2617</v>
      </c>
      <c r="J1003" s="71" t="b">
        <f>Proc[[#This Row],[Requested]]=Proc[[#This Row],[CurrentParent]]</f>
        <v>1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2563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1459</v>
      </c>
      <c r="S1003" s="71"/>
    </row>
    <row r="1004" spans="1:19" hidden="1">
      <c r="A1004" s="74" t="s">
        <v>2608</v>
      </c>
      <c r="B1004" s="71" t="str">
        <f>IFERROR(VLOOKUP(Proc[[#This Row],[App]],Table2[],3,0),"open")</f>
        <v>ok</v>
      </c>
      <c r="C1004" s="74" t="s">
        <v>369</v>
      </c>
      <c r="D1004" t="s">
        <v>2612</v>
      </c>
      <c r="E1004" t="s">
        <v>759</v>
      </c>
      <c r="F1004" s="105" t="s">
        <v>759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1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2563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1459</v>
      </c>
      <c r="S1004" s="71"/>
    </row>
    <row r="1005" spans="1:19" hidden="1">
      <c r="A1005" s="74" t="s">
        <v>2608</v>
      </c>
      <c r="B1005" s="71" t="str">
        <f>IFERROR(VLOOKUP(Proc[[#This Row],[App]],Table2[],3,0),"open")</f>
        <v>ok</v>
      </c>
      <c r="C1005" s="74" t="s">
        <v>369</v>
      </c>
      <c r="D1005" t="s">
        <v>2613</v>
      </c>
      <c r="E1005" t="s">
        <v>2615</v>
      </c>
      <c r="F1005" s="105" t="s">
        <v>2615</v>
      </c>
      <c r="G1005" t="s">
        <v>406</v>
      </c>
      <c r="H1005" s="71" t="str">
        <f>IF(Proc[[#This Row],[type]]="LFF (MDG-F)",MID(Proc[[#This Row],[Obj]],13,10),"")</f>
        <v>2123GIT261</v>
      </c>
      <c r="I1005" t="s">
        <v>2617</v>
      </c>
      <c r="J1005" s="71" t="b">
        <f>Proc[[#This Row],[Requested]]=Proc[[#This Row],[CurrentParent]]</f>
        <v>1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2563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1459</v>
      </c>
      <c r="S1005" s="71"/>
    </row>
    <row r="1006" spans="1:19" hidden="1">
      <c r="A1006" s="74" t="s">
        <v>2604</v>
      </c>
      <c r="B1006" s="71" t="str">
        <f>IFERROR(VLOOKUP(Proc[[#This Row],[App]],Table2[],3,0),"open")</f>
        <v>ok</v>
      </c>
      <c r="C1006" s="74" t="s">
        <v>369</v>
      </c>
      <c r="D1006" t="s">
        <v>2605</v>
      </c>
      <c r="E1006" t="s">
        <v>2505</v>
      </c>
      <c r="F1006" s="105" t="s">
        <v>2505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1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2563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515</v>
      </c>
      <c r="S1006" s="71"/>
    </row>
    <row r="1007" spans="1:19" hidden="1">
      <c r="A1007" t="s">
        <v>2604</v>
      </c>
      <c r="B1007" s="71" t="str">
        <f>IFERROR(VLOOKUP(Proc[[#This Row],[App]],Table2[],3,0),"open")</f>
        <v>ok</v>
      </c>
      <c r="C1007" s="74" t="s">
        <v>369</v>
      </c>
      <c r="D1007" t="s">
        <v>2606</v>
      </c>
      <c r="E1007" t="s">
        <v>2607</v>
      </c>
      <c r="F1007" s="105" t="s">
        <v>2607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1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2563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515</v>
      </c>
      <c r="S1007" s="71"/>
    </row>
    <row r="1008" spans="1:19" hidden="1">
      <c r="A1008" t="s">
        <v>2626</v>
      </c>
      <c r="B1008" s="71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5" t="s">
        <v>622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1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2563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55</v>
      </c>
      <c r="R1008" s="76" t="s">
        <v>972</v>
      </c>
      <c r="S1008" s="71"/>
    </row>
    <row r="1009" spans="1:19" hidden="1">
      <c r="A1009" s="74" t="s">
        <v>2626</v>
      </c>
      <c r="B1009" s="71" t="str">
        <f>IFERROR(VLOOKUP(Proc[[#This Row],[App]],Table2[],3,0),"open")</f>
        <v>ok</v>
      </c>
      <c r="C1009" s="74" t="s">
        <v>369</v>
      </c>
      <c r="D1009" t="s">
        <v>2628</v>
      </c>
      <c r="E1009" t="s">
        <v>468</v>
      </c>
      <c r="F1009" s="105" t="s">
        <v>468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1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2563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55</v>
      </c>
      <c r="R1009" s="76" t="s">
        <v>972</v>
      </c>
      <c r="S1009" s="71"/>
    </row>
    <row r="1010" spans="1:19" hidden="1">
      <c r="A1010" t="s">
        <v>2622</v>
      </c>
      <c r="B1010" s="71" t="str">
        <f>IFERROR(VLOOKUP(Proc[[#This Row],[App]],Table2[],3,0),"open")</f>
        <v>ok</v>
      </c>
      <c r="C1010" s="74" t="s">
        <v>369</v>
      </c>
      <c r="D1010" t="s">
        <v>2623</v>
      </c>
      <c r="E1010" t="s">
        <v>2625</v>
      </c>
      <c r="F1010" s="105" t="s">
        <v>2625</v>
      </c>
      <c r="G1010" t="s">
        <v>400</v>
      </c>
      <c r="H1010" s="71" t="str">
        <f>IF(Proc[[#This Row],[type]]="LFF (MDG-F)",MID(Proc[[#This Row],[Obj]],13,10),"")</f>
        <v/>
      </c>
      <c r="I1010" t="s">
        <v>2684</v>
      </c>
      <c r="J1010" s="71" t="b">
        <f>Proc[[#This Row],[Requested]]=Proc[[#This Row],[CurrentParent]]</f>
        <v>1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2563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1459</v>
      </c>
      <c r="S1010" s="71"/>
    </row>
    <row r="1011" spans="1:19" hidden="1">
      <c r="A1011" s="74" t="s">
        <v>2622</v>
      </c>
      <c r="B1011" s="71" t="str">
        <f>IFERROR(VLOOKUP(Proc[[#This Row],[App]],Table2[],3,0),"open")</f>
        <v>ok</v>
      </c>
      <c r="C1011" s="74" t="s">
        <v>369</v>
      </c>
      <c r="D1011" t="s">
        <v>2624</v>
      </c>
      <c r="E1011" t="s">
        <v>424</v>
      </c>
      <c r="F1011" s="105" t="s">
        <v>424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1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2563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1459</v>
      </c>
      <c r="S1011" s="71"/>
    </row>
    <row r="1012" spans="1:19" hidden="1">
      <c r="A1012" t="s">
        <v>2621</v>
      </c>
      <c r="B1012" s="71" t="str">
        <f>IFERROR(VLOOKUP(Proc[[#This Row],[App]],Table2[],3,0),"open")</f>
        <v>ok</v>
      </c>
      <c r="C1012" s="74" t="s">
        <v>369</v>
      </c>
      <c r="D1012" t="s">
        <v>486</v>
      </c>
      <c r="E1012" t="s">
        <v>2620</v>
      </c>
      <c r="F1012" s="105" t="s">
        <v>2620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2629</v>
      </c>
      <c r="J1012" s="71" t="b">
        <f>Proc[[#This Row],[Requested]]=Proc[[#This Row],[CurrentParent]]</f>
        <v>1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2563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549</v>
      </c>
      <c r="S1012" s="71"/>
    </row>
    <row r="1013" spans="1:19" hidden="1">
      <c r="A1013" t="s">
        <v>2621</v>
      </c>
      <c r="B1013" s="71" t="str">
        <f>IFERROR(VLOOKUP(Proc[[#This Row],[App]],Table2[],3,0),"open")</f>
        <v>ok</v>
      </c>
      <c r="C1013" s="74" t="s">
        <v>369</v>
      </c>
      <c r="D1013" t="s">
        <v>2285</v>
      </c>
      <c r="E1013" t="s">
        <v>2620</v>
      </c>
      <c r="F1013" s="105" t="s">
        <v>2620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2629</v>
      </c>
      <c r="J1013" s="71" t="b">
        <f>Proc[[#This Row],[Requested]]=Proc[[#This Row],[CurrentParent]]</f>
        <v>1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2563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549</v>
      </c>
      <c r="S1013" s="71"/>
    </row>
    <row r="1014" spans="1:19" hidden="1">
      <c r="A1014" s="74" t="s">
        <v>2670</v>
      </c>
      <c r="B1014" s="71" t="str">
        <f>IFERROR(VLOOKUP(Proc[[#This Row],[App]],Table2[],3,0),"open")</f>
        <v>ok</v>
      </c>
      <c r="C1014" s="74" t="s">
        <v>369</v>
      </c>
      <c r="D1014" s="74" t="s">
        <v>2671</v>
      </c>
      <c r="E1014" s="74" t="s">
        <v>2417</v>
      </c>
      <c r="F1014" s="105" t="s">
        <v>2417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1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2563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515</v>
      </c>
      <c r="S1014" s="71"/>
    </row>
    <row r="1015" spans="1:19" hidden="1">
      <c r="A1015" s="74" t="s">
        <v>2674</v>
      </c>
      <c r="B1015" s="71" t="str">
        <f>IFERROR(VLOOKUP(Proc[[#This Row],[App]],Table2[],3,0),"open")</f>
        <v>ok</v>
      </c>
      <c r="C1015" s="74" t="s">
        <v>398</v>
      </c>
      <c r="D1015" s="74" t="s">
        <v>2677</v>
      </c>
      <c r="E1015" s="74" t="s">
        <v>2678</v>
      </c>
      <c r="F1015" s="105" t="s">
        <v>2678</v>
      </c>
      <c r="G1015" s="74" t="s">
        <v>400</v>
      </c>
      <c r="H1015" s="71" t="str">
        <f>IF(Proc[[#This Row],[type]]="LFF (MDG-F)",MID(Proc[[#This Row],[Obj]],13,10),"")</f>
        <v/>
      </c>
      <c r="I1015" t="s">
        <v>2685</v>
      </c>
      <c r="J1015" s="71" t="b">
        <f>Proc[[#This Row],[Requested]]=Proc[[#This Row],[CurrentParent]]</f>
        <v>1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2563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2679</v>
      </c>
      <c r="S1015" s="71"/>
    </row>
    <row r="1016" spans="1:19" hidden="1">
      <c r="A1016" s="74" t="s">
        <v>2673</v>
      </c>
      <c r="B1016" s="71" t="str">
        <f>IFERROR(VLOOKUP(Proc[[#This Row],[App]],Table2[],3,0),"open")</f>
        <v>ok</v>
      </c>
      <c r="C1016" s="74" t="s">
        <v>369</v>
      </c>
      <c r="D1016" s="74" t="s">
        <v>2630</v>
      </c>
      <c r="E1016" s="74" t="s">
        <v>1830</v>
      </c>
      <c r="F1016" s="74" t="s">
        <v>1830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2563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54</v>
      </c>
      <c r="R1016" s="76" t="s">
        <v>489</v>
      </c>
      <c r="S1016" s="71"/>
    </row>
    <row r="1017" spans="1:19" hidden="1">
      <c r="A1017" s="74" t="s">
        <v>2673</v>
      </c>
      <c r="B1017" s="71" t="str">
        <f>IFERROR(VLOOKUP(Proc[[#This Row],[App]],Table2[],3,0),"open")</f>
        <v>ok</v>
      </c>
      <c r="C1017" s="74" t="s">
        <v>369</v>
      </c>
      <c r="D1017" s="74" t="s">
        <v>2631</v>
      </c>
      <c r="E1017" s="74" t="s">
        <v>1830</v>
      </c>
      <c r="F1017" s="74" t="s">
        <v>1830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2563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54</v>
      </c>
      <c r="R1017" s="76" t="s">
        <v>489</v>
      </c>
      <c r="S1017" s="71"/>
    </row>
    <row r="1018" spans="1:19" hidden="1">
      <c r="A1018" s="74" t="s">
        <v>2673</v>
      </c>
      <c r="B1018" s="71" t="str">
        <f>IFERROR(VLOOKUP(Proc[[#This Row],[App]],Table2[],3,0),"open")</f>
        <v>ok</v>
      </c>
      <c r="C1018" s="74" t="s">
        <v>369</v>
      </c>
      <c r="D1018" s="74" t="s">
        <v>2632</v>
      </c>
      <c r="E1018" s="74" t="s">
        <v>1830</v>
      </c>
      <c r="F1018" s="74" t="s">
        <v>1830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2563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54</v>
      </c>
      <c r="R1018" s="76" t="s">
        <v>489</v>
      </c>
      <c r="S1018" s="71"/>
    </row>
    <row r="1019" spans="1:19" hidden="1">
      <c r="A1019" s="74" t="s">
        <v>2667</v>
      </c>
      <c r="B1019" s="71" t="str">
        <f>IFERROR(VLOOKUP(Proc[[#This Row],[App]],Table2[],3,0),"open")</f>
        <v>ok</v>
      </c>
      <c r="C1019" s="74" t="s">
        <v>369</v>
      </c>
      <c r="D1019" s="74" t="s">
        <v>2668</v>
      </c>
      <c r="E1019" s="74" t="s">
        <v>2669</v>
      </c>
      <c r="F1019" s="105" t="s">
        <v>2669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1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2563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515</v>
      </c>
      <c r="S1019" s="71"/>
    </row>
    <row r="1020" spans="1:19" hidden="1">
      <c r="A1020" s="74" t="s">
        <v>2663</v>
      </c>
      <c r="B1020" s="71" t="str">
        <f>IFERROR(VLOOKUP(Proc[[#This Row],[App]],Table2[],3,0),"open")</f>
        <v>ok</v>
      </c>
      <c r="C1020" s="74" t="s">
        <v>369</v>
      </c>
      <c r="D1020" s="74" t="s">
        <v>2664</v>
      </c>
      <c r="E1020" s="74" t="s">
        <v>2666</v>
      </c>
      <c r="F1020" s="105" t="s">
        <v>2666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1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2563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515</v>
      </c>
      <c r="S1020" s="71"/>
    </row>
    <row r="1021" spans="1:19" hidden="1">
      <c r="A1021" s="74" t="s">
        <v>2663</v>
      </c>
      <c r="B1021" s="71" t="str">
        <f>IFERROR(VLOOKUP(Proc[[#This Row],[App]],Table2[],3,0),"open")</f>
        <v>ok</v>
      </c>
      <c r="C1021" s="74" t="s">
        <v>369</v>
      </c>
      <c r="D1021" s="74" t="s">
        <v>2665</v>
      </c>
      <c r="E1021" s="74" t="s">
        <v>2666</v>
      </c>
      <c r="F1021" s="105" t="s">
        <v>2666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1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2563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515</v>
      </c>
      <c r="S1021" s="71"/>
    </row>
    <row r="1022" spans="1:19" hidden="1">
      <c r="A1022" s="74" t="s">
        <v>2675</v>
      </c>
      <c r="B1022" s="71" t="str">
        <f>IFERROR(VLOOKUP(Proc[[#This Row],[App]],Table2[],3,0),"open")</f>
        <v>ok</v>
      </c>
      <c r="C1022" s="74" t="s">
        <v>369</v>
      </c>
      <c r="D1022" s="74" t="s">
        <v>2680</v>
      </c>
      <c r="E1022" s="74" t="s">
        <v>2669</v>
      </c>
      <c r="F1022" s="105" t="s">
        <v>2669</v>
      </c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1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2563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530</v>
      </c>
      <c r="S1022" s="71"/>
    </row>
    <row r="1023" spans="1:19" hidden="1">
      <c r="A1023" s="74" t="s">
        <v>2676</v>
      </c>
      <c r="B1023" s="71" t="str">
        <f>IFERROR(VLOOKUP(Proc[[#This Row],[App]],Table2[],3,0),"open")</f>
        <v>ok</v>
      </c>
      <c r="C1023" s="74" t="s">
        <v>369</v>
      </c>
      <c r="D1023" s="74" t="s">
        <v>2686</v>
      </c>
      <c r="E1023" s="74" t="s">
        <v>2681</v>
      </c>
      <c r="F1023" s="105" t="s">
        <v>2681</v>
      </c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1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2563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2682</v>
      </c>
      <c r="S1023" s="71"/>
    </row>
    <row r="1024" spans="1:19" hidden="1">
      <c r="A1024" s="74" t="s">
        <v>2633</v>
      </c>
      <c r="B1024" s="71" t="str">
        <f>IFERROR(VLOOKUP(Proc[[#This Row],[App]],Table2[],3,0),"open")</f>
        <v>ok</v>
      </c>
      <c r="C1024" s="74" t="s">
        <v>369</v>
      </c>
      <c r="D1024" s="78" t="s">
        <v>2630</v>
      </c>
      <c r="E1024" s="74" t="s">
        <v>1830</v>
      </c>
      <c r="F1024" s="105" t="s">
        <v>1830</v>
      </c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1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2563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489</v>
      </c>
      <c r="S1024" s="71"/>
    </row>
    <row r="1025" spans="1:19" hidden="1">
      <c r="A1025" s="74" t="s">
        <v>2633</v>
      </c>
      <c r="B1025" s="71" t="str">
        <f>IFERROR(VLOOKUP(Proc[[#This Row],[App]],Table2[],3,0),"open")</f>
        <v>ok</v>
      </c>
      <c r="C1025" s="74" t="s">
        <v>369</v>
      </c>
      <c r="D1025" s="78" t="s">
        <v>2631</v>
      </c>
      <c r="E1025" s="74" t="s">
        <v>1830</v>
      </c>
      <c r="F1025" s="105" t="s">
        <v>1830</v>
      </c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1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2563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489</v>
      </c>
      <c r="S1025" s="71"/>
    </row>
    <row r="1026" spans="1:19" hidden="1">
      <c r="A1026" s="74" t="s">
        <v>2633</v>
      </c>
      <c r="B1026" s="71" t="str">
        <f>IFERROR(VLOOKUP(Proc[[#This Row],[App]],Table2[],3,0),"open")</f>
        <v>ok</v>
      </c>
      <c r="C1026" s="74" t="s">
        <v>369</v>
      </c>
      <c r="D1026" s="78" t="s">
        <v>2632</v>
      </c>
      <c r="E1026" s="74" t="s">
        <v>1830</v>
      </c>
      <c r="F1026" s="105" t="s">
        <v>1830</v>
      </c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1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2563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489</v>
      </c>
      <c r="S1026" s="71"/>
    </row>
    <row r="1027" spans="1:19" hidden="1">
      <c r="A1027" s="74" t="s">
        <v>2633</v>
      </c>
      <c r="B1027" s="71" t="str">
        <f>IFERROR(VLOOKUP(Proc[[#This Row],[App]],Table2[],3,0),"open")</f>
        <v>ok</v>
      </c>
      <c r="C1027" s="74" t="s">
        <v>369</v>
      </c>
      <c r="D1027" s="78" t="s">
        <v>2634</v>
      </c>
      <c r="E1027" s="74" t="s">
        <v>1830</v>
      </c>
      <c r="F1027" s="105" t="s">
        <v>1830</v>
      </c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1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2563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489</v>
      </c>
      <c r="S1027" s="71"/>
    </row>
    <row r="1028" spans="1:19" hidden="1">
      <c r="A1028" s="74" t="s">
        <v>2633</v>
      </c>
      <c r="B1028" s="71" t="str">
        <f>IFERROR(VLOOKUP(Proc[[#This Row],[App]],Table2[],3,0),"open")</f>
        <v>ok</v>
      </c>
      <c r="C1028" s="74" t="s">
        <v>369</v>
      </c>
      <c r="D1028" s="78" t="s">
        <v>2635</v>
      </c>
      <c r="E1028" s="74" t="s">
        <v>1830</v>
      </c>
      <c r="F1028" s="105" t="s">
        <v>1830</v>
      </c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1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2563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489</v>
      </c>
      <c r="S1028" s="71"/>
    </row>
    <row r="1029" spans="1:19" hidden="1">
      <c r="A1029" s="74" t="s">
        <v>2633</v>
      </c>
      <c r="B1029" s="71" t="str">
        <f>IFERROR(VLOOKUP(Proc[[#This Row],[App]],Table2[],3,0),"open")</f>
        <v>ok</v>
      </c>
      <c r="C1029" s="74" t="s">
        <v>369</v>
      </c>
      <c r="D1029" s="74" t="s">
        <v>2636</v>
      </c>
      <c r="E1029" s="74" t="s">
        <v>1830</v>
      </c>
      <c r="F1029" s="105" t="s">
        <v>1830</v>
      </c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1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2563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489</v>
      </c>
      <c r="S1029" s="71"/>
    </row>
    <row r="1030" spans="1:19" hidden="1">
      <c r="A1030" s="74" t="s">
        <v>2633</v>
      </c>
      <c r="B1030" s="71" t="str">
        <f>IFERROR(VLOOKUP(Proc[[#This Row],[App]],Table2[],3,0),"open")</f>
        <v>ok</v>
      </c>
      <c r="C1030" s="74" t="s">
        <v>369</v>
      </c>
      <c r="D1030" s="74" t="s">
        <v>2637</v>
      </c>
      <c r="E1030" s="74" t="s">
        <v>1830</v>
      </c>
      <c r="F1030" s="105" t="s">
        <v>1830</v>
      </c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1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2563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489</v>
      </c>
      <c r="S1030" s="71"/>
    </row>
    <row r="1031" spans="1:19" hidden="1">
      <c r="A1031" s="74" t="s">
        <v>2633</v>
      </c>
      <c r="B1031" s="71" t="str">
        <f>IFERROR(VLOOKUP(Proc[[#This Row],[App]],Table2[],3,0),"open")</f>
        <v>ok</v>
      </c>
      <c r="C1031" s="74" t="s">
        <v>369</v>
      </c>
      <c r="D1031" s="74" t="s">
        <v>2638</v>
      </c>
      <c r="E1031" s="74" t="s">
        <v>1830</v>
      </c>
      <c r="F1031" s="105" t="s">
        <v>1830</v>
      </c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1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2563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489</v>
      </c>
      <c r="S1031" s="71"/>
    </row>
    <row r="1032" spans="1:19" hidden="1">
      <c r="A1032" s="74" t="s">
        <v>2633</v>
      </c>
      <c r="B1032" s="71" t="str">
        <f>IFERROR(VLOOKUP(Proc[[#This Row],[App]],Table2[],3,0),"open")</f>
        <v>ok</v>
      </c>
      <c r="C1032" s="74" t="s">
        <v>369</v>
      </c>
      <c r="D1032" s="74" t="s">
        <v>2639</v>
      </c>
      <c r="E1032" s="74" t="s">
        <v>1830</v>
      </c>
      <c r="F1032" s="105" t="s">
        <v>1830</v>
      </c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1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2563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489</v>
      </c>
      <c r="S1032" s="71"/>
    </row>
    <row r="1033" spans="1:19" hidden="1">
      <c r="A1033" s="74" t="s">
        <v>2633</v>
      </c>
      <c r="B1033" s="71" t="str">
        <f>IFERROR(VLOOKUP(Proc[[#This Row],[App]],Table2[],3,0),"open")</f>
        <v>ok</v>
      </c>
      <c r="C1033" s="74" t="s">
        <v>369</v>
      </c>
      <c r="D1033" s="74" t="s">
        <v>2640</v>
      </c>
      <c r="E1033" s="74" t="s">
        <v>1830</v>
      </c>
      <c r="F1033" s="105" t="s">
        <v>1830</v>
      </c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1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2563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489</v>
      </c>
      <c r="S1033" s="71"/>
    </row>
    <row r="1034" spans="1:19" hidden="1">
      <c r="A1034" s="74" t="s">
        <v>2633</v>
      </c>
      <c r="B1034" s="71" t="str">
        <f>IFERROR(VLOOKUP(Proc[[#This Row],[App]],Table2[],3,0),"open")</f>
        <v>ok</v>
      </c>
      <c r="C1034" s="74" t="s">
        <v>369</v>
      </c>
      <c r="D1034" s="74" t="s">
        <v>2641</v>
      </c>
      <c r="E1034" s="74" t="s">
        <v>1830</v>
      </c>
      <c r="F1034" s="105" t="s">
        <v>1830</v>
      </c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1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2563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489</v>
      </c>
      <c r="S1034" s="71"/>
    </row>
    <row r="1035" spans="1:19" hidden="1">
      <c r="A1035" s="74" t="s">
        <v>2633</v>
      </c>
      <c r="B1035" s="71" t="str">
        <f>IFERROR(VLOOKUP(Proc[[#This Row],[App]],Table2[],3,0),"open")</f>
        <v>ok</v>
      </c>
      <c r="C1035" s="74" t="s">
        <v>369</v>
      </c>
      <c r="D1035" s="74" t="s">
        <v>2642</v>
      </c>
      <c r="E1035" s="74" t="s">
        <v>1830</v>
      </c>
      <c r="F1035" s="105" t="s">
        <v>1830</v>
      </c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1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2563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489</v>
      </c>
      <c r="S1035" s="71"/>
    </row>
    <row r="1036" spans="1:19" hidden="1">
      <c r="A1036" s="74" t="s">
        <v>2633</v>
      </c>
      <c r="B1036" s="71" t="str">
        <f>IFERROR(VLOOKUP(Proc[[#This Row],[App]],Table2[],3,0),"open")</f>
        <v>ok</v>
      </c>
      <c r="C1036" s="74" t="s">
        <v>369</v>
      </c>
      <c r="D1036" s="74" t="s">
        <v>2643</v>
      </c>
      <c r="E1036" s="74" t="s">
        <v>1830</v>
      </c>
      <c r="F1036" s="105" t="s">
        <v>1830</v>
      </c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1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2563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489</v>
      </c>
      <c r="S1036" s="71"/>
    </row>
    <row r="1037" spans="1:19" hidden="1">
      <c r="A1037" s="74" t="s">
        <v>2633</v>
      </c>
      <c r="B1037" s="71" t="str">
        <f>IFERROR(VLOOKUP(Proc[[#This Row],[App]],Table2[],3,0),"open")</f>
        <v>ok</v>
      </c>
      <c r="C1037" s="74" t="s">
        <v>369</v>
      </c>
      <c r="D1037" s="74" t="s">
        <v>2644</v>
      </c>
      <c r="E1037" s="74" t="s">
        <v>1830</v>
      </c>
      <c r="F1037" s="105" t="s">
        <v>1830</v>
      </c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1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2563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489</v>
      </c>
      <c r="S1037" s="71"/>
    </row>
    <row r="1038" spans="1:19" hidden="1">
      <c r="A1038" s="74" t="s">
        <v>2633</v>
      </c>
      <c r="B1038" s="71" t="str">
        <f>IFERROR(VLOOKUP(Proc[[#This Row],[App]],Table2[],3,0),"open")</f>
        <v>ok</v>
      </c>
      <c r="C1038" s="74" t="s">
        <v>369</v>
      </c>
      <c r="D1038" s="74" t="s">
        <v>2645</v>
      </c>
      <c r="E1038" s="74" t="s">
        <v>1830</v>
      </c>
      <c r="F1038" s="105" t="s">
        <v>1830</v>
      </c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1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2563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489</v>
      </c>
      <c r="S1038" s="71"/>
    </row>
    <row r="1039" spans="1:19" hidden="1">
      <c r="A1039" s="74" t="s">
        <v>2633</v>
      </c>
      <c r="B1039" s="71" t="str">
        <f>IFERROR(VLOOKUP(Proc[[#This Row],[App]],Table2[],3,0),"open")</f>
        <v>ok</v>
      </c>
      <c r="C1039" s="74" t="s">
        <v>369</v>
      </c>
      <c r="D1039" s="74" t="s">
        <v>2646</v>
      </c>
      <c r="E1039" s="74" t="s">
        <v>1830</v>
      </c>
      <c r="F1039" s="105" t="s">
        <v>1830</v>
      </c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1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2563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489</v>
      </c>
      <c r="S1039" s="71"/>
    </row>
    <row r="1040" spans="1:19" hidden="1">
      <c r="A1040" s="74" t="s">
        <v>2633</v>
      </c>
      <c r="B1040" s="71" t="str">
        <f>IFERROR(VLOOKUP(Proc[[#This Row],[App]],Table2[],3,0),"open")</f>
        <v>ok</v>
      </c>
      <c r="C1040" s="74" t="s">
        <v>369</v>
      </c>
      <c r="D1040" s="74" t="s">
        <v>2647</v>
      </c>
      <c r="E1040" s="74" t="s">
        <v>1830</v>
      </c>
      <c r="F1040" s="105" t="s">
        <v>1830</v>
      </c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1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2563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489</v>
      </c>
      <c r="S1040" s="71"/>
    </row>
    <row r="1041" spans="1:19" hidden="1">
      <c r="A1041" s="74" t="s">
        <v>2633</v>
      </c>
      <c r="B1041" s="71" t="str">
        <f>IFERROR(VLOOKUP(Proc[[#This Row],[App]],Table2[],3,0),"open")</f>
        <v>ok</v>
      </c>
      <c r="C1041" s="74" t="s">
        <v>369</v>
      </c>
      <c r="D1041" s="74" t="s">
        <v>2648</v>
      </c>
      <c r="E1041" s="74" t="s">
        <v>1830</v>
      </c>
      <c r="F1041" s="105" t="s">
        <v>1830</v>
      </c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1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2563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489</v>
      </c>
      <c r="S1041" s="71"/>
    </row>
    <row r="1042" spans="1:19" hidden="1">
      <c r="A1042" s="74" t="s">
        <v>2633</v>
      </c>
      <c r="B1042" s="71" t="str">
        <f>IFERROR(VLOOKUP(Proc[[#This Row],[App]],Table2[],3,0),"open")</f>
        <v>ok</v>
      </c>
      <c r="C1042" s="74" t="s">
        <v>369</v>
      </c>
      <c r="D1042" s="74" t="s">
        <v>2649</v>
      </c>
      <c r="E1042" s="74" t="s">
        <v>1830</v>
      </c>
      <c r="F1042" s="105" t="s">
        <v>1830</v>
      </c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1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2563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489</v>
      </c>
      <c r="S1042" s="71"/>
    </row>
    <row r="1043" spans="1:19" hidden="1">
      <c r="A1043" t="s">
        <v>2633</v>
      </c>
      <c r="B1043" s="71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5" t="s">
        <v>1830</v>
      </c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1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2563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489</v>
      </c>
      <c r="S1043" s="71"/>
    </row>
    <row r="1044" spans="1:19" hidden="1">
      <c r="A1044" t="s">
        <v>2633</v>
      </c>
      <c r="B1044" s="71" t="str">
        <f>IFERROR(VLOOKUP(Proc[[#This Row],[App]],Table2[],3,0),"open")</f>
        <v>ok</v>
      </c>
      <c r="C1044" s="74" t="s">
        <v>369</v>
      </c>
      <c r="D1044" t="s">
        <v>2651</v>
      </c>
      <c r="E1044" t="s">
        <v>1830</v>
      </c>
      <c r="F1044" s="105" t="s">
        <v>1830</v>
      </c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1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2563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489</v>
      </c>
      <c r="S1044" s="71"/>
    </row>
    <row r="1045" spans="1:19" hidden="1">
      <c r="A1045" s="74" t="s">
        <v>2633</v>
      </c>
      <c r="B1045" s="71" t="str">
        <f>IFERROR(VLOOKUP(Proc[[#This Row],[App]],Table2[],3,0),"open")</f>
        <v>ok</v>
      </c>
      <c r="C1045" s="74" t="s">
        <v>369</v>
      </c>
      <c r="D1045" t="s">
        <v>2652</v>
      </c>
      <c r="E1045" t="s">
        <v>1830</v>
      </c>
      <c r="F1045" s="105" t="s">
        <v>1830</v>
      </c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1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2563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489</v>
      </c>
      <c r="S1045" s="71"/>
    </row>
    <row r="1046" spans="1:19" hidden="1">
      <c r="A1046" t="s">
        <v>2633</v>
      </c>
      <c r="B1046" s="71" t="str">
        <f>IFERROR(VLOOKUP(Proc[[#This Row],[App]],Table2[],3,0),"open")</f>
        <v>ok</v>
      </c>
      <c r="C1046" s="74" t="s">
        <v>369</v>
      </c>
      <c r="D1046" t="s">
        <v>2653</v>
      </c>
      <c r="E1046" t="s">
        <v>1830</v>
      </c>
      <c r="F1046" s="105" t="s">
        <v>1830</v>
      </c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1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2563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489</v>
      </c>
      <c r="S1046" s="71"/>
    </row>
    <row r="1047" spans="1:19" hidden="1">
      <c r="A1047" t="s">
        <v>2633</v>
      </c>
      <c r="B1047" s="71" t="str">
        <f>IFERROR(VLOOKUP(Proc[[#This Row],[App]],Table2[],3,0),"open")</f>
        <v>ok</v>
      </c>
      <c r="C1047" s="74" t="s">
        <v>369</v>
      </c>
      <c r="D1047" t="s">
        <v>2654</v>
      </c>
      <c r="E1047" t="s">
        <v>1830</v>
      </c>
      <c r="F1047" s="105" t="s">
        <v>1830</v>
      </c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1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2563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489</v>
      </c>
      <c r="S1047" s="71"/>
    </row>
    <row r="1048" spans="1:19" hidden="1">
      <c r="A1048" t="s">
        <v>2633</v>
      </c>
      <c r="B1048" s="71" t="str">
        <f>IFERROR(VLOOKUP(Proc[[#This Row],[App]],Table2[],3,0),"open")</f>
        <v>ok</v>
      </c>
      <c r="C1048" s="74" t="s">
        <v>369</v>
      </c>
      <c r="D1048" t="s">
        <v>2655</v>
      </c>
      <c r="E1048" s="74" t="s">
        <v>1830</v>
      </c>
      <c r="F1048" s="105" t="s">
        <v>1830</v>
      </c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1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2563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489</v>
      </c>
      <c r="S1048" s="71"/>
    </row>
    <row r="1049" spans="1:19" hidden="1">
      <c r="A1049" s="74" t="s">
        <v>2633</v>
      </c>
      <c r="B1049" s="71" t="str">
        <f>IFERROR(VLOOKUP(Proc[[#This Row],[App]],Table2[],3,0),"open")</f>
        <v>ok</v>
      </c>
      <c r="C1049" s="74" t="s">
        <v>369</v>
      </c>
      <c r="D1049" t="s">
        <v>2656</v>
      </c>
      <c r="E1049" s="74" t="s">
        <v>1830</v>
      </c>
      <c r="F1049" s="105" t="s">
        <v>1830</v>
      </c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1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2563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489</v>
      </c>
      <c r="S1049" s="71"/>
    </row>
    <row r="1050" spans="1:19" hidden="1">
      <c r="A1050" s="74" t="s">
        <v>2633</v>
      </c>
      <c r="B1050" s="71" t="str">
        <f>IFERROR(VLOOKUP(Proc[[#This Row],[App]],Table2[],3,0),"open")</f>
        <v>ok</v>
      </c>
      <c r="C1050" s="74" t="s">
        <v>369</v>
      </c>
      <c r="D1050" t="s">
        <v>2657</v>
      </c>
      <c r="E1050" t="s">
        <v>1830</v>
      </c>
      <c r="F1050" s="105" t="s">
        <v>1830</v>
      </c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1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2563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489</v>
      </c>
      <c r="S1050" s="71"/>
    </row>
    <row r="1051" spans="1:19" hidden="1">
      <c r="A1051" s="74" t="s">
        <v>2633</v>
      </c>
      <c r="B1051" s="71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5" t="s">
        <v>1830</v>
      </c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1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2563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489</v>
      </c>
      <c r="S1051" s="71"/>
    </row>
    <row r="1052" spans="1:19" hidden="1">
      <c r="A1052" t="s">
        <v>2633</v>
      </c>
      <c r="B1052" s="71" t="str">
        <f>IFERROR(VLOOKUP(Proc[[#This Row],[App]],Table2[],3,0),"open")</f>
        <v>ok</v>
      </c>
      <c r="C1052" s="74" t="s">
        <v>369</v>
      </c>
      <c r="D1052" t="s">
        <v>2659</v>
      </c>
      <c r="E1052" t="s">
        <v>1830</v>
      </c>
      <c r="F1052" s="105" t="s">
        <v>1830</v>
      </c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1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2563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489</v>
      </c>
      <c r="S1052" s="71"/>
    </row>
    <row r="1053" spans="1:19" hidden="1">
      <c r="A1053" t="s">
        <v>2661</v>
      </c>
      <c r="B1053" s="71" t="str">
        <f>IFERROR(VLOOKUP(Proc[[#This Row],[App]],Table2[],3,0),"open")</f>
        <v>ok</v>
      </c>
      <c r="C1053" s="74" t="s">
        <v>369</v>
      </c>
      <c r="D1053" t="s">
        <v>2683</v>
      </c>
      <c r="E1053" t="s">
        <v>2660</v>
      </c>
      <c r="F1053" s="105" t="s">
        <v>2660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2672</v>
      </c>
      <c r="J1053" s="71" t="b">
        <f>Proc[[#This Row],[Requested]]=Proc[[#This Row],[CurrentParent]]</f>
        <v>1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2563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2662</v>
      </c>
      <c r="S1053" s="71"/>
    </row>
    <row r="1054" spans="1:19" hidden="1">
      <c r="A1054" t="s">
        <v>2688</v>
      </c>
      <c r="B1054" s="71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5" t="s">
        <v>2687</v>
      </c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1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2563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478</v>
      </c>
      <c r="S1054" s="71"/>
    </row>
    <row r="1055" spans="1:19" hidden="1">
      <c r="A1055" t="s">
        <v>2692</v>
      </c>
      <c r="B1055" s="71" t="str">
        <f>IFERROR(VLOOKUP(Proc[[#This Row],[App]],Table2[],3,0),"open")</f>
        <v>ok</v>
      </c>
      <c r="C1055" s="74" t="s">
        <v>369</v>
      </c>
      <c r="D1055" t="s">
        <v>2689</v>
      </c>
      <c r="E1055" t="s">
        <v>2373</v>
      </c>
      <c r="F1055" s="105" t="s">
        <v>2373</v>
      </c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1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2563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830</v>
      </c>
      <c r="S1055" s="71"/>
    </row>
    <row r="1056" spans="1:19" hidden="1">
      <c r="A1056" s="74" t="s">
        <v>2692</v>
      </c>
      <c r="B1056" s="71" t="str">
        <f>IFERROR(VLOOKUP(Proc[[#This Row],[App]],Table2[],3,0),"open")</f>
        <v>ok</v>
      </c>
      <c r="C1056" s="74" t="s">
        <v>369</v>
      </c>
      <c r="D1056" t="s">
        <v>2690</v>
      </c>
      <c r="E1056" t="s">
        <v>2691</v>
      </c>
      <c r="F1056" s="105" t="s">
        <v>2691</v>
      </c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1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2563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830</v>
      </c>
      <c r="S1056" s="71"/>
    </row>
    <row r="1057" spans="1:19" hidden="1">
      <c r="A1057" t="s">
        <v>2711</v>
      </c>
      <c r="B1057" s="71" t="str">
        <f>IFERROR(VLOOKUP(Proc[[#This Row],[App]],Table2[],3,0),"open")</f>
        <v>ok</v>
      </c>
      <c r="C1057" s="74" t="s">
        <v>369</v>
      </c>
      <c r="D1057" t="s">
        <v>2693</v>
      </c>
      <c r="E1057" t="s">
        <v>2694</v>
      </c>
      <c r="F1057" s="105" t="s">
        <v>2694</v>
      </c>
      <c r="G1057" t="s">
        <v>406</v>
      </c>
      <c r="H1057" s="71" t="str">
        <f>IF(Proc[[#This Row],[type]]="LFF (MDG-F)",MID(Proc[[#This Row],[Obj]],13,10),"")</f>
        <v>DE10N12380</v>
      </c>
      <c r="I1057" t="s">
        <v>2714</v>
      </c>
      <c r="J1057" s="71" t="b">
        <f>Proc[[#This Row],[Requested]]=Proc[[#This Row],[CurrentParent]]</f>
        <v>1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2563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2712</v>
      </c>
      <c r="S1057" s="71"/>
    </row>
    <row r="1058" spans="1:19" hidden="1">
      <c r="A1058" s="74" t="s">
        <v>2711</v>
      </c>
      <c r="B1058" s="71" t="str">
        <f>IFERROR(VLOOKUP(Proc[[#This Row],[App]],Table2[],3,0),"open")</f>
        <v>ok</v>
      </c>
      <c r="C1058" s="74" t="s">
        <v>369</v>
      </c>
      <c r="D1058" t="s">
        <v>2695</v>
      </c>
      <c r="E1058" t="s">
        <v>2694</v>
      </c>
      <c r="F1058" s="105" t="s">
        <v>2694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2714</v>
      </c>
      <c r="J1058" s="71" t="b">
        <f>Proc[[#This Row],[Requested]]=Proc[[#This Row],[CurrentParent]]</f>
        <v>1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2563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2712</v>
      </c>
      <c r="S1058" s="71"/>
    </row>
    <row r="1059" spans="1:19" hidden="1">
      <c r="A1059" s="74" t="s">
        <v>2711</v>
      </c>
      <c r="B1059" s="71" t="str">
        <f>IFERROR(VLOOKUP(Proc[[#This Row],[App]],Table2[],3,0),"open")</f>
        <v>ok</v>
      </c>
      <c r="C1059" s="74" t="s">
        <v>369</v>
      </c>
      <c r="D1059" t="s">
        <v>2696</v>
      </c>
      <c r="E1059" t="s">
        <v>2697</v>
      </c>
      <c r="F1059" s="105" t="s">
        <v>2697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2714</v>
      </c>
      <c r="J1059" s="71" t="b">
        <f>Proc[[#This Row],[Requested]]=Proc[[#This Row],[CurrentParent]]</f>
        <v>1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2563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2712</v>
      </c>
      <c r="S1059" s="71"/>
    </row>
    <row r="1060" spans="1:19" hidden="1">
      <c r="A1060" s="74" t="s">
        <v>2711</v>
      </c>
      <c r="B1060" s="71" t="str">
        <f>IFERROR(VLOOKUP(Proc[[#This Row],[App]],Table2[],3,0),"open")</f>
        <v>ok</v>
      </c>
      <c r="C1060" s="74" t="s">
        <v>369</v>
      </c>
      <c r="D1060" t="s">
        <v>2698</v>
      </c>
      <c r="E1060" t="s">
        <v>2697</v>
      </c>
      <c r="F1060" s="105" t="s">
        <v>2697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2714</v>
      </c>
      <c r="J1060" s="71" t="b">
        <f>Proc[[#This Row],[Requested]]=Proc[[#This Row],[CurrentParent]]</f>
        <v>1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2563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2712</v>
      </c>
      <c r="S1060" s="71"/>
    </row>
    <row r="1061" spans="1:19" hidden="1">
      <c r="A1061" s="74" t="s">
        <v>2711</v>
      </c>
      <c r="B1061" s="71" t="str">
        <f>IFERROR(VLOOKUP(Proc[[#This Row],[App]],Table2[],3,0),"open")</f>
        <v>ok</v>
      </c>
      <c r="C1061" s="74" t="s">
        <v>369</v>
      </c>
      <c r="D1061" t="s">
        <v>2699</v>
      </c>
      <c r="E1061" t="s">
        <v>2697</v>
      </c>
      <c r="F1061" s="105" t="s">
        <v>2697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2714</v>
      </c>
      <c r="J1061" s="71" t="b">
        <f>Proc[[#This Row],[Requested]]=Proc[[#This Row],[CurrentParent]]</f>
        <v>1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2563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2712</v>
      </c>
      <c r="S1061" s="71"/>
    </row>
    <row r="1062" spans="1:19" hidden="1">
      <c r="A1062" s="74" t="s">
        <v>2711</v>
      </c>
      <c r="B1062" s="71" t="str">
        <f>IFERROR(VLOOKUP(Proc[[#This Row],[App]],Table2[],3,0),"open")</f>
        <v>ok</v>
      </c>
      <c r="C1062" s="74" t="s">
        <v>369</v>
      </c>
      <c r="D1062" t="s">
        <v>2700</v>
      </c>
      <c r="E1062" t="s">
        <v>2697</v>
      </c>
      <c r="F1062" s="105" t="s">
        <v>2697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2714</v>
      </c>
      <c r="J1062" s="71" t="b">
        <f>Proc[[#This Row],[Requested]]=Proc[[#This Row],[CurrentParent]]</f>
        <v>1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2563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2712</v>
      </c>
      <c r="S1062" s="71"/>
    </row>
    <row r="1063" spans="1:19" hidden="1">
      <c r="A1063" s="74" t="s">
        <v>2711</v>
      </c>
      <c r="B1063" s="71" t="str">
        <f>IFERROR(VLOOKUP(Proc[[#This Row],[App]],Table2[],3,0),"open")</f>
        <v>ok</v>
      </c>
      <c r="C1063" s="74" t="s">
        <v>369</v>
      </c>
      <c r="D1063" t="s">
        <v>2701</v>
      </c>
      <c r="E1063" t="s">
        <v>2697</v>
      </c>
      <c r="F1063" s="105" t="s">
        <v>2697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2714</v>
      </c>
      <c r="J1063" s="71" t="b">
        <f>Proc[[#This Row],[Requested]]=Proc[[#This Row],[CurrentParent]]</f>
        <v>1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2563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2712</v>
      </c>
      <c r="S1063" s="71"/>
    </row>
    <row r="1064" spans="1:19" hidden="1">
      <c r="A1064" s="74" t="s">
        <v>2711</v>
      </c>
      <c r="B1064" s="71" t="str">
        <f>IFERROR(VLOOKUP(Proc[[#This Row],[App]],Table2[],3,0),"open")</f>
        <v>ok</v>
      </c>
      <c r="C1064" s="74" t="s">
        <v>369</v>
      </c>
      <c r="D1064" t="s">
        <v>2702</v>
      </c>
      <c r="E1064" t="s">
        <v>2697</v>
      </c>
      <c r="F1064" s="105" t="s">
        <v>2697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2714</v>
      </c>
      <c r="J1064" s="71" t="b">
        <f>Proc[[#This Row],[Requested]]=Proc[[#This Row],[CurrentParent]]</f>
        <v>1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2563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2712</v>
      </c>
      <c r="S1064" s="71"/>
    </row>
    <row r="1065" spans="1:19" hidden="1">
      <c r="A1065" s="74" t="s">
        <v>2711</v>
      </c>
      <c r="B1065" s="71" t="str">
        <f>IFERROR(VLOOKUP(Proc[[#This Row],[App]],Table2[],3,0),"open")</f>
        <v>ok</v>
      </c>
      <c r="C1065" s="74" t="s">
        <v>369</v>
      </c>
      <c r="D1065" t="s">
        <v>2703</v>
      </c>
      <c r="E1065" t="s">
        <v>2697</v>
      </c>
      <c r="F1065" s="105" t="s">
        <v>2697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2714</v>
      </c>
      <c r="J1065" s="71" t="b">
        <f>Proc[[#This Row],[Requested]]=Proc[[#This Row],[CurrentParent]]</f>
        <v>1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2563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2712</v>
      </c>
      <c r="S1065" s="71"/>
    </row>
    <row r="1066" spans="1:19" hidden="1">
      <c r="A1066" s="74" t="s">
        <v>2711</v>
      </c>
      <c r="B1066" s="71" t="str">
        <f>IFERROR(VLOOKUP(Proc[[#This Row],[App]],Table2[],3,0),"open")</f>
        <v>ok</v>
      </c>
      <c r="C1066" s="74" t="s">
        <v>369</v>
      </c>
      <c r="D1066" t="s">
        <v>2704</v>
      </c>
      <c r="E1066" t="s">
        <v>2697</v>
      </c>
      <c r="F1066" s="105" t="s">
        <v>2697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2714</v>
      </c>
      <c r="J1066" s="71" t="b">
        <f>Proc[[#This Row],[Requested]]=Proc[[#This Row],[CurrentParent]]</f>
        <v>1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2563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2712</v>
      </c>
      <c r="S1066" s="71"/>
    </row>
    <row r="1067" spans="1:19" hidden="1">
      <c r="A1067" s="74" t="s">
        <v>2711</v>
      </c>
      <c r="B1067" s="71" t="str">
        <f>IFERROR(VLOOKUP(Proc[[#This Row],[App]],Table2[],3,0),"open")</f>
        <v>ok</v>
      </c>
      <c r="C1067" s="74" t="s">
        <v>369</v>
      </c>
      <c r="D1067" t="s">
        <v>2705</v>
      </c>
      <c r="E1067" t="s">
        <v>2697</v>
      </c>
      <c r="F1067" s="105" t="s">
        <v>2697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2714</v>
      </c>
      <c r="J1067" s="71" t="b">
        <f>Proc[[#This Row],[Requested]]=Proc[[#This Row],[CurrentParent]]</f>
        <v>1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2563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2712</v>
      </c>
      <c r="S1067" s="71"/>
    </row>
    <row r="1068" spans="1:19" hidden="1">
      <c r="A1068" s="74" t="s">
        <v>2711</v>
      </c>
      <c r="B1068" s="71" t="str">
        <f>IFERROR(VLOOKUP(Proc[[#This Row],[App]],Table2[],3,0),"open")</f>
        <v>ok</v>
      </c>
      <c r="C1068" s="74" t="s">
        <v>369</v>
      </c>
      <c r="D1068" t="s">
        <v>2706</v>
      </c>
      <c r="E1068" t="s">
        <v>2707</v>
      </c>
      <c r="F1068" s="105" t="s">
        <v>2707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2714</v>
      </c>
      <c r="J1068" s="71" t="b">
        <f>Proc[[#This Row],[Requested]]=Proc[[#This Row],[CurrentParent]]</f>
        <v>1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2563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2712</v>
      </c>
      <c r="S1068" s="71"/>
    </row>
    <row r="1069" spans="1:19" hidden="1">
      <c r="A1069" s="74" t="s">
        <v>2711</v>
      </c>
      <c r="B1069" s="71" t="str">
        <f>IFERROR(VLOOKUP(Proc[[#This Row],[App]],Table2[],3,0),"open")</f>
        <v>ok</v>
      </c>
      <c r="C1069" s="74" t="s">
        <v>369</v>
      </c>
      <c r="D1069" t="s">
        <v>2708</v>
      </c>
      <c r="E1069" t="s">
        <v>2707</v>
      </c>
      <c r="F1069" s="105" t="s">
        <v>2707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2714</v>
      </c>
      <c r="J1069" s="71" t="b">
        <f>Proc[[#This Row],[Requested]]=Proc[[#This Row],[CurrentParent]]</f>
        <v>1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2563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2712</v>
      </c>
      <c r="S1069" s="71"/>
    </row>
    <row r="1070" spans="1:19" hidden="1">
      <c r="A1070" s="74" t="s">
        <v>2711</v>
      </c>
      <c r="B1070" s="71" t="str">
        <f>IFERROR(VLOOKUP(Proc[[#This Row],[App]],Table2[],3,0),"open")</f>
        <v>ok</v>
      </c>
      <c r="C1070" s="74" t="s">
        <v>369</v>
      </c>
      <c r="D1070" t="s">
        <v>2709</v>
      </c>
      <c r="E1070" t="s">
        <v>2707</v>
      </c>
      <c r="F1070" s="105" t="s">
        <v>2707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2714</v>
      </c>
      <c r="J1070" s="71" t="b">
        <f>Proc[[#This Row],[Requested]]=Proc[[#This Row],[CurrentParent]]</f>
        <v>1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2563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2712</v>
      </c>
      <c r="S1070" s="71"/>
    </row>
    <row r="1071" spans="1:19" hidden="1">
      <c r="A1071" s="74" t="s">
        <v>2711</v>
      </c>
      <c r="B1071" s="71" t="str">
        <f>IFERROR(VLOOKUP(Proc[[#This Row],[App]],Table2[],3,0),"open")</f>
        <v>ok</v>
      </c>
      <c r="C1071" s="74" t="s">
        <v>369</v>
      </c>
      <c r="D1071" t="s">
        <v>2710</v>
      </c>
      <c r="E1071" t="s">
        <v>2707</v>
      </c>
      <c r="F1071" s="105" t="s">
        <v>2707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2714</v>
      </c>
      <c r="J1071" s="71" t="b">
        <f>Proc[[#This Row],[Requested]]=Proc[[#This Row],[CurrentParent]]</f>
        <v>1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2563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2712</v>
      </c>
      <c r="S1071" s="71"/>
    </row>
    <row r="1072" spans="1:19" hidden="1">
      <c r="A1072" t="s">
        <v>2715</v>
      </c>
      <c r="B1072" s="71" t="str">
        <f>IFERROR(VLOOKUP(Proc[[#This Row],[App]],Table2[],3,0),"open")</f>
        <v>ok</v>
      </c>
      <c r="C1072" s="74" t="s">
        <v>369</v>
      </c>
      <c r="D1072" t="s">
        <v>2716</v>
      </c>
      <c r="E1072" t="s">
        <v>2691</v>
      </c>
      <c r="F1072" s="105" t="s">
        <v>2691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1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2563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489</v>
      </c>
      <c r="S1072" s="71"/>
    </row>
    <row r="1073" spans="1:19" hidden="1">
      <c r="A1073" s="74" t="s">
        <v>2715</v>
      </c>
      <c r="B1073" s="71" t="str">
        <f>IFERROR(VLOOKUP(Proc[[#This Row],[App]],Table2[],3,0),"open")</f>
        <v>ok</v>
      </c>
      <c r="C1073" s="74" t="s">
        <v>369</v>
      </c>
      <c r="D1073" t="s">
        <v>2717</v>
      </c>
      <c r="E1073" t="s">
        <v>2691</v>
      </c>
      <c r="F1073" s="105" t="s">
        <v>2691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1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2563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489</v>
      </c>
      <c r="S1073" s="71"/>
    </row>
    <row r="1074" spans="1:19" hidden="1">
      <c r="A1074" s="74" t="s">
        <v>2715</v>
      </c>
      <c r="B1074" s="71" t="str">
        <f>IFERROR(VLOOKUP(Proc[[#This Row],[App]],Table2[],3,0),"open")</f>
        <v>ok</v>
      </c>
      <c r="C1074" s="74" t="s">
        <v>369</v>
      </c>
      <c r="D1074" t="s">
        <v>2718</v>
      </c>
      <c r="E1074" t="s">
        <v>2768</v>
      </c>
      <c r="F1074" s="105" t="s">
        <v>2768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1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2563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489</v>
      </c>
      <c r="S1074" s="71"/>
    </row>
    <row r="1075" spans="1:19" hidden="1">
      <c r="A1075" s="74" t="s">
        <v>2715</v>
      </c>
      <c r="B1075" s="71" t="str">
        <f>IFERROR(VLOOKUP(Proc[[#This Row],[App]],Table2[],3,0),"open")</f>
        <v>ok</v>
      </c>
      <c r="C1075" s="74" t="s">
        <v>369</v>
      </c>
      <c r="D1075" t="s">
        <v>2719</v>
      </c>
      <c r="E1075" t="s">
        <v>2691</v>
      </c>
      <c r="F1075" s="105" t="s">
        <v>2691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1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2563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489</v>
      </c>
      <c r="S1075" s="71"/>
    </row>
    <row r="1076" spans="1:19" hidden="1">
      <c r="A1076" s="74" t="s">
        <v>2715</v>
      </c>
      <c r="B1076" s="71" t="str">
        <f>IFERROR(VLOOKUP(Proc[[#This Row],[App]],Table2[],3,0),"open")</f>
        <v>ok</v>
      </c>
      <c r="C1076" s="74" t="s">
        <v>369</v>
      </c>
      <c r="D1076" t="s">
        <v>2720</v>
      </c>
      <c r="E1076" t="s">
        <v>2691</v>
      </c>
      <c r="F1076" s="105" t="s">
        <v>2691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1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2563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489</v>
      </c>
      <c r="S1076" s="71"/>
    </row>
    <row r="1077" spans="1:19" hidden="1">
      <c r="A1077" s="74" t="s">
        <v>2715</v>
      </c>
      <c r="B1077" s="71" t="str">
        <f>IFERROR(VLOOKUP(Proc[[#This Row],[App]],Table2[],3,0),"open")</f>
        <v>ok</v>
      </c>
      <c r="C1077" s="74" t="s">
        <v>369</v>
      </c>
      <c r="D1077" t="s">
        <v>2721</v>
      </c>
      <c r="E1077" t="s">
        <v>2691</v>
      </c>
      <c r="F1077" s="105" t="s">
        <v>2691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1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2563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489</v>
      </c>
      <c r="S1077" s="71"/>
    </row>
    <row r="1078" spans="1:19" hidden="1">
      <c r="A1078" s="74" t="s">
        <v>2715</v>
      </c>
      <c r="B1078" s="71" t="str">
        <f>IFERROR(VLOOKUP(Proc[[#This Row],[App]],Table2[],3,0),"open")</f>
        <v>ok</v>
      </c>
      <c r="C1078" s="74" t="s">
        <v>369</v>
      </c>
      <c r="D1078" t="s">
        <v>2763</v>
      </c>
      <c r="E1078" t="s">
        <v>2769</v>
      </c>
      <c r="F1078" s="105" t="s">
        <v>2769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2816</v>
      </c>
      <c r="J1078" s="71" t="b">
        <f>Proc[[#This Row],[Requested]]=Proc[[#This Row],[CurrentParent]]</f>
        <v>1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2563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489</v>
      </c>
      <c r="S1078" s="71"/>
    </row>
    <row r="1079" spans="1:19" hidden="1">
      <c r="A1079" s="74" t="s">
        <v>2715</v>
      </c>
      <c r="B1079" s="71" t="str">
        <f>IFERROR(VLOOKUP(Proc[[#This Row],[App]],Table2[],3,0),"open")</f>
        <v>ok</v>
      </c>
      <c r="C1079" s="74" t="s">
        <v>369</v>
      </c>
      <c r="D1079" t="s">
        <v>2764</v>
      </c>
      <c r="E1079" t="s">
        <v>2769</v>
      </c>
      <c r="F1079" s="105" t="s">
        <v>2769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2816</v>
      </c>
      <c r="J1079" s="71" t="b">
        <f>Proc[[#This Row],[Requested]]=Proc[[#This Row],[CurrentParent]]</f>
        <v>1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2563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489</v>
      </c>
      <c r="S1079" s="71"/>
    </row>
    <row r="1080" spans="1:19" hidden="1">
      <c r="A1080" s="74" t="s">
        <v>2715</v>
      </c>
      <c r="B1080" s="71" t="str">
        <f>IFERROR(VLOOKUP(Proc[[#This Row],[App]],Table2[],3,0),"open")</f>
        <v>ok</v>
      </c>
      <c r="C1080" s="74" t="s">
        <v>369</v>
      </c>
      <c r="D1080" t="s">
        <v>2765</v>
      </c>
      <c r="E1080" t="s">
        <v>2691</v>
      </c>
      <c r="F1080" s="105" t="s">
        <v>2691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2816</v>
      </c>
      <c r="J1080" s="71" t="b">
        <f>Proc[[#This Row],[Requested]]=Proc[[#This Row],[CurrentParent]]</f>
        <v>1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2563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489</v>
      </c>
      <c r="S1080" s="71"/>
    </row>
    <row r="1081" spans="1:19" hidden="1">
      <c r="A1081" s="74" t="s">
        <v>2715</v>
      </c>
      <c r="B1081" s="71" t="str">
        <f>IFERROR(VLOOKUP(Proc[[#This Row],[App]],Table2[],3,0),"open")</f>
        <v>ok</v>
      </c>
      <c r="C1081" s="74" t="s">
        <v>369</v>
      </c>
      <c r="D1081" t="s">
        <v>2766</v>
      </c>
      <c r="E1081" t="s">
        <v>2691</v>
      </c>
      <c r="F1081" s="105" t="s">
        <v>2691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2816</v>
      </c>
      <c r="J1081" s="71" t="b">
        <f>Proc[[#This Row],[Requested]]=Proc[[#This Row],[CurrentParent]]</f>
        <v>1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2563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489</v>
      </c>
      <c r="S1081" s="71"/>
    </row>
    <row r="1082" spans="1:19" hidden="1">
      <c r="A1082" s="74" t="s">
        <v>2715</v>
      </c>
      <c r="B1082" s="71" t="str">
        <f>IFERROR(VLOOKUP(Proc[[#This Row],[App]],Table2[],3,0),"open")</f>
        <v>ok</v>
      </c>
      <c r="C1082" s="74" t="s">
        <v>369</v>
      </c>
      <c r="D1082" t="s">
        <v>2767</v>
      </c>
      <c r="E1082" t="s">
        <v>2691</v>
      </c>
      <c r="F1082" s="105" t="s">
        <v>2691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2816</v>
      </c>
      <c r="J1082" s="71" t="b">
        <f>Proc[[#This Row],[Requested]]=Proc[[#This Row],[CurrentParent]]</f>
        <v>1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2563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489</v>
      </c>
      <c r="S1082" s="71"/>
    </row>
    <row r="1083" spans="1:19" hidden="1">
      <c r="A1083" s="74" t="s">
        <v>2715</v>
      </c>
      <c r="B1083" s="71" t="str">
        <f>IFERROR(VLOOKUP(Proc[[#This Row],[App]],Table2[],3,0),"open")</f>
        <v>ok</v>
      </c>
      <c r="C1083" s="74" t="s">
        <v>369</v>
      </c>
      <c r="D1083" t="s">
        <v>2722</v>
      </c>
      <c r="E1083" t="s">
        <v>2770</v>
      </c>
      <c r="F1083" s="105" t="s">
        <v>2770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1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2563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489</v>
      </c>
      <c r="S1083" s="71"/>
    </row>
    <row r="1084" spans="1:19" hidden="1">
      <c r="A1084" s="74" t="s">
        <v>2715</v>
      </c>
      <c r="B1084" s="71" t="str">
        <f>IFERROR(VLOOKUP(Proc[[#This Row],[App]],Table2[],3,0),"open")</f>
        <v>ok</v>
      </c>
      <c r="C1084" s="74" t="s">
        <v>369</v>
      </c>
      <c r="D1084" t="s">
        <v>2723</v>
      </c>
      <c r="E1084" t="s">
        <v>2770</v>
      </c>
      <c r="F1084" s="105" t="s">
        <v>2770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1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2563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489</v>
      </c>
      <c r="S1084" s="71"/>
    </row>
    <row r="1085" spans="1:19" hidden="1">
      <c r="A1085" s="74" t="s">
        <v>2715</v>
      </c>
      <c r="B1085" s="71" t="str">
        <f>IFERROR(VLOOKUP(Proc[[#This Row],[App]],Table2[],3,0),"open")</f>
        <v>ok</v>
      </c>
      <c r="C1085" s="74" t="s">
        <v>369</v>
      </c>
      <c r="D1085" t="s">
        <v>2724</v>
      </c>
      <c r="E1085" t="s">
        <v>2770</v>
      </c>
      <c r="F1085" s="105" t="s">
        <v>2770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1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2563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489</v>
      </c>
      <c r="S1085" s="71"/>
    </row>
    <row r="1086" spans="1:19" hidden="1">
      <c r="A1086" s="74" t="s">
        <v>2715</v>
      </c>
      <c r="B1086" s="71" t="str">
        <f>IFERROR(VLOOKUP(Proc[[#This Row],[App]],Table2[],3,0),"open")</f>
        <v>ok</v>
      </c>
      <c r="C1086" s="74" t="s">
        <v>369</v>
      </c>
      <c r="D1086" t="s">
        <v>2725</v>
      </c>
      <c r="E1086" t="s">
        <v>2770</v>
      </c>
      <c r="F1086" s="105" t="s">
        <v>2770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1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2563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489</v>
      </c>
      <c r="S1086" s="71"/>
    </row>
    <row r="1087" spans="1:19" hidden="1">
      <c r="A1087" s="74" t="s">
        <v>2715</v>
      </c>
      <c r="B1087" s="71" t="str">
        <f>IFERROR(VLOOKUP(Proc[[#This Row],[App]],Table2[],3,0),"open")</f>
        <v>ok</v>
      </c>
      <c r="C1087" s="74" t="s">
        <v>369</v>
      </c>
      <c r="D1087" t="s">
        <v>2726</v>
      </c>
      <c r="E1087" t="s">
        <v>2770</v>
      </c>
      <c r="F1087" s="105" t="s">
        <v>2770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1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2563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489</v>
      </c>
      <c r="S1087" s="71"/>
    </row>
    <row r="1088" spans="1:19" hidden="1">
      <c r="A1088" s="74" t="s">
        <v>2715</v>
      </c>
      <c r="B1088" s="71" t="str">
        <f>IFERROR(VLOOKUP(Proc[[#This Row],[App]],Table2[],3,0),"open")</f>
        <v>ok</v>
      </c>
      <c r="C1088" s="74" t="s">
        <v>369</v>
      </c>
      <c r="D1088" t="s">
        <v>2727</v>
      </c>
      <c r="E1088" t="s">
        <v>2770</v>
      </c>
      <c r="F1088" s="105" t="s">
        <v>2770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1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2563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489</v>
      </c>
      <c r="S1088" s="71"/>
    </row>
    <row r="1089" spans="1:19" hidden="1">
      <c r="A1089" s="74" t="s">
        <v>2715</v>
      </c>
      <c r="B1089" s="71" t="str">
        <f>IFERROR(VLOOKUP(Proc[[#This Row],[App]],Table2[],3,0),"open")</f>
        <v>ok</v>
      </c>
      <c r="C1089" s="74" t="s">
        <v>369</v>
      </c>
      <c r="D1089" t="s">
        <v>2728</v>
      </c>
      <c r="E1089" t="s">
        <v>2770</v>
      </c>
      <c r="F1089" s="105" t="s">
        <v>2770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1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2563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489</v>
      </c>
      <c r="S1089" s="71"/>
    </row>
    <row r="1090" spans="1:19" hidden="1">
      <c r="A1090" s="74" t="s">
        <v>2715</v>
      </c>
      <c r="B1090" s="71" t="str">
        <f>IFERROR(VLOOKUP(Proc[[#This Row],[App]],Table2[],3,0),"open")</f>
        <v>ok</v>
      </c>
      <c r="C1090" s="74" t="s">
        <v>369</v>
      </c>
      <c r="D1090" t="s">
        <v>2729</v>
      </c>
      <c r="E1090" t="s">
        <v>2770</v>
      </c>
      <c r="F1090" s="105" t="s">
        <v>2770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1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2563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489</v>
      </c>
      <c r="S1090" s="71"/>
    </row>
    <row r="1091" spans="1:19" hidden="1">
      <c r="A1091" s="74" t="s">
        <v>2715</v>
      </c>
      <c r="B1091" s="71" t="str">
        <f>IFERROR(VLOOKUP(Proc[[#This Row],[App]],Table2[],3,0),"open")</f>
        <v>ok</v>
      </c>
      <c r="C1091" s="74" t="s">
        <v>369</v>
      </c>
      <c r="D1091" t="s">
        <v>2730</v>
      </c>
      <c r="E1091" t="s">
        <v>2770</v>
      </c>
      <c r="F1091" s="105" t="s">
        <v>2770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1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2563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489</v>
      </c>
      <c r="S1091" s="71"/>
    </row>
    <row r="1092" spans="1:19" hidden="1">
      <c r="A1092" s="74" t="s">
        <v>2715</v>
      </c>
      <c r="B1092" s="71" t="str">
        <f>IFERROR(VLOOKUP(Proc[[#This Row],[App]],Table2[],3,0),"open")</f>
        <v>ok</v>
      </c>
      <c r="C1092" s="74" t="s">
        <v>369</v>
      </c>
      <c r="D1092" t="s">
        <v>2731</v>
      </c>
      <c r="E1092" t="s">
        <v>2770</v>
      </c>
      <c r="F1092" s="105" t="s">
        <v>2770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1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2563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489</v>
      </c>
      <c r="S1092" s="71"/>
    </row>
    <row r="1093" spans="1:19" hidden="1">
      <c r="A1093" s="74" t="s">
        <v>2715</v>
      </c>
      <c r="B1093" s="71" t="str">
        <f>IFERROR(VLOOKUP(Proc[[#This Row],[App]],Table2[],3,0),"open")</f>
        <v>ok</v>
      </c>
      <c r="C1093" s="74" t="s">
        <v>369</v>
      </c>
      <c r="D1093" t="s">
        <v>2732</v>
      </c>
      <c r="E1093" t="s">
        <v>2771</v>
      </c>
      <c r="F1093" s="105" t="s">
        <v>2771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1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2563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489</v>
      </c>
      <c r="S1093" s="71"/>
    </row>
    <row r="1094" spans="1:19" hidden="1">
      <c r="A1094" s="74" t="s">
        <v>2715</v>
      </c>
      <c r="B1094" s="71" t="str">
        <f>IFERROR(VLOOKUP(Proc[[#This Row],[App]],Table2[],3,0),"open")</f>
        <v>ok</v>
      </c>
      <c r="C1094" s="74" t="s">
        <v>369</v>
      </c>
      <c r="D1094" t="s">
        <v>2733</v>
      </c>
      <c r="E1094" t="s">
        <v>2772</v>
      </c>
      <c r="F1094" s="105" t="s">
        <v>2772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1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2563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489</v>
      </c>
      <c r="S1094" s="71"/>
    </row>
    <row r="1095" spans="1:19" hidden="1">
      <c r="A1095" s="74" t="s">
        <v>2715</v>
      </c>
      <c r="B1095" s="71" t="str">
        <f>IFERROR(VLOOKUP(Proc[[#This Row],[App]],Table2[],3,0),"open")</f>
        <v>ok</v>
      </c>
      <c r="C1095" s="74" t="s">
        <v>369</v>
      </c>
      <c r="D1095" t="s">
        <v>2734</v>
      </c>
      <c r="E1095" t="s">
        <v>2773</v>
      </c>
      <c r="F1095" s="105" t="s">
        <v>2773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1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2563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489</v>
      </c>
      <c r="S1095" s="71"/>
    </row>
    <row r="1096" spans="1:19" hidden="1">
      <c r="A1096" s="74" t="s">
        <v>2715</v>
      </c>
      <c r="B1096" s="71" t="str">
        <f>IFERROR(VLOOKUP(Proc[[#This Row],[App]],Table2[],3,0),"open")</f>
        <v>ok</v>
      </c>
      <c r="C1096" s="74" t="s">
        <v>369</v>
      </c>
      <c r="D1096" t="s">
        <v>2735</v>
      </c>
      <c r="E1096" t="s">
        <v>2770</v>
      </c>
      <c r="F1096" s="105" t="s">
        <v>2770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1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2563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489</v>
      </c>
      <c r="S1096" s="71"/>
    </row>
    <row r="1097" spans="1:19" hidden="1">
      <c r="A1097" s="74" t="s">
        <v>2715</v>
      </c>
      <c r="B1097" s="71" t="str">
        <f>IFERROR(VLOOKUP(Proc[[#This Row],[App]],Table2[],3,0),"open")</f>
        <v>ok</v>
      </c>
      <c r="C1097" s="74" t="s">
        <v>369</v>
      </c>
      <c r="D1097" t="s">
        <v>2736</v>
      </c>
      <c r="E1097" t="s">
        <v>2691</v>
      </c>
      <c r="F1097" s="105" t="s">
        <v>2691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1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2563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489</v>
      </c>
      <c r="S1097" s="71"/>
    </row>
    <row r="1098" spans="1:19" hidden="1">
      <c r="A1098" s="74" t="s">
        <v>2715</v>
      </c>
      <c r="B1098" s="71" t="str">
        <f>IFERROR(VLOOKUP(Proc[[#This Row],[App]],Table2[],3,0),"open")</f>
        <v>ok</v>
      </c>
      <c r="C1098" s="74" t="s">
        <v>369</v>
      </c>
      <c r="D1098" t="s">
        <v>2737</v>
      </c>
      <c r="E1098" t="s">
        <v>2691</v>
      </c>
      <c r="F1098" s="105" t="s">
        <v>2691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1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2563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489</v>
      </c>
      <c r="S1098" s="71"/>
    </row>
    <row r="1099" spans="1:19" hidden="1">
      <c r="A1099" s="74" t="s">
        <v>2715</v>
      </c>
      <c r="B1099" s="71" t="str">
        <f>IFERROR(VLOOKUP(Proc[[#This Row],[App]],Table2[],3,0),"open")</f>
        <v>ok</v>
      </c>
      <c r="C1099" s="74" t="s">
        <v>369</v>
      </c>
      <c r="D1099" t="s">
        <v>2738</v>
      </c>
      <c r="E1099" t="s">
        <v>2691</v>
      </c>
      <c r="F1099" s="105" t="s">
        <v>2691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1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2563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489</v>
      </c>
      <c r="S1099" s="71"/>
    </row>
    <row r="1100" spans="1:19" hidden="1">
      <c r="A1100" s="74" t="s">
        <v>2715</v>
      </c>
      <c r="B1100" s="71" t="str">
        <f>IFERROR(VLOOKUP(Proc[[#This Row],[App]],Table2[],3,0),"open")</f>
        <v>ok</v>
      </c>
      <c r="C1100" s="74" t="s">
        <v>369</v>
      </c>
      <c r="D1100" t="s">
        <v>2739</v>
      </c>
      <c r="E1100" t="s">
        <v>2774</v>
      </c>
      <c r="F1100" s="105" t="s">
        <v>2774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1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2563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489</v>
      </c>
      <c r="S1100" s="71"/>
    </row>
    <row r="1101" spans="1:19" hidden="1">
      <c r="A1101" s="74" t="s">
        <v>2715</v>
      </c>
      <c r="B1101" s="71" t="str">
        <f>IFERROR(VLOOKUP(Proc[[#This Row],[App]],Table2[],3,0),"open")</f>
        <v>ok</v>
      </c>
      <c r="C1101" s="74" t="s">
        <v>369</v>
      </c>
      <c r="D1101" t="s">
        <v>2740</v>
      </c>
      <c r="E1101" t="s">
        <v>2774</v>
      </c>
      <c r="F1101" s="105" t="s">
        <v>2774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1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2563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489</v>
      </c>
      <c r="S1101" s="71"/>
    </row>
    <row r="1102" spans="1:19" hidden="1">
      <c r="A1102" s="74" t="s">
        <v>2715</v>
      </c>
      <c r="B1102" s="71" t="str">
        <f>IFERROR(VLOOKUP(Proc[[#This Row],[App]],Table2[],3,0),"open")</f>
        <v>ok</v>
      </c>
      <c r="C1102" s="74" t="s">
        <v>369</v>
      </c>
      <c r="D1102" t="s">
        <v>2741</v>
      </c>
      <c r="E1102" t="s">
        <v>2691</v>
      </c>
      <c r="F1102" s="105" t="s">
        <v>2691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1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2563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489</v>
      </c>
      <c r="S1102" s="71"/>
    </row>
    <row r="1103" spans="1:19" hidden="1">
      <c r="A1103" s="74" t="s">
        <v>2715</v>
      </c>
      <c r="B1103" s="71" t="str">
        <f>IFERROR(VLOOKUP(Proc[[#This Row],[App]],Table2[],3,0),"open")</f>
        <v>ok</v>
      </c>
      <c r="C1103" s="74" t="s">
        <v>369</v>
      </c>
      <c r="D1103" t="s">
        <v>2742</v>
      </c>
      <c r="E1103" t="s">
        <v>2775</v>
      </c>
      <c r="F1103" s="105" t="s">
        <v>2775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1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2563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489</v>
      </c>
      <c r="S1103" s="71"/>
    </row>
    <row r="1104" spans="1:19" hidden="1">
      <c r="A1104" s="74" t="s">
        <v>2715</v>
      </c>
      <c r="B1104" s="71" t="str">
        <f>IFERROR(VLOOKUP(Proc[[#This Row],[App]],Table2[],3,0),"open")</f>
        <v>ok</v>
      </c>
      <c r="C1104" s="74" t="s">
        <v>369</v>
      </c>
      <c r="D1104" t="s">
        <v>2743</v>
      </c>
      <c r="E1104" t="s">
        <v>2776</v>
      </c>
      <c r="F1104" s="105" t="s">
        <v>2776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1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2563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489</v>
      </c>
      <c r="S1104" s="71"/>
    </row>
    <row r="1105" spans="1:19" hidden="1">
      <c r="A1105" s="74" t="s">
        <v>2715</v>
      </c>
      <c r="B1105" s="71" t="str">
        <f>IFERROR(VLOOKUP(Proc[[#This Row],[App]],Table2[],3,0),"open")</f>
        <v>ok</v>
      </c>
      <c r="C1105" s="74" t="s">
        <v>369</v>
      </c>
      <c r="D1105" t="s">
        <v>2744</v>
      </c>
      <c r="E1105" t="s">
        <v>2777</v>
      </c>
      <c r="F1105" s="105" t="s">
        <v>2777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1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2563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489</v>
      </c>
      <c r="S1105" s="71"/>
    </row>
    <row r="1106" spans="1:19" hidden="1">
      <c r="A1106" s="74" t="s">
        <v>2715</v>
      </c>
      <c r="B1106" s="71" t="str">
        <f>IFERROR(VLOOKUP(Proc[[#This Row],[App]],Table2[],3,0),"open")</f>
        <v>ok</v>
      </c>
      <c r="C1106" s="74" t="s">
        <v>369</v>
      </c>
      <c r="D1106" t="s">
        <v>2745</v>
      </c>
      <c r="E1106" t="s">
        <v>2774</v>
      </c>
      <c r="F1106" s="105" t="s">
        <v>2774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1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2563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489</v>
      </c>
      <c r="S1106" s="71"/>
    </row>
    <row r="1107" spans="1:19" hidden="1">
      <c r="A1107" s="74" t="s">
        <v>2715</v>
      </c>
      <c r="B1107" s="71" t="str">
        <f>IFERROR(VLOOKUP(Proc[[#This Row],[App]],Table2[],3,0),"open")</f>
        <v>ok</v>
      </c>
      <c r="C1107" s="74" t="s">
        <v>369</v>
      </c>
      <c r="D1107" t="s">
        <v>2746</v>
      </c>
      <c r="E1107" t="s">
        <v>2774</v>
      </c>
      <c r="F1107" s="105" t="s">
        <v>2774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1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2563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489</v>
      </c>
      <c r="S1107" s="71"/>
    </row>
    <row r="1108" spans="1:19" hidden="1">
      <c r="A1108" s="74" t="s">
        <v>2715</v>
      </c>
      <c r="B1108" s="71" t="str">
        <f>IFERROR(VLOOKUP(Proc[[#This Row],[App]],Table2[],3,0),"open")</f>
        <v>ok</v>
      </c>
      <c r="C1108" s="74" t="s">
        <v>369</v>
      </c>
      <c r="D1108" t="s">
        <v>2747</v>
      </c>
      <c r="E1108" t="s">
        <v>2774</v>
      </c>
      <c r="F1108" s="105" t="s">
        <v>2774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1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2563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489</v>
      </c>
      <c r="S1108" s="71"/>
    </row>
    <row r="1109" spans="1:19" hidden="1">
      <c r="A1109" s="74" t="s">
        <v>2715</v>
      </c>
      <c r="B1109" s="71" t="str">
        <f>IFERROR(VLOOKUP(Proc[[#This Row],[App]],Table2[],3,0),"open")</f>
        <v>ok</v>
      </c>
      <c r="C1109" s="74" t="s">
        <v>369</v>
      </c>
      <c r="D1109" t="s">
        <v>2748</v>
      </c>
      <c r="E1109" t="s">
        <v>2774</v>
      </c>
      <c r="F1109" s="105" t="s">
        <v>2774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1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2563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489</v>
      </c>
      <c r="S1109" s="71"/>
    </row>
    <row r="1110" spans="1:19" hidden="1">
      <c r="A1110" s="74" t="s">
        <v>2715</v>
      </c>
      <c r="B1110" s="71" t="str">
        <f>IFERROR(VLOOKUP(Proc[[#This Row],[App]],Table2[],3,0),"open")</f>
        <v>ok</v>
      </c>
      <c r="C1110" s="74" t="s">
        <v>369</v>
      </c>
      <c r="D1110" t="s">
        <v>2749</v>
      </c>
      <c r="E1110" t="s">
        <v>2775</v>
      </c>
      <c r="F1110" s="105" t="s">
        <v>2775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1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2563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489</v>
      </c>
      <c r="S1110" s="71"/>
    </row>
    <row r="1111" spans="1:19" hidden="1">
      <c r="A1111" s="74" t="s">
        <v>2715</v>
      </c>
      <c r="B1111" s="71" t="str">
        <f>IFERROR(VLOOKUP(Proc[[#This Row],[App]],Table2[],3,0),"open")</f>
        <v>ok</v>
      </c>
      <c r="C1111" s="74" t="s">
        <v>369</v>
      </c>
      <c r="D1111" t="s">
        <v>2750</v>
      </c>
      <c r="E1111" t="s">
        <v>2776</v>
      </c>
      <c r="F1111" s="105" t="s">
        <v>2776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1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2563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489</v>
      </c>
      <c r="S1111" s="71"/>
    </row>
    <row r="1112" spans="1:19" hidden="1">
      <c r="A1112" s="74" t="s">
        <v>2715</v>
      </c>
      <c r="B1112" s="71" t="str">
        <f>IFERROR(VLOOKUP(Proc[[#This Row],[App]],Table2[],3,0),"open")</f>
        <v>ok</v>
      </c>
      <c r="C1112" s="74" t="s">
        <v>369</v>
      </c>
      <c r="D1112" t="s">
        <v>2751</v>
      </c>
      <c r="E1112" t="s">
        <v>2778</v>
      </c>
      <c r="F1112" s="105" t="s">
        <v>2778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1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2563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489</v>
      </c>
      <c r="S1112" s="71"/>
    </row>
    <row r="1113" spans="1:19" hidden="1">
      <c r="A1113" s="74" t="s">
        <v>2715</v>
      </c>
      <c r="B1113" s="71" t="str">
        <f>IFERROR(VLOOKUP(Proc[[#This Row],[App]],Table2[],3,0),"open")</f>
        <v>ok</v>
      </c>
      <c r="C1113" s="74" t="s">
        <v>369</v>
      </c>
      <c r="D1113" t="s">
        <v>2752</v>
      </c>
      <c r="E1113" t="s">
        <v>2779</v>
      </c>
      <c r="F1113" s="105" t="s">
        <v>2779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1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2563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489</v>
      </c>
      <c r="S1113" s="71"/>
    </row>
    <row r="1114" spans="1:19" hidden="1">
      <c r="A1114" s="74" t="s">
        <v>2715</v>
      </c>
      <c r="B1114" s="71" t="str">
        <f>IFERROR(VLOOKUP(Proc[[#This Row],[App]],Table2[],3,0),"open")</f>
        <v>ok</v>
      </c>
      <c r="C1114" s="74" t="s">
        <v>369</v>
      </c>
      <c r="D1114" t="s">
        <v>2753</v>
      </c>
      <c r="E1114" t="s">
        <v>2691</v>
      </c>
      <c r="F1114" s="105" t="s">
        <v>2691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1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2563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489</v>
      </c>
      <c r="S1114" s="71"/>
    </row>
    <row r="1115" spans="1:19" hidden="1">
      <c r="A1115" s="74" t="s">
        <v>2715</v>
      </c>
      <c r="B1115" s="71" t="str">
        <f>IFERROR(VLOOKUP(Proc[[#This Row],[App]],Table2[],3,0),"open")</f>
        <v>ok</v>
      </c>
      <c r="C1115" s="74" t="s">
        <v>369</v>
      </c>
      <c r="D1115" t="s">
        <v>2754</v>
      </c>
      <c r="E1115" t="s">
        <v>2776</v>
      </c>
      <c r="F1115" s="105" t="s">
        <v>2776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1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2563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489</v>
      </c>
      <c r="S1115" s="71"/>
    </row>
    <row r="1116" spans="1:19" hidden="1">
      <c r="A1116" s="74" t="s">
        <v>2715</v>
      </c>
      <c r="B1116" s="71" t="str">
        <f>IFERROR(VLOOKUP(Proc[[#This Row],[App]],Table2[],3,0),"open")</f>
        <v>ok</v>
      </c>
      <c r="C1116" s="74" t="s">
        <v>369</v>
      </c>
      <c r="D1116" t="s">
        <v>2755</v>
      </c>
      <c r="E1116" t="s">
        <v>2776</v>
      </c>
      <c r="F1116" s="105" t="s">
        <v>2776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1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2563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489</v>
      </c>
      <c r="S1116" s="71"/>
    </row>
    <row r="1117" spans="1:19" hidden="1">
      <c r="A1117" s="74" t="s">
        <v>2715</v>
      </c>
      <c r="B1117" s="71" t="str">
        <f>IFERROR(VLOOKUP(Proc[[#This Row],[App]],Table2[],3,0),"open")</f>
        <v>ok</v>
      </c>
      <c r="C1117" s="74" t="s">
        <v>369</v>
      </c>
      <c r="D1117" t="s">
        <v>2756</v>
      </c>
      <c r="E1117" t="s">
        <v>2691</v>
      </c>
      <c r="F1117" s="105" t="s">
        <v>2691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1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2563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489</v>
      </c>
      <c r="S1117" s="71"/>
    </row>
    <row r="1118" spans="1:19" hidden="1">
      <c r="A1118" s="74" t="s">
        <v>2715</v>
      </c>
      <c r="B1118" s="71" t="str">
        <f>IFERROR(VLOOKUP(Proc[[#This Row],[App]],Table2[],3,0),"open")</f>
        <v>ok</v>
      </c>
      <c r="C1118" s="74" t="s">
        <v>369</v>
      </c>
      <c r="D1118" t="s">
        <v>2757</v>
      </c>
      <c r="E1118" t="s">
        <v>2691</v>
      </c>
      <c r="F1118" s="105" t="s">
        <v>2691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1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2563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489</v>
      </c>
      <c r="S1118" s="71"/>
    </row>
    <row r="1119" spans="1:19" hidden="1">
      <c r="A1119" s="74" t="s">
        <v>2715</v>
      </c>
      <c r="B1119" s="71" t="str">
        <f>IFERROR(VLOOKUP(Proc[[#This Row],[App]],Table2[],3,0),"open")</f>
        <v>ok</v>
      </c>
      <c r="C1119" s="74" t="s">
        <v>369</v>
      </c>
      <c r="D1119" t="s">
        <v>2758</v>
      </c>
      <c r="E1119" t="s">
        <v>2777</v>
      </c>
      <c r="F1119" s="105" t="s">
        <v>2777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1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2563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489</v>
      </c>
      <c r="S1119" s="71"/>
    </row>
    <row r="1120" spans="1:19" hidden="1">
      <c r="A1120" s="74" t="s">
        <v>2715</v>
      </c>
      <c r="B1120" s="71" t="str">
        <f>IFERROR(VLOOKUP(Proc[[#This Row],[App]],Table2[],3,0),"open")</f>
        <v>ok</v>
      </c>
      <c r="C1120" s="74" t="s">
        <v>369</v>
      </c>
      <c r="D1120" t="s">
        <v>2759</v>
      </c>
      <c r="E1120" t="s">
        <v>2777</v>
      </c>
      <c r="F1120" s="105" t="s">
        <v>2777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1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2563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489</v>
      </c>
      <c r="S1120" s="71"/>
    </row>
    <row r="1121" spans="1:19" hidden="1">
      <c r="A1121" s="74" t="s">
        <v>2715</v>
      </c>
      <c r="B1121" s="71" t="str">
        <f>IFERROR(VLOOKUP(Proc[[#This Row],[App]],Table2[],3,0),"open")</f>
        <v>ok</v>
      </c>
      <c r="C1121" s="74" t="s">
        <v>369</v>
      </c>
      <c r="D1121" t="s">
        <v>2760</v>
      </c>
      <c r="E1121" t="s">
        <v>2770</v>
      </c>
      <c r="F1121" s="105" t="s">
        <v>2770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1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2563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489</v>
      </c>
      <c r="S1121" s="71"/>
    </row>
    <row r="1122" spans="1:19" hidden="1">
      <c r="A1122" s="74" t="s">
        <v>2715</v>
      </c>
      <c r="B1122" s="71" t="str">
        <f>IFERROR(VLOOKUP(Proc[[#This Row],[App]],Table2[],3,0),"open")</f>
        <v>ok</v>
      </c>
      <c r="C1122" s="74" t="s">
        <v>369</v>
      </c>
      <c r="D1122" t="s">
        <v>2761</v>
      </c>
      <c r="E1122" t="s">
        <v>2772</v>
      </c>
      <c r="F1122" s="105" t="s">
        <v>2772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1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2563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489</v>
      </c>
      <c r="S1122" s="71"/>
    </row>
    <row r="1123" spans="1:19" hidden="1">
      <c r="A1123" s="74" t="s">
        <v>2715</v>
      </c>
      <c r="B1123" s="71" t="str">
        <f>IFERROR(VLOOKUP(Proc[[#This Row],[App]],Table2[],3,0),"open")</f>
        <v>ok</v>
      </c>
      <c r="C1123" s="74" t="s">
        <v>369</v>
      </c>
      <c r="D1123" t="s">
        <v>2762</v>
      </c>
      <c r="E1123" t="s">
        <v>2773</v>
      </c>
      <c r="F1123" s="105" t="s">
        <v>2773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1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2563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489</v>
      </c>
      <c r="S1123" s="71"/>
    </row>
    <row r="1124" spans="1:19" hidden="1">
      <c r="A1124" t="s">
        <v>2780</v>
      </c>
      <c r="B1124" s="71" t="str">
        <f>IFERROR(VLOOKUP(Proc[[#This Row],[App]],Table2[],3,0),"open")</f>
        <v>ok</v>
      </c>
      <c r="C1124" s="74" t="s">
        <v>369</v>
      </c>
      <c r="D1124" t="s">
        <v>2781</v>
      </c>
      <c r="E1124" t="s">
        <v>418</v>
      </c>
      <c r="F1124" s="105" t="s">
        <v>418</v>
      </c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1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2563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1076</v>
      </c>
      <c r="S1124" s="71"/>
    </row>
    <row r="1125" spans="1:19" hidden="1">
      <c r="A1125" s="74" t="s">
        <v>2780</v>
      </c>
      <c r="B1125" s="71" t="str">
        <f>IFERROR(VLOOKUP(Proc[[#This Row],[App]],Table2[],3,0),"open")</f>
        <v>ok</v>
      </c>
      <c r="C1125" s="74" t="s">
        <v>369</v>
      </c>
      <c r="D1125" t="s">
        <v>2782</v>
      </c>
      <c r="E1125" t="s">
        <v>418</v>
      </c>
      <c r="F1125" s="105" t="s">
        <v>418</v>
      </c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1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2563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1076</v>
      </c>
      <c r="S1125" s="71"/>
    </row>
    <row r="1126" spans="1:19" hidden="1">
      <c r="A1126" s="74" t="s">
        <v>2780</v>
      </c>
      <c r="B1126" s="71" t="str">
        <f>IFERROR(VLOOKUP(Proc[[#This Row],[App]],Table2[],3,0),"open")</f>
        <v>ok</v>
      </c>
      <c r="C1126" s="74" t="s">
        <v>369</v>
      </c>
      <c r="D1126" t="s">
        <v>2783</v>
      </c>
      <c r="E1126" t="s">
        <v>418</v>
      </c>
      <c r="F1126" s="105" t="s">
        <v>418</v>
      </c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1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2563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1076</v>
      </c>
      <c r="S1126" s="71"/>
    </row>
    <row r="1127" spans="1:19" hidden="1">
      <c r="A1127" s="74" t="s">
        <v>2780</v>
      </c>
      <c r="B1127" s="71" t="str">
        <f>IFERROR(VLOOKUP(Proc[[#This Row],[App]],Table2[],3,0),"open")</f>
        <v>ok</v>
      </c>
      <c r="C1127" s="74" t="s">
        <v>369</v>
      </c>
      <c r="D1127" t="s">
        <v>2784</v>
      </c>
      <c r="E1127" t="s">
        <v>418</v>
      </c>
      <c r="F1127" s="105" t="s">
        <v>418</v>
      </c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1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2563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1076</v>
      </c>
      <c r="S1127" s="71"/>
    </row>
    <row r="1128" spans="1:19" hidden="1">
      <c r="A1128" s="74" t="s">
        <v>2780</v>
      </c>
      <c r="B1128" s="71" t="str">
        <f>IFERROR(VLOOKUP(Proc[[#This Row],[App]],Table2[],3,0),"open")</f>
        <v>ok</v>
      </c>
      <c r="C1128" s="74" t="s">
        <v>377</v>
      </c>
      <c r="D1128" t="s">
        <v>2785</v>
      </c>
      <c r="E1128" t="s">
        <v>418</v>
      </c>
      <c r="F1128" s="105" t="s">
        <v>418</v>
      </c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1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2563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1076</v>
      </c>
      <c r="S1128" s="71"/>
    </row>
    <row r="1129" spans="1:19" hidden="1">
      <c r="A1129" s="74" t="s">
        <v>2780</v>
      </c>
      <c r="B1129" s="71" t="str">
        <f>IFERROR(VLOOKUP(Proc[[#This Row],[App]],Table2[],3,0),"open")</f>
        <v>ok</v>
      </c>
      <c r="C1129" s="74" t="s">
        <v>377</v>
      </c>
      <c r="D1129" t="s">
        <v>2786</v>
      </c>
      <c r="E1129" t="s">
        <v>418</v>
      </c>
      <c r="F1129" s="105" t="s">
        <v>418</v>
      </c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1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2563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1076</v>
      </c>
      <c r="S1129" s="71"/>
    </row>
    <row r="1130" spans="1:19" hidden="1">
      <c r="A1130" s="74" t="s">
        <v>2780</v>
      </c>
      <c r="B1130" s="71" t="str">
        <f>IFERROR(VLOOKUP(Proc[[#This Row],[App]],Table2[],3,0),"open")</f>
        <v>ok</v>
      </c>
      <c r="C1130" s="74" t="s">
        <v>377</v>
      </c>
      <c r="D1130" t="s">
        <v>2787</v>
      </c>
      <c r="E1130" t="s">
        <v>418</v>
      </c>
      <c r="F1130" s="105" t="s">
        <v>418</v>
      </c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1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2563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1076</v>
      </c>
      <c r="S1130" s="71"/>
    </row>
    <row r="1131" spans="1:19" hidden="1">
      <c r="A1131" s="74" t="s">
        <v>2780</v>
      </c>
      <c r="B1131" s="71" t="str">
        <f>IFERROR(VLOOKUP(Proc[[#This Row],[App]],Table2[],3,0),"open")</f>
        <v>ok</v>
      </c>
      <c r="C1131" s="74" t="s">
        <v>377</v>
      </c>
      <c r="D1131" t="s">
        <v>2788</v>
      </c>
      <c r="E1131" t="s">
        <v>418</v>
      </c>
      <c r="F1131" s="105" t="s">
        <v>418</v>
      </c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1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2563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1076</v>
      </c>
      <c r="S1131" s="71"/>
    </row>
    <row r="1132" spans="1:19" hidden="1">
      <c r="A1132" t="s">
        <v>2789</v>
      </c>
      <c r="B1132" s="71" t="str">
        <f>IFERROR(VLOOKUP(Proc[[#This Row],[App]],Table2[],3,0),"open")</f>
        <v>ok</v>
      </c>
      <c r="C1132" s="74" t="s">
        <v>369</v>
      </c>
      <c r="D1132" t="s">
        <v>2790</v>
      </c>
      <c r="E1132" t="s">
        <v>2791</v>
      </c>
      <c r="F1132" s="105" t="s">
        <v>2791</v>
      </c>
      <c r="G1132" t="s">
        <v>406</v>
      </c>
      <c r="H1132" s="71" t="str">
        <f>IF(Proc[[#This Row],[type]]="LFF (MDG-F)",MID(Proc[[#This Row],[Obj]],13,10),"")</f>
        <v>2123OF0027</v>
      </c>
      <c r="I1132" t="s">
        <v>2792</v>
      </c>
      <c r="J1132" s="71" t="b">
        <f>Proc[[#This Row],[Requested]]=Proc[[#This Row],[CurrentParent]]</f>
        <v>1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2563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515</v>
      </c>
      <c r="S1132" s="71"/>
    </row>
    <row r="1133" spans="1:19" hidden="1">
      <c r="A1133" t="s">
        <v>2795</v>
      </c>
      <c r="B1133" s="71" t="str">
        <f>IFERROR(VLOOKUP(Proc[[#This Row],[App]],Table2[],3,0),"open")</f>
        <v>ok</v>
      </c>
      <c r="C1133" s="74" t="s">
        <v>369</v>
      </c>
      <c r="D1133" t="s">
        <v>2793</v>
      </c>
      <c r="E1133" t="s">
        <v>2417</v>
      </c>
      <c r="F1133" s="105" t="s">
        <v>2417</v>
      </c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1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2563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515</v>
      </c>
      <c r="S1133" s="71"/>
    </row>
    <row r="1134" spans="1:19" hidden="1">
      <c r="A1134" s="74" t="s">
        <v>2795</v>
      </c>
      <c r="B1134" s="71" t="str">
        <f>IFERROR(VLOOKUP(Proc[[#This Row],[App]],Table2[],3,0),"open")</f>
        <v>ok</v>
      </c>
      <c r="C1134" s="74" t="s">
        <v>369</v>
      </c>
      <c r="D1134" t="s">
        <v>2794</v>
      </c>
      <c r="E1134" t="s">
        <v>2417</v>
      </c>
      <c r="F1134" s="105" t="s">
        <v>2417</v>
      </c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1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2563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515</v>
      </c>
      <c r="S1134" s="71"/>
    </row>
    <row r="1135" spans="1:19" hidden="1">
      <c r="A1135" t="s">
        <v>2796</v>
      </c>
      <c r="B1135" s="71" t="str">
        <f>IFERROR(VLOOKUP(Proc[[#This Row],[App]],Table2[],3,0),"open")</f>
        <v>ok</v>
      </c>
      <c r="C1135" s="74" t="s">
        <v>369</v>
      </c>
      <c r="D1135" s="74" t="s">
        <v>2797</v>
      </c>
      <c r="E1135" t="s">
        <v>2798</v>
      </c>
      <c r="F1135" s="105" t="s">
        <v>2798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1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2563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515</v>
      </c>
      <c r="S1135" s="71"/>
    </row>
    <row r="1136" spans="1:19" hidden="1">
      <c r="A1136" t="s">
        <v>2800</v>
      </c>
      <c r="B1136" s="71" t="str">
        <f>IFERROR(VLOOKUP(Proc[[#This Row],[App]],Table2[],3,0),"open")</f>
        <v>ok</v>
      </c>
      <c r="C1136" s="74" t="s">
        <v>369</v>
      </c>
      <c r="D1136" t="s">
        <v>2799</v>
      </c>
      <c r="E1136" t="s">
        <v>473</v>
      </c>
      <c r="F1136" s="105" t="s">
        <v>473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1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2563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515</v>
      </c>
      <c r="S1136" s="71"/>
    </row>
    <row r="1137" spans="1:19" hidden="1">
      <c r="A1137" t="s">
        <v>2801</v>
      </c>
      <c r="B1137" s="71" t="str">
        <f>IFERROR(VLOOKUP(Proc[[#This Row],[App]],Table2[],3,0),"open")</f>
        <v>ok</v>
      </c>
      <c r="C1137" s="74" t="s">
        <v>369</v>
      </c>
      <c r="D1137" t="s">
        <v>2802</v>
      </c>
      <c r="E1137" t="s">
        <v>2592</v>
      </c>
      <c r="F1137" s="105" t="s">
        <v>2592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1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2563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972</v>
      </c>
      <c r="S1137" s="71"/>
    </row>
    <row r="1138" spans="1:19" hidden="1">
      <c r="A1138" s="74" t="s">
        <v>2801</v>
      </c>
      <c r="B1138" s="71" t="str">
        <f>IFERROR(VLOOKUP(Proc[[#This Row],[App]],Table2[],3,0),"open")</f>
        <v>ok</v>
      </c>
      <c r="C1138" s="74" t="s">
        <v>377</v>
      </c>
      <c r="D1138" t="s">
        <v>2803</v>
      </c>
      <c r="E1138" t="s">
        <v>2811</v>
      </c>
      <c r="F1138" s="105" t="s">
        <v>2811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822</v>
      </c>
      <c r="J1138" s="71" t="b">
        <f>Proc[[#This Row],[Requested]]=Proc[[#This Row],[CurrentParent]]</f>
        <v>1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2563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972</v>
      </c>
      <c r="S1138" s="71"/>
    </row>
    <row r="1139" spans="1:19" hidden="1">
      <c r="A1139" s="74" t="s">
        <v>2801</v>
      </c>
      <c r="B1139" s="71" t="str">
        <f>IFERROR(VLOOKUP(Proc[[#This Row],[App]],Table2[],3,0),"open")</f>
        <v>ok</v>
      </c>
      <c r="C1139" s="74" t="s">
        <v>369</v>
      </c>
      <c r="D1139" t="s">
        <v>2804</v>
      </c>
      <c r="E1139" t="s">
        <v>2812</v>
      </c>
      <c r="F1139" s="105" t="s">
        <v>2812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1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2563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972</v>
      </c>
      <c r="S1139" s="71"/>
    </row>
    <row r="1140" spans="1:19" hidden="1">
      <c r="A1140" s="74" t="s">
        <v>2801</v>
      </c>
      <c r="B1140" s="71" t="str">
        <f>IFERROR(VLOOKUP(Proc[[#This Row],[App]],Table2[],3,0),"open")</f>
        <v>ok</v>
      </c>
      <c r="C1140" s="74" t="s">
        <v>369</v>
      </c>
      <c r="D1140" t="s">
        <v>2805</v>
      </c>
      <c r="E1140" t="s">
        <v>2813</v>
      </c>
      <c r="F1140" s="105" t="s">
        <v>2813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1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2563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972</v>
      </c>
      <c r="S1140" s="71"/>
    </row>
    <row r="1141" spans="1:19" hidden="1">
      <c r="A1141" s="74" t="s">
        <v>2801</v>
      </c>
      <c r="B1141" s="71" t="str">
        <f>IFERROR(VLOOKUP(Proc[[#This Row],[App]],Table2[],3,0),"open")</f>
        <v>ok</v>
      </c>
      <c r="C1141" s="74" t="s">
        <v>369</v>
      </c>
      <c r="D1141" t="s">
        <v>2806</v>
      </c>
      <c r="E1141" t="s">
        <v>2813</v>
      </c>
      <c r="F1141" s="105" t="s">
        <v>2813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1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2563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972</v>
      </c>
      <c r="S1141" s="71"/>
    </row>
    <row r="1142" spans="1:19" hidden="1">
      <c r="A1142" s="74" t="s">
        <v>2801</v>
      </c>
      <c r="B1142" s="71" t="str">
        <f>IFERROR(VLOOKUP(Proc[[#This Row],[App]],Table2[],3,0),"open")</f>
        <v>ok</v>
      </c>
      <c r="C1142" s="74" t="s">
        <v>369</v>
      </c>
      <c r="D1142" t="s">
        <v>2807</v>
      </c>
      <c r="E1142" t="s">
        <v>2814</v>
      </c>
      <c r="F1142" s="105" t="s">
        <v>2814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1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2563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972</v>
      </c>
      <c r="S1142" s="71"/>
    </row>
    <row r="1143" spans="1:19" hidden="1">
      <c r="A1143" s="74" t="s">
        <v>2801</v>
      </c>
      <c r="B1143" s="71" t="str">
        <f>IFERROR(VLOOKUP(Proc[[#This Row],[App]],Table2[],3,0),"open")</f>
        <v>ok</v>
      </c>
      <c r="C1143" s="74" t="s">
        <v>369</v>
      </c>
      <c r="D1143" t="s">
        <v>2808</v>
      </c>
      <c r="E1143" t="s">
        <v>2376</v>
      </c>
      <c r="F1143" s="105" t="s">
        <v>2376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1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2563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972</v>
      </c>
      <c r="S1143" s="71"/>
    </row>
    <row r="1144" spans="1:19" hidden="1">
      <c r="A1144" s="74" t="s">
        <v>2801</v>
      </c>
      <c r="B1144" s="71" t="str">
        <f>IFERROR(VLOOKUP(Proc[[#This Row],[App]],Table2[],3,0),"open")</f>
        <v>ok</v>
      </c>
      <c r="C1144" s="74" t="s">
        <v>369</v>
      </c>
      <c r="D1144" t="s">
        <v>2809</v>
      </c>
      <c r="E1144" t="s">
        <v>2376</v>
      </c>
      <c r="F1144" s="105" t="s">
        <v>2376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1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2563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972</v>
      </c>
      <c r="S1144" s="71"/>
    </row>
    <row r="1145" spans="1:19" hidden="1">
      <c r="A1145" s="74" t="s">
        <v>2801</v>
      </c>
      <c r="B1145" s="71" t="str">
        <f>IFERROR(VLOOKUP(Proc[[#This Row],[App]],Table2[],3,0),"open")</f>
        <v>ok</v>
      </c>
      <c r="C1145" s="74" t="s">
        <v>369</v>
      </c>
      <c r="D1145" t="s">
        <v>2810</v>
      </c>
      <c r="E1145" t="s">
        <v>2376</v>
      </c>
      <c r="F1145" s="105" t="s">
        <v>2376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1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2563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972</v>
      </c>
      <c r="S1145" s="71"/>
    </row>
    <row r="1146" spans="1:19" hidden="1">
      <c r="A1146" s="74" t="s">
        <v>2801</v>
      </c>
      <c r="B1146" s="71" t="str">
        <f>IFERROR(VLOOKUP(Proc[[#This Row],[App]],Table2[],3,0),"open")</f>
        <v>ok</v>
      </c>
      <c r="C1146" s="74" t="s">
        <v>369</v>
      </c>
      <c r="D1146" t="s">
        <v>2817</v>
      </c>
      <c r="E1146" t="s">
        <v>2815</v>
      </c>
      <c r="F1146" s="105" t="s">
        <v>2815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1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2563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972</v>
      </c>
      <c r="S1146" s="71"/>
    </row>
    <row r="1147" spans="1:19" hidden="1">
      <c r="A1147" t="s">
        <v>2820</v>
      </c>
      <c r="B1147" s="71" t="str">
        <f>IFERROR(VLOOKUP(Proc[[#This Row],[App]],Table2[],3,0),"open")</f>
        <v>ok</v>
      </c>
      <c r="C1147" s="74" t="s">
        <v>369</v>
      </c>
      <c r="D1147" t="s">
        <v>2819</v>
      </c>
      <c r="E1147" t="s">
        <v>413</v>
      </c>
      <c r="F1147" s="105" t="s">
        <v>413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1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2563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955</v>
      </c>
      <c r="S1147" s="71"/>
    </row>
    <row r="1148" spans="1:19" hidden="1">
      <c r="A1148" t="s">
        <v>2827</v>
      </c>
      <c r="B1148" s="71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5" t="s">
        <v>2825</v>
      </c>
      <c r="G1148" t="s">
        <v>406</v>
      </c>
      <c r="H1148" s="71" t="str">
        <f>IF(Proc[[#This Row],[type]]="LFF (MDG-F)",MID(Proc[[#This Row],[Obj]],13,10),"")</f>
        <v>AE50R0GR11</v>
      </c>
      <c r="I1148" t="s">
        <v>2831</v>
      </c>
      <c r="J1148" s="71" t="b">
        <f>Proc[[#This Row],[Requested]]=Proc[[#This Row],[CurrentParent]]</f>
        <v>1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2563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415</v>
      </c>
      <c r="S1148" s="71"/>
    </row>
    <row r="1149" spans="1:19" hidden="1">
      <c r="A1149" s="74" t="s">
        <v>2827</v>
      </c>
      <c r="B1149" s="71" t="str">
        <f>IFERROR(VLOOKUP(Proc[[#This Row],[App]],Table2[],3,0),"open")</f>
        <v>ok</v>
      </c>
      <c r="C1149" s="74" t="s">
        <v>369</v>
      </c>
      <c r="D1149" t="s">
        <v>2822</v>
      </c>
      <c r="E1149" t="s">
        <v>2826</v>
      </c>
      <c r="F1149" s="105" t="s">
        <v>2826</v>
      </c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1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2563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415</v>
      </c>
      <c r="S1149" s="71"/>
    </row>
    <row r="1150" spans="1:19" hidden="1">
      <c r="A1150" s="74" t="s">
        <v>2827</v>
      </c>
      <c r="B1150" s="71" t="str">
        <f>IFERROR(VLOOKUP(Proc[[#This Row],[App]],Table2[],3,0),"open")</f>
        <v>ok</v>
      </c>
      <c r="C1150" s="74" t="s">
        <v>369</v>
      </c>
      <c r="D1150" t="s">
        <v>2823</v>
      </c>
      <c r="E1150" t="s">
        <v>2826</v>
      </c>
      <c r="F1150" s="105" t="s">
        <v>2826</v>
      </c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1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2563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415</v>
      </c>
      <c r="S1150" s="71"/>
    </row>
    <row r="1151" spans="1:19" hidden="1">
      <c r="A1151" s="74" t="s">
        <v>2827</v>
      </c>
      <c r="B1151" s="71" t="str">
        <f>IFERROR(VLOOKUP(Proc[[#This Row],[App]],Table2[],3,0),"open")</f>
        <v>ok</v>
      </c>
      <c r="C1151" s="74" t="s">
        <v>369</v>
      </c>
      <c r="D1151" t="s">
        <v>2824</v>
      </c>
      <c r="E1151" t="s">
        <v>2826</v>
      </c>
      <c r="F1151" s="105" t="s">
        <v>2826</v>
      </c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1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2563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415</v>
      </c>
      <c r="S1151" s="71"/>
    </row>
    <row r="1152" spans="1:19" hidden="1">
      <c r="A1152" t="s">
        <v>2830</v>
      </c>
      <c r="B1152" s="71" t="str">
        <f>IFERROR(VLOOKUP(Proc[[#This Row],[App]],Table2[],3,0),"open")</f>
        <v>ok</v>
      </c>
      <c r="C1152" s="74" t="s">
        <v>369</v>
      </c>
      <c r="D1152" t="s">
        <v>2799</v>
      </c>
      <c r="E1152" t="s">
        <v>473</v>
      </c>
      <c r="F1152" s="105" t="s">
        <v>473</v>
      </c>
      <c r="G1152" s="74" t="s">
        <v>400</v>
      </c>
      <c r="H1152" s="71" t="str">
        <f>IF(Proc[[#This Row],[type]]="LFF (MDG-F)",MID(Proc[[#This Row],[Obj]],13,10),"")</f>
        <v/>
      </c>
      <c r="I1152" t="s">
        <v>1198</v>
      </c>
      <c r="J1152" s="71" t="b">
        <f>Proc[[#This Row],[Requested]]=Proc[[#This Row],[CurrentParent]]</f>
        <v>1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2563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44</v>
      </c>
      <c r="R1152" s="82" t="s">
        <v>515</v>
      </c>
      <c r="S1152" s="71"/>
    </row>
    <row r="1153" spans="1:19" hidden="1">
      <c r="A1153" s="74" t="s">
        <v>2830</v>
      </c>
      <c r="B1153" s="71" t="str">
        <f>IFERROR(VLOOKUP(Proc[[#This Row],[App]],Table2[],3,0),"open")</f>
        <v>ok</v>
      </c>
      <c r="C1153" s="74" t="s">
        <v>369</v>
      </c>
      <c r="D1153" t="s">
        <v>2828</v>
      </c>
      <c r="E1153" t="s">
        <v>2505</v>
      </c>
      <c r="F1153" s="105" t="s">
        <v>2505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1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2563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515</v>
      </c>
      <c r="S1153" s="71"/>
    </row>
    <row r="1154" spans="1:19" hidden="1">
      <c r="A1154" s="74" t="s">
        <v>2830</v>
      </c>
      <c r="B1154" s="71" t="str">
        <f>IFERROR(VLOOKUP(Proc[[#This Row],[App]],Table2[],3,0),"open")</f>
        <v>ok</v>
      </c>
      <c r="C1154" s="74" t="s">
        <v>369</v>
      </c>
      <c r="D1154" t="s">
        <v>2829</v>
      </c>
      <c r="E1154" t="s">
        <v>2607</v>
      </c>
      <c r="F1154" s="105" t="s">
        <v>2607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1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2563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515</v>
      </c>
      <c r="S1154" s="71"/>
    </row>
    <row r="1155" spans="1:19" hidden="1">
      <c r="A1155" t="s">
        <v>2832</v>
      </c>
      <c r="B1155" s="71" t="str">
        <f>IFERROR(VLOOKUP(Proc[[#This Row],[App]],Table2[],3,0),"open")</f>
        <v>ok</v>
      </c>
      <c r="C1155" s="74" t="s">
        <v>369</v>
      </c>
      <c r="D1155" t="s">
        <v>2833</v>
      </c>
      <c r="E1155" t="s">
        <v>2840</v>
      </c>
      <c r="F1155" s="105" t="s">
        <v>2840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1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2563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489</v>
      </c>
      <c r="S1155" s="71"/>
    </row>
    <row r="1156" spans="1:19" hidden="1">
      <c r="A1156" s="74" t="s">
        <v>2832</v>
      </c>
      <c r="B1156" s="71" t="str">
        <f>IFERROR(VLOOKUP(Proc[[#This Row],[App]],Table2[],3,0),"open")</f>
        <v>ok</v>
      </c>
      <c r="C1156" s="74" t="s">
        <v>369</v>
      </c>
      <c r="D1156" t="s">
        <v>2834</v>
      </c>
      <c r="E1156" t="s">
        <v>2841</v>
      </c>
      <c r="F1156" s="105" t="s">
        <v>2841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1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2563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489</v>
      </c>
      <c r="S1156" s="71"/>
    </row>
    <row r="1157" spans="1:19" hidden="1">
      <c r="A1157" s="74" t="s">
        <v>2832</v>
      </c>
      <c r="B1157" s="71" t="str">
        <f>IFERROR(VLOOKUP(Proc[[#This Row],[App]],Table2[],3,0),"open")</f>
        <v>ok</v>
      </c>
      <c r="C1157" s="74" t="s">
        <v>369</v>
      </c>
      <c r="D1157" t="s">
        <v>2835</v>
      </c>
      <c r="E1157" t="s">
        <v>2842</v>
      </c>
      <c r="F1157" s="105" t="s">
        <v>2842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1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2563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489</v>
      </c>
      <c r="S1157" s="71"/>
    </row>
    <row r="1158" spans="1:19" hidden="1">
      <c r="A1158" s="74" t="s">
        <v>2832</v>
      </c>
      <c r="B1158" s="71" t="str">
        <f>IFERROR(VLOOKUP(Proc[[#This Row],[App]],Table2[],3,0),"open")</f>
        <v>ok</v>
      </c>
      <c r="C1158" s="74" t="s">
        <v>369</v>
      </c>
      <c r="D1158" t="s">
        <v>2836</v>
      </c>
      <c r="E1158" t="s">
        <v>2843</v>
      </c>
      <c r="F1158" s="105" t="s">
        <v>2843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1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2563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489</v>
      </c>
      <c r="S1158" s="71"/>
    </row>
    <row r="1159" spans="1:19" hidden="1">
      <c r="A1159" s="74" t="s">
        <v>2832</v>
      </c>
      <c r="B1159" s="71" t="str">
        <f>IFERROR(VLOOKUP(Proc[[#This Row],[App]],Table2[],3,0),"open")</f>
        <v>ok</v>
      </c>
      <c r="C1159" s="74" t="s">
        <v>369</v>
      </c>
      <c r="D1159" t="s">
        <v>2837</v>
      </c>
      <c r="E1159" t="s">
        <v>2841</v>
      </c>
      <c r="F1159" s="105" t="s">
        <v>2841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1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2563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489</v>
      </c>
      <c r="S1159" s="71"/>
    </row>
    <row r="1160" spans="1:19" hidden="1">
      <c r="A1160" s="74" t="s">
        <v>2832</v>
      </c>
      <c r="B1160" s="71" t="str">
        <f>IFERROR(VLOOKUP(Proc[[#This Row],[App]],Table2[],3,0),"open")</f>
        <v>ok</v>
      </c>
      <c r="C1160" s="74" t="s">
        <v>369</v>
      </c>
      <c r="D1160" t="s">
        <v>2838</v>
      </c>
      <c r="E1160" t="s">
        <v>2842</v>
      </c>
      <c r="F1160" s="105" t="s">
        <v>2842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1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2563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489</v>
      </c>
      <c r="S1160" s="71"/>
    </row>
    <row r="1161" spans="1:19" hidden="1">
      <c r="A1161" s="74" t="s">
        <v>2832</v>
      </c>
      <c r="B1161" s="71" t="str">
        <f>IFERROR(VLOOKUP(Proc[[#This Row],[App]],Table2[],3,0),"open")</f>
        <v>ok</v>
      </c>
      <c r="C1161" s="74" t="s">
        <v>369</v>
      </c>
      <c r="D1161" t="s">
        <v>2839</v>
      </c>
      <c r="E1161" t="s">
        <v>2843</v>
      </c>
      <c r="F1161" s="105" t="s">
        <v>2843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1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2563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489</v>
      </c>
      <c r="S1161" s="71"/>
    </row>
    <row r="1162" spans="1:19" hidden="1">
      <c r="A1162" t="s">
        <v>2844</v>
      </c>
      <c r="B1162" s="71" t="str">
        <f>IFERROR(VLOOKUP(Proc[[#This Row],[App]],Table2[],3,0),"open")</f>
        <v>ok</v>
      </c>
      <c r="C1162" s="74" t="s">
        <v>369</v>
      </c>
      <c r="D1162" t="s">
        <v>2845</v>
      </c>
      <c r="E1162" t="s">
        <v>2846</v>
      </c>
      <c r="F1162" s="105" t="s">
        <v>2846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1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2563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515</v>
      </c>
      <c r="S1162" s="71"/>
    </row>
    <row r="1163" spans="1:19" hidden="1">
      <c r="A1163" t="s">
        <v>2847</v>
      </c>
      <c r="B1163" s="71" t="str">
        <f>IFERROR(VLOOKUP(Proc[[#This Row],[App]],Table2[],3,0),"open")</f>
        <v>ok</v>
      </c>
      <c r="C1163" s="74" t="s">
        <v>369</v>
      </c>
      <c r="D1163" t="s">
        <v>2848</v>
      </c>
      <c r="E1163" t="s">
        <v>2854</v>
      </c>
      <c r="F1163" s="105" t="s">
        <v>2854</v>
      </c>
      <c r="G1163" t="s">
        <v>406</v>
      </c>
      <c r="H1163" s="71" t="str">
        <f>IF(Proc[[#This Row],[type]]="LFF (MDG-F)",MID(Proc[[#This Row],[Obj]],13,10),"")</f>
        <v>CH65R00020</v>
      </c>
      <c r="I1163" t="s">
        <v>2855</v>
      </c>
      <c r="J1163" s="71" t="b">
        <f>Proc[[#This Row],[Requested]]=Proc[[#This Row],[CurrentParent]]</f>
        <v>1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2563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415</v>
      </c>
      <c r="S1163" s="71"/>
    </row>
    <row r="1164" spans="1:19" hidden="1">
      <c r="A1164" s="74" t="s">
        <v>2847</v>
      </c>
      <c r="B1164" s="71" t="str">
        <f>IFERROR(VLOOKUP(Proc[[#This Row],[App]],Table2[],3,0),"open")</f>
        <v>ok</v>
      </c>
      <c r="C1164" s="74" t="s">
        <v>369</v>
      </c>
      <c r="D1164" t="s">
        <v>2849</v>
      </c>
      <c r="E1164" t="s">
        <v>2854</v>
      </c>
      <c r="F1164" s="105" t="s">
        <v>2854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2855</v>
      </c>
      <c r="J1164" s="71" t="b">
        <f>Proc[[#This Row],[Requested]]=Proc[[#This Row],[CurrentParent]]</f>
        <v>1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2563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415</v>
      </c>
      <c r="S1164" s="71"/>
    </row>
    <row r="1165" spans="1:19" hidden="1">
      <c r="A1165" s="74" t="s">
        <v>2847</v>
      </c>
      <c r="B1165" s="71" t="str">
        <f>IFERROR(VLOOKUP(Proc[[#This Row],[App]],Table2[],3,0),"open")</f>
        <v>ok</v>
      </c>
      <c r="C1165" s="74" t="s">
        <v>369</v>
      </c>
      <c r="D1165" t="s">
        <v>2850</v>
      </c>
      <c r="E1165" t="s">
        <v>2854</v>
      </c>
      <c r="F1165" s="105" t="s">
        <v>2854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2855</v>
      </c>
      <c r="J1165" s="71" t="b">
        <f>Proc[[#This Row],[Requested]]=Proc[[#This Row],[CurrentParent]]</f>
        <v>1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2563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415</v>
      </c>
      <c r="S1165" s="71"/>
    </row>
    <row r="1166" spans="1:19" hidden="1">
      <c r="A1166" s="74" t="s">
        <v>2847</v>
      </c>
      <c r="B1166" s="71" t="str">
        <f>IFERROR(VLOOKUP(Proc[[#This Row],[App]],Table2[],3,0),"open")</f>
        <v>ok</v>
      </c>
      <c r="C1166" s="74" t="s">
        <v>369</v>
      </c>
      <c r="D1166" t="s">
        <v>2851</v>
      </c>
      <c r="E1166" t="s">
        <v>2854</v>
      </c>
      <c r="F1166" s="105" t="s">
        <v>2854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2855</v>
      </c>
      <c r="J1166" s="71" t="b">
        <f>Proc[[#This Row],[Requested]]=Proc[[#This Row],[CurrentParent]]</f>
        <v>1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2563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415</v>
      </c>
      <c r="S1166" s="71"/>
    </row>
    <row r="1167" spans="1:19" hidden="1">
      <c r="A1167" t="s">
        <v>2852</v>
      </c>
      <c r="B1167" s="71" t="str">
        <f>IFERROR(VLOOKUP(Proc[[#This Row],[App]],Table2[],3,0),"open")</f>
        <v>ok</v>
      </c>
      <c r="C1167" s="74" t="s">
        <v>369</v>
      </c>
      <c r="D1167" t="s">
        <v>2853</v>
      </c>
      <c r="E1167" t="s">
        <v>473</v>
      </c>
      <c r="F1167" s="105" t="s">
        <v>473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1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2563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515</v>
      </c>
      <c r="S1167" s="71"/>
    </row>
    <row r="1168" spans="1:19" hidden="1">
      <c r="A1168" t="s">
        <v>2856</v>
      </c>
      <c r="B1168" s="71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5" t="s">
        <v>2373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1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2563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489</v>
      </c>
      <c r="S1168" s="71"/>
    </row>
    <row r="1169" spans="1:19" hidden="1">
      <c r="A1169" t="s">
        <v>2858</v>
      </c>
      <c r="B1169" s="71" t="str">
        <f>IFERROR(VLOOKUP(Proc[[#This Row],[App]],Table2[],3,0),"open")</f>
        <v>ok</v>
      </c>
      <c r="C1169" s="74" t="s">
        <v>369</v>
      </c>
      <c r="D1169" t="s">
        <v>2866</v>
      </c>
      <c r="E1169" t="s">
        <v>417</v>
      </c>
      <c r="F1169" s="105" t="s">
        <v>417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1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2563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972</v>
      </c>
      <c r="S1169" s="71"/>
    </row>
    <row r="1170" spans="1:19" hidden="1">
      <c r="A1170" s="74" t="s">
        <v>2858</v>
      </c>
      <c r="B1170" s="71" t="str">
        <f>IFERROR(VLOOKUP(Proc[[#This Row],[App]],Table2[],3,0),"open")</f>
        <v>ok</v>
      </c>
      <c r="C1170" s="74" t="s">
        <v>369</v>
      </c>
      <c r="D1170" t="s">
        <v>2859</v>
      </c>
      <c r="E1170" t="s">
        <v>2863</v>
      </c>
      <c r="F1170" s="105" t="s">
        <v>2863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1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2563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972</v>
      </c>
      <c r="S1170" s="71"/>
    </row>
    <row r="1171" spans="1:19" hidden="1">
      <c r="A1171" s="74" t="s">
        <v>2858</v>
      </c>
      <c r="B1171" s="71" t="str">
        <f>IFERROR(VLOOKUP(Proc[[#This Row],[App]],Table2[],3,0),"open")</f>
        <v>ok</v>
      </c>
      <c r="C1171" s="74" t="s">
        <v>369</v>
      </c>
      <c r="D1171" t="s">
        <v>2860</v>
      </c>
      <c r="E1171" t="s">
        <v>2864</v>
      </c>
      <c r="F1171" s="105" t="s">
        <v>2864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1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2563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972</v>
      </c>
      <c r="S1171" s="71"/>
    </row>
    <row r="1172" spans="1:19" hidden="1">
      <c r="A1172" s="74" t="s">
        <v>2858</v>
      </c>
      <c r="B1172" s="71" t="str">
        <f>IFERROR(VLOOKUP(Proc[[#This Row],[App]],Table2[],3,0),"open")</f>
        <v>ok</v>
      </c>
      <c r="C1172" s="74" t="s">
        <v>369</v>
      </c>
      <c r="D1172" t="s">
        <v>2861</v>
      </c>
      <c r="E1172" t="s">
        <v>2865</v>
      </c>
      <c r="F1172" s="105" t="s">
        <v>2865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1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2563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972</v>
      </c>
      <c r="S1172" s="71"/>
    </row>
    <row r="1173" spans="1:19" hidden="1">
      <c r="A1173" s="74" t="s">
        <v>2858</v>
      </c>
      <c r="B1173" s="71" t="str">
        <f>IFERROR(VLOOKUP(Proc[[#This Row],[App]],Table2[],3,0),"open")</f>
        <v>ok</v>
      </c>
      <c r="C1173" s="74" t="s">
        <v>369</v>
      </c>
      <c r="D1173" t="s">
        <v>2862</v>
      </c>
      <c r="E1173" t="s">
        <v>2865</v>
      </c>
      <c r="F1173" s="105" t="s">
        <v>2865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1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2563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972</v>
      </c>
      <c r="S1173" s="71"/>
    </row>
    <row r="1174" spans="1:19" hidden="1">
      <c r="A1174" t="s">
        <v>2867</v>
      </c>
      <c r="B1174" s="71" t="str">
        <f>IFERROR(VLOOKUP(Proc[[#This Row],[App]],Table2[],3,0),"open")</f>
        <v>ok</v>
      </c>
      <c r="C1174" s="74" t="s">
        <v>369</v>
      </c>
      <c r="D1174" t="s">
        <v>2295</v>
      </c>
      <c r="E1174" t="s">
        <v>2870</v>
      </c>
      <c r="F1174" s="105" t="s">
        <v>2870</v>
      </c>
      <c r="G1174" t="s">
        <v>406</v>
      </c>
      <c r="H1174" s="71" t="str">
        <f>IF(Proc[[#This Row],[type]]="LFF (MDG-F)",MID(Proc[[#This Row],[Obj]],13,10),"")</f>
        <v>DE20675106</v>
      </c>
      <c r="I1174" t="s">
        <v>2871</v>
      </c>
      <c r="J1174" s="71" t="b">
        <f>Proc[[#This Row],[Requested]]=Proc[[#This Row],[CurrentParent]]</f>
        <v>1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2563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549</v>
      </c>
      <c r="S1174" s="71"/>
    </row>
    <row r="1175" spans="1:19" hidden="1">
      <c r="A1175" s="83" t="s">
        <v>2869</v>
      </c>
      <c r="B1175" s="71" t="str">
        <f>IFERROR(VLOOKUP(Proc[[#This Row],[App]],Table2[],3,0),"open")</f>
        <v>ok</v>
      </c>
      <c r="C1175" s="74" t="s">
        <v>369</v>
      </c>
      <c r="D1175" t="s">
        <v>2868</v>
      </c>
      <c r="E1175" t="s">
        <v>2044</v>
      </c>
      <c r="F1175" s="105" t="s">
        <v>2044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1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2563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1076</v>
      </c>
      <c r="S1175" s="71"/>
    </row>
    <row r="1176" spans="1:19" hidden="1">
      <c r="A1176" t="s">
        <v>2872</v>
      </c>
      <c r="B1176" s="71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5" t="s">
        <v>2874</v>
      </c>
      <c r="G1176" t="s">
        <v>406</v>
      </c>
      <c r="H1176" s="71" t="str">
        <f>IF(Proc[[#This Row],[type]]="LFF (MDG-F)",MID(Proc[[#This Row],[Obj]],13,10),"")</f>
        <v>CN50R03152</v>
      </c>
      <c r="I1176" t="s">
        <v>2886</v>
      </c>
      <c r="J1176" s="71" t="b">
        <f>Proc[[#This Row],[Requested]]=Proc[[#This Row],[CurrentParent]]</f>
        <v>1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2563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478</v>
      </c>
      <c r="S1176" s="71"/>
    </row>
    <row r="1177" spans="1:19" hidden="1">
      <c r="A1177" t="s">
        <v>2885</v>
      </c>
      <c r="B1177" s="71" t="str">
        <f>IFERROR(VLOOKUP(Proc[[#This Row],[App]],Table2[],3,0),"open")</f>
        <v>ok</v>
      </c>
      <c r="C1177" s="74" t="s">
        <v>398</v>
      </c>
      <c r="D1177" t="s">
        <v>2875</v>
      </c>
      <c r="E1177" t="s">
        <v>2117</v>
      </c>
      <c r="F1177" s="105" t="s">
        <v>2117</v>
      </c>
      <c r="G1177" t="s">
        <v>400</v>
      </c>
      <c r="H1177" s="71" t="str">
        <f>IF(Proc[[#This Row],[type]]="LFF (MDG-F)",MID(Proc[[#This Row],[Obj]],13,10),"")</f>
        <v/>
      </c>
      <c r="I1177" t="s">
        <v>2887</v>
      </c>
      <c r="J1177" s="71" t="b">
        <f>Proc[[#This Row],[Requested]]=Proc[[#This Row],[CurrentParent]]</f>
        <v>1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2563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478</v>
      </c>
      <c r="S1177" s="71"/>
    </row>
    <row r="1178" spans="1:19" hidden="1">
      <c r="A1178" s="74" t="s">
        <v>2885</v>
      </c>
      <c r="B1178" s="71" t="str">
        <f>IFERROR(VLOOKUP(Proc[[#This Row],[App]],Table2[],3,0),"open")</f>
        <v>ok</v>
      </c>
      <c r="C1178" s="74" t="s">
        <v>398</v>
      </c>
      <c r="D1178" t="s">
        <v>2876</v>
      </c>
      <c r="E1178" t="s">
        <v>2117</v>
      </c>
      <c r="F1178" s="105" t="s">
        <v>2117</v>
      </c>
      <c r="G1178" s="74" t="s">
        <v>400</v>
      </c>
      <c r="H1178" s="71" t="str">
        <f>IF(Proc[[#This Row],[type]]="LFF (MDG-F)",MID(Proc[[#This Row],[Obj]],13,10),"")</f>
        <v/>
      </c>
      <c r="I1178" s="74" t="s">
        <v>2887</v>
      </c>
      <c r="J1178" s="71" t="b">
        <f>Proc[[#This Row],[Requested]]=Proc[[#This Row],[CurrentParent]]</f>
        <v>1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2563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478</v>
      </c>
      <c r="S1178" s="71"/>
    </row>
    <row r="1179" spans="1:19" hidden="1">
      <c r="A1179" s="74" t="s">
        <v>2885</v>
      </c>
      <c r="B1179" s="71" t="str">
        <f>IFERROR(VLOOKUP(Proc[[#This Row],[App]],Table2[],3,0),"open")</f>
        <v>ok</v>
      </c>
      <c r="C1179" s="74" t="s">
        <v>398</v>
      </c>
      <c r="D1179" t="s">
        <v>2877</v>
      </c>
      <c r="E1179" t="s">
        <v>2117</v>
      </c>
      <c r="F1179" s="105" t="s">
        <v>2117</v>
      </c>
      <c r="G1179" s="74" t="s">
        <v>400</v>
      </c>
      <c r="H1179" s="71" t="str">
        <f>IF(Proc[[#This Row],[type]]="LFF (MDG-F)",MID(Proc[[#This Row],[Obj]],13,10),"")</f>
        <v/>
      </c>
      <c r="I1179" s="74" t="s">
        <v>2887</v>
      </c>
      <c r="J1179" s="71" t="b">
        <f>Proc[[#This Row],[Requested]]=Proc[[#This Row],[CurrentParent]]</f>
        <v>1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2563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478</v>
      </c>
      <c r="S1179" s="71"/>
    </row>
    <row r="1180" spans="1:19" hidden="1">
      <c r="A1180" s="74" t="s">
        <v>2885</v>
      </c>
      <c r="B1180" s="71" t="str">
        <f>IFERROR(VLOOKUP(Proc[[#This Row],[App]],Table2[],3,0),"open")</f>
        <v>ok</v>
      </c>
      <c r="C1180" s="74" t="s">
        <v>398</v>
      </c>
      <c r="D1180" t="s">
        <v>2878</v>
      </c>
      <c r="E1180" t="s">
        <v>2117</v>
      </c>
      <c r="F1180" s="105" t="s">
        <v>2117</v>
      </c>
      <c r="G1180" s="74" t="s">
        <v>400</v>
      </c>
      <c r="H1180" s="71" t="str">
        <f>IF(Proc[[#This Row],[type]]="LFF (MDG-F)",MID(Proc[[#This Row],[Obj]],13,10),"")</f>
        <v/>
      </c>
      <c r="I1180" s="74" t="s">
        <v>2887</v>
      </c>
      <c r="J1180" s="71" t="b">
        <f>Proc[[#This Row],[Requested]]=Proc[[#This Row],[CurrentParent]]</f>
        <v>1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2563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478</v>
      </c>
      <c r="S1180" s="71"/>
    </row>
    <row r="1181" spans="1:19" hidden="1">
      <c r="A1181" s="74" t="s">
        <v>2885</v>
      </c>
      <c r="B1181" s="71" t="str">
        <f>IFERROR(VLOOKUP(Proc[[#This Row],[App]],Table2[],3,0),"open")</f>
        <v>ok</v>
      </c>
      <c r="C1181" s="74" t="s">
        <v>398</v>
      </c>
      <c r="D1181" t="s">
        <v>2879</v>
      </c>
      <c r="E1181" t="s">
        <v>2883</v>
      </c>
      <c r="F1181" s="105" t="s">
        <v>2883</v>
      </c>
      <c r="G1181" s="74" t="s">
        <v>400</v>
      </c>
      <c r="H1181" s="71" t="str">
        <f>IF(Proc[[#This Row],[type]]="LFF (MDG-F)",MID(Proc[[#This Row],[Obj]],13,10),"")</f>
        <v/>
      </c>
      <c r="I1181" s="74" t="s">
        <v>2887</v>
      </c>
      <c r="J1181" s="71" t="b">
        <f>Proc[[#This Row],[Requested]]=Proc[[#This Row],[CurrentParent]]</f>
        <v>1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2563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478</v>
      </c>
      <c r="S1181" s="71"/>
    </row>
    <row r="1182" spans="1:19" hidden="1">
      <c r="A1182" s="74" t="s">
        <v>2885</v>
      </c>
      <c r="B1182" s="71" t="str">
        <f>IFERROR(VLOOKUP(Proc[[#This Row],[App]],Table2[],3,0),"open")</f>
        <v>ok</v>
      </c>
      <c r="C1182" s="74" t="s">
        <v>398</v>
      </c>
      <c r="D1182" t="s">
        <v>2880</v>
      </c>
      <c r="E1182" t="s">
        <v>2883</v>
      </c>
      <c r="F1182" s="105" t="s">
        <v>2883</v>
      </c>
      <c r="G1182" s="74" t="s">
        <v>400</v>
      </c>
      <c r="H1182" s="71" t="str">
        <f>IF(Proc[[#This Row],[type]]="LFF (MDG-F)",MID(Proc[[#This Row],[Obj]],13,10),"")</f>
        <v/>
      </c>
      <c r="I1182" s="74" t="s">
        <v>2887</v>
      </c>
      <c r="J1182" s="71" t="b">
        <f>Proc[[#This Row],[Requested]]=Proc[[#This Row],[CurrentParent]]</f>
        <v>1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2563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478</v>
      </c>
      <c r="S1182" s="71"/>
    </row>
    <row r="1183" spans="1:19" hidden="1">
      <c r="A1183" s="74" t="s">
        <v>2885</v>
      </c>
      <c r="B1183" s="71" t="str">
        <f>IFERROR(VLOOKUP(Proc[[#This Row],[App]],Table2[],3,0),"open")</f>
        <v>ok</v>
      </c>
      <c r="C1183" s="74" t="s">
        <v>398</v>
      </c>
      <c r="D1183" t="s">
        <v>2881</v>
      </c>
      <c r="E1183" t="s">
        <v>2884</v>
      </c>
      <c r="F1183" s="105" t="s">
        <v>2884</v>
      </c>
      <c r="G1183" s="74" t="s">
        <v>400</v>
      </c>
      <c r="H1183" s="71" t="str">
        <f>IF(Proc[[#This Row],[type]]="LFF (MDG-F)",MID(Proc[[#This Row],[Obj]],13,10),"")</f>
        <v/>
      </c>
      <c r="I1183" s="74" t="s">
        <v>2887</v>
      </c>
      <c r="J1183" s="71" t="b">
        <f>Proc[[#This Row],[Requested]]=Proc[[#This Row],[CurrentParent]]</f>
        <v>1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2563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478</v>
      </c>
      <c r="S1183" s="71"/>
    </row>
    <row r="1184" spans="1:19" hidden="1">
      <c r="A1184" s="74" t="s">
        <v>2885</v>
      </c>
      <c r="B1184" s="71" t="str">
        <f>IFERROR(VLOOKUP(Proc[[#This Row],[App]],Table2[],3,0),"open")</f>
        <v>ok</v>
      </c>
      <c r="C1184" s="74" t="s">
        <v>398</v>
      </c>
      <c r="D1184" t="s">
        <v>2882</v>
      </c>
      <c r="E1184" t="s">
        <v>2144</v>
      </c>
      <c r="F1184" s="105" t="s">
        <v>2144</v>
      </c>
      <c r="G1184" s="74" t="s">
        <v>400</v>
      </c>
      <c r="H1184" s="71" t="str">
        <f>IF(Proc[[#This Row],[type]]="LFF (MDG-F)",MID(Proc[[#This Row],[Obj]],13,10),"")</f>
        <v/>
      </c>
      <c r="I1184" s="74" t="s">
        <v>2887</v>
      </c>
      <c r="J1184" s="71" t="b">
        <f>Proc[[#This Row],[Requested]]=Proc[[#This Row],[CurrentParent]]</f>
        <v>1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2563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478</v>
      </c>
      <c r="S1184" s="71"/>
    </row>
    <row r="1185" spans="1:19" hidden="1">
      <c r="A1185" t="s">
        <v>2888</v>
      </c>
      <c r="B1185" s="71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5" t="s">
        <v>2890</v>
      </c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1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2563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2891</v>
      </c>
      <c r="S1185" s="71"/>
    </row>
    <row r="1186" spans="1:19" hidden="1">
      <c r="A1186" t="s">
        <v>2896</v>
      </c>
      <c r="B1186" s="71" t="str">
        <f>IFERROR(VLOOKUP(Proc[[#This Row],[App]],Table2[],3,0),"open")</f>
        <v>ok</v>
      </c>
      <c r="C1186" s="74" t="s">
        <v>369</v>
      </c>
      <c r="D1186" t="s">
        <v>2892</v>
      </c>
      <c r="E1186" t="s">
        <v>2616</v>
      </c>
      <c r="F1186" s="105" t="s">
        <v>2616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1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2563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1459</v>
      </c>
      <c r="S1186" s="71"/>
    </row>
    <row r="1187" spans="1:19" hidden="1">
      <c r="A1187" s="74" t="s">
        <v>2896</v>
      </c>
      <c r="B1187" s="71" t="str">
        <f>IFERROR(VLOOKUP(Proc[[#This Row],[App]],Table2[],3,0),"open")</f>
        <v>ok</v>
      </c>
      <c r="C1187" s="74" t="s">
        <v>369</v>
      </c>
      <c r="D1187" t="s">
        <v>2893</v>
      </c>
      <c r="E1187" t="s">
        <v>2616</v>
      </c>
      <c r="F1187" s="105" t="s">
        <v>2616</v>
      </c>
      <c r="G1187" t="s">
        <v>406</v>
      </c>
      <c r="H1187" s="71" t="str">
        <f>IF(Proc[[#This Row],[type]]="LFF (MDG-F)",MID(Proc[[#This Row],[Obj]],13,10),"")</f>
        <v>2123GIT02F</v>
      </c>
      <c r="I1187" t="s">
        <v>3015</v>
      </c>
      <c r="J1187" s="71" t="b">
        <f>Proc[[#This Row],[Requested]]=Proc[[#This Row],[CurrentParent]]</f>
        <v>1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2563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1459</v>
      </c>
      <c r="S1187" s="71"/>
    </row>
    <row r="1188" spans="1:19" hidden="1">
      <c r="A1188" s="74" t="s">
        <v>2896</v>
      </c>
      <c r="B1188" s="71" t="str">
        <f>IFERROR(VLOOKUP(Proc[[#This Row],[App]],Table2[],3,0),"open")</f>
        <v>ok</v>
      </c>
      <c r="C1188" s="74" t="s">
        <v>369</v>
      </c>
      <c r="D1188" t="s">
        <v>2894</v>
      </c>
      <c r="E1188" t="s">
        <v>2616</v>
      </c>
      <c r="F1188" s="105" t="s">
        <v>2616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3015</v>
      </c>
      <c r="J1188" s="71" t="b">
        <f>Proc[[#This Row],[Requested]]=Proc[[#This Row],[CurrentParent]]</f>
        <v>1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2563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1459</v>
      </c>
      <c r="S1188" s="71"/>
    </row>
    <row r="1189" spans="1:19" hidden="1">
      <c r="A1189" s="74" t="s">
        <v>2896</v>
      </c>
      <c r="B1189" s="71" t="str">
        <f>IFERROR(VLOOKUP(Proc[[#This Row],[App]],Table2[],3,0),"open")</f>
        <v>ok</v>
      </c>
      <c r="C1189" s="74" t="s">
        <v>369</v>
      </c>
      <c r="D1189" t="s">
        <v>2895</v>
      </c>
      <c r="E1189" t="s">
        <v>2616</v>
      </c>
      <c r="F1189" s="105" t="s">
        <v>2616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3015</v>
      </c>
      <c r="J1189" s="71" t="b">
        <f>Proc[[#This Row],[Requested]]=Proc[[#This Row],[CurrentParent]]</f>
        <v>1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2563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1459</v>
      </c>
      <c r="S1189" s="71"/>
    </row>
    <row r="1190" spans="1:19" hidden="1">
      <c r="A1190" t="s">
        <v>2897</v>
      </c>
      <c r="B1190" s="71" t="str">
        <f>IFERROR(VLOOKUP(Proc[[#This Row],[App]],Table2[],3,0),"open")</f>
        <v>ok</v>
      </c>
      <c r="C1190" s="74" t="s">
        <v>369</v>
      </c>
      <c r="D1190" t="s">
        <v>1410</v>
      </c>
      <c r="E1190" t="s">
        <v>2898</v>
      </c>
      <c r="F1190" s="105" t="s">
        <v>2898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1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2563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489</v>
      </c>
      <c r="S1190" s="71"/>
    </row>
    <row r="1191" spans="1:19" hidden="1">
      <c r="A1191" t="s">
        <v>2897</v>
      </c>
      <c r="B1191" s="71" t="str">
        <f>IFERROR(VLOOKUP(Proc[[#This Row],[App]],Table2[],3,0),"open")</f>
        <v>ok</v>
      </c>
      <c r="C1191" s="74" t="s">
        <v>369</v>
      </c>
      <c r="D1191" t="s">
        <v>1412</v>
      </c>
      <c r="E1191" t="s">
        <v>2898</v>
      </c>
      <c r="F1191" s="105" t="s">
        <v>2898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1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2563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489</v>
      </c>
      <c r="S1191" s="71"/>
    </row>
    <row r="1192" spans="1:19" hidden="1">
      <c r="A1192" t="s">
        <v>2899</v>
      </c>
      <c r="B1192" s="71" t="str">
        <f>IFERROR(VLOOKUP(Proc[[#This Row],[App]],Table2[],3,0),"open")</f>
        <v>ok</v>
      </c>
      <c r="C1192" s="74" t="s">
        <v>369</v>
      </c>
      <c r="D1192" t="s">
        <v>2833</v>
      </c>
      <c r="E1192" t="s">
        <v>2900</v>
      </c>
      <c r="F1192" s="105" t="s">
        <v>2900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1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2563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489</v>
      </c>
      <c r="S1192" s="71"/>
    </row>
    <row r="1193" spans="1:19" hidden="1">
      <c r="A1193" t="s">
        <v>2901</v>
      </c>
      <c r="B1193" s="71" t="str">
        <f>IFERROR(VLOOKUP(Proc[[#This Row],[App]],Table2[],3,0),"open")</f>
        <v>ok</v>
      </c>
      <c r="C1193" s="74" t="s">
        <v>369</v>
      </c>
      <c r="D1193" t="s">
        <v>2902</v>
      </c>
      <c r="E1193" t="s">
        <v>3003</v>
      </c>
      <c r="F1193" s="105" t="s">
        <v>3003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1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2563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410</v>
      </c>
      <c r="S1193" s="71"/>
    </row>
    <row r="1194" spans="1:19" hidden="1">
      <c r="A1194" s="74" t="s">
        <v>2901</v>
      </c>
      <c r="B1194" s="71" t="str">
        <f>IFERROR(VLOOKUP(Proc[[#This Row],[App]],Table2[],3,0),"open")</f>
        <v>ok</v>
      </c>
      <c r="C1194" s="74" t="s">
        <v>369</v>
      </c>
      <c r="D1194" t="s">
        <v>2903</v>
      </c>
      <c r="E1194" t="s">
        <v>3003</v>
      </c>
      <c r="F1194" s="105" t="s">
        <v>3003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1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2563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410</v>
      </c>
      <c r="S1194" s="71"/>
    </row>
    <row r="1195" spans="1:19" hidden="1">
      <c r="A1195" s="74" t="s">
        <v>2901</v>
      </c>
      <c r="B1195" s="71" t="str">
        <f>IFERROR(VLOOKUP(Proc[[#This Row],[App]],Table2[],3,0),"open")</f>
        <v>ok</v>
      </c>
      <c r="C1195" s="74" t="s">
        <v>369</v>
      </c>
      <c r="D1195" t="s">
        <v>2904</v>
      </c>
      <c r="E1195" t="s">
        <v>3003</v>
      </c>
      <c r="F1195" s="105" t="s">
        <v>3003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1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2563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410</v>
      </c>
      <c r="S1195" s="71"/>
    </row>
    <row r="1196" spans="1:19" hidden="1">
      <c r="A1196" s="74" t="s">
        <v>2901</v>
      </c>
      <c r="B1196" s="71" t="str">
        <f>IFERROR(VLOOKUP(Proc[[#This Row],[App]],Table2[],3,0),"open")</f>
        <v>ok</v>
      </c>
      <c r="C1196" s="74" t="s">
        <v>369</v>
      </c>
      <c r="D1196" t="s">
        <v>2905</v>
      </c>
      <c r="E1196" t="s">
        <v>3003</v>
      </c>
      <c r="F1196" s="105" t="s">
        <v>3003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1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2563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410</v>
      </c>
      <c r="S1196" s="71"/>
    </row>
    <row r="1197" spans="1:19" hidden="1">
      <c r="A1197" s="74" t="s">
        <v>2901</v>
      </c>
      <c r="B1197" s="71" t="str">
        <f>IFERROR(VLOOKUP(Proc[[#This Row],[App]],Table2[],3,0),"open")</f>
        <v>ok</v>
      </c>
      <c r="C1197" s="74" t="s">
        <v>369</v>
      </c>
      <c r="D1197" t="s">
        <v>2906</v>
      </c>
      <c r="E1197" t="s">
        <v>3003</v>
      </c>
      <c r="F1197" s="105" t="s">
        <v>3003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1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2563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410</v>
      </c>
      <c r="S1197" s="71"/>
    </row>
    <row r="1198" spans="1:19" hidden="1">
      <c r="A1198" s="74" t="s">
        <v>2901</v>
      </c>
      <c r="B1198" s="71" t="str">
        <f>IFERROR(VLOOKUP(Proc[[#This Row],[App]],Table2[],3,0),"open")</f>
        <v>ok</v>
      </c>
      <c r="C1198" s="74" t="s">
        <v>369</v>
      </c>
      <c r="D1198" t="s">
        <v>2907</v>
      </c>
      <c r="E1198" t="s">
        <v>3003</v>
      </c>
      <c r="F1198" s="105" t="s">
        <v>3003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1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2563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410</v>
      </c>
      <c r="S1198" s="71"/>
    </row>
    <row r="1199" spans="1:19" hidden="1">
      <c r="A1199" s="74" t="s">
        <v>2901</v>
      </c>
      <c r="B1199" s="71" t="str">
        <f>IFERROR(VLOOKUP(Proc[[#This Row],[App]],Table2[],3,0),"open")</f>
        <v>ok</v>
      </c>
      <c r="C1199" s="74" t="s">
        <v>369</v>
      </c>
      <c r="D1199" t="s">
        <v>2908</v>
      </c>
      <c r="E1199" t="s">
        <v>3003</v>
      </c>
      <c r="F1199" s="105" t="s">
        <v>3003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1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2563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410</v>
      </c>
      <c r="S1199" s="71"/>
    </row>
    <row r="1200" spans="1:19" hidden="1">
      <c r="A1200" s="74" t="s">
        <v>2901</v>
      </c>
      <c r="B1200" s="71" t="str">
        <f>IFERROR(VLOOKUP(Proc[[#This Row],[App]],Table2[],3,0),"open")</f>
        <v>ok</v>
      </c>
      <c r="C1200" s="74" t="s">
        <v>369</v>
      </c>
      <c r="D1200" t="s">
        <v>2909</v>
      </c>
      <c r="E1200" t="s">
        <v>3003</v>
      </c>
      <c r="F1200" s="105" t="s">
        <v>3003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1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2563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410</v>
      </c>
      <c r="S1200" s="71"/>
    </row>
    <row r="1201" spans="1:19" hidden="1">
      <c r="A1201" s="74" t="s">
        <v>2901</v>
      </c>
      <c r="B1201" s="71" t="str">
        <f>IFERROR(VLOOKUP(Proc[[#This Row],[App]],Table2[],3,0),"open")</f>
        <v>ok</v>
      </c>
      <c r="C1201" s="74" t="s">
        <v>369</v>
      </c>
      <c r="D1201" t="s">
        <v>2910</v>
      </c>
      <c r="E1201" t="s">
        <v>3003</v>
      </c>
      <c r="F1201" s="105" t="s">
        <v>3003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1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2563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410</v>
      </c>
      <c r="S1201" s="71"/>
    </row>
    <row r="1202" spans="1:19" hidden="1">
      <c r="A1202" s="74" t="s">
        <v>2901</v>
      </c>
      <c r="B1202" s="71" t="str">
        <f>IFERROR(VLOOKUP(Proc[[#This Row],[App]],Table2[],3,0),"open")</f>
        <v>ok</v>
      </c>
      <c r="C1202" s="74" t="s">
        <v>369</v>
      </c>
      <c r="D1202" t="s">
        <v>2911</v>
      </c>
      <c r="E1202" t="s">
        <v>3004</v>
      </c>
      <c r="F1202" s="105" t="s">
        <v>3004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1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2563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410</v>
      </c>
      <c r="S1202" s="71"/>
    </row>
    <row r="1203" spans="1:19" hidden="1">
      <c r="A1203" s="74" t="s">
        <v>2901</v>
      </c>
      <c r="B1203" s="71" t="str">
        <f>IFERROR(VLOOKUP(Proc[[#This Row],[App]],Table2[],3,0),"open")</f>
        <v>ok</v>
      </c>
      <c r="C1203" s="74" t="s">
        <v>369</v>
      </c>
      <c r="D1203" t="s">
        <v>2912</v>
      </c>
      <c r="E1203" t="s">
        <v>3004</v>
      </c>
      <c r="F1203" s="105" t="s">
        <v>3004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1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2563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410</v>
      </c>
      <c r="S1203" s="71"/>
    </row>
    <row r="1204" spans="1:19" hidden="1">
      <c r="A1204" s="74" t="s">
        <v>2901</v>
      </c>
      <c r="B1204" s="71" t="str">
        <f>IFERROR(VLOOKUP(Proc[[#This Row],[App]],Table2[],3,0),"open")</f>
        <v>ok</v>
      </c>
      <c r="C1204" s="74" t="s">
        <v>369</v>
      </c>
      <c r="D1204" t="s">
        <v>2913</v>
      </c>
      <c r="E1204" t="s">
        <v>3004</v>
      </c>
      <c r="F1204" s="105" t="s">
        <v>3004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1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2563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410</v>
      </c>
      <c r="S1204" s="71"/>
    </row>
    <row r="1205" spans="1:19" hidden="1">
      <c r="A1205" s="74" t="s">
        <v>2901</v>
      </c>
      <c r="B1205" s="71" t="str">
        <f>IFERROR(VLOOKUP(Proc[[#This Row],[App]],Table2[],3,0),"open")</f>
        <v>ok</v>
      </c>
      <c r="C1205" s="74" t="s">
        <v>369</v>
      </c>
      <c r="D1205" t="s">
        <v>2914</v>
      </c>
      <c r="E1205" t="s">
        <v>3004</v>
      </c>
      <c r="F1205" s="105" t="s">
        <v>3004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1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2563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410</v>
      </c>
      <c r="S1205" s="71"/>
    </row>
    <row r="1206" spans="1:19" hidden="1">
      <c r="A1206" s="74" t="s">
        <v>2901</v>
      </c>
      <c r="B1206" s="71" t="str">
        <f>IFERROR(VLOOKUP(Proc[[#This Row],[App]],Table2[],3,0),"open")</f>
        <v>ok</v>
      </c>
      <c r="C1206" s="74" t="s">
        <v>369</v>
      </c>
      <c r="D1206" t="s">
        <v>2915</v>
      </c>
      <c r="E1206" t="s">
        <v>3004</v>
      </c>
      <c r="F1206" s="105" t="s">
        <v>3004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1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2563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410</v>
      </c>
      <c r="S1206" s="71"/>
    </row>
    <row r="1207" spans="1:19" hidden="1">
      <c r="A1207" s="74" t="s">
        <v>2901</v>
      </c>
      <c r="B1207" s="71" t="str">
        <f>IFERROR(VLOOKUP(Proc[[#This Row],[App]],Table2[],3,0),"open")</f>
        <v>ok</v>
      </c>
      <c r="C1207" s="74" t="s">
        <v>369</v>
      </c>
      <c r="D1207" t="s">
        <v>2916</v>
      </c>
      <c r="E1207" t="s">
        <v>3004</v>
      </c>
      <c r="F1207" s="105" t="s">
        <v>3004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1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2563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410</v>
      </c>
      <c r="S1207" s="71"/>
    </row>
    <row r="1208" spans="1:19" hidden="1">
      <c r="A1208" s="74" t="s">
        <v>2901</v>
      </c>
      <c r="B1208" s="71" t="str">
        <f>IFERROR(VLOOKUP(Proc[[#This Row],[App]],Table2[],3,0),"open")</f>
        <v>ok</v>
      </c>
      <c r="C1208" s="74" t="s">
        <v>369</v>
      </c>
      <c r="D1208" t="s">
        <v>2917</v>
      </c>
      <c r="E1208" t="s">
        <v>3004</v>
      </c>
      <c r="F1208" s="105" t="s">
        <v>3004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1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2563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410</v>
      </c>
      <c r="S1208" s="71"/>
    </row>
    <row r="1209" spans="1:19" hidden="1">
      <c r="A1209" s="74" t="s">
        <v>2901</v>
      </c>
      <c r="B1209" s="71" t="str">
        <f>IFERROR(VLOOKUP(Proc[[#This Row],[App]],Table2[],3,0),"open")</f>
        <v>ok</v>
      </c>
      <c r="C1209" s="74" t="s">
        <v>369</v>
      </c>
      <c r="D1209" t="s">
        <v>2918</v>
      </c>
      <c r="E1209" t="s">
        <v>3004</v>
      </c>
      <c r="F1209" s="105" t="s">
        <v>3004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1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2563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410</v>
      </c>
      <c r="S1209" s="71"/>
    </row>
    <row r="1210" spans="1:19" hidden="1">
      <c r="A1210" s="74" t="s">
        <v>2901</v>
      </c>
      <c r="B1210" s="71" t="str">
        <f>IFERROR(VLOOKUP(Proc[[#This Row],[App]],Table2[],3,0),"open")</f>
        <v>ok</v>
      </c>
      <c r="C1210" s="74" t="s">
        <v>369</v>
      </c>
      <c r="D1210" t="s">
        <v>2919</v>
      </c>
      <c r="E1210" t="s">
        <v>3004</v>
      </c>
      <c r="F1210" s="105" t="s">
        <v>3004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1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2563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410</v>
      </c>
      <c r="S1210" s="71"/>
    </row>
    <row r="1211" spans="1:19" hidden="1">
      <c r="A1211" s="74" t="s">
        <v>2901</v>
      </c>
      <c r="B1211" s="71" t="str">
        <f>IFERROR(VLOOKUP(Proc[[#This Row],[App]],Table2[],3,0),"open")</f>
        <v>ok</v>
      </c>
      <c r="C1211" s="74" t="s">
        <v>369</v>
      </c>
      <c r="D1211" t="s">
        <v>2920</v>
      </c>
      <c r="E1211" t="s">
        <v>3004</v>
      </c>
      <c r="F1211" s="105" t="s">
        <v>3004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1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2563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410</v>
      </c>
      <c r="S1211" s="71"/>
    </row>
    <row r="1212" spans="1:19" hidden="1">
      <c r="A1212" s="74" t="s">
        <v>2901</v>
      </c>
      <c r="B1212" s="71" t="str">
        <f>IFERROR(VLOOKUP(Proc[[#This Row],[App]],Table2[],3,0),"open")</f>
        <v>ok</v>
      </c>
      <c r="C1212" s="74" t="s">
        <v>369</v>
      </c>
      <c r="D1212" t="s">
        <v>2921</v>
      </c>
      <c r="E1212" t="s">
        <v>3004</v>
      </c>
      <c r="F1212" s="105" t="s">
        <v>3004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1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2563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410</v>
      </c>
      <c r="S1212" s="71"/>
    </row>
    <row r="1213" spans="1:19" hidden="1">
      <c r="A1213" s="74" t="s">
        <v>2901</v>
      </c>
      <c r="B1213" s="71" t="str">
        <f>IFERROR(VLOOKUP(Proc[[#This Row],[App]],Table2[],3,0),"open")</f>
        <v>ok</v>
      </c>
      <c r="C1213" s="74" t="s">
        <v>369</v>
      </c>
      <c r="D1213" t="s">
        <v>2922</v>
      </c>
      <c r="E1213" t="s">
        <v>3004</v>
      </c>
      <c r="F1213" s="105" t="s">
        <v>3004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1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2563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410</v>
      </c>
      <c r="S1213" s="71"/>
    </row>
    <row r="1214" spans="1:19" hidden="1">
      <c r="A1214" s="74" t="s">
        <v>2901</v>
      </c>
      <c r="B1214" s="71" t="str">
        <f>IFERROR(VLOOKUP(Proc[[#This Row],[App]],Table2[],3,0),"open")</f>
        <v>ok</v>
      </c>
      <c r="C1214" s="74" t="s">
        <v>369</v>
      </c>
      <c r="D1214" t="s">
        <v>2923</v>
      </c>
      <c r="E1214" t="s">
        <v>3004</v>
      </c>
      <c r="F1214" s="105" t="s">
        <v>3004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1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2563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410</v>
      </c>
      <c r="S1214" s="71"/>
    </row>
    <row r="1215" spans="1:19" hidden="1">
      <c r="A1215" s="74" t="s">
        <v>2901</v>
      </c>
      <c r="B1215" s="71" t="str">
        <f>IFERROR(VLOOKUP(Proc[[#This Row],[App]],Table2[],3,0),"open")</f>
        <v>ok</v>
      </c>
      <c r="C1215" s="74" t="s">
        <v>369</v>
      </c>
      <c r="D1215" t="s">
        <v>2924</v>
      </c>
      <c r="E1215" t="s">
        <v>3005</v>
      </c>
      <c r="F1215" s="105" t="s">
        <v>3005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1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2563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410</v>
      </c>
      <c r="S1215" s="71"/>
    </row>
    <row r="1216" spans="1:19" hidden="1">
      <c r="A1216" s="74" t="s">
        <v>2901</v>
      </c>
      <c r="B1216" s="71" t="str">
        <f>IFERROR(VLOOKUP(Proc[[#This Row],[App]],Table2[],3,0),"open")</f>
        <v>ok</v>
      </c>
      <c r="C1216" s="74" t="s">
        <v>369</v>
      </c>
      <c r="D1216" t="s">
        <v>2925</v>
      </c>
      <c r="E1216" t="s">
        <v>3005</v>
      </c>
      <c r="F1216" s="105" t="s">
        <v>3005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1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2563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410</v>
      </c>
      <c r="S1216" s="71"/>
    </row>
    <row r="1217" spans="1:19" hidden="1">
      <c r="A1217" s="74" t="s">
        <v>2901</v>
      </c>
      <c r="B1217" s="71" t="str">
        <f>IFERROR(VLOOKUP(Proc[[#This Row],[App]],Table2[],3,0),"open")</f>
        <v>ok</v>
      </c>
      <c r="C1217" s="74" t="s">
        <v>369</v>
      </c>
      <c r="D1217" t="s">
        <v>2926</v>
      </c>
      <c r="E1217" t="s">
        <v>3005</v>
      </c>
      <c r="F1217" s="105" t="s">
        <v>3005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1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2563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410</v>
      </c>
      <c r="S1217" s="71"/>
    </row>
    <row r="1218" spans="1:19" hidden="1">
      <c r="A1218" s="74" t="s">
        <v>2901</v>
      </c>
      <c r="B1218" s="71" t="str">
        <f>IFERROR(VLOOKUP(Proc[[#This Row],[App]],Table2[],3,0),"open")</f>
        <v>ok</v>
      </c>
      <c r="C1218" s="74" t="s">
        <v>369</v>
      </c>
      <c r="D1218" t="s">
        <v>2927</v>
      </c>
      <c r="E1218" t="s">
        <v>3005</v>
      </c>
      <c r="F1218" s="105" t="s">
        <v>3005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1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2563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410</v>
      </c>
      <c r="S1218" s="71"/>
    </row>
    <row r="1219" spans="1:19" hidden="1">
      <c r="A1219" s="74" t="s">
        <v>2901</v>
      </c>
      <c r="B1219" s="71" t="str">
        <f>IFERROR(VLOOKUP(Proc[[#This Row],[App]],Table2[],3,0),"open")</f>
        <v>ok</v>
      </c>
      <c r="C1219" s="74" t="s">
        <v>369</v>
      </c>
      <c r="D1219" t="s">
        <v>2928</v>
      </c>
      <c r="E1219" t="s">
        <v>3005</v>
      </c>
      <c r="F1219" s="105" t="s">
        <v>3005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1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2563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410</v>
      </c>
      <c r="S1219" s="71"/>
    </row>
    <row r="1220" spans="1:19" hidden="1">
      <c r="A1220" s="74" t="s">
        <v>2901</v>
      </c>
      <c r="B1220" s="71" t="str">
        <f>IFERROR(VLOOKUP(Proc[[#This Row],[App]],Table2[],3,0),"open")</f>
        <v>ok</v>
      </c>
      <c r="C1220" s="74" t="s">
        <v>369</v>
      </c>
      <c r="D1220" t="s">
        <v>2929</v>
      </c>
      <c r="E1220" t="s">
        <v>3006</v>
      </c>
      <c r="F1220" s="105" t="s">
        <v>3006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1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2563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410</v>
      </c>
      <c r="S1220" s="71"/>
    </row>
    <row r="1221" spans="1:19" hidden="1">
      <c r="A1221" s="74" t="s">
        <v>2901</v>
      </c>
      <c r="B1221" s="71" t="str">
        <f>IFERROR(VLOOKUP(Proc[[#This Row],[App]],Table2[],3,0),"open")</f>
        <v>ok</v>
      </c>
      <c r="C1221" s="74" t="s">
        <v>369</v>
      </c>
      <c r="D1221" t="s">
        <v>2930</v>
      </c>
      <c r="E1221" t="s">
        <v>3006</v>
      </c>
      <c r="F1221" s="105" t="s">
        <v>3006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1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2563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410</v>
      </c>
      <c r="S1221" s="71"/>
    </row>
    <row r="1222" spans="1:19" hidden="1">
      <c r="A1222" s="74" t="s">
        <v>2901</v>
      </c>
      <c r="B1222" s="71" t="str">
        <f>IFERROR(VLOOKUP(Proc[[#This Row],[App]],Table2[],3,0),"open")</f>
        <v>ok</v>
      </c>
      <c r="C1222" s="74" t="s">
        <v>369</v>
      </c>
      <c r="D1222" t="s">
        <v>2931</v>
      </c>
      <c r="E1222" t="s">
        <v>3006</v>
      </c>
      <c r="F1222" s="105" t="s">
        <v>3006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1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2563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410</v>
      </c>
      <c r="S1222" s="71"/>
    </row>
    <row r="1223" spans="1:19" hidden="1">
      <c r="A1223" s="74" t="s">
        <v>2901</v>
      </c>
      <c r="B1223" s="71" t="str">
        <f>IFERROR(VLOOKUP(Proc[[#This Row],[App]],Table2[],3,0),"open")</f>
        <v>ok</v>
      </c>
      <c r="C1223" s="74" t="s">
        <v>369</v>
      </c>
      <c r="D1223" t="s">
        <v>2932</v>
      </c>
      <c r="E1223" t="s">
        <v>3006</v>
      </c>
      <c r="F1223" s="105" t="s">
        <v>3006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1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2563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410</v>
      </c>
      <c r="S1223" s="71"/>
    </row>
    <row r="1224" spans="1:19" hidden="1">
      <c r="A1224" s="74" t="s">
        <v>2901</v>
      </c>
      <c r="B1224" s="71" t="str">
        <f>IFERROR(VLOOKUP(Proc[[#This Row],[App]],Table2[],3,0),"open")</f>
        <v>ok</v>
      </c>
      <c r="C1224" s="74" t="s">
        <v>369</v>
      </c>
      <c r="D1224" t="s">
        <v>2933</v>
      </c>
      <c r="E1224" t="s">
        <v>3006</v>
      </c>
      <c r="F1224" s="105" t="s">
        <v>3006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1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2563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410</v>
      </c>
      <c r="S1224" s="71"/>
    </row>
    <row r="1225" spans="1:19" hidden="1">
      <c r="A1225" s="74" t="s">
        <v>2901</v>
      </c>
      <c r="B1225" s="71" t="str">
        <f>IFERROR(VLOOKUP(Proc[[#This Row],[App]],Table2[],3,0),"open")</f>
        <v>ok</v>
      </c>
      <c r="C1225" s="74" t="s">
        <v>369</v>
      </c>
      <c r="D1225" t="s">
        <v>2934</v>
      </c>
      <c r="E1225" t="s">
        <v>3006</v>
      </c>
      <c r="F1225" s="105" t="s">
        <v>3006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1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2563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410</v>
      </c>
      <c r="S1225" s="71"/>
    </row>
    <row r="1226" spans="1:19" hidden="1">
      <c r="A1226" s="74" t="s">
        <v>2901</v>
      </c>
      <c r="B1226" s="71" t="str">
        <f>IFERROR(VLOOKUP(Proc[[#This Row],[App]],Table2[],3,0),"open")</f>
        <v>ok</v>
      </c>
      <c r="C1226" s="74" t="s">
        <v>369</v>
      </c>
      <c r="D1226" t="s">
        <v>2935</v>
      </c>
      <c r="E1226" t="s">
        <v>3006</v>
      </c>
      <c r="F1226" s="105" t="s">
        <v>3006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1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2563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410</v>
      </c>
      <c r="S1226" s="71"/>
    </row>
    <row r="1227" spans="1:19" hidden="1">
      <c r="A1227" s="74" t="s">
        <v>2901</v>
      </c>
      <c r="B1227" s="71" t="str">
        <f>IFERROR(VLOOKUP(Proc[[#This Row],[App]],Table2[],3,0),"open")</f>
        <v>ok</v>
      </c>
      <c r="C1227" s="74" t="s">
        <v>369</v>
      </c>
      <c r="D1227" t="s">
        <v>2936</v>
      </c>
      <c r="E1227" t="s">
        <v>3006</v>
      </c>
      <c r="F1227" s="105" t="s">
        <v>3006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1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2563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410</v>
      </c>
      <c r="S1227" s="71"/>
    </row>
    <row r="1228" spans="1:19" hidden="1">
      <c r="A1228" s="74" t="s">
        <v>2901</v>
      </c>
      <c r="B1228" s="71" t="str">
        <f>IFERROR(VLOOKUP(Proc[[#This Row],[App]],Table2[],3,0),"open")</f>
        <v>ok</v>
      </c>
      <c r="C1228" s="74" t="s">
        <v>369</v>
      </c>
      <c r="D1228" t="s">
        <v>2937</v>
      </c>
      <c r="E1228" t="s">
        <v>3007</v>
      </c>
      <c r="F1228" s="105" t="s">
        <v>3007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1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2563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410</v>
      </c>
      <c r="S1228" s="71"/>
    </row>
    <row r="1229" spans="1:19" hidden="1">
      <c r="A1229" s="74" t="s">
        <v>2901</v>
      </c>
      <c r="B1229" s="71" t="str">
        <f>IFERROR(VLOOKUP(Proc[[#This Row],[App]],Table2[],3,0),"open")</f>
        <v>ok</v>
      </c>
      <c r="C1229" s="74" t="s">
        <v>369</v>
      </c>
      <c r="D1229" t="s">
        <v>2938</v>
      </c>
      <c r="E1229" t="s">
        <v>3007</v>
      </c>
      <c r="F1229" s="105" t="s">
        <v>3007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1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2563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410</v>
      </c>
      <c r="S1229" s="71"/>
    </row>
    <row r="1230" spans="1:19" hidden="1">
      <c r="A1230" s="74" t="s">
        <v>2901</v>
      </c>
      <c r="B1230" s="71" t="str">
        <f>IFERROR(VLOOKUP(Proc[[#This Row],[App]],Table2[],3,0),"open")</f>
        <v>ok</v>
      </c>
      <c r="C1230" s="74" t="s">
        <v>369</v>
      </c>
      <c r="D1230" t="s">
        <v>2939</v>
      </c>
      <c r="E1230" t="s">
        <v>3007</v>
      </c>
      <c r="F1230" s="105" t="s">
        <v>3007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1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2563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410</v>
      </c>
      <c r="S1230" s="71"/>
    </row>
    <row r="1231" spans="1:19" hidden="1">
      <c r="A1231" s="74" t="s">
        <v>2901</v>
      </c>
      <c r="B1231" s="71" t="str">
        <f>IFERROR(VLOOKUP(Proc[[#This Row],[App]],Table2[],3,0),"open")</f>
        <v>ok</v>
      </c>
      <c r="C1231" s="74" t="s">
        <v>369</v>
      </c>
      <c r="D1231" t="s">
        <v>2940</v>
      </c>
      <c r="E1231" t="s">
        <v>3007</v>
      </c>
      <c r="F1231" s="105" t="s">
        <v>3007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1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2563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410</v>
      </c>
      <c r="S1231" s="71"/>
    </row>
    <row r="1232" spans="1:19" hidden="1">
      <c r="A1232" s="74" t="s">
        <v>2901</v>
      </c>
      <c r="B1232" s="71" t="str">
        <f>IFERROR(VLOOKUP(Proc[[#This Row],[App]],Table2[],3,0),"open")</f>
        <v>ok</v>
      </c>
      <c r="C1232" s="74" t="s">
        <v>369</v>
      </c>
      <c r="D1232" t="s">
        <v>2941</v>
      </c>
      <c r="E1232" t="s">
        <v>3007</v>
      </c>
      <c r="F1232" s="105" t="s">
        <v>3007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1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2563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410</v>
      </c>
      <c r="S1232" s="71"/>
    </row>
    <row r="1233" spans="1:19" hidden="1">
      <c r="A1233" s="74" t="s">
        <v>2901</v>
      </c>
      <c r="B1233" s="71" t="str">
        <f>IFERROR(VLOOKUP(Proc[[#This Row],[App]],Table2[],3,0),"open")</f>
        <v>ok</v>
      </c>
      <c r="C1233" s="74" t="s">
        <v>369</v>
      </c>
      <c r="D1233" t="s">
        <v>2942</v>
      </c>
      <c r="E1233" t="s">
        <v>3008</v>
      </c>
      <c r="F1233" s="105" t="s">
        <v>3008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1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2563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410</v>
      </c>
      <c r="S1233" s="71"/>
    </row>
    <row r="1234" spans="1:19" hidden="1">
      <c r="A1234" s="74" t="s">
        <v>2901</v>
      </c>
      <c r="B1234" s="71" t="str">
        <f>IFERROR(VLOOKUP(Proc[[#This Row],[App]],Table2[],3,0),"open")</f>
        <v>ok</v>
      </c>
      <c r="C1234" s="74" t="s">
        <v>369</v>
      </c>
      <c r="D1234" t="s">
        <v>2943</v>
      </c>
      <c r="E1234" t="s">
        <v>3008</v>
      </c>
      <c r="F1234" s="105" t="s">
        <v>3008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1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2563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410</v>
      </c>
      <c r="S1234" s="71"/>
    </row>
    <row r="1235" spans="1:19" hidden="1">
      <c r="A1235" s="74" t="s">
        <v>2901</v>
      </c>
      <c r="B1235" s="71" t="str">
        <f>IFERROR(VLOOKUP(Proc[[#This Row],[App]],Table2[],3,0),"open")</f>
        <v>ok</v>
      </c>
      <c r="C1235" s="74" t="s">
        <v>369</v>
      </c>
      <c r="D1235" t="s">
        <v>2944</v>
      </c>
      <c r="E1235" t="s">
        <v>3009</v>
      </c>
      <c r="F1235" s="105" t="s">
        <v>3009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1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2563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410</v>
      </c>
      <c r="S1235" s="71"/>
    </row>
    <row r="1236" spans="1:19" hidden="1">
      <c r="A1236" s="74" t="s">
        <v>2901</v>
      </c>
      <c r="B1236" s="71" t="str">
        <f>IFERROR(VLOOKUP(Proc[[#This Row],[App]],Table2[],3,0),"open")</f>
        <v>ok</v>
      </c>
      <c r="C1236" s="74" t="s">
        <v>369</v>
      </c>
      <c r="D1236" t="s">
        <v>2945</v>
      </c>
      <c r="E1236" t="s">
        <v>3009</v>
      </c>
      <c r="F1236" s="105" t="s">
        <v>3009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1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2563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410</v>
      </c>
      <c r="S1236" s="71"/>
    </row>
    <row r="1237" spans="1:19" hidden="1">
      <c r="A1237" s="74" t="s">
        <v>2901</v>
      </c>
      <c r="B1237" s="71" t="str">
        <f>IFERROR(VLOOKUP(Proc[[#This Row],[App]],Table2[],3,0),"open")</f>
        <v>ok</v>
      </c>
      <c r="C1237" s="74" t="s">
        <v>369</v>
      </c>
      <c r="D1237" t="s">
        <v>2946</v>
      </c>
      <c r="E1237" t="s">
        <v>3009</v>
      </c>
      <c r="F1237" s="105" t="s">
        <v>3009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1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2563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410</v>
      </c>
      <c r="S1237" s="71"/>
    </row>
    <row r="1238" spans="1:19" hidden="1">
      <c r="A1238" s="74" t="s">
        <v>2901</v>
      </c>
      <c r="B1238" s="71" t="str">
        <f>IFERROR(VLOOKUP(Proc[[#This Row],[App]],Table2[],3,0),"open")</f>
        <v>ok</v>
      </c>
      <c r="C1238" s="74" t="s">
        <v>369</v>
      </c>
      <c r="D1238" t="s">
        <v>2947</v>
      </c>
      <c r="E1238" t="s">
        <v>3009</v>
      </c>
      <c r="F1238" s="105" t="s">
        <v>3009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1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2563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410</v>
      </c>
      <c r="S1238" s="71"/>
    </row>
    <row r="1239" spans="1:19" hidden="1">
      <c r="A1239" s="74" t="s">
        <v>2901</v>
      </c>
      <c r="B1239" s="71" t="str">
        <f>IFERROR(VLOOKUP(Proc[[#This Row],[App]],Table2[],3,0),"open")</f>
        <v>ok</v>
      </c>
      <c r="C1239" s="74" t="s">
        <v>369</v>
      </c>
      <c r="D1239" t="s">
        <v>2948</v>
      </c>
      <c r="E1239" t="s">
        <v>3010</v>
      </c>
      <c r="F1239" s="105" t="s">
        <v>3010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1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2563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410</v>
      </c>
      <c r="S1239" s="71"/>
    </row>
    <row r="1240" spans="1:19" hidden="1">
      <c r="A1240" s="74" t="s">
        <v>2901</v>
      </c>
      <c r="B1240" s="71" t="str">
        <f>IFERROR(VLOOKUP(Proc[[#This Row],[App]],Table2[],3,0),"open")</f>
        <v>ok</v>
      </c>
      <c r="C1240" s="74" t="s">
        <v>369</v>
      </c>
      <c r="D1240" t="s">
        <v>2949</v>
      </c>
      <c r="E1240" t="s">
        <v>3010</v>
      </c>
      <c r="F1240" s="105" t="s">
        <v>3010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1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2563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410</v>
      </c>
      <c r="S1240" s="71"/>
    </row>
    <row r="1241" spans="1:19" hidden="1">
      <c r="A1241" s="74" t="s">
        <v>2901</v>
      </c>
      <c r="B1241" s="71" t="str">
        <f>IFERROR(VLOOKUP(Proc[[#This Row],[App]],Table2[],3,0),"open")</f>
        <v>ok</v>
      </c>
      <c r="C1241" s="74" t="s">
        <v>369</v>
      </c>
      <c r="D1241" t="s">
        <v>2950</v>
      </c>
      <c r="E1241" t="s">
        <v>3010</v>
      </c>
      <c r="F1241" s="105" t="s">
        <v>3010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1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2563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410</v>
      </c>
      <c r="S1241" s="71"/>
    </row>
    <row r="1242" spans="1:19" hidden="1">
      <c r="A1242" s="74" t="s">
        <v>2901</v>
      </c>
      <c r="B1242" s="71" t="str">
        <f>IFERROR(VLOOKUP(Proc[[#This Row],[App]],Table2[],3,0),"open")</f>
        <v>ok</v>
      </c>
      <c r="C1242" s="74" t="s">
        <v>369</v>
      </c>
      <c r="D1242" t="s">
        <v>2951</v>
      </c>
      <c r="E1242" t="s">
        <v>3010</v>
      </c>
      <c r="F1242" s="105" t="s">
        <v>3010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1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2563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410</v>
      </c>
      <c r="S1242" s="71"/>
    </row>
    <row r="1243" spans="1:19" hidden="1">
      <c r="A1243" s="74" t="s">
        <v>2901</v>
      </c>
      <c r="B1243" s="71" t="str">
        <f>IFERROR(VLOOKUP(Proc[[#This Row],[App]],Table2[],3,0),"open")</f>
        <v>ok</v>
      </c>
      <c r="C1243" s="74" t="s">
        <v>369</v>
      </c>
      <c r="D1243" t="s">
        <v>2952</v>
      </c>
      <c r="E1243" t="s">
        <v>3010</v>
      </c>
      <c r="F1243" s="105" t="s">
        <v>3010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1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2563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410</v>
      </c>
      <c r="S1243" s="71"/>
    </row>
    <row r="1244" spans="1:19" hidden="1">
      <c r="A1244" s="74" t="s">
        <v>2901</v>
      </c>
      <c r="B1244" s="71" t="str">
        <f>IFERROR(VLOOKUP(Proc[[#This Row],[App]],Table2[],3,0),"open")</f>
        <v>ok</v>
      </c>
      <c r="C1244" s="74" t="s">
        <v>369</v>
      </c>
      <c r="D1244" t="s">
        <v>2953</v>
      </c>
      <c r="E1244" t="s">
        <v>3010</v>
      </c>
      <c r="F1244" s="105" t="s">
        <v>3010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1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2563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410</v>
      </c>
      <c r="S1244" s="71"/>
    </row>
    <row r="1245" spans="1:19" hidden="1">
      <c r="A1245" s="74" t="s">
        <v>2901</v>
      </c>
      <c r="B1245" s="71" t="str">
        <f>IFERROR(VLOOKUP(Proc[[#This Row],[App]],Table2[],3,0),"open")</f>
        <v>ok</v>
      </c>
      <c r="C1245" s="74" t="s">
        <v>369</v>
      </c>
      <c r="D1245" t="s">
        <v>2954</v>
      </c>
      <c r="E1245" t="s">
        <v>3010</v>
      </c>
      <c r="F1245" s="105" t="s">
        <v>3010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1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2563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410</v>
      </c>
      <c r="S1245" s="71"/>
    </row>
    <row r="1246" spans="1:19" hidden="1">
      <c r="A1246" s="74" t="s">
        <v>2901</v>
      </c>
      <c r="B1246" s="71" t="str">
        <f>IFERROR(VLOOKUP(Proc[[#This Row],[App]],Table2[],3,0),"open")</f>
        <v>ok</v>
      </c>
      <c r="C1246" s="74" t="s">
        <v>369</v>
      </c>
      <c r="D1246" t="s">
        <v>2955</v>
      </c>
      <c r="E1246" t="s">
        <v>3010</v>
      </c>
      <c r="F1246" s="105" t="s">
        <v>3010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1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2563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410</v>
      </c>
      <c r="S1246" s="71"/>
    </row>
    <row r="1247" spans="1:19" hidden="1">
      <c r="A1247" s="74" t="s">
        <v>2901</v>
      </c>
      <c r="B1247" s="71" t="str">
        <f>IFERROR(VLOOKUP(Proc[[#This Row],[App]],Table2[],3,0),"open")</f>
        <v>ok</v>
      </c>
      <c r="C1247" s="74" t="s">
        <v>369</v>
      </c>
      <c r="D1247" t="s">
        <v>2956</v>
      </c>
      <c r="E1247" t="s">
        <v>3010</v>
      </c>
      <c r="F1247" s="105" t="s">
        <v>3010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1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2563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410</v>
      </c>
      <c r="S1247" s="71"/>
    </row>
    <row r="1248" spans="1:19" hidden="1">
      <c r="A1248" s="74" t="s">
        <v>2901</v>
      </c>
      <c r="B1248" s="71" t="str">
        <f>IFERROR(VLOOKUP(Proc[[#This Row],[App]],Table2[],3,0),"open")</f>
        <v>ok</v>
      </c>
      <c r="C1248" s="74" t="s">
        <v>369</v>
      </c>
      <c r="D1248" t="s">
        <v>2957</v>
      </c>
      <c r="E1248" t="s">
        <v>3010</v>
      </c>
      <c r="F1248" s="105" t="s">
        <v>3010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1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2563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410</v>
      </c>
      <c r="S1248" s="71"/>
    </row>
    <row r="1249" spans="1:19" hidden="1">
      <c r="A1249" s="74" t="s">
        <v>2901</v>
      </c>
      <c r="B1249" s="71" t="str">
        <f>IFERROR(VLOOKUP(Proc[[#This Row],[App]],Table2[],3,0),"open")</f>
        <v>ok</v>
      </c>
      <c r="C1249" s="74" t="s">
        <v>369</v>
      </c>
      <c r="D1249" t="s">
        <v>2958</v>
      </c>
      <c r="E1249" t="s">
        <v>3010</v>
      </c>
      <c r="F1249" s="105" t="s">
        <v>3010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1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2563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410</v>
      </c>
      <c r="S1249" s="71"/>
    </row>
    <row r="1250" spans="1:19" hidden="1">
      <c r="A1250" s="74" t="s">
        <v>2901</v>
      </c>
      <c r="B1250" s="71" t="str">
        <f>IFERROR(VLOOKUP(Proc[[#This Row],[App]],Table2[],3,0),"open")</f>
        <v>ok</v>
      </c>
      <c r="C1250" s="74" t="s">
        <v>369</v>
      </c>
      <c r="D1250" t="s">
        <v>2959</v>
      </c>
      <c r="E1250" t="s">
        <v>3010</v>
      </c>
      <c r="F1250" s="105" t="s">
        <v>3010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1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2563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410</v>
      </c>
      <c r="S1250" s="71"/>
    </row>
    <row r="1251" spans="1:19" hidden="1">
      <c r="A1251" s="74" t="s">
        <v>2901</v>
      </c>
      <c r="B1251" s="71" t="str">
        <f>IFERROR(VLOOKUP(Proc[[#This Row],[App]],Table2[],3,0),"open")</f>
        <v>ok</v>
      </c>
      <c r="C1251" s="74" t="s">
        <v>369</v>
      </c>
      <c r="D1251" t="s">
        <v>2960</v>
      </c>
      <c r="E1251" t="s">
        <v>3010</v>
      </c>
      <c r="F1251" s="105" t="s">
        <v>3010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1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2563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410</v>
      </c>
      <c r="S1251" s="71"/>
    </row>
    <row r="1252" spans="1:19" hidden="1">
      <c r="A1252" s="74" t="s">
        <v>2901</v>
      </c>
      <c r="B1252" s="71" t="str">
        <f>IFERROR(VLOOKUP(Proc[[#This Row],[App]],Table2[],3,0),"open")</f>
        <v>ok</v>
      </c>
      <c r="C1252" s="74" t="s">
        <v>369</v>
      </c>
      <c r="D1252" t="s">
        <v>2961</v>
      </c>
      <c r="E1252" t="s">
        <v>3010</v>
      </c>
      <c r="F1252" s="105" t="s">
        <v>3010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1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2563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410</v>
      </c>
      <c r="S1252" s="71"/>
    </row>
    <row r="1253" spans="1:19" hidden="1">
      <c r="A1253" s="74" t="s">
        <v>2901</v>
      </c>
      <c r="B1253" s="71" t="str">
        <f>IFERROR(VLOOKUP(Proc[[#This Row],[App]],Table2[],3,0),"open")</f>
        <v>ok</v>
      </c>
      <c r="C1253" s="74" t="s">
        <v>369</v>
      </c>
      <c r="D1253" t="s">
        <v>2962</v>
      </c>
      <c r="E1253" t="s">
        <v>3010</v>
      </c>
      <c r="F1253" s="105" t="s">
        <v>3010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1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2563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410</v>
      </c>
      <c r="S1253" s="71"/>
    </row>
    <row r="1254" spans="1:19" hidden="1">
      <c r="A1254" s="74" t="s">
        <v>2901</v>
      </c>
      <c r="B1254" s="71" t="str">
        <f>IFERROR(VLOOKUP(Proc[[#This Row],[App]],Table2[],3,0),"open")</f>
        <v>ok</v>
      </c>
      <c r="C1254" s="74" t="s">
        <v>369</v>
      </c>
      <c r="D1254" t="s">
        <v>2963</v>
      </c>
      <c r="E1254" t="s">
        <v>3010</v>
      </c>
      <c r="F1254" s="105" t="s">
        <v>3010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1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2563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410</v>
      </c>
      <c r="S1254" s="71"/>
    </row>
    <row r="1255" spans="1:19" hidden="1">
      <c r="A1255" s="74" t="s">
        <v>2901</v>
      </c>
      <c r="B1255" s="71" t="str">
        <f>IFERROR(VLOOKUP(Proc[[#This Row],[App]],Table2[],3,0),"open")</f>
        <v>ok</v>
      </c>
      <c r="C1255" s="74" t="s">
        <v>369</v>
      </c>
      <c r="D1255" t="s">
        <v>2964</v>
      </c>
      <c r="E1255" t="s">
        <v>3010</v>
      </c>
      <c r="F1255" s="105" t="s">
        <v>3010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1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2563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410</v>
      </c>
      <c r="S1255" s="71"/>
    </row>
    <row r="1256" spans="1:19" hidden="1">
      <c r="A1256" s="74" t="s">
        <v>2901</v>
      </c>
      <c r="B1256" s="71" t="str">
        <f>IFERROR(VLOOKUP(Proc[[#This Row],[App]],Table2[],3,0),"open")</f>
        <v>ok</v>
      </c>
      <c r="C1256" s="74" t="s">
        <v>369</v>
      </c>
      <c r="D1256" t="s">
        <v>2965</v>
      </c>
      <c r="E1256" t="s">
        <v>3010</v>
      </c>
      <c r="F1256" s="105" t="s">
        <v>3010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1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2563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410</v>
      </c>
      <c r="S1256" s="71"/>
    </row>
    <row r="1257" spans="1:19" hidden="1">
      <c r="A1257" s="74" t="s">
        <v>2901</v>
      </c>
      <c r="B1257" s="71" t="str">
        <f>IFERROR(VLOOKUP(Proc[[#This Row],[App]],Table2[],3,0),"open")</f>
        <v>ok</v>
      </c>
      <c r="C1257" s="74" t="s">
        <v>369</v>
      </c>
      <c r="D1257" t="s">
        <v>2966</v>
      </c>
      <c r="E1257" t="s">
        <v>3010</v>
      </c>
      <c r="F1257" s="105" t="s">
        <v>3010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1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2563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410</v>
      </c>
      <c r="S1257" s="71"/>
    </row>
    <row r="1258" spans="1:19" hidden="1">
      <c r="A1258" s="74" t="s">
        <v>2901</v>
      </c>
      <c r="B1258" s="71" t="str">
        <f>IFERROR(VLOOKUP(Proc[[#This Row],[App]],Table2[],3,0),"open")</f>
        <v>ok</v>
      </c>
      <c r="C1258" s="74" t="s">
        <v>369</v>
      </c>
      <c r="D1258" t="s">
        <v>2967</v>
      </c>
      <c r="E1258" t="s">
        <v>3011</v>
      </c>
      <c r="F1258" s="105" t="s">
        <v>3011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1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2563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410</v>
      </c>
      <c r="S1258" s="71"/>
    </row>
    <row r="1259" spans="1:19" hidden="1">
      <c r="A1259" s="74" t="s">
        <v>2901</v>
      </c>
      <c r="B1259" s="71" t="str">
        <f>IFERROR(VLOOKUP(Proc[[#This Row],[App]],Table2[],3,0),"open")</f>
        <v>ok</v>
      </c>
      <c r="C1259" s="74" t="s">
        <v>369</v>
      </c>
      <c r="D1259" t="s">
        <v>2968</v>
      </c>
      <c r="E1259" t="s">
        <v>3011</v>
      </c>
      <c r="F1259" s="105" t="s">
        <v>3011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1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2563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410</v>
      </c>
      <c r="S1259" s="71"/>
    </row>
    <row r="1260" spans="1:19" hidden="1">
      <c r="A1260" s="74" t="s">
        <v>2901</v>
      </c>
      <c r="B1260" s="71" t="str">
        <f>IFERROR(VLOOKUP(Proc[[#This Row],[App]],Table2[],3,0),"open")</f>
        <v>ok</v>
      </c>
      <c r="C1260" s="74" t="s">
        <v>369</v>
      </c>
      <c r="D1260" t="s">
        <v>2969</v>
      </c>
      <c r="E1260" t="s">
        <v>3011</v>
      </c>
      <c r="F1260" s="105" t="s">
        <v>3011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1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2563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410</v>
      </c>
      <c r="S1260" s="71"/>
    </row>
    <row r="1261" spans="1:19" hidden="1">
      <c r="A1261" s="74" t="s">
        <v>2901</v>
      </c>
      <c r="B1261" s="71" t="str">
        <f>IFERROR(VLOOKUP(Proc[[#This Row],[App]],Table2[],3,0),"open")</f>
        <v>ok</v>
      </c>
      <c r="C1261" s="74" t="s">
        <v>369</v>
      </c>
      <c r="D1261" t="s">
        <v>2970</v>
      </c>
      <c r="E1261" t="s">
        <v>3011</v>
      </c>
      <c r="F1261" s="105" t="s">
        <v>3011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1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2563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410</v>
      </c>
      <c r="S1261" s="71"/>
    </row>
    <row r="1262" spans="1:19" hidden="1">
      <c r="A1262" s="74" t="s">
        <v>2901</v>
      </c>
      <c r="B1262" s="71" t="str">
        <f>IFERROR(VLOOKUP(Proc[[#This Row],[App]],Table2[],3,0),"open")</f>
        <v>ok</v>
      </c>
      <c r="C1262" s="74" t="s">
        <v>369</v>
      </c>
      <c r="D1262" t="s">
        <v>2971</v>
      </c>
      <c r="E1262" t="s">
        <v>3011</v>
      </c>
      <c r="F1262" s="105" t="s">
        <v>3011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1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2563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410</v>
      </c>
      <c r="S1262" s="71"/>
    </row>
    <row r="1263" spans="1:19" hidden="1">
      <c r="A1263" s="74" t="s">
        <v>2901</v>
      </c>
      <c r="B1263" s="71" t="str">
        <f>IFERROR(VLOOKUP(Proc[[#This Row],[App]],Table2[],3,0),"open")</f>
        <v>ok</v>
      </c>
      <c r="C1263" s="74" t="s">
        <v>369</v>
      </c>
      <c r="D1263" t="s">
        <v>2972</v>
      </c>
      <c r="E1263" t="s">
        <v>3011</v>
      </c>
      <c r="F1263" s="105" t="s">
        <v>3011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1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2563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410</v>
      </c>
      <c r="S1263" s="71"/>
    </row>
    <row r="1264" spans="1:19" hidden="1">
      <c r="A1264" s="74" t="s">
        <v>2901</v>
      </c>
      <c r="B1264" s="71" t="str">
        <f>IFERROR(VLOOKUP(Proc[[#This Row],[App]],Table2[],3,0),"open")</f>
        <v>ok</v>
      </c>
      <c r="C1264" s="74" t="s">
        <v>369</v>
      </c>
      <c r="D1264" t="s">
        <v>2973</v>
      </c>
      <c r="E1264" t="s">
        <v>3011</v>
      </c>
      <c r="F1264" s="105" t="s">
        <v>3011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1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2563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410</v>
      </c>
      <c r="S1264" s="71"/>
    </row>
    <row r="1265" spans="1:19" hidden="1">
      <c r="A1265" s="74" t="s">
        <v>2901</v>
      </c>
      <c r="B1265" s="71" t="str">
        <f>IFERROR(VLOOKUP(Proc[[#This Row],[App]],Table2[],3,0),"open")</f>
        <v>ok</v>
      </c>
      <c r="C1265" s="74" t="s">
        <v>369</v>
      </c>
      <c r="D1265" t="s">
        <v>2974</v>
      </c>
      <c r="E1265" t="s">
        <v>3011</v>
      </c>
      <c r="F1265" s="105" t="s">
        <v>3011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1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2563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410</v>
      </c>
      <c r="S1265" s="71"/>
    </row>
    <row r="1266" spans="1:19" hidden="1">
      <c r="A1266" s="74" t="s">
        <v>2901</v>
      </c>
      <c r="B1266" s="71" t="str">
        <f>IFERROR(VLOOKUP(Proc[[#This Row],[App]],Table2[],3,0),"open")</f>
        <v>ok</v>
      </c>
      <c r="C1266" s="74" t="s">
        <v>369</v>
      </c>
      <c r="D1266" t="s">
        <v>2975</v>
      </c>
      <c r="E1266" t="s">
        <v>3011</v>
      </c>
      <c r="F1266" s="105" t="s">
        <v>3011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1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2563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410</v>
      </c>
      <c r="S1266" s="71"/>
    </row>
    <row r="1267" spans="1:19" hidden="1">
      <c r="A1267" s="74" t="s">
        <v>2901</v>
      </c>
      <c r="B1267" s="71" t="str">
        <f>IFERROR(VLOOKUP(Proc[[#This Row],[App]],Table2[],3,0),"open")</f>
        <v>ok</v>
      </c>
      <c r="C1267" s="74" t="s">
        <v>369</v>
      </c>
      <c r="D1267" t="s">
        <v>2976</v>
      </c>
      <c r="E1267" t="s">
        <v>3011</v>
      </c>
      <c r="F1267" s="105" t="s">
        <v>3011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1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2563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410</v>
      </c>
      <c r="S1267" s="71"/>
    </row>
    <row r="1268" spans="1:19" hidden="1">
      <c r="A1268" s="74" t="s">
        <v>2901</v>
      </c>
      <c r="B1268" s="71" t="str">
        <f>IFERROR(VLOOKUP(Proc[[#This Row],[App]],Table2[],3,0),"open")</f>
        <v>ok</v>
      </c>
      <c r="C1268" s="74" t="s">
        <v>369</v>
      </c>
      <c r="D1268" t="s">
        <v>2977</v>
      </c>
      <c r="E1268" t="s">
        <v>3011</v>
      </c>
      <c r="F1268" s="105" t="s">
        <v>3011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1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2563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410</v>
      </c>
      <c r="S1268" s="71"/>
    </row>
    <row r="1269" spans="1:19" hidden="1">
      <c r="A1269" s="74" t="s">
        <v>2901</v>
      </c>
      <c r="B1269" s="71" t="str">
        <f>IFERROR(VLOOKUP(Proc[[#This Row],[App]],Table2[],3,0),"open")</f>
        <v>ok</v>
      </c>
      <c r="C1269" s="74" t="s">
        <v>369</v>
      </c>
      <c r="D1269" t="s">
        <v>2978</v>
      </c>
      <c r="E1269" t="s">
        <v>3011</v>
      </c>
      <c r="F1269" s="105" t="s">
        <v>3011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1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2563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410</v>
      </c>
      <c r="S1269" s="71"/>
    </row>
    <row r="1270" spans="1:19" hidden="1">
      <c r="A1270" s="74" t="s">
        <v>2901</v>
      </c>
      <c r="B1270" s="71" t="str">
        <f>IFERROR(VLOOKUP(Proc[[#This Row],[App]],Table2[],3,0),"open")</f>
        <v>ok</v>
      </c>
      <c r="C1270" s="74" t="s">
        <v>369</v>
      </c>
      <c r="D1270" t="s">
        <v>2979</v>
      </c>
      <c r="E1270" t="s">
        <v>3011</v>
      </c>
      <c r="F1270" s="105" t="s">
        <v>3011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1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2563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410</v>
      </c>
      <c r="S1270" s="71"/>
    </row>
    <row r="1271" spans="1:19" hidden="1">
      <c r="A1271" s="74" t="s">
        <v>2901</v>
      </c>
      <c r="B1271" s="71" t="str">
        <f>IFERROR(VLOOKUP(Proc[[#This Row],[App]],Table2[],3,0),"open")</f>
        <v>ok</v>
      </c>
      <c r="C1271" s="74" t="s">
        <v>369</v>
      </c>
      <c r="D1271" t="s">
        <v>2980</v>
      </c>
      <c r="E1271" t="s">
        <v>3011</v>
      </c>
      <c r="F1271" s="105" t="s">
        <v>3011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1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2563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410</v>
      </c>
      <c r="S1271" s="71"/>
    </row>
    <row r="1272" spans="1:19" hidden="1">
      <c r="A1272" s="74" t="s">
        <v>2901</v>
      </c>
      <c r="B1272" s="71" t="str">
        <f>IFERROR(VLOOKUP(Proc[[#This Row],[App]],Table2[],3,0),"open")</f>
        <v>ok</v>
      </c>
      <c r="C1272" s="74" t="s">
        <v>369</v>
      </c>
      <c r="D1272" t="s">
        <v>2981</v>
      </c>
      <c r="E1272" t="s">
        <v>3011</v>
      </c>
      <c r="F1272" s="105" t="s">
        <v>3011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1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2563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410</v>
      </c>
      <c r="S1272" s="71"/>
    </row>
    <row r="1273" spans="1:19" hidden="1">
      <c r="A1273" s="74" t="s">
        <v>2901</v>
      </c>
      <c r="B1273" s="71" t="str">
        <f>IFERROR(VLOOKUP(Proc[[#This Row],[App]],Table2[],3,0),"open")</f>
        <v>ok</v>
      </c>
      <c r="C1273" s="74" t="s">
        <v>369</v>
      </c>
      <c r="D1273" t="s">
        <v>2982</v>
      </c>
      <c r="E1273" t="s">
        <v>3011</v>
      </c>
      <c r="F1273" s="105" t="s">
        <v>3011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1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2563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410</v>
      </c>
      <c r="S1273" s="71"/>
    </row>
    <row r="1274" spans="1:19" hidden="1">
      <c r="A1274" s="74" t="s">
        <v>2901</v>
      </c>
      <c r="B1274" s="71" t="str">
        <f>IFERROR(VLOOKUP(Proc[[#This Row],[App]],Table2[],3,0),"open")</f>
        <v>ok</v>
      </c>
      <c r="C1274" s="74" t="s">
        <v>369</v>
      </c>
      <c r="D1274" t="s">
        <v>2983</v>
      </c>
      <c r="E1274" t="s">
        <v>3011</v>
      </c>
      <c r="F1274" s="105" t="s">
        <v>3011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1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2563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410</v>
      </c>
      <c r="S1274" s="71"/>
    </row>
    <row r="1275" spans="1:19" hidden="1">
      <c r="A1275" s="74" t="s">
        <v>2901</v>
      </c>
      <c r="B1275" s="71" t="str">
        <f>IFERROR(VLOOKUP(Proc[[#This Row],[App]],Table2[],3,0),"open")</f>
        <v>ok</v>
      </c>
      <c r="C1275" s="74" t="s">
        <v>369</v>
      </c>
      <c r="D1275" t="s">
        <v>2984</v>
      </c>
      <c r="E1275" t="s">
        <v>3011</v>
      </c>
      <c r="F1275" s="105" t="s">
        <v>3011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1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2563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410</v>
      </c>
      <c r="S1275" s="71"/>
    </row>
    <row r="1276" spans="1:19" hidden="1">
      <c r="A1276" s="74" t="s">
        <v>2901</v>
      </c>
      <c r="B1276" s="71" t="str">
        <f>IFERROR(VLOOKUP(Proc[[#This Row],[App]],Table2[],3,0),"open")</f>
        <v>ok</v>
      </c>
      <c r="C1276" s="74" t="s">
        <v>369</v>
      </c>
      <c r="D1276" t="s">
        <v>2985</v>
      </c>
      <c r="E1276" t="s">
        <v>3011</v>
      </c>
      <c r="F1276" s="105" t="s">
        <v>3011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1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2563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410</v>
      </c>
      <c r="S1276" s="71"/>
    </row>
    <row r="1277" spans="1:19" hidden="1">
      <c r="A1277" s="74" t="s">
        <v>2901</v>
      </c>
      <c r="B1277" s="71" t="str">
        <f>IFERROR(VLOOKUP(Proc[[#This Row],[App]],Table2[],3,0),"open")</f>
        <v>ok</v>
      </c>
      <c r="C1277" s="74" t="s">
        <v>369</v>
      </c>
      <c r="D1277" t="s">
        <v>2986</v>
      </c>
      <c r="E1277" t="s">
        <v>3011</v>
      </c>
      <c r="F1277" s="105" t="s">
        <v>3011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1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2563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410</v>
      </c>
      <c r="S1277" s="71"/>
    </row>
    <row r="1278" spans="1:19" hidden="1">
      <c r="A1278" s="74" t="s">
        <v>2901</v>
      </c>
      <c r="B1278" s="71" t="str">
        <f>IFERROR(VLOOKUP(Proc[[#This Row],[App]],Table2[],3,0),"open")</f>
        <v>ok</v>
      </c>
      <c r="C1278" s="74" t="s">
        <v>369</v>
      </c>
      <c r="D1278" t="s">
        <v>2987</v>
      </c>
      <c r="E1278" t="s">
        <v>3011</v>
      </c>
      <c r="F1278" s="105" t="s">
        <v>3011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1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2563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410</v>
      </c>
      <c r="S1278" s="71"/>
    </row>
    <row r="1279" spans="1:19" hidden="1">
      <c r="A1279" s="74" t="s">
        <v>2901</v>
      </c>
      <c r="B1279" s="71" t="str">
        <f>IFERROR(VLOOKUP(Proc[[#This Row],[App]],Table2[],3,0),"open")</f>
        <v>ok</v>
      </c>
      <c r="C1279" s="74" t="s">
        <v>369</v>
      </c>
      <c r="D1279" t="s">
        <v>2988</v>
      </c>
      <c r="E1279" t="s">
        <v>3011</v>
      </c>
      <c r="F1279" s="105" t="s">
        <v>3011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1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2563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410</v>
      </c>
      <c r="S1279" s="71"/>
    </row>
    <row r="1280" spans="1:19" hidden="1">
      <c r="A1280" s="74" t="s">
        <v>2901</v>
      </c>
      <c r="B1280" s="71" t="str">
        <f>IFERROR(VLOOKUP(Proc[[#This Row],[App]],Table2[],3,0),"open")</f>
        <v>ok</v>
      </c>
      <c r="C1280" s="74" t="s">
        <v>369</v>
      </c>
      <c r="D1280" t="s">
        <v>2989</v>
      </c>
      <c r="E1280" t="s">
        <v>3011</v>
      </c>
      <c r="F1280" s="105" t="s">
        <v>3011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1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2563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410</v>
      </c>
      <c r="S1280" s="71"/>
    </row>
    <row r="1281" spans="1:19" hidden="1">
      <c r="A1281" s="74" t="s">
        <v>2901</v>
      </c>
      <c r="B1281" s="71" t="str">
        <f>IFERROR(VLOOKUP(Proc[[#This Row],[App]],Table2[],3,0),"open")</f>
        <v>ok</v>
      </c>
      <c r="C1281" s="74" t="s">
        <v>369</v>
      </c>
      <c r="D1281" t="s">
        <v>2990</v>
      </c>
      <c r="E1281" t="s">
        <v>3011</v>
      </c>
      <c r="F1281" s="105" t="s">
        <v>3011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1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2563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410</v>
      </c>
      <c r="S1281" s="71"/>
    </row>
    <row r="1282" spans="1:19" hidden="1">
      <c r="A1282" s="74" t="s">
        <v>2901</v>
      </c>
      <c r="B1282" s="71" t="str">
        <f>IFERROR(VLOOKUP(Proc[[#This Row],[App]],Table2[],3,0),"open")</f>
        <v>ok</v>
      </c>
      <c r="C1282" s="74" t="s">
        <v>369</v>
      </c>
      <c r="D1282" t="s">
        <v>2991</v>
      </c>
      <c r="E1282" t="s">
        <v>3011</v>
      </c>
      <c r="F1282" s="105" t="s">
        <v>3011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1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2563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410</v>
      </c>
      <c r="S1282" s="71"/>
    </row>
    <row r="1283" spans="1:19" hidden="1">
      <c r="A1283" s="74" t="s">
        <v>2901</v>
      </c>
      <c r="B1283" s="71" t="str">
        <f>IFERROR(VLOOKUP(Proc[[#This Row],[App]],Table2[],3,0),"open")</f>
        <v>ok</v>
      </c>
      <c r="C1283" s="74" t="s">
        <v>369</v>
      </c>
      <c r="D1283" t="s">
        <v>2992</v>
      </c>
      <c r="E1283" t="s">
        <v>3011</v>
      </c>
      <c r="F1283" s="105" t="s">
        <v>3011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1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2563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410</v>
      </c>
      <c r="S1283" s="71"/>
    </row>
    <row r="1284" spans="1:19" hidden="1">
      <c r="A1284" s="74" t="s">
        <v>2901</v>
      </c>
      <c r="B1284" s="71" t="str">
        <f>IFERROR(VLOOKUP(Proc[[#This Row],[App]],Table2[],3,0),"open")</f>
        <v>ok</v>
      </c>
      <c r="C1284" s="74" t="s">
        <v>369</v>
      </c>
      <c r="D1284" t="s">
        <v>2993</v>
      </c>
      <c r="E1284" t="s">
        <v>3011</v>
      </c>
      <c r="F1284" s="105" t="s">
        <v>3011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1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2563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410</v>
      </c>
      <c r="S1284" s="71"/>
    </row>
    <row r="1285" spans="1:19" hidden="1">
      <c r="A1285" s="74" t="s">
        <v>2901</v>
      </c>
      <c r="B1285" s="71" t="str">
        <f>IFERROR(VLOOKUP(Proc[[#This Row],[App]],Table2[],3,0),"open")</f>
        <v>ok</v>
      </c>
      <c r="C1285" s="74" t="s">
        <v>369</v>
      </c>
      <c r="D1285" t="s">
        <v>2994</v>
      </c>
      <c r="E1285" t="s">
        <v>3011</v>
      </c>
      <c r="F1285" s="105" t="s">
        <v>3011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1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2563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410</v>
      </c>
      <c r="S1285" s="71"/>
    </row>
    <row r="1286" spans="1:19" hidden="1">
      <c r="A1286" s="74" t="s">
        <v>2901</v>
      </c>
      <c r="B1286" s="71" t="str">
        <f>IFERROR(VLOOKUP(Proc[[#This Row],[App]],Table2[],3,0),"open")</f>
        <v>ok</v>
      </c>
      <c r="C1286" s="74" t="s">
        <v>369</v>
      </c>
      <c r="D1286" t="s">
        <v>2995</v>
      </c>
      <c r="E1286" t="s">
        <v>3011</v>
      </c>
      <c r="F1286" s="105" t="s">
        <v>3011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1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2563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410</v>
      </c>
      <c r="S1286" s="71"/>
    </row>
    <row r="1287" spans="1:19" hidden="1">
      <c r="A1287" s="74" t="s">
        <v>2901</v>
      </c>
      <c r="B1287" s="71" t="str">
        <f>IFERROR(VLOOKUP(Proc[[#This Row],[App]],Table2[],3,0),"open")</f>
        <v>ok</v>
      </c>
      <c r="C1287" s="74" t="s">
        <v>369</v>
      </c>
      <c r="D1287" t="s">
        <v>2996</v>
      </c>
      <c r="E1287" t="s">
        <v>3011</v>
      </c>
      <c r="F1287" s="105" t="s">
        <v>3011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1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2563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410</v>
      </c>
      <c r="S1287" s="71"/>
    </row>
    <row r="1288" spans="1:19" hidden="1">
      <c r="A1288" s="74" t="s">
        <v>2901</v>
      </c>
      <c r="B1288" s="71" t="str">
        <f>IFERROR(VLOOKUP(Proc[[#This Row],[App]],Table2[],3,0),"open")</f>
        <v>ok</v>
      </c>
      <c r="C1288" s="74" t="s">
        <v>369</v>
      </c>
      <c r="D1288" t="s">
        <v>2997</v>
      </c>
      <c r="E1288" t="s">
        <v>3011</v>
      </c>
      <c r="F1288" s="105" t="s">
        <v>3011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1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2563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410</v>
      </c>
      <c r="S1288" s="71"/>
    </row>
    <row r="1289" spans="1:19" hidden="1">
      <c r="A1289" s="74" t="s">
        <v>2901</v>
      </c>
      <c r="B1289" s="71" t="str">
        <f>IFERROR(VLOOKUP(Proc[[#This Row],[App]],Table2[],3,0),"open")</f>
        <v>ok</v>
      </c>
      <c r="C1289" s="74" t="s">
        <v>369</v>
      </c>
      <c r="D1289" t="s">
        <v>2998</v>
      </c>
      <c r="E1289" t="s">
        <v>3011</v>
      </c>
      <c r="F1289" s="105" t="s">
        <v>3011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1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2563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410</v>
      </c>
      <c r="S1289" s="71"/>
    </row>
    <row r="1290" spans="1:19" hidden="1">
      <c r="A1290" s="74" t="s">
        <v>2901</v>
      </c>
      <c r="B1290" s="71" t="str">
        <f>IFERROR(VLOOKUP(Proc[[#This Row],[App]],Table2[],3,0),"open")</f>
        <v>ok</v>
      </c>
      <c r="C1290" s="74" t="s">
        <v>369</v>
      </c>
      <c r="D1290" t="s">
        <v>2999</v>
      </c>
      <c r="E1290" t="s">
        <v>3011</v>
      </c>
      <c r="F1290" s="105" t="s">
        <v>3011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1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2563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410</v>
      </c>
      <c r="S1290" s="71"/>
    </row>
    <row r="1291" spans="1:19" hidden="1">
      <c r="A1291" s="74" t="s">
        <v>2901</v>
      </c>
      <c r="B1291" s="71" t="str">
        <f>IFERROR(VLOOKUP(Proc[[#This Row],[App]],Table2[],3,0),"open")</f>
        <v>ok</v>
      </c>
      <c r="C1291" s="74" t="s">
        <v>369</v>
      </c>
      <c r="D1291" t="s">
        <v>3000</v>
      </c>
      <c r="E1291" t="s">
        <v>3011</v>
      </c>
      <c r="F1291" s="105" t="s">
        <v>3011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1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2563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410</v>
      </c>
      <c r="S1291" s="71"/>
    </row>
    <row r="1292" spans="1:19" hidden="1">
      <c r="A1292" s="74" t="s">
        <v>2901</v>
      </c>
      <c r="B1292" s="71" t="str">
        <f>IFERROR(VLOOKUP(Proc[[#This Row],[App]],Table2[],3,0),"open")</f>
        <v>ok</v>
      </c>
      <c r="C1292" s="74" t="s">
        <v>369</v>
      </c>
      <c r="D1292" t="s">
        <v>3001</v>
      </c>
      <c r="E1292" t="s">
        <v>3011</v>
      </c>
      <c r="F1292" s="105" t="s">
        <v>3011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1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2563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410</v>
      </c>
      <c r="S1292" s="71"/>
    </row>
    <row r="1293" spans="1:19" hidden="1">
      <c r="A1293" s="74" t="s">
        <v>2901</v>
      </c>
      <c r="B1293" s="71" t="str">
        <f>IFERROR(VLOOKUP(Proc[[#This Row],[App]],Table2[],3,0),"open")</f>
        <v>ok</v>
      </c>
      <c r="C1293" s="74" t="s">
        <v>369</v>
      </c>
      <c r="D1293" t="s">
        <v>3002</v>
      </c>
      <c r="E1293" t="s">
        <v>3011</v>
      </c>
      <c r="F1293" s="105" t="s">
        <v>3011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1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2563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410</v>
      </c>
      <c r="S1293" s="71"/>
    </row>
    <row r="1294" spans="1:19" hidden="1">
      <c r="A1294" t="s">
        <v>3014</v>
      </c>
      <c r="B1294" s="71" t="str">
        <f>IFERROR(VLOOKUP(Proc[[#This Row],[App]],Table2[],3,0),"open")</f>
        <v>ok</v>
      </c>
      <c r="C1294" s="74" t="s">
        <v>369</v>
      </c>
      <c r="D1294" t="s">
        <v>3012</v>
      </c>
      <c r="E1294" t="s">
        <v>3013</v>
      </c>
      <c r="F1294" s="105" t="s">
        <v>3013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1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2563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515</v>
      </c>
      <c r="S1294" s="71"/>
    </row>
    <row r="1295" spans="1:19" hidden="1">
      <c r="A1295" t="s">
        <v>3016</v>
      </c>
      <c r="B1295" s="71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5" t="s">
        <v>3018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1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2563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1076</v>
      </c>
      <c r="S1295" s="71"/>
    </row>
    <row r="1296" spans="1:19" hidden="1">
      <c r="A1296" s="74" t="s">
        <v>3016</v>
      </c>
      <c r="B1296" s="71" t="str">
        <f>IFERROR(VLOOKUP(Proc[[#This Row],[App]],Table2[],3,0),"open")</f>
        <v>ok</v>
      </c>
      <c r="C1296" s="74" t="s">
        <v>377</v>
      </c>
      <c r="D1296" t="s">
        <v>1987</v>
      </c>
      <c r="E1296" t="s">
        <v>735</v>
      </c>
      <c r="F1296" s="105" t="s">
        <v>735</v>
      </c>
      <c r="G1296" t="s">
        <v>406</v>
      </c>
      <c r="H1296" s="71" t="str">
        <f>IF(Proc[[#This Row],[type]]="LFF (MDG-F)",MID(Proc[[#This Row],[Obj]],13,10),"")</f>
        <v>US20Z01000</v>
      </c>
      <c r="I1296" t="s">
        <v>822</v>
      </c>
      <c r="J1296" s="71" t="b">
        <f>Proc[[#This Row],[Requested]]=Proc[[#This Row],[CurrentParent]]</f>
        <v>1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2563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1076</v>
      </c>
      <c r="S1296" s="71"/>
    </row>
    <row r="1297" spans="1:19" hidden="1">
      <c r="A1297" t="s">
        <v>3019</v>
      </c>
      <c r="B1297" s="71" t="str">
        <f>IFERROR(VLOOKUP(Proc[[#This Row],[App]],Table2[],3,0),"open")</f>
        <v>ok</v>
      </c>
      <c r="C1297" s="74" t="s">
        <v>369</v>
      </c>
      <c r="D1297" t="s">
        <v>3020</v>
      </c>
      <c r="E1297" t="s">
        <v>3021</v>
      </c>
      <c r="F1297" s="105" t="s">
        <v>3021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1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2563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1459</v>
      </c>
      <c r="S1297" s="71"/>
    </row>
    <row r="1298" spans="1:19" hidden="1">
      <c r="A1298" t="s">
        <v>3022</v>
      </c>
      <c r="B1298" s="71" t="str">
        <f>IFERROR(VLOOKUP(Proc[[#This Row],[App]],Table2[],3,0),"open")</f>
        <v>ok</v>
      </c>
      <c r="C1298" s="74" t="s">
        <v>369</v>
      </c>
      <c r="D1298" t="s">
        <v>3023</v>
      </c>
      <c r="E1298" t="s">
        <v>3024</v>
      </c>
      <c r="F1298" s="105" t="s">
        <v>3024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1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2563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515</v>
      </c>
      <c r="S1298" s="71"/>
    </row>
    <row r="1299" spans="1:19" hidden="1">
      <c r="A1299" t="s">
        <v>3066</v>
      </c>
      <c r="B1299" s="71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5" t="s">
        <v>3026</v>
      </c>
      <c r="G1299" s="74" t="s">
        <v>400</v>
      </c>
      <c r="H1299" s="71" t="str">
        <f>IF(Proc[[#This Row],[type]]="LFF (MDG-F)",MID(Proc[[#This Row],[Obj]],13,10),"")</f>
        <v/>
      </c>
      <c r="I1299" t="s">
        <v>3062</v>
      </c>
      <c r="J1299" s="71" t="b">
        <f>Proc[[#This Row],[Requested]]=Proc[[#This Row],[CurrentParent]]</f>
        <v>1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2563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489</v>
      </c>
      <c r="S1299" s="71"/>
    </row>
    <row r="1300" spans="1:19" hidden="1">
      <c r="A1300" s="74" t="s">
        <v>3066</v>
      </c>
      <c r="B1300" s="71" t="str">
        <f>IFERROR(VLOOKUP(Proc[[#This Row],[App]],Table2[],3,0),"open")</f>
        <v>ok</v>
      </c>
      <c r="C1300" s="74" t="s">
        <v>369</v>
      </c>
      <c r="D1300" t="s">
        <v>3027</v>
      </c>
      <c r="E1300" t="s">
        <v>3026</v>
      </c>
      <c r="F1300" s="105" t="s">
        <v>3026</v>
      </c>
      <c r="G1300" s="74" t="s">
        <v>400</v>
      </c>
      <c r="H1300" s="71" t="str">
        <f>IF(Proc[[#This Row],[type]]="LFF (MDG-F)",MID(Proc[[#This Row],[Obj]],13,10),"")</f>
        <v/>
      </c>
      <c r="I1300" t="s">
        <v>3062</v>
      </c>
      <c r="J1300" s="71" t="b">
        <f>Proc[[#This Row],[Requested]]=Proc[[#This Row],[CurrentParent]]</f>
        <v>1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2563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489</v>
      </c>
      <c r="S1300" s="71"/>
    </row>
    <row r="1301" spans="1:19" hidden="1">
      <c r="A1301" s="74" t="s">
        <v>3066</v>
      </c>
      <c r="B1301" s="71" t="str">
        <f>IFERROR(VLOOKUP(Proc[[#This Row],[App]],Table2[],3,0),"open")</f>
        <v>ok</v>
      </c>
      <c r="C1301" s="74" t="s">
        <v>369</v>
      </c>
      <c r="D1301" t="s">
        <v>3028</v>
      </c>
      <c r="E1301" t="s">
        <v>3026</v>
      </c>
      <c r="F1301" s="105" t="s">
        <v>3026</v>
      </c>
      <c r="G1301" s="74" t="s">
        <v>400</v>
      </c>
      <c r="H1301" s="71" t="str">
        <f>IF(Proc[[#This Row],[type]]="LFF (MDG-F)",MID(Proc[[#This Row],[Obj]],13,10),"")</f>
        <v/>
      </c>
      <c r="I1301" t="s">
        <v>3062</v>
      </c>
      <c r="J1301" s="71" t="b">
        <f>Proc[[#This Row],[Requested]]=Proc[[#This Row],[CurrentParent]]</f>
        <v>1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2563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489</v>
      </c>
      <c r="S1301" s="71"/>
    </row>
    <row r="1302" spans="1:19" hidden="1">
      <c r="A1302" s="74" t="s">
        <v>3066</v>
      </c>
      <c r="B1302" s="71" t="str">
        <f>IFERROR(VLOOKUP(Proc[[#This Row],[App]],Table2[],3,0),"open")</f>
        <v>ok</v>
      </c>
      <c r="C1302" s="74" t="s">
        <v>369</v>
      </c>
      <c r="D1302" t="s">
        <v>3029</v>
      </c>
      <c r="E1302" t="s">
        <v>3026</v>
      </c>
      <c r="F1302" s="105" t="s">
        <v>3026</v>
      </c>
      <c r="G1302" s="74" t="s">
        <v>400</v>
      </c>
      <c r="H1302" s="71" t="str">
        <f>IF(Proc[[#This Row],[type]]="LFF (MDG-F)",MID(Proc[[#This Row],[Obj]],13,10),"")</f>
        <v/>
      </c>
      <c r="I1302" t="s">
        <v>3062</v>
      </c>
      <c r="J1302" s="71" t="b">
        <f>Proc[[#This Row],[Requested]]=Proc[[#This Row],[CurrentParent]]</f>
        <v>1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2563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489</v>
      </c>
      <c r="S1302" s="71"/>
    </row>
    <row r="1303" spans="1:19" hidden="1">
      <c r="A1303" s="74" t="s">
        <v>3066</v>
      </c>
      <c r="B1303" s="71" t="str">
        <f>IFERROR(VLOOKUP(Proc[[#This Row],[App]],Table2[],3,0),"open")</f>
        <v>ok</v>
      </c>
      <c r="C1303" s="74" t="s">
        <v>369</v>
      </c>
      <c r="D1303" t="s">
        <v>3030</v>
      </c>
      <c r="E1303" t="s">
        <v>3026</v>
      </c>
      <c r="F1303" s="105" t="s">
        <v>3026</v>
      </c>
      <c r="G1303" s="74" t="s">
        <v>400</v>
      </c>
      <c r="H1303" s="71" t="str">
        <f>IF(Proc[[#This Row],[type]]="LFF (MDG-F)",MID(Proc[[#This Row],[Obj]],13,10),"")</f>
        <v/>
      </c>
      <c r="I1303" t="s">
        <v>3063</v>
      </c>
      <c r="J1303" s="71" t="b">
        <f>Proc[[#This Row],[Requested]]=Proc[[#This Row],[CurrentParent]]</f>
        <v>1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2563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489</v>
      </c>
      <c r="S1303" s="71"/>
    </row>
    <row r="1304" spans="1:19" hidden="1">
      <c r="A1304" s="74" t="s">
        <v>3066</v>
      </c>
      <c r="B1304" s="71" t="str">
        <f>IFERROR(VLOOKUP(Proc[[#This Row],[App]],Table2[],3,0),"open")</f>
        <v>ok</v>
      </c>
      <c r="C1304" s="74" t="s">
        <v>369</v>
      </c>
      <c r="D1304" t="s">
        <v>3031</v>
      </c>
      <c r="E1304" t="s">
        <v>3026</v>
      </c>
      <c r="F1304" s="105" t="s">
        <v>3026</v>
      </c>
      <c r="G1304" s="74" t="s">
        <v>400</v>
      </c>
      <c r="H1304" s="71" t="str">
        <f>IF(Proc[[#This Row],[type]]="LFF (MDG-F)",MID(Proc[[#This Row],[Obj]],13,10),"")</f>
        <v/>
      </c>
      <c r="I1304" t="s">
        <v>3063</v>
      </c>
      <c r="J1304" s="71" t="b">
        <f>Proc[[#This Row],[Requested]]=Proc[[#This Row],[CurrentParent]]</f>
        <v>1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2563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489</v>
      </c>
      <c r="S1304" s="71"/>
    </row>
    <row r="1305" spans="1:19" hidden="1">
      <c r="A1305" s="74" t="s">
        <v>3066</v>
      </c>
      <c r="B1305" s="71" t="str">
        <f>IFERROR(VLOOKUP(Proc[[#This Row],[App]],Table2[],3,0),"open")</f>
        <v>ok</v>
      </c>
      <c r="C1305" s="74" t="s">
        <v>369</v>
      </c>
      <c r="D1305" t="s">
        <v>3032</v>
      </c>
      <c r="E1305" t="s">
        <v>3026</v>
      </c>
      <c r="F1305" s="105" t="s">
        <v>3026</v>
      </c>
      <c r="G1305" s="74" t="s">
        <v>400</v>
      </c>
      <c r="H1305" s="71" t="str">
        <f>IF(Proc[[#This Row],[type]]="LFF (MDG-F)",MID(Proc[[#This Row],[Obj]],13,10),"")</f>
        <v/>
      </c>
      <c r="I1305" t="s">
        <v>3063</v>
      </c>
      <c r="J1305" s="71" t="b">
        <f>Proc[[#This Row],[Requested]]=Proc[[#This Row],[CurrentParent]]</f>
        <v>1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2563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489</v>
      </c>
      <c r="S1305" s="71"/>
    </row>
    <row r="1306" spans="1:19" hidden="1">
      <c r="A1306" s="74" t="s">
        <v>3066</v>
      </c>
      <c r="B1306" s="71" t="str">
        <f>IFERROR(VLOOKUP(Proc[[#This Row],[App]],Table2[],3,0),"open")</f>
        <v>ok</v>
      </c>
      <c r="C1306" s="74" t="s">
        <v>369</v>
      </c>
      <c r="D1306" t="s">
        <v>3033</v>
      </c>
      <c r="E1306" t="s">
        <v>3026</v>
      </c>
      <c r="F1306" s="105" t="s">
        <v>3026</v>
      </c>
      <c r="G1306" s="74" t="s">
        <v>400</v>
      </c>
      <c r="H1306" s="71" t="str">
        <f>IF(Proc[[#This Row],[type]]="LFF (MDG-F)",MID(Proc[[#This Row],[Obj]],13,10),"")</f>
        <v/>
      </c>
      <c r="I1306" t="s">
        <v>3063</v>
      </c>
      <c r="J1306" s="71" t="b">
        <f>Proc[[#This Row],[Requested]]=Proc[[#This Row],[CurrentParent]]</f>
        <v>1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2563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489</v>
      </c>
      <c r="S1306" s="71"/>
    </row>
    <row r="1307" spans="1:19" hidden="1">
      <c r="A1307" s="74" t="s">
        <v>3066</v>
      </c>
      <c r="B1307" s="71" t="str">
        <f>IFERROR(VLOOKUP(Proc[[#This Row],[App]],Table2[],3,0),"open")</f>
        <v>ok</v>
      </c>
      <c r="C1307" s="74" t="s">
        <v>369</v>
      </c>
      <c r="D1307" t="s">
        <v>3034</v>
      </c>
      <c r="E1307" t="s">
        <v>3026</v>
      </c>
      <c r="F1307" s="105" t="s">
        <v>3026</v>
      </c>
      <c r="G1307" s="74" t="s">
        <v>400</v>
      </c>
      <c r="H1307" s="71" t="str">
        <f>IF(Proc[[#This Row],[type]]="LFF (MDG-F)",MID(Proc[[#This Row],[Obj]],13,10),"")</f>
        <v/>
      </c>
      <c r="I1307" t="s">
        <v>3063</v>
      </c>
      <c r="J1307" s="71" t="b">
        <f>Proc[[#This Row],[Requested]]=Proc[[#This Row],[CurrentParent]]</f>
        <v>1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2563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489</v>
      </c>
      <c r="S1307" s="71"/>
    </row>
    <row r="1308" spans="1:19" hidden="1">
      <c r="A1308" s="74" t="s">
        <v>3066</v>
      </c>
      <c r="B1308" s="71" t="str">
        <f>IFERROR(VLOOKUP(Proc[[#This Row],[App]],Table2[],3,0),"open")</f>
        <v>ok</v>
      </c>
      <c r="C1308" s="74" t="s">
        <v>369</v>
      </c>
      <c r="D1308" t="s">
        <v>3035</v>
      </c>
      <c r="E1308" t="s">
        <v>3026</v>
      </c>
      <c r="F1308" s="105" t="s">
        <v>3026</v>
      </c>
      <c r="G1308" s="74" t="s">
        <v>400</v>
      </c>
      <c r="H1308" s="71" t="str">
        <f>IF(Proc[[#This Row],[type]]="LFF (MDG-F)",MID(Proc[[#This Row],[Obj]],13,10),"")</f>
        <v/>
      </c>
      <c r="I1308" t="s">
        <v>3063</v>
      </c>
      <c r="J1308" s="71" t="b">
        <f>Proc[[#This Row],[Requested]]=Proc[[#This Row],[CurrentParent]]</f>
        <v>1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2563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489</v>
      </c>
      <c r="S1308" s="71"/>
    </row>
    <row r="1309" spans="1:19" hidden="1">
      <c r="A1309" s="74" t="s">
        <v>3066</v>
      </c>
      <c r="B1309" s="71" t="str">
        <f>IFERROR(VLOOKUP(Proc[[#This Row],[App]],Table2[],3,0),"open")</f>
        <v>ok</v>
      </c>
      <c r="C1309" s="74" t="s">
        <v>369</v>
      </c>
      <c r="D1309" t="s">
        <v>3036</v>
      </c>
      <c r="E1309" t="s">
        <v>3026</v>
      </c>
      <c r="F1309" s="105" t="s">
        <v>3026</v>
      </c>
      <c r="G1309" s="74" t="s">
        <v>400</v>
      </c>
      <c r="H1309" s="71" t="str">
        <f>IF(Proc[[#This Row],[type]]="LFF (MDG-F)",MID(Proc[[#This Row],[Obj]],13,10),"")</f>
        <v/>
      </c>
      <c r="I1309" t="s">
        <v>3063</v>
      </c>
      <c r="J1309" s="71" t="b">
        <f>Proc[[#This Row],[Requested]]=Proc[[#This Row],[CurrentParent]]</f>
        <v>1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2563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489</v>
      </c>
      <c r="S1309" s="71"/>
    </row>
    <row r="1310" spans="1:19" hidden="1">
      <c r="A1310" s="74" t="s">
        <v>3066</v>
      </c>
      <c r="B1310" s="71" t="str">
        <f>IFERROR(VLOOKUP(Proc[[#This Row],[App]],Table2[],3,0),"open")</f>
        <v>ok</v>
      </c>
      <c r="C1310" s="74" t="s">
        <v>369</v>
      </c>
      <c r="D1310" t="s">
        <v>3037</v>
      </c>
      <c r="E1310" t="s">
        <v>3026</v>
      </c>
      <c r="F1310" s="105" t="s">
        <v>3026</v>
      </c>
      <c r="G1310" s="74" t="s">
        <v>400</v>
      </c>
      <c r="H1310" s="71" t="str">
        <f>IF(Proc[[#This Row],[type]]="LFF (MDG-F)",MID(Proc[[#This Row],[Obj]],13,10),"")</f>
        <v/>
      </c>
      <c r="I1310" t="s">
        <v>3063</v>
      </c>
      <c r="J1310" s="71" t="b">
        <f>Proc[[#This Row],[Requested]]=Proc[[#This Row],[CurrentParent]]</f>
        <v>1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2563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489</v>
      </c>
      <c r="S1310" s="71"/>
    </row>
    <row r="1311" spans="1:19" hidden="1">
      <c r="A1311" s="74" t="s">
        <v>3066</v>
      </c>
      <c r="B1311" s="71" t="str">
        <f>IFERROR(VLOOKUP(Proc[[#This Row],[App]],Table2[],3,0),"open")</f>
        <v>ok</v>
      </c>
      <c r="C1311" s="74" t="s">
        <v>369</v>
      </c>
      <c r="D1311" t="s">
        <v>3038</v>
      </c>
      <c r="E1311" t="s">
        <v>3026</v>
      </c>
      <c r="F1311" s="105" t="s">
        <v>3026</v>
      </c>
      <c r="G1311" s="74" t="s">
        <v>400</v>
      </c>
      <c r="H1311" s="71" t="str">
        <f>IF(Proc[[#This Row],[type]]="LFF (MDG-F)",MID(Proc[[#This Row],[Obj]],13,10),"")</f>
        <v/>
      </c>
      <c r="I1311" t="s">
        <v>3063</v>
      </c>
      <c r="J1311" s="71" t="b">
        <f>Proc[[#This Row],[Requested]]=Proc[[#This Row],[CurrentParent]]</f>
        <v>1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2563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489</v>
      </c>
      <c r="S1311" s="71"/>
    </row>
    <row r="1312" spans="1:19" hidden="1">
      <c r="A1312" s="74" t="s">
        <v>3066</v>
      </c>
      <c r="B1312" s="71" t="str">
        <f>IFERROR(VLOOKUP(Proc[[#This Row],[App]],Table2[],3,0),"open")</f>
        <v>ok</v>
      </c>
      <c r="C1312" s="74" t="s">
        <v>369</v>
      </c>
      <c r="D1312" t="s">
        <v>3039</v>
      </c>
      <c r="E1312" t="s">
        <v>3026</v>
      </c>
      <c r="F1312" s="105" t="s">
        <v>3026</v>
      </c>
      <c r="G1312" s="74" t="s">
        <v>400</v>
      </c>
      <c r="H1312" s="71" t="str">
        <f>IF(Proc[[#This Row],[type]]="LFF (MDG-F)",MID(Proc[[#This Row],[Obj]],13,10),"")</f>
        <v/>
      </c>
      <c r="I1312" t="s">
        <v>3063</v>
      </c>
      <c r="J1312" s="71" t="b">
        <f>Proc[[#This Row],[Requested]]=Proc[[#This Row],[CurrentParent]]</f>
        <v>1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2563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489</v>
      </c>
      <c r="S1312" s="71"/>
    </row>
    <row r="1313" spans="1:19" hidden="1">
      <c r="A1313" s="74" t="s">
        <v>3066</v>
      </c>
      <c r="B1313" s="71" t="str">
        <f>IFERROR(VLOOKUP(Proc[[#This Row],[App]],Table2[],3,0),"open")</f>
        <v>ok</v>
      </c>
      <c r="C1313" s="74" t="s">
        <v>369</v>
      </c>
      <c r="D1313" t="s">
        <v>3040</v>
      </c>
      <c r="E1313" t="s">
        <v>3026</v>
      </c>
      <c r="F1313" s="105" t="s">
        <v>3026</v>
      </c>
      <c r="G1313" s="74" t="s">
        <v>400</v>
      </c>
      <c r="H1313" s="71" t="str">
        <f>IF(Proc[[#This Row],[type]]="LFF (MDG-F)",MID(Proc[[#This Row],[Obj]],13,10),"")</f>
        <v/>
      </c>
      <c r="I1313" t="s">
        <v>3063</v>
      </c>
      <c r="J1313" s="71" t="b">
        <f>Proc[[#This Row],[Requested]]=Proc[[#This Row],[CurrentParent]]</f>
        <v>1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2563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489</v>
      </c>
      <c r="S1313" s="71"/>
    </row>
    <row r="1314" spans="1:19" hidden="1">
      <c r="A1314" s="74" t="s">
        <v>3066</v>
      </c>
      <c r="B1314" s="71" t="str">
        <f>IFERROR(VLOOKUP(Proc[[#This Row],[App]],Table2[],3,0),"open")</f>
        <v>ok</v>
      </c>
      <c r="C1314" s="74" t="s">
        <v>369</v>
      </c>
      <c r="D1314" t="s">
        <v>3041</v>
      </c>
      <c r="E1314" t="s">
        <v>3026</v>
      </c>
      <c r="F1314" s="105" t="s">
        <v>3026</v>
      </c>
      <c r="G1314" s="74" t="s">
        <v>400</v>
      </c>
      <c r="H1314" s="71" t="str">
        <f>IF(Proc[[#This Row],[type]]="LFF (MDG-F)",MID(Proc[[#This Row],[Obj]],13,10),"")</f>
        <v/>
      </c>
      <c r="I1314" t="s">
        <v>3063</v>
      </c>
      <c r="J1314" s="71" t="b">
        <f>Proc[[#This Row],[Requested]]=Proc[[#This Row],[CurrentParent]]</f>
        <v>1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2563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489</v>
      </c>
      <c r="S1314" s="71"/>
    </row>
    <row r="1315" spans="1:19" hidden="1">
      <c r="A1315" s="74" t="s">
        <v>3066</v>
      </c>
      <c r="B1315" s="71" t="str">
        <f>IFERROR(VLOOKUP(Proc[[#This Row],[App]],Table2[],3,0),"open")</f>
        <v>ok</v>
      </c>
      <c r="C1315" s="74" t="s">
        <v>369</v>
      </c>
      <c r="D1315" t="s">
        <v>3042</v>
      </c>
      <c r="E1315" t="s">
        <v>3026</v>
      </c>
      <c r="F1315" s="105" t="s">
        <v>3026</v>
      </c>
      <c r="G1315" s="74" t="s">
        <v>400</v>
      </c>
      <c r="H1315" s="71" t="str">
        <f>IF(Proc[[#This Row],[type]]="LFF (MDG-F)",MID(Proc[[#This Row],[Obj]],13,10),"")</f>
        <v/>
      </c>
      <c r="I1315" t="s">
        <v>3064</v>
      </c>
      <c r="J1315" s="71" t="b">
        <f>Proc[[#This Row],[Requested]]=Proc[[#This Row],[CurrentParent]]</f>
        <v>1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2563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489</v>
      </c>
      <c r="S1315" s="71"/>
    </row>
    <row r="1316" spans="1:19" hidden="1">
      <c r="A1316" s="74" t="s">
        <v>3066</v>
      </c>
      <c r="B1316" s="71" t="str">
        <f>IFERROR(VLOOKUP(Proc[[#This Row],[App]],Table2[],3,0),"open")</f>
        <v>ok</v>
      </c>
      <c r="C1316" s="74" t="s">
        <v>369</v>
      </c>
      <c r="D1316" t="s">
        <v>3043</v>
      </c>
      <c r="E1316" t="s">
        <v>3026</v>
      </c>
      <c r="F1316" s="105" t="s">
        <v>3026</v>
      </c>
      <c r="G1316" s="74" t="s">
        <v>400</v>
      </c>
      <c r="H1316" s="71" t="str">
        <f>IF(Proc[[#This Row],[type]]="LFF (MDG-F)",MID(Proc[[#This Row],[Obj]],13,10),"")</f>
        <v/>
      </c>
      <c r="I1316" t="s">
        <v>3064</v>
      </c>
      <c r="J1316" s="71" t="b">
        <f>Proc[[#This Row],[Requested]]=Proc[[#This Row],[CurrentParent]]</f>
        <v>1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2563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489</v>
      </c>
      <c r="S1316" s="71"/>
    </row>
    <row r="1317" spans="1:19" hidden="1">
      <c r="A1317" s="74" t="s">
        <v>3066</v>
      </c>
      <c r="B1317" s="71" t="str">
        <f>IFERROR(VLOOKUP(Proc[[#This Row],[App]],Table2[],3,0),"open")</f>
        <v>ok</v>
      </c>
      <c r="C1317" s="74" t="s">
        <v>369</v>
      </c>
      <c r="D1317" t="s">
        <v>3044</v>
      </c>
      <c r="E1317" t="s">
        <v>3026</v>
      </c>
      <c r="F1317" s="105" t="s">
        <v>3026</v>
      </c>
      <c r="G1317" s="74" t="s">
        <v>400</v>
      </c>
      <c r="H1317" s="71" t="str">
        <f>IF(Proc[[#This Row],[type]]="LFF (MDG-F)",MID(Proc[[#This Row],[Obj]],13,10),"")</f>
        <v/>
      </c>
      <c r="I1317" t="s">
        <v>3064</v>
      </c>
      <c r="J1317" s="71" t="b">
        <f>Proc[[#This Row],[Requested]]=Proc[[#This Row],[CurrentParent]]</f>
        <v>1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2563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489</v>
      </c>
      <c r="S1317" s="71"/>
    </row>
    <row r="1318" spans="1:19" hidden="1">
      <c r="A1318" s="74" t="s">
        <v>3066</v>
      </c>
      <c r="B1318" s="71" t="str">
        <f>IFERROR(VLOOKUP(Proc[[#This Row],[App]],Table2[],3,0),"open")</f>
        <v>ok</v>
      </c>
      <c r="C1318" s="74" t="s">
        <v>369</v>
      </c>
      <c r="D1318" t="s">
        <v>3045</v>
      </c>
      <c r="E1318" t="s">
        <v>3026</v>
      </c>
      <c r="F1318" s="105" t="s">
        <v>3026</v>
      </c>
      <c r="G1318" s="74" t="s">
        <v>400</v>
      </c>
      <c r="H1318" s="71" t="str">
        <f>IF(Proc[[#This Row],[type]]="LFF (MDG-F)",MID(Proc[[#This Row],[Obj]],13,10),"")</f>
        <v/>
      </c>
      <c r="I1318" t="s">
        <v>3064</v>
      </c>
      <c r="J1318" s="71" t="b">
        <f>Proc[[#This Row],[Requested]]=Proc[[#This Row],[CurrentParent]]</f>
        <v>1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2563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489</v>
      </c>
      <c r="S1318" s="71"/>
    </row>
    <row r="1319" spans="1:19" hidden="1">
      <c r="A1319" s="74" t="s">
        <v>3066</v>
      </c>
      <c r="B1319" s="71" t="str">
        <f>IFERROR(VLOOKUP(Proc[[#This Row],[App]],Table2[],3,0),"open")</f>
        <v>ok</v>
      </c>
      <c r="C1319" s="74" t="s">
        <v>369</v>
      </c>
      <c r="D1319" t="s">
        <v>3046</v>
      </c>
      <c r="E1319" t="s">
        <v>3026</v>
      </c>
      <c r="F1319" s="105" t="s">
        <v>3026</v>
      </c>
      <c r="G1319" s="74" t="s">
        <v>400</v>
      </c>
      <c r="H1319" s="71" t="str">
        <f>IF(Proc[[#This Row],[type]]="LFF (MDG-F)",MID(Proc[[#This Row],[Obj]],13,10),"")</f>
        <v/>
      </c>
      <c r="I1319" t="s">
        <v>3064</v>
      </c>
      <c r="J1319" s="71" t="b">
        <f>Proc[[#This Row],[Requested]]=Proc[[#This Row],[CurrentParent]]</f>
        <v>1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2563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489</v>
      </c>
      <c r="S1319" s="71"/>
    </row>
    <row r="1320" spans="1:19" hidden="1">
      <c r="A1320" s="74" t="s">
        <v>3066</v>
      </c>
      <c r="B1320" s="71" t="str">
        <f>IFERROR(VLOOKUP(Proc[[#This Row],[App]],Table2[],3,0),"open")</f>
        <v>ok</v>
      </c>
      <c r="C1320" s="74" t="s">
        <v>369</v>
      </c>
      <c r="D1320" t="s">
        <v>3047</v>
      </c>
      <c r="E1320" t="s">
        <v>3026</v>
      </c>
      <c r="F1320" s="105" t="s">
        <v>3026</v>
      </c>
      <c r="G1320" s="74" t="s">
        <v>400</v>
      </c>
      <c r="H1320" s="71" t="str">
        <f>IF(Proc[[#This Row],[type]]="LFF (MDG-F)",MID(Proc[[#This Row],[Obj]],13,10),"")</f>
        <v/>
      </c>
      <c r="I1320" t="s">
        <v>3064</v>
      </c>
      <c r="J1320" s="71" t="b">
        <f>Proc[[#This Row],[Requested]]=Proc[[#This Row],[CurrentParent]]</f>
        <v>1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2563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489</v>
      </c>
      <c r="S1320" s="71"/>
    </row>
    <row r="1321" spans="1:19" hidden="1">
      <c r="A1321" s="74" t="s">
        <v>3066</v>
      </c>
      <c r="B1321" s="71" t="str">
        <f>IFERROR(VLOOKUP(Proc[[#This Row],[App]],Table2[],3,0),"open")</f>
        <v>ok</v>
      </c>
      <c r="C1321" s="74" t="s">
        <v>369</v>
      </c>
      <c r="D1321" t="s">
        <v>3048</v>
      </c>
      <c r="E1321" t="s">
        <v>3026</v>
      </c>
      <c r="F1321" s="105" t="s">
        <v>3026</v>
      </c>
      <c r="G1321" s="74" t="s">
        <v>400</v>
      </c>
      <c r="H1321" s="71" t="str">
        <f>IF(Proc[[#This Row],[type]]="LFF (MDG-F)",MID(Proc[[#This Row],[Obj]],13,10),"")</f>
        <v/>
      </c>
      <c r="I1321" t="s">
        <v>3064</v>
      </c>
      <c r="J1321" s="71" t="b">
        <f>Proc[[#This Row],[Requested]]=Proc[[#This Row],[CurrentParent]]</f>
        <v>1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2563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489</v>
      </c>
      <c r="S1321" s="71"/>
    </row>
    <row r="1322" spans="1:19" hidden="1">
      <c r="A1322" s="74" t="s">
        <v>3066</v>
      </c>
      <c r="B1322" s="71" t="str">
        <f>IFERROR(VLOOKUP(Proc[[#This Row],[App]],Table2[],3,0),"open")</f>
        <v>ok</v>
      </c>
      <c r="C1322" s="74" t="s">
        <v>369</v>
      </c>
      <c r="D1322" t="s">
        <v>3049</v>
      </c>
      <c r="E1322" t="s">
        <v>3026</v>
      </c>
      <c r="F1322" s="105" t="s">
        <v>3026</v>
      </c>
      <c r="G1322" s="74" t="s">
        <v>400</v>
      </c>
      <c r="H1322" s="71" t="str">
        <f>IF(Proc[[#This Row],[type]]="LFF (MDG-F)",MID(Proc[[#This Row],[Obj]],13,10),"")</f>
        <v/>
      </c>
      <c r="I1322" t="s">
        <v>3064</v>
      </c>
      <c r="J1322" s="71" t="b">
        <f>Proc[[#This Row],[Requested]]=Proc[[#This Row],[CurrentParent]]</f>
        <v>1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2563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489</v>
      </c>
      <c r="S1322" s="71"/>
    </row>
    <row r="1323" spans="1:19" hidden="1">
      <c r="A1323" s="74" t="s">
        <v>3066</v>
      </c>
      <c r="B1323" s="71" t="str">
        <f>IFERROR(VLOOKUP(Proc[[#This Row],[App]],Table2[],3,0),"open")</f>
        <v>ok</v>
      </c>
      <c r="C1323" s="74" t="s">
        <v>369</v>
      </c>
      <c r="D1323" t="s">
        <v>3050</v>
      </c>
      <c r="E1323" t="s">
        <v>3026</v>
      </c>
      <c r="F1323" s="105" t="s">
        <v>3026</v>
      </c>
      <c r="G1323" s="74" t="s">
        <v>400</v>
      </c>
      <c r="H1323" s="71" t="str">
        <f>IF(Proc[[#This Row],[type]]="LFF (MDG-F)",MID(Proc[[#This Row],[Obj]],13,10),"")</f>
        <v/>
      </c>
      <c r="I1323" t="s">
        <v>3064</v>
      </c>
      <c r="J1323" s="71" t="b">
        <f>Proc[[#This Row],[Requested]]=Proc[[#This Row],[CurrentParent]]</f>
        <v>1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2563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489</v>
      </c>
      <c r="S1323" s="71"/>
    </row>
    <row r="1324" spans="1:19" hidden="1">
      <c r="A1324" s="74" t="s">
        <v>3066</v>
      </c>
      <c r="B1324" s="71" t="str">
        <f>IFERROR(VLOOKUP(Proc[[#This Row],[App]],Table2[],3,0),"open")</f>
        <v>ok</v>
      </c>
      <c r="C1324" s="74" t="s">
        <v>369</v>
      </c>
      <c r="D1324" t="s">
        <v>3051</v>
      </c>
      <c r="E1324" t="s">
        <v>3026</v>
      </c>
      <c r="F1324" s="105" t="s">
        <v>3026</v>
      </c>
      <c r="G1324" s="74" t="s">
        <v>400</v>
      </c>
      <c r="H1324" s="71" t="str">
        <f>IF(Proc[[#This Row],[type]]="LFF (MDG-F)",MID(Proc[[#This Row],[Obj]],13,10),"")</f>
        <v/>
      </c>
      <c r="I1324" t="s">
        <v>3064</v>
      </c>
      <c r="J1324" s="71" t="b">
        <f>Proc[[#This Row],[Requested]]=Proc[[#This Row],[CurrentParent]]</f>
        <v>1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2563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489</v>
      </c>
      <c r="S1324" s="71"/>
    </row>
    <row r="1325" spans="1:19" hidden="1">
      <c r="A1325" s="74" t="s">
        <v>3066</v>
      </c>
      <c r="B1325" s="71" t="str">
        <f>IFERROR(VLOOKUP(Proc[[#This Row],[App]],Table2[],3,0),"open")</f>
        <v>ok</v>
      </c>
      <c r="C1325" s="74" t="s">
        <v>369</v>
      </c>
      <c r="D1325" t="s">
        <v>3052</v>
      </c>
      <c r="E1325" t="s">
        <v>3026</v>
      </c>
      <c r="F1325" s="105" t="s">
        <v>3026</v>
      </c>
      <c r="G1325" s="74" t="s">
        <v>400</v>
      </c>
      <c r="H1325" s="71" t="str">
        <f>IF(Proc[[#This Row],[type]]="LFF (MDG-F)",MID(Proc[[#This Row],[Obj]],13,10),"")</f>
        <v/>
      </c>
      <c r="I1325" t="s">
        <v>3064</v>
      </c>
      <c r="J1325" s="71" t="b">
        <f>Proc[[#This Row],[Requested]]=Proc[[#This Row],[CurrentParent]]</f>
        <v>1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2563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489</v>
      </c>
      <c r="S1325" s="71"/>
    </row>
    <row r="1326" spans="1:19" hidden="1">
      <c r="A1326" s="74" t="s">
        <v>3066</v>
      </c>
      <c r="B1326" s="71" t="str">
        <f>IFERROR(VLOOKUP(Proc[[#This Row],[App]],Table2[],3,0),"open")</f>
        <v>ok</v>
      </c>
      <c r="C1326" s="74" t="s">
        <v>369</v>
      </c>
      <c r="D1326" t="s">
        <v>3053</v>
      </c>
      <c r="E1326" t="s">
        <v>3026</v>
      </c>
      <c r="F1326" s="105" t="s">
        <v>3026</v>
      </c>
      <c r="G1326" s="74" t="s">
        <v>400</v>
      </c>
      <c r="H1326" s="71" t="str">
        <f>IF(Proc[[#This Row],[type]]="LFF (MDG-F)",MID(Proc[[#This Row],[Obj]],13,10),"")</f>
        <v/>
      </c>
      <c r="I1326" t="s">
        <v>3065</v>
      </c>
      <c r="J1326" s="71" t="b">
        <f>Proc[[#This Row],[Requested]]=Proc[[#This Row],[CurrentParent]]</f>
        <v>1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2563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489</v>
      </c>
      <c r="S1326" s="71"/>
    </row>
    <row r="1327" spans="1:19" hidden="1">
      <c r="A1327" s="74" t="s">
        <v>3066</v>
      </c>
      <c r="B1327" s="71" t="str">
        <f>IFERROR(VLOOKUP(Proc[[#This Row],[App]],Table2[],3,0),"open")</f>
        <v>ok</v>
      </c>
      <c r="C1327" s="74" t="s">
        <v>369</v>
      </c>
      <c r="D1327" t="s">
        <v>3054</v>
      </c>
      <c r="E1327" t="s">
        <v>3026</v>
      </c>
      <c r="F1327" s="105" t="s">
        <v>3026</v>
      </c>
      <c r="G1327" s="74" t="s">
        <v>400</v>
      </c>
      <c r="H1327" s="71" t="str">
        <f>IF(Proc[[#This Row],[type]]="LFF (MDG-F)",MID(Proc[[#This Row],[Obj]],13,10),"")</f>
        <v/>
      </c>
      <c r="I1327" t="s">
        <v>3065</v>
      </c>
      <c r="J1327" s="71" t="b">
        <f>Proc[[#This Row],[Requested]]=Proc[[#This Row],[CurrentParent]]</f>
        <v>1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2563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489</v>
      </c>
      <c r="S1327" s="71"/>
    </row>
    <row r="1328" spans="1:19" hidden="1">
      <c r="A1328" s="74" t="s">
        <v>3066</v>
      </c>
      <c r="B1328" s="71" t="str">
        <f>IFERROR(VLOOKUP(Proc[[#This Row],[App]],Table2[],3,0),"open")</f>
        <v>ok</v>
      </c>
      <c r="C1328" s="74" t="s">
        <v>369</v>
      </c>
      <c r="D1328" t="s">
        <v>3055</v>
      </c>
      <c r="E1328" t="s">
        <v>3026</v>
      </c>
      <c r="F1328" s="105" t="s">
        <v>3026</v>
      </c>
      <c r="G1328" s="74" t="s">
        <v>400</v>
      </c>
      <c r="H1328" s="71" t="str">
        <f>IF(Proc[[#This Row],[type]]="LFF (MDG-F)",MID(Proc[[#This Row],[Obj]],13,10),"")</f>
        <v/>
      </c>
      <c r="I1328" t="s">
        <v>3065</v>
      </c>
      <c r="J1328" s="71" t="b">
        <f>Proc[[#This Row],[Requested]]=Proc[[#This Row],[CurrentParent]]</f>
        <v>1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2563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489</v>
      </c>
      <c r="S1328" s="71"/>
    </row>
    <row r="1329" spans="1:19" hidden="1">
      <c r="A1329" s="74" t="s">
        <v>3066</v>
      </c>
      <c r="B1329" s="71" t="str">
        <f>IFERROR(VLOOKUP(Proc[[#This Row],[App]],Table2[],3,0),"open")</f>
        <v>ok</v>
      </c>
      <c r="C1329" s="74" t="s">
        <v>369</v>
      </c>
      <c r="D1329" t="s">
        <v>3056</v>
      </c>
      <c r="E1329" t="s">
        <v>3026</v>
      </c>
      <c r="F1329" s="105" t="s">
        <v>3026</v>
      </c>
      <c r="G1329" s="74" t="s">
        <v>400</v>
      </c>
      <c r="H1329" s="71" t="str">
        <f>IF(Proc[[#This Row],[type]]="LFF (MDG-F)",MID(Proc[[#This Row],[Obj]],13,10),"")</f>
        <v/>
      </c>
      <c r="I1329" t="s">
        <v>3065</v>
      </c>
      <c r="J1329" s="71" t="b">
        <f>Proc[[#This Row],[Requested]]=Proc[[#This Row],[CurrentParent]]</f>
        <v>1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2563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489</v>
      </c>
      <c r="S1329" s="71"/>
    </row>
    <row r="1330" spans="1:19" hidden="1">
      <c r="A1330" s="74" t="s">
        <v>3066</v>
      </c>
      <c r="B1330" s="71" t="str">
        <f>IFERROR(VLOOKUP(Proc[[#This Row],[App]],Table2[],3,0),"open")</f>
        <v>ok</v>
      </c>
      <c r="C1330" s="74" t="s">
        <v>369</v>
      </c>
      <c r="D1330" t="s">
        <v>3057</v>
      </c>
      <c r="E1330" t="s">
        <v>3026</v>
      </c>
      <c r="F1330" s="105" t="s">
        <v>3026</v>
      </c>
      <c r="G1330" s="74" t="s">
        <v>400</v>
      </c>
      <c r="H1330" s="71" t="str">
        <f>IF(Proc[[#This Row],[type]]="LFF (MDG-F)",MID(Proc[[#This Row],[Obj]],13,10),"")</f>
        <v/>
      </c>
      <c r="I1330" t="s">
        <v>3065</v>
      </c>
      <c r="J1330" s="71" t="b">
        <f>Proc[[#This Row],[Requested]]=Proc[[#This Row],[CurrentParent]]</f>
        <v>1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2563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489</v>
      </c>
      <c r="S1330" s="71"/>
    </row>
    <row r="1331" spans="1:19" hidden="1">
      <c r="A1331" s="74" t="s">
        <v>3066</v>
      </c>
      <c r="B1331" s="71" t="str">
        <f>IFERROR(VLOOKUP(Proc[[#This Row],[App]],Table2[],3,0),"open")</f>
        <v>ok</v>
      </c>
      <c r="C1331" s="74" t="s">
        <v>369</v>
      </c>
      <c r="D1331" t="s">
        <v>3058</v>
      </c>
      <c r="E1331" t="s">
        <v>3026</v>
      </c>
      <c r="F1331" s="105" t="s">
        <v>3026</v>
      </c>
      <c r="G1331" s="74" t="s">
        <v>400</v>
      </c>
      <c r="H1331" s="71" t="str">
        <f>IF(Proc[[#This Row],[type]]="LFF (MDG-F)",MID(Proc[[#This Row],[Obj]],13,10),"")</f>
        <v/>
      </c>
      <c r="I1331" t="s">
        <v>3065</v>
      </c>
      <c r="J1331" s="71" t="b">
        <f>Proc[[#This Row],[Requested]]=Proc[[#This Row],[CurrentParent]]</f>
        <v>1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2563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489</v>
      </c>
      <c r="S1331" s="71"/>
    </row>
    <row r="1332" spans="1:19" hidden="1">
      <c r="A1332" s="74" t="s">
        <v>3066</v>
      </c>
      <c r="B1332" s="71" t="str">
        <f>IFERROR(VLOOKUP(Proc[[#This Row],[App]],Table2[],3,0),"open")</f>
        <v>ok</v>
      </c>
      <c r="C1332" s="74" t="s">
        <v>369</v>
      </c>
      <c r="D1332" t="s">
        <v>3059</v>
      </c>
      <c r="E1332" t="s">
        <v>3026</v>
      </c>
      <c r="F1332" s="105" t="s">
        <v>3026</v>
      </c>
      <c r="G1332" s="74" t="s">
        <v>400</v>
      </c>
      <c r="H1332" s="71" t="str">
        <f>IF(Proc[[#This Row],[type]]="LFF (MDG-F)",MID(Proc[[#This Row],[Obj]],13,10),"")</f>
        <v/>
      </c>
      <c r="I1332" t="s">
        <v>3065</v>
      </c>
      <c r="J1332" s="71" t="b">
        <f>Proc[[#This Row],[Requested]]=Proc[[#This Row],[CurrentParent]]</f>
        <v>1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2563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489</v>
      </c>
      <c r="S1332" s="71"/>
    </row>
    <row r="1333" spans="1:19" hidden="1">
      <c r="A1333" s="74" t="s">
        <v>3066</v>
      </c>
      <c r="B1333" s="71" t="str">
        <f>IFERROR(VLOOKUP(Proc[[#This Row],[App]],Table2[],3,0),"open")</f>
        <v>ok</v>
      </c>
      <c r="C1333" s="74" t="s">
        <v>369</v>
      </c>
      <c r="D1333" t="s">
        <v>3060</v>
      </c>
      <c r="E1333" t="s">
        <v>3026</v>
      </c>
      <c r="F1333" s="105" t="s">
        <v>3026</v>
      </c>
      <c r="G1333" s="74" t="s">
        <v>400</v>
      </c>
      <c r="H1333" s="71" t="str">
        <f>IF(Proc[[#This Row],[type]]="LFF (MDG-F)",MID(Proc[[#This Row],[Obj]],13,10),"")</f>
        <v/>
      </c>
      <c r="I1333" t="s">
        <v>3065</v>
      </c>
      <c r="J1333" s="71" t="b">
        <f>Proc[[#This Row],[Requested]]=Proc[[#This Row],[CurrentParent]]</f>
        <v>1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2563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489</v>
      </c>
      <c r="S1333" s="71"/>
    </row>
    <row r="1334" spans="1:19" hidden="1">
      <c r="A1334" s="74" t="s">
        <v>3066</v>
      </c>
      <c r="B1334" s="71" t="str">
        <f>IFERROR(VLOOKUP(Proc[[#This Row],[App]],Table2[],3,0),"open")</f>
        <v>ok</v>
      </c>
      <c r="C1334" s="74" t="s">
        <v>369</v>
      </c>
      <c r="D1334" t="s">
        <v>3061</v>
      </c>
      <c r="E1334" t="s">
        <v>3026</v>
      </c>
      <c r="F1334" s="105" t="s">
        <v>3026</v>
      </c>
      <c r="G1334" s="74" t="s">
        <v>400</v>
      </c>
      <c r="H1334" s="71" t="str">
        <f>IF(Proc[[#This Row],[type]]="LFF (MDG-F)",MID(Proc[[#This Row],[Obj]],13,10),"")</f>
        <v/>
      </c>
      <c r="I1334" t="s">
        <v>3065</v>
      </c>
      <c r="J1334" s="71" t="b">
        <f>Proc[[#This Row],[Requested]]=Proc[[#This Row],[CurrentParent]]</f>
        <v>1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2563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489</v>
      </c>
      <c r="S1334" s="71"/>
    </row>
    <row r="1335" spans="1:19" hidden="1">
      <c r="A1335" t="s">
        <v>3084</v>
      </c>
      <c r="B1335" s="71" t="str">
        <f>IFERROR(VLOOKUP(Proc[[#This Row],[App]],Table2[],3,0),"open")</f>
        <v>ok</v>
      </c>
      <c r="C1335" s="74" t="s">
        <v>369</v>
      </c>
      <c r="D1335" t="s">
        <v>3067</v>
      </c>
      <c r="E1335" t="s">
        <v>2592</v>
      </c>
      <c r="F1335" s="105" t="s">
        <v>2592</v>
      </c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1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2563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489</v>
      </c>
      <c r="S1335" s="71"/>
    </row>
    <row r="1336" spans="1:19" hidden="1">
      <c r="A1336" s="74" t="s">
        <v>3084</v>
      </c>
      <c r="B1336" s="71" t="str">
        <f>IFERROR(VLOOKUP(Proc[[#This Row],[App]],Table2[],3,0),"open")</f>
        <v>ok</v>
      </c>
      <c r="C1336" s="74" t="s">
        <v>369</v>
      </c>
      <c r="D1336" t="s">
        <v>3068</v>
      </c>
      <c r="E1336" t="s">
        <v>2592</v>
      </c>
      <c r="F1336" s="105" t="s">
        <v>2592</v>
      </c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1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2563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489</v>
      </c>
      <c r="S1336" s="71"/>
    </row>
    <row r="1337" spans="1:19" hidden="1">
      <c r="A1337" s="74" t="s">
        <v>3084</v>
      </c>
      <c r="B1337" s="71" t="str">
        <f>IFERROR(VLOOKUP(Proc[[#This Row],[App]],Table2[],3,0),"open")</f>
        <v>ok</v>
      </c>
      <c r="C1337" s="74" t="s">
        <v>369</v>
      </c>
      <c r="D1337" t="s">
        <v>3069</v>
      </c>
      <c r="E1337" t="s">
        <v>2592</v>
      </c>
      <c r="F1337" s="105" t="s">
        <v>2592</v>
      </c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1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2563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489</v>
      </c>
      <c r="S1337" s="71"/>
    </row>
    <row r="1338" spans="1:19" hidden="1">
      <c r="A1338" s="74" t="s">
        <v>3084</v>
      </c>
      <c r="B1338" s="71" t="str">
        <f>IFERROR(VLOOKUP(Proc[[#This Row],[App]],Table2[],3,0),"open")</f>
        <v>ok</v>
      </c>
      <c r="C1338" s="74" t="s">
        <v>369</v>
      </c>
      <c r="D1338" t="s">
        <v>3070</v>
      </c>
      <c r="E1338" t="s">
        <v>417</v>
      </c>
      <c r="F1338" s="105" t="s">
        <v>417</v>
      </c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1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2563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489</v>
      </c>
      <c r="S1338" s="71"/>
    </row>
    <row r="1339" spans="1:19" hidden="1">
      <c r="A1339" s="74" t="s">
        <v>3084</v>
      </c>
      <c r="B1339" s="71" t="str">
        <f>IFERROR(VLOOKUP(Proc[[#This Row],[App]],Table2[],3,0),"open")</f>
        <v>ok</v>
      </c>
      <c r="C1339" s="74" t="s">
        <v>369</v>
      </c>
      <c r="D1339" t="s">
        <v>3071</v>
      </c>
      <c r="E1339" t="s">
        <v>417</v>
      </c>
      <c r="F1339" s="105" t="s">
        <v>417</v>
      </c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1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2563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489</v>
      </c>
      <c r="S1339" s="71"/>
    </row>
    <row r="1340" spans="1:19" hidden="1">
      <c r="A1340" s="74" t="s">
        <v>3084</v>
      </c>
      <c r="B1340" s="71" t="str">
        <f>IFERROR(VLOOKUP(Proc[[#This Row],[App]],Table2[],3,0),"open")</f>
        <v>ok</v>
      </c>
      <c r="C1340" s="74" t="s">
        <v>369</v>
      </c>
      <c r="D1340" t="s">
        <v>3072</v>
      </c>
      <c r="E1340" t="s">
        <v>417</v>
      </c>
      <c r="F1340" s="105" t="s">
        <v>417</v>
      </c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1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2563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489</v>
      </c>
      <c r="S1340" s="71"/>
    </row>
    <row r="1341" spans="1:19" hidden="1">
      <c r="A1341" s="74" t="s">
        <v>3084</v>
      </c>
      <c r="B1341" s="71" t="str">
        <f>IFERROR(VLOOKUP(Proc[[#This Row],[App]],Table2[],3,0),"open")</f>
        <v>ok</v>
      </c>
      <c r="C1341" s="74" t="s">
        <v>369</v>
      </c>
      <c r="D1341" t="s">
        <v>3073</v>
      </c>
      <c r="E1341" t="s">
        <v>417</v>
      </c>
      <c r="F1341" s="105" t="s">
        <v>417</v>
      </c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1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2563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489</v>
      </c>
      <c r="S1341" s="71"/>
    </row>
    <row r="1342" spans="1:19" hidden="1">
      <c r="A1342" s="74" t="s">
        <v>3084</v>
      </c>
      <c r="B1342" s="71" t="str">
        <f>IFERROR(VLOOKUP(Proc[[#This Row],[App]],Table2[],3,0),"open")</f>
        <v>ok</v>
      </c>
      <c r="C1342" s="74" t="s">
        <v>369</v>
      </c>
      <c r="D1342" t="s">
        <v>3074</v>
      </c>
      <c r="E1342" t="s">
        <v>417</v>
      </c>
      <c r="F1342" s="105" t="s">
        <v>417</v>
      </c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1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2563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489</v>
      </c>
      <c r="S1342" s="71"/>
    </row>
    <row r="1343" spans="1:19" hidden="1">
      <c r="A1343" s="74" t="s">
        <v>3084</v>
      </c>
      <c r="B1343" s="71" t="str">
        <f>IFERROR(VLOOKUP(Proc[[#This Row],[App]],Table2[],3,0),"open")</f>
        <v>ok</v>
      </c>
      <c r="C1343" s="74" t="s">
        <v>369</v>
      </c>
      <c r="D1343" t="s">
        <v>3075</v>
      </c>
      <c r="E1343" t="s">
        <v>417</v>
      </c>
      <c r="F1343" s="105" t="s">
        <v>417</v>
      </c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1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2563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489</v>
      </c>
      <c r="S1343" s="71"/>
    </row>
    <row r="1344" spans="1:19" hidden="1">
      <c r="A1344" s="74" t="s">
        <v>3084</v>
      </c>
      <c r="B1344" s="71" t="str">
        <f>IFERROR(VLOOKUP(Proc[[#This Row],[App]],Table2[],3,0),"open")</f>
        <v>ok</v>
      </c>
      <c r="C1344" s="74" t="s">
        <v>369</v>
      </c>
      <c r="D1344" t="s">
        <v>3076</v>
      </c>
      <c r="E1344" t="s">
        <v>417</v>
      </c>
      <c r="F1344" s="105" t="s">
        <v>417</v>
      </c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1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2563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489</v>
      </c>
      <c r="S1344" s="71"/>
    </row>
    <row r="1345" spans="1:19" hidden="1">
      <c r="A1345" s="74" t="s">
        <v>3084</v>
      </c>
      <c r="B1345" s="71" t="str">
        <f>IFERROR(VLOOKUP(Proc[[#This Row],[App]],Table2[],3,0),"open")</f>
        <v>ok</v>
      </c>
      <c r="C1345" s="74" t="s">
        <v>369</v>
      </c>
      <c r="D1345" t="s">
        <v>3077</v>
      </c>
      <c r="E1345" t="s">
        <v>417</v>
      </c>
      <c r="F1345" s="105" t="s">
        <v>417</v>
      </c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1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2563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489</v>
      </c>
      <c r="S1345" s="71"/>
    </row>
    <row r="1346" spans="1:19" hidden="1">
      <c r="A1346" s="74" t="s">
        <v>3084</v>
      </c>
      <c r="B1346" s="71" t="str">
        <f>IFERROR(VLOOKUP(Proc[[#This Row],[App]],Table2[],3,0),"open")</f>
        <v>ok</v>
      </c>
      <c r="C1346" s="74" t="s">
        <v>369</v>
      </c>
      <c r="D1346" t="s">
        <v>3078</v>
      </c>
      <c r="E1346" t="s">
        <v>417</v>
      </c>
      <c r="F1346" s="105" t="s">
        <v>417</v>
      </c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1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2563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489</v>
      </c>
      <c r="S1346" s="71"/>
    </row>
    <row r="1347" spans="1:19" hidden="1">
      <c r="A1347" s="74" t="s">
        <v>3084</v>
      </c>
      <c r="B1347" s="71" t="str">
        <f>IFERROR(VLOOKUP(Proc[[#This Row],[App]],Table2[],3,0),"open")</f>
        <v>ok</v>
      </c>
      <c r="C1347" s="74" t="s">
        <v>369</v>
      </c>
      <c r="D1347" t="s">
        <v>3079</v>
      </c>
      <c r="E1347" t="s">
        <v>417</v>
      </c>
      <c r="F1347" s="105" t="s">
        <v>417</v>
      </c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1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2563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489</v>
      </c>
      <c r="S1347" s="71"/>
    </row>
    <row r="1348" spans="1:19" hidden="1">
      <c r="A1348" s="74" t="s">
        <v>3084</v>
      </c>
      <c r="B1348" s="71" t="str">
        <f>IFERROR(VLOOKUP(Proc[[#This Row],[App]],Table2[],3,0),"open")</f>
        <v>ok</v>
      </c>
      <c r="C1348" s="74" t="s">
        <v>369</v>
      </c>
      <c r="D1348" t="s">
        <v>3080</v>
      </c>
      <c r="E1348" t="s">
        <v>417</v>
      </c>
      <c r="F1348" s="105" t="s">
        <v>417</v>
      </c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1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2563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489</v>
      </c>
      <c r="S1348" s="71"/>
    </row>
    <row r="1349" spans="1:19" hidden="1">
      <c r="A1349" s="74" t="s">
        <v>3084</v>
      </c>
      <c r="B1349" s="71" t="str">
        <f>IFERROR(VLOOKUP(Proc[[#This Row],[App]],Table2[],3,0),"open")</f>
        <v>ok</v>
      </c>
      <c r="C1349" s="74" t="s">
        <v>369</v>
      </c>
      <c r="D1349" t="s">
        <v>3081</v>
      </c>
      <c r="E1349" t="s">
        <v>417</v>
      </c>
      <c r="F1349" s="105" t="s">
        <v>417</v>
      </c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1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2563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489</v>
      </c>
      <c r="S1349" s="71"/>
    </row>
    <row r="1350" spans="1:19" hidden="1">
      <c r="A1350" s="74" t="s">
        <v>3084</v>
      </c>
      <c r="B1350" s="71" t="str">
        <f>IFERROR(VLOOKUP(Proc[[#This Row],[App]],Table2[],3,0),"open")</f>
        <v>ok</v>
      </c>
      <c r="C1350" s="74" t="s">
        <v>369</v>
      </c>
      <c r="D1350" t="s">
        <v>3082</v>
      </c>
      <c r="E1350" t="s">
        <v>417</v>
      </c>
      <c r="F1350" s="105" t="s">
        <v>417</v>
      </c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1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2563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489</v>
      </c>
      <c r="S1350" s="71"/>
    </row>
    <row r="1351" spans="1:19" hidden="1">
      <c r="A1351" s="74" t="s">
        <v>3084</v>
      </c>
      <c r="B1351" s="71" t="str">
        <f>IFERROR(VLOOKUP(Proc[[#This Row],[App]],Table2[],3,0),"open")</f>
        <v>ok</v>
      </c>
      <c r="C1351" s="74" t="s">
        <v>369</v>
      </c>
      <c r="D1351" t="s">
        <v>3083</v>
      </c>
      <c r="E1351" t="s">
        <v>417</v>
      </c>
      <c r="F1351" s="105" t="s">
        <v>417</v>
      </c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1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2563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489</v>
      </c>
      <c r="S1351" s="71"/>
    </row>
    <row r="1352" spans="1:19" hidden="1">
      <c r="A1352" t="s">
        <v>3085</v>
      </c>
      <c r="B1352" s="71" t="str">
        <f>IFERROR(VLOOKUP(Proc[[#This Row],[App]],Table2[],3,0),"open")</f>
        <v>ok</v>
      </c>
      <c r="C1352" s="74" t="s">
        <v>369</v>
      </c>
      <c r="D1352" t="s">
        <v>2889</v>
      </c>
      <c r="E1352" t="s">
        <v>2890</v>
      </c>
      <c r="F1352" s="105" t="s">
        <v>2890</v>
      </c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1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2563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489</v>
      </c>
      <c r="S1352" s="71"/>
    </row>
    <row r="1353" spans="1:19" hidden="1">
      <c r="A1353" t="s">
        <v>3086</v>
      </c>
      <c r="B1353" s="71" t="str">
        <f>IFERROR(VLOOKUP(Proc[[#This Row],[App]],Table2[],3,0),"open")</f>
        <v>ok</v>
      </c>
      <c r="C1353" s="74" t="s">
        <v>369</v>
      </c>
      <c r="D1353" t="s">
        <v>3087</v>
      </c>
      <c r="E1353" t="s">
        <v>3165</v>
      </c>
      <c r="F1353" s="105" t="s">
        <v>3165</v>
      </c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1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2563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489</v>
      </c>
      <c r="S1353" s="71"/>
    </row>
    <row r="1354" spans="1:19" hidden="1">
      <c r="A1354" s="74" t="s">
        <v>3086</v>
      </c>
      <c r="B1354" s="71" t="str">
        <f>IFERROR(VLOOKUP(Proc[[#This Row],[App]],Table2[],3,0),"open")</f>
        <v>ok</v>
      </c>
      <c r="C1354" s="74" t="s">
        <v>369</v>
      </c>
      <c r="D1354" t="s">
        <v>3088</v>
      </c>
      <c r="E1354" t="s">
        <v>3166</v>
      </c>
      <c r="F1354" s="105" t="s">
        <v>3166</v>
      </c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1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2563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489</v>
      </c>
      <c r="S1354" s="71"/>
    </row>
    <row r="1355" spans="1:19" hidden="1">
      <c r="A1355" s="74" t="s">
        <v>3086</v>
      </c>
      <c r="B1355" s="71" t="str">
        <f>IFERROR(VLOOKUP(Proc[[#This Row],[App]],Table2[],3,0),"open")</f>
        <v>ok</v>
      </c>
      <c r="C1355" s="74" t="s">
        <v>369</v>
      </c>
      <c r="D1355" t="s">
        <v>3089</v>
      </c>
      <c r="E1355" t="s">
        <v>3167</v>
      </c>
      <c r="F1355" s="105" t="s">
        <v>3167</v>
      </c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1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2563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489</v>
      </c>
      <c r="S1355" s="71"/>
    </row>
    <row r="1356" spans="1:19" hidden="1">
      <c r="A1356" s="74" t="s">
        <v>3086</v>
      </c>
      <c r="B1356" s="71" t="str">
        <f>IFERROR(VLOOKUP(Proc[[#This Row],[App]],Table2[],3,0),"open")</f>
        <v>ok</v>
      </c>
      <c r="C1356" s="74" t="s">
        <v>369</v>
      </c>
      <c r="D1356" t="s">
        <v>3090</v>
      </c>
      <c r="E1356" t="s">
        <v>3168</v>
      </c>
      <c r="F1356" s="105" t="s">
        <v>3168</v>
      </c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1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2563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489</v>
      </c>
      <c r="S1356" s="71"/>
    </row>
    <row r="1357" spans="1:19" hidden="1">
      <c r="A1357" s="74" t="s">
        <v>3086</v>
      </c>
      <c r="B1357" s="71" t="str">
        <f>IFERROR(VLOOKUP(Proc[[#This Row],[App]],Table2[],3,0),"open")</f>
        <v>ok</v>
      </c>
      <c r="C1357" s="74" t="s">
        <v>369</v>
      </c>
      <c r="D1357" t="s">
        <v>3091</v>
      </c>
      <c r="E1357" t="s">
        <v>2411</v>
      </c>
      <c r="F1357" s="105" t="s">
        <v>2411</v>
      </c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1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2563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489</v>
      </c>
      <c r="S1357" s="71"/>
    </row>
    <row r="1358" spans="1:19" hidden="1">
      <c r="A1358" s="74" t="s">
        <v>3086</v>
      </c>
      <c r="B1358" s="71" t="str">
        <f>IFERROR(VLOOKUP(Proc[[#This Row],[App]],Table2[],3,0),"open")</f>
        <v>ok</v>
      </c>
      <c r="C1358" s="74" t="s">
        <v>369</v>
      </c>
      <c r="D1358" t="s">
        <v>3092</v>
      </c>
      <c r="E1358" t="s">
        <v>3169</v>
      </c>
      <c r="F1358" s="105" t="s">
        <v>3169</v>
      </c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1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2563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489</v>
      </c>
      <c r="S1358" s="71"/>
    </row>
    <row r="1359" spans="1:19" hidden="1">
      <c r="A1359" s="74" t="s">
        <v>3086</v>
      </c>
      <c r="B1359" s="71" t="str">
        <f>IFERROR(VLOOKUP(Proc[[#This Row],[App]],Table2[],3,0),"open")</f>
        <v>ok</v>
      </c>
      <c r="C1359" s="74" t="s">
        <v>369</v>
      </c>
      <c r="D1359" t="s">
        <v>3093</v>
      </c>
      <c r="E1359" t="s">
        <v>3165</v>
      </c>
      <c r="F1359" s="105" t="s">
        <v>3165</v>
      </c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1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2563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489</v>
      </c>
      <c r="S1359" s="71"/>
    </row>
    <row r="1360" spans="1:19" hidden="1">
      <c r="A1360" s="74" t="s">
        <v>3086</v>
      </c>
      <c r="B1360" s="71" t="str">
        <f>IFERROR(VLOOKUP(Proc[[#This Row],[App]],Table2[],3,0),"open")</f>
        <v>ok</v>
      </c>
      <c r="C1360" s="74" t="s">
        <v>369</v>
      </c>
      <c r="D1360" t="s">
        <v>3094</v>
      </c>
      <c r="E1360" t="s">
        <v>3170</v>
      </c>
      <c r="F1360" s="105" t="s">
        <v>3170</v>
      </c>
      <c r="G1360" t="s">
        <v>406</v>
      </c>
      <c r="H1360" s="71" t="str">
        <f>IF(Proc[[#This Row],[type]]="LFF (MDG-F)",MID(Proc[[#This Row],[Obj]],13,10),"")</f>
        <v>DE10OF0003</v>
      </c>
      <c r="I1360" t="s">
        <v>3182</v>
      </c>
      <c r="J1360" s="71" t="b">
        <f>Proc[[#This Row],[Requested]]=Proc[[#This Row],[CurrentParent]]</f>
        <v>1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2563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489</v>
      </c>
      <c r="S1360" s="71"/>
    </row>
    <row r="1361" spans="1:19" hidden="1">
      <c r="A1361" s="74" t="s">
        <v>3086</v>
      </c>
      <c r="B1361" s="71" t="str">
        <f>IFERROR(VLOOKUP(Proc[[#This Row],[App]],Table2[],3,0),"open")</f>
        <v>ok</v>
      </c>
      <c r="C1361" s="74" t="s">
        <v>369</v>
      </c>
      <c r="D1361" t="s">
        <v>3095</v>
      </c>
      <c r="E1361" t="s">
        <v>3169</v>
      </c>
      <c r="F1361" s="105" t="s">
        <v>3169</v>
      </c>
      <c r="G1361" s="74" t="s">
        <v>406</v>
      </c>
      <c r="H1361" s="71" t="str">
        <f>IF(Proc[[#This Row],[type]]="LFF (MDG-F)",MID(Proc[[#This Row],[Obj]],13,10),"")</f>
        <v>1756OF0001</v>
      </c>
      <c r="I1361" t="s">
        <v>3182</v>
      </c>
      <c r="J1361" s="71" t="b">
        <f>Proc[[#This Row],[Requested]]=Proc[[#This Row],[CurrentParent]]</f>
        <v>1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2563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489</v>
      </c>
      <c r="S1361" s="71"/>
    </row>
    <row r="1362" spans="1:19" hidden="1">
      <c r="A1362" s="74" t="s">
        <v>3086</v>
      </c>
      <c r="B1362" s="71" t="str">
        <f>IFERROR(VLOOKUP(Proc[[#This Row],[App]],Table2[],3,0),"open")</f>
        <v>ok</v>
      </c>
      <c r="C1362" s="74" t="s">
        <v>369</v>
      </c>
      <c r="D1362" t="s">
        <v>3096</v>
      </c>
      <c r="E1362" t="s">
        <v>3165</v>
      </c>
      <c r="F1362" s="105" t="s">
        <v>3165</v>
      </c>
      <c r="G1362" s="74" t="s">
        <v>406</v>
      </c>
      <c r="H1362" s="71" t="str">
        <f>IF(Proc[[#This Row],[type]]="LFF (MDG-F)",MID(Proc[[#This Row],[Obj]],13,10),"")</f>
        <v>1756OF0006</v>
      </c>
      <c r="I1362" t="s">
        <v>3182</v>
      </c>
      <c r="J1362" s="71" t="b">
        <f>Proc[[#This Row],[Requested]]=Proc[[#This Row],[CurrentParent]]</f>
        <v>1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2563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489</v>
      </c>
      <c r="S1362" s="71"/>
    </row>
    <row r="1363" spans="1:19" hidden="1">
      <c r="A1363" s="74" t="s">
        <v>3086</v>
      </c>
      <c r="B1363" s="71" t="str">
        <f>IFERROR(VLOOKUP(Proc[[#This Row],[App]],Table2[],3,0),"open")</f>
        <v>ok</v>
      </c>
      <c r="C1363" s="74" t="s">
        <v>369</v>
      </c>
      <c r="D1363" t="s">
        <v>3097</v>
      </c>
      <c r="E1363" t="s">
        <v>3171</v>
      </c>
      <c r="F1363" s="105" t="s">
        <v>3171</v>
      </c>
      <c r="G1363" s="74" t="s">
        <v>406</v>
      </c>
      <c r="H1363" s="71" t="str">
        <f>IF(Proc[[#This Row],[type]]="LFF (MDG-F)",MID(Proc[[#This Row],[Obj]],13,10),"")</f>
        <v>1756OF7061</v>
      </c>
      <c r="I1363" t="s">
        <v>3182</v>
      </c>
      <c r="J1363" s="71" t="b">
        <f>Proc[[#This Row],[Requested]]=Proc[[#This Row],[CurrentParent]]</f>
        <v>1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2563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489</v>
      </c>
      <c r="S1363" s="71"/>
    </row>
    <row r="1364" spans="1:19" hidden="1">
      <c r="A1364" s="74" t="s">
        <v>3086</v>
      </c>
      <c r="B1364" s="71" t="str">
        <f>IFERROR(VLOOKUP(Proc[[#This Row],[App]],Table2[],3,0),"open")</f>
        <v>ok</v>
      </c>
      <c r="C1364" s="74" t="s">
        <v>369</v>
      </c>
      <c r="D1364" t="s">
        <v>3098</v>
      </c>
      <c r="E1364" t="s">
        <v>3168</v>
      </c>
      <c r="F1364" s="105" t="s">
        <v>3168</v>
      </c>
      <c r="G1364" s="74" t="s">
        <v>406</v>
      </c>
      <c r="H1364" s="71" t="str">
        <f>IF(Proc[[#This Row],[type]]="LFF (MDG-F)",MID(Proc[[#This Row],[Obj]],13,10),"")</f>
        <v>1756OF7094</v>
      </c>
      <c r="I1364" t="s">
        <v>3182</v>
      </c>
      <c r="J1364" s="71" t="b">
        <f>Proc[[#This Row],[Requested]]=Proc[[#This Row],[CurrentParent]]</f>
        <v>1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2563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489</v>
      </c>
      <c r="S1364" s="71"/>
    </row>
    <row r="1365" spans="1:19" hidden="1">
      <c r="A1365" s="74" t="s">
        <v>3086</v>
      </c>
      <c r="B1365" s="71" t="str">
        <f>IFERROR(VLOOKUP(Proc[[#This Row],[App]],Table2[],3,0),"open")</f>
        <v>ok</v>
      </c>
      <c r="C1365" s="74" t="s">
        <v>369</v>
      </c>
      <c r="D1365" t="s">
        <v>3099</v>
      </c>
      <c r="E1365" t="s">
        <v>3172</v>
      </c>
      <c r="F1365" s="105" t="s">
        <v>3172</v>
      </c>
      <c r="G1365" s="74" t="s">
        <v>406</v>
      </c>
      <c r="H1365" s="71" t="str">
        <f>IF(Proc[[#This Row],[type]]="LFF (MDG-F)",MID(Proc[[#This Row],[Obj]],13,10),"")</f>
        <v>2148OF0261</v>
      </c>
      <c r="I1365" t="s">
        <v>3182</v>
      </c>
      <c r="J1365" s="71" t="b">
        <f>Proc[[#This Row],[Requested]]=Proc[[#This Row],[CurrentParent]]</f>
        <v>1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2563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489</v>
      </c>
      <c r="S1365" s="71"/>
    </row>
    <row r="1366" spans="1:19" hidden="1">
      <c r="A1366" s="74" t="s">
        <v>3086</v>
      </c>
      <c r="B1366" s="71" t="str">
        <f>IFERROR(VLOOKUP(Proc[[#This Row],[App]],Table2[],3,0),"open")</f>
        <v>ok</v>
      </c>
      <c r="C1366" s="74" t="s">
        <v>369</v>
      </c>
      <c r="D1366" t="s">
        <v>3100</v>
      </c>
      <c r="E1366" t="s">
        <v>3168</v>
      </c>
      <c r="F1366" s="105" t="s">
        <v>3168</v>
      </c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1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2563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489</v>
      </c>
      <c r="S1366" s="71"/>
    </row>
    <row r="1367" spans="1:19" hidden="1">
      <c r="A1367" s="74" t="s">
        <v>3086</v>
      </c>
      <c r="B1367" s="71" t="str">
        <f>IFERROR(VLOOKUP(Proc[[#This Row],[App]],Table2[],3,0),"open")</f>
        <v>ok</v>
      </c>
      <c r="C1367" s="74" t="s">
        <v>369</v>
      </c>
      <c r="D1367" t="s">
        <v>3101</v>
      </c>
      <c r="E1367" t="s">
        <v>3168</v>
      </c>
      <c r="F1367" s="105" t="s">
        <v>3168</v>
      </c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1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2563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489</v>
      </c>
      <c r="S1367" s="71"/>
    </row>
    <row r="1368" spans="1:19" hidden="1">
      <c r="A1368" s="74" t="s">
        <v>3086</v>
      </c>
      <c r="B1368" s="71" t="str">
        <f>IFERROR(VLOOKUP(Proc[[#This Row],[App]],Table2[],3,0),"open")</f>
        <v>ok</v>
      </c>
      <c r="C1368" s="74" t="s">
        <v>369</v>
      </c>
      <c r="D1368" t="s">
        <v>3102</v>
      </c>
      <c r="E1368" t="s">
        <v>3166</v>
      </c>
      <c r="F1368" s="105" t="s">
        <v>3166</v>
      </c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1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2563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489</v>
      </c>
      <c r="S1368" s="71"/>
    </row>
    <row r="1369" spans="1:19" hidden="1">
      <c r="A1369" s="74" t="s">
        <v>3086</v>
      </c>
      <c r="B1369" s="71" t="str">
        <f>IFERROR(VLOOKUP(Proc[[#This Row],[App]],Table2[],3,0),"open")</f>
        <v>ok</v>
      </c>
      <c r="C1369" s="74" t="s">
        <v>369</v>
      </c>
      <c r="D1369" t="s">
        <v>3103</v>
      </c>
      <c r="E1369" t="s">
        <v>3165</v>
      </c>
      <c r="F1369" s="105" t="s">
        <v>3165</v>
      </c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1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2563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489</v>
      </c>
      <c r="S1369" s="71"/>
    </row>
    <row r="1370" spans="1:19" hidden="1">
      <c r="A1370" s="74" t="s">
        <v>3086</v>
      </c>
      <c r="B1370" s="71" t="str">
        <f>IFERROR(VLOOKUP(Proc[[#This Row],[App]],Table2[],3,0),"open")</f>
        <v>ok</v>
      </c>
      <c r="C1370" s="74" t="s">
        <v>369</v>
      </c>
      <c r="D1370" t="s">
        <v>3104</v>
      </c>
      <c r="E1370" t="s">
        <v>3171</v>
      </c>
      <c r="F1370" s="105" t="s">
        <v>3171</v>
      </c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1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2563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489</v>
      </c>
      <c r="S1370" s="71"/>
    </row>
    <row r="1371" spans="1:19" hidden="1">
      <c r="A1371" s="74" t="s">
        <v>3086</v>
      </c>
      <c r="B1371" s="71" t="str">
        <f>IFERROR(VLOOKUP(Proc[[#This Row],[App]],Table2[],3,0),"open")</f>
        <v>ok</v>
      </c>
      <c r="C1371" s="74" t="s">
        <v>369</v>
      </c>
      <c r="D1371" t="s">
        <v>3105</v>
      </c>
      <c r="E1371" t="s">
        <v>3169</v>
      </c>
      <c r="F1371" s="105" t="s">
        <v>3169</v>
      </c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1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2563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489</v>
      </c>
      <c r="S1371" s="71"/>
    </row>
    <row r="1372" spans="1:19" hidden="1">
      <c r="A1372" s="74" t="s">
        <v>3086</v>
      </c>
      <c r="B1372" s="71" t="str">
        <f>IFERROR(VLOOKUP(Proc[[#This Row],[App]],Table2[],3,0),"open")</f>
        <v>ok</v>
      </c>
      <c r="C1372" s="74" t="s">
        <v>369</v>
      </c>
      <c r="D1372" t="s">
        <v>3106</v>
      </c>
      <c r="E1372" t="s">
        <v>3169</v>
      </c>
      <c r="F1372" s="105" t="s">
        <v>3169</v>
      </c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1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2563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489</v>
      </c>
      <c r="S1372" s="71"/>
    </row>
    <row r="1373" spans="1:19" hidden="1">
      <c r="A1373" s="74" t="s">
        <v>3086</v>
      </c>
      <c r="B1373" s="71" t="str">
        <f>IFERROR(VLOOKUP(Proc[[#This Row],[App]],Table2[],3,0),"open")</f>
        <v>ok</v>
      </c>
      <c r="C1373" s="74" t="s">
        <v>369</v>
      </c>
      <c r="D1373" t="s">
        <v>3107</v>
      </c>
      <c r="E1373" t="s">
        <v>3170</v>
      </c>
      <c r="F1373" s="105" t="s">
        <v>3170</v>
      </c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1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2563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489</v>
      </c>
      <c r="S1373" s="71"/>
    </row>
    <row r="1374" spans="1:19" hidden="1">
      <c r="A1374" s="74" t="s">
        <v>3086</v>
      </c>
      <c r="B1374" s="71" t="str">
        <f>IFERROR(VLOOKUP(Proc[[#This Row],[App]],Table2[],3,0),"open")</f>
        <v>ok</v>
      </c>
      <c r="C1374" s="74" t="s">
        <v>369</v>
      </c>
      <c r="D1374" t="s">
        <v>3108</v>
      </c>
      <c r="E1374" t="s">
        <v>3172</v>
      </c>
      <c r="F1374" s="105" t="s">
        <v>3172</v>
      </c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1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2563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489</v>
      </c>
      <c r="S1374" s="71"/>
    </row>
    <row r="1375" spans="1:19" hidden="1">
      <c r="A1375" s="74" t="s">
        <v>3086</v>
      </c>
      <c r="B1375" s="71" t="str">
        <f>IFERROR(VLOOKUP(Proc[[#This Row],[App]],Table2[],3,0),"open")</f>
        <v>ok</v>
      </c>
      <c r="C1375" s="74" t="s">
        <v>369</v>
      </c>
      <c r="D1375" t="s">
        <v>3109</v>
      </c>
      <c r="E1375" t="s">
        <v>3170</v>
      </c>
      <c r="F1375" s="105" t="s">
        <v>3170</v>
      </c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1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2563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489</v>
      </c>
      <c r="S1375" s="71"/>
    </row>
    <row r="1376" spans="1:19" hidden="1">
      <c r="A1376" s="74" t="s">
        <v>3086</v>
      </c>
      <c r="B1376" s="71" t="str">
        <f>IFERROR(VLOOKUP(Proc[[#This Row],[App]],Table2[],3,0),"open")</f>
        <v>ok</v>
      </c>
      <c r="C1376" s="74" t="s">
        <v>369</v>
      </c>
      <c r="D1376" t="s">
        <v>3110</v>
      </c>
      <c r="E1376" t="s">
        <v>3172</v>
      </c>
      <c r="F1376" s="105" t="s">
        <v>3172</v>
      </c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1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2563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489</v>
      </c>
      <c r="S1376" s="71"/>
    </row>
    <row r="1377" spans="1:19" hidden="1">
      <c r="A1377" s="74" t="s">
        <v>3086</v>
      </c>
      <c r="B1377" s="71" t="str">
        <f>IFERROR(VLOOKUP(Proc[[#This Row],[App]],Table2[],3,0),"open")</f>
        <v>ok</v>
      </c>
      <c r="C1377" s="74" t="s">
        <v>369</v>
      </c>
      <c r="D1377" t="s">
        <v>3111</v>
      </c>
      <c r="E1377" t="s">
        <v>3173</v>
      </c>
      <c r="F1377" s="105" t="s">
        <v>3173</v>
      </c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1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2563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489</v>
      </c>
      <c r="S1377" s="71"/>
    </row>
    <row r="1378" spans="1:19" hidden="1">
      <c r="A1378" s="74" t="s">
        <v>3086</v>
      </c>
      <c r="B1378" s="71" t="str">
        <f>IFERROR(VLOOKUP(Proc[[#This Row],[App]],Table2[],3,0),"open")</f>
        <v>ok</v>
      </c>
      <c r="C1378" s="74" t="s">
        <v>369</v>
      </c>
      <c r="D1378" t="s">
        <v>3112</v>
      </c>
      <c r="E1378" t="s">
        <v>3174</v>
      </c>
      <c r="F1378" s="105" t="s">
        <v>3174</v>
      </c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1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2563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489</v>
      </c>
      <c r="S1378" s="71"/>
    </row>
    <row r="1379" spans="1:19" hidden="1">
      <c r="A1379" s="74" t="s">
        <v>3086</v>
      </c>
      <c r="B1379" s="71" t="str">
        <f>IFERROR(VLOOKUP(Proc[[#This Row],[App]],Table2[],3,0),"open")</f>
        <v>ok</v>
      </c>
      <c r="C1379" s="74" t="s">
        <v>369</v>
      </c>
      <c r="D1379" t="s">
        <v>3113</v>
      </c>
      <c r="E1379" t="s">
        <v>3166</v>
      </c>
      <c r="F1379" s="105" t="s">
        <v>3166</v>
      </c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1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2563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489</v>
      </c>
      <c r="S1379" s="71"/>
    </row>
    <row r="1380" spans="1:19" hidden="1">
      <c r="A1380" s="74" t="s">
        <v>3086</v>
      </c>
      <c r="B1380" s="71" t="str">
        <f>IFERROR(VLOOKUP(Proc[[#This Row],[App]],Table2[],3,0),"open")</f>
        <v>ok</v>
      </c>
      <c r="C1380" s="74" t="s">
        <v>369</v>
      </c>
      <c r="D1380" t="s">
        <v>3114</v>
      </c>
      <c r="E1380" t="s">
        <v>3170</v>
      </c>
      <c r="F1380" s="105" t="s">
        <v>3170</v>
      </c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1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2563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489</v>
      </c>
      <c r="S1380" s="71"/>
    </row>
    <row r="1381" spans="1:19" hidden="1">
      <c r="A1381" s="74" t="s">
        <v>3086</v>
      </c>
      <c r="B1381" s="71" t="str">
        <f>IFERROR(VLOOKUP(Proc[[#This Row],[App]],Table2[],3,0),"open")</f>
        <v>ok</v>
      </c>
      <c r="C1381" s="74" t="s">
        <v>369</v>
      </c>
      <c r="D1381" t="s">
        <v>3115</v>
      </c>
      <c r="E1381" t="s">
        <v>3168</v>
      </c>
      <c r="F1381" s="105" t="s">
        <v>3168</v>
      </c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1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2563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489</v>
      </c>
      <c r="S1381" s="71"/>
    </row>
    <row r="1382" spans="1:19" hidden="1">
      <c r="A1382" s="74" t="s">
        <v>3086</v>
      </c>
      <c r="B1382" s="71" t="str">
        <f>IFERROR(VLOOKUP(Proc[[#This Row],[App]],Table2[],3,0),"open")</f>
        <v>ok</v>
      </c>
      <c r="C1382" s="74" t="s">
        <v>369</v>
      </c>
      <c r="D1382" t="s">
        <v>3116</v>
      </c>
      <c r="E1382" t="s">
        <v>3168</v>
      </c>
      <c r="F1382" s="105" t="s">
        <v>3168</v>
      </c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1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2563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489</v>
      </c>
      <c r="S1382" s="71"/>
    </row>
    <row r="1383" spans="1:19" hidden="1">
      <c r="A1383" s="74" t="s">
        <v>3086</v>
      </c>
      <c r="B1383" s="71" t="str">
        <f>IFERROR(VLOOKUP(Proc[[#This Row],[App]],Table2[],3,0),"open")</f>
        <v>ok</v>
      </c>
      <c r="C1383" s="74" t="s">
        <v>369</v>
      </c>
      <c r="D1383" t="s">
        <v>3117</v>
      </c>
      <c r="E1383" t="s">
        <v>3171</v>
      </c>
      <c r="F1383" s="105" t="s">
        <v>3171</v>
      </c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1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2563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489</v>
      </c>
      <c r="S1383" s="71"/>
    </row>
    <row r="1384" spans="1:19" hidden="1">
      <c r="A1384" s="74" t="s">
        <v>3086</v>
      </c>
      <c r="B1384" s="71" t="str">
        <f>IFERROR(VLOOKUP(Proc[[#This Row],[App]],Table2[],3,0),"open")</f>
        <v>ok</v>
      </c>
      <c r="C1384" s="74" t="s">
        <v>369</v>
      </c>
      <c r="D1384" t="s">
        <v>3118</v>
      </c>
      <c r="E1384" t="s">
        <v>3167</v>
      </c>
      <c r="F1384" s="105" t="s">
        <v>3167</v>
      </c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1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2563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489</v>
      </c>
      <c r="S1384" s="71"/>
    </row>
    <row r="1385" spans="1:19" hidden="1">
      <c r="A1385" s="74" t="s">
        <v>3086</v>
      </c>
      <c r="B1385" s="71" t="str">
        <f>IFERROR(VLOOKUP(Proc[[#This Row],[App]],Table2[],3,0),"open")</f>
        <v>ok</v>
      </c>
      <c r="C1385" s="74" t="s">
        <v>369</v>
      </c>
      <c r="D1385" t="s">
        <v>3119</v>
      </c>
      <c r="E1385" t="s">
        <v>3174</v>
      </c>
      <c r="F1385" s="105" t="s">
        <v>3174</v>
      </c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1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2563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489</v>
      </c>
      <c r="S1385" s="71"/>
    </row>
    <row r="1386" spans="1:19" hidden="1">
      <c r="A1386" s="74" t="s">
        <v>3086</v>
      </c>
      <c r="B1386" s="71" t="str">
        <f>IFERROR(VLOOKUP(Proc[[#This Row],[App]],Table2[],3,0),"open")</f>
        <v>ok</v>
      </c>
      <c r="C1386" s="74" t="s">
        <v>369</v>
      </c>
      <c r="D1386" t="s">
        <v>3120</v>
      </c>
      <c r="E1386" t="s">
        <v>3168</v>
      </c>
      <c r="F1386" s="105" t="s">
        <v>3168</v>
      </c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1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2563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489</v>
      </c>
      <c r="S1386" s="71"/>
    </row>
    <row r="1387" spans="1:19" hidden="1">
      <c r="A1387" s="74" t="s">
        <v>3086</v>
      </c>
      <c r="B1387" s="71" t="str">
        <f>IFERROR(VLOOKUP(Proc[[#This Row],[App]],Table2[],3,0),"open")</f>
        <v>ok</v>
      </c>
      <c r="C1387" s="74" t="s">
        <v>369</v>
      </c>
      <c r="D1387" t="s">
        <v>3121</v>
      </c>
      <c r="E1387" t="s">
        <v>3168</v>
      </c>
      <c r="F1387" s="105" t="s">
        <v>3168</v>
      </c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1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2563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489</v>
      </c>
      <c r="S1387" s="71"/>
    </row>
    <row r="1388" spans="1:19" hidden="1">
      <c r="A1388" s="74" t="s">
        <v>3086</v>
      </c>
      <c r="B1388" s="71" t="str">
        <f>IFERROR(VLOOKUP(Proc[[#This Row],[App]],Table2[],3,0),"open")</f>
        <v>ok</v>
      </c>
      <c r="C1388" s="74" t="s">
        <v>369</v>
      </c>
      <c r="D1388" t="s">
        <v>3122</v>
      </c>
      <c r="E1388" t="s">
        <v>3171</v>
      </c>
      <c r="F1388" s="105" t="s">
        <v>3171</v>
      </c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1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2563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489</v>
      </c>
      <c r="S1388" s="71"/>
    </row>
    <row r="1389" spans="1:19" hidden="1">
      <c r="A1389" s="74" t="s">
        <v>3086</v>
      </c>
      <c r="B1389" s="71" t="str">
        <f>IFERROR(VLOOKUP(Proc[[#This Row],[App]],Table2[],3,0),"open")</f>
        <v>ok</v>
      </c>
      <c r="C1389" s="74" t="s">
        <v>369</v>
      </c>
      <c r="D1389" t="s">
        <v>3123</v>
      </c>
      <c r="E1389" t="s">
        <v>3165</v>
      </c>
      <c r="F1389" s="105" t="s">
        <v>3165</v>
      </c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1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2563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489</v>
      </c>
      <c r="S1389" s="71"/>
    </row>
    <row r="1390" spans="1:19" hidden="1">
      <c r="A1390" s="74" t="s">
        <v>3086</v>
      </c>
      <c r="B1390" s="71" t="str">
        <f>IFERROR(VLOOKUP(Proc[[#This Row],[App]],Table2[],3,0),"open")</f>
        <v>ok</v>
      </c>
      <c r="C1390" s="74" t="s">
        <v>369</v>
      </c>
      <c r="D1390" t="s">
        <v>3124</v>
      </c>
      <c r="E1390" t="s">
        <v>3172</v>
      </c>
      <c r="F1390" s="105" t="s">
        <v>3172</v>
      </c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1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2563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489</v>
      </c>
      <c r="S1390" s="71"/>
    </row>
    <row r="1391" spans="1:19" hidden="1">
      <c r="A1391" s="74" t="s">
        <v>3086</v>
      </c>
      <c r="B1391" s="71" t="str">
        <f>IFERROR(VLOOKUP(Proc[[#This Row],[App]],Table2[],3,0),"open")</f>
        <v>ok</v>
      </c>
      <c r="C1391" s="74" t="s">
        <v>369</v>
      </c>
      <c r="D1391" t="s">
        <v>3125</v>
      </c>
      <c r="E1391" t="s">
        <v>3174</v>
      </c>
      <c r="F1391" s="105" t="s">
        <v>3174</v>
      </c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1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2563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489</v>
      </c>
      <c r="S1391" s="71"/>
    </row>
    <row r="1392" spans="1:19" hidden="1">
      <c r="A1392" s="74" t="s">
        <v>3086</v>
      </c>
      <c r="B1392" s="71" t="str">
        <f>IFERROR(VLOOKUP(Proc[[#This Row],[App]],Table2[],3,0),"open")</f>
        <v>ok</v>
      </c>
      <c r="C1392" s="74" t="s">
        <v>369</v>
      </c>
      <c r="D1392" t="s">
        <v>3126</v>
      </c>
      <c r="E1392" t="s">
        <v>3175</v>
      </c>
      <c r="F1392" s="105" t="s">
        <v>3175</v>
      </c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1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2563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489</v>
      </c>
      <c r="S1392" s="71"/>
    </row>
    <row r="1393" spans="1:19" hidden="1">
      <c r="A1393" s="74" t="s">
        <v>3086</v>
      </c>
      <c r="B1393" s="71" t="str">
        <f>IFERROR(VLOOKUP(Proc[[#This Row],[App]],Table2[],3,0),"open")</f>
        <v>ok</v>
      </c>
      <c r="C1393" s="74" t="s">
        <v>369</v>
      </c>
      <c r="D1393" t="s">
        <v>3127</v>
      </c>
      <c r="E1393" t="s">
        <v>3168</v>
      </c>
      <c r="F1393" s="105" t="s">
        <v>3168</v>
      </c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1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2563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489</v>
      </c>
      <c r="S1393" s="71"/>
    </row>
    <row r="1394" spans="1:19" hidden="1">
      <c r="A1394" s="74" t="s">
        <v>3086</v>
      </c>
      <c r="B1394" s="71" t="str">
        <f>IFERROR(VLOOKUP(Proc[[#This Row],[App]],Table2[],3,0),"open")</f>
        <v>ok</v>
      </c>
      <c r="C1394" s="74" t="s">
        <v>369</v>
      </c>
      <c r="D1394" t="s">
        <v>3128</v>
      </c>
      <c r="E1394" t="s">
        <v>3172</v>
      </c>
      <c r="F1394" s="105" t="s">
        <v>3172</v>
      </c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1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2563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489</v>
      </c>
      <c r="S1394" s="71"/>
    </row>
    <row r="1395" spans="1:19" hidden="1">
      <c r="A1395" s="74" t="s">
        <v>3086</v>
      </c>
      <c r="B1395" s="71" t="str">
        <f>IFERROR(VLOOKUP(Proc[[#This Row],[App]],Table2[],3,0),"open")</f>
        <v>ok</v>
      </c>
      <c r="C1395" s="74" t="s">
        <v>369</v>
      </c>
      <c r="D1395" t="s">
        <v>3129</v>
      </c>
      <c r="E1395" t="s">
        <v>3167</v>
      </c>
      <c r="F1395" s="105" t="s">
        <v>3167</v>
      </c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1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2563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489</v>
      </c>
      <c r="S1395" s="71"/>
    </row>
    <row r="1396" spans="1:19" hidden="1">
      <c r="A1396" s="74" t="s">
        <v>3086</v>
      </c>
      <c r="B1396" s="71" t="str">
        <f>IFERROR(VLOOKUP(Proc[[#This Row],[App]],Table2[],3,0),"open")</f>
        <v>ok</v>
      </c>
      <c r="C1396" s="74" t="s">
        <v>369</v>
      </c>
      <c r="D1396" t="s">
        <v>3130</v>
      </c>
      <c r="E1396" t="s">
        <v>3176</v>
      </c>
      <c r="F1396" s="105" t="s">
        <v>3176</v>
      </c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1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2563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489</v>
      </c>
      <c r="S1396" s="71"/>
    </row>
    <row r="1397" spans="1:19" hidden="1">
      <c r="A1397" s="74" t="s">
        <v>3086</v>
      </c>
      <c r="B1397" s="71" t="str">
        <f>IFERROR(VLOOKUP(Proc[[#This Row],[App]],Table2[],3,0),"open")</f>
        <v>ok</v>
      </c>
      <c r="C1397" s="74" t="s">
        <v>369</v>
      </c>
      <c r="D1397" t="s">
        <v>3131</v>
      </c>
      <c r="E1397" t="s">
        <v>3168</v>
      </c>
      <c r="F1397" s="105" t="s">
        <v>3168</v>
      </c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1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2563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489</v>
      </c>
      <c r="S1397" s="71"/>
    </row>
    <row r="1398" spans="1:19" hidden="1">
      <c r="A1398" s="74" t="s">
        <v>3086</v>
      </c>
      <c r="B1398" s="71" t="str">
        <f>IFERROR(VLOOKUP(Proc[[#This Row],[App]],Table2[],3,0),"open")</f>
        <v>ok</v>
      </c>
      <c r="C1398" s="74" t="s">
        <v>369</v>
      </c>
      <c r="D1398" t="s">
        <v>3132</v>
      </c>
      <c r="E1398" t="s">
        <v>3166</v>
      </c>
      <c r="F1398" s="105" t="s">
        <v>3166</v>
      </c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1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2563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489</v>
      </c>
      <c r="S1398" s="71"/>
    </row>
    <row r="1399" spans="1:19" hidden="1">
      <c r="A1399" s="74" t="s">
        <v>3086</v>
      </c>
      <c r="B1399" s="71" t="str">
        <f>IFERROR(VLOOKUP(Proc[[#This Row],[App]],Table2[],3,0),"open")</f>
        <v>ok</v>
      </c>
      <c r="C1399" s="74" t="s">
        <v>369</v>
      </c>
      <c r="D1399" t="s">
        <v>3133</v>
      </c>
      <c r="E1399" t="s">
        <v>3177</v>
      </c>
      <c r="F1399" s="105" t="s">
        <v>3177</v>
      </c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1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2563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489</v>
      </c>
      <c r="S1399" s="71"/>
    </row>
    <row r="1400" spans="1:19" hidden="1">
      <c r="A1400" s="74" t="s">
        <v>3086</v>
      </c>
      <c r="B1400" s="71" t="str">
        <f>IFERROR(VLOOKUP(Proc[[#This Row],[App]],Table2[],3,0),"open")</f>
        <v>ok</v>
      </c>
      <c r="C1400" s="74" t="s">
        <v>369</v>
      </c>
      <c r="D1400" t="s">
        <v>3134</v>
      </c>
      <c r="E1400" t="s">
        <v>3171</v>
      </c>
      <c r="F1400" s="105" t="s">
        <v>3171</v>
      </c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1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2563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489</v>
      </c>
      <c r="S1400" s="71"/>
    </row>
    <row r="1401" spans="1:19" hidden="1">
      <c r="A1401" s="74" t="s">
        <v>3086</v>
      </c>
      <c r="B1401" s="71" t="str">
        <f>IFERROR(VLOOKUP(Proc[[#This Row],[App]],Table2[],3,0),"open")</f>
        <v>ok</v>
      </c>
      <c r="C1401" s="74" t="s">
        <v>369</v>
      </c>
      <c r="D1401" t="s">
        <v>3135</v>
      </c>
      <c r="E1401" t="s">
        <v>3177</v>
      </c>
      <c r="F1401" s="105" t="s">
        <v>3177</v>
      </c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1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2563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489</v>
      </c>
      <c r="S1401" s="71"/>
    </row>
    <row r="1402" spans="1:19" hidden="1">
      <c r="A1402" s="74" t="s">
        <v>3086</v>
      </c>
      <c r="B1402" s="71" t="str">
        <f>IFERROR(VLOOKUP(Proc[[#This Row],[App]],Table2[],3,0),"open")</f>
        <v>ok</v>
      </c>
      <c r="C1402" s="74" t="s">
        <v>369</v>
      </c>
      <c r="D1402" t="s">
        <v>3136</v>
      </c>
      <c r="E1402" t="s">
        <v>3170</v>
      </c>
      <c r="F1402" s="105" t="s">
        <v>3170</v>
      </c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1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2563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489</v>
      </c>
      <c r="S1402" s="71"/>
    </row>
    <row r="1403" spans="1:19" hidden="1">
      <c r="A1403" s="74" t="s">
        <v>3086</v>
      </c>
      <c r="B1403" s="71" t="str">
        <f>IFERROR(VLOOKUP(Proc[[#This Row],[App]],Table2[],3,0),"open")</f>
        <v>ok</v>
      </c>
      <c r="C1403" s="74" t="s">
        <v>369</v>
      </c>
      <c r="D1403" t="s">
        <v>3137</v>
      </c>
      <c r="E1403" t="s">
        <v>3171</v>
      </c>
      <c r="F1403" s="105" t="s">
        <v>3171</v>
      </c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1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2563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489</v>
      </c>
      <c r="S1403" s="71"/>
    </row>
    <row r="1404" spans="1:19" hidden="1">
      <c r="A1404" s="74" t="s">
        <v>3086</v>
      </c>
      <c r="B1404" s="71" t="str">
        <f>IFERROR(VLOOKUP(Proc[[#This Row],[App]],Table2[],3,0),"open")</f>
        <v>ok</v>
      </c>
      <c r="C1404" s="74" t="s">
        <v>369</v>
      </c>
      <c r="D1404" t="s">
        <v>3138</v>
      </c>
      <c r="E1404" t="s">
        <v>3170</v>
      </c>
      <c r="F1404" s="105" t="s">
        <v>3170</v>
      </c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1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2563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489</v>
      </c>
      <c r="S1404" s="71"/>
    </row>
    <row r="1405" spans="1:19" hidden="1">
      <c r="A1405" s="74" t="s">
        <v>3086</v>
      </c>
      <c r="B1405" s="71" t="str">
        <f>IFERROR(VLOOKUP(Proc[[#This Row],[App]],Table2[],3,0),"open")</f>
        <v>ok</v>
      </c>
      <c r="C1405" s="74" t="s">
        <v>369</v>
      </c>
      <c r="D1405" t="s">
        <v>3139</v>
      </c>
      <c r="E1405" t="s">
        <v>3167</v>
      </c>
      <c r="F1405" s="105" t="s">
        <v>3167</v>
      </c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1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2563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489</v>
      </c>
      <c r="S1405" s="71"/>
    </row>
    <row r="1406" spans="1:19" hidden="1">
      <c r="A1406" s="74" t="s">
        <v>3086</v>
      </c>
      <c r="B1406" s="71" t="str">
        <f>IFERROR(VLOOKUP(Proc[[#This Row],[App]],Table2[],3,0),"open")</f>
        <v>ok</v>
      </c>
      <c r="C1406" s="74" t="s">
        <v>369</v>
      </c>
      <c r="D1406" t="s">
        <v>3140</v>
      </c>
      <c r="E1406" t="s">
        <v>3165</v>
      </c>
      <c r="F1406" s="105" t="s">
        <v>3165</v>
      </c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1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2563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489</v>
      </c>
      <c r="S1406" s="71"/>
    </row>
    <row r="1407" spans="1:19" hidden="1">
      <c r="A1407" s="74" t="s">
        <v>3086</v>
      </c>
      <c r="B1407" s="71" t="str">
        <f>IFERROR(VLOOKUP(Proc[[#This Row],[App]],Table2[],3,0),"open")</f>
        <v>ok</v>
      </c>
      <c r="C1407" s="74" t="s">
        <v>369</v>
      </c>
      <c r="D1407" t="s">
        <v>3141</v>
      </c>
      <c r="E1407" t="s">
        <v>3178</v>
      </c>
      <c r="F1407" s="105" t="s">
        <v>3178</v>
      </c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1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2563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489</v>
      </c>
      <c r="S1407" s="71"/>
    </row>
    <row r="1408" spans="1:19" hidden="1">
      <c r="A1408" s="74" t="s">
        <v>3086</v>
      </c>
      <c r="B1408" s="71" t="str">
        <f>IFERROR(VLOOKUP(Proc[[#This Row],[App]],Table2[],3,0),"open")</f>
        <v>ok</v>
      </c>
      <c r="C1408" s="74" t="s">
        <v>369</v>
      </c>
      <c r="D1408" t="s">
        <v>3142</v>
      </c>
      <c r="E1408" t="s">
        <v>3172</v>
      </c>
      <c r="F1408" s="105" t="s">
        <v>3172</v>
      </c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1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2563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489</v>
      </c>
      <c r="S1408" s="71"/>
    </row>
    <row r="1409" spans="1:19" hidden="1">
      <c r="A1409" s="74" t="s">
        <v>3086</v>
      </c>
      <c r="B1409" s="71" t="str">
        <f>IFERROR(VLOOKUP(Proc[[#This Row],[App]],Table2[],3,0),"open")</f>
        <v>ok</v>
      </c>
      <c r="C1409" s="74" t="s">
        <v>369</v>
      </c>
      <c r="D1409" t="s">
        <v>3143</v>
      </c>
      <c r="E1409" t="s">
        <v>3179</v>
      </c>
      <c r="F1409" s="105" t="s">
        <v>3179</v>
      </c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1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2563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489</v>
      </c>
      <c r="S1409" s="71"/>
    </row>
    <row r="1410" spans="1:19" hidden="1">
      <c r="A1410" s="74" t="s">
        <v>3086</v>
      </c>
      <c r="B1410" s="71" t="str">
        <f>IFERROR(VLOOKUP(Proc[[#This Row],[App]],Table2[],3,0),"open")</f>
        <v>ok</v>
      </c>
      <c r="C1410" s="74" t="s">
        <v>369</v>
      </c>
      <c r="D1410" t="s">
        <v>3144</v>
      </c>
      <c r="E1410" t="s">
        <v>3180</v>
      </c>
      <c r="F1410" s="105" t="s">
        <v>3180</v>
      </c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1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2563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489</v>
      </c>
      <c r="S1410" s="71"/>
    </row>
    <row r="1411" spans="1:19" hidden="1">
      <c r="A1411" s="74" t="s">
        <v>3086</v>
      </c>
      <c r="B1411" s="71" t="str">
        <f>IFERROR(VLOOKUP(Proc[[#This Row],[App]],Table2[],3,0),"open")</f>
        <v>ok</v>
      </c>
      <c r="C1411" s="74" t="s">
        <v>369</v>
      </c>
      <c r="D1411" t="s">
        <v>3145</v>
      </c>
      <c r="E1411" t="s">
        <v>3178</v>
      </c>
      <c r="F1411" s="105" t="s">
        <v>3178</v>
      </c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1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2563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489</v>
      </c>
      <c r="S1411" s="71"/>
    </row>
    <row r="1412" spans="1:19" hidden="1">
      <c r="A1412" s="74" t="s">
        <v>3086</v>
      </c>
      <c r="B1412" s="71" t="str">
        <f>IFERROR(VLOOKUP(Proc[[#This Row],[App]],Table2[],3,0),"open")</f>
        <v>ok</v>
      </c>
      <c r="C1412" s="74" t="s">
        <v>369</v>
      </c>
      <c r="D1412" t="s">
        <v>3146</v>
      </c>
      <c r="E1412" t="s">
        <v>3172</v>
      </c>
      <c r="F1412" s="105" t="s">
        <v>3172</v>
      </c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1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2563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489</v>
      </c>
      <c r="S1412" s="71"/>
    </row>
    <row r="1413" spans="1:19" hidden="1">
      <c r="A1413" s="74" t="s">
        <v>3086</v>
      </c>
      <c r="B1413" s="71" t="str">
        <f>IFERROR(VLOOKUP(Proc[[#This Row],[App]],Table2[],3,0),"open")</f>
        <v>ok</v>
      </c>
      <c r="C1413" s="74" t="s">
        <v>369</v>
      </c>
      <c r="D1413" t="s">
        <v>3147</v>
      </c>
      <c r="E1413" t="s">
        <v>3181</v>
      </c>
      <c r="F1413" s="105" t="s">
        <v>3181</v>
      </c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1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2563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489</v>
      </c>
      <c r="S1413" s="71"/>
    </row>
    <row r="1414" spans="1:19" hidden="1">
      <c r="A1414" s="74" t="s">
        <v>3086</v>
      </c>
      <c r="B1414" s="71" t="str">
        <f>IFERROR(VLOOKUP(Proc[[#This Row],[App]],Table2[],3,0),"open")</f>
        <v>ok</v>
      </c>
      <c r="C1414" s="74" t="s">
        <v>369</v>
      </c>
      <c r="D1414" t="s">
        <v>3148</v>
      </c>
      <c r="E1414" t="s">
        <v>3170</v>
      </c>
      <c r="F1414" s="105" t="s">
        <v>3170</v>
      </c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1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2563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489</v>
      </c>
      <c r="S1414" s="71"/>
    </row>
    <row r="1415" spans="1:19" hidden="1">
      <c r="A1415" s="74" t="s">
        <v>3086</v>
      </c>
      <c r="B1415" s="71" t="str">
        <f>IFERROR(VLOOKUP(Proc[[#This Row],[App]],Table2[],3,0),"open")</f>
        <v>ok</v>
      </c>
      <c r="C1415" s="74" t="s">
        <v>369</v>
      </c>
      <c r="D1415" t="s">
        <v>3149</v>
      </c>
      <c r="E1415" t="s">
        <v>3170</v>
      </c>
      <c r="F1415" s="105" t="s">
        <v>3170</v>
      </c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1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2563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489</v>
      </c>
      <c r="S1415" s="71"/>
    </row>
    <row r="1416" spans="1:19" hidden="1">
      <c r="A1416" s="74" t="s">
        <v>3086</v>
      </c>
      <c r="B1416" s="71" t="str">
        <f>IFERROR(VLOOKUP(Proc[[#This Row],[App]],Table2[],3,0),"open")</f>
        <v>ok</v>
      </c>
      <c r="C1416" s="74" t="s">
        <v>369</v>
      </c>
      <c r="D1416" t="s">
        <v>3150</v>
      </c>
      <c r="E1416" t="s">
        <v>3166</v>
      </c>
      <c r="F1416" s="105" t="s">
        <v>3166</v>
      </c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1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2563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489</v>
      </c>
      <c r="S1416" s="71"/>
    </row>
    <row r="1417" spans="1:19" hidden="1">
      <c r="A1417" s="74" t="s">
        <v>3086</v>
      </c>
      <c r="B1417" s="71" t="str">
        <f>IFERROR(VLOOKUP(Proc[[#This Row],[App]],Table2[],3,0),"open")</f>
        <v>ok</v>
      </c>
      <c r="C1417" s="74" t="s">
        <v>369</v>
      </c>
      <c r="D1417" t="s">
        <v>3151</v>
      </c>
      <c r="E1417" t="s">
        <v>3175</v>
      </c>
      <c r="F1417" s="105" t="s">
        <v>3175</v>
      </c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1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2563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489</v>
      </c>
      <c r="S1417" s="71"/>
    </row>
    <row r="1418" spans="1:19" hidden="1">
      <c r="A1418" s="74" t="s">
        <v>3086</v>
      </c>
      <c r="B1418" s="71" t="str">
        <f>IFERROR(VLOOKUP(Proc[[#This Row],[App]],Table2[],3,0),"open")</f>
        <v>ok</v>
      </c>
      <c r="C1418" s="74" t="s">
        <v>369</v>
      </c>
      <c r="D1418" t="s">
        <v>3152</v>
      </c>
      <c r="E1418" t="s">
        <v>3181</v>
      </c>
      <c r="F1418" s="105" t="s">
        <v>3181</v>
      </c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1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2563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489</v>
      </c>
      <c r="S1418" s="71"/>
    </row>
    <row r="1419" spans="1:19" hidden="1">
      <c r="A1419" s="74" t="s">
        <v>3086</v>
      </c>
      <c r="B1419" s="71" t="str">
        <f>IFERROR(VLOOKUP(Proc[[#This Row],[App]],Table2[],3,0),"open")</f>
        <v>ok</v>
      </c>
      <c r="C1419" s="74" t="s">
        <v>369</v>
      </c>
      <c r="D1419" t="s">
        <v>3153</v>
      </c>
      <c r="E1419" t="s">
        <v>3165</v>
      </c>
      <c r="F1419" s="105" t="s">
        <v>3165</v>
      </c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1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2563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489</v>
      </c>
      <c r="S1419" s="71"/>
    </row>
    <row r="1420" spans="1:19" hidden="1">
      <c r="A1420" s="74" t="s">
        <v>3086</v>
      </c>
      <c r="B1420" s="71" t="str">
        <f>IFERROR(VLOOKUP(Proc[[#This Row],[App]],Table2[],3,0),"open")</f>
        <v>ok</v>
      </c>
      <c r="C1420" s="74" t="s">
        <v>369</v>
      </c>
      <c r="D1420" t="s">
        <v>3154</v>
      </c>
      <c r="E1420" t="s">
        <v>3167</v>
      </c>
      <c r="F1420" s="105" t="s">
        <v>3167</v>
      </c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1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2563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489</v>
      </c>
      <c r="S1420" s="71"/>
    </row>
    <row r="1421" spans="1:19" hidden="1">
      <c r="A1421" s="74" t="s">
        <v>3086</v>
      </c>
      <c r="B1421" s="71" t="str">
        <f>IFERROR(VLOOKUP(Proc[[#This Row],[App]],Table2[],3,0),"open")</f>
        <v>ok</v>
      </c>
      <c r="C1421" s="74" t="s">
        <v>369</v>
      </c>
      <c r="D1421" t="s">
        <v>3155</v>
      </c>
      <c r="E1421" t="s">
        <v>3168</v>
      </c>
      <c r="F1421" s="105" t="s">
        <v>3168</v>
      </c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1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2563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489</v>
      </c>
      <c r="S1421" s="71"/>
    </row>
    <row r="1422" spans="1:19" hidden="1">
      <c r="A1422" s="74" t="s">
        <v>3086</v>
      </c>
      <c r="B1422" s="71" t="str">
        <f>IFERROR(VLOOKUP(Proc[[#This Row],[App]],Table2[],3,0),"open")</f>
        <v>ok</v>
      </c>
      <c r="C1422" s="74" t="s">
        <v>369</v>
      </c>
      <c r="D1422" t="s">
        <v>3156</v>
      </c>
      <c r="E1422" t="s">
        <v>3172</v>
      </c>
      <c r="F1422" s="105" t="s">
        <v>3172</v>
      </c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1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2563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489</v>
      </c>
      <c r="S1422" s="71"/>
    </row>
    <row r="1423" spans="1:19" hidden="1">
      <c r="A1423" s="74" t="s">
        <v>3086</v>
      </c>
      <c r="B1423" s="71" t="str">
        <f>IFERROR(VLOOKUP(Proc[[#This Row],[App]],Table2[],3,0),"open")</f>
        <v>ok</v>
      </c>
      <c r="C1423" s="74" t="s">
        <v>369</v>
      </c>
      <c r="D1423" t="s">
        <v>3157</v>
      </c>
      <c r="E1423" t="s">
        <v>3168</v>
      </c>
      <c r="F1423" s="105" t="s">
        <v>3168</v>
      </c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1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2563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489</v>
      </c>
      <c r="S1423" s="71"/>
    </row>
    <row r="1424" spans="1:19" hidden="1">
      <c r="A1424" s="74" t="s">
        <v>3086</v>
      </c>
      <c r="B1424" s="71" t="str">
        <f>IFERROR(VLOOKUP(Proc[[#This Row],[App]],Table2[],3,0),"open")</f>
        <v>ok</v>
      </c>
      <c r="C1424" s="74" t="s">
        <v>369</v>
      </c>
      <c r="D1424" t="s">
        <v>3158</v>
      </c>
      <c r="E1424" t="s">
        <v>3172</v>
      </c>
      <c r="F1424" s="105" t="s">
        <v>3172</v>
      </c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1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2563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489</v>
      </c>
      <c r="S1424" s="71"/>
    </row>
    <row r="1425" spans="1:19" hidden="1">
      <c r="A1425" s="74" t="s">
        <v>3086</v>
      </c>
      <c r="B1425" s="71" t="str">
        <f>IFERROR(VLOOKUP(Proc[[#This Row],[App]],Table2[],3,0),"open")</f>
        <v>ok</v>
      </c>
      <c r="C1425" s="74" t="s">
        <v>369</v>
      </c>
      <c r="D1425" t="s">
        <v>3159</v>
      </c>
      <c r="E1425" t="s">
        <v>3171</v>
      </c>
      <c r="F1425" s="105" t="s">
        <v>3171</v>
      </c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1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2563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489</v>
      </c>
      <c r="S1425" s="71"/>
    </row>
    <row r="1426" spans="1:19" hidden="1">
      <c r="A1426" s="74" t="s">
        <v>3086</v>
      </c>
      <c r="B1426" s="71" t="str">
        <f>IFERROR(VLOOKUP(Proc[[#This Row],[App]],Table2[],3,0),"open")</f>
        <v>ok</v>
      </c>
      <c r="C1426" s="74" t="s">
        <v>369</v>
      </c>
      <c r="D1426" t="s">
        <v>3160</v>
      </c>
      <c r="E1426" t="s">
        <v>3176</v>
      </c>
      <c r="F1426" s="105" t="s">
        <v>3176</v>
      </c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1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2563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489</v>
      </c>
      <c r="S1426" s="71"/>
    </row>
    <row r="1427" spans="1:19" hidden="1">
      <c r="A1427" s="74" t="s">
        <v>3086</v>
      </c>
      <c r="B1427" s="71" t="str">
        <f>IFERROR(VLOOKUP(Proc[[#This Row],[App]],Table2[],3,0),"open")</f>
        <v>ok</v>
      </c>
      <c r="C1427" s="74" t="s">
        <v>369</v>
      </c>
      <c r="D1427" t="s">
        <v>3161</v>
      </c>
      <c r="E1427" t="s">
        <v>3174</v>
      </c>
      <c r="F1427" s="105" t="s">
        <v>3174</v>
      </c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1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2563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489</v>
      </c>
      <c r="S1427" s="71"/>
    </row>
    <row r="1428" spans="1:19" hidden="1">
      <c r="A1428" s="74" t="s">
        <v>3086</v>
      </c>
      <c r="B1428" s="71" t="str">
        <f>IFERROR(VLOOKUP(Proc[[#This Row],[App]],Table2[],3,0),"open")</f>
        <v>ok</v>
      </c>
      <c r="C1428" s="74" t="s">
        <v>369</v>
      </c>
      <c r="D1428" t="s">
        <v>3162</v>
      </c>
      <c r="E1428" t="s">
        <v>3165</v>
      </c>
      <c r="F1428" s="105" t="s">
        <v>3165</v>
      </c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1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2563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489</v>
      </c>
      <c r="S1428" s="71"/>
    </row>
    <row r="1429" spans="1:19" hidden="1">
      <c r="A1429" s="74" t="s">
        <v>3086</v>
      </c>
      <c r="B1429" s="71" t="str">
        <f>IFERROR(VLOOKUP(Proc[[#This Row],[App]],Table2[],3,0),"open")</f>
        <v>ok</v>
      </c>
      <c r="C1429" s="74" t="s">
        <v>369</v>
      </c>
      <c r="D1429" t="s">
        <v>3163</v>
      </c>
      <c r="E1429" t="s">
        <v>3165</v>
      </c>
      <c r="F1429" s="105" t="s">
        <v>3165</v>
      </c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1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2563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489</v>
      </c>
      <c r="S1429" s="71"/>
    </row>
    <row r="1430" spans="1:19" hidden="1">
      <c r="A1430" s="74" t="s">
        <v>3086</v>
      </c>
      <c r="B1430" s="71" t="str">
        <f>IFERROR(VLOOKUP(Proc[[#This Row],[App]],Table2[],3,0),"open")</f>
        <v>ok</v>
      </c>
      <c r="C1430" s="74" t="s">
        <v>377</v>
      </c>
      <c r="D1430" t="s">
        <v>3164</v>
      </c>
      <c r="E1430" t="s">
        <v>3165</v>
      </c>
      <c r="F1430" s="105" t="s">
        <v>3165</v>
      </c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1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2563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489</v>
      </c>
      <c r="S1430" s="71"/>
    </row>
    <row r="1431" spans="1:19" hidden="1">
      <c r="A1431" t="s">
        <v>3183</v>
      </c>
      <c r="B1431" s="71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5" t="s">
        <v>3186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1198</v>
      </c>
      <c r="J1431" s="71" t="b">
        <f>Proc[[#This Row],[Requested]]=Proc[[#This Row],[CurrentParent]]</f>
        <v>1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2563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515</v>
      </c>
      <c r="S1431" s="71"/>
    </row>
    <row r="1432" spans="1:19" hidden="1">
      <c r="A1432" s="74" t="s">
        <v>3183</v>
      </c>
      <c r="B1432" s="71" t="str">
        <f>IFERROR(VLOOKUP(Proc[[#This Row],[App]],Table2[],3,0),"open")</f>
        <v>ok</v>
      </c>
      <c r="C1432" s="86" t="s">
        <v>369</v>
      </c>
      <c r="D1432" t="s">
        <v>3185</v>
      </c>
      <c r="E1432" t="s">
        <v>3187</v>
      </c>
      <c r="F1432" s="105" t="s">
        <v>3187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3188</v>
      </c>
      <c r="J1432" s="71" t="b">
        <f>Proc[[#This Row],[Requested]]=Proc[[#This Row],[CurrentParent]]</f>
        <v>1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2563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515</v>
      </c>
      <c r="S1432" s="71"/>
    </row>
    <row r="1433" spans="1:19" hidden="1">
      <c r="A1433" t="s">
        <v>3189</v>
      </c>
      <c r="B1433" s="71" t="str">
        <f>IFERROR(VLOOKUP(Proc[[#This Row],[App]],Table2[],3,0),"open")</f>
        <v>ok</v>
      </c>
      <c r="C1433" s="86" t="s">
        <v>369</v>
      </c>
      <c r="D1433" s="84" t="s">
        <v>3190</v>
      </c>
      <c r="E1433" t="s">
        <v>1514</v>
      </c>
      <c r="F1433" s="105" t="s">
        <v>1514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3191</v>
      </c>
      <c r="J1433" s="71" t="b">
        <f>Proc[[#This Row],[Requested]]=Proc[[#This Row],[CurrentParent]]</f>
        <v>1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2563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489</v>
      </c>
      <c r="S1433" s="71"/>
    </row>
    <row r="1434" spans="1:19" hidden="1">
      <c r="A1434" t="s">
        <v>3192</v>
      </c>
      <c r="B1434" s="71" t="str">
        <f>IFERROR(VLOOKUP(Proc[[#This Row],[App]],Table2[],3,0),"open")</f>
        <v>ok</v>
      </c>
      <c r="C1434" s="86" t="s">
        <v>369</v>
      </c>
      <c r="D1434" t="s">
        <v>2447</v>
      </c>
      <c r="E1434" s="86" t="s">
        <v>2458</v>
      </c>
      <c r="F1434" s="105" t="s">
        <v>2458</v>
      </c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1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2563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29</v>
      </c>
      <c r="R1434" s="82" t="s">
        <v>489</v>
      </c>
      <c r="S1434" s="71"/>
    </row>
    <row r="1435" spans="1:19" hidden="1">
      <c r="A1435" s="74" t="s">
        <v>3192</v>
      </c>
      <c r="B1435" s="71" t="str">
        <f>IFERROR(VLOOKUP(Proc[[#This Row],[App]],Table2[],3,0),"open")</f>
        <v>ok</v>
      </c>
      <c r="C1435" s="86" t="s">
        <v>369</v>
      </c>
      <c r="D1435" t="s">
        <v>2448</v>
      </c>
      <c r="E1435" s="86" t="s">
        <v>2458</v>
      </c>
      <c r="F1435" s="105" t="s">
        <v>2458</v>
      </c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1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2563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29</v>
      </c>
      <c r="R1435" s="82" t="s">
        <v>489</v>
      </c>
      <c r="S1435" s="71"/>
    </row>
    <row r="1436" spans="1:19" hidden="1">
      <c r="A1436" s="74" t="s">
        <v>3192</v>
      </c>
      <c r="B1436" s="71" t="str">
        <f>IFERROR(VLOOKUP(Proc[[#This Row],[App]],Table2[],3,0),"open")</f>
        <v>ok</v>
      </c>
      <c r="C1436" s="86" t="s">
        <v>369</v>
      </c>
      <c r="D1436" t="s">
        <v>2449</v>
      </c>
      <c r="E1436" s="86" t="s">
        <v>2458</v>
      </c>
      <c r="F1436" s="105" t="s">
        <v>2458</v>
      </c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1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2563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29</v>
      </c>
      <c r="R1436" s="82" t="s">
        <v>489</v>
      </c>
      <c r="S1436" s="71"/>
    </row>
    <row r="1437" spans="1:19" hidden="1">
      <c r="A1437" s="74" t="s">
        <v>3192</v>
      </c>
      <c r="B1437" s="71" t="str">
        <f>IFERROR(VLOOKUP(Proc[[#This Row],[App]],Table2[],3,0),"open")</f>
        <v>ok</v>
      </c>
      <c r="C1437" s="86" t="s">
        <v>369</v>
      </c>
      <c r="D1437" t="s">
        <v>2450</v>
      </c>
      <c r="E1437" s="86" t="s">
        <v>2458</v>
      </c>
      <c r="F1437" s="105" t="s">
        <v>2458</v>
      </c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1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2563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29</v>
      </c>
      <c r="R1437" s="82" t="s">
        <v>489</v>
      </c>
      <c r="S1437" s="71"/>
    </row>
    <row r="1438" spans="1:19" hidden="1">
      <c r="A1438" s="74" t="s">
        <v>3192</v>
      </c>
      <c r="B1438" s="71" t="str">
        <f>IFERROR(VLOOKUP(Proc[[#This Row],[App]],Table2[],3,0),"open")</f>
        <v>ok</v>
      </c>
      <c r="C1438" s="86" t="s">
        <v>369</v>
      </c>
      <c r="D1438" t="s">
        <v>2451</v>
      </c>
      <c r="E1438" s="86" t="s">
        <v>2458</v>
      </c>
      <c r="F1438" s="105" t="s">
        <v>2458</v>
      </c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1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2563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29</v>
      </c>
      <c r="R1438" s="82" t="s">
        <v>489</v>
      </c>
      <c r="S1438" s="71"/>
    </row>
    <row r="1439" spans="1:19" hidden="1">
      <c r="A1439" s="74" t="s">
        <v>3192</v>
      </c>
      <c r="B1439" s="71" t="str">
        <f>IFERROR(VLOOKUP(Proc[[#This Row],[App]],Table2[],3,0),"open")</f>
        <v>ok</v>
      </c>
      <c r="C1439" s="86" t="s">
        <v>369</v>
      </c>
      <c r="D1439" t="s">
        <v>2452</v>
      </c>
      <c r="E1439" s="86" t="s">
        <v>2458</v>
      </c>
      <c r="F1439" s="105" t="s">
        <v>2458</v>
      </c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1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2563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29</v>
      </c>
      <c r="R1439" s="82" t="s">
        <v>489</v>
      </c>
      <c r="S1439" s="71"/>
    </row>
    <row r="1440" spans="1:19" hidden="1">
      <c r="A1440" s="74" t="s">
        <v>3192</v>
      </c>
      <c r="B1440" s="71" t="str">
        <f>IFERROR(VLOOKUP(Proc[[#This Row],[App]],Table2[],3,0),"open")</f>
        <v>ok</v>
      </c>
      <c r="C1440" s="86" t="s">
        <v>369</v>
      </c>
      <c r="D1440" t="s">
        <v>2453</v>
      </c>
      <c r="E1440" s="86" t="s">
        <v>2458</v>
      </c>
      <c r="F1440" s="105" t="s">
        <v>2458</v>
      </c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1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2563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29</v>
      </c>
      <c r="R1440" s="82" t="s">
        <v>489</v>
      </c>
      <c r="S1440" s="71"/>
    </row>
    <row r="1441" spans="1:19" hidden="1">
      <c r="A1441" s="74" t="s">
        <v>3192</v>
      </c>
      <c r="B1441" s="71" t="str">
        <f>IFERROR(VLOOKUP(Proc[[#This Row],[App]],Table2[],3,0),"open")</f>
        <v>ok</v>
      </c>
      <c r="C1441" s="86" t="s">
        <v>369</v>
      </c>
      <c r="D1441" t="s">
        <v>2454</v>
      </c>
      <c r="E1441" s="86" t="s">
        <v>2458</v>
      </c>
      <c r="F1441" s="105" t="s">
        <v>2458</v>
      </c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1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2563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29</v>
      </c>
      <c r="R1441" s="82" t="s">
        <v>489</v>
      </c>
      <c r="S1441" s="71"/>
    </row>
    <row r="1442" spans="1:19" hidden="1">
      <c r="A1442" s="74" t="s">
        <v>3192</v>
      </c>
      <c r="B1442" s="71" t="str">
        <f>IFERROR(VLOOKUP(Proc[[#This Row],[App]],Table2[],3,0),"open")</f>
        <v>ok</v>
      </c>
      <c r="C1442" s="86" t="s">
        <v>369</v>
      </c>
      <c r="D1442" t="s">
        <v>2455</v>
      </c>
      <c r="E1442" s="86" t="s">
        <v>2458</v>
      </c>
      <c r="F1442" s="105" t="s">
        <v>2458</v>
      </c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1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2563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29</v>
      </c>
      <c r="R1442" s="82" t="s">
        <v>489</v>
      </c>
      <c r="S1442" s="71"/>
    </row>
    <row r="1443" spans="1:19" hidden="1">
      <c r="A1443" s="74" t="s">
        <v>3192</v>
      </c>
      <c r="B1443" s="71" t="str">
        <f>IFERROR(VLOOKUP(Proc[[#This Row],[App]],Table2[],3,0),"open")</f>
        <v>ok</v>
      </c>
      <c r="C1443" s="86" t="s">
        <v>369</v>
      </c>
      <c r="D1443" t="s">
        <v>2456</v>
      </c>
      <c r="E1443" s="86" t="s">
        <v>2458</v>
      </c>
      <c r="F1443" s="105" t="s">
        <v>2458</v>
      </c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1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2563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29</v>
      </c>
      <c r="R1443" s="82" t="s">
        <v>489</v>
      </c>
      <c r="S1443" s="71"/>
    </row>
    <row r="1444" spans="1:19" hidden="1">
      <c r="A1444" s="74" t="s">
        <v>3192</v>
      </c>
      <c r="B1444" s="71" t="str">
        <f>IFERROR(VLOOKUP(Proc[[#This Row],[App]],Table2[],3,0),"open")</f>
        <v>ok</v>
      </c>
      <c r="C1444" s="86" t="s">
        <v>369</v>
      </c>
      <c r="D1444" t="s">
        <v>2457</v>
      </c>
      <c r="E1444" s="86" t="s">
        <v>2458</v>
      </c>
      <c r="F1444" s="105" t="s">
        <v>2458</v>
      </c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1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2563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29</v>
      </c>
      <c r="R1444" s="82" t="s">
        <v>489</v>
      </c>
      <c r="S1444" s="71"/>
    </row>
    <row r="1445" spans="1:19" hidden="1">
      <c r="A1445" s="74" t="s">
        <v>3192</v>
      </c>
      <c r="B1445" s="71" t="str">
        <f>IFERROR(VLOOKUP(Proc[[#This Row],[App]],Table2[],3,0),"open")</f>
        <v>ok</v>
      </c>
      <c r="C1445" s="86" t="s">
        <v>369</v>
      </c>
      <c r="D1445" t="s">
        <v>3193</v>
      </c>
      <c r="E1445" s="86" t="s">
        <v>2458</v>
      </c>
      <c r="F1445" s="105" t="s">
        <v>2458</v>
      </c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1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2563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29</v>
      </c>
      <c r="R1445" s="82" t="s">
        <v>489</v>
      </c>
      <c r="S1445" s="71"/>
    </row>
    <row r="1446" spans="1:19" hidden="1">
      <c r="A1446" s="74" t="s">
        <v>3192</v>
      </c>
      <c r="B1446" s="71" t="str">
        <f>IFERROR(VLOOKUP(Proc[[#This Row],[App]],Table2[],3,0),"open")</f>
        <v>ok</v>
      </c>
      <c r="C1446" s="86" t="s">
        <v>369</v>
      </c>
      <c r="D1446" t="s">
        <v>3194</v>
      </c>
      <c r="E1446" s="86" t="s">
        <v>2458</v>
      </c>
      <c r="F1446" s="105" t="s">
        <v>2458</v>
      </c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1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2563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29</v>
      </c>
      <c r="R1446" s="82" t="s">
        <v>489</v>
      </c>
      <c r="S1446" s="71"/>
    </row>
    <row r="1447" spans="1:19" hidden="1">
      <c r="A1447" s="74" t="s">
        <v>3192</v>
      </c>
      <c r="B1447" s="71" t="str">
        <f>IFERROR(VLOOKUP(Proc[[#This Row],[App]],Table2[],3,0),"open")</f>
        <v>ok</v>
      </c>
      <c r="C1447" s="86" t="s">
        <v>369</v>
      </c>
      <c r="D1447" t="s">
        <v>3195</v>
      </c>
      <c r="E1447" s="86" t="s">
        <v>2458</v>
      </c>
      <c r="F1447" s="105" t="s">
        <v>2458</v>
      </c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1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2563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29</v>
      </c>
      <c r="R1447" s="82" t="s">
        <v>489</v>
      </c>
      <c r="S1447" s="71"/>
    </row>
    <row r="1448" spans="1:19" hidden="1">
      <c r="A1448" s="74" t="s">
        <v>3192</v>
      </c>
      <c r="B1448" s="71" t="str">
        <f>IFERROR(VLOOKUP(Proc[[#This Row],[App]],Table2[],3,0),"open")</f>
        <v>ok</v>
      </c>
      <c r="C1448" s="86" t="s">
        <v>369</v>
      </c>
      <c r="D1448" t="s">
        <v>3196</v>
      </c>
      <c r="E1448" s="86" t="s">
        <v>2458</v>
      </c>
      <c r="F1448" s="105" t="s">
        <v>2458</v>
      </c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1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2563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29</v>
      </c>
      <c r="R1448" s="82" t="s">
        <v>489</v>
      </c>
      <c r="S1448" s="71"/>
    </row>
    <row r="1449" spans="1:19" hidden="1">
      <c r="A1449" s="74" t="s">
        <v>3192</v>
      </c>
      <c r="B1449" s="71" t="str">
        <f>IFERROR(VLOOKUP(Proc[[#This Row],[App]],Table2[],3,0),"open")</f>
        <v>ok</v>
      </c>
      <c r="C1449" s="86" t="s">
        <v>369</v>
      </c>
      <c r="D1449" t="s">
        <v>3197</v>
      </c>
      <c r="E1449" s="86" t="s">
        <v>2458</v>
      </c>
      <c r="F1449" s="105" t="s">
        <v>2458</v>
      </c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1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2563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29</v>
      </c>
      <c r="R1449" s="82" t="s">
        <v>489</v>
      </c>
      <c r="S1449" s="71"/>
    </row>
    <row r="1450" spans="1:19" hidden="1">
      <c r="A1450" s="74" t="s">
        <v>3192</v>
      </c>
      <c r="B1450" s="71" t="str">
        <f>IFERROR(VLOOKUP(Proc[[#This Row],[App]],Table2[],3,0),"open")</f>
        <v>ok</v>
      </c>
      <c r="C1450" s="86" t="s">
        <v>369</v>
      </c>
      <c r="D1450" t="s">
        <v>3201</v>
      </c>
      <c r="E1450" s="86" t="s">
        <v>2458</v>
      </c>
      <c r="F1450" s="105" t="s">
        <v>2458</v>
      </c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1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2563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29</v>
      </c>
      <c r="R1450" s="82" t="s">
        <v>489</v>
      </c>
      <c r="S1450" s="71"/>
    </row>
    <row r="1451" spans="1:19" hidden="1">
      <c r="A1451" s="74" t="s">
        <v>3192</v>
      </c>
      <c r="B1451" s="71" t="str">
        <f>IFERROR(VLOOKUP(Proc[[#This Row],[App]],Table2[],3,0),"open")</f>
        <v>ok</v>
      </c>
      <c r="C1451" s="86" t="s">
        <v>369</v>
      </c>
      <c r="D1451" t="s">
        <v>3198</v>
      </c>
      <c r="E1451" s="86" t="s">
        <v>2458</v>
      </c>
      <c r="F1451" s="105" t="s">
        <v>2458</v>
      </c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1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2563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29</v>
      </c>
      <c r="R1451" s="82" t="s">
        <v>489</v>
      </c>
      <c r="S1451" s="71"/>
    </row>
    <row r="1452" spans="1:19" hidden="1">
      <c r="A1452" s="74" t="s">
        <v>3192</v>
      </c>
      <c r="B1452" s="71" t="str">
        <f>IFERROR(VLOOKUP(Proc[[#This Row],[App]],Table2[],3,0),"open")</f>
        <v>ok</v>
      </c>
      <c r="C1452" s="86" t="s">
        <v>369</v>
      </c>
      <c r="D1452" t="s">
        <v>3199</v>
      </c>
      <c r="E1452" s="86" t="s">
        <v>2458</v>
      </c>
      <c r="F1452" s="105" t="s">
        <v>2458</v>
      </c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1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2563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29</v>
      </c>
      <c r="R1452" s="82" t="s">
        <v>489</v>
      </c>
      <c r="S1452" s="71"/>
    </row>
    <row r="1453" spans="1:19" hidden="1">
      <c r="A1453" s="74" t="s">
        <v>3192</v>
      </c>
      <c r="B1453" s="71" t="str">
        <f>IFERROR(VLOOKUP(Proc[[#This Row],[App]],Table2[],3,0),"open")</f>
        <v>ok</v>
      </c>
      <c r="C1453" s="86" t="s">
        <v>369</v>
      </c>
      <c r="D1453" t="s">
        <v>3200</v>
      </c>
      <c r="E1453" s="86" t="s">
        <v>2458</v>
      </c>
      <c r="F1453" s="105" t="s">
        <v>2458</v>
      </c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1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2563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29</v>
      </c>
      <c r="R1453" s="82" t="s">
        <v>489</v>
      </c>
      <c r="S1453" s="71"/>
    </row>
    <row r="1454" spans="1:19" hidden="1">
      <c r="A1454" t="s">
        <v>3202</v>
      </c>
      <c r="B1454" s="87" t="str">
        <f>IFERROR(VLOOKUP(Proc[[#This Row],[App]],Table2[],3,0),"open")</f>
        <v>ok</v>
      </c>
      <c r="C1454" t="s">
        <v>369</v>
      </c>
      <c r="D1454" t="s">
        <v>3203</v>
      </c>
      <c r="E1454" s="86" t="s">
        <v>3228</v>
      </c>
      <c r="F1454" s="105" t="s">
        <v>3228</v>
      </c>
      <c r="G1454" s="86" t="s">
        <v>406</v>
      </c>
      <c r="H1454" s="87" t="str">
        <f>IF(Proc[[#This Row],[type]]="LFF (MDG-F)",MID(Proc[[#This Row],[Obj]],13,10),"")</f>
        <v>DE04G0IT99</v>
      </c>
      <c r="I1454" t="s">
        <v>3286</v>
      </c>
      <c r="J1454" s="87" t="b">
        <f>Proc[[#This Row],[Requested]]=Proc[[#This Row],[CurrentParent]]</f>
        <v>1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2563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1076</v>
      </c>
      <c r="S1454" s="87"/>
    </row>
    <row r="1455" spans="1:19" hidden="1">
      <c r="A1455" s="86" t="s">
        <v>3202</v>
      </c>
      <c r="B1455" s="87" t="str">
        <f>IFERROR(VLOOKUP(Proc[[#This Row],[App]],Table2[],3,0),"open")</f>
        <v>ok</v>
      </c>
      <c r="C1455" s="86" t="s">
        <v>369</v>
      </c>
      <c r="D1455" t="s">
        <v>3204</v>
      </c>
      <c r="E1455" s="86" t="s">
        <v>3228</v>
      </c>
      <c r="F1455" s="105" t="s">
        <v>3228</v>
      </c>
      <c r="G1455" s="86" t="s">
        <v>406</v>
      </c>
      <c r="H1455" s="87" t="str">
        <f>IF(Proc[[#This Row],[type]]="LFF (MDG-F)",MID(Proc[[#This Row],[Obj]],13,10),"")</f>
        <v>DE04O01001</v>
      </c>
      <c r="I1455" s="86" t="s">
        <v>3286</v>
      </c>
      <c r="J1455" s="87" t="b">
        <f>Proc[[#This Row],[Requested]]=Proc[[#This Row],[CurrentParent]]</f>
        <v>1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2563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1076</v>
      </c>
      <c r="S1455" s="87"/>
    </row>
    <row r="1456" spans="1:19" hidden="1">
      <c r="A1456" s="86" t="s">
        <v>3202</v>
      </c>
      <c r="B1456" s="87" t="str">
        <f>IFERROR(VLOOKUP(Proc[[#This Row],[App]],Table2[],3,0),"open")</f>
        <v>ok</v>
      </c>
      <c r="C1456" s="86" t="s">
        <v>369</v>
      </c>
      <c r="D1456" t="s">
        <v>3205</v>
      </c>
      <c r="E1456" t="s">
        <v>3228</v>
      </c>
      <c r="F1456" s="105" t="s">
        <v>3228</v>
      </c>
      <c r="G1456" s="86" t="s">
        <v>406</v>
      </c>
      <c r="H1456" s="87" t="str">
        <f>IF(Proc[[#This Row],[type]]="LFF (MDG-F)",MID(Proc[[#This Row],[Obj]],13,10),"")</f>
        <v>DE04O01002</v>
      </c>
      <c r="I1456" s="86" t="s">
        <v>3286</v>
      </c>
      <c r="J1456" s="87" t="b">
        <f>Proc[[#This Row],[Requested]]=Proc[[#This Row],[CurrentParent]]</f>
        <v>1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2563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1076</v>
      </c>
      <c r="S1456" s="87"/>
    </row>
    <row r="1457" spans="1:19" hidden="1">
      <c r="A1457" s="86" t="s">
        <v>3202</v>
      </c>
      <c r="B1457" s="87" t="str">
        <f>IFERROR(VLOOKUP(Proc[[#This Row],[App]],Table2[],3,0),"open")</f>
        <v>ok</v>
      </c>
      <c r="C1457" s="86" t="s">
        <v>369</v>
      </c>
      <c r="D1457" t="s">
        <v>3206</v>
      </c>
      <c r="E1457" t="s">
        <v>3227</v>
      </c>
      <c r="F1457" s="105" t="s">
        <v>3227</v>
      </c>
      <c r="G1457" s="86" t="s">
        <v>406</v>
      </c>
      <c r="H1457" s="87" t="str">
        <f>IF(Proc[[#This Row],[type]]="LFF (MDG-F)",MID(Proc[[#This Row],[Obj]],13,10),"")</f>
        <v>DE04Z03110</v>
      </c>
      <c r="I1457" s="86" t="s">
        <v>3286</v>
      </c>
      <c r="J1457" s="87" t="b">
        <f>Proc[[#This Row],[Requested]]=Proc[[#This Row],[CurrentParent]]</f>
        <v>1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2563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1076</v>
      </c>
      <c r="S1457" s="87"/>
    </row>
    <row r="1458" spans="1:19" hidden="1">
      <c r="A1458" s="86" t="s">
        <v>3202</v>
      </c>
      <c r="B1458" s="87" t="str">
        <f>IFERROR(VLOOKUP(Proc[[#This Row],[App]],Table2[],3,0),"open")</f>
        <v>ok</v>
      </c>
      <c r="C1458" s="86" t="s">
        <v>369</v>
      </c>
      <c r="D1458" t="s">
        <v>3207</v>
      </c>
      <c r="E1458" t="s">
        <v>3226</v>
      </c>
      <c r="F1458" s="105" t="s">
        <v>3226</v>
      </c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1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2563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1076</v>
      </c>
      <c r="S1458" s="87"/>
    </row>
    <row r="1459" spans="1:19" hidden="1">
      <c r="A1459" s="86" t="s">
        <v>3202</v>
      </c>
      <c r="B1459" s="87" t="str">
        <f>IFERROR(VLOOKUP(Proc[[#This Row],[App]],Table2[],3,0),"open")</f>
        <v>ok</v>
      </c>
      <c r="C1459" s="86" t="s">
        <v>369</v>
      </c>
      <c r="D1459" t="s">
        <v>3208</v>
      </c>
      <c r="E1459" s="86" t="s">
        <v>3226</v>
      </c>
      <c r="F1459" s="105" t="s">
        <v>3226</v>
      </c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1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2563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1076</v>
      </c>
      <c r="S1459" s="87"/>
    </row>
    <row r="1460" spans="1:19" hidden="1">
      <c r="A1460" s="86" t="s">
        <v>3202</v>
      </c>
      <c r="B1460" s="87" t="str">
        <f>IFERROR(VLOOKUP(Proc[[#This Row],[App]],Table2[],3,0),"open")</f>
        <v>ok</v>
      </c>
      <c r="C1460" s="86" t="s">
        <v>369</v>
      </c>
      <c r="D1460" t="s">
        <v>3209</v>
      </c>
      <c r="E1460" s="86" t="s">
        <v>3226</v>
      </c>
      <c r="F1460" s="105" t="s">
        <v>3226</v>
      </c>
      <c r="G1460" t="s">
        <v>406</v>
      </c>
      <c r="H1460" s="87" t="str">
        <f>IF(Proc[[#This Row],[type]]="LFF (MDG-F)",MID(Proc[[#This Row],[Obj]],13,10),"")</f>
        <v>CN01Z03105</v>
      </c>
      <c r="I1460" s="86" t="s">
        <v>3286</v>
      </c>
      <c r="J1460" s="87" t="b">
        <f>Proc[[#This Row],[Requested]]=Proc[[#This Row],[CurrentParent]]</f>
        <v>1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2563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1076</v>
      </c>
      <c r="S1460" s="87"/>
    </row>
    <row r="1461" spans="1:19" hidden="1">
      <c r="A1461" s="86" t="s">
        <v>3202</v>
      </c>
      <c r="B1461" s="87" t="str">
        <f>IFERROR(VLOOKUP(Proc[[#This Row],[App]],Table2[],3,0),"open")</f>
        <v>ok</v>
      </c>
      <c r="C1461" s="86" t="s">
        <v>369</v>
      </c>
      <c r="D1461" t="s">
        <v>3210</v>
      </c>
      <c r="E1461" s="86" t="s">
        <v>3226</v>
      </c>
      <c r="F1461" s="105" t="s">
        <v>3226</v>
      </c>
      <c r="G1461" s="86" t="s">
        <v>406</v>
      </c>
      <c r="H1461" s="87" t="str">
        <f>IF(Proc[[#This Row],[type]]="LFF (MDG-F)",MID(Proc[[#This Row],[Obj]],13,10),"")</f>
        <v>DE04Z03108</v>
      </c>
      <c r="I1461" s="86" t="s">
        <v>3286</v>
      </c>
      <c r="J1461" s="87" t="b">
        <f>Proc[[#This Row],[Requested]]=Proc[[#This Row],[CurrentParent]]</f>
        <v>1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2563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1076</v>
      </c>
      <c r="S1461" s="87"/>
    </row>
    <row r="1462" spans="1:19" hidden="1">
      <c r="A1462" s="86" t="s">
        <v>3202</v>
      </c>
      <c r="B1462" s="87" t="str">
        <f>IFERROR(VLOOKUP(Proc[[#This Row],[App]],Table2[],3,0),"open")</f>
        <v>ok</v>
      </c>
      <c r="C1462" s="86" t="s">
        <v>369</v>
      </c>
      <c r="D1462" t="s">
        <v>3211</v>
      </c>
      <c r="E1462" s="86" t="s">
        <v>3226</v>
      </c>
      <c r="F1462" s="105" t="s">
        <v>3226</v>
      </c>
      <c r="G1462" s="86" t="s">
        <v>406</v>
      </c>
      <c r="H1462" s="87" t="str">
        <f>IF(Proc[[#This Row],[type]]="LFF (MDG-F)",MID(Proc[[#This Row],[Obj]],13,10),"")</f>
        <v>DE10Z03113</v>
      </c>
      <c r="I1462" s="86" t="s">
        <v>3286</v>
      </c>
      <c r="J1462" s="87" t="b">
        <f>Proc[[#This Row],[Requested]]=Proc[[#This Row],[CurrentParent]]</f>
        <v>1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2563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1076</v>
      </c>
      <c r="S1462" s="87"/>
    </row>
    <row r="1463" spans="1:19" hidden="1">
      <c r="A1463" s="86" t="s">
        <v>3202</v>
      </c>
      <c r="B1463" s="87" t="str">
        <f>IFERROR(VLOOKUP(Proc[[#This Row],[App]],Table2[],3,0),"open")</f>
        <v>ok</v>
      </c>
      <c r="C1463" s="86" t="s">
        <v>369</v>
      </c>
      <c r="D1463" t="s">
        <v>3212</v>
      </c>
      <c r="E1463" s="86" t="s">
        <v>3226</v>
      </c>
      <c r="F1463" s="105" t="s">
        <v>3226</v>
      </c>
      <c r="G1463" s="86" t="s">
        <v>406</v>
      </c>
      <c r="H1463" s="87" t="str">
        <f>IF(Proc[[#This Row],[type]]="LFF (MDG-F)",MID(Proc[[#This Row],[Obj]],13,10),"")</f>
        <v>IN01Z03101</v>
      </c>
      <c r="I1463" s="86" t="s">
        <v>3286</v>
      </c>
      <c r="J1463" s="87" t="b">
        <f>Proc[[#This Row],[Requested]]=Proc[[#This Row],[CurrentParent]]</f>
        <v>1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2563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1076</v>
      </c>
      <c r="S1463" s="87"/>
    </row>
    <row r="1464" spans="1:19" hidden="1">
      <c r="A1464" s="86" t="s">
        <v>3202</v>
      </c>
      <c r="B1464" s="87" t="str">
        <f>IFERROR(VLOOKUP(Proc[[#This Row],[App]],Table2[],3,0),"open")</f>
        <v>ok</v>
      </c>
      <c r="C1464" s="86" t="s">
        <v>369</v>
      </c>
      <c r="D1464" t="s">
        <v>3213</v>
      </c>
      <c r="E1464" s="86" t="s">
        <v>3226</v>
      </c>
      <c r="F1464" s="105" t="s">
        <v>3226</v>
      </c>
      <c r="G1464" s="86" t="s">
        <v>406</v>
      </c>
      <c r="H1464" s="87" t="str">
        <f>IF(Proc[[#This Row],[type]]="LFF (MDG-F)",MID(Proc[[#This Row],[Obj]],13,10),"")</f>
        <v>JP01Z03103</v>
      </c>
      <c r="I1464" s="86" t="s">
        <v>3286</v>
      </c>
      <c r="J1464" s="87" t="b">
        <f>Proc[[#This Row],[Requested]]=Proc[[#This Row],[CurrentParent]]</f>
        <v>1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2563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1076</v>
      </c>
      <c r="S1464" s="87"/>
    </row>
    <row r="1465" spans="1:19" hidden="1">
      <c r="A1465" s="86" t="s">
        <v>3202</v>
      </c>
      <c r="B1465" s="87" t="str">
        <f>IFERROR(VLOOKUP(Proc[[#This Row],[App]],Table2[],3,0),"open")</f>
        <v>ok</v>
      </c>
      <c r="C1465" s="86" t="s">
        <v>369</v>
      </c>
      <c r="D1465" t="s">
        <v>3214</v>
      </c>
      <c r="E1465" s="86" t="s">
        <v>3226</v>
      </c>
      <c r="F1465" s="105" t="s">
        <v>3226</v>
      </c>
      <c r="G1465" s="86" t="s">
        <v>406</v>
      </c>
      <c r="H1465" s="87" t="str">
        <f>IF(Proc[[#This Row],[type]]="LFF (MDG-F)",MID(Proc[[#This Row],[Obj]],13,10),"")</f>
        <v>US01Z03107</v>
      </c>
      <c r="I1465" s="86" t="s">
        <v>3286</v>
      </c>
      <c r="J1465" s="87" t="b">
        <f>Proc[[#This Row],[Requested]]=Proc[[#This Row],[CurrentParent]]</f>
        <v>1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2563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1076</v>
      </c>
      <c r="S1465" s="87"/>
    </row>
    <row r="1466" spans="1:19" hidden="1">
      <c r="A1466" s="86" t="s">
        <v>3202</v>
      </c>
      <c r="B1466" s="87" t="str">
        <f>IFERROR(VLOOKUP(Proc[[#This Row],[App]],Table2[],3,0),"open")</f>
        <v>ok</v>
      </c>
      <c r="C1466" s="86" t="s">
        <v>369</v>
      </c>
      <c r="D1466" t="s">
        <v>3215</v>
      </c>
      <c r="E1466" s="86" t="s">
        <v>3226</v>
      </c>
      <c r="F1466" s="105" t="s">
        <v>3226</v>
      </c>
      <c r="G1466" s="86" t="s">
        <v>406</v>
      </c>
      <c r="H1466" s="87" t="str">
        <f>IF(Proc[[#This Row],[type]]="LFF (MDG-F)",MID(Proc[[#This Row],[Obj]],13,10),"")</f>
        <v>KR03Z03104</v>
      </c>
      <c r="I1466" t="s">
        <v>3287</v>
      </c>
      <c r="J1466" s="87" t="b">
        <f>Proc[[#This Row],[Requested]]=Proc[[#This Row],[CurrentParent]]</f>
        <v>1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2563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1076</v>
      </c>
      <c r="S1466" s="87"/>
    </row>
    <row r="1467" spans="1:19" hidden="1">
      <c r="A1467" s="86" t="s">
        <v>3202</v>
      </c>
      <c r="B1467" s="87" t="str">
        <f>IFERROR(VLOOKUP(Proc[[#This Row],[App]],Table2[],3,0),"open")</f>
        <v>ok</v>
      </c>
      <c r="C1467" s="86" t="s">
        <v>369</v>
      </c>
      <c r="D1467" t="s">
        <v>3216</v>
      </c>
      <c r="E1467" s="86" t="s">
        <v>3226</v>
      </c>
      <c r="F1467" s="105" t="s">
        <v>3226</v>
      </c>
      <c r="G1467" s="86" t="s">
        <v>406</v>
      </c>
      <c r="H1467" s="87" t="str">
        <f>IF(Proc[[#This Row],[type]]="LFF (MDG-F)",MID(Proc[[#This Row],[Obj]],13,10),"")</f>
        <v>US10Z03102</v>
      </c>
      <c r="I1467" s="86" t="s">
        <v>3286</v>
      </c>
      <c r="J1467" s="87" t="b">
        <f>Proc[[#This Row],[Requested]]=Proc[[#This Row],[CurrentParent]]</f>
        <v>1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2563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1076</v>
      </c>
      <c r="S1467" s="87"/>
    </row>
    <row r="1468" spans="1:19" hidden="1">
      <c r="A1468" s="86" t="s">
        <v>3202</v>
      </c>
      <c r="B1468" s="87" t="str">
        <f>IFERROR(VLOOKUP(Proc[[#This Row],[App]],Table2[],3,0),"open")</f>
        <v>ok</v>
      </c>
      <c r="C1468" s="86" t="s">
        <v>369</v>
      </c>
      <c r="D1468" t="s">
        <v>3217</v>
      </c>
      <c r="E1468" s="86" t="s">
        <v>3226</v>
      </c>
      <c r="F1468" s="105" t="s">
        <v>3226</v>
      </c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1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2563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1076</v>
      </c>
      <c r="S1468" s="87"/>
    </row>
    <row r="1469" spans="1:19" hidden="1">
      <c r="A1469" s="86" t="s">
        <v>3202</v>
      </c>
      <c r="B1469" s="87" t="str">
        <f>IFERROR(VLOOKUP(Proc[[#This Row],[App]],Table2[],3,0),"open")</f>
        <v>ok</v>
      </c>
      <c r="C1469" s="86" t="s">
        <v>369</v>
      </c>
      <c r="D1469" t="s">
        <v>3218</v>
      </c>
      <c r="E1469" s="86" t="s">
        <v>3226</v>
      </c>
      <c r="F1469" s="105" t="s">
        <v>3226</v>
      </c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1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2563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1076</v>
      </c>
      <c r="S1469" s="87"/>
    </row>
    <row r="1470" spans="1:19" hidden="1">
      <c r="A1470" s="86" t="s">
        <v>3202</v>
      </c>
      <c r="B1470" s="87" t="str">
        <f>IFERROR(VLOOKUP(Proc[[#This Row],[App]],Table2[],3,0),"open")</f>
        <v>ok</v>
      </c>
      <c r="C1470" s="86" t="s">
        <v>369</v>
      </c>
      <c r="D1470" t="s">
        <v>3219</v>
      </c>
      <c r="E1470" s="86" t="s">
        <v>3226</v>
      </c>
      <c r="F1470" s="105" t="s">
        <v>3226</v>
      </c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1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2563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1076</v>
      </c>
      <c r="S1470" s="87"/>
    </row>
    <row r="1471" spans="1:19" hidden="1">
      <c r="A1471" s="86" t="s">
        <v>3202</v>
      </c>
      <c r="B1471" s="87" t="str">
        <f>IFERROR(VLOOKUP(Proc[[#This Row],[App]],Table2[],3,0),"open")</f>
        <v>ok</v>
      </c>
      <c r="C1471" s="86" t="s">
        <v>369</v>
      </c>
      <c r="D1471" t="s">
        <v>3220</v>
      </c>
      <c r="E1471" s="86" t="s">
        <v>3226</v>
      </c>
      <c r="F1471" s="105" t="s">
        <v>3226</v>
      </c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1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2563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1076</v>
      </c>
      <c r="S1471" s="87"/>
    </row>
    <row r="1472" spans="1:19" hidden="1">
      <c r="A1472" s="86" t="s">
        <v>3202</v>
      </c>
      <c r="B1472" s="87" t="str">
        <f>IFERROR(VLOOKUP(Proc[[#This Row],[App]],Table2[],3,0),"open")</f>
        <v>ok</v>
      </c>
      <c r="C1472" s="86" t="s">
        <v>369</v>
      </c>
      <c r="D1472" t="s">
        <v>3221</v>
      </c>
      <c r="E1472" s="86" t="s">
        <v>3226</v>
      </c>
      <c r="F1472" s="105" t="s">
        <v>3226</v>
      </c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1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2563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1076</v>
      </c>
      <c r="S1472" s="87"/>
    </row>
    <row r="1473" spans="1:19" hidden="1">
      <c r="A1473" s="86" t="s">
        <v>3202</v>
      </c>
      <c r="B1473" s="87" t="str">
        <f>IFERROR(VLOOKUP(Proc[[#This Row],[App]],Table2[],3,0),"open")</f>
        <v>ok</v>
      </c>
      <c r="C1473" s="86" t="s">
        <v>369</v>
      </c>
      <c r="D1473" t="s">
        <v>3222</v>
      </c>
      <c r="E1473" s="86" t="s">
        <v>3226</v>
      </c>
      <c r="F1473" s="105" t="s">
        <v>3226</v>
      </c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1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2563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1076</v>
      </c>
      <c r="S1473" s="87"/>
    </row>
    <row r="1474" spans="1:19" hidden="1">
      <c r="A1474" s="86" t="s">
        <v>3202</v>
      </c>
      <c r="B1474" s="87" t="str">
        <f>IFERROR(VLOOKUP(Proc[[#This Row],[App]],Table2[],3,0),"open")</f>
        <v>ok</v>
      </c>
      <c r="C1474" s="86" t="s">
        <v>369</v>
      </c>
      <c r="D1474" t="s">
        <v>3223</v>
      </c>
      <c r="E1474" s="86" t="s">
        <v>3226</v>
      </c>
      <c r="F1474" s="105" t="s">
        <v>3226</v>
      </c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1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2563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1076</v>
      </c>
      <c r="S1474" s="87"/>
    </row>
    <row r="1475" spans="1:19" hidden="1">
      <c r="A1475" s="86" t="s">
        <v>3202</v>
      </c>
      <c r="B1475" s="87" t="str">
        <f>IFERROR(VLOOKUP(Proc[[#This Row],[App]],Table2[],3,0),"open")</f>
        <v>ok</v>
      </c>
      <c r="C1475" s="86" t="s">
        <v>369</v>
      </c>
      <c r="D1475" t="s">
        <v>3224</v>
      </c>
      <c r="E1475" s="86" t="s">
        <v>3226</v>
      </c>
      <c r="F1475" s="105" t="s">
        <v>3226</v>
      </c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1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2563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1076</v>
      </c>
      <c r="S1475" s="87"/>
    </row>
    <row r="1476" spans="1:19" hidden="1">
      <c r="A1476" s="86" t="s">
        <v>3202</v>
      </c>
      <c r="B1476" s="87" t="str">
        <f>IFERROR(VLOOKUP(Proc[[#This Row],[App]],Table2[],3,0),"open")</f>
        <v>ok</v>
      </c>
      <c r="C1476" s="86" t="s">
        <v>369</v>
      </c>
      <c r="D1476" t="s">
        <v>3225</v>
      </c>
      <c r="E1476" s="86" t="s">
        <v>3226</v>
      </c>
      <c r="F1476" s="105" t="s">
        <v>3226</v>
      </c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1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2563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1076</v>
      </c>
      <c r="S1476" s="87"/>
    </row>
    <row r="1477" spans="1:19" hidden="1">
      <c r="A1477" t="s">
        <v>3229</v>
      </c>
      <c r="B1477" s="87" t="str">
        <f>IFERROR(VLOOKUP(Proc[[#This Row],[App]],Table2[],3,0),"open")</f>
        <v>ok</v>
      </c>
      <c r="C1477" s="86" t="s">
        <v>369</v>
      </c>
      <c r="D1477" t="s">
        <v>3230</v>
      </c>
      <c r="E1477" t="s">
        <v>3249</v>
      </c>
      <c r="F1477" s="105" t="s">
        <v>3249</v>
      </c>
      <c r="G1477" t="s">
        <v>406</v>
      </c>
      <c r="H1477" s="87" t="str">
        <f>IF(Proc[[#This Row],[type]]="LFF (MDG-F)",MID(Proc[[#This Row],[Obj]],13,10),"")</f>
        <v>AE50GCO220</v>
      </c>
      <c r="I1477" s="86" t="s">
        <v>3260</v>
      </c>
      <c r="J1477" s="87" t="b">
        <f>Proc[[#This Row],[Requested]]=Proc[[#This Row],[CurrentParent]]</f>
        <v>1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2563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515</v>
      </c>
      <c r="S1477" s="87"/>
    </row>
    <row r="1478" spans="1:19" hidden="1">
      <c r="A1478" s="86" t="s">
        <v>3229</v>
      </c>
      <c r="B1478" s="87" t="str">
        <f>IFERROR(VLOOKUP(Proc[[#This Row],[App]],Table2[],3,0),"open")</f>
        <v>ok</v>
      </c>
      <c r="C1478" s="86" t="s">
        <v>369</v>
      </c>
      <c r="D1478" t="s">
        <v>3231</v>
      </c>
      <c r="E1478" t="s">
        <v>3250</v>
      </c>
      <c r="F1478" s="105" t="s">
        <v>3250</v>
      </c>
      <c r="G1478" s="86" t="s">
        <v>406</v>
      </c>
      <c r="H1478" s="87" t="str">
        <f>IF(Proc[[#This Row],[type]]="LFF (MDG-F)",MID(Proc[[#This Row],[Obj]],13,10),"")</f>
        <v>CN90GMK003</v>
      </c>
      <c r="I1478" s="86" t="s">
        <v>3260</v>
      </c>
      <c r="J1478" s="87" t="b">
        <f>Proc[[#This Row],[Requested]]=Proc[[#This Row],[CurrentParent]]</f>
        <v>1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2563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515</v>
      </c>
      <c r="S1478" s="87"/>
    </row>
    <row r="1479" spans="1:19" hidden="1">
      <c r="A1479" s="86" t="s">
        <v>3229</v>
      </c>
      <c r="B1479" s="87" t="str">
        <f>IFERROR(VLOOKUP(Proc[[#This Row],[App]],Table2[],3,0),"open")</f>
        <v>ok</v>
      </c>
      <c r="C1479" s="86" t="s">
        <v>369</v>
      </c>
      <c r="D1479" t="s">
        <v>3232</v>
      </c>
      <c r="E1479" t="s">
        <v>3251</v>
      </c>
      <c r="F1479" s="105" t="s">
        <v>3251</v>
      </c>
      <c r="G1479" s="86" t="s">
        <v>406</v>
      </c>
      <c r="H1479" s="87" t="str">
        <f>IF(Proc[[#This Row],[type]]="LFF (MDG-F)",MID(Proc[[#This Row],[Obj]],13,10),"")</f>
        <v>DE10624905</v>
      </c>
      <c r="I1479" s="86" t="s">
        <v>3260</v>
      </c>
      <c r="J1479" s="87" t="b">
        <f>Proc[[#This Row],[Requested]]=Proc[[#This Row],[CurrentParent]]</f>
        <v>1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2563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515</v>
      </c>
      <c r="S1479" s="87"/>
    </row>
    <row r="1480" spans="1:19" hidden="1">
      <c r="A1480" s="86" t="s">
        <v>3229</v>
      </c>
      <c r="B1480" s="87" t="str">
        <f>IFERROR(VLOOKUP(Proc[[#This Row],[App]],Table2[],3,0),"open")</f>
        <v>ok</v>
      </c>
      <c r="C1480" s="86" t="s">
        <v>369</v>
      </c>
      <c r="D1480" t="s">
        <v>3233</v>
      </c>
      <c r="E1480" t="s">
        <v>3251</v>
      </c>
      <c r="F1480" s="105" t="s">
        <v>3251</v>
      </c>
      <c r="G1480" s="86" t="s">
        <v>406</v>
      </c>
      <c r="H1480" s="87" t="str">
        <f>IF(Proc[[#This Row],[type]]="LFF (MDG-F)",MID(Proc[[#This Row],[Obj]],13,10),"")</f>
        <v>DE10624906</v>
      </c>
      <c r="I1480" s="86" t="s">
        <v>3260</v>
      </c>
      <c r="J1480" s="87" t="b">
        <f>Proc[[#This Row],[Requested]]=Proc[[#This Row],[CurrentParent]]</f>
        <v>1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2563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515</v>
      </c>
      <c r="S1480" s="87"/>
    </row>
    <row r="1481" spans="1:19" hidden="1">
      <c r="A1481" s="86" t="s">
        <v>3229</v>
      </c>
      <c r="B1481" s="87" t="str">
        <f>IFERROR(VLOOKUP(Proc[[#This Row],[App]],Table2[],3,0),"open")</f>
        <v>ok</v>
      </c>
      <c r="C1481" s="86" t="s">
        <v>369</v>
      </c>
      <c r="D1481" t="s">
        <v>3234</v>
      </c>
      <c r="E1481" t="s">
        <v>3250</v>
      </c>
      <c r="F1481" s="105" t="s">
        <v>3250</v>
      </c>
      <c r="G1481" s="86" t="s">
        <v>406</v>
      </c>
      <c r="H1481" s="87" t="str">
        <f>IF(Proc[[#This Row],[type]]="LFF (MDG-F)",MID(Proc[[#This Row],[Obj]],13,10),"")</f>
        <v>DE10GM1057</v>
      </c>
      <c r="I1481" s="86" t="s">
        <v>3260</v>
      </c>
      <c r="J1481" s="87" t="b">
        <f>Proc[[#This Row],[Requested]]=Proc[[#This Row],[CurrentParent]]</f>
        <v>1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2563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515</v>
      </c>
      <c r="S1481" s="87"/>
    </row>
    <row r="1482" spans="1:19" hidden="1">
      <c r="A1482" s="86" t="s">
        <v>3229</v>
      </c>
      <c r="B1482" s="87" t="str">
        <f>IFERROR(VLOOKUP(Proc[[#This Row],[App]],Table2[],3,0),"open")</f>
        <v>ok</v>
      </c>
      <c r="C1482" s="86" t="s">
        <v>369</v>
      </c>
      <c r="D1482" t="s">
        <v>3235</v>
      </c>
      <c r="E1482" t="s">
        <v>3252</v>
      </c>
      <c r="F1482" s="105" t="s">
        <v>3252</v>
      </c>
      <c r="G1482" s="86" t="s">
        <v>406</v>
      </c>
      <c r="H1482" s="87" t="str">
        <f>IF(Proc[[#This Row],[type]]="LFF (MDG-F)",MID(Proc[[#This Row],[Obj]],13,10),"")</f>
        <v>DE10GMK003</v>
      </c>
      <c r="I1482" s="86" t="s">
        <v>3260</v>
      </c>
      <c r="J1482" s="87" t="b">
        <f>Proc[[#This Row],[Requested]]=Proc[[#This Row],[CurrentParent]]</f>
        <v>1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2563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515</v>
      </c>
      <c r="S1482" s="87"/>
    </row>
    <row r="1483" spans="1:19" hidden="1">
      <c r="A1483" s="86" t="s">
        <v>3229</v>
      </c>
      <c r="B1483" s="87" t="str">
        <f>IFERROR(VLOOKUP(Proc[[#This Row],[App]],Table2[],3,0),"open")</f>
        <v>ok</v>
      </c>
      <c r="C1483" s="86" t="s">
        <v>369</v>
      </c>
      <c r="D1483" t="s">
        <v>3236</v>
      </c>
      <c r="E1483" t="s">
        <v>3253</v>
      </c>
      <c r="F1483" s="105" t="s">
        <v>3253</v>
      </c>
      <c r="G1483" s="86" t="s">
        <v>406</v>
      </c>
      <c r="H1483" s="87" t="str">
        <f>IF(Proc[[#This Row],[type]]="LFF (MDG-F)",MID(Proc[[#This Row],[Obj]],13,10),"")</f>
        <v>DE10GMK004</v>
      </c>
      <c r="I1483" s="86" t="s">
        <v>3260</v>
      </c>
      <c r="J1483" s="87" t="b">
        <f>Proc[[#This Row],[Requested]]=Proc[[#This Row],[CurrentParent]]</f>
        <v>1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2563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515</v>
      </c>
      <c r="S1483" s="87"/>
    </row>
    <row r="1484" spans="1:19" hidden="1">
      <c r="A1484" s="86" t="s">
        <v>3229</v>
      </c>
      <c r="B1484" s="87" t="str">
        <f>IFERROR(VLOOKUP(Proc[[#This Row],[App]],Table2[],3,0),"open")</f>
        <v>ok</v>
      </c>
      <c r="C1484" s="86" t="s">
        <v>369</v>
      </c>
      <c r="D1484" t="s">
        <v>3237</v>
      </c>
      <c r="E1484" t="s">
        <v>3254</v>
      </c>
      <c r="F1484" s="105" t="s">
        <v>3254</v>
      </c>
      <c r="G1484" s="86" t="s">
        <v>406</v>
      </c>
      <c r="H1484" s="87" t="str">
        <f>IF(Proc[[#This Row],[type]]="LFF (MDG-F)",MID(Proc[[#This Row],[Obj]],13,10),"")</f>
        <v>DE10Z03107</v>
      </c>
      <c r="I1484" s="86" t="s">
        <v>3260</v>
      </c>
      <c r="J1484" s="87" t="b">
        <f>Proc[[#This Row],[Requested]]=Proc[[#This Row],[CurrentParent]]</f>
        <v>1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2563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515</v>
      </c>
      <c r="S1484" s="87"/>
    </row>
    <row r="1485" spans="1:19" hidden="1">
      <c r="A1485" s="86" t="s">
        <v>3229</v>
      </c>
      <c r="B1485" s="87" t="str">
        <f>IFERROR(VLOOKUP(Proc[[#This Row],[App]],Table2[],3,0),"open")</f>
        <v>ok</v>
      </c>
      <c r="C1485" s="86" t="s">
        <v>369</v>
      </c>
      <c r="D1485" t="s">
        <v>3238</v>
      </c>
      <c r="E1485" t="s">
        <v>3250</v>
      </c>
      <c r="F1485" s="105" t="s">
        <v>3250</v>
      </c>
      <c r="G1485" s="86" t="s">
        <v>406</v>
      </c>
      <c r="H1485" s="87" t="str">
        <f>IF(Proc[[#This Row],[type]]="LFF (MDG-F)",MID(Proc[[#This Row],[Obj]],13,10),"")</f>
        <v>DE10Z03108</v>
      </c>
      <c r="I1485" s="86" t="s">
        <v>3260</v>
      </c>
      <c r="J1485" s="87" t="b">
        <f>Proc[[#This Row],[Requested]]=Proc[[#This Row],[CurrentParent]]</f>
        <v>1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2563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515</v>
      </c>
      <c r="S1485" s="87"/>
    </row>
    <row r="1486" spans="1:19" hidden="1">
      <c r="A1486" s="86" t="s">
        <v>3229</v>
      </c>
      <c r="B1486" s="87" t="str">
        <f>IFERROR(VLOOKUP(Proc[[#This Row],[App]],Table2[],3,0),"open")</f>
        <v>ok</v>
      </c>
      <c r="C1486" s="86" t="s">
        <v>369</v>
      </c>
      <c r="D1486" t="s">
        <v>3239</v>
      </c>
      <c r="E1486" t="s">
        <v>3249</v>
      </c>
      <c r="F1486" s="105" t="s">
        <v>3249</v>
      </c>
      <c r="G1486" s="86" t="s">
        <v>406</v>
      </c>
      <c r="H1486" s="87" t="str">
        <f>IF(Proc[[#This Row],[type]]="LFF (MDG-F)",MID(Proc[[#This Row],[Obj]],13,10),"")</f>
        <v>DE10Z03109</v>
      </c>
      <c r="I1486" s="86" t="s">
        <v>3260</v>
      </c>
      <c r="J1486" s="87" t="b">
        <f>Proc[[#This Row],[Requested]]=Proc[[#This Row],[CurrentParent]]</f>
        <v>1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2563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515</v>
      </c>
      <c r="S1486" s="87"/>
    </row>
    <row r="1487" spans="1:19" hidden="1">
      <c r="A1487" s="86" t="s">
        <v>3229</v>
      </c>
      <c r="B1487" s="87" t="str">
        <f>IFERROR(VLOOKUP(Proc[[#This Row],[App]],Table2[],3,0),"open")</f>
        <v>ok</v>
      </c>
      <c r="C1487" s="86" t="s">
        <v>369</v>
      </c>
      <c r="D1487" t="s">
        <v>3240</v>
      </c>
      <c r="E1487" t="s">
        <v>3255</v>
      </c>
      <c r="F1487" s="105" t="s">
        <v>3255</v>
      </c>
      <c r="G1487" s="86" t="s">
        <v>406</v>
      </c>
      <c r="H1487" s="87" t="str">
        <f>IF(Proc[[#This Row],[type]]="LFF (MDG-F)",MID(Proc[[#This Row],[Obj]],13,10),"")</f>
        <v>DE10Z03110</v>
      </c>
      <c r="I1487" s="86" t="s">
        <v>3260</v>
      </c>
      <c r="J1487" s="87" t="b">
        <f>Proc[[#This Row],[Requested]]=Proc[[#This Row],[CurrentParent]]</f>
        <v>1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2563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515</v>
      </c>
      <c r="S1487" s="87"/>
    </row>
    <row r="1488" spans="1:19" hidden="1">
      <c r="A1488" s="86" t="s">
        <v>3229</v>
      </c>
      <c r="B1488" s="87" t="str">
        <f>IFERROR(VLOOKUP(Proc[[#This Row],[App]],Table2[],3,0),"open")</f>
        <v>ok</v>
      </c>
      <c r="C1488" s="86" t="s">
        <v>369</v>
      </c>
      <c r="D1488" t="s">
        <v>3241</v>
      </c>
      <c r="E1488" t="s">
        <v>3254</v>
      </c>
      <c r="F1488" s="105" t="s">
        <v>3254</v>
      </c>
      <c r="G1488" s="86" t="s">
        <v>406</v>
      </c>
      <c r="H1488" s="87" t="str">
        <f>IF(Proc[[#This Row],[type]]="LFF (MDG-F)",MID(Proc[[#This Row],[Obj]],13,10),"")</f>
        <v>1937GMK003</v>
      </c>
      <c r="I1488" s="86" t="s">
        <v>3260</v>
      </c>
      <c r="J1488" s="87" t="b">
        <f>Proc[[#This Row],[Requested]]=Proc[[#This Row],[CurrentParent]]</f>
        <v>1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2563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515</v>
      </c>
      <c r="S1488" s="87"/>
    </row>
    <row r="1489" spans="1:19" hidden="1">
      <c r="A1489" s="86" t="s">
        <v>3229</v>
      </c>
      <c r="B1489" s="87" t="str">
        <f>IFERROR(VLOOKUP(Proc[[#This Row],[App]],Table2[],3,0),"open")</f>
        <v>ok</v>
      </c>
      <c r="C1489" s="86" t="s">
        <v>369</v>
      </c>
      <c r="D1489" t="s">
        <v>3242</v>
      </c>
      <c r="E1489" t="s">
        <v>3249</v>
      </c>
      <c r="F1489" s="105" t="s">
        <v>3249</v>
      </c>
      <c r="G1489" s="86" t="s">
        <v>406</v>
      </c>
      <c r="H1489" s="87" t="str">
        <f>IF(Proc[[#This Row],[type]]="LFF (MDG-F)",MID(Proc[[#This Row],[Obj]],13,10),"")</f>
        <v>2025GMK003</v>
      </c>
      <c r="I1489" s="86" t="s">
        <v>3260</v>
      </c>
      <c r="J1489" s="87" t="b">
        <f>Proc[[#This Row],[Requested]]=Proc[[#This Row],[CurrentParent]]</f>
        <v>1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2563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515</v>
      </c>
      <c r="S1489" s="87"/>
    </row>
    <row r="1490" spans="1:19" hidden="1">
      <c r="A1490" s="86" t="s">
        <v>3229</v>
      </c>
      <c r="B1490" s="87" t="str">
        <f>IFERROR(VLOOKUP(Proc[[#This Row],[App]],Table2[],3,0),"open")</f>
        <v>ok</v>
      </c>
      <c r="C1490" s="86" t="s">
        <v>369</v>
      </c>
      <c r="D1490" t="s">
        <v>3243</v>
      </c>
      <c r="E1490" t="s">
        <v>3250</v>
      </c>
      <c r="F1490" s="105" t="s">
        <v>3250</v>
      </c>
      <c r="G1490" s="86" t="s">
        <v>406</v>
      </c>
      <c r="H1490" s="87" t="str">
        <f>IF(Proc[[#This Row],[type]]="LFF (MDG-F)",MID(Proc[[#This Row],[Obj]],13,10),"")</f>
        <v>2123Z03104</v>
      </c>
      <c r="I1490" t="s">
        <v>3260</v>
      </c>
      <c r="J1490" s="87" t="b">
        <f>Proc[[#This Row],[Requested]]=Proc[[#This Row],[CurrentParent]]</f>
        <v>1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2563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515</v>
      </c>
      <c r="S1490" s="87"/>
    </row>
    <row r="1491" spans="1:19" hidden="1">
      <c r="A1491" s="86" t="s">
        <v>3229</v>
      </c>
      <c r="B1491" s="87" t="str">
        <f>IFERROR(VLOOKUP(Proc[[#This Row],[App]],Table2[],3,0),"open")</f>
        <v>ok</v>
      </c>
      <c r="C1491" s="86" t="s">
        <v>369</v>
      </c>
      <c r="D1491" t="s">
        <v>3244</v>
      </c>
      <c r="E1491" t="s">
        <v>3249</v>
      </c>
      <c r="F1491" s="105" t="s">
        <v>3249</v>
      </c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1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2563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515</v>
      </c>
      <c r="S1491" s="87"/>
    </row>
    <row r="1492" spans="1:19" hidden="1">
      <c r="A1492" s="86" t="s">
        <v>3229</v>
      </c>
      <c r="B1492" s="87" t="str">
        <f>IFERROR(VLOOKUP(Proc[[#This Row],[App]],Table2[],3,0),"open")</f>
        <v>ok</v>
      </c>
      <c r="C1492" s="86" t="s">
        <v>369</v>
      </c>
      <c r="D1492" t="s">
        <v>3245</v>
      </c>
      <c r="E1492" t="s">
        <v>3250</v>
      </c>
      <c r="F1492" s="105" t="s">
        <v>3250</v>
      </c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1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2563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515</v>
      </c>
      <c r="S1492" s="87"/>
    </row>
    <row r="1493" spans="1:19" hidden="1">
      <c r="A1493" s="86" t="s">
        <v>3229</v>
      </c>
      <c r="B1493" s="87" t="str">
        <f>IFERROR(VLOOKUP(Proc[[#This Row],[App]],Table2[],3,0),"open")</f>
        <v>ok</v>
      </c>
      <c r="C1493" s="86" t="s">
        <v>369</v>
      </c>
      <c r="D1493" t="s">
        <v>3246</v>
      </c>
      <c r="E1493" t="s">
        <v>3253</v>
      </c>
      <c r="F1493" s="105" t="s">
        <v>3253</v>
      </c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1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2563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515</v>
      </c>
      <c r="S1493" s="87"/>
    </row>
    <row r="1494" spans="1:19" hidden="1">
      <c r="A1494" s="86" t="s">
        <v>3229</v>
      </c>
      <c r="B1494" s="87" t="str">
        <f>IFERROR(VLOOKUP(Proc[[#This Row],[App]],Table2[],3,0),"open")</f>
        <v>ok</v>
      </c>
      <c r="C1494" s="86" t="s">
        <v>369</v>
      </c>
      <c r="D1494" t="s">
        <v>3247</v>
      </c>
      <c r="E1494" t="s">
        <v>3249</v>
      </c>
      <c r="F1494" s="105" t="s">
        <v>3249</v>
      </c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1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2563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515</v>
      </c>
      <c r="S1494" s="87"/>
    </row>
    <row r="1495" spans="1:19" hidden="1">
      <c r="A1495" s="86" t="s">
        <v>3229</v>
      </c>
      <c r="B1495" s="87" t="str">
        <f>IFERROR(VLOOKUP(Proc[[#This Row],[App]],Table2[],3,0),"open")</f>
        <v>ok</v>
      </c>
      <c r="C1495" s="86" t="s">
        <v>369</v>
      </c>
      <c r="D1495" t="s">
        <v>3248</v>
      </c>
      <c r="E1495" t="s">
        <v>3250</v>
      </c>
      <c r="F1495" s="105" t="s">
        <v>3250</v>
      </c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1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2563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515</v>
      </c>
      <c r="S1495" s="87"/>
    </row>
    <row r="1496" spans="1:19" hidden="1">
      <c r="A1496" t="s">
        <v>3256</v>
      </c>
      <c r="B1496" s="87" t="str">
        <f>IFERROR(VLOOKUP(Proc[[#This Row],[App]],Table2[],3,0),"open")</f>
        <v>ok</v>
      </c>
      <c r="C1496" s="86" t="s">
        <v>369</v>
      </c>
      <c r="D1496" t="s">
        <v>2601</v>
      </c>
      <c r="E1496" t="s">
        <v>3258</v>
      </c>
      <c r="F1496" s="105" t="s">
        <v>3258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1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2563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515</v>
      </c>
      <c r="S1496" s="87"/>
    </row>
    <row r="1497" spans="1:19" hidden="1">
      <c r="A1497" s="86" t="s">
        <v>3256</v>
      </c>
      <c r="B1497" s="87" t="str">
        <f>IFERROR(VLOOKUP(Proc[[#This Row],[App]],Table2[],3,0),"open")</f>
        <v>ok</v>
      </c>
      <c r="C1497" s="86" t="s">
        <v>369</v>
      </c>
      <c r="D1497" t="s">
        <v>3257</v>
      </c>
      <c r="E1497" t="s">
        <v>3259</v>
      </c>
      <c r="F1497" s="105" t="s">
        <v>3259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1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2563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515</v>
      </c>
      <c r="S1497" s="87"/>
    </row>
    <row r="1498" spans="1:19" hidden="1">
      <c r="A1498" t="s">
        <v>3261</v>
      </c>
      <c r="B1498" s="87" t="str">
        <f>IFERROR(VLOOKUP(Proc[[#This Row],[App]],Table2[],3,0),"open")</f>
        <v>ok</v>
      </c>
      <c r="C1498" s="86" t="s">
        <v>369</v>
      </c>
      <c r="D1498" t="s">
        <v>3262</v>
      </c>
      <c r="E1498" t="s">
        <v>3265</v>
      </c>
      <c r="F1498" s="105" t="s">
        <v>3265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1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2563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489</v>
      </c>
      <c r="S1498" s="87"/>
    </row>
    <row r="1499" spans="1:19" hidden="1">
      <c r="A1499" s="86" t="s">
        <v>3261</v>
      </c>
      <c r="B1499" s="87" t="str">
        <f>IFERROR(VLOOKUP(Proc[[#This Row],[App]],Table2[],3,0),"open")</f>
        <v>ok</v>
      </c>
      <c r="C1499" s="86" t="s">
        <v>369</v>
      </c>
      <c r="D1499" t="s">
        <v>3263</v>
      </c>
      <c r="E1499" t="s">
        <v>3266</v>
      </c>
      <c r="F1499" s="105" t="s">
        <v>3266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1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2563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489</v>
      </c>
      <c r="S1499" s="87"/>
    </row>
    <row r="1500" spans="1:19" hidden="1">
      <c r="A1500" s="86" t="s">
        <v>3261</v>
      </c>
      <c r="B1500" s="87" t="str">
        <f>IFERROR(VLOOKUP(Proc[[#This Row],[App]],Table2[],3,0),"open")</f>
        <v>ok</v>
      </c>
      <c r="C1500" s="86" t="s">
        <v>369</v>
      </c>
      <c r="D1500" t="s">
        <v>3264</v>
      </c>
      <c r="E1500" t="s">
        <v>3267</v>
      </c>
      <c r="F1500" s="105" t="s">
        <v>3267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1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2563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489</v>
      </c>
      <c r="S1500" s="87"/>
    </row>
    <row r="1501" spans="1:19" hidden="1">
      <c r="A1501" t="s">
        <v>3268</v>
      </c>
      <c r="B1501" s="87" t="str">
        <f>IFERROR(VLOOKUP(Proc[[#This Row],[App]],Table2[],3,0),"open")</f>
        <v>ok</v>
      </c>
      <c r="C1501" s="86" t="s">
        <v>369</v>
      </c>
      <c r="D1501" t="s">
        <v>3269</v>
      </c>
      <c r="E1501" t="s">
        <v>3280</v>
      </c>
      <c r="F1501" s="105" t="s">
        <v>3280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1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2563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3285</v>
      </c>
      <c r="S1501" s="87"/>
    </row>
    <row r="1502" spans="1:19" hidden="1">
      <c r="A1502" s="86" t="s">
        <v>3268</v>
      </c>
      <c r="B1502" s="87" t="str">
        <f>IFERROR(VLOOKUP(Proc[[#This Row],[App]],Table2[],3,0),"open")</f>
        <v>ok</v>
      </c>
      <c r="C1502" s="86" t="s">
        <v>369</v>
      </c>
      <c r="D1502" t="s">
        <v>3270</v>
      </c>
      <c r="E1502" t="s">
        <v>3281</v>
      </c>
      <c r="F1502" s="105" t="s">
        <v>3281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1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2563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3285</v>
      </c>
      <c r="S1502" s="87"/>
    </row>
    <row r="1503" spans="1:19" hidden="1">
      <c r="A1503" s="86" t="s">
        <v>3268</v>
      </c>
      <c r="B1503" s="87" t="str">
        <f>IFERROR(VLOOKUP(Proc[[#This Row],[App]],Table2[],3,0),"open")</f>
        <v>ok</v>
      </c>
      <c r="C1503" s="86" t="s">
        <v>369</v>
      </c>
      <c r="D1503" t="s">
        <v>3271</v>
      </c>
      <c r="E1503" t="s">
        <v>3282</v>
      </c>
      <c r="F1503" s="105" t="s">
        <v>3282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1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2563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3285</v>
      </c>
      <c r="S1503" s="87"/>
    </row>
    <row r="1504" spans="1:19" hidden="1">
      <c r="A1504" s="86" t="s">
        <v>3268</v>
      </c>
      <c r="B1504" s="87" t="str">
        <f>IFERROR(VLOOKUP(Proc[[#This Row],[App]],Table2[],3,0),"open")</f>
        <v>ok</v>
      </c>
      <c r="C1504" s="86" t="s">
        <v>369</v>
      </c>
      <c r="D1504" t="s">
        <v>3272</v>
      </c>
      <c r="E1504" t="s">
        <v>3283</v>
      </c>
      <c r="F1504" s="105" t="s">
        <v>3283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1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2563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3285</v>
      </c>
      <c r="S1504" s="87"/>
    </row>
    <row r="1505" spans="1:19" hidden="1">
      <c r="A1505" s="86" t="s">
        <v>3268</v>
      </c>
      <c r="B1505" s="87" t="str">
        <f>IFERROR(VLOOKUP(Proc[[#This Row],[App]],Table2[],3,0),"open")</f>
        <v>ok</v>
      </c>
      <c r="C1505" s="86" t="s">
        <v>369</v>
      </c>
      <c r="D1505" t="s">
        <v>3273</v>
      </c>
      <c r="E1505" t="s">
        <v>3284</v>
      </c>
      <c r="F1505" s="105" t="s">
        <v>3284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1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2563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3285</v>
      </c>
      <c r="S1505" s="87"/>
    </row>
    <row r="1506" spans="1:19" hidden="1">
      <c r="A1506" s="86" t="s">
        <v>3268</v>
      </c>
      <c r="B1506" s="87" t="str">
        <f>IFERROR(VLOOKUP(Proc[[#This Row],[App]],Table2[],3,0),"open")</f>
        <v>ok</v>
      </c>
      <c r="C1506" s="86" t="s">
        <v>369</v>
      </c>
      <c r="D1506" t="s">
        <v>3274</v>
      </c>
      <c r="E1506" t="s">
        <v>3284</v>
      </c>
      <c r="F1506" s="105" t="s">
        <v>3284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1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2563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3285</v>
      </c>
      <c r="S1506" s="87"/>
    </row>
    <row r="1507" spans="1:19" hidden="1">
      <c r="A1507" s="86" t="s">
        <v>3268</v>
      </c>
      <c r="B1507" s="87" t="str">
        <f>IFERROR(VLOOKUP(Proc[[#This Row],[App]],Table2[],3,0),"open")</f>
        <v>ok</v>
      </c>
      <c r="C1507" s="86" t="s">
        <v>369</v>
      </c>
      <c r="D1507" t="s">
        <v>3275</v>
      </c>
      <c r="E1507" t="s">
        <v>3281</v>
      </c>
      <c r="F1507" s="105" t="s">
        <v>3281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1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2563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3285</v>
      </c>
      <c r="S1507" s="87"/>
    </row>
    <row r="1508" spans="1:19" hidden="1">
      <c r="A1508" s="86" t="s">
        <v>3268</v>
      </c>
      <c r="B1508" s="87" t="str">
        <f>IFERROR(VLOOKUP(Proc[[#This Row],[App]],Table2[],3,0),"open")</f>
        <v>ok</v>
      </c>
      <c r="C1508" s="86" t="s">
        <v>369</v>
      </c>
      <c r="D1508" t="s">
        <v>3276</v>
      </c>
      <c r="E1508" t="s">
        <v>3281</v>
      </c>
      <c r="F1508" s="105" t="s">
        <v>3281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1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2563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3285</v>
      </c>
      <c r="S1508" s="87"/>
    </row>
    <row r="1509" spans="1:19" hidden="1">
      <c r="A1509" s="86" t="s">
        <v>3268</v>
      </c>
      <c r="B1509" s="87" t="str">
        <f>IFERROR(VLOOKUP(Proc[[#This Row],[App]],Table2[],3,0),"open")</f>
        <v>ok</v>
      </c>
      <c r="C1509" s="86" t="s">
        <v>369</v>
      </c>
      <c r="D1509" t="s">
        <v>3277</v>
      </c>
      <c r="E1509" t="s">
        <v>3281</v>
      </c>
      <c r="F1509" s="105" t="s">
        <v>3281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1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2563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3285</v>
      </c>
      <c r="S1509" s="87"/>
    </row>
    <row r="1510" spans="1:19" hidden="1">
      <c r="A1510" s="86" t="s">
        <v>3268</v>
      </c>
      <c r="B1510" s="87" t="str">
        <f>IFERROR(VLOOKUP(Proc[[#This Row],[App]],Table2[],3,0),"open")</f>
        <v>ok</v>
      </c>
      <c r="C1510" s="86" t="s">
        <v>369</v>
      </c>
      <c r="D1510" t="s">
        <v>3278</v>
      </c>
      <c r="E1510" t="s">
        <v>3281</v>
      </c>
      <c r="F1510" s="105" t="s">
        <v>3281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1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2563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3285</v>
      </c>
      <c r="S1510" s="87"/>
    </row>
    <row r="1511" spans="1:19" hidden="1">
      <c r="A1511" s="86" t="s">
        <v>3268</v>
      </c>
      <c r="B1511" s="87" t="str">
        <f>IFERROR(VLOOKUP(Proc[[#This Row],[App]],Table2[],3,0),"open")</f>
        <v>ok</v>
      </c>
      <c r="C1511" s="86" t="s">
        <v>369</v>
      </c>
      <c r="D1511" t="s">
        <v>3279</v>
      </c>
      <c r="E1511" t="s">
        <v>3280</v>
      </c>
      <c r="F1511" s="105" t="s">
        <v>3280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1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2563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3285</v>
      </c>
      <c r="S1511" s="87"/>
    </row>
    <row r="1512" spans="1:19" hidden="1">
      <c r="A1512" t="s">
        <v>3290</v>
      </c>
      <c r="B1512" s="87" t="str">
        <f>IFERROR(VLOOKUP(Proc[[#This Row],[App]],Table2[],3,0),"open")</f>
        <v>ok</v>
      </c>
      <c r="C1512" s="86" t="s">
        <v>369</v>
      </c>
      <c r="D1512" t="s">
        <v>3288</v>
      </c>
      <c r="E1512" t="s">
        <v>3289</v>
      </c>
      <c r="F1512" s="105" t="s">
        <v>3289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1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2563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3291</v>
      </c>
      <c r="S1512" s="87"/>
    </row>
    <row r="1513" spans="1:19" hidden="1">
      <c r="A1513" t="s">
        <v>3292</v>
      </c>
      <c r="B1513" s="87" t="str">
        <f>IFERROR(VLOOKUP(Proc[[#This Row],[App]],Table2[],3,0),"open")</f>
        <v>ok</v>
      </c>
      <c r="C1513" s="86" t="s">
        <v>369</v>
      </c>
      <c r="D1513" t="s">
        <v>4136</v>
      </c>
      <c r="E1513" t="s">
        <v>2417</v>
      </c>
      <c r="F1513" s="105" t="s">
        <v>2417</v>
      </c>
      <c r="G1513" s="105" t="s">
        <v>406</v>
      </c>
      <c r="H1513" s="87" t="str">
        <f>IF(Proc[[#This Row],[type]]="LFF (MDG-F)",MID(Proc[[#This Row],[Obj]],13,10),"")</f>
        <v>DZ50GM1100</v>
      </c>
      <c r="I1513" t="s">
        <v>4138</v>
      </c>
      <c r="J1513" s="87" t="b">
        <f>Proc[[#This Row],[Requested]]=Proc[[#This Row],[CurrentParent]]</f>
        <v>1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2563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26</v>
      </c>
      <c r="R1513" s="88" t="s">
        <v>515</v>
      </c>
      <c r="S1513" s="87"/>
    </row>
    <row r="1514" spans="1:19" hidden="1">
      <c r="A1514" s="86" t="s">
        <v>3292</v>
      </c>
      <c r="B1514" s="87" t="str">
        <f>IFERROR(VLOOKUP(Proc[[#This Row],[App]],Table2[],3,0),"open")</f>
        <v>ok</v>
      </c>
      <c r="C1514" s="105" t="s">
        <v>369</v>
      </c>
      <c r="D1514" t="s">
        <v>4137</v>
      </c>
      <c r="E1514" t="s">
        <v>2417</v>
      </c>
      <c r="F1514" s="105" t="s">
        <v>2417</v>
      </c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4138</v>
      </c>
      <c r="J1514" s="87" t="b">
        <f>Proc[[#This Row],[Requested]]=Proc[[#This Row],[CurrentParent]]</f>
        <v>1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2563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26</v>
      </c>
      <c r="R1514" s="88" t="s">
        <v>515</v>
      </c>
      <c r="S1514" s="87"/>
    </row>
    <row r="1515" spans="1:19" s="105" customFormat="1" hidden="1">
      <c r="A1515" s="105" t="s">
        <v>3292</v>
      </c>
      <c r="B1515" s="96" t="str">
        <f>IFERROR(VLOOKUP(Proc[[#This Row],[App]],Table2[],3,0),"open")</f>
        <v>ok</v>
      </c>
      <c r="C1515" s="65" t="s">
        <v>369</v>
      </c>
      <c r="D1515" s="105" t="s">
        <v>4135</v>
      </c>
      <c r="E1515" s="105" t="s">
        <v>476</v>
      </c>
      <c r="F1515" s="105" t="s">
        <v>476</v>
      </c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4138</v>
      </c>
      <c r="J1515" s="96" t="b">
        <f>Proc[[#This Row],[Requested]]=Proc[[#This Row],[CurrentParent]]</f>
        <v>1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2563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515</v>
      </c>
      <c r="S1515" s="96"/>
    </row>
    <row r="1516" spans="1:19" s="105" customFormat="1" hidden="1">
      <c r="A1516" s="105" t="s">
        <v>3292</v>
      </c>
      <c r="B1516" s="96" t="str">
        <f>IFERROR(VLOOKUP(Proc[[#This Row],[App]],Table2[],3,0),"open")</f>
        <v>ok</v>
      </c>
      <c r="C1516" s="105" t="s">
        <v>369</v>
      </c>
      <c r="D1516" s="105" t="s">
        <v>2445</v>
      </c>
      <c r="E1516" s="105" t="s">
        <v>540</v>
      </c>
      <c r="F1516" s="105" t="s">
        <v>540</v>
      </c>
      <c r="G1516" s="105" t="s">
        <v>400</v>
      </c>
      <c r="H1516" s="96" t="str">
        <f>IF(Proc[[#This Row],[type]]="LFF (MDG-F)",MID(Proc[[#This Row],[Obj]],13,10),"")</f>
        <v/>
      </c>
      <c r="I1516" s="105" t="s">
        <v>4139</v>
      </c>
      <c r="J1516" s="96" t="b">
        <f>Proc[[#This Row],[Requested]]=Proc[[#This Row],[CurrentParent]]</f>
        <v>1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2563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515</v>
      </c>
      <c r="S1516" s="96"/>
    </row>
    <row r="1517" spans="1:19" hidden="1">
      <c r="A1517" t="s">
        <v>3293</v>
      </c>
      <c r="B1517" s="87" t="str">
        <f>IFERROR(VLOOKUP(Proc[[#This Row],[App]],Table2[],3,0),"open")</f>
        <v>ok</v>
      </c>
      <c r="C1517" s="86" t="s">
        <v>369</v>
      </c>
      <c r="D1517" t="s">
        <v>3294</v>
      </c>
      <c r="E1517" t="s">
        <v>3295</v>
      </c>
      <c r="F1517" s="105" t="s">
        <v>3295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1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2563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26</v>
      </c>
      <c r="R1517" s="88" t="s">
        <v>3291</v>
      </c>
      <c r="S1517" s="87"/>
    </row>
    <row r="1518" spans="1:19" hidden="1">
      <c r="A1518" t="s">
        <v>3298</v>
      </c>
      <c r="B1518" s="87" t="str">
        <f>IFERROR(VLOOKUP(Proc[[#This Row],[App]],Table2[],3,0),"open")</f>
        <v>ok</v>
      </c>
      <c r="C1518" s="91" t="s">
        <v>369</v>
      </c>
      <c r="D1518" t="s">
        <v>3296</v>
      </c>
      <c r="E1518" t="s">
        <v>3297</v>
      </c>
      <c r="F1518" s="105" t="s">
        <v>3297</v>
      </c>
      <c r="G1518" t="s">
        <v>406</v>
      </c>
      <c r="H1518" s="87" t="str">
        <f>IF(Proc[[#This Row],[type]]="LFF (MDG-F)",MID(Proc[[#This Row],[Obj]],13,10),"")</f>
        <v>2137C00001</v>
      </c>
      <c r="I1518" t="s">
        <v>3330</v>
      </c>
      <c r="J1518" s="87" t="b">
        <f>Proc[[#This Row],[Requested]]=Proc[[#This Row],[CurrentParent]]</f>
        <v>1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2563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26</v>
      </c>
      <c r="R1518" s="88" t="s">
        <v>3291</v>
      </c>
      <c r="S1518" s="87"/>
    </row>
    <row r="1519" spans="1:19" hidden="1">
      <c r="A1519" t="s">
        <v>3327</v>
      </c>
      <c r="B1519" s="87" t="str">
        <f>IFERROR(VLOOKUP(Proc[[#This Row],[App]],Table2[],3,0),"open")</f>
        <v>ok</v>
      </c>
      <c r="C1519" s="86" t="s">
        <v>369</v>
      </c>
      <c r="D1519" t="s">
        <v>3299</v>
      </c>
      <c r="E1519" t="s">
        <v>2161</v>
      </c>
      <c r="F1519" s="105" t="s">
        <v>2161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1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2563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25</v>
      </c>
      <c r="R1519" s="88" t="s">
        <v>478</v>
      </c>
      <c r="S1519" s="87"/>
    </row>
    <row r="1520" spans="1:19" hidden="1">
      <c r="A1520" s="86" t="s">
        <v>3327</v>
      </c>
      <c r="B1520" s="87" t="str">
        <f>IFERROR(VLOOKUP(Proc[[#This Row],[App]],Table2[],3,0),"open")</f>
        <v>ok</v>
      </c>
      <c r="C1520" s="86" t="s">
        <v>369</v>
      </c>
      <c r="D1520" t="s">
        <v>3300</v>
      </c>
      <c r="E1520" t="s">
        <v>2161</v>
      </c>
      <c r="F1520" s="105" t="s">
        <v>2161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1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2563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25</v>
      </c>
      <c r="R1520" s="88" t="s">
        <v>478</v>
      </c>
      <c r="S1520" s="87"/>
    </row>
    <row r="1521" spans="1:19" hidden="1">
      <c r="A1521" s="86" t="s">
        <v>3327</v>
      </c>
      <c r="B1521" s="87" t="str">
        <f>IFERROR(VLOOKUP(Proc[[#This Row],[App]],Table2[],3,0),"open")</f>
        <v>ok</v>
      </c>
      <c r="C1521" s="86" t="s">
        <v>369</v>
      </c>
      <c r="D1521" t="s">
        <v>3301</v>
      </c>
      <c r="E1521" t="s">
        <v>2161</v>
      </c>
      <c r="F1521" s="105" t="s">
        <v>2161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1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2563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25</v>
      </c>
      <c r="R1521" s="88" t="s">
        <v>478</v>
      </c>
      <c r="S1521" s="87"/>
    </row>
    <row r="1522" spans="1:19" hidden="1">
      <c r="A1522" s="86" t="s">
        <v>3327</v>
      </c>
      <c r="B1522" s="87" t="str">
        <f>IFERROR(VLOOKUP(Proc[[#This Row],[App]],Table2[],3,0),"open")</f>
        <v>ok</v>
      </c>
      <c r="C1522" s="86" t="s">
        <v>369</v>
      </c>
      <c r="D1522" t="s">
        <v>3302</v>
      </c>
      <c r="E1522" t="s">
        <v>2161</v>
      </c>
      <c r="F1522" s="105" t="s">
        <v>2161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1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2563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25</v>
      </c>
      <c r="R1522" s="88" t="s">
        <v>478</v>
      </c>
      <c r="S1522" s="87"/>
    </row>
    <row r="1523" spans="1:19" hidden="1">
      <c r="A1523" s="86" t="s">
        <v>3327</v>
      </c>
      <c r="B1523" s="87" t="str">
        <f>IFERROR(VLOOKUP(Proc[[#This Row],[App]],Table2[],3,0),"open")</f>
        <v>ok</v>
      </c>
      <c r="C1523" s="86" t="s">
        <v>369</v>
      </c>
      <c r="D1523" t="s">
        <v>3303</v>
      </c>
      <c r="E1523" t="s">
        <v>2161</v>
      </c>
      <c r="F1523" s="105" t="s">
        <v>2161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1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2563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25</v>
      </c>
      <c r="R1523" s="88" t="s">
        <v>478</v>
      </c>
      <c r="S1523" s="87"/>
    </row>
    <row r="1524" spans="1:19" hidden="1">
      <c r="A1524" s="86" t="s">
        <v>3327</v>
      </c>
      <c r="B1524" s="87" t="str">
        <f>IFERROR(VLOOKUP(Proc[[#This Row],[App]],Table2[],3,0),"open")</f>
        <v>ok</v>
      </c>
      <c r="C1524" s="86" t="s">
        <v>369</v>
      </c>
      <c r="D1524" t="s">
        <v>3304</v>
      </c>
      <c r="E1524" t="s">
        <v>2161</v>
      </c>
      <c r="F1524" s="105" t="s">
        <v>2161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1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2563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25</v>
      </c>
      <c r="R1524" s="88" t="s">
        <v>478</v>
      </c>
      <c r="S1524" s="87"/>
    </row>
    <row r="1525" spans="1:19" hidden="1">
      <c r="A1525" s="86" t="s">
        <v>3327</v>
      </c>
      <c r="B1525" s="87" t="str">
        <f>IFERROR(VLOOKUP(Proc[[#This Row],[App]],Table2[],3,0),"open")</f>
        <v>ok</v>
      </c>
      <c r="C1525" s="86" t="s">
        <v>369</v>
      </c>
      <c r="D1525" t="s">
        <v>3305</v>
      </c>
      <c r="E1525" t="s">
        <v>2161</v>
      </c>
      <c r="F1525" s="105" t="s">
        <v>2161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1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2563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25</v>
      </c>
      <c r="R1525" s="88" t="s">
        <v>478</v>
      </c>
      <c r="S1525" s="87"/>
    </row>
    <row r="1526" spans="1:19" hidden="1">
      <c r="A1526" s="86" t="s">
        <v>3327</v>
      </c>
      <c r="B1526" s="87" t="str">
        <f>IFERROR(VLOOKUP(Proc[[#This Row],[App]],Table2[],3,0),"open")</f>
        <v>ok</v>
      </c>
      <c r="C1526" s="86" t="s">
        <v>369</v>
      </c>
      <c r="D1526" t="s">
        <v>3306</v>
      </c>
      <c r="E1526" t="s">
        <v>2161</v>
      </c>
      <c r="F1526" s="105" t="s">
        <v>2161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1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2563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25</v>
      </c>
      <c r="R1526" s="88" t="s">
        <v>478</v>
      </c>
      <c r="S1526" s="87"/>
    </row>
    <row r="1527" spans="1:19" hidden="1">
      <c r="A1527" s="86" t="s">
        <v>3327</v>
      </c>
      <c r="B1527" s="87" t="str">
        <f>IFERROR(VLOOKUP(Proc[[#This Row],[App]],Table2[],3,0),"open")</f>
        <v>ok</v>
      </c>
      <c r="C1527" s="86" t="s">
        <v>369</v>
      </c>
      <c r="D1527" t="s">
        <v>3307</v>
      </c>
      <c r="E1527" t="s">
        <v>2161</v>
      </c>
      <c r="F1527" s="105" t="s">
        <v>2161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1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2563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25</v>
      </c>
      <c r="R1527" s="88" t="s">
        <v>478</v>
      </c>
      <c r="S1527" s="87"/>
    </row>
    <row r="1528" spans="1:19" hidden="1">
      <c r="A1528" s="86" t="s">
        <v>3327</v>
      </c>
      <c r="B1528" s="87" t="str">
        <f>IFERROR(VLOOKUP(Proc[[#This Row],[App]],Table2[],3,0),"open")</f>
        <v>ok</v>
      </c>
      <c r="C1528" s="86" t="s">
        <v>369</v>
      </c>
      <c r="D1528" t="s">
        <v>3308</v>
      </c>
      <c r="E1528" t="s">
        <v>2161</v>
      </c>
      <c r="F1528" s="105" t="s">
        <v>2161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1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2563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25</v>
      </c>
      <c r="R1528" s="88" t="s">
        <v>478</v>
      </c>
      <c r="S1528" s="87"/>
    </row>
    <row r="1529" spans="1:19" hidden="1">
      <c r="A1529" s="86" t="s">
        <v>3327</v>
      </c>
      <c r="B1529" s="87" t="str">
        <f>IFERROR(VLOOKUP(Proc[[#This Row],[App]],Table2[],3,0),"open")</f>
        <v>ok</v>
      </c>
      <c r="C1529" s="86" t="s">
        <v>369</v>
      </c>
      <c r="D1529" t="s">
        <v>3309</v>
      </c>
      <c r="E1529" t="s">
        <v>2161</v>
      </c>
      <c r="F1529" s="105" t="s">
        <v>2161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1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2563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25</v>
      </c>
      <c r="R1529" s="88" t="s">
        <v>478</v>
      </c>
      <c r="S1529" s="87"/>
    </row>
    <row r="1530" spans="1:19" hidden="1">
      <c r="A1530" s="86" t="s">
        <v>3327</v>
      </c>
      <c r="B1530" s="87" t="str">
        <f>IFERROR(VLOOKUP(Proc[[#This Row],[App]],Table2[],3,0),"open")</f>
        <v>ok</v>
      </c>
      <c r="C1530" s="86" t="s">
        <v>369</v>
      </c>
      <c r="D1530" t="s">
        <v>3310</v>
      </c>
      <c r="E1530" t="s">
        <v>2161</v>
      </c>
      <c r="F1530" s="105" t="s">
        <v>2161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1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2563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25</v>
      </c>
      <c r="R1530" s="88" t="s">
        <v>478</v>
      </c>
      <c r="S1530" s="87"/>
    </row>
    <row r="1531" spans="1:19" hidden="1">
      <c r="A1531" s="86" t="s">
        <v>3327</v>
      </c>
      <c r="B1531" s="87" t="str">
        <f>IFERROR(VLOOKUP(Proc[[#This Row],[App]],Table2[],3,0),"open")</f>
        <v>ok</v>
      </c>
      <c r="C1531" s="86" t="s">
        <v>369</v>
      </c>
      <c r="D1531" t="s">
        <v>3311</v>
      </c>
      <c r="E1531" t="s">
        <v>2161</v>
      </c>
      <c r="F1531" s="105" t="s">
        <v>2161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1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2563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25</v>
      </c>
      <c r="R1531" s="88" t="s">
        <v>478</v>
      </c>
      <c r="S1531" s="87"/>
    </row>
    <row r="1532" spans="1:19" hidden="1">
      <c r="A1532" s="86" t="s">
        <v>3327</v>
      </c>
      <c r="B1532" s="87" t="str">
        <f>IFERROR(VLOOKUP(Proc[[#This Row],[App]],Table2[],3,0),"open")</f>
        <v>ok</v>
      </c>
      <c r="C1532" s="86" t="s">
        <v>369</v>
      </c>
      <c r="D1532" t="s">
        <v>3312</v>
      </c>
      <c r="E1532" t="s">
        <v>2161</v>
      </c>
      <c r="F1532" s="105" t="s">
        <v>2161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1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2563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25</v>
      </c>
      <c r="R1532" s="88" t="s">
        <v>478</v>
      </c>
      <c r="S1532" s="87"/>
    </row>
    <row r="1533" spans="1:19" hidden="1">
      <c r="A1533" s="86" t="s">
        <v>3327</v>
      </c>
      <c r="B1533" s="87" t="str">
        <f>IFERROR(VLOOKUP(Proc[[#This Row],[App]],Table2[],3,0),"open")</f>
        <v>ok</v>
      </c>
      <c r="C1533" s="86" t="s">
        <v>369</v>
      </c>
      <c r="D1533" t="s">
        <v>3313</v>
      </c>
      <c r="E1533" t="s">
        <v>2161</v>
      </c>
      <c r="F1533" s="105" t="s">
        <v>2161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1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2563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25</v>
      </c>
      <c r="R1533" s="88" t="s">
        <v>478</v>
      </c>
      <c r="S1533" s="87"/>
    </row>
    <row r="1534" spans="1:19" hidden="1">
      <c r="A1534" s="86" t="s">
        <v>3327</v>
      </c>
      <c r="B1534" s="87" t="str">
        <f>IFERROR(VLOOKUP(Proc[[#This Row],[App]],Table2[],3,0),"open")</f>
        <v>ok</v>
      </c>
      <c r="C1534" s="86" t="s">
        <v>369</v>
      </c>
      <c r="D1534" t="s">
        <v>3314</v>
      </c>
      <c r="E1534" t="s">
        <v>2161</v>
      </c>
      <c r="F1534" s="105" t="s">
        <v>2161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1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2563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25</v>
      </c>
      <c r="R1534" s="88" t="s">
        <v>478</v>
      </c>
      <c r="S1534" s="87"/>
    </row>
    <row r="1535" spans="1:19" hidden="1">
      <c r="A1535" s="86" t="s">
        <v>3327</v>
      </c>
      <c r="B1535" s="87" t="str">
        <f>IFERROR(VLOOKUP(Proc[[#This Row],[App]],Table2[],3,0),"open")</f>
        <v>ok</v>
      </c>
      <c r="C1535" s="86" t="s">
        <v>369</v>
      </c>
      <c r="D1535" t="s">
        <v>3315</v>
      </c>
      <c r="E1535" t="s">
        <v>2161</v>
      </c>
      <c r="F1535" s="105" t="s">
        <v>2161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1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2563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25</v>
      </c>
      <c r="R1535" s="88" t="s">
        <v>478</v>
      </c>
      <c r="S1535" s="87"/>
    </row>
    <row r="1536" spans="1:19" hidden="1">
      <c r="A1536" s="86" t="s">
        <v>3327</v>
      </c>
      <c r="B1536" s="87" t="str">
        <f>IFERROR(VLOOKUP(Proc[[#This Row],[App]],Table2[],3,0),"open")</f>
        <v>ok</v>
      </c>
      <c r="C1536" s="86" t="s">
        <v>369</v>
      </c>
      <c r="D1536" t="s">
        <v>3316</v>
      </c>
      <c r="E1536" t="s">
        <v>2161</v>
      </c>
      <c r="F1536" s="105" t="s">
        <v>2161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1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2563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25</v>
      </c>
      <c r="R1536" s="88" t="s">
        <v>478</v>
      </c>
      <c r="S1536" s="87"/>
    </row>
    <row r="1537" spans="1:19" hidden="1">
      <c r="A1537" s="86" t="s">
        <v>3327</v>
      </c>
      <c r="B1537" s="87" t="str">
        <f>IFERROR(VLOOKUP(Proc[[#This Row],[App]],Table2[],3,0),"open")</f>
        <v>ok</v>
      </c>
      <c r="C1537" s="86" t="s">
        <v>369</v>
      </c>
      <c r="D1537" t="s">
        <v>3317</v>
      </c>
      <c r="E1537" t="s">
        <v>2161</v>
      </c>
      <c r="F1537" s="105" t="s">
        <v>2161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1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2563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25</v>
      </c>
      <c r="R1537" s="88" t="s">
        <v>478</v>
      </c>
      <c r="S1537" s="87"/>
    </row>
    <row r="1538" spans="1:19" hidden="1">
      <c r="A1538" s="86" t="s">
        <v>3327</v>
      </c>
      <c r="B1538" s="87" t="str">
        <f>IFERROR(VLOOKUP(Proc[[#This Row],[App]],Table2[],3,0),"open")</f>
        <v>ok</v>
      </c>
      <c r="C1538" s="86" t="s">
        <v>369</v>
      </c>
      <c r="D1538" t="s">
        <v>3318</v>
      </c>
      <c r="E1538" t="s">
        <v>2161</v>
      </c>
      <c r="F1538" s="105" t="s">
        <v>2161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1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2563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25</v>
      </c>
      <c r="R1538" s="88" t="s">
        <v>478</v>
      </c>
      <c r="S1538" s="87"/>
    </row>
    <row r="1539" spans="1:19" hidden="1">
      <c r="A1539" s="86" t="s">
        <v>3327</v>
      </c>
      <c r="B1539" s="87" t="str">
        <f>IFERROR(VLOOKUP(Proc[[#This Row],[App]],Table2[],3,0),"open")</f>
        <v>ok</v>
      </c>
      <c r="C1539" s="86" t="s">
        <v>369</v>
      </c>
      <c r="D1539" t="s">
        <v>3319</v>
      </c>
      <c r="E1539" t="s">
        <v>2161</v>
      </c>
      <c r="F1539" s="105" t="s">
        <v>2161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1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2563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25</v>
      </c>
      <c r="R1539" s="88" t="s">
        <v>478</v>
      </c>
      <c r="S1539" s="87"/>
    </row>
    <row r="1540" spans="1:19" hidden="1">
      <c r="A1540" s="86" t="s">
        <v>3327</v>
      </c>
      <c r="B1540" s="87" t="str">
        <f>IFERROR(VLOOKUP(Proc[[#This Row],[App]],Table2[],3,0),"open")</f>
        <v>ok</v>
      </c>
      <c r="C1540" s="86" t="s">
        <v>369</v>
      </c>
      <c r="D1540" t="s">
        <v>3320</v>
      </c>
      <c r="E1540" t="s">
        <v>2161</v>
      </c>
      <c r="F1540" s="105" t="s">
        <v>2161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1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2563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25</v>
      </c>
      <c r="R1540" s="88" t="s">
        <v>478</v>
      </c>
      <c r="S1540" s="87"/>
    </row>
    <row r="1541" spans="1:19" hidden="1">
      <c r="A1541" s="86" t="s">
        <v>3327</v>
      </c>
      <c r="B1541" s="87" t="str">
        <f>IFERROR(VLOOKUP(Proc[[#This Row],[App]],Table2[],3,0),"open")</f>
        <v>ok</v>
      </c>
      <c r="C1541" s="86" t="s">
        <v>369</v>
      </c>
      <c r="D1541" t="s">
        <v>3321</v>
      </c>
      <c r="E1541" t="s">
        <v>2161</v>
      </c>
      <c r="F1541" s="105" t="s">
        <v>2161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1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2563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25</v>
      </c>
      <c r="R1541" s="88" t="s">
        <v>478</v>
      </c>
      <c r="S1541" s="87"/>
    </row>
    <row r="1542" spans="1:19" hidden="1">
      <c r="A1542" s="86" t="s">
        <v>3327</v>
      </c>
      <c r="B1542" s="87" t="str">
        <f>IFERROR(VLOOKUP(Proc[[#This Row],[App]],Table2[],3,0),"open")</f>
        <v>ok</v>
      </c>
      <c r="C1542" s="86" t="s">
        <v>369</v>
      </c>
      <c r="D1542" t="s">
        <v>3322</v>
      </c>
      <c r="E1542" t="s">
        <v>2161</v>
      </c>
      <c r="F1542" s="105" t="s">
        <v>2161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1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2563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25</v>
      </c>
      <c r="R1542" s="88" t="s">
        <v>478</v>
      </c>
      <c r="S1542" s="87"/>
    </row>
    <row r="1543" spans="1:19" hidden="1">
      <c r="A1543" s="86" t="s">
        <v>3327</v>
      </c>
      <c r="B1543" s="87" t="str">
        <f>IFERROR(VLOOKUP(Proc[[#This Row],[App]],Table2[],3,0),"open")</f>
        <v>ok</v>
      </c>
      <c r="C1543" s="86" t="s">
        <v>369</v>
      </c>
      <c r="D1543" t="s">
        <v>3323</v>
      </c>
      <c r="E1543" t="s">
        <v>2161</v>
      </c>
      <c r="F1543" s="105" t="s">
        <v>2161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1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2563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25</v>
      </c>
      <c r="R1543" s="88" t="s">
        <v>478</v>
      </c>
      <c r="S1543" s="87"/>
    </row>
    <row r="1544" spans="1:19" hidden="1">
      <c r="A1544" s="86" t="s">
        <v>3327</v>
      </c>
      <c r="B1544" s="87" t="str">
        <f>IFERROR(VLOOKUP(Proc[[#This Row],[App]],Table2[],3,0),"open")</f>
        <v>ok</v>
      </c>
      <c r="C1544" s="86" t="s">
        <v>369</v>
      </c>
      <c r="D1544" t="s">
        <v>3324</v>
      </c>
      <c r="E1544" t="s">
        <v>2161</v>
      </c>
      <c r="F1544" s="105" t="s">
        <v>2161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1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2563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25</v>
      </c>
      <c r="R1544" s="88" t="s">
        <v>478</v>
      </c>
      <c r="S1544" s="87"/>
    </row>
    <row r="1545" spans="1:19" hidden="1">
      <c r="A1545" s="86" t="s">
        <v>3327</v>
      </c>
      <c r="B1545" s="87" t="str">
        <f>IFERROR(VLOOKUP(Proc[[#This Row],[App]],Table2[],3,0),"open")</f>
        <v>ok</v>
      </c>
      <c r="C1545" s="86" t="s">
        <v>369</v>
      </c>
      <c r="D1545" t="s">
        <v>3325</v>
      </c>
      <c r="E1545" t="s">
        <v>2161</v>
      </c>
      <c r="F1545" s="105" t="s">
        <v>2161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1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2563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25</v>
      </c>
      <c r="R1545" s="88" t="s">
        <v>478</v>
      </c>
      <c r="S1545" s="87"/>
    </row>
    <row r="1546" spans="1:19" hidden="1">
      <c r="A1546" s="86" t="s">
        <v>3327</v>
      </c>
      <c r="B1546" s="87" t="str">
        <f>IFERROR(VLOOKUP(Proc[[#This Row],[App]],Table2[],3,0),"open")</f>
        <v>ok</v>
      </c>
      <c r="C1546" s="86" t="s">
        <v>369</v>
      </c>
      <c r="D1546" t="s">
        <v>3326</v>
      </c>
      <c r="E1546" t="s">
        <v>2161</v>
      </c>
      <c r="F1546" s="105" t="s">
        <v>2161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1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2563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25</v>
      </c>
      <c r="R1546" s="88" t="s">
        <v>478</v>
      </c>
      <c r="S1546" s="87"/>
    </row>
    <row r="1547" spans="1:19" hidden="1">
      <c r="A1547" t="s">
        <v>3328</v>
      </c>
      <c r="B1547" s="87" t="str">
        <f>IFERROR(VLOOKUP(Proc[[#This Row],[App]],Table2[],3,0),"open")</f>
        <v>ok</v>
      </c>
      <c r="C1547" s="86" t="s">
        <v>369</v>
      </c>
      <c r="D1547" t="s">
        <v>3329</v>
      </c>
      <c r="E1547" t="s">
        <v>2174</v>
      </c>
      <c r="F1547" s="105" t="s">
        <v>2174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1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2563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25</v>
      </c>
      <c r="R1547" s="88" t="s">
        <v>478</v>
      </c>
      <c r="S1547" s="87"/>
    </row>
    <row r="1548" spans="1:19" hidden="1">
      <c r="A1548" t="s">
        <v>3332</v>
      </c>
      <c r="B1548" s="87" t="str">
        <f>IFERROR(VLOOKUP(Proc[[#This Row],[App]],Table2[],3,0),"open")</f>
        <v>ok</v>
      </c>
      <c r="C1548" s="91" t="s">
        <v>369</v>
      </c>
      <c r="D1548" t="s">
        <v>3331</v>
      </c>
      <c r="E1548" t="s">
        <v>3281</v>
      </c>
      <c r="F1548" s="105" t="s">
        <v>3281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1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2563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25</v>
      </c>
      <c r="R1548" s="88" t="s">
        <v>3285</v>
      </c>
      <c r="S1548" s="87"/>
    </row>
    <row r="1549" spans="1:19" hidden="1">
      <c r="A1549" t="s">
        <v>3333</v>
      </c>
      <c r="B1549" s="87" t="str">
        <f>IFERROR(VLOOKUP(Proc[[#This Row],[App]],Table2[],3,0),"open")</f>
        <v>ok</v>
      </c>
      <c r="C1549" s="91" t="s">
        <v>369</v>
      </c>
      <c r="D1549" t="s">
        <v>3334</v>
      </c>
      <c r="E1549" t="s">
        <v>1830</v>
      </c>
      <c r="F1549" s="105" t="s">
        <v>1830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1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2563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24</v>
      </c>
      <c r="R1549" s="88" t="s">
        <v>972</v>
      </c>
      <c r="S1549" s="87"/>
    </row>
    <row r="1550" spans="1:19" hidden="1">
      <c r="A1550" s="86" t="s">
        <v>3333</v>
      </c>
      <c r="B1550" s="87" t="str">
        <f>IFERROR(VLOOKUP(Proc[[#This Row],[App]],Table2[],3,0),"open")</f>
        <v>ok</v>
      </c>
      <c r="C1550" s="91" t="s">
        <v>369</v>
      </c>
      <c r="D1550" t="s">
        <v>3335</v>
      </c>
      <c r="E1550" t="s">
        <v>1830</v>
      </c>
      <c r="F1550" s="105" t="s">
        <v>1830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1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2563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24</v>
      </c>
      <c r="R1550" s="88" t="s">
        <v>972</v>
      </c>
      <c r="S1550" s="87"/>
    </row>
    <row r="1551" spans="1:19" hidden="1">
      <c r="A1551" s="86" t="s">
        <v>3333</v>
      </c>
      <c r="B1551" s="87" t="str">
        <f>IFERROR(VLOOKUP(Proc[[#This Row],[App]],Table2[],3,0),"open")</f>
        <v>ok</v>
      </c>
      <c r="C1551" s="91" t="s">
        <v>369</v>
      </c>
      <c r="D1551" t="s">
        <v>3336</v>
      </c>
      <c r="E1551" t="s">
        <v>1830</v>
      </c>
      <c r="F1551" s="105" t="s">
        <v>1830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1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2563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24</v>
      </c>
      <c r="R1551" s="88" t="s">
        <v>972</v>
      </c>
      <c r="S1551" s="87"/>
    </row>
    <row r="1552" spans="1:19" hidden="1">
      <c r="A1552" s="86" t="s">
        <v>3333</v>
      </c>
      <c r="B1552" s="87" t="str">
        <f>IFERROR(VLOOKUP(Proc[[#This Row],[App]],Table2[],3,0),"open")</f>
        <v>ok</v>
      </c>
      <c r="C1552" s="91" t="s">
        <v>369</v>
      </c>
      <c r="D1552" t="s">
        <v>3337</v>
      </c>
      <c r="E1552" t="s">
        <v>1830</v>
      </c>
      <c r="F1552" s="105" t="s">
        <v>1830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1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2563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24</v>
      </c>
      <c r="R1552" s="88" t="s">
        <v>972</v>
      </c>
      <c r="S1552" s="87"/>
    </row>
    <row r="1553" spans="1:19" hidden="1">
      <c r="A1553" s="86" t="s">
        <v>3333</v>
      </c>
      <c r="B1553" s="87" t="str">
        <f>IFERROR(VLOOKUP(Proc[[#This Row],[App]],Table2[],3,0),"open")</f>
        <v>ok</v>
      </c>
      <c r="C1553" s="91" t="s">
        <v>369</v>
      </c>
      <c r="D1553" t="s">
        <v>3338</v>
      </c>
      <c r="E1553" t="s">
        <v>1830</v>
      </c>
      <c r="F1553" s="105" t="s">
        <v>1830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1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2563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24</v>
      </c>
      <c r="R1553" s="88" t="s">
        <v>972</v>
      </c>
      <c r="S1553" s="87"/>
    </row>
    <row r="1554" spans="1:19" hidden="1">
      <c r="A1554" s="86" t="s">
        <v>3333</v>
      </c>
      <c r="B1554" s="87" t="str">
        <f>IFERROR(VLOOKUP(Proc[[#This Row],[App]],Table2[],3,0),"open")</f>
        <v>ok</v>
      </c>
      <c r="C1554" s="91" t="s">
        <v>369</v>
      </c>
      <c r="D1554" t="s">
        <v>3339</v>
      </c>
      <c r="E1554" t="s">
        <v>1830</v>
      </c>
      <c r="F1554" s="105" t="s">
        <v>1830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1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2563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24</v>
      </c>
      <c r="R1554" s="88" t="s">
        <v>972</v>
      </c>
      <c r="S1554" s="87"/>
    </row>
    <row r="1555" spans="1:19" hidden="1">
      <c r="A1555" s="86" t="s">
        <v>3333</v>
      </c>
      <c r="B1555" s="87" t="str">
        <f>IFERROR(VLOOKUP(Proc[[#This Row],[App]],Table2[],3,0),"open")</f>
        <v>ok</v>
      </c>
      <c r="C1555" s="91" t="s">
        <v>369</v>
      </c>
      <c r="D1555" t="s">
        <v>3340</v>
      </c>
      <c r="E1555" t="s">
        <v>3344</v>
      </c>
      <c r="F1555" s="105" t="s">
        <v>3344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1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2563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24</v>
      </c>
      <c r="R1555" s="88" t="s">
        <v>972</v>
      </c>
      <c r="S1555" s="87"/>
    </row>
    <row r="1556" spans="1:19" hidden="1">
      <c r="A1556" s="86" t="s">
        <v>3333</v>
      </c>
      <c r="B1556" s="87" t="str">
        <f>IFERROR(VLOOKUP(Proc[[#This Row],[App]],Table2[],3,0),"open")</f>
        <v>ok</v>
      </c>
      <c r="C1556" s="91" t="s">
        <v>369</v>
      </c>
      <c r="D1556" t="s">
        <v>3341</v>
      </c>
      <c r="E1556" t="s">
        <v>1044</v>
      </c>
      <c r="F1556" s="105" t="s">
        <v>1044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1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2563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24</v>
      </c>
      <c r="R1556" s="88" t="s">
        <v>972</v>
      </c>
      <c r="S1556" s="87"/>
    </row>
    <row r="1557" spans="1:19" hidden="1">
      <c r="A1557" s="86" t="s">
        <v>3333</v>
      </c>
      <c r="B1557" s="87" t="str">
        <f>IFERROR(VLOOKUP(Proc[[#This Row],[App]],Table2[],3,0),"open")</f>
        <v>ok</v>
      </c>
      <c r="C1557" s="91" t="s">
        <v>369</v>
      </c>
      <c r="D1557" t="s">
        <v>3342</v>
      </c>
      <c r="E1557" t="s">
        <v>2376</v>
      </c>
      <c r="F1557" s="105" t="s">
        <v>2376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1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2563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24</v>
      </c>
      <c r="R1557" s="88" t="s">
        <v>972</v>
      </c>
      <c r="S1557" s="87"/>
    </row>
    <row r="1558" spans="1:19" hidden="1">
      <c r="A1558" s="86" t="s">
        <v>3333</v>
      </c>
      <c r="B1558" s="87" t="str">
        <f>IFERROR(VLOOKUP(Proc[[#This Row],[App]],Table2[],3,0),"open")</f>
        <v>ok</v>
      </c>
      <c r="C1558" s="91" t="s">
        <v>369</v>
      </c>
      <c r="D1558" t="s">
        <v>3343</v>
      </c>
      <c r="E1558" t="s">
        <v>3345</v>
      </c>
      <c r="F1558" s="105" t="s">
        <v>3345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1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2563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24</v>
      </c>
      <c r="R1558" s="88" t="s">
        <v>972</v>
      </c>
      <c r="S1558" s="87"/>
    </row>
    <row r="1559" spans="1:19" hidden="1">
      <c r="A1559" t="s">
        <v>3346</v>
      </c>
      <c r="B1559" s="87" t="str">
        <f>IFERROR(VLOOKUP(Proc[[#This Row],[App]],Table2[],3,0),"open")</f>
        <v>ok</v>
      </c>
      <c r="C1559" s="91" t="s">
        <v>369</v>
      </c>
      <c r="D1559" t="s">
        <v>3360</v>
      </c>
      <c r="E1559" t="s">
        <v>3347</v>
      </c>
      <c r="F1559" s="105" t="s">
        <v>3347</v>
      </c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1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2563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24</v>
      </c>
      <c r="R1559" s="88" t="s">
        <v>551</v>
      </c>
      <c r="S1559" s="87"/>
    </row>
    <row r="1560" spans="1:19" hidden="1">
      <c r="A1560" s="90" t="s">
        <v>3346</v>
      </c>
      <c r="B1560" s="87" t="str">
        <f>IFERROR(VLOOKUP(Proc[[#This Row],[App]],Table2[],3,0),"open")</f>
        <v>ok</v>
      </c>
      <c r="C1560" s="91" t="s">
        <v>369</v>
      </c>
      <c r="D1560" t="s">
        <v>3361</v>
      </c>
      <c r="E1560" t="s">
        <v>3347</v>
      </c>
      <c r="F1560" s="105" t="s">
        <v>3347</v>
      </c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1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2563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24</v>
      </c>
      <c r="R1560" s="88" t="s">
        <v>551</v>
      </c>
      <c r="S1560" s="87"/>
    </row>
    <row r="1561" spans="1:19" hidden="1">
      <c r="A1561" s="90" t="s">
        <v>3346</v>
      </c>
      <c r="B1561" s="87" t="str">
        <f>IFERROR(VLOOKUP(Proc[[#This Row],[App]],Table2[],3,0),"open")</f>
        <v>ok</v>
      </c>
      <c r="C1561" s="91" t="s">
        <v>369</v>
      </c>
      <c r="D1561" t="s">
        <v>3362</v>
      </c>
      <c r="E1561" t="s">
        <v>3347</v>
      </c>
      <c r="F1561" s="105" t="s">
        <v>3347</v>
      </c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1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2563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24</v>
      </c>
      <c r="R1561" s="88" t="s">
        <v>551</v>
      </c>
      <c r="S1561" s="87"/>
    </row>
    <row r="1562" spans="1:19" hidden="1">
      <c r="A1562" t="s">
        <v>3348</v>
      </c>
      <c r="B1562" s="87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5" t="s">
        <v>3350</v>
      </c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1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2563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515</v>
      </c>
      <c r="S1562" s="87"/>
    </row>
    <row r="1563" spans="1:19" hidden="1">
      <c r="A1563" t="s">
        <v>3348</v>
      </c>
      <c r="B1563" s="87" t="str">
        <f>IFERROR(VLOOKUP(Proc[[#This Row],[App]],Table2[],3,0),"open")</f>
        <v>ok</v>
      </c>
      <c r="C1563" s="90" t="s">
        <v>369</v>
      </c>
      <c r="D1563" t="s">
        <v>3351</v>
      </c>
      <c r="E1563" t="s">
        <v>3350</v>
      </c>
      <c r="F1563" s="105" t="s">
        <v>3350</v>
      </c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1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2563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515</v>
      </c>
      <c r="S1563" s="87"/>
    </row>
    <row r="1564" spans="1:19" hidden="1">
      <c r="A1564" t="s">
        <v>3348</v>
      </c>
      <c r="B1564" s="87" t="str">
        <f>IFERROR(VLOOKUP(Proc[[#This Row],[App]],Table2[],3,0),"open")</f>
        <v>ok</v>
      </c>
      <c r="C1564" s="91" t="s">
        <v>369</v>
      </c>
      <c r="D1564" t="s">
        <v>3352</v>
      </c>
      <c r="E1564" t="s">
        <v>3350</v>
      </c>
      <c r="F1564" s="105" t="s">
        <v>3350</v>
      </c>
      <c r="G1564" s="90" t="s">
        <v>406</v>
      </c>
      <c r="H1564" s="87" t="str">
        <f>IF(Proc[[#This Row],[type]]="LFF (MDG-F)",MID(Proc[[#This Row],[Obj]],13,10),"")</f>
        <v>DE10GMW030</v>
      </c>
      <c r="I1564" t="s">
        <v>3368</v>
      </c>
      <c r="J1564" s="87" t="b">
        <f>Proc[[#This Row],[Requested]]=Proc[[#This Row],[CurrentParent]]</f>
        <v>1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2563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515</v>
      </c>
      <c r="S1564" s="87"/>
    </row>
    <row r="1565" spans="1:19" hidden="1">
      <c r="A1565" t="s">
        <v>3348</v>
      </c>
      <c r="B1565" s="87" t="str">
        <f>IFERROR(VLOOKUP(Proc[[#This Row],[App]],Table2[],3,0),"open")</f>
        <v>ok</v>
      </c>
      <c r="C1565" s="90" t="s">
        <v>369</v>
      </c>
      <c r="D1565" t="s">
        <v>3353</v>
      </c>
      <c r="E1565" t="s">
        <v>3350</v>
      </c>
      <c r="F1565" s="105" t="s">
        <v>3350</v>
      </c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1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2563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515</v>
      </c>
      <c r="S1565" s="87"/>
    </row>
    <row r="1566" spans="1:19" hidden="1">
      <c r="A1566" t="s">
        <v>3348</v>
      </c>
      <c r="B1566" s="87" t="str">
        <f>IFERROR(VLOOKUP(Proc[[#This Row],[App]],Table2[],3,0),"open")</f>
        <v>ok</v>
      </c>
      <c r="C1566" s="90" t="s">
        <v>369</v>
      </c>
      <c r="D1566" t="s">
        <v>3354</v>
      </c>
      <c r="E1566" t="s">
        <v>3350</v>
      </c>
      <c r="F1566" s="105" t="s">
        <v>3350</v>
      </c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1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2563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515</v>
      </c>
      <c r="S1566" s="87"/>
    </row>
    <row r="1567" spans="1:19" hidden="1">
      <c r="A1567" t="s">
        <v>3348</v>
      </c>
      <c r="B1567" s="87" t="str">
        <f>IFERROR(VLOOKUP(Proc[[#This Row],[App]],Table2[],3,0),"open")</f>
        <v>ok</v>
      </c>
      <c r="C1567" s="91" t="s">
        <v>369</v>
      </c>
      <c r="D1567" t="s">
        <v>3355</v>
      </c>
      <c r="E1567" t="s">
        <v>3350</v>
      </c>
      <c r="F1567" s="105" t="s">
        <v>3350</v>
      </c>
      <c r="G1567" s="90" t="s">
        <v>406</v>
      </c>
      <c r="H1567" s="87" t="str">
        <f>IF(Proc[[#This Row],[type]]="LFF (MDG-F)",MID(Proc[[#This Row],[Obj]],13,10),"")</f>
        <v>CN90GHR110</v>
      </c>
      <c r="I1567" s="91" t="s">
        <v>3368</v>
      </c>
      <c r="J1567" s="87" t="b">
        <f>Proc[[#This Row],[Requested]]=Proc[[#This Row],[CurrentParent]]</f>
        <v>1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2563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515</v>
      </c>
      <c r="S1567" s="87"/>
    </row>
    <row r="1568" spans="1:19" hidden="1">
      <c r="A1568" t="s">
        <v>3356</v>
      </c>
      <c r="B1568" s="87" t="str">
        <f>IFERROR(VLOOKUP(Proc[[#This Row],[App]],Table2[],3,0),"open")</f>
        <v>ok</v>
      </c>
      <c r="C1568" s="91" t="s">
        <v>369</v>
      </c>
      <c r="D1568" s="91" t="s">
        <v>3363</v>
      </c>
      <c r="E1568" t="s">
        <v>3357</v>
      </c>
      <c r="F1568" s="105" t="s">
        <v>3357</v>
      </c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1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2563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24</v>
      </c>
      <c r="R1568" s="88" t="s">
        <v>551</v>
      </c>
      <c r="S1568" s="87"/>
    </row>
    <row r="1569" spans="1:19" hidden="1">
      <c r="A1569" t="s">
        <v>3358</v>
      </c>
      <c r="B1569" s="87" t="str">
        <f>IFERROR(VLOOKUP(Proc[[#This Row],[App]],Table2[],3,0),"open")</f>
        <v>ok</v>
      </c>
      <c r="C1569" s="91" t="s">
        <v>369</v>
      </c>
      <c r="D1569" t="s">
        <v>3364</v>
      </c>
      <c r="E1569" t="s">
        <v>3359</v>
      </c>
      <c r="F1569" s="105" t="s">
        <v>3359</v>
      </c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1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2563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24</v>
      </c>
      <c r="R1569" s="88" t="s">
        <v>551</v>
      </c>
      <c r="S1569" s="87"/>
    </row>
    <row r="1570" spans="1:19" hidden="1">
      <c r="A1570" s="91" t="s">
        <v>3358</v>
      </c>
      <c r="B1570" s="87" t="str">
        <f>IFERROR(VLOOKUP(Proc[[#This Row],[App]],Table2[],3,0),"open")</f>
        <v>ok</v>
      </c>
      <c r="C1570" s="91" t="s">
        <v>369</v>
      </c>
      <c r="D1570" t="s">
        <v>3365</v>
      </c>
      <c r="E1570" s="91" t="s">
        <v>3359</v>
      </c>
      <c r="F1570" s="105" t="s">
        <v>3359</v>
      </c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1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2563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24</v>
      </c>
      <c r="R1570" s="88" t="s">
        <v>551</v>
      </c>
      <c r="S1570" s="87"/>
    </row>
    <row r="1571" spans="1:19" hidden="1">
      <c r="A1571" s="91" t="s">
        <v>3358</v>
      </c>
      <c r="B1571" s="87" t="str">
        <f>IFERROR(VLOOKUP(Proc[[#This Row],[App]],Table2[],3,0),"open")</f>
        <v>ok</v>
      </c>
      <c r="C1571" s="91" t="s">
        <v>369</v>
      </c>
      <c r="D1571" t="s">
        <v>3366</v>
      </c>
      <c r="E1571" s="91" t="s">
        <v>3359</v>
      </c>
      <c r="F1571" s="105" t="s">
        <v>3359</v>
      </c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1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2563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24</v>
      </c>
      <c r="R1571" s="88" t="s">
        <v>551</v>
      </c>
      <c r="S1571" s="87"/>
    </row>
    <row r="1572" spans="1:19" hidden="1">
      <c r="A1572" s="91" t="s">
        <v>3358</v>
      </c>
      <c r="B1572" s="87" t="str">
        <f>IFERROR(VLOOKUP(Proc[[#This Row],[App]],Table2[],3,0),"open")</f>
        <v>ok</v>
      </c>
      <c r="C1572" s="91" t="s">
        <v>369</v>
      </c>
      <c r="D1572" t="s">
        <v>3367</v>
      </c>
      <c r="E1572" s="91" t="s">
        <v>3359</v>
      </c>
      <c r="F1572" s="105" t="s">
        <v>3359</v>
      </c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1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2563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24</v>
      </c>
      <c r="R1572" s="88" t="s">
        <v>551</v>
      </c>
      <c r="S1572" s="87"/>
    </row>
    <row r="1573" spans="1:19" hidden="1">
      <c r="A1573" t="s">
        <v>3369</v>
      </c>
      <c r="B1573" s="87" t="str">
        <f>IFERROR(VLOOKUP(Proc[[#This Row],[App]],Table2[],3,0),"open")</f>
        <v>ok</v>
      </c>
      <c r="C1573" s="91" t="s">
        <v>369</v>
      </c>
      <c r="D1573" t="s">
        <v>3370</v>
      </c>
      <c r="E1573" t="s">
        <v>3372</v>
      </c>
      <c r="F1573" s="105" t="s">
        <v>3372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1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2563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515</v>
      </c>
      <c r="S1573" s="87"/>
    </row>
    <row r="1574" spans="1:19" hidden="1">
      <c r="A1574" s="91" t="s">
        <v>3369</v>
      </c>
      <c r="B1574" s="87" t="str">
        <f>IFERROR(VLOOKUP(Proc[[#This Row],[App]],Table2[],3,0),"open")</f>
        <v>ok</v>
      </c>
      <c r="C1574" s="91" t="s">
        <v>369</v>
      </c>
      <c r="D1574" t="s">
        <v>3371</v>
      </c>
      <c r="E1574" t="s">
        <v>3373</v>
      </c>
      <c r="F1574" s="105" t="s">
        <v>3373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1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2563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515</v>
      </c>
      <c r="S1574" s="87"/>
    </row>
    <row r="1575" spans="1:19" hidden="1">
      <c r="A1575" t="s">
        <v>3375</v>
      </c>
      <c r="B1575" s="87" t="str">
        <f>IFERROR(VLOOKUP(Proc[[#This Row],[App]],Table2[],3,0),"open")</f>
        <v>ok</v>
      </c>
      <c r="C1575" s="91" t="s">
        <v>369</v>
      </c>
      <c r="D1575" t="s">
        <v>3374</v>
      </c>
      <c r="E1575" t="s">
        <v>480</v>
      </c>
      <c r="F1575" s="105" t="s">
        <v>480</v>
      </c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1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2563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972</v>
      </c>
      <c r="S1575" s="87"/>
    </row>
    <row r="1576" spans="1:19" hidden="1">
      <c r="A1576" t="s">
        <v>3376</v>
      </c>
      <c r="B1576" s="87" t="str">
        <f>IFERROR(VLOOKUP(Proc[[#This Row],[App]],Table2[],3,0),"open")</f>
        <v>ok</v>
      </c>
      <c r="C1576" s="91" t="s">
        <v>369</v>
      </c>
      <c r="D1576" t="s">
        <v>3377</v>
      </c>
      <c r="E1576" t="s">
        <v>3378</v>
      </c>
      <c r="F1576" s="105" t="s">
        <v>3378</v>
      </c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1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2563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410</v>
      </c>
      <c r="S1576" s="87"/>
    </row>
    <row r="1577" spans="1:19" hidden="1">
      <c r="A1577" t="s">
        <v>3381</v>
      </c>
      <c r="B1577" s="87" t="str">
        <f>IFERROR(VLOOKUP(Proc[[#This Row],[App]],Table2[],3,0),"open")</f>
        <v>ok</v>
      </c>
      <c r="C1577" s="91" t="s">
        <v>369</v>
      </c>
      <c r="D1577" t="s">
        <v>3379</v>
      </c>
      <c r="E1577" t="s">
        <v>2509</v>
      </c>
      <c r="F1577" s="105" t="s">
        <v>2509</v>
      </c>
      <c r="G1577" t="s">
        <v>406</v>
      </c>
      <c r="H1577" s="87" t="str">
        <f>IF(Proc[[#This Row],[type]]="LFF (MDG-F)",MID(Proc[[#This Row],[Obj]],13,10),"")</f>
        <v>DE20538638</v>
      </c>
      <c r="I1577" t="s">
        <v>3384</v>
      </c>
      <c r="J1577" s="87" t="b">
        <f>Proc[[#This Row],[Requested]]=Proc[[#This Row],[CurrentParent]]</f>
        <v>1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2563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481</v>
      </c>
      <c r="S1577" s="87"/>
    </row>
    <row r="1578" spans="1:19" hidden="1">
      <c r="A1578" s="91" t="s">
        <v>3381</v>
      </c>
      <c r="B1578" s="87" t="str">
        <f>IFERROR(VLOOKUP(Proc[[#This Row],[App]],Table2[],3,0),"open")</f>
        <v>ok</v>
      </c>
      <c r="C1578" s="91" t="s">
        <v>369</v>
      </c>
      <c r="D1578" t="s">
        <v>3380</v>
      </c>
      <c r="E1578" t="s">
        <v>2509</v>
      </c>
      <c r="F1578" s="105" t="s">
        <v>2509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3384</v>
      </c>
      <c r="J1578" s="87" t="b">
        <f>Proc[[#This Row],[Requested]]=Proc[[#This Row],[CurrentParent]]</f>
        <v>1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2563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481</v>
      </c>
      <c r="S1578" s="87"/>
    </row>
    <row r="1579" spans="1:19" hidden="1">
      <c r="A1579" t="s">
        <v>3385</v>
      </c>
      <c r="B1579" s="87" t="str">
        <f>IFERROR(VLOOKUP(Proc[[#This Row],[App]],Table2[],3,0),"open")</f>
        <v>ok</v>
      </c>
      <c r="C1579" s="91" t="s">
        <v>369</v>
      </c>
      <c r="D1579" t="s">
        <v>3386</v>
      </c>
      <c r="E1579" t="s">
        <v>3395</v>
      </c>
      <c r="F1579" s="105" t="s">
        <v>3395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1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2563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410</v>
      </c>
      <c r="S1579" s="87"/>
    </row>
    <row r="1580" spans="1:19" hidden="1">
      <c r="A1580" s="91" t="s">
        <v>3385</v>
      </c>
      <c r="B1580" s="87" t="str">
        <f>IFERROR(VLOOKUP(Proc[[#This Row],[App]],Table2[],3,0),"open")</f>
        <v>ok</v>
      </c>
      <c r="C1580" s="91" t="s">
        <v>369</v>
      </c>
      <c r="D1580" t="s">
        <v>3387</v>
      </c>
      <c r="E1580" t="s">
        <v>3378</v>
      </c>
      <c r="F1580" s="105" t="s">
        <v>3378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1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2563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410</v>
      </c>
      <c r="S1580" s="87"/>
    </row>
    <row r="1581" spans="1:19" hidden="1">
      <c r="A1581" s="91" t="s">
        <v>3385</v>
      </c>
      <c r="B1581" s="87" t="str">
        <f>IFERROR(VLOOKUP(Proc[[#This Row],[App]],Table2[],3,0),"open")</f>
        <v>ok</v>
      </c>
      <c r="C1581" s="91" t="s">
        <v>369</v>
      </c>
      <c r="D1581" t="s">
        <v>3388</v>
      </c>
      <c r="E1581" t="s">
        <v>3378</v>
      </c>
      <c r="F1581" s="105" t="s">
        <v>3378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1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2563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410</v>
      </c>
      <c r="S1581" s="87"/>
    </row>
    <row r="1582" spans="1:19" hidden="1">
      <c r="A1582" s="91" t="s">
        <v>3385</v>
      </c>
      <c r="B1582" s="87" t="str">
        <f>IFERROR(VLOOKUP(Proc[[#This Row],[App]],Table2[],3,0),"open")</f>
        <v>ok</v>
      </c>
      <c r="C1582" s="91" t="s">
        <v>369</v>
      </c>
      <c r="D1582" t="s">
        <v>3389</v>
      </c>
      <c r="E1582" t="s">
        <v>3378</v>
      </c>
      <c r="F1582" s="105" t="s">
        <v>3378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1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2563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410</v>
      </c>
      <c r="S1582" s="87"/>
    </row>
    <row r="1583" spans="1:19" hidden="1">
      <c r="A1583" s="91" t="s">
        <v>3385</v>
      </c>
      <c r="B1583" s="87" t="str">
        <f>IFERROR(VLOOKUP(Proc[[#This Row],[App]],Table2[],3,0),"open")</f>
        <v>ok</v>
      </c>
      <c r="C1583" s="91" t="s">
        <v>369</v>
      </c>
      <c r="D1583" t="s">
        <v>3390</v>
      </c>
      <c r="E1583" t="s">
        <v>3378</v>
      </c>
      <c r="F1583" s="105" t="s">
        <v>3378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1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2563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410</v>
      </c>
      <c r="S1583" s="87"/>
    </row>
    <row r="1584" spans="1:19" hidden="1">
      <c r="A1584" s="91" t="s">
        <v>3385</v>
      </c>
      <c r="B1584" s="87" t="str">
        <f>IFERROR(VLOOKUP(Proc[[#This Row],[App]],Table2[],3,0),"open")</f>
        <v>ok</v>
      </c>
      <c r="C1584" s="91" t="s">
        <v>369</v>
      </c>
      <c r="D1584" t="s">
        <v>3391</v>
      </c>
      <c r="E1584" t="s">
        <v>3378</v>
      </c>
      <c r="F1584" s="105" t="s">
        <v>3378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1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2563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410</v>
      </c>
      <c r="S1584" s="87"/>
    </row>
    <row r="1585" spans="1:19" hidden="1">
      <c r="A1585" s="91" t="s">
        <v>3385</v>
      </c>
      <c r="B1585" s="87" t="str">
        <f>IFERROR(VLOOKUP(Proc[[#This Row],[App]],Table2[],3,0),"open")</f>
        <v>ok</v>
      </c>
      <c r="C1585" s="91" t="s">
        <v>369</v>
      </c>
      <c r="D1585" t="s">
        <v>3392</v>
      </c>
      <c r="E1585" t="s">
        <v>3378</v>
      </c>
      <c r="F1585" s="105" t="s">
        <v>3378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1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2563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410</v>
      </c>
      <c r="S1585" s="87"/>
    </row>
    <row r="1586" spans="1:19" hidden="1">
      <c r="A1586" s="91" t="s">
        <v>3385</v>
      </c>
      <c r="B1586" s="87" t="str">
        <f>IFERROR(VLOOKUP(Proc[[#This Row],[App]],Table2[],3,0),"open")</f>
        <v>ok</v>
      </c>
      <c r="C1586" s="91" t="s">
        <v>369</v>
      </c>
      <c r="D1586" t="s">
        <v>3393</v>
      </c>
      <c r="E1586" t="s">
        <v>3378</v>
      </c>
      <c r="F1586" s="105" t="s">
        <v>3378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1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2563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410</v>
      </c>
      <c r="S1586" s="87"/>
    </row>
    <row r="1587" spans="1:19" hidden="1">
      <c r="A1587" s="91" t="s">
        <v>3385</v>
      </c>
      <c r="B1587" s="87" t="str">
        <f>IFERROR(VLOOKUP(Proc[[#This Row],[App]],Table2[],3,0),"open")</f>
        <v>ok</v>
      </c>
      <c r="C1587" s="91" t="s">
        <v>369</v>
      </c>
      <c r="D1587" t="s">
        <v>3394</v>
      </c>
      <c r="E1587" t="s">
        <v>3378</v>
      </c>
      <c r="F1587" s="105" t="s">
        <v>3378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1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2563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410</v>
      </c>
      <c r="S1587" s="87"/>
    </row>
    <row r="1588" spans="1:19" hidden="1">
      <c r="A1588" t="s">
        <v>3396</v>
      </c>
      <c r="B1588" s="87" t="str">
        <f>IFERROR(VLOOKUP(Proc[[#This Row],[App]],Table2[],3,0),"open")</f>
        <v>ok</v>
      </c>
      <c r="C1588" s="91" t="s">
        <v>369</v>
      </c>
      <c r="D1588" t="s">
        <v>2948</v>
      </c>
      <c r="E1588" t="s">
        <v>3397</v>
      </c>
      <c r="F1588" s="105" t="s">
        <v>3397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1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2563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410</v>
      </c>
      <c r="S1588" s="87"/>
    </row>
    <row r="1589" spans="1:19" hidden="1">
      <c r="A1589" s="91" t="s">
        <v>3396</v>
      </c>
      <c r="B1589" s="87" t="str">
        <f>IFERROR(VLOOKUP(Proc[[#This Row],[App]],Table2[],3,0),"open")</f>
        <v>ok</v>
      </c>
      <c r="C1589" s="91" t="s">
        <v>369</v>
      </c>
      <c r="D1589" t="s">
        <v>2949</v>
      </c>
      <c r="E1589" t="s">
        <v>3397</v>
      </c>
      <c r="F1589" s="105" t="s">
        <v>3397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1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2563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410</v>
      </c>
      <c r="S1589" s="87"/>
    </row>
    <row r="1590" spans="1:19" hidden="1">
      <c r="A1590" s="91" t="s">
        <v>3396</v>
      </c>
      <c r="B1590" s="87" t="str">
        <f>IFERROR(VLOOKUP(Proc[[#This Row],[App]],Table2[],3,0),"open")</f>
        <v>ok</v>
      </c>
      <c r="C1590" s="91" t="s">
        <v>369</v>
      </c>
      <c r="D1590" t="s">
        <v>2950</v>
      </c>
      <c r="E1590" t="s">
        <v>3398</v>
      </c>
      <c r="F1590" s="105" t="s">
        <v>3398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1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2563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410</v>
      </c>
      <c r="S1590" s="87"/>
    </row>
    <row r="1591" spans="1:19" hidden="1">
      <c r="A1591" s="91" t="s">
        <v>3396</v>
      </c>
      <c r="B1591" s="87" t="str">
        <f>IFERROR(VLOOKUP(Proc[[#This Row],[App]],Table2[],3,0),"open")</f>
        <v>ok</v>
      </c>
      <c r="C1591" s="91" t="s">
        <v>369</v>
      </c>
      <c r="D1591" t="s">
        <v>2951</v>
      </c>
      <c r="E1591" t="s">
        <v>3398</v>
      </c>
      <c r="F1591" s="105" t="s">
        <v>3398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1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2563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410</v>
      </c>
      <c r="S1591" s="87"/>
    </row>
    <row r="1592" spans="1:19" hidden="1">
      <c r="A1592" s="91" t="s">
        <v>3396</v>
      </c>
      <c r="B1592" s="87" t="str">
        <f>IFERROR(VLOOKUP(Proc[[#This Row],[App]],Table2[],3,0),"open")</f>
        <v>ok</v>
      </c>
      <c r="C1592" s="91" t="s">
        <v>369</v>
      </c>
      <c r="D1592" t="s">
        <v>2952</v>
      </c>
      <c r="E1592" t="s">
        <v>3398</v>
      </c>
      <c r="F1592" s="105" t="s">
        <v>3398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1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2563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410</v>
      </c>
      <c r="S1592" s="87"/>
    </row>
    <row r="1593" spans="1:19" hidden="1">
      <c r="A1593" s="91" t="s">
        <v>3396</v>
      </c>
      <c r="B1593" s="87" t="str">
        <f>IFERROR(VLOOKUP(Proc[[#This Row],[App]],Table2[],3,0),"open")</f>
        <v>ok</v>
      </c>
      <c r="C1593" s="91" t="s">
        <v>369</v>
      </c>
      <c r="D1593" t="s">
        <v>2953</v>
      </c>
      <c r="E1593" t="s">
        <v>3399</v>
      </c>
      <c r="F1593" s="105" t="s">
        <v>3399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1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2563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410</v>
      </c>
      <c r="S1593" s="87"/>
    </row>
    <row r="1594" spans="1:19" hidden="1">
      <c r="A1594" s="91" t="s">
        <v>3396</v>
      </c>
      <c r="B1594" s="87" t="str">
        <f>IFERROR(VLOOKUP(Proc[[#This Row],[App]],Table2[],3,0),"open")</f>
        <v>ok</v>
      </c>
      <c r="C1594" s="91" t="s">
        <v>369</v>
      </c>
      <c r="D1594" t="s">
        <v>2954</v>
      </c>
      <c r="E1594" t="s">
        <v>3397</v>
      </c>
      <c r="F1594" s="105" t="s">
        <v>3397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1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2563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410</v>
      </c>
      <c r="S1594" s="87"/>
    </row>
    <row r="1595" spans="1:19" hidden="1">
      <c r="A1595" s="91" t="s">
        <v>3396</v>
      </c>
      <c r="B1595" s="87" t="str">
        <f>IFERROR(VLOOKUP(Proc[[#This Row],[App]],Table2[],3,0),"open")</f>
        <v>ok</v>
      </c>
      <c r="C1595" s="91" t="s">
        <v>369</v>
      </c>
      <c r="D1595" t="s">
        <v>2955</v>
      </c>
      <c r="E1595" t="s">
        <v>3397</v>
      </c>
      <c r="F1595" s="105" t="s">
        <v>3397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1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2563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410</v>
      </c>
      <c r="S1595" s="87"/>
    </row>
    <row r="1596" spans="1:19" hidden="1">
      <c r="A1596" s="91" t="s">
        <v>3396</v>
      </c>
      <c r="B1596" s="87" t="str">
        <f>IFERROR(VLOOKUP(Proc[[#This Row],[App]],Table2[],3,0),"open")</f>
        <v>ok</v>
      </c>
      <c r="C1596" s="91" t="s">
        <v>369</v>
      </c>
      <c r="D1596" t="s">
        <v>2956</v>
      </c>
      <c r="E1596" t="s">
        <v>3400</v>
      </c>
      <c r="F1596" s="105" t="s">
        <v>3400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1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2563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410</v>
      </c>
      <c r="S1596" s="87"/>
    </row>
    <row r="1597" spans="1:19" hidden="1">
      <c r="A1597" s="91" t="s">
        <v>3396</v>
      </c>
      <c r="B1597" s="87" t="str">
        <f>IFERROR(VLOOKUP(Proc[[#This Row],[App]],Table2[],3,0),"open")</f>
        <v>ok</v>
      </c>
      <c r="C1597" s="91" t="s">
        <v>369</v>
      </c>
      <c r="D1597" t="s">
        <v>2957</v>
      </c>
      <c r="E1597" t="s">
        <v>3400</v>
      </c>
      <c r="F1597" s="105" t="s">
        <v>3400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1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2563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410</v>
      </c>
      <c r="S1597" s="87"/>
    </row>
    <row r="1598" spans="1:19" hidden="1">
      <c r="A1598" s="91" t="s">
        <v>3396</v>
      </c>
      <c r="B1598" s="87" t="str">
        <f>IFERROR(VLOOKUP(Proc[[#This Row],[App]],Table2[],3,0),"open")</f>
        <v>ok</v>
      </c>
      <c r="C1598" s="91" t="s">
        <v>369</v>
      </c>
      <c r="D1598" t="s">
        <v>2958</v>
      </c>
      <c r="E1598" t="s">
        <v>3401</v>
      </c>
      <c r="F1598" s="105" t="s">
        <v>3401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1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2563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410</v>
      </c>
      <c r="S1598" s="87"/>
    </row>
    <row r="1599" spans="1:19" hidden="1">
      <c r="A1599" s="91" t="s">
        <v>3396</v>
      </c>
      <c r="B1599" s="87" t="str">
        <f>IFERROR(VLOOKUP(Proc[[#This Row],[App]],Table2[],3,0),"open")</f>
        <v>ok</v>
      </c>
      <c r="C1599" s="91" t="s">
        <v>369</v>
      </c>
      <c r="D1599" t="s">
        <v>2959</v>
      </c>
      <c r="E1599" t="s">
        <v>3401</v>
      </c>
      <c r="F1599" s="105" t="s">
        <v>3401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1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2563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410</v>
      </c>
      <c r="S1599" s="87"/>
    </row>
    <row r="1600" spans="1:19" hidden="1">
      <c r="A1600" s="91" t="s">
        <v>3396</v>
      </c>
      <c r="B1600" s="87" t="str">
        <f>IFERROR(VLOOKUP(Proc[[#This Row],[App]],Table2[],3,0),"open")</f>
        <v>ok</v>
      </c>
      <c r="C1600" s="91" t="s">
        <v>369</v>
      </c>
      <c r="D1600" t="s">
        <v>2960</v>
      </c>
      <c r="E1600" t="s">
        <v>3401</v>
      </c>
      <c r="F1600" s="105" t="s">
        <v>3401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1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2563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410</v>
      </c>
      <c r="S1600" s="87"/>
    </row>
    <row r="1601" spans="1:19" hidden="1">
      <c r="A1601" s="91" t="s">
        <v>3396</v>
      </c>
      <c r="B1601" s="87" t="str">
        <f>IFERROR(VLOOKUP(Proc[[#This Row],[App]],Table2[],3,0),"open")</f>
        <v>ok</v>
      </c>
      <c r="C1601" s="91" t="s">
        <v>369</v>
      </c>
      <c r="D1601" t="s">
        <v>2961</v>
      </c>
      <c r="E1601" t="s">
        <v>3401</v>
      </c>
      <c r="F1601" s="105" t="s">
        <v>3401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1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2563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410</v>
      </c>
      <c r="S1601" s="87"/>
    </row>
    <row r="1602" spans="1:19" hidden="1">
      <c r="A1602" s="91" t="s">
        <v>3396</v>
      </c>
      <c r="B1602" s="87" t="str">
        <f>IFERROR(VLOOKUP(Proc[[#This Row],[App]],Table2[],3,0),"open")</f>
        <v>ok</v>
      </c>
      <c r="C1602" s="91" t="s">
        <v>369</v>
      </c>
      <c r="D1602" t="s">
        <v>2962</v>
      </c>
      <c r="E1602" t="s">
        <v>3398</v>
      </c>
      <c r="F1602" s="105" t="s">
        <v>3398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1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2563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410</v>
      </c>
      <c r="S1602" s="87"/>
    </row>
    <row r="1603" spans="1:19" hidden="1">
      <c r="A1603" s="91" t="s">
        <v>3396</v>
      </c>
      <c r="B1603" s="87" t="str">
        <f>IFERROR(VLOOKUP(Proc[[#This Row],[App]],Table2[],3,0),"open")</f>
        <v>ok</v>
      </c>
      <c r="C1603" s="91" t="s">
        <v>369</v>
      </c>
      <c r="D1603" t="s">
        <v>2963</v>
      </c>
      <c r="E1603" t="s">
        <v>3398</v>
      </c>
      <c r="F1603" s="105" t="s">
        <v>3398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1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2563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410</v>
      </c>
      <c r="S1603" s="87"/>
    </row>
    <row r="1604" spans="1:19" hidden="1">
      <c r="A1604" s="91" t="s">
        <v>3396</v>
      </c>
      <c r="B1604" s="87" t="str">
        <f>IFERROR(VLOOKUP(Proc[[#This Row],[App]],Table2[],3,0),"open")</f>
        <v>ok</v>
      </c>
      <c r="C1604" s="91" t="s">
        <v>369</v>
      </c>
      <c r="D1604" t="s">
        <v>2964</v>
      </c>
      <c r="E1604" t="s">
        <v>3401</v>
      </c>
      <c r="F1604" s="105" t="s">
        <v>3401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1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2563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410</v>
      </c>
      <c r="S1604" s="87"/>
    </row>
    <row r="1605" spans="1:19" hidden="1">
      <c r="A1605" s="91" t="s">
        <v>3396</v>
      </c>
      <c r="B1605" s="87" t="str">
        <f>IFERROR(VLOOKUP(Proc[[#This Row],[App]],Table2[],3,0),"open")</f>
        <v>ok</v>
      </c>
      <c r="C1605" s="91" t="s">
        <v>369</v>
      </c>
      <c r="D1605" t="s">
        <v>2965</v>
      </c>
      <c r="E1605" t="s">
        <v>3401</v>
      </c>
      <c r="F1605" s="105" t="s">
        <v>3401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1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2563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410</v>
      </c>
      <c r="S1605" s="87"/>
    </row>
    <row r="1606" spans="1:19" hidden="1">
      <c r="A1606" s="91" t="s">
        <v>3396</v>
      </c>
      <c r="B1606" s="87" t="str">
        <f>IFERROR(VLOOKUP(Proc[[#This Row],[App]],Table2[],3,0),"open")</f>
        <v>ok</v>
      </c>
      <c r="C1606" s="91" t="s">
        <v>369</v>
      </c>
      <c r="D1606" t="s">
        <v>2966</v>
      </c>
      <c r="E1606" t="s">
        <v>3401</v>
      </c>
      <c r="F1606" s="105" t="s">
        <v>3401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1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2563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410</v>
      </c>
      <c r="S1606" s="87"/>
    </row>
    <row r="1607" spans="1:19" hidden="1">
      <c r="A1607" s="91" t="s">
        <v>3396</v>
      </c>
      <c r="B1607" s="87" t="str">
        <f>IFERROR(VLOOKUP(Proc[[#This Row],[App]],Table2[],3,0),"open")</f>
        <v>ok</v>
      </c>
      <c r="C1607" s="91" t="s">
        <v>369</v>
      </c>
      <c r="D1607" t="s">
        <v>2967</v>
      </c>
      <c r="E1607" t="s">
        <v>3402</v>
      </c>
      <c r="F1607" s="105" t="s">
        <v>3402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1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2563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410</v>
      </c>
      <c r="S1607" s="87"/>
    </row>
    <row r="1608" spans="1:19" hidden="1">
      <c r="A1608" s="91" t="s">
        <v>3396</v>
      </c>
      <c r="B1608" s="87" t="str">
        <f>IFERROR(VLOOKUP(Proc[[#This Row],[App]],Table2[],3,0),"open")</f>
        <v>ok</v>
      </c>
      <c r="C1608" s="91" t="s">
        <v>369</v>
      </c>
      <c r="D1608" t="s">
        <v>2968</v>
      </c>
      <c r="E1608" t="s">
        <v>3402</v>
      </c>
      <c r="F1608" s="105" t="s">
        <v>3402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1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2563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410</v>
      </c>
      <c r="S1608" s="87"/>
    </row>
    <row r="1609" spans="1:19" hidden="1">
      <c r="A1609" s="91" t="s">
        <v>3396</v>
      </c>
      <c r="B1609" s="87" t="str">
        <f>IFERROR(VLOOKUP(Proc[[#This Row],[App]],Table2[],3,0),"open")</f>
        <v>ok</v>
      </c>
      <c r="C1609" s="91" t="s">
        <v>369</v>
      </c>
      <c r="D1609" t="s">
        <v>2969</v>
      </c>
      <c r="E1609" t="s">
        <v>3402</v>
      </c>
      <c r="F1609" s="105" t="s">
        <v>3402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1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2563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410</v>
      </c>
      <c r="S1609" s="87"/>
    </row>
    <row r="1610" spans="1:19" hidden="1">
      <c r="A1610" s="91" t="s">
        <v>3396</v>
      </c>
      <c r="B1610" s="87" t="str">
        <f>IFERROR(VLOOKUP(Proc[[#This Row],[App]],Table2[],3,0),"open")</f>
        <v>ok</v>
      </c>
      <c r="C1610" s="91" t="s">
        <v>369</v>
      </c>
      <c r="D1610" t="s">
        <v>2970</v>
      </c>
      <c r="E1610" t="s">
        <v>3402</v>
      </c>
      <c r="F1610" s="105" t="s">
        <v>3402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1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2563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410</v>
      </c>
      <c r="S1610" s="87"/>
    </row>
    <row r="1611" spans="1:19" hidden="1">
      <c r="A1611" s="91" t="s">
        <v>3396</v>
      </c>
      <c r="B1611" s="87" t="str">
        <f>IFERROR(VLOOKUP(Proc[[#This Row],[App]],Table2[],3,0),"open")</f>
        <v>ok</v>
      </c>
      <c r="C1611" s="91" t="s">
        <v>369</v>
      </c>
      <c r="D1611" t="s">
        <v>2971</v>
      </c>
      <c r="E1611" t="s">
        <v>3402</v>
      </c>
      <c r="F1611" s="105" t="s">
        <v>3402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1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2563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410</v>
      </c>
      <c r="S1611" s="87"/>
    </row>
    <row r="1612" spans="1:19" hidden="1">
      <c r="A1612" s="91" t="s">
        <v>3396</v>
      </c>
      <c r="B1612" s="87" t="str">
        <f>IFERROR(VLOOKUP(Proc[[#This Row],[App]],Table2[],3,0),"open")</f>
        <v>ok</v>
      </c>
      <c r="C1612" s="91" t="s">
        <v>369</v>
      </c>
      <c r="D1612" t="s">
        <v>2972</v>
      </c>
      <c r="E1612" t="s">
        <v>3402</v>
      </c>
      <c r="F1612" s="105" t="s">
        <v>3402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1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2563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410</v>
      </c>
      <c r="S1612" s="87"/>
    </row>
    <row r="1613" spans="1:19" hidden="1">
      <c r="A1613" s="91" t="s">
        <v>3396</v>
      </c>
      <c r="B1613" s="87" t="str">
        <f>IFERROR(VLOOKUP(Proc[[#This Row],[App]],Table2[],3,0),"open")</f>
        <v>ok</v>
      </c>
      <c r="C1613" s="91" t="s">
        <v>369</v>
      </c>
      <c r="D1613" t="s">
        <v>2973</v>
      </c>
      <c r="E1613" t="s">
        <v>3402</v>
      </c>
      <c r="F1613" s="105" t="s">
        <v>3402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1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2563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410</v>
      </c>
      <c r="S1613" s="87"/>
    </row>
    <row r="1614" spans="1:19" hidden="1">
      <c r="A1614" s="91" t="s">
        <v>3396</v>
      </c>
      <c r="B1614" s="87" t="str">
        <f>IFERROR(VLOOKUP(Proc[[#This Row],[App]],Table2[],3,0),"open")</f>
        <v>ok</v>
      </c>
      <c r="C1614" s="91" t="s">
        <v>369</v>
      </c>
      <c r="D1614" t="s">
        <v>2974</v>
      </c>
      <c r="E1614" t="s">
        <v>3402</v>
      </c>
      <c r="F1614" s="105" t="s">
        <v>3402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1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2563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410</v>
      </c>
      <c r="S1614" s="87"/>
    </row>
    <row r="1615" spans="1:19" hidden="1">
      <c r="A1615" s="91" t="s">
        <v>3396</v>
      </c>
      <c r="B1615" s="87" t="str">
        <f>IFERROR(VLOOKUP(Proc[[#This Row],[App]],Table2[],3,0),"open")</f>
        <v>ok</v>
      </c>
      <c r="C1615" s="91" t="s">
        <v>369</v>
      </c>
      <c r="D1615" t="s">
        <v>2975</v>
      </c>
      <c r="E1615" t="s">
        <v>3402</v>
      </c>
      <c r="F1615" s="105" t="s">
        <v>3402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1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2563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410</v>
      </c>
      <c r="S1615" s="87"/>
    </row>
    <row r="1616" spans="1:19" hidden="1">
      <c r="A1616" s="91" t="s">
        <v>3396</v>
      </c>
      <c r="B1616" s="87" t="str">
        <f>IFERROR(VLOOKUP(Proc[[#This Row],[App]],Table2[],3,0),"open")</f>
        <v>ok</v>
      </c>
      <c r="C1616" s="91" t="s">
        <v>369</v>
      </c>
      <c r="D1616" t="s">
        <v>2976</v>
      </c>
      <c r="E1616" t="s">
        <v>3402</v>
      </c>
      <c r="F1616" s="105" t="s">
        <v>3402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1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2563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410</v>
      </c>
      <c r="S1616" s="87"/>
    </row>
    <row r="1617" spans="1:19" hidden="1">
      <c r="A1617" s="91" t="s">
        <v>3396</v>
      </c>
      <c r="B1617" s="87" t="str">
        <f>IFERROR(VLOOKUP(Proc[[#This Row],[App]],Table2[],3,0),"open")</f>
        <v>ok</v>
      </c>
      <c r="C1617" s="91" t="s">
        <v>369</v>
      </c>
      <c r="D1617" t="s">
        <v>2977</v>
      </c>
      <c r="E1617" t="s">
        <v>3402</v>
      </c>
      <c r="F1617" s="105" t="s">
        <v>3402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1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2563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410</v>
      </c>
      <c r="S1617" s="87"/>
    </row>
    <row r="1618" spans="1:19" hidden="1">
      <c r="A1618" s="91" t="s">
        <v>3396</v>
      </c>
      <c r="B1618" s="87" t="str">
        <f>IFERROR(VLOOKUP(Proc[[#This Row],[App]],Table2[],3,0),"open")</f>
        <v>ok</v>
      </c>
      <c r="C1618" s="91" t="s">
        <v>369</v>
      </c>
      <c r="D1618" t="s">
        <v>2978</v>
      </c>
      <c r="E1618" t="s">
        <v>3402</v>
      </c>
      <c r="F1618" s="105" t="s">
        <v>3402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1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2563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410</v>
      </c>
      <c r="S1618" s="87"/>
    </row>
    <row r="1619" spans="1:19" hidden="1">
      <c r="A1619" s="91" t="s">
        <v>3396</v>
      </c>
      <c r="B1619" s="87" t="str">
        <f>IFERROR(VLOOKUP(Proc[[#This Row],[App]],Table2[],3,0),"open")</f>
        <v>ok</v>
      </c>
      <c r="C1619" s="91" t="s">
        <v>369</v>
      </c>
      <c r="D1619" t="s">
        <v>2979</v>
      </c>
      <c r="E1619" t="s">
        <v>3402</v>
      </c>
      <c r="F1619" s="105" t="s">
        <v>3402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1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2563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410</v>
      </c>
      <c r="S1619" s="87"/>
    </row>
    <row r="1620" spans="1:19" hidden="1">
      <c r="A1620" s="91" t="s">
        <v>3396</v>
      </c>
      <c r="B1620" s="87" t="str">
        <f>IFERROR(VLOOKUP(Proc[[#This Row],[App]],Table2[],3,0),"open")</f>
        <v>ok</v>
      </c>
      <c r="C1620" s="91" t="s">
        <v>369</v>
      </c>
      <c r="D1620" t="s">
        <v>2980</v>
      </c>
      <c r="E1620" t="s">
        <v>3402</v>
      </c>
      <c r="F1620" s="105" t="s">
        <v>3402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1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2563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410</v>
      </c>
      <c r="S1620" s="87"/>
    </row>
    <row r="1621" spans="1:19" hidden="1">
      <c r="A1621" s="91" t="s">
        <v>3396</v>
      </c>
      <c r="B1621" s="87" t="str">
        <f>IFERROR(VLOOKUP(Proc[[#This Row],[App]],Table2[],3,0),"open")</f>
        <v>ok</v>
      </c>
      <c r="C1621" s="91" t="s">
        <v>369</v>
      </c>
      <c r="D1621" t="s">
        <v>2981</v>
      </c>
      <c r="E1621" t="s">
        <v>3402</v>
      </c>
      <c r="F1621" s="105" t="s">
        <v>3402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1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2563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410</v>
      </c>
      <c r="S1621" s="87"/>
    </row>
    <row r="1622" spans="1:19" hidden="1">
      <c r="A1622" s="91" t="s">
        <v>3396</v>
      </c>
      <c r="B1622" s="87" t="str">
        <f>IFERROR(VLOOKUP(Proc[[#This Row],[App]],Table2[],3,0),"open")</f>
        <v>ok</v>
      </c>
      <c r="C1622" s="91" t="s">
        <v>369</v>
      </c>
      <c r="D1622" t="s">
        <v>2982</v>
      </c>
      <c r="E1622" t="s">
        <v>3402</v>
      </c>
      <c r="F1622" s="105" t="s">
        <v>3402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1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2563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410</v>
      </c>
      <c r="S1622" s="87"/>
    </row>
    <row r="1623" spans="1:19" hidden="1">
      <c r="A1623" s="91" t="s">
        <v>3396</v>
      </c>
      <c r="B1623" s="87" t="str">
        <f>IFERROR(VLOOKUP(Proc[[#This Row],[App]],Table2[],3,0),"open")</f>
        <v>ok</v>
      </c>
      <c r="C1623" s="91" t="s">
        <v>369</v>
      </c>
      <c r="D1623" t="s">
        <v>2983</v>
      </c>
      <c r="E1623" t="s">
        <v>3402</v>
      </c>
      <c r="F1623" s="105" t="s">
        <v>3402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1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2563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410</v>
      </c>
      <c r="S1623" s="87"/>
    </row>
    <row r="1624" spans="1:19" hidden="1">
      <c r="A1624" s="91" t="s">
        <v>3396</v>
      </c>
      <c r="B1624" s="87" t="str">
        <f>IFERROR(VLOOKUP(Proc[[#This Row],[App]],Table2[],3,0),"open")</f>
        <v>ok</v>
      </c>
      <c r="C1624" s="91" t="s">
        <v>369</v>
      </c>
      <c r="D1624" t="s">
        <v>2984</v>
      </c>
      <c r="E1624" t="s">
        <v>3402</v>
      </c>
      <c r="F1624" s="105" t="s">
        <v>3402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1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2563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410</v>
      </c>
      <c r="S1624" s="87"/>
    </row>
    <row r="1625" spans="1:19" hidden="1">
      <c r="A1625" s="91" t="s">
        <v>3396</v>
      </c>
      <c r="B1625" s="87" t="str">
        <f>IFERROR(VLOOKUP(Proc[[#This Row],[App]],Table2[],3,0),"open")</f>
        <v>ok</v>
      </c>
      <c r="C1625" s="91" t="s">
        <v>369</v>
      </c>
      <c r="D1625" t="s">
        <v>2985</v>
      </c>
      <c r="E1625" t="s">
        <v>3402</v>
      </c>
      <c r="F1625" s="105" t="s">
        <v>3402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1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2563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410</v>
      </c>
      <c r="S1625" s="87"/>
    </row>
    <row r="1626" spans="1:19" hidden="1">
      <c r="A1626" s="91" t="s">
        <v>3396</v>
      </c>
      <c r="B1626" s="87" t="str">
        <f>IFERROR(VLOOKUP(Proc[[#This Row],[App]],Table2[],3,0),"open")</f>
        <v>ok</v>
      </c>
      <c r="C1626" s="91" t="s">
        <v>369</v>
      </c>
      <c r="D1626" t="s">
        <v>2986</v>
      </c>
      <c r="E1626" t="s">
        <v>3402</v>
      </c>
      <c r="F1626" s="105" t="s">
        <v>3402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1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2563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410</v>
      </c>
      <c r="S1626" s="87"/>
    </row>
    <row r="1627" spans="1:19" hidden="1">
      <c r="A1627" s="91" t="s">
        <v>3396</v>
      </c>
      <c r="B1627" s="87" t="str">
        <f>IFERROR(VLOOKUP(Proc[[#This Row],[App]],Table2[],3,0),"open")</f>
        <v>ok</v>
      </c>
      <c r="C1627" s="91" t="s">
        <v>369</v>
      </c>
      <c r="D1627" t="s">
        <v>2987</v>
      </c>
      <c r="E1627" t="s">
        <v>3402</v>
      </c>
      <c r="F1627" s="105" t="s">
        <v>3402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1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2563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410</v>
      </c>
      <c r="S1627" s="87"/>
    </row>
    <row r="1628" spans="1:19" hidden="1">
      <c r="A1628" s="91" t="s">
        <v>3396</v>
      </c>
      <c r="B1628" s="87" t="str">
        <f>IFERROR(VLOOKUP(Proc[[#This Row],[App]],Table2[],3,0),"open")</f>
        <v>ok</v>
      </c>
      <c r="C1628" s="91" t="s">
        <v>369</v>
      </c>
      <c r="D1628" t="s">
        <v>2988</v>
      </c>
      <c r="E1628" t="s">
        <v>3402</v>
      </c>
      <c r="F1628" s="105" t="s">
        <v>3402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1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2563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410</v>
      </c>
      <c r="S1628" s="87"/>
    </row>
    <row r="1629" spans="1:19" hidden="1">
      <c r="A1629" s="91" t="s">
        <v>3396</v>
      </c>
      <c r="B1629" s="87" t="str">
        <f>IFERROR(VLOOKUP(Proc[[#This Row],[App]],Table2[],3,0),"open")</f>
        <v>ok</v>
      </c>
      <c r="C1629" s="91" t="s">
        <v>369</v>
      </c>
      <c r="D1629" t="s">
        <v>2989</v>
      </c>
      <c r="E1629" t="s">
        <v>3402</v>
      </c>
      <c r="F1629" s="105" t="s">
        <v>3402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1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2563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410</v>
      </c>
      <c r="S1629" s="87"/>
    </row>
    <row r="1630" spans="1:19" hidden="1">
      <c r="A1630" s="91" t="s">
        <v>3396</v>
      </c>
      <c r="B1630" s="87" t="str">
        <f>IFERROR(VLOOKUP(Proc[[#This Row],[App]],Table2[],3,0),"open")</f>
        <v>ok</v>
      </c>
      <c r="C1630" s="91" t="s">
        <v>369</v>
      </c>
      <c r="D1630" t="s">
        <v>2990</v>
      </c>
      <c r="E1630" t="s">
        <v>3402</v>
      </c>
      <c r="F1630" s="105" t="s">
        <v>3402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1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2563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410</v>
      </c>
      <c r="S1630" s="87"/>
    </row>
    <row r="1631" spans="1:19" hidden="1">
      <c r="A1631" s="91" t="s">
        <v>3396</v>
      </c>
      <c r="B1631" s="87" t="str">
        <f>IFERROR(VLOOKUP(Proc[[#This Row],[App]],Table2[],3,0),"open")</f>
        <v>ok</v>
      </c>
      <c r="C1631" s="91" t="s">
        <v>369</v>
      </c>
      <c r="D1631" t="s">
        <v>2991</v>
      </c>
      <c r="E1631" t="s">
        <v>3402</v>
      </c>
      <c r="F1631" s="105" t="s">
        <v>3402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1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2563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410</v>
      </c>
      <c r="S1631" s="87"/>
    </row>
    <row r="1632" spans="1:19" hidden="1">
      <c r="A1632" s="91" t="s">
        <v>3396</v>
      </c>
      <c r="B1632" s="87" t="str">
        <f>IFERROR(VLOOKUP(Proc[[#This Row],[App]],Table2[],3,0),"open")</f>
        <v>ok</v>
      </c>
      <c r="C1632" s="91" t="s">
        <v>369</v>
      </c>
      <c r="D1632" t="s">
        <v>2992</v>
      </c>
      <c r="E1632" t="s">
        <v>3402</v>
      </c>
      <c r="F1632" s="105" t="s">
        <v>3402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1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2563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410</v>
      </c>
      <c r="S1632" s="87"/>
    </row>
    <row r="1633" spans="1:19" hidden="1">
      <c r="A1633" s="91" t="s">
        <v>3396</v>
      </c>
      <c r="B1633" s="87" t="str">
        <f>IFERROR(VLOOKUP(Proc[[#This Row],[App]],Table2[],3,0),"open")</f>
        <v>ok</v>
      </c>
      <c r="C1633" s="91" t="s">
        <v>369</v>
      </c>
      <c r="D1633" t="s">
        <v>2993</v>
      </c>
      <c r="E1633" t="s">
        <v>3402</v>
      </c>
      <c r="F1633" s="105" t="s">
        <v>3402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1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2563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410</v>
      </c>
      <c r="S1633" s="87"/>
    </row>
    <row r="1634" spans="1:19" hidden="1">
      <c r="A1634" s="91" t="s">
        <v>3396</v>
      </c>
      <c r="B1634" s="87" t="str">
        <f>IFERROR(VLOOKUP(Proc[[#This Row],[App]],Table2[],3,0),"open")</f>
        <v>ok</v>
      </c>
      <c r="C1634" s="91" t="s">
        <v>369</v>
      </c>
      <c r="D1634" t="s">
        <v>2994</v>
      </c>
      <c r="E1634" t="s">
        <v>3402</v>
      </c>
      <c r="F1634" s="105" t="s">
        <v>3402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1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2563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410</v>
      </c>
      <c r="S1634" s="87"/>
    </row>
    <row r="1635" spans="1:19" hidden="1">
      <c r="A1635" s="91" t="s">
        <v>3396</v>
      </c>
      <c r="B1635" s="87" t="str">
        <f>IFERROR(VLOOKUP(Proc[[#This Row],[App]],Table2[],3,0),"open")</f>
        <v>ok</v>
      </c>
      <c r="C1635" s="91" t="s">
        <v>369</v>
      </c>
      <c r="D1635" t="s">
        <v>2995</v>
      </c>
      <c r="E1635" t="s">
        <v>3402</v>
      </c>
      <c r="F1635" s="105" t="s">
        <v>3402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1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2563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410</v>
      </c>
      <c r="S1635" s="87"/>
    </row>
    <row r="1636" spans="1:19" hidden="1">
      <c r="A1636" s="91" t="s">
        <v>3396</v>
      </c>
      <c r="B1636" s="87" t="str">
        <f>IFERROR(VLOOKUP(Proc[[#This Row],[App]],Table2[],3,0),"open")</f>
        <v>ok</v>
      </c>
      <c r="C1636" s="91" t="s">
        <v>369</v>
      </c>
      <c r="D1636" t="s">
        <v>2996</v>
      </c>
      <c r="E1636" t="s">
        <v>3402</v>
      </c>
      <c r="F1636" s="105" t="s">
        <v>3402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1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2563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410</v>
      </c>
      <c r="S1636" s="87"/>
    </row>
    <row r="1637" spans="1:19" hidden="1">
      <c r="A1637" s="91" t="s">
        <v>3396</v>
      </c>
      <c r="B1637" s="87" t="str">
        <f>IFERROR(VLOOKUP(Proc[[#This Row],[App]],Table2[],3,0),"open")</f>
        <v>ok</v>
      </c>
      <c r="C1637" s="91" t="s">
        <v>369</v>
      </c>
      <c r="D1637" t="s">
        <v>2997</v>
      </c>
      <c r="E1637" t="s">
        <v>3402</v>
      </c>
      <c r="F1637" s="105" t="s">
        <v>3402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1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2563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410</v>
      </c>
      <c r="S1637" s="87"/>
    </row>
    <row r="1638" spans="1:19" hidden="1">
      <c r="A1638" s="91" t="s">
        <v>3396</v>
      </c>
      <c r="B1638" s="87" t="str">
        <f>IFERROR(VLOOKUP(Proc[[#This Row],[App]],Table2[],3,0),"open")</f>
        <v>ok</v>
      </c>
      <c r="C1638" s="91" t="s">
        <v>369</v>
      </c>
      <c r="D1638" t="s">
        <v>2998</v>
      </c>
      <c r="E1638" t="s">
        <v>3402</v>
      </c>
      <c r="F1638" s="105" t="s">
        <v>3402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1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2563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410</v>
      </c>
      <c r="S1638" s="87"/>
    </row>
    <row r="1639" spans="1:19" hidden="1">
      <c r="A1639" s="91" t="s">
        <v>3396</v>
      </c>
      <c r="B1639" s="87" t="str">
        <f>IFERROR(VLOOKUP(Proc[[#This Row],[App]],Table2[],3,0),"open")</f>
        <v>ok</v>
      </c>
      <c r="C1639" s="91" t="s">
        <v>369</v>
      </c>
      <c r="D1639" t="s">
        <v>2999</v>
      </c>
      <c r="E1639" t="s">
        <v>3402</v>
      </c>
      <c r="F1639" s="105" t="s">
        <v>3402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1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2563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410</v>
      </c>
      <c r="S1639" s="87"/>
    </row>
    <row r="1640" spans="1:19" hidden="1">
      <c r="A1640" s="91" t="s">
        <v>3396</v>
      </c>
      <c r="B1640" s="87" t="str">
        <f>IFERROR(VLOOKUP(Proc[[#This Row],[App]],Table2[],3,0),"open")</f>
        <v>ok</v>
      </c>
      <c r="C1640" s="91" t="s">
        <v>369</v>
      </c>
      <c r="D1640" t="s">
        <v>3000</v>
      </c>
      <c r="E1640" t="s">
        <v>3402</v>
      </c>
      <c r="F1640" s="105" t="s">
        <v>3402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1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2563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410</v>
      </c>
      <c r="S1640" s="87"/>
    </row>
    <row r="1641" spans="1:19" hidden="1">
      <c r="A1641" s="91" t="s">
        <v>3396</v>
      </c>
      <c r="B1641" s="87" t="str">
        <f>IFERROR(VLOOKUP(Proc[[#This Row],[App]],Table2[],3,0),"open")</f>
        <v>ok</v>
      </c>
      <c r="C1641" s="91" t="s">
        <v>369</v>
      </c>
      <c r="D1641" t="s">
        <v>3001</v>
      </c>
      <c r="E1641" t="s">
        <v>3402</v>
      </c>
      <c r="F1641" s="105" t="s">
        <v>3402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1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2563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410</v>
      </c>
      <c r="S1641" s="87"/>
    </row>
    <row r="1642" spans="1:19" hidden="1">
      <c r="A1642" s="91" t="s">
        <v>3396</v>
      </c>
      <c r="B1642" s="87" t="str">
        <f>IFERROR(VLOOKUP(Proc[[#This Row],[App]],Table2[],3,0),"open")</f>
        <v>ok</v>
      </c>
      <c r="C1642" s="91" t="s">
        <v>369</v>
      </c>
      <c r="D1642" t="s">
        <v>3002</v>
      </c>
      <c r="E1642" t="s">
        <v>3402</v>
      </c>
      <c r="F1642" s="105" t="s">
        <v>3402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1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2563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410</v>
      </c>
      <c r="S1642" s="87"/>
    </row>
    <row r="1643" spans="1:19" hidden="1">
      <c r="A1643" t="s">
        <v>3404</v>
      </c>
      <c r="B1643" s="87" t="str">
        <f>IFERROR(VLOOKUP(Proc[[#This Row],[App]],Table2[],3,0),"open")</f>
        <v>ok</v>
      </c>
      <c r="C1643" s="91" t="s">
        <v>369</v>
      </c>
      <c r="D1643" t="s">
        <v>3403</v>
      </c>
      <c r="E1643" t="s">
        <v>2049</v>
      </c>
      <c r="F1643" s="105" t="s">
        <v>2049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1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2563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515</v>
      </c>
      <c r="S1643" s="87"/>
    </row>
    <row r="1644" spans="1:19" hidden="1">
      <c r="A1644" t="s">
        <v>3405</v>
      </c>
      <c r="B1644" s="87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5" t="s">
        <v>3515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1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2563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20</v>
      </c>
      <c r="R1644" s="92" t="s">
        <v>489</v>
      </c>
      <c r="S1644" s="87"/>
    </row>
    <row r="1645" spans="1:19" hidden="1">
      <c r="A1645" s="91" t="s">
        <v>3405</v>
      </c>
      <c r="B1645" s="87" t="str">
        <f>IFERROR(VLOOKUP(Proc[[#This Row],[App]],Table2[],3,0),"open")</f>
        <v>ok</v>
      </c>
      <c r="C1645" s="91" t="s">
        <v>369</v>
      </c>
      <c r="D1645" t="s">
        <v>3407</v>
      </c>
      <c r="E1645" t="s">
        <v>3516</v>
      </c>
      <c r="F1645" s="105" t="s">
        <v>3516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1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2563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20</v>
      </c>
      <c r="R1645" s="92" t="s">
        <v>489</v>
      </c>
      <c r="S1645" s="87"/>
    </row>
    <row r="1646" spans="1:19" hidden="1">
      <c r="A1646" s="91" t="s">
        <v>3405</v>
      </c>
      <c r="B1646" s="87" t="str">
        <f>IFERROR(VLOOKUP(Proc[[#This Row],[App]],Table2[],3,0),"open")</f>
        <v>ok</v>
      </c>
      <c r="C1646" s="91" t="s">
        <v>369</v>
      </c>
      <c r="D1646" t="s">
        <v>3408</v>
      </c>
      <c r="E1646" t="s">
        <v>3516</v>
      </c>
      <c r="F1646" s="105" t="s">
        <v>3516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1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2563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20</v>
      </c>
      <c r="R1646" s="92" t="s">
        <v>489</v>
      </c>
      <c r="S1646" s="87"/>
    </row>
    <row r="1647" spans="1:19" hidden="1">
      <c r="A1647" s="91" t="s">
        <v>3405</v>
      </c>
      <c r="B1647" s="87" t="str">
        <f>IFERROR(VLOOKUP(Proc[[#This Row],[App]],Table2[],3,0),"open")</f>
        <v>ok</v>
      </c>
      <c r="C1647" s="91" t="s">
        <v>369</v>
      </c>
      <c r="D1647" t="s">
        <v>3409</v>
      </c>
      <c r="E1647" t="s">
        <v>3517</v>
      </c>
      <c r="F1647" s="105" t="s">
        <v>3517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1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2563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20</v>
      </c>
      <c r="R1647" s="92" t="s">
        <v>489</v>
      </c>
      <c r="S1647" s="87"/>
    </row>
    <row r="1648" spans="1:19" hidden="1">
      <c r="A1648" s="91" t="s">
        <v>3405</v>
      </c>
      <c r="B1648" s="87" t="str">
        <f>IFERROR(VLOOKUP(Proc[[#This Row],[App]],Table2[],3,0),"open")</f>
        <v>ok</v>
      </c>
      <c r="C1648" s="91" t="s">
        <v>369</v>
      </c>
      <c r="D1648" t="s">
        <v>3410</v>
      </c>
      <c r="E1648" t="s">
        <v>3518</v>
      </c>
      <c r="F1648" s="105" t="s">
        <v>3518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1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2563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20</v>
      </c>
      <c r="R1648" s="92" t="s">
        <v>489</v>
      </c>
      <c r="S1648" s="87"/>
    </row>
    <row r="1649" spans="1:19" hidden="1">
      <c r="A1649" s="91" t="s">
        <v>3405</v>
      </c>
      <c r="B1649" s="87" t="str">
        <f>IFERROR(VLOOKUP(Proc[[#This Row],[App]],Table2[],3,0),"open")</f>
        <v>ok</v>
      </c>
      <c r="C1649" s="91" t="s">
        <v>369</v>
      </c>
      <c r="D1649" t="s">
        <v>3411</v>
      </c>
      <c r="E1649" t="s">
        <v>3518</v>
      </c>
      <c r="F1649" s="105" t="s">
        <v>3518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1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2563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20</v>
      </c>
      <c r="R1649" s="92" t="s">
        <v>489</v>
      </c>
      <c r="S1649" s="87"/>
    </row>
    <row r="1650" spans="1:19" hidden="1">
      <c r="A1650" s="91" t="s">
        <v>3405</v>
      </c>
      <c r="B1650" s="87" t="str">
        <f>IFERROR(VLOOKUP(Proc[[#This Row],[App]],Table2[],3,0),"open")</f>
        <v>ok</v>
      </c>
      <c r="C1650" s="91" t="s">
        <v>369</v>
      </c>
      <c r="D1650" t="s">
        <v>3412</v>
      </c>
      <c r="E1650" t="s">
        <v>3518</v>
      </c>
      <c r="F1650" s="105" t="s">
        <v>3518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1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2563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20</v>
      </c>
      <c r="R1650" s="92" t="s">
        <v>489</v>
      </c>
      <c r="S1650" s="87"/>
    </row>
    <row r="1651" spans="1:19" hidden="1">
      <c r="A1651" s="91" t="s">
        <v>3405</v>
      </c>
      <c r="B1651" s="87" t="str">
        <f>IFERROR(VLOOKUP(Proc[[#This Row],[App]],Table2[],3,0),"open")</f>
        <v>ok</v>
      </c>
      <c r="C1651" s="91" t="s">
        <v>369</v>
      </c>
      <c r="D1651" t="s">
        <v>3413</v>
      </c>
      <c r="E1651" t="s">
        <v>3519</v>
      </c>
      <c r="F1651" s="105" t="s">
        <v>3519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1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2563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20</v>
      </c>
      <c r="R1651" s="92" t="s">
        <v>489</v>
      </c>
      <c r="S1651" s="87"/>
    </row>
    <row r="1652" spans="1:19" hidden="1">
      <c r="A1652" s="91" t="s">
        <v>3405</v>
      </c>
      <c r="B1652" s="87" t="str">
        <f>IFERROR(VLOOKUP(Proc[[#This Row],[App]],Table2[],3,0),"open")</f>
        <v>ok</v>
      </c>
      <c r="C1652" s="91" t="s">
        <v>369</v>
      </c>
      <c r="D1652" t="s">
        <v>3414</v>
      </c>
      <c r="E1652" t="s">
        <v>3516</v>
      </c>
      <c r="F1652" s="105" t="s">
        <v>3516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1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2563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20</v>
      </c>
      <c r="R1652" s="92" t="s">
        <v>489</v>
      </c>
      <c r="S1652" s="87"/>
    </row>
    <row r="1653" spans="1:19" hidden="1">
      <c r="A1653" s="91" t="s">
        <v>3405</v>
      </c>
      <c r="B1653" s="87" t="str">
        <f>IFERROR(VLOOKUP(Proc[[#This Row],[App]],Table2[],3,0),"open")</f>
        <v>ok</v>
      </c>
      <c r="C1653" s="91" t="s">
        <v>369</v>
      </c>
      <c r="D1653" t="s">
        <v>3415</v>
      </c>
      <c r="E1653" t="s">
        <v>3520</v>
      </c>
      <c r="F1653" s="105" t="s">
        <v>3520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1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2563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20</v>
      </c>
      <c r="R1653" s="92" t="s">
        <v>489</v>
      </c>
      <c r="S1653" s="87"/>
    </row>
    <row r="1654" spans="1:19" hidden="1">
      <c r="A1654" s="91" t="s">
        <v>3405</v>
      </c>
      <c r="B1654" s="87" t="str">
        <f>IFERROR(VLOOKUP(Proc[[#This Row],[App]],Table2[],3,0),"open")</f>
        <v>ok</v>
      </c>
      <c r="C1654" s="91" t="s">
        <v>369</v>
      </c>
      <c r="D1654" t="s">
        <v>3416</v>
      </c>
      <c r="E1654" t="s">
        <v>3521</v>
      </c>
      <c r="F1654" s="105" t="s">
        <v>3521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1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2563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20</v>
      </c>
      <c r="R1654" s="92" t="s">
        <v>489</v>
      </c>
      <c r="S1654" s="87"/>
    </row>
    <row r="1655" spans="1:19" hidden="1">
      <c r="A1655" s="91" t="s">
        <v>3405</v>
      </c>
      <c r="B1655" s="87" t="str">
        <f>IFERROR(VLOOKUP(Proc[[#This Row],[App]],Table2[],3,0),"open")</f>
        <v>ok</v>
      </c>
      <c r="C1655" s="91" t="s">
        <v>369</v>
      </c>
      <c r="D1655" t="s">
        <v>3417</v>
      </c>
      <c r="E1655" t="s">
        <v>3521</v>
      </c>
      <c r="F1655" s="105" t="s">
        <v>3521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1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2563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20</v>
      </c>
      <c r="R1655" s="92" t="s">
        <v>489</v>
      </c>
      <c r="S1655" s="87"/>
    </row>
    <row r="1656" spans="1:19" hidden="1">
      <c r="A1656" s="91" t="s">
        <v>3405</v>
      </c>
      <c r="B1656" s="87" t="str">
        <f>IFERROR(VLOOKUP(Proc[[#This Row],[App]],Table2[],3,0),"open")</f>
        <v>ok</v>
      </c>
      <c r="C1656" s="91" t="s">
        <v>369</v>
      </c>
      <c r="D1656" t="s">
        <v>3418</v>
      </c>
      <c r="E1656" t="s">
        <v>3522</v>
      </c>
      <c r="F1656" s="105" t="s">
        <v>3522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1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2563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20</v>
      </c>
      <c r="R1656" s="92" t="s">
        <v>489</v>
      </c>
      <c r="S1656" s="87"/>
    </row>
    <row r="1657" spans="1:19" hidden="1">
      <c r="A1657" s="91" t="s">
        <v>3405</v>
      </c>
      <c r="B1657" s="87" t="str">
        <f>IFERROR(VLOOKUP(Proc[[#This Row],[App]],Table2[],3,0),"open")</f>
        <v>ok</v>
      </c>
      <c r="C1657" s="91" t="s">
        <v>369</v>
      </c>
      <c r="D1657" t="s">
        <v>3419</v>
      </c>
      <c r="E1657" t="s">
        <v>3516</v>
      </c>
      <c r="F1657" s="105" t="s">
        <v>3516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1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2563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20</v>
      </c>
      <c r="R1657" s="92" t="s">
        <v>489</v>
      </c>
      <c r="S1657" s="87"/>
    </row>
    <row r="1658" spans="1:19" hidden="1">
      <c r="A1658" s="91" t="s">
        <v>3405</v>
      </c>
      <c r="B1658" s="87" t="str">
        <f>IFERROR(VLOOKUP(Proc[[#This Row],[App]],Table2[],3,0),"open")</f>
        <v>ok</v>
      </c>
      <c r="C1658" s="91" t="s">
        <v>369</v>
      </c>
      <c r="D1658" t="s">
        <v>3420</v>
      </c>
      <c r="E1658" t="s">
        <v>3523</v>
      </c>
      <c r="F1658" s="105" t="s">
        <v>3523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1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2563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20</v>
      </c>
      <c r="R1658" s="92" t="s">
        <v>489</v>
      </c>
      <c r="S1658" s="87"/>
    </row>
    <row r="1659" spans="1:19" hidden="1">
      <c r="A1659" s="91" t="s">
        <v>3405</v>
      </c>
      <c r="B1659" s="87" t="str">
        <f>IFERROR(VLOOKUP(Proc[[#This Row],[App]],Table2[],3,0),"open")</f>
        <v>ok</v>
      </c>
      <c r="C1659" s="91" t="s">
        <v>369</v>
      </c>
      <c r="D1659" t="s">
        <v>3421</v>
      </c>
      <c r="E1659" t="s">
        <v>3516</v>
      </c>
      <c r="F1659" s="105" t="s">
        <v>3516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1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2563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20</v>
      </c>
      <c r="R1659" s="92" t="s">
        <v>489</v>
      </c>
      <c r="S1659" s="87"/>
    </row>
    <row r="1660" spans="1:19" hidden="1">
      <c r="A1660" s="91" t="s">
        <v>3405</v>
      </c>
      <c r="B1660" s="87" t="str">
        <f>IFERROR(VLOOKUP(Proc[[#This Row],[App]],Table2[],3,0),"open")</f>
        <v>ok</v>
      </c>
      <c r="C1660" s="91" t="s">
        <v>369</v>
      </c>
      <c r="D1660" t="s">
        <v>3422</v>
      </c>
      <c r="E1660" t="s">
        <v>3516</v>
      </c>
      <c r="F1660" s="105" t="s">
        <v>3516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1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2563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20</v>
      </c>
      <c r="R1660" s="92" t="s">
        <v>489</v>
      </c>
      <c r="S1660" s="87"/>
    </row>
    <row r="1661" spans="1:19" hidden="1">
      <c r="A1661" s="91" t="s">
        <v>3405</v>
      </c>
      <c r="B1661" s="87" t="str">
        <f>IFERROR(VLOOKUP(Proc[[#This Row],[App]],Table2[],3,0),"open")</f>
        <v>ok</v>
      </c>
      <c r="C1661" s="91" t="s">
        <v>369</v>
      </c>
      <c r="D1661" t="s">
        <v>3423</v>
      </c>
      <c r="E1661" t="s">
        <v>3524</v>
      </c>
      <c r="F1661" s="105" t="s">
        <v>3524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1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2563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20</v>
      </c>
      <c r="R1661" s="92" t="s">
        <v>489</v>
      </c>
      <c r="S1661" s="87"/>
    </row>
    <row r="1662" spans="1:19" hidden="1">
      <c r="A1662" s="91" t="s">
        <v>3405</v>
      </c>
      <c r="B1662" s="87" t="str">
        <f>IFERROR(VLOOKUP(Proc[[#This Row],[App]],Table2[],3,0),"open")</f>
        <v>ok</v>
      </c>
      <c r="C1662" s="91" t="s">
        <v>369</v>
      </c>
      <c r="D1662" t="s">
        <v>3424</v>
      </c>
      <c r="E1662" t="s">
        <v>3525</v>
      </c>
      <c r="F1662" s="105" t="s">
        <v>3525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1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2563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20</v>
      </c>
      <c r="R1662" s="92" t="s">
        <v>489</v>
      </c>
      <c r="S1662" s="87"/>
    </row>
    <row r="1663" spans="1:19" hidden="1">
      <c r="A1663" s="91" t="s">
        <v>3405</v>
      </c>
      <c r="B1663" s="87" t="str">
        <f>IFERROR(VLOOKUP(Proc[[#This Row],[App]],Table2[],3,0),"open")</f>
        <v>ok</v>
      </c>
      <c r="C1663" s="91" t="s">
        <v>369</v>
      </c>
      <c r="D1663" t="s">
        <v>3425</v>
      </c>
      <c r="E1663" t="s">
        <v>3516</v>
      </c>
      <c r="F1663" s="105" t="s">
        <v>3516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1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2563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20</v>
      </c>
      <c r="R1663" s="92" t="s">
        <v>489</v>
      </c>
      <c r="S1663" s="87"/>
    </row>
    <row r="1664" spans="1:19" hidden="1">
      <c r="A1664" s="91" t="s">
        <v>3405</v>
      </c>
      <c r="B1664" s="87" t="str">
        <f>IFERROR(VLOOKUP(Proc[[#This Row],[App]],Table2[],3,0),"open")</f>
        <v>ok</v>
      </c>
      <c r="C1664" s="91" t="s">
        <v>369</v>
      </c>
      <c r="D1664" t="s">
        <v>3426</v>
      </c>
      <c r="E1664" t="s">
        <v>3516</v>
      </c>
      <c r="F1664" s="105" t="s">
        <v>3516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1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2563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20</v>
      </c>
      <c r="R1664" s="92" t="s">
        <v>489</v>
      </c>
      <c r="S1664" s="87"/>
    </row>
    <row r="1665" spans="1:19" hidden="1">
      <c r="A1665" s="91" t="s">
        <v>3405</v>
      </c>
      <c r="B1665" s="87" t="str">
        <f>IFERROR(VLOOKUP(Proc[[#This Row],[App]],Table2[],3,0),"open")</f>
        <v>ok</v>
      </c>
      <c r="C1665" s="91" t="s">
        <v>369</v>
      </c>
      <c r="D1665" t="s">
        <v>3427</v>
      </c>
      <c r="E1665" t="s">
        <v>3516</v>
      </c>
      <c r="F1665" s="105" t="s">
        <v>3516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1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2563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20</v>
      </c>
      <c r="R1665" s="92" t="s">
        <v>489</v>
      </c>
      <c r="S1665" s="87"/>
    </row>
    <row r="1666" spans="1:19" hidden="1">
      <c r="A1666" s="91" t="s">
        <v>3405</v>
      </c>
      <c r="B1666" s="87" t="str">
        <f>IFERROR(VLOOKUP(Proc[[#This Row],[App]],Table2[],3,0),"open")</f>
        <v>ok</v>
      </c>
      <c r="C1666" s="91" t="s">
        <v>369</v>
      </c>
      <c r="D1666" t="s">
        <v>3428</v>
      </c>
      <c r="E1666" t="s">
        <v>3526</v>
      </c>
      <c r="F1666" s="105" t="s">
        <v>3526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1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2563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20</v>
      </c>
      <c r="R1666" s="92" t="s">
        <v>489</v>
      </c>
      <c r="S1666" s="87"/>
    </row>
    <row r="1667" spans="1:19" hidden="1">
      <c r="A1667" s="91" t="s">
        <v>3405</v>
      </c>
      <c r="B1667" s="87" t="str">
        <f>IFERROR(VLOOKUP(Proc[[#This Row],[App]],Table2[],3,0),"open")</f>
        <v>ok</v>
      </c>
      <c r="C1667" s="91" t="s">
        <v>369</v>
      </c>
      <c r="D1667" t="s">
        <v>3429</v>
      </c>
      <c r="E1667" t="s">
        <v>3516</v>
      </c>
      <c r="F1667" s="105" t="s">
        <v>3516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1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2563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20</v>
      </c>
      <c r="R1667" s="92" t="s">
        <v>489</v>
      </c>
      <c r="S1667" s="87"/>
    </row>
    <row r="1668" spans="1:19" hidden="1">
      <c r="A1668" s="91" t="s">
        <v>3405</v>
      </c>
      <c r="B1668" s="87" t="str">
        <f>IFERROR(VLOOKUP(Proc[[#This Row],[App]],Table2[],3,0),"open")</f>
        <v>ok</v>
      </c>
      <c r="C1668" s="91" t="s">
        <v>369</v>
      </c>
      <c r="D1668" t="s">
        <v>3430</v>
      </c>
      <c r="E1668" t="s">
        <v>3527</v>
      </c>
      <c r="F1668" s="105" t="s">
        <v>3527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1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2563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20</v>
      </c>
      <c r="R1668" s="92" t="s">
        <v>489</v>
      </c>
      <c r="S1668" s="87"/>
    </row>
    <row r="1669" spans="1:19" hidden="1">
      <c r="A1669" s="91" t="s">
        <v>3405</v>
      </c>
      <c r="B1669" s="87" t="str">
        <f>IFERROR(VLOOKUP(Proc[[#This Row],[App]],Table2[],3,0),"open")</f>
        <v>ok</v>
      </c>
      <c r="C1669" s="91" t="s">
        <v>369</v>
      </c>
      <c r="D1669" t="s">
        <v>3190</v>
      </c>
      <c r="E1669" t="s">
        <v>1514</v>
      </c>
      <c r="F1669" s="105" t="s">
        <v>1514</v>
      </c>
      <c r="G1669" t="s">
        <v>406</v>
      </c>
      <c r="H1669" s="87" t="str">
        <f>IF(Proc[[#This Row],[type]]="LFF (MDG-F)",MID(Proc[[#This Row],[Obj]],13,10),"")</f>
        <v>KE50C0FF10</v>
      </c>
      <c r="I1669" t="s">
        <v>1198</v>
      </c>
      <c r="J1669" s="87" t="b">
        <f>Proc[[#This Row],[Requested]]=Proc[[#This Row],[CurrentParent]]</f>
        <v>1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2563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489</v>
      </c>
      <c r="S1669" s="87"/>
    </row>
    <row r="1670" spans="1:19" hidden="1">
      <c r="A1670" s="91" t="s">
        <v>3405</v>
      </c>
      <c r="B1670" s="87" t="str">
        <f>IFERROR(VLOOKUP(Proc[[#This Row],[App]],Table2[],3,0),"open")</f>
        <v>ok</v>
      </c>
      <c r="C1670" s="91" t="s">
        <v>369</v>
      </c>
      <c r="D1670" t="s">
        <v>3431</v>
      </c>
      <c r="E1670" t="s">
        <v>2371</v>
      </c>
      <c r="F1670" s="105" t="s">
        <v>2371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3559</v>
      </c>
      <c r="J1670" s="87" t="b">
        <f>Proc[[#This Row],[Requested]]=Proc[[#This Row],[CurrentParent]]</f>
        <v>1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2563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489</v>
      </c>
      <c r="S1670" s="87"/>
    </row>
    <row r="1671" spans="1:19" hidden="1">
      <c r="A1671" s="91" t="s">
        <v>3405</v>
      </c>
      <c r="B1671" s="87" t="str">
        <f>IFERROR(VLOOKUP(Proc[[#This Row],[App]],Table2[],3,0),"open")</f>
        <v>ok</v>
      </c>
      <c r="C1671" s="91" t="s">
        <v>369</v>
      </c>
      <c r="D1671" t="s">
        <v>3432</v>
      </c>
      <c r="E1671" t="s">
        <v>3526</v>
      </c>
      <c r="F1671" s="105" t="s">
        <v>3526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3559</v>
      </c>
      <c r="J1671" s="87" t="b">
        <f>Proc[[#This Row],[Requested]]=Proc[[#This Row],[CurrentParent]]</f>
        <v>1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2563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489</v>
      </c>
      <c r="S1671" s="87"/>
    </row>
    <row r="1672" spans="1:19" hidden="1">
      <c r="A1672" s="91" t="s">
        <v>3405</v>
      </c>
      <c r="B1672" s="87" t="str">
        <f>IFERROR(VLOOKUP(Proc[[#This Row],[App]],Table2[],3,0),"open")</f>
        <v>ok</v>
      </c>
      <c r="C1672" s="91" t="s">
        <v>369</v>
      </c>
      <c r="D1672" t="s">
        <v>3433</v>
      </c>
      <c r="E1672" t="s">
        <v>3528</v>
      </c>
      <c r="F1672" s="105" t="s">
        <v>3528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3559</v>
      </c>
      <c r="J1672" s="87" t="b">
        <f>Proc[[#This Row],[Requested]]=Proc[[#This Row],[CurrentParent]]</f>
        <v>1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2563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489</v>
      </c>
      <c r="S1672" s="87"/>
    </row>
    <row r="1673" spans="1:19" hidden="1">
      <c r="A1673" s="91" t="s">
        <v>3405</v>
      </c>
      <c r="B1673" s="87" t="str">
        <f>IFERROR(VLOOKUP(Proc[[#This Row],[App]],Table2[],3,0),"open")</f>
        <v>ok</v>
      </c>
      <c r="C1673" s="91" t="s">
        <v>369</v>
      </c>
      <c r="D1673" t="s">
        <v>3434</v>
      </c>
      <c r="E1673" t="s">
        <v>3529</v>
      </c>
      <c r="F1673" s="105" t="s">
        <v>3529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3559</v>
      </c>
      <c r="J1673" s="87" t="b">
        <f>Proc[[#This Row],[Requested]]=Proc[[#This Row],[CurrentParent]]</f>
        <v>1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2563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489</v>
      </c>
      <c r="S1673" s="87"/>
    </row>
    <row r="1674" spans="1:19" hidden="1">
      <c r="A1674" s="91" t="s">
        <v>3405</v>
      </c>
      <c r="B1674" s="87" t="str">
        <f>IFERROR(VLOOKUP(Proc[[#This Row],[App]],Table2[],3,0),"open")</f>
        <v>ok</v>
      </c>
      <c r="C1674" s="91" t="s">
        <v>369</v>
      </c>
      <c r="D1674" t="s">
        <v>3435</v>
      </c>
      <c r="E1674" t="s">
        <v>3530</v>
      </c>
      <c r="F1674" s="105" t="s">
        <v>3530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3559</v>
      </c>
      <c r="J1674" s="87" t="b">
        <f>Proc[[#This Row],[Requested]]=Proc[[#This Row],[CurrentParent]]</f>
        <v>1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2563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489</v>
      </c>
      <c r="S1674" s="87"/>
    </row>
    <row r="1675" spans="1:19" hidden="1">
      <c r="A1675" s="91" t="s">
        <v>3405</v>
      </c>
      <c r="B1675" s="87" t="str">
        <f>IFERROR(VLOOKUP(Proc[[#This Row],[App]],Table2[],3,0),"open")</f>
        <v>ok</v>
      </c>
      <c r="C1675" s="91" t="s">
        <v>369</v>
      </c>
      <c r="D1675" t="s">
        <v>3436</v>
      </c>
      <c r="E1675" t="s">
        <v>3517</v>
      </c>
      <c r="F1675" s="105" t="s">
        <v>3517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3559</v>
      </c>
      <c r="J1675" s="87" t="b">
        <f>Proc[[#This Row],[Requested]]=Proc[[#This Row],[CurrentParent]]</f>
        <v>1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2563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489</v>
      </c>
      <c r="S1675" s="87"/>
    </row>
    <row r="1676" spans="1:19" hidden="1">
      <c r="A1676" s="91" t="s">
        <v>3405</v>
      </c>
      <c r="B1676" s="87" t="str">
        <f>IFERROR(VLOOKUP(Proc[[#This Row],[App]],Table2[],3,0),"open")</f>
        <v>ok</v>
      </c>
      <c r="C1676" s="91" t="s">
        <v>369</v>
      </c>
      <c r="D1676" t="s">
        <v>3437</v>
      </c>
      <c r="E1676" t="s">
        <v>3531</v>
      </c>
      <c r="F1676" s="105" t="s">
        <v>3531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3559</v>
      </c>
      <c r="J1676" s="87" t="b">
        <f>Proc[[#This Row],[Requested]]=Proc[[#This Row],[CurrentParent]]</f>
        <v>1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2563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489</v>
      </c>
      <c r="S1676" s="87"/>
    </row>
    <row r="1677" spans="1:19" hidden="1">
      <c r="A1677" s="91" t="s">
        <v>3405</v>
      </c>
      <c r="B1677" s="87" t="str">
        <f>IFERROR(VLOOKUP(Proc[[#This Row],[App]],Table2[],3,0),"open")</f>
        <v>ok</v>
      </c>
      <c r="C1677" s="91" t="s">
        <v>369</v>
      </c>
      <c r="D1677" t="s">
        <v>3438</v>
      </c>
      <c r="E1677" t="s">
        <v>3532</v>
      </c>
      <c r="F1677" s="105" t="s">
        <v>3532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3559</v>
      </c>
      <c r="J1677" s="87" t="b">
        <f>Proc[[#This Row],[Requested]]=Proc[[#This Row],[CurrentParent]]</f>
        <v>1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2563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489</v>
      </c>
      <c r="S1677" s="87"/>
    </row>
    <row r="1678" spans="1:19" hidden="1">
      <c r="A1678" s="91" t="s">
        <v>3405</v>
      </c>
      <c r="B1678" s="87" t="str">
        <f>IFERROR(VLOOKUP(Proc[[#This Row],[App]],Table2[],3,0),"open")</f>
        <v>ok</v>
      </c>
      <c r="C1678" s="91" t="s">
        <v>369</v>
      </c>
      <c r="D1678" t="s">
        <v>3439</v>
      </c>
      <c r="E1678" t="s">
        <v>3533</v>
      </c>
      <c r="F1678" s="105" t="s">
        <v>3533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3559</v>
      </c>
      <c r="J1678" s="87" t="b">
        <f>Proc[[#This Row],[Requested]]=Proc[[#This Row],[CurrentParent]]</f>
        <v>1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2563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489</v>
      </c>
      <c r="S1678" s="87"/>
    </row>
    <row r="1679" spans="1:19" hidden="1">
      <c r="A1679" s="91" t="s">
        <v>3405</v>
      </c>
      <c r="B1679" s="87" t="str">
        <f>IFERROR(VLOOKUP(Proc[[#This Row],[App]],Table2[],3,0),"open")</f>
        <v>ok</v>
      </c>
      <c r="C1679" s="91" t="s">
        <v>369</v>
      </c>
      <c r="D1679" t="s">
        <v>3440</v>
      </c>
      <c r="E1679" t="s">
        <v>3527</v>
      </c>
      <c r="F1679" s="105" t="s">
        <v>3527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3559</v>
      </c>
      <c r="J1679" s="87" t="b">
        <f>Proc[[#This Row],[Requested]]=Proc[[#This Row],[CurrentParent]]</f>
        <v>1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2563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489</v>
      </c>
      <c r="S1679" s="87"/>
    </row>
    <row r="1680" spans="1:19" hidden="1">
      <c r="A1680" s="91" t="s">
        <v>3405</v>
      </c>
      <c r="B1680" s="87" t="str">
        <f>IFERROR(VLOOKUP(Proc[[#This Row],[App]],Table2[],3,0),"open")</f>
        <v>ok</v>
      </c>
      <c r="C1680" s="91" t="s">
        <v>369</v>
      </c>
      <c r="D1680" t="s">
        <v>3441</v>
      </c>
      <c r="E1680" t="s">
        <v>3532</v>
      </c>
      <c r="F1680" s="105" t="s">
        <v>3532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3559</v>
      </c>
      <c r="J1680" s="87" t="b">
        <f>Proc[[#This Row],[Requested]]=Proc[[#This Row],[CurrentParent]]</f>
        <v>1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2563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489</v>
      </c>
      <c r="S1680" s="87"/>
    </row>
    <row r="1681" spans="1:19" hidden="1">
      <c r="A1681" s="91" t="s">
        <v>3405</v>
      </c>
      <c r="B1681" s="87" t="str">
        <f>IFERROR(VLOOKUP(Proc[[#This Row],[App]],Table2[],3,0),"open")</f>
        <v>ok</v>
      </c>
      <c r="C1681" s="91" t="s">
        <v>369</v>
      </c>
      <c r="D1681" t="s">
        <v>3442</v>
      </c>
      <c r="E1681" t="s">
        <v>3532</v>
      </c>
      <c r="F1681" s="105" t="s">
        <v>3532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3559</v>
      </c>
      <c r="J1681" s="87" t="b">
        <f>Proc[[#This Row],[Requested]]=Proc[[#This Row],[CurrentParent]]</f>
        <v>1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2563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489</v>
      </c>
      <c r="S1681" s="87"/>
    </row>
    <row r="1682" spans="1:19" hidden="1">
      <c r="A1682" s="91" t="s">
        <v>3405</v>
      </c>
      <c r="B1682" s="87" t="str">
        <f>IFERROR(VLOOKUP(Proc[[#This Row],[App]],Table2[],3,0),"open")</f>
        <v>ok</v>
      </c>
      <c r="C1682" s="91" t="s">
        <v>369</v>
      </c>
      <c r="D1682" t="s">
        <v>3443</v>
      </c>
      <c r="E1682" t="s">
        <v>3527</v>
      </c>
      <c r="F1682" s="105" t="s">
        <v>3527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3559</v>
      </c>
      <c r="J1682" s="87" t="b">
        <f>Proc[[#This Row],[Requested]]=Proc[[#This Row],[CurrentParent]]</f>
        <v>1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2563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489</v>
      </c>
      <c r="S1682" s="87"/>
    </row>
    <row r="1683" spans="1:19" hidden="1">
      <c r="A1683" s="91" t="s">
        <v>3405</v>
      </c>
      <c r="B1683" s="87" t="str">
        <f>IFERROR(VLOOKUP(Proc[[#This Row],[App]],Table2[],3,0),"open")</f>
        <v>ok</v>
      </c>
      <c r="C1683" s="91" t="s">
        <v>369</v>
      </c>
      <c r="D1683" t="s">
        <v>3444</v>
      </c>
      <c r="E1683" t="s">
        <v>3532</v>
      </c>
      <c r="F1683" s="105" t="s">
        <v>3532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3559</v>
      </c>
      <c r="J1683" s="87" t="b">
        <f>Proc[[#This Row],[Requested]]=Proc[[#This Row],[CurrentParent]]</f>
        <v>1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2563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489</v>
      </c>
      <c r="S1683" s="87"/>
    </row>
    <row r="1684" spans="1:19" hidden="1">
      <c r="A1684" s="91" t="s">
        <v>3405</v>
      </c>
      <c r="B1684" s="87" t="str">
        <f>IFERROR(VLOOKUP(Proc[[#This Row],[App]],Table2[],3,0),"open")</f>
        <v>ok</v>
      </c>
      <c r="C1684" s="91" t="s">
        <v>369</v>
      </c>
      <c r="D1684" t="s">
        <v>3445</v>
      </c>
      <c r="E1684" t="s">
        <v>3529</v>
      </c>
      <c r="F1684" s="105" t="s">
        <v>3529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3559</v>
      </c>
      <c r="J1684" s="87" t="b">
        <f>Proc[[#This Row],[Requested]]=Proc[[#This Row],[CurrentParent]]</f>
        <v>1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2563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489</v>
      </c>
      <c r="S1684" s="87"/>
    </row>
    <row r="1685" spans="1:19" hidden="1">
      <c r="A1685" s="91" t="s">
        <v>3405</v>
      </c>
      <c r="B1685" s="87" t="str">
        <f>IFERROR(VLOOKUP(Proc[[#This Row],[App]],Table2[],3,0),"open")</f>
        <v>ok</v>
      </c>
      <c r="C1685" s="91" t="s">
        <v>369</v>
      </c>
      <c r="D1685" t="s">
        <v>3446</v>
      </c>
      <c r="E1685" t="s">
        <v>3528</v>
      </c>
      <c r="F1685" s="105" t="s">
        <v>3528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3559</v>
      </c>
      <c r="J1685" s="87" t="b">
        <f>Proc[[#This Row],[Requested]]=Proc[[#This Row],[CurrentParent]]</f>
        <v>1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2563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489</v>
      </c>
      <c r="S1685" s="87"/>
    </row>
    <row r="1686" spans="1:19" hidden="1">
      <c r="A1686" s="91" t="s">
        <v>3405</v>
      </c>
      <c r="B1686" s="87" t="str">
        <f>IFERROR(VLOOKUP(Proc[[#This Row],[App]],Table2[],3,0),"open")</f>
        <v>ok</v>
      </c>
      <c r="C1686" s="91" t="s">
        <v>369</v>
      </c>
      <c r="D1686" t="s">
        <v>3447</v>
      </c>
      <c r="E1686" t="s">
        <v>3534</v>
      </c>
      <c r="F1686" s="105" t="s">
        <v>3534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3559</v>
      </c>
      <c r="J1686" s="87" t="b">
        <f>Proc[[#This Row],[Requested]]=Proc[[#This Row],[CurrentParent]]</f>
        <v>1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2563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489</v>
      </c>
      <c r="S1686" s="87"/>
    </row>
    <row r="1687" spans="1:19" hidden="1">
      <c r="A1687" s="91" t="s">
        <v>3405</v>
      </c>
      <c r="B1687" s="87" t="str">
        <f>IFERROR(VLOOKUP(Proc[[#This Row],[App]],Table2[],3,0),"open")</f>
        <v>ok</v>
      </c>
      <c r="C1687" s="91" t="s">
        <v>369</v>
      </c>
      <c r="D1687" t="s">
        <v>3448</v>
      </c>
      <c r="E1687" t="s">
        <v>3520</v>
      </c>
      <c r="F1687" s="105" t="s">
        <v>3520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3559</v>
      </c>
      <c r="J1687" s="87" t="b">
        <f>Proc[[#This Row],[Requested]]=Proc[[#This Row],[CurrentParent]]</f>
        <v>1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2563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489</v>
      </c>
      <c r="S1687" s="87"/>
    </row>
    <row r="1688" spans="1:19" hidden="1">
      <c r="A1688" s="91" t="s">
        <v>3405</v>
      </c>
      <c r="B1688" s="87" t="str">
        <f>IFERROR(VLOOKUP(Proc[[#This Row],[App]],Table2[],3,0),"open")</f>
        <v>ok</v>
      </c>
      <c r="C1688" s="91" t="s">
        <v>369</v>
      </c>
      <c r="D1688" t="s">
        <v>3449</v>
      </c>
      <c r="E1688" t="s">
        <v>3535</v>
      </c>
      <c r="F1688" s="105" t="s">
        <v>3535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3559</v>
      </c>
      <c r="J1688" s="87" t="b">
        <f>Proc[[#This Row],[Requested]]=Proc[[#This Row],[CurrentParent]]</f>
        <v>1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2563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489</v>
      </c>
      <c r="S1688" s="87"/>
    </row>
    <row r="1689" spans="1:19" hidden="1">
      <c r="A1689" s="91" t="s">
        <v>3405</v>
      </c>
      <c r="B1689" s="87" t="str">
        <f>IFERROR(VLOOKUP(Proc[[#This Row],[App]],Table2[],3,0),"open")</f>
        <v>ok</v>
      </c>
      <c r="C1689" s="91" t="s">
        <v>369</v>
      </c>
      <c r="D1689" t="s">
        <v>3450</v>
      </c>
      <c r="E1689" t="s">
        <v>3517</v>
      </c>
      <c r="F1689" s="105" t="s">
        <v>3517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3559</v>
      </c>
      <c r="J1689" s="87" t="b">
        <f>Proc[[#This Row],[Requested]]=Proc[[#This Row],[CurrentParent]]</f>
        <v>1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2563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489</v>
      </c>
      <c r="S1689" s="87"/>
    </row>
    <row r="1690" spans="1:19" hidden="1">
      <c r="A1690" s="91" t="s">
        <v>3405</v>
      </c>
      <c r="B1690" s="87" t="str">
        <f>IFERROR(VLOOKUP(Proc[[#This Row],[App]],Table2[],3,0),"open")</f>
        <v>ok</v>
      </c>
      <c r="C1690" s="91" t="s">
        <v>369</v>
      </c>
      <c r="D1690" t="s">
        <v>3451</v>
      </c>
      <c r="E1690" t="s">
        <v>3536</v>
      </c>
      <c r="F1690" s="105" t="s">
        <v>3536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3559</v>
      </c>
      <c r="J1690" s="87" t="b">
        <f>Proc[[#This Row],[Requested]]=Proc[[#This Row],[CurrentParent]]</f>
        <v>1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2563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489</v>
      </c>
      <c r="S1690" s="87"/>
    </row>
    <row r="1691" spans="1:19" hidden="1">
      <c r="A1691" s="91" t="s">
        <v>3405</v>
      </c>
      <c r="B1691" s="87" t="str">
        <f>IFERROR(VLOOKUP(Proc[[#This Row],[App]],Table2[],3,0),"open")</f>
        <v>ok</v>
      </c>
      <c r="C1691" s="91" t="s">
        <v>369</v>
      </c>
      <c r="D1691" t="s">
        <v>3452</v>
      </c>
      <c r="E1691" t="s">
        <v>3536</v>
      </c>
      <c r="F1691" s="105" t="s">
        <v>3536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3559</v>
      </c>
      <c r="J1691" s="87" t="b">
        <f>Proc[[#This Row],[Requested]]=Proc[[#This Row],[CurrentParent]]</f>
        <v>1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2563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489</v>
      </c>
      <c r="S1691" s="87"/>
    </row>
    <row r="1692" spans="1:19" hidden="1">
      <c r="A1692" s="91" t="s">
        <v>3405</v>
      </c>
      <c r="B1692" s="87" t="str">
        <f>IFERROR(VLOOKUP(Proc[[#This Row],[App]],Table2[],3,0),"open")</f>
        <v>ok</v>
      </c>
      <c r="C1692" s="91" t="s">
        <v>369</v>
      </c>
      <c r="D1692" t="s">
        <v>3453</v>
      </c>
      <c r="E1692" t="s">
        <v>3530</v>
      </c>
      <c r="F1692" s="105" t="s">
        <v>3530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3559</v>
      </c>
      <c r="J1692" s="87" t="b">
        <f>Proc[[#This Row],[Requested]]=Proc[[#This Row],[CurrentParent]]</f>
        <v>1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2563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489</v>
      </c>
      <c r="S1692" s="87"/>
    </row>
    <row r="1693" spans="1:19" hidden="1">
      <c r="A1693" s="91" t="s">
        <v>3405</v>
      </c>
      <c r="B1693" s="87" t="str">
        <f>IFERROR(VLOOKUP(Proc[[#This Row],[App]],Table2[],3,0),"open")</f>
        <v>ok</v>
      </c>
      <c r="C1693" s="91" t="s">
        <v>369</v>
      </c>
      <c r="D1693" t="s">
        <v>3454</v>
      </c>
      <c r="E1693" t="s">
        <v>3529</v>
      </c>
      <c r="F1693" s="105" t="s">
        <v>3529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1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2563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20</v>
      </c>
      <c r="R1693" s="92" t="s">
        <v>489</v>
      </c>
      <c r="S1693" s="87"/>
    </row>
    <row r="1694" spans="1:19" hidden="1">
      <c r="A1694" s="91" t="s">
        <v>3405</v>
      </c>
      <c r="B1694" s="87" t="str">
        <f>IFERROR(VLOOKUP(Proc[[#This Row],[App]],Table2[],3,0),"open")</f>
        <v>ok</v>
      </c>
      <c r="C1694" s="91" t="s">
        <v>369</v>
      </c>
      <c r="D1694" t="s">
        <v>3455</v>
      </c>
      <c r="E1694" t="s">
        <v>3518</v>
      </c>
      <c r="F1694" s="105" t="s">
        <v>3518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1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2563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20</v>
      </c>
      <c r="R1694" s="92" t="s">
        <v>489</v>
      </c>
      <c r="S1694" s="87"/>
    </row>
    <row r="1695" spans="1:19" hidden="1">
      <c r="A1695" s="91" t="s">
        <v>3405</v>
      </c>
      <c r="B1695" s="87" t="str">
        <f>IFERROR(VLOOKUP(Proc[[#This Row],[App]],Table2[],3,0),"open")</f>
        <v>ok</v>
      </c>
      <c r="C1695" s="91" t="s">
        <v>369</v>
      </c>
      <c r="D1695" t="s">
        <v>3456</v>
      </c>
      <c r="E1695" t="s">
        <v>3517</v>
      </c>
      <c r="F1695" s="105" t="s">
        <v>3517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1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2563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20</v>
      </c>
      <c r="R1695" s="92" t="s">
        <v>489</v>
      </c>
      <c r="S1695" s="87"/>
    </row>
    <row r="1696" spans="1:19" hidden="1">
      <c r="A1696" s="91" t="s">
        <v>3405</v>
      </c>
      <c r="B1696" s="87" t="str">
        <f>IFERROR(VLOOKUP(Proc[[#This Row],[App]],Table2[],3,0),"open")</f>
        <v>ok</v>
      </c>
      <c r="C1696" s="91" t="s">
        <v>369</v>
      </c>
      <c r="D1696" t="s">
        <v>3457</v>
      </c>
      <c r="E1696" t="s">
        <v>3515</v>
      </c>
      <c r="F1696" s="105" t="s">
        <v>3515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1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2563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20</v>
      </c>
      <c r="R1696" s="92" t="s">
        <v>489</v>
      </c>
      <c r="S1696" s="87"/>
    </row>
    <row r="1697" spans="1:19" hidden="1">
      <c r="A1697" s="91" t="s">
        <v>3405</v>
      </c>
      <c r="B1697" s="87" t="str">
        <f>IFERROR(VLOOKUP(Proc[[#This Row],[App]],Table2[],3,0),"open")</f>
        <v>ok</v>
      </c>
      <c r="C1697" s="91" t="s">
        <v>369</v>
      </c>
      <c r="D1697" t="s">
        <v>3458</v>
      </c>
      <c r="E1697" t="s">
        <v>3532</v>
      </c>
      <c r="F1697" s="105" t="s">
        <v>3532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1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2563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20</v>
      </c>
      <c r="R1697" s="92" t="s">
        <v>489</v>
      </c>
      <c r="S1697" s="87"/>
    </row>
    <row r="1698" spans="1:19" hidden="1">
      <c r="A1698" s="91" t="s">
        <v>3405</v>
      </c>
      <c r="B1698" s="87" t="str">
        <f>IFERROR(VLOOKUP(Proc[[#This Row],[App]],Table2[],3,0),"open")</f>
        <v>ok</v>
      </c>
      <c r="C1698" s="91" t="s">
        <v>369</v>
      </c>
      <c r="D1698" t="s">
        <v>3459</v>
      </c>
      <c r="E1698" t="s">
        <v>3532</v>
      </c>
      <c r="F1698" s="105" t="s">
        <v>3532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1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2563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20</v>
      </c>
      <c r="R1698" s="92" t="s">
        <v>489</v>
      </c>
      <c r="S1698" s="87"/>
    </row>
    <row r="1699" spans="1:19" hidden="1">
      <c r="A1699" s="91" t="s">
        <v>3405</v>
      </c>
      <c r="B1699" s="87" t="str">
        <f>IFERROR(VLOOKUP(Proc[[#This Row],[App]],Table2[],3,0),"open")</f>
        <v>ok</v>
      </c>
      <c r="C1699" s="91" t="s">
        <v>369</v>
      </c>
      <c r="D1699" t="s">
        <v>3460</v>
      </c>
      <c r="E1699" t="s">
        <v>3535</v>
      </c>
      <c r="F1699" s="105" t="s">
        <v>3535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1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2563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20</v>
      </c>
      <c r="R1699" s="92" t="s">
        <v>489</v>
      </c>
      <c r="S1699" s="87"/>
    </row>
    <row r="1700" spans="1:19" hidden="1">
      <c r="A1700" s="91" t="s">
        <v>3405</v>
      </c>
      <c r="B1700" s="87" t="str">
        <f>IFERROR(VLOOKUP(Proc[[#This Row],[App]],Table2[],3,0),"open")</f>
        <v>ok</v>
      </c>
      <c r="C1700" s="91" t="s">
        <v>369</v>
      </c>
      <c r="D1700" t="s">
        <v>3461</v>
      </c>
      <c r="E1700" t="s">
        <v>3517</v>
      </c>
      <c r="F1700" s="105" t="s">
        <v>3517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1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2563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20</v>
      </c>
      <c r="R1700" s="92" t="s">
        <v>489</v>
      </c>
      <c r="S1700" s="87"/>
    </row>
    <row r="1701" spans="1:19" hidden="1">
      <c r="A1701" s="91" t="s">
        <v>3405</v>
      </c>
      <c r="B1701" s="87" t="str">
        <f>IFERROR(VLOOKUP(Proc[[#This Row],[App]],Table2[],3,0),"open")</f>
        <v>ok</v>
      </c>
      <c r="C1701" s="91" t="s">
        <v>369</v>
      </c>
      <c r="D1701" t="s">
        <v>3462</v>
      </c>
      <c r="E1701" t="s">
        <v>3515</v>
      </c>
      <c r="F1701" s="105" t="s">
        <v>3515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1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2563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20</v>
      </c>
      <c r="R1701" s="92" t="s">
        <v>489</v>
      </c>
      <c r="S1701" s="87"/>
    </row>
    <row r="1702" spans="1:19" hidden="1">
      <c r="A1702" s="91" t="s">
        <v>3405</v>
      </c>
      <c r="B1702" s="87" t="str">
        <f>IFERROR(VLOOKUP(Proc[[#This Row],[App]],Table2[],3,0),"open")</f>
        <v>ok</v>
      </c>
      <c r="C1702" s="91" t="s">
        <v>369</v>
      </c>
      <c r="D1702" t="s">
        <v>3463</v>
      </c>
      <c r="E1702" t="s">
        <v>3537</v>
      </c>
      <c r="F1702" s="105" t="s">
        <v>3537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1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2563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20</v>
      </c>
      <c r="R1702" s="92" t="s">
        <v>489</v>
      </c>
      <c r="S1702" s="87"/>
    </row>
    <row r="1703" spans="1:19" hidden="1">
      <c r="A1703" s="91" t="s">
        <v>3405</v>
      </c>
      <c r="B1703" s="87" t="str">
        <f>IFERROR(VLOOKUP(Proc[[#This Row],[App]],Table2[],3,0),"open")</f>
        <v>ok</v>
      </c>
      <c r="C1703" s="91" t="s">
        <v>369</v>
      </c>
      <c r="D1703" t="s">
        <v>3464</v>
      </c>
      <c r="E1703" t="s">
        <v>3516</v>
      </c>
      <c r="F1703" s="105" t="s">
        <v>3516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1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2563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20</v>
      </c>
      <c r="R1703" s="92" t="s">
        <v>489</v>
      </c>
      <c r="S1703" s="87"/>
    </row>
    <row r="1704" spans="1:19" hidden="1">
      <c r="A1704" s="91" t="s">
        <v>3405</v>
      </c>
      <c r="B1704" s="87" t="str">
        <f>IFERROR(VLOOKUP(Proc[[#This Row],[App]],Table2[],3,0),"open")</f>
        <v>ok</v>
      </c>
      <c r="C1704" s="91" t="s">
        <v>369</v>
      </c>
      <c r="D1704" t="s">
        <v>3465</v>
      </c>
      <c r="E1704" t="s">
        <v>3516</v>
      </c>
      <c r="F1704" s="105" t="s">
        <v>3516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1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2563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20</v>
      </c>
      <c r="R1704" s="92" t="s">
        <v>489</v>
      </c>
      <c r="S1704" s="87"/>
    </row>
    <row r="1705" spans="1:19" hidden="1">
      <c r="A1705" s="91" t="s">
        <v>3405</v>
      </c>
      <c r="B1705" s="87" t="str">
        <f>IFERROR(VLOOKUP(Proc[[#This Row],[App]],Table2[],3,0),"open")</f>
        <v>ok</v>
      </c>
      <c r="C1705" s="91" t="s">
        <v>369</v>
      </c>
      <c r="D1705" t="s">
        <v>3466</v>
      </c>
      <c r="E1705" t="s">
        <v>3516</v>
      </c>
      <c r="F1705" s="105" t="s">
        <v>3516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1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2563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20</v>
      </c>
      <c r="R1705" s="92" t="s">
        <v>489</v>
      </c>
      <c r="S1705" s="87"/>
    </row>
    <row r="1706" spans="1:19" hidden="1">
      <c r="A1706" s="91" t="s">
        <v>3405</v>
      </c>
      <c r="B1706" s="87" t="str">
        <f>IFERROR(VLOOKUP(Proc[[#This Row],[App]],Table2[],3,0),"open")</f>
        <v>ok</v>
      </c>
      <c r="C1706" s="91" t="s">
        <v>369</v>
      </c>
      <c r="D1706" t="s">
        <v>3467</v>
      </c>
      <c r="E1706" t="s">
        <v>3530</v>
      </c>
      <c r="F1706" s="105" t="s">
        <v>3530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1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2563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20</v>
      </c>
      <c r="R1706" s="92" t="s">
        <v>489</v>
      </c>
      <c r="S1706" s="87"/>
    </row>
    <row r="1707" spans="1:19" hidden="1">
      <c r="A1707" s="91" t="s">
        <v>3405</v>
      </c>
      <c r="B1707" s="87" t="str">
        <f>IFERROR(VLOOKUP(Proc[[#This Row],[App]],Table2[],3,0),"open")</f>
        <v>ok</v>
      </c>
      <c r="C1707" s="91" t="s">
        <v>369</v>
      </c>
      <c r="D1707" t="s">
        <v>3468</v>
      </c>
      <c r="E1707" t="s">
        <v>3535</v>
      </c>
      <c r="F1707" s="105" t="s">
        <v>3535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1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2563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20</v>
      </c>
      <c r="R1707" s="92" t="s">
        <v>489</v>
      </c>
      <c r="S1707" s="87"/>
    </row>
    <row r="1708" spans="1:19" hidden="1">
      <c r="A1708" s="91" t="s">
        <v>3405</v>
      </c>
      <c r="B1708" s="87" t="str">
        <f>IFERROR(VLOOKUP(Proc[[#This Row],[App]],Table2[],3,0),"open")</f>
        <v>ok</v>
      </c>
      <c r="C1708" s="91" t="s">
        <v>369</v>
      </c>
      <c r="D1708" t="s">
        <v>3469</v>
      </c>
      <c r="E1708" t="s">
        <v>3532</v>
      </c>
      <c r="F1708" s="105" t="s">
        <v>3532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1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2563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20</v>
      </c>
      <c r="R1708" s="92" t="s">
        <v>489</v>
      </c>
      <c r="S1708" s="87"/>
    </row>
    <row r="1709" spans="1:19" hidden="1">
      <c r="A1709" s="91" t="s">
        <v>3405</v>
      </c>
      <c r="B1709" s="87" t="str">
        <f>IFERROR(VLOOKUP(Proc[[#This Row],[App]],Table2[],3,0),"open")</f>
        <v>ok</v>
      </c>
      <c r="C1709" s="91" t="s">
        <v>369</v>
      </c>
      <c r="D1709" t="s">
        <v>3470</v>
      </c>
      <c r="E1709" t="s">
        <v>3538</v>
      </c>
      <c r="F1709" s="105" t="s">
        <v>3538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1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2563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20</v>
      </c>
      <c r="R1709" s="92" t="s">
        <v>489</v>
      </c>
      <c r="S1709" s="87"/>
    </row>
    <row r="1710" spans="1:19" hidden="1">
      <c r="A1710" s="91" t="s">
        <v>3405</v>
      </c>
      <c r="B1710" s="87" t="str">
        <f>IFERROR(VLOOKUP(Proc[[#This Row],[App]],Table2[],3,0),"open")</f>
        <v>ok</v>
      </c>
      <c r="C1710" s="91" t="s">
        <v>369</v>
      </c>
      <c r="D1710" t="s">
        <v>3471</v>
      </c>
      <c r="E1710" t="s">
        <v>3528</v>
      </c>
      <c r="F1710" s="105" t="s">
        <v>3528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1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2563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20</v>
      </c>
      <c r="R1710" s="92" t="s">
        <v>489</v>
      </c>
      <c r="S1710" s="87"/>
    </row>
    <row r="1711" spans="1:19" hidden="1">
      <c r="A1711" s="91" t="s">
        <v>3405</v>
      </c>
      <c r="B1711" s="87" t="str">
        <f>IFERROR(VLOOKUP(Proc[[#This Row],[App]],Table2[],3,0),"open")</f>
        <v>ok</v>
      </c>
      <c r="C1711" s="91" t="s">
        <v>369</v>
      </c>
      <c r="D1711" t="s">
        <v>3472</v>
      </c>
      <c r="E1711" t="s">
        <v>3539</v>
      </c>
      <c r="F1711" s="105" t="s">
        <v>3539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1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2563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20</v>
      </c>
      <c r="R1711" s="92" t="s">
        <v>489</v>
      </c>
      <c r="S1711" s="87"/>
    </row>
    <row r="1712" spans="1:19" hidden="1">
      <c r="A1712" s="91" t="s">
        <v>3405</v>
      </c>
      <c r="B1712" s="87" t="str">
        <f>IFERROR(VLOOKUP(Proc[[#This Row],[App]],Table2[],3,0),"open")</f>
        <v>ok</v>
      </c>
      <c r="C1712" s="91" t="s">
        <v>369</v>
      </c>
      <c r="D1712" t="s">
        <v>2579</v>
      </c>
      <c r="E1712" t="s">
        <v>3540</v>
      </c>
      <c r="F1712" s="105" t="s">
        <v>3540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1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2563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20</v>
      </c>
      <c r="R1712" s="92" t="s">
        <v>489</v>
      </c>
      <c r="S1712" s="87"/>
    </row>
    <row r="1713" spans="1:19" hidden="1">
      <c r="A1713" s="91" t="s">
        <v>3405</v>
      </c>
      <c r="B1713" s="87" t="str">
        <f>IFERROR(VLOOKUP(Proc[[#This Row],[App]],Table2[],3,0),"open")</f>
        <v>ok</v>
      </c>
      <c r="C1713" s="91" t="s">
        <v>369</v>
      </c>
      <c r="D1713" t="s">
        <v>3473</v>
      </c>
      <c r="E1713" t="s">
        <v>3515</v>
      </c>
      <c r="F1713" s="105" t="s">
        <v>3515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1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2563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20</v>
      </c>
      <c r="R1713" s="92" t="s">
        <v>489</v>
      </c>
      <c r="S1713" s="87"/>
    </row>
    <row r="1714" spans="1:19" hidden="1">
      <c r="A1714" s="91" t="s">
        <v>3405</v>
      </c>
      <c r="B1714" s="87" t="str">
        <f>IFERROR(VLOOKUP(Proc[[#This Row],[App]],Table2[],3,0),"open")</f>
        <v>ok</v>
      </c>
      <c r="C1714" s="91" t="s">
        <v>369</v>
      </c>
      <c r="D1714" t="s">
        <v>2580</v>
      </c>
      <c r="E1714" t="s">
        <v>3541</v>
      </c>
      <c r="F1714" s="105" t="s">
        <v>3541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1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2563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20</v>
      </c>
      <c r="R1714" s="92" t="s">
        <v>489</v>
      </c>
      <c r="S1714" s="87"/>
    </row>
    <row r="1715" spans="1:19" hidden="1">
      <c r="A1715" s="91" t="s">
        <v>3405</v>
      </c>
      <c r="B1715" s="87" t="str">
        <f>IFERROR(VLOOKUP(Proc[[#This Row],[App]],Table2[],3,0),"open")</f>
        <v>ok</v>
      </c>
      <c r="C1715" s="91" t="s">
        <v>369</v>
      </c>
      <c r="D1715" t="s">
        <v>3474</v>
      </c>
      <c r="E1715" t="s">
        <v>3521</v>
      </c>
      <c r="F1715" s="105" t="s">
        <v>3521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1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2563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20</v>
      </c>
      <c r="R1715" s="92" t="s">
        <v>489</v>
      </c>
      <c r="S1715" s="87"/>
    </row>
    <row r="1716" spans="1:19" hidden="1">
      <c r="A1716" s="91" t="s">
        <v>3405</v>
      </c>
      <c r="B1716" s="87" t="str">
        <f>IFERROR(VLOOKUP(Proc[[#This Row],[App]],Table2[],3,0),"open")</f>
        <v>ok</v>
      </c>
      <c r="C1716" s="91" t="s">
        <v>369</v>
      </c>
      <c r="D1716" t="s">
        <v>3475</v>
      </c>
      <c r="E1716" t="s">
        <v>3528</v>
      </c>
      <c r="F1716" s="105" t="s">
        <v>3528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1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2563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20</v>
      </c>
      <c r="R1716" s="92" t="s">
        <v>489</v>
      </c>
      <c r="S1716" s="87"/>
    </row>
    <row r="1717" spans="1:19" hidden="1">
      <c r="A1717" s="91" t="s">
        <v>3405</v>
      </c>
      <c r="B1717" s="87" t="str">
        <f>IFERROR(VLOOKUP(Proc[[#This Row],[App]],Table2[],3,0),"open")</f>
        <v>ok</v>
      </c>
      <c r="C1717" s="91" t="s">
        <v>369</v>
      </c>
      <c r="D1717" t="s">
        <v>3476</v>
      </c>
      <c r="E1717" t="s">
        <v>3528</v>
      </c>
      <c r="F1717" s="105" t="s">
        <v>3528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1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2563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20</v>
      </c>
      <c r="R1717" s="92" t="s">
        <v>489</v>
      </c>
      <c r="S1717" s="87"/>
    </row>
    <row r="1718" spans="1:19" hidden="1">
      <c r="A1718" s="91" t="s">
        <v>3405</v>
      </c>
      <c r="B1718" s="87" t="str">
        <f>IFERROR(VLOOKUP(Proc[[#This Row],[App]],Table2[],3,0),"open")</f>
        <v>ok</v>
      </c>
      <c r="C1718" s="91" t="s">
        <v>369</v>
      </c>
      <c r="D1718" t="s">
        <v>3477</v>
      </c>
      <c r="E1718" t="s">
        <v>3517</v>
      </c>
      <c r="F1718" s="105" t="s">
        <v>3517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1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2563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20</v>
      </c>
      <c r="R1718" s="92" t="s">
        <v>489</v>
      </c>
      <c r="S1718" s="87"/>
    </row>
    <row r="1719" spans="1:19" hidden="1">
      <c r="A1719" s="91" t="s">
        <v>3405</v>
      </c>
      <c r="B1719" s="87" t="str">
        <f>IFERROR(VLOOKUP(Proc[[#This Row],[App]],Table2[],3,0),"open")</f>
        <v>ok</v>
      </c>
      <c r="C1719" s="91" t="s">
        <v>369</v>
      </c>
      <c r="D1719" t="s">
        <v>3478</v>
      </c>
      <c r="E1719" t="s">
        <v>3517</v>
      </c>
      <c r="F1719" s="105" t="s">
        <v>3517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1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2563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20</v>
      </c>
      <c r="R1719" s="92" t="s">
        <v>489</v>
      </c>
      <c r="S1719" s="87"/>
    </row>
    <row r="1720" spans="1:19" hidden="1">
      <c r="A1720" s="91" t="s">
        <v>3405</v>
      </c>
      <c r="B1720" s="87" t="str">
        <f>IFERROR(VLOOKUP(Proc[[#This Row],[App]],Table2[],3,0),"open")</f>
        <v>ok</v>
      </c>
      <c r="C1720" s="91" t="s">
        <v>369</v>
      </c>
      <c r="D1720" t="s">
        <v>3479</v>
      </c>
      <c r="E1720" t="s">
        <v>3524</v>
      </c>
      <c r="F1720" s="105" t="s">
        <v>3524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1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2563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20</v>
      </c>
      <c r="R1720" s="92" t="s">
        <v>489</v>
      </c>
      <c r="S1720" s="87"/>
    </row>
    <row r="1721" spans="1:19" hidden="1">
      <c r="A1721" s="91" t="s">
        <v>3405</v>
      </c>
      <c r="B1721" s="87" t="str">
        <f>IFERROR(VLOOKUP(Proc[[#This Row],[App]],Table2[],3,0),"open")</f>
        <v>ok</v>
      </c>
      <c r="C1721" s="91" t="s">
        <v>369</v>
      </c>
      <c r="D1721" t="s">
        <v>3480</v>
      </c>
      <c r="E1721" t="s">
        <v>3537</v>
      </c>
      <c r="F1721" s="105" t="s">
        <v>3537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1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2563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20</v>
      </c>
      <c r="R1721" s="92" t="s">
        <v>489</v>
      </c>
      <c r="S1721" s="87"/>
    </row>
    <row r="1722" spans="1:19" hidden="1">
      <c r="A1722" s="91" t="s">
        <v>3405</v>
      </c>
      <c r="B1722" s="87" t="str">
        <f>IFERROR(VLOOKUP(Proc[[#This Row],[App]],Table2[],3,0),"open")</f>
        <v>ok</v>
      </c>
      <c r="C1722" s="91" t="s">
        <v>369</v>
      </c>
      <c r="D1722" t="s">
        <v>3481</v>
      </c>
      <c r="E1722" t="s">
        <v>3531</v>
      </c>
      <c r="F1722" s="105" t="s">
        <v>3531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1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2563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20</v>
      </c>
      <c r="R1722" s="92" t="s">
        <v>489</v>
      </c>
      <c r="S1722" s="87"/>
    </row>
    <row r="1723" spans="1:19" hidden="1">
      <c r="A1723" s="91" t="s">
        <v>3405</v>
      </c>
      <c r="B1723" s="87" t="str">
        <f>IFERROR(VLOOKUP(Proc[[#This Row],[App]],Table2[],3,0),"open")</f>
        <v>ok</v>
      </c>
      <c r="C1723" s="91" t="s">
        <v>369</v>
      </c>
      <c r="D1723" t="s">
        <v>3482</v>
      </c>
      <c r="E1723" t="s">
        <v>3525</v>
      </c>
      <c r="F1723" s="105" t="s">
        <v>3525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1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2563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20</v>
      </c>
      <c r="R1723" s="92" t="s">
        <v>489</v>
      </c>
      <c r="S1723" s="87"/>
    </row>
    <row r="1724" spans="1:19" hidden="1">
      <c r="A1724" s="91" t="s">
        <v>3405</v>
      </c>
      <c r="B1724" s="87" t="str">
        <f>IFERROR(VLOOKUP(Proc[[#This Row],[App]],Table2[],3,0),"open")</f>
        <v>ok</v>
      </c>
      <c r="C1724" s="91" t="s">
        <v>369</v>
      </c>
      <c r="D1724" t="s">
        <v>3483</v>
      </c>
      <c r="E1724" t="s">
        <v>3531</v>
      </c>
      <c r="F1724" s="105" t="s">
        <v>3531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1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2563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20</v>
      </c>
      <c r="R1724" s="92" t="s">
        <v>489</v>
      </c>
      <c r="S1724" s="87"/>
    </row>
    <row r="1725" spans="1:19" hidden="1">
      <c r="A1725" s="91" t="s">
        <v>3405</v>
      </c>
      <c r="B1725" s="87" t="str">
        <f>IFERROR(VLOOKUP(Proc[[#This Row],[App]],Table2[],3,0),"open")</f>
        <v>ok</v>
      </c>
      <c r="C1725" s="91" t="s">
        <v>369</v>
      </c>
      <c r="D1725" t="s">
        <v>3484</v>
      </c>
      <c r="E1725" t="s">
        <v>3538</v>
      </c>
      <c r="F1725" s="105" t="s">
        <v>3538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1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2563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20</v>
      </c>
      <c r="R1725" s="92" t="s">
        <v>489</v>
      </c>
      <c r="S1725" s="87"/>
    </row>
    <row r="1726" spans="1:19" hidden="1">
      <c r="A1726" s="91" t="s">
        <v>3405</v>
      </c>
      <c r="B1726" s="87" t="str">
        <f>IFERROR(VLOOKUP(Proc[[#This Row],[App]],Table2[],3,0),"open")</f>
        <v>ok</v>
      </c>
      <c r="C1726" s="91" t="s">
        <v>369</v>
      </c>
      <c r="D1726" t="s">
        <v>3485</v>
      </c>
      <c r="E1726" t="s">
        <v>3528</v>
      </c>
      <c r="F1726" s="105" t="s">
        <v>3528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1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2563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20</v>
      </c>
      <c r="R1726" s="92" t="s">
        <v>489</v>
      </c>
      <c r="S1726" s="87"/>
    </row>
    <row r="1727" spans="1:19" hidden="1">
      <c r="A1727" s="91" t="s">
        <v>3405</v>
      </c>
      <c r="B1727" s="87" t="str">
        <f>IFERROR(VLOOKUP(Proc[[#This Row],[App]],Table2[],3,0),"open")</f>
        <v>ok</v>
      </c>
      <c r="C1727" s="91" t="s">
        <v>369</v>
      </c>
      <c r="D1727" t="s">
        <v>3486</v>
      </c>
      <c r="E1727" t="s">
        <v>3542</v>
      </c>
      <c r="F1727" s="105" t="s">
        <v>3542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1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2563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20</v>
      </c>
      <c r="R1727" s="92" t="s">
        <v>489</v>
      </c>
      <c r="S1727" s="87"/>
    </row>
    <row r="1728" spans="1:19" hidden="1">
      <c r="A1728" s="91" t="s">
        <v>3405</v>
      </c>
      <c r="B1728" s="87" t="str">
        <f>IFERROR(VLOOKUP(Proc[[#This Row],[App]],Table2[],3,0),"open")</f>
        <v>ok</v>
      </c>
      <c r="C1728" s="91" t="s">
        <v>369</v>
      </c>
      <c r="D1728" t="s">
        <v>3487</v>
      </c>
      <c r="E1728" t="s">
        <v>3525</v>
      </c>
      <c r="F1728" s="105" t="s">
        <v>3525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1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2563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20</v>
      </c>
      <c r="R1728" s="92" t="s">
        <v>489</v>
      </c>
      <c r="S1728" s="87"/>
    </row>
    <row r="1729" spans="1:19" hidden="1">
      <c r="A1729" s="91" t="s">
        <v>3405</v>
      </c>
      <c r="B1729" s="87" t="str">
        <f>IFERROR(VLOOKUP(Proc[[#This Row],[App]],Table2[],3,0),"open")</f>
        <v>ok</v>
      </c>
      <c r="C1729" s="91" t="s">
        <v>369</v>
      </c>
      <c r="D1729" t="s">
        <v>3488</v>
      </c>
      <c r="E1729" t="s">
        <v>3515</v>
      </c>
      <c r="F1729" s="105" t="s">
        <v>3515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1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2563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20</v>
      </c>
      <c r="R1729" s="92" t="s">
        <v>489</v>
      </c>
      <c r="S1729" s="87"/>
    </row>
    <row r="1730" spans="1:19" hidden="1">
      <c r="A1730" s="91" t="s">
        <v>3405</v>
      </c>
      <c r="B1730" s="87" t="str">
        <f>IFERROR(VLOOKUP(Proc[[#This Row],[App]],Table2[],3,0),"open")</f>
        <v>ok</v>
      </c>
      <c r="C1730" s="91" t="s">
        <v>369</v>
      </c>
      <c r="D1730" t="s">
        <v>3489</v>
      </c>
      <c r="E1730" t="s">
        <v>3517</v>
      </c>
      <c r="F1730" s="105" t="s">
        <v>3517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1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2563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20</v>
      </c>
      <c r="R1730" s="92" t="s">
        <v>489</v>
      </c>
      <c r="S1730" s="87"/>
    </row>
    <row r="1731" spans="1:19" hidden="1">
      <c r="A1731" s="91" t="s">
        <v>3405</v>
      </c>
      <c r="B1731" s="87" t="str">
        <f>IFERROR(VLOOKUP(Proc[[#This Row],[App]],Table2[],3,0),"open")</f>
        <v>ok</v>
      </c>
      <c r="C1731" s="91" t="s">
        <v>369</v>
      </c>
      <c r="D1731" t="s">
        <v>3490</v>
      </c>
      <c r="E1731" t="s">
        <v>3531</v>
      </c>
      <c r="F1731" s="105" t="s">
        <v>3531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1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2563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20</v>
      </c>
      <c r="R1731" s="92" t="s">
        <v>489</v>
      </c>
      <c r="S1731" s="87"/>
    </row>
    <row r="1732" spans="1:19" hidden="1">
      <c r="A1732" s="91" t="s">
        <v>3405</v>
      </c>
      <c r="B1732" s="87" t="str">
        <f>IFERROR(VLOOKUP(Proc[[#This Row],[App]],Table2[],3,0),"open")</f>
        <v>ok</v>
      </c>
      <c r="C1732" s="91" t="s">
        <v>369</v>
      </c>
      <c r="D1732" t="s">
        <v>3491</v>
      </c>
      <c r="E1732" t="s">
        <v>3524</v>
      </c>
      <c r="F1732" s="105" t="s">
        <v>3524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1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2563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20</v>
      </c>
      <c r="R1732" s="92" t="s">
        <v>489</v>
      </c>
      <c r="S1732" s="87"/>
    </row>
    <row r="1733" spans="1:19" hidden="1">
      <c r="A1733" s="91" t="s">
        <v>3405</v>
      </c>
      <c r="B1733" s="87" t="str">
        <f>IFERROR(VLOOKUP(Proc[[#This Row],[App]],Table2[],3,0),"open")</f>
        <v>ok</v>
      </c>
      <c r="C1733" s="91" t="s">
        <v>369</v>
      </c>
      <c r="D1733" t="s">
        <v>3492</v>
      </c>
      <c r="E1733" t="s">
        <v>3528</v>
      </c>
      <c r="F1733" s="105" t="s">
        <v>3528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1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2563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20</v>
      </c>
      <c r="R1733" s="92" t="s">
        <v>489</v>
      </c>
      <c r="S1733" s="87"/>
    </row>
    <row r="1734" spans="1:19" hidden="1">
      <c r="A1734" s="91" t="s">
        <v>3405</v>
      </c>
      <c r="B1734" s="87" t="str">
        <f>IFERROR(VLOOKUP(Proc[[#This Row],[App]],Table2[],3,0),"open")</f>
        <v>ok</v>
      </c>
      <c r="C1734" s="91" t="s">
        <v>369</v>
      </c>
      <c r="D1734" t="s">
        <v>3493</v>
      </c>
      <c r="E1734" t="s">
        <v>3517</v>
      </c>
      <c r="F1734" s="105" t="s">
        <v>3517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1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2563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20</v>
      </c>
      <c r="R1734" s="92" t="s">
        <v>489</v>
      </c>
      <c r="S1734" s="87"/>
    </row>
    <row r="1735" spans="1:19" hidden="1">
      <c r="A1735" s="91" t="s">
        <v>3405</v>
      </c>
      <c r="B1735" s="87" t="str">
        <f>IFERROR(VLOOKUP(Proc[[#This Row],[App]],Table2[],3,0),"open")</f>
        <v>ok</v>
      </c>
      <c r="C1735" s="91" t="s">
        <v>369</v>
      </c>
      <c r="D1735" t="s">
        <v>3494</v>
      </c>
      <c r="E1735" t="s">
        <v>3543</v>
      </c>
      <c r="F1735" s="105" t="s">
        <v>3543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1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2563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20</v>
      </c>
      <c r="R1735" s="92" t="s">
        <v>489</v>
      </c>
      <c r="S1735" s="87"/>
    </row>
    <row r="1736" spans="1:19" hidden="1">
      <c r="A1736" s="91" t="s">
        <v>3405</v>
      </c>
      <c r="B1736" s="87" t="str">
        <f>IFERROR(VLOOKUP(Proc[[#This Row],[App]],Table2[],3,0),"open")</f>
        <v>ok</v>
      </c>
      <c r="C1736" s="91" t="s">
        <v>369</v>
      </c>
      <c r="D1736" t="s">
        <v>3495</v>
      </c>
      <c r="E1736" t="s">
        <v>3515</v>
      </c>
      <c r="F1736" s="105" t="s">
        <v>3515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1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2563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20</v>
      </c>
      <c r="R1736" s="92" t="s">
        <v>489</v>
      </c>
      <c r="S1736" s="87"/>
    </row>
    <row r="1737" spans="1:19" hidden="1">
      <c r="A1737" s="91" t="s">
        <v>3405</v>
      </c>
      <c r="B1737" s="87" t="str">
        <f>IFERROR(VLOOKUP(Proc[[#This Row],[App]],Table2[],3,0),"open")</f>
        <v>ok</v>
      </c>
      <c r="C1737" s="91" t="s">
        <v>369</v>
      </c>
      <c r="D1737" t="s">
        <v>3496</v>
      </c>
      <c r="E1737" t="s">
        <v>3517</v>
      </c>
      <c r="F1737" s="105" t="s">
        <v>3517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1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2563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20</v>
      </c>
      <c r="R1737" s="92" t="s">
        <v>489</v>
      </c>
      <c r="S1737" s="87"/>
    </row>
    <row r="1738" spans="1:19" hidden="1">
      <c r="A1738" s="91" t="s">
        <v>3405</v>
      </c>
      <c r="B1738" s="87" t="str">
        <f>IFERROR(VLOOKUP(Proc[[#This Row],[App]],Table2[],3,0),"open")</f>
        <v>ok</v>
      </c>
      <c r="C1738" s="91" t="s">
        <v>369</v>
      </c>
      <c r="D1738" t="s">
        <v>3497</v>
      </c>
      <c r="E1738" t="s">
        <v>3524</v>
      </c>
      <c r="F1738" s="105" t="s">
        <v>3524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1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2563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20</v>
      </c>
      <c r="R1738" s="92" t="s">
        <v>489</v>
      </c>
      <c r="S1738" s="87"/>
    </row>
    <row r="1739" spans="1:19" hidden="1">
      <c r="A1739" s="91" t="s">
        <v>3405</v>
      </c>
      <c r="B1739" s="87" t="str">
        <f>IFERROR(VLOOKUP(Proc[[#This Row],[App]],Table2[],3,0),"open")</f>
        <v>ok</v>
      </c>
      <c r="C1739" s="91" t="s">
        <v>369</v>
      </c>
      <c r="D1739" t="s">
        <v>3498</v>
      </c>
      <c r="E1739" t="s">
        <v>3544</v>
      </c>
      <c r="F1739" s="105" t="s">
        <v>3544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1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2563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20</v>
      </c>
      <c r="R1739" s="92" t="s">
        <v>489</v>
      </c>
      <c r="S1739" s="87"/>
    </row>
    <row r="1740" spans="1:19" hidden="1">
      <c r="A1740" s="91" t="s">
        <v>3405</v>
      </c>
      <c r="B1740" s="87" t="str">
        <f>IFERROR(VLOOKUP(Proc[[#This Row],[App]],Table2[],3,0),"open")</f>
        <v>ok</v>
      </c>
      <c r="C1740" s="91" t="s">
        <v>369</v>
      </c>
      <c r="D1740" t="s">
        <v>3499</v>
      </c>
      <c r="E1740" t="s">
        <v>3526</v>
      </c>
      <c r="F1740" s="105" t="s">
        <v>3526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1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2563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20</v>
      </c>
      <c r="R1740" s="92" t="s">
        <v>489</v>
      </c>
      <c r="S1740" s="87"/>
    </row>
    <row r="1741" spans="1:19" hidden="1">
      <c r="A1741" s="91" t="s">
        <v>3405</v>
      </c>
      <c r="B1741" s="87" t="str">
        <f>IFERROR(VLOOKUP(Proc[[#This Row],[App]],Table2[],3,0),"open")</f>
        <v>ok</v>
      </c>
      <c r="C1741" s="91" t="s">
        <v>369</v>
      </c>
      <c r="D1741" t="s">
        <v>3500</v>
      </c>
      <c r="E1741" t="s">
        <v>3532</v>
      </c>
      <c r="F1741" s="105" t="s">
        <v>3532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1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2563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20</v>
      </c>
      <c r="R1741" s="92" t="s">
        <v>489</v>
      </c>
      <c r="S1741" s="87"/>
    </row>
    <row r="1742" spans="1:19" hidden="1">
      <c r="A1742" s="91" t="s">
        <v>3405</v>
      </c>
      <c r="B1742" s="87" t="str">
        <f>IFERROR(VLOOKUP(Proc[[#This Row],[App]],Table2[],3,0),"open")</f>
        <v>ok</v>
      </c>
      <c r="C1742" s="91" t="s">
        <v>369</v>
      </c>
      <c r="D1742" t="s">
        <v>3501</v>
      </c>
      <c r="E1742" t="s">
        <v>3518</v>
      </c>
      <c r="F1742" s="105" t="s">
        <v>3518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1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2563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20</v>
      </c>
      <c r="R1742" s="92" t="s">
        <v>489</v>
      </c>
      <c r="S1742" s="87"/>
    </row>
    <row r="1743" spans="1:19" hidden="1">
      <c r="A1743" s="91" t="s">
        <v>3405</v>
      </c>
      <c r="B1743" s="87" t="str">
        <f>IFERROR(VLOOKUP(Proc[[#This Row],[App]],Table2[],3,0),"open")</f>
        <v>ok</v>
      </c>
      <c r="C1743" s="91" t="s">
        <v>369</v>
      </c>
      <c r="D1743" t="s">
        <v>3502</v>
      </c>
      <c r="E1743" t="s">
        <v>3528</v>
      </c>
      <c r="F1743" s="105" t="s">
        <v>3528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1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2563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20</v>
      </c>
      <c r="R1743" s="92" t="s">
        <v>489</v>
      </c>
      <c r="S1743" s="87"/>
    </row>
    <row r="1744" spans="1:19" hidden="1">
      <c r="A1744" s="91" t="s">
        <v>3405</v>
      </c>
      <c r="B1744" s="87" t="str">
        <f>IFERROR(VLOOKUP(Proc[[#This Row],[App]],Table2[],3,0),"open")</f>
        <v>ok</v>
      </c>
      <c r="C1744" s="91" t="s">
        <v>369</v>
      </c>
      <c r="D1744" t="s">
        <v>3503</v>
      </c>
      <c r="E1744" t="s">
        <v>3545</v>
      </c>
      <c r="F1744" s="105" t="s">
        <v>3545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1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2563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20</v>
      </c>
      <c r="R1744" s="92" t="s">
        <v>489</v>
      </c>
      <c r="S1744" s="87"/>
    </row>
    <row r="1745" spans="1:19" hidden="1">
      <c r="A1745" s="91" t="s">
        <v>3405</v>
      </c>
      <c r="B1745" s="87" t="str">
        <f>IFERROR(VLOOKUP(Proc[[#This Row],[App]],Table2[],3,0),"open")</f>
        <v>ok</v>
      </c>
      <c r="C1745" s="91" t="s">
        <v>369</v>
      </c>
      <c r="D1745" t="s">
        <v>3504</v>
      </c>
      <c r="E1745" t="s">
        <v>3515</v>
      </c>
      <c r="F1745" s="105" t="s">
        <v>3515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1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2563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20</v>
      </c>
      <c r="R1745" s="92" t="s">
        <v>489</v>
      </c>
      <c r="S1745" s="87"/>
    </row>
    <row r="1746" spans="1:19" hidden="1">
      <c r="A1746" s="91" t="s">
        <v>3405</v>
      </c>
      <c r="B1746" s="87" t="str">
        <f>IFERROR(VLOOKUP(Proc[[#This Row],[App]],Table2[],3,0),"open")</f>
        <v>ok</v>
      </c>
      <c r="C1746" s="91" t="s">
        <v>369</v>
      </c>
      <c r="D1746" t="s">
        <v>3505</v>
      </c>
      <c r="E1746" t="s">
        <v>1974</v>
      </c>
      <c r="F1746" s="105" t="s">
        <v>1974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1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2563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20</v>
      </c>
      <c r="R1746" s="92" t="s">
        <v>489</v>
      </c>
      <c r="S1746" s="87"/>
    </row>
    <row r="1747" spans="1:19" hidden="1">
      <c r="A1747" s="91" t="s">
        <v>3405</v>
      </c>
      <c r="B1747" s="87" t="str">
        <f>IFERROR(VLOOKUP(Proc[[#This Row],[App]],Table2[],3,0),"open")</f>
        <v>ok</v>
      </c>
      <c r="C1747" s="91" t="s">
        <v>369</v>
      </c>
      <c r="D1747" t="s">
        <v>3506</v>
      </c>
      <c r="E1747" t="s">
        <v>3546</v>
      </c>
      <c r="F1747" s="105" t="s">
        <v>3546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1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2563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20</v>
      </c>
      <c r="R1747" s="92" t="s">
        <v>489</v>
      </c>
      <c r="S1747" s="87"/>
    </row>
    <row r="1748" spans="1:19" hidden="1">
      <c r="A1748" s="91" t="s">
        <v>3405</v>
      </c>
      <c r="B1748" s="87" t="str">
        <f>IFERROR(VLOOKUP(Proc[[#This Row],[App]],Table2[],3,0),"open")</f>
        <v>ok</v>
      </c>
      <c r="C1748" s="91" t="s">
        <v>369</v>
      </c>
      <c r="D1748" t="s">
        <v>3507</v>
      </c>
      <c r="E1748" t="s">
        <v>3544</v>
      </c>
      <c r="F1748" s="105" t="s">
        <v>3544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1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2563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20</v>
      </c>
      <c r="R1748" s="92" t="s">
        <v>489</v>
      </c>
      <c r="S1748" s="87"/>
    </row>
    <row r="1749" spans="1:19" hidden="1">
      <c r="A1749" s="91" t="s">
        <v>3405</v>
      </c>
      <c r="B1749" s="87" t="str">
        <f>IFERROR(VLOOKUP(Proc[[#This Row],[App]],Table2[],3,0),"open")</f>
        <v>ok</v>
      </c>
      <c r="C1749" s="91" t="s">
        <v>369</v>
      </c>
      <c r="D1749" t="s">
        <v>3508</v>
      </c>
      <c r="E1749" t="s">
        <v>3516</v>
      </c>
      <c r="F1749" s="105" t="s">
        <v>3516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1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2563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20</v>
      </c>
      <c r="R1749" s="92" t="s">
        <v>489</v>
      </c>
      <c r="S1749" s="87"/>
    </row>
    <row r="1750" spans="1:19" hidden="1">
      <c r="A1750" s="91" t="s">
        <v>3405</v>
      </c>
      <c r="B1750" s="87" t="str">
        <f>IFERROR(VLOOKUP(Proc[[#This Row],[App]],Table2[],3,0),"open")</f>
        <v>ok</v>
      </c>
      <c r="C1750" s="91" t="s">
        <v>369</v>
      </c>
      <c r="D1750" t="s">
        <v>3509</v>
      </c>
      <c r="E1750" t="s">
        <v>2371</v>
      </c>
      <c r="F1750" s="105" t="s">
        <v>2371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1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2563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20</v>
      </c>
      <c r="R1750" s="92" t="s">
        <v>489</v>
      </c>
      <c r="S1750" s="87"/>
    </row>
    <row r="1751" spans="1:19" hidden="1">
      <c r="A1751" s="91" t="s">
        <v>3405</v>
      </c>
      <c r="B1751" s="87" t="str">
        <f>IFERROR(VLOOKUP(Proc[[#This Row],[App]],Table2[],3,0),"open")</f>
        <v>ok</v>
      </c>
      <c r="C1751" s="91" t="s">
        <v>369</v>
      </c>
      <c r="D1751" t="s">
        <v>3510</v>
      </c>
      <c r="E1751" t="s">
        <v>3542</v>
      </c>
      <c r="F1751" s="105" t="s">
        <v>3542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1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2563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20</v>
      </c>
      <c r="R1751" s="92" t="s">
        <v>489</v>
      </c>
      <c r="S1751" s="87"/>
    </row>
    <row r="1752" spans="1:19" hidden="1">
      <c r="A1752" s="91" t="s">
        <v>3405</v>
      </c>
      <c r="B1752" s="87" t="str">
        <f>IFERROR(VLOOKUP(Proc[[#This Row],[App]],Table2[],3,0),"open")</f>
        <v>ok</v>
      </c>
      <c r="C1752" s="91" t="s">
        <v>369</v>
      </c>
      <c r="D1752" t="s">
        <v>3511</v>
      </c>
      <c r="E1752" t="s">
        <v>3524</v>
      </c>
      <c r="F1752" s="105" t="s">
        <v>3524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1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2563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20</v>
      </c>
      <c r="R1752" s="92" t="s">
        <v>489</v>
      </c>
      <c r="S1752" s="87"/>
    </row>
    <row r="1753" spans="1:19" hidden="1">
      <c r="A1753" s="91" t="s">
        <v>3405</v>
      </c>
      <c r="B1753" s="87" t="str">
        <f>IFERROR(VLOOKUP(Proc[[#This Row],[App]],Table2[],3,0),"open")</f>
        <v>ok</v>
      </c>
      <c r="C1753" s="91" t="s">
        <v>369</v>
      </c>
      <c r="D1753" t="s">
        <v>3512</v>
      </c>
      <c r="E1753" t="s">
        <v>3527</v>
      </c>
      <c r="F1753" s="105" t="s">
        <v>3527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1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2563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20</v>
      </c>
      <c r="R1753" s="92" t="s">
        <v>489</v>
      </c>
      <c r="S1753" s="87"/>
    </row>
    <row r="1754" spans="1:19" hidden="1">
      <c r="A1754" s="91" t="s">
        <v>3405</v>
      </c>
      <c r="B1754" s="87" t="str">
        <f>IFERROR(VLOOKUP(Proc[[#This Row],[App]],Table2[],3,0),"open")</f>
        <v>ok</v>
      </c>
      <c r="C1754" s="91" t="s">
        <v>369</v>
      </c>
      <c r="D1754" t="s">
        <v>3513</v>
      </c>
      <c r="E1754" t="s">
        <v>3547</v>
      </c>
      <c r="F1754" s="105" t="s">
        <v>3547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1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2563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20</v>
      </c>
      <c r="R1754" s="92" t="s">
        <v>489</v>
      </c>
      <c r="S1754" s="87"/>
    </row>
    <row r="1755" spans="1:19" hidden="1">
      <c r="A1755" s="91" t="s">
        <v>3405</v>
      </c>
      <c r="B1755" s="87" t="str">
        <f>IFERROR(VLOOKUP(Proc[[#This Row],[App]],Table2[],3,0),"open")</f>
        <v>ok</v>
      </c>
      <c r="C1755" s="91" t="s">
        <v>369</v>
      </c>
      <c r="D1755" t="s">
        <v>3514</v>
      </c>
      <c r="E1755" t="s">
        <v>3535</v>
      </c>
      <c r="F1755" s="105" t="s">
        <v>3535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1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2563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20</v>
      </c>
      <c r="R1755" s="92" t="s">
        <v>489</v>
      </c>
      <c r="S1755" s="87"/>
    </row>
    <row r="1756" spans="1:19" hidden="1">
      <c r="A1756" t="s">
        <v>3548</v>
      </c>
      <c r="B1756" s="87" t="str">
        <f>IFERROR(VLOOKUP(Proc[[#This Row],[App]],Table2[],3,0),"open")</f>
        <v>ok</v>
      </c>
      <c r="C1756" s="91" t="s">
        <v>369</v>
      </c>
      <c r="D1756" t="s">
        <v>3549</v>
      </c>
      <c r="E1756" t="s">
        <v>3556</v>
      </c>
      <c r="F1756" s="105" t="s">
        <v>3556</v>
      </c>
      <c r="G1756" t="s">
        <v>406</v>
      </c>
      <c r="H1756" s="87" t="str">
        <f>IF(Proc[[#This Row],[type]]="LFF (MDG-F)",MID(Proc[[#This Row],[Obj]],13,10),"")</f>
        <v>DE10639300</v>
      </c>
      <c r="I1756" t="s">
        <v>3559</v>
      </c>
      <c r="J1756" s="87" t="b">
        <f>Proc[[#This Row],[Requested]]=Proc[[#This Row],[CurrentParent]]</f>
        <v>1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2563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489</v>
      </c>
      <c r="S1756" s="87"/>
    </row>
    <row r="1757" spans="1:19" hidden="1">
      <c r="A1757" s="91" t="s">
        <v>3548</v>
      </c>
      <c r="B1757" s="87" t="str">
        <f>IFERROR(VLOOKUP(Proc[[#This Row],[App]],Table2[],3,0),"open")</f>
        <v>ok</v>
      </c>
      <c r="C1757" s="91" t="s">
        <v>369</v>
      </c>
      <c r="D1757" t="s">
        <v>3550</v>
      </c>
      <c r="E1757" t="s">
        <v>3557</v>
      </c>
      <c r="F1757" s="105" t="s">
        <v>3557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3559</v>
      </c>
      <c r="J1757" s="87" t="b">
        <f>Proc[[#This Row],[Requested]]=Proc[[#This Row],[CurrentParent]]</f>
        <v>1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2563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489</v>
      </c>
      <c r="S1757" s="87"/>
    </row>
    <row r="1758" spans="1:19" hidden="1">
      <c r="A1758" s="91" t="s">
        <v>3548</v>
      </c>
      <c r="B1758" s="87" t="str">
        <f>IFERROR(VLOOKUP(Proc[[#This Row],[App]],Table2[],3,0),"open")</f>
        <v>ok</v>
      </c>
      <c r="C1758" s="91" t="s">
        <v>369</v>
      </c>
      <c r="D1758" t="s">
        <v>3551</v>
      </c>
      <c r="E1758" t="s">
        <v>3557</v>
      </c>
      <c r="F1758" s="105" t="s">
        <v>3557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3559</v>
      </c>
      <c r="J1758" s="87" t="b">
        <f>Proc[[#This Row],[Requested]]=Proc[[#This Row],[CurrentParent]]</f>
        <v>1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2563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489</v>
      </c>
      <c r="S1758" s="87"/>
    </row>
    <row r="1759" spans="1:19" hidden="1">
      <c r="A1759" s="91" t="s">
        <v>3548</v>
      </c>
      <c r="B1759" s="87" t="str">
        <f>IFERROR(VLOOKUP(Proc[[#This Row],[App]],Table2[],3,0),"open")</f>
        <v>ok</v>
      </c>
      <c r="C1759" s="91" t="s">
        <v>369</v>
      </c>
      <c r="D1759" t="s">
        <v>3552</v>
      </c>
      <c r="E1759" t="s">
        <v>3557</v>
      </c>
      <c r="F1759" s="105" t="s">
        <v>3557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1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2563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20</v>
      </c>
      <c r="R1759" s="92" t="s">
        <v>489</v>
      </c>
      <c r="S1759" s="87"/>
    </row>
    <row r="1760" spans="1:19" hidden="1">
      <c r="A1760" s="91" t="s">
        <v>3548</v>
      </c>
      <c r="B1760" s="87" t="str">
        <f>IFERROR(VLOOKUP(Proc[[#This Row],[App]],Table2[],3,0),"open")</f>
        <v>ok</v>
      </c>
      <c r="C1760" s="91" t="s">
        <v>369</v>
      </c>
      <c r="D1760" t="s">
        <v>3553</v>
      </c>
      <c r="E1760" t="s">
        <v>3557</v>
      </c>
      <c r="F1760" s="105" t="s">
        <v>3557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1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2563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20</v>
      </c>
      <c r="R1760" s="92" t="s">
        <v>489</v>
      </c>
      <c r="S1760" s="87"/>
    </row>
    <row r="1761" spans="1:19" hidden="1">
      <c r="A1761" s="91" t="s">
        <v>3548</v>
      </c>
      <c r="B1761" s="87" t="str">
        <f>IFERROR(VLOOKUP(Proc[[#This Row],[App]],Table2[],3,0),"open")</f>
        <v>ok</v>
      </c>
      <c r="C1761" s="91" t="s">
        <v>369</v>
      </c>
      <c r="D1761" t="s">
        <v>3554</v>
      </c>
      <c r="E1761" t="s">
        <v>3556</v>
      </c>
      <c r="F1761" s="105" t="s">
        <v>3556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1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2563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20</v>
      </c>
      <c r="R1761" s="92" t="s">
        <v>489</v>
      </c>
      <c r="S1761" s="87"/>
    </row>
    <row r="1762" spans="1:19" hidden="1">
      <c r="A1762" s="91" t="s">
        <v>3548</v>
      </c>
      <c r="B1762" s="87" t="str">
        <f>IFERROR(VLOOKUP(Proc[[#This Row],[App]],Table2[],3,0),"open")</f>
        <v>ok</v>
      </c>
      <c r="C1762" s="91" t="s">
        <v>369</v>
      </c>
      <c r="D1762" t="s">
        <v>3555</v>
      </c>
      <c r="E1762" t="s">
        <v>3558</v>
      </c>
      <c r="F1762" s="105" t="s">
        <v>3558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1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2563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20</v>
      </c>
      <c r="R1762" s="92" t="s">
        <v>489</v>
      </c>
      <c r="S1762" s="87"/>
    </row>
    <row r="1763" spans="1:19" hidden="1">
      <c r="A1763" t="s">
        <v>3560</v>
      </c>
      <c r="B1763" s="87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5" t="s">
        <v>2161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1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2563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478</v>
      </c>
      <c r="S1763" s="87"/>
    </row>
    <row r="1764" spans="1:19" hidden="1">
      <c r="A1764" s="91" t="s">
        <v>3560</v>
      </c>
      <c r="B1764" s="87" t="str">
        <f>IFERROR(VLOOKUP(Proc[[#This Row],[App]],Table2[],3,0),"open")</f>
        <v>ok</v>
      </c>
      <c r="C1764" s="91" t="s">
        <v>369</v>
      </c>
      <c r="D1764" t="s">
        <v>3562</v>
      </c>
      <c r="E1764" t="s">
        <v>2161</v>
      </c>
      <c r="F1764" s="105" t="s">
        <v>2161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1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2563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478</v>
      </c>
      <c r="S1764" s="87"/>
    </row>
    <row r="1765" spans="1:19" hidden="1">
      <c r="A1765" s="91" t="s">
        <v>3560</v>
      </c>
      <c r="B1765" s="87" t="str">
        <f>IFERROR(VLOOKUP(Proc[[#This Row],[App]],Table2[],3,0),"open")</f>
        <v>ok</v>
      </c>
      <c r="C1765" s="91" t="s">
        <v>369</v>
      </c>
      <c r="D1765" t="s">
        <v>3563</v>
      </c>
      <c r="E1765" t="s">
        <v>2161</v>
      </c>
      <c r="F1765" s="105" t="s">
        <v>2161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1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2563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478</v>
      </c>
      <c r="S1765" s="87"/>
    </row>
    <row r="1766" spans="1:19" hidden="1">
      <c r="A1766" s="91" t="s">
        <v>3560</v>
      </c>
      <c r="B1766" s="87" t="str">
        <f>IFERROR(VLOOKUP(Proc[[#This Row],[App]],Table2[],3,0),"open")</f>
        <v>ok</v>
      </c>
      <c r="C1766" s="91" t="s">
        <v>369</v>
      </c>
      <c r="D1766" t="s">
        <v>3564</v>
      </c>
      <c r="E1766" t="s">
        <v>2161</v>
      </c>
      <c r="F1766" s="105" t="s">
        <v>2161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1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2563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478</v>
      </c>
      <c r="S1766" s="87"/>
    </row>
    <row r="1767" spans="1:19" hidden="1">
      <c r="A1767" s="91" t="s">
        <v>3560</v>
      </c>
      <c r="B1767" s="87" t="str">
        <f>IFERROR(VLOOKUP(Proc[[#This Row],[App]],Table2[],3,0),"open")</f>
        <v>ok</v>
      </c>
      <c r="C1767" s="91" t="s">
        <v>369</v>
      </c>
      <c r="D1767" t="s">
        <v>3565</v>
      </c>
      <c r="E1767" t="s">
        <v>2161</v>
      </c>
      <c r="F1767" s="105" t="s">
        <v>2161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1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2563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478</v>
      </c>
      <c r="S1767" s="87"/>
    </row>
    <row r="1768" spans="1:19" hidden="1">
      <c r="A1768" s="91" t="s">
        <v>3560</v>
      </c>
      <c r="B1768" s="87" t="str">
        <f>IFERROR(VLOOKUP(Proc[[#This Row],[App]],Table2[],3,0),"open")</f>
        <v>ok</v>
      </c>
      <c r="C1768" s="91" t="s">
        <v>369</v>
      </c>
      <c r="D1768" t="s">
        <v>3566</v>
      </c>
      <c r="E1768" t="s">
        <v>2161</v>
      </c>
      <c r="F1768" s="105" t="s">
        <v>2161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1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2563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478</v>
      </c>
      <c r="S1768" s="87"/>
    </row>
    <row r="1769" spans="1:19" hidden="1">
      <c r="A1769" s="91" t="s">
        <v>3560</v>
      </c>
      <c r="B1769" s="87" t="str">
        <f>IFERROR(VLOOKUP(Proc[[#This Row],[App]],Table2[],3,0),"open")</f>
        <v>ok</v>
      </c>
      <c r="C1769" s="91" t="s">
        <v>369</v>
      </c>
      <c r="D1769" t="s">
        <v>3567</v>
      </c>
      <c r="E1769" t="s">
        <v>2161</v>
      </c>
      <c r="F1769" s="105" t="s">
        <v>2161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1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2563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478</v>
      </c>
      <c r="S1769" s="87"/>
    </row>
    <row r="1770" spans="1:19" hidden="1">
      <c r="A1770" s="91" t="s">
        <v>3560</v>
      </c>
      <c r="B1770" s="87" t="str">
        <f>IFERROR(VLOOKUP(Proc[[#This Row],[App]],Table2[],3,0),"open")</f>
        <v>ok</v>
      </c>
      <c r="C1770" s="91" t="s">
        <v>369</v>
      </c>
      <c r="D1770" t="s">
        <v>3568</v>
      </c>
      <c r="E1770" t="s">
        <v>2161</v>
      </c>
      <c r="F1770" s="105" t="s">
        <v>2161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1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2563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478</v>
      </c>
      <c r="S1770" s="87"/>
    </row>
    <row r="1771" spans="1:19" hidden="1">
      <c r="A1771" t="s">
        <v>3569</v>
      </c>
      <c r="B1771" s="87" t="str">
        <f>IFERROR(VLOOKUP(Proc[[#This Row],[App]],Table2[],3,0),"open")</f>
        <v>ok</v>
      </c>
      <c r="C1771" s="91" t="s">
        <v>369</v>
      </c>
      <c r="D1771" t="s">
        <v>3570</v>
      </c>
      <c r="E1771" t="s">
        <v>3571</v>
      </c>
      <c r="F1771" s="105" t="s">
        <v>3571</v>
      </c>
      <c r="G1771" t="s">
        <v>406</v>
      </c>
      <c r="H1771" s="87" t="str">
        <f>IF(Proc[[#This Row],[type]]="LFF (MDG-F)",MID(Proc[[#This Row],[Obj]],13,10),"")</f>
        <v>2102TMCZ91</v>
      </c>
      <c r="I1771" t="s">
        <v>3594</v>
      </c>
      <c r="J1771" s="87" t="b">
        <f>Proc[[#This Row],[Requested]]=Proc[[#This Row],[CurrentParent]]</f>
        <v>1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2563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489</v>
      </c>
      <c r="S1771" s="87"/>
    </row>
    <row r="1772" spans="1:19" hidden="1">
      <c r="A1772" s="91" t="s">
        <v>3569</v>
      </c>
      <c r="B1772" s="87" t="str">
        <f>IFERROR(VLOOKUP(Proc[[#This Row],[App]],Table2[],3,0),"open")</f>
        <v>ok</v>
      </c>
      <c r="C1772" s="91" t="s">
        <v>369</v>
      </c>
      <c r="D1772" t="s">
        <v>3572</v>
      </c>
      <c r="E1772" t="s">
        <v>3571</v>
      </c>
      <c r="F1772" s="105" t="s">
        <v>3571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1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2563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489</v>
      </c>
      <c r="S1772" s="87"/>
    </row>
    <row r="1773" spans="1:19" hidden="1">
      <c r="A1773" s="91" t="s">
        <v>3569</v>
      </c>
      <c r="B1773" s="87" t="str">
        <f>IFERROR(VLOOKUP(Proc[[#This Row],[App]],Table2[],3,0),"open")</f>
        <v>ok</v>
      </c>
      <c r="C1773" s="91" t="s">
        <v>369</v>
      </c>
      <c r="D1773" t="s">
        <v>3573</v>
      </c>
      <c r="E1773" t="s">
        <v>3571</v>
      </c>
      <c r="F1773" s="105" t="s">
        <v>3571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1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2563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489</v>
      </c>
      <c r="S1773" s="87"/>
    </row>
    <row r="1774" spans="1:19" hidden="1">
      <c r="A1774" s="91" t="s">
        <v>3569</v>
      </c>
      <c r="B1774" s="87" t="str">
        <f>IFERROR(VLOOKUP(Proc[[#This Row],[App]],Table2[],3,0),"open")</f>
        <v>ok</v>
      </c>
      <c r="C1774" s="91" t="s">
        <v>369</v>
      </c>
      <c r="D1774" t="s">
        <v>3574</v>
      </c>
      <c r="E1774" t="s">
        <v>3571</v>
      </c>
      <c r="F1774" s="105" t="s">
        <v>3571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1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2563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489</v>
      </c>
      <c r="S1774" s="87"/>
    </row>
    <row r="1775" spans="1:19" hidden="1">
      <c r="A1775" s="91" t="s">
        <v>3569</v>
      </c>
      <c r="B1775" s="87" t="str">
        <f>IFERROR(VLOOKUP(Proc[[#This Row],[App]],Table2[],3,0),"open")</f>
        <v>ok</v>
      </c>
      <c r="C1775" s="91" t="s">
        <v>369</v>
      </c>
      <c r="D1775" t="s">
        <v>3575</v>
      </c>
      <c r="E1775" t="s">
        <v>3571</v>
      </c>
      <c r="F1775" s="105" t="s">
        <v>3571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1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2563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489</v>
      </c>
      <c r="S1775" s="87"/>
    </row>
    <row r="1776" spans="1:19" hidden="1">
      <c r="A1776" t="s">
        <v>3576</v>
      </c>
      <c r="B1776" s="87" t="str">
        <f>IFERROR(VLOOKUP(Proc[[#This Row],[App]],Table2[],3,0),"open")</f>
        <v>ok</v>
      </c>
      <c r="C1776" s="91" t="s">
        <v>369</v>
      </c>
      <c r="D1776" t="s">
        <v>3577</v>
      </c>
      <c r="E1776" t="s">
        <v>3578</v>
      </c>
      <c r="F1776" s="105" t="s">
        <v>3578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1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2563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1076</v>
      </c>
      <c r="S1776" s="87"/>
    </row>
    <row r="1777" spans="1:19" hidden="1">
      <c r="A1777" s="91" t="s">
        <v>3576</v>
      </c>
      <c r="B1777" s="87" t="str">
        <f>IFERROR(VLOOKUP(Proc[[#This Row],[App]],Table2[],3,0),"open")</f>
        <v>ok</v>
      </c>
      <c r="C1777" s="91" t="s">
        <v>369</v>
      </c>
      <c r="D1777" t="s">
        <v>3579</v>
      </c>
      <c r="E1777" t="s">
        <v>2018</v>
      </c>
      <c r="F1777" s="105" t="s">
        <v>2018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1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2563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1076</v>
      </c>
      <c r="S1777" s="87"/>
    </row>
    <row r="1778" spans="1:19" hidden="1">
      <c r="A1778" s="91" t="s">
        <v>3576</v>
      </c>
      <c r="B1778" s="87" t="str">
        <f>IFERROR(VLOOKUP(Proc[[#This Row],[App]],Table2[],3,0),"open")</f>
        <v>ok</v>
      </c>
      <c r="C1778" s="91" t="s">
        <v>369</v>
      </c>
      <c r="D1778" t="s">
        <v>3580</v>
      </c>
      <c r="E1778" t="s">
        <v>2016</v>
      </c>
      <c r="F1778" s="105" t="s">
        <v>2016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1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2563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1076</v>
      </c>
      <c r="S1778" s="87"/>
    </row>
    <row r="1779" spans="1:19" hidden="1">
      <c r="A1779" s="91" t="s">
        <v>3576</v>
      </c>
      <c r="B1779" s="87" t="str">
        <f>IFERROR(VLOOKUP(Proc[[#This Row],[App]],Table2[],3,0),"open")</f>
        <v>ok</v>
      </c>
      <c r="C1779" s="91" t="s">
        <v>369</v>
      </c>
      <c r="D1779" t="s">
        <v>3581</v>
      </c>
      <c r="E1779" t="s">
        <v>2016</v>
      </c>
      <c r="F1779" s="105" t="s">
        <v>2016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1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2563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1076</v>
      </c>
      <c r="S1779" s="87"/>
    </row>
    <row r="1780" spans="1:19" hidden="1">
      <c r="A1780" s="91" t="s">
        <v>3576</v>
      </c>
      <c r="B1780" s="87" t="str">
        <f>IFERROR(VLOOKUP(Proc[[#This Row],[App]],Table2[],3,0),"open")</f>
        <v>ok</v>
      </c>
      <c r="C1780" s="91" t="s">
        <v>369</v>
      </c>
      <c r="D1780" t="s">
        <v>3582</v>
      </c>
      <c r="E1780" t="s">
        <v>2016</v>
      </c>
      <c r="F1780" s="105" t="s">
        <v>2016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1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2563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1076</v>
      </c>
      <c r="S1780" s="87"/>
    </row>
    <row r="1781" spans="1:19" hidden="1">
      <c r="A1781" s="91" t="s">
        <v>3576</v>
      </c>
      <c r="B1781" s="87" t="str">
        <f>IFERROR(VLOOKUP(Proc[[#This Row],[App]],Table2[],3,0),"open")</f>
        <v>ok</v>
      </c>
      <c r="C1781" s="91" t="s">
        <v>369</v>
      </c>
      <c r="D1781" t="s">
        <v>3583</v>
      </c>
      <c r="E1781" t="s">
        <v>2016</v>
      </c>
      <c r="F1781" s="105" t="s">
        <v>2016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1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2563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1076</v>
      </c>
      <c r="S1781" s="87"/>
    </row>
    <row r="1782" spans="1:19" hidden="1">
      <c r="A1782" s="91" t="s">
        <v>3576</v>
      </c>
      <c r="B1782" s="87" t="str">
        <f>IFERROR(VLOOKUP(Proc[[#This Row],[App]],Table2[],3,0),"open")</f>
        <v>ok</v>
      </c>
      <c r="C1782" s="91" t="s">
        <v>369</v>
      </c>
      <c r="D1782" t="s">
        <v>3584</v>
      </c>
      <c r="E1782" t="s">
        <v>2016</v>
      </c>
      <c r="F1782" s="105" t="s">
        <v>2016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1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2563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1076</v>
      </c>
      <c r="S1782" s="87"/>
    </row>
    <row r="1783" spans="1:19" hidden="1">
      <c r="A1783" s="91" t="s">
        <v>3576</v>
      </c>
      <c r="B1783" s="87" t="str">
        <f>IFERROR(VLOOKUP(Proc[[#This Row],[App]],Table2[],3,0),"open")</f>
        <v>ok</v>
      </c>
      <c r="C1783" s="91" t="s">
        <v>369</v>
      </c>
      <c r="D1783" t="s">
        <v>3585</v>
      </c>
      <c r="E1783" t="s">
        <v>2016</v>
      </c>
      <c r="F1783" s="105" t="s">
        <v>2016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1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2563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1076</v>
      </c>
      <c r="S1783" s="87"/>
    </row>
    <row r="1784" spans="1:19" hidden="1">
      <c r="A1784" s="91" t="s">
        <v>3576</v>
      </c>
      <c r="B1784" s="87" t="str">
        <f>IFERROR(VLOOKUP(Proc[[#This Row],[App]],Table2[],3,0),"open")</f>
        <v>ok</v>
      </c>
      <c r="C1784" s="91" t="s">
        <v>369</v>
      </c>
      <c r="D1784" t="s">
        <v>3586</v>
      </c>
      <c r="E1784" t="s">
        <v>3587</v>
      </c>
      <c r="F1784" s="105" t="s">
        <v>3587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1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2563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1076</v>
      </c>
      <c r="S1784" s="87"/>
    </row>
    <row r="1785" spans="1:19" hidden="1">
      <c r="A1785" s="91" t="s">
        <v>3576</v>
      </c>
      <c r="B1785" s="87" t="str">
        <f>IFERROR(VLOOKUP(Proc[[#This Row],[App]],Table2[],3,0),"open")</f>
        <v>ok</v>
      </c>
      <c r="C1785" s="91" t="s">
        <v>369</v>
      </c>
      <c r="D1785" t="s">
        <v>3588</v>
      </c>
      <c r="E1785" t="s">
        <v>1214</v>
      </c>
      <c r="F1785" s="105" t="s">
        <v>1214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1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2563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1076</v>
      </c>
      <c r="S1785" s="87"/>
    </row>
    <row r="1786" spans="1:19" hidden="1">
      <c r="A1786" s="91" t="s">
        <v>3576</v>
      </c>
      <c r="B1786" s="87" t="str">
        <f>IFERROR(VLOOKUP(Proc[[#This Row],[App]],Table2[],3,0),"open")</f>
        <v>ok</v>
      </c>
      <c r="C1786" s="91" t="s">
        <v>369</v>
      </c>
      <c r="D1786" t="s">
        <v>3589</v>
      </c>
      <c r="E1786" t="s">
        <v>3590</v>
      </c>
      <c r="F1786" s="105" t="s">
        <v>3590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1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2563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1076</v>
      </c>
      <c r="S1786" s="87"/>
    </row>
    <row r="1787" spans="1:19" hidden="1">
      <c r="A1787" s="91" t="s">
        <v>3576</v>
      </c>
      <c r="B1787" s="87" t="str">
        <f>IFERROR(VLOOKUP(Proc[[#This Row],[App]],Table2[],3,0),"open")</f>
        <v>ok</v>
      </c>
      <c r="C1787" s="91" t="s">
        <v>369</v>
      </c>
      <c r="D1787" t="s">
        <v>3591</v>
      </c>
      <c r="E1787" t="s">
        <v>419</v>
      </c>
      <c r="F1787" s="105" t="s">
        <v>419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1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2563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1076</v>
      </c>
      <c r="S1787" s="87"/>
    </row>
    <row r="1788" spans="1:19" hidden="1">
      <c r="A1788" s="91" t="s">
        <v>3576</v>
      </c>
      <c r="B1788" s="87" t="str">
        <f>IFERROR(VLOOKUP(Proc[[#This Row],[App]],Table2[],3,0),"open")</f>
        <v>ok</v>
      </c>
      <c r="C1788" s="91" t="s">
        <v>369</v>
      </c>
      <c r="D1788" t="s">
        <v>3592</v>
      </c>
      <c r="E1788" t="s">
        <v>419</v>
      </c>
      <c r="F1788" s="105" t="s">
        <v>419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1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2563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1076</v>
      </c>
      <c r="S1788" s="87"/>
    </row>
    <row r="1789" spans="1:19" hidden="1">
      <c r="A1789" s="91" t="s">
        <v>3576</v>
      </c>
      <c r="B1789" s="87" t="str">
        <f>IFERROR(VLOOKUP(Proc[[#This Row],[App]],Table2[],3,0),"open")</f>
        <v>ok</v>
      </c>
      <c r="C1789" s="91" t="s">
        <v>369</v>
      </c>
      <c r="D1789" t="s">
        <v>3593</v>
      </c>
      <c r="E1789" t="s">
        <v>419</v>
      </c>
      <c r="F1789" s="105" t="s">
        <v>419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1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2563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1076</v>
      </c>
      <c r="S1789" s="87"/>
    </row>
    <row r="1790" spans="1:19" hidden="1">
      <c r="A1790" t="s">
        <v>3600</v>
      </c>
      <c r="B1790" s="87" t="str">
        <f>IFERROR(VLOOKUP(Proc[[#This Row],[App]],Table2[],3,0),"open")</f>
        <v>ok</v>
      </c>
      <c r="C1790" s="91" t="s">
        <v>369</v>
      </c>
      <c r="D1790" t="s">
        <v>3595</v>
      </c>
      <c r="E1790" t="s">
        <v>3598</v>
      </c>
      <c r="F1790" s="105" t="s">
        <v>3598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1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2563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1013</v>
      </c>
      <c r="S1790" s="87"/>
    </row>
    <row r="1791" spans="1:19" hidden="1">
      <c r="A1791" s="91" t="s">
        <v>3600</v>
      </c>
      <c r="B1791" s="87" t="str">
        <f>IFERROR(VLOOKUP(Proc[[#This Row],[App]],Table2[],3,0),"open")</f>
        <v>ok</v>
      </c>
      <c r="C1791" s="91" t="s">
        <v>369</v>
      </c>
      <c r="D1791" t="s">
        <v>3596</v>
      </c>
      <c r="E1791" t="s">
        <v>3599</v>
      </c>
      <c r="F1791" s="105" t="s">
        <v>3599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1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2563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1013</v>
      </c>
      <c r="S1791" s="87"/>
    </row>
    <row r="1792" spans="1:19" hidden="1">
      <c r="A1792" s="91" t="s">
        <v>3600</v>
      </c>
      <c r="B1792" s="87" t="str">
        <f>IFERROR(VLOOKUP(Proc[[#This Row],[App]],Table2[],3,0),"open")</f>
        <v>ok</v>
      </c>
      <c r="C1792" s="91" t="s">
        <v>369</v>
      </c>
      <c r="D1792" t="s">
        <v>3597</v>
      </c>
      <c r="E1792" t="s">
        <v>3599</v>
      </c>
      <c r="F1792" s="105" t="s">
        <v>3599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1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2563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1013</v>
      </c>
      <c r="S1792" s="87"/>
    </row>
    <row r="1793" spans="1:19" hidden="1">
      <c r="A1793" t="s">
        <v>3601</v>
      </c>
      <c r="B1793" s="87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5" t="s">
        <v>3603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1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478</v>
      </c>
      <c r="S1793" s="87"/>
    </row>
    <row r="1794" spans="1:19" hidden="1">
      <c r="A1794" s="91" t="s">
        <v>3601</v>
      </c>
      <c r="B1794" s="87" t="str">
        <f>IFERROR(VLOOKUP(Proc[[#This Row],[App]],Table2[],3,0),"open")</f>
        <v>ok</v>
      </c>
      <c r="C1794" s="91" t="s">
        <v>369</v>
      </c>
      <c r="D1794" t="s">
        <v>3604</v>
      </c>
      <c r="E1794" t="s">
        <v>3603</v>
      </c>
      <c r="F1794" s="105" t="s">
        <v>3603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1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478</v>
      </c>
      <c r="S1794" s="87"/>
    </row>
    <row r="1795" spans="1:19" hidden="1">
      <c r="A1795" s="91" t="s">
        <v>3601</v>
      </c>
      <c r="B1795" s="87" t="str">
        <f>IFERROR(VLOOKUP(Proc[[#This Row],[App]],Table2[],3,0),"open")</f>
        <v>ok</v>
      </c>
      <c r="C1795" s="91" t="s">
        <v>369</v>
      </c>
      <c r="D1795" t="s">
        <v>3605</v>
      </c>
      <c r="E1795" t="s">
        <v>3603</v>
      </c>
      <c r="F1795" s="105" t="s">
        <v>3603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1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478</v>
      </c>
      <c r="S1795" s="87"/>
    </row>
    <row r="1796" spans="1:19" hidden="1">
      <c r="A1796" s="91" t="s">
        <v>3601</v>
      </c>
      <c r="B1796" s="87" t="str">
        <f>IFERROR(VLOOKUP(Proc[[#This Row],[App]],Table2[],3,0),"open")</f>
        <v>ok</v>
      </c>
      <c r="C1796" s="91" t="s">
        <v>369</v>
      </c>
      <c r="D1796" t="s">
        <v>3606</v>
      </c>
      <c r="E1796" t="s">
        <v>3603</v>
      </c>
      <c r="F1796" s="105" t="s">
        <v>3603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1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478</v>
      </c>
      <c r="S1796" s="87"/>
    </row>
    <row r="1797" spans="1:19" hidden="1">
      <c r="A1797" s="91" t="s">
        <v>3601</v>
      </c>
      <c r="B1797" s="87" t="str">
        <f>IFERROR(VLOOKUP(Proc[[#This Row],[App]],Table2[],3,0),"open")</f>
        <v>ok</v>
      </c>
      <c r="C1797" s="91" t="s">
        <v>369</v>
      </c>
      <c r="D1797" t="s">
        <v>3607</v>
      </c>
      <c r="E1797" t="s">
        <v>3603</v>
      </c>
      <c r="F1797" s="105" t="s">
        <v>3603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1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478</v>
      </c>
      <c r="S1797" s="87"/>
    </row>
    <row r="1798" spans="1:19" hidden="1">
      <c r="A1798" s="91" t="s">
        <v>3601</v>
      </c>
      <c r="B1798" s="87" t="str">
        <f>IFERROR(VLOOKUP(Proc[[#This Row],[App]],Table2[],3,0),"open")</f>
        <v>ok</v>
      </c>
      <c r="C1798" s="91" t="s">
        <v>369</v>
      </c>
      <c r="D1798" t="s">
        <v>3608</v>
      </c>
      <c r="E1798" t="s">
        <v>3603</v>
      </c>
      <c r="F1798" s="105" t="s">
        <v>3603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1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478</v>
      </c>
      <c r="S1798" s="87"/>
    </row>
    <row r="1799" spans="1:19" hidden="1">
      <c r="A1799" t="s">
        <v>3609</v>
      </c>
      <c r="B1799" s="87" t="str">
        <f>IFERROR(VLOOKUP(Proc[[#This Row],[App]],Table2[],3,0),"open")</f>
        <v>ok</v>
      </c>
      <c r="C1799" s="91" t="s">
        <v>369</v>
      </c>
      <c r="D1799" t="s">
        <v>3610</v>
      </c>
      <c r="E1799" t="s">
        <v>3615</v>
      </c>
      <c r="F1799" s="105" t="s">
        <v>3615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1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972</v>
      </c>
      <c r="S1799" s="87"/>
    </row>
    <row r="1800" spans="1:19" hidden="1">
      <c r="A1800" s="91" t="s">
        <v>3609</v>
      </c>
      <c r="B1800" s="87" t="str">
        <f>IFERROR(VLOOKUP(Proc[[#This Row],[App]],Table2[],3,0),"open")</f>
        <v>ok</v>
      </c>
      <c r="C1800" s="91" t="s">
        <v>369</v>
      </c>
      <c r="D1800" t="s">
        <v>3611</v>
      </c>
      <c r="E1800" t="s">
        <v>3616</v>
      </c>
      <c r="F1800" s="105" t="s">
        <v>3616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1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972</v>
      </c>
      <c r="S1800" s="87"/>
    </row>
    <row r="1801" spans="1:19" hidden="1">
      <c r="A1801" s="91" t="s">
        <v>3609</v>
      </c>
      <c r="B1801" s="87" t="str">
        <f>IFERROR(VLOOKUP(Proc[[#This Row],[App]],Table2[],3,0),"open")</f>
        <v>ok</v>
      </c>
      <c r="C1801" s="91" t="s">
        <v>369</v>
      </c>
      <c r="D1801" t="s">
        <v>3612</v>
      </c>
      <c r="E1801" t="s">
        <v>3617</v>
      </c>
      <c r="F1801" s="105" t="s">
        <v>3617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1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972</v>
      </c>
      <c r="S1801" s="87"/>
    </row>
    <row r="1802" spans="1:19" hidden="1">
      <c r="A1802" s="91" t="s">
        <v>3609</v>
      </c>
      <c r="B1802" s="87" t="str">
        <f>IFERROR(VLOOKUP(Proc[[#This Row],[App]],Table2[],3,0),"open")</f>
        <v>ok</v>
      </c>
      <c r="C1802" s="91" t="s">
        <v>369</v>
      </c>
      <c r="D1802" t="s">
        <v>3613</v>
      </c>
      <c r="E1802" t="s">
        <v>2206</v>
      </c>
      <c r="F1802" s="105" t="s">
        <v>2206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1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972</v>
      </c>
      <c r="S1802" s="87"/>
    </row>
    <row r="1803" spans="1:19" hidden="1">
      <c r="A1803" s="91" t="s">
        <v>3609</v>
      </c>
      <c r="B1803" s="87" t="str">
        <f>IFERROR(VLOOKUP(Proc[[#This Row],[App]],Table2[],3,0),"open")</f>
        <v>ok</v>
      </c>
      <c r="C1803" s="91" t="s">
        <v>369</v>
      </c>
      <c r="D1803" t="s">
        <v>3614</v>
      </c>
      <c r="E1803" t="s">
        <v>1716</v>
      </c>
      <c r="F1803" s="105" t="s">
        <v>1716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1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972</v>
      </c>
      <c r="S1803" s="87"/>
    </row>
    <row r="1804" spans="1:19" hidden="1">
      <c r="A1804" t="s">
        <v>3620</v>
      </c>
      <c r="B1804" s="87" t="str">
        <f>IFERROR(VLOOKUP(Proc[[#This Row],[App]],Table2[],3,0),"open")</f>
        <v>ok</v>
      </c>
      <c r="C1804" s="91" t="s">
        <v>369</v>
      </c>
      <c r="D1804" t="s">
        <v>3618</v>
      </c>
      <c r="E1804" t="s">
        <v>3619</v>
      </c>
      <c r="F1804" s="105" t="s">
        <v>3619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3624</v>
      </c>
      <c r="J1804" s="87" t="b">
        <f>Proc[[#This Row],[Requested]]=Proc[[#This Row],[CurrentParent]]</f>
        <v>1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489</v>
      </c>
      <c r="S1804" s="87"/>
    </row>
    <row r="1805" spans="1:19" hidden="1">
      <c r="A1805" t="s">
        <v>3621</v>
      </c>
      <c r="B1805" s="87" t="str">
        <f>IFERROR(VLOOKUP(Proc[[#This Row],[App]],Table2[],3,0),"open")</f>
        <v>ok</v>
      </c>
      <c r="C1805" s="91" t="s">
        <v>369</v>
      </c>
      <c r="D1805" t="s">
        <v>3622</v>
      </c>
      <c r="E1805" t="s">
        <v>3623</v>
      </c>
      <c r="F1805" s="105" t="s">
        <v>3623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1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1262</v>
      </c>
      <c r="S1805" s="87"/>
    </row>
    <row r="1806" spans="1:19" hidden="1">
      <c r="A1806" t="s">
        <v>3625</v>
      </c>
      <c r="B1806" s="87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5" t="s">
        <v>3626</v>
      </c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1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478</v>
      </c>
      <c r="S1806" s="87"/>
    </row>
    <row r="1807" spans="1:19" hidden="1">
      <c r="A1807" t="s">
        <v>3628</v>
      </c>
      <c r="B1807" s="87" t="str">
        <f>IFERROR(VLOOKUP(Proc[[#This Row],[App]],Table2[],3,0),"open")</f>
        <v>ok</v>
      </c>
      <c r="C1807" s="95" t="s">
        <v>369</v>
      </c>
      <c r="D1807" s="94" t="s">
        <v>3631</v>
      </c>
      <c r="E1807" t="s">
        <v>2105</v>
      </c>
      <c r="F1807" s="105" t="s">
        <v>2105</v>
      </c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1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738</v>
      </c>
      <c r="S1807" s="87"/>
    </row>
    <row r="1808" spans="1:19" hidden="1">
      <c r="A1808" s="94" t="s">
        <v>3628</v>
      </c>
      <c r="B1808" s="87" t="str">
        <f>IFERROR(VLOOKUP(Proc[[#This Row],[App]],Table2[],3,0),"open")</f>
        <v>ok</v>
      </c>
      <c r="C1808" s="95" t="s">
        <v>369</v>
      </c>
      <c r="D1808" s="94" t="s">
        <v>3632</v>
      </c>
      <c r="E1808" t="s">
        <v>3629</v>
      </c>
      <c r="F1808" s="105" t="s">
        <v>3629</v>
      </c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1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738</v>
      </c>
      <c r="S1808" s="87"/>
    </row>
    <row r="1809" spans="1:19" hidden="1">
      <c r="A1809" s="94" t="s">
        <v>3628</v>
      </c>
      <c r="B1809" s="87" t="str">
        <f>IFERROR(VLOOKUP(Proc[[#This Row],[App]],Table2[],3,0),"open")</f>
        <v>ok</v>
      </c>
      <c r="C1809" s="95" t="s">
        <v>369</v>
      </c>
      <c r="D1809" s="94" t="s">
        <v>3633</v>
      </c>
      <c r="E1809" t="s">
        <v>3629</v>
      </c>
      <c r="F1809" s="105" t="s">
        <v>3629</v>
      </c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1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738</v>
      </c>
      <c r="S1809" s="87"/>
    </row>
    <row r="1810" spans="1:19" hidden="1">
      <c r="A1810" s="94" t="s">
        <v>3628</v>
      </c>
      <c r="B1810" s="87" t="str">
        <f>IFERROR(VLOOKUP(Proc[[#This Row],[App]],Table2[],3,0),"open")</f>
        <v>ok</v>
      </c>
      <c r="C1810" s="95" t="s">
        <v>369</v>
      </c>
      <c r="D1810" s="94" t="s">
        <v>3634</v>
      </c>
      <c r="E1810" s="94" t="s">
        <v>3629</v>
      </c>
      <c r="F1810" s="105" t="s">
        <v>3629</v>
      </c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1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738</v>
      </c>
      <c r="S1810" s="87"/>
    </row>
    <row r="1811" spans="1:19" hidden="1">
      <c r="A1811" s="94" t="s">
        <v>3628</v>
      </c>
      <c r="B1811" s="87" t="str">
        <f>IFERROR(VLOOKUP(Proc[[#This Row],[App]],Table2[],3,0),"open")</f>
        <v>ok</v>
      </c>
      <c r="C1811" s="95" t="s">
        <v>369</v>
      </c>
      <c r="D1811" s="94" t="s">
        <v>3635</v>
      </c>
      <c r="E1811" t="s">
        <v>2159</v>
      </c>
      <c r="F1811" s="105" t="s">
        <v>2159</v>
      </c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1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738</v>
      </c>
      <c r="S1811" s="87"/>
    </row>
    <row r="1812" spans="1:19" hidden="1">
      <c r="A1812" s="94" t="s">
        <v>3628</v>
      </c>
      <c r="B1812" s="87" t="str">
        <f>IFERROR(VLOOKUP(Proc[[#This Row],[App]],Table2[],3,0),"open")</f>
        <v>ok</v>
      </c>
      <c r="C1812" s="95" t="s">
        <v>369</v>
      </c>
      <c r="D1812" s="94" t="s">
        <v>3636</v>
      </c>
      <c r="E1812" t="s">
        <v>3630</v>
      </c>
      <c r="F1812" s="105" t="s">
        <v>3630</v>
      </c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1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738</v>
      </c>
      <c r="S1812" s="87"/>
    </row>
    <row r="1813" spans="1:19" hidden="1">
      <c r="A1813" t="s">
        <v>3639</v>
      </c>
      <c r="B1813" s="96" t="str">
        <f>IFERROR(VLOOKUP(Proc[[#This Row],[App]],Table2[],3,0),"open")</f>
        <v>ok</v>
      </c>
      <c r="C1813" s="95" t="s">
        <v>369</v>
      </c>
      <c r="D1813" s="95" t="s">
        <v>3637</v>
      </c>
      <c r="E1813" t="s">
        <v>3638</v>
      </c>
      <c r="F1813" s="105" t="s">
        <v>3638</v>
      </c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1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3640</v>
      </c>
      <c r="S1813" s="96"/>
    </row>
    <row r="1814" spans="1:19" hidden="1">
      <c r="A1814" t="s">
        <v>3641</v>
      </c>
      <c r="B1814" s="96" t="str">
        <f>IFERROR(VLOOKUP(Proc[[#This Row],[App]],Table2[],3,0),"open")</f>
        <v>ok</v>
      </c>
      <c r="C1814" s="95" t="s">
        <v>369</v>
      </c>
      <c r="D1814" t="s">
        <v>3642</v>
      </c>
      <c r="E1814" t="s">
        <v>3740</v>
      </c>
      <c r="F1814" s="105" t="s">
        <v>3740</v>
      </c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1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1013</v>
      </c>
      <c r="S1814" s="96"/>
    </row>
    <row r="1815" spans="1:19" hidden="1">
      <c r="A1815" s="95" t="s">
        <v>3641</v>
      </c>
      <c r="B1815" s="96" t="str">
        <f>IFERROR(VLOOKUP(Proc[[#This Row],[App]],Table2[],3,0),"open")</f>
        <v>ok</v>
      </c>
      <c r="C1815" s="95" t="s">
        <v>369</v>
      </c>
      <c r="D1815" t="s">
        <v>3643</v>
      </c>
      <c r="E1815" t="s">
        <v>3007</v>
      </c>
      <c r="F1815" s="105" t="s">
        <v>3007</v>
      </c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1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1013</v>
      </c>
      <c r="S1815" s="96"/>
    </row>
    <row r="1816" spans="1:19" hidden="1">
      <c r="A1816" s="95" t="s">
        <v>3641</v>
      </c>
      <c r="B1816" s="96" t="str">
        <f>IFERROR(VLOOKUP(Proc[[#This Row],[App]],Table2[],3,0),"open")</f>
        <v>ok</v>
      </c>
      <c r="C1816" s="95" t="s">
        <v>369</v>
      </c>
      <c r="D1816" t="s">
        <v>3644</v>
      </c>
      <c r="E1816" t="s">
        <v>3007</v>
      </c>
      <c r="F1816" s="105" t="s">
        <v>3007</v>
      </c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1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1013</v>
      </c>
      <c r="S1816" s="96"/>
    </row>
    <row r="1817" spans="1:19" hidden="1">
      <c r="A1817" s="95" t="s">
        <v>3641</v>
      </c>
      <c r="B1817" s="96" t="str">
        <f>IFERROR(VLOOKUP(Proc[[#This Row],[App]],Table2[],3,0),"open")</f>
        <v>ok</v>
      </c>
      <c r="C1817" s="95" t="s">
        <v>369</v>
      </c>
      <c r="D1817" t="s">
        <v>3645</v>
      </c>
      <c r="E1817" t="s">
        <v>3007</v>
      </c>
      <c r="F1817" s="105" t="s">
        <v>3007</v>
      </c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1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1013</v>
      </c>
      <c r="S1817" s="96"/>
    </row>
    <row r="1818" spans="1:19" hidden="1">
      <c r="A1818" s="95" t="s">
        <v>3641</v>
      </c>
      <c r="B1818" s="96" t="str">
        <f>IFERROR(VLOOKUP(Proc[[#This Row],[App]],Table2[],3,0),"open")</f>
        <v>ok</v>
      </c>
      <c r="C1818" s="95" t="s">
        <v>369</v>
      </c>
      <c r="D1818" t="s">
        <v>3646</v>
      </c>
      <c r="E1818" t="s">
        <v>3007</v>
      </c>
      <c r="F1818" s="105" t="s">
        <v>3007</v>
      </c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1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1013</v>
      </c>
      <c r="S1818" s="96"/>
    </row>
    <row r="1819" spans="1:19" hidden="1">
      <c r="A1819" s="95" t="s">
        <v>3641</v>
      </c>
      <c r="B1819" s="96" t="str">
        <f>IFERROR(VLOOKUP(Proc[[#This Row],[App]],Table2[],3,0),"open")</f>
        <v>ok</v>
      </c>
      <c r="C1819" s="95" t="s">
        <v>369</v>
      </c>
      <c r="D1819" t="s">
        <v>3647</v>
      </c>
      <c r="E1819" t="s">
        <v>3007</v>
      </c>
      <c r="F1819" s="105" t="s">
        <v>3007</v>
      </c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1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1013</v>
      </c>
      <c r="S1819" s="96"/>
    </row>
    <row r="1820" spans="1:19" hidden="1">
      <c r="A1820" s="95" t="s">
        <v>3641</v>
      </c>
      <c r="B1820" s="96" t="str">
        <f>IFERROR(VLOOKUP(Proc[[#This Row],[App]],Table2[],3,0),"open")</f>
        <v>ok</v>
      </c>
      <c r="C1820" s="95" t="s">
        <v>369</v>
      </c>
      <c r="D1820" t="s">
        <v>3648</v>
      </c>
      <c r="E1820" t="s">
        <v>3007</v>
      </c>
      <c r="F1820" s="105" t="s">
        <v>3007</v>
      </c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1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1013</v>
      </c>
      <c r="S1820" s="96"/>
    </row>
    <row r="1821" spans="1:19" hidden="1">
      <c r="A1821" s="95" t="s">
        <v>3641</v>
      </c>
      <c r="B1821" s="96" t="str">
        <f>IFERROR(VLOOKUP(Proc[[#This Row],[App]],Table2[],3,0),"open")</f>
        <v>ok</v>
      </c>
      <c r="C1821" s="95" t="s">
        <v>369</v>
      </c>
      <c r="D1821" t="s">
        <v>3649</v>
      </c>
      <c r="E1821" t="s">
        <v>3007</v>
      </c>
      <c r="F1821" s="105" t="s">
        <v>3007</v>
      </c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1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1013</v>
      </c>
      <c r="S1821" s="96"/>
    </row>
    <row r="1822" spans="1:19" hidden="1">
      <c r="A1822" s="95" t="s">
        <v>3641</v>
      </c>
      <c r="B1822" s="96" t="str">
        <f>IFERROR(VLOOKUP(Proc[[#This Row],[App]],Table2[],3,0),"open")</f>
        <v>ok</v>
      </c>
      <c r="C1822" s="95" t="s">
        <v>369</v>
      </c>
      <c r="D1822" t="s">
        <v>3650</v>
      </c>
      <c r="E1822" t="s">
        <v>3007</v>
      </c>
      <c r="F1822" s="105" t="s">
        <v>3007</v>
      </c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1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1013</v>
      </c>
      <c r="S1822" s="96"/>
    </row>
    <row r="1823" spans="1:19" hidden="1">
      <c r="A1823" s="95" t="s">
        <v>3641</v>
      </c>
      <c r="B1823" s="96" t="str">
        <f>IFERROR(VLOOKUP(Proc[[#This Row],[App]],Table2[],3,0),"open")</f>
        <v>ok</v>
      </c>
      <c r="C1823" s="95" t="s">
        <v>369</v>
      </c>
      <c r="D1823" t="s">
        <v>3651</v>
      </c>
      <c r="E1823" t="s">
        <v>3007</v>
      </c>
      <c r="F1823" s="105" t="s">
        <v>3007</v>
      </c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1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1013</v>
      </c>
      <c r="S1823" s="96"/>
    </row>
    <row r="1824" spans="1:19" hidden="1">
      <c r="A1824" s="95" t="s">
        <v>3641</v>
      </c>
      <c r="B1824" s="96" t="str">
        <f>IFERROR(VLOOKUP(Proc[[#This Row],[App]],Table2[],3,0),"open")</f>
        <v>ok</v>
      </c>
      <c r="C1824" s="95" t="s">
        <v>369</v>
      </c>
      <c r="D1824" t="s">
        <v>3652</v>
      </c>
      <c r="E1824" t="s">
        <v>3741</v>
      </c>
      <c r="F1824" s="105" t="s">
        <v>3741</v>
      </c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1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1013</v>
      </c>
      <c r="S1824" s="96"/>
    </row>
    <row r="1825" spans="1:19" hidden="1">
      <c r="A1825" s="95" t="s">
        <v>3641</v>
      </c>
      <c r="B1825" s="96" t="str">
        <f>IFERROR(VLOOKUP(Proc[[#This Row],[App]],Table2[],3,0),"open")</f>
        <v>ok</v>
      </c>
      <c r="C1825" s="95" t="s">
        <v>369</v>
      </c>
      <c r="D1825" t="s">
        <v>3653</v>
      </c>
      <c r="E1825" t="s">
        <v>3004</v>
      </c>
      <c r="F1825" s="105" t="s">
        <v>3004</v>
      </c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1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1013</v>
      </c>
      <c r="S1825" s="96"/>
    </row>
    <row r="1826" spans="1:19" hidden="1">
      <c r="A1826" s="95" t="s">
        <v>3641</v>
      </c>
      <c r="B1826" s="96" t="str">
        <f>IFERROR(VLOOKUP(Proc[[#This Row],[App]],Table2[],3,0),"open")</f>
        <v>ok</v>
      </c>
      <c r="C1826" s="95" t="s">
        <v>369</v>
      </c>
      <c r="D1826" t="s">
        <v>3654</v>
      </c>
      <c r="E1826" t="s">
        <v>3005</v>
      </c>
      <c r="F1826" s="105" t="s">
        <v>3005</v>
      </c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1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1013</v>
      </c>
      <c r="S1826" s="96"/>
    </row>
    <row r="1827" spans="1:19" hidden="1">
      <c r="A1827" s="95" t="s">
        <v>3641</v>
      </c>
      <c r="B1827" s="96" t="str">
        <f>IFERROR(VLOOKUP(Proc[[#This Row],[App]],Table2[],3,0),"open")</f>
        <v>ok</v>
      </c>
      <c r="C1827" s="95" t="s">
        <v>369</v>
      </c>
      <c r="D1827" t="s">
        <v>3655</v>
      </c>
      <c r="E1827" t="s">
        <v>3007</v>
      </c>
      <c r="F1827" s="105" t="s">
        <v>3007</v>
      </c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1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1013</v>
      </c>
      <c r="S1827" s="96"/>
    </row>
    <row r="1828" spans="1:19" hidden="1">
      <c r="A1828" s="95" t="s">
        <v>3641</v>
      </c>
      <c r="B1828" s="96" t="str">
        <f>IFERROR(VLOOKUP(Proc[[#This Row],[App]],Table2[],3,0),"open")</f>
        <v>ok</v>
      </c>
      <c r="C1828" s="95" t="s">
        <v>369</v>
      </c>
      <c r="D1828" t="s">
        <v>3656</v>
      </c>
      <c r="E1828" t="s">
        <v>3007</v>
      </c>
      <c r="F1828" s="105" t="s">
        <v>3007</v>
      </c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1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1013</v>
      </c>
      <c r="S1828" s="96"/>
    </row>
    <row r="1829" spans="1:19" hidden="1">
      <c r="A1829" s="95" t="s">
        <v>3641</v>
      </c>
      <c r="B1829" s="96" t="str">
        <f>IFERROR(VLOOKUP(Proc[[#This Row],[App]],Table2[],3,0),"open")</f>
        <v>ok</v>
      </c>
      <c r="C1829" s="95" t="s">
        <v>369</v>
      </c>
      <c r="D1829" t="s">
        <v>3657</v>
      </c>
      <c r="E1829" t="s">
        <v>3005</v>
      </c>
      <c r="F1829" s="105" t="s">
        <v>3005</v>
      </c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1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1013</v>
      </c>
      <c r="S1829" s="96"/>
    </row>
    <row r="1830" spans="1:19" hidden="1">
      <c r="A1830" s="95" t="s">
        <v>3641</v>
      </c>
      <c r="B1830" s="96" t="str">
        <f>IFERROR(VLOOKUP(Proc[[#This Row],[App]],Table2[],3,0),"open")</f>
        <v>ok</v>
      </c>
      <c r="C1830" s="95" t="s">
        <v>369</v>
      </c>
      <c r="D1830" t="s">
        <v>3658</v>
      </c>
      <c r="E1830" t="s">
        <v>3005</v>
      </c>
      <c r="F1830" s="105" t="s">
        <v>3005</v>
      </c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1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1013</v>
      </c>
      <c r="S1830" s="96"/>
    </row>
    <row r="1831" spans="1:19" hidden="1">
      <c r="A1831" s="95" t="s">
        <v>3641</v>
      </c>
      <c r="B1831" s="96" t="str">
        <f>IFERROR(VLOOKUP(Proc[[#This Row],[App]],Table2[],3,0),"open")</f>
        <v>ok</v>
      </c>
      <c r="C1831" s="95" t="s">
        <v>369</v>
      </c>
      <c r="D1831" t="s">
        <v>3659</v>
      </c>
      <c r="E1831" t="s">
        <v>3004</v>
      </c>
      <c r="F1831" s="105" t="s">
        <v>3004</v>
      </c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1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1013</v>
      </c>
      <c r="S1831" s="96"/>
    </row>
    <row r="1832" spans="1:19" hidden="1">
      <c r="A1832" s="95" t="s">
        <v>3641</v>
      </c>
      <c r="B1832" s="96" t="str">
        <f>IFERROR(VLOOKUP(Proc[[#This Row],[App]],Table2[],3,0),"open")</f>
        <v>ok</v>
      </c>
      <c r="C1832" s="95" t="s">
        <v>369</v>
      </c>
      <c r="D1832" t="s">
        <v>3660</v>
      </c>
      <c r="E1832" t="s">
        <v>3004</v>
      </c>
      <c r="F1832" s="105" t="s">
        <v>3004</v>
      </c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1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1013</v>
      </c>
      <c r="S1832" s="96"/>
    </row>
    <row r="1833" spans="1:19" hidden="1">
      <c r="A1833" s="95" t="s">
        <v>3641</v>
      </c>
      <c r="B1833" s="96" t="str">
        <f>IFERROR(VLOOKUP(Proc[[#This Row],[App]],Table2[],3,0),"open")</f>
        <v>ok</v>
      </c>
      <c r="C1833" s="95" t="s">
        <v>369</v>
      </c>
      <c r="D1833" t="s">
        <v>3661</v>
      </c>
      <c r="E1833" t="s">
        <v>3004</v>
      </c>
      <c r="F1833" s="105" t="s">
        <v>3004</v>
      </c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1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1013</v>
      </c>
      <c r="S1833" s="96"/>
    </row>
    <row r="1834" spans="1:19" hidden="1">
      <c r="A1834" s="95" t="s">
        <v>3641</v>
      </c>
      <c r="B1834" s="96" t="str">
        <f>IFERROR(VLOOKUP(Proc[[#This Row],[App]],Table2[],3,0),"open")</f>
        <v>ok</v>
      </c>
      <c r="C1834" s="95" t="s">
        <v>369</v>
      </c>
      <c r="D1834" t="s">
        <v>3662</v>
      </c>
      <c r="E1834" t="s">
        <v>3006</v>
      </c>
      <c r="F1834" s="105" t="s">
        <v>3006</v>
      </c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1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1013</v>
      </c>
      <c r="S1834" s="96"/>
    </row>
    <row r="1835" spans="1:19" hidden="1">
      <c r="A1835" s="95" t="s">
        <v>3641</v>
      </c>
      <c r="B1835" s="96" t="str">
        <f>IFERROR(VLOOKUP(Proc[[#This Row],[App]],Table2[],3,0),"open")</f>
        <v>ok</v>
      </c>
      <c r="C1835" s="95" t="s">
        <v>369</v>
      </c>
      <c r="D1835" t="s">
        <v>3663</v>
      </c>
      <c r="E1835" t="s">
        <v>3006</v>
      </c>
      <c r="F1835" s="105" t="s">
        <v>3006</v>
      </c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1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1013</v>
      </c>
      <c r="S1835" s="96"/>
    </row>
    <row r="1836" spans="1:19" hidden="1">
      <c r="A1836" s="95" t="s">
        <v>3641</v>
      </c>
      <c r="B1836" s="96" t="str">
        <f>IFERROR(VLOOKUP(Proc[[#This Row],[App]],Table2[],3,0),"open")</f>
        <v>ok</v>
      </c>
      <c r="C1836" s="95" t="s">
        <v>369</v>
      </c>
      <c r="D1836" t="s">
        <v>3664</v>
      </c>
      <c r="E1836" t="s">
        <v>3006</v>
      </c>
      <c r="F1836" s="105" t="s">
        <v>3006</v>
      </c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1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1013</v>
      </c>
      <c r="S1836" s="96"/>
    </row>
    <row r="1837" spans="1:19" hidden="1">
      <c r="A1837" s="95" t="s">
        <v>3641</v>
      </c>
      <c r="B1837" s="96" t="str">
        <f>IFERROR(VLOOKUP(Proc[[#This Row],[App]],Table2[],3,0),"open")</f>
        <v>ok</v>
      </c>
      <c r="C1837" s="95" t="s">
        <v>369</v>
      </c>
      <c r="D1837" t="s">
        <v>3665</v>
      </c>
      <c r="E1837" t="s">
        <v>3005</v>
      </c>
      <c r="F1837" s="105" t="s">
        <v>3005</v>
      </c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1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1013</v>
      </c>
      <c r="S1837" s="96"/>
    </row>
    <row r="1838" spans="1:19" hidden="1">
      <c r="A1838" s="95" t="s">
        <v>3641</v>
      </c>
      <c r="B1838" s="96" t="str">
        <f>IFERROR(VLOOKUP(Proc[[#This Row],[App]],Table2[],3,0),"open")</f>
        <v>ok</v>
      </c>
      <c r="C1838" s="95" t="s">
        <v>369</v>
      </c>
      <c r="D1838" t="s">
        <v>3666</v>
      </c>
      <c r="E1838" t="s">
        <v>3004</v>
      </c>
      <c r="F1838" s="105" t="s">
        <v>3004</v>
      </c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1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1013</v>
      </c>
      <c r="S1838" s="96"/>
    </row>
    <row r="1839" spans="1:19" hidden="1">
      <c r="A1839" s="95" t="s">
        <v>3641</v>
      </c>
      <c r="B1839" s="96" t="str">
        <f>IFERROR(VLOOKUP(Proc[[#This Row],[App]],Table2[],3,0),"open")</f>
        <v>ok</v>
      </c>
      <c r="C1839" s="95" t="s">
        <v>369</v>
      </c>
      <c r="D1839" t="s">
        <v>3667</v>
      </c>
      <c r="E1839" t="s">
        <v>3004</v>
      </c>
      <c r="F1839" s="105" t="s">
        <v>3004</v>
      </c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1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1013</v>
      </c>
      <c r="S1839" s="96"/>
    </row>
    <row r="1840" spans="1:19" hidden="1">
      <c r="A1840" s="95" t="s">
        <v>3641</v>
      </c>
      <c r="B1840" s="96" t="str">
        <f>IFERROR(VLOOKUP(Proc[[#This Row],[App]],Table2[],3,0),"open")</f>
        <v>ok</v>
      </c>
      <c r="C1840" s="95" t="s">
        <v>369</v>
      </c>
      <c r="D1840" t="s">
        <v>3668</v>
      </c>
      <c r="E1840" t="s">
        <v>3004</v>
      </c>
      <c r="F1840" s="105" t="s">
        <v>3004</v>
      </c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1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1013</v>
      </c>
      <c r="S1840" s="96"/>
    </row>
    <row r="1841" spans="1:19" hidden="1">
      <c r="A1841" s="95" t="s">
        <v>3641</v>
      </c>
      <c r="B1841" s="96" t="str">
        <f>IFERROR(VLOOKUP(Proc[[#This Row],[App]],Table2[],3,0),"open")</f>
        <v>ok</v>
      </c>
      <c r="C1841" s="95" t="s">
        <v>369</v>
      </c>
      <c r="D1841" t="s">
        <v>3669</v>
      </c>
      <c r="E1841" t="s">
        <v>3741</v>
      </c>
      <c r="F1841" s="105" t="s">
        <v>3741</v>
      </c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1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1013</v>
      </c>
      <c r="S1841" s="96"/>
    </row>
    <row r="1842" spans="1:19" hidden="1">
      <c r="A1842" s="95" t="s">
        <v>3641</v>
      </c>
      <c r="B1842" s="96" t="str">
        <f>IFERROR(VLOOKUP(Proc[[#This Row],[App]],Table2[],3,0),"open")</f>
        <v>ok</v>
      </c>
      <c r="C1842" s="95" t="s">
        <v>369</v>
      </c>
      <c r="D1842" t="s">
        <v>3670</v>
      </c>
      <c r="E1842" t="s">
        <v>3004</v>
      </c>
      <c r="F1842" s="105" t="s">
        <v>3004</v>
      </c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1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1013</v>
      </c>
      <c r="S1842" s="96"/>
    </row>
    <row r="1843" spans="1:19" hidden="1">
      <c r="A1843" s="95" t="s">
        <v>3641</v>
      </c>
      <c r="B1843" s="96" t="str">
        <f>IFERROR(VLOOKUP(Proc[[#This Row],[App]],Table2[],3,0),"open")</f>
        <v>ok</v>
      </c>
      <c r="C1843" s="95" t="s">
        <v>369</v>
      </c>
      <c r="D1843" t="s">
        <v>3671</v>
      </c>
      <c r="E1843" t="s">
        <v>3004</v>
      </c>
      <c r="F1843" s="105" t="s">
        <v>3004</v>
      </c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1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1013</v>
      </c>
      <c r="S1843" s="96"/>
    </row>
    <row r="1844" spans="1:19" hidden="1">
      <c r="A1844" s="95" t="s">
        <v>3641</v>
      </c>
      <c r="B1844" s="96" t="str">
        <f>IFERROR(VLOOKUP(Proc[[#This Row],[App]],Table2[],3,0),"open")</f>
        <v>ok</v>
      </c>
      <c r="C1844" s="95" t="s">
        <v>369</v>
      </c>
      <c r="D1844" t="s">
        <v>3672</v>
      </c>
      <c r="E1844" t="s">
        <v>3004</v>
      </c>
      <c r="F1844" s="105" t="s">
        <v>3004</v>
      </c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1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1013</v>
      </c>
      <c r="S1844" s="96"/>
    </row>
    <row r="1845" spans="1:19" hidden="1">
      <c r="A1845" s="95" t="s">
        <v>3641</v>
      </c>
      <c r="B1845" s="96" t="str">
        <f>IFERROR(VLOOKUP(Proc[[#This Row],[App]],Table2[],3,0),"open")</f>
        <v>ok</v>
      </c>
      <c r="C1845" s="95" t="s">
        <v>369</v>
      </c>
      <c r="D1845" t="s">
        <v>3673</v>
      </c>
      <c r="E1845" t="s">
        <v>3006</v>
      </c>
      <c r="F1845" s="105" t="s">
        <v>3006</v>
      </c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1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1013</v>
      </c>
      <c r="S1845" s="96"/>
    </row>
    <row r="1846" spans="1:19" hidden="1">
      <c r="A1846" s="95" t="s">
        <v>3641</v>
      </c>
      <c r="B1846" s="96" t="str">
        <f>IFERROR(VLOOKUP(Proc[[#This Row],[App]],Table2[],3,0),"open")</f>
        <v>ok</v>
      </c>
      <c r="C1846" s="95" t="s">
        <v>369</v>
      </c>
      <c r="D1846" t="s">
        <v>3674</v>
      </c>
      <c r="E1846" t="s">
        <v>3006</v>
      </c>
      <c r="F1846" s="105" t="s">
        <v>3006</v>
      </c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1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1013</v>
      </c>
      <c r="S1846" s="96"/>
    </row>
    <row r="1847" spans="1:19" hidden="1">
      <c r="A1847" s="95" t="s">
        <v>3641</v>
      </c>
      <c r="B1847" s="96" t="str">
        <f>IFERROR(VLOOKUP(Proc[[#This Row],[App]],Table2[],3,0),"open")</f>
        <v>ok</v>
      </c>
      <c r="C1847" s="95" t="s">
        <v>369</v>
      </c>
      <c r="D1847" t="s">
        <v>3675</v>
      </c>
      <c r="E1847" t="s">
        <v>3006</v>
      </c>
      <c r="F1847" s="105" t="s">
        <v>3006</v>
      </c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1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1013</v>
      </c>
      <c r="S1847" s="96"/>
    </row>
    <row r="1848" spans="1:19" hidden="1">
      <c r="A1848" s="95" t="s">
        <v>3641</v>
      </c>
      <c r="B1848" s="96" t="str">
        <f>IFERROR(VLOOKUP(Proc[[#This Row],[App]],Table2[],3,0),"open")</f>
        <v>ok</v>
      </c>
      <c r="C1848" s="95" t="s">
        <v>369</v>
      </c>
      <c r="D1848" t="s">
        <v>3676</v>
      </c>
      <c r="E1848" t="s">
        <v>3004</v>
      </c>
      <c r="F1848" s="105" t="s">
        <v>3004</v>
      </c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1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1013</v>
      </c>
      <c r="S1848" s="96"/>
    </row>
    <row r="1849" spans="1:19" hidden="1">
      <c r="A1849" s="95" t="s">
        <v>3641</v>
      </c>
      <c r="B1849" s="96" t="str">
        <f>IFERROR(VLOOKUP(Proc[[#This Row],[App]],Table2[],3,0),"open")</f>
        <v>ok</v>
      </c>
      <c r="C1849" s="95" t="s">
        <v>369</v>
      </c>
      <c r="D1849" t="s">
        <v>3677</v>
      </c>
      <c r="E1849" t="s">
        <v>3004</v>
      </c>
      <c r="F1849" s="105" t="s">
        <v>3004</v>
      </c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1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1013</v>
      </c>
      <c r="S1849" s="96"/>
    </row>
    <row r="1850" spans="1:19" hidden="1">
      <c r="A1850" s="95" t="s">
        <v>3641</v>
      </c>
      <c r="B1850" s="96" t="str">
        <f>IFERROR(VLOOKUP(Proc[[#This Row],[App]],Table2[],3,0),"open")</f>
        <v>ok</v>
      </c>
      <c r="C1850" s="95" t="s">
        <v>369</v>
      </c>
      <c r="D1850" t="s">
        <v>3678</v>
      </c>
      <c r="E1850" t="s">
        <v>3004</v>
      </c>
      <c r="F1850" s="105" t="s">
        <v>3004</v>
      </c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1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1013</v>
      </c>
      <c r="S1850" s="96"/>
    </row>
    <row r="1851" spans="1:19" hidden="1">
      <c r="A1851" s="95" t="s">
        <v>3641</v>
      </c>
      <c r="B1851" s="96" t="str">
        <f>IFERROR(VLOOKUP(Proc[[#This Row],[App]],Table2[],3,0),"open")</f>
        <v>ok</v>
      </c>
      <c r="C1851" s="95" t="s">
        <v>369</v>
      </c>
      <c r="D1851" t="s">
        <v>3679</v>
      </c>
      <c r="E1851" t="s">
        <v>3004</v>
      </c>
      <c r="F1851" s="105" t="s">
        <v>3004</v>
      </c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1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1013</v>
      </c>
      <c r="S1851" s="96"/>
    </row>
    <row r="1852" spans="1:19" hidden="1">
      <c r="A1852" s="95" t="s">
        <v>3641</v>
      </c>
      <c r="B1852" s="96" t="str">
        <f>IFERROR(VLOOKUP(Proc[[#This Row],[App]],Table2[],3,0),"open")</f>
        <v>ok</v>
      </c>
      <c r="C1852" s="95" t="s">
        <v>369</v>
      </c>
      <c r="D1852" t="s">
        <v>3680</v>
      </c>
      <c r="E1852" t="s">
        <v>3004</v>
      </c>
      <c r="F1852" s="105" t="s">
        <v>3004</v>
      </c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1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1013</v>
      </c>
      <c r="S1852" s="96"/>
    </row>
    <row r="1853" spans="1:19" hidden="1">
      <c r="A1853" s="95" t="s">
        <v>3641</v>
      </c>
      <c r="B1853" s="96" t="str">
        <f>IFERROR(VLOOKUP(Proc[[#This Row],[App]],Table2[],3,0),"open")</f>
        <v>ok</v>
      </c>
      <c r="C1853" s="95" t="s">
        <v>369</v>
      </c>
      <c r="D1853" t="s">
        <v>3681</v>
      </c>
      <c r="E1853" t="s">
        <v>3005</v>
      </c>
      <c r="F1853" s="105" t="s">
        <v>3005</v>
      </c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1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1013</v>
      </c>
      <c r="S1853" s="96"/>
    </row>
    <row r="1854" spans="1:19" hidden="1">
      <c r="A1854" s="95" t="s">
        <v>3641</v>
      </c>
      <c r="B1854" s="96" t="str">
        <f>IFERROR(VLOOKUP(Proc[[#This Row],[App]],Table2[],3,0),"open")</f>
        <v>ok</v>
      </c>
      <c r="C1854" s="95" t="s">
        <v>369</v>
      </c>
      <c r="D1854" t="s">
        <v>3682</v>
      </c>
      <c r="E1854" t="s">
        <v>3004</v>
      </c>
      <c r="F1854" s="105" t="s">
        <v>3004</v>
      </c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1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1013</v>
      </c>
      <c r="S1854" s="96"/>
    </row>
    <row r="1855" spans="1:19" hidden="1">
      <c r="A1855" s="95" t="s">
        <v>3641</v>
      </c>
      <c r="B1855" s="96" t="str">
        <f>IFERROR(VLOOKUP(Proc[[#This Row],[App]],Table2[],3,0),"open")</f>
        <v>ok</v>
      </c>
      <c r="C1855" s="95" t="s">
        <v>369</v>
      </c>
      <c r="D1855" t="s">
        <v>3683</v>
      </c>
      <c r="E1855" t="s">
        <v>3004</v>
      </c>
      <c r="F1855" s="105" t="s">
        <v>3004</v>
      </c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1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1013</v>
      </c>
      <c r="S1855" s="96"/>
    </row>
    <row r="1856" spans="1:19" hidden="1">
      <c r="A1856" s="95" t="s">
        <v>3641</v>
      </c>
      <c r="B1856" s="96" t="str">
        <f>IFERROR(VLOOKUP(Proc[[#This Row],[App]],Table2[],3,0),"open")</f>
        <v>ok</v>
      </c>
      <c r="C1856" s="95" t="s">
        <v>369</v>
      </c>
      <c r="D1856" t="s">
        <v>3684</v>
      </c>
      <c r="E1856" t="s">
        <v>3004</v>
      </c>
      <c r="F1856" s="105" t="s">
        <v>3004</v>
      </c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1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1013</v>
      </c>
      <c r="S1856" s="96"/>
    </row>
    <row r="1857" spans="1:19" hidden="1">
      <c r="A1857" s="95" t="s">
        <v>3641</v>
      </c>
      <c r="B1857" s="96" t="str">
        <f>IFERROR(VLOOKUP(Proc[[#This Row],[App]],Table2[],3,0),"open")</f>
        <v>ok</v>
      </c>
      <c r="C1857" s="95" t="s">
        <v>369</v>
      </c>
      <c r="D1857" t="s">
        <v>3685</v>
      </c>
      <c r="E1857" t="s">
        <v>3004</v>
      </c>
      <c r="F1857" s="105" t="s">
        <v>3004</v>
      </c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1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1013</v>
      </c>
      <c r="S1857" s="96"/>
    </row>
    <row r="1858" spans="1:19" hidden="1">
      <c r="A1858" s="95" t="s">
        <v>3641</v>
      </c>
      <c r="B1858" s="96" t="str">
        <f>IFERROR(VLOOKUP(Proc[[#This Row],[App]],Table2[],3,0),"open")</f>
        <v>ok</v>
      </c>
      <c r="C1858" s="95" t="s">
        <v>369</v>
      </c>
      <c r="D1858" t="s">
        <v>3686</v>
      </c>
      <c r="E1858" t="s">
        <v>3004</v>
      </c>
      <c r="F1858" s="105" t="s">
        <v>3004</v>
      </c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1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1013</v>
      </c>
      <c r="S1858" s="96"/>
    </row>
    <row r="1859" spans="1:19" hidden="1">
      <c r="A1859" s="95" t="s">
        <v>3641</v>
      </c>
      <c r="B1859" s="96" t="str">
        <f>IFERROR(VLOOKUP(Proc[[#This Row],[App]],Table2[],3,0),"open")</f>
        <v>ok</v>
      </c>
      <c r="C1859" s="95" t="s">
        <v>369</v>
      </c>
      <c r="D1859" t="s">
        <v>3687</v>
      </c>
      <c r="E1859" t="s">
        <v>3006</v>
      </c>
      <c r="F1859" s="105" t="s">
        <v>3006</v>
      </c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1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1013</v>
      </c>
      <c r="S1859" s="96"/>
    </row>
    <row r="1860" spans="1:19" hidden="1">
      <c r="A1860" s="95" t="s">
        <v>3641</v>
      </c>
      <c r="B1860" s="96" t="str">
        <f>IFERROR(VLOOKUP(Proc[[#This Row],[App]],Table2[],3,0),"open")</f>
        <v>ok</v>
      </c>
      <c r="C1860" s="95" t="s">
        <v>369</v>
      </c>
      <c r="D1860" t="s">
        <v>3688</v>
      </c>
      <c r="E1860" t="s">
        <v>3006</v>
      </c>
      <c r="F1860" s="105" t="s">
        <v>3006</v>
      </c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1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1013</v>
      </c>
      <c r="S1860" s="96"/>
    </row>
    <row r="1861" spans="1:19" hidden="1">
      <c r="A1861" s="95" t="s">
        <v>3641</v>
      </c>
      <c r="B1861" s="96" t="str">
        <f>IFERROR(VLOOKUP(Proc[[#This Row],[App]],Table2[],3,0),"open")</f>
        <v>ok</v>
      </c>
      <c r="C1861" s="95" t="s">
        <v>369</v>
      </c>
      <c r="D1861" t="s">
        <v>3689</v>
      </c>
      <c r="E1861" t="s">
        <v>3006</v>
      </c>
      <c r="F1861" s="105" t="s">
        <v>3006</v>
      </c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1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1013</v>
      </c>
      <c r="S1861" s="96"/>
    </row>
    <row r="1862" spans="1:19" hidden="1">
      <c r="A1862" s="95" t="s">
        <v>3641</v>
      </c>
      <c r="B1862" s="96" t="str">
        <f>IFERROR(VLOOKUP(Proc[[#This Row],[App]],Table2[],3,0),"open")</f>
        <v>ok</v>
      </c>
      <c r="C1862" s="95" t="s">
        <v>369</v>
      </c>
      <c r="D1862" t="s">
        <v>3690</v>
      </c>
      <c r="E1862" t="s">
        <v>3004</v>
      </c>
      <c r="F1862" s="105" t="s">
        <v>3004</v>
      </c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1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1013</v>
      </c>
      <c r="S1862" s="96"/>
    </row>
    <row r="1863" spans="1:19" hidden="1">
      <c r="A1863" s="95" t="s">
        <v>3641</v>
      </c>
      <c r="B1863" s="96" t="str">
        <f>IFERROR(VLOOKUP(Proc[[#This Row],[App]],Table2[],3,0),"open")</f>
        <v>ok</v>
      </c>
      <c r="C1863" s="95" t="s">
        <v>369</v>
      </c>
      <c r="D1863" t="s">
        <v>3691</v>
      </c>
      <c r="E1863" t="s">
        <v>3741</v>
      </c>
      <c r="F1863" s="105" t="s">
        <v>3741</v>
      </c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1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1013</v>
      </c>
      <c r="S1863" s="96"/>
    </row>
    <row r="1864" spans="1:19" hidden="1">
      <c r="A1864" s="95" t="s">
        <v>3641</v>
      </c>
      <c r="B1864" s="96" t="str">
        <f>IFERROR(VLOOKUP(Proc[[#This Row],[App]],Table2[],3,0),"open")</f>
        <v>ok</v>
      </c>
      <c r="C1864" s="95" t="s">
        <v>369</v>
      </c>
      <c r="D1864" t="s">
        <v>3692</v>
      </c>
      <c r="E1864" t="s">
        <v>3742</v>
      </c>
      <c r="F1864" s="105" t="s">
        <v>3742</v>
      </c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1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1013</v>
      </c>
      <c r="S1864" s="96"/>
    </row>
    <row r="1865" spans="1:19" hidden="1">
      <c r="A1865" s="95" t="s">
        <v>3641</v>
      </c>
      <c r="B1865" s="96" t="str">
        <f>IFERROR(VLOOKUP(Proc[[#This Row],[App]],Table2[],3,0),"open")</f>
        <v>ok</v>
      </c>
      <c r="C1865" s="95" t="s">
        <v>369</v>
      </c>
      <c r="D1865" t="s">
        <v>3693</v>
      </c>
      <c r="E1865" t="s">
        <v>3744</v>
      </c>
      <c r="F1865" s="105" t="s">
        <v>3744</v>
      </c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1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1013</v>
      </c>
      <c r="S1865" s="96"/>
    </row>
    <row r="1866" spans="1:19" hidden="1">
      <c r="A1866" s="95" t="s">
        <v>3641</v>
      </c>
      <c r="B1866" s="96" t="str">
        <f>IFERROR(VLOOKUP(Proc[[#This Row],[App]],Table2[],3,0),"open")</f>
        <v>ok</v>
      </c>
      <c r="C1866" s="95" t="s">
        <v>369</v>
      </c>
      <c r="D1866" t="s">
        <v>3694</v>
      </c>
      <c r="E1866" t="s">
        <v>3746</v>
      </c>
      <c r="F1866" s="105" t="s">
        <v>3746</v>
      </c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1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1013</v>
      </c>
      <c r="S1866" s="96"/>
    </row>
    <row r="1867" spans="1:19" hidden="1">
      <c r="A1867" s="95" t="s">
        <v>3641</v>
      </c>
      <c r="B1867" s="96" t="str">
        <f>IFERROR(VLOOKUP(Proc[[#This Row],[App]],Table2[],3,0),"open")</f>
        <v>ok</v>
      </c>
      <c r="C1867" s="95" t="s">
        <v>369</v>
      </c>
      <c r="D1867" t="s">
        <v>3695</v>
      </c>
      <c r="E1867" t="s">
        <v>3742</v>
      </c>
      <c r="F1867" s="105" t="s">
        <v>3742</v>
      </c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1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1013</v>
      </c>
      <c r="S1867" s="96"/>
    </row>
    <row r="1868" spans="1:19" hidden="1">
      <c r="A1868" s="95" t="s">
        <v>3641</v>
      </c>
      <c r="B1868" s="96" t="str">
        <f>IFERROR(VLOOKUP(Proc[[#This Row],[App]],Table2[],3,0),"open")</f>
        <v>ok</v>
      </c>
      <c r="C1868" s="95" t="s">
        <v>369</v>
      </c>
      <c r="D1868" t="s">
        <v>3696</v>
      </c>
      <c r="E1868" s="95" t="s">
        <v>3744</v>
      </c>
      <c r="F1868" s="105" t="s">
        <v>3744</v>
      </c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1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1013</v>
      </c>
      <c r="S1868" s="96"/>
    </row>
    <row r="1869" spans="1:19" hidden="1">
      <c r="A1869" s="95" t="s">
        <v>3641</v>
      </c>
      <c r="B1869" s="96" t="str">
        <f>IFERROR(VLOOKUP(Proc[[#This Row],[App]],Table2[],3,0),"open")</f>
        <v>ok</v>
      </c>
      <c r="C1869" s="95" t="s">
        <v>369</v>
      </c>
      <c r="D1869" t="s">
        <v>3697</v>
      </c>
      <c r="E1869" t="s">
        <v>3744</v>
      </c>
      <c r="F1869" s="105" t="s">
        <v>3744</v>
      </c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1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1013</v>
      </c>
      <c r="S1869" s="96"/>
    </row>
    <row r="1870" spans="1:19" hidden="1">
      <c r="A1870" s="95" t="s">
        <v>3641</v>
      </c>
      <c r="B1870" s="96" t="str">
        <f>IFERROR(VLOOKUP(Proc[[#This Row],[App]],Table2[],3,0),"open")</f>
        <v>ok</v>
      </c>
      <c r="C1870" s="95" t="s">
        <v>369</v>
      </c>
      <c r="D1870" t="s">
        <v>3698</v>
      </c>
      <c r="E1870" t="s">
        <v>3747</v>
      </c>
      <c r="F1870" s="105" t="s">
        <v>3747</v>
      </c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1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1013</v>
      </c>
      <c r="S1870" s="96"/>
    </row>
    <row r="1871" spans="1:19" hidden="1">
      <c r="A1871" s="95" t="s">
        <v>3641</v>
      </c>
      <c r="B1871" s="96" t="str">
        <f>IFERROR(VLOOKUP(Proc[[#This Row],[App]],Table2[],3,0),"open")</f>
        <v>ok</v>
      </c>
      <c r="C1871" s="95" t="s">
        <v>369</v>
      </c>
      <c r="D1871" t="s">
        <v>3699</v>
      </c>
      <c r="E1871" t="s">
        <v>3746</v>
      </c>
      <c r="F1871" s="105" t="s">
        <v>3746</v>
      </c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1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1013</v>
      </c>
      <c r="S1871" s="96"/>
    </row>
    <row r="1872" spans="1:19" hidden="1">
      <c r="A1872" s="95" t="s">
        <v>3641</v>
      </c>
      <c r="B1872" s="96" t="str">
        <f>IFERROR(VLOOKUP(Proc[[#This Row],[App]],Table2[],3,0),"open")</f>
        <v>ok</v>
      </c>
      <c r="C1872" s="95" t="s">
        <v>369</v>
      </c>
      <c r="D1872" t="s">
        <v>3700</v>
      </c>
      <c r="E1872" t="s">
        <v>3745</v>
      </c>
      <c r="F1872" s="105" t="s">
        <v>3745</v>
      </c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1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1013</v>
      </c>
      <c r="S1872" s="96"/>
    </row>
    <row r="1873" spans="1:19" hidden="1">
      <c r="A1873" s="95" t="s">
        <v>3641</v>
      </c>
      <c r="B1873" s="96" t="str">
        <f>IFERROR(VLOOKUP(Proc[[#This Row],[App]],Table2[],3,0),"open")</f>
        <v>ok</v>
      </c>
      <c r="C1873" s="95" t="s">
        <v>369</v>
      </c>
      <c r="D1873" t="s">
        <v>3701</v>
      </c>
      <c r="E1873" t="s">
        <v>3744</v>
      </c>
      <c r="F1873" s="105" t="s">
        <v>3744</v>
      </c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1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1013</v>
      </c>
      <c r="S1873" s="96"/>
    </row>
    <row r="1874" spans="1:19" hidden="1">
      <c r="A1874" s="95" t="s">
        <v>3641</v>
      </c>
      <c r="B1874" s="96" t="str">
        <f>IFERROR(VLOOKUP(Proc[[#This Row],[App]],Table2[],3,0),"open")</f>
        <v>ok</v>
      </c>
      <c r="C1874" s="95" t="s">
        <v>377</v>
      </c>
      <c r="D1874" t="s">
        <v>3702</v>
      </c>
      <c r="E1874" t="s">
        <v>3743</v>
      </c>
      <c r="F1874" s="105" t="s">
        <v>3743</v>
      </c>
      <c r="G1874" s="95" t="s">
        <v>400</v>
      </c>
      <c r="H1874" s="96" t="str">
        <f>IF(Proc[[#This Row],[type]]="LFF (MDG-F)",MID(Proc[[#This Row],[Obj]],13,10),"")</f>
        <v/>
      </c>
      <c r="I1874" t="s">
        <v>4071</v>
      </c>
      <c r="J1874" s="96" t="b">
        <f>Proc[[#This Row],[Requested]]=Proc[[#This Row],[CurrentParent]]</f>
        <v>1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1013</v>
      </c>
      <c r="S1874" s="96"/>
    </row>
    <row r="1875" spans="1:19" hidden="1">
      <c r="A1875" s="95" t="s">
        <v>3641</v>
      </c>
      <c r="B1875" s="96" t="str">
        <f>IFERROR(VLOOKUP(Proc[[#This Row],[App]],Table2[],3,0),"open")</f>
        <v>ok</v>
      </c>
      <c r="C1875" s="95" t="s">
        <v>369</v>
      </c>
      <c r="D1875" t="s">
        <v>3703</v>
      </c>
      <c r="E1875" t="s">
        <v>3402</v>
      </c>
      <c r="F1875" s="105" t="s">
        <v>3402</v>
      </c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1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1013</v>
      </c>
      <c r="S1875" s="96"/>
    </row>
    <row r="1876" spans="1:19" hidden="1">
      <c r="A1876" s="95" t="s">
        <v>3641</v>
      </c>
      <c r="B1876" s="96" t="str">
        <f>IFERROR(VLOOKUP(Proc[[#This Row],[App]],Table2[],3,0),"open")</f>
        <v>ok</v>
      </c>
      <c r="C1876" s="95" t="s">
        <v>369</v>
      </c>
      <c r="D1876" t="s">
        <v>3704</v>
      </c>
      <c r="E1876" s="95" t="s">
        <v>3402</v>
      </c>
      <c r="F1876" s="105" t="s">
        <v>3402</v>
      </c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1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1013</v>
      </c>
      <c r="S1876" s="96"/>
    </row>
    <row r="1877" spans="1:19" hidden="1">
      <c r="A1877" s="95" t="s">
        <v>3641</v>
      </c>
      <c r="B1877" s="96" t="str">
        <f>IFERROR(VLOOKUP(Proc[[#This Row],[App]],Table2[],3,0),"open")</f>
        <v>ok</v>
      </c>
      <c r="C1877" s="95" t="s">
        <v>369</v>
      </c>
      <c r="D1877" t="s">
        <v>3705</v>
      </c>
      <c r="E1877" s="95" t="s">
        <v>3402</v>
      </c>
      <c r="F1877" s="105" t="s">
        <v>3402</v>
      </c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1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1013</v>
      </c>
      <c r="S1877" s="96"/>
    </row>
    <row r="1878" spans="1:19" hidden="1">
      <c r="A1878" s="95" t="s">
        <v>3641</v>
      </c>
      <c r="B1878" s="96" t="str">
        <f>IFERROR(VLOOKUP(Proc[[#This Row],[App]],Table2[],3,0),"open")</f>
        <v>ok</v>
      </c>
      <c r="C1878" s="95" t="s">
        <v>369</v>
      </c>
      <c r="D1878" t="s">
        <v>3706</v>
      </c>
      <c r="E1878" s="95" t="s">
        <v>3402</v>
      </c>
      <c r="F1878" s="105" t="s">
        <v>3402</v>
      </c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1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1013</v>
      </c>
      <c r="S1878" s="96"/>
    </row>
    <row r="1879" spans="1:19" hidden="1">
      <c r="A1879" s="95" t="s">
        <v>3641</v>
      </c>
      <c r="B1879" s="96" t="str">
        <f>IFERROR(VLOOKUP(Proc[[#This Row],[App]],Table2[],3,0),"open")</f>
        <v>ok</v>
      </c>
      <c r="C1879" s="95" t="s">
        <v>369</v>
      </c>
      <c r="D1879" t="s">
        <v>3707</v>
      </c>
      <c r="E1879" s="95" t="s">
        <v>3402</v>
      </c>
      <c r="F1879" s="105" t="s">
        <v>3402</v>
      </c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1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1013</v>
      </c>
      <c r="S1879" s="96"/>
    </row>
    <row r="1880" spans="1:19" hidden="1">
      <c r="A1880" s="95" t="s">
        <v>3641</v>
      </c>
      <c r="B1880" s="96" t="str">
        <f>IFERROR(VLOOKUP(Proc[[#This Row],[App]],Table2[],3,0),"open")</f>
        <v>ok</v>
      </c>
      <c r="C1880" s="95" t="s">
        <v>369</v>
      </c>
      <c r="D1880" t="s">
        <v>3708</v>
      </c>
      <c r="E1880" s="95" t="s">
        <v>3402</v>
      </c>
      <c r="F1880" s="105" t="s">
        <v>3402</v>
      </c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1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1013</v>
      </c>
      <c r="S1880" s="96"/>
    </row>
    <row r="1881" spans="1:19" hidden="1">
      <c r="A1881" s="95" t="s">
        <v>3641</v>
      </c>
      <c r="B1881" s="96" t="str">
        <f>IFERROR(VLOOKUP(Proc[[#This Row],[App]],Table2[],3,0),"open")</f>
        <v>ok</v>
      </c>
      <c r="C1881" s="95" t="s">
        <v>369</v>
      </c>
      <c r="D1881" t="s">
        <v>3709</v>
      </c>
      <c r="E1881" s="95" t="s">
        <v>3402</v>
      </c>
      <c r="F1881" s="105" t="s">
        <v>3402</v>
      </c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1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1013</v>
      </c>
      <c r="S1881" s="96"/>
    </row>
    <row r="1882" spans="1:19" hidden="1">
      <c r="A1882" s="95" t="s">
        <v>3641</v>
      </c>
      <c r="B1882" s="96" t="str">
        <f>IFERROR(VLOOKUP(Proc[[#This Row],[App]],Table2[],3,0),"open")</f>
        <v>ok</v>
      </c>
      <c r="C1882" s="95" t="s">
        <v>369</v>
      </c>
      <c r="D1882" t="s">
        <v>3710</v>
      </c>
      <c r="E1882" s="95" t="s">
        <v>3402</v>
      </c>
      <c r="F1882" s="105" t="s">
        <v>3402</v>
      </c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1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1013</v>
      </c>
      <c r="S1882" s="96"/>
    </row>
    <row r="1883" spans="1:19" hidden="1">
      <c r="A1883" s="95" t="s">
        <v>3641</v>
      </c>
      <c r="B1883" s="96" t="str">
        <f>IFERROR(VLOOKUP(Proc[[#This Row],[App]],Table2[],3,0),"open")</f>
        <v>ok</v>
      </c>
      <c r="C1883" s="95" t="s">
        <v>369</v>
      </c>
      <c r="D1883" t="s">
        <v>3711</v>
      </c>
      <c r="E1883" s="95" t="s">
        <v>3402</v>
      </c>
      <c r="F1883" s="105" t="s">
        <v>3402</v>
      </c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1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1013</v>
      </c>
      <c r="S1883" s="96"/>
    </row>
    <row r="1884" spans="1:19" hidden="1">
      <c r="A1884" s="95" t="s">
        <v>3641</v>
      </c>
      <c r="B1884" s="96" t="str">
        <f>IFERROR(VLOOKUP(Proc[[#This Row],[App]],Table2[],3,0),"open")</f>
        <v>ok</v>
      </c>
      <c r="C1884" s="95" t="s">
        <v>369</v>
      </c>
      <c r="D1884" t="s">
        <v>3712</v>
      </c>
      <c r="E1884" s="95" t="s">
        <v>3402</v>
      </c>
      <c r="F1884" s="105" t="s">
        <v>3402</v>
      </c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1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1013</v>
      </c>
      <c r="S1884" s="96"/>
    </row>
    <row r="1885" spans="1:19" hidden="1">
      <c r="A1885" s="95" t="s">
        <v>3641</v>
      </c>
      <c r="B1885" s="96" t="str">
        <f>IFERROR(VLOOKUP(Proc[[#This Row],[App]],Table2[],3,0),"open")</f>
        <v>ok</v>
      </c>
      <c r="C1885" s="95" t="s">
        <v>369</v>
      </c>
      <c r="D1885" t="s">
        <v>3713</v>
      </c>
      <c r="E1885" s="95" t="s">
        <v>3402</v>
      </c>
      <c r="F1885" s="105" t="s">
        <v>3402</v>
      </c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1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1013</v>
      </c>
      <c r="S1885" s="96"/>
    </row>
    <row r="1886" spans="1:19" hidden="1">
      <c r="A1886" s="95" t="s">
        <v>3641</v>
      </c>
      <c r="B1886" s="96" t="str">
        <f>IFERROR(VLOOKUP(Proc[[#This Row],[App]],Table2[],3,0),"open")</f>
        <v>ok</v>
      </c>
      <c r="C1886" s="95" t="s">
        <v>369</v>
      </c>
      <c r="D1886" t="s">
        <v>3714</v>
      </c>
      <c r="E1886" s="95" t="s">
        <v>3402</v>
      </c>
      <c r="F1886" s="105" t="s">
        <v>3402</v>
      </c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1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1013</v>
      </c>
      <c r="S1886" s="96"/>
    </row>
    <row r="1887" spans="1:19" hidden="1">
      <c r="A1887" s="95" t="s">
        <v>3641</v>
      </c>
      <c r="B1887" s="96" t="str">
        <f>IFERROR(VLOOKUP(Proc[[#This Row],[App]],Table2[],3,0),"open")</f>
        <v>ok</v>
      </c>
      <c r="C1887" s="95" t="s">
        <v>369</v>
      </c>
      <c r="D1887" t="s">
        <v>3715</v>
      </c>
      <c r="E1887" s="95" t="s">
        <v>3402</v>
      </c>
      <c r="F1887" s="105" t="s">
        <v>3402</v>
      </c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1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1013</v>
      </c>
      <c r="S1887" s="96"/>
    </row>
    <row r="1888" spans="1:19" hidden="1">
      <c r="A1888" s="95" t="s">
        <v>3641</v>
      </c>
      <c r="B1888" s="96" t="str">
        <f>IFERROR(VLOOKUP(Proc[[#This Row],[App]],Table2[],3,0),"open")</f>
        <v>ok</v>
      </c>
      <c r="C1888" s="95" t="s">
        <v>369</v>
      </c>
      <c r="D1888" t="s">
        <v>3716</v>
      </c>
      <c r="E1888" s="95" t="s">
        <v>3402</v>
      </c>
      <c r="F1888" s="105" t="s">
        <v>3402</v>
      </c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1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1013</v>
      </c>
      <c r="S1888" s="96"/>
    </row>
    <row r="1889" spans="1:19" hidden="1">
      <c r="A1889" s="95" t="s">
        <v>3641</v>
      </c>
      <c r="B1889" s="96" t="str">
        <f>IFERROR(VLOOKUP(Proc[[#This Row],[App]],Table2[],3,0),"open")</f>
        <v>ok</v>
      </c>
      <c r="C1889" s="95" t="s">
        <v>369</v>
      </c>
      <c r="D1889" t="s">
        <v>3717</v>
      </c>
      <c r="E1889" s="95" t="s">
        <v>3402</v>
      </c>
      <c r="F1889" s="105" t="s">
        <v>3402</v>
      </c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1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1013</v>
      </c>
      <c r="S1889" s="96"/>
    </row>
    <row r="1890" spans="1:19" hidden="1">
      <c r="A1890" s="95" t="s">
        <v>3641</v>
      </c>
      <c r="B1890" s="96" t="str">
        <f>IFERROR(VLOOKUP(Proc[[#This Row],[App]],Table2[],3,0),"open")</f>
        <v>ok</v>
      </c>
      <c r="C1890" s="95" t="s">
        <v>369</v>
      </c>
      <c r="D1890" t="s">
        <v>3718</v>
      </c>
      <c r="E1890" s="95" t="s">
        <v>3402</v>
      </c>
      <c r="F1890" s="105" t="s">
        <v>3402</v>
      </c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1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1013</v>
      </c>
      <c r="S1890" s="96"/>
    </row>
    <row r="1891" spans="1:19" hidden="1">
      <c r="A1891" s="95" t="s">
        <v>3641</v>
      </c>
      <c r="B1891" s="96" t="str">
        <f>IFERROR(VLOOKUP(Proc[[#This Row],[App]],Table2[],3,0),"open")</f>
        <v>ok</v>
      </c>
      <c r="C1891" s="95" t="s">
        <v>369</v>
      </c>
      <c r="D1891" t="s">
        <v>3719</v>
      </c>
      <c r="E1891" s="95" t="s">
        <v>3402</v>
      </c>
      <c r="F1891" s="105" t="s">
        <v>3402</v>
      </c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1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1013</v>
      </c>
      <c r="S1891" s="96"/>
    </row>
    <row r="1892" spans="1:19" hidden="1">
      <c r="A1892" s="95" t="s">
        <v>3641</v>
      </c>
      <c r="B1892" s="96" t="str">
        <f>IFERROR(VLOOKUP(Proc[[#This Row],[App]],Table2[],3,0),"open")</f>
        <v>ok</v>
      </c>
      <c r="C1892" s="95" t="s">
        <v>369</v>
      </c>
      <c r="D1892" t="s">
        <v>3720</v>
      </c>
      <c r="E1892" s="95" t="s">
        <v>3402</v>
      </c>
      <c r="F1892" s="105" t="s">
        <v>3402</v>
      </c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1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1013</v>
      </c>
      <c r="S1892" s="96"/>
    </row>
    <row r="1893" spans="1:19" hidden="1">
      <c r="A1893" s="95" t="s">
        <v>3641</v>
      </c>
      <c r="B1893" s="96" t="str">
        <f>IFERROR(VLOOKUP(Proc[[#This Row],[App]],Table2[],3,0),"open")</f>
        <v>ok</v>
      </c>
      <c r="C1893" s="95" t="s">
        <v>369</v>
      </c>
      <c r="D1893" t="s">
        <v>3721</v>
      </c>
      <c r="E1893" s="95" t="s">
        <v>3402</v>
      </c>
      <c r="F1893" s="105" t="s">
        <v>3402</v>
      </c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1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1013</v>
      </c>
      <c r="S1893" s="96"/>
    </row>
    <row r="1894" spans="1:19" hidden="1">
      <c r="A1894" s="95" t="s">
        <v>3641</v>
      </c>
      <c r="B1894" s="96" t="str">
        <f>IFERROR(VLOOKUP(Proc[[#This Row],[App]],Table2[],3,0),"open")</f>
        <v>ok</v>
      </c>
      <c r="C1894" s="95" t="s">
        <v>369</v>
      </c>
      <c r="D1894" t="s">
        <v>3722</v>
      </c>
      <c r="E1894" s="95" t="s">
        <v>3402</v>
      </c>
      <c r="F1894" s="105" t="s">
        <v>3402</v>
      </c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1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1013</v>
      </c>
      <c r="S1894" s="96"/>
    </row>
    <row r="1895" spans="1:19" hidden="1">
      <c r="A1895" s="95" t="s">
        <v>3641</v>
      </c>
      <c r="B1895" s="96" t="str">
        <f>IFERROR(VLOOKUP(Proc[[#This Row],[App]],Table2[],3,0),"open")</f>
        <v>ok</v>
      </c>
      <c r="C1895" s="95" t="s">
        <v>369</v>
      </c>
      <c r="D1895" t="s">
        <v>3723</v>
      </c>
      <c r="E1895" s="95" t="s">
        <v>3402</v>
      </c>
      <c r="F1895" s="105" t="s">
        <v>3402</v>
      </c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1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1013</v>
      </c>
      <c r="S1895" s="96"/>
    </row>
    <row r="1896" spans="1:19" hidden="1">
      <c r="A1896" s="95" t="s">
        <v>3641</v>
      </c>
      <c r="B1896" s="96" t="str">
        <f>IFERROR(VLOOKUP(Proc[[#This Row],[App]],Table2[],3,0),"open")</f>
        <v>ok</v>
      </c>
      <c r="C1896" s="95" t="s">
        <v>369</v>
      </c>
      <c r="D1896" t="s">
        <v>3724</v>
      </c>
      <c r="E1896" s="95" t="s">
        <v>3402</v>
      </c>
      <c r="F1896" s="105" t="s">
        <v>3402</v>
      </c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1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1013</v>
      </c>
      <c r="S1896" s="96"/>
    </row>
    <row r="1897" spans="1:19" hidden="1">
      <c r="A1897" s="95" t="s">
        <v>3641</v>
      </c>
      <c r="B1897" s="96" t="str">
        <f>IFERROR(VLOOKUP(Proc[[#This Row],[App]],Table2[],3,0),"open")</f>
        <v>ok</v>
      </c>
      <c r="C1897" s="95" t="s">
        <v>369</v>
      </c>
      <c r="D1897" t="s">
        <v>3725</v>
      </c>
      <c r="E1897" s="95" t="s">
        <v>3402</v>
      </c>
      <c r="F1897" s="105" t="s">
        <v>3402</v>
      </c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1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1013</v>
      </c>
      <c r="S1897" s="96"/>
    </row>
    <row r="1898" spans="1:19" hidden="1">
      <c r="A1898" s="95" t="s">
        <v>3641</v>
      </c>
      <c r="B1898" s="96" t="str">
        <f>IFERROR(VLOOKUP(Proc[[#This Row],[App]],Table2[],3,0),"open")</f>
        <v>ok</v>
      </c>
      <c r="C1898" s="95" t="s">
        <v>369</v>
      </c>
      <c r="D1898" t="s">
        <v>3726</v>
      </c>
      <c r="E1898" s="95" t="s">
        <v>3402</v>
      </c>
      <c r="F1898" s="105" t="s">
        <v>3402</v>
      </c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1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1013</v>
      </c>
      <c r="S1898" s="96"/>
    </row>
    <row r="1899" spans="1:19" hidden="1">
      <c r="A1899" s="95" t="s">
        <v>3641</v>
      </c>
      <c r="B1899" s="96" t="str">
        <f>IFERROR(VLOOKUP(Proc[[#This Row],[App]],Table2[],3,0),"open")</f>
        <v>ok</v>
      </c>
      <c r="C1899" s="95" t="s">
        <v>369</v>
      </c>
      <c r="D1899" t="s">
        <v>3727</v>
      </c>
      <c r="E1899" s="95" t="s">
        <v>3402</v>
      </c>
      <c r="F1899" s="105" t="s">
        <v>3402</v>
      </c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1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1013</v>
      </c>
      <c r="S1899" s="96"/>
    </row>
    <row r="1900" spans="1:19" hidden="1">
      <c r="A1900" s="95" t="s">
        <v>3641</v>
      </c>
      <c r="B1900" s="96" t="str">
        <f>IFERROR(VLOOKUP(Proc[[#This Row],[App]],Table2[],3,0),"open")</f>
        <v>ok</v>
      </c>
      <c r="C1900" s="95" t="s">
        <v>369</v>
      </c>
      <c r="D1900" t="s">
        <v>3728</v>
      </c>
      <c r="E1900" s="95" t="s">
        <v>3402</v>
      </c>
      <c r="F1900" s="105" t="s">
        <v>3402</v>
      </c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1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1013</v>
      </c>
      <c r="S1900" s="96"/>
    </row>
    <row r="1901" spans="1:19" hidden="1">
      <c r="A1901" s="95" t="s">
        <v>3641</v>
      </c>
      <c r="B1901" s="96" t="str">
        <f>IFERROR(VLOOKUP(Proc[[#This Row],[App]],Table2[],3,0),"open")</f>
        <v>ok</v>
      </c>
      <c r="C1901" s="95" t="s">
        <v>369</v>
      </c>
      <c r="D1901" t="s">
        <v>3729</v>
      </c>
      <c r="E1901" s="95" t="s">
        <v>3402</v>
      </c>
      <c r="F1901" s="105" t="s">
        <v>3402</v>
      </c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1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1013</v>
      </c>
      <c r="S1901" s="96"/>
    </row>
    <row r="1902" spans="1:19" hidden="1">
      <c r="A1902" s="95" t="s">
        <v>3641</v>
      </c>
      <c r="B1902" s="96" t="str">
        <f>IFERROR(VLOOKUP(Proc[[#This Row],[App]],Table2[],3,0),"open")</f>
        <v>ok</v>
      </c>
      <c r="C1902" s="95" t="s">
        <v>369</v>
      </c>
      <c r="D1902" t="s">
        <v>3730</v>
      </c>
      <c r="E1902" s="95" t="s">
        <v>3402</v>
      </c>
      <c r="F1902" s="105" t="s">
        <v>3402</v>
      </c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1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1013</v>
      </c>
      <c r="S1902" s="96"/>
    </row>
    <row r="1903" spans="1:19" hidden="1">
      <c r="A1903" s="95" t="s">
        <v>3641</v>
      </c>
      <c r="B1903" s="96" t="str">
        <f>IFERROR(VLOOKUP(Proc[[#This Row],[App]],Table2[],3,0),"open")</f>
        <v>ok</v>
      </c>
      <c r="C1903" s="95" t="s">
        <v>369</v>
      </c>
      <c r="D1903" t="s">
        <v>3731</v>
      </c>
      <c r="E1903" s="95" t="s">
        <v>3402</v>
      </c>
      <c r="F1903" s="105" t="s">
        <v>3402</v>
      </c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1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1013</v>
      </c>
      <c r="S1903" s="96"/>
    </row>
    <row r="1904" spans="1:19" hidden="1">
      <c r="A1904" s="95" t="s">
        <v>3641</v>
      </c>
      <c r="B1904" s="96" t="str">
        <f>IFERROR(VLOOKUP(Proc[[#This Row],[App]],Table2[],3,0),"open")</f>
        <v>ok</v>
      </c>
      <c r="C1904" s="95" t="s">
        <v>369</v>
      </c>
      <c r="D1904" t="s">
        <v>3732</v>
      </c>
      <c r="E1904" s="95" t="s">
        <v>3402</v>
      </c>
      <c r="F1904" s="105" t="s">
        <v>3402</v>
      </c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1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1013</v>
      </c>
      <c r="S1904" s="96"/>
    </row>
    <row r="1905" spans="1:19" hidden="1">
      <c r="A1905" s="95" t="s">
        <v>3641</v>
      </c>
      <c r="B1905" s="96" t="str">
        <f>IFERROR(VLOOKUP(Proc[[#This Row],[App]],Table2[],3,0),"open")</f>
        <v>ok</v>
      </c>
      <c r="C1905" s="95" t="s">
        <v>369</v>
      </c>
      <c r="D1905" t="s">
        <v>3733</v>
      </c>
      <c r="E1905" s="95" t="s">
        <v>3402</v>
      </c>
      <c r="F1905" s="105" t="s">
        <v>3402</v>
      </c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1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1013</v>
      </c>
      <c r="S1905" s="96"/>
    </row>
    <row r="1906" spans="1:19" hidden="1">
      <c r="A1906" s="95" t="s">
        <v>3641</v>
      </c>
      <c r="B1906" s="96" t="str">
        <f>IFERROR(VLOOKUP(Proc[[#This Row],[App]],Table2[],3,0),"open")</f>
        <v>ok</v>
      </c>
      <c r="C1906" s="95" t="s">
        <v>369</v>
      </c>
      <c r="D1906" t="s">
        <v>3734</v>
      </c>
      <c r="E1906" s="95" t="s">
        <v>3402</v>
      </c>
      <c r="F1906" s="105" t="s">
        <v>3402</v>
      </c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1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1013</v>
      </c>
      <c r="S1906" s="96"/>
    </row>
    <row r="1907" spans="1:19" hidden="1">
      <c r="A1907" s="95" t="s">
        <v>3641</v>
      </c>
      <c r="B1907" s="96" t="str">
        <f>IFERROR(VLOOKUP(Proc[[#This Row],[App]],Table2[],3,0),"open")</f>
        <v>ok</v>
      </c>
      <c r="C1907" s="95" t="s">
        <v>369</v>
      </c>
      <c r="D1907" t="s">
        <v>3735</v>
      </c>
      <c r="E1907" s="95" t="s">
        <v>3402</v>
      </c>
      <c r="F1907" s="105" t="s">
        <v>3402</v>
      </c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1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1013</v>
      </c>
      <c r="S1907" s="96"/>
    </row>
    <row r="1908" spans="1:19" hidden="1">
      <c r="A1908" s="95" t="s">
        <v>3641</v>
      </c>
      <c r="B1908" s="96" t="str">
        <f>IFERROR(VLOOKUP(Proc[[#This Row],[App]],Table2[],3,0),"open")</f>
        <v>ok</v>
      </c>
      <c r="C1908" s="95" t="s">
        <v>369</v>
      </c>
      <c r="D1908" t="s">
        <v>3736</v>
      </c>
      <c r="E1908" s="95" t="s">
        <v>3402</v>
      </c>
      <c r="F1908" s="105" t="s">
        <v>3402</v>
      </c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1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1013</v>
      </c>
      <c r="S1908" s="96"/>
    </row>
    <row r="1909" spans="1:19" hidden="1">
      <c r="A1909" s="95" t="s">
        <v>3641</v>
      </c>
      <c r="B1909" s="96" t="str">
        <f>IFERROR(VLOOKUP(Proc[[#This Row],[App]],Table2[],3,0),"open")</f>
        <v>ok</v>
      </c>
      <c r="C1909" s="95" t="s">
        <v>369</v>
      </c>
      <c r="D1909" t="s">
        <v>3737</v>
      </c>
      <c r="E1909" s="95" t="s">
        <v>3402</v>
      </c>
      <c r="F1909" s="105" t="s">
        <v>3402</v>
      </c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1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1013</v>
      </c>
      <c r="S1909" s="96"/>
    </row>
    <row r="1910" spans="1:19" hidden="1">
      <c r="A1910" s="95" t="s">
        <v>3641</v>
      </c>
      <c r="B1910" s="96" t="str">
        <f>IFERROR(VLOOKUP(Proc[[#This Row],[App]],Table2[],3,0),"open")</f>
        <v>ok</v>
      </c>
      <c r="C1910" s="95" t="s">
        <v>369</v>
      </c>
      <c r="D1910" t="s">
        <v>3738</v>
      </c>
      <c r="E1910" s="95" t="s">
        <v>3402</v>
      </c>
      <c r="F1910" s="105" t="s">
        <v>3402</v>
      </c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1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1013</v>
      </c>
      <c r="S1910" s="96"/>
    </row>
    <row r="1911" spans="1:19" hidden="1">
      <c r="A1911" s="95" t="s">
        <v>3641</v>
      </c>
      <c r="B1911" s="96" t="str">
        <f>IFERROR(VLOOKUP(Proc[[#This Row],[App]],Table2[],3,0),"open")</f>
        <v>ok</v>
      </c>
      <c r="C1911" s="95" t="s">
        <v>369</v>
      </c>
      <c r="D1911" t="s">
        <v>3739</v>
      </c>
      <c r="E1911" s="95" t="s">
        <v>3402</v>
      </c>
      <c r="F1911" s="105" t="s">
        <v>3402</v>
      </c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1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1013</v>
      </c>
      <c r="S1911" s="96"/>
    </row>
    <row r="1912" spans="1:19" hidden="1">
      <c r="A1912" t="s">
        <v>3748</v>
      </c>
      <c r="B1912" s="96" t="str">
        <f>IFERROR(VLOOKUP(Proc[[#This Row],[App]],Table2[],3,0),"open")</f>
        <v>ok</v>
      </c>
      <c r="C1912" s="95" t="s">
        <v>377</v>
      </c>
      <c r="D1912" t="s">
        <v>4072</v>
      </c>
      <c r="E1912" t="s">
        <v>4067</v>
      </c>
      <c r="F1912" s="105" t="s">
        <v>4067</v>
      </c>
      <c r="G1912" s="95" t="s">
        <v>400</v>
      </c>
      <c r="H1912" s="96" t="str">
        <f>IF(Proc[[#This Row],[type]]="LFF (MDG-F)",MID(Proc[[#This Row],[Obj]],13,10),"")</f>
        <v/>
      </c>
      <c r="I1912" t="s">
        <v>4074</v>
      </c>
      <c r="J1912" s="96" t="b">
        <f>Proc[[#This Row],[Requested]]=Proc[[#This Row],[CurrentParent]]</f>
        <v>1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1013</v>
      </c>
      <c r="S1912" s="96"/>
    </row>
    <row r="1913" spans="1:19" hidden="1">
      <c r="A1913" s="95" t="s">
        <v>3748</v>
      </c>
      <c r="B1913" s="96" t="str">
        <f>IFERROR(VLOOKUP(Proc[[#This Row],[App]],Table2[],3,0),"open")</f>
        <v>ok</v>
      </c>
      <c r="C1913" s="95" t="s">
        <v>369</v>
      </c>
      <c r="D1913" t="s">
        <v>3749</v>
      </c>
      <c r="E1913" t="s">
        <v>4068</v>
      </c>
      <c r="F1913" s="105" t="s">
        <v>4068</v>
      </c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1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1013</v>
      </c>
      <c r="S1913" s="96"/>
    </row>
    <row r="1914" spans="1:19" hidden="1">
      <c r="A1914" s="95" t="s">
        <v>3748</v>
      </c>
      <c r="B1914" s="96" t="str">
        <f>IFERROR(VLOOKUP(Proc[[#This Row],[App]],Table2[],3,0),"open")</f>
        <v>ok</v>
      </c>
      <c r="C1914" s="95" t="s">
        <v>369</v>
      </c>
      <c r="D1914" t="s">
        <v>3750</v>
      </c>
      <c r="E1914" t="s">
        <v>4069</v>
      </c>
      <c r="F1914" s="105" t="s">
        <v>4069</v>
      </c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1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1013</v>
      </c>
      <c r="S1914" s="96"/>
    </row>
    <row r="1915" spans="1:19" hidden="1">
      <c r="A1915" s="95" t="s">
        <v>3748</v>
      </c>
      <c r="B1915" s="96" t="str">
        <f>IFERROR(VLOOKUP(Proc[[#This Row],[App]],Table2[],3,0),"open")</f>
        <v>ok</v>
      </c>
      <c r="C1915" s="95" t="s">
        <v>369</v>
      </c>
      <c r="D1915" t="s">
        <v>3751</v>
      </c>
      <c r="E1915" t="s">
        <v>4069</v>
      </c>
      <c r="F1915" s="105" t="s">
        <v>4069</v>
      </c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1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1013</v>
      </c>
      <c r="S1915" s="96"/>
    </row>
    <row r="1916" spans="1:19" hidden="1">
      <c r="A1916" s="95" t="s">
        <v>3748</v>
      </c>
      <c r="B1916" s="96" t="str">
        <f>IFERROR(VLOOKUP(Proc[[#This Row],[App]],Table2[],3,0),"open")</f>
        <v>ok</v>
      </c>
      <c r="C1916" s="95" t="s">
        <v>369</v>
      </c>
      <c r="D1916" t="s">
        <v>3752</v>
      </c>
      <c r="E1916" t="s">
        <v>4069</v>
      </c>
      <c r="F1916" s="105" t="s">
        <v>4069</v>
      </c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1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1013</v>
      </c>
      <c r="S1916" s="96"/>
    </row>
    <row r="1917" spans="1:19" hidden="1">
      <c r="A1917" s="95" t="s">
        <v>3748</v>
      </c>
      <c r="B1917" s="96" t="str">
        <f>IFERROR(VLOOKUP(Proc[[#This Row],[App]],Table2[],3,0),"open")</f>
        <v>ok</v>
      </c>
      <c r="C1917" s="95" t="s">
        <v>369</v>
      </c>
      <c r="D1917" t="s">
        <v>3753</v>
      </c>
      <c r="E1917" t="s">
        <v>4069</v>
      </c>
      <c r="F1917" s="105" t="s">
        <v>4069</v>
      </c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1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1013</v>
      </c>
      <c r="S1917" s="96"/>
    </row>
    <row r="1918" spans="1:19" hidden="1">
      <c r="A1918" s="95" t="s">
        <v>3748</v>
      </c>
      <c r="B1918" s="96" t="str">
        <f>IFERROR(VLOOKUP(Proc[[#This Row],[App]],Table2[],3,0),"open")</f>
        <v>ok</v>
      </c>
      <c r="C1918" s="95" t="s">
        <v>369</v>
      </c>
      <c r="D1918" t="s">
        <v>3754</v>
      </c>
      <c r="E1918" t="s">
        <v>4069</v>
      </c>
      <c r="F1918" s="105" t="s">
        <v>4069</v>
      </c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1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1013</v>
      </c>
      <c r="S1918" s="96"/>
    </row>
    <row r="1919" spans="1:19" hidden="1">
      <c r="A1919" s="95" t="s">
        <v>3748</v>
      </c>
      <c r="B1919" s="96" t="str">
        <f>IFERROR(VLOOKUP(Proc[[#This Row],[App]],Table2[],3,0),"open")</f>
        <v>ok</v>
      </c>
      <c r="C1919" s="95" t="s">
        <v>369</v>
      </c>
      <c r="D1919" t="s">
        <v>3755</v>
      </c>
      <c r="E1919" t="s">
        <v>4069</v>
      </c>
      <c r="F1919" s="105" t="s">
        <v>4069</v>
      </c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1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1013</v>
      </c>
      <c r="S1919" s="96"/>
    </row>
    <row r="1920" spans="1:19" hidden="1">
      <c r="A1920" s="95" t="s">
        <v>3748</v>
      </c>
      <c r="B1920" s="96" t="str">
        <f>IFERROR(VLOOKUP(Proc[[#This Row],[App]],Table2[],3,0),"open")</f>
        <v>ok</v>
      </c>
      <c r="C1920" s="95" t="s">
        <v>369</v>
      </c>
      <c r="D1920" t="s">
        <v>3756</v>
      </c>
      <c r="E1920" t="s">
        <v>4069</v>
      </c>
      <c r="F1920" s="105" t="s">
        <v>4069</v>
      </c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1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1013</v>
      </c>
      <c r="S1920" s="96"/>
    </row>
    <row r="1921" spans="1:19" hidden="1">
      <c r="A1921" s="95" t="s">
        <v>3748</v>
      </c>
      <c r="B1921" s="96" t="str">
        <f>IFERROR(VLOOKUP(Proc[[#This Row],[App]],Table2[],3,0),"open")</f>
        <v>ok</v>
      </c>
      <c r="C1921" s="95" t="s">
        <v>369</v>
      </c>
      <c r="D1921" t="s">
        <v>3757</v>
      </c>
      <c r="E1921" t="s">
        <v>4069</v>
      </c>
      <c r="F1921" s="105" t="s">
        <v>4069</v>
      </c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1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1013</v>
      </c>
      <c r="S1921" s="96"/>
    </row>
    <row r="1922" spans="1:19" hidden="1">
      <c r="A1922" s="95" t="s">
        <v>3748</v>
      </c>
      <c r="B1922" s="96" t="str">
        <f>IFERROR(VLOOKUP(Proc[[#This Row],[App]],Table2[],3,0),"open")</f>
        <v>ok</v>
      </c>
      <c r="C1922" s="95" t="s">
        <v>369</v>
      </c>
      <c r="D1922" t="s">
        <v>3758</v>
      </c>
      <c r="E1922" t="s">
        <v>4069</v>
      </c>
      <c r="F1922" s="105" t="s">
        <v>4069</v>
      </c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1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1013</v>
      </c>
      <c r="S1922" s="96"/>
    </row>
    <row r="1923" spans="1:19" hidden="1">
      <c r="A1923" s="95" t="s">
        <v>3748</v>
      </c>
      <c r="B1923" s="96" t="str">
        <f>IFERROR(VLOOKUP(Proc[[#This Row],[App]],Table2[],3,0),"open")</f>
        <v>ok</v>
      </c>
      <c r="C1923" s="95" t="s">
        <v>369</v>
      </c>
      <c r="D1923" t="s">
        <v>3759</v>
      </c>
      <c r="E1923" t="s">
        <v>4069</v>
      </c>
      <c r="F1923" s="105" t="s">
        <v>4069</v>
      </c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1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1013</v>
      </c>
      <c r="S1923" s="96"/>
    </row>
    <row r="1924" spans="1:19" hidden="1">
      <c r="A1924" s="95" t="s">
        <v>3748</v>
      </c>
      <c r="B1924" s="96" t="str">
        <f>IFERROR(VLOOKUP(Proc[[#This Row],[App]],Table2[],3,0),"open")</f>
        <v>ok</v>
      </c>
      <c r="C1924" s="95" t="s">
        <v>369</v>
      </c>
      <c r="D1924" t="s">
        <v>3760</v>
      </c>
      <c r="E1924" t="s">
        <v>4069</v>
      </c>
      <c r="F1924" s="105" t="s">
        <v>4069</v>
      </c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1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1013</v>
      </c>
      <c r="S1924" s="96"/>
    </row>
    <row r="1925" spans="1:19" hidden="1">
      <c r="A1925" s="95" t="s">
        <v>3748</v>
      </c>
      <c r="B1925" s="96" t="str">
        <f>IFERROR(VLOOKUP(Proc[[#This Row],[App]],Table2[],3,0),"open")</f>
        <v>ok</v>
      </c>
      <c r="C1925" s="95" t="s">
        <v>369</v>
      </c>
      <c r="D1925" t="s">
        <v>3761</v>
      </c>
      <c r="E1925" t="s">
        <v>4069</v>
      </c>
      <c r="F1925" s="105" t="s">
        <v>4069</v>
      </c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1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1013</v>
      </c>
      <c r="S1925" s="96"/>
    </row>
    <row r="1926" spans="1:19" hidden="1">
      <c r="A1926" s="95" t="s">
        <v>3748</v>
      </c>
      <c r="B1926" s="96" t="str">
        <f>IFERROR(VLOOKUP(Proc[[#This Row],[App]],Table2[],3,0),"open")</f>
        <v>ok</v>
      </c>
      <c r="C1926" s="95" t="s">
        <v>369</v>
      </c>
      <c r="D1926" t="s">
        <v>3762</v>
      </c>
      <c r="E1926" t="s">
        <v>4069</v>
      </c>
      <c r="F1926" s="105" t="s">
        <v>4069</v>
      </c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1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1013</v>
      </c>
      <c r="S1926" s="96"/>
    </row>
    <row r="1927" spans="1:19" hidden="1">
      <c r="A1927" s="95" t="s">
        <v>3748</v>
      </c>
      <c r="B1927" s="96" t="str">
        <f>IFERROR(VLOOKUP(Proc[[#This Row],[App]],Table2[],3,0),"open")</f>
        <v>ok</v>
      </c>
      <c r="C1927" s="95" t="s">
        <v>369</v>
      </c>
      <c r="D1927" t="s">
        <v>3763</v>
      </c>
      <c r="E1927" t="s">
        <v>4069</v>
      </c>
      <c r="F1927" s="105" t="s">
        <v>4069</v>
      </c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1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1013</v>
      </c>
      <c r="S1927" s="96"/>
    </row>
    <row r="1928" spans="1:19" hidden="1">
      <c r="A1928" s="95" t="s">
        <v>3748</v>
      </c>
      <c r="B1928" s="96" t="str">
        <f>IFERROR(VLOOKUP(Proc[[#This Row],[App]],Table2[],3,0),"open")</f>
        <v>ok</v>
      </c>
      <c r="C1928" s="95" t="s">
        <v>369</v>
      </c>
      <c r="D1928" t="s">
        <v>3764</v>
      </c>
      <c r="E1928" t="s">
        <v>4069</v>
      </c>
      <c r="F1928" s="105" t="s">
        <v>4069</v>
      </c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1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1013</v>
      </c>
      <c r="S1928" s="96"/>
    </row>
    <row r="1929" spans="1:19" hidden="1">
      <c r="A1929" s="95" t="s">
        <v>3748</v>
      </c>
      <c r="B1929" s="96" t="str">
        <f>IFERROR(VLOOKUP(Proc[[#This Row],[App]],Table2[],3,0),"open")</f>
        <v>ok</v>
      </c>
      <c r="C1929" s="95" t="s">
        <v>369</v>
      </c>
      <c r="D1929" t="s">
        <v>3765</v>
      </c>
      <c r="E1929" t="s">
        <v>4069</v>
      </c>
      <c r="F1929" s="105" t="s">
        <v>4069</v>
      </c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1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1013</v>
      </c>
      <c r="S1929" s="96"/>
    </row>
    <row r="1930" spans="1:19" hidden="1">
      <c r="A1930" s="95" t="s">
        <v>3748</v>
      </c>
      <c r="B1930" s="96" t="str">
        <f>IFERROR(VLOOKUP(Proc[[#This Row],[App]],Table2[],3,0),"open")</f>
        <v>ok</v>
      </c>
      <c r="C1930" s="95" t="s">
        <v>369</v>
      </c>
      <c r="D1930" t="s">
        <v>3766</v>
      </c>
      <c r="E1930" t="s">
        <v>4069</v>
      </c>
      <c r="F1930" s="105" t="s">
        <v>4069</v>
      </c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1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1013</v>
      </c>
      <c r="S1930" s="96"/>
    </row>
    <row r="1931" spans="1:19" hidden="1">
      <c r="A1931" s="95" t="s">
        <v>3748</v>
      </c>
      <c r="B1931" s="96" t="str">
        <f>IFERROR(VLOOKUP(Proc[[#This Row],[App]],Table2[],3,0),"open")</f>
        <v>ok</v>
      </c>
      <c r="C1931" s="95" t="s">
        <v>369</v>
      </c>
      <c r="D1931" t="s">
        <v>3767</v>
      </c>
      <c r="E1931" t="s">
        <v>4069</v>
      </c>
      <c r="F1931" s="105" t="s">
        <v>4069</v>
      </c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1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1013</v>
      </c>
      <c r="S1931" s="96"/>
    </row>
    <row r="1932" spans="1:19" hidden="1">
      <c r="A1932" s="95" t="s">
        <v>3748</v>
      </c>
      <c r="B1932" s="96" t="str">
        <f>IFERROR(VLOOKUP(Proc[[#This Row],[App]],Table2[],3,0),"open")</f>
        <v>ok</v>
      </c>
      <c r="C1932" s="95" t="s">
        <v>369</v>
      </c>
      <c r="D1932" t="s">
        <v>3768</v>
      </c>
      <c r="E1932" t="s">
        <v>4069</v>
      </c>
      <c r="F1932" s="105" t="s">
        <v>4069</v>
      </c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1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1013</v>
      </c>
      <c r="S1932" s="96"/>
    </row>
    <row r="1933" spans="1:19" hidden="1">
      <c r="A1933" s="95" t="s">
        <v>3748</v>
      </c>
      <c r="B1933" s="96" t="str">
        <f>IFERROR(VLOOKUP(Proc[[#This Row],[App]],Table2[],3,0),"open")</f>
        <v>ok</v>
      </c>
      <c r="C1933" s="95" t="s">
        <v>369</v>
      </c>
      <c r="D1933" t="s">
        <v>3769</v>
      </c>
      <c r="E1933" t="s">
        <v>4069</v>
      </c>
      <c r="F1933" s="105" t="s">
        <v>4069</v>
      </c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1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1013</v>
      </c>
      <c r="S1933" s="96"/>
    </row>
    <row r="1934" spans="1:19" hidden="1">
      <c r="A1934" s="95" t="s">
        <v>3748</v>
      </c>
      <c r="B1934" s="96" t="str">
        <f>IFERROR(VLOOKUP(Proc[[#This Row],[App]],Table2[],3,0),"open")</f>
        <v>ok</v>
      </c>
      <c r="C1934" s="95" t="s">
        <v>369</v>
      </c>
      <c r="D1934" t="s">
        <v>3770</v>
      </c>
      <c r="E1934" t="s">
        <v>4069</v>
      </c>
      <c r="F1934" s="105" t="s">
        <v>4069</v>
      </c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1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1013</v>
      </c>
      <c r="S1934" s="96"/>
    </row>
    <row r="1935" spans="1:19" hidden="1">
      <c r="A1935" s="95" t="s">
        <v>3748</v>
      </c>
      <c r="B1935" s="96" t="str">
        <f>IFERROR(VLOOKUP(Proc[[#This Row],[App]],Table2[],3,0),"open")</f>
        <v>ok</v>
      </c>
      <c r="C1935" s="95" t="s">
        <v>369</v>
      </c>
      <c r="D1935" t="s">
        <v>3771</v>
      </c>
      <c r="E1935" t="s">
        <v>4069</v>
      </c>
      <c r="F1935" s="105" t="s">
        <v>4069</v>
      </c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1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1013</v>
      </c>
      <c r="S1935" s="96"/>
    </row>
    <row r="1936" spans="1:19" hidden="1">
      <c r="A1936" s="95" t="s">
        <v>3748</v>
      </c>
      <c r="B1936" s="96" t="str">
        <f>IFERROR(VLOOKUP(Proc[[#This Row],[App]],Table2[],3,0),"open")</f>
        <v>ok</v>
      </c>
      <c r="C1936" s="95" t="s">
        <v>369</v>
      </c>
      <c r="D1936" t="s">
        <v>3772</v>
      </c>
      <c r="E1936" t="s">
        <v>4069</v>
      </c>
      <c r="F1936" s="105" t="s">
        <v>4069</v>
      </c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1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1013</v>
      </c>
      <c r="S1936" s="96"/>
    </row>
    <row r="1937" spans="1:19" hidden="1">
      <c r="A1937" s="95" t="s">
        <v>3748</v>
      </c>
      <c r="B1937" s="96" t="str">
        <f>IFERROR(VLOOKUP(Proc[[#This Row],[App]],Table2[],3,0),"open")</f>
        <v>ok</v>
      </c>
      <c r="C1937" s="95" t="s">
        <v>369</v>
      </c>
      <c r="D1937" t="s">
        <v>3773</v>
      </c>
      <c r="E1937" t="s">
        <v>4069</v>
      </c>
      <c r="F1937" s="105" t="s">
        <v>4069</v>
      </c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1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1013</v>
      </c>
      <c r="S1937" s="96"/>
    </row>
    <row r="1938" spans="1:19" hidden="1">
      <c r="A1938" s="95" t="s">
        <v>3748</v>
      </c>
      <c r="B1938" s="96" t="str">
        <f>IFERROR(VLOOKUP(Proc[[#This Row],[App]],Table2[],3,0),"open")</f>
        <v>ok</v>
      </c>
      <c r="C1938" s="95" t="s">
        <v>369</v>
      </c>
      <c r="D1938" t="s">
        <v>3774</v>
      </c>
      <c r="E1938" t="s">
        <v>4069</v>
      </c>
      <c r="F1938" s="105" t="s">
        <v>4069</v>
      </c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1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1013</v>
      </c>
      <c r="S1938" s="96"/>
    </row>
    <row r="1939" spans="1:19" hidden="1">
      <c r="A1939" s="95" t="s">
        <v>3748</v>
      </c>
      <c r="B1939" s="96" t="str">
        <f>IFERROR(VLOOKUP(Proc[[#This Row],[App]],Table2[],3,0),"open")</f>
        <v>ok</v>
      </c>
      <c r="C1939" s="95" t="s">
        <v>369</v>
      </c>
      <c r="D1939" t="s">
        <v>3775</v>
      </c>
      <c r="E1939" t="s">
        <v>4069</v>
      </c>
      <c r="F1939" s="105" t="s">
        <v>4069</v>
      </c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1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1013</v>
      </c>
      <c r="S1939" s="96"/>
    </row>
    <row r="1940" spans="1:19" hidden="1">
      <c r="A1940" s="95" t="s">
        <v>3748</v>
      </c>
      <c r="B1940" s="96" t="str">
        <f>IFERROR(VLOOKUP(Proc[[#This Row],[App]],Table2[],3,0),"open")</f>
        <v>ok</v>
      </c>
      <c r="C1940" s="95" t="s">
        <v>369</v>
      </c>
      <c r="D1940" t="s">
        <v>3776</v>
      </c>
      <c r="E1940" t="s">
        <v>4069</v>
      </c>
      <c r="F1940" s="105" t="s">
        <v>4069</v>
      </c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1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1013</v>
      </c>
      <c r="S1940" s="96"/>
    </row>
    <row r="1941" spans="1:19" hidden="1">
      <c r="A1941" s="95" t="s">
        <v>3748</v>
      </c>
      <c r="B1941" s="96" t="str">
        <f>IFERROR(VLOOKUP(Proc[[#This Row],[App]],Table2[],3,0),"open")</f>
        <v>ok</v>
      </c>
      <c r="C1941" s="95" t="s">
        <v>369</v>
      </c>
      <c r="D1941" t="s">
        <v>3777</v>
      </c>
      <c r="E1941" t="s">
        <v>4069</v>
      </c>
      <c r="F1941" s="105" t="s">
        <v>4069</v>
      </c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1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1013</v>
      </c>
      <c r="S1941" s="96"/>
    </row>
    <row r="1942" spans="1:19" hidden="1">
      <c r="A1942" s="95" t="s">
        <v>3748</v>
      </c>
      <c r="B1942" s="96" t="str">
        <f>IFERROR(VLOOKUP(Proc[[#This Row],[App]],Table2[],3,0),"open")</f>
        <v>ok</v>
      </c>
      <c r="C1942" s="95" t="s">
        <v>369</v>
      </c>
      <c r="D1942" t="s">
        <v>3778</v>
      </c>
      <c r="E1942" t="s">
        <v>4069</v>
      </c>
      <c r="F1942" s="105" t="s">
        <v>4069</v>
      </c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1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1013</v>
      </c>
      <c r="S1942" s="96"/>
    </row>
    <row r="1943" spans="1:19" hidden="1">
      <c r="A1943" s="95" t="s">
        <v>3748</v>
      </c>
      <c r="B1943" s="96" t="str">
        <f>IFERROR(VLOOKUP(Proc[[#This Row],[App]],Table2[],3,0),"open")</f>
        <v>ok</v>
      </c>
      <c r="C1943" s="95" t="s">
        <v>369</v>
      </c>
      <c r="D1943" t="s">
        <v>3779</v>
      </c>
      <c r="E1943" t="s">
        <v>4069</v>
      </c>
      <c r="F1943" s="105" t="s">
        <v>4069</v>
      </c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1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1013</v>
      </c>
      <c r="S1943" s="96"/>
    </row>
    <row r="1944" spans="1:19" hidden="1">
      <c r="A1944" s="95" t="s">
        <v>3748</v>
      </c>
      <c r="B1944" s="96" t="str">
        <f>IFERROR(VLOOKUP(Proc[[#This Row],[App]],Table2[],3,0),"open")</f>
        <v>ok</v>
      </c>
      <c r="C1944" s="95" t="s">
        <v>369</v>
      </c>
      <c r="D1944" t="s">
        <v>3780</v>
      </c>
      <c r="E1944" t="s">
        <v>4069</v>
      </c>
      <c r="F1944" s="105" t="s">
        <v>4069</v>
      </c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1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1013</v>
      </c>
      <c r="S1944" s="96"/>
    </row>
    <row r="1945" spans="1:19" hidden="1">
      <c r="A1945" s="95" t="s">
        <v>3748</v>
      </c>
      <c r="B1945" s="96" t="str">
        <f>IFERROR(VLOOKUP(Proc[[#This Row],[App]],Table2[],3,0),"open")</f>
        <v>ok</v>
      </c>
      <c r="C1945" s="95" t="s">
        <v>369</v>
      </c>
      <c r="D1945" t="s">
        <v>3781</v>
      </c>
      <c r="E1945" t="s">
        <v>4069</v>
      </c>
      <c r="F1945" s="105" t="s">
        <v>4069</v>
      </c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1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1013</v>
      </c>
      <c r="S1945" s="96"/>
    </row>
    <row r="1946" spans="1:19" hidden="1">
      <c r="A1946" s="95" t="s">
        <v>3748</v>
      </c>
      <c r="B1946" s="96" t="str">
        <f>IFERROR(VLOOKUP(Proc[[#This Row],[App]],Table2[],3,0),"open")</f>
        <v>ok</v>
      </c>
      <c r="C1946" s="95" t="s">
        <v>369</v>
      </c>
      <c r="D1946" t="s">
        <v>3782</v>
      </c>
      <c r="E1946" t="s">
        <v>4069</v>
      </c>
      <c r="F1946" s="105" t="s">
        <v>4069</v>
      </c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1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1013</v>
      </c>
      <c r="S1946" s="96"/>
    </row>
    <row r="1947" spans="1:19" hidden="1">
      <c r="A1947" s="95" t="s">
        <v>3748</v>
      </c>
      <c r="B1947" s="96" t="str">
        <f>IFERROR(VLOOKUP(Proc[[#This Row],[App]],Table2[],3,0),"open")</f>
        <v>ok</v>
      </c>
      <c r="C1947" s="95" t="s">
        <v>369</v>
      </c>
      <c r="D1947" t="s">
        <v>3783</v>
      </c>
      <c r="E1947" t="s">
        <v>4069</v>
      </c>
      <c r="F1947" s="105" t="s">
        <v>4069</v>
      </c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1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1013</v>
      </c>
      <c r="S1947" s="96"/>
    </row>
    <row r="1948" spans="1:19" hidden="1">
      <c r="A1948" s="95" t="s">
        <v>3748</v>
      </c>
      <c r="B1948" s="96" t="str">
        <f>IFERROR(VLOOKUP(Proc[[#This Row],[App]],Table2[],3,0),"open")</f>
        <v>ok</v>
      </c>
      <c r="C1948" s="95" t="s">
        <v>369</v>
      </c>
      <c r="D1948" t="s">
        <v>3784</v>
      </c>
      <c r="E1948" t="s">
        <v>4069</v>
      </c>
      <c r="F1948" s="105" t="s">
        <v>4069</v>
      </c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1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1013</v>
      </c>
      <c r="S1948" s="96"/>
    </row>
    <row r="1949" spans="1:19" hidden="1">
      <c r="A1949" s="95" t="s">
        <v>3748</v>
      </c>
      <c r="B1949" s="96" t="str">
        <f>IFERROR(VLOOKUP(Proc[[#This Row],[App]],Table2[],3,0),"open")</f>
        <v>ok</v>
      </c>
      <c r="C1949" s="95" t="s">
        <v>369</v>
      </c>
      <c r="D1949" t="s">
        <v>3785</v>
      </c>
      <c r="E1949" t="s">
        <v>4069</v>
      </c>
      <c r="F1949" s="105" t="s">
        <v>4069</v>
      </c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1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1013</v>
      </c>
      <c r="S1949" s="96"/>
    </row>
    <row r="1950" spans="1:19" hidden="1">
      <c r="A1950" s="95" t="s">
        <v>3748</v>
      </c>
      <c r="B1950" s="96" t="str">
        <f>IFERROR(VLOOKUP(Proc[[#This Row],[App]],Table2[],3,0),"open")</f>
        <v>ok</v>
      </c>
      <c r="C1950" s="95" t="s">
        <v>369</v>
      </c>
      <c r="D1950" t="s">
        <v>3786</v>
      </c>
      <c r="E1950" t="s">
        <v>4069</v>
      </c>
      <c r="F1950" s="105" t="s">
        <v>4069</v>
      </c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1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1013</v>
      </c>
      <c r="S1950" s="96"/>
    </row>
    <row r="1951" spans="1:19" hidden="1">
      <c r="A1951" s="95" t="s">
        <v>3748</v>
      </c>
      <c r="B1951" s="96" t="str">
        <f>IFERROR(VLOOKUP(Proc[[#This Row],[App]],Table2[],3,0),"open")</f>
        <v>ok</v>
      </c>
      <c r="C1951" s="95" t="s">
        <v>369</v>
      </c>
      <c r="D1951" t="s">
        <v>3787</v>
      </c>
      <c r="E1951" t="s">
        <v>4069</v>
      </c>
      <c r="F1951" s="105" t="s">
        <v>4069</v>
      </c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1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1013</v>
      </c>
      <c r="S1951" s="96"/>
    </row>
    <row r="1952" spans="1:19" hidden="1">
      <c r="A1952" s="95" t="s">
        <v>3748</v>
      </c>
      <c r="B1952" s="96" t="str">
        <f>IFERROR(VLOOKUP(Proc[[#This Row],[App]],Table2[],3,0),"open")</f>
        <v>ok</v>
      </c>
      <c r="C1952" s="95" t="s">
        <v>369</v>
      </c>
      <c r="D1952" t="s">
        <v>3788</v>
      </c>
      <c r="E1952" t="s">
        <v>4069</v>
      </c>
      <c r="F1952" s="105" t="s">
        <v>4069</v>
      </c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1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1013</v>
      </c>
      <c r="S1952" s="96"/>
    </row>
    <row r="1953" spans="1:19" hidden="1">
      <c r="A1953" s="95" t="s">
        <v>3748</v>
      </c>
      <c r="B1953" s="96" t="str">
        <f>IFERROR(VLOOKUP(Proc[[#This Row],[App]],Table2[],3,0),"open")</f>
        <v>ok</v>
      </c>
      <c r="C1953" s="95" t="s">
        <v>369</v>
      </c>
      <c r="D1953" t="s">
        <v>3789</v>
      </c>
      <c r="E1953" t="s">
        <v>4069</v>
      </c>
      <c r="F1953" s="105" t="s">
        <v>4069</v>
      </c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1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1013</v>
      </c>
      <c r="S1953" s="96"/>
    </row>
    <row r="1954" spans="1:19" hidden="1">
      <c r="A1954" s="95" t="s">
        <v>3748</v>
      </c>
      <c r="B1954" s="96" t="str">
        <f>IFERROR(VLOOKUP(Proc[[#This Row],[App]],Table2[],3,0),"open")</f>
        <v>ok</v>
      </c>
      <c r="C1954" s="95" t="s">
        <v>369</v>
      </c>
      <c r="D1954" t="s">
        <v>3790</v>
      </c>
      <c r="E1954" t="s">
        <v>4069</v>
      </c>
      <c r="F1954" s="105" t="s">
        <v>4069</v>
      </c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1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1013</v>
      </c>
      <c r="S1954" s="96"/>
    </row>
    <row r="1955" spans="1:19" hidden="1">
      <c r="A1955" s="95" t="s">
        <v>3748</v>
      </c>
      <c r="B1955" s="96" t="str">
        <f>IFERROR(VLOOKUP(Proc[[#This Row],[App]],Table2[],3,0),"open")</f>
        <v>ok</v>
      </c>
      <c r="C1955" s="95" t="s">
        <v>369</v>
      </c>
      <c r="D1955" t="s">
        <v>3791</v>
      </c>
      <c r="E1955" t="s">
        <v>4069</v>
      </c>
      <c r="F1955" s="105" t="s">
        <v>4069</v>
      </c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1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1013</v>
      </c>
      <c r="S1955" s="96"/>
    </row>
    <row r="1956" spans="1:19" hidden="1">
      <c r="A1956" s="95" t="s">
        <v>3748</v>
      </c>
      <c r="B1956" s="96" t="str">
        <f>IFERROR(VLOOKUP(Proc[[#This Row],[App]],Table2[],3,0),"open")</f>
        <v>ok</v>
      </c>
      <c r="C1956" s="95" t="s">
        <v>369</v>
      </c>
      <c r="D1956" t="s">
        <v>3792</v>
      </c>
      <c r="E1956" t="s">
        <v>4069</v>
      </c>
      <c r="F1956" s="105" t="s">
        <v>4069</v>
      </c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1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1013</v>
      </c>
      <c r="S1956" s="96"/>
    </row>
    <row r="1957" spans="1:19" hidden="1">
      <c r="A1957" s="95" t="s">
        <v>3748</v>
      </c>
      <c r="B1957" s="96" t="str">
        <f>IFERROR(VLOOKUP(Proc[[#This Row],[App]],Table2[],3,0),"open")</f>
        <v>ok</v>
      </c>
      <c r="C1957" s="95" t="s">
        <v>369</v>
      </c>
      <c r="D1957" t="s">
        <v>3793</v>
      </c>
      <c r="E1957" t="s">
        <v>4069</v>
      </c>
      <c r="F1957" s="105" t="s">
        <v>4069</v>
      </c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1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1013</v>
      </c>
      <c r="S1957" s="96"/>
    </row>
    <row r="1958" spans="1:19" hidden="1">
      <c r="A1958" s="95" t="s">
        <v>3748</v>
      </c>
      <c r="B1958" s="96" t="str">
        <f>IFERROR(VLOOKUP(Proc[[#This Row],[App]],Table2[],3,0),"open")</f>
        <v>ok</v>
      </c>
      <c r="C1958" s="95" t="s">
        <v>369</v>
      </c>
      <c r="D1958" t="s">
        <v>3794</v>
      </c>
      <c r="E1958" t="s">
        <v>4069</v>
      </c>
      <c r="F1958" s="105" t="s">
        <v>4069</v>
      </c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1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1013</v>
      </c>
      <c r="S1958" s="96"/>
    </row>
    <row r="1959" spans="1:19" hidden="1">
      <c r="A1959" s="95" t="s">
        <v>3748</v>
      </c>
      <c r="B1959" s="96" t="str">
        <f>IFERROR(VLOOKUP(Proc[[#This Row],[App]],Table2[],3,0),"open")</f>
        <v>ok</v>
      </c>
      <c r="C1959" s="95" t="s">
        <v>369</v>
      </c>
      <c r="D1959" t="s">
        <v>3795</v>
      </c>
      <c r="E1959" t="s">
        <v>4069</v>
      </c>
      <c r="F1959" s="105" t="s">
        <v>4069</v>
      </c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1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1013</v>
      </c>
      <c r="S1959" s="96"/>
    </row>
    <row r="1960" spans="1:19" hidden="1">
      <c r="A1960" s="95" t="s">
        <v>3748</v>
      </c>
      <c r="B1960" s="96" t="str">
        <f>IFERROR(VLOOKUP(Proc[[#This Row],[App]],Table2[],3,0),"open")</f>
        <v>ok</v>
      </c>
      <c r="C1960" s="95" t="s">
        <v>369</v>
      </c>
      <c r="D1960" t="s">
        <v>3796</v>
      </c>
      <c r="E1960" t="s">
        <v>4069</v>
      </c>
      <c r="F1960" s="105" t="s">
        <v>4069</v>
      </c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1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1013</v>
      </c>
      <c r="S1960" s="96"/>
    </row>
    <row r="1961" spans="1:19" hidden="1">
      <c r="A1961" s="95" t="s">
        <v>3748</v>
      </c>
      <c r="B1961" s="96" t="str">
        <f>IFERROR(VLOOKUP(Proc[[#This Row],[App]],Table2[],3,0),"open")</f>
        <v>ok</v>
      </c>
      <c r="C1961" s="95" t="s">
        <v>369</v>
      </c>
      <c r="D1961" t="s">
        <v>3797</v>
      </c>
      <c r="E1961" t="s">
        <v>4067</v>
      </c>
      <c r="F1961" s="105" t="s">
        <v>4067</v>
      </c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1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1013</v>
      </c>
      <c r="S1961" s="96"/>
    </row>
    <row r="1962" spans="1:19" hidden="1">
      <c r="A1962" s="95" t="s">
        <v>3748</v>
      </c>
      <c r="B1962" s="96" t="str">
        <f>IFERROR(VLOOKUP(Proc[[#This Row],[App]],Table2[],3,0),"open")</f>
        <v>ok</v>
      </c>
      <c r="C1962" s="95" t="s">
        <v>369</v>
      </c>
      <c r="D1962" t="s">
        <v>3798</v>
      </c>
      <c r="E1962" t="s">
        <v>4068</v>
      </c>
      <c r="F1962" s="105" t="s">
        <v>4068</v>
      </c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1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1013</v>
      </c>
      <c r="S1962" s="96"/>
    </row>
    <row r="1963" spans="1:19" hidden="1">
      <c r="A1963" s="95" t="s">
        <v>3748</v>
      </c>
      <c r="B1963" s="96" t="str">
        <f>IFERROR(VLOOKUP(Proc[[#This Row],[App]],Table2[],3,0),"open")</f>
        <v>ok</v>
      </c>
      <c r="C1963" s="95" t="s">
        <v>369</v>
      </c>
      <c r="D1963" t="s">
        <v>3799</v>
      </c>
      <c r="E1963" t="s">
        <v>4069</v>
      </c>
      <c r="F1963" s="105" t="s">
        <v>4069</v>
      </c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1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1013</v>
      </c>
      <c r="S1963" s="96"/>
    </row>
    <row r="1964" spans="1:19" hidden="1">
      <c r="A1964" s="95" t="s">
        <v>3748</v>
      </c>
      <c r="B1964" s="96" t="str">
        <f>IFERROR(VLOOKUP(Proc[[#This Row],[App]],Table2[],3,0),"open")</f>
        <v>ok</v>
      </c>
      <c r="C1964" s="95" t="s">
        <v>369</v>
      </c>
      <c r="D1964" t="s">
        <v>3800</v>
      </c>
      <c r="E1964" t="s">
        <v>4069</v>
      </c>
      <c r="F1964" s="105" t="s">
        <v>4069</v>
      </c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1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1013</v>
      </c>
      <c r="S1964" s="96"/>
    </row>
    <row r="1965" spans="1:19" hidden="1">
      <c r="A1965" s="95" t="s">
        <v>3748</v>
      </c>
      <c r="B1965" s="96" t="str">
        <f>IFERROR(VLOOKUP(Proc[[#This Row],[App]],Table2[],3,0),"open")</f>
        <v>ok</v>
      </c>
      <c r="C1965" s="95" t="s">
        <v>369</v>
      </c>
      <c r="D1965" t="s">
        <v>3801</v>
      </c>
      <c r="E1965" t="s">
        <v>4069</v>
      </c>
      <c r="F1965" s="105" t="s">
        <v>4069</v>
      </c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1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1013</v>
      </c>
      <c r="S1965" s="96"/>
    </row>
    <row r="1966" spans="1:19" hidden="1">
      <c r="A1966" s="95" t="s">
        <v>3748</v>
      </c>
      <c r="B1966" s="96" t="str">
        <f>IFERROR(VLOOKUP(Proc[[#This Row],[App]],Table2[],3,0),"open")</f>
        <v>ok</v>
      </c>
      <c r="C1966" s="95" t="s">
        <v>369</v>
      </c>
      <c r="D1966" t="s">
        <v>3802</v>
      </c>
      <c r="E1966" t="s">
        <v>4069</v>
      </c>
      <c r="F1966" s="105" t="s">
        <v>4069</v>
      </c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1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1013</v>
      </c>
      <c r="S1966" s="96"/>
    </row>
    <row r="1967" spans="1:19" hidden="1">
      <c r="A1967" s="95" t="s">
        <v>3748</v>
      </c>
      <c r="B1967" s="96" t="str">
        <f>IFERROR(VLOOKUP(Proc[[#This Row],[App]],Table2[],3,0),"open")</f>
        <v>ok</v>
      </c>
      <c r="C1967" s="95" t="s">
        <v>369</v>
      </c>
      <c r="D1967" t="s">
        <v>3803</v>
      </c>
      <c r="E1967" t="s">
        <v>4069</v>
      </c>
      <c r="F1967" s="105" t="s">
        <v>4069</v>
      </c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1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1013</v>
      </c>
      <c r="S1967" s="96"/>
    </row>
    <row r="1968" spans="1:19" hidden="1">
      <c r="A1968" s="95" t="s">
        <v>3748</v>
      </c>
      <c r="B1968" s="96" t="str">
        <f>IFERROR(VLOOKUP(Proc[[#This Row],[App]],Table2[],3,0),"open")</f>
        <v>ok</v>
      </c>
      <c r="C1968" s="95" t="s">
        <v>369</v>
      </c>
      <c r="D1968" t="s">
        <v>3804</v>
      </c>
      <c r="E1968" t="s">
        <v>4069</v>
      </c>
      <c r="F1968" s="105" t="s">
        <v>4069</v>
      </c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1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1013</v>
      </c>
      <c r="S1968" s="96"/>
    </row>
    <row r="1969" spans="1:19" hidden="1">
      <c r="A1969" s="95" t="s">
        <v>3748</v>
      </c>
      <c r="B1969" s="96" t="str">
        <f>IFERROR(VLOOKUP(Proc[[#This Row],[App]],Table2[],3,0),"open")</f>
        <v>ok</v>
      </c>
      <c r="C1969" s="95" t="s">
        <v>369</v>
      </c>
      <c r="D1969" t="s">
        <v>3805</v>
      </c>
      <c r="E1969" t="s">
        <v>4069</v>
      </c>
      <c r="F1969" s="105" t="s">
        <v>4069</v>
      </c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1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1013</v>
      </c>
      <c r="S1969" s="96"/>
    </row>
    <row r="1970" spans="1:19" hidden="1">
      <c r="A1970" s="95" t="s">
        <v>3748</v>
      </c>
      <c r="B1970" s="96" t="str">
        <f>IFERROR(VLOOKUP(Proc[[#This Row],[App]],Table2[],3,0),"open")</f>
        <v>ok</v>
      </c>
      <c r="C1970" s="95" t="s">
        <v>369</v>
      </c>
      <c r="D1970" t="s">
        <v>3806</v>
      </c>
      <c r="E1970" t="s">
        <v>4069</v>
      </c>
      <c r="F1970" s="105" t="s">
        <v>4069</v>
      </c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1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1013</v>
      </c>
      <c r="S1970" s="96"/>
    </row>
    <row r="1971" spans="1:19" hidden="1">
      <c r="A1971" s="95" t="s">
        <v>3748</v>
      </c>
      <c r="B1971" s="96" t="str">
        <f>IFERROR(VLOOKUP(Proc[[#This Row],[App]],Table2[],3,0),"open")</f>
        <v>ok</v>
      </c>
      <c r="C1971" s="95" t="s">
        <v>369</v>
      </c>
      <c r="D1971" t="s">
        <v>3807</v>
      </c>
      <c r="E1971" t="s">
        <v>4069</v>
      </c>
      <c r="F1971" s="105" t="s">
        <v>4069</v>
      </c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1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1013</v>
      </c>
      <c r="S1971" s="96"/>
    </row>
    <row r="1972" spans="1:19" hidden="1">
      <c r="A1972" s="95" t="s">
        <v>3748</v>
      </c>
      <c r="B1972" s="96" t="str">
        <f>IFERROR(VLOOKUP(Proc[[#This Row],[App]],Table2[],3,0),"open")</f>
        <v>ok</v>
      </c>
      <c r="C1972" s="95" t="s">
        <v>369</v>
      </c>
      <c r="D1972" t="s">
        <v>3808</v>
      </c>
      <c r="E1972" t="s">
        <v>4069</v>
      </c>
      <c r="F1972" s="105" t="s">
        <v>4069</v>
      </c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1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1013</v>
      </c>
      <c r="S1972" s="96"/>
    </row>
    <row r="1973" spans="1:19" hidden="1">
      <c r="A1973" s="95" t="s">
        <v>3748</v>
      </c>
      <c r="B1973" s="96" t="str">
        <f>IFERROR(VLOOKUP(Proc[[#This Row],[App]],Table2[],3,0),"open")</f>
        <v>ok</v>
      </c>
      <c r="C1973" s="95" t="s">
        <v>369</v>
      </c>
      <c r="D1973" t="s">
        <v>3809</v>
      </c>
      <c r="E1973" t="s">
        <v>4069</v>
      </c>
      <c r="F1973" s="105" t="s">
        <v>4069</v>
      </c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1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1013</v>
      </c>
      <c r="S1973" s="96"/>
    </row>
    <row r="1974" spans="1:19" hidden="1">
      <c r="A1974" s="95" t="s">
        <v>3748</v>
      </c>
      <c r="B1974" s="96" t="str">
        <f>IFERROR(VLOOKUP(Proc[[#This Row],[App]],Table2[],3,0),"open")</f>
        <v>ok</v>
      </c>
      <c r="C1974" s="95" t="s">
        <v>369</v>
      </c>
      <c r="D1974" t="s">
        <v>3810</v>
      </c>
      <c r="E1974" t="s">
        <v>4069</v>
      </c>
      <c r="F1974" s="105" t="s">
        <v>4069</v>
      </c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1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1013</v>
      </c>
      <c r="S1974" s="96"/>
    </row>
    <row r="1975" spans="1:19" hidden="1">
      <c r="A1975" s="95" t="s">
        <v>3748</v>
      </c>
      <c r="B1975" s="96" t="str">
        <f>IFERROR(VLOOKUP(Proc[[#This Row],[App]],Table2[],3,0),"open")</f>
        <v>ok</v>
      </c>
      <c r="C1975" s="95" t="s">
        <v>369</v>
      </c>
      <c r="D1975" t="s">
        <v>3811</v>
      </c>
      <c r="E1975" t="s">
        <v>4069</v>
      </c>
      <c r="F1975" s="105" t="s">
        <v>4069</v>
      </c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1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1013</v>
      </c>
      <c r="S1975" s="96"/>
    </row>
    <row r="1976" spans="1:19" hidden="1">
      <c r="A1976" s="95" t="s">
        <v>3748</v>
      </c>
      <c r="B1976" s="96" t="str">
        <f>IFERROR(VLOOKUP(Proc[[#This Row],[App]],Table2[],3,0),"open")</f>
        <v>ok</v>
      </c>
      <c r="C1976" s="95" t="s">
        <v>369</v>
      </c>
      <c r="D1976" t="s">
        <v>3812</v>
      </c>
      <c r="E1976" t="s">
        <v>4069</v>
      </c>
      <c r="F1976" s="105" t="s">
        <v>4069</v>
      </c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1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1013</v>
      </c>
      <c r="S1976" s="96"/>
    </row>
    <row r="1977" spans="1:19" hidden="1">
      <c r="A1977" s="95" t="s">
        <v>3748</v>
      </c>
      <c r="B1977" s="96" t="str">
        <f>IFERROR(VLOOKUP(Proc[[#This Row],[App]],Table2[],3,0),"open")</f>
        <v>ok</v>
      </c>
      <c r="C1977" s="95" t="s">
        <v>369</v>
      </c>
      <c r="D1977" t="s">
        <v>3813</v>
      </c>
      <c r="E1977" t="s">
        <v>4069</v>
      </c>
      <c r="F1977" s="105" t="s">
        <v>4069</v>
      </c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1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1013</v>
      </c>
      <c r="S1977" s="96"/>
    </row>
    <row r="1978" spans="1:19" hidden="1">
      <c r="A1978" s="95" t="s">
        <v>3748</v>
      </c>
      <c r="B1978" s="96" t="str">
        <f>IFERROR(VLOOKUP(Proc[[#This Row],[App]],Table2[],3,0),"open")</f>
        <v>ok</v>
      </c>
      <c r="C1978" s="95" t="s">
        <v>369</v>
      </c>
      <c r="D1978" t="s">
        <v>3814</v>
      </c>
      <c r="E1978" t="s">
        <v>4069</v>
      </c>
      <c r="F1978" s="105" t="s">
        <v>4069</v>
      </c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1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1013</v>
      </c>
      <c r="S1978" s="96"/>
    </row>
    <row r="1979" spans="1:19" hidden="1">
      <c r="A1979" s="95" t="s">
        <v>3748</v>
      </c>
      <c r="B1979" s="96" t="str">
        <f>IFERROR(VLOOKUP(Proc[[#This Row],[App]],Table2[],3,0),"open")</f>
        <v>ok</v>
      </c>
      <c r="C1979" s="95" t="s">
        <v>369</v>
      </c>
      <c r="D1979" t="s">
        <v>3815</v>
      </c>
      <c r="E1979" t="s">
        <v>4069</v>
      </c>
      <c r="F1979" s="105" t="s">
        <v>4069</v>
      </c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1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1013</v>
      </c>
      <c r="S1979" s="96"/>
    </row>
    <row r="1980" spans="1:19" hidden="1">
      <c r="A1980" s="95" t="s">
        <v>3748</v>
      </c>
      <c r="B1980" s="96" t="str">
        <f>IFERROR(VLOOKUP(Proc[[#This Row],[App]],Table2[],3,0),"open")</f>
        <v>ok</v>
      </c>
      <c r="C1980" s="95" t="s">
        <v>369</v>
      </c>
      <c r="D1980" t="s">
        <v>3816</v>
      </c>
      <c r="E1980" t="s">
        <v>4069</v>
      </c>
      <c r="F1980" s="105" t="s">
        <v>4069</v>
      </c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1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1013</v>
      </c>
      <c r="S1980" s="96"/>
    </row>
    <row r="1981" spans="1:19" hidden="1">
      <c r="A1981" s="95" t="s">
        <v>3748</v>
      </c>
      <c r="B1981" s="96" t="str">
        <f>IFERROR(VLOOKUP(Proc[[#This Row],[App]],Table2[],3,0),"open")</f>
        <v>ok</v>
      </c>
      <c r="C1981" s="95" t="s">
        <v>369</v>
      </c>
      <c r="D1981" t="s">
        <v>3817</v>
      </c>
      <c r="E1981" t="s">
        <v>4069</v>
      </c>
      <c r="F1981" s="105" t="s">
        <v>4069</v>
      </c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1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1013</v>
      </c>
      <c r="S1981" s="96"/>
    </row>
    <row r="1982" spans="1:19" hidden="1">
      <c r="A1982" s="95" t="s">
        <v>3748</v>
      </c>
      <c r="B1982" s="96" t="str">
        <f>IFERROR(VLOOKUP(Proc[[#This Row],[App]],Table2[],3,0),"open")</f>
        <v>ok</v>
      </c>
      <c r="C1982" s="95" t="s">
        <v>369</v>
      </c>
      <c r="D1982" t="s">
        <v>3818</v>
      </c>
      <c r="E1982" t="s">
        <v>4069</v>
      </c>
      <c r="F1982" s="105" t="s">
        <v>4069</v>
      </c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1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1013</v>
      </c>
      <c r="S1982" s="96"/>
    </row>
    <row r="1983" spans="1:19" hidden="1">
      <c r="A1983" s="95" t="s">
        <v>3748</v>
      </c>
      <c r="B1983" s="96" t="str">
        <f>IFERROR(VLOOKUP(Proc[[#This Row],[App]],Table2[],3,0),"open")</f>
        <v>ok</v>
      </c>
      <c r="C1983" s="95" t="s">
        <v>369</v>
      </c>
      <c r="D1983" t="s">
        <v>3819</v>
      </c>
      <c r="E1983" t="s">
        <v>4069</v>
      </c>
      <c r="F1983" s="105" t="s">
        <v>4069</v>
      </c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1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1013</v>
      </c>
      <c r="S1983" s="96"/>
    </row>
    <row r="1984" spans="1:19" hidden="1">
      <c r="A1984" s="95" t="s">
        <v>3748</v>
      </c>
      <c r="B1984" s="96" t="str">
        <f>IFERROR(VLOOKUP(Proc[[#This Row],[App]],Table2[],3,0),"open")</f>
        <v>ok</v>
      </c>
      <c r="C1984" s="95" t="s">
        <v>369</v>
      </c>
      <c r="D1984" t="s">
        <v>3820</v>
      </c>
      <c r="E1984" t="s">
        <v>4069</v>
      </c>
      <c r="F1984" s="105" t="s">
        <v>4069</v>
      </c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1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1013</v>
      </c>
      <c r="S1984" s="96"/>
    </row>
    <row r="1985" spans="1:19" hidden="1">
      <c r="A1985" s="95" t="s">
        <v>3748</v>
      </c>
      <c r="B1985" s="96" t="str">
        <f>IFERROR(VLOOKUP(Proc[[#This Row],[App]],Table2[],3,0),"open")</f>
        <v>ok</v>
      </c>
      <c r="C1985" s="95" t="s">
        <v>369</v>
      </c>
      <c r="D1985" t="s">
        <v>3821</v>
      </c>
      <c r="E1985" t="s">
        <v>4069</v>
      </c>
      <c r="F1985" s="105" t="s">
        <v>4069</v>
      </c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1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1013</v>
      </c>
      <c r="S1985" s="96"/>
    </row>
    <row r="1986" spans="1:19" hidden="1">
      <c r="A1986" s="95" t="s">
        <v>3748</v>
      </c>
      <c r="B1986" s="96" t="str">
        <f>IFERROR(VLOOKUP(Proc[[#This Row],[App]],Table2[],3,0),"open")</f>
        <v>ok</v>
      </c>
      <c r="C1986" s="95" t="s">
        <v>369</v>
      </c>
      <c r="D1986" t="s">
        <v>3822</v>
      </c>
      <c r="E1986" t="s">
        <v>4069</v>
      </c>
      <c r="F1986" s="105" t="s">
        <v>4069</v>
      </c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1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1013</v>
      </c>
      <c r="S1986" s="96"/>
    </row>
    <row r="1987" spans="1:19" hidden="1">
      <c r="A1987" s="95" t="s">
        <v>3748</v>
      </c>
      <c r="B1987" s="96" t="str">
        <f>IFERROR(VLOOKUP(Proc[[#This Row],[App]],Table2[],3,0),"open")</f>
        <v>ok</v>
      </c>
      <c r="C1987" s="95" t="s">
        <v>369</v>
      </c>
      <c r="D1987" t="s">
        <v>3823</v>
      </c>
      <c r="E1987" t="s">
        <v>4069</v>
      </c>
      <c r="F1987" s="105" t="s">
        <v>4069</v>
      </c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1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1013</v>
      </c>
      <c r="S1987" s="96"/>
    </row>
    <row r="1988" spans="1:19" hidden="1">
      <c r="A1988" s="95" t="s">
        <v>3748</v>
      </c>
      <c r="B1988" s="96" t="str">
        <f>IFERROR(VLOOKUP(Proc[[#This Row],[App]],Table2[],3,0),"open")</f>
        <v>ok</v>
      </c>
      <c r="C1988" s="95" t="s">
        <v>369</v>
      </c>
      <c r="D1988" t="s">
        <v>3824</v>
      </c>
      <c r="E1988" t="s">
        <v>4069</v>
      </c>
      <c r="F1988" s="105" t="s">
        <v>4069</v>
      </c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1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1013</v>
      </c>
      <c r="S1988" s="96"/>
    </row>
    <row r="1989" spans="1:19" hidden="1">
      <c r="A1989" s="95" t="s">
        <v>3748</v>
      </c>
      <c r="B1989" s="96" t="str">
        <f>IFERROR(VLOOKUP(Proc[[#This Row],[App]],Table2[],3,0),"open")</f>
        <v>ok</v>
      </c>
      <c r="C1989" s="95" t="s">
        <v>369</v>
      </c>
      <c r="D1989" t="s">
        <v>3825</v>
      </c>
      <c r="E1989" t="s">
        <v>4069</v>
      </c>
      <c r="F1989" s="105" t="s">
        <v>4069</v>
      </c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1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1013</v>
      </c>
      <c r="S1989" s="96"/>
    </row>
    <row r="1990" spans="1:19" hidden="1">
      <c r="A1990" s="95" t="s">
        <v>3748</v>
      </c>
      <c r="B1990" s="96" t="str">
        <f>IFERROR(VLOOKUP(Proc[[#This Row],[App]],Table2[],3,0),"open")</f>
        <v>ok</v>
      </c>
      <c r="C1990" s="95" t="s">
        <v>369</v>
      </c>
      <c r="D1990" t="s">
        <v>3826</v>
      </c>
      <c r="E1990" t="s">
        <v>4069</v>
      </c>
      <c r="F1990" s="105" t="s">
        <v>4069</v>
      </c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1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1013</v>
      </c>
      <c r="S1990" s="96"/>
    </row>
    <row r="1991" spans="1:19" hidden="1">
      <c r="A1991" s="95" t="s">
        <v>3748</v>
      </c>
      <c r="B1991" s="96" t="str">
        <f>IFERROR(VLOOKUP(Proc[[#This Row],[App]],Table2[],3,0),"open")</f>
        <v>ok</v>
      </c>
      <c r="C1991" s="95" t="s">
        <v>369</v>
      </c>
      <c r="D1991" t="s">
        <v>3827</v>
      </c>
      <c r="E1991" t="s">
        <v>4069</v>
      </c>
      <c r="F1991" s="105" t="s">
        <v>4069</v>
      </c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1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1013</v>
      </c>
      <c r="S1991" s="96"/>
    </row>
    <row r="1992" spans="1:19" hidden="1">
      <c r="A1992" s="95" t="s">
        <v>3748</v>
      </c>
      <c r="B1992" s="96" t="str">
        <f>IFERROR(VLOOKUP(Proc[[#This Row],[App]],Table2[],3,0),"open")</f>
        <v>ok</v>
      </c>
      <c r="C1992" s="95" t="s">
        <v>369</v>
      </c>
      <c r="D1992" t="s">
        <v>3828</v>
      </c>
      <c r="E1992" t="s">
        <v>4069</v>
      </c>
      <c r="F1992" s="105" t="s">
        <v>4069</v>
      </c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1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1013</v>
      </c>
      <c r="S1992" s="96"/>
    </row>
    <row r="1993" spans="1:19" hidden="1">
      <c r="A1993" s="95" t="s">
        <v>3748</v>
      </c>
      <c r="B1993" s="96" t="str">
        <f>IFERROR(VLOOKUP(Proc[[#This Row],[App]],Table2[],3,0),"open")</f>
        <v>ok</v>
      </c>
      <c r="C1993" s="95" t="s">
        <v>369</v>
      </c>
      <c r="D1993" t="s">
        <v>3829</v>
      </c>
      <c r="E1993" t="s">
        <v>4069</v>
      </c>
      <c r="F1993" s="105" t="s">
        <v>4069</v>
      </c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1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1013</v>
      </c>
      <c r="S1993" s="96"/>
    </row>
    <row r="1994" spans="1:19" hidden="1">
      <c r="A1994" s="95" t="s">
        <v>3748</v>
      </c>
      <c r="B1994" s="96" t="str">
        <f>IFERROR(VLOOKUP(Proc[[#This Row],[App]],Table2[],3,0),"open")</f>
        <v>ok</v>
      </c>
      <c r="C1994" s="95" t="s">
        <v>369</v>
      </c>
      <c r="D1994" t="s">
        <v>3830</v>
      </c>
      <c r="E1994" t="s">
        <v>4069</v>
      </c>
      <c r="F1994" s="105" t="s">
        <v>4069</v>
      </c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1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1013</v>
      </c>
      <c r="S1994" s="96"/>
    </row>
    <row r="1995" spans="1:19" hidden="1">
      <c r="A1995" s="95" t="s">
        <v>3748</v>
      </c>
      <c r="B1995" s="96" t="str">
        <f>IFERROR(VLOOKUP(Proc[[#This Row],[App]],Table2[],3,0),"open")</f>
        <v>ok</v>
      </c>
      <c r="C1995" s="95" t="s">
        <v>369</v>
      </c>
      <c r="D1995" t="s">
        <v>3831</v>
      </c>
      <c r="E1995" t="s">
        <v>2274</v>
      </c>
      <c r="F1995" s="105" t="s">
        <v>2274</v>
      </c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1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1013</v>
      </c>
      <c r="S1995" s="96"/>
    </row>
    <row r="1996" spans="1:19" hidden="1">
      <c r="A1996" s="95" t="s">
        <v>3748</v>
      </c>
      <c r="B1996" s="96" t="str">
        <f>IFERROR(VLOOKUP(Proc[[#This Row],[App]],Table2[],3,0),"open")</f>
        <v>ok</v>
      </c>
      <c r="C1996" s="95" t="s">
        <v>369</v>
      </c>
      <c r="D1996" t="s">
        <v>3832</v>
      </c>
      <c r="E1996" t="s">
        <v>2274</v>
      </c>
      <c r="F1996" s="105" t="s">
        <v>2274</v>
      </c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1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1013</v>
      </c>
      <c r="S1996" s="96"/>
    </row>
    <row r="1997" spans="1:19" hidden="1">
      <c r="A1997" s="95" t="s">
        <v>3748</v>
      </c>
      <c r="B1997" s="96" t="str">
        <f>IFERROR(VLOOKUP(Proc[[#This Row],[App]],Table2[],3,0),"open")</f>
        <v>ok</v>
      </c>
      <c r="C1997" s="95" t="s">
        <v>369</v>
      </c>
      <c r="D1997" t="s">
        <v>3833</v>
      </c>
      <c r="E1997" t="s">
        <v>2274</v>
      </c>
      <c r="F1997" s="105" t="s">
        <v>2274</v>
      </c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1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1013</v>
      </c>
      <c r="S1997" s="96"/>
    </row>
    <row r="1998" spans="1:19" hidden="1">
      <c r="A1998" s="95" t="s">
        <v>3748</v>
      </c>
      <c r="B1998" s="96" t="str">
        <f>IFERROR(VLOOKUP(Proc[[#This Row],[App]],Table2[],3,0),"open")</f>
        <v>ok</v>
      </c>
      <c r="C1998" s="95" t="s">
        <v>369</v>
      </c>
      <c r="D1998" t="s">
        <v>3834</v>
      </c>
      <c r="E1998" t="s">
        <v>4069</v>
      </c>
      <c r="F1998" s="105" t="s">
        <v>4069</v>
      </c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1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1013</v>
      </c>
      <c r="S1998" s="96"/>
    </row>
    <row r="1999" spans="1:19" hidden="1">
      <c r="A1999" s="95" t="s">
        <v>3748</v>
      </c>
      <c r="B1999" s="96" t="str">
        <f>IFERROR(VLOOKUP(Proc[[#This Row],[App]],Table2[],3,0),"open")</f>
        <v>ok</v>
      </c>
      <c r="C1999" s="95" t="s">
        <v>369</v>
      </c>
      <c r="D1999" t="s">
        <v>3835</v>
      </c>
      <c r="E1999" t="s">
        <v>4069</v>
      </c>
      <c r="F1999" s="105" t="s">
        <v>4069</v>
      </c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1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1013</v>
      </c>
      <c r="S1999" s="96"/>
    </row>
    <row r="2000" spans="1:19" hidden="1">
      <c r="A2000" s="95" t="s">
        <v>3748</v>
      </c>
      <c r="B2000" s="96" t="str">
        <f>IFERROR(VLOOKUP(Proc[[#This Row],[App]],Table2[],3,0),"open")</f>
        <v>ok</v>
      </c>
      <c r="C2000" s="95" t="s">
        <v>369</v>
      </c>
      <c r="D2000" t="s">
        <v>3836</v>
      </c>
      <c r="E2000" t="s">
        <v>4069</v>
      </c>
      <c r="F2000" s="105" t="s">
        <v>4069</v>
      </c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1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1013</v>
      </c>
      <c r="S2000" s="96"/>
    </row>
    <row r="2001" spans="1:19" hidden="1">
      <c r="A2001" s="95" t="s">
        <v>3748</v>
      </c>
      <c r="B2001" s="96" t="str">
        <f>IFERROR(VLOOKUP(Proc[[#This Row],[App]],Table2[],3,0),"open")</f>
        <v>ok</v>
      </c>
      <c r="C2001" s="95" t="s">
        <v>369</v>
      </c>
      <c r="D2001" t="s">
        <v>3837</v>
      </c>
      <c r="E2001" t="s">
        <v>4069</v>
      </c>
      <c r="F2001" s="105" t="s">
        <v>4069</v>
      </c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1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1013</v>
      </c>
      <c r="S2001" s="96"/>
    </row>
    <row r="2002" spans="1:19" hidden="1">
      <c r="A2002" s="95" t="s">
        <v>3748</v>
      </c>
      <c r="B2002" s="96" t="str">
        <f>IFERROR(VLOOKUP(Proc[[#This Row],[App]],Table2[],3,0),"open")</f>
        <v>ok</v>
      </c>
      <c r="C2002" s="95" t="s">
        <v>369</v>
      </c>
      <c r="D2002" t="s">
        <v>3838</v>
      </c>
      <c r="E2002" t="s">
        <v>4069</v>
      </c>
      <c r="F2002" s="105" t="s">
        <v>4069</v>
      </c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1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1013</v>
      </c>
      <c r="S2002" s="96"/>
    </row>
    <row r="2003" spans="1:19" hidden="1">
      <c r="A2003" s="95" t="s">
        <v>3748</v>
      </c>
      <c r="B2003" s="96" t="str">
        <f>IFERROR(VLOOKUP(Proc[[#This Row],[App]],Table2[],3,0),"open")</f>
        <v>ok</v>
      </c>
      <c r="C2003" s="95" t="s">
        <v>369</v>
      </c>
      <c r="D2003" t="s">
        <v>3839</v>
      </c>
      <c r="E2003" t="s">
        <v>4069</v>
      </c>
      <c r="F2003" s="105" t="s">
        <v>4069</v>
      </c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1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1013</v>
      </c>
      <c r="S2003" s="96"/>
    </row>
    <row r="2004" spans="1:19" hidden="1">
      <c r="A2004" s="95" t="s">
        <v>3748</v>
      </c>
      <c r="B2004" s="96" t="str">
        <f>IFERROR(VLOOKUP(Proc[[#This Row],[App]],Table2[],3,0),"open")</f>
        <v>ok</v>
      </c>
      <c r="C2004" s="95" t="s">
        <v>369</v>
      </c>
      <c r="D2004" t="s">
        <v>3840</v>
      </c>
      <c r="E2004" t="s">
        <v>2274</v>
      </c>
      <c r="F2004" s="105" t="s">
        <v>2274</v>
      </c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1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1013</v>
      </c>
      <c r="S2004" s="96"/>
    </row>
    <row r="2005" spans="1:19" hidden="1">
      <c r="A2005" s="95" t="s">
        <v>3748</v>
      </c>
      <c r="B2005" s="96" t="str">
        <f>IFERROR(VLOOKUP(Proc[[#This Row],[App]],Table2[],3,0),"open")</f>
        <v>ok</v>
      </c>
      <c r="C2005" s="95" t="s">
        <v>369</v>
      </c>
      <c r="D2005" t="s">
        <v>3841</v>
      </c>
      <c r="E2005" t="s">
        <v>4069</v>
      </c>
      <c r="F2005" s="105" t="s">
        <v>4069</v>
      </c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1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1013</v>
      </c>
      <c r="S2005" s="96"/>
    </row>
    <row r="2006" spans="1:19" hidden="1">
      <c r="A2006" s="95" t="s">
        <v>3748</v>
      </c>
      <c r="B2006" s="96" t="str">
        <f>IFERROR(VLOOKUP(Proc[[#This Row],[App]],Table2[],3,0),"open")</f>
        <v>ok</v>
      </c>
      <c r="C2006" s="95" t="s">
        <v>369</v>
      </c>
      <c r="D2006" t="s">
        <v>3842</v>
      </c>
      <c r="E2006" t="s">
        <v>4069</v>
      </c>
      <c r="F2006" s="105" t="s">
        <v>4069</v>
      </c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1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1013</v>
      </c>
      <c r="S2006" s="96"/>
    </row>
    <row r="2007" spans="1:19" hidden="1">
      <c r="A2007" s="95" t="s">
        <v>3748</v>
      </c>
      <c r="B2007" s="96" t="str">
        <f>IFERROR(VLOOKUP(Proc[[#This Row],[App]],Table2[],3,0),"open")</f>
        <v>ok</v>
      </c>
      <c r="C2007" s="95" t="s">
        <v>369</v>
      </c>
      <c r="D2007" t="s">
        <v>3843</v>
      </c>
      <c r="E2007" t="s">
        <v>4069</v>
      </c>
      <c r="F2007" s="105" t="s">
        <v>4069</v>
      </c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1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1013</v>
      </c>
      <c r="S2007" s="96"/>
    </row>
    <row r="2008" spans="1:19" hidden="1">
      <c r="A2008" s="95" t="s">
        <v>3748</v>
      </c>
      <c r="B2008" s="96" t="str">
        <f>IFERROR(VLOOKUP(Proc[[#This Row],[App]],Table2[],3,0),"open")</f>
        <v>ok</v>
      </c>
      <c r="C2008" s="95" t="s">
        <v>369</v>
      </c>
      <c r="D2008" t="s">
        <v>3844</v>
      </c>
      <c r="E2008" t="s">
        <v>4069</v>
      </c>
      <c r="F2008" s="105" t="s">
        <v>4069</v>
      </c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1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1013</v>
      </c>
      <c r="S2008" s="96"/>
    </row>
    <row r="2009" spans="1:19" hidden="1">
      <c r="A2009" s="95" t="s">
        <v>3748</v>
      </c>
      <c r="B2009" s="96" t="str">
        <f>IFERROR(VLOOKUP(Proc[[#This Row],[App]],Table2[],3,0),"open")</f>
        <v>ok</v>
      </c>
      <c r="C2009" s="95" t="s">
        <v>369</v>
      </c>
      <c r="D2009" t="s">
        <v>3845</v>
      </c>
      <c r="E2009" t="s">
        <v>4069</v>
      </c>
      <c r="F2009" s="105" t="s">
        <v>4069</v>
      </c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1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1013</v>
      </c>
      <c r="S2009" s="96"/>
    </row>
    <row r="2010" spans="1:19" hidden="1">
      <c r="A2010" s="95" t="s">
        <v>3748</v>
      </c>
      <c r="B2010" s="96" t="str">
        <f>IFERROR(VLOOKUP(Proc[[#This Row],[App]],Table2[],3,0),"open")</f>
        <v>ok</v>
      </c>
      <c r="C2010" s="95" t="s">
        <v>369</v>
      </c>
      <c r="D2010" t="s">
        <v>3846</v>
      </c>
      <c r="E2010" t="s">
        <v>4069</v>
      </c>
      <c r="F2010" s="105" t="s">
        <v>4069</v>
      </c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1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1013</v>
      </c>
      <c r="S2010" s="96"/>
    </row>
    <row r="2011" spans="1:19" hidden="1">
      <c r="A2011" s="95" t="s">
        <v>3748</v>
      </c>
      <c r="B2011" s="96" t="str">
        <f>IFERROR(VLOOKUP(Proc[[#This Row],[App]],Table2[],3,0),"open")</f>
        <v>ok</v>
      </c>
      <c r="C2011" s="95" t="s">
        <v>369</v>
      </c>
      <c r="D2011" t="s">
        <v>3847</v>
      </c>
      <c r="E2011" t="s">
        <v>4069</v>
      </c>
      <c r="F2011" s="105" t="s">
        <v>4069</v>
      </c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1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1013</v>
      </c>
      <c r="S2011" s="96"/>
    </row>
    <row r="2012" spans="1:19" hidden="1">
      <c r="A2012" s="95" t="s">
        <v>3748</v>
      </c>
      <c r="B2012" s="96" t="str">
        <f>IFERROR(VLOOKUP(Proc[[#This Row],[App]],Table2[],3,0),"open")</f>
        <v>ok</v>
      </c>
      <c r="C2012" s="95" t="s">
        <v>369</v>
      </c>
      <c r="D2012" t="s">
        <v>3848</v>
      </c>
      <c r="E2012" t="s">
        <v>4069</v>
      </c>
      <c r="F2012" s="105" t="s">
        <v>4069</v>
      </c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1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1013</v>
      </c>
      <c r="S2012" s="96"/>
    </row>
    <row r="2013" spans="1:19" hidden="1">
      <c r="A2013" s="95" t="s">
        <v>3748</v>
      </c>
      <c r="B2013" s="96" t="str">
        <f>IFERROR(VLOOKUP(Proc[[#This Row],[App]],Table2[],3,0),"open")</f>
        <v>ok</v>
      </c>
      <c r="C2013" s="95" t="s">
        <v>369</v>
      </c>
      <c r="D2013" t="s">
        <v>3849</v>
      </c>
      <c r="E2013" t="s">
        <v>4069</v>
      </c>
      <c r="F2013" s="105" t="s">
        <v>4069</v>
      </c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1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1013</v>
      </c>
      <c r="S2013" s="96"/>
    </row>
    <row r="2014" spans="1:19" hidden="1">
      <c r="A2014" s="95" t="s">
        <v>3748</v>
      </c>
      <c r="B2014" s="96" t="str">
        <f>IFERROR(VLOOKUP(Proc[[#This Row],[App]],Table2[],3,0),"open")</f>
        <v>ok</v>
      </c>
      <c r="C2014" s="95" t="s">
        <v>369</v>
      </c>
      <c r="D2014" t="s">
        <v>3850</v>
      </c>
      <c r="E2014" t="s">
        <v>4069</v>
      </c>
      <c r="F2014" s="105" t="s">
        <v>4069</v>
      </c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1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1013</v>
      </c>
      <c r="S2014" s="96"/>
    </row>
    <row r="2015" spans="1:19" hidden="1">
      <c r="A2015" s="95" t="s">
        <v>3748</v>
      </c>
      <c r="B2015" s="96" t="str">
        <f>IFERROR(VLOOKUP(Proc[[#This Row],[App]],Table2[],3,0),"open")</f>
        <v>ok</v>
      </c>
      <c r="C2015" s="95" t="s">
        <v>369</v>
      </c>
      <c r="D2015" t="s">
        <v>3851</v>
      </c>
      <c r="E2015" t="s">
        <v>4069</v>
      </c>
      <c r="F2015" s="105" t="s">
        <v>4069</v>
      </c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1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1013</v>
      </c>
      <c r="S2015" s="96"/>
    </row>
    <row r="2016" spans="1:19" hidden="1">
      <c r="A2016" s="95" t="s">
        <v>3748</v>
      </c>
      <c r="B2016" s="96" t="str">
        <f>IFERROR(VLOOKUP(Proc[[#This Row],[App]],Table2[],3,0),"open")</f>
        <v>ok</v>
      </c>
      <c r="C2016" s="95" t="s">
        <v>369</v>
      </c>
      <c r="D2016" t="s">
        <v>3852</v>
      </c>
      <c r="E2016" t="s">
        <v>2274</v>
      </c>
      <c r="F2016" s="105" t="s">
        <v>2274</v>
      </c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1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1013</v>
      </c>
      <c r="S2016" s="96"/>
    </row>
    <row r="2017" spans="1:19" hidden="1">
      <c r="A2017" s="95" t="s">
        <v>3748</v>
      </c>
      <c r="B2017" s="96" t="str">
        <f>IFERROR(VLOOKUP(Proc[[#This Row],[App]],Table2[],3,0),"open")</f>
        <v>ok</v>
      </c>
      <c r="C2017" s="95" t="s">
        <v>369</v>
      </c>
      <c r="D2017" t="s">
        <v>3853</v>
      </c>
      <c r="E2017" t="s">
        <v>4069</v>
      </c>
      <c r="F2017" s="105" t="s">
        <v>4069</v>
      </c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1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1013</v>
      </c>
      <c r="S2017" s="96"/>
    </row>
    <row r="2018" spans="1:19" hidden="1">
      <c r="A2018" s="95" t="s">
        <v>3748</v>
      </c>
      <c r="B2018" s="96" t="str">
        <f>IFERROR(VLOOKUP(Proc[[#This Row],[App]],Table2[],3,0),"open")</f>
        <v>ok</v>
      </c>
      <c r="C2018" s="95" t="s">
        <v>369</v>
      </c>
      <c r="D2018" t="s">
        <v>3854</v>
      </c>
      <c r="E2018" t="s">
        <v>2274</v>
      </c>
      <c r="F2018" s="105" t="s">
        <v>2274</v>
      </c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1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1013</v>
      </c>
      <c r="S2018" s="96"/>
    </row>
    <row r="2019" spans="1:19" hidden="1">
      <c r="A2019" s="95" t="s">
        <v>3748</v>
      </c>
      <c r="B2019" s="96" t="str">
        <f>IFERROR(VLOOKUP(Proc[[#This Row],[App]],Table2[],3,0),"open")</f>
        <v>ok</v>
      </c>
      <c r="C2019" s="95" t="s">
        <v>369</v>
      </c>
      <c r="D2019" t="s">
        <v>3855</v>
      </c>
      <c r="E2019" t="s">
        <v>4069</v>
      </c>
      <c r="F2019" s="105" t="s">
        <v>4069</v>
      </c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1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1013</v>
      </c>
      <c r="S2019" s="96"/>
    </row>
    <row r="2020" spans="1:19" hidden="1">
      <c r="A2020" s="95" t="s">
        <v>3748</v>
      </c>
      <c r="B2020" s="96" t="str">
        <f>IFERROR(VLOOKUP(Proc[[#This Row],[App]],Table2[],3,0),"open")</f>
        <v>ok</v>
      </c>
      <c r="C2020" s="95" t="s">
        <v>369</v>
      </c>
      <c r="D2020" t="s">
        <v>3856</v>
      </c>
      <c r="E2020" t="s">
        <v>4069</v>
      </c>
      <c r="F2020" s="105" t="s">
        <v>4069</v>
      </c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1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1013</v>
      </c>
      <c r="S2020" s="96"/>
    </row>
    <row r="2021" spans="1:19" hidden="1">
      <c r="A2021" s="95" t="s">
        <v>3748</v>
      </c>
      <c r="B2021" s="96" t="str">
        <f>IFERROR(VLOOKUP(Proc[[#This Row],[App]],Table2[],3,0),"open")</f>
        <v>ok</v>
      </c>
      <c r="C2021" s="95" t="s">
        <v>369</v>
      </c>
      <c r="D2021" t="s">
        <v>3857</v>
      </c>
      <c r="E2021" t="s">
        <v>4069</v>
      </c>
      <c r="F2021" s="105" t="s">
        <v>4069</v>
      </c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1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1013</v>
      </c>
      <c r="S2021" s="96"/>
    </row>
    <row r="2022" spans="1:19" hidden="1">
      <c r="A2022" s="95" t="s">
        <v>3748</v>
      </c>
      <c r="B2022" s="96" t="str">
        <f>IFERROR(VLOOKUP(Proc[[#This Row],[App]],Table2[],3,0),"open")</f>
        <v>ok</v>
      </c>
      <c r="C2022" s="95" t="s">
        <v>369</v>
      </c>
      <c r="D2022" t="s">
        <v>3858</v>
      </c>
      <c r="E2022" t="s">
        <v>4069</v>
      </c>
      <c r="F2022" s="105" t="s">
        <v>4069</v>
      </c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1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1013</v>
      </c>
      <c r="S2022" s="96"/>
    </row>
    <row r="2023" spans="1:19" hidden="1">
      <c r="A2023" s="95" t="s">
        <v>3748</v>
      </c>
      <c r="B2023" s="96" t="str">
        <f>IFERROR(VLOOKUP(Proc[[#This Row],[App]],Table2[],3,0),"open")</f>
        <v>ok</v>
      </c>
      <c r="C2023" s="95" t="s">
        <v>369</v>
      </c>
      <c r="D2023" t="s">
        <v>3859</v>
      </c>
      <c r="E2023" t="s">
        <v>4069</v>
      </c>
      <c r="F2023" s="105" t="s">
        <v>4069</v>
      </c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1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1013</v>
      </c>
      <c r="S2023" s="96"/>
    </row>
    <row r="2024" spans="1:19" hidden="1">
      <c r="A2024" s="95" t="s">
        <v>3748</v>
      </c>
      <c r="B2024" s="96" t="str">
        <f>IFERROR(VLOOKUP(Proc[[#This Row],[App]],Table2[],3,0),"open")</f>
        <v>ok</v>
      </c>
      <c r="C2024" s="95" t="s">
        <v>369</v>
      </c>
      <c r="D2024" t="s">
        <v>3860</v>
      </c>
      <c r="E2024" t="s">
        <v>4069</v>
      </c>
      <c r="F2024" s="105" t="s">
        <v>4069</v>
      </c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1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1013</v>
      </c>
      <c r="S2024" s="96"/>
    </row>
    <row r="2025" spans="1:19" hidden="1">
      <c r="A2025" s="95" t="s">
        <v>3748</v>
      </c>
      <c r="B2025" s="96" t="str">
        <f>IFERROR(VLOOKUP(Proc[[#This Row],[App]],Table2[],3,0),"open")</f>
        <v>ok</v>
      </c>
      <c r="C2025" s="95" t="s">
        <v>369</v>
      </c>
      <c r="D2025" t="s">
        <v>3861</v>
      </c>
      <c r="E2025" t="s">
        <v>4069</v>
      </c>
      <c r="F2025" s="105" t="s">
        <v>4069</v>
      </c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1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1013</v>
      </c>
      <c r="S2025" s="96"/>
    </row>
    <row r="2026" spans="1:19" hidden="1">
      <c r="A2026" s="95" t="s">
        <v>3748</v>
      </c>
      <c r="B2026" s="96" t="str">
        <f>IFERROR(VLOOKUP(Proc[[#This Row],[App]],Table2[],3,0),"open")</f>
        <v>ok</v>
      </c>
      <c r="C2026" s="95" t="s">
        <v>369</v>
      </c>
      <c r="D2026" t="s">
        <v>3862</v>
      </c>
      <c r="E2026" t="s">
        <v>4069</v>
      </c>
      <c r="F2026" s="105" t="s">
        <v>4069</v>
      </c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1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1013</v>
      </c>
      <c r="S2026" s="96"/>
    </row>
    <row r="2027" spans="1:19" hidden="1">
      <c r="A2027" s="95" t="s">
        <v>3748</v>
      </c>
      <c r="B2027" s="96" t="str">
        <f>IFERROR(VLOOKUP(Proc[[#This Row],[App]],Table2[],3,0),"open")</f>
        <v>ok</v>
      </c>
      <c r="C2027" s="95" t="s">
        <v>369</v>
      </c>
      <c r="D2027" t="s">
        <v>3863</v>
      </c>
      <c r="E2027" t="s">
        <v>4069</v>
      </c>
      <c r="F2027" s="105" t="s">
        <v>4069</v>
      </c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1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1013</v>
      </c>
      <c r="S2027" s="96"/>
    </row>
    <row r="2028" spans="1:19" hidden="1">
      <c r="A2028" s="95" t="s">
        <v>3748</v>
      </c>
      <c r="B2028" s="96" t="str">
        <f>IFERROR(VLOOKUP(Proc[[#This Row],[App]],Table2[],3,0),"open")</f>
        <v>ok</v>
      </c>
      <c r="C2028" s="95" t="s">
        <v>369</v>
      </c>
      <c r="D2028" t="s">
        <v>3864</v>
      </c>
      <c r="E2028" t="s">
        <v>4069</v>
      </c>
      <c r="F2028" s="105" t="s">
        <v>4069</v>
      </c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1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1013</v>
      </c>
      <c r="S2028" s="96"/>
    </row>
    <row r="2029" spans="1:19" hidden="1">
      <c r="A2029" s="95" t="s">
        <v>3748</v>
      </c>
      <c r="B2029" s="96" t="str">
        <f>IFERROR(VLOOKUP(Proc[[#This Row],[App]],Table2[],3,0),"open")</f>
        <v>ok</v>
      </c>
      <c r="C2029" s="95" t="s">
        <v>369</v>
      </c>
      <c r="D2029" t="s">
        <v>3865</v>
      </c>
      <c r="E2029" t="s">
        <v>4069</v>
      </c>
      <c r="F2029" s="105" t="s">
        <v>4069</v>
      </c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1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1013</v>
      </c>
      <c r="S2029" s="96"/>
    </row>
    <row r="2030" spans="1:19" hidden="1">
      <c r="A2030" s="95" t="s">
        <v>3748</v>
      </c>
      <c r="B2030" s="96" t="str">
        <f>IFERROR(VLOOKUP(Proc[[#This Row],[App]],Table2[],3,0),"open")</f>
        <v>ok</v>
      </c>
      <c r="C2030" s="95" t="s">
        <v>369</v>
      </c>
      <c r="D2030" t="s">
        <v>3866</v>
      </c>
      <c r="E2030" t="s">
        <v>4069</v>
      </c>
      <c r="F2030" s="105" t="s">
        <v>4069</v>
      </c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1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1013</v>
      </c>
      <c r="S2030" s="96"/>
    </row>
    <row r="2031" spans="1:19" hidden="1">
      <c r="A2031" s="95" t="s">
        <v>3748</v>
      </c>
      <c r="B2031" s="96" t="str">
        <f>IFERROR(VLOOKUP(Proc[[#This Row],[App]],Table2[],3,0),"open")</f>
        <v>ok</v>
      </c>
      <c r="C2031" s="95" t="s">
        <v>369</v>
      </c>
      <c r="D2031" t="s">
        <v>3867</v>
      </c>
      <c r="E2031" t="s">
        <v>4069</v>
      </c>
      <c r="F2031" s="105" t="s">
        <v>4069</v>
      </c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1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1013</v>
      </c>
      <c r="S2031" s="96"/>
    </row>
    <row r="2032" spans="1:19" hidden="1">
      <c r="A2032" s="95" t="s">
        <v>3748</v>
      </c>
      <c r="B2032" s="96" t="str">
        <f>IFERROR(VLOOKUP(Proc[[#This Row],[App]],Table2[],3,0),"open")</f>
        <v>ok</v>
      </c>
      <c r="C2032" s="95" t="s">
        <v>369</v>
      </c>
      <c r="D2032" t="s">
        <v>3868</v>
      </c>
      <c r="E2032" t="s">
        <v>4069</v>
      </c>
      <c r="F2032" s="105" t="s">
        <v>4069</v>
      </c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1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1013</v>
      </c>
      <c r="S2032" s="96"/>
    </row>
    <row r="2033" spans="1:19" hidden="1">
      <c r="A2033" s="95" t="s">
        <v>3748</v>
      </c>
      <c r="B2033" s="96" t="str">
        <f>IFERROR(VLOOKUP(Proc[[#This Row],[App]],Table2[],3,0),"open")</f>
        <v>ok</v>
      </c>
      <c r="C2033" s="95" t="s">
        <v>369</v>
      </c>
      <c r="D2033" t="s">
        <v>3869</v>
      </c>
      <c r="E2033" t="s">
        <v>4069</v>
      </c>
      <c r="F2033" s="105" t="s">
        <v>4069</v>
      </c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1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1013</v>
      </c>
      <c r="S2033" s="96"/>
    </row>
    <row r="2034" spans="1:19" hidden="1">
      <c r="A2034" s="95" t="s">
        <v>3748</v>
      </c>
      <c r="B2034" s="96" t="str">
        <f>IFERROR(VLOOKUP(Proc[[#This Row],[App]],Table2[],3,0),"open")</f>
        <v>ok</v>
      </c>
      <c r="C2034" s="95" t="s">
        <v>369</v>
      </c>
      <c r="D2034" t="s">
        <v>3870</v>
      </c>
      <c r="E2034" t="s">
        <v>4069</v>
      </c>
      <c r="F2034" s="105" t="s">
        <v>4069</v>
      </c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1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1013</v>
      </c>
      <c r="S2034" s="96"/>
    </row>
    <row r="2035" spans="1:19" hidden="1">
      <c r="A2035" s="95" t="s">
        <v>3748</v>
      </c>
      <c r="B2035" s="96" t="str">
        <f>IFERROR(VLOOKUP(Proc[[#This Row],[App]],Table2[],3,0),"open")</f>
        <v>ok</v>
      </c>
      <c r="C2035" s="95" t="s">
        <v>369</v>
      </c>
      <c r="D2035" t="s">
        <v>3871</v>
      </c>
      <c r="E2035" t="s">
        <v>4069</v>
      </c>
      <c r="F2035" s="105" t="s">
        <v>4069</v>
      </c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1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1013</v>
      </c>
      <c r="S2035" s="96"/>
    </row>
    <row r="2036" spans="1:19" hidden="1">
      <c r="A2036" s="95" t="s">
        <v>3748</v>
      </c>
      <c r="B2036" s="96" t="str">
        <f>IFERROR(VLOOKUP(Proc[[#This Row],[App]],Table2[],3,0),"open")</f>
        <v>ok</v>
      </c>
      <c r="C2036" s="95" t="s">
        <v>369</v>
      </c>
      <c r="D2036" t="s">
        <v>3872</v>
      </c>
      <c r="E2036" t="s">
        <v>4069</v>
      </c>
      <c r="F2036" s="105" t="s">
        <v>4069</v>
      </c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1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1013</v>
      </c>
      <c r="S2036" s="96"/>
    </row>
    <row r="2037" spans="1:19" hidden="1">
      <c r="A2037" s="95" t="s">
        <v>3748</v>
      </c>
      <c r="B2037" s="96" t="str">
        <f>IFERROR(VLOOKUP(Proc[[#This Row],[App]],Table2[],3,0),"open")</f>
        <v>ok</v>
      </c>
      <c r="C2037" s="95" t="s">
        <v>369</v>
      </c>
      <c r="D2037" t="s">
        <v>3873</v>
      </c>
      <c r="E2037" t="s">
        <v>4069</v>
      </c>
      <c r="F2037" s="105" t="s">
        <v>4069</v>
      </c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1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1013</v>
      </c>
      <c r="S2037" s="96"/>
    </row>
    <row r="2038" spans="1:19" hidden="1">
      <c r="A2038" s="95" t="s">
        <v>3748</v>
      </c>
      <c r="B2038" s="96" t="str">
        <f>IFERROR(VLOOKUP(Proc[[#This Row],[App]],Table2[],3,0),"open")</f>
        <v>ok</v>
      </c>
      <c r="C2038" s="95" t="s">
        <v>369</v>
      </c>
      <c r="D2038" t="s">
        <v>3874</v>
      </c>
      <c r="E2038" t="s">
        <v>4069</v>
      </c>
      <c r="F2038" s="105" t="s">
        <v>4069</v>
      </c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1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1013</v>
      </c>
      <c r="S2038" s="96"/>
    </row>
    <row r="2039" spans="1:19" hidden="1">
      <c r="A2039" s="95" t="s">
        <v>3748</v>
      </c>
      <c r="B2039" s="96" t="str">
        <f>IFERROR(VLOOKUP(Proc[[#This Row],[App]],Table2[],3,0),"open")</f>
        <v>ok</v>
      </c>
      <c r="C2039" s="95" t="s">
        <v>369</v>
      </c>
      <c r="D2039" t="s">
        <v>3875</v>
      </c>
      <c r="E2039" t="s">
        <v>4069</v>
      </c>
      <c r="F2039" s="105" t="s">
        <v>4069</v>
      </c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1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1013</v>
      </c>
      <c r="S2039" s="96"/>
    </row>
    <row r="2040" spans="1:19" hidden="1">
      <c r="A2040" s="95" t="s">
        <v>3748</v>
      </c>
      <c r="B2040" s="96" t="str">
        <f>IFERROR(VLOOKUP(Proc[[#This Row],[App]],Table2[],3,0),"open")</f>
        <v>ok</v>
      </c>
      <c r="C2040" s="95" t="s">
        <v>369</v>
      </c>
      <c r="D2040" t="s">
        <v>3876</v>
      </c>
      <c r="E2040" t="s">
        <v>4069</v>
      </c>
      <c r="F2040" s="105" t="s">
        <v>4069</v>
      </c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1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1013</v>
      </c>
      <c r="S2040" s="96"/>
    </row>
    <row r="2041" spans="1:19" hidden="1">
      <c r="A2041" s="95" t="s">
        <v>3748</v>
      </c>
      <c r="B2041" s="96" t="str">
        <f>IFERROR(VLOOKUP(Proc[[#This Row],[App]],Table2[],3,0),"open")</f>
        <v>ok</v>
      </c>
      <c r="C2041" s="95" t="s">
        <v>369</v>
      </c>
      <c r="D2041" t="s">
        <v>3877</v>
      </c>
      <c r="E2041" t="s">
        <v>4069</v>
      </c>
      <c r="F2041" s="105" t="s">
        <v>4069</v>
      </c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1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1013</v>
      </c>
      <c r="S2041" s="96"/>
    </row>
    <row r="2042" spans="1:19" hidden="1">
      <c r="A2042" s="95" t="s">
        <v>3748</v>
      </c>
      <c r="B2042" s="96" t="str">
        <f>IFERROR(VLOOKUP(Proc[[#This Row],[App]],Table2[],3,0),"open")</f>
        <v>ok</v>
      </c>
      <c r="C2042" s="95" t="s">
        <v>369</v>
      </c>
      <c r="D2042" t="s">
        <v>3878</v>
      </c>
      <c r="E2042" t="s">
        <v>4069</v>
      </c>
      <c r="F2042" s="105" t="s">
        <v>4069</v>
      </c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1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1013</v>
      </c>
      <c r="S2042" s="96"/>
    </row>
    <row r="2043" spans="1:19" hidden="1">
      <c r="A2043" s="95" t="s">
        <v>3748</v>
      </c>
      <c r="B2043" s="96" t="str">
        <f>IFERROR(VLOOKUP(Proc[[#This Row],[App]],Table2[],3,0),"open")</f>
        <v>ok</v>
      </c>
      <c r="C2043" s="95" t="s">
        <v>369</v>
      </c>
      <c r="D2043" t="s">
        <v>3879</v>
      </c>
      <c r="E2043" t="s">
        <v>4069</v>
      </c>
      <c r="F2043" s="105" t="s">
        <v>4069</v>
      </c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1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1013</v>
      </c>
      <c r="S2043" s="96"/>
    </row>
    <row r="2044" spans="1:19" hidden="1">
      <c r="A2044" s="95" t="s">
        <v>3748</v>
      </c>
      <c r="B2044" s="96" t="str">
        <f>IFERROR(VLOOKUP(Proc[[#This Row],[App]],Table2[],3,0),"open")</f>
        <v>ok</v>
      </c>
      <c r="C2044" s="95" t="s">
        <v>369</v>
      </c>
      <c r="D2044" t="s">
        <v>3880</v>
      </c>
      <c r="E2044" t="s">
        <v>4069</v>
      </c>
      <c r="F2044" s="105" t="s">
        <v>4069</v>
      </c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1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1013</v>
      </c>
      <c r="S2044" s="96"/>
    </row>
    <row r="2045" spans="1:19" hidden="1">
      <c r="A2045" s="95" t="s">
        <v>3748</v>
      </c>
      <c r="B2045" s="96" t="str">
        <f>IFERROR(VLOOKUP(Proc[[#This Row],[App]],Table2[],3,0),"open")</f>
        <v>ok</v>
      </c>
      <c r="C2045" s="95" t="s">
        <v>369</v>
      </c>
      <c r="D2045" t="s">
        <v>3881</v>
      </c>
      <c r="E2045" t="s">
        <v>4069</v>
      </c>
      <c r="F2045" s="105" t="s">
        <v>4069</v>
      </c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1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1013</v>
      </c>
      <c r="S2045" s="96"/>
    </row>
    <row r="2046" spans="1:19" hidden="1">
      <c r="A2046" s="95" t="s">
        <v>3748</v>
      </c>
      <c r="B2046" s="96" t="str">
        <f>IFERROR(VLOOKUP(Proc[[#This Row],[App]],Table2[],3,0),"open")</f>
        <v>ok</v>
      </c>
      <c r="C2046" s="95" t="s">
        <v>369</v>
      </c>
      <c r="D2046" t="s">
        <v>3882</v>
      </c>
      <c r="E2046" t="s">
        <v>2274</v>
      </c>
      <c r="F2046" s="105" t="s">
        <v>2274</v>
      </c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1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1013</v>
      </c>
      <c r="S2046" s="96"/>
    </row>
    <row r="2047" spans="1:19" hidden="1">
      <c r="A2047" s="95" t="s">
        <v>3748</v>
      </c>
      <c r="B2047" s="96" t="str">
        <f>IFERROR(VLOOKUP(Proc[[#This Row],[App]],Table2[],3,0),"open")</f>
        <v>ok</v>
      </c>
      <c r="C2047" s="95" t="s">
        <v>369</v>
      </c>
      <c r="D2047" t="s">
        <v>3883</v>
      </c>
      <c r="E2047" t="s">
        <v>2274</v>
      </c>
      <c r="F2047" s="105" t="s">
        <v>2274</v>
      </c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1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1013</v>
      </c>
      <c r="S2047" s="96"/>
    </row>
    <row r="2048" spans="1:19" hidden="1">
      <c r="A2048" s="95" t="s">
        <v>3748</v>
      </c>
      <c r="B2048" s="96" t="str">
        <f>IFERROR(VLOOKUP(Proc[[#This Row],[App]],Table2[],3,0),"open")</f>
        <v>ok</v>
      </c>
      <c r="C2048" s="95" t="s">
        <v>369</v>
      </c>
      <c r="D2048" t="s">
        <v>3884</v>
      </c>
      <c r="E2048" t="s">
        <v>4069</v>
      </c>
      <c r="F2048" s="105" t="s">
        <v>4069</v>
      </c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1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1013</v>
      </c>
      <c r="S2048" s="96"/>
    </row>
    <row r="2049" spans="1:19" hidden="1">
      <c r="A2049" s="95" t="s">
        <v>3748</v>
      </c>
      <c r="B2049" s="96" t="str">
        <f>IFERROR(VLOOKUP(Proc[[#This Row],[App]],Table2[],3,0),"open")</f>
        <v>ok</v>
      </c>
      <c r="C2049" s="95" t="s">
        <v>369</v>
      </c>
      <c r="D2049" t="s">
        <v>3885</v>
      </c>
      <c r="E2049" t="s">
        <v>4069</v>
      </c>
      <c r="F2049" s="105" t="s">
        <v>4069</v>
      </c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1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1013</v>
      </c>
      <c r="S2049" s="96"/>
    </row>
    <row r="2050" spans="1:19" hidden="1">
      <c r="A2050" s="95" t="s">
        <v>3748</v>
      </c>
      <c r="B2050" s="96" t="str">
        <f>IFERROR(VLOOKUP(Proc[[#This Row],[App]],Table2[],3,0),"open")</f>
        <v>ok</v>
      </c>
      <c r="C2050" s="95" t="s">
        <v>369</v>
      </c>
      <c r="D2050" t="s">
        <v>3886</v>
      </c>
      <c r="E2050" t="s">
        <v>4069</v>
      </c>
      <c r="F2050" s="105" t="s">
        <v>4069</v>
      </c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1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1013</v>
      </c>
      <c r="S2050" s="96"/>
    </row>
    <row r="2051" spans="1:19" hidden="1">
      <c r="A2051" s="95" t="s">
        <v>3748</v>
      </c>
      <c r="B2051" s="96" t="str">
        <f>IFERROR(VLOOKUP(Proc[[#This Row],[App]],Table2[],3,0),"open")</f>
        <v>ok</v>
      </c>
      <c r="C2051" s="95" t="s">
        <v>369</v>
      </c>
      <c r="D2051" t="s">
        <v>3887</v>
      </c>
      <c r="E2051" t="s">
        <v>4069</v>
      </c>
      <c r="F2051" s="105" t="s">
        <v>4069</v>
      </c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1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1013</v>
      </c>
      <c r="S2051" s="96"/>
    </row>
    <row r="2052" spans="1:19" hidden="1">
      <c r="A2052" s="95" t="s">
        <v>3748</v>
      </c>
      <c r="B2052" s="96" t="str">
        <f>IFERROR(VLOOKUP(Proc[[#This Row],[App]],Table2[],3,0),"open")</f>
        <v>ok</v>
      </c>
      <c r="C2052" s="95" t="s">
        <v>369</v>
      </c>
      <c r="D2052" t="s">
        <v>3888</v>
      </c>
      <c r="E2052" t="s">
        <v>4069</v>
      </c>
      <c r="F2052" s="105" t="s">
        <v>4069</v>
      </c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1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1013</v>
      </c>
      <c r="S2052" s="96"/>
    </row>
    <row r="2053" spans="1:19" hidden="1">
      <c r="A2053" s="95" t="s">
        <v>3748</v>
      </c>
      <c r="B2053" s="96" t="str">
        <f>IFERROR(VLOOKUP(Proc[[#This Row],[App]],Table2[],3,0),"open")</f>
        <v>ok</v>
      </c>
      <c r="C2053" s="95" t="s">
        <v>369</v>
      </c>
      <c r="D2053" t="s">
        <v>3889</v>
      </c>
      <c r="E2053" t="s">
        <v>4069</v>
      </c>
      <c r="F2053" s="105" t="s">
        <v>4069</v>
      </c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1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1013</v>
      </c>
      <c r="S2053" s="96"/>
    </row>
    <row r="2054" spans="1:19" hidden="1">
      <c r="A2054" s="95" t="s">
        <v>3748</v>
      </c>
      <c r="B2054" s="96" t="str">
        <f>IFERROR(VLOOKUP(Proc[[#This Row],[App]],Table2[],3,0),"open")</f>
        <v>ok</v>
      </c>
      <c r="C2054" s="95" t="s">
        <v>369</v>
      </c>
      <c r="D2054" t="s">
        <v>3890</v>
      </c>
      <c r="E2054" t="s">
        <v>4069</v>
      </c>
      <c r="F2054" s="105" t="s">
        <v>4069</v>
      </c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1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1013</v>
      </c>
      <c r="S2054" s="96"/>
    </row>
    <row r="2055" spans="1:19" hidden="1">
      <c r="A2055" s="95" t="s">
        <v>3748</v>
      </c>
      <c r="B2055" s="96" t="str">
        <f>IFERROR(VLOOKUP(Proc[[#This Row],[App]],Table2[],3,0),"open")</f>
        <v>ok</v>
      </c>
      <c r="C2055" s="95" t="s">
        <v>369</v>
      </c>
      <c r="D2055" t="s">
        <v>3891</v>
      </c>
      <c r="E2055" t="s">
        <v>4069</v>
      </c>
      <c r="F2055" s="105" t="s">
        <v>4069</v>
      </c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1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1013</v>
      </c>
      <c r="S2055" s="96"/>
    </row>
    <row r="2056" spans="1:19" hidden="1">
      <c r="A2056" s="95" t="s">
        <v>3748</v>
      </c>
      <c r="B2056" s="96" t="str">
        <f>IFERROR(VLOOKUP(Proc[[#This Row],[App]],Table2[],3,0),"open")</f>
        <v>ok</v>
      </c>
      <c r="C2056" s="95" t="s">
        <v>369</v>
      </c>
      <c r="D2056" t="s">
        <v>3892</v>
      </c>
      <c r="E2056" t="s">
        <v>4069</v>
      </c>
      <c r="F2056" s="105" t="s">
        <v>4069</v>
      </c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1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1013</v>
      </c>
      <c r="S2056" s="96"/>
    </row>
    <row r="2057" spans="1:19" hidden="1">
      <c r="A2057" s="95" t="s">
        <v>3748</v>
      </c>
      <c r="B2057" s="96" t="str">
        <f>IFERROR(VLOOKUP(Proc[[#This Row],[App]],Table2[],3,0),"open")</f>
        <v>ok</v>
      </c>
      <c r="C2057" s="95" t="s">
        <v>369</v>
      </c>
      <c r="D2057" t="s">
        <v>3893</v>
      </c>
      <c r="E2057" t="s">
        <v>4069</v>
      </c>
      <c r="F2057" s="105" t="s">
        <v>4069</v>
      </c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1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1013</v>
      </c>
      <c r="S2057" s="96"/>
    </row>
    <row r="2058" spans="1:19" hidden="1">
      <c r="A2058" s="95" t="s">
        <v>3748</v>
      </c>
      <c r="B2058" s="96" t="str">
        <f>IFERROR(VLOOKUP(Proc[[#This Row],[App]],Table2[],3,0),"open")</f>
        <v>ok</v>
      </c>
      <c r="C2058" s="95" t="s">
        <v>369</v>
      </c>
      <c r="D2058" t="s">
        <v>3894</v>
      </c>
      <c r="E2058" t="s">
        <v>4069</v>
      </c>
      <c r="F2058" s="105" t="s">
        <v>4069</v>
      </c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1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1013</v>
      </c>
      <c r="S2058" s="96"/>
    </row>
    <row r="2059" spans="1:19" hidden="1">
      <c r="A2059" s="95" t="s">
        <v>3748</v>
      </c>
      <c r="B2059" s="96" t="str">
        <f>IFERROR(VLOOKUP(Proc[[#This Row],[App]],Table2[],3,0),"open")</f>
        <v>ok</v>
      </c>
      <c r="C2059" s="95" t="s">
        <v>369</v>
      </c>
      <c r="D2059" t="s">
        <v>3895</v>
      </c>
      <c r="E2059" t="s">
        <v>4069</v>
      </c>
      <c r="F2059" s="105" t="s">
        <v>4069</v>
      </c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1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1013</v>
      </c>
      <c r="S2059" s="96"/>
    </row>
    <row r="2060" spans="1:19" hidden="1">
      <c r="A2060" s="95" t="s">
        <v>3748</v>
      </c>
      <c r="B2060" s="96" t="str">
        <f>IFERROR(VLOOKUP(Proc[[#This Row],[App]],Table2[],3,0),"open")</f>
        <v>ok</v>
      </c>
      <c r="C2060" s="95" t="s">
        <v>369</v>
      </c>
      <c r="D2060" t="s">
        <v>3896</v>
      </c>
      <c r="E2060" t="s">
        <v>4069</v>
      </c>
      <c r="F2060" s="105" t="s">
        <v>4069</v>
      </c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1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1013</v>
      </c>
      <c r="S2060" s="96"/>
    </row>
    <row r="2061" spans="1:19" hidden="1">
      <c r="A2061" s="95" t="s">
        <v>3748</v>
      </c>
      <c r="B2061" s="96" t="str">
        <f>IFERROR(VLOOKUP(Proc[[#This Row],[App]],Table2[],3,0),"open")</f>
        <v>ok</v>
      </c>
      <c r="C2061" s="95" t="s">
        <v>369</v>
      </c>
      <c r="D2061" t="s">
        <v>3897</v>
      </c>
      <c r="E2061" t="s">
        <v>4069</v>
      </c>
      <c r="F2061" s="105" t="s">
        <v>4069</v>
      </c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1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1013</v>
      </c>
      <c r="S2061" s="96"/>
    </row>
    <row r="2062" spans="1:19" hidden="1">
      <c r="A2062" s="95" t="s">
        <v>3748</v>
      </c>
      <c r="B2062" s="96" t="str">
        <f>IFERROR(VLOOKUP(Proc[[#This Row],[App]],Table2[],3,0),"open")</f>
        <v>ok</v>
      </c>
      <c r="C2062" s="95" t="s">
        <v>369</v>
      </c>
      <c r="D2062" t="s">
        <v>3898</v>
      </c>
      <c r="E2062" t="s">
        <v>4069</v>
      </c>
      <c r="F2062" s="105" t="s">
        <v>4069</v>
      </c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1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1013</v>
      </c>
      <c r="S2062" s="96"/>
    </row>
    <row r="2063" spans="1:19" hidden="1">
      <c r="A2063" s="95" t="s">
        <v>3748</v>
      </c>
      <c r="B2063" s="96" t="str">
        <f>IFERROR(VLOOKUP(Proc[[#This Row],[App]],Table2[],3,0),"open")</f>
        <v>ok</v>
      </c>
      <c r="C2063" s="95" t="s">
        <v>369</v>
      </c>
      <c r="D2063" t="s">
        <v>3899</v>
      </c>
      <c r="E2063" t="s">
        <v>4069</v>
      </c>
      <c r="F2063" s="105" t="s">
        <v>4069</v>
      </c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1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1013</v>
      </c>
      <c r="S2063" s="96"/>
    </row>
    <row r="2064" spans="1:19" hidden="1">
      <c r="A2064" s="95" t="s">
        <v>3748</v>
      </c>
      <c r="B2064" s="96" t="str">
        <f>IFERROR(VLOOKUP(Proc[[#This Row],[App]],Table2[],3,0),"open")</f>
        <v>ok</v>
      </c>
      <c r="C2064" s="95" t="s">
        <v>369</v>
      </c>
      <c r="D2064" t="s">
        <v>3900</v>
      </c>
      <c r="E2064" t="s">
        <v>4069</v>
      </c>
      <c r="F2064" s="105" t="s">
        <v>4069</v>
      </c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1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1013</v>
      </c>
      <c r="S2064" s="96"/>
    </row>
    <row r="2065" spans="1:19" hidden="1">
      <c r="A2065" s="95" t="s">
        <v>3748</v>
      </c>
      <c r="B2065" s="96" t="str">
        <f>IFERROR(VLOOKUP(Proc[[#This Row],[App]],Table2[],3,0),"open")</f>
        <v>ok</v>
      </c>
      <c r="C2065" s="95" t="s">
        <v>369</v>
      </c>
      <c r="D2065" t="s">
        <v>3901</v>
      </c>
      <c r="E2065" t="s">
        <v>4069</v>
      </c>
      <c r="F2065" s="105" t="s">
        <v>4069</v>
      </c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1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1013</v>
      </c>
      <c r="S2065" s="96"/>
    </row>
    <row r="2066" spans="1:19" hidden="1">
      <c r="A2066" s="95" t="s">
        <v>3748</v>
      </c>
      <c r="B2066" s="96" t="str">
        <f>IFERROR(VLOOKUP(Proc[[#This Row],[App]],Table2[],3,0),"open")</f>
        <v>ok</v>
      </c>
      <c r="C2066" s="95" t="s">
        <v>369</v>
      </c>
      <c r="D2066" t="s">
        <v>3902</v>
      </c>
      <c r="E2066" t="s">
        <v>4069</v>
      </c>
      <c r="F2066" s="105" t="s">
        <v>4069</v>
      </c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1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1013</v>
      </c>
      <c r="S2066" s="96"/>
    </row>
    <row r="2067" spans="1:19" hidden="1">
      <c r="A2067" s="95" t="s">
        <v>3748</v>
      </c>
      <c r="B2067" s="96" t="str">
        <f>IFERROR(VLOOKUP(Proc[[#This Row],[App]],Table2[],3,0),"open")</f>
        <v>ok</v>
      </c>
      <c r="C2067" s="95" t="s">
        <v>369</v>
      </c>
      <c r="D2067" t="s">
        <v>3903</v>
      </c>
      <c r="E2067" t="s">
        <v>4069</v>
      </c>
      <c r="F2067" s="105" t="s">
        <v>4069</v>
      </c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1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1013</v>
      </c>
      <c r="S2067" s="96"/>
    </row>
    <row r="2068" spans="1:19" hidden="1">
      <c r="A2068" s="95" t="s">
        <v>3748</v>
      </c>
      <c r="B2068" s="96" t="str">
        <f>IFERROR(VLOOKUP(Proc[[#This Row],[App]],Table2[],3,0),"open")</f>
        <v>ok</v>
      </c>
      <c r="C2068" s="95" t="s">
        <v>369</v>
      </c>
      <c r="D2068" t="s">
        <v>3904</v>
      </c>
      <c r="E2068" t="s">
        <v>4069</v>
      </c>
      <c r="F2068" s="105" t="s">
        <v>4069</v>
      </c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1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1013</v>
      </c>
      <c r="S2068" s="96"/>
    </row>
    <row r="2069" spans="1:19" hidden="1">
      <c r="A2069" s="95" t="s">
        <v>3748</v>
      </c>
      <c r="B2069" s="96" t="str">
        <f>IFERROR(VLOOKUP(Proc[[#This Row],[App]],Table2[],3,0),"open")</f>
        <v>ok</v>
      </c>
      <c r="C2069" s="95" t="s">
        <v>369</v>
      </c>
      <c r="D2069" t="s">
        <v>3905</v>
      </c>
      <c r="E2069" t="s">
        <v>4069</v>
      </c>
      <c r="F2069" s="105" t="s">
        <v>4069</v>
      </c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1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1013</v>
      </c>
      <c r="S2069" s="96"/>
    </row>
    <row r="2070" spans="1:19" hidden="1">
      <c r="A2070" s="95" t="s">
        <v>3748</v>
      </c>
      <c r="B2070" s="96" t="str">
        <f>IFERROR(VLOOKUP(Proc[[#This Row],[App]],Table2[],3,0),"open")</f>
        <v>ok</v>
      </c>
      <c r="C2070" s="95" t="s">
        <v>369</v>
      </c>
      <c r="D2070" t="s">
        <v>3906</v>
      </c>
      <c r="E2070" t="s">
        <v>4069</v>
      </c>
      <c r="F2070" s="105" t="s">
        <v>4069</v>
      </c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1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1013</v>
      </c>
      <c r="S2070" s="96"/>
    </row>
    <row r="2071" spans="1:19" hidden="1">
      <c r="A2071" s="95" t="s">
        <v>3748</v>
      </c>
      <c r="B2071" s="96" t="str">
        <f>IFERROR(VLOOKUP(Proc[[#This Row],[App]],Table2[],3,0),"open")</f>
        <v>ok</v>
      </c>
      <c r="C2071" s="95" t="s">
        <v>369</v>
      </c>
      <c r="D2071" t="s">
        <v>3907</v>
      </c>
      <c r="E2071" t="s">
        <v>4069</v>
      </c>
      <c r="F2071" s="105" t="s">
        <v>4069</v>
      </c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1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1013</v>
      </c>
      <c r="S2071" s="96"/>
    </row>
    <row r="2072" spans="1:19" hidden="1">
      <c r="A2072" s="95" t="s">
        <v>3748</v>
      </c>
      <c r="B2072" s="96" t="str">
        <f>IFERROR(VLOOKUP(Proc[[#This Row],[App]],Table2[],3,0),"open")</f>
        <v>ok</v>
      </c>
      <c r="C2072" s="95" t="s">
        <v>369</v>
      </c>
      <c r="D2072" t="s">
        <v>3908</v>
      </c>
      <c r="E2072" t="s">
        <v>4069</v>
      </c>
      <c r="F2072" s="105" t="s">
        <v>4069</v>
      </c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1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1013</v>
      </c>
      <c r="S2072" s="96"/>
    </row>
    <row r="2073" spans="1:19" hidden="1">
      <c r="A2073" s="95" t="s">
        <v>3748</v>
      </c>
      <c r="B2073" s="96" t="str">
        <f>IFERROR(VLOOKUP(Proc[[#This Row],[App]],Table2[],3,0),"open")</f>
        <v>ok</v>
      </c>
      <c r="C2073" s="95" t="s">
        <v>369</v>
      </c>
      <c r="D2073" t="s">
        <v>3909</v>
      </c>
      <c r="E2073" t="s">
        <v>4069</v>
      </c>
      <c r="F2073" s="105" t="s">
        <v>4069</v>
      </c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1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1013</v>
      </c>
      <c r="S2073" s="96"/>
    </row>
    <row r="2074" spans="1:19" hidden="1">
      <c r="A2074" s="95" t="s">
        <v>3748</v>
      </c>
      <c r="B2074" s="96" t="str">
        <f>IFERROR(VLOOKUP(Proc[[#This Row],[App]],Table2[],3,0),"open")</f>
        <v>ok</v>
      </c>
      <c r="C2074" s="95" t="s">
        <v>369</v>
      </c>
      <c r="D2074" t="s">
        <v>3910</v>
      </c>
      <c r="E2074" t="s">
        <v>4069</v>
      </c>
      <c r="F2074" s="105" t="s">
        <v>4069</v>
      </c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1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1013</v>
      </c>
      <c r="S2074" s="96"/>
    </row>
    <row r="2075" spans="1:19" hidden="1">
      <c r="A2075" s="95" t="s">
        <v>3748</v>
      </c>
      <c r="B2075" s="96" t="str">
        <f>IFERROR(VLOOKUP(Proc[[#This Row],[App]],Table2[],3,0),"open")</f>
        <v>ok</v>
      </c>
      <c r="C2075" s="95" t="s">
        <v>369</v>
      </c>
      <c r="D2075" t="s">
        <v>3911</v>
      </c>
      <c r="E2075" t="s">
        <v>4069</v>
      </c>
      <c r="F2075" s="105" t="s">
        <v>4069</v>
      </c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1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1013</v>
      </c>
      <c r="S2075" s="96"/>
    </row>
    <row r="2076" spans="1:19" hidden="1">
      <c r="A2076" s="95" t="s">
        <v>3748</v>
      </c>
      <c r="B2076" s="96" t="str">
        <f>IFERROR(VLOOKUP(Proc[[#This Row],[App]],Table2[],3,0),"open")</f>
        <v>ok</v>
      </c>
      <c r="C2076" s="95" t="s">
        <v>369</v>
      </c>
      <c r="D2076" t="s">
        <v>3912</v>
      </c>
      <c r="E2076" t="s">
        <v>4069</v>
      </c>
      <c r="F2076" s="105" t="s">
        <v>4069</v>
      </c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1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1013</v>
      </c>
      <c r="S2076" s="96"/>
    </row>
    <row r="2077" spans="1:19" hidden="1">
      <c r="A2077" s="95" t="s">
        <v>3748</v>
      </c>
      <c r="B2077" s="96" t="str">
        <f>IFERROR(VLOOKUP(Proc[[#This Row],[App]],Table2[],3,0),"open")</f>
        <v>ok</v>
      </c>
      <c r="C2077" s="95" t="s">
        <v>369</v>
      </c>
      <c r="D2077" t="s">
        <v>3913</v>
      </c>
      <c r="E2077" t="s">
        <v>4069</v>
      </c>
      <c r="F2077" s="105" t="s">
        <v>4069</v>
      </c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1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1013</v>
      </c>
      <c r="S2077" s="96"/>
    </row>
    <row r="2078" spans="1:19" hidden="1">
      <c r="A2078" s="95" t="s">
        <v>3748</v>
      </c>
      <c r="B2078" s="96" t="str">
        <f>IFERROR(VLOOKUP(Proc[[#This Row],[App]],Table2[],3,0),"open")</f>
        <v>ok</v>
      </c>
      <c r="C2078" s="95" t="s">
        <v>369</v>
      </c>
      <c r="D2078" t="s">
        <v>3914</v>
      </c>
      <c r="E2078" t="s">
        <v>4069</v>
      </c>
      <c r="F2078" s="105" t="s">
        <v>4069</v>
      </c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1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1013</v>
      </c>
      <c r="S2078" s="96"/>
    </row>
    <row r="2079" spans="1:19" hidden="1">
      <c r="A2079" s="95" t="s">
        <v>3748</v>
      </c>
      <c r="B2079" s="96" t="str">
        <f>IFERROR(VLOOKUP(Proc[[#This Row],[App]],Table2[],3,0),"open")</f>
        <v>ok</v>
      </c>
      <c r="C2079" s="95" t="s">
        <v>369</v>
      </c>
      <c r="D2079" t="s">
        <v>3915</v>
      </c>
      <c r="E2079" t="s">
        <v>4069</v>
      </c>
      <c r="F2079" s="105" t="s">
        <v>4069</v>
      </c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1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1013</v>
      </c>
      <c r="S2079" s="96"/>
    </row>
    <row r="2080" spans="1:19" hidden="1">
      <c r="A2080" s="95" t="s">
        <v>3748</v>
      </c>
      <c r="B2080" s="96" t="str">
        <f>IFERROR(VLOOKUP(Proc[[#This Row],[App]],Table2[],3,0),"open")</f>
        <v>ok</v>
      </c>
      <c r="C2080" s="95" t="s">
        <v>369</v>
      </c>
      <c r="D2080" t="s">
        <v>3916</v>
      </c>
      <c r="E2080" t="s">
        <v>4069</v>
      </c>
      <c r="F2080" s="105" t="s">
        <v>4069</v>
      </c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1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1013</v>
      </c>
      <c r="S2080" s="96"/>
    </row>
    <row r="2081" spans="1:19" hidden="1">
      <c r="A2081" s="95" t="s">
        <v>3748</v>
      </c>
      <c r="B2081" s="96" t="str">
        <f>IFERROR(VLOOKUP(Proc[[#This Row],[App]],Table2[],3,0),"open")</f>
        <v>ok</v>
      </c>
      <c r="C2081" s="95" t="s">
        <v>369</v>
      </c>
      <c r="D2081" t="s">
        <v>3917</v>
      </c>
      <c r="E2081" t="s">
        <v>4069</v>
      </c>
      <c r="F2081" s="105" t="s">
        <v>4069</v>
      </c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1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1013</v>
      </c>
      <c r="S2081" s="96"/>
    </row>
    <row r="2082" spans="1:19" hidden="1">
      <c r="A2082" s="95" t="s">
        <v>3748</v>
      </c>
      <c r="B2082" s="96" t="str">
        <f>IFERROR(VLOOKUP(Proc[[#This Row],[App]],Table2[],3,0),"open")</f>
        <v>ok</v>
      </c>
      <c r="C2082" s="95" t="s">
        <v>369</v>
      </c>
      <c r="D2082" t="s">
        <v>3918</v>
      </c>
      <c r="E2082" t="s">
        <v>4069</v>
      </c>
      <c r="F2082" s="105" t="s">
        <v>4069</v>
      </c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1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1013</v>
      </c>
      <c r="S2082" s="96"/>
    </row>
    <row r="2083" spans="1:19" hidden="1">
      <c r="A2083" s="95" t="s">
        <v>3748</v>
      </c>
      <c r="B2083" s="96" t="str">
        <f>IFERROR(VLOOKUP(Proc[[#This Row],[App]],Table2[],3,0),"open")</f>
        <v>ok</v>
      </c>
      <c r="C2083" s="95" t="s">
        <v>369</v>
      </c>
      <c r="D2083" t="s">
        <v>3919</v>
      </c>
      <c r="E2083" t="s">
        <v>4069</v>
      </c>
      <c r="F2083" s="105" t="s">
        <v>4069</v>
      </c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1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1013</v>
      </c>
      <c r="S2083" s="96"/>
    </row>
    <row r="2084" spans="1:19" hidden="1">
      <c r="A2084" s="95" t="s">
        <v>3748</v>
      </c>
      <c r="B2084" s="96" t="str">
        <f>IFERROR(VLOOKUP(Proc[[#This Row],[App]],Table2[],3,0),"open")</f>
        <v>ok</v>
      </c>
      <c r="C2084" s="95" t="s">
        <v>369</v>
      </c>
      <c r="D2084" t="s">
        <v>3920</v>
      </c>
      <c r="E2084" t="s">
        <v>4069</v>
      </c>
      <c r="F2084" s="105" t="s">
        <v>4069</v>
      </c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1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1013</v>
      </c>
      <c r="S2084" s="96"/>
    </row>
    <row r="2085" spans="1:19" hidden="1">
      <c r="A2085" s="95" t="s">
        <v>3748</v>
      </c>
      <c r="B2085" s="96" t="str">
        <f>IFERROR(VLOOKUP(Proc[[#This Row],[App]],Table2[],3,0),"open")</f>
        <v>ok</v>
      </c>
      <c r="C2085" s="95" t="s">
        <v>369</v>
      </c>
      <c r="D2085" t="s">
        <v>3921</v>
      </c>
      <c r="E2085" t="s">
        <v>4069</v>
      </c>
      <c r="F2085" s="105" t="s">
        <v>4069</v>
      </c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1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1013</v>
      </c>
      <c r="S2085" s="96"/>
    </row>
    <row r="2086" spans="1:19" hidden="1">
      <c r="A2086" s="95" t="s">
        <v>3748</v>
      </c>
      <c r="B2086" s="96" t="str">
        <f>IFERROR(VLOOKUP(Proc[[#This Row],[App]],Table2[],3,0),"open")</f>
        <v>ok</v>
      </c>
      <c r="C2086" s="95" t="s">
        <v>369</v>
      </c>
      <c r="D2086" t="s">
        <v>3922</v>
      </c>
      <c r="E2086" t="s">
        <v>4069</v>
      </c>
      <c r="F2086" s="105" t="s">
        <v>4069</v>
      </c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1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1013</v>
      </c>
      <c r="S2086" s="96"/>
    </row>
    <row r="2087" spans="1:19" hidden="1">
      <c r="A2087" s="95" t="s">
        <v>3748</v>
      </c>
      <c r="B2087" s="96" t="str">
        <f>IFERROR(VLOOKUP(Proc[[#This Row],[App]],Table2[],3,0),"open")</f>
        <v>ok</v>
      </c>
      <c r="C2087" s="95" t="s">
        <v>369</v>
      </c>
      <c r="D2087" t="s">
        <v>3923</v>
      </c>
      <c r="E2087" t="s">
        <v>4069</v>
      </c>
      <c r="F2087" s="105" t="s">
        <v>4069</v>
      </c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1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1013</v>
      </c>
      <c r="S2087" s="96"/>
    </row>
    <row r="2088" spans="1:19" hidden="1">
      <c r="A2088" s="95" t="s">
        <v>3748</v>
      </c>
      <c r="B2088" s="96" t="str">
        <f>IFERROR(VLOOKUP(Proc[[#This Row],[App]],Table2[],3,0),"open")</f>
        <v>ok</v>
      </c>
      <c r="C2088" s="95" t="s">
        <v>369</v>
      </c>
      <c r="D2088" t="s">
        <v>3924</v>
      </c>
      <c r="E2088" t="s">
        <v>4069</v>
      </c>
      <c r="F2088" s="105" t="s">
        <v>4069</v>
      </c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1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1013</v>
      </c>
      <c r="S2088" s="96"/>
    </row>
    <row r="2089" spans="1:19" hidden="1">
      <c r="A2089" s="95" t="s">
        <v>3748</v>
      </c>
      <c r="B2089" s="96" t="str">
        <f>IFERROR(VLOOKUP(Proc[[#This Row],[App]],Table2[],3,0),"open")</f>
        <v>ok</v>
      </c>
      <c r="C2089" s="95" t="s">
        <v>369</v>
      </c>
      <c r="D2089" t="s">
        <v>3925</v>
      </c>
      <c r="E2089" t="s">
        <v>4069</v>
      </c>
      <c r="F2089" s="105" t="s">
        <v>4069</v>
      </c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1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1013</v>
      </c>
      <c r="S2089" s="96"/>
    </row>
    <row r="2090" spans="1:19" hidden="1">
      <c r="A2090" s="95" t="s">
        <v>3748</v>
      </c>
      <c r="B2090" s="96" t="str">
        <f>IFERROR(VLOOKUP(Proc[[#This Row],[App]],Table2[],3,0),"open")</f>
        <v>ok</v>
      </c>
      <c r="C2090" s="95" t="s">
        <v>369</v>
      </c>
      <c r="D2090" t="s">
        <v>3926</v>
      </c>
      <c r="E2090" t="s">
        <v>4069</v>
      </c>
      <c r="F2090" s="105" t="s">
        <v>4069</v>
      </c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1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1013</v>
      </c>
      <c r="S2090" s="96"/>
    </row>
    <row r="2091" spans="1:19" hidden="1">
      <c r="A2091" s="95" t="s">
        <v>3748</v>
      </c>
      <c r="B2091" s="96" t="str">
        <f>IFERROR(VLOOKUP(Proc[[#This Row],[App]],Table2[],3,0),"open")</f>
        <v>ok</v>
      </c>
      <c r="C2091" s="95" t="s">
        <v>369</v>
      </c>
      <c r="D2091" t="s">
        <v>3927</v>
      </c>
      <c r="E2091" t="s">
        <v>4069</v>
      </c>
      <c r="F2091" s="105" t="s">
        <v>4069</v>
      </c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1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1013</v>
      </c>
      <c r="S2091" s="96"/>
    </row>
    <row r="2092" spans="1:19" hidden="1">
      <c r="A2092" s="95" t="s">
        <v>3748</v>
      </c>
      <c r="B2092" s="96" t="str">
        <f>IFERROR(VLOOKUP(Proc[[#This Row],[App]],Table2[],3,0),"open")</f>
        <v>ok</v>
      </c>
      <c r="C2092" s="95" t="s">
        <v>369</v>
      </c>
      <c r="D2092" t="s">
        <v>3928</v>
      </c>
      <c r="E2092" t="s">
        <v>4069</v>
      </c>
      <c r="F2092" s="105" t="s">
        <v>4069</v>
      </c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1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1013</v>
      </c>
      <c r="S2092" s="96"/>
    </row>
    <row r="2093" spans="1:19" hidden="1">
      <c r="A2093" s="95" t="s">
        <v>3748</v>
      </c>
      <c r="B2093" s="96" t="str">
        <f>IFERROR(VLOOKUP(Proc[[#This Row],[App]],Table2[],3,0),"open")</f>
        <v>ok</v>
      </c>
      <c r="C2093" s="95" t="s">
        <v>369</v>
      </c>
      <c r="D2093" t="s">
        <v>3929</v>
      </c>
      <c r="E2093" t="s">
        <v>4069</v>
      </c>
      <c r="F2093" s="105" t="s">
        <v>4069</v>
      </c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1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1013</v>
      </c>
      <c r="S2093" s="96"/>
    </row>
    <row r="2094" spans="1:19" hidden="1">
      <c r="A2094" s="95" t="s">
        <v>3748</v>
      </c>
      <c r="B2094" s="96" t="str">
        <f>IFERROR(VLOOKUP(Proc[[#This Row],[App]],Table2[],3,0),"open")</f>
        <v>ok</v>
      </c>
      <c r="C2094" s="95" t="s">
        <v>369</v>
      </c>
      <c r="D2094" t="s">
        <v>3930</v>
      </c>
      <c r="E2094" t="s">
        <v>4069</v>
      </c>
      <c r="F2094" s="105" t="s">
        <v>4069</v>
      </c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1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1013</v>
      </c>
      <c r="S2094" s="96"/>
    </row>
    <row r="2095" spans="1:19" hidden="1">
      <c r="A2095" s="95" t="s">
        <v>3748</v>
      </c>
      <c r="B2095" s="96" t="str">
        <f>IFERROR(VLOOKUP(Proc[[#This Row],[App]],Table2[],3,0),"open")</f>
        <v>ok</v>
      </c>
      <c r="C2095" s="95" t="s">
        <v>369</v>
      </c>
      <c r="D2095" t="s">
        <v>3931</v>
      </c>
      <c r="E2095" t="s">
        <v>4069</v>
      </c>
      <c r="F2095" s="105" t="s">
        <v>4069</v>
      </c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1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1013</v>
      </c>
      <c r="S2095" s="96"/>
    </row>
    <row r="2096" spans="1:19" hidden="1">
      <c r="A2096" s="95" t="s">
        <v>3748</v>
      </c>
      <c r="B2096" s="96" t="str">
        <f>IFERROR(VLOOKUP(Proc[[#This Row],[App]],Table2[],3,0),"open")</f>
        <v>ok</v>
      </c>
      <c r="C2096" s="95" t="s">
        <v>369</v>
      </c>
      <c r="D2096" t="s">
        <v>3932</v>
      </c>
      <c r="E2096" t="s">
        <v>4069</v>
      </c>
      <c r="F2096" s="105" t="s">
        <v>4069</v>
      </c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1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1013</v>
      </c>
      <c r="S2096" s="96"/>
    </row>
    <row r="2097" spans="1:19" hidden="1">
      <c r="A2097" s="95" t="s">
        <v>3748</v>
      </c>
      <c r="B2097" s="96" t="str">
        <f>IFERROR(VLOOKUP(Proc[[#This Row],[App]],Table2[],3,0),"open")</f>
        <v>ok</v>
      </c>
      <c r="C2097" s="95" t="s">
        <v>369</v>
      </c>
      <c r="D2097" t="s">
        <v>3933</v>
      </c>
      <c r="E2097" t="s">
        <v>4069</v>
      </c>
      <c r="F2097" s="105" t="s">
        <v>4069</v>
      </c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1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1013</v>
      </c>
      <c r="S2097" s="96"/>
    </row>
    <row r="2098" spans="1:19" hidden="1">
      <c r="A2098" s="95" t="s">
        <v>3748</v>
      </c>
      <c r="B2098" s="96" t="str">
        <f>IFERROR(VLOOKUP(Proc[[#This Row],[App]],Table2[],3,0),"open")</f>
        <v>ok</v>
      </c>
      <c r="C2098" s="95" t="s">
        <v>369</v>
      </c>
      <c r="D2098" t="s">
        <v>3934</v>
      </c>
      <c r="E2098" t="s">
        <v>4069</v>
      </c>
      <c r="F2098" s="105" t="s">
        <v>4069</v>
      </c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1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1013</v>
      </c>
      <c r="S2098" s="96"/>
    </row>
    <row r="2099" spans="1:19" hidden="1">
      <c r="A2099" s="95" t="s">
        <v>3748</v>
      </c>
      <c r="B2099" s="96" t="str">
        <f>IFERROR(VLOOKUP(Proc[[#This Row],[App]],Table2[],3,0),"open")</f>
        <v>ok</v>
      </c>
      <c r="C2099" s="95" t="s">
        <v>369</v>
      </c>
      <c r="D2099" t="s">
        <v>3935</v>
      </c>
      <c r="E2099" t="s">
        <v>4069</v>
      </c>
      <c r="F2099" s="105" t="s">
        <v>4069</v>
      </c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1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1013</v>
      </c>
      <c r="S2099" s="96"/>
    </row>
    <row r="2100" spans="1:19" hidden="1">
      <c r="A2100" s="95" t="s">
        <v>3748</v>
      </c>
      <c r="B2100" s="96" t="str">
        <f>IFERROR(VLOOKUP(Proc[[#This Row],[App]],Table2[],3,0),"open")</f>
        <v>ok</v>
      </c>
      <c r="C2100" s="95" t="s">
        <v>369</v>
      </c>
      <c r="D2100" t="s">
        <v>3936</v>
      </c>
      <c r="E2100" t="s">
        <v>4069</v>
      </c>
      <c r="F2100" s="105" t="s">
        <v>4069</v>
      </c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1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1013</v>
      </c>
      <c r="S2100" s="96"/>
    </row>
    <row r="2101" spans="1:19" hidden="1">
      <c r="A2101" s="95" t="s">
        <v>3748</v>
      </c>
      <c r="B2101" s="96" t="str">
        <f>IFERROR(VLOOKUP(Proc[[#This Row],[App]],Table2[],3,0),"open")</f>
        <v>ok</v>
      </c>
      <c r="C2101" s="95" t="s">
        <v>369</v>
      </c>
      <c r="D2101" t="s">
        <v>3937</v>
      </c>
      <c r="E2101" t="s">
        <v>4069</v>
      </c>
      <c r="F2101" s="105" t="s">
        <v>4069</v>
      </c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1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1013</v>
      </c>
      <c r="S2101" s="96"/>
    </row>
    <row r="2102" spans="1:19" hidden="1">
      <c r="A2102" s="95" t="s">
        <v>3748</v>
      </c>
      <c r="B2102" s="96" t="str">
        <f>IFERROR(VLOOKUP(Proc[[#This Row],[App]],Table2[],3,0),"open")</f>
        <v>ok</v>
      </c>
      <c r="C2102" s="95" t="s">
        <v>369</v>
      </c>
      <c r="D2102" t="s">
        <v>3938</v>
      </c>
      <c r="E2102" t="s">
        <v>4069</v>
      </c>
      <c r="F2102" s="105" t="s">
        <v>4069</v>
      </c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1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1013</v>
      </c>
      <c r="S2102" s="96"/>
    </row>
    <row r="2103" spans="1:19" hidden="1">
      <c r="A2103" s="95" t="s">
        <v>3748</v>
      </c>
      <c r="B2103" s="96" t="str">
        <f>IFERROR(VLOOKUP(Proc[[#This Row],[App]],Table2[],3,0),"open")</f>
        <v>ok</v>
      </c>
      <c r="C2103" s="95" t="s">
        <v>369</v>
      </c>
      <c r="D2103" t="s">
        <v>3939</v>
      </c>
      <c r="E2103" t="s">
        <v>4069</v>
      </c>
      <c r="F2103" s="105" t="s">
        <v>4069</v>
      </c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1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1013</v>
      </c>
      <c r="S2103" s="96"/>
    </row>
    <row r="2104" spans="1:19" hidden="1">
      <c r="A2104" s="95" t="s">
        <v>3748</v>
      </c>
      <c r="B2104" s="96" t="str">
        <f>IFERROR(VLOOKUP(Proc[[#This Row],[App]],Table2[],3,0),"open")</f>
        <v>ok</v>
      </c>
      <c r="C2104" s="95" t="s">
        <v>369</v>
      </c>
      <c r="D2104" t="s">
        <v>3940</v>
      </c>
      <c r="E2104" t="s">
        <v>4069</v>
      </c>
      <c r="F2104" s="105" t="s">
        <v>4069</v>
      </c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1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1013</v>
      </c>
      <c r="S2104" s="96"/>
    </row>
    <row r="2105" spans="1:19" hidden="1">
      <c r="A2105" s="95" t="s">
        <v>3748</v>
      </c>
      <c r="B2105" s="96" t="str">
        <f>IFERROR(VLOOKUP(Proc[[#This Row],[App]],Table2[],3,0),"open")</f>
        <v>ok</v>
      </c>
      <c r="C2105" s="95" t="s">
        <v>369</v>
      </c>
      <c r="D2105" t="s">
        <v>3941</v>
      </c>
      <c r="E2105" t="s">
        <v>4069</v>
      </c>
      <c r="F2105" s="105" t="s">
        <v>4069</v>
      </c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1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1013</v>
      </c>
      <c r="S2105" s="96"/>
    </row>
    <row r="2106" spans="1:19" hidden="1">
      <c r="A2106" s="95" t="s">
        <v>3748</v>
      </c>
      <c r="B2106" s="96" t="str">
        <f>IFERROR(VLOOKUP(Proc[[#This Row],[App]],Table2[],3,0),"open")</f>
        <v>ok</v>
      </c>
      <c r="C2106" s="95" t="s">
        <v>369</v>
      </c>
      <c r="D2106" t="s">
        <v>3942</v>
      </c>
      <c r="E2106" t="s">
        <v>4069</v>
      </c>
      <c r="F2106" s="105" t="s">
        <v>4069</v>
      </c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1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1013</v>
      </c>
      <c r="S2106" s="96"/>
    </row>
    <row r="2107" spans="1:19" hidden="1">
      <c r="A2107" s="95" t="s">
        <v>3748</v>
      </c>
      <c r="B2107" s="96" t="str">
        <f>IFERROR(VLOOKUP(Proc[[#This Row],[App]],Table2[],3,0),"open")</f>
        <v>ok</v>
      </c>
      <c r="C2107" s="95" t="s">
        <v>369</v>
      </c>
      <c r="D2107" t="s">
        <v>3943</v>
      </c>
      <c r="E2107" t="s">
        <v>4069</v>
      </c>
      <c r="F2107" s="105" t="s">
        <v>4069</v>
      </c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1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1013</v>
      </c>
      <c r="S2107" s="96"/>
    </row>
    <row r="2108" spans="1:19" hidden="1">
      <c r="A2108" s="95" t="s">
        <v>3748</v>
      </c>
      <c r="B2108" s="96" t="str">
        <f>IFERROR(VLOOKUP(Proc[[#This Row],[App]],Table2[],3,0),"open")</f>
        <v>ok</v>
      </c>
      <c r="C2108" s="95" t="s">
        <v>369</v>
      </c>
      <c r="D2108" t="s">
        <v>3944</v>
      </c>
      <c r="E2108" t="s">
        <v>4069</v>
      </c>
      <c r="F2108" s="105" t="s">
        <v>4069</v>
      </c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1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1013</v>
      </c>
      <c r="S2108" s="96"/>
    </row>
    <row r="2109" spans="1:19" hidden="1">
      <c r="A2109" s="95" t="s">
        <v>3748</v>
      </c>
      <c r="B2109" s="96" t="str">
        <f>IFERROR(VLOOKUP(Proc[[#This Row],[App]],Table2[],3,0),"open")</f>
        <v>ok</v>
      </c>
      <c r="C2109" s="95" t="s">
        <v>369</v>
      </c>
      <c r="D2109" t="s">
        <v>3945</v>
      </c>
      <c r="E2109" t="s">
        <v>4069</v>
      </c>
      <c r="F2109" s="105" t="s">
        <v>4069</v>
      </c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1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1013</v>
      </c>
      <c r="S2109" s="96"/>
    </row>
    <row r="2110" spans="1:19" hidden="1">
      <c r="A2110" s="95" t="s">
        <v>3748</v>
      </c>
      <c r="B2110" s="96" t="str">
        <f>IFERROR(VLOOKUP(Proc[[#This Row],[App]],Table2[],3,0),"open")</f>
        <v>ok</v>
      </c>
      <c r="C2110" s="95" t="s">
        <v>369</v>
      </c>
      <c r="D2110" t="s">
        <v>3946</v>
      </c>
      <c r="E2110" t="s">
        <v>4069</v>
      </c>
      <c r="F2110" s="105" t="s">
        <v>4069</v>
      </c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1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1013</v>
      </c>
      <c r="S2110" s="96"/>
    </row>
    <row r="2111" spans="1:19" hidden="1">
      <c r="A2111" s="95" t="s">
        <v>3748</v>
      </c>
      <c r="B2111" s="96" t="str">
        <f>IFERROR(VLOOKUP(Proc[[#This Row],[App]],Table2[],3,0),"open")</f>
        <v>ok</v>
      </c>
      <c r="C2111" s="95" t="s">
        <v>369</v>
      </c>
      <c r="D2111" t="s">
        <v>3947</v>
      </c>
      <c r="E2111" t="s">
        <v>4069</v>
      </c>
      <c r="F2111" s="105" t="s">
        <v>4069</v>
      </c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1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1013</v>
      </c>
      <c r="S2111" s="96"/>
    </row>
    <row r="2112" spans="1:19" hidden="1">
      <c r="A2112" s="95" t="s">
        <v>3748</v>
      </c>
      <c r="B2112" s="96" t="str">
        <f>IFERROR(VLOOKUP(Proc[[#This Row],[App]],Table2[],3,0),"open")</f>
        <v>ok</v>
      </c>
      <c r="C2112" s="95" t="s">
        <v>369</v>
      </c>
      <c r="D2112" t="s">
        <v>3948</v>
      </c>
      <c r="E2112" t="s">
        <v>2274</v>
      </c>
      <c r="F2112" s="105" t="s">
        <v>2274</v>
      </c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1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1013</v>
      </c>
      <c r="S2112" s="96"/>
    </row>
    <row r="2113" spans="1:19" hidden="1">
      <c r="A2113" s="95" t="s">
        <v>3748</v>
      </c>
      <c r="B2113" s="96" t="str">
        <f>IFERROR(VLOOKUP(Proc[[#This Row],[App]],Table2[],3,0),"open")</f>
        <v>ok</v>
      </c>
      <c r="C2113" s="95" t="s">
        <v>369</v>
      </c>
      <c r="D2113" t="s">
        <v>3949</v>
      </c>
      <c r="E2113" t="s">
        <v>4069</v>
      </c>
      <c r="F2113" s="105" t="s">
        <v>4069</v>
      </c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1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1013</v>
      </c>
      <c r="S2113" s="96"/>
    </row>
    <row r="2114" spans="1:19" hidden="1">
      <c r="A2114" s="95" t="s">
        <v>3748</v>
      </c>
      <c r="B2114" s="96" t="str">
        <f>IFERROR(VLOOKUP(Proc[[#This Row],[App]],Table2[],3,0),"open")</f>
        <v>ok</v>
      </c>
      <c r="C2114" s="95" t="s">
        <v>369</v>
      </c>
      <c r="D2114" t="s">
        <v>3950</v>
      </c>
      <c r="E2114" t="s">
        <v>4069</v>
      </c>
      <c r="F2114" s="105" t="s">
        <v>4069</v>
      </c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1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1013</v>
      </c>
      <c r="S2114" s="96"/>
    </row>
    <row r="2115" spans="1:19" hidden="1">
      <c r="A2115" s="95" t="s">
        <v>3748</v>
      </c>
      <c r="B2115" s="96" t="str">
        <f>IFERROR(VLOOKUP(Proc[[#This Row],[App]],Table2[],3,0),"open")</f>
        <v>ok</v>
      </c>
      <c r="C2115" s="95" t="s">
        <v>369</v>
      </c>
      <c r="D2115" t="s">
        <v>3951</v>
      </c>
      <c r="E2115" t="s">
        <v>4069</v>
      </c>
      <c r="F2115" s="105" t="s">
        <v>4069</v>
      </c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1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1013</v>
      </c>
      <c r="S2115" s="96"/>
    </row>
    <row r="2116" spans="1:19" hidden="1">
      <c r="A2116" s="95" t="s">
        <v>3748</v>
      </c>
      <c r="B2116" s="96" t="str">
        <f>IFERROR(VLOOKUP(Proc[[#This Row],[App]],Table2[],3,0),"open")</f>
        <v>ok</v>
      </c>
      <c r="C2116" s="95" t="s">
        <v>369</v>
      </c>
      <c r="D2116" t="s">
        <v>3952</v>
      </c>
      <c r="E2116" t="s">
        <v>4069</v>
      </c>
      <c r="F2116" s="105" t="s">
        <v>4069</v>
      </c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1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1013</v>
      </c>
      <c r="S2116" s="96"/>
    </row>
    <row r="2117" spans="1:19" hidden="1">
      <c r="A2117" s="95" t="s">
        <v>3748</v>
      </c>
      <c r="B2117" s="96" t="str">
        <f>IFERROR(VLOOKUP(Proc[[#This Row],[App]],Table2[],3,0),"open")</f>
        <v>ok</v>
      </c>
      <c r="C2117" s="95" t="s">
        <v>369</v>
      </c>
      <c r="D2117" t="s">
        <v>3953</v>
      </c>
      <c r="E2117" t="s">
        <v>4069</v>
      </c>
      <c r="F2117" s="105" t="s">
        <v>4069</v>
      </c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1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1013</v>
      </c>
      <c r="S2117" s="96"/>
    </row>
    <row r="2118" spans="1:19" hidden="1">
      <c r="A2118" s="95" t="s">
        <v>3748</v>
      </c>
      <c r="B2118" s="96" t="str">
        <f>IFERROR(VLOOKUP(Proc[[#This Row],[App]],Table2[],3,0),"open")</f>
        <v>ok</v>
      </c>
      <c r="C2118" s="95" t="s">
        <v>369</v>
      </c>
      <c r="D2118" t="s">
        <v>3954</v>
      </c>
      <c r="E2118" t="s">
        <v>2274</v>
      </c>
      <c r="F2118" s="105" t="s">
        <v>2274</v>
      </c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1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1013</v>
      </c>
      <c r="S2118" s="96"/>
    </row>
    <row r="2119" spans="1:19" hidden="1">
      <c r="A2119" s="95" t="s">
        <v>3748</v>
      </c>
      <c r="B2119" s="96" t="str">
        <f>IFERROR(VLOOKUP(Proc[[#This Row],[App]],Table2[],3,0),"open")</f>
        <v>ok</v>
      </c>
      <c r="C2119" s="95" t="s">
        <v>369</v>
      </c>
      <c r="D2119" t="s">
        <v>3955</v>
      </c>
      <c r="E2119" t="s">
        <v>2274</v>
      </c>
      <c r="F2119" s="105" t="s">
        <v>2274</v>
      </c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1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1013</v>
      </c>
      <c r="S2119" s="96"/>
    </row>
    <row r="2120" spans="1:19" hidden="1">
      <c r="A2120" s="95" t="s">
        <v>3748</v>
      </c>
      <c r="B2120" s="96" t="str">
        <f>IFERROR(VLOOKUP(Proc[[#This Row],[App]],Table2[],3,0),"open")</f>
        <v>ok</v>
      </c>
      <c r="C2120" s="95" t="s">
        <v>369</v>
      </c>
      <c r="D2120" t="s">
        <v>3956</v>
      </c>
      <c r="E2120" t="s">
        <v>2274</v>
      </c>
      <c r="F2120" s="105" t="s">
        <v>2274</v>
      </c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1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1013</v>
      </c>
      <c r="S2120" s="96"/>
    </row>
    <row r="2121" spans="1:19" hidden="1">
      <c r="A2121" s="95" t="s">
        <v>3748</v>
      </c>
      <c r="B2121" s="96" t="str">
        <f>IFERROR(VLOOKUP(Proc[[#This Row],[App]],Table2[],3,0),"open")</f>
        <v>ok</v>
      </c>
      <c r="C2121" s="95" t="s">
        <v>369</v>
      </c>
      <c r="D2121" t="s">
        <v>3957</v>
      </c>
      <c r="E2121" t="s">
        <v>4070</v>
      </c>
      <c r="F2121" s="105" t="s">
        <v>4070</v>
      </c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1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1013</v>
      </c>
      <c r="S2121" s="96"/>
    </row>
    <row r="2122" spans="1:19" hidden="1">
      <c r="A2122" s="95" t="s">
        <v>3748</v>
      </c>
      <c r="B2122" s="96" t="str">
        <f>IFERROR(VLOOKUP(Proc[[#This Row],[App]],Table2[],3,0),"open")</f>
        <v>ok</v>
      </c>
      <c r="C2122" s="95" t="s">
        <v>369</v>
      </c>
      <c r="D2122" t="s">
        <v>3958</v>
      </c>
      <c r="E2122" t="s">
        <v>4069</v>
      </c>
      <c r="F2122" s="105" t="s">
        <v>4069</v>
      </c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1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1013</v>
      </c>
      <c r="S2122" s="96"/>
    </row>
    <row r="2123" spans="1:19" hidden="1">
      <c r="A2123" s="95" t="s">
        <v>3748</v>
      </c>
      <c r="B2123" s="96" t="str">
        <f>IFERROR(VLOOKUP(Proc[[#This Row],[App]],Table2[],3,0),"open")</f>
        <v>ok</v>
      </c>
      <c r="C2123" s="95" t="s">
        <v>369</v>
      </c>
      <c r="D2123" t="s">
        <v>3959</v>
      </c>
      <c r="E2123" t="s">
        <v>4069</v>
      </c>
      <c r="F2123" s="105" t="s">
        <v>4069</v>
      </c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1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1013</v>
      </c>
      <c r="S2123" s="96"/>
    </row>
    <row r="2124" spans="1:19" hidden="1">
      <c r="A2124" s="95" t="s">
        <v>3748</v>
      </c>
      <c r="B2124" s="96" t="str">
        <f>IFERROR(VLOOKUP(Proc[[#This Row],[App]],Table2[],3,0),"open")</f>
        <v>ok</v>
      </c>
      <c r="C2124" s="95" t="s">
        <v>369</v>
      </c>
      <c r="D2124" t="s">
        <v>3960</v>
      </c>
      <c r="E2124" t="s">
        <v>4069</v>
      </c>
      <c r="F2124" s="105" t="s">
        <v>4069</v>
      </c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1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1013</v>
      </c>
      <c r="S2124" s="96"/>
    </row>
    <row r="2125" spans="1:19" hidden="1">
      <c r="A2125" s="95" t="s">
        <v>3748</v>
      </c>
      <c r="B2125" s="96" t="str">
        <f>IFERROR(VLOOKUP(Proc[[#This Row],[App]],Table2[],3,0),"open")</f>
        <v>ok</v>
      </c>
      <c r="C2125" s="95" t="s">
        <v>369</v>
      </c>
      <c r="D2125" t="s">
        <v>3961</v>
      </c>
      <c r="E2125" t="s">
        <v>4069</v>
      </c>
      <c r="F2125" s="105" t="s">
        <v>4069</v>
      </c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1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1013</v>
      </c>
      <c r="S2125" s="96"/>
    </row>
    <row r="2126" spans="1:19" hidden="1">
      <c r="A2126" s="95" t="s">
        <v>3748</v>
      </c>
      <c r="B2126" s="96" t="str">
        <f>IFERROR(VLOOKUP(Proc[[#This Row],[App]],Table2[],3,0),"open")</f>
        <v>ok</v>
      </c>
      <c r="C2126" s="95" t="s">
        <v>369</v>
      </c>
      <c r="D2126" t="s">
        <v>3962</v>
      </c>
      <c r="E2126" t="s">
        <v>4069</v>
      </c>
      <c r="F2126" s="105" t="s">
        <v>4069</v>
      </c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1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1013</v>
      </c>
      <c r="S2126" s="96"/>
    </row>
    <row r="2127" spans="1:19" hidden="1">
      <c r="A2127" s="95" t="s">
        <v>3748</v>
      </c>
      <c r="B2127" s="96" t="str">
        <f>IFERROR(VLOOKUP(Proc[[#This Row],[App]],Table2[],3,0),"open")</f>
        <v>ok</v>
      </c>
      <c r="C2127" s="95" t="s">
        <v>369</v>
      </c>
      <c r="D2127" t="s">
        <v>3963</v>
      </c>
      <c r="E2127" t="s">
        <v>4069</v>
      </c>
      <c r="F2127" s="105" t="s">
        <v>4069</v>
      </c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1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1013</v>
      </c>
      <c r="S2127" s="96"/>
    </row>
    <row r="2128" spans="1:19" hidden="1">
      <c r="A2128" s="95" t="s">
        <v>3748</v>
      </c>
      <c r="B2128" s="96" t="str">
        <f>IFERROR(VLOOKUP(Proc[[#This Row],[App]],Table2[],3,0),"open")</f>
        <v>ok</v>
      </c>
      <c r="C2128" s="95" t="s">
        <v>369</v>
      </c>
      <c r="D2128" t="s">
        <v>3964</v>
      </c>
      <c r="E2128" t="s">
        <v>4069</v>
      </c>
      <c r="F2128" s="105" t="s">
        <v>4069</v>
      </c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1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1013</v>
      </c>
      <c r="S2128" s="96"/>
    </row>
    <row r="2129" spans="1:19" hidden="1">
      <c r="A2129" s="95" t="s">
        <v>3748</v>
      </c>
      <c r="B2129" s="96" t="str">
        <f>IFERROR(VLOOKUP(Proc[[#This Row],[App]],Table2[],3,0),"open")</f>
        <v>ok</v>
      </c>
      <c r="C2129" s="95" t="s">
        <v>369</v>
      </c>
      <c r="D2129" t="s">
        <v>3965</v>
      </c>
      <c r="E2129" t="s">
        <v>4069</v>
      </c>
      <c r="F2129" s="105" t="s">
        <v>4069</v>
      </c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1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1013</v>
      </c>
      <c r="S2129" s="96"/>
    </row>
    <row r="2130" spans="1:19" hidden="1">
      <c r="A2130" s="95" t="s">
        <v>3748</v>
      </c>
      <c r="B2130" s="96" t="str">
        <f>IFERROR(VLOOKUP(Proc[[#This Row],[App]],Table2[],3,0),"open")</f>
        <v>ok</v>
      </c>
      <c r="C2130" s="95" t="s">
        <v>369</v>
      </c>
      <c r="D2130" t="s">
        <v>3966</v>
      </c>
      <c r="E2130" t="s">
        <v>4069</v>
      </c>
      <c r="F2130" s="105" t="s">
        <v>4069</v>
      </c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1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1013</v>
      </c>
      <c r="S2130" s="96"/>
    </row>
    <row r="2131" spans="1:19" hidden="1">
      <c r="A2131" s="95" t="s">
        <v>3748</v>
      </c>
      <c r="B2131" s="96" t="str">
        <f>IFERROR(VLOOKUP(Proc[[#This Row],[App]],Table2[],3,0),"open")</f>
        <v>ok</v>
      </c>
      <c r="C2131" s="95" t="s">
        <v>369</v>
      </c>
      <c r="D2131" t="s">
        <v>3967</v>
      </c>
      <c r="E2131" t="s">
        <v>4069</v>
      </c>
      <c r="F2131" s="105" t="s">
        <v>4069</v>
      </c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1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1013</v>
      </c>
      <c r="S2131" s="96"/>
    </row>
    <row r="2132" spans="1:19" hidden="1">
      <c r="A2132" s="95" t="s">
        <v>3748</v>
      </c>
      <c r="B2132" s="96" t="str">
        <f>IFERROR(VLOOKUP(Proc[[#This Row],[App]],Table2[],3,0),"open")</f>
        <v>ok</v>
      </c>
      <c r="C2132" s="95" t="s">
        <v>369</v>
      </c>
      <c r="D2132" t="s">
        <v>3968</v>
      </c>
      <c r="E2132" t="s">
        <v>4069</v>
      </c>
      <c r="F2132" s="105" t="s">
        <v>4069</v>
      </c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1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1013</v>
      </c>
      <c r="S2132" s="96"/>
    </row>
    <row r="2133" spans="1:19" hidden="1">
      <c r="A2133" s="95" t="s">
        <v>3748</v>
      </c>
      <c r="B2133" s="96" t="str">
        <f>IFERROR(VLOOKUP(Proc[[#This Row],[App]],Table2[],3,0),"open")</f>
        <v>ok</v>
      </c>
      <c r="C2133" s="95" t="s">
        <v>369</v>
      </c>
      <c r="D2133" t="s">
        <v>3969</v>
      </c>
      <c r="E2133" t="s">
        <v>4069</v>
      </c>
      <c r="F2133" s="105" t="s">
        <v>4069</v>
      </c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1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1013</v>
      </c>
      <c r="S2133" s="96"/>
    </row>
    <row r="2134" spans="1:19" hidden="1">
      <c r="A2134" s="95" t="s">
        <v>3748</v>
      </c>
      <c r="B2134" s="96" t="str">
        <f>IFERROR(VLOOKUP(Proc[[#This Row],[App]],Table2[],3,0),"open")</f>
        <v>ok</v>
      </c>
      <c r="C2134" s="95" t="s">
        <v>369</v>
      </c>
      <c r="D2134" t="s">
        <v>3970</v>
      </c>
      <c r="E2134" t="s">
        <v>4069</v>
      </c>
      <c r="F2134" s="105" t="s">
        <v>4069</v>
      </c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1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1013</v>
      </c>
      <c r="S2134" s="96"/>
    </row>
    <row r="2135" spans="1:19" hidden="1">
      <c r="A2135" s="95" t="s">
        <v>3748</v>
      </c>
      <c r="B2135" s="96" t="str">
        <f>IFERROR(VLOOKUP(Proc[[#This Row],[App]],Table2[],3,0),"open")</f>
        <v>ok</v>
      </c>
      <c r="C2135" s="95" t="s">
        <v>369</v>
      </c>
      <c r="D2135" t="s">
        <v>3971</v>
      </c>
      <c r="E2135" t="s">
        <v>4069</v>
      </c>
      <c r="F2135" s="105" t="s">
        <v>4069</v>
      </c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1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1013</v>
      </c>
      <c r="S2135" s="96"/>
    </row>
    <row r="2136" spans="1:19" hidden="1">
      <c r="A2136" s="95" t="s">
        <v>3748</v>
      </c>
      <c r="B2136" s="96" t="str">
        <f>IFERROR(VLOOKUP(Proc[[#This Row],[App]],Table2[],3,0),"open")</f>
        <v>ok</v>
      </c>
      <c r="C2136" s="95" t="s">
        <v>369</v>
      </c>
      <c r="D2136" t="s">
        <v>3972</v>
      </c>
      <c r="E2136" t="s">
        <v>4069</v>
      </c>
      <c r="F2136" s="105" t="s">
        <v>4069</v>
      </c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1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1013</v>
      </c>
      <c r="S2136" s="96"/>
    </row>
    <row r="2137" spans="1:19" hidden="1">
      <c r="A2137" s="95" t="s">
        <v>3748</v>
      </c>
      <c r="B2137" s="96" t="str">
        <f>IFERROR(VLOOKUP(Proc[[#This Row],[App]],Table2[],3,0),"open")</f>
        <v>ok</v>
      </c>
      <c r="C2137" s="95" t="s">
        <v>369</v>
      </c>
      <c r="D2137" t="s">
        <v>3973</v>
      </c>
      <c r="E2137" t="s">
        <v>4069</v>
      </c>
      <c r="F2137" s="105" t="s">
        <v>4069</v>
      </c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1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1013</v>
      </c>
      <c r="S2137" s="96"/>
    </row>
    <row r="2138" spans="1:19" hidden="1">
      <c r="A2138" s="95" t="s">
        <v>3748</v>
      </c>
      <c r="B2138" s="96" t="str">
        <f>IFERROR(VLOOKUP(Proc[[#This Row],[App]],Table2[],3,0),"open")</f>
        <v>ok</v>
      </c>
      <c r="C2138" s="95" t="s">
        <v>369</v>
      </c>
      <c r="D2138" t="s">
        <v>3974</v>
      </c>
      <c r="E2138" t="s">
        <v>4069</v>
      </c>
      <c r="F2138" s="105" t="s">
        <v>4069</v>
      </c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1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1013</v>
      </c>
      <c r="S2138" s="96"/>
    </row>
    <row r="2139" spans="1:19" hidden="1">
      <c r="A2139" s="95" t="s">
        <v>3748</v>
      </c>
      <c r="B2139" s="96" t="str">
        <f>IFERROR(VLOOKUP(Proc[[#This Row],[App]],Table2[],3,0),"open")</f>
        <v>ok</v>
      </c>
      <c r="C2139" s="95" t="s">
        <v>369</v>
      </c>
      <c r="D2139" t="s">
        <v>3975</v>
      </c>
      <c r="E2139" t="s">
        <v>4069</v>
      </c>
      <c r="F2139" s="105" t="s">
        <v>4069</v>
      </c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1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1013</v>
      </c>
      <c r="S2139" s="96"/>
    </row>
    <row r="2140" spans="1:19" hidden="1">
      <c r="A2140" s="95" t="s">
        <v>3748</v>
      </c>
      <c r="B2140" s="96" t="str">
        <f>IFERROR(VLOOKUP(Proc[[#This Row],[App]],Table2[],3,0),"open")</f>
        <v>ok</v>
      </c>
      <c r="C2140" s="95" t="s">
        <v>369</v>
      </c>
      <c r="D2140" t="s">
        <v>3976</v>
      </c>
      <c r="E2140" t="s">
        <v>4069</v>
      </c>
      <c r="F2140" s="105" t="s">
        <v>4069</v>
      </c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1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1013</v>
      </c>
      <c r="S2140" s="96"/>
    </row>
    <row r="2141" spans="1:19" hidden="1">
      <c r="A2141" s="95" t="s">
        <v>3748</v>
      </c>
      <c r="B2141" s="96" t="str">
        <f>IFERROR(VLOOKUP(Proc[[#This Row],[App]],Table2[],3,0),"open")</f>
        <v>ok</v>
      </c>
      <c r="C2141" s="95" t="s">
        <v>369</v>
      </c>
      <c r="D2141" t="s">
        <v>3977</v>
      </c>
      <c r="E2141" t="s">
        <v>4069</v>
      </c>
      <c r="F2141" s="105" t="s">
        <v>4069</v>
      </c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1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1013</v>
      </c>
      <c r="S2141" s="96"/>
    </row>
    <row r="2142" spans="1:19" hidden="1">
      <c r="A2142" s="95" t="s">
        <v>3748</v>
      </c>
      <c r="B2142" s="96" t="str">
        <f>IFERROR(VLOOKUP(Proc[[#This Row],[App]],Table2[],3,0),"open")</f>
        <v>ok</v>
      </c>
      <c r="C2142" s="95" t="s">
        <v>369</v>
      </c>
      <c r="D2142" t="s">
        <v>3978</v>
      </c>
      <c r="E2142" t="s">
        <v>4069</v>
      </c>
      <c r="F2142" s="105" t="s">
        <v>4069</v>
      </c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1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1013</v>
      </c>
      <c r="S2142" s="96"/>
    </row>
    <row r="2143" spans="1:19" hidden="1">
      <c r="A2143" s="95" t="s">
        <v>3748</v>
      </c>
      <c r="B2143" s="96" t="str">
        <f>IFERROR(VLOOKUP(Proc[[#This Row],[App]],Table2[],3,0),"open")</f>
        <v>ok</v>
      </c>
      <c r="C2143" s="95" t="s">
        <v>369</v>
      </c>
      <c r="D2143" t="s">
        <v>3979</v>
      </c>
      <c r="E2143" t="s">
        <v>4069</v>
      </c>
      <c r="F2143" s="105" t="s">
        <v>4069</v>
      </c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1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1013</v>
      </c>
      <c r="S2143" s="96"/>
    </row>
    <row r="2144" spans="1:19" hidden="1">
      <c r="A2144" s="95" t="s">
        <v>3748</v>
      </c>
      <c r="B2144" s="96" t="str">
        <f>IFERROR(VLOOKUP(Proc[[#This Row],[App]],Table2[],3,0),"open")</f>
        <v>ok</v>
      </c>
      <c r="C2144" s="95" t="s">
        <v>369</v>
      </c>
      <c r="D2144" t="s">
        <v>3980</v>
      </c>
      <c r="E2144" t="s">
        <v>4069</v>
      </c>
      <c r="F2144" s="105" t="s">
        <v>4069</v>
      </c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1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1013</v>
      </c>
      <c r="S2144" s="96"/>
    </row>
    <row r="2145" spans="1:19" hidden="1">
      <c r="A2145" s="95" t="s">
        <v>3748</v>
      </c>
      <c r="B2145" s="96" t="str">
        <f>IFERROR(VLOOKUP(Proc[[#This Row],[App]],Table2[],3,0),"open")</f>
        <v>ok</v>
      </c>
      <c r="C2145" s="95" t="s">
        <v>369</v>
      </c>
      <c r="D2145" t="s">
        <v>3981</v>
      </c>
      <c r="E2145" t="s">
        <v>4069</v>
      </c>
      <c r="F2145" s="105" t="s">
        <v>4069</v>
      </c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1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1013</v>
      </c>
      <c r="S2145" s="96"/>
    </row>
    <row r="2146" spans="1:19" hidden="1">
      <c r="A2146" s="95" t="s">
        <v>3748</v>
      </c>
      <c r="B2146" s="96" t="str">
        <f>IFERROR(VLOOKUP(Proc[[#This Row],[App]],Table2[],3,0),"open")</f>
        <v>ok</v>
      </c>
      <c r="C2146" s="95" t="s">
        <v>369</v>
      </c>
      <c r="D2146" t="s">
        <v>3982</v>
      </c>
      <c r="E2146" t="s">
        <v>4069</v>
      </c>
      <c r="F2146" s="105" t="s">
        <v>4069</v>
      </c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1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1013</v>
      </c>
      <c r="S2146" s="96"/>
    </row>
    <row r="2147" spans="1:19" hidden="1">
      <c r="A2147" s="95" t="s">
        <v>3748</v>
      </c>
      <c r="B2147" s="96" t="str">
        <f>IFERROR(VLOOKUP(Proc[[#This Row],[App]],Table2[],3,0),"open")</f>
        <v>ok</v>
      </c>
      <c r="C2147" s="95" t="s">
        <v>369</v>
      </c>
      <c r="D2147" t="s">
        <v>3983</v>
      </c>
      <c r="E2147" t="s">
        <v>4069</v>
      </c>
      <c r="F2147" s="105" t="s">
        <v>4069</v>
      </c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1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1013</v>
      </c>
      <c r="S2147" s="96"/>
    </row>
    <row r="2148" spans="1:19" hidden="1">
      <c r="A2148" s="95" t="s">
        <v>3748</v>
      </c>
      <c r="B2148" s="96" t="str">
        <f>IFERROR(VLOOKUP(Proc[[#This Row],[App]],Table2[],3,0),"open")</f>
        <v>ok</v>
      </c>
      <c r="C2148" s="95" t="s">
        <v>369</v>
      </c>
      <c r="D2148" t="s">
        <v>3984</v>
      </c>
      <c r="E2148" t="s">
        <v>4069</v>
      </c>
      <c r="F2148" s="105" t="s">
        <v>4069</v>
      </c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1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1013</v>
      </c>
      <c r="S2148" s="96"/>
    </row>
    <row r="2149" spans="1:19" hidden="1">
      <c r="A2149" s="95" t="s">
        <v>3748</v>
      </c>
      <c r="B2149" s="96" t="str">
        <f>IFERROR(VLOOKUP(Proc[[#This Row],[App]],Table2[],3,0),"open")</f>
        <v>ok</v>
      </c>
      <c r="C2149" s="95" t="s">
        <v>369</v>
      </c>
      <c r="D2149" t="s">
        <v>3985</v>
      </c>
      <c r="E2149" t="s">
        <v>4069</v>
      </c>
      <c r="F2149" s="105" t="s">
        <v>4069</v>
      </c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1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1013</v>
      </c>
      <c r="S2149" s="96"/>
    </row>
    <row r="2150" spans="1:19" hidden="1">
      <c r="A2150" s="95" t="s">
        <v>3748</v>
      </c>
      <c r="B2150" s="96" t="str">
        <f>IFERROR(VLOOKUP(Proc[[#This Row],[App]],Table2[],3,0),"open")</f>
        <v>ok</v>
      </c>
      <c r="C2150" s="95" t="s">
        <v>369</v>
      </c>
      <c r="D2150" t="s">
        <v>3986</v>
      </c>
      <c r="E2150" t="s">
        <v>4069</v>
      </c>
      <c r="F2150" s="105" t="s">
        <v>4069</v>
      </c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1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1013</v>
      </c>
      <c r="S2150" s="96"/>
    </row>
    <row r="2151" spans="1:19" hidden="1">
      <c r="A2151" s="95" t="s">
        <v>3748</v>
      </c>
      <c r="B2151" s="96" t="str">
        <f>IFERROR(VLOOKUP(Proc[[#This Row],[App]],Table2[],3,0),"open")</f>
        <v>ok</v>
      </c>
      <c r="C2151" s="95" t="s">
        <v>369</v>
      </c>
      <c r="D2151" t="s">
        <v>3987</v>
      </c>
      <c r="E2151" t="s">
        <v>4069</v>
      </c>
      <c r="F2151" s="105" t="s">
        <v>4069</v>
      </c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1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1013</v>
      </c>
      <c r="S2151" s="96"/>
    </row>
    <row r="2152" spans="1:19" hidden="1">
      <c r="A2152" s="95" t="s">
        <v>3748</v>
      </c>
      <c r="B2152" s="96" t="str">
        <f>IFERROR(VLOOKUP(Proc[[#This Row],[App]],Table2[],3,0),"open")</f>
        <v>ok</v>
      </c>
      <c r="C2152" s="95" t="s">
        <v>369</v>
      </c>
      <c r="D2152" t="s">
        <v>3988</v>
      </c>
      <c r="E2152" t="s">
        <v>4069</v>
      </c>
      <c r="F2152" s="105" t="s">
        <v>4069</v>
      </c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1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1013</v>
      </c>
      <c r="S2152" s="96"/>
    </row>
    <row r="2153" spans="1:19" hidden="1">
      <c r="A2153" s="95" t="s">
        <v>3748</v>
      </c>
      <c r="B2153" s="96" t="str">
        <f>IFERROR(VLOOKUP(Proc[[#This Row],[App]],Table2[],3,0),"open")</f>
        <v>ok</v>
      </c>
      <c r="C2153" s="95" t="s">
        <v>369</v>
      </c>
      <c r="D2153" t="s">
        <v>3989</v>
      </c>
      <c r="E2153" t="s">
        <v>4069</v>
      </c>
      <c r="F2153" s="105" t="s">
        <v>4069</v>
      </c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1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1013</v>
      </c>
      <c r="S2153" s="96"/>
    </row>
    <row r="2154" spans="1:19" hidden="1">
      <c r="A2154" s="95" t="s">
        <v>3748</v>
      </c>
      <c r="B2154" s="96" t="str">
        <f>IFERROR(VLOOKUP(Proc[[#This Row],[App]],Table2[],3,0),"open")</f>
        <v>ok</v>
      </c>
      <c r="C2154" s="95" t="s">
        <v>369</v>
      </c>
      <c r="D2154" t="s">
        <v>3990</v>
      </c>
      <c r="E2154" t="s">
        <v>4069</v>
      </c>
      <c r="F2154" s="105" t="s">
        <v>4069</v>
      </c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1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1013</v>
      </c>
      <c r="S2154" s="96"/>
    </row>
    <row r="2155" spans="1:19" hidden="1">
      <c r="A2155" s="95" t="s">
        <v>3748</v>
      </c>
      <c r="B2155" s="96" t="str">
        <f>IFERROR(VLOOKUP(Proc[[#This Row],[App]],Table2[],3,0),"open")</f>
        <v>ok</v>
      </c>
      <c r="C2155" s="95" t="s">
        <v>369</v>
      </c>
      <c r="D2155" t="s">
        <v>3991</v>
      </c>
      <c r="E2155" t="s">
        <v>4069</v>
      </c>
      <c r="F2155" s="105" t="s">
        <v>4069</v>
      </c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1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1013</v>
      </c>
      <c r="S2155" s="96"/>
    </row>
    <row r="2156" spans="1:19" hidden="1">
      <c r="A2156" s="95" t="s">
        <v>3748</v>
      </c>
      <c r="B2156" s="96" t="str">
        <f>IFERROR(VLOOKUP(Proc[[#This Row],[App]],Table2[],3,0),"open")</f>
        <v>ok</v>
      </c>
      <c r="C2156" s="95" t="s">
        <v>369</v>
      </c>
      <c r="D2156" t="s">
        <v>3992</v>
      </c>
      <c r="E2156" t="s">
        <v>4069</v>
      </c>
      <c r="F2156" s="105" t="s">
        <v>4069</v>
      </c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1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1013</v>
      </c>
      <c r="S2156" s="96"/>
    </row>
    <row r="2157" spans="1:19" hidden="1">
      <c r="A2157" s="95" t="s">
        <v>3748</v>
      </c>
      <c r="B2157" s="96" t="str">
        <f>IFERROR(VLOOKUP(Proc[[#This Row],[App]],Table2[],3,0),"open")</f>
        <v>ok</v>
      </c>
      <c r="C2157" s="95" t="s">
        <v>369</v>
      </c>
      <c r="D2157" t="s">
        <v>3993</v>
      </c>
      <c r="E2157" t="s">
        <v>4069</v>
      </c>
      <c r="F2157" s="105" t="s">
        <v>4069</v>
      </c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1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1013</v>
      </c>
      <c r="S2157" s="96"/>
    </row>
    <row r="2158" spans="1:19" hidden="1">
      <c r="A2158" s="95" t="s">
        <v>3748</v>
      </c>
      <c r="B2158" s="96" t="str">
        <f>IFERROR(VLOOKUP(Proc[[#This Row],[App]],Table2[],3,0),"open")</f>
        <v>ok</v>
      </c>
      <c r="C2158" s="95" t="s">
        <v>369</v>
      </c>
      <c r="D2158" t="s">
        <v>3994</v>
      </c>
      <c r="E2158" t="s">
        <v>4069</v>
      </c>
      <c r="F2158" s="105" t="s">
        <v>4069</v>
      </c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1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1013</v>
      </c>
      <c r="S2158" s="96"/>
    </row>
    <row r="2159" spans="1:19" hidden="1">
      <c r="A2159" s="95" t="s">
        <v>3748</v>
      </c>
      <c r="B2159" s="96" t="str">
        <f>IFERROR(VLOOKUP(Proc[[#This Row],[App]],Table2[],3,0),"open")</f>
        <v>ok</v>
      </c>
      <c r="C2159" s="95" t="s">
        <v>369</v>
      </c>
      <c r="D2159" t="s">
        <v>3995</v>
      </c>
      <c r="E2159" t="s">
        <v>4069</v>
      </c>
      <c r="F2159" s="105" t="s">
        <v>4069</v>
      </c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1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1013</v>
      </c>
      <c r="S2159" s="96"/>
    </row>
    <row r="2160" spans="1:19" hidden="1">
      <c r="A2160" s="95" t="s">
        <v>3748</v>
      </c>
      <c r="B2160" s="96" t="str">
        <f>IFERROR(VLOOKUP(Proc[[#This Row],[App]],Table2[],3,0),"open")</f>
        <v>ok</v>
      </c>
      <c r="C2160" s="95" t="s">
        <v>369</v>
      </c>
      <c r="D2160" t="s">
        <v>3996</v>
      </c>
      <c r="E2160" t="s">
        <v>4069</v>
      </c>
      <c r="F2160" s="105" t="s">
        <v>4069</v>
      </c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1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1013</v>
      </c>
      <c r="S2160" s="96"/>
    </row>
    <row r="2161" spans="1:19" hidden="1">
      <c r="A2161" s="95" t="s">
        <v>3748</v>
      </c>
      <c r="B2161" s="96" t="str">
        <f>IFERROR(VLOOKUP(Proc[[#This Row],[App]],Table2[],3,0),"open")</f>
        <v>ok</v>
      </c>
      <c r="C2161" s="95" t="s">
        <v>369</v>
      </c>
      <c r="D2161" t="s">
        <v>3997</v>
      </c>
      <c r="E2161" t="s">
        <v>4069</v>
      </c>
      <c r="F2161" s="105" t="s">
        <v>4069</v>
      </c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1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1013</v>
      </c>
      <c r="S2161" s="96"/>
    </row>
    <row r="2162" spans="1:19" hidden="1">
      <c r="A2162" s="95" t="s">
        <v>3748</v>
      </c>
      <c r="B2162" s="96" t="str">
        <f>IFERROR(VLOOKUP(Proc[[#This Row],[App]],Table2[],3,0),"open")</f>
        <v>ok</v>
      </c>
      <c r="C2162" s="95" t="s">
        <v>369</v>
      </c>
      <c r="D2162" t="s">
        <v>3998</v>
      </c>
      <c r="E2162" t="s">
        <v>4069</v>
      </c>
      <c r="F2162" s="105" t="s">
        <v>4069</v>
      </c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1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1013</v>
      </c>
      <c r="S2162" s="96"/>
    </row>
    <row r="2163" spans="1:19" hidden="1">
      <c r="A2163" s="95" t="s">
        <v>3748</v>
      </c>
      <c r="B2163" s="96" t="str">
        <f>IFERROR(VLOOKUP(Proc[[#This Row],[App]],Table2[],3,0),"open")</f>
        <v>ok</v>
      </c>
      <c r="C2163" s="95" t="s">
        <v>369</v>
      </c>
      <c r="D2163" t="s">
        <v>3999</v>
      </c>
      <c r="E2163" t="s">
        <v>4069</v>
      </c>
      <c r="F2163" s="105" t="s">
        <v>4069</v>
      </c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1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1013</v>
      </c>
      <c r="S2163" s="96"/>
    </row>
    <row r="2164" spans="1:19" hidden="1">
      <c r="A2164" s="95" t="s">
        <v>3748</v>
      </c>
      <c r="B2164" s="96" t="str">
        <f>IFERROR(VLOOKUP(Proc[[#This Row],[App]],Table2[],3,0),"open")</f>
        <v>ok</v>
      </c>
      <c r="C2164" s="95" t="s">
        <v>369</v>
      </c>
      <c r="D2164" t="s">
        <v>4000</v>
      </c>
      <c r="E2164" t="s">
        <v>4069</v>
      </c>
      <c r="F2164" s="105" t="s">
        <v>4069</v>
      </c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1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1013</v>
      </c>
      <c r="S2164" s="96"/>
    </row>
    <row r="2165" spans="1:19" hidden="1">
      <c r="A2165" s="95" t="s">
        <v>3748</v>
      </c>
      <c r="B2165" s="96" t="str">
        <f>IFERROR(VLOOKUP(Proc[[#This Row],[App]],Table2[],3,0),"open")</f>
        <v>ok</v>
      </c>
      <c r="C2165" s="95" t="s">
        <v>369</v>
      </c>
      <c r="D2165" t="s">
        <v>4001</v>
      </c>
      <c r="E2165" t="s">
        <v>4069</v>
      </c>
      <c r="F2165" s="105" t="s">
        <v>4069</v>
      </c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1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1013</v>
      </c>
      <c r="S2165" s="96"/>
    </row>
    <row r="2166" spans="1:19" hidden="1">
      <c r="A2166" s="95" t="s">
        <v>3748</v>
      </c>
      <c r="B2166" s="96" t="str">
        <f>IFERROR(VLOOKUP(Proc[[#This Row],[App]],Table2[],3,0),"open")</f>
        <v>ok</v>
      </c>
      <c r="C2166" s="95" t="s">
        <v>369</v>
      </c>
      <c r="D2166" t="s">
        <v>4002</v>
      </c>
      <c r="E2166" t="s">
        <v>4069</v>
      </c>
      <c r="F2166" s="105" t="s">
        <v>4069</v>
      </c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1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1013</v>
      </c>
      <c r="S2166" s="96"/>
    </row>
    <row r="2167" spans="1:19" hidden="1">
      <c r="A2167" s="95" t="s">
        <v>3748</v>
      </c>
      <c r="B2167" s="96" t="str">
        <f>IFERROR(VLOOKUP(Proc[[#This Row],[App]],Table2[],3,0),"open")</f>
        <v>ok</v>
      </c>
      <c r="C2167" s="95" t="s">
        <v>369</v>
      </c>
      <c r="D2167" t="s">
        <v>4003</v>
      </c>
      <c r="E2167" t="s">
        <v>4069</v>
      </c>
      <c r="F2167" s="105" t="s">
        <v>4069</v>
      </c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1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1013</v>
      </c>
      <c r="S2167" s="96"/>
    </row>
    <row r="2168" spans="1:19" hidden="1">
      <c r="A2168" s="95" t="s">
        <v>3748</v>
      </c>
      <c r="B2168" s="96" t="str">
        <f>IFERROR(VLOOKUP(Proc[[#This Row],[App]],Table2[],3,0),"open")</f>
        <v>ok</v>
      </c>
      <c r="C2168" s="95" t="s">
        <v>369</v>
      </c>
      <c r="D2168" t="s">
        <v>4004</v>
      </c>
      <c r="E2168" t="s">
        <v>4069</v>
      </c>
      <c r="F2168" s="105" t="s">
        <v>4069</v>
      </c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1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1013</v>
      </c>
      <c r="S2168" s="96"/>
    </row>
    <row r="2169" spans="1:19" hidden="1">
      <c r="A2169" s="95" t="s">
        <v>3748</v>
      </c>
      <c r="B2169" s="96" t="str">
        <f>IFERROR(VLOOKUP(Proc[[#This Row],[App]],Table2[],3,0),"open")</f>
        <v>ok</v>
      </c>
      <c r="C2169" s="95" t="s">
        <v>369</v>
      </c>
      <c r="D2169" t="s">
        <v>4005</v>
      </c>
      <c r="E2169" t="s">
        <v>4069</v>
      </c>
      <c r="F2169" s="105" t="s">
        <v>4069</v>
      </c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1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1013</v>
      </c>
      <c r="S2169" s="96"/>
    </row>
    <row r="2170" spans="1:19" hidden="1">
      <c r="A2170" s="95" t="s">
        <v>3748</v>
      </c>
      <c r="B2170" s="96" t="str">
        <f>IFERROR(VLOOKUP(Proc[[#This Row],[App]],Table2[],3,0),"open")</f>
        <v>ok</v>
      </c>
      <c r="C2170" s="95" t="s">
        <v>369</v>
      </c>
      <c r="D2170" t="s">
        <v>4006</v>
      </c>
      <c r="E2170" t="s">
        <v>4069</v>
      </c>
      <c r="F2170" s="105" t="s">
        <v>4069</v>
      </c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1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1013</v>
      </c>
      <c r="S2170" s="96"/>
    </row>
    <row r="2171" spans="1:19" hidden="1">
      <c r="A2171" s="95" t="s">
        <v>3748</v>
      </c>
      <c r="B2171" s="96" t="str">
        <f>IFERROR(VLOOKUP(Proc[[#This Row],[App]],Table2[],3,0),"open")</f>
        <v>ok</v>
      </c>
      <c r="C2171" s="95" t="s">
        <v>369</v>
      </c>
      <c r="D2171" t="s">
        <v>4007</v>
      </c>
      <c r="E2171" t="s">
        <v>4069</v>
      </c>
      <c r="F2171" s="105" t="s">
        <v>4069</v>
      </c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1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1013</v>
      </c>
      <c r="S2171" s="96"/>
    </row>
    <row r="2172" spans="1:19" hidden="1">
      <c r="A2172" s="95" t="s">
        <v>3748</v>
      </c>
      <c r="B2172" s="96" t="str">
        <f>IFERROR(VLOOKUP(Proc[[#This Row],[App]],Table2[],3,0),"open")</f>
        <v>ok</v>
      </c>
      <c r="C2172" s="95" t="s">
        <v>369</v>
      </c>
      <c r="D2172" t="s">
        <v>4008</v>
      </c>
      <c r="E2172" t="s">
        <v>4069</v>
      </c>
      <c r="F2172" s="105" t="s">
        <v>4069</v>
      </c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1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1013</v>
      </c>
      <c r="S2172" s="96"/>
    </row>
    <row r="2173" spans="1:19" hidden="1">
      <c r="A2173" s="95" t="s">
        <v>3748</v>
      </c>
      <c r="B2173" s="96" t="str">
        <f>IFERROR(VLOOKUP(Proc[[#This Row],[App]],Table2[],3,0),"open")</f>
        <v>ok</v>
      </c>
      <c r="C2173" s="95" t="s">
        <v>369</v>
      </c>
      <c r="D2173" t="s">
        <v>4009</v>
      </c>
      <c r="E2173" t="s">
        <v>4069</v>
      </c>
      <c r="F2173" s="105" t="s">
        <v>4069</v>
      </c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1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1013</v>
      </c>
      <c r="S2173" s="96"/>
    </row>
    <row r="2174" spans="1:19" hidden="1">
      <c r="A2174" s="95" t="s">
        <v>3748</v>
      </c>
      <c r="B2174" s="96" t="str">
        <f>IFERROR(VLOOKUP(Proc[[#This Row],[App]],Table2[],3,0),"open")</f>
        <v>ok</v>
      </c>
      <c r="C2174" s="95" t="s">
        <v>369</v>
      </c>
      <c r="D2174" t="s">
        <v>4010</v>
      </c>
      <c r="E2174" t="s">
        <v>4069</v>
      </c>
      <c r="F2174" s="105" t="s">
        <v>4069</v>
      </c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1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1013</v>
      </c>
      <c r="S2174" s="96"/>
    </row>
    <row r="2175" spans="1:19" hidden="1">
      <c r="A2175" s="95" t="s">
        <v>3748</v>
      </c>
      <c r="B2175" s="96" t="str">
        <f>IFERROR(VLOOKUP(Proc[[#This Row],[App]],Table2[],3,0),"open")</f>
        <v>ok</v>
      </c>
      <c r="C2175" s="95" t="s">
        <v>369</v>
      </c>
      <c r="D2175" t="s">
        <v>4011</v>
      </c>
      <c r="E2175" t="s">
        <v>4069</v>
      </c>
      <c r="F2175" s="105" t="s">
        <v>4069</v>
      </c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1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1013</v>
      </c>
      <c r="S2175" s="96"/>
    </row>
    <row r="2176" spans="1:19" hidden="1">
      <c r="A2176" s="95" t="s">
        <v>3748</v>
      </c>
      <c r="B2176" s="96" t="str">
        <f>IFERROR(VLOOKUP(Proc[[#This Row],[App]],Table2[],3,0),"open")</f>
        <v>ok</v>
      </c>
      <c r="C2176" s="95" t="s">
        <v>369</v>
      </c>
      <c r="D2176" t="s">
        <v>4012</v>
      </c>
      <c r="E2176" t="s">
        <v>4069</v>
      </c>
      <c r="F2176" s="105" t="s">
        <v>4069</v>
      </c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1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1013</v>
      </c>
      <c r="S2176" s="96"/>
    </row>
    <row r="2177" spans="1:19" hidden="1">
      <c r="A2177" s="95" t="s">
        <v>3748</v>
      </c>
      <c r="B2177" s="96" t="str">
        <f>IFERROR(VLOOKUP(Proc[[#This Row],[App]],Table2[],3,0),"open")</f>
        <v>ok</v>
      </c>
      <c r="C2177" s="95" t="s">
        <v>369</v>
      </c>
      <c r="D2177" t="s">
        <v>4013</v>
      </c>
      <c r="E2177" t="s">
        <v>4069</v>
      </c>
      <c r="F2177" s="105" t="s">
        <v>4069</v>
      </c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1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1013</v>
      </c>
      <c r="S2177" s="96"/>
    </row>
    <row r="2178" spans="1:19" hidden="1">
      <c r="A2178" s="95" t="s">
        <v>3748</v>
      </c>
      <c r="B2178" s="96" t="str">
        <f>IFERROR(VLOOKUP(Proc[[#This Row],[App]],Table2[],3,0),"open")</f>
        <v>ok</v>
      </c>
      <c r="C2178" s="95" t="s">
        <v>369</v>
      </c>
      <c r="D2178" t="s">
        <v>4014</v>
      </c>
      <c r="E2178" t="s">
        <v>4069</v>
      </c>
      <c r="F2178" s="105" t="s">
        <v>4069</v>
      </c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1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1013</v>
      </c>
      <c r="S2178" s="96"/>
    </row>
    <row r="2179" spans="1:19" hidden="1">
      <c r="A2179" s="95" t="s">
        <v>3748</v>
      </c>
      <c r="B2179" s="96" t="str">
        <f>IFERROR(VLOOKUP(Proc[[#This Row],[App]],Table2[],3,0),"open")</f>
        <v>ok</v>
      </c>
      <c r="C2179" s="95" t="s">
        <v>369</v>
      </c>
      <c r="D2179" t="s">
        <v>4015</v>
      </c>
      <c r="E2179" t="s">
        <v>4069</v>
      </c>
      <c r="F2179" s="105" t="s">
        <v>4069</v>
      </c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1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1013</v>
      </c>
      <c r="S2179" s="96"/>
    </row>
    <row r="2180" spans="1:19" hidden="1">
      <c r="A2180" s="95" t="s">
        <v>3748</v>
      </c>
      <c r="B2180" s="96" t="str">
        <f>IFERROR(VLOOKUP(Proc[[#This Row],[App]],Table2[],3,0),"open")</f>
        <v>ok</v>
      </c>
      <c r="C2180" s="95" t="s">
        <v>369</v>
      </c>
      <c r="D2180" t="s">
        <v>4016</v>
      </c>
      <c r="E2180" t="s">
        <v>4069</v>
      </c>
      <c r="F2180" s="105" t="s">
        <v>4069</v>
      </c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1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1013</v>
      </c>
      <c r="S2180" s="96"/>
    </row>
    <row r="2181" spans="1:19" hidden="1">
      <c r="A2181" s="95" t="s">
        <v>3748</v>
      </c>
      <c r="B2181" s="96" t="str">
        <f>IFERROR(VLOOKUP(Proc[[#This Row],[App]],Table2[],3,0),"open")</f>
        <v>ok</v>
      </c>
      <c r="C2181" s="95" t="s">
        <v>369</v>
      </c>
      <c r="D2181" t="s">
        <v>4017</v>
      </c>
      <c r="E2181" t="s">
        <v>4069</v>
      </c>
      <c r="F2181" s="105" t="s">
        <v>4069</v>
      </c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1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1013</v>
      </c>
      <c r="S2181" s="96"/>
    </row>
    <row r="2182" spans="1:19" hidden="1">
      <c r="A2182" s="95" t="s">
        <v>3748</v>
      </c>
      <c r="B2182" s="96" t="str">
        <f>IFERROR(VLOOKUP(Proc[[#This Row],[App]],Table2[],3,0),"open")</f>
        <v>ok</v>
      </c>
      <c r="C2182" s="95" t="s">
        <v>369</v>
      </c>
      <c r="D2182" t="s">
        <v>4018</v>
      </c>
      <c r="E2182" t="s">
        <v>4069</v>
      </c>
      <c r="F2182" s="105" t="s">
        <v>4069</v>
      </c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1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1013</v>
      </c>
      <c r="S2182" s="96"/>
    </row>
    <row r="2183" spans="1:19" hidden="1">
      <c r="A2183" s="95" t="s">
        <v>3748</v>
      </c>
      <c r="B2183" s="96" t="str">
        <f>IFERROR(VLOOKUP(Proc[[#This Row],[App]],Table2[],3,0),"open")</f>
        <v>ok</v>
      </c>
      <c r="C2183" s="95" t="s">
        <v>369</v>
      </c>
      <c r="D2183" t="s">
        <v>4019</v>
      </c>
      <c r="E2183" t="s">
        <v>4069</v>
      </c>
      <c r="F2183" s="105" t="s">
        <v>4069</v>
      </c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1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1013</v>
      </c>
      <c r="S2183" s="96"/>
    </row>
    <row r="2184" spans="1:19" hidden="1">
      <c r="A2184" s="95" t="s">
        <v>3748</v>
      </c>
      <c r="B2184" s="96" t="str">
        <f>IFERROR(VLOOKUP(Proc[[#This Row],[App]],Table2[],3,0),"open")</f>
        <v>ok</v>
      </c>
      <c r="C2184" s="95" t="s">
        <v>369</v>
      </c>
      <c r="D2184" t="s">
        <v>4020</v>
      </c>
      <c r="E2184" t="s">
        <v>4069</v>
      </c>
      <c r="F2184" s="105" t="s">
        <v>4069</v>
      </c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1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1013</v>
      </c>
      <c r="S2184" s="96"/>
    </row>
    <row r="2185" spans="1:19" hidden="1">
      <c r="A2185" s="95" t="s">
        <v>3748</v>
      </c>
      <c r="B2185" s="96" t="str">
        <f>IFERROR(VLOOKUP(Proc[[#This Row],[App]],Table2[],3,0),"open")</f>
        <v>ok</v>
      </c>
      <c r="C2185" s="95" t="s">
        <v>369</v>
      </c>
      <c r="D2185" t="s">
        <v>4021</v>
      </c>
      <c r="E2185" t="s">
        <v>4069</v>
      </c>
      <c r="F2185" s="105" t="s">
        <v>4069</v>
      </c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1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1013</v>
      </c>
      <c r="S2185" s="96"/>
    </row>
    <row r="2186" spans="1:19" hidden="1">
      <c r="A2186" s="95" t="s">
        <v>3748</v>
      </c>
      <c r="B2186" s="96" t="str">
        <f>IFERROR(VLOOKUP(Proc[[#This Row],[App]],Table2[],3,0),"open")</f>
        <v>ok</v>
      </c>
      <c r="C2186" s="95" t="s">
        <v>369</v>
      </c>
      <c r="D2186" t="s">
        <v>4022</v>
      </c>
      <c r="E2186" t="s">
        <v>4069</v>
      </c>
      <c r="F2186" s="105" t="s">
        <v>4069</v>
      </c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1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1013</v>
      </c>
      <c r="S2186" s="96"/>
    </row>
    <row r="2187" spans="1:19" hidden="1">
      <c r="A2187" s="95" t="s">
        <v>3748</v>
      </c>
      <c r="B2187" s="96" t="str">
        <f>IFERROR(VLOOKUP(Proc[[#This Row],[App]],Table2[],3,0),"open")</f>
        <v>ok</v>
      </c>
      <c r="C2187" s="95" t="s">
        <v>369</v>
      </c>
      <c r="D2187" t="s">
        <v>4023</v>
      </c>
      <c r="E2187" t="s">
        <v>4069</v>
      </c>
      <c r="F2187" s="105" t="s">
        <v>4069</v>
      </c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1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1013</v>
      </c>
      <c r="S2187" s="96"/>
    </row>
    <row r="2188" spans="1:19" hidden="1">
      <c r="A2188" s="95" t="s">
        <v>3748</v>
      </c>
      <c r="B2188" s="96" t="str">
        <f>IFERROR(VLOOKUP(Proc[[#This Row],[App]],Table2[],3,0),"open")</f>
        <v>ok</v>
      </c>
      <c r="C2188" s="95" t="s">
        <v>369</v>
      </c>
      <c r="D2188" t="s">
        <v>4024</v>
      </c>
      <c r="E2188" t="s">
        <v>4069</v>
      </c>
      <c r="F2188" s="105" t="s">
        <v>4069</v>
      </c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1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1013</v>
      </c>
      <c r="S2188" s="96"/>
    </row>
    <row r="2189" spans="1:19" hidden="1">
      <c r="A2189" s="95" t="s">
        <v>3748</v>
      </c>
      <c r="B2189" s="96" t="str">
        <f>IFERROR(VLOOKUP(Proc[[#This Row],[App]],Table2[],3,0),"open")</f>
        <v>ok</v>
      </c>
      <c r="C2189" s="95" t="s">
        <v>369</v>
      </c>
      <c r="D2189" t="s">
        <v>4025</v>
      </c>
      <c r="E2189" t="s">
        <v>4069</v>
      </c>
      <c r="F2189" s="105" t="s">
        <v>4069</v>
      </c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1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1013</v>
      </c>
      <c r="S2189" s="96"/>
    </row>
    <row r="2190" spans="1:19" hidden="1">
      <c r="A2190" s="95" t="s">
        <v>3748</v>
      </c>
      <c r="B2190" s="96" t="str">
        <f>IFERROR(VLOOKUP(Proc[[#This Row],[App]],Table2[],3,0),"open")</f>
        <v>ok</v>
      </c>
      <c r="C2190" s="95" t="s">
        <v>369</v>
      </c>
      <c r="D2190" t="s">
        <v>4026</v>
      </c>
      <c r="E2190" t="s">
        <v>4069</v>
      </c>
      <c r="F2190" s="105" t="s">
        <v>4069</v>
      </c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1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1013</v>
      </c>
      <c r="S2190" s="96"/>
    </row>
    <row r="2191" spans="1:19" hidden="1">
      <c r="A2191" s="95" t="s">
        <v>3748</v>
      </c>
      <c r="B2191" s="96" t="str">
        <f>IFERROR(VLOOKUP(Proc[[#This Row],[App]],Table2[],3,0),"open")</f>
        <v>ok</v>
      </c>
      <c r="C2191" s="95" t="s">
        <v>369</v>
      </c>
      <c r="D2191" t="s">
        <v>4027</v>
      </c>
      <c r="E2191" t="s">
        <v>4069</v>
      </c>
      <c r="F2191" s="105" t="s">
        <v>4069</v>
      </c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1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1013</v>
      </c>
      <c r="S2191" s="96"/>
    </row>
    <row r="2192" spans="1:19" hidden="1">
      <c r="A2192" s="95" t="s">
        <v>3748</v>
      </c>
      <c r="B2192" s="96" t="str">
        <f>IFERROR(VLOOKUP(Proc[[#This Row],[App]],Table2[],3,0),"open")</f>
        <v>ok</v>
      </c>
      <c r="C2192" s="95" t="s">
        <v>369</v>
      </c>
      <c r="D2192" t="s">
        <v>4028</v>
      </c>
      <c r="E2192" t="s">
        <v>4069</v>
      </c>
      <c r="F2192" s="105" t="s">
        <v>4069</v>
      </c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1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1013</v>
      </c>
      <c r="S2192" s="96"/>
    </row>
    <row r="2193" spans="1:19" hidden="1">
      <c r="A2193" s="95" t="s">
        <v>3748</v>
      </c>
      <c r="B2193" s="96" t="str">
        <f>IFERROR(VLOOKUP(Proc[[#This Row],[App]],Table2[],3,0),"open")</f>
        <v>ok</v>
      </c>
      <c r="C2193" s="95" t="s">
        <v>369</v>
      </c>
      <c r="D2193" t="s">
        <v>4029</v>
      </c>
      <c r="E2193" t="s">
        <v>4069</v>
      </c>
      <c r="F2193" s="105" t="s">
        <v>4069</v>
      </c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1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1013</v>
      </c>
      <c r="S2193" s="96"/>
    </row>
    <row r="2194" spans="1:19" hidden="1">
      <c r="A2194" s="95" t="s">
        <v>3748</v>
      </c>
      <c r="B2194" s="96" t="str">
        <f>IFERROR(VLOOKUP(Proc[[#This Row],[App]],Table2[],3,0),"open")</f>
        <v>ok</v>
      </c>
      <c r="C2194" s="95" t="s">
        <v>369</v>
      </c>
      <c r="D2194" t="s">
        <v>4030</v>
      </c>
      <c r="E2194" t="s">
        <v>4069</v>
      </c>
      <c r="F2194" s="105" t="s">
        <v>4069</v>
      </c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1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1013</v>
      </c>
      <c r="S2194" s="96"/>
    </row>
    <row r="2195" spans="1:19" hidden="1">
      <c r="A2195" s="95" t="s">
        <v>3748</v>
      </c>
      <c r="B2195" s="96" t="str">
        <f>IFERROR(VLOOKUP(Proc[[#This Row],[App]],Table2[],3,0),"open")</f>
        <v>ok</v>
      </c>
      <c r="C2195" s="95" t="s">
        <v>369</v>
      </c>
      <c r="D2195" t="s">
        <v>4031</v>
      </c>
      <c r="E2195" t="s">
        <v>4069</v>
      </c>
      <c r="F2195" s="105" t="s">
        <v>4069</v>
      </c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1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1013</v>
      </c>
      <c r="S2195" s="96"/>
    </row>
    <row r="2196" spans="1:19" hidden="1">
      <c r="A2196" s="95" t="s">
        <v>3748</v>
      </c>
      <c r="B2196" s="96" t="str">
        <f>IFERROR(VLOOKUP(Proc[[#This Row],[App]],Table2[],3,0),"open")</f>
        <v>ok</v>
      </c>
      <c r="C2196" s="95" t="s">
        <v>369</v>
      </c>
      <c r="D2196" t="s">
        <v>4032</v>
      </c>
      <c r="E2196" t="s">
        <v>4069</v>
      </c>
      <c r="F2196" s="105" t="s">
        <v>4069</v>
      </c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1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1013</v>
      </c>
      <c r="S2196" s="96"/>
    </row>
    <row r="2197" spans="1:19" hidden="1">
      <c r="A2197" s="95" t="s">
        <v>3748</v>
      </c>
      <c r="B2197" s="96" t="str">
        <f>IFERROR(VLOOKUP(Proc[[#This Row],[App]],Table2[],3,0),"open")</f>
        <v>ok</v>
      </c>
      <c r="C2197" s="95" t="s">
        <v>369</v>
      </c>
      <c r="D2197" t="s">
        <v>4033</v>
      </c>
      <c r="E2197" t="s">
        <v>4069</v>
      </c>
      <c r="F2197" s="105" t="s">
        <v>4069</v>
      </c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1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1013</v>
      </c>
      <c r="S2197" s="96"/>
    </row>
    <row r="2198" spans="1:19" hidden="1">
      <c r="A2198" s="95" t="s">
        <v>3748</v>
      </c>
      <c r="B2198" s="96" t="str">
        <f>IFERROR(VLOOKUP(Proc[[#This Row],[App]],Table2[],3,0),"open")</f>
        <v>ok</v>
      </c>
      <c r="C2198" s="95" t="s">
        <v>369</v>
      </c>
      <c r="D2198" t="s">
        <v>4034</v>
      </c>
      <c r="E2198" t="s">
        <v>4069</v>
      </c>
      <c r="F2198" s="105" t="s">
        <v>4069</v>
      </c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1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1013</v>
      </c>
      <c r="S2198" s="96"/>
    </row>
    <row r="2199" spans="1:19" hidden="1">
      <c r="A2199" s="95" t="s">
        <v>3748</v>
      </c>
      <c r="B2199" s="96" t="str">
        <f>IFERROR(VLOOKUP(Proc[[#This Row],[App]],Table2[],3,0),"open")</f>
        <v>ok</v>
      </c>
      <c r="C2199" s="95" t="s">
        <v>369</v>
      </c>
      <c r="D2199" t="s">
        <v>4035</v>
      </c>
      <c r="E2199" t="s">
        <v>4069</v>
      </c>
      <c r="F2199" s="105" t="s">
        <v>4069</v>
      </c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1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1013</v>
      </c>
      <c r="S2199" s="96"/>
    </row>
    <row r="2200" spans="1:19" hidden="1">
      <c r="A2200" s="95" t="s">
        <v>3748</v>
      </c>
      <c r="B2200" s="96" t="str">
        <f>IFERROR(VLOOKUP(Proc[[#This Row],[App]],Table2[],3,0),"open")</f>
        <v>ok</v>
      </c>
      <c r="C2200" s="95" t="s">
        <v>369</v>
      </c>
      <c r="D2200" t="s">
        <v>4036</v>
      </c>
      <c r="E2200" t="s">
        <v>4069</v>
      </c>
      <c r="F2200" s="105" t="s">
        <v>4069</v>
      </c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1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1013</v>
      </c>
      <c r="S2200" s="96"/>
    </row>
    <row r="2201" spans="1:19" hidden="1">
      <c r="A2201" s="95" t="s">
        <v>3748</v>
      </c>
      <c r="B2201" s="96" t="str">
        <f>IFERROR(VLOOKUP(Proc[[#This Row],[App]],Table2[],3,0),"open")</f>
        <v>ok</v>
      </c>
      <c r="C2201" s="95" t="s">
        <v>369</v>
      </c>
      <c r="D2201" t="s">
        <v>4037</v>
      </c>
      <c r="E2201" t="s">
        <v>4069</v>
      </c>
      <c r="F2201" s="105" t="s">
        <v>4069</v>
      </c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1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1013</v>
      </c>
      <c r="S2201" s="96"/>
    </row>
    <row r="2202" spans="1:19" hidden="1">
      <c r="A2202" s="95" t="s">
        <v>3748</v>
      </c>
      <c r="B2202" s="96" t="str">
        <f>IFERROR(VLOOKUP(Proc[[#This Row],[App]],Table2[],3,0),"open")</f>
        <v>ok</v>
      </c>
      <c r="C2202" s="95" t="s">
        <v>369</v>
      </c>
      <c r="D2202" t="s">
        <v>4038</v>
      </c>
      <c r="E2202" t="s">
        <v>4069</v>
      </c>
      <c r="F2202" s="105" t="s">
        <v>4069</v>
      </c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1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1013</v>
      </c>
      <c r="S2202" s="96"/>
    </row>
    <row r="2203" spans="1:19" hidden="1">
      <c r="A2203" s="95" t="s">
        <v>3748</v>
      </c>
      <c r="B2203" s="96" t="str">
        <f>IFERROR(VLOOKUP(Proc[[#This Row],[App]],Table2[],3,0),"open")</f>
        <v>ok</v>
      </c>
      <c r="C2203" s="95" t="s">
        <v>369</v>
      </c>
      <c r="D2203" t="s">
        <v>4039</v>
      </c>
      <c r="E2203" t="s">
        <v>4069</v>
      </c>
      <c r="F2203" s="105" t="s">
        <v>4069</v>
      </c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1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1013</v>
      </c>
      <c r="S2203" s="96"/>
    </row>
    <row r="2204" spans="1:19" hidden="1">
      <c r="A2204" s="95" t="s">
        <v>3748</v>
      </c>
      <c r="B2204" s="96" t="str">
        <f>IFERROR(VLOOKUP(Proc[[#This Row],[App]],Table2[],3,0),"open")</f>
        <v>ok</v>
      </c>
      <c r="C2204" s="95" t="s">
        <v>369</v>
      </c>
      <c r="D2204" t="s">
        <v>4040</v>
      </c>
      <c r="E2204" t="s">
        <v>4069</v>
      </c>
      <c r="F2204" s="105" t="s">
        <v>4069</v>
      </c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1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1013</v>
      </c>
      <c r="S2204" s="96"/>
    </row>
    <row r="2205" spans="1:19" hidden="1">
      <c r="A2205" s="95" t="s">
        <v>3748</v>
      </c>
      <c r="B2205" s="96" t="str">
        <f>IFERROR(VLOOKUP(Proc[[#This Row],[App]],Table2[],3,0),"open")</f>
        <v>ok</v>
      </c>
      <c r="C2205" s="95" t="s">
        <v>369</v>
      </c>
      <c r="D2205" t="s">
        <v>4041</v>
      </c>
      <c r="E2205" t="s">
        <v>4069</v>
      </c>
      <c r="F2205" s="105" t="s">
        <v>4069</v>
      </c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1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1013</v>
      </c>
      <c r="S2205" s="96"/>
    </row>
    <row r="2206" spans="1:19" hidden="1">
      <c r="A2206" s="95" t="s">
        <v>3748</v>
      </c>
      <c r="B2206" s="96" t="str">
        <f>IFERROR(VLOOKUP(Proc[[#This Row],[App]],Table2[],3,0),"open")</f>
        <v>ok</v>
      </c>
      <c r="C2206" s="95" t="s">
        <v>369</v>
      </c>
      <c r="D2206" t="s">
        <v>4042</v>
      </c>
      <c r="E2206" t="s">
        <v>4069</v>
      </c>
      <c r="F2206" s="105" t="s">
        <v>4069</v>
      </c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1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1013</v>
      </c>
      <c r="S2206" s="96"/>
    </row>
    <row r="2207" spans="1:19" hidden="1">
      <c r="A2207" s="95" t="s">
        <v>3748</v>
      </c>
      <c r="B2207" s="96" t="str">
        <f>IFERROR(VLOOKUP(Proc[[#This Row],[App]],Table2[],3,0),"open")</f>
        <v>ok</v>
      </c>
      <c r="C2207" s="95" t="s">
        <v>369</v>
      </c>
      <c r="D2207" t="s">
        <v>4043</v>
      </c>
      <c r="E2207" t="s">
        <v>4069</v>
      </c>
      <c r="F2207" s="105" t="s">
        <v>4069</v>
      </c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1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1013</v>
      </c>
      <c r="S2207" s="96"/>
    </row>
    <row r="2208" spans="1:19" hidden="1">
      <c r="A2208" s="95" t="s">
        <v>3748</v>
      </c>
      <c r="B2208" s="96" t="str">
        <f>IFERROR(VLOOKUP(Proc[[#This Row],[App]],Table2[],3,0),"open")</f>
        <v>ok</v>
      </c>
      <c r="C2208" s="95" t="s">
        <v>369</v>
      </c>
      <c r="D2208" t="s">
        <v>4044</v>
      </c>
      <c r="E2208" t="s">
        <v>4069</v>
      </c>
      <c r="F2208" s="105" t="s">
        <v>4069</v>
      </c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1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1013</v>
      </c>
      <c r="S2208" s="96"/>
    </row>
    <row r="2209" spans="1:19" hidden="1">
      <c r="A2209" s="95" t="s">
        <v>3748</v>
      </c>
      <c r="B2209" s="96" t="str">
        <f>IFERROR(VLOOKUP(Proc[[#This Row],[App]],Table2[],3,0),"open")</f>
        <v>ok</v>
      </c>
      <c r="C2209" s="95" t="s">
        <v>369</v>
      </c>
      <c r="D2209" t="s">
        <v>4045</v>
      </c>
      <c r="E2209" t="s">
        <v>4069</v>
      </c>
      <c r="F2209" s="105" t="s">
        <v>4069</v>
      </c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1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1013</v>
      </c>
      <c r="S2209" s="96"/>
    </row>
    <row r="2210" spans="1:19" hidden="1">
      <c r="A2210" s="95" t="s">
        <v>3748</v>
      </c>
      <c r="B2210" s="96" t="str">
        <f>IFERROR(VLOOKUP(Proc[[#This Row],[App]],Table2[],3,0),"open")</f>
        <v>ok</v>
      </c>
      <c r="C2210" s="95" t="s">
        <v>369</v>
      </c>
      <c r="D2210" t="s">
        <v>4046</v>
      </c>
      <c r="E2210" t="s">
        <v>4069</v>
      </c>
      <c r="F2210" s="105" t="s">
        <v>4069</v>
      </c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1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1013</v>
      </c>
      <c r="S2210" s="96"/>
    </row>
    <row r="2211" spans="1:19" hidden="1">
      <c r="A2211" s="95" t="s">
        <v>3748</v>
      </c>
      <c r="B2211" s="96" t="str">
        <f>IFERROR(VLOOKUP(Proc[[#This Row],[App]],Table2[],3,0),"open")</f>
        <v>ok</v>
      </c>
      <c r="C2211" s="95" t="s">
        <v>369</v>
      </c>
      <c r="D2211" t="s">
        <v>4047</v>
      </c>
      <c r="E2211" t="s">
        <v>4069</v>
      </c>
      <c r="F2211" s="105" t="s">
        <v>4069</v>
      </c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1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1013</v>
      </c>
      <c r="S2211" s="96"/>
    </row>
    <row r="2212" spans="1:19" hidden="1">
      <c r="A2212" s="95" t="s">
        <v>3748</v>
      </c>
      <c r="B2212" s="96" t="str">
        <f>IFERROR(VLOOKUP(Proc[[#This Row],[App]],Table2[],3,0),"open")</f>
        <v>ok</v>
      </c>
      <c r="C2212" s="95" t="s">
        <v>369</v>
      </c>
      <c r="D2212" t="s">
        <v>4048</v>
      </c>
      <c r="E2212" t="s">
        <v>2274</v>
      </c>
      <c r="F2212" s="105" t="s">
        <v>2274</v>
      </c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1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1013</v>
      </c>
      <c r="S2212" s="96"/>
    </row>
    <row r="2213" spans="1:19" hidden="1">
      <c r="A2213" s="95" t="s">
        <v>3748</v>
      </c>
      <c r="B2213" s="96" t="str">
        <f>IFERROR(VLOOKUP(Proc[[#This Row],[App]],Table2[],3,0),"open")</f>
        <v>ok</v>
      </c>
      <c r="C2213" s="95" t="s">
        <v>369</v>
      </c>
      <c r="D2213" t="s">
        <v>4049</v>
      </c>
      <c r="E2213" t="s">
        <v>4069</v>
      </c>
      <c r="F2213" s="105" t="s">
        <v>4069</v>
      </c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1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1013</v>
      </c>
      <c r="S2213" s="96"/>
    </row>
    <row r="2214" spans="1:19" hidden="1">
      <c r="A2214" s="95" t="s">
        <v>3748</v>
      </c>
      <c r="B2214" s="96" t="str">
        <f>IFERROR(VLOOKUP(Proc[[#This Row],[App]],Table2[],3,0),"open")</f>
        <v>ok</v>
      </c>
      <c r="C2214" s="95" t="s">
        <v>369</v>
      </c>
      <c r="D2214" t="s">
        <v>4050</v>
      </c>
      <c r="E2214" t="s">
        <v>4069</v>
      </c>
      <c r="F2214" s="105" t="s">
        <v>4069</v>
      </c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1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1013</v>
      </c>
      <c r="S2214" s="96"/>
    </row>
    <row r="2215" spans="1:19" hidden="1">
      <c r="A2215" s="95" t="s">
        <v>3748</v>
      </c>
      <c r="B2215" s="96" t="str">
        <f>IFERROR(VLOOKUP(Proc[[#This Row],[App]],Table2[],3,0),"open")</f>
        <v>ok</v>
      </c>
      <c r="C2215" s="95" t="s">
        <v>369</v>
      </c>
      <c r="D2215" t="s">
        <v>4051</v>
      </c>
      <c r="E2215" t="s">
        <v>4069</v>
      </c>
      <c r="F2215" s="105" t="s">
        <v>4069</v>
      </c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1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1013</v>
      </c>
      <c r="S2215" s="96"/>
    </row>
    <row r="2216" spans="1:19" hidden="1">
      <c r="A2216" s="95" t="s">
        <v>3748</v>
      </c>
      <c r="B2216" s="96" t="str">
        <f>IFERROR(VLOOKUP(Proc[[#This Row],[App]],Table2[],3,0),"open")</f>
        <v>ok</v>
      </c>
      <c r="C2216" s="95" t="s">
        <v>369</v>
      </c>
      <c r="D2216" t="s">
        <v>4052</v>
      </c>
      <c r="E2216" t="s">
        <v>4069</v>
      </c>
      <c r="F2216" s="105" t="s">
        <v>4069</v>
      </c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1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1013</v>
      </c>
      <c r="S2216" s="96"/>
    </row>
    <row r="2217" spans="1:19" hidden="1">
      <c r="A2217" s="95" t="s">
        <v>3748</v>
      </c>
      <c r="B2217" s="96" t="str">
        <f>IFERROR(VLOOKUP(Proc[[#This Row],[App]],Table2[],3,0),"open")</f>
        <v>ok</v>
      </c>
      <c r="C2217" s="95" t="s">
        <v>369</v>
      </c>
      <c r="D2217" t="s">
        <v>4053</v>
      </c>
      <c r="E2217" t="s">
        <v>4069</v>
      </c>
      <c r="F2217" s="105" t="s">
        <v>4069</v>
      </c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1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1013</v>
      </c>
      <c r="S2217" s="96"/>
    </row>
    <row r="2218" spans="1:19" hidden="1">
      <c r="A2218" s="95" t="s">
        <v>3748</v>
      </c>
      <c r="B2218" s="96" t="str">
        <f>IFERROR(VLOOKUP(Proc[[#This Row],[App]],Table2[],3,0),"open")</f>
        <v>ok</v>
      </c>
      <c r="C2218" s="95" t="s">
        <v>369</v>
      </c>
      <c r="D2218" t="s">
        <v>4054</v>
      </c>
      <c r="E2218" t="s">
        <v>4069</v>
      </c>
      <c r="F2218" s="105" t="s">
        <v>4069</v>
      </c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1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1013</v>
      </c>
      <c r="S2218" s="96"/>
    </row>
    <row r="2219" spans="1:19" hidden="1">
      <c r="A2219" s="95" t="s">
        <v>3748</v>
      </c>
      <c r="B2219" s="96" t="str">
        <f>IFERROR(VLOOKUP(Proc[[#This Row],[App]],Table2[],3,0),"open")</f>
        <v>ok</v>
      </c>
      <c r="C2219" s="95" t="s">
        <v>369</v>
      </c>
      <c r="D2219" t="s">
        <v>4055</v>
      </c>
      <c r="E2219" t="s">
        <v>4069</v>
      </c>
      <c r="F2219" s="105" t="s">
        <v>4069</v>
      </c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1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1013</v>
      </c>
      <c r="S2219" s="96"/>
    </row>
    <row r="2220" spans="1:19" hidden="1">
      <c r="A2220" s="95" t="s">
        <v>3748</v>
      </c>
      <c r="B2220" s="96" t="str">
        <f>IFERROR(VLOOKUP(Proc[[#This Row],[App]],Table2[],3,0),"open")</f>
        <v>ok</v>
      </c>
      <c r="C2220" s="95" t="s">
        <v>369</v>
      </c>
      <c r="D2220" t="s">
        <v>4056</v>
      </c>
      <c r="E2220" t="s">
        <v>4069</v>
      </c>
      <c r="F2220" s="105" t="s">
        <v>4069</v>
      </c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1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1013</v>
      </c>
      <c r="S2220" s="96"/>
    </row>
    <row r="2221" spans="1:19" hidden="1">
      <c r="A2221" s="95" t="s">
        <v>3748</v>
      </c>
      <c r="B2221" s="96" t="str">
        <f>IFERROR(VLOOKUP(Proc[[#This Row],[App]],Table2[],3,0),"open")</f>
        <v>ok</v>
      </c>
      <c r="C2221" s="95" t="s">
        <v>369</v>
      </c>
      <c r="D2221" t="s">
        <v>4057</v>
      </c>
      <c r="E2221" t="s">
        <v>4069</v>
      </c>
      <c r="F2221" s="105" t="s">
        <v>4069</v>
      </c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1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1013</v>
      </c>
      <c r="S2221" s="96"/>
    </row>
    <row r="2222" spans="1:19" hidden="1">
      <c r="A2222" s="95" t="s">
        <v>3748</v>
      </c>
      <c r="B2222" s="96" t="str">
        <f>IFERROR(VLOOKUP(Proc[[#This Row],[App]],Table2[],3,0),"open")</f>
        <v>ok</v>
      </c>
      <c r="C2222" s="95" t="s">
        <v>369</v>
      </c>
      <c r="D2222" t="s">
        <v>4058</v>
      </c>
      <c r="E2222" t="s">
        <v>4069</v>
      </c>
      <c r="F2222" s="105" t="s">
        <v>4069</v>
      </c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1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1013</v>
      </c>
      <c r="S2222" s="96"/>
    </row>
    <row r="2223" spans="1:19" hidden="1">
      <c r="A2223" s="95" t="s">
        <v>3748</v>
      </c>
      <c r="B2223" s="96" t="str">
        <f>IFERROR(VLOOKUP(Proc[[#This Row],[App]],Table2[],3,0),"open")</f>
        <v>ok</v>
      </c>
      <c r="C2223" s="95" t="s">
        <v>369</v>
      </c>
      <c r="D2223" t="s">
        <v>4059</v>
      </c>
      <c r="E2223" t="s">
        <v>4069</v>
      </c>
      <c r="F2223" s="105" t="s">
        <v>4069</v>
      </c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1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1013</v>
      </c>
      <c r="S2223" s="96"/>
    </row>
    <row r="2224" spans="1:19" hidden="1">
      <c r="A2224" s="95" t="s">
        <v>3748</v>
      </c>
      <c r="B2224" s="96" t="str">
        <f>IFERROR(VLOOKUP(Proc[[#This Row],[App]],Table2[],3,0),"open")</f>
        <v>ok</v>
      </c>
      <c r="C2224" s="95" t="s">
        <v>369</v>
      </c>
      <c r="D2224" t="s">
        <v>4060</v>
      </c>
      <c r="E2224" t="s">
        <v>4069</v>
      </c>
      <c r="F2224" s="105" t="s">
        <v>4069</v>
      </c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1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1013</v>
      </c>
      <c r="S2224" s="96"/>
    </row>
    <row r="2225" spans="1:19" hidden="1">
      <c r="A2225" s="95" t="s">
        <v>3748</v>
      </c>
      <c r="B2225" s="96" t="str">
        <f>IFERROR(VLOOKUP(Proc[[#This Row],[App]],Table2[],3,0),"open")</f>
        <v>ok</v>
      </c>
      <c r="C2225" s="95" t="s">
        <v>369</v>
      </c>
      <c r="D2225" t="s">
        <v>4061</v>
      </c>
      <c r="E2225" t="s">
        <v>4069</v>
      </c>
      <c r="F2225" s="105" t="s">
        <v>4069</v>
      </c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1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1013</v>
      </c>
      <c r="S2225" s="96"/>
    </row>
    <row r="2226" spans="1:19" hidden="1">
      <c r="A2226" s="95" t="s">
        <v>3748</v>
      </c>
      <c r="B2226" s="96" t="str">
        <f>IFERROR(VLOOKUP(Proc[[#This Row],[App]],Table2[],3,0),"open")</f>
        <v>ok</v>
      </c>
      <c r="C2226" s="95" t="s">
        <v>369</v>
      </c>
      <c r="D2226" t="s">
        <v>4062</v>
      </c>
      <c r="E2226" t="s">
        <v>4069</v>
      </c>
      <c r="F2226" s="105" t="s">
        <v>4069</v>
      </c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1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1013</v>
      </c>
      <c r="S2226" s="96"/>
    </row>
    <row r="2227" spans="1:19" hidden="1">
      <c r="A2227" s="95" t="s">
        <v>3748</v>
      </c>
      <c r="B2227" s="96" t="str">
        <f>IFERROR(VLOOKUP(Proc[[#This Row],[App]],Table2[],3,0),"open")</f>
        <v>ok</v>
      </c>
      <c r="C2227" s="95" t="s">
        <v>369</v>
      </c>
      <c r="D2227" t="s">
        <v>4063</v>
      </c>
      <c r="E2227" t="s">
        <v>4069</v>
      </c>
      <c r="F2227" s="105" t="s">
        <v>4069</v>
      </c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1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1013</v>
      </c>
      <c r="S2227" s="96"/>
    </row>
    <row r="2228" spans="1:19" hidden="1">
      <c r="A2228" s="95" t="s">
        <v>3748</v>
      </c>
      <c r="B2228" s="96" t="str">
        <f>IFERROR(VLOOKUP(Proc[[#This Row],[App]],Table2[],3,0),"open")</f>
        <v>ok</v>
      </c>
      <c r="C2228" s="95" t="s">
        <v>369</v>
      </c>
      <c r="D2228" t="s">
        <v>4064</v>
      </c>
      <c r="E2228" t="s">
        <v>4069</v>
      </c>
      <c r="F2228" s="105" t="s">
        <v>4069</v>
      </c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1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1013</v>
      </c>
      <c r="S2228" s="96"/>
    </row>
    <row r="2229" spans="1:19" hidden="1">
      <c r="A2229" s="95" t="s">
        <v>3748</v>
      </c>
      <c r="B2229" s="96" t="str">
        <f>IFERROR(VLOOKUP(Proc[[#This Row],[App]],Table2[],3,0),"open")</f>
        <v>ok</v>
      </c>
      <c r="C2229" s="95" t="s">
        <v>369</v>
      </c>
      <c r="D2229" t="s">
        <v>4065</v>
      </c>
      <c r="E2229" t="s">
        <v>4069</v>
      </c>
      <c r="F2229" s="105" t="s">
        <v>4069</v>
      </c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1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1013</v>
      </c>
      <c r="S2229" s="96"/>
    </row>
    <row r="2230" spans="1:19" hidden="1">
      <c r="A2230" s="95" t="s">
        <v>3748</v>
      </c>
      <c r="B2230" s="96" t="str">
        <f>IFERROR(VLOOKUP(Proc[[#This Row],[App]],Table2[],3,0),"open")</f>
        <v>ok</v>
      </c>
      <c r="C2230" s="95" t="s">
        <v>369</v>
      </c>
      <c r="D2230" t="s">
        <v>4066</v>
      </c>
      <c r="E2230" t="s">
        <v>2274</v>
      </c>
      <c r="F2230" s="105" t="s">
        <v>2274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1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1013</v>
      </c>
      <c r="S2230" s="96"/>
    </row>
    <row r="2231" spans="1:19" hidden="1">
      <c r="A2231" t="s">
        <v>3625</v>
      </c>
      <c r="B2231" s="96" t="str">
        <f>IFERROR(VLOOKUP(Proc[[#This Row],[App]],Table2[],3,0),"open")</f>
        <v>ok</v>
      </c>
      <c r="C2231" s="95" t="s">
        <v>369</v>
      </c>
      <c r="D2231" t="s">
        <v>4073</v>
      </c>
      <c r="E2231" t="s">
        <v>3626</v>
      </c>
      <c r="F2231" s="105" t="s">
        <v>3626</v>
      </c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1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478</v>
      </c>
      <c r="S2231" s="96"/>
    </row>
    <row r="2232" spans="1:19" hidden="1">
      <c r="A2232" t="s">
        <v>4075</v>
      </c>
      <c r="B2232" s="96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5" t="s">
        <v>1522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1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489</v>
      </c>
      <c r="S2232" s="96"/>
    </row>
    <row r="2233" spans="1:19" hidden="1">
      <c r="A2233" t="s">
        <v>4077</v>
      </c>
      <c r="B2233" s="96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5" t="s">
        <v>2417</v>
      </c>
      <c r="G2233" t="s">
        <v>406</v>
      </c>
      <c r="H2233" s="96" t="str">
        <f>IF(Proc[[#This Row],[type]]="LFF (MDG-F)",MID(Proc[[#This Row],[Obj]],13,10),"")</f>
        <v>CZ50GIT01D</v>
      </c>
      <c r="I2233" t="s">
        <v>4083</v>
      </c>
      <c r="J2233" s="96" t="b">
        <f>Proc[[#This Row],[Requested]]=Proc[[#This Row],[CurrentParent]]</f>
        <v>1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515</v>
      </c>
      <c r="S2233" s="96"/>
    </row>
    <row r="2234" spans="1:19" hidden="1">
      <c r="A2234" s="95" t="s">
        <v>4077</v>
      </c>
      <c r="B2234" s="96" t="str">
        <f>IFERROR(VLOOKUP(Proc[[#This Row],[App]],Table2[],3,0),"open")</f>
        <v>ok</v>
      </c>
      <c r="C2234" s="95" t="s">
        <v>369</v>
      </c>
      <c r="D2234" t="s">
        <v>4079</v>
      </c>
      <c r="E2234" t="s">
        <v>2417</v>
      </c>
      <c r="F2234" s="105" t="s">
        <v>2417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4083</v>
      </c>
      <c r="J2234" s="96" t="b">
        <f>Proc[[#This Row],[Requested]]=Proc[[#This Row],[CurrentParent]]</f>
        <v>1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515</v>
      </c>
      <c r="S2234" s="96"/>
    </row>
    <row r="2235" spans="1:19" hidden="1">
      <c r="A2235" s="95" t="s">
        <v>4077</v>
      </c>
      <c r="B2235" s="96" t="str">
        <f>IFERROR(VLOOKUP(Proc[[#This Row],[App]],Table2[],3,0),"open")</f>
        <v>ok</v>
      </c>
      <c r="C2235" s="95" t="s">
        <v>369</v>
      </c>
      <c r="D2235" t="s">
        <v>4080</v>
      </c>
      <c r="E2235" t="s">
        <v>2417</v>
      </c>
      <c r="F2235" s="105" t="s">
        <v>2417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4083</v>
      </c>
      <c r="J2235" s="96" t="b">
        <f>Proc[[#This Row],[Requested]]=Proc[[#This Row],[CurrentParent]]</f>
        <v>1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515</v>
      </c>
      <c r="S2235" s="96"/>
    </row>
    <row r="2236" spans="1:19" hidden="1">
      <c r="A2236" s="95" t="s">
        <v>4077</v>
      </c>
      <c r="B2236" s="96" t="str">
        <f>IFERROR(VLOOKUP(Proc[[#This Row],[App]],Table2[],3,0),"open")</f>
        <v>ok</v>
      </c>
      <c r="C2236" s="95" t="s">
        <v>369</v>
      </c>
      <c r="D2236" t="s">
        <v>4079</v>
      </c>
      <c r="E2236" t="s">
        <v>2417</v>
      </c>
      <c r="F2236" s="105" t="s">
        <v>2417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4083</v>
      </c>
      <c r="J2236" s="96" t="b">
        <f>Proc[[#This Row],[Requested]]=Proc[[#This Row],[CurrentParent]]</f>
        <v>1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515</v>
      </c>
      <c r="S2236" s="96"/>
    </row>
    <row r="2237" spans="1:19" hidden="1">
      <c r="A2237" s="95" t="s">
        <v>4077</v>
      </c>
      <c r="B2237" s="96" t="str">
        <f>IFERROR(VLOOKUP(Proc[[#This Row],[App]],Table2[],3,0),"open")</f>
        <v>ok</v>
      </c>
      <c r="C2237" s="95" t="s">
        <v>369</v>
      </c>
      <c r="D2237" t="s">
        <v>4081</v>
      </c>
      <c r="E2237" t="s">
        <v>2417</v>
      </c>
      <c r="F2237" s="105" t="s">
        <v>2417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4083</v>
      </c>
      <c r="J2237" s="96" t="b">
        <f>Proc[[#This Row],[Requested]]=Proc[[#This Row],[CurrentParent]]</f>
        <v>1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515</v>
      </c>
      <c r="S2237" s="96"/>
    </row>
    <row r="2238" spans="1:19" hidden="1">
      <c r="A2238" t="s">
        <v>4084</v>
      </c>
      <c r="B2238" s="96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5" t="s">
        <v>661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1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1459</v>
      </c>
      <c r="S2238" s="96"/>
    </row>
    <row r="2239" spans="1:19" hidden="1">
      <c r="A2239" s="95" t="s">
        <v>4084</v>
      </c>
      <c r="B2239" s="96" t="str">
        <f>IFERROR(VLOOKUP(Proc[[#This Row],[App]],Table2[],3,0),"open")</f>
        <v>ok</v>
      </c>
      <c r="C2239" s="95" t="s">
        <v>369</v>
      </c>
      <c r="D2239" t="s">
        <v>4085</v>
      </c>
      <c r="E2239" t="s">
        <v>2616</v>
      </c>
      <c r="F2239" s="105" t="s">
        <v>2616</v>
      </c>
      <c r="G2239" t="s">
        <v>406</v>
      </c>
      <c r="H2239" s="96" t="str">
        <f>IF(Proc[[#This Row],[type]]="LFF (MDG-F)",MID(Proc[[#This Row],[Obj]],13,10),"")</f>
        <v>CH75GIT060</v>
      </c>
      <c r="I2239" t="s">
        <v>4091</v>
      </c>
      <c r="J2239" s="96" t="b">
        <f>Proc[[#This Row],[Requested]]=Proc[[#This Row],[CurrentParent]]</f>
        <v>1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1459</v>
      </c>
      <c r="S2239" s="96"/>
    </row>
    <row r="2240" spans="1:19" hidden="1">
      <c r="A2240" s="95" t="s">
        <v>4084</v>
      </c>
      <c r="B2240" s="96" t="str">
        <f>IFERROR(VLOOKUP(Proc[[#This Row],[App]],Table2[],3,0),"open")</f>
        <v>ok</v>
      </c>
      <c r="C2240" s="95" t="s">
        <v>369</v>
      </c>
      <c r="D2240" t="s">
        <v>4086</v>
      </c>
      <c r="E2240" t="s">
        <v>2334</v>
      </c>
      <c r="F2240" s="105" t="s">
        <v>2334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4091</v>
      </c>
      <c r="J2240" s="96" t="b">
        <f>Proc[[#This Row],[Requested]]=Proc[[#This Row],[CurrentParent]]</f>
        <v>1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1459</v>
      </c>
      <c r="S2240" s="96"/>
    </row>
    <row r="2241" spans="1:19" hidden="1">
      <c r="A2241" s="95" t="s">
        <v>4084</v>
      </c>
      <c r="B2241" s="96" t="str">
        <f>IFERROR(VLOOKUP(Proc[[#This Row],[App]],Table2[],3,0),"open")</f>
        <v>ok</v>
      </c>
      <c r="C2241" s="95" t="s">
        <v>369</v>
      </c>
      <c r="D2241" t="s">
        <v>4087</v>
      </c>
      <c r="E2241" t="s">
        <v>2336</v>
      </c>
      <c r="F2241" s="105" t="s">
        <v>2336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1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1459</v>
      </c>
      <c r="S2241" s="96"/>
    </row>
    <row r="2242" spans="1:19" hidden="1">
      <c r="A2242" s="95" t="s">
        <v>4084</v>
      </c>
      <c r="B2242" s="96" t="str">
        <f>IFERROR(VLOOKUP(Proc[[#This Row],[App]],Table2[],3,0),"open")</f>
        <v>ok</v>
      </c>
      <c r="C2242" s="95" t="s">
        <v>369</v>
      </c>
      <c r="D2242" t="s">
        <v>4088</v>
      </c>
      <c r="E2242" t="s">
        <v>2336</v>
      </c>
      <c r="F2242" s="105" t="s">
        <v>2336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1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1459</v>
      </c>
      <c r="S2242" s="96"/>
    </row>
    <row r="2243" spans="1:19" hidden="1">
      <c r="A2243" s="95" t="s">
        <v>4084</v>
      </c>
      <c r="B2243" s="96" t="str">
        <f>IFERROR(VLOOKUP(Proc[[#This Row],[App]],Table2[],3,0),"open")</f>
        <v>ok</v>
      </c>
      <c r="C2243" s="95" t="s">
        <v>369</v>
      </c>
      <c r="D2243" t="s">
        <v>4089</v>
      </c>
      <c r="E2243" t="s">
        <v>2336</v>
      </c>
      <c r="F2243" s="105" t="s">
        <v>2336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1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1459</v>
      </c>
      <c r="S2243" s="96"/>
    </row>
    <row r="2244" spans="1:19" hidden="1">
      <c r="A2244" s="95" t="s">
        <v>4084</v>
      </c>
      <c r="B2244" s="96" t="str">
        <f>IFERROR(VLOOKUP(Proc[[#This Row],[App]],Table2[],3,0),"open")</f>
        <v>ok</v>
      </c>
      <c r="C2244" s="95" t="s">
        <v>369</v>
      </c>
      <c r="D2244" t="s">
        <v>4090</v>
      </c>
      <c r="E2244" t="s">
        <v>425</v>
      </c>
      <c r="F2244" s="105" t="s">
        <v>425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1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1459</v>
      </c>
      <c r="S2244" s="96"/>
    </row>
    <row r="2245" spans="1:19" hidden="1">
      <c r="A2245" t="s">
        <v>4093</v>
      </c>
      <c r="B2245" s="96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5" t="s">
        <v>4095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1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14</v>
      </c>
      <c r="R2245" s="97" t="s">
        <v>764</v>
      </c>
      <c r="S2245" s="96"/>
    </row>
    <row r="2246" spans="1:19" hidden="1">
      <c r="A2246" t="s">
        <v>4098</v>
      </c>
      <c r="B2246" s="96" t="str">
        <f>IFERROR(VLOOKUP(Proc[[#This Row],[App]],Table2[],3,0),"open")</f>
        <v>ok</v>
      </c>
      <c r="C2246" s="99" t="s">
        <v>369</v>
      </c>
      <c r="D2246" s="99" t="s">
        <v>4096</v>
      </c>
      <c r="E2246" s="99" t="s">
        <v>4097</v>
      </c>
      <c r="F2246" s="105" t="s">
        <v>4097</v>
      </c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1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14</v>
      </c>
      <c r="R2246" s="97" t="s">
        <v>515</v>
      </c>
      <c r="S2246" s="96"/>
    </row>
    <row r="2247" spans="1:19" hidden="1">
      <c r="A2247" t="s">
        <v>4099</v>
      </c>
      <c r="B2247" s="96" t="str">
        <f>IFERROR(VLOOKUP(Proc[[#This Row],[App]],Table2[],3,0),"open")</f>
        <v>ok</v>
      </c>
      <c r="C2247" s="105" t="s">
        <v>369</v>
      </c>
      <c r="D2247" t="s">
        <v>4100</v>
      </c>
      <c r="E2247" t="s">
        <v>4101</v>
      </c>
      <c r="F2247" s="105" t="s">
        <v>4101</v>
      </c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1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489</v>
      </c>
      <c r="S2247" s="96"/>
    </row>
    <row r="2248" spans="1:19" hidden="1">
      <c r="A2248" t="s">
        <v>4104</v>
      </c>
      <c r="B2248" s="96" t="str">
        <f>IFERROR(VLOOKUP(Proc[[#This Row],[App]],Table2[],3,0),"open")</f>
        <v>ok</v>
      </c>
      <c r="C2248" s="99" t="s">
        <v>369</v>
      </c>
      <c r="D2248" t="s">
        <v>4105</v>
      </c>
      <c r="E2248" t="s">
        <v>1236</v>
      </c>
      <c r="F2248" s="105" t="s">
        <v>1236</v>
      </c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1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489</v>
      </c>
      <c r="S2248" s="96"/>
    </row>
    <row r="2249" spans="1:19" hidden="1">
      <c r="A2249" t="s">
        <v>4104</v>
      </c>
      <c r="B2249" s="96" t="str">
        <f>IFERROR(VLOOKUP(Proc[[#This Row],[App]],Table2[],3,0),"open")</f>
        <v>ok</v>
      </c>
      <c r="C2249" s="99" t="s">
        <v>377</v>
      </c>
      <c r="D2249" t="s">
        <v>4102</v>
      </c>
      <c r="E2249" t="s">
        <v>4103</v>
      </c>
      <c r="F2249" s="105" t="s">
        <v>4103</v>
      </c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1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489</v>
      </c>
      <c r="S2249" s="96"/>
    </row>
    <row r="2250" spans="1:19" hidden="1">
      <c r="A2250" t="s">
        <v>4116</v>
      </c>
      <c r="B2250" s="96" t="str">
        <f>IFERROR(VLOOKUP(Proc[[#This Row],[App]],Table2[],3,0),"open")</f>
        <v>ok</v>
      </c>
      <c r="C2250" s="105" t="s">
        <v>369</v>
      </c>
      <c r="D2250" t="s">
        <v>4106</v>
      </c>
      <c r="E2250" t="s">
        <v>4114</v>
      </c>
      <c r="F2250" s="105" t="s">
        <v>4114</v>
      </c>
      <c r="G2250" t="s">
        <v>406</v>
      </c>
      <c r="H2250" s="96" t="str">
        <f>IF(Proc[[#This Row],[type]]="LFF (MDG-F)",MID(Proc[[#This Row],[Obj]],13,10),"")</f>
        <v>DE20538353</v>
      </c>
      <c r="I2250" t="s">
        <v>4117</v>
      </c>
      <c r="J2250" s="96" t="b">
        <f>Proc[[#This Row],[Requested]]=Proc[[#This Row],[CurrentParent]]</f>
        <v>1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481</v>
      </c>
      <c r="S2250" s="96"/>
    </row>
    <row r="2251" spans="1:19" hidden="1">
      <c r="A2251" s="99" t="s">
        <v>4116</v>
      </c>
      <c r="B2251" s="96" t="str">
        <f>IFERROR(VLOOKUP(Proc[[#This Row],[App]],Table2[],3,0),"open")</f>
        <v>ok</v>
      </c>
      <c r="C2251" s="105" t="s">
        <v>369</v>
      </c>
      <c r="D2251" t="s">
        <v>4107</v>
      </c>
      <c r="E2251" t="s">
        <v>4115</v>
      </c>
      <c r="F2251" s="105" t="s">
        <v>4115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4117</v>
      </c>
      <c r="J2251" s="96" t="b">
        <f>Proc[[#This Row],[Requested]]=Proc[[#This Row],[CurrentParent]]</f>
        <v>1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481</v>
      </c>
      <c r="S2251" s="96"/>
    </row>
    <row r="2252" spans="1:19" hidden="1">
      <c r="A2252" s="99" t="s">
        <v>4116</v>
      </c>
      <c r="B2252" s="96" t="str">
        <f>IFERROR(VLOOKUP(Proc[[#This Row],[App]],Table2[],3,0),"open")</f>
        <v>ok</v>
      </c>
      <c r="C2252" s="105" t="s">
        <v>369</v>
      </c>
      <c r="D2252" t="s">
        <v>4108</v>
      </c>
      <c r="E2252" t="s">
        <v>3383</v>
      </c>
      <c r="F2252" s="105" t="s">
        <v>3383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4117</v>
      </c>
      <c r="J2252" s="96" t="b">
        <f>Proc[[#This Row],[Requested]]=Proc[[#This Row],[CurrentParent]]</f>
        <v>1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481</v>
      </c>
      <c r="S2252" s="96"/>
    </row>
    <row r="2253" spans="1:19" hidden="1">
      <c r="A2253" s="99" t="s">
        <v>4116</v>
      </c>
      <c r="B2253" s="96" t="str">
        <f>IFERROR(VLOOKUP(Proc[[#This Row],[App]],Table2[],3,0),"open")</f>
        <v>ok</v>
      </c>
      <c r="C2253" s="105" t="s">
        <v>369</v>
      </c>
      <c r="D2253" t="s">
        <v>4109</v>
      </c>
      <c r="E2253" t="s">
        <v>3383</v>
      </c>
      <c r="F2253" s="105" t="s">
        <v>3383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4117</v>
      </c>
      <c r="J2253" s="96" t="b">
        <f>Proc[[#This Row],[Requested]]=Proc[[#This Row],[CurrentParent]]</f>
        <v>1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481</v>
      </c>
      <c r="S2253" s="96"/>
    </row>
    <row r="2254" spans="1:19" hidden="1">
      <c r="A2254" s="99" t="s">
        <v>4116</v>
      </c>
      <c r="B2254" s="96" t="str">
        <f>IFERROR(VLOOKUP(Proc[[#This Row],[App]],Table2[],3,0),"open")</f>
        <v>ok</v>
      </c>
      <c r="C2254" s="105" t="s">
        <v>369</v>
      </c>
      <c r="D2254" t="s">
        <v>4110</v>
      </c>
      <c r="E2254" t="s">
        <v>3383</v>
      </c>
      <c r="F2254" s="105" t="s">
        <v>3383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4117</v>
      </c>
      <c r="J2254" s="96" t="b">
        <f>Proc[[#This Row],[Requested]]=Proc[[#This Row],[CurrentParent]]</f>
        <v>1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481</v>
      </c>
      <c r="S2254" s="96"/>
    </row>
    <row r="2255" spans="1:19" hidden="1">
      <c r="A2255" s="99" t="s">
        <v>4116</v>
      </c>
      <c r="B2255" s="96" t="str">
        <f>IFERROR(VLOOKUP(Proc[[#This Row],[App]],Table2[],3,0),"open")</f>
        <v>ok</v>
      </c>
      <c r="C2255" s="105" t="s">
        <v>369</v>
      </c>
      <c r="D2255" t="s">
        <v>4111</v>
      </c>
      <c r="E2255" t="s">
        <v>3382</v>
      </c>
      <c r="F2255" s="105" t="s">
        <v>3382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4117</v>
      </c>
      <c r="J2255" s="96" t="b">
        <f>Proc[[#This Row],[Requested]]=Proc[[#This Row],[CurrentParent]]</f>
        <v>1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481</v>
      </c>
      <c r="S2255" s="96"/>
    </row>
    <row r="2256" spans="1:19" hidden="1">
      <c r="A2256" s="99" t="s">
        <v>4116</v>
      </c>
      <c r="B2256" s="96" t="str">
        <f>IFERROR(VLOOKUP(Proc[[#This Row],[App]],Table2[],3,0),"open")</f>
        <v>ok</v>
      </c>
      <c r="C2256" s="105" t="s">
        <v>369</v>
      </c>
      <c r="D2256" t="s">
        <v>4112</v>
      </c>
      <c r="E2256" t="s">
        <v>3382</v>
      </c>
      <c r="F2256" s="105" t="s">
        <v>3382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4117</v>
      </c>
      <c r="J2256" s="96" t="b">
        <f>Proc[[#This Row],[Requested]]=Proc[[#This Row],[CurrentParent]]</f>
        <v>1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481</v>
      </c>
      <c r="S2256" s="96"/>
    </row>
    <row r="2257" spans="1:19" hidden="1">
      <c r="A2257" s="99" t="s">
        <v>4116</v>
      </c>
      <c r="B2257" s="96" t="str">
        <f>IFERROR(VLOOKUP(Proc[[#This Row],[App]],Table2[],3,0),"open")</f>
        <v>ok</v>
      </c>
      <c r="C2257" s="105" t="s">
        <v>369</v>
      </c>
      <c r="D2257" t="s">
        <v>4113</v>
      </c>
      <c r="E2257" t="s">
        <v>3382</v>
      </c>
      <c r="F2257" s="105" t="s">
        <v>3382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4117</v>
      </c>
      <c r="J2257" s="96" t="b">
        <f>Proc[[#This Row],[Requested]]=Proc[[#This Row],[CurrentParent]]</f>
        <v>1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481</v>
      </c>
      <c r="S2257" s="96"/>
    </row>
    <row r="2258" spans="1:19" hidden="1">
      <c r="A2258" t="s">
        <v>4119</v>
      </c>
      <c r="B2258" s="96" t="str">
        <f>IFERROR(VLOOKUP(Proc[[#This Row],[App]],Table2[],3,0),"open")</f>
        <v>ok</v>
      </c>
      <c r="C2258" s="105" t="s">
        <v>369</v>
      </c>
      <c r="D2258" s="101" t="s">
        <v>4118</v>
      </c>
      <c r="E2258" t="s">
        <v>4101</v>
      </c>
      <c r="F2258" s="105" t="s">
        <v>4101</v>
      </c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1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489</v>
      </c>
      <c r="S2258" s="96"/>
    </row>
    <row r="2259" spans="1:19" hidden="1">
      <c r="A2259" t="s">
        <v>4120</v>
      </c>
      <c r="B2259" s="96" t="str">
        <f>IFERROR(VLOOKUP(Proc[[#This Row],[App]],Table2[],3,0),"open")</f>
        <v>ok</v>
      </c>
      <c r="C2259" s="105" t="s">
        <v>369</v>
      </c>
      <c r="D2259" s="103" t="s">
        <v>4180</v>
      </c>
      <c r="E2259" t="s">
        <v>4121</v>
      </c>
      <c r="F2259" s="105" t="s">
        <v>4121</v>
      </c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1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2563</v>
      </c>
      <c r="M2259" s="100">
        <v>45818.369039351855</v>
      </c>
      <c r="N2259" s="102"/>
      <c r="O2259" s="102"/>
      <c r="P2259" s="100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</v>
      </c>
      <c r="R2259" s="100" t="s">
        <v>515</v>
      </c>
      <c r="S2259" s="96"/>
    </row>
    <row r="2260" spans="1:19" hidden="1">
      <c r="A2260" s="103" t="s">
        <v>4120</v>
      </c>
      <c r="B2260" s="96" t="str">
        <f>IFERROR(VLOOKUP(Proc[[#This Row],[App]],Table2[],3,0),"open")</f>
        <v>ok</v>
      </c>
      <c r="C2260" s="103" t="s">
        <v>369</v>
      </c>
      <c r="D2260" s="104" t="s">
        <v>4179</v>
      </c>
      <c r="E2260" t="s">
        <v>4122</v>
      </c>
      <c r="F2260" s="105" t="s">
        <v>4122</v>
      </c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1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2563</v>
      </c>
      <c r="M2260" s="100">
        <v>45818.369039351855</v>
      </c>
      <c r="N2260" s="102"/>
      <c r="O2260" s="102"/>
      <c r="P2260" s="100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</v>
      </c>
      <c r="R2260" s="100" t="s">
        <v>515</v>
      </c>
      <c r="S2260" s="96"/>
    </row>
    <row r="2261" spans="1:19" hidden="1">
      <c r="A2261" t="s">
        <v>4124</v>
      </c>
      <c r="B2261" s="96" t="str">
        <f>IFERROR(VLOOKUP(Proc[[#This Row],[App]],Table2[],3,0),"open")</f>
        <v>ok</v>
      </c>
      <c r="C2261" s="105" t="s">
        <v>369</v>
      </c>
      <c r="D2261" s="101" t="s">
        <v>4123</v>
      </c>
      <c r="E2261" s="105" t="s">
        <v>3265</v>
      </c>
      <c r="F2261" s="105" t="s">
        <v>3265</v>
      </c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1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489</v>
      </c>
      <c r="S2261" s="96"/>
    </row>
    <row r="2262" spans="1:19" hidden="1">
      <c r="A2262" t="s">
        <v>4134</v>
      </c>
      <c r="B2262" s="96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5" t="s">
        <v>1213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1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2563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780</v>
      </c>
      <c r="S2262" s="96"/>
    </row>
    <row r="2263" spans="1:19" hidden="1">
      <c r="A2263" s="105" t="s">
        <v>4134</v>
      </c>
      <c r="B2263" s="96" t="str">
        <f>IFERROR(VLOOKUP(Proc[[#This Row],[App]],Table2[],3,0),"open")</f>
        <v>ok</v>
      </c>
      <c r="C2263" s="105" t="s">
        <v>369</v>
      </c>
      <c r="D2263" t="s">
        <v>4126</v>
      </c>
      <c r="E2263" t="s">
        <v>1214</v>
      </c>
      <c r="F2263" s="105" t="s">
        <v>1214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1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2563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780</v>
      </c>
      <c r="S2263" s="96"/>
    </row>
    <row r="2264" spans="1:19" hidden="1">
      <c r="A2264" s="105" t="s">
        <v>4134</v>
      </c>
      <c r="B2264" s="96" t="str">
        <f>IFERROR(VLOOKUP(Proc[[#This Row],[App]],Table2[],3,0),"open")</f>
        <v>ok</v>
      </c>
      <c r="C2264" s="105" t="s">
        <v>369</v>
      </c>
      <c r="D2264" t="s">
        <v>4127</v>
      </c>
      <c r="E2264" t="s">
        <v>1214</v>
      </c>
      <c r="F2264" s="105" t="s">
        <v>1214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1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2563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780</v>
      </c>
      <c r="S2264" s="96"/>
    </row>
    <row r="2265" spans="1:19" hidden="1">
      <c r="A2265" s="105" t="s">
        <v>4134</v>
      </c>
      <c r="B2265" s="96" t="str">
        <f>IFERROR(VLOOKUP(Proc[[#This Row],[App]],Table2[],3,0),"open")</f>
        <v>ok</v>
      </c>
      <c r="C2265" s="105" t="s">
        <v>369</v>
      </c>
      <c r="D2265" t="s">
        <v>4128</v>
      </c>
      <c r="E2265" t="s">
        <v>4132</v>
      </c>
      <c r="F2265" s="105" t="s">
        <v>4132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1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2563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780</v>
      </c>
      <c r="S2265" s="96"/>
    </row>
    <row r="2266" spans="1:19" hidden="1">
      <c r="A2266" s="105" t="s">
        <v>4134</v>
      </c>
      <c r="B2266" s="96" t="str">
        <f>IFERROR(VLOOKUP(Proc[[#This Row],[App]],Table2[],3,0),"open")</f>
        <v>ok</v>
      </c>
      <c r="C2266" s="105" t="s">
        <v>369</v>
      </c>
      <c r="D2266" t="s">
        <v>4129</v>
      </c>
      <c r="E2266" t="s">
        <v>4132</v>
      </c>
      <c r="F2266" s="105" t="s">
        <v>4132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1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2563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780</v>
      </c>
      <c r="S2266" s="96"/>
    </row>
    <row r="2267" spans="1:19" hidden="1">
      <c r="A2267" s="105" t="s">
        <v>4134</v>
      </c>
      <c r="B2267" s="96" t="str">
        <f>IFERROR(VLOOKUP(Proc[[#This Row],[App]],Table2[],3,0),"open")</f>
        <v>ok</v>
      </c>
      <c r="C2267" s="105" t="s">
        <v>369</v>
      </c>
      <c r="D2267" t="s">
        <v>4130</v>
      </c>
      <c r="E2267" t="s">
        <v>4133</v>
      </c>
      <c r="F2267" s="105" t="s">
        <v>4133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1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2563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780</v>
      </c>
      <c r="S2267" s="96"/>
    </row>
    <row r="2268" spans="1:19" hidden="1">
      <c r="A2268" s="105" t="s">
        <v>4134</v>
      </c>
      <c r="B2268" s="96" t="str">
        <f>IFERROR(VLOOKUP(Proc[[#This Row],[App]],Table2[],3,0),"open")</f>
        <v>ok</v>
      </c>
      <c r="C2268" s="105" t="s">
        <v>369</v>
      </c>
      <c r="D2268" t="s">
        <v>4131</v>
      </c>
      <c r="E2268" t="s">
        <v>4133</v>
      </c>
      <c r="F2268" s="105" t="s">
        <v>4133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1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2563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780</v>
      </c>
      <c r="S2268" s="96"/>
    </row>
    <row r="2269" spans="1:19" hidden="1">
      <c r="A2269" t="s">
        <v>4140</v>
      </c>
      <c r="B2269" s="96" t="str">
        <f>IFERROR(VLOOKUP(Proc[[#This Row],[App]],Table2[],3,0),"open")</f>
        <v>ok</v>
      </c>
      <c r="C2269" s="105" t="s">
        <v>369</v>
      </c>
      <c r="D2269" t="s">
        <v>4141</v>
      </c>
      <c r="E2269" t="s">
        <v>4174</v>
      </c>
      <c r="F2269" s="105" t="s">
        <v>4174</v>
      </c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1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2563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410</v>
      </c>
      <c r="S2269" s="96"/>
    </row>
    <row r="2270" spans="1:19" hidden="1">
      <c r="A2270" s="105" t="s">
        <v>4140</v>
      </c>
      <c r="B2270" s="96" t="str">
        <f>IFERROR(VLOOKUP(Proc[[#This Row],[App]],Table2[],3,0),"open")</f>
        <v>ok</v>
      </c>
      <c r="C2270" s="105" t="s">
        <v>369</v>
      </c>
      <c r="D2270" t="s">
        <v>4142</v>
      </c>
      <c r="E2270" t="s">
        <v>4175</v>
      </c>
      <c r="F2270" s="105" t="s">
        <v>4175</v>
      </c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1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2563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410</v>
      </c>
      <c r="S2270" s="96"/>
    </row>
    <row r="2271" spans="1:19" hidden="1">
      <c r="A2271" s="105" t="s">
        <v>4140</v>
      </c>
      <c r="B2271" s="96" t="str">
        <f>IFERROR(VLOOKUP(Proc[[#This Row],[App]],Table2[],3,0),"open")</f>
        <v>ok</v>
      </c>
      <c r="C2271" s="105" t="s">
        <v>369</v>
      </c>
      <c r="D2271" t="s">
        <v>4143</v>
      </c>
      <c r="E2271" t="s">
        <v>4175</v>
      </c>
      <c r="F2271" s="105" t="s">
        <v>4175</v>
      </c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1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2563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410</v>
      </c>
      <c r="S2271" s="96"/>
    </row>
    <row r="2272" spans="1:19" hidden="1">
      <c r="A2272" s="105" t="s">
        <v>4140</v>
      </c>
      <c r="B2272" s="96" t="str">
        <f>IFERROR(VLOOKUP(Proc[[#This Row],[App]],Table2[],3,0),"open")</f>
        <v>ok</v>
      </c>
      <c r="C2272" s="105" t="s">
        <v>369</v>
      </c>
      <c r="D2272" t="s">
        <v>4144</v>
      </c>
      <c r="E2272" t="s">
        <v>4175</v>
      </c>
      <c r="F2272" s="105" t="s">
        <v>4175</v>
      </c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1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2563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410</v>
      </c>
      <c r="S2272" s="96"/>
    </row>
    <row r="2273" spans="1:19" hidden="1">
      <c r="A2273" s="105" t="s">
        <v>4140</v>
      </c>
      <c r="B2273" s="96" t="str">
        <f>IFERROR(VLOOKUP(Proc[[#This Row],[App]],Table2[],3,0),"open")</f>
        <v>ok</v>
      </c>
      <c r="C2273" s="105" t="s">
        <v>369</v>
      </c>
      <c r="D2273" t="s">
        <v>4145</v>
      </c>
      <c r="E2273" t="s">
        <v>4174</v>
      </c>
      <c r="F2273" s="105" t="s">
        <v>4174</v>
      </c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1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2563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410</v>
      </c>
      <c r="S2273" s="96"/>
    </row>
    <row r="2274" spans="1:19" hidden="1">
      <c r="A2274" s="105" t="s">
        <v>4140</v>
      </c>
      <c r="B2274" s="96" t="str">
        <f>IFERROR(VLOOKUP(Proc[[#This Row],[App]],Table2[],3,0),"open")</f>
        <v>ok</v>
      </c>
      <c r="C2274" s="105" t="s">
        <v>369</v>
      </c>
      <c r="D2274" t="s">
        <v>4146</v>
      </c>
      <c r="E2274" t="s">
        <v>4174</v>
      </c>
      <c r="F2274" s="105" t="s">
        <v>4174</v>
      </c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1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2563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410</v>
      </c>
      <c r="S2274" s="96"/>
    </row>
    <row r="2275" spans="1:19" hidden="1">
      <c r="A2275" s="105" t="s">
        <v>4140</v>
      </c>
      <c r="B2275" s="96" t="str">
        <f>IFERROR(VLOOKUP(Proc[[#This Row],[App]],Table2[],3,0),"open")</f>
        <v>ok</v>
      </c>
      <c r="C2275" s="105" t="s">
        <v>369</v>
      </c>
      <c r="D2275" t="s">
        <v>4147</v>
      </c>
      <c r="E2275" t="s">
        <v>4174</v>
      </c>
      <c r="F2275" s="105" t="s">
        <v>4174</v>
      </c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1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2563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410</v>
      </c>
      <c r="S2275" s="96"/>
    </row>
    <row r="2276" spans="1:19" hidden="1">
      <c r="A2276" s="105" t="s">
        <v>4140</v>
      </c>
      <c r="B2276" s="96" t="str">
        <f>IFERROR(VLOOKUP(Proc[[#This Row],[App]],Table2[],3,0),"open")</f>
        <v>ok</v>
      </c>
      <c r="C2276" s="105" t="s">
        <v>369</v>
      </c>
      <c r="D2276" t="s">
        <v>4148</v>
      </c>
      <c r="E2276" t="s">
        <v>4082</v>
      </c>
      <c r="F2276" s="105" t="s">
        <v>4082</v>
      </c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1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2563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410</v>
      </c>
      <c r="S2276" s="96"/>
    </row>
    <row r="2277" spans="1:19" hidden="1">
      <c r="A2277" s="105" t="s">
        <v>4140</v>
      </c>
      <c r="B2277" s="96" t="str">
        <f>IFERROR(VLOOKUP(Proc[[#This Row],[App]],Table2[],3,0),"open")</f>
        <v>ok</v>
      </c>
      <c r="C2277" s="105" t="s">
        <v>369</v>
      </c>
      <c r="D2277" t="s">
        <v>4149</v>
      </c>
      <c r="E2277" t="s">
        <v>4175</v>
      </c>
      <c r="F2277" s="105" t="s">
        <v>4175</v>
      </c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1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2563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410</v>
      </c>
      <c r="S2277" s="96"/>
    </row>
    <row r="2278" spans="1:19" hidden="1">
      <c r="A2278" s="105" t="s">
        <v>4140</v>
      </c>
      <c r="B2278" s="96" t="str">
        <f>IFERROR(VLOOKUP(Proc[[#This Row],[App]],Table2[],3,0),"open")</f>
        <v>ok</v>
      </c>
      <c r="C2278" s="105" t="s">
        <v>369</v>
      </c>
      <c r="D2278" t="s">
        <v>4150</v>
      </c>
      <c r="E2278" t="s">
        <v>4174</v>
      </c>
      <c r="F2278" s="105" t="s">
        <v>4174</v>
      </c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1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2563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410</v>
      </c>
      <c r="S2278" s="96"/>
    </row>
    <row r="2279" spans="1:19" hidden="1">
      <c r="A2279" s="105" t="s">
        <v>4140</v>
      </c>
      <c r="B2279" s="96" t="str">
        <f>IFERROR(VLOOKUP(Proc[[#This Row],[App]],Table2[],3,0),"open")</f>
        <v>ok</v>
      </c>
      <c r="C2279" s="105" t="s">
        <v>369</v>
      </c>
      <c r="D2279" t="s">
        <v>4151</v>
      </c>
      <c r="E2279" t="s">
        <v>4174</v>
      </c>
      <c r="F2279" s="105" t="s">
        <v>4174</v>
      </c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1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2563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410</v>
      </c>
      <c r="S2279" s="96"/>
    </row>
    <row r="2280" spans="1:19" hidden="1">
      <c r="A2280" s="105" t="s">
        <v>4140</v>
      </c>
      <c r="B2280" s="96" t="str">
        <f>IFERROR(VLOOKUP(Proc[[#This Row],[App]],Table2[],3,0),"open")</f>
        <v>ok</v>
      </c>
      <c r="C2280" s="105" t="s">
        <v>369</v>
      </c>
      <c r="D2280" t="s">
        <v>4152</v>
      </c>
      <c r="E2280" t="s">
        <v>4174</v>
      </c>
      <c r="F2280" s="105" t="s">
        <v>4174</v>
      </c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1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2563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410</v>
      </c>
      <c r="S2280" s="96"/>
    </row>
    <row r="2281" spans="1:19" hidden="1">
      <c r="A2281" s="105" t="s">
        <v>4140</v>
      </c>
      <c r="B2281" s="96" t="str">
        <f>IFERROR(VLOOKUP(Proc[[#This Row],[App]],Table2[],3,0),"open")</f>
        <v>ok</v>
      </c>
      <c r="C2281" s="105" t="s">
        <v>369</v>
      </c>
      <c r="D2281" t="s">
        <v>4153</v>
      </c>
      <c r="E2281" t="s">
        <v>4174</v>
      </c>
      <c r="F2281" s="105" t="s">
        <v>4174</v>
      </c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1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2563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410</v>
      </c>
      <c r="S2281" s="96"/>
    </row>
    <row r="2282" spans="1:19" hidden="1">
      <c r="A2282" s="105" t="s">
        <v>4140</v>
      </c>
      <c r="B2282" s="96" t="str">
        <f>IFERROR(VLOOKUP(Proc[[#This Row],[App]],Table2[],3,0),"open")</f>
        <v>ok</v>
      </c>
      <c r="C2282" s="105" t="s">
        <v>369</v>
      </c>
      <c r="D2282" t="s">
        <v>4154</v>
      </c>
      <c r="E2282" t="s">
        <v>4174</v>
      </c>
      <c r="F2282" s="105" t="s">
        <v>4174</v>
      </c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1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2563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410</v>
      </c>
      <c r="S2282" s="96"/>
    </row>
    <row r="2283" spans="1:19" hidden="1">
      <c r="A2283" s="105" t="s">
        <v>4140</v>
      </c>
      <c r="B2283" s="96" t="str">
        <f>IFERROR(VLOOKUP(Proc[[#This Row],[App]],Table2[],3,0),"open")</f>
        <v>ok</v>
      </c>
      <c r="C2283" s="105" t="s">
        <v>369</v>
      </c>
      <c r="D2283" t="s">
        <v>4155</v>
      </c>
      <c r="E2283" t="s">
        <v>4174</v>
      </c>
      <c r="F2283" s="105" t="s">
        <v>4174</v>
      </c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1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2563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410</v>
      </c>
      <c r="S2283" s="96"/>
    </row>
    <row r="2284" spans="1:19" hidden="1">
      <c r="A2284" s="105" t="s">
        <v>4140</v>
      </c>
      <c r="B2284" s="96" t="str">
        <f>IFERROR(VLOOKUP(Proc[[#This Row],[App]],Table2[],3,0),"open")</f>
        <v>ok</v>
      </c>
      <c r="C2284" s="105" t="s">
        <v>369</v>
      </c>
      <c r="D2284" t="s">
        <v>4156</v>
      </c>
      <c r="E2284" t="s">
        <v>4174</v>
      </c>
      <c r="F2284" s="105" t="s">
        <v>4174</v>
      </c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1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2563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410</v>
      </c>
      <c r="S2284" s="96"/>
    </row>
    <row r="2285" spans="1:19" hidden="1">
      <c r="A2285" s="105" t="s">
        <v>4140</v>
      </c>
      <c r="B2285" s="96" t="str">
        <f>IFERROR(VLOOKUP(Proc[[#This Row],[App]],Table2[],3,0),"open")</f>
        <v>ok</v>
      </c>
      <c r="C2285" s="105" t="s">
        <v>369</v>
      </c>
      <c r="D2285" t="s">
        <v>4157</v>
      </c>
      <c r="E2285" t="s">
        <v>4174</v>
      </c>
      <c r="F2285" s="105" t="s">
        <v>4174</v>
      </c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1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2563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410</v>
      </c>
      <c r="S2285" s="96"/>
    </row>
    <row r="2286" spans="1:19" hidden="1">
      <c r="A2286" s="105" t="s">
        <v>4140</v>
      </c>
      <c r="B2286" s="96" t="str">
        <f>IFERROR(VLOOKUP(Proc[[#This Row],[App]],Table2[],3,0),"open")</f>
        <v>ok</v>
      </c>
      <c r="C2286" s="105" t="s">
        <v>369</v>
      </c>
      <c r="D2286" t="s">
        <v>4158</v>
      </c>
      <c r="E2286" t="s">
        <v>4174</v>
      </c>
      <c r="F2286" s="105" t="s">
        <v>4174</v>
      </c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1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2563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410</v>
      </c>
      <c r="S2286" s="96"/>
    </row>
    <row r="2287" spans="1:19" hidden="1">
      <c r="A2287" s="105" t="s">
        <v>4140</v>
      </c>
      <c r="B2287" s="96" t="str">
        <f>IFERROR(VLOOKUP(Proc[[#This Row],[App]],Table2[],3,0),"open")</f>
        <v>ok</v>
      </c>
      <c r="C2287" s="105" t="s">
        <v>369</v>
      </c>
      <c r="D2287" t="s">
        <v>4159</v>
      </c>
      <c r="E2287" t="s">
        <v>4174</v>
      </c>
      <c r="F2287" s="105" t="s">
        <v>4174</v>
      </c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1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2563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410</v>
      </c>
      <c r="S2287" s="96"/>
    </row>
    <row r="2288" spans="1:19" hidden="1">
      <c r="A2288" s="105" t="s">
        <v>4140</v>
      </c>
      <c r="B2288" s="96" t="str">
        <f>IFERROR(VLOOKUP(Proc[[#This Row],[App]],Table2[],3,0),"open")</f>
        <v>ok</v>
      </c>
      <c r="C2288" s="105" t="s">
        <v>369</v>
      </c>
      <c r="D2288" t="s">
        <v>4160</v>
      </c>
      <c r="E2288" t="s">
        <v>4174</v>
      </c>
      <c r="F2288" s="105" t="s">
        <v>4174</v>
      </c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1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2563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410</v>
      </c>
      <c r="S2288" s="96"/>
    </row>
    <row r="2289" spans="1:19" hidden="1">
      <c r="A2289" s="105" t="s">
        <v>4140</v>
      </c>
      <c r="B2289" s="96" t="str">
        <f>IFERROR(VLOOKUP(Proc[[#This Row],[App]],Table2[],3,0),"open")</f>
        <v>ok</v>
      </c>
      <c r="C2289" s="105" t="s">
        <v>369</v>
      </c>
      <c r="D2289" t="s">
        <v>4161</v>
      </c>
      <c r="E2289" t="s">
        <v>4174</v>
      </c>
      <c r="F2289" s="105" t="s">
        <v>4174</v>
      </c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1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2563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410</v>
      </c>
      <c r="S2289" s="96"/>
    </row>
    <row r="2290" spans="1:19" hidden="1">
      <c r="A2290" s="105" t="s">
        <v>4140</v>
      </c>
      <c r="B2290" s="96" t="str">
        <f>IFERROR(VLOOKUP(Proc[[#This Row],[App]],Table2[],3,0),"open")</f>
        <v>ok</v>
      </c>
      <c r="C2290" s="105" t="s">
        <v>369</v>
      </c>
      <c r="D2290" t="s">
        <v>4162</v>
      </c>
      <c r="E2290" t="s">
        <v>4174</v>
      </c>
      <c r="F2290" s="105" t="s">
        <v>4174</v>
      </c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1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2563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410</v>
      </c>
      <c r="S2290" s="96"/>
    </row>
    <row r="2291" spans="1:19" hidden="1">
      <c r="A2291" s="105" t="s">
        <v>4140</v>
      </c>
      <c r="B2291" s="96" t="str">
        <f>IFERROR(VLOOKUP(Proc[[#This Row],[App]],Table2[],3,0),"open")</f>
        <v>ok</v>
      </c>
      <c r="C2291" s="105" t="s">
        <v>369</v>
      </c>
      <c r="D2291" t="s">
        <v>4163</v>
      </c>
      <c r="E2291" t="s">
        <v>4174</v>
      </c>
      <c r="F2291" s="105" t="s">
        <v>4174</v>
      </c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1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2563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410</v>
      </c>
      <c r="S2291" s="96"/>
    </row>
    <row r="2292" spans="1:19" hidden="1">
      <c r="A2292" s="105" t="s">
        <v>4140</v>
      </c>
      <c r="B2292" s="96" t="str">
        <f>IFERROR(VLOOKUP(Proc[[#This Row],[App]],Table2[],3,0),"open")</f>
        <v>ok</v>
      </c>
      <c r="C2292" s="105" t="s">
        <v>369</v>
      </c>
      <c r="D2292" t="s">
        <v>4164</v>
      </c>
      <c r="E2292" t="s">
        <v>4174</v>
      </c>
      <c r="F2292" s="105" t="s">
        <v>4174</v>
      </c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1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2563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410</v>
      </c>
      <c r="S2292" s="96"/>
    </row>
    <row r="2293" spans="1:19" hidden="1">
      <c r="A2293" s="105" t="s">
        <v>4140</v>
      </c>
      <c r="B2293" s="96" t="str">
        <f>IFERROR(VLOOKUP(Proc[[#This Row],[App]],Table2[],3,0),"open")</f>
        <v>ok</v>
      </c>
      <c r="C2293" s="105" t="s">
        <v>369</v>
      </c>
      <c r="D2293" t="s">
        <v>4165</v>
      </c>
      <c r="E2293" t="s">
        <v>4175</v>
      </c>
      <c r="F2293" s="105" t="s">
        <v>4175</v>
      </c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1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2563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410</v>
      </c>
      <c r="S2293" s="96"/>
    </row>
    <row r="2294" spans="1:19" hidden="1">
      <c r="A2294" s="105" t="s">
        <v>4140</v>
      </c>
      <c r="B2294" s="96" t="str">
        <f>IFERROR(VLOOKUP(Proc[[#This Row],[App]],Table2[],3,0),"open")</f>
        <v>ok</v>
      </c>
      <c r="C2294" s="105" t="s">
        <v>369</v>
      </c>
      <c r="D2294" t="s">
        <v>4166</v>
      </c>
      <c r="E2294" t="s">
        <v>4175</v>
      </c>
      <c r="F2294" s="105" t="s">
        <v>4175</v>
      </c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1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2563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410</v>
      </c>
      <c r="S2294" s="96"/>
    </row>
    <row r="2295" spans="1:19" hidden="1">
      <c r="A2295" s="105" t="s">
        <v>4140</v>
      </c>
      <c r="B2295" s="96" t="str">
        <f>IFERROR(VLOOKUP(Proc[[#This Row],[App]],Table2[],3,0),"open")</f>
        <v>ok</v>
      </c>
      <c r="C2295" s="105" t="s">
        <v>369</v>
      </c>
      <c r="D2295" t="s">
        <v>4167</v>
      </c>
      <c r="E2295" t="s">
        <v>4175</v>
      </c>
      <c r="F2295" s="105" t="s">
        <v>4175</v>
      </c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1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2563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410</v>
      </c>
      <c r="S2295" s="96"/>
    </row>
    <row r="2296" spans="1:19" hidden="1">
      <c r="A2296" s="105" t="s">
        <v>4140</v>
      </c>
      <c r="B2296" s="96" t="str">
        <f>IFERROR(VLOOKUP(Proc[[#This Row],[App]],Table2[],3,0),"open")</f>
        <v>ok</v>
      </c>
      <c r="C2296" s="105" t="s">
        <v>369</v>
      </c>
      <c r="D2296" t="s">
        <v>4168</v>
      </c>
      <c r="E2296" t="s">
        <v>4175</v>
      </c>
      <c r="F2296" s="105" t="s">
        <v>4175</v>
      </c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1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2563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410</v>
      </c>
      <c r="S2296" s="96"/>
    </row>
    <row r="2297" spans="1:19" hidden="1">
      <c r="A2297" s="105" t="s">
        <v>4140</v>
      </c>
      <c r="B2297" s="96" t="str">
        <f>IFERROR(VLOOKUP(Proc[[#This Row],[App]],Table2[],3,0),"open")</f>
        <v>ok</v>
      </c>
      <c r="C2297" s="105" t="s">
        <v>369</v>
      </c>
      <c r="D2297" t="s">
        <v>4169</v>
      </c>
      <c r="E2297" t="s">
        <v>4175</v>
      </c>
      <c r="F2297" s="105" t="s">
        <v>4175</v>
      </c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1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2563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410</v>
      </c>
      <c r="S2297" s="96"/>
    </row>
    <row r="2298" spans="1:19" hidden="1">
      <c r="A2298" s="105" t="s">
        <v>4140</v>
      </c>
      <c r="B2298" s="96" t="str">
        <f>IFERROR(VLOOKUP(Proc[[#This Row],[App]],Table2[],3,0),"open")</f>
        <v>ok</v>
      </c>
      <c r="C2298" s="105" t="s">
        <v>369</v>
      </c>
      <c r="D2298" t="s">
        <v>4170</v>
      </c>
      <c r="E2298" t="s">
        <v>4174</v>
      </c>
      <c r="F2298" s="105" t="s">
        <v>4174</v>
      </c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1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2563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410</v>
      </c>
      <c r="S2298" s="96"/>
    </row>
    <row r="2299" spans="1:19" hidden="1">
      <c r="A2299" s="105" t="s">
        <v>4140</v>
      </c>
      <c r="B2299" s="96" t="str">
        <f>IFERROR(VLOOKUP(Proc[[#This Row],[App]],Table2[],3,0),"open")</f>
        <v>ok</v>
      </c>
      <c r="C2299" s="105" t="s">
        <v>369</v>
      </c>
      <c r="D2299" t="s">
        <v>4171</v>
      </c>
      <c r="E2299" t="s">
        <v>4174</v>
      </c>
      <c r="F2299" s="105" t="s">
        <v>4174</v>
      </c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1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2563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410</v>
      </c>
      <c r="S2299" s="96"/>
    </row>
    <row r="2300" spans="1:19" hidden="1">
      <c r="A2300" s="105" t="s">
        <v>4140</v>
      </c>
      <c r="B2300" s="96" t="str">
        <f>IFERROR(VLOOKUP(Proc[[#This Row],[App]],Table2[],3,0),"open")</f>
        <v>ok</v>
      </c>
      <c r="C2300" s="105" t="s">
        <v>369</v>
      </c>
      <c r="D2300" t="s">
        <v>4172</v>
      </c>
      <c r="E2300" t="s">
        <v>4175</v>
      </c>
      <c r="F2300" s="105" t="s">
        <v>4175</v>
      </c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1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2563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410</v>
      </c>
      <c r="S2300" s="96"/>
    </row>
    <row r="2301" spans="1:19" hidden="1">
      <c r="A2301" s="105" t="s">
        <v>4140</v>
      </c>
      <c r="B2301" s="96" t="str">
        <f>IFERROR(VLOOKUP(Proc[[#This Row],[App]],Table2[],3,0),"open")</f>
        <v>ok</v>
      </c>
      <c r="C2301" s="105" t="s">
        <v>369</v>
      </c>
      <c r="D2301" t="s">
        <v>4173</v>
      </c>
      <c r="E2301" t="s">
        <v>4176</v>
      </c>
      <c r="F2301" s="105" t="s">
        <v>4176</v>
      </c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1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2563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410</v>
      </c>
      <c r="S2301" s="96"/>
    </row>
    <row r="2302" spans="1:19" hidden="1">
      <c r="A2302" s="105" t="s">
        <v>4140</v>
      </c>
      <c r="B2302" s="96" t="str">
        <f>IFERROR(VLOOKUP(Proc[[#This Row],[App]],Table2[],3,0),"open")</f>
        <v>ok</v>
      </c>
      <c r="C2302" s="105" t="s">
        <v>369</v>
      </c>
      <c r="D2302" t="s">
        <v>4177</v>
      </c>
      <c r="E2302" t="s">
        <v>4174</v>
      </c>
      <c r="F2302" s="96" t="s">
        <v>4174</v>
      </c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1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2563</v>
      </c>
      <c r="M2302" s="106">
        <v>45825.48096064815</v>
      </c>
      <c r="N2302" s="107"/>
      <c r="O2302" s="107"/>
      <c r="P2302" s="106" t="str">
        <f ca="1">IF(Proc[[#This Row],[DaysAgeing]]&gt;5,"yep","on track")</f>
        <v>on track</v>
      </c>
      <c r="Q2302" s="3">
        <f ca="1">IF(Proc[[#This Row],[DateClosed]]="",ABS(NETWORKDAYS(Proc[[#This Row],[DateOpened]],TODAY()))-1,ABS(NETWORKDAYS(Proc[[#This Row],[DateOpened]],Proc[[#This Row],[DateClosed]]))-1)</f>
        <v>4</v>
      </c>
      <c r="R2302" s="106" t="s">
        <v>410</v>
      </c>
      <c r="S2302" s="96"/>
    </row>
    <row r="2303" spans="1:19" hidden="1">
      <c r="A2303" s="105" t="s">
        <v>4140</v>
      </c>
      <c r="B2303" s="96" t="str">
        <f>IFERROR(VLOOKUP(Proc[[#This Row],[App]],Table2[],3,0),"open")</f>
        <v>ok</v>
      </c>
      <c r="C2303" s="105" t="s">
        <v>369</v>
      </c>
      <c r="D2303" t="s">
        <v>4178</v>
      </c>
      <c r="E2303" t="s">
        <v>4174</v>
      </c>
      <c r="F2303" s="96" t="s">
        <v>4174</v>
      </c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1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2563</v>
      </c>
      <c r="M2303" s="106">
        <v>45825.48096064815</v>
      </c>
      <c r="N2303" s="107"/>
      <c r="O2303" s="107"/>
      <c r="P2303" s="106" t="str">
        <f ca="1">IF(Proc[[#This Row],[DaysAgeing]]&gt;5,"yep","on track")</f>
        <v>on track</v>
      </c>
      <c r="Q2303" s="3">
        <f ca="1">IF(Proc[[#This Row],[DateClosed]]="",ABS(NETWORKDAYS(Proc[[#This Row],[DateOpened]],TODAY()))-1,ABS(NETWORKDAYS(Proc[[#This Row],[DateOpened]],Proc[[#This Row],[DateClosed]]))-1)</f>
        <v>4</v>
      </c>
      <c r="R2303" s="106" t="s">
        <v>410</v>
      </c>
      <c r="S2303" s="96"/>
    </row>
    <row r="2304" spans="1:19" hidden="1">
      <c r="A2304" t="s">
        <v>4181</v>
      </c>
      <c r="B2304" s="96" t="str">
        <f>IFERROR(VLOOKUP(Proc[[#This Row],[App]],Table2[],3,0),"open")</f>
        <v>ok</v>
      </c>
      <c r="C2304" s="105" t="s">
        <v>369</v>
      </c>
      <c r="D2304" t="s">
        <v>4182</v>
      </c>
      <c r="E2304" t="s">
        <v>2506</v>
      </c>
      <c r="F2304" s="96" t="s">
        <v>2506</v>
      </c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1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2563</v>
      </c>
      <c r="M2304" s="107">
        <v>45825.147986111115</v>
      </c>
      <c r="N2304" s="107"/>
      <c r="O2304" s="107"/>
      <c r="P2304" s="108" t="str">
        <f ca="1">IF(Proc[[#This Row],[DaysAgeing]]&gt;5,"yep","on track")</f>
        <v>on track</v>
      </c>
      <c r="Q2304" s="3">
        <f ca="1">IF(Proc[[#This Row],[DateClosed]]="",ABS(NETWORKDAYS(Proc[[#This Row],[DateOpened]],TODAY()))-1,ABS(NETWORKDAYS(Proc[[#This Row],[DateOpened]],Proc[[#This Row],[DateClosed]]))-1)</f>
        <v>4</v>
      </c>
      <c r="R2304" s="108" t="s">
        <v>955</v>
      </c>
      <c r="S2304" s="96"/>
    </row>
    <row r="2305" spans="1:19" hidden="1">
      <c r="A2305" t="s">
        <v>4188</v>
      </c>
      <c r="B2305" s="96" t="str">
        <f>IFERROR(VLOOKUP(Proc[[#This Row],[App]],Table2[],3,0),"open")</f>
        <v>ok</v>
      </c>
      <c r="C2305" s="105" t="s">
        <v>369</v>
      </c>
      <c r="D2305" t="s">
        <v>4183</v>
      </c>
      <c r="E2305" t="s">
        <v>480</v>
      </c>
      <c r="F2305" s="96" t="s">
        <v>480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1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2563</v>
      </c>
      <c r="M2305" s="107">
        <v>45825.378379629627</v>
      </c>
      <c r="N2305" s="107"/>
      <c r="O2305" s="107"/>
      <c r="P2305" s="108" t="str">
        <f ca="1">IF(Proc[[#This Row],[DaysAgeing]]&gt;5,"yep","on track")</f>
        <v>on track</v>
      </c>
      <c r="Q2305" s="3">
        <f ca="1">IF(Proc[[#This Row],[DateClosed]]="",ABS(NETWORKDAYS(Proc[[#This Row],[DateOpened]],TODAY()))-1,ABS(NETWORKDAYS(Proc[[#This Row],[DateOpened]],Proc[[#This Row],[DateClosed]]))-1)</f>
        <v>4</v>
      </c>
      <c r="R2305" s="108" t="s">
        <v>972</v>
      </c>
      <c r="S2305" s="96"/>
    </row>
    <row r="2306" spans="1:19" hidden="1">
      <c r="A2306" s="105" t="s">
        <v>4188</v>
      </c>
      <c r="B2306" s="96" t="str">
        <f>IFERROR(VLOOKUP(Proc[[#This Row],[App]],Table2[],3,0),"open")</f>
        <v>ok</v>
      </c>
      <c r="C2306" s="105" t="s">
        <v>369</v>
      </c>
      <c r="D2306" t="s">
        <v>4184</v>
      </c>
      <c r="E2306" t="s">
        <v>1830</v>
      </c>
      <c r="F2306" s="96" t="s">
        <v>1830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1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2563</v>
      </c>
      <c r="M2306" s="107">
        <v>45825.378379629627</v>
      </c>
      <c r="N2306" s="107"/>
      <c r="O2306" s="107"/>
      <c r="P2306" s="108" t="str">
        <f ca="1">IF(Proc[[#This Row],[DaysAgeing]]&gt;5,"yep","on track")</f>
        <v>on track</v>
      </c>
      <c r="Q2306" s="3">
        <f ca="1">IF(Proc[[#This Row],[DateClosed]]="",ABS(NETWORKDAYS(Proc[[#This Row],[DateOpened]],TODAY()))-1,ABS(NETWORKDAYS(Proc[[#This Row],[DateOpened]],Proc[[#This Row],[DateClosed]]))-1)</f>
        <v>4</v>
      </c>
      <c r="R2306" s="108" t="s">
        <v>972</v>
      </c>
      <c r="S2306" s="96"/>
    </row>
    <row r="2307" spans="1:19" hidden="1">
      <c r="A2307" s="105" t="s">
        <v>4188</v>
      </c>
      <c r="B2307" s="96" t="str">
        <f>IFERROR(VLOOKUP(Proc[[#This Row],[App]],Table2[],3,0),"open")</f>
        <v>ok</v>
      </c>
      <c r="C2307" s="105" t="s">
        <v>369</v>
      </c>
      <c r="D2307" t="s">
        <v>4185</v>
      </c>
      <c r="E2307" t="s">
        <v>480</v>
      </c>
      <c r="F2307" s="96" t="s">
        <v>480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1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2563</v>
      </c>
      <c r="M2307" s="107">
        <v>45825.378379629627</v>
      </c>
      <c r="N2307" s="107"/>
      <c r="O2307" s="107"/>
      <c r="P2307" s="108" t="str">
        <f ca="1">IF(Proc[[#This Row],[DaysAgeing]]&gt;5,"yep","on track")</f>
        <v>on track</v>
      </c>
      <c r="Q2307" s="3">
        <f ca="1">IF(Proc[[#This Row],[DateClosed]]="",ABS(NETWORKDAYS(Proc[[#This Row],[DateOpened]],TODAY()))-1,ABS(NETWORKDAYS(Proc[[#This Row],[DateOpened]],Proc[[#This Row],[DateClosed]]))-1)</f>
        <v>4</v>
      </c>
      <c r="R2307" s="108" t="s">
        <v>972</v>
      </c>
      <c r="S2307" s="96"/>
    </row>
    <row r="2308" spans="1:19" hidden="1">
      <c r="A2308" s="105" t="s">
        <v>4188</v>
      </c>
      <c r="B2308" s="96" t="str">
        <f>IFERROR(VLOOKUP(Proc[[#This Row],[App]],Table2[],3,0),"open")</f>
        <v>ok</v>
      </c>
      <c r="C2308" s="105" t="s">
        <v>369</v>
      </c>
      <c r="D2308" t="s">
        <v>4186</v>
      </c>
      <c r="E2308" t="s">
        <v>1830</v>
      </c>
      <c r="F2308" s="96" t="s">
        <v>1830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1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2563</v>
      </c>
      <c r="M2308" s="107">
        <v>45825.378379629627</v>
      </c>
      <c r="N2308" s="107"/>
      <c r="O2308" s="107"/>
      <c r="P2308" s="108" t="str">
        <f ca="1">IF(Proc[[#This Row],[DaysAgeing]]&gt;5,"yep","on track")</f>
        <v>on track</v>
      </c>
      <c r="Q2308" s="3">
        <f ca="1">IF(Proc[[#This Row],[DateClosed]]="",ABS(NETWORKDAYS(Proc[[#This Row],[DateOpened]],TODAY()))-1,ABS(NETWORKDAYS(Proc[[#This Row],[DateOpened]],Proc[[#This Row],[DateClosed]]))-1)</f>
        <v>4</v>
      </c>
      <c r="R2308" s="108" t="s">
        <v>972</v>
      </c>
      <c r="S2308" s="96"/>
    </row>
    <row r="2309" spans="1:19" hidden="1">
      <c r="A2309" s="105" t="s">
        <v>4188</v>
      </c>
      <c r="B2309" s="96" t="str">
        <f>IFERROR(VLOOKUP(Proc[[#This Row],[App]],Table2[],3,0),"open")</f>
        <v>ok</v>
      </c>
      <c r="C2309" s="105" t="s">
        <v>369</v>
      </c>
      <c r="D2309" t="s">
        <v>4187</v>
      </c>
      <c r="E2309" t="s">
        <v>447</v>
      </c>
      <c r="F2309" s="96" t="s">
        <v>447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1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2563</v>
      </c>
      <c r="M2309" s="107">
        <v>45825.378379629627</v>
      </c>
      <c r="N2309" s="107"/>
      <c r="O2309" s="107"/>
      <c r="P2309" s="108" t="str">
        <f ca="1">IF(Proc[[#This Row],[DaysAgeing]]&gt;5,"yep","on track")</f>
        <v>on track</v>
      </c>
      <c r="Q2309" s="3">
        <f ca="1">IF(Proc[[#This Row],[DateClosed]]="",ABS(NETWORKDAYS(Proc[[#This Row],[DateOpened]],TODAY()))-1,ABS(NETWORKDAYS(Proc[[#This Row],[DateOpened]],Proc[[#This Row],[DateClosed]]))-1)</f>
        <v>4</v>
      </c>
      <c r="R2309" s="108" t="s">
        <v>972</v>
      </c>
      <c r="S2309" s="96"/>
    </row>
    <row r="2310" spans="1:19" hidden="1">
      <c r="A2310" t="s">
        <v>4189</v>
      </c>
      <c r="B2310" s="96" t="str">
        <f>IFERROR(VLOOKUP(Proc[[#This Row],[App]],Table2[],3,0),"open")</f>
        <v>ok</v>
      </c>
      <c r="C2310" s="105" t="s">
        <v>369</v>
      </c>
      <c r="D2310" t="s">
        <v>4190</v>
      </c>
      <c r="E2310" t="s">
        <v>4246</v>
      </c>
      <c r="F2310" s="96" t="s">
        <v>4246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1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2563</v>
      </c>
      <c r="M2310" s="107">
        <v>45825.476678240739</v>
      </c>
      <c r="N2310" s="107"/>
      <c r="O2310" s="107"/>
      <c r="P2310" s="108" t="str">
        <f ca="1">IF(Proc[[#This Row],[DaysAgeing]]&gt;5,"yep","on track")</f>
        <v>on track</v>
      </c>
      <c r="Q2310" s="3">
        <f ca="1">IF(Proc[[#This Row],[DateClosed]]="",ABS(NETWORKDAYS(Proc[[#This Row],[DateOpened]],TODAY()))-1,ABS(NETWORKDAYS(Proc[[#This Row],[DateOpened]],Proc[[#This Row],[DateClosed]]))-1)</f>
        <v>4</v>
      </c>
      <c r="R2310" s="108" t="s">
        <v>780</v>
      </c>
      <c r="S2310" s="96"/>
    </row>
    <row r="2311" spans="1:19" hidden="1">
      <c r="A2311" s="105" t="s">
        <v>4189</v>
      </c>
      <c r="B2311" s="96" t="str">
        <f>IFERROR(VLOOKUP(Proc[[#This Row],[App]],Table2[],3,0),"open")</f>
        <v>ok</v>
      </c>
      <c r="C2311" s="105" t="s">
        <v>369</v>
      </c>
      <c r="D2311" t="s">
        <v>4191</v>
      </c>
      <c r="E2311" t="s">
        <v>4246</v>
      </c>
      <c r="F2311" s="96" t="s">
        <v>4246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1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2563</v>
      </c>
      <c r="M2311" s="107">
        <v>45825.476678240739</v>
      </c>
      <c r="N2311" s="107"/>
      <c r="O2311" s="107"/>
      <c r="P2311" s="108" t="str">
        <f ca="1">IF(Proc[[#This Row],[DaysAgeing]]&gt;5,"yep","on track")</f>
        <v>on track</v>
      </c>
      <c r="Q2311" s="3">
        <f ca="1">IF(Proc[[#This Row],[DateClosed]]="",ABS(NETWORKDAYS(Proc[[#This Row],[DateOpened]],TODAY()))-1,ABS(NETWORKDAYS(Proc[[#This Row],[DateOpened]],Proc[[#This Row],[DateClosed]]))-1)</f>
        <v>4</v>
      </c>
      <c r="R2311" s="108" t="s">
        <v>780</v>
      </c>
      <c r="S2311" s="96"/>
    </row>
    <row r="2312" spans="1:19" hidden="1">
      <c r="A2312" s="105" t="s">
        <v>4189</v>
      </c>
      <c r="B2312" s="96" t="str">
        <f>IFERROR(VLOOKUP(Proc[[#This Row],[App]],Table2[],3,0),"open")</f>
        <v>ok</v>
      </c>
      <c r="C2312" s="105" t="s">
        <v>369</v>
      </c>
      <c r="D2312" t="s">
        <v>4192</v>
      </c>
      <c r="E2312" t="s">
        <v>4246</v>
      </c>
      <c r="F2312" s="96" t="s">
        <v>4246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1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2563</v>
      </c>
      <c r="M2312" s="107">
        <v>45825.476678240739</v>
      </c>
      <c r="N2312" s="107"/>
      <c r="O2312" s="107"/>
      <c r="P2312" s="108" t="str">
        <f ca="1">IF(Proc[[#This Row],[DaysAgeing]]&gt;5,"yep","on track")</f>
        <v>on track</v>
      </c>
      <c r="Q2312" s="3">
        <f ca="1">IF(Proc[[#This Row],[DateClosed]]="",ABS(NETWORKDAYS(Proc[[#This Row],[DateOpened]],TODAY()))-1,ABS(NETWORKDAYS(Proc[[#This Row],[DateOpened]],Proc[[#This Row],[DateClosed]]))-1)</f>
        <v>4</v>
      </c>
      <c r="R2312" s="108" t="s">
        <v>780</v>
      </c>
      <c r="S2312" s="96"/>
    </row>
    <row r="2313" spans="1:19" hidden="1">
      <c r="A2313" s="105" t="s">
        <v>4189</v>
      </c>
      <c r="B2313" s="96" t="str">
        <f>IFERROR(VLOOKUP(Proc[[#This Row],[App]],Table2[],3,0),"open")</f>
        <v>ok</v>
      </c>
      <c r="C2313" s="105" t="s">
        <v>369</v>
      </c>
      <c r="D2313" t="s">
        <v>4193</v>
      </c>
      <c r="E2313" t="s">
        <v>4246</v>
      </c>
      <c r="F2313" s="96" t="s">
        <v>4246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1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2563</v>
      </c>
      <c r="M2313" s="107">
        <v>45825.476678240739</v>
      </c>
      <c r="N2313" s="107"/>
      <c r="O2313" s="107"/>
      <c r="P2313" s="108" t="str">
        <f ca="1">IF(Proc[[#This Row],[DaysAgeing]]&gt;5,"yep","on track")</f>
        <v>on track</v>
      </c>
      <c r="Q2313" s="3">
        <f ca="1">IF(Proc[[#This Row],[DateClosed]]="",ABS(NETWORKDAYS(Proc[[#This Row],[DateOpened]],TODAY()))-1,ABS(NETWORKDAYS(Proc[[#This Row],[DateOpened]],Proc[[#This Row],[DateClosed]]))-1)</f>
        <v>4</v>
      </c>
      <c r="R2313" s="108" t="s">
        <v>780</v>
      </c>
      <c r="S2313" s="96"/>
    </row>
    <row r="2314" spans="1:19" hidden="1">
      <c r="A2314" s="105" t="s">
        <v>4189</v>
      </c>
      <c r="B2314" s="96" t="str">
        <f>IFERROR(VLOOKUP(Proc[[#This Row],[App]],Table2[],3,0),"open")</f>
        <v>ok</v>
      </c>
      <c r="C2314" s="105" t="s">
        <v>369</v>
      </c>
      <c r="D2314" t="s">
        <v>4194</v>
      </c>
      <c r="E2314" t="s">
        <v>4246</v>
      </c>
      <c r="F2314" s="96" t="s">
        <v>4246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1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2563</v>
      </c>
      <c r="M2314" s="107">
        <v>45825.476678240739</v>
      </c>
      <c r="N2314" s="107"/>
      <c r="O2314" s="107"/>
      <c r="P2314" s="108" t="str">
        <f ca="1">IF(Proc[[#This Row],[DaysAgeing]]&gt;5,"yep","on track")</f>
        <v>on track</v>
      </c>
      <c r="Q2314" s="3">
        <f ca="1">IF(Proc[[#This Row],[DateClosed]]="",ABS(NETWORKDAYS(Proc[[#This Row],[DateOpened]],TODAY()))-1,ABS(NETWORKDAYS(Proc[[#This Row],[DateOpened]],Proc[[#This Row],[DateClosed]]))-1)</f>
        <v>4</v>
      </c>
      <c r="R2314" s="108" t="s">
        <v>780</v>
      </c>
      <c r="S2314" s="96"/>
    </row>
    <row r="2315" spans="1:19" hidden="1">
      <c r="A2315" s="105" t="s">
        <v>4189</v>
      </c>
      <c r="B2315" s="96" t="str">
        <f>IFERROR(VLOOKUP(Proc[[#This Row],[App]],Table2[],3,0),"open")</f>
        <v>ok</v>
      </c>
      <c r="C2315" s="105" t="s">
        <v>369</v>
      </c>
      <c r="D2315" t="s">
        <v>4195</v>
      </c>
      <c r="E2315" t="s">
        <v>4246</v>
      </c>
      <c r="F2315" s="96" t="s">
        <v>4246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1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2563</v>
      </c>
      <c r="M2315" s="107">
        <v>45825.476678240739</v>
      </c>
      <c r="N2315" s="107"/>
      <c r="O2315" s="107"/>
      <c r="P2315" s="108" t="str">
        <f ca="1">IF(Proc[[#This Row],[DaysAgeing]]&gt;5,"yep","on track")</f>
        <v>on track</v>
      </c>
      <c r="Q2315" s="3">
        <f ca="1">IF(Proc[[#This Row],[DateClosed]]="",ABS(NETWORKDAYS(Proc[[#This Row],[DateOpened]],TODAY()))-1,ABS(NETWORKDAYS(Proc[[#This Row],[DateOpened]],Proc[[#This Row],[DateClosed]]))-1)</f>
        <v>4</v>
      </c>
      <c r="R2315" s="108" t="s">
        <v>780</v>
      </c>
      <c r="S2315" s="96"/>
    </row>
    <row r="2316" spans="1:19" hidden="1">
      <c r="A2316" s="105" t="s">
        <v>4189</v>
      </c>
      <c r="B2316" s="96" t="str">
        <f>IFERROR(VLOOKUP(Proc[[#This Row],[App]],Table2[],3,0),"open")</f>
        <v>ok</v>
      </c>
      <c r="C2316" s="105" t="s">
        <v>369</v>
      </c>
      <c r="D2316" t="s">
        <v>4196</v>
      </c>
      <c r="E2316" t="s">
        <v>4246</v>
      </c>
      <c r="F2316" s="96" t="s">
        <v>4246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1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2563</v>
      </c>
      <c r="M2316" s="107">
        <v>45825.476678240739</v>
      </c>
      <c r="N2316" s="107"/>
      <c r="O2316" s="107"/>
      <c r="P2316" s="108" t="str">
        <f ca="1">IF(Proc[[#This Row],[DaysAgeing]]&gt;5,"yep","on track")</f>
        <v>on track</v>
      </c>
      <c r="Q2316" s="3">
        <f ca="1">IF(Proc[[#This Row],[DateClosed]]="",ABS(NETWORKDAYS(Proc[[#This Row],[DateOpened]],TODAY()))-1,ABS(NETWORKDAYS(Proc[[#This Row],[DateOpened]],Proc[[#This Row],[DateClosed]]))-1)</f>
        <v>4</v>
      </c>
      <c r="R2316" s="108" t="s">
        <v>780</v>
      </c>
      <c r="S2316" s="96"/>
    </row>
    <row r="2317" spans="1:19" hidden="1">
      <c r="A2317" s="105" t="s">
        <v>4189</v>
      </c>
      <c r="B2317" s="96" t="str">
        <f>IFERROR(VLOOKUP(Proc[[#This Row],[App]],Table2[],3,0),"open")</f>
        <v>ok</v>
      </c>
      <c r="C2317" s="105" t="s">
        <v>369</v>
      </c>
      <c r="D2317" t="s">
        <v>4197</v>
      </c>
      <c r="E2317" t="s">
        <v>4247</v>
      </c>
      <c r="F2317" s="96" t="s">
        <v>4247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1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2563</v>
      </c>
      <c r="M2317" s="107">
        <v>45825.476678240739</v>
      </c>
      <c r="N2317" s="107"/>
      <c r="O2317" s="107"/>
      <c r="P2317" s="108" t="str">
        <f ca="1">IF(Proc[[#This Row],[DaysAgeing]]&gt;5,"yep","on track")</f>
        <v>on track</v>
      </c>
      <c r="Q2317" s="3">
        <f ca="1">IF(Proc[[#This Row],[DateClosed]]="",ABS(NETWORKDAYS(Proc[[#This Row],[DateOpened]],TODAY()))-1,ABS(NETWORKDAYS(Proc[[#This Row],[DateOpened]],Proc[[#This Row],[DateClosed]]))-1)</f>
        <v>4</v>
      </c>
      <c r="R2317" s="108" t="s">
        <v>780</v>
      </c>
      <c r="S2317" s="96"/>
    </row>
    <row r="2318" spans="1:19" hidden="1">
      <c r="A2318" s="105" t="s">
        <v>4189</v>
      </c>
      <c r="B2318" s="96" t="str">
        <f>IFERROR(VLOOKUP(Proc[[#This Row],[App]],Table2[],3,0),"open")</f>
        <v>ok</v>
      </c>
      <c r="C2318" s="105" t="s">
        <v>369</v>
      </c>
      <c r="D2318" t="s">
        <v>4198</v>
      </c>
      <c r="E2318" t="s">
        <v>4247</v>
      </c>
      <c r="F2318" s="96" t="s">
        <v>4247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1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2563</v>
      </c>
      <c r="M2318" s="107">
        <v>45825.476678240739</v>
      </c>
      <c r="N2318" s="107"/>
      <c r="O2318" s="107"/>
      <c r="P2318" s="108" t="str">
        <f ca="1">IF(Proc[[#This Row],[DaysAgeing]]&gt;5,"yep","on track")</f>
        <v>on track</v>
      </c>
      <c r="Q2318" s="3">
        <f ca="1">IF(Proc[[#This Row],[DateClosed]]="",ABS(NETWORKDAYS(Proc[[#This Row],[DateOpened]],TODAY()))-1,ABS(NETWORKDAYS(Proc[[#This Row],[DateOpened]],Proc[[#This Row],[DateClosed]]))-1)</f>
        <v>4</v>
      </c>
      <c r="R2318" s="108" t="s">
        <v>780</v>
      </c>
      <c r="S2318" s="96"/>
    </row>
    <row r="2319" spans="1:19" hidden="1">
      <c r="A2319" s="105" t="s">
        <v>4189</v>
      </c>
      <c r="B2319" s="96" t="str">
        <f>IFERROR(VLOOKUP(Proc[[#This Row],[App]],Table2[],3,0),"open")</f>
        <v>ok</v>
      </c>
      <c r="C2319" s="105" t="s">
        <v>369</v>
      </c>
      <c r="D2319" t="s">
        <v>4199</v>
      </c>
      <c r="E2319" t="s">
        <v>4247</v>
      </c>
      <c r="F2319" s="96" t="s">
        <v>4247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1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2563</v>
      </c>
      <c r="M2319" s="107">
        <v>45825.476678240739</v>
      </c>
      <c r="N2319" s="107"/>
      <c r="O2319" s="107"/>
      <c r="P2319" s="108" t="str">
        <f ca="1">IF(Proc[[#This Row],[DaysAgeing]]&gt;5,"yep","on track")</f>
        <v>on track</v>
      </c>
      <c r="Q2319" s="3">
        <f ca="1">IF(Proc[[#This Row],[DateClosed]]="",ABS(NETWORKDAYS(Proc[[#This Row],[DateOpened]],TODAY()))-1,ABS(NETWORKDAYS(Proc[[#This Row],[DateOpened]],Proc[[#This Row],[DateClosed]]))-1)</f>
        <v>4</v>
      </c>
      <c r="R2319" s="108" t="s">
        <v>780</v>
      </c>
      <c r="S2319" s="96"/>
    </row>
    <row r="2320" spans="1:19" hidden="1">
      <c r="A2320" s="105" t="s">
        <v>4189</v>
      </c>
      <c r="B2320" s="96" t="str">
        <f>IFERROR(VLOOKUP(Proc[[#This Row],[App]],Table2[],3,0),"open")</f>
        <v>ok</v>
      </c>
      <c r="C2320" s="105" t="s">
        <v>369</v>
      </c>
      <c r="D2320" t="s">
        <v>4200</v>
      </c>
      <c r="E2320" t="s">
        <v>4247</v>
      </c>
      <c r="F2320" s="96" t="s">
        <v>4247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1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2563</v>
      </c>
      <c r="M2320" s="107">
        <v>45825.476678240739</v>
      </c>
      <c r="N2320" s="107"/>
      <c r="O2320" s="107"/>
      <c r="P2320" s="108" t="str">
        <f ca="1">IF(Proc[[#This Row],[DaysAgeing]]&gt;5,"yep","on track")</f>
        <v>on track</v>
      </c>
      <c r="Q2320" s="3">
        <f ca="1">IF(Proc[[#This Row],[DateClosed]]="",ABS(NETWORKDAYS(Proc[[#This Row],[DateOpened]],TODAY()))-1,ABS(NETWORKDAYS(Proc[[#This Row],[DateOpened]],Proc[[#This Row],[DateClosed]]))-1)</f>
        <v>4</v>
      </c>
      <c r="R2320" s="108" t="s">
        <v>780</v>
      </c>
      <c r="S2320" s="96"/>
    </row>
    <row r="2321" spans="1:19" hidden="1">
      <c r="A2321" s="105" t="s">
        <v>4189</v>
      </c>
      <c r="B2321" s="96" t="str">
        <f>IFERROR(VLOOKUP(Proc[[#This Row],[App]],Table2[],3,0),"open")</f>
        <v>ok</v>
      </c>
      <c r="C2321" s="105" t="s">
        <v>369</v>
      </c>
      <c r="D2321" t="s">
        <v>4201</v>
      </c>
      <c r="E2321" t="s">
        <v>4247</v>
      </c>
      <c r="F2321" s="96" t="s">
        <v>4247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1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2563</v>
      </c>
      <c r="M2321" s="107">
        <v>45825.476678240739</v>
      </c>
      <c r="N2321" s="107"/>
      <c r="O2321" s="107"/>
      <c r="P2321" s="108" t="str">
        <f ca="1">IF(Proc[[#This Row],[DaysAgeing]]&gt;5,"yep","on track")</f>
        <v>on track</v>
      </c>
      <c r="Q2321" s="3">
        <f ca="1">IF(Proc[[#This Row],[DateClosed]]="",ABS(NETWORKDAYS(Proc[[#This Row],[DateOpened]],TODAY()))-1,ABS(NETWORKDAYS(Proc[[#This Row],[DateOpened]],Proc[[#This Row],[DateClosed]]))-1)</f>
        <v>4</v>
      </c>
      <c r="R2321" s="108" t="s">
        <v>780</v>
      </c>
      <c r="S2321" s="96"/>
    </row>
    <row r="2322" spans="1:19" hidden="1">
      <c r="A2322" s="105" t="s">
        <v>4189</v>
      </c>
      <c r="B2322" s="96" t="str">
        <f>IFERROR(VLOOKUP(Proc[[#This Row],[App]],Table2[],3,0),"open")</f>
        <v>ok</v>
      </c>
      <c r="C2322" s="105" t="s">
        <v>369</v>
      </c>
      <c r="D2322" t="s">
        <v>4202</v>
      </c>
      <c r="E2322" t="s">
        <v>4247</v>
      </c>
      <c r="F2322" s="96" t="s">
        <v>4247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1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2563</v>
      </c>
      <c r="M2322" s="107">
        <v>45825.476678240739</v>
      </c>
      <c r="N2322" s="107"/>
      <c r="O2322" s="107"/>
      <c r="P2322" s="108" t="str">
        <f ca="1">IF(Proc[[#This Row],[DaysAgeing]]&gt;5,"yep","on track")</f>
        <v>on track</v>
      </c>
      <c r="Q2322" s="3">
        <f ca="1">IF(Proc[[#This Row],[DateClosed]]="",ABS(NETWORKDAYS(Proc[[#This Row],[DateOpened]],TODAY()))-1,ABS(NETWORKDAYS(Proc[[#This Row],[DateOpened]],Proc[[#This Row],[DateClosed]]))-1)</f>
        <v>4</v>
      </c>
      <c r="R2322" s="108" t="s">
        <v>780</v>
      </c>
      <c r="S2322" s="96"/>
    </row>
    <row r="2323" spans="1:19" hidden="1">
      <c r="A2323" s="105" t="s">
        <v>4189</v>
      </c>
      <c r="B2323" s="96" t="str">
        <f>IFERROR(VLOOKUP(Proc[[#This Row],[App]],Table2[],3,0),"open")</f>
        <v>ok</v>
      </c>
      <c r="C2323" s="105" t="s">
        <v>369</v>
      </c>
      <c r="D2323" t="s">
        <v>4203</v>
      </c>
      <c r="E2323" t="s">
        <v>4247</v>
      </c>
      <c r="F2323" s="96" t="s">
        <v>4247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1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2563</v>
      </c>
      <c r="M2323" s="107">
        <v>45825.476678240739</v>
      </c>
      <c r="N2323" s="107"/>
      <c r="O2323" s="107"/>
      <c r="P2323" s="108" t="str">
        <f ca="1">IF(Proc[[#This Row],[DaysAgeing]]&gt;5,"yep","on track")</f>
        <v>on track</v>
      </c>
      <c r="Q2323" s="3">
        <f ca="1">IF(Proc[[#This Row],[DateClosed]]="",ABS(NETWORKDAYS(Proc[[#This Row],[DateOpened]],TODAY()))-1,ABS(NETWORKDAYS(Proc[[#This Row],[DateOpened]],Proc[[#This Row],[DateClosed]]))-1)</f>
        <v>4</v>
      </c>
      <c r="R2323" s="108" t="s">
        <v>780</v>
      </c>
      <c r="S2323" s="96"/>
    </row>
    <row r="2324" spans="1:19" hidden="1">
      <c r="A2324" s="105" t="s">
        <v>4189</v>
      </c>
      <c r="B2324" s="96" t="str">
        <f>IFERROR(VLOOKUP(Proc[[#This Row],[App]],Table2[],3,0),"open")</f>
        <v>ok</v>
      </c>
      <c r="C2324" s="105" t="s">
        <v>369</v>
      </c>
      <c r="D2324" t="s">
        <v>4204</v>
      </c>
      <c r="E2324" t="s">
        <v>4247</v>
      </c>
      <c r="F2324" s="96" t="s">
        <v>4247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1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2563</v>
      </c>
      <c r="M2324" s="107">
        <v>45825.476678240739</v>
      </c>
      <c r="N2324" s="107"/>
      <c r="O2324" s="107"/>
      <c r="P2324" s="108" t="str">
        <f ca="1">IF(Proc[[#This Row],[DaysAgeing]]&gt;5,"yep","on track")</f>
        <v>on track</v>
      </c>
      <c r="Q2324" s="3">
        <f ca="1">IF(Proc[[#This Row],[DateClosed]]="",ABS(NETWORKDAYS(Proc[[#This Row],[DateOpened]],TODAY()))-1,ABS(NETWORKDAYS(Proc[[#This Row],[DateOpened]],Proc[[#This Row],[DateClosed]]))-1)</f>
        <v>4</v>
      </c>
      <c r="R2324" s="108" t="s">
        <v>780</v>
      </c>
      <c r="S2324" s="96"/>
    </row>
    <row r="2325" spans="1:19" hidden="1">
      <c r="A2325" s="105" t="s">
        <v>4189</v>
      </c>
      <c r="B2325" s="96" t="str">
        <f>IFERROR(VLOOKUP(Proc[[#This Row],[App]],Table2[],3,0),"open")</f>
        <v>ok</v>
      </c>
      <c r="C2325" s="105" t="s">
        <v>369</v>
      </c>
      <c r="D2325" t="s">
        <v>4205</v>
      </c>
      <c r="E2325" t="s">
        <v>4247</v>
      </c>
      <c r="F2325" s="96" t="s">
        <v>4247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1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2563</v>
      </c>
      <c r="M2325" s="107">
        <v>45825.476678240739</v>
      </c>
      <c r="N2325" s="107"/>
      <c r="O2325" s="107"/>
      <c r="P2325" s="108" t="str">
        <f ca="1">IF(Proc[[#This Row],[DaysAgeing]]&gt;5,"yep","on track")</f>
        <v>on track</v>
      </c>
      <c r="Q2325" s="3">
        <f ca="1">IF(Proc[[#This Row],[DateClosed]]="",ABS(NETWORKDAYS(Proc[[#This Row],[DateOpened]],TODAY()))-1,ABS(NETWORKDAYS(Proc[[#This Row],[DateOpened]],Proc[[#This Row],[DateClosed]]))-1)</f>
        <v>4</v>
      </c>
      <c r="R2325" s="108" t="s">
        <v>780</v>
      </c>
      <c r="S2325" s="96"/>
    </row>
    <row r="2326" spans="1:19" hidden="1">
      <c r="A2326" s="105" t="s">
        <v>4189</v>
      </c>
      <c r="B2326" s="96" t="str">
        <f>IFERROR(VLOOKUP(Proc[[#This Row],[App]],Table2[],3,0),"open")</f>
        <v>ok</v>
      </c>
      <c r="C2326" s="105" t="s">
        <v>369</v>
      </c>
      <c r="D2326" t="s">
        <v>4206</v>
      </c>
      <c r="E2326" t="s">
        <v>4247</v>
      </c>
      <c r="F2326" s="96" t="s">
        <v>4247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1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2563</v>
      </c>
      <c r="M2326" s="107">
        <v>45825.476678240739</v>
      </c>
      <c r="N2326" s="107"/>
      <c r="O2326" s="107"/>
      <c r="P2326" s="108" t="str">
        <f ca="1">IF(Proc[[#This Row],[DaysAgeing]]&gt;5,"yep","on track")</f>
        <v>on track</v>
      </c>
      <c r="Q2326" s="3">
        <f ca="1">IF(Proc[[#This Row],[DateClosed]]="",ABS(NETWORKDAYS(Proc[[#This Row],[DateOpened]],TODAY()))-1,ABS(NETWORKDAYS(Proc[[#This Row],[DateOpened]],Proc[[#This Row],[DateClosed]]))-1)</f>
        <v>4</v>
      </c>
      <c r="R2326" s="108" t="s">
        <v>780</v>
      </c>
      <c r="S2326" s="96"/>
    </row>
    <row r="2327" spans="1:19" hidden="1">
      <c r="A2327" s="105" t="s">
        <v>4189</v>
      </c>
      <c r="B2327" s="96" t="str">
        <f>IFERROR(VLOOKUP(Proc[[#This Row],[App]],Table2[],3,0),"open")</f>
        <v>ok</v>
      </c>
      <c r="C2327" s="105" t="s">
        <v>369</v>
      </c>
      <c r="D2327" t="s">
        <v>4207</v>
      </c>
      <c r="E2327" t="s">
        <v>4247</v>
      </c>
      <c r="F2327" s="96" t="s">
        <v>4247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1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2563</v>
      </c>
      <c r="M2327" s="107">
        <v>45825.476678240739</v>
      </c>
      <c r="N2327" s="107"/>
      <c r="O2327" s="107"/>
      <c r="P2327" s="108" t="str">
        <f ca="1">IF(Proc[[#This Row],[DaysAgeing]]&gt;5,"yep","on track")</f>
        <v>on track</v>
      </c>
      <c r="Q2327" s="3">
        <f ca="1">IF(Proc[[#This Row],[DateClosed]]="",ABS(NETWORKDAYS(Proc[[#This Row],[DateOpened]],TODAY()))-1,ABS(NETWORKDAYS(Proc[[#This Row],[DateOpened]],Proc[[#This Row],[DateClosed]]))-1)</f>
        <v>4</v>
      </c>
      <c r="R2327" s="108" t="s">
        <v>780</v>
      </c>
      <c r="S2327" s="96"/>
    </row>
    <row r="2328" spans="1:19" hidden="1">
      <c r="A2328" s="105" t="s">
        <v>4189</v>
      </c>
      <c r="B2328" s="96" t="str">
        <f>IFERROR(VLOOKUP(Proc[[#This Row],[App]],Table2[],3,0),"open")</f>
        <v>ok</v>
      </c>
      <c r="C2328" s="105" t="s">
        <v>369</v>
      </c>
      <c r="D2328" t="s">
        <v>4208</v>
      </c>
      <c r="E2328" t="s">
        <v>4247</v>
      </c>
      <c r="F2328" s="96" t="s">
        <v>4247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1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2563</v>
      </c>
      <c r="M2328" s="107">
        <v>45825.476678240739</v>
      </c>
      <c r="N2328" s="107"/>
      <c r="O2328" s="107"/>
      <c r="P2328" s="108" t="str">
        <f ca="1">IF(Proc[[#This Row],[DaysAgeing]]&gt;5,"yep","on track")</f>
        <v>on track</v>
      </c>
      <c r="Q2328" s="3">
        <f ca="1">IF(Proc[[#This Row],[DateClosed]]="",ABS(NETWORKDAYS(Proc[[#This Row],[DateOpened]],TODAY()))-1,ABS(NETWORKDAYS(Proc[[#This Row],[DateOpened]],Proc[[#This Row],[DateClosed]]))-1)</f>
        <v>4</v>
      </c>
      <c r="R2328" s="108" t="s">
        <v>780</v>
      </c>
      <c r="S2328" s="96"/>
    </row>
    <row r="2329" spans="1:19" hidden="1">
      <c r="A2329" s="105" t="s">
        <v>4189</v>
      </c>
      <c r="B2329" s="96" t="str">
        <f>IFERROR(VLOOKUP(Proc[[#This Row],[App]],Table2[],3,0),"open")</f>
        <v>ok</v>
      </c>
      <c r="C2329" s="105" t="s">
        <v>369</v>
      </c>
      <c r="D2329" t="s">
        <v>4209</v>
      </c>
      <c r="E2329" t="s">
        <v>4247</v>
      </c>
      <c r="F2329" s="96" t="s">
        <v>4247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1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2563</v>
      </c>
      <c r="M2329" s="107">
        <v>45825.476678240739</v>
      </c>
      <c r="N2329" s="107"/>
      <c r="O2329" s="107"/>
      <c r="P2329" s="108" t="str">
        <f ca="1">IF(Proc[[#This Row],[DaysAgeing]]&gt;5,"yep","on track")</f>
        <v>on track</v>
      </c>
      <c r="Q2329" s="3">
        <f ca="1">IF(Proc[[#This Row],[DateClosed]]="",ABS(NETWORKDAYS(Proc[[#This Row],[DateOpened]],TODAY()))-1,ABS(NETWORKDAYS(Proc[[#This Row],[DateOpened]],Proc[[#This Row],[DateClosed]]))-1)</f>
        <v>4</v>
      </c>
      <c r="R2329" s="108" t="s">
        <v>780</v>
      </c>
      <c r="S2329" s="96"/>
    </row>
    <row r="2330" spans="1:19" hidden="1">
      <c r="A2330" s="105" t="s">
        <v>4189</v>
      </c>
      <c r="B2330" s="96" t="str">
        <f>IFERROR(VLOOKUP(Proc[[#This Row],[App]],Table2[],3,0),"open")</f>
        <v>ok</v>
      </c>
      <c r="C2330" s="105" t="s">
        <v>369</v>
      </c>
      <c r="D2330" t="s">
        <v>4210</v>
      </c>
      <c r="E2330" t="s">
        <v>4247</v>
      </c>
      <c r="F2330" s="96" t="s">
        <v>4247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1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2563</v>
      </c>
      <c r="M2330" s="107">
        <v>45825.476678240739</v>
      </c>
      <c r="N2330" s="107"/>
      <c r="O2330" s="107"/>
      <c r="P2330" s="108" t="str">
        <f ca="1">IF(Proc[[#This Row],[DaysAgeing]]&gt;5,"yep","on track")</f>
        <v>on track</v>
      </c>
      <c r="Q2330" s="3">
        <f ca="1">IF(Proc[[#This Row],[DateClosed]]="",ABS(NETWORKDAYS(Proc[[#This Row],[DateOpened]],TODAY()))-1,ABS(NETWORKDAYS(Proc[[#This Row],[DateOpened]],Proc[[#This Row],[DateClosed]]))-1)</f>
        <v>4</v>
      </c>
      <c r="R2330" s="108" t="s">
        <v>780</v>
      </c>
      <c r="S2330" s="96"/>
    </row>
    <row r="2331" spans="1:19" hidden="1">
      <c r="A2331" s="105" t="s">
        <v>4189</v>
      </c>
      <c r="B2331" s="96" t="str">
        <f>IFERROR(VLOOKUP(Proc[[#This Row],[App]],Table2[],3,0),"open")</f>
        <v>ok</v>
      </c>
      <c r="C2331" s="105" t="s">
        <v>369</v>
      </c>
      <c r="D2331" t="s">
        <v>4211</v>
      </c>
      <c r="E2331" t="s">
        <v>4247</v>
      </c>
      <c r="F2331" s="96" t="s">
        <v>4247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1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2563</v>
      </c>
      <c r="M2331" s="107">
        <v>45825.476678240739</v>
      </c>
      <c r="N2331" s="107"/>
      <c r="O2331" s="107"/>
      <c r="P2331" s="108" t="str">
        <f ca="1">IF(Proc[[#This Row],[DaysAgeing]]&gt;5,"yep","on track")</f>
        <v>on track</v>
      </c>
      <c r="Q2331" s="3">
        <f ca="1">IF(Proc[[#This Row],[DateClosed]]="",ABS(NETWORKDAYS(Proc[[#This Row],[DateOpened]],TODAY()))-1,ABS(NETWORKDAYS(Proc[[#This Row],[DateOpened]],Proc[[#This Row],[DateClosed]]))-1)</f>
        <v>4</v>
      </c>
      <c r="R2331" s="108" t="s">
        <v>780</v>
      </c>
      <c r="S2331" s="96"/>
    </row>
    <row r="2332" spans="1:19" hidden="1">
      <c r="A2332" s="105" t="s">
        <v>4189</v>
      </c>
      <c r="B2332" s="96" t="str">
        <f>IFERROR(VLOOKUP(Proc[[#This Row],[App]],Table2[],3,0),"open")</f>
        <v>ok</v>
      </c>
      <c r="C2332" s="105" t="s">
        <v>369</v>
      </c>
      <c r="D2332" t="s">
        <v>4212</v>
      </c>
      <c r="E2332" t="s">
        <v>4247</v>
      </c>
      <c r="F2332" s="96" t="s">
        <v>4247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1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2563</v>
      </c>
      <c r="M2332" s="107">
        <v>45825.476678240739</v>
      </c>
      <c r="N2332" s="107"/>
      <c r="O2332" s="107"/>
      <c r="P2332" s="108" t="str">
        <f ca="1">IF(Proc[[#This Row],[DaysAgeing]]&gt;5,"yep","on track")</f>
        <v>on track</v>
      </c>
      <c r="Q2332" s="3">
        <f ca="1">IF(Proc[[#This Row],[DateClosed]]="",ABS(NETWORKDAYS(Proc[[#This Row],[DateOpened]],TODAY()))-1,ABS(NETWORKDAYS(Proc[[#This Row],[DateOpened]],Proc[[#This Row],[DateClosed]]))-1)</f>
        <v>4</v>
      </c>
      <c r="R2332" s="108" t="s">
        <v>780</v>
      </c>
      <c r="S2332" s="96"/>
    </row>
    <row r="2333" spans="1:19" hidden="1">
      <c r="A2333" s="105" t="s">
        <v>4189</v>
      </c>
      <c r="B2333" s="96" t="str">
        <f>IFERROR(VLOOKUP(Proc[[#This Row],[App]],Table2[],3,0),"open")</f>
        <v>ok</v>
      </c>
      <c r="C2333" s="105" t="s">
        <v>369</v>
      </c>
      <c r="D2333" t="s">
        <v>4213</v>
      </c>
      <c r="E2333" t="s">
        <v>4247</v>
      </c>
      <c r="F2333" s="96" t="s">
        <v>4247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1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2563</v>
      </c>
      <c r="M2333" s="107">
        <v>45825.476678240739</v>
      </c>
      <c r="N2333" s="107"/>
      <c r="O2333" s="107"/>
      <c r="P2333" s="108" t="str">
        <f ca="1">IF(Proc[[#This Row],[DaysAgeing]]&gt;5,"yep","on track")</f>
        <v>on track</v>
      </c>
      <c r="Q2333" s="3">
        <f ca="1">IF(Proc[[#This Row],[DateClosed]]="",ABS(NETWORKDAYS(Proc[[#This Row],[DateOpened]],TODAY()))-1,ABS(NETWORKDAYS(Proc[[#This Row],[DateOpened]],Proc[[#This Row],[DateClosed]]))-1)</f>
        <v>4</v>
      </c>
      <c r="R2333" s="108" t="s">
        <v>780</v>
      </c>
      <c r="S2333" s="96"/>
    </row>
    <row r="2334" spans="1:19" hidden="1">
      <c r="A2334" s="105" t="s">
        <v>4189</v>
      </c>
      <c r="B2334" s="96" t="str">
        <f>IFERROR(VLOOKUP(Proc[[#This Row],[App]],Table2[],3,0),"open")</f>
        <v>ok</v>
      </c>
      <c r="C2334" s="105" t="s">
        <v>369</v>
      </c>
      <c r="D2334" t="s">
        <v>4214</v>
      </c>
      <c r="E2334" t="s">
        <v>4247</v>
      </c>
      <c r="F2334" s="96" t="s">
        <v>4247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1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2563</v>
      </c>
      <c r="M2334" s="107">
        <v>45825.476678240739</v>
      </c>
      <c r="N2334" s="107"/>
      <c r="O2334" s="107"/>
      <c r="P2334" s="108" t="str">
        <f ca="1">IF(Proc[[#This Row],[DaysAgeing]]&gt;5,"yep","on track")</f>
        <v>on track</v>
      </c>
      <c r="Q2334" s="3">
        <f ca="1">IF(Proc[[#This Row],[DateClosed]]="",ABS(NETWORKDAYS(Proc[[#This Row],[DateOpened]],TODAY()))-1,ABS(NETWORKDAYS(Proc[[#This Row],[DateOpened]],Proc[[#This Row],[DateClosed]]))-1)</f>
        <v>4</v>
      </c>
      <c r="R2334" s="108" t="s">
        <v>780</v>
      </c>
      <c r="S2334" s="96"/>
    </row>
    <row r="2335" spans="1:19" hidden="1">
      <c r="A2335" s="105" t="s">
        <v>4189</v>
      </c>
      <c r="B2335" s="96" t="str">
        <f>IFERROR(VLOOKUP(Proc[[#This Row],[App]],Table2[],3,0),"open")</f>
        <v>ok</v>
      </c>
      <c r="C2335" s="105" t="s">
        <v>369</v>
      </c>
      <c r="D2335" t="s">
        <v>4215</v>
      </c>
      <c r="E2335" t="s">
        <v>4246</v>
      </c>
      <c r="F2335" s="96" t="s">
        <v>4246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1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2563</v>
      </c>
      <c r="M2335" s="107">
        <v>45825.476678240739</v>
      </c>
      <c r="N2335" s="107"/>
      <c r="O2335" s="107"/>
      <c r="P2335" s="108" t="str">
        <f ca="1">IF(Proc[[#This Row],[DaysAgeing]]&gt;5,"yep","on track")</f>
        <v>on track</v>
      </c>
      <c r="Q2335" s="3">
        <f ca="1">IF(Proc[[#This Row],[DateClosed]]="",ABS(NETWORKDAYS(Proc[[#This Row],[DateOpened]],TODAY()))-1,ABS(NETWORKDAYS(Proc[[#This Row],[DateOpened]],Proc[[#This Row],[DateClosed]]))-1)</f>
        <v>4</v>
      </c>
      <c r="R2335" s="108" t="s">
        <v>780</v>
      </c>
      <c r="S2335" s="96"/>
    </row>
    <row r="2336" spans="1:19" hidden="1">
      <c r="A2336" s="105" t="s">
        <v>4189</v>
      </c>
      <c r="B2336" s="96" t="str">
        <f>IFERROR(VLOOKUP(Proc[[#This Row],[App]],Table2[],3,0),"open")</f>
        <v>ok</v>
      </c>
      <c r="C2336" s="105" t="s">
        <v>369</v>
      </c>
      <c r="D2336" t="s">
        <v>4216</v>
      </c>
      <c r="E2336" t="s">
        <v>4246</v>
      </c>
      <c r="F2336" s="96" t="s">
        <v>4246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1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2563</v>
      </c>
      <c r="M2336" s="107">
        <v>45825.476678240739</v>
      </c>
      <c r="N2336" s="107"/>
      <c r="O2336" s="107"/>
      <c r="P2336" s="108" t="str">
        <f ca="1">IF(Proc[[#This Row],[DaysAgeing]]&gt;5,"yep","on track")</f>
        <v>on track</v>
      </c>
      <c r="Q2336" s="3">
        <f ca="1">IF(Proc[[#This Row],[DateClosed]]="",ABS(NETWORKDAYS(Proc[[#This Row],[DateOpened]],TODAY()))-1,ABS(NETWORKDAYS(Proc[[#This Row],[DateOpened]],Proc[[#This Row],[DateClosed]]))-1)</f>
        <v>4</v>
      </c>
      <c r="R2336" s="108" t="s">
        <v>780</v>
      </c>
      <c r="S2336" s="96"/>
    </row>
    <row r="2337" spans="1:19" hidden="1">
      <c r="A2337" s="105" t="s">
        <v>4189</v>
      </c>
      <c r="B2337" s="96" t="str">
        <f>IFERROR(VLOOKUP(Proc[[#This Row],[App]],Table2[],3,0),"open")</f>
        <v>ok</v>
      </c>
      <c r="C2337" s="105" t="s">
        <v>369</v>
      </c>
      <c r="D2337" t="s">
        <v>4217</v>
      </c>
      <c r="E2337" t="s">
        <v>4246</v>
      </c>
      <c r="F2337" s="96" t="s">
        <v>4246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1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2563</v>
      </c>
      <c r="M2337" s="107">
        <v>45825.476678240739</v>
      </c>
      <c r="N2337" s="107"/>
      <c r="O2337" s="107"/>
      <c r="P2337" s="108" t="str">
        <f ca="1">IF(Proc[[#This Row],[DaysAgeing]]&gt;5,"yep","on track")</f>
        <v>on track</v>
      </c>
      <c r="Q2337" s="3">
        <f ca="1">IF(Proc[[#This Row],[DateClosed]]="",ABS(NETWORKDAYS(Proc[[#This Row],[DateOpened]],TODAY()))-1,ABS(NETWORKDAYS(Proc[[#This Row],[DateOpened]],Proc[[#This Row],[DateClosed]]))-1)</f>
        <v>4</v>
      </c>
      <c r="R2337" s="108" t="s">
        <v>780</v>
      </c>
      <c r="S2337" s="96"/>
    </row>
    <row r="2338" spans="1:19" hidden="1">
      <c r="A2338" s="105" t="s">
        <v>4189</v>
      </c>
      <c r="B2338" s="96" t="str">
        <f>IFERROR(VLOOKUP(Proc[[#This Row],[App]],Table2[],3,0),"open")</f>
        <v>ok</v>
      </c>
      <c r="C2338" s="105" t="s">
        <v>369</v>
      </c>
      <c r="D2338" t="s">
        <v>4218</v>
      </c>
      <c r="E2338" t="s">
        <v>4246</v>
      </c>
      <c r="F2338" s="96" t="s">
        <v>4246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1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2563</v>
      </c>
      <c r="M2338" s="107">
        <v>45825.476678240739</v>
      </c>
      <c r="N2338" s="107"/>
      <c r="O2338" s="107"/>
      <c r="P2338" s="108" t="str">
        <f ca="1">IF(Proc[[#This Row],[DaysAgeing]]&gt;5,"yep","on track")</f>
        <v>on track</v>
      </c>
      <c r="Q2338" s="3">
        <f ca="1">IF(Proc[[#This Row],[DateClosed]]="",ABS(NETWORKDAYS(Proc[[#This Row],[DateOpened]],TODAY()))-1,ABS(NETWORKDAYS(Proc[[#This Row],[DateOpened]],Proc[[#This Row],[DateClosed]]))-1)</f>
        <v>4</v>
      </c>
      <c r="R2338" s="108" t="s">
        <v>780</v>
      </c>
      <c r="S2338" s="96"/>
    </row>
    <row r="2339" spans="1:19" hidden="1">
      <c r="A2339" s="105" t="s">
        <v>4189</v>
      </c>
      <c r="B2339" s="96" t="str">
        <f>IFERROR(VLOOKUP(Proc[[#This Row],[App]],Table2[],3,0),"open")</f>
        <v>ok</v>
      </c>
      <c r="C2339" s="105" t="s">
        <v>369</v>
      </c>
      <c r="D2339" t="s">
        <v>4219</v>
      </c>
      <c r="E2339" t="s">
        <v>4246</v>
      </c>
      <c r="F2339" s="96" t="s">
        <v>4246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1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2563</v>
      </c>
      <c r="M2339" s="107">
        <v>45825.476678240739</v>
      </c>
      <c r="N2339" s="107"/>
      <c r="O2339" s="107"/>
      <c r="P2339" s="108" t="str">
        <f ca="1">IF(Proc[[#This Row],[DaysAgeing]]&gt;5,"yep","on track")</f>
        <v>on track</v>
      </c>
      <c r="Q2339" s="3">
        <f ca="1">IF(Proc[[#This Row],[DateClosed]]="",ABS(NETWORKDAYS(Proc[[#This Row],[DateOpened]],TODAY()))-1,ABS(NETWORKDAYS(Proc[[#This Row],[DateOpened]],Proc[[#This Row],[DateClosed]]))-1)</f>
        <v>4</v>
      </c>
      <c r="R2339" s="108" t="s">
        <v>780</v>
      </c>
      <c r="S2339" s="96"/>
    </row>
    <row r="2340" spans="1:19" hidden="1">
      <c r="A2340" s="105" t="s">
        <v>4189</v>
      </c>
      <c r="B2340" s="96" t="str">
        <f>IFERROR(VLOOKUP(Proc[[#This Row],[App]],Table2[],3,0),"open")</f>
        <v>ok</v>
      </c>
      <c r="C2340" s="105" t="s">
        <v>369</v>
      </c>
      <c r="D2340" t="s">
        <v>4220</v>
      </c>
      <c r="E2340" t="s">
        <v>4246</v>
      </c>
      <c r="F2340" s="96" t="s">
        <v>4246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1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2563</v>
      </c>
      <c r="M2340" s="107">
        <v>45825.476678240739</v>
      </c>
      <c r="N2340" s="107"/>
      <c r="O2340" s="107"/>
      <c r="P2340" s="108" t="str">
        <f ca="1">IF(Proc[[#This Row],[DaysAgeing]]&gt;5,"yep","on track")</f>
        <v>on track</v>
      </c>
      <c r="Q2340" s="3">
        <f ca="1">IF(Proc[[#This Row],[DateClosed]]="",ABS(NETWORKDAYS(Proc[[#This Row],[DateOpened]],TODAY()))-1,ABS(NETWORKDAYS(Proc[[#This Row],[DateOpened]],Proc[[#This Row],[DateClosed]]))-1)</f>
        <v>4</v>
      </c>
      <c r="R2340" s="108" t="s">
        <v>780</v>
      </c>
      <c r="S2340" s="96"/>
    </row>
    <row r="2341" spans="1:19" hidden="1">
      <c r="A2341" s="105" t="s">
        <v>4189</v>
      </c>
      <c r="B2341" s="96" t="str">
        <f>IFERROR(VLOOKUP(Proc[[#This Row],[App]],Table2[],3,0),"open")</f>
        <v>ok</v>
      </c>
      <c r="C2341" s="105" t="s">
        <v>369</v>
      </c>
      <c r="D2341" t="s">
        <v>4221</v>
      </c>
      <c r="E2341" t="s">
        <v>4246</v>
      </c>
      <c r="F2341" s="96" t="s">
        <v>4246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1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2563</v>
      </c>
      <c r="M2341" s="107">
        <v>45825.476678240739</v>
      </c>
      <c r="N2341" s="107"/>
      <c r="O2341" s="107"/>
      <c r="P2341" s="108" t="str">
        <f ca="1">IF(Proc[[#This Row],[DaysAgeing]]&gt;5,"yep","on track")</f>
        <v>on track</v>
      </c>
      <c r="Q2341" s="3">
        <f ca="1">IF(Proc[[#This Row],[DateClosed]]="",ABS(NETWORKDAYS(Proc[[#This Row],[DateOpened]],TODAY()))-1,ABS(NETWORKDAYS(Proc[[#This Row],[DateOpened]],Proc[[#This Row],[DateClosed]]))-1)</f>
        <v>4</v>
      </c>
      <c r="R2341" s="108" t="s">
        <v>780</v>
      </c>
      <c r="S2341" s="96"/>
    </row>
    <row r="2342" spans="1:19" hidden="1">
      <c r="A2342" s="105" t="s">
        <v>4189</v>
      </c>
      <c r="B2342" s="96" t="str">
        <f>IFERROR(VLOOKUP(Proc[[#This Row],[App]],Table2[],3,0),"open")</f>
        <v>ok</v>
      </c>
      <c r="C2342" s="105" t="s">
        <v>369</v>
      </c>
      <c r="D2342" t="s">
        <v>4222</v>
      </c>
      <c r="E2342" t="s">
        <v>4246</v>
      </c>
      <c r="F2342" s="96" t="s">
        <v>4246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1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2563</v>
      </c>
      <c r="M2342" s="107">
        <v>45825.476678240739</v>
      </c>
      <c r="N2342" s="107"/>
      <c r="O2342" s="107"/>
      <c r="P2342" s="108" t="str">
        <f ca="1">IF(Proc[[#This Row],[DaysAgeing]]&gt;5,"yep","on track")</f>
        <v>on track</v>
      </c>
      <c r="Q2342" s="3">
        <f ca="1">IF(Proc[[#This Row],[DateClosed]]="",ABS(NETWORKDAYS(Proc[[#This Row],[DateOpened]],TODAY()))-1,ABS(NETWORKDAYS(Proc[[#This Row],[DateOpened]],Proc[[#This Row],[DateClosed]]))-1)</f>
        <v>4</v>
      </c>
      <c r="R2342" s="108" t="s">
        <v>780</v>
      </c>
      <c r="S2342" s="96"/>
    </row>
    <row r="2343" spans="1:19" hidden="1">
      <c r="A2343" s="105" t="s">
        <v>4189</v>
      </c>
      <c r="B2343" s="96" t="str">
        <f>IFERROR(VLOOKUP(Proc[[#This Row],[App]],Table2[],3,0),"open")</f>
        <v>ok</v>
      </c>
      <c r="C2343" s="105" t="s">
        <v>369</v>
      </c>
      <c r="D2343" t="s">
        <v>4223</v>
      </c>
      <c r="E2343" t="s">
        <v>4247</v>
      </c>
      <c r="F2343" s="96" t="s">
        <v>4247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1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2563</v>
      </c>
      <c r="M2343" s="107">
        <v>45825.476678240739</v>
      </c>
      <c r="N2343" s="107"/>
      <c r="O2343" s="107"/>
      <c r="P2343" s="108" t="str">
        <f ca="1">IF(Proc[[#This Row],[DaysAgeing]]&gt;5,"yep","on track")</f>
        <v>on track</v>
      </c>
      <c r="Q2343" s="3">
        <f ca="1">IF(Proc[[#This Row],[DateClosed]]="",ABS(NETWORKDAYS(Proc[[#This Row],[DateOpened]],TODAY()))-1,ABS(NETWORKDAYS(Proc[[#This Row],[DateOpened]],Proc[[#This Row],[DateClosed]]))-1)</f>
        <v>4</v>
      </c>
      <c r="R2343" s="108" t="s">
        <v>780</v>
      </c>
      <c r="S2343" s="96"/>
    </row>
    <row r="2344" spans="1:19" hidden="1">
      <c r="A2344" s="105" t="s">
        <v>4189</v>
      </c>
      <c r="B2344" s="96" t="str">
        <f>IFERROR(VLOOKUP(Proc[[#This Row],[App]],Table2[],3,0),"open")</f>
        <v>ok</v>
      </c>
      <c r="C2344" s="105" t="s">
        <v>369</v>
      </c>
      <c r="D2344" t="s">
        <v>4224</v>
      </c>
      <c r="E2344" t="s">
        <v>4247</v>
      </c>
      <c r="F2344" s="96" t="s">
        <v>4247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1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2563</v>
      </c>
      <c r="M2344" s="107">
        <v>45825.476678240739</v>
      </c>
      <c r="N2344" s="107"/>
      <c r="O2344" s="107"/>
      <c r="P2344" s="108" t="str">
        <f ca="1">IF(Proc[[#This Row],[DaysAgeing]]&gt;5,"yep","on track")</f>
        <v>on track</v>
      </c>
      <c r="Q2344" s="3">
        <f ca="1">IF(Proc[[#This Row],[DateClosed]]="",ABS(NETWORKDAYS(Proc[[#This Row],[DateOpened]],TODAY()))-1,ABS(NETWORKDAYS(Proc[[#This Row],[DateOpened]],Proc[[#This Row],[DateClosed]]))-1)</f>
        <v>4</v>
      </c>
      <c r="R2344" s="108" t="s">
        <v>780</v>
      </c>
      <c r="S2344" s="96"/>
    </row>
    <row r="2345" spans="1:19" hidden="1">
      <c r="A2345" s="105" t="s">
        <v>4189</v>
      </c>
      <c r="B2345" s="96" t="str">
        <f>IFERROR(VLOOKUP(Proc[[#This Row],[App]],Table2[],3,0),"open")</f>
        <v>ok</v>
      </c>
      <c r="C2345" s="105" t="s">
        <v>369</v>
      </c>
      <c r="D2345" t="s">
        <v>4225</v>
      </c>
      <c r="E2345" t="s">
        <v>4247</v>
      </c>
      <c r="F2345" s="96" t="s">
        <v>4247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1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2563</v>
      </c>
      <c r="M2345" s="107">
        <v>45825.476678240739</v>
      </c>
      <c r="N2345" s="107"/>
      <c r="O2345" s="107"/>
      <c r="P2345" s="108" t="str">
        <f ca="1">IF(Proc[[#This Row],[DaysAgeing]]&gt;5,"yep","on track")</f>
        <v>on track</v>
      </c>
      <c r="Q2345" s="3">
        <f ca="1">IF(Proc[[#This Row],[DateClosed]]="",ABS(NETWORKDAYS(Proc[[#This Row],[DateOpened]],TODAY()))-1,ABS(NETWORKDAYS(Proc[[#This Row],[DateOpened]],Proc[[#This Row],[DateClosed]]))-1)</f>
        <v>4</v>
      </c>
      <c r="R2345" s="108" t="s">
        <v>780</v>
      </c>
      <c r="S2345" s="96"/>
    </row>
    <row r="2346" spans="1:19" hidden="1">
      <c r="A2346" s="105" t="s">
        <v>4189</v>
      </c>
      <c r="B2346" s="96" t="str">
        <f>IFERROR(VLOOKUP(Proc[[#This Row],[App]],Table2[],3,0),"open")</f>
        <v>ok</v>
      </c>
      <c r="C2346" s="105" t="s">
        <v>369</v>
      </c>
      <c r="D2346" t="s">
        <v>4226</v>
      </c>
      <c r="E2346" t="s">
        <v>4247</v>
      </c>
      <c r="F2346" s="96" t="s">
        <v>4247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1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2563</v>
      </c>
      <c r="M2346" s="107">
        <v>45825.476678240739</v>
      </c>
      <c r="N2346" s="107"/>
      <c r="O2346" s="107"/>
      <c r="P2346" s="108" t="str">
        <f ca="1">IF(Proc[[#This Row],[DaysAgeing]]&gt;5,"yep","on track")</f>
        <v>on track</v>
      </c>
      <c r="Q2346" s="3">
        <f ca="1">IF(Proc[[#This Row],[DateClosed]]="",ABS(NETWORKDAYS(Proc[[#This Row],[DateOpened]],TODAY()))-1,ABS(NETWORKDAYS(Proc[[#This Row],[DateOpened]],Proc[[#This Row],[DateClosed]]))-1)</f>
        <v>4</v>
      </c>
      <c r="R2346" s="108" t="s">
        <v>780</v>
      </c>
      <c r="S2346" s="96"/>
    </row>
    <row r="2347" spans="1:19" hidden="1">
      <c r="A2347" s="105" t="s">
        <v>4189</v>
      </c>
      <c r="B2347" s="96" t="str">
        <f>IFERROR(VLOOKUP(Proc[[#This Row],[App]],Table2[],3,0),"open")</f>
        <v>ok</v>
      </c>
      <c r="C2347" s="105" t="s">
        <v>369</v>
      </c>
      <c r="D2347" t="s">
        <v>4227</v>
      </c>
      <c r="E2347" t="s">
        <v>4247</v>
      </c>
      <c r="F2347" s="96" t="s">
        <v>4247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1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2563</v>
      </c>
      <c r="M2347" s="107">
        <v>45825.476678240739</v>
      </c>
      <c r="N2347" s="107"/>
      <c r="O2347" s="107"/>
      <c r="P2347" s="108" t="str">
        <f ca="1">IF(Proc[[#This Row],[DaysAgeing]]&gt;5,"yep","on track")</f>
        <v>on track</v>
      </c>
      <c r="Q2347" s="3">
        <f ca="1">IF(Proc[[#This Row],[DateClosed]]="",ABS(NETWORKDAYS(Proc[[#This Row],[DateOpened]],TODAY()))-1,ABS(NETWORKDAYS(Proc[[#This Row],[DateOpened]],Proc[[#This Row],[DateClosed]]))-1)</f>
        <v>4</v>
      </c>
      <c r="R2347" s="108" t="s">
        <v>780</v>
      </c>
      <c r="S2347" s="96"/>
    </row>
    <row r="2348" spans="1:19" hidden="1">
      <c r="A2348" s="105" t="s">
        <v>4189</v>
      </c>
      <c r="B2348" s="96" t="str">
        <f>IFERROR(VLOOKUP(Proc[[#This Row],[App]],Table2[],3,0),"open")</f>
        <v>ok</v>
      </c>
      <c r="C2348" s="105" t="s">
        <v>369</v>
      </c>
      <c r="D2348" t="s">
        <v>4228</v>
      </c>
      <c r="E2348" t="s">
        <v>4247</v>
      </c>
      <c r="F2348" s="96" t="s">
        <v>4247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1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2563</v>
      </c>
      <c r="M2348" s="107">
        <v>45825.476678240739</v>
      </c>
      <c r="N2348" s="107"/>
      <c r="O2348" s="107"/>
      <c r="P2348" s="108" t="str">
        <f ca="1">IF(Proc[[#This Row],[DaysAgeing]]&gt;5,"yep","on track")</f>
        <v>on track</v>
      </c>
      <c r="Q2348" s="3">
        <f ca="1">IF(Proc[[#This Row],[DateClosed]]="",ABS(NETWORKDAYS(Proc[[#This Row],[DateOpened]],TODAY()))-1,ABS(NETWORKDAYS(Proc[[#This Row],[DateOpened]],Proc[[#This Row],[DateClosed]]))-1)</f>
        <v>4</v>
      </c>
      <c r="R2348" s="108" t="s">
        <v>780</v>
      </c>
      <c r="S2348" s="96"/>
    </row>
    <row r="2349" spans="1:19" hidden="1">
      <c r="A2349" s="105" t="s">
        <v>4189</v>
      </c>
      <c r="B2349" s="96" t="str">
        <f>IFERROR(VLOOKUP(Proc[[#This Row],[App]],Table2[],3,0),"open")</f>
        <v>ok</v>
      </c>
      <c r="C2349" s="105" t="s">
        <v>369</v>
      </c>
      <c r="D2349" t="s">
        <v>4229</v>
      </c>
      <c r="E2349" t="s">
        <v>4247</v>
      </c>
      <c r="F2349" s="96" t="s">
        <v>4247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1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2563</v>
      </c>
      <c r="M2349" s="107">
        <v>45825.476678240739</v>
      </c>
      <c r="N2349" s="107"/>
      <c r="O2349" s="107"/>
      <c r="P2349" s="108" t="str">
        <f ca="1">IF(Proc[[#This Row],[DaysAgeing]]&gt;5,"yep","on track")</f>
        <v>on track</v>
      </c>
      <c r="Q2349" s="3">
        <f ca="1">IF(Proc[[#This Row],[DateClosed]]="",ABS(NETWORKDAYS(Proc[[#This Row],[DateOpened]],TODAY()))-1,ABS(NETWORKDAYS(Proc[[#This Row],[DateOpened]],Proc[[#This Row],[DateClosed]]))-1)</f>
        <v>4</v>
      </c>
      <c r="R2349" s="108" t="s">
        <v>780</v>
      </c>
      <c r="S2349" s="96"/>
    </row>
    <row r="2350" spans="1:19" hidden="1">
      <c r="A2350" s="105" t="s">
        <v>4189</v>
      </c>
      <c r="B2350" s="96" t="str">
        <f>IFERROR(VLOOKUP(Proc[[#This Row],[App]],Table2[],3,0),"open")</f>
        <v>ok</v>
      </c>
      <c r="C2350" s="105" t="s">
        <v>369</v>
      </c>
      <c r="D2350" t="s">
        <v>4230</v>
      </c>
      <c r="E2350" t="s">
        <v>4247</v>
      </c>
      <c r="F2350" s="96" t="s">
        <v>4247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1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2563</v>
      </c>
      <c r="M2350" s="107">
        <v>45825.476678240739</v>
      </c>
      <c r="N2350" s="107"/>
      <c r="O2350" s="107"/>
      <c r="P2350" s="108" t="str">
        <f ca="1">IF(Proc[[#This Row],[DaysAgeing]]&gt;5,"yep","on track")</f>
        <v>on track</v>
      </c>
      <c r="Q2350" s="3">
        <f ca="1">IF(Proc[[#This Row],[DateClosed]]="",ABS(NETWORKDAYS(Proc[[#This Row],[DateOpened]],TODAY()))-1,ABS(NETWORKDAYS(Proc[[#This Row],[DateOpened]],Proc[[#This Row],[DateClosed]]))-1)</f>
        <v>4</v>
      </c>
      <c r="R2350" s="108" t="s">
        <v>780</v>
      </c>
      <c r="S2350" s="96"/>
    </row>
    <row r="2351" spans="1:19" hidden="1">
      <c r="A2351" s="105" t="s">
        <v>4189</v>
      </c>
      <c r="B2351" s="96" t="str">
        <f>IFERROR(VLOOKUP(Proc[[#This Row],[App]],Table2[],3,0),"open")</f>
        <v>ok</v>
      </c>
      <c r="C2351" s="105" t="s">
        <v>369</v>
      </c>
      <c r="D2351" t="s">
        <v>4231</v>
      </c>
      <c r="E2351" t="s">
        <v>4247</v>
      </c>
      <c r="F2351" s="96" t="s">
        <v>4247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1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2563</v>
      </c>
      <c r="M2351" s="107">
        <v>45825.476678240739</v>
      </c>
      <c r="N2351" s="107"/>
      <c r="O2351" s="107"/>
      <c r="P2351" s="108" t="str">
        <f ca="1">IF(Proc[[#This Row],[DaysAgeing]]&gt;5,"yep","on track")</f>
        <v>on track</v>
      </c>
      <c r="Q2351" s="3">
        <f ca="1">IF(Proc[[#This Row],[DateClosed]]="",ABS(NETWORKDAYS(Proc[[#This Row],[DateOpened]],TODAY()))-1,ABS(NETWORKDAYS(Proc[[#This Row],[DateOpened]],Proc[[#This Row],[DateClosed]]))-1)</f>
        <v>4</v>
      </c>
      <c r="R2351" s="108" t="s">
        <v>780</v>
      </c>
      <c r="S2351" s="96"/>
    </row>
    <row r="2352" spans="1:19" hidden="1">
      <c r="A2352" s="105" t="s">
        <v>4189</v>
      </c>
      <c r="B2352" s="96" t="str">
        <f>IFERROR(VLOOKUP(Proc[[#This Row],[App]],Table2[],3,0),"open")</f>
        <v>ok</v>
      </c>
      <c r="C2352" s="105" t="s">
        <v>369</v>
      </c>
      <c r="D2352" t="s">
        <v>4232</v>
      </c>
      <c r="E2352" t="s">
        <v>4247</v>
      </c>
      <c r="F2352" s="96" t="s">
        <v>4247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1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2563</v>
      </c>
      <c r="M2352" s="107">
        <v>45825.476678240739</v>
      </c>
      <c r="N2352" s="107"/>
      <c r="O2352" s="107"/>
      <c r="P2352" s="108" t="str">
        <f ca="1">IF(Proc[[#This Row],[DaysAgeing]]&gt;5,"yep","on track")</f>
        <v>on track</v>
      </c>
      <c r="Q2352" s="3">
        <f ca="1">IF(Proc[[#This Row],[DateClosed]]="",ABS(NETWORKDAYS(Proc[[#This Row],[DateOpened]],TODAY()))-1,ABS(NETWORKDAYS(Proc[[#This Row],[DateOpened]],Proc[[#This Row],[DateClosed]]))-1)</f>
        <v>4</v>
      </c>
      <c r="R2352" s="108" t="s">
        <v>780</v>
      </c>
      <c r="S2352" s="96"/>
    </row>
    <row r="2353" spans="1:19" hidden="1">
      <c r="A2353" s="105" t="s">
        <v>4189</v>
      </c>
      <c r="B2353" s="96" t="str">
        <f>IFERROR(VLOOKUP(Proc[[#This Row],[App]],Table2[],3,0),"open")</f>
        <v>ok</v>
      </c>
      <c r="C2353" s="105" t="s">
        <v>369</v>
      </c>
      <c r="D2353" t="s">
        <v>4233</v>
      </c>
      <c r="E2353" t="s">
        <v>4247</v>
      </c>
      <c r="F2353" s="96" t="s">
        <v>4247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1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2563</v>
      </c>
      <c r="M2353" s="107">
        <v>45825.476678240739</v>
      </c>
      <c r="N2353" s="107"/>
      <c r="O2353" s="107"/>
      <c r="P2353" s="108" t="str">
        <f ca="1">IF(Proc[[#This Row],[DaysAgeing]]&gt;5,"yep","on track")</f>
        <v>on track</v>
      </c>
      <c r="Q2353" s="3">
        <f ca="1">IF(Proc[[#This Row],[DateClosed]]="",ABS(NETWORKDAYS(Proc[[#This Row],[DateOpened]],TODAY()))-1,ABS(NETWORKDAYS(Proc[[#This Row],[DateOpened]],Proc[[#This Row],[DateClosed]]))-1)</f>
        <v>4</v>
      </c>
      <c r="R2353" s="108" t="s">
        <v>780</v>
      </c>
      <c r="S2353" s="96"/>
    </row>
    <row r="2354" spans="1:19" hidden="1">
      <c r="A2354" s="105" t="s">
        <v>4189</v>
      </c>
      <c r="B2354" s="96" t="str">
        <f>IFERROR(VLOOKUP(Proc[[#This Row],[App]],Table2[],3,0),"open")</f>
        <v>ok</v>
      </c>
      <c r="C2354" s="105" t="s">
        <v>369</v>
      </c>
      <c r="D2354" t="s">
        <v>4234</v>
      </c>
      <c r="E2354" t="s">
        <v>4247</v>
      </c>
      <c r="F2354" s="96" t="s">
        <v>4247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1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2563</v>
      </c>
      <c r="M2354" s="107">
        <v>45825.476678240739</v>
      </c>
      <c r="N2354" s="107"/>
      <c r="O2354" s="107"/>
      <c r="P2354" s="108" t="str">
        <f ca="1">IF(Proc[[#This Row],[DaysAgeing]]&gt;5,"yep","on track")</f>
        <v>on track</v>
      </c>
      <c r="Q2354" s="3">
        <f ca="1">IF(Proc[[#This Row],[DateClosed]]="",ABS(NETWORKDAYS(Proc[[#This Row],[DateOpened]],TODAY()))-1,ABS(NETWORKDAYS(Proc[[#This Row],[DateOpened]],Proc[[#This Row],[DateClosed]]))-1)</f>
        <v>4</v>
      </c>
      <c r="R2354" s="108" t="s">
        <v>780</v>
      </c>
      <c r="S2354" s="96"/>
    </row>
    <row r="2355" spans="1:19" hidden="1">
      <c r="A2355" s="105" t="s">
        <v>4189</v>
      </c>
      <c r="B2355" s="96" t="str">
        <f>IFERROR(VLOOKUP(Proc[[#This Row],[App]],Table2[],3,0),"open")</f>
        <v>ok</v>
      </c>
      <c r="C2355" s="105" t="s">
        <v>369</v>
      </c>
      <c r="D2355" t="s">
        <v>4235</v>
      </c>
      <c r="E2355" t="s">
        <v>4247</v>
      </c>
      <c r="F2355" s="96" t="s">
        <v>4247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1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2563</v>
      </c>
      <c r="M2355" s="107">
        <v>45825.476678240739</v>
      </c>
      <c r="N2355" s="107"/>
      <c r="O2355" s="107"/>
      <c r="P2355" s="108" t="str">
        <f ca="1">IF(Proc[[#This Row],[DaysAgeing]]&gt;5,"yep","on track")</f>
        <v>on track</v>
      </c>
      <c r="Q2355" s="3">
        <f ca="1">IF(Proc[[#This Row],[DateClosed]]="",ABS(NETWORKDAYS(Proc[[#This Row],[DateOpened]],TODAY()))-1,ABS(NETWORKDAYS(Proc[[#This Row],[DateOpened]],Proc[[#This Row],[DateClosed]]))-1)</f>
        <v>4</v>
      </c>
      <c r="R2355" s="108" t="s">
        <v>780</v>
      </c>
      <c r="S2355" s="96"/>
    </row>
    <row r="2356" spans="1:19" hidden="1">
      <c r="A2356" s="105" t="s">
        <v>4189</v>
      </c>
      <c r="B2356" s="96" t="str">
        <f>IFERROR(VLOOKUP(Proc[[#This Row],[App]],Table2[],3,0),"open")</f>
        <v>ok</v>
      </c>
      <c r="C2356" s="105" t="s">
        <v>369</v>
      </c>
      <c r="D2356" t="s">
        <v>4236</v>
      </c>
      <c r="E2356" t="s">
        <v>4247</v>
      </c>
      <c r="F2356" s="96" t="s">
        <v>4247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1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2563</v>
      </c>
      <c r="M2356" s="107">
        <v>45825.476678240739</v>
      </c>
      <c r="N2356" s="107"/>
      <c r="O2356" s="107"/>
      <c r="P2356" s="108" t="str">
        <f ca="1">IF(Proc[[#This Row],[DaysAgeing]]&gt;5,"yep","on track")</f>
        <v>on track</v>
      </c>
      <c r="Q2356" s="3">
        <f ca="1">IF(Proc[[#This Row],[DateClosed]]="",ABS(NETWORKDAYS(Proc[[#This Row],[DateOpened]],TODAY()))-1,ABS(NETWORKDAYS(Proc[[#This Row],[DateOpened]],Proc[[#This Row],[DateClosed]]))-1)</f>
        <v>4</v>
      </c>
      <c r="R2356" s="108" t="s">
        <v>780</v>
      </c>
      <c r="S2356" s="96"/>
    </row>
    <row r="2357" spans="1:19" hidden="1">
      <c r="A2357" s="105" t="s">
        <v>4189</v>
      </c>
      <c r="B2357" s="96" t="str">
        <f>IFERROR(VLOOKUP(Proc[[#This Row],[App]],Table2[],3,0),"open")</f>
        <v>ok</v>
      </c>
      <c r="C2357" s="105" t="s">
        <v>369</v>
      </c>
      <c r="D2357" t="s">
        <v>4237</v>
      </c>
      <c r="E2357" t="s">
        <v>4247</v>
      </c>
      <c r="F2357" s="96" t="s">
        <v>4247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1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2563</v>
      </c>
      <c r="M2357" s="107">
        <v>45825.476678240739</v>
      </c>
      <c r="N2357" s="107"/>
      <c r="O2357" s="107"/>
      <c r="P2357" s="108" t="str">
        <f ca="1">IF(Proc[[#This Row],[DaysAgeing]]&gt;5,"yep","on track")</f>
        <v>on track</v>
      </c>
      <c r="Q2357" s="3">
        <f ca="1">IF(Proc[[#This Row],[DateClosed]]="",ABS(NETWORKDAYS(Proc[[#This Row],[DateOpened]],TODAY()))-1,ABS(NETWORKDAYS(Proc[[#This Row],[DateOpened]],Proc[[#This Row],[DateClosed]]))-1)</f>
        <v>4</v>
      </c>
      <c r="R2357" s="108" t="s">
        <v>780</v>
      </c>
      <c r="S2357" s="96"/>
    </row>
    <row r="2358" spans="1:19" hidden="1">
      <c r="A2358" s="105" t="s">
        <v>4189</v>
      </c>
      <c r="B2358" s="96" t="str">
        <f>IFERROR(VLOOKUP(Proc[[#This Row],[App]],Table2[],3,0),"open")</f>
        <v>ok</v>
      </c>
      <c r="C2358" s="105" t="s">
        <v>369</v>
      </c>
      <c r="D2358" t="s">
        <v>4238</v>
      </c>
      <c r="E2358" t="s">
        <v>4247</v>
      </c>
      <c r="F2358" s="96" t="s">
        <v>4247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1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2563</v>
      </c>
      <c r="M2358" s="107">
        <v>45825.476678240739</v>
      </c>
      <c r="N2358" s="107"/>
      <c r="O2358" s="107"/>
      <c r="P2358" s="108" t="str">
        <f ca="1">IF(Proc[[#This Row],[DaysAgeing]]&gt;5,"yep","on track")</f>
        <v>on track</v>
      </c>
      <c r="Q2358" s="3">
        <f ca="1">IF(Proc[[#This Row],[DateClosed]]="",ABS(NETWORKDAYS(Proc[[#This Row],[DateOpened]],TODAY()))-1,ABS(NETWORKDAYS(Proc[[#This Row],[DateOpened]],Proc[[#This Row],[DateClosed]]))-1)</f>
        <v>4</v>
      </c>
      <c r="R2358" s="108" t="s">
        <v>780</v>
      </c>
      <c r="S2358" s="96"/>
    </row>
    <row r="2359" spans="1:19" hidden="1">
      <c r="A2359" s="105" t="s">
        <v>4189</v>
      </c>
      <c r="B2359" s="96" t="str">
        <f>IFERROR(VLOOKUP(Proc[[#This Row],[App]],Table2[],3,0),"open")</f>
        <v>ok</v>
      </c>
      <c r="C2359" s="105" t="s">
        <v>369</v>
      </c>
      <c r="D2359" t="s">
        <v>4239</v>
      </c>
      <c r="E2359" t="s">
        <v>4247</v>
      </c>
      <c r="F2359" s="96" t="s">
        <v>4247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1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2563</v>
      </c>
      <c r="M2359" s="107">
        <v>45825.476678240739</v>
      </c>
      <c r="N2359" s="107"/>
      <c r="O2359" s="107"/>
      <c r="P2359" s="108" t="str">
        <f ca="1">IF(Proc[[#This Row],[DaysAgeing]]&gt;5,"yep","on track")</f>
        <v>on track</v>
      </c>
      <c r="Q2359" s="3">
        <f ca="1">IF(Proc[[#This Row],[DateClosed]]="",ABS(NETWORKDAYS(Proc[[#This Row],[DateOpened]],TODAY()))-1,ABS(NETWORKDAYS(Proc[[#This Row],[DateOpened]],Proc[[#This Row],[DateClosed]]))-1)</f>
        <v>4</v>
      </c>
      <c r="R2359" s="108" t="s">
        <v>780</v>
      </c>
      <c r="S2359" s="96"/>
    </row>
    <row r="2360" spans="1:19" hidden="1">
      <c r="A2360" s="105" t="s">
        <v>4189</v>
      </c>
      <c r="B2360" s="96" t="str">
        <f>IFERROR(VLOOKUP(Proc[[#This Row],[App]],Table2[],3,0),"open")</f>
        <v>ok</v>
      </c>
      <c r="C2360" s="105" t="s">
        <v>369</v>
      </c>
      <c r="D2360" t="s">
        <v>4240</v>
      </c>
      <c r="E2360" t="s">
        <v>4247</v>
      </c>
      <c r="F2360" s="96" t="s">
        <v>4247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1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2563</v>
      </c>
      <c r="M2360" s="107">
        <v>45825.476678240739</v>
      </c>
      <c r="N2360" s="107"/>
      <c r="O2360" s="107"/>
      <c r="P2360" s="108" t="str">
        <f ca="1">IF(Proc[[#This Row],[DaysAgeing]]&gt;5,"yep","on track")</f>
        <v>on track</v>
      </c>
      <c r="Q2360" s="3">
        <f ca="1">IF(Proc[[#This Row],[DateClosed]]="",ABS(NETWORKDAYS(Proc[[#This Row],[DateOpened]],TODAY()))-1,ABS(NETWORKDAYS(Proc[[#This Row],[DateOpened]],Proc[[#This Row],[DateClosed]]))-1)</f>
        <v>4</v>
      </c>
      <c r="R2360" s="108" t="s">
        <v>780</v>
      </c>
      <c r="S2360" s="96"/>
    </row>
    <row r="2361" spans="1:19" hidden="1">
      <c r="A2361" s="105" t="s">
        <v>4189</v>
      </c>
      <c r="B2361" s="96" t="str">
        <f>IFERROR(VLOOKUP(Proc[[#This Row],[App]],Table2[],3,0),"open")</f>
        <v>ok</v>
      </c>
      <c r="C2361" s="105" t="s">
        <v>369</v>
      </c>
      <c r="D2361" t="s">
        <v>4241</v>
      </c>
      <c r="E2361" t="s">
        <v>4247</v>
      </c>
      <c r="F2361" s="105" t="s">
        <v>4247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1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2563</v>
      </c>
      <c r="M2361" s="107">
        <v>45825.476678240739</v>
      </c>
      <c r="N2361" s="107"/>
      <c r="O2361" s="107"/>
      <c r="P2361" s="108" t="str">
        <f ca="1">IF(Proc[[#This Row],[DaysAgeing]]&gt;5,"yep","on track")</f>
        <v>on track</v>
      </c>
      <c r="Q2361" s="3">
        <f ca="1">IF(Proc[[#This Row],[DateClosed]]="",ABS(NETWORKDAYS(Proc[[#This Row],[DateOpened]],TODAY()))-1,ABS(NETWORKDAYS(Proc[[#This Row],[DateOpened]],Proc[[#This Row],[DateClosed]]))-1)</f>
        <v>4</v>
      </c>
      <c r="R2361" s="108" t="s">
        <v>780</v>
      </c>
      <c r="S2361" s="96"/>
    </row>
    <row r="2362" spans="1:19" hidden="1">
      <c r="A2362" s="105" t="s">
        <v>4189</v>
      </c>
      <c r="B2362" s="96" t="str">
        <f>IFERROR(VLOOKUP(Proc[[#This Row],[App]],Table2[],3,0),"open")</f>
        <v>ok</v>
      </c>
      <c r="C2362" s="105" t="s">
        <v>369</v>
      </c>
      <c r="D2362" t="s">
        <v>4242</v>
      </c>
      <c r="E2362" t="s">
        <v>4247</v>
      </c>
      <c r="F2362" s="105" t="s">
        <v>4247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1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2563</v>
      </c>
      <c r="M2362" s="107">
        <v>45825.476678240739</v>
      </c>
      <c r="N2362" s="107"/>
      <c r="O2362" s="107"/>
      <c r="P2362" s="108" t="str">
        <f ca="1">IF(Proc[[#This Row],[DaysAgeing]]&gt;5,"yep","on track")</f>
        <v>on track</v>
      </c>
      <c r="Q2362" s="3">
        <f ca="1">IF(Proc[[#This Row],[DateClosed]]="",ABS(NETWORKDAYS(Proc[[#This Row],[DateOpened]],TODAY()))-1,ABS(NETWORKDAYS(Proc[[#This Row],[DateOpened]],Proc[[#This Row],[DateClosed]]))-1)</f>
        <v>4</v>
      </c>
      <c r="R2362" s="108" t="s">
        <v>780</v>
      </c>
      <c r="S2362" s="96"/>
    </row>
    <row r="2363" spans="1:19" hidden="1">
      <c r="A2363" s="105" t="s">
        <v>4189</v>
      </c>
      <c r="B2363" s="96" t="str">
        <f>IFERROR(VLOOKUP(Proc[[#This Row],[App]],Table2[],3,0),"open")</f>
        <v>ok</v>
      </c>
      <c r="C2363" s="105" t="s">
        <v>369</v>
      </c>
      <c r="D2363" t="s">
        <v>4243</v>
      </c>
      <c r="E2363" t="s">
        <v>4247</v>
      </c>
      <c r="F2363" s="105" t="s">
        <v>4247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1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2563</v>
      </c>
      <c r="M2363" s="107">
        <v>45825.476678240739</v>
      </c>
      <c r="N2363" s="107"/>
      <c r="O2363" s="107"/>
      <c r="P2363" s="108" t="str">
        <f ca="1">IF(Proc[[#This Row],[DaysAgeing]]&gt;5,"yep","on track")</f>
        <v>on track</v>
      </c>
      <c r="Q2363" s="3">
        <f ca="1">IF(Proc[[#This Row],[DateClosed]]="",ABS(NETWORKDAYS(Proc[[#This Row],[DateOpened]],TODAY()))-1,ABS(NETWORKDAYS(Proc[[#This Row],[DateOpened]],Proc[[#This Row],[DateClosed]]))-1)</f>
        <v>4</v>
      </c>
      <c r="R2363" s="108" t="s">
        <v>780</v>
      </c>
      <c r="S2363" s="96"/>
    </row>
    <row r="2364" spans="1:19" hidden="1">
      <c r="A2364" s="105" t="s">
        <v>4189</v>
      </c>
      <c r="B2364" s="96" t="str">
        <f>IFERROR(VLOOKUP(Proc[[#This Row],[App]],Table2[],3,0),"open")</f>
        <v>ok</v>
      </c>
      <c r="C2364" s="105" t="s">
        <v>369</v>
      </c>
      <c r="D2364" t="s">
        <v>4244</v>
      </c>
      <c r="E2364" t="s">
        <v>4246</v>
      </c>
      <c r="F2364" s="105" t="s">
        <v>4246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1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2563</v>
      </c>
      <c r="M2364" s="107">
        <v>45825.476678240739</v>
      </c>
      <c r="N2364" s="107"/>
      <c r="O2364" s="107"/>
      <c r="P2364" s="108" t="str">
        <f ca="1">IF(Proc[[#This Row],[DaysAgeing]]&gt;5,"yep","on track")</f>
        <v>on track</v>
      </c>
      <c r="Q2364" s="3">
        <f ca="1">IF(Proc[[#This Row],[DateClosed]]="",ABS(NETWORKDAYS(Proc[[#This Row],[DateOpened]],TODAY()))-1,ABS(NETWORKDAYS(Proc[[#This Row],[DateOpened]],Proc[[#This Row],[DateClosed]]))-1)</f>
        <v>4</v>
      </c>
      <c r="R2364" s="108" t="s">
        <v>780</v>
      </c>
      <c r="S2364" s="96"/>
    </row>
    <row r="2365" spans="1:19" hidden="1">
      <c r="A2365" s="105" t="s">
        <v>4189</v>
      </c>
      <c r="B2365" s="96" t="str">
        <f>IFERROR(VLOOKUP(Proc[[#This Row],[App]],Table2[],3,0),"open")</f>
        <v>ok</v>
      </c>
      <c r="C2365" s="105" t="s">
        <v>369</v>
      </c>
      <c r="D2365" t="s">
        <v>4245</v>
      </c>
      <c r="E2365" t="s">
        <v>4247</v>
      </c>
      <c r="F2365" s="105" t="s">
        <v>4247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1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2563</v>
      </c>
      <c r="M2365" s="107">
        <v>45825.476678240739</v>
      </c>
      <c r="N2365" s="107"/>
      <c r="O2365" s="107"/>
      <c r="P2365" s="108" t="str">
        <f ca="1">IF(Proc[[#This Row],[DaysAgeing]]&gt;5,"yep","on track")</f>
        <v>on track</v>
      </c>
      <c r="Q2365" s="3">
        <f ca="1">IF(Proc[[#This Row],[DateClosed]]="",ABS(NETWORKDAYS(Proc[[#This Row],[DateOpened]],TODAY()))-1,ABS(NETWORKDAYS(Proc[[#This Row],[DateOpened]],Proc[[#This Row],[DateClosed]]))-1)</f>
        <v>4</v>
      </c>
      <c r="R2365" s="108" t="s">
        <v>780</v>
      </c>
      <c r="S2365" s="96"/>
    </row>
    <row r="2366" spans="1:19" hidden="1">
      <c r="A2366" s="105" t="s">
        <v>4189</v>
      </c>
      <c r="B2366" s="96" t="str">
        <f>IFERROR(VLOOKUP(Proc[[#This Row],[App]],Table2[],3,0),"open")</f>
        <v>ok</v>
      </c>
      <c r="C2366" s="105" t="s">
        <v>369</v>
      </c>
      <c r="D2366" t="s">
        <v>4248</v>
      </c>
      <c r="E2366" t="s">
        <v>4246</v>
      </c>
      <c r="F2366" s="96" t="s">
        <v>4246</v>
      </c>
      <c r="G2366" t="s">
        <v>406</v>
      </c>
      <c r="H2366" s="96" t="str">
        <f>IF(Proc[[#This Row],[type]]="LFF (MDG-F)",MID(Proc[[#This Row],[Obj]],13,10),"")</f>
        <v>DE10N11700</v>
      </c>
      <c r="I2366" t="s">
        <v>4289</v>
      </c>
      <c r="J2366" s="96" t="b">
        <f>Proc[[#This Row],[Requested]]=Proc[[#This Row],[CurrentParent]]</f>
        <v>1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2563</v>
      </c>
      <c r="M2366" s="107">
        <v>45825.476678240739</v>
      </c>
      <c r="N2366" s="107"/>
      <c r="O2366" s="107"/>
      <c r="P2366" s="108" t="str">
        <f ca="1">IF(Proc[[#This Row],[DaysAgeing]]&gt;5,"yep","on track")</f>
        <v>on track</v>
      </c>
      <c r="Q2366" s="3">
        <f ca="1">IF(Proc[[#This Row],[DateClosed]]="",ABS(NETWORKDAYS(Proc[[#This Row],[DateOpened]],TODAY()))-1,ABS(NETWORKDAYS(Proc[[#This Row],[DateOpened]],Proc[[#This Row],[DateClosed]]))-1)</f>
        <v>4</v>
      </c>
      <c r="R2366" s="108" t="s">
        <v>780</v>
      </c>
      <c r="S2366" s="96"/>
    </row>
    <row r="2367" spans="1:19" hidden="1">
      <c r="A2367" s="105" t="s">
        <v>4189</v>
      </c>
      <c r="B2367" s="96" t="str">
        <f>IFERROR(VLOOKUP(Proc[[#This Row],[App]],Table2[],3,0),"open")</f>
        <v>ok</v>
      </c>
      <c r="C2367" s="105" t="s">
        <v>369</v>
      </c>
      <c r="D2367" t="s">
        <v>4249</v>
      </c>
      <c r="E2367" t="s">
        <v>4246</v>
      </c>
      <c r="F2367" s="96" t="s">
        <v>4246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4289</v>
      </c>
      <c r="J2367" s="96" t="b">
        <f>Proc[[#This Row],[Requested]]=Proc[[#This Row],[CurrentParent]]</f>
        <v>1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2563</v>
      </c>
      <c r="M2367" s="107">
        <v>45825.476678240739</v>
      </c>
      <c r="N2367" s="107"/>
      <c r="O2367" s="107"/>
      <c r="P2367" s="108" t="str">
        <f ca="1">IF(Proc[[#This Row],[DaysAgeing]]&gt;5,"yep","on track")</f>
        <v>on track</v>
      </c>
      <c r="Q2367" s="3">
        <f ca="1">IF(Proc[[#This Row],[DateClosed]]="",ABS(NETWORKDAYS(Proc[[#This Row],[DateOpened]],TODAY()))-1,ABS(NETWORKDAYS(Proc[[#This Row],[DateOpened]],Proc[[#This Row],[DateClosed]]))-1)</f>
        <v>4</v>
      </c>
      <c r="R2367" s="108" t="s">
        <v>780</v>
      </c>
      <c r="S2367" s="96"/>
    </row>
    <row r="2368" spans="1:19" hidden="1">
      <c r="A2368" s="105" t="s">
        <v>4189</v>
      </c>
      <c r="B2368" s="96" t="str">
        <f>IFERROR(VLOOKUP(Proc[[#This Row],[App]],Table2[],3,0),"open")</f>
        <v>ok</v>
      </c>
      <c r="C2368" s="105" t="s">
        <v>369</v>
      </c>
      <c r="D2368" t="s">
        <v>4250</v>
      </c>
      <c r="E2368" t="s">
        <v>4246</v>
      </c>
      <c r="F2368" s="96" t="s">
        <v>4246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4289</v>
      </c>
      <c r="J2368" s="96" t="b">
        <f>Proc[[#This Row],[Requested]]=Proc[[#This Row],[CurrentParent]]</f>
        <v>1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2563</v>
      </c>
      <c r="M2368" s="107">
        <v>45825.476678240739</v>
      </c>
      <c r="N2368" s="107"/>
      <c r="O2368" s="107"/>
      <c r="P2368" s="108" t="str">
        <f ca="1">IF(Proc[[#This Row],[DaysAgeing]]&gt;5,"yep","on track")</f>
        <v>on track</v>
      </c>
      <c r="Q2368" s="3">
        <f ca="1">IF(Proc[[#This Row],[DateClosed]]="",ABS(NETWORKDAYS(Proc[[#This Row],[DateOpened]],TODAY()))-1,ABS(NETWORKDAYS(Proc[[#This Row],[DateOpened]],Proc[[#This Row],[DateClosed]]))-1)</f>
        <v>4</v>
      </c>
      <c r="R2368" s="108" t="s">
        <v>780</v>
      </c>
      <c r="S2368" s="96"/>
    </row>
    <row r="2369" spans="1:19" hidden="1">
      <c r="A2369" s="105" t="s">
        <v>4189</v>
      </c>
      <c r="B2369" s="96" t="str">
        <f>IFERROR(VLOOKUP(Proc[[#This Row],[App]],Table2[],3,0),"open")</f>
        <v>ok</v>
      </c>
      <c r="C2369" s="105" t="s">
        <v>369</v>
      </c>
      <c r="D2369" t="s">
        <v>4251</v>
      </c>
      <c r="E2369" t="s">
        <v>4246</v>
      </c>
      <c r="F2369" s="96" t="s">
        <v>4246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4289</v>
      </c>
      <c r="J2369" s="96" t="b">
        <f>Proc[[#This Row],[Requested]]=Proc[[#This Row],[CurrentParent]]</f>
        <v>1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2563</v>
      </c>
      <c r="M2369" s="107">
        <v>45825.476678240739</v>
      </c>
      <c r="N2369" s="107"/>
      <c r="O2369" s="107"/>
      <c r="P2369" s="108" t="str">
        <f ca="1">IF(Proc[[#This Row],[DaysAgeing]]&gt;5,"yep","on track")</f>
        <v>on track</v>
      </c>
      <c r="Q2369" s="3">
        <f ca="1">IF(Proc[[#This Row],[DateClosed]]="",ABS(NETWORKDAYS(Proc[[#This Row],[DateOpened]],TODAY()))-1,ABS(NETWORKDAYS(Proc[[#This Row],[DateOpened]],Proc[[#This Row],[DateClosed]]))-1)</f>
        <v>4</v>
      </c>
      <c r="R2369" s="108" t="s">
        <v>780</v>
      </c>
      <c r="S2369" s="96"/>
    </row>
    <row r="2370" spans="1:19" hidden="1">
      <c r="A2370" s="105" t="s">
        <v>4189</v>
      </c>
      <c r="B2370" s="96" t="str">
        <f>IFERROR(VLOOKUP(Proc[[#This Row],[App]],Table2[],3,0),"open")</f>
        <v>ok</v>
      </c>
      <c r="C2370" s="105" t="s">
        <v>369</v>
      </c>
      <c r="D2370" t="s">
        <v>4252</v>
      </c>
      <c r="E2370" t="s">
        <v>4246</v>
      </c>
      <c r="F2370" s="96" t="s">
        <v>4246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4289</v>
      </c>
      <c r="J2370" s="96" t="b">
        <f>Proc[[#This Row],[Requested]]=Proc[[#This Row],[CurrentParent]]</f>
        <v>1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2563</v>
      </c>
      <c r="M2370" s="107">
        <v>45825.476678240739</v>
      </c>
      <c r="N2370" s="107"/>
      <c r="O2370" s="107"/>
      <c r="P2370" s="108" t="str">
        <f ca="1">IF(Proc[[#This Row],[DaysAgeing]]&gt;5,"yep","on track")</f>
        <v>on track</v>
      </c>
      <c r="Q2370" s="3">
        <f ca="1">IF(Proc[[#This Row],[DateClosed]]="",ABS(NETWORKDAYS(Proc[[#This Row],[DateOpened]],TODAY()))-1,ABS(NETWORKDAYS(Proc[[#This Row],[DateOpened]],Proc[[#This Row],[DateClosed]]))-1)</f>
        <v>4</v>
      </c>
      <c r="R2370" s="108" t="s">
        <v>780</v>
      </c>
      <c r="S2370" s="96"/>
    </row>
    <row r="2371" spans="1:19" hidden="1">
      <c r="A2371" s="105" t="s">
        <v>4189</v>
      </c>
      <c r="B2371" s="96" t="str">
        <f>IFERROR(VLOOKUP(Proc[[#This Row],[App]],Table2[],3,0),"open")</f>
        <v>ok</v>
      </c>
      <c r="C2371" s="105" t="s">
        <v>369</v>
      </c>
      <c r="D2371" t="s">
        <v>4253</v>
      </c>
      <c r="E2371" t="s">
        <v>4246</v>
      </c>
      <c r="F2371" s="96" t="s">
        <v>4246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4289</v>
      </c>
      <c r="J2371" s="96" t="b">
        <f>Proc[[#This Row],[Requested]]=Proc[[#This Row],[CurrentParent]]</f>
        <v>1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2563</v>
      </c>
      <c r="M2371" s="107">
        <v>45825.476678240739</v>
      </c>
      <c r="N2371" s="107"/>
      <c r="O2371" s="107"/>
      <c r="P2371" s="108" t="str">
        <f ca="1">IF(Proc[[#This Row],[DaysAgeing]]&gt;5,"yep","on track")</f>
        <v>on track</v>
      </c>
      <c r="Q2371" s="3">
        <f ca="1">IF(Proc[[#This Row],[DateClosed]]="",ABS(NETWORKDAYS(Proc[[#This Row],[DateOpened]],TODAY()))-1,ABS(NETWORKDAYS(Proc[[#This Row],[DateOpened]],Proc[[#This Row],[DateClosed]]))-1)</f>
        <v>4</v>
      </c>
      <c r="R2371" s="108" t="s">
        <v>780</v>
      </c>
      <c r="S2371" s="96"/>
    </row>
    <row r="2372" spans="1:19" hidden="1">
      <c r="A2372" s="105" t="s">
        <v>4189</v>
      </c>
      <c r="B2372" s="96" t="str">
        <f>IFERROR(VLOOKUP(Proc[[#This Row],[App]],Table2[],3,0),"open")</f>
        <v>ok</v>
      </c>
      <c r="C2372" s="105" t="s">
        <v>369</v>
      </c>
      <c r="D2372" t="s">
        <v>4254</v>
      </c>
      <c r="E2372" t="s">
        <v>4246</v>
      </c>
      <c r="F2372" s="96" t="s">
        <v>4246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4289</v>
      </c>
      <c r="J2372" s="96" t="b">
        <f>Proc[[#This Row],[Requested]]=Proc[[#This Row],[CurrentParent]]</f>
        <v>1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2563</v>
      </c>
      <c r="M2372" s="107">
        <v>45825.476678240739</v>
      </c>
      <c r="N2372" s="107"/>
      <c r="O2372" s="107"/>
      <c r="P2372" s="108" t="str">
        <f ca="1">IF(Proc[[#This Row],[DaysAgeing]]&gt;5,"yep","on track")</f>
        <v>on track</v>
      </c>
      <c r="Q2372" s="3">
        <f ca="1">IF(Proc[[#This Row],[DateClosed]]="",ABS(NETWORKDAYS(Proc[[#This Row],[DateOpened]],TODAY()))-1,ABS(NETWORKDAYS(Proc[[#This Row],[DateOpened]],Proc[[#This Row],[DateClosed]]))-1)</f>
        <v>4</v>
      </c>
      <c r="R2372" s="108" t="s">
        <v>780</v>
      </c>
      <c r="S2372" s="96"/>
    </row>
    <row r="2373" spans="1:19" hidden="1">
      <c r="A2373" s="105" t="s">
        <v>4189</v>
      </c>
      <c r="B2373" s="96" t="str">
        <f>IFERROR(VLOOKUP(Proc[[#This Row],[App]],Table2[],3,0),"open")</f>
        <v>ok</v>
      </c>
      <c r="C2373" s="105" t="s">
        <v>369</v>
      </c>
      <c r="D2373" t="s">
        <v>4255</v>
      </c>
      <c r="E2373" t="s">
        <v>4246</v>
      </c>
      <c r="F2373" s="96" t="s">
        <v>4246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4289</v>
      </c>
      <c r="J2373" s="96" t="b">
        <f>Proc[[#This Row],[Requested]]=Proc[[#This Row],[CurrentParent]]</f>
        <v>1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2563</v>
      </c>
      <c r="M2373" s="107">
        <v>45825.476678240739</v>
      </c>
      <c r="N2373" s="107"/>
      <c r="O2373" s="107"/>
      <c r="P2373" s="108" t="str">
        <f ca="1">IF(Proc[[#This Row],[DaysAgeing]]&gt;5,"yep","on track")</f>
        <v>on track</v>
      </c>
      <c r="Q2373" s="3">
        <f ca="1">IF(Proc[[#This Row],[DateClosed]]="",ABS(NETWORKDAYS(Proc[[#This Row],[DateOpened]],TODAY()))-1,ABS(NETWORKDAYS(Proc[[#This Row],[DateOpened]],Proc[[#This Row],[DateClosed]]))-1)</f>
        <v>4</v>
      </c>
      <c r="R2373" s="108" t="s">
        <v>780</v>
      </c>
      <c r="S2373" s="96"/>
    </row>
    <row r="2374" spans="1:19" hidden="1">
      <c r="A2374" s="105" t="s">
        <v>4189</v>
      </c>
      <c r="B2374" s="96" t="str">
        <f>IFERROR(VLOOKUP(Proc[[#This Row],[App]],Table2[],3,0),"open")</f>
        <v>ok</v>
      </c>
      <c r="C2374" s="105" t="s">
        <v>369</v>
      </c>
      <c r="D2374" t="s">
        <v>4256</v>
      </c>
      <c r="E2374" t="s">
        <v>4247</v>
      </c>
      <c r="F2374" s="96" t="s">
        <v>4247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4289</v>
      </c>
      <c r="J2374" s="96" t="b">
        <f>Proc[[#This Row],[Requested]]=Proc[[#This Row],[CurrentParent]]</f>
        <v>1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2563</v>
      </c>
      <c r="M2374" s="107">
        <v>45825.476678240739</v>
      </c>
      <c r="N2374" s="107"/>
      <c r="O2374" s="107"/>
      <c r="P2374" s="108" t="str">
        <f ca="1">IF(Proc[[#This Row],[DaysAgeing]]&gt;5,"yep","on track")</f>
        <v>on track</v>
      </c>
      <c r="Q2374" s="3">
        <f ca="1">IF(Proc[[#This Row],[DateClosed]]="",ABS(NETWORKDAYS(Proc[[#This Row],[DateOpened]],TODAY()))-1,ABS(NETWORKDAYS(Proc[[#This Row],[DateOpened]],Proc[[#This Row],[DateClosed]]))-1)</f>
        <v>4</v>
      </c>
      <c r="R2374" s="108" t="s">
        <v>780</v>
      </c>
      <c r="S2374" s="96"/>
    </row>
    <row r="2375" spans="1:19" hidden="1">
      <c r="A2375" s="105" t="s">
        <v>4189</v>
      </c>
      <c r="B2375" s="96" t="str">
        <f>IFERROR(VLOOKUP(Proc[[#This Row],[App]],Table2[],3,0),"open")</f>
        <v>ok</v>
      </c>
      <c r="C2375" s="105" t="s">
        <v>369</v>
      </c>
      <c r="D2375" t="s">
        <v>4257</v>
      </c>
      <c r="E2375" t="s">
        <v>4247</v>
      </c>
      <c r="F2375" s="96" t="s">
        <v>4247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4289</v>
      </c>
      <c r="J2375" s="96" t="b">
        <f>Proc[[#This Row],[Requested]]=Proc[[#This Row],[CurrentParent]]</f>
        <v>1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2563</v>
      </c>
      <c r="M2375" s="107">
        <v>45825.476678240739</v>
      </c>
      <c r="N2375" s="107"/>
      <c r="O2375" s="107"/>
      <c r="P2375" s="108" t="str">
        <f ca="1">IF(Proc[[#This Row],[DaysAgeing]]&gt;5,"yep","on track")</f>
        <v>on track</v>
      </c>
      <c r="Q2375" s="3">
        <f ca="1">IF(Proc[[#This Row],[DateClosed]]="",ABS(NETWORKDAYS(Proc[[#This Row],[DateOpened]],TODAY()))-1,ABS(NETWORKDAYS(Proc[[#This Row],[DateOpened]],Proc[[#This Row],[DateClosed]]))-1)</f>
        <v>4</v>
      </c>
      <c r="R2375" s="108" t="s">
        <v>780</v>
      </c>
      <c r="S2375" s="96"/>
    </row>
    <row r="2376" spans="1:19" hidden="1">
      <c r="A2376" s="105" t="s">
        <v>4189</v>
      </c>
      <c r="B2376" s="96" t="str">
        <f>IFERROR(VLOOKUP(Proc[[#This Row],[App]],Table2[],3,0),"open")</f>
        <v>ok</v>
      </c>
      <c r="C2376" s="105" t="s">
        <v>369</v>
      </c>
      <c r="D2376" t="s">
        <v>4258</v>
      </c>
      <c r="E2376" t="s">
        <v>4247</v>
      </c>
      <c r="F2376" s="96" t="s">
        <v>4247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4289</v>
      </c>
      <c r="J2376" s="96" t="b">
        <f>Proc[[#This Row],[Requested]]=Proc[[#This Row],[CurrentParent]]</f>
        <v>1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2563</v>
      </c>
      <c r="M2376" s="107">
        <v>45825.476678240739</v>
      </c>
      <c r="N2376" s="107"/>
      <c r="O2376" s="107"/>
      <c r="P2376" s="108" t="str">
        <f ca="1">IF(Proc[[#This Row],[DaysAgeing]]&gt;5,"yep","on track")</f>
        <v>on track</v>
      </c>
      <c r="Q2376" s="3">
        <f ca="1">IF(Proc[[#This Row],[DateClosed]]="",ABS(NETWORKDAYS(Proc[[#This Row],[DateOpened]],TODAY()))-1,ABS(NETWORKDAYS(Proc[[#This Row],[DateOpened]],Proc[[#This Row],[DateClosed]]))-1)</f>
        <v>4</v>
      </c>
      <c r="R2376" s="108" t="s">
        <v>780</v>
      </c>
      <c r="S2376" s="96"/>
    </row>
    <row r="2377" spans="1:19" hidden="1">
      <c r="A2377" s="105" t="s">
        <v>4189</v>
      </c>
      <c r="B2377" s="96" t="str">
        <f>IFERROR(VLOOKUP(Proc[[#This Row],[App]],Table2[],3,0),"open")</f>
        <v>ok</v>
      </c>
      <c r="C2377" s="105" t="s">
        <v>369</v>
      </c>
      <c r="D2377" t="s">
        <v>4259</v>
      </c>
      <c r="E2377" t="s">
        <v>4247</v>
      </c>
      <c r="F2377" s="96" t="s">
        <v>4247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4289</v>
      </c>
      <c r="J2377" s="96" t="b">
        <f>Proc[[#This Row],[Requested]]=Proc[[#This Row],[CurrentParent]]</f>
        <v>1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2563</v>
      </c>
      <c r="M2377" s="107">
        <v>45825.476678240739</v>
      </c>
      <c r="N2377" s="107"/>
      <c r="O2377" s="107"/>
      <c r="P2377" s="108" t="str">
        <f ca="1">IF(Proc[[#This Row],[DaysAgeing]]&gt;5,"yep","on track")</f>
        <v>on track</v>
      </c>
      <c r="Q2377" s="3">
        <f ca="1">IF(Proc[[#This Row],[DateClosed]]="",ABS(NETWORKDAYS(Proc[[#This Row],[DateOpened]],TODAY()))-1,ABS(NETWORKDAYS(Proc[[#This Row],[DateOpened]],Proc[[#This Row],[DateClosed]]))-1)</f>
        <v>4</v>
      </c>
      <c r="R2377" s="108" t="s">
        <v>780</v>
      </c>
      <c r="S2377" s="96"/>
    </row>
    <row r="2378" spans="1:19" hidden="1">
      <c r="A2378" s="105" t="s">
        <v>4189</v>
      </c>
      <c r="B2378" s="96" t="str">
        <f>IFERROR(VLOOKUP(Proc[[#This Row],[App]],Table2[],3,0),"open")</f>
        <v>ok</v>
      </c>
      <c r="C2378" s="105" t="s">
        <v>369</v>
      </c>
      <c r="D2378" t="s">
        <v>4260</v>
      </c>
      <c r="E2378" t="s">
        <v>4247</v>
      </c>
      <c r="F2378" s="96" t="s">
        <v>4247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4289</v>
      </c>
      <c r="J2378" s="96" t="b">
        <f>Proc[[#This Row],[Requested]]=Proc[[#This Row],[CurrentParent]]</f>
        <v>1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2563</v>
      </c>
      <c r="M2378" s="107">
        <v>45825.476678240739</v>
      </c>
      <c r="N2378" s="107"/>
      <c r="O2378" s="107"/>
      <c r="P2378" s="108" t="str">
        <f ca="1">IF(Proc[[#This Row],[DaysAgeing]]&gt;5,"yep","on track")</f>
        <v>on track</v>
      </c>
      <c r="Q2378" s="3">
        <f ca="1">IF(Proc[[#This Row],[DateClosed]]="",ABS(NETWORKDAYS(Proc[[#This Row],[DateOpened]],TODAY()))-1,ABS(NETWORKDAYS(Proc[[#This Row],[DateOpened]],Proc[[#This Row],[DateClosed]]))-1)</f>
        <v>4</v>
      </c>
      <c r="R2378" s="108" t="s">
        <v>780</v>
      </c>
      <c r="S2378" s="96"/>
    </row>
    <row r="2379" spans="1:19" hidden="1">
      <c r="A2379" s="105" t="s">
        <v>4189</v>
      </c>
      <c r="B2379" s="96" t="str">
        <f>IFERROR(VLOOKUP(Proc[[#This Row],[App]],Table2[],3,0),"open")</f>
        <v>ok</v>
      </c>
      <c r="C2379" s="105" t="s">
        <v>369</v>
      </c>
      <c r="D2379" t="s">
        <v>4261</v>
      </c>
      <c r="E2379" t="s">
        <v>4247</v>
      </c>
      <c r="F2379" s="96" t="s">
        <v>4247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4289</v>
      </c>
      <c r="J2379" s="96" t="b">
        <f>Proc[[#This Row],[Requested]]=Proc[[#This Row],[CurrentParent]]</f>
        <v>1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2563</v>
      </c>
      <c r="M2379" s="107">
        <v>45825.476678240739</v>
      </c>
      <c r="N2379" s="107"/>
      <c r="O2379" s="107"/>
      <c r="P2379" s="108" t="str">
        <f ca="1">IF(Proc[[#This Row],[DaysAgeing]]&gt;5,"yep","on track")</f>
        <v>on track</v>
      </c>
      <c r="Q2379" s="3">
        <f ca="1">IF(Proc[[#This Row],[DateClosed]]="",ABS(NETWORKDAYS(Proc[[#This Row],[DateOpened]],TODAY()))-1,ABS(NETWORKDAYS(Proc[[#This Row],[DateOpened]],Proc[[#This Row],[DateClosed]]))-1)</f>
        <v>4</v>
      </c>
      <c r="R2379" s="108" t="s">
        <v>780</v>
      </c>
      <c r="S2379" s="96"/>
    </row>
    <row r="2380" spans="1:19" hidden="1">
      <c r="A2380" s="105" t="s">
        <v>4189</v>
      </c>
      <c r="B2380" s="96" t="str">
        <f>IFERROR(VLOOKUP(Proc[[#This Row],[App]],Table2[],3,0),"open")</f>
        <v>ok</v>
      </c>
      <c r="C2380" s="105" t="s">
        <v>369</v>
      </c>
      <c r="D2380" t="s">
        <v>4262</v>
      </c>
      <c r="E2380" t="s">
        <v>4247</v>
      </c>
      <c r="F2380" s="96" t="s">
        <v>4247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4289</v>
      </c>
      <c r="J2380" s="96" t="b">
        <f>Proc[[#This Row],[Requested]]=Proc[[#This Row],[CurrentParent]]</f>
        <v>1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2563</v>
      </c>
      <c r="M2380" s="107">
        <v>45825.476678240739</v>
      </c>
      <c r="N2380" s="107"/>
      <c r="O2380" s="107"/>
      <c r="P2380" s="108" t="str">
        <f ca="1">IF(Proc[[#This Row],[DaysAgeing]]&gt;5,"yep","on track")</f>
        <v>on track</v>
      </c>
      <c r="Q2380" s="3">
        <f ca="1">IF(Proc[[#This Row],[DateClosed]]="",ABS(NETWORKDAYS(Proc[[#This Row],[DateOpened]],TODAY()))-1,ABS(NETWORKDAYS(Proc[[#This Row],[DateOpened]],Proc[[#This Row],[DateClosed]]))-1)</f>
        <v>4</v>
      </c>
      <c r="R2380" s="108" t="s">
        <v>780</v>
      </c>
      <c r="S2380" s="96"/>
    </row>
    <row r="2381" spans="1:19" hidden="1">
      <c r="A2381" s="105" t="s">
        <v>4189</v>
      </c>
      <c r="B2381" s="96" t="str">
        <f>IFERROR(VLOOKUP(Proc[[#This Row],[App]],Table2[],3,0),"open")</f>
        <v>ok</v>
      </c>
      <c r="C2381" s="105" t="s">
        <v>369</v>
      </c>
      <c r="D2381" t="s">
        <v>4263</v>
      </c>
      <c r="E2381" t="s">
        <v>4247</v>
      </c>
      <c r="F2381" s="96" t="s">
        <v>4247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4289</v>
      </c>
      <c r="J2381" s="96" t="b">
        <f>Proc[[#This Row],[Requested]]=Proc[[#This Row],[CurrentParent]]</f>
        <v>1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2563</v>
      </c>
      <c r="M2381" s="107">
        <v>45825.476678240739</v>
      </c>
      <c r="N2381" s="107"/>
      <c r="O2381" s="107"/>
      <c r="P2381" s="108" t="str">
        <f ca="1">IF(Proc[[#This Row],[DaysAgeing]]&gt;5,"yep","on track")</f>
        <v>on track</v>
      </c>
      <c r="Q2381" s="3">
        <f ca="1">IF(Proc[[#This Row],[DateClosed]]="",ABS(NETWORKDAYS(Proc[[#This Row],[DateOpened]],TODAY()))-1,ABS(NETWORKDAYS(Proc[[#This Row],[DateOpened]],Proc[[#This Row],[DateClosed]]))-1)</f>
        <v>4</v>
      </c>
      <c r="R2381" s="108" t="s">
        <v>780</v>
      </c>
      <c r="S2381" s="96"/>
    </row>
    <row r="2382" spans="1:19" hidden="1">
      <c r="A2382" s="105" t="s">
        <v>4189</v>
      </c>
      <c r="B2382" s="96" t="str">
        <f>IFERROR(VLOOKUP(Proc[[#This Row],[App]],Table2[],3,0),"open")</f>
        <v>ok</v>
      </c>
      <c r="C2382" s="105" t="s">
        <v>369</v>
      </c>
      <c r="D2382" t="s">
        <v>4264</v>
      </c>
      <c r="E2382" t="s">
        <v>4247</v>
      </c>
      <c r="F2382" s="96" t="s">
        <v>4247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4289</v>
      </c>
      <c r="J2382" s="96" t="b">
        <f>Proc[[#This Row],[Requested]]=Proc[[#This Row],[CurrentParent]]</f>
        <v>1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2563</v>
      </c>
      <c r="M2382" s="107">
        <v>45825.476678240739</v>
      </c>
      <c r="N2382" s="107"/>
      <c r="O2382" s="107"/>
      <c r="P2382" s="108" t="str">
        <f ca="1">IF(Proc[[#This Row],[DaysAgeing]]&gt;5,"yep","on track")</f>
        <v>on track</v>
      </c>
      <c r="Q2382" s="3">
        <f ca="1">IF(Proc[[#This Row],[DateClosed]]="",ABS(NETWORKDAYS(Proc[[#This Row],[DateOpened]],TODAY()))-1,ABS(NETWORKDAYS(Proc[[#This Row],[DateOpened]],Proc[[#This Row],[DateClosed]]))-1)</f>
        <v>4</v>
      </c>
      <c r="R2382" s="108" t="s">
        <v>780</v>
      </c>
      <c r="S2382" s="96"/>
    </row>
    <row r="2383" spans="1:19" hidden="1">
      <c r="A2383" s="105" t="s">
        <v>4189</v>
      </c>
      <c r="B2383" s="96" t="str">
        <f>IFERROR(VLOOKUP(Proc[[#This Row],[App]],Table2[],3,0),"open")</f>
        <v>ok</v>
      </c>
      <c r="C2383" s="105" t="s">
        <v>369</v>
      </c>
      <c r="D2383" t="s">
        <v>4265</v>
      </c>
      <c r="E2383" t="s">
        <v>4247</v>
      </c>
      <c r="F2383" s="96" t="s">
        <v>4247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4289</v>
      </c>
      <c r="J2383" s="96" t="b">
        <f>Proc[[#This Row],[Requested]]=Proc[[#This Row],[CurrentParent]]</f>
        <v>1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2563</v>
      </c>
      <c r="M2383" s="107">
        <v>45825.476678240739</v>
      </c>
      <c r="N2383" s="107"/>
      <c r="O2383" s="107"/>
      <c r="P2383" s="108" t="str">
        <f ca="1">IF(Proc[[#This Row],[DaysAgeing]]&gt;5,"yep","on track")</f>
        <v>on track</v>
      </c>
      <c r="Q2383" s="3">
        <f ca="1">IF(Proc[[#This Row],[DateClosed]]="",ABS(NETWORKDAYS(Proc[[#This Row],[DateOpened]],TODAY()))-1,ABS(NETWORKDAYS(Proc[[#This Row],[DateOpened]],Proc[[#This Row],[DateClosed]]))-1)</f>
        <v>4</v>
      </c>
      <c r="R2383" s="108" t="s">
        <v>780</v>
      </c>
      <c r="S2383" s="96"/>
    </row>
    <row r="2384" spans="1:19" hidden="1">
      <c r="A2384" s="105" t="s">
        <v>4189</v>
      </c>
      <c r="B2384" s="96" t="str">
        <f>IFERROR(VLOOKUP(Proc[[#This Row],[App]],Table2[],3,0),"open")</f>
        <v>ok</v>
      </c>
      <c r="C2384" s="105" t="s">
        <v>369</v>
      </c>
      <c r="D2384" t="s">
        <v>4266</v>
      </c>
      <c r="E2384" t="s">
        <v>4247</v>
      </c>
      <c r="F2384" s="96" t="s">
        <v>4247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4289</v>
      </c>
      <c r="J2384" s="96" t="b">
        <f>Proc[[#This Row],[Requested]]=Proc[[#This Row],[CurrentParent]]</f>
        <v>1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2563</v>
      </c>
      <c r="M2384" s="107">
        <v>45825.476678240739</v>
      </c>
      <c r="N2384" s="107"/>
      <c r="O2384" s="107"/>
      <c r="P2384" s="108" t="str">
        <f ca="1">IF(Proc[[#This Row],[DaysAgeing]]&gt;5,"yep","on track")</f>
        <v>on track</v>
      </c>
      <c r="Q2384" s="3">
        <f ca="1">IF(Proc[[#This Row],[DateClosed]]="",ABS(NETWORKDAYS(Proc[[#This Row],[DateOpened]],TODAY()))-1,ABS(NETWORKDAYS(Proc[[#This Row],[DateOpened]],Proc[[#This Row],[DateClosed]]))-1)</f>
        <v>4</v>
      </c>
      <c r="R2384" s="108" t="s">
        <v>780</v>
      </c>
      <c r="S2384" s="96"/>
    </row>
    <row r="2385" spans="1:19" hidden="1">
      <c r="A2385" s="105" t="s">
        <v>4189</v>
      </c>
      <c r="B2385" s="96" t="str">
        <f>IFERROR(VLOOKUP(Proc[[#This Row],[App]],Table2[],3,0),"open")</f>
        <v>ok</v>
      </c>
      <c r="C2385" s="105" t="s">
        <v>369</v>
      </c>
      <c r="D2385" t="s">
        <v>4267</v>
      </c>
      <c r="E2385" t="s">
        <v>4247</v>
      </c>
      <c r="F2385" s="96" t="s">
        <v>4247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4289</v>
      </c>
      <c r="J2385" s="96" t="b">
        <f>Proc[[#This Row],[Requested]]=Proc[[#This Row],[CurrentParent]]</f>
        <v>1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2563</v>
      </c>
      <c r="M2385" s="107">
        <v>45825.476678240739</v>
      </c>
      <c r="N2385" s="107"/>
      <c r="O2385" s="107"/>
      <c r="P2385" s="108" t="str">
        <f ca="1">IF(Proc[[#This Row],[DaysAgeing]]&gt;5,"yep","on track")</f>
        <v>on track</v>
      </c>
      <c r="Q2385" s="3">
        <f ca="1">IF(Proc[[#This Row],[DateClosed]]="",ABS(NETWORKDAYS(Proc[[#This Row],[DateOpened]],TODAY()))-1,ABS(NETWORKDAYS(Proc[[#This Row],[DateOpened]],Proc[[#This Row],[DateClosed]]))-1)</f>
        <v>4</v>
      </c>
      <c r="R2385" s="108" t="s">
        <v>780</v>
      </c>
      <c r="S2385" s="96"/>
    </row>
    <row r="2386" spans="1:19" hidden="1">
      <c r="A2386" s="105" t="s">
        <v>4189</v>
      </c>
      <c r="B2386" s="96" t="str">
        <f>IFERROR(VLOOKUP(Proc[[#This Row],[App]],Table2[],3,0),"open")</f>
        <v>ok</v>
      </c>
      <c r="C2386" s="105" t="s">
        <v>369</v>
      </c>
      <c r="D2386" t="s">
        <v>4268</v>
      </c>
      <c r="E2386" t="s">
        <v>4247</v>
      </c>
      <c r="F2386" s="96" t="s">
        <v>4247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4289</v>
      </c>
      <c r="J2386" s="96" t="b">
        <f>Proc[[#This Row],[Requested]]=Proc[[#This Row],[CurrentParent]]</f>
        <v>1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2563</v>
      </c>
      <c r="M2386" s="107">
        <v>45825.476678240739</v>
      </c>
      <c r="N2386" s="107"/>
      <c r="O2386" s="107"/>
      <c r="P2386" s="108" t="str">
        <f ca="1">IF(Proc[[#This Row],[DaysAgeing]]&gt;5,"yep","on track")</f>
        <v>on track</v>
      </c>
      <c r="Q2386" s="3">
        <f ca="1">IF(Proc[[#This Row],[DateClosed]]="",ABS(NETWORKDAYS(Proc[[#This Row],[DateOpened]],TODAY()))-1,ABS(NETWORKDAYS(Proc[[#This Row],[DateOpened]],Proc[[#This Row],[DateClosed]]))-1)</f>
        <v>4</v>
      </c>
      <c r="R2386" s="108" t="s">
        <v>780</v>
      </c>
      <c r="S2386" s="96"/>
    </row>
    <row r="2387" spans="1:19" hidden="1">
      <c r="A2387" s="105" t="s">
        <v>4189</v>
      </c>
      <c r="B2387" s="96" t="str">
        <f>IFERROR(VLOOKUP(Proc[[#This Row],[App]],Table2[],3,0),"open")</f>
        <v>ok</v>
      </c>
      <c r="C2387" s="105" t="s">
        <v>369</v>
      </c>
      <c r="D2387" t="s">
        <v>4269</v>
      </c>
      <c r="E2387" t="s">
        <v>4247</v>
      </c>
      <c r="F2387" s="96" t="s">
        <v>4247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4289</v>
      </c>
      <c r="J2387" s="96" t="b">
        <f>Proc[[#This Row],[Requested]]=Proc[[#This Row],[CurrentParent]]</f>
        <v>1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2563</v>
      </c>
      <c r="M2387" s="107">
        <v>45825.476678240739</v>
      </c>
      <c r="N2387" s="107"/>
      <c r="O2387" s="107"/>
      <c r="P2387" s="108" t="str">
        <f ca="1">IF(Proc[[#This Row],[DaysAgeing]]&gt;5,"yep","on track")</f>
        <v>on track</v>
      </c>
      <c r="Q2387" s="3">
        <f ca="1">IF(Proc[[#This Row],[DateClosed]]="",ABS(NETWORKDAYS(Proc[[#This Row],[DateOpened]],TODAY()))-1,ABS(NETWORKDAYS(Proc[[#This Row],[DateOpened]],Proc[[#This Row],[DateClosed]]))-1)</f>
        <v>4</v>
      </c>
      <c r="R2387" s="108" t="s">
        <v>780</v>
      </c>
      <c r="S2387" s="96"/>
    </row>
    <row r="2388" spans="1:19" hidden="1">
      <c r="A2388" s="105" t="s">
        <v>4189</v>
      </c>
      <c r="B2388" s="96" t="str">
        <f>IFERROR(VLOOKUP(Proc[[#This Row],[App]],Table2[],3,0),"open")</f>
        <v>ok</v>
      </c>
      <c r="C2388" s="105" t="s">
        <v>369</v>
      </c>
      <c r="D2388" t="s">
        <v>4270</v>
      </c>
      <c r="E2388" t="s">
        <v>4247</v>
      </c>
      <c r="F2388" s="96" t="s">
        <v>4247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4289</v>
      </c>
      <c r="J2388" s="96" t="b">
        <f>Proc[[#This Row],[Requested]]=Proc[[#This Row],[CurrentParent]]</f>
        <v>1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2563</v>
      </c>
      <c r="M2388" s="107">
        <v>45825.476678240739</v>
      </c>
      <c r="N2388" s="107"/>
      <c r="O2388" s="107"/>
      <c r="P2388" s="108" t="str">
        <f ca="1">IF(Proc[[#This Row],[DaysAgeing]]&gt;5,"yep","on track")</f>
        <v>on track</v>
      </c>
      <c r="Q2388" s="3">
        <f ca="1">IF(Proc[[#This Row],[DateClosed]]="",ABS(NETWORKDAYS(Proc[[#This Row],[DateOpened]],TODAY()))-1,ABS(NETWORKDAYS(Proc[[#This Row],[DateOpened]],Proc[[#This Row],[DateClosed]]))-1)</f>
        <v>4</v>
      </c>
      <c r="R2388" s="108" t="s">
        <v>780</v>
      </c>
      <c r="S2388" s="96"/>
    </row>
    <row r="2389" spans="1:19" hidden="1">
      <c r="A2389" s="105" t="s">
        <v>4189</v>
      </c>
      <c r="B2389" s="96" t="str">
        <f>IFERROR(VLOOKUP(Proc[[#This Row],[App]],Table2[],3,0),"open")</f>
        <v>ok</v>
      </c>
      <c r="C2389" s="105" t="s">
        <v>369</v>
      </c>
      <c r="D2389" t="s">
        <v>4271</v>
      </c>
      <c r="E2389" t="s">
        <v>4247</v>
      </c>
      <c r="F2389" s="96" t="s">
        <v>4247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4289</v>
      </c>
      <c r="J2389" s="96" t="b">
        <f>Proc[[#This Row],[Requested]]=Proc[[#This Row],[CurrentParent]]</f>
        <v>1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2563</v>
      </c>
      <c r="M2389" s="107">
        <v>45825.476678240739</v>
      </c>
      <c r="N2389" s="107"/>
      <c r="O2389" s="107"/>
      <c r="P2389" s="108" t="str">
        <f ca="1">IF(Proc[[#This Row],[DaysAgeing]]&gt;5,"yep","on track")</f>
        <v>on track</v>
      </c>
      <c r="Q2389" s="3">
        <f ca="1">IF(Proc[[#This Row],[DateClosed]]="",ABS(NETWORKDAYS(Proc[[#This Row],[DateOpened]],TODAY()))-1,ABS(NETWORKDAYS(Proc[[#This Row],[DateOpened]],Proc[[#This Row],[DateClosed]]))-1)</f>
        <v>4</v>
      </c>
      <c r="R2389" s="108" t="s">
        <v>780</v>
      </c>
      <c r="S2389" s="96"/>
    </row>
    <row r="2390" spans="1:19" hidden="1">
      <c r="A2390" s="105" t="s">
        <v>4189</v>
      </c>
      <c r="B2390" s="96" t="str">
        <f>IFERROR(VLOOKUP(Proc[[#This Row],[App]],Table2[],3,0),"open")</f>
        <v>ok</v>
      </c>
      <c r="C2390" s="105" t="s">
        <v>369</v>
      </c>
      <c r="D2390" t="s">
        <v>4272</v>
      </c>
      <c r="E2390" t="s">
        <v>4247</v>
      </c>
      <c r="F2390" s="96" t="s">
        <v>4247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4289</v>
      </c>
      <c r="J2390" s="96" t="b">
        <f>Proc[[#This Row],[Requested]]=Proc[[#This Row],[CurrentParent]]</f>
        <v>1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2563</v>
      </c>
      <c r="M2390" s="107">
        <v>45825.476678240739</v>
      </c>
      <c r="N2390" s="107"/>
      <c r="O2390" s="107"/>
      <c r="P2390" s="108" t="str">
        <f ca="1">IF(Proc[[#This Row],[DaysAgeing]]&gt;5,"yep","on track")</f>
        <v>on track</v>
      </c>
      <c r="Q2390" s="3">
        <f ca="1">IF(Proc[[#This Row],[DateClosed]]="",ABS(NETWORKDAYS(Proc[[#This Row],[DateOpened]],TODAY()))-1,ABS(NETWORKDAYS(Proc[[#This Row],[DateOpened]],Proc[[#This Row],[DateClosed]]))-1)</f>
        <v>4</v>
      </c>
      <c r="R2390" s="108" t="s">
        <v>780</v>
      </c>
      <c r="S2390" s="96"/>
    </row>
    <row r="2391" spans="1:19" hidden="1">
      <c r="A2391" s="105" t="s">
        <v>4189</v>
      </c>
      <c r="B2391" s="96" t="str">
        <f>IFERROR(VLOOKUP(Proc[[#This Row],[App]],Table2[],3,0),"open")</f>
        <v>ok</v>
      </c>
      <c r="C2391" s="105" t="s">
        <v>369</v>
      </c>
      <c r="D2391" t="s">
        <v>4273</v>
      </c>
      <c r="E2391" t="s">
        <v>4247</v>
      </c>
      <c r="F2391" s="96" t="s">
        <v>4247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4289</v>
      </c>
      <c r="J2391" s="96" t="b">
        <f>Proc[[#This Row],[Requested]]=Proc[[#This Row],[CurrentParent]]</f>
        <v>1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2563</v>
      </c>
      <c r="M2391" s="107">
        <v>45825.476678240739</v>
      </c>
      <c r="N2391" s="107"/>
      <c r="O2391" s="107"/>
      <c r="P2391" s="108" t="str">
        <f ca="1">IF(Proc[[#This Row],[DaysAgeing]]&gt;5,"yep","on track")</f>
        <v>on track</v>
      </c>
      <c r="Q2391" s="3">
        <f ca="1">IF(Proc[[#This Row],[DateClosed]]="",ABS(NETWORKDAYS(Proc[[#This Row],[DateOpened]],TODAY()))-1,ABS(NETWORKDAYS(Proc[[#This Row],[DateOpened]],Proc[[#This Row],[DateClosed]]))-1)</f>
        <v>4</v>
      </c>
      <c r="R2391" s="108" t="s">
        <v>780</v>
      </c>
      <c r="S2391" s="96"/>
    </row>
    <row r="2392" spans="1:19" hidden="1">
      <c r="A2392" t="s">
        <v>4288</v>
      </c>
      <c r="B2392" s="96" t="str">
        <f>IFERROR(VLOOKUP(Proc[[#This Row],[App]],Table2[],3,0),"open")</f>
        <v>ok</v>
      </c>
      <c r="C2392" s="105" t="s">
        <v>369</v>
      </c>
      <c r="D2392" t="s">
        <v>4274</v>
      </c>
      <c r="E2392" t="s">
        <v>419</v>
      </c>
      <c r="F2392" s="96" t="s">
        <v>419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1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2563</v>
      </c>
      <c r="M2392" s="107">
        <v>45825.508958333332</v>
      </c>
      <c r="N2392" s="107"/>
      <c r="O2392" s="107"/>
      <c r="P2392" s="108" t="str">
        <f ca="1">IF(Proc[[#This Row],[DaysAgeing]]&gt;5,"yep","on track")</f>
        <v>on track</v>
      </c>
      <c r="Q2392" s="3">
        <f ca="1">IF(Proc[[#This Row],[DateClosed]]="",ABS(NETWORKDAYS(Proc[[#This Row],[DateOpened]],TODAY()))-1,ABS(NETWORKDAYS(Proc[[#This Row],[DateOpened]],Proc[[#This Row],[DateClosed]]))-1)</f>
        <v>4</v>
      </c>
      <c r="R2392" s="108" t="s">
        <v>780</v>
      </c>
      <c r="S2392" s="96"/>
    </row>
    <row r="2393" spans="1:19" hidden="1">
      <c r="A2393" s="105" t="s">
        <v>4288</v>
      </c>
      <c r="B2393" s="96" t="str">
        <f>IFERROR(VLOOKUP(Proc[[#This Row],[App]],Table2[],3,0),"open")</f>
        <v>ok</v>
      </c>
      <c r="C2393" s="105" t="s">
        <v>369</v>
      </c>
      <c r="D2393" t="s">
        <v>4275</v>
      </c>
      <c r="E2393" t="s">
        <v>419</v>
      </c>
      <c r="F2393" s="96" t="s">
        <v>419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1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2563</v>
      </c>
      <c r="M2393" s="107">
        <v>45825.508958333332</v>
      </c>
      <c r="N2393" s="107"/>
      <c r="O2393" s="107"/>
      <c r="P2393" s="108" t="str">
        <f ca="1">IF(Proc[[#This Row],[DaysAgeing]]&gt;5,"yep","on track")</f>
        <v>on track</v>
      </c>
      <c r="Q2393" s="3">
        <f ca="1">IF(Proc[[#This Row],[DateClosed]]="",ABS(NETWORKDAYS(Proc[[#This Row],[DateOpened]],TODAY()))-1,ABS(NETWORKDAYS(Proc[[#This Row],[DateOpened]],Proc[[#This Row],[DateClosed]]))-1)</f>
        <v>4</v>
      </c>
      <c r="R2393" s="108" t="s">
        <v>780</v>
      </c>
      <c r="S2393" s="96"/>
    </row>
    <row r="2394" spans="1:19" hidden="1">
      <c r="A2394" s="105" t="s">
        <v>4288</v>
      </c>
      <c r="B2394" s="96" t="str">
        <f>IFERROR(VLOOKUP(Proc[[#This Row],[App]],Table2[],3,0),"open")</f>
        <v>ok</v>
      </c>
      <c r="C2394" s="105" t="s">
        <v>369</v>
      </c>
      <c r="D2394" t="s">
        <v>4276</v>
      </c>
      <c r="E2394" t="s">
        <v>419</v>
      </c>
      <c r="F2394" s="96" t="s">
        <v>419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1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2563</v>
      </c>
      <c r="M2394" s="107">
        <v>45825.508958333332</v>
      </c>
      <c r="N2394" s="107"/>
      <c r="O2394" s="107"/>
      <c r="P2394" s="108" t="str">
        <f ca="1">IF(Proc[[#This Row],[DaysAgeing]]&gt;5,"yep","on track")</f>
        <v>on track</v>
      </c>
      <c r="Q2394" s="3">
        <f ca="1">IF(Proc[[#This Row],[DateClosed]]="",ABS(NETWORKDAYS(Proc[[#This Row],[DateOpened]],TODAY()))-1,ABS(NETWORKDAYS(Proc[[#This Row],[DateOpened]],Proc[[#This Row],[DateClosed]]))-1)</f>
        <v>4</v>
      </c>
      <c r="R2394" s="108" t="s">
        <v>780</v>
      </c>
      <c r="S2394" s="96"/>
    </row>
    <row r="2395" spans="1:19" hidden="1">
      <c r="A2395" s="105" t="s">
        <v>4288</v>
      </c>
      <c r="B2395" s="96" t="str">
        <f>IFERROR(VLOOKUP(Proc[[#This Row],[App]],Table2[],3,0),"open")</f>
        <v>ok</v>
      </c>
      <c r="C2395" s="105" t="s">
        <v>369</v>
      </c>
      <c r="D2395" t="s">
        <v>4277</v>
      </c>
      <c r="E2395" t="s">
        <v>419</v>
      </c>
      <c r="F2395" s="96" t="s">
        <v>419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1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2563</v>
      </c>
      <c r="M2395" s="107">
        <v>45825.508958333332</v>
      </c>
      <c r="N2395" s="107"/>
      <c r="O2395" s="107"/>
      <c r="P2395" s="108" t="str">
        <f ca="1">IF(Proc[[#This Row],[DaysAgeing]]&gt;5,"yep","on track")</f>
        <v>on track</v>
      </c>
      <c r="Q2395" s="3">
        <f ca="1">IF(Proc[[#This Row],[DateClosed]]="",ABS(NETWORKDAYS(Proc[[#This Row],[DateOpened]],TODAY()))-1,ABS(NETWORKDAYS(Proc[[#This Row],[DateOpened]],Proc[[#This Row],[DateClosed]]))-1)</f>
        <v>4</v>
      </c>
      <c r="R2395" s="108" t="s">
        <v>780</v>
      </c>
      <c r="S2395" s="96"/>
    </row>
    <row r="2396" spans="1:19" hidden="1">
      <c r="A2396" s="105" t="s">
        <v>4288</v>
      </c>
      <c r="B2396" s="96" t="str">
        <f>IFERROR(VLOOKUP(Proc[[#This Row],[App]],Table2[],3,0),"open")</f>
        <v>ok</v>
      </c>
      <c r="C2396" s="105" t="s">
        <v>369</v>
      </c>
      <c r="D2396" t="s">
        <v>4278</v>
      </c>
      <c r="E2396" t="s">
        <v>419</v>
      </c>
      <c r="F2396" s="96" t="s">
        <v>419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1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2563</v>
      </c>
      <c r="M2396" s="107">
        <v>45825.508958333332</v>
      </c>
      <c r="N2396" s="107"/>
      <c r="O2396" s="107"/>
      <c r="P2396" s="108" t="str">
        <f ca="1">IF(Proc[[#This Row],[DaysAgeing]]&gt;5,"yep","on track")</f>
        <v>on track</v>
      </c>
      <c r="Q2396" s="3">
        <f ca="1">IF(Proc[[#This Row],[DateClosed]]="",ABS(NETWORKDAYS(Proc[[#This Row],[DateOpened]],TODAY()))-1,ABS(NETWORKDAYS(Proc[[#This Row],[DateOpened]],Proc[[#This Row],[DateClosed]]))-1)</f>
        <v>4</v>
      </c>
      <c r="R2396" s="108" t="s">
        <v>780</v>
      </c>
      <c r="S2396" s="96"/>
    </row>
    <row r="2397" spans="1:19" hidden="1">
      <c r="A2397" s="105" t="s">
        <v>4288</v>
      </c>
      <c r="B2397" s="96" t="str">
        <f>IFERROR(VLOOKUP(Proc[[#This Row],[App]],Table2[],3,0),"open")</f>
        <v>ok</v>
      </c>
      <c r="C2397" s="105" t="s">
        <v>369</v>
      </c>
      <c r="D2397" t="s">
        <v>4279</v>
      </c>
      <c r="E2397" t="s">
        <v>419</v>
      </c>
      <c r="F2397" s="96" t="s">
        <v>419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1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2563</v>
      </c>
      <c r="M2397" s="107">
        <v>45825.508958333332</v>
      </c>
      <c r="N2397" s="107"/>
      <c r="O2397" s="107"/>
      <c r="P2397" s="108" t="str">
        <f ca="1">IF(Proc[[#This Row],[DaysAgeing]]&gt;5,"yep","on track")</f>
        <v>on track</v>
      </c>
      <c r="Q2397" s="3">
        <f ca="1">IF(Proc[[#This Row],[DateClosed]]="",ABS(NETWORKDAYS(Proc[[#This Row],[DateOpened]],TODAY()))-1,ABS(NETWORKDAYS(Proc[[#This Row],[DateOpened]],Proc[[#This Row],[DateClosed]]))-1)</f>
        <v>4</v>
      </c>
      <c r="R2397" s="108" t="s">
        <v>780</v>
      </c>
      <c r="S2397" s="96"/>
    </row>
    <row r="2398" spans="1:19" hidden="1">
      <c r="A2398" s="105" t="s">
        <v>4288</v>
      </c>
      <c r="B2398" s="96" t="str">
        <f>IFERROR(VLOOKUP(Proc[[#This Row],[App]],Table2[],3,0),"open")</f>
        <v>ok</v>
      </c>
      <c r="C2398" s="105" t="s">
        <v>369</v>
      </c>
      <c r="D2398" t="s">
        <v>4280</v>
      </c>
      <c r="E2398" t="s">
        <v>419</v>
      </c>
      <c r="F2398" s="96" t="s">
        <v>419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1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2563</v>
      </c>
      <c r="M2398" s="107">
        <v>45825.508958333332</v>
      </c>
      <c r="N2398" s="107"/>
      <c r="O2398" s="107"/>
      <c r="P2398" s="108" t="str">
        <f ca="1">IF(Proc[[#This Row],[DaysAgeing]]&gt;5,"yep","on track")</f>
        <v>on track</v>
      </c>
      <c r="Q2398" s="3">
        <f ca="1">IF(Proc[[#This Row],[DateClosed]]="",ABS(NETWORKDAYS(Proc[[#This Row],[DateOpened]],TODAY()))-1,ABS(NETWORKDAYS(Proc[[#This Row],[DateOpened]],Proc[[#This Row],[DateClosed]]))-1)</f>
        <v>4</v>
      </c>
      <c r="R2398" s="108" t="s">
        <v>780</v>
      </c>
      <c r="S2398" s="96"/>
    </row>
    <row r="2399" spans="1:19" hidden="1">
      <c r="A2399" s="105" t="s">
        <v>4288</v>
      </c>
      <c r="B2399" s="96" t="str">
        <f>IFERROR(VLOOKUP(Proc[[#This Row],[App]],Table2[],3,0),"open")</f>
        <v>ok</v>
      </c>
      <c r="C2399" s="105" t="s">
        <v>369</v>
      </c>
      <c r="D2399" t="s">
        <v>4281</v>
      </c>
      <c r="E2399" t="s">
        <v>419</v>
      </c>
      <c r="F2399" s="96" t="s">
        <v>419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1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2563</v>
      </c>
      <c r="M2399" s="107">
        <v>45825.508958333332</v>
      </c>
      <c r="N2399" s="107"/>
      <c r="O2399" s="107"/>
      <c r="P2399" s="108" t="str">
        <f ca="1">IF(Proc[[#This Row],[DaysAgeing]]&gt;5,"yep","on track")</f>
        <v>on track</v>
      </c>
      <c r="Q2399" s="3">
        <f ca="1">IF(Proc[[#This Row],[DateClosed]]="",ABS(NETWORKDAYS(Proc[[#This Row],[DateOpened]],TODAY()))-1,ABS(NETWORKDAYS(Proc[[#This Row],[DateOpened]],Proc[[#This Row],[DateClosed]]))-1)</f>
        <v>4</v>
      </c>
      <c r="R2399" s="108" t="s">
        <v>780</v>
      </c>
      <c r="S2399" s="96"/>
    </row>
    <row r="2400" spans="1:19" hidden="1">
      <c r="A2400" s="105" t="s">
        <v>4288</v>
      </c>
      <c r="B2400" s="96" t="str">
        <f>IFERROR(VLOOKUP(Proc[[#This Row],[App]],Table2[],3,0),"open")</f>
        <v>ok</v>
      </c>
      <c r="C2400" s="105" t="s">
        <v>369</v>
      </c>
      <c r="D2400" t="s">
        <v>4282</v>
      </c>
      <c r="E2400" t="s">
        <v>419</v>
      </c>
      <c r="F2400" s="96" t="s">
        <v>419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1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2563</v>
      </c>
      <c r="M2400" s="107">
        <v>45825.508958333332</v>
      </c>
      <c r="N2400" s="107"/>
      <c r="O2400" s="107"/>
      <c r="P2400" s="108" t="str">
        <f ca="1">IF(Proc[[#This Row],[DaysAgeing]]&gt;5,"yep","on track")</f>
        <v>on track</v>
      </c>
      <c r="Q2400" s="3">
        <f ca="1">IF(Proc[[#This Row],[DateClosed]]="",ABS(NETWORKDAYS(Proc[[#This Row],[DateOpened]],TODAY()))-1,ABS(NETWORKDAYS(Proc[[#This Row],[DateOpened]],Proc[[#This Row],[DateClosed]]))-1)</f>
        <v>4</v>
      </c>
      <c r="R2400" s="108" t="s">
        <v>780</v>
      </c>
      <c r="S2400" s="96"/>
    </row>
    <row r="2401" spans="1:19" hidden="1">
      <c r="A2401" s="105" t="s">
        <v>4288</v>
      </c>
      <c r="B2401" s="96" t="str">
        <f>IFERROR(VLOOKUP(Proc[[#This Row],[App]],Table2[],3,0),"open")</f>
        <v>ok</v>
      </c>
      <c r="C2401" s="105" t="s">
        <v>369</v>
      </c>
      <c r="D2401" t="s">
        <v>4283</v>
      </c>
      <c r="E2401" t="s">
        <v>419</v>
      </c>
      <c r="F2401" s="96" t="s">
        <v>419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1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2563</v>
      </c>
      <c r="M2401" s="107">
        <v>45825.508958333332</v>
      </c>
      <c r="N2401" s="107"/>
      <c r="O2401" s="107"/>
      <c r="P2401" s="108" t="str">
        <f ca="1">IF(Proc[[#This Row],[DaysAgeing]]&gt;5,"yep","on track")</f>
        <v>on track</v>
      </c>
      <c r="Q2401" s="3">
        <f ca="1">IF(Proc[[#This Row],[DateClosed]]="",ABS(NETWORKDAYS(Proc[[#This Row],[DateOpened]],TODAY()))-1,ABS(NETWORKDAYS(Proc[[#This Row],[DateOpened]],Proc[[#This Row],[DateClosed]]))-1)</f>
        <v>4</v>
      </c>
      <c r="R2401" s="108" t="s">
        <v>780</v>
      </c>
      <c r="S2401" s="96"/>
    </row>
    <row r="2402" spans="1:19" hidden="1">
      <c r="A2402" s="105" t="s">
        <v>4288</v>
      </c>
      <c r="B2402" s="96" t="str">
        <f>IFERROR(VLOOKUP(Proc[[#This Row],[App]],Table2[],3,0),"open")</f>
        <v>ok</v>
      </c>
      <c r="C2402" s="105" t="s">
        <v>369</v>
      </c>
      <c r="D2402" t="s">
        <v>4284</v>
      </c>
      <c r="E2402" t="s">
        <v>2430</v>
      </c>
      <c r="F2402" s="96" t="s">
        <v>2430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1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2563</v>
      </c>
      <c r="M2402" s="107">
        <v>45825.508958333332</v>
      </c>
      <c r="N2402" s="107"/>
      <c r="O2402" s="107"/>
      <c r="P2402" s="108" t="str">
        <f ca="1">IF(Proc[[#This Row],[DaysAgeing]]&gt;5,"yep","on track")</f>
        <v>on track</v>
      </c>
      <c r="Q2402" s="3">
        <f ca="1">IF(Proc[[#This Row],[DateClosed]]="",ABS(NETWORKDAYS(Proc[[#This Row],[DateOpened]],TODAY()))-1,ABS(NETWORKDAYS(Proc[[#This Row],[DateOpened]],Proc[[#This Row],[DateClosed]]))-1)</f>
        <v>4</v>
      </c>
      <c r="R2402" s="108" t="s">
        <v>780</v>
      </c>
      <c r="S2402" s="96"/>
    </row>
    <row r="2403" spans="1:19" hidden="1">
      <c r="A2403" s="105" t="s">
        <v>4288</v>
      </c>
      <c r="B2403" s="96" t="str">
        <f>IFERROR(VLOOKUP(Proc[[#This Row],[App]],Table2[],3,0),"open")</f>
        <v>ok</v>
      </c>
      <c r="C2403" s="105" t="s">
        <v>369</v>
      </c>
      <c r="D2403" t="s">
        <v>4285</v>
      </c>
      <c r="E2403" t="s">
        <v>2430</v>
      </c>
      <c r="F2403" s="96" t="s">
        <v>2430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1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2563</v>
      </c>
      <c r="M2403" s="107">
        <v>45825.508958333332</v>
      </c>
      <c r="N2403" s="107"/>
      <c r="O2403" s="107"/>
      <c r="P2403" s="108" t="str">
        <f ca="1">IF(Proc[[#This Row],[DaysAgeing]]&gt;5,"yep","on track")</f>
        <v>on track</v>
      </c>
      <c r="Q2403" s="3">
        <f ca="1">IF(Proc[[#This Row],[DateClosed]]="",ABS(NETWORKDAYS(Proc[[#This Row],[DateOpened]],TODAY()))-1,ABS(NETWORKDAYS(Proc[[#This Row],[DateOpened]],Proc[[#This Row],[DateClosed]]))-1)</f>
        <v>4</v>
      </c>
      <c r="R2403" s="108" t="s">
        <v>780</v>
      </c>
      <c r="S2403" s="96"/>
    </row>
    <row r="2404" spans="1:19" hidden="1">
      <c r="A2404" s="105" t="s">
        <v>4288</v>
      </c>
      <c r="B2404" s="96" t="str">
        <f>IFERROR(VLOOKUP(Proc[[#This Row],[App]],Table2[],3,0),"open")</f>
        <v>ok</v>
      </c>
      <c r="C2404" s="105" t="s">
        <v>369</v>
      </c>
      <c r="D2404" t="s">
        <v>4286</v>
      </c>
      <c r="E2404" t="s">
        <v>2430</v>
      </c>
      <c r="F2404" s="96" t="s">
        <v>2430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1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2563</v>
      </c>
      <c r="M2404" s="107">
        <v>45825.508958333332</v>
      </c>
      <c r="N2404" s="107"/>
      <c r="O2404" s="107"/>
      <c r="P2404" s="108" t="str">
        <f ca="1">IF(Proc[[#This Row],[DaysAgeing]]&gt;5,"yep","on track")</f>
        <v>on track</v>
      </c>
      <c r="Q2404" s="3">
        <f ca="1">IF(Proc[[#This Row],[DateClosed]]="",ABS(NETWORKDAYS(Proc[[#This Row],[DateOpened]],TODAY()))-1,ABS(NETWORKDAYS(Proc[[#This Row],[DateOpened]],Proc[[#This Row],[DateClosed]]))-1)</f>
        <v>4</v>
      </c>
      <c r="R2404" s="108" t="s">
        <v>780</v>
      </c>
      <c r="S2404" s="96"/>
    </row>
    <row r="2405" spans="1:19" hidden="1">
      <c r="A2405" s="105" t="s">
        <v>4288</v>
      </c>
      <c r="B2405" s="96" t="str">
        <f>IFERROR(VLOOKUP(Proc[[#This Row],[App]],Table2[],3,0),"open")</f>
        <v>ok</v>
      </c>
      <c r="C2405" s="105" t="s">
        <v>369</v>
      </c>
      <c r="D2405" t="s">
        <v>4287</v>
      </c>
      <c r="E2405" t="s">
        <v>2430</v>
      </c>
      <c r="F2405" s="96" t="s">
        <v>2430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1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2563</v>
      </c>
      <c r="M2405" s="107">
        <v>45825.508958333332</v>
      </c>
      <c r="N2405" s="107"/>
      <c r="O2405" s="107"/>
      <c r="P2405" s="108" t="str">
        <f ca="1">IF(Proc[[#This Row],[DaysAgeing]]&gt;5,"yep","on track")</f>
        <v>on track</v>
      </c>
      <c r="Q2405" s="3">
        <f ca="1">IF(Proc[[#This Row],[DateClosed]]="",ABS(NETWORKDAYS(Proc[[#This Row],[DateOpened]],TODAY()))-1,ABS(NETWORKDAYS(Proc[[#This Row],[DateOpened]],Proc[[#This Row],[DateClosed]]))-1)</f>
        <v>4</v>
      </c>
      <c r="R2405" s="108" t="s">
        <v>780</v>
      </c>
      <c r="S2405" s="96"/>
    </row>
    <row r="2406" spans="1:19" hidden="1">
      <c r="A2406" t="s">
        <v>4291</v>
      </c>
      <c r="B2406" s="96" t="str">
        <f>IFERROR(VLOOKUP(Proc[[#This Row],[App]],Table2[],3,0),"open")</f>
        <v>ok</v>
      </c>
      <c r="C2406" s="105" t="s">
        <v>369</v>
      </c>
      <c r="D2406" t="s">
        <v>4290</v>
      </c>
      <c r="E2406" t="s">
        <v>2561</v>
      </c>
      <c r="F2406" s="96" t="s">
        <v>2561</v>
      </c>
      <c r="G2406" t="s">
        <v>406</v>
      </c>
      <c r="H2406" s="96" t="str">
        <f>IF(Proc[[#This Row],[type]]="LFF (MDG-F)",MID(Proc[[#This Row],[Obj]],13,10),"")</f>
        <v>CH50L95008</v>
      </c>
      <c r="J2406" s="96" t="b">
        <f>Proc[[#This Row],[Requested]]=Proc[[#This Row],[CurrentParent]]</f>
        <v>1</v>
      </c>
      <c r="K2406" s="96" t="str">
        <f>IF(Proc[[#This Row],[Author]]="Marcela Urrego",VLOOKUP(LEFT(Proc[[#This Row],[Requested]],1),Table3[#All],2,0),VLOOKUP(Proc[[#This Row],[Author]],Table4[],2,0))</f>
        <v>HC</v>
      </c>
      <c r="L2406" s="96" t="s">
        <v>2563</v>
      </c>
      <c r="M2406" s="108">
        <v>45825.508958333332</v>
      </c>
      <c r="N2406" s="109"/>
      <c r="O2406" s="109"/>
      <c r="P2406" s="108" t="str">
        <f ca="1">IF(Proc[[#This Row],[DaysAgeing]]&gt;5,"yep","on track")</f>
        <v>on track</v>
      </c>
      <c r="Q2406" s="3">
        <f ca="1">IF(Proc[[#This Row],[DateClosed]]="",ABS(NETWORKDAYS(Proc[[#This Row],[DateOpened]],TODAY()))-1,ABS(NETWORKDAYS(Proc[[#This Row],[DateOpened]],Proc[[#This Row],[DateClosed]]))-1)</f>
        <v>4</v>
      </c>
      <c r="R2406" s="108" t="s">
        <v>3640</v>
      </c>
      <c r="S2406" s="96"/>
    </row>
    <row r="2407" spans="1:19" hidden="1">
      <c r="A2407" t="s">
        <v>4294</v>
      </c>
      <c r="B2407" s="96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6">
        <v>0</v>
      </c>
      <c r="G2407" s="105" t="s">
        <v>400</v>
      </c>
      <c r="H2407" s="96" t="str">
        <f>IF(Proc[[#This Row],[type]]="LFF (MDG-F)",MID(Proc[[#This Row],[Obj]],13,10),"")</f>
        <v/>
      </c>
      <c r="J2407" s="96" t="b">
        <f>Proc[[#This Row],[Requested]]=Proc[[#This Row],[CurrentParent]]</f>
        <v>0</v>
      </c>
      <c r="K2407" s="96" t="str">
        <f>IF(Proc[[#This Row],[Author]]="Marcela Urrego",VLOOKUP(LEFT(Proc[[#This Row],[Requested]],1),Table3[#All],2,0),VLOOKUP(Proc[[#This Row],[Author]],Table4[],2,0))</f>
        <v>LS</v>
      </c>
      <c r="L2407" s="96"/>
      <c r="M2407" s="108">
        <v>45828.508958333332</v>
      </c>
      <c r="N2407" s="109"/>
      <c r="O2407" s="109">
        <v>45831</v>
      </c>
      <c r="P2407" s="108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8" t="s">
        <v>972</v>
      </c>
      <c r="S2407" s="96"/>
    </row>
    <row r="2408" spans="1:19" hidden="1">
      <c r="A2408" t="s">
        <v>4295</v>
      </c>
      <c r="B2408" s="96" t="str">
        <f>IFERROR(VLOOKUP(Proc[[#This Row],[App]],Table2[],3,0),"open")</f>
        <v>ok</v>
      </c>
      <c r="C2408" s="105" t="s">
        <v>369</v>
      </c>
      <c r="D2408" t="s">
        <v>2677</v>
      </c>
      <c r="E2408" t="s">
        <v>2678</v>
      </c>
      <c r="F2408" s="96" t="s">
        <v>4296</v>
      </c>
      <c r="G2408" s="105" t="s">
        <v>400</v>
      </c>
      <c r="H2408" s="96" t="str">
        <f>IF(Proc[[#This Row],[type]]="LFF (MDG-F)",MID(Proc[[#This Row],[Obj]],13,10),"")</f>
        <v/>
      </c>
      <c r="J2408" s="96" t="b">
        <f>Proc[[#This Row],[Requested]]=Proc[[#This Row],[CurrentParent]]</f>
        <v>0</v>
      </c>
      <c r="K2408" s="96" t="str">
        <f>IF(Proc[[#This Row],[Author]]="Marcela Urrego",VLOOKUP(LEFT(Proc[[#This Row],[Requested]],1),Table3[#All],2,0),VLOOKUP(Proc[[#This Row],[Author]],Table4[],2,0))</f>
        <v>LS</v>
      </c>
      <c r="L2408" s="96"/>
      <c r="M2408" s="108">
        <v>45828.508958333332</v>
      </c>
      <c r="N2408" s="109">
        <v>45831</v>
      </c>
      <c r="O2408" s="109">
        <v>45831</v>
      </c>
      <c r="P2408" s="108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8" t="s">
        <v>2679</v>
      </c>
      <c r="S2408" s="96"/>
    </row>
    <row r="2409" spans="1:19">
      <c r="A2409" t="s">
        <v>4304</v>
      </c>
      <c r="B2409" s="96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6"/>
      <c r="G2409" s="105" t="s">
        <v>400</v>
      </c>
      <c r="H2409" s="96" t="str">
        <f>IF(Proc[[#This Row],[type]]="LFF (MDG-F)",MID(Proc[[#This Row],[Obj]],13,10),"")</f>
        <v/>
      </c>
      <c r="I2409" t="s">
        <v>4305</v>
      </c>
      <c r="J2409" s="96" t="b">
        <f>Proc[[#This Row],[Requested]]=Proc[[#This Row],[CurrentParent]]</f>
        <v>0</v>
      </c>
      <c r="K2409" s="96" t="str">
        <f>IF(Proc[[#This Row],[Author]]="Marcela Urrego",VLOOKUP(LEFT(Proc[[#This Row],[Requested]],1),Table3[#All],2,0),VLOOKUP(Proc[[#This Row],[Author]],Table4[],2,0))</f>
        <v>HC</v>
      </c>
      <c r="L2409" s="96"/>
      <c r="M2409" s="109">
        <v>45828.384247685186</v>
      </c>
      <c r="N2409" s="109"/>
      <c r="O2409" s="109"/>
      <c r="P2409" s="110" t="str">
        <f ca="1">IF(Proc[[#This Row],[DaysAgeing]]&gt;5,"yep","on track")</f>
        <v>on track</v>
      </c>
      <c r="Q2409" s="3">
        <f ca="1">IF(Proc[[#This Row],[DateClosed]]="",ABS(NETWORKDAYS(Proc[[#This Row],[DateOpened]],TODAY()))-1,ABS(NETWORKDAYS(Proc[[#This Row],[DateOpened]],Proc[[#This Row],[DateClosed]]))-1)</f>
        <v>1</v>
      </c>
      <c r="R2409" s="110" t="s">
        <v>415</v>
      </c>
      <c r="S2409" s="96"/>
    </row>
    <row r="2410" spans="1:19">
      <c r="A2410" s="105" t="s">
        <v>4304</v>
      </c>
      <c r="B2410" s="96" t="str">
        <f>IFERROR(VLOOKUP(Proc[[#This Row],[App]],Table2[],3,0),"open")</f>
        <v>open</v>
      </c>
      <c r="C2410" s="105" t="s">
        <v>370</v>
      </c>
      <c r="D2410" t="s">
        <v>4299</v>
      </c>
      <c r="E2410" t="s">
        <v>4303</v>
      </c>
      <c r="F2410" s="96"/>
      <c r="G2410" s="105" t="s">
        <v>400</v>
      </c>
      <c r="H2410" s="96" t="str">
        <f>IF(Proc[[#This Row],[type]]="LFF (MDG-F)",MID(Proc[[#This Row],[Obj]],13,10),"")</f>
        <v/>
      </c>
      <c r="J2410" s="96" t="b">
        <f>Proc[[#This Row],[Requested]]=Proc[[#This Row],[CurrentParent]]</f>
        <v>0</v>
      </c>
      <c r="K2410" s="96" t="str">
        <f>IF(Proc[[#This Row],[Author]]="Marcela Urrego",VLOOKUP(LEFT(Proc[[#This Row],[Requested]],1),Table3[#All],2,0),VLOOKUP(Proc[[#This Row],[Author]],Table4[],2,0))</f>
        <v>HC</v>
      </c>
      <c r="L2410" s="96"/>
      <c r="M2410" s="109">
        <v>45828.384247685186</v>
      </c>
      <c r="N2410" s="109"/>
      <c r="O2410" s="109"/>
      <c r="P2410" s="110" t="str">
        <f ca="1">IF(Proc[[#This Row],[DaysAgeing]]&gt;5,"yep","on track")</f>
        <v>on track</v>
      </c>
      <c r="Q2410" s="3">
        <f ca="1">IF(Proc[[#This Row],[DateClosed]]="",ABS(NETWORKDAYS(Proc[[#This Row],[DateOpened]],TODAY()))-1,ABS(NETWORKDAYS(Proc[[#This Row],[DateOpened]],Proc[[#This Row],[DateClosed]]))-1)</f>
        <v>1</v>
      </c>
      <c r="R2410" s="110" t="s">
        <v>415</v>
      </c>
      <c r="S2410" s="96"/>
    </row>
    <row r="2411" spans="1:19">
      <c r="A2411" s="105" t="s">
        <v>4304</v>
      </c>
      <c r="B2411" s="96" t="str">
        <f>IFERROR(VLOOKUP(Proc[[#This Row],[App]],Table2[],3,0),"open")</f>
        <v>open</v>
      </c>
      <c r="C2411" s="105" t="s">
        <v>370</v>
      </c>
      <c r="D2411" t="s">
        <v>4300</v>
      </c>
      <c r="E2411" t="s">
        <v>4303</v>
      </c>
      <c r="F2411" s="96"/>
      <c r="G2411" s="105" t="s">
        <v>400</v>
      </c>
      <c r="H2411" s="96" t="str">
        <f>IF(Proc[[#This Row],[type]]="LFF (MDG-F)",MID(Proc[[#This Row],[Obj]],13,10),"")</f>
        <v/>
      </c>
      <c r="J2411" s="96" t="b">
        <f>Proc[[#This Row],[Requested]]=Proc[[#This Row],[CurrentParent]]</f>
        <v>0</v>
      </c>
      <c r="K2411" s="96" t="str">
        <f>IF(Proc[[#This Row],[Author]]="Marcela Urrego",VLOOKUP(LEFT(Proc[[#This Row],[Requested]],1),Table3[#All],2,0),VLOOKUP(Proc[[#This Row],[Author]],Table4[],2,0))</f>
        <v>HC</v>
      </c>
      <c r="L2411" s="96"/>
      <c r="M2411" s="109">
        <v>45828.384247685186</v>
      </c>
      <c r="N2411" s="109"/>
      <c r="O2411" s="109"/>
      <c r="P2411" s="110" t="str">
        <f ca="1">IF(Proc[[#This Row],[DaysAgeing]]&gt;5,"yep","on track")</f>
        <v>on track</v>
      </c>
      <c r="Q2411" s="3">
        <f ca="1">IF(Proc[[#This Row],[DateClosed]]="",ABS(NETWORKDAYS(Proc[[#This Row],[DateOpened]],TODAY()))-1,ABS(NETWORKDAYS(Proc[[#This Row],[DateOpened]],Proc[[#This Row],[DateClosed]]))-1)</f>
        <v>1</v>
      </c>
      <c r="R2411" s="110" t="s">
        <v>415</v>
      </c>
      <c r="S2411" s="96"/>
    </row>
    <row r="2412" spans="1:19">
      <c r="A2412" s="105" t="s">
        <v>4304</v>
      </c>
      <c r="B2412" s="96" t="str">
        <f>IFERROR(VLOOKUP(Proc[[#This Row],[App]],Table2[],3,0),"open")</f>
        <v>open</v>
      </c>
      <c r="C2412" s="105" t="s">
        <v>370</v>
      </c>
      <c r="D2412" t="s">
        <v>4301</v>
      </c>
      <c r="E2412" t="s">
        <v>4303</v>
      </c>
      <c r="F2412" s="96"/>
      <c r="G2412" s="105" t="s">
        <v>400</v>
      </c>
      <c r="H2412" s="96" t="str">
        <f>IF(Proc[[#This Row],[type]]="LFF (MDG-F)",MID(Proc[[#This Row],[Obj]],13,10),"")</f>
        <v/>
      </c>
      <c r="J2412" s="96" t="b">
        <f>Proc[[#This Row],[Requested]]=Proc[[#This Row],[CurrentParent]]</f>
        <v>0</v>
      </c>
      <c r="K2412" s="96" t="str">
        <f>IF(Proc[[#This Row],[Author]]="Marcela Urrego",VLOOKUP(LEFT(Proc[[#This Row],[Requested]],1),Table3[#All],2,0),VLOOKUP(Proc[[#This Row],[Author]],Table4[],2,0))</f>
        <v>HC</v>
      </c>
      <c r="L2412" s="96"/>
      <c r="M2412" s="109">
        <v>45828.384247685186</v>
      </c>
      <c r="N2412" s="109"/>
      <c r="O2412" s="109"/>
      <c r="P2412" s="110" t="str">
        <f ca="1">IF(Proc[[#This Row],[DaysAgeing]]&gt;5,"yep","on track")</f>
        <v>on track</v>
      </c>
      <c r="Q2412" s="3">
        <f ca="1">IF(Proc[[#This Row],[DateClosed]]="",ABS(NETWORKDAYS(Proc[[#This Row],[DateOpened]],TODAY()))-1,ABS(NETWORKDAYS(Proc[[#This Row],[DateOpened]],Proc[[#This Row],[DateClosed]]))-1)</f>
        <v>1</v>
      </c>
      <c r="R2412" s="110" t="s">
        <v>415</v>
      </c>
      <c r="S2412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70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2" t="s">
        <v>2400</v>
      </c>
      <c r="B116" s="70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2" t="s">
        <v>2444</v>
      </c>
      <c r="B119" s="70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80" t="s">
        <v>2679</v>
      </c>
      <c r="B122" s="74" t="s">
        <v>568</v>
      </c>
    </row>
    <row r="123" spans="1:2">
      <c r="A123" s="80" t="s">
        <v>2682</v>
      </c>
      <c r="B123" s="74" t="s">
        <v>567</v>
      </c>
    </row>
    <row r="124" spans="1:2">
      <c r="A124" t="s">
        <v>2712</v>
      </c>
      <c r="B124" s="74" t="s">
        <v>567</v>
      </c>
    </row>
    <row r="125" spans="1:2">
      <c r="A125" t="s">
        <v>2891</v>
      </c>
      <c r="B125" t="s">
        <v>568</v>
      </c>
    </row>
    <row r="126" spans="1:2">
      <c r="A126" s="88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2" t="s">
        <v>3640</v>
      </c>
      <c r="B128" s="9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2025-06-23T13:01:24Z</dcterms:modified>
  <cp:category/>
  <cp:contentStatus/>
</cp:coreProperties>
</file>